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33BBC38B-C2DA-FC69-06AC-9F67D96B6324}"/>
  <workbookPr showInkAnnotation="0" codeName="ThisWorkbook" defaultThemeVersion="124226"/>
  <mc:AlternateContent xmlns:mc="http://schemas.openxmlformats.org/markup-compatibility/2006">
    <mc:Choice Requires="x15">
      <x15ac:absPath xmlns:x15ac="http://schemas.microsoft.com/office/spreadsheetml/2010/11/ac" url="P:\LAProd\510723\Documents\"/>
    </mc:Choice>
  </mc:AlternateContent>
  <bookViews>
    <workbookView xWindow="0" yWindow="0" windowWidth="18270" windowHeight="7515"/>
  </bookViews>
  <sheets>
    <sheet name="File Format" sheetId="1" r:id="rId1"/>
    <sheet name="Revision Log" sheetId="5" r:id="rId2"/>
  </sheets>
  <definedNames>
    <definedName name="_xlnm._FilterDatabase" localSheetId="0" hidden="1">'File Format'!$A$2:$I$946</definedName>
    <definedName name="_xlnm.Print_Titles" localSheetId="0">'File Format'!$1:$2</definedName>
  </definedNames>
  <calcPr calcId="171027"/>
</workbook>
</file>

<file path=xl/calcChain.xml><?xml version="1.0" encoding="utf-8"?>
<calcChain xmlns="http://schemas.openxmlformats.org/spreadsheetml/2006/main">
  <c r="E829" i="1" l="1"/>
  <c r="D827" i="1"/>
  <c r="E827" i="1" s="1"/>
  <c r="E323" i="1" l="1"/>
  <c r="D323" i="1"/>
  <c r="E322" i="1"/>
  <c r="D322" i="1"/>
  <c r="D4" i="1" l="1"/>
  <c r="D6" i="1" s="1"/>
  <c r="E3" i="1"/>
  <c r="E4" i="1" l="1"/>
  <c r="E6" i="1" l="1"/>
  <c r="D7" i="1"/>
  <c r="E7" i="1" l="1"/>
  <c r="D8" i="1"/>
  <c r="E8" i="1" l="1"/>
  <c r="D9" i="1"/>
  <c r="D10" i="1" s="1"/>
  <c r="D11" i="1" s="1"/>
  <c r="D12" i="1" s="1"/>
  <c r="D13" i="1" s="1"/>
  <c r="E13" i="1" l="1"/>
  <c r="D14" i="1"/>
  <c r="E9" i="1"/>
  <c r="E11" i="1" l="1"/>
  <c r="E12" i="1" l="1"/>
  <c r="D16" i="1" l="1"/>
  <c r="E14" i="1"/>
  <c r="E16" i="1" l="1"/>
  <c r="D17" i="1"/>
  <c r="E17" i="1" l="1"/>
  <c r="D18" i="1"/>
  <c r="D19" i="1" s="1"/>
  <c r="E18" i="1" l="1"/>
  <c r="D20" i="1" l="1"/>
  <c r="E19" i="1"/>
  <c r="E20" i="1" l="1"/>
  <c r="D21" i="1"/>
  <c r="D22" i="1" l="1"/>
  <c r="E21" i="1"/>
  <c r="E22" i="1" l="1"/>
  <c r="D23" i="1"/>
  <c r="D24" i="1" l="1"/>
  <c r="D25" i="1" s="1"/>
  <c r="E23" i="1"/>
  <c r="E25" i="1" l="1"/>
  <c r="D26" i="1"/>
  <c r="E24" i="1"/>
  <c r="E26" i="1" l="1"/>
  <c r="D27" i="1"/>
  <c r="D28" i="1" s="1"/>
  <c r="E27" i="1" l="1"/>
  <c r="D29" i="1"/>
  <c r="E28" i="1"/>
  <c r="E29" i="1" l="1"/>
  <c r="D30" i="1"/>
  <c r="D31" i="1" s="1"/>
  <c r="E31" i="1" l="1"/>
  <c r="D32" i="1"/>
  <c r="D33" i="1" s="1"/>
  <c r="E30" i="1"/>
  <c r="D34" i="1" l="1"/>
  <c r="D35" i="1" s="1"/>
  <c r="E33" i="1"/>
  <c r="E32" i="1"/>
  <c r="E35" i="1" l="1"/>
  <c r="D36" i="1"/>
  <c r="D37" i="1" s="1"/>
  <c r="E34" i="1"/>
  <c r="E37" i="1" l="1"/>
  <c r="D38" i="1"/>
  <c r="E36" i="1"/>
  <c r="D39" i="1" l="1"/>
  <c r="E38" i="1"/>
  <c r="E39" i="1" l="1"/>
  <c r="D40" i="1"/>
  <c r="D41" i="1" l="1"/>
  <c r="E40" i="1"/>
  <c r="D42" i="1" l="1"/>
  <c r="E41" i="1"/>
  <c r="E42" i="1" l="1"/>
  <c r="D43" i="1"/>
  <c r="D44" i="1" s="1"/>
  <c r="D45" i="1" s="1"/>
  <c r="E43" i="1" l="1"/>
  <c r="E45" i="1" l="1"/>
  <c r="D46" i="1"/>
  <c r="D47" i="1" s="1"/>
  <c r="D48" i="1" s="1"/>
  <c r="D49" i="1" s="1"/>
  <c r="D50" i="1" l="1"/>
  <c r="E49" i="1"/>
  <c r="E48" i="1"/>
  <c r="E46" i="1"/>
  <c r="D51" i="1" l="1"/>
  <c r="D53" i="1" s="1"/>
  <c r="E50" i="1"/>
  <c r="E44" i="1"/>
  <c r="D54" i="1" l="1"/>
  <c r="D55" i="1" s="1"/>
  <c r="E53" i="1"/>
  <c r="E47" i="1"/>
  <c r="E51" i="1" l="1"/>
  <c r="E10" i="1" l="1"/>
  <c r="E54" i="1" l="1"/>
  <c r="D56" i="1" l="1"/>
  <c r="E55" i="1"/>
  <c r="D57" i="1" l="1"/>
  <c r="E56" i="1"/>
  <c r="E57" i="1" l="1"/>
  <c r="D58" i="1"/>
  <c r="D59" i="1" s="1"/>
  <c r="D60" i="1" l="1"/>
  <c r="E59" i="1"/>
  <c r="E58" i="1"/>
  <c r="D61" i="1" l="1"/>
  <c r="E60" i="1"/>
  <c r="E61" i="1" l="1"/>
  <c r="D62" i="1"/>
  <c r="D63" i="1" s="1"/>
  <c r="D64" i="1" l="1"/>
  <c r="E63" i="1"/>
  <c r="E62" i="1"/>
  <c r="D65" i="1" l="1"/>
  <c r="D66" i="1" s="1"/>
  <c r="D67" i="1" s="1"/>
  <c r="D68" i="1" s="1"/>
  <c r="E64" i="1"/>
  <c r="E68" i="1" l="1"/>
  <c r="D69" i="1"/>
  <c r="E67" i="1"/>
  <c r="E66" i="1"/>
  <c r="E65" i="1"/>
  <c r="D71" i="1" l="1"/>
  <c r="E69" i="1"/>
  <c r="E71" i="1" l="1"/>
  <c r="D72" i="1"/>
  <c r="D73" i="1" l="1"/>
  <c r="E72" i="1"/>
  <c r="D74" i="1" l="1"/>
  <c r="E73" i="1"/>
  <c r="D75" i="1" l="1"/>
  <c r="E74" i="1"/>
  <c r="E75" i="1" l="1"/>
  <c r="D78" i="1"/>
  <c r="E78" i="1" l="1"/>
  <c r="D79" i="1"/>
  <c r="D80" i="1" l="1"/>
  <c r="E79" i="1"/>
  <c r="D81" i="1" l="1"/>
  <c r="E80" i="1"/>
  <c r="D82" i="1" l="1"/>
  <c r="E81" i="1"/>
  <c r="E82" i="1" l="1"/>
  <c r="D83" i="1"/>
  <c r="D84" i="1" l="1"/>
  <c r="E83" i="1"/>
  <c r="D85" i="1" l="1"/>
  <c r="E84" i="1"/>
  <c r="D86" i="1" l="1"/>
  <c r="E85" i="1"/>
  <c r="D87" i="1" l="1"/>
  <c r="E86" i="1"/>
  <c r="E87" i="1" l="1"/>
  <c r="D88" i="1"/>
  <c r="D89" i="1" l="1"/>
  <c r="E88" i="1"/>
  <c r="E89" i="1" l="1"/>
  <c r="D90" i="1"/>
  <c r="E90" i="1" l="1"/>
  <c r="D91" i="1"/>
  <c r="E91" i="1" l="1"/>
  <c r="D93" i="1"/>
  <c r="E93" i="1" l="1"/>
  <c r="D94" i="1"/>
  <c r="D95" i="1" l="1"/>
  <c r="E94" i="1"/>
  <c r="D96" i="1" l="1"/>
  <c r="E95" i="1"/>
  <c r="E96" i="1" l="1"/>
  <c r="D97" i="1"/>
  <c r="E97" i="1" l="1"/>
  <c r="D98" i="1"/>
  <c r="E98" i="1" l="1"/>
  <c r="D99" i="1"/>
  <c r="D100" i="1" l="1"/>
  <c r="E99" i="1"/>
  <c r="E100" i="1" l="1"/>
  <c r="D101" i="1"/>
  <c r="E101" i="1" l="1"/>
  <c r="D102" i="1"/>
  <c r="D103" i="1" l="1"/>
  <c r="E102" i="1"/>
  <c r="D104" i="1" l="1"/>
  <c r="E103" i="1"/>
  <c r="D105" i="1" l="1"/>
  <c r="E104" i="1"/>
  <c r="D106" i="1" l="1"/>
  <c r="E105" i="1"/>
  <c r="D107" i="1" l="1"/>
  <c r="E106" i="1"/>
  <c r="E107" i="1" l="1"/>
  <c r="D109" i="1"/>
  <c r="E109" i="1" l="1"/>
  <c r="D110" i="1"/>
  <c r="D111" i="1" l="1"/>
  <c r="E110" i="1"/>
  <c r="D112" i="1" l="1"/>
  <c r="E111" i="1"/>
  <c r="E112" i="1" l="1"/>
  <c r="D113" i="1"/>
  <c r="D114" i="1" l="1"/>
  <c r="E113" i="1"/>
  <c r="D115" i="1" l="1"/>
  <c r="E114" i="1"/>
  <c r="D116" i="1" l="1"/>
  <c r="E115" i="1"/>
  <c r="D118" i="1" l="1"/>
  <c r="E116" i="1"/>
  <c r="D119" i="1" l="1"/>
  <c r="E118" i="1"/>
  <c r="D129" i="1" l="1"/>
  <c r="E119" i="1"/>
  <c r="D130" i="1" l="1"/>
  <c r="E129" i="1"/>
  <c r="D131" i="1" l="1"/>
  <c r="E130" i="1"/>
  <c r="E131" i="1" l="1"/>
  <c r="D132" i="1"/>
  <c r="E132" i="1" l="1"/>
  <c r="D133" i="1"/>
  <c r="D134" i="1" l="1"/>
  <c r="E133" i="1"/>
  <c r="D135" i="1" l="1"/>
  <c r="E134" i="1"/>
  <c r="D136" i="1" l="1"/>
  <c r="E135" i="1"/>
  <c r="D137" i="1" l="1"/>
  <c r="E136" i="1"/>
  <c r="D138" i="1" l="1"/>
  <c r="E137" i="1"/>
  <c r="D139" i="1" l="1"/>
  <c r="E138" i="1"/>
  <c r="D140" i="1" l="1"/>
  <c r="E139" i="1"/>
  <c r="D141" i="1" l="1"/>
  <c r="E140" i="1"/>
  <c r="E141" i="1" l="1"/>
  <c r="D143" i="1"/>
  <c r="D144" i="1" l="1"/>
  <c r="E143" i="1"/>
  <c r="E144" i="1" l="1"/>
  <c r="D145" i="1"/>
  <c r="D146" i="1" l="1"/>
  <c r="E145" i="1"/>
  <c r="D147" i="1" l="1"/>
  <c r="E146" i="1"/>
  <c r="D148" i="1" l="1"/>
  <c r="E147" i="1"/>
  <c r="D149" i="1" l="1"/>
  <c r="E148" i="1"/>
  <c r="D150" i="1" l="1"/>
  <c r="E149" i="1"/>
  <c r="D151" i="1" l="1"/>
  <c r="E150" i="1"/>
  <c r="D152" i="1" l="1"/>
  <c r="E151" i="1"/>
  <c r="E152" i="1" l="1"/>
  <c r="D154" i="1"/>
  <c r="D155" i="1" l="1"/>
  <c r="E154" i="1"/>
  <c r="D156" i="1" l="1"/>
  <c r="E155" i="1"/>
  <c r="D157" i="1" l="1"/>
  <c r="E156" i="1"/>
  <c r="E157" i="1" l="1"/>
  <c r="D158" i="1"/>
  <c r="E158" i="1" l="1"/>
  <c r="D159" i="1"/>
  <c r="D160" i="1" l="1"/>
  <c r="E159" i="1"/>
  <c r="D161" i="1" l="1"/>
  <c r="E160" i="1"/>
  <c r="E161" i="1" l="1"/>
  <c r="D162" i="1"/>
  <c r="E162" i="1" l="1"/>
  <c r="D164" i="1"/>
  <c r="E164" i="1" l="1"/>
  <c r="D165" i="1"/>
  <c r="D166" i="1" l="1"/>
  <c r="E165" i="1"/>
  <c r="D167" i="1" l="1"/>
  <c r="E166" i="1"/>
  <c r="D169" i="1" l="1"/>
  <c r="E167" i="1"/>
  <c r="D170" i="1" l="1"/>
  <c r="E169" i="1"/>
  <c r="D171" i="1" l="1"/>
  <c r="E170" i="1"/>
  <c r="D172" i="1" l="1"/>
  <c r="E171" i="1"/>
  <c r="D173" i="1" l="1"/>
  <c r="E172" i="1"/>
  <c r="D174" i="1" l="1"/>
  <c r="E173" i="1"/>
  <c r="D175" i="1" l="1"/>
  <c r="E174" i="1"/>
  <c r="D176" i="1" l="1"/>
  <c r="E175" i="1"/>
  <c r="D178" i="1" l="1"/>
  <c r="E176" i="1"/>
  <c r="D179" i="1" l="1"/>
  <c r="E178" i="1"/>
  <c r="D180" i="1" l="1"/>
  <c r="E179" i="1"/>
  <c r="E180" i="1" l="1"/>
  <c r="D181" i="1"/>
  <c r="D182" i="1" l="1"/>
  <c r="E181" i="1"/>
  <c r="E182" i="1" l="1"/>
  <c r="D183" i="1"/>
  <c r="E183" i="1" l="1"/>
  <c r="D184" i="1"/>
  <c r="D185" i="1" l="1"/>
  <c r="E184" i="1"/>
  <c r="E185" i="1" l="1"/>
  <c r="D186" i="1"/>
  <c r="E186" i="1" l="1"/>
  <c r="D187" i="1"/>
  <c r="E187" i="1" l="1"/>
  <c r="D188" i="1"/>
  <c r="E188" i="1" l="1"/>
  <c r="D189" i="1"/>
  <c r="E189" i="1" l="1"/>
  <c r="D190" i="1"/>
  <c r="D191" i="1" l="1"/>
  <c r="E190" i="1"/>
  <c r="D192" i="1" l="1"/>
  <c r="E191" i="1"/>
  <c r="D193" i="1" l="1"/>
  <c r="E192" i="1"/>
  <c r="D194" i="1" l="1"/>
  <c r="E193" i="1"/>
  <c r="D196" i="1" l="1"/>
  <c r="E194" i="1"/>
  <c r="E196" i="1" l="1"/>
  <c r="D197" i="1"/>
  <c r="E197" i="1" l="1"/>
  <c r="D198" i="1"/>
  <c r="D199" i="1" l="1"/>
  <c r="E198" i="1"/>
  <c r="E199" i="1" l="1"/>
  <c r="D202" i="1"/>
  <c r="D203" i="1" l="1"/>
  <c r="E202" i="1"/>
  <c r="E203" i="1" l="1"/>
  <c r="D204" i="1"/>
  <c r="E204" i="1" l="1"/>
  <c r="D205" i="1"/>
  <c r="E205" i="1" l="1"/>
  <c r="D206" i="1"/>
  <c r="D207" i="1" l="1"/>
  <c r="E206" i="1"/>
  <c r="E207" i="1" l="1"/>
  <c r="D208" i="1"/>
  <c r="D209" i="1" l="1"/>
  <c r="E208" i="1"/>
  <c r="E209" i="1" l="1"/>
  <c r="D210" i="1"/>
  <c r="D211" i="1" l="1"/>
  <c r="E210" i="1"/>
  <c r="E211" i="1" l="1"/>
  <c r="D212" i="1"/>
  <c r="D213" i="1" l="1"/>
  <c r="E212" i="1"/>
  <c r="E213" i="1" l="1"/>
  <c r="D214" i="1"/>
  <c r="E214" i="1" l="1"/>
  <c r="D215" i="1"/>
  <c r="E215" i="1" l="1"/>
  <c r="D217" i="1"/>
  <c r="E217" i="1" l="1"/>
  <c r="D218" i="1"/>
  <c r="D219" i="1" l="1"/>
  <c r="E218" i="1"/>
  <c r="E219" i="1" l="1"/>
  <c r="D220" i="1"/>
  <c r="E220" i="1" l="1"/>
  <c r="D221" i="1"/>
  <c r="E221" i="1" l="1"/>
  <c r="D222" i="1"/>
  <c r="E222" i="1" l="1"/>
  <c r="D223" i="1"/>
  <c r="D224" i="1" l="1"/>
  <c r="E223" i="1"/>
  <c r="E224" i="1" l="1"/>
  <c r="D225" i="1"/>
  <c r="D226" i="1" l="1"/>
  <c r="E225" i="1"/>
  <c r="E226" i="1" l="1"/>
  <c r="D227" i="1"/>
  <c r="D228" i="1" l="1"/>
  <c r="E227" i="1"/>
  <c r="D229" i="1" l="1"/>
  <c r="E228" i="1"/>
  <c r="D230" i="1" l="1"/>
  <c r="E229" i="1"/>
  <c r="E230" i="1" l="1"/>
  <c r="D231" i="1"/>
  <c r="E231" i="1" l="1"/>
  <c r="D233" i="1"/>
  <c r="E233" i="1" l="1"/>
  <c r="D234" i="1"/>
  <c r="D235" i="1" l="1"/>
  <c r="E234" i="1"/>
  <c r="E235" i="1" l="1"/>
  <c r="D236" i="1"/>
  <c r="E236" i="1" l="1"/>
  <c r="D237" i="1"/>
  <c r="E237" i="1" l="1"/>
  <c r="D238" i="1"/>
  <c r="D239" i="1" l="1"/>
  <c r="E238" i="1"/>
  <c r="D240" i="1" l="1"/>
  <c r="E239" i="1"/>
  <c r="D242" i="1" l="1"/>
  <c r="E240" i="1"/>
  <c r="D243" i="1" l="1"/>
  <c r="E242" i="1"/>
  <c r="D253" i="1" l="1"/>
  <c r="D245" i="1"/>
  <c r="E243" i="1"/>
  <c r="D246" i="1" l="1"/>
  <c r="E245" i="1"/>
  <c r="D254" i="1"/>
  <c r="E253" i="1"/>
  <c r="E254" i="1" l="1"/>
  <c r="D255" i="1"/>
  <c r="D247" i="1"/>
  <c r="E246" i="1"/>
  <c r="D248" i="1" l="1"/>
  <c r="E247" i="1"/>
  <c r="D256" i="1"/>
  <c r="E255" i="1"/>
  <c r="E256" i="1" l="1"/>
  <c r="D257" i="1"/>
  <c r="E248" i="1"/>
  <c r="D249" i="1"/>
  <c r="E249" i="1" l="1"/>
  <c r="D250" i="1"/>
  <c r="E257" i="1"/>
  <c r="D258" i="1"/>
  <c r="E258" i="1" l="1"/>
  <c r="D259" i="1"/>
  <c r="E250" i="1"/>
  <c r="D251" i="1"/>
  <c r="E251" i="1" s="1"/>
  <c r="E259" i="1" l="1"/>
  <c r="D260" i="1"/>
  <c r="E260" i="1" l="1"/>
  <c r="D261" i="1"/>
  <c r="E261" i="1" l="1"/>
  <c r="D262" i="1"/>
  <c r="D263" i="1" l="1"/>
  <c r="E262" i="1"/>
  <c r="E263" i="1" l="1"/>
  <c r="D264" i="1"/>
  <c r="E264" i="1" l="1"/>
  <c r="D265" i="1"/>
  <c r="E265" i="1" l="1"/>
  <c r="D266" i="1"/>
  <c r="E266" i="1" l="1"/>
  <c r="D267" i="1"/>
  <c r="D268" i="1" l="1"/>
  <c r="E267" i="1"/>
  <c r="E268" i="1" l="1"/>
  <c r="D270" i="1"/>
  <c r="E270" i="1" l="1"/>
  <c r="D271" i="1"/>
  <c r="E271" i="1" l="1"/>
  <c r="D272" i="1"/>
  <c r="D273" i="1" l="1"/>
  <c r="E272" i="1"/>
  <c r="D274" i="1" l="1"/>
  <c r="E273" i="1"/>
  <c r="E274" i="1" l="1"/>
  <c r="D275" i="1"/>
  <c r="D276" i="1" l="1"/>
  <c r="E275" i="1"/>
  <c r="D278" i="1" l="1"/>
  <c r="E276" i="1"/>
  <c r="E278" i="1" l="1"/>
  <c r="D279" i="1"/>
  <c r="E279" i="1" l="1"/>
  <c r="D280" i="1"/>
  <c r="E280" i="1" l="1"/>
  <c r="D281" i="1"/>
  <c r="D282" i="1" l="1"/>
  <c r="E281" i="1"/>
  <c r="E282" i="1" l="1"/>
  <c r="D283" i="1"/>
  <c r="D284" i="1" l="1"/>
  <c r="E283" i="1"/>
  <c r="D285" i="1" l="1"/>
  <c r="E284" i="1"/>
  <c r="D286" i="1" l="1"/>
  <c r="E285" i="1"/>
  <c r="D288" i="1" l="1"/>
  <c r="E286" i="1"/>
  <c r="D289" i="1" l="1"/>
  <c r="E288" i="1"/>
  <c r="D290" i="1" l="1"/>
  <c r="E289" i="1"/>
  <c r="D291" i="1" l="1"/>
  <c r="E290" i="1"/>
  <c r="E291" i="1" l="1"/>
  <c r="D293" i="1"/>
  <c r="D294" i="1" l="1"/>
  <c r="E293" i="1"/>
  <c r="D295" i="1" l="1"/>
  <c r="E294" i="1"/>
  <c r="E295" i="1" l="1"/>
  <c r="D296" i="1"/>
  <c r="D297" i="1" l="1"/>
  <c r="E296" i="1"/>
  <c r="D298" i="1" l="1"/>
  <c r="E297" i="1"/>
  <c r="E298" i="1" l="1"/>
  <c r="D299" i="1"/>
  <c r="D300" i="1" l="1"/>
  <c r="E299" i="1"/>
  <c r="D302" i="1" l="1"/>
  <c r="E300" i="1"/>
  <c r="D303" i="1" l="1"/>
  <c r="E302" i="1"/>
  <c r="E303" i="1" l="1"/>
  <c r="D304" i="1"/>
  <c r="E304" i="1" l="1"/>
  <c r="D305" i="1"/>
  <c r="E305" i="1" l="1"/>
  <c r="D306" i="1"/>
  <c r="E306" i="1" l="1"/>
  <c r="D307" i="1"/>
  <c r="E307" i="1" l="1"/>
  <c r="D308" i="1"/>
  <c r="E308" i="1" l="1"/>
  <c r="D309" i="1"/>
  <c r="E309" i="1" l="1"/>
  <c r="D310" i="1"/>
  <c r="E310" i="1" l="1"/>
  <c r="D311" i="1"/>
  <c r="D312" i="1" l="1"/>
  <c r="E311" i="1"/>
  <c r="E312" i="1" l="1"/>
  <c r="D313" i="1"/>
  <c r="E313" i="1" l="1"/>
  <c r="D314" i="1"/>
  <c r="E314" i="1" l="1"/>
  <c r="D315" i="1"/>
  <c r="E315" i="1" l="1"/>
  <c r="D316" i="1"/>
  <c r="D317" i="1" l="1"/>
  <c r="E316" i="1"/>
  <c r="E317" i="1" l="1"/>
  <c r="D319" i="1"/>
  <c r="E319" i="1" l="1"/>
  <c r="D320" i="1"/>
  <c r="D321" i="1" l="1"/>
  <c r="E320" i="1"/>
  <c r="E321" i="1" l="1"/>
  <c r="D326" i="1" l="1"/>
  <c r="E326" i="1" l="1"/>
  <c r="D327" i="1"/>
  <c r="E327" i="1" l="1"/>
  <c r="D328" i="1"/>
  <c r="E328" i="1" l="1"/>
  <c r="D329" i="1"/>
  <c r="E329" i="1" l="1"/>
  <c r="D330" i="1"/>
  <c r="E330" i="1" l="1"/>
  <c r="D331" i="1"/>
  <c r="E331" i="1" l="1"/>
  <c r="D332" i="1"/>
  <c r="E332" i="1" l="1"/>
  <c r="D333" i="1"/>
  <c r="D334" i="1" l="1"/>
  <c r="E333" i="1"/>
  <c r="D335" i="1" l="1"/>
  <c r="E334" i="1"/>
  <c r="D336" i="1" l="1"/>
  <c r="E335" i="1"/>
  <c r="E336" i="1" l="1"/>
  <c r="D337" i="1"/>
  <c r="E337" i="1" l="1"/>
  <c r="D338" i="1"/>
  <c r="E338" i="1" l="1"/>
  <c r="D339" i="1"/>
  <c r="E339" i="1" l="1"/>
  <c r="D341" i="1"/>
  <c r="E341" i="1" l="1"/>
  <c r="D342" i="1"/>
  <c r="E342" i="1" l="1"/>
  <c r="D343" i="1"/>
  <c r="E343" i="1" l="1"/>
  <c r="D344" i="1"/>
  <c r="D345" i="1" l="1"/>
  <c r="E344" i="1"/>
  <c r="E345" i="1" l="1"/>
  <c r="D346" i="1"/>
  <c r="E346" i="1" l="1"/>
  <c r="D347" i="1"/>
  <c r="E347" i="1" l="1"/>
  <c r="D348" i="1"/>
  <c r="E348" i="1" l="1"/>
  <c r="D349" i="1"/>
  <c r="E349" i="1" l="1"/>
  <c r="D350" i="1"/>
  <c r="E350" i="1" l="1"/>
  <c r="D351" i="1"/>
  <c r="E351" i="1" l="1"/>
  <c r="D352" i="1"/>
  <c r="E352" i="1" l="1"/>
  <c r="D353" i="1"/>
  <c r="D354" i="1" l="1"/>
  <c r="E353" i="1"/>
  <c r="E354" i="1" l="1"/>
  <c r="D355" i="1"/>
  <c r="E355" i="1" l="1"/>
  <c r="D357" i="1"/>
  <c r="E357" i="1" l="1"/>
  <c r="D358" i="1"/>
  <c r="E358" i="1" l="1"/>
  <c r="D359" i="1"/>
  <c r="E359" i="1" l="1"/>
  <c r="D360" i="1"/>
  <c r="E360" i="1" l="1"/>
  <c r="D361" i="1"/>
  <c r="E361" i="1" l="1"/>
  <c r="D362" i="1"/>
  <c r="E362" i="1" l="1"/>
  <c r="D363" i="1"/>
  <c r="D364" i="1" l="1"/>
  <c r="E363" i="1"/>
  <c r="D366" i="1" l="1"/>
  <c r="E364" i="1"/>
  <c r="D367" i="1" l="1"/>
  <c r="E366" i="1"/>
  <c r="D378" i="1" l="1"/>
  <c r="D369" i="1"/>
  <c r="E367" i="1"/>
  <c r="D379" i="1" l="1"/>
  <c r="E378" i="1"/>
  <c r="D370" i="1"/>
  <c r="E369" i="1"/>
  <c r="D380" i="1" l="1"/>
  <c r="E379" i="1"/>
  <c r="D371" i="1"/>
  <c r="E370" i="1"/>
  <c r="E380" i="1" l="1"/>
  <c r="D381" i="1"/>
  <c r="E371" i="1"/>
  <c r="D372" i="1"/>
  <c r="E372" i="1" l="1"/>
  <c r="D373" i="1"/>
  <c r="D382" i="1"/>
  <c r="E381" i="1"/>
  <c r="E382" i="1" l="1"/>
  <c r="D383" i="1"/>
  <c r="D374" i="1"/>
  <c r="E373" i="1"/>
  <c r="D375" i="1" l="1"/>
  <c r="E374" i="1"/>
  <c r="D384" i="1"/>
  <c r="E383" i="1"/>
  <c r="E384" i="1" l="1"/>
  <c r="D385" i="1"/>
  <c r="D376" i="1"/>
  <c r="E376" i="1" s="1"/>
  <c r="E375" i="1"/>
  <c r="D386" i="1" l="1"/>
  <c r="E385" i="1"/>
  <c r="D387" i="1" l="1"/>
  <c r="E386" i="1"/>
  <c r="E387" i="1" l="1"/>
  <c r="D388" i="1"/>
  <c r="D389" i="1" l="1"/>
  <c r="E388" i="1"/>
  <c r="D390" i="1" l="1"/>
  <c r="E389" i="1"/>
  <c r="D392" i="1" l="1"/>
  <c r="E390" i="1"/>
  <c r="D393" i="1" l="1"/>
  <c r="E392" i="1"/>
  <c r="E393" i="1" l="1"/>
  <c r="D394" i="1"/>
  <c r="E394" i="1" l="1"/>
  <c r="D395" i="1"/>
  <c r="D396" i="1" l="1"/>
  <c r="E395" i="1"/>
  <c r="E396" i="1" l="1"/>
  <c r="D397" i="1"/>
  <c r="E397" i="1" l="1"/>
  <c r="D398" i="1"/>
  <c r="D400" i="1" l="1"/>
  <c r="E398" i="1"/>
  <c r="E400" i="1" l="1"/>
  <c r="D401" i="1"/>
  <c r="E401" i="1" l="1"/>
  <c r="D402" i="1"/>
  <c r="E402" i="1" l="1"/>
  <c r="D403" i="1"/>
  <c r="E403" i="1" l="1"/>
  <c r="D404" i="1"/>
  <c r="E404" i="1" l="1"/>
  <c r="D405" i="1"/>
  <c r="D406" i="1" l="1"/>
  <c r="E405" i="1"/>
  <c r="D407" i="1" l="1"/>
  <c r="E406" i="1"/>
  <c r="E407" i="1" l="1"/>
  <c r="D408" i="1"/>
  <c r="D410" i="1" l="1"/>
  <c r="E408" i="1"/>
  <c r="E410" i="1" l="1"/>
  <c r="D411" i="1"/>
  <c r="E411" i="1" l="1"/>
  <c r="D412" i="1"/>
  <c r="D413" i="1" l="1"/>
  <c r="E412" i="1"/>
  <c r="D415" i="1" l="1"/>
  <c r="E413" i="1"/>
  <c r="E415" i="1" l="1"/>
  <c r="D416" i="1"/>
  <c r="E416" i="1" l="1"/>
  <c r="D417" i="1"/>
  <c r="E417" i="1" l="1"/>
  <c r="D418" i="1"/>
  <c r="D419" i="1" l="1"/>
  <c r="E418" i="1"/>
  <c r="D420" i="1" l="1"/>
  <c r="E419" i="1"/>
  <c r="D421" i="1" l="1"/>
  <c r="E420" i="1"/>
  <c r="D422" i="1" l="1"/>
  <c r="E421" i="1"/>
  <c r="D424" i="1" l="1"/>
  <c r="E422" i="1"/>
  <c r="D425" i="1" l="1"/>
  <c r="E424" i="1"/>
  <c r="D426" i="1" l="1"/>
  <c r="E425" i="1"/>
  <c r="D427" i="1" l="1"/>
  <c r="E426" i="1"/>
  <c r="D428" i="1" l="1"/>
  <c r="E427" i="1"/>
  <c r="D429" i="1" l="1"/>
  <c r="E428" i="1"/>
  <c r="D430" i="1" l="1"/>
  <c r="E429" i="1"/>
  <c r="D431" i="1" l="1"/>
  <c r="E430" i="1"/>
  <c r="D432" i="1" l="1"/>
  <c r="E431" i="1"/>
  <c r="D433" i="1" l="1"/>
  <c r="E432" i="1"/>
  <c r="D434" i="1" l="1"/>
  <c r="E433" i="1"/>
  <c r="D435" i="1" l="1"/>
  <c r="E434" i="1"/>
  <c r="D436" i="1" l="1"/>
  <c r="E435" i="1"/>
  <c r="D437" i="1" l="1"/>
  <c r="E436" i="1"/>
  <c r="D438" i="1" l="1"/>
  <c r="E437" i="1"/>
  <c r="D439" i="1" l="1"/>
  <c r="E438" i="1"/>
  <c r="D441" i="1" l="1"/>
  <c r="E439" i="1"/>
  <c r="D442" i="1" l="1"/>
  <c r="E441" i="1"/>
  <c r="D443" i="1" l="1"/>
  <c r="E442" i="1"/>
  <c r="D444" i="1" l="1"/>
  <c r="E443" i="1"/>
  <c r="D447" i="1" l="1"/>
  <c r="E444" i="1"/>
  <c r="D448" i="1" l="1"/>
  <c r="E447" i="1"/>
  <c r="D449" i="1" l="1"/>
  <c r="E448" i="1"/>
  <c r="D450" i="1" l="1"/>
  <c r="E449" i="1"/>
  <c r="D451" i="1" l="1"/>
  <c r="E450" i="1"/>
  <c r="D452" i="1" l="1"/>
  <c r="E451" i="1"/>
  <c r="D453" i="1" l="1"/>
  <c r="E452" i="1"/>
  <c r="D454" i="1" l="1"/>
  <c r="E453" i="1"/>
  <c r="D455" i="1" l="1"/>
  <c r="E454" i="1"/>
  <c r="D456" i="1" l="1"/>
  <c r="E455" i="1"/>
  <c r="D457" i="1" l="1"/>
  <c r="E456" i="1"/>
  <c r="D458" i="1" l="1"/>
  <c r="E457" i="1"/>
  <c r="E458" i="1" l="1"/>
  <c r="D459" i="1"/>
  <c r="D460" i="1" l="1"/>
  <c r="E459" i="1"/>
  <c r="D462" i="1" l="1"/>
  <c r="E460" i="1"/>
  <c r="E462" i="1" l="1"/>
  <c r="D463" i="1"/>
  <c r="D464" i="1" l="1"/>
  <c r="E463" i="1"/>
  <c r="D465" i="1" l="1"/>
  <c r="E464" i="1"/>
  <c r="D466" i="1" l="1"/>
  <c r="E465" i="1"/>
  <c r="D467" i="1" l="1"/>
  <c r="E466" i="1"/>
  <c r="D468" i="1" l="1"/>
  <c r="E467" i="1"/>
  <c r="D469" i="1" l="1"/>
  <c r="E468" i="1"/>
  <c r="D470" i="1" l="1"/>
  <c r="E469" i="1"/>
  <c r="D471" i="1" l="1"/>
  <c r="E470" i="1"/>
  <c r="D472" i="1" l="1"/>
  <c r="E471" i="1"/>
  <c r="D473" i="1" l="1"/>
  <c r="E472" i="1"/>
  <c r="D474" i="1" l="1"/>
  <c r="E473" i="1"/>
  <c r="D475" i="1" l="1"/>
  <c r="E474" i="1"/>
  <c r="D476" i="1" l="1"/>
  <c r="E475" i="1"/>
  <c r="E476" i="1" l="1"/>
  <c r="D478" i="1"/>
  <c r="D479" i="1" l="1"/>
  <c r="E478" i="1"/>
  <c r="D480" i="1" l="1"/>
  <c r="E479" i="1"/>
  <c r="D481" i="1" l="1"/>
  <c r="E480" i="1"/>
  <c r="D482" i="1" l="1"/>
  <c r="E481" i="1"/>
  <c r="D483" i="1" l="1"/>
  <c r="E482" i="1"/>
  <c r="D484" i="1" l="1"/>
  <c r="E483" i="1"/>
  <c r="D485" i="1" l="1"/>
  <c r="E484" i="1"/>
  <c r="E485" i="1" l="1"/>
  <c r="D487" i="1"/>
  <c r="D488" i="1" l="1"/>
  <c r="E487" i="1"/>
  <c r="D490" i="1" l="1"/>
  <c r="E488" i="1"/>
  <c r="D491" i="1" l="1"/>
  <c r="E490" i="1"/>
  <c r="D492" i="1" l="1"/>
  <c r="E491" i="1"/>
  <c r="D493" i="1" l="1"/>
  <c r="E492" i="1"/>
  <c r="D494" i="1" l="1"/>
  <c r="E493" i="1"/>
  <c r="D495" i="1" l="1"/>
  <c r="E494" i="1"/>
  <c r="D496" i="1" l="1"/>
  <c r="E495" i="1"/>
  <c r="D498" i="1" l="1"/>
  <c r="E496" i="1"/>
  <c r="D499" i="1" l="1"/>
  <c r="E498" i="1"/>
  <c r="D500" i="1" l="1"/>
  <c r="E499" i="1"/>
  <c r="D501" i="1" l="1"/>
  <c r="E500" i="1"/>
  <c r="D502" i="1" l="1"/>
  <c r="E501" i="1"/>
  <c r="E502" i="1" l="1"/>
  <c r="D503" i="1"/>
  <c r="D504" i="1" l="1"/>
  <c r="E503" i="1"/>
  <c r="D505" i="1" l="1"/>
  <c r="E504" i="1"/>
  <c r="E505" i="1" l="1"/>
  <c r="D506" i="1"/>
  <c r="E506" i="1" l="1"/>
  <c r="D508" i="1"/>
  <c r="D509" i="1" l="1"/>
  <c r="E508" i="1"/>
  <c r="E509" i="1" l="1"/>
  <c r="D510" i="1"/>
  <c r="E510" i="1" l="1"/>
  <c r="D511" i="1"/>
  <c r="D513" i="1" l="1"/>
  <c r="E511" i="1"/>
  <c r="D514" i="1" l="1"/>
  <c r="E513" i="1"/>
  <c r="D515" i="1" l="1"/>
  <c r="E514" i="1"/>
  <c r="D516" i="1" l="1"/>
  <c r="E515" i="1"/>
  <c r="E516" i="1" l="1"/>
  <c r="D517" i="1"/>
  <c r="D518" i="1" l="1"/>
  <c r="E517" i="1"/>
  <c r="D519" i="1" l="1"/>
  <c r="E518" i="1"/>
  <c r="D520" i="1" l="1"/>
  <c r="E519" i="1"/>
  <c r="D522" i="1" l="1"/>
  <c r="E520" i="1"/>
  <c r="D523" i="1" l="1"/>
  <c r="E522" i="1"/>
  <c r="D524" i="1" l="1"/>
  <c r="E523" i="1"/>
  <c r="D525" i="1" l="1"/>
  <c r="E524" i="1"/>
  <c r="D526" i="1" l="1"/>
  <c r="E525" i="1"/>
  <c r="D527" i="1" l="1"/>
  <c r="E526" i="1"/>
  <c r="D528" i="1" l="1"/>
  <c r="E527" i="1"/>
  <c r="D529" i="1" l="1"/>
  <c r="E528" i="1"/>
  <c r="D530" i="1" l="1"/>
  <c r="E529" i="1"/>
  <c r="D531" i="1" l="1"/>
  <c r="E530" i="1"/>
  <c r="D532" i="1" l="1"/>
  <c r="E531" i="1"/>
  <c r="D533" i="1" l="1"/>
  <c r="E532" i="1"/>
  <c r="E533" i="1" l="1"/>
  <c r="D534" i="1"/>
  <c r="E534" i="1" l="1"/>
  <c r="D535" i="1"/>
  <c r="E535" i="1" l="1"/>
  <c r="D536" i="1"/>
  <c r="D537" i="1" l="1"/>
  <c r="E536" i="1"/>
  <c r="E537" i="1" l="1"/>
  <c r="D539" i="1"/>
  <c r="E539" i="1" l="1"/>
  <c r="D540" i="1"/>
  <c r="D541" i="1" l="1"/>
  <c r="E540" i="1"/>
  <c r="D542" i="1" l="1"/>
  <c r="E541" i="1"/>
  <c r="D545" i="1" l="1"/>
  <c r="E542" i="1"/>
  <c r="D546" i="1" l="1"/>
  <c r="E545" i="1"/>
  <c r="D547" i="1" l="1"/>
  <c r="E546" i="1"/>
  <c r="D548" i="1" l="1"/>
  <c r="E547" i="1"/>
  <c r="D549" i="1" l="1"/>
  <c r="E548" i="1"/>
  <c r="D550" i="1" l="1"/>
  <c r="E549" i="1"/>
  <c r="D551" i="1" l="1"/>
  <c r="E550" i="1"/>
  <c r="E551" i="1" l="1"/>
  <c r="D552" i="1"/>
  <c r="E552" i="1" l="1"/>
  <c r="D553" i="1"/>
  <c r="E553" i="1" l="1"/>
  <c r="D554" i="1"/>
  <c r="E554" i="1" l="1"/>
  <c r="D555" i="1"/>
  <c r="E555" i="1" l="1"/>
  <c r="D556" i="1"/>
  <c r="E556" i="1" l="1"/>
  <c r="D557" i="1"/>
  <c r="E557" i="1" l="1"/>
  <c r="D558" i="1"/>
  <c r="E558" i="1" l="1"/>
  <c r="D560" i="1"/>
  <c r="E560" i="1" l="1"/>
  <c r="D561" i="1"/>
  <c r="E561" i="1" l="1"/>
  <c r="D562" i="1"/>
  <c r="E562" i="1" l="1"/>
  <c r="D563" i="1"/>
  <c r="E563" i="1" l="1"/>
  <c r="D564" i="1"/>
  <c r="E564" i="1" l="1"/>
  <c r="D565" i="1"/>
  <c r="E565" i="1" l="1"/>
  <c r="D566" i="1"/>
  <c r="E566" i="1" l="1"/>
  <c r="D567" i="1"/>
  <c r="E567" i="1" l="1"/>
  <c r="D568" i="1"/>
  <c r="E568" i="1" l="1"/>
  <c r="D569" i="1"/>
  <c r="E569" i="1" l="1"/>
  <c r="D570" i="1"/>
  <c r="E570" i="1" l="1"/>
  <c r="D571" i="1"/>
  <c r="E571" i="1" l="1"/>
  <c r="D572" i="1"/>
  <c r="D573" i="1" l="1"/>
  <c r="E572" i="1"/>
  <c r="D574" i="1" l="1"/>
  <c r="E573" i="1"/>
  <c r="E574" i="1" l="1"/>
  <c r="D576" i="1"/>
  <c r="E576" i="1" l="1"/>
  <c r="D577" i="1"/>
  <c r="E577" i="1" l="1"/>
  <c r="D578" i="1"/>
  <c r="E578" i="1" l="1"/>
  <c r="D579" i="1"/>
  <c r="E579" i="1" l="1"/>
  <c r="D580" i="1"/>
  <c r="E580" i="1" l="1"/>
  <c r="D581" i="1"/>
  <c r="E581" i="1" l="1"/>
  <c r="D582" i="1"/>
  <c r="E582" i="1" l="1"/>
  <c r="D583" i="1"/>
  <c r="E583" i="1" l="1"/>
  <c r="D585" i="1"/>
  <c r="E585" i="1" l="1"/>
  <c r="D586" i="1"/>
  <c r="E586" i="1" l="1"/>
  <c r="D588" i="1"/>
  <c r="E588" i="1" l="1"/>
  <c r="D589" i="1"/>
  <c r="E589" i="1" l="1"/>
  <c r="D590" i="1"/>
  <c r="E590" i="1" l="1"/>
  <c r="D591" i="1"/>
  <c r="E591" i="1" l="1"/>
  <c r="D592" i="1"/>
  <c r="E592" i="1" l="1"/>
  <c r="D593" i="1"/>
  <c r="E593" i="1" l="1"/>
  <c r="D594" i="1"/>
  <c r="E594" i="1" l="1"/>
  <c r="D596" i="1"/>
  <c r="E596" i="1" l="1"/>
  <c r="D597" i="1"/>
  <c r="E597" i="1" l="1"/>
  <c r="D598" i="1"/>
  <c r="E598" i="1" l="1"/>
  <c r="D599" i="1"/>
  <c r="E599" i="1" l="1"/>
  <c r="D600" i="1"/>
  <c r="E600" i="1" l="1"/>
  <c r="D601" i="1"/>
  <c r="E601" i="1" l="1"/>
  <c r="D602" i="1"/>
  <c r="E602" i="1" l="1"/>
  <c r="D603" i="1"/>
  <c r="E603" i="1" l="1"/>
  <c r="D604" i="1"/>
  <c r="D606" i="1" l="1"/>
  <c r="E604" i="1"/>
  <c r="D607" i="1" l="1"/>
  <c r="E606" i="1"/>
  <c r="D608" i="1" l="1"/>
  <c r="E607" i="1"/>
  <c r="E608" i="1" l="1"/>
  <c r="D609" i="1"/>
  <c r="E609" i="1" l="1"/>
  <c r="D611" i="1"/>
  <c r="D612" i="1" l="1"/>
  <c r="E611" i="1"/>
  <c r="D613" i="1" l="1"/>
  <c r="E612" i="1"/>
  <c r="D614" i="1" l="1"/>
  <c r="E613" i="1"/>
  <c r="D615" i="1" l="1"/>
  <c r="E614" i="1"/>
  <c r="D616" i="1" l="1"/>
  <c r="E615" i="1"/>
  <c r="E616" i="1" l="1"/>
  <c r="D617" i="1"/>
  <c r="D618" i="1" l="1"/>
  <c r="E617" i="1"/>
  <c r="E618" i="1" l="1"/>
  <c r="D620" i="1"/>
  <c r="D621" i="1" l="1"/>
  <c r="E620" i="1"/>
  <c r="E621" i="1" l="1"/>
  <c r="D622" i="1"/>
  <c r="E622" i="1" l="1"/>
  <c r="D623" i="1"/>
  <c r="E623" i="1" l="1"/>
  <c r="D624" i="1"/>
  <c r="E624" i="1" l="1"/>
  <c r="D625" i="1"/>
  <c r="D626" i="1" l="1"/>
  <c r="E625" i="1"/>
  <c r="E626" i="1" l="1"/>
  <c r="D627" i="1"/>
  <c r="E627" i="1" l="1"/>
  <c r="D628" i="1"/>
  <c r="E628" i="1" l="1"/>
  <c r="D629" i="1"/>
  <c r="E629" i="1" l="1"/>
  <c r="D630" i="1"/>
  <c r="E630" i="1" l="1"/>
  <c r="D631" i="1"/>
  <c r="E631" i="1" l="1"/>
  <c r="D632" i="1"/>
  <c r="D633" i="1" l="1"/>
  <c r="E632" i="1"/>
  <c r="E633" i="1" l="1"/>
  <c r="D634" i="1"/>
  <c r="D635" i="1" l="1"/>
  <c r="E634" i="1"/>
  <c r="E635" i="1" l="1"/>
  <c r="D637" i="1"/>
  <c r="E637" i="1" l="1"/>
  <c r="D638" i="1"/>
  <c r="E638" i="1" l="1"/>
  <c r="D639" i="1"/>
  <c r="D640" i="1" l="1"/>
  <c r="E639" i="1"/>
  <c r="D641" i="1" l="1"/>
  <c r="E640" i="1"/>
  <c r="E641" i="1" l="1"/>
  <c r="D644" i="1"/>
  <c r="D645" i="1" l="1"/>
  <c r="E644" i="1"/>
  <c r="D646" i="1" l="1"/>
  <c r="E645" i="1"/>
  <c r="D647" i="1" l="1"/>
  <c r="E646" i="1"/>
  <c r="D648" i="1" l="1"/>
  <c r="E647" i="1"/>
  <c r="D649" i="1" l="1"/>
  <c r="E648" i="1"/>
  <c r="D650" i="1" l="1"/>
  <c r="E649" i="1"/>
  <c r="D651" i="1" l="1"/>
  <c r="E650" i="1"/>
  <c r="E651" i="1" l="1"/>
  <c r="D652" i="1"/>
  <c r="D653" i="1" l="1"/>
  <c r="E652" i="1"/>
  <c r="D654" i="1" l="1"/>
  <c r="E653" i="1"/>
  <c r="D655" i="1" l="1"/>
  <c r="E654" i="1"/>
  <c r="D656" i="1" l="1"/>
  <c r="E655" i="1"/>
  <c r="E656" i="1" l="1"/>
  <c r="D657" i="1"/>
  <c r="D659" i="1" l="1"/>
  <c r="E657" i="1"/>
  <c r="D660" i="1" l="1"/>
  <c r="E659" i="1"/>
  <c r="D661" i="1" l="1"/>
  <c r="E660" i="1"/>
  <c r="D662" i="1" l="1"/>
  <c r="E661" i="1"/>
  <c r="D663" i="1" l="1"/>
  <c r="E662" i="1"/>
  <c r="D664" i="1" l="1"/>
  <c r="E663" i="1"/>
  <c r="D665" i="1" l="1"/>
  <c r="E664" i="1"/>
  <c r="D666" i="1" l="1"/>
  <c r="E665" i="1"/>
  <c r="D667" i="1" l="1"/>
  <c r="E666" i="1"/>
  <c r="D668" i="1" l="1"/>
  <c r="E667" i="1"/>
  <c r="D669" i="1" l="1"/>
  <c r="E668" i="1"/>
  <c r="D670" i="1" l="1"/>
  <c r="E669" i="1"/>
  <c r="D671" i="1" l="1"/>
  <c r="E670" i="1"/>
  <c r="D672" i="1" l="1"/>
  <c r="E671" i="1"/>
  <c r="D673" i="1" l="1"/>
  <c r="E672" i="1"/>
  <c r="D675" i="1" l="1"/>
  <c r="E673" i="1"/>
  <c r="D676" i="1" l="1"/>
  <c r="E675" i="1"/>
  <c r="E676" i="1" l="1"/>
  <c r="D677" i="1"/>
  <c r="D678" i="1" l="1"/>
  <c r="E677" i="1"/>
  <c r="D679" i="1" l="1"/>
  <c r="E678" i="1"/>
  <c r="D680" i="1" l="1"/>
  <c r="E679" i="1"/>
  <c r="D681" i="1" l="1"/>
  <c r="E680" i="1"/>
  <c r="D682" i="1" l="1"/>
  <c r="E681" i="1"/>
  <c r="D684" i="1" l="1"/>
  <c r="E682" i="1"/>
  <c r="E684" i="1" l="1"/>
  <c r="D685" i="1"/>
  <c r="E685" i="1" l="1"/>
  <c r="D687" i="1"/>
  <c r="E687" i="1" l="1"/>
  <c r="D688" i="1"/>
  <c r="E688" i="1" l="1"/>
  <c r="D689" i="1"/>
  <c r="E689" i="1" l="1"/>
  <c r="D690" i="1"/>
  <c r="E690" i="1" l="1"/>
  <c r="D691" i="1"/>
  <c r="E691" i="1" l="1"/>
  <c r="D692" i="1"/>
  <c r="D693" i="1" l="1"/>
  <c r="E692" i="1"/>
  <c r="E693" i="1" l="1"/>
  <c r="D694" i="1"/>
  <c r="E694" i="1" l="1"/>
  <c r="D695" i="1"/>
  <c r="E695" i="1" l="1"/>
  <c r="D696" i="1"/>
  <c r="E696" i="1" l="1"/>
  <c r="D697" i="1"/>
  <c r="E697" i="1" l="1"/>
  <c r="D699" i="1"/>
  <c r="E699" i="1" l="1"/>
  <c r="D700" i="1"/>
  <c r="D701" i="1" l="1"/>
  <c r="E700" i="1"/>
  <c r="E701" i="1" l="1"/>
  <c r="D702" i="1"/>
  <c r="D703" i="1" l="1"/>
  <c r="E702" i="1"/>
  <c r="E703" i="1" l="1"/>
  <c r="D704" i="1"/>
  <c r="E704" i="1" l="1"/>
  <c r="D705" i="1"/>
  <c r="E705" i="1" l="1"/>
  <c r="D706" i="1"/>
  <c r="E706" i="1" l="1"/>
  <c r="D707" i="1"/>
  <c r="E707" i="1" l="1"/>
  <c r="D709" i="1"/>
  <c r="E709" i="1" l="1"/>
  <c r="D710" i="1"/>
  <c r="D711" i="1" l="1"/>
  <c r="E710" i="1"/>
  <c r="E711" i="1" l="1"/>
  <c r="D712" i="1"/>
  <c r="E712" i="1" l="1"/>
  <c r="D714" i="1"/>
  <c r="E714" i="1" l="1"/>
  <c r="D715" i="1"/>
  <c r="E715" i="1" l="1"/>
  <c r="D716" i="1"/>
  <c r="E716" i="1" l="1"/>
  <c r="D717" i="1"/>
  <c r="E717" i="1" l="1"/>
  <c r="D718" i="1"/>
  <c r="E718" i="1" l="1"/>
  <c r="D719" i="1"/>
  <c r="E719" i="1" l="1"/>
  <c r="D720" i="1"/>
  <c r="E720" i="1" l="1"/>
  <c r="D721" i="1"/>
  <c r="D723" i="1" l="1"/>
  <c r="E721" i="1"/>
  <c r="D724" i="1" l="1"/>
  <c r="E723" i="1"/>
  <c r="D725" i="1" l="1"/>
  <c r="E724" i="1"/>
  <c r="E725" i="1" l="1"/>
  <c r="D726" i="1"/>
  <c r="D727" i="1" l="1"/>
  <c r="E726" i="1"/>
  <c r="D728" i="1" l="1"/>
  <c r="E727" i="1"/>
  <c r="E728" i="1" l="1"/>
  <c r="D729" i="1"/>
  <c r="D730" i="1" l="1"/>
  <c r="E729" i="1"/>
  <c r="E730" i="1" l="1"/>
  <c r="D731" i="1"/>
  <c r="E731" i="1" l="1"/>
  <c r="D732" i="1"/>
  <c r="E732" i="1" l="1"/>
  <c r="D733" i="1"/>
  <c r="E733" i="1" l="1"/>
  <c r="D734" i="1"/>
  <c r="D735" i="1" l="1"/>
  <c r="E734" i="1"/>
  <c r="E735" i="1" l="1"/>
  <c r="D736" i="1"/>
  <c r="D737" i="1" l="1"/>
  <c r="E736" i="1"/>
  <c r="D738" i="1" l="1"/>
  <c r="E737" i="1"/>
  <c r="D740" i="1" l="1"/>
  <c r="E738" i="1"/>
  <c r="E740" i="1" l="1"/>
  <c r="D741" i="1"/>
  <c r="D742" i="1" l="1"/>
  <c r="E741" i="1"/>
  <c r="D743" i="1" l="1"/>
  <c r="E742" i="1"/>
  <c r="E743" i="1" l="1"/>
  <c r="D744" i="1"/>
  <c r="E744" i="1" l="1"/>
  <c r="D747" i="1"/>
  <c r="D748" i="1" l="1"/>
  <c r="E747" i="1"/>
  <c r="E748" i="1" l="1"/>
  <c r="D749" i="1"/>
  <c r="D750" i="1" l="1"/>
  <c r="E749" i="1"/>
  <c r="D751" i="1" l="1"/>
  <c r="E750" i="1"/>
  <c r="D752" i="1" l="1"/>
  <c r="E751" i="1"/>
  <c r="D753" i="1" l="1"/>
  <c r="E752" i="1"/>
  <c r="E753" i="1" l="1"/>
  <c r="D754" i="1"/>
  <c r="E754" i="1" l="1"/>
  <c r="D755" i="1"/>
  <c r="E755" i="1" l="1"/>
  <c r="D756" i="1"/>
  <c r="E756" i="1" l="1"/>
  <c r="D757" i="1"/>
  <c r="E757" i="1" l="1"/>
  <c r="D758" i="1"/>
  <c r="D759" i="1" l="1"/>
  <c r="E758" i="1"/>
  <c r="D760" i="1" l="1"/>
  <c r="E759" i="1"/>
  <c r="D762" i="1" l="1"/>
  <c r="E760" i="1"/>
  <c r="E762" i="1" l="1"/>
  <c r="D763" i="1"/>
  <c r="D764" i="1" l="1"/>
  <c r="E763" i="1"/>
  <c r="D765" i="1" l="1"/>
  <c r="E764" i="1"/>
  <c r="D766" i="1" l="1"/>
  <c r="E765" i="1"/>
  <c r="E766" i="1" l="1"/>
  <c r="D767" i="1"/>
  <c r="E767" i="1" l="1"/>
  <c r="D768" i="1"/>
  <c r="D769" i="1" l="1"/>
  <c r="E768" i="1"/>
  <c r="E769" i="1" l="1"/>
  <c r="D770" i="1"/>
  <c r="D771" i="1" l="1"/>
  <c r="E770" i="1"/>
  <c r="E771" i="1" l="1"/>
  <c r="D772" i="1"/>
  <c r="D773" i="1" l="1"/>
  <c r="E772" i="1"/>
  <c r="D774" i="1" l="1"/>
  <c r="E773" i="1"/>
  <c r="E774" i="1" l="1"/>
  <c r="D775" i="1"/>
  <c r="E775" i="1" l="1"/>
  <c r="D776" i="1"/>
  <c r="E776" i="1" l="1"/>
  <c r="D778" i="1"/>
  <c r="D779" i="1" l="1"/>
  <c r="E778" i="1"/>
  <c r="D780" i="1" l="1"/>
  <c r="E779" i="1"/>
  <c r="D781" i="1" l="1"/>
  <c r="E780" i="1"/>
  <c r="D782" i="1" l="1"/>
  <c r="E781" i="1"/>
  <c r="E782" i="1" l="1"/>
  <c r="D783" i="1"/>
  <c r="D784" i="1" l="1"/>
  <c r="E783" i="1"/>
  <c r="D785" i="1" l="1"/>
  <c r="E784" i="1"/>
  <c r="E785" i="1" l="1"/>
  <c r="D787" i="1"/>
  <c r="E787" i="1" l="1"/>
  <c r="D788" i="1"/>
  <c r="E788" i="1" l="1"/>
  <c r="D790" i="1"/>
  <c r="E790" i="1" l="1"/>
  <c r="D791" i="1"/>
  <c r="D792" i="1" l="1"/>
  <c r="E791" i="1"/>
  <c r="D793" i="1" l="1"/>
  <c r="E792" i="1"/>
  <c r="E793" i="1" l="1"/>
  <c r="D794" i="1"/>
  <c r="E794" i="1" l="1"/>
  <c r="D795" i="1"/>
  <c r="D796" i="1" l="1"/>
  <c r="E795" i="1"/>
  <c r="E796" i="1" l="1"/>
  <c r="D797" i="1"/>
  <c r="D798" i="1" l="1"/>
  <c r="E797" i="1"/>
  <c r="D799" i="1" l="1"/>
  <c r="E798" i="1"/>
  <c r="E799" i="1" l="1"/>
  <c r="D800" i="1"/>
  <c r="E800" i="1" l="1"/>
  <c r="D801" i="1"/>
  <c r="E801" i="1" l="1"/>
  <c r="D802" i="1"/>
  <c r="E802" i="1" l="1"/>
  <c r="D803" i="1"/>
  <c r="D804" i="1" l="1"/>
  <c r="E803" i="1"/>
  <c r="D805" i="1" l="1"/>
  <c r="E804" i="1"/>
  <c r="E805" i="1" l="1"/>
  <c r="D807" i="1"/>
  <c r="E807" i="1" l="1"/>
  <c r="D808" i="1"/>
  <c r="D809" i="1" l="1"/>
  <c r="E808" i="1"/>
  <c r="E809" i="1" l="1"/>
  <c r="D810" i="1"/>
  <c r="D811" i="1" l="1"/>
  <c r="E810" i="1"/>
  <c r="D812" i="1" l="1"/>
  <c r="E811" i="1"/>
  <c r="E812" i="1" l="1"/>
  <c r="D813" i="1"/>
  <c r="E813" i="1" l="1"/>
  <c r="D814" i="1"/>
  <c r="D815" i="1" l="1"/>
  <c r="E814" i="1"/>
  <c r="D817" i="1" l="1"/>
  <c r="E815" i="1"/>
  <c r="E817" i="1" l="1"/>
  <c r="D818" i="1"/>
  <c r="E818" i="1" l="1"/>
  <c r="D819" i="1"/>
  <c r="E819" i="1" l="1"/>
  <c r="D820" i="1"/>
  <c r="D822" i="1" l="1"/>
  <c r="E820" i="1"/>
  <c r="E822" i="1" l="1"/>
  <c r="D823" i="1"/>
  <c r="E823" i="1" l="1"/>
  <c r="D824" i="1"/>
  <c r="D825" i="1" l="1"/>
  <c r="E824" i="1"/>
  <c r="D826" i="1" l="1"/>
  <c r="E825" i="1"/>
  <c r="E826" i="1" l="1"/>
  <c r="D828" i="1" l="1"/>
  <c r="D831" i="1" s="1"/>
  <c r="E828" i="1" l="1"/>
  <c r="D832" i="1" l="1"/>
  <c r="E831" i="1"/>
  <c r="E832" i="1" l="1"/>
  <c r="D833" i="1"/>
  <c r="E833" i="1" l="1"/>
  <c r="D834" i="1"/>
  <c r="E834" i="1" l="1"/>
  <c r="D835" i="1"/>
  <c r="E835" i="1" l="1"/>
  <c r="D836" i="1"/>
  <c r="E836" i="1" l="1"/>
  <c r="D837" i="1"/>
  <c r="D838" i="1" l="1"/>
  <c r="E837" i="1"/>
  <c r="E838" i="1" l="1"/>
  <c r="D839" i="1"/>
  <c r="E839" i="1" l="1"/>
  <c r="D840" i="1"/>
  <c r="E840" i="1" l="1"/>
  <c r="D841" i="1"/>
  <c r="E841" i="1" l="1"/>
  <c r="D842" i="1"/>
  <c r="E842" i="1" l="1"/>
  <c r="D843" i="1"/>
  <c r="E843" i="1" l="1"/>
  <c r="D844" i="1"/>
  <c r="D845" i="1" l="1"/>
  <c r="E844" i="1"/>
  <c r="D846" i="1" l="1"/>
  <c r="E845" i="1"/>
  <c r="D848" i="1" l="1"/>
  <c r="E846" i="1"/>
  <c r="E848" i="1" l="1"/>
  <c r="D849" i="1"/>
  <c r="E849" i="1" l="1"/>
  <c r="D850" i="1"/>
  <c r="E850" i="1" l="1"/>
  <c r="D851" i="1"/>
  <c r="E851" i="1" l="1"/>
  <c r="D854" i="1"/>
  <c r="E854" i="1" l="1"/>
  <c r="D855" i="1"/>
  <c r="E855" i="1" l="1"/>
  <c r="D856" i="1"/>
  <c r="E856" i="1" l="1"/>
  <c r="D857" i="1"/>
  <c r="E857" i="1" l="1"/>
  <c r="D858" i="1"/>
  <c r="D859" i="1" l="1"/>
  <c r="E858" i="1"/>
  <c r="D860" i="1" l="1"/>
  <c r="E859" i="1"/>
  <c r="D861" i="1" l="1"/>
  <c r="E860" i="1"/>
  <c r="D862" i="1" l="1"/>
  <c r="E861" i="1"/>
  <c r="E862" i="1" l="1"/>
  <c r="D863" i="1"/>
  <c r="D864" i="1" l="1"/>
  <c r="E863" i="1"/>
  <c r="E864" i="1" l="1"/>
  <c r="D865" i="1"/>
  <c r="D866" i="1" l="1"/>
  <c r="E865" i="1"/>
  <c r="E866" i="1" l="1"/>
  <c r="D867" i="1"/>
  <c r="D869" i="1" l="1"/>
  <c r="E867" i="1"/>
  <c r="E869" i="1" l="1"/>
  <c r="D870" i="1"/>
  <c r="D871" i="1" l="1"/>
  <c r="E870" i="1"/>
  <c r="E871" i="1" l="1"/>
  <c r="D872" i="1"/>
  <c r="D873" i="1" l="1"/>
  <c r="E872" i="1"/>
  <c r="E873" i="1" l="1"/>
  <c r="D874" i="1"/>
  <c r="E874" i="1" l="1"/>
  <c r="D875" i="1"/>
  <c r="D876" i="1" l="1"/>
  <c r="E875" i="1"/>
  <c r="E876" i="1" l="1"/>
  <c r="D877" i="1"/>
  <c r="E877" i="1" l="1"/>
  <c r="D878" i="1"/>
  <c r="E878" i="1" l="1"/>
  <c r="D879" i="1"/>
  <c r="D880" i="1" l="1"/>
  <c r="E879" i="1"/>
  <c r="E880" i="1" l="1"/>
  <c r="D881" i="1"/>
  <c r="D882" i="1" l="1"/>
  <c r="E881" i="1"/>
  <c r="E882" i="1" l="1"/>
  <c r="D883" i="1"/>
  <c r="D885" i="1" l="1"/>
  <c r="E883" i="1"/>
  <c r="E885" i="1" l="1"/>
  <c r="D886" i="1"/>
  <c r="D887" i="1" l="1"/>
  <c r="E886" i="1"/>
  <c r="E887" i="1" l="1"/>
  <c r="D888" i="1"/>
  <c r="E888" i="1" l="1"/>
  <c r="D889" i="1"/>
  <c r="D890" i="1" l="1"/>
  <c r="E889" i="1"/>
  <c r="D891" i="1" l="1"/>
  <c r="E890" i="1"/>
  <c r="D892" i="1" l="1"/>
  <c r="E891" i="1"/>
  <c r="D894" i="1" l="1"/>
  <c r="E892" i="1"/>
  <c r="D895" i="1" l="1"/>
  <c r="E894" i="1"/>
  <c r="E895" i="1" l="1"/>
  <c r="D897" i="1"/>
  <c r="D898" i="1" l="1"/>
  <c r="E897" i="1"/>
  <c r="D899" i="1" l="1"/>
  <c r="E898" i="1"/>
  <c r="E899" i="1" l="1"/>
  <c r="D900" i="1"/>
  <c r="D901" i="1" l="1"/>
  <c r="E900" i="1"/>
  <c r="D902" i="1" l="1"/>
  <c r="E901" i="1"/>
  <c r="D903" i="1" l="1"/>
  <c r="E902" i="1"/>
  <c r="E903" i="1" l="1"/>
  <c r="D904" i="1"/>
  <c r="D905" i="1" l="1"/>
  <c r="E904" i="1"/>
  <c r="E905" i="1" l="1"/>
  <c r="D906" i="1"/>
  <c r="D907" i="1" l="1"/>
  <c r="E906" i="1"/>
  <c r="E907" i="1" l="1"/>
  <c r="D908" i="1"/>
  <c r="E908" i="1" l="1"/>
  <c r="D909" i="1"/>
  <c r="D910" i="1" l="1"/>
  <c r="E909" i="1"/>
  <c r="D911" i="1" l="1"/>
  <c r="E910" i="1"/>
  <c r="D912" i="1" l="1"/>
  <c r="E911" i="1"/>
  <c r="D914" i="1" l="1"/>
  <c r="E912" i="1"/>
  <c r="D915" i="1" l="1"/>
  <c r="E914" i="1"/>
  <c r="E915" i="1" l="1"/>
  <c r="D916" i="1"/>
  <c r="D917" i="1" l="1"/>
  <c r="E916" i="1"/>
  <c r="D918" i="1" l="1"/>
  <c r="E917" i="1"/>
  <c r="E918" i="1" l="1"/>
  <c r="D919" i="1"/>
  <c r="D920" i="1" l="1"/>
  <c r="E919" i="1"/>
  <c r="E920" i="1" l="1"/>
  <c r="D922" i="1"/>
  <c r="D923" i="1" l="1"/>
  <c r="E922" i="1"/>
  <c r="E923" i="1" l="1"/>
  <c r="D924" i="1"/>
  <c r="E924" i="1" l="1"/>
  <c r="D925" i="1"/>
  <c r="E925" i="1" l="1"/>
  <c r="D926" i="1"/>
  <c r="E926" i="1" l="1"/>
  <c r="D927" i="1"/>
  <c r="D928" i="1" l="1"/>
  <c r="E927" i="1"/>
  <c r="D929" i="1" l="1"/>
  <c r="E928" i="1"/>
  <c r="D930" i="1" l="1"/>
  <c r="E929" i="1"/>
  <c r="D932" i="1" l="1"/>
  <c r="E930" i="1"/>
  <c r="D933" i="1" l="1"/>
  <c r="E932" i="1"/>
  <c r="D934" i="1" l="1"/>
  <c r="E933" i="1"/>
  <c r="D935" i="1" l="1"/>
  <c r="E934" i="1"/>
  <c r="D937" i="1" l="1"/>
  <c r="E935" i="1"/>
  <c r="D938" i="1" l="1"/>
  <c r="E937" i="1"/>
  <c r="D939" i="1" l="1"/>
  <c r="E938" i="1"/>
  <c r="D940" i="1" l="1"/>
  <c r="E939" i="1"/>
  <c r="E940" i="1" l="1"/>
  <c r="D941" i="1"/>
  <c r="D942" i="1" l="1"/>
  <c r="E941" i="1"/>
  <c r="D943" i="1" l="1"/>
  <c r="E942" i="1"/>
  <c r="D944" i="1" l="1"/>
  <c r="E943" i="1"/>
  <c r="E944" i="1" l="1"/>
  <c r="D945" i="1"/>
  <c r="D946" i="1" l="1"/>
  <c r="E945" i="1"/>
  <c r="D947" i="1" l="1"/>
  <c r="E947" i="1" s="1"/>
  <c r="E949" i="1" s="1"/>
  <c r="E946" i="1"/>
</calcChain>
</file>

<file path=xl/sharedStrings.xml><?xml version="1.0" encoding="utf-8"?>
<sst xmlns="http://schemas.openxmlformats.org/spreadsheetml/2006/main" count="4355" uniqueCount="721">
  <si>
    <t>Y</t>
  </si>
  <si>
    <t>District Code</t>
  </si>
  <si>
    <t>School Code</t>
  </si>
  <si>
    <t>District Name</t>
  </si>
  <si>
    <t>School Name</t>
  </si>
  <si>
    <t>School Type</t>
  </si>
  <si>
    <t>N</t>
  </si>
  <si>
    <t>Charter School Type</t>
  </si>
  <si>
    <t>Hispanic</t>
  </si>
  <si>
    <t>Asian</t>
  </si>
  <si>
    <t>Black</t>
  </si>
  <si>
    <t>Native Hawaiian or other Pacific Islander</t>
  </si>
  <si>
    <t>White</t>
  </si>
  <si>
    <t>Content</t>
  </si>
  <si>
    <t>Form</t>
  </si>
  <si>
    <t>Teacher Last Name</t>
  </si>
  <si>
    <t>Teacher First Name</t>
  </si>
  <si>
    <t>Test Administrator Last Name</t>
  </si>
  <si>
    <t>Test Administrator First Name</t>
  </si>
  <si>
    <t>Course Name</t>
  </si>
  <si>
    <t>Sessions Completed</t>
  </si>
  <si>
    <t>Session 1 Completed</t>
  </si>
  <si>
    <t>Session 2 Completed</t>
  </si>
  <si>
    <t>Session 3 Completed</t>
  </si>
  <si>
    <t>Total MC Score</t>
  </si>
  <si>
    <t>Total CR Score</t>
  </si>
  <si>
    <t>Reportable status</t>
  </si>
  <si>
    <t>Test Valid Attempt</t>
  </si>
  <si>
    <t>Void Flag</t>
  </si>
  <si>
    <t>Eligible Flag</t>
  </si>
  <si>
    <t>Scale Score</t>
  </si>
  <si>
    <t>Career Diploma Pathway/Track</t>
  </si>
  <si>
    <t>Retest Flag</t>
  </si>
  <si>
    <t>Administration month of previous highest score</t>
  </si>
  <si>
    <t>Administration year of previous highest score</t>
  </si>
  <si>
    <t>Highest previous scale score</t>
  </si>
  <si>
    <t>History Data</t>
  </si>
  <si>
    <t>Admin Error Administration</t>
  </si>
  <si>
    <t>Test Date-Month</t>
  </si>
  <si>
    <t>Test Date-Year</t>
  </si>
  <si>
    <t>American Indian or Alaska Native</t>
  </si>
  <si>
    <t>Scholarship Student Flag</t>
  </si>
  <si>
    <t>Economically Disadvantaged Status</t>
  </si>
  <si>
    <t xml:space="preserve">Include in LDE Staff &amp; Contractors file </t>
  </si>
  <si>
    <t>Include in Researcher file</t>
  </si>
  <si>
    <t>Field Use</t>
  </si>
  <si>
    <t>Ending Location</t>
  </si>
  <si>
    <t>Length</t>
  </si>
  <si>
    <t>Field Name</t>
  </si>
  <si>
    <t>Possible Values</t>
  </si>
  <si>
    <t>Description/Comments</t>
  </si>
  <si>
    <t>05 = May
06 = June
12 = December</t>
  </si>
  <si>
    <t>DISTRICT/SCHOOL</t>
  </si>
  <si>
    <t>1 = Type 1 Charter
2 = Type 2 Charter
3 = Type 3 Charter
4 = Type 4 Charter
5 = Type 5 Charter
6 = Type 3B Charter
Blank = Not a Charter School</t>
  </si>
  <si>
    <t>Y = Admin Error Form
Blank = Non-Admin Error Form</t>
  </si>
  <si>
    <t>FILLER</t>
  </si>
  <si>
    <t>STUDENT DETAILS</t>
  </si>
  <si>
    <r>
      <t xml:space="preserve">Refer to the </t>
    </r>
    <r>
      <rPr>
        <b/>
        <u/>
        <sz val="10"/>
        <rFont val="Arial"/>
        <family val="2"/>
      </rPr>
      <t>Reporting Summarization and Delivery Table</t>
    </r>
    <r>
      <rPr>
        <sz val="10"/>
        <rFont val="Arial"/>
        <family val="2"/>
      </rPr>
      <t xml:space="preserve"> in the Common Louisiana Processing Rules - Reporting document for which assess groups full PII can be passed to LDE and which assess groups limited PII has to be passed to LDE.
Only the first 3 characters of the last name and first character of the first name will display for assess groups identified as passing limited PII to LDE.
These fields will be populated with the full values on the audit student level LDESTD file produced for LDE.</t>
    </r>
  </si>
  <si>
    <t>LASID</t>
  </si>
  <si>
    <t>Unique student identification number generated by LDE.</t>
  </si>
  <si>
    <t>01-12
Blank</t>
  </si>
  <si>
    <t>00-31</t>
  </si>
  <si>
    <r>
      <t xml:space="preserve">Month, Day, Year of student's birth
</t>
    </r>
    <r>
      <rPr>
        <sz val="10"/>
        <rFont val="Arial"/>
        <family val="2"/>
      </rPr>
      <t xml:space="preserve">Refer to the </t>
    </r>
    <r>
      <rPr>
        <b/>
        <u/>
        <sz val="10"/>
        <rFont val="Arial"/>
        <family val="2"/>
      </rPr>
      <t>Reporting Summarization and Delivery Table</t>
    </r>
    <r>
      <rPr>
        <sz val="10"/>
        <rFont val="Arial"/>
        <family val="2"/>
      </rPr>
      <t xml:space="preserve"> in the Common Louisiana Processing Rules - Reporting document for which assess groups full PII can be passed to LDE and which assess groups limited PII has to be passed to LDE.
Month and Year will be blank for assess groups identified as passing limited PII to LDE.
These fields will be populated on the audit student level LDESTD file produced for LDE</t>
    </r>
  </si>
  <si>
    <t>19&lt;YY&gt;-20&lt;YY&gt;
Blank</t>
  </si>
  <si>
    <t>0 = Regular Education
1 = Special Education
2 = Gifted or Talented</t>
  </si>
  <si>
    <t>01 = Not LEP
02 = LEP</t>
  </si>
  <si>
    <t>Y = 504
N = Not 504</t>
  </si>
  <si>
    <t>01 = Gifted 
02 = Talented
03 = Autism
04 = Deafblindness
05 = Developmental Delay
06 = Emotional Disturbance
07 = HI-Deaf
08 = HI-Hard of Hearing
09 = Mild Mental Disability
10 = Moderate Mental Disability
11 = Orthopedic Impairment
12 = Other Health Impairment
13 = Specific Learning Disability
14 = Speech or Language Impairment
15 = Traumatic Brain Injury
16 = Visual impairment
17 = Other (Mult Disabilities, Severe Mental Dis.)
Blank = student has no special education category</t>
  </si>
  <si>
    <t>Y = Hispanic or Latino
N = Not Hispanic or Latino</t>
  </si>
  <si>
    <t>Y = American Indian or Alaska Native
N = Not American Indian or Alaska Native</t>
  </si>
  <si>
    <t>Y = Asian
N = Not Asian</t>
  </si>
  <si>
    <t>Y = Black or African American
N = Not Black or African American</t>
  </si>
  <si>
    <t>Y = White
N = Not White</t>
  </si>
  <si>
    <t>Y = Native Hawaiian or Other Pacific 
        Islander
N = Not Native Hawaiian or Other 
      Pacific Islander</t>
  </si>
  <si>
    <t>Y = Homeless
N = Not Homeless</t>
  </si>
  <si>
    <t>1 = Hispanic/Latino
2 = American Indian or Alaska Native
3 = Asian
4 = Black or African American
5 = Native Hawaiian or Other Pacific
       Islander
6 = White
7 = Two or more races</t>
  </si>
  <si>
    <r>
      <t xml:space="preserve">Student's summarized ethnicity/race.
Refer to the </t>
    </r>
    <r>
      <rPr>
        <b/>
        <u/>
        <sz val="10"/>
        <rFont val="Arial"/>
        <family val="2"/>
      </rPr>
      <t>Rules to Determine Demographic Values</t>
    </r>
    <r>
      <rPr>
        <sz val="10"/>
        <rFont val="Arial"/>
        <family val="2"/>
      </rPr>
      <t xml:space="preserve"> section of the Processing Rules - Scoring document for logic to determine this value.</t>
    </r>
  </si>
  <si>
    <t>6-digit school code
3 digit district code
3 character assess group</t>
  </si>
  <si>
    <t xml:space="preserve">E = Eligible Tester
Blank </t>
  </si>
  <si>
    <t>I = Initial Tester
R = Retester
P = Previously Passed
Blank</t>
  </si>
  <si>
    <t>0-999
Blank</t>
  </si>
  <si>
    <t>Y = Valid Attempt
N = No Valid Attempt
Blank</t>
  </si>
  <si>
    <t>1= LDE Void
2 = District Void
3 = Administrative Error (AE) Void
Blank</t>
  </si>
  <si>
    <t>600-800 
Blank</t>
  </si>
  <si>
    <t>0-99
Blank</t>
  </si>
  <si>
    <t>0-100
Blank</t>
  </si>
  <si>
    <t>05 = May
06 = June
12 = December
Blank</t>
  </si>
  <si>
    <t>Note: if student achieves same scale score on two administrations, the date reported will be the latest.
Blank when no history is found for the student.</t>
  </si>
  <si>
    <t>YYYY
Blank</t>
  </si>
  <si>
    <t>600-800
Blank</t>
  </si>
  <si>
    <t>Blank when student didn't test during the current administration or when no history is found for the student.</t>
  </si>
  <si>
    <t>Blank when no history is found for the student.</t>
  </si>
  <si>
    <t>01-99
Blank</t>
  </si>
  <si>
    <t>TEST DETAILS - ENGLISH II</t>
  </si>
  <si>
    <t>TEST DETAILS - BIOLOGY</t>
  </si>
  <si>
    <t>TEST DETAILS - ENGLISH III</t>
  </si>
  <si>
    <t>P, H</t>
  </si>
  <si>
    <t>R, I, P, H</t>
  </si>
  <si>
    <t>I, P, H</t>
  </si>
  <si>
    <t>I, P</t>
  </si>
  <si>
    <t>06 = Grade 6
07 = Grade 7
08 = Grade 8
T9 = Transitional Grade 9
09 = Grade 9
10 = Grade 10
11 = Grade 11
12 = Grade 12</t>
  </si>
  <si>
    <t>Record Length:</t>
  </si>
  <si>
    <t>Y = Session Completed
N = Session Started but not completed
Blank = Session Not Started</t>
  </si>
  <si>
    <r>
      <t xml:space="preserve">District and school where student is enrolled and where the student is reported to.
Refer to the </t>
    </r>
    <r>
      <rPr>
        <b/>
        <u/>
        <sz val="10"/>
        <rFont val="Arial"/>
        <family val="2"/>
      </rPr>
      <t>Capturing Site Codes</t>
    </r>
    <r>
      <rPr>
        <sz val="10"/>
        <rFont val="Arial"/>
        <family val="2"/>
      </rPr>
      <t xml:space="preserve"> section of the Processing Rules - Scoring document for logic to determine the Reporting Site-Code value.</t>
    </r>
  </si>
  <si>
    <t>01 = LEA
02 = LAB
03 = CHA
04 = TRI
05 = NPB
06 = STA
08 = BSE
09 = OJJ
10 = MAR
12 = RES
13 = NPS
14 = RLA
15 = RNO
16 = JUV
17 = RBR</t>
  </si>
  <si>
    <t>Student Last Name</t>
  </si>
  <si>
    <t>Student First Name</t>
  </si>
  <si>
    <t>Student Middle Initial</t>
  </si>
  <si>
    <t>DOB - Day</t>
  </si>
  <si>
    <t>DOB - Month</t>
  </si>
  <si>
    <t>DOB - Year</t>
  </si>
  <si>
    <t>Reporting Grade</t>
  </si>
  <si>
    <t>Class Section</t>
  </si>
  <si>
    <t>Precoded Accommodations</t>
  </si>
  <si>
    <t>Testing Site Code</t>
  </si>
  <si>
    <t>6 digit site code
Blank</t>
  </si>
  <si>
    <t>Student Report</t>
  </si>
  <si>
    <t>School Roster</t>
  </si>
  <si>
    <t>Y = Yes
N = No</t>
  </si>
  <si>
    <t>Rescore Flag</t>
  </si>
  <si>
    <t>Assessment Achievement Level</t>
  </si>
  <si>
    <t>"N" when attempts zero items.
"Y" when at least one item is attempted
Blank when student not enrolled.</t>
  </si>
  <si>
    <t>Test Launch Flag</t>
  </si>
  <si>
    <t>EXC = Excellent
GOO = Good
FAI = Fair
NIP = Needs Improvement
Blank</t>
  </si>
  <si>
    <t>Accountability Achievement Level</t>
  </si>
  <si>
    <t>N = Not Reportable
P = Pending
R = Reportable
Blank</t>
  </si>
  <si>
    <t>Text-to-Speech</t>
  </si>
  <si>
    <t>Spanish Test</t>
  </si>
  <si>
    <t>Braille</t>
  </si>
  <si>
    <t>Accommodated Paper</t>
  </si>
  <si>
    <t>Human Read Aloud</t>
  </si>
  <si>
    <t>Communication Assistance</t>
  </si>
  <si>
    <t>Transferred Answers</t>
  </si>
  <si>
    <t>Answers Recorded</t>
  </si>
  <si>
    <t>Calculator</t>
  </si>
  <si>
    <t>Extended Time</t>
  </si>
  <si>
    <t>Individual or Small Group Administration</t>
  </si>
  <si>
    <t>As valued in eDIRECT.</t>
  </si>
  <si>
    <t>As valued on the Enroll File.
Blank for students not on the Enroll File.</t>
  </si>
  <si>
    <t>ALGEBRA I SCORING INFORMATION</t>
  </si>
  <si>
    <t>Content Standard Information</t>
  </si>
  <si>
    <t>ALGEBRA I ACCOMMODATIONS</t>
  </si>
  <si>
    <t>Total Raw Score</t>
  </si>
  <si>
    <t>Total Percent correct</t>
  </si>
  <si>
    <t>Percent Correct for Number &amp; Quantity / Statistics &amp; Probability. This is calculated by dividing the total points earned by the total points possible for the standard.
Blank when the Total Raw Score is blank.</t>
  </si>
  <si>
    <t>Percent Correct for Algebra. This is calculated by dividing the total points earned by the total points possible for the standard.
Blank when the Total Raw Score is blank.</t>
  </si>
  <si>
    <t>Total points earned for Algebra. 
Blank when the Total Raw Score is blank.</t>
  </si>
  <si>
    <t>Total points earned for Functions.
Blank when the Total Raw Score is blank.</t>
  </si>
  <si>
    <t>Percent Correct for Functions. This is calculated by dividing the total points earned by the total points possible for the standard.
Blank when the Total Raw Score is blank.</t>
  </si>
  <si>
    <t>Total points earned for Number &amp; Quantity / Statistics &amp; Probability.
Blank when the Total Raw Score is blank.</t>
  </si>
  <si>
    <t>Precode Education Classification</t>
  </si>
  <si>
    <t>Precode LEP Status</t>
  </si>
  <si>
    <t>Precode Section 504 Code</t>
  </si>
  <si>
    <t>Precode Site Code</t>
  </si>
  <si>
    <t>Course Code</t>
  </si>
  <si>
    <t>Test Administrator Number</t>
  </si>
  <si>
    <t>100-899 = School Level
900-999 = District Level
Blank</t>
  </si>
  <si>
    <t>TEST DETAILS - ALGEBRA I</t>
  </si>
  <si>
    <t>Reporting Flags</t>
  </si>
  <si>
    <t xml:space="preserve">Refer to the Accountability Codes for Testing document for valid values. </t>
  </si>
  <si>
    <t>ENGLISH II ACCOMMODATIONS</t>
  </si>
  <si>
    <t>ENGLISH II SCORING INFORMATION</t>
  </si>
  <si>
    <r>
      <t xml:space="preserve">If field value = "Y", then student will appear on the Student Report.
The Student Report flag will be set to "Y", if the student meets the selection criteria defined within the </t>
    </r>
    <r>
      <rPr>
        <b/>
        <u/>
        <sz val="10"/>
        <rFont val="Arial"/>
        <family val="2"/>
      </rPr>
      <t>Student Report</t>
    </r>
    <r>
      <rPr>
        <sz val="10"/>
        <rFont val="Arial"/>
        <family val="2"/>
      </rPr>
      <t xml:space="preserve"> section of the Processing Rules - Reporting document.</t>
    </r>
  </si>
  <si>
    <t>Algebra Raw Score</t>
  </si>
  <si>
    <t>Functions Raw Score</t>
  </si>
  <si>
    <t>Number &amp; Quantity / Statistics &amp; Probability Raw Score</t>
  </si>
  <si>
    <t>Writing and Language Conventions Raw Score</t>
  </si>
  <si>
    <t>Reading Raw Score</t>
  </si>
  <si>
    <t>Research Raw Score</t>
  </si>
  <si>
    <t>Congruence Raw Score</t>
  </si>
  <si>
    <t>Similarity, Right Triangles, &amp; Trigonometry  Raw Score</t>
  </si>
  <si>
    <t>Circles / Expressing Geometric Properties with Equations Raw Score</t>
  </si>
  <si>
    <t>Geometric Measurement &amp; Dimension / Modeling with Geometry Raw Score</t>
  </si>
  <si>
    <t>Western Expansion to Progressivism - Standard 2 - Raw Score</t>
  </si>
  <si>
    <t>Isolationism through the Great War - Standard 3 - Raw Score</t>
  </si>
  <si>
    <t>Becoming a World Power through World War II - Standard 4 - Raw Score</t>
  </si>
  <si>
    <t>Cold War Era - Standard 5 - Raw Score</t>
  </si>
  <si>
    <t>The Modern Age - Standard 6 - Raw Score</t>
  </si>
  <si>
    <t>Total Percent Correct</t>
  </si>
  <si>
    <t>Algebra Percent Correct</t>
  </si>
  <si>
    <t>Functions Percent Correct</t>
  </si>
  <si>
    <t>Number &amp; Quantity / Statistics &amp; Probability Percent Correct</t>
  </si>
  <si>
    <t>Writing and Language Conventions Percent Correct</t>
  </si>
  <si>
    <t>Reading Percent Correct</t>
  </si>
  <si>
    <t>Research Percent Correct</t>
  </si>
  <si>
    <t>Congruence Percent Correct</t>
  </si>
  <si>
    <t>Similarity, Right Triangles, &amp; Trigonometry  Percent Correct</t>
  </si>
  <si>
    <t>Circles / Expressing Geometric Properties with Equations Percent Correct</t>
  </si>
  <si>
    <t>Geometric Measurement &amp; Dimension / Modeling with Geometry Percent Correct</t>
  </si>
  <si>
    <t>Western Expansion to Progressivism - Standard 2 - Percent Correct</t>
  </si>
  <si>
    <t>Isolationism through the Great War - Standard 3 - Percent Correct</t>
  </si>
  <si>
    <t>Becoming a World Power through World War II - Standard 4 - Percent Correct</t>
  </si>
  <si>
    <t>Cold War Era - Standard 5 - Percent Correct</t>
  </si>
  <si>
    <t>The Modern Age - Standard 6 - Percent Correct</t>
  </si>
  <si>
    <t>Total points earned for Writing and Language Conventions. 
Blank when the Total Raw Score is blank.</t>
  </si>
  <si>
    <t>Percent Correct for Writing and Language Conventions. This is calculated by dividing the total points earned by the total points possible for the standard.
Blank when the Total Raw Score is blank.</t>
  </si>
  <si>
    <t>Total points earned for Reading.
Blank when the Total Raw Score is blank.</t>
  </si>
  <si>
    <t>Percent Correct for Reading. This is calculated by dividing the total points earned by the total points possible for the standard.
Blank when the Total Raw Score is blank.</t>
  </si>
  <si>
    <t>Total points earned for Research.
Blank when the Total Raw Score is blank.</t>
  </si>
  <si>
    <t>Percent Correct for Research. This is calculated by dividing the total points earned by the total points possible for the standard.
Blank when the Total Raw Score is blank.</t>
  </si>
  <si>
    <t>TEST DETAILS - GEOMETRY</t>
  </si>
  <si>
    <t>GEOMETRY ACCOMMODATIONS</t>
  </si>
  <si>
    <t>GEOMETRY SCORING INFORMATION</t>
  </si>
  <si>
    <t>Total points earned for Congruence. 
Blank when the Total Raw Score is blank.</t>
  </si>
  <si>
    <t>Percent Correct for Congruence. This is calculated by dividing the total points earned by the total points possible for the standard.
Blank when the Total Raw Score is blank.</t>
  </si>
  <si>
    <t>Total points earned for Similarity, Right Triangles, &amp; Trigonometry  points earned.
Blank when the Total Raw Score is blank.</t>
  </si>
  <si>
    <t>Percent Correct for Similarity, Right Triangles, &amp; Trigonometry  points earned. This is calculated by dividing the total points earned by the total points possible for the standard.
Blank when the Total Raw Score is blank.</t>
  </si>
  <si>
    <t>Percent Correct for Circles / Expressing Geometric Properties with Equations. This is calculated by dividing the total points earned by the total points possible for the standard.
Blank when the Total Raw Score is blank.</t>
  </si>
  <si>
    <t>Total points earned for Circles / Expressing Geometric Properties with Equations.
Blank when the Total Raw Score is blank.</t>
  </si>
  <si>
    <t>Total points earned for Geometric Measurement &amp; Dimension / Modeling with Geometry.
Blank when the Total Raw Score is blank.</t>
  </si>
  <si>
    <t>Percent Correct for Geometric Measurement &amp; Dimension / Modeling with Geometry. This is calculated by dividing the total points earned by the total points possible for the standard.
Blank when the Total Raw Score is blank.</t>
  </si>
  <si>
    <t>BIOLOGY ACCOMMODATIONS</t>
  </si>
  <si>
    <t>BIOLOGY SCORING INFORMATION</t>
  </si>
  <si>
    <t>Total points earned for Science as Inquiry. 
Blank when the Total Raw Score is blank.</t>
  </si>
  <si>
    <t>Percent Correct for Science as Inquiry. This is calculated by dividing the total points earned by the total points possible for the standard.
Blank when the Total Raw Score is blank.</t>
  </si>
  <si>
    <t>Total points earned for Life Science.
Blank when the Total Raw Score is blank.</t>
  </si>
  <si>
    <t>Percent Correct for Life Science. This is calculated by dividing the total points earned by the total points possible for the standard.
Blank when the Total Raw Score is blank.</t>
  </si>
  <si>
    <t>Percent Correct for Earth and Space Science. This is calculated by dividing the total points earned by the total points possible for the standard.
Blank when the Total Raw Score is blank.</t>
  </si>
  <si>
    <t>Total points earned for Earth and Space Science.
Blank when the Total Raw Score is blank.</t>
  </si>
  <si>
    <t>Science as Inquiry Percent Correct</t>
  </si>
  <si>
    <t>Life Science Percent Correct</t>
  </si>
  <si>
    <t>Earth and Space Science Percent Correct</t>
  </si>
  <si>
    <t>Science as Inquiry Raw Score</t>
  </si>
  <si>
    <t>Life Science Raw Score</t>
  </si>
  <si>
    <t>Earth and Space Science Raw Score</t>
  </si>
  <si>
    <t>ENGLISH III ACCOMMODATIONS</t>
  </si>
  <si>
    <t>ENGLISH III SCORING INFORMATION</t>
  </si>
  <si>
    <t>Total points earned for Western Expansion to Progressivism. 
Blank when the Total Raw Score is blank.</t>
  </si>
  <si>
    <t>Percent Correct for Western Expansion to Progressivism. This is calculated by dividing the total points earned by the total points possible for the standard.
Blank when the Total Raw Score is blank.</t>
  </si>
  <si>
    <t>Total points earned for Isolationism through the Great War.
Blank when the Total Raw Score is blank.</t>
  </si>
  <si>
    <t>Percent Correct for Isolationism through the Great War. This is calculated by dividing the total points earned by the total points possible for the standard.
Blank when the Total Raw Score is blank.</t>
  </si>
  <si>
    <t>Total points earned for Becoming a World Power through World War II.
Blank when the Total Raw Score is blank.</t>
  </si>
  <si>
    <t>Percent Correct for Becoming a World Power through World War II. This is calculated by dividing the total points earned by the total points possible for the standard.
Blank when the Total Raw Score is blank.</t>
  </si>
  <si>
    <t>Total points earned for Cold War Era.
Blank when the Total Raw Score is blank.</t>
  </si>
  <si>
    <t>Percent Correct for Cold War Era. This is calculated by dividing the total points earned by the total points possible for the standard.
Blank when the Total Raw Score is blank.</t>
  </si>
  <si>
    <t>Total points earned for The Modern Age.
Blank when the Total Raw Score is blank.</t>
  </si>
  <si>
    <t>Percent Correct for The Modern Age. This is calculated by dividing the total points earned by the total points possible for the standard.
Blank when the Total Raw Score is blank.</t>
  </si>
  <si>
    <t>R, I, P</t>
  </si>
  <si>
    <t>The numeric type for the Assess Group Code value from the School Master File for the school the student is being reported to.</t>
  </si>
  <si>
    <t>0-9 in any position</t>
  </si>
  <si>
    <t>A-Z in any position</t>
  </si>
  <si>
    <t>A-Z</t>
  </si>
  <si>
    <t>Charter type as listed in the School Master File.
Blank for 888 and 998 school types.</t>
  </si>
  <si>
    <t>DRC Unique Student ID</t>
  </si>
  <si>
    <t>Numeric value with leading zeros</t>
  </si>
  <si>
    <t>As flagged on the Enroll File. 
Blank for a manually added student.</t>
  </si>
  <si>
    <t>F = Female
M = Male</t>
  </si>
  <si>
    <t>As valued in eDIRECT.
Values are derived from the Enroll file for precoded students or as entered in eDIRECT for manually added students.</t>
  </si>
  <si>
    <t>Y = 504
N = Not 504
Blank</t>
  </si>
  <si>
    <t>01 = Not LEP
02 = LEP
Blank</t>
  </si>
  <si>
    <t>As flagged on the Enroll File. 
Blank for a manually added student or when the value is blank on the enroll file.</t>
  </si>
  <si>
    <t>0 = Regular Education
1 = Special Education
2 = Gifted or Talented
Blank</t>
  </si>
  <si>
    <t>Y = Career Diploma
N = Not Career Diploma
Blank</t>
  </si>
  <si>
    <t>As flagged on the Enroll File.
Blank for a manually added student.</t>
  </si>
  <si>
    <t>Y = Scholarship Student
N = Non-Scholarship Student</t>
  </si>
  <si>
    <t>Site code from the Enroll File. 
Blank for manually added students.</t>
  </si>
  <si>
    <t>A-Z in any position
Blank</t>
  </si>
  <si>
    <t>Y = Yes
N = No
Blank</t>
  </si>
  <si>
    <t>SEM High</t>
  </si>
  <si>
    <t>SEM Low</t>
  </si>
  <si>
    <t>Blank when Scale Score is blank.</t>
  </si>
  <si>
    <t>Y = Test Launched
N = Test Not Launched
Blank</t>
  </si>
  <si>
    <t>"Y" when student launches the test.
"N" when student does not launch the test.
Blank when student is not in a test session.</t>
  </si>
  <si>
    <t>"N" when zero items are attempted.
"Y" when at least one item is attempted.
Blank when student is not enrolled.</t>
  </si>
  <si>
    <t xml:space="preserve">Blank when the student is not voided.
"2" for all voided students in the In-Window files. </t>
  </si>
  <si>
    <r>
      <t xml:space="preserve">If field value = "Y", then student will appear on the School Roster.
The School Roster flag will be set to "Y", if the student meets the selection criteria defined within the </t>
    </r>
    <r>
      <rPr>
        <b/>
        <u/>
        <sz val="10"/>
        <rFont val="Arial"/>
        <family val="2"/>
      </rPr>
      <t>School Roster Report</t>
    </r>
    <r>
      <rPr>
        <sz val="10"/>
        <rFont val="Arial"/>
        <family val="2"/>
      </rPr>
      <t xml:space="preserve"> section of the Processing Rules - Reporting document.</t>
    </r>
  </si>
  <si>
    <r>
      <t>Keep this log intact (</t>
    </r>
    <r>
      <rPr>
        <b/>
        <sz val="8"/>
        <color indexed="10"/>
        <rFont val="Arial"/>
        <family val="2"/>
      </rPr>
      <t>even when carrying forward to a new administration</t>
    </r>
    <r>
      <rPr>
        <b/>
        <sz val="10"/>
        <color indexed="10"/>
        <rFont val="Arial"/>
        <family val="2"/>
      </rPr>
      <t xml:space="preserve">) to serve as a historical reference.  </t>
    </r>
  </si>
  <si>
    <t>Date
Revised:</t>
  </si>
  <si>
    <t xml:space="preserve">    Revision:</t>
  </si>
  <si>
    <t>Entered
By</t>
  </si>
  <si>
    <t>Mallory Johannes</t>
  </si>
  <si>
    <t>Document created for 2016-2017.</t>
  </si>
  <si>
    <t>EOC LDESTD File Layout - Final File_Assessment and Accountability Staff</t>
  </si>
  <si>
    <t>Teacher Middle Initial</t>
  </si>
  <si>
    <t>Test Administrator Middle Initial</t>
  </si>
  <si>
    <t>Native Language Word-to-Word Dictionary</t>
  </si>
  <si>
    <t>SEM Values</t>
  </si>
  <si>
    <r>
      <t xml:space="preserve">Scaled score for Algebra I.
Refer to the </t>
    </r>
    <r>
      <rPr>
        <b/>
        <u/>
        <sz val="10"/>
        <rFont val="Arial"/>
        <family val="2"/>
      </rPr>
      <t>Resulting LDESTD Values by Subject</t>
    </r>
    <r>
      <rPr>
        <sz val="10"/>
        <rFont val="Arial"/>
        <family val="2"/>
      </rPr>
      <t xml:space="preserve"> section within the EOC Processing Rules - Scoring document for the logic used to set the Raw Score value.</t>
    </r>
  </si>
  <si>
    <r>
      <t xml:space="preserve">Assessment achievement level for Algebra I.
Refer to the </t>
    </r>
    <r>
      <rPr>
        <b/>
        <u/>
        <sz val="10"/>
        <rFont val="Arial"/>
        <family val="2"/>
      </rPr>
      <t>Resulting LDESTD Values by Subject</t>
    </r>
    <r>
      <rPr>
        <sz val="10"/>
        <rFont val="Arial"/>
        <family val="2"/>
      </rPr>
      <t xml:space="preserve"> section within the EOC Processing Rules - Scoring document for the logic used to set the Assessment Achievement Level  value.</t>
    </r>
  </si>
  <si>
    <r>
      <t xml:space="preserve">Accountability achievement level for Algebra I.
Refer to the </t>
    </r>
    <r>
      <rPr>
        <b/>
        <u/>
        <sz val="10"/>
        <rFont val="Arial"/>
        <family val="2"/>
      </rPr>
      <t>Resulting LDESTD Values by Subject</t>
    </r>
    <r>
      <rPr>
        <sz val="10"/>
        <rFont val="Arial"/>
        <family val="2"/>
      </rPr>
      <t xml:space="preserve"> section within the EOC Processing Rules - Scoring document for the logic used to set the Assessment Achievement Level  value.</t>
    </r>
  </si>
  <si>
    <r>
      <t xml:space="preserve">Total raw score for English II.
Field Test items are not included in raw score totals.
Refer to the </t>
    </r>
    <r>
      <rPr>
        <b/>
        <u/>
        <sz val="10"/>
        <rFont val="Arial"/>
        <family val="2"/>
      </rPr>
      <t>Resulting LDESTD Values by Subject</t>
    </r>
    <r>
      <rPr>
        <sz val="10"/>
        <rFont val="Arial"/>
        <family val="2"/>
      </rPr>
      <t xml:space="preserve"> section within the EOC Processing Rules - Scoring document for the logic used to set the Raw Score value.</t>
    </r>
  </si>
  <si>
    <r>
      <t xml:space="preserve">Scaled score for English II.
Refer to the </t>
    </r>
    <r>
      <rPr>
        <b/>
        <u/>
        <sz val="10"/>
        <rFont val="Arial"/>
        <family val="2"/>
      </rPr>
      <t>Resulting LDESTD Values by Subject</t>
    </r>
    <r>
      <rPr>
        <sz val="10"/>
        <rFont val="Arial"/>
        <family val="2"/>
      </rPr>
      <t xml:space="preserve"> section within the EOC Processing Rules - Scoring document for the logic used to set the Scaled Score value.</t>
    </r>
  </si>
  <si>
    <r>
      <t xml:space="preserve">Assessment achievement level for English II.
Refer to the </t>
    </r>
    <r>
      <rPr>
        <b/>
        <u/>
        <sz val="10"/>
        <rFont val="Arial"/>
        <family val="2"/>
      </rPr>
      <t>Resulting LDESTD Values by Subject</t>
    </r>
    <r>
      <rPr>
        <sz val="10"/>
        <rFont val="Arial"/>
        <family val="2"/>
      </rPr>
      <t xml:space="preserve"> section within the EOC Processing Rules - Scoring document for the logic used to set the Assessment Achievement Level  value.</t>
    </r>
  </si>
  <si>
    <r>
      <t xml:space="preserve">Accountability achievement level for English II.
Refer to the </t>
    </r>
    <r>
      <rPr>
        <b/>
        <u/>
        <sz val="10"/>
        <rFont val="Arial"/>
        <family val="2"/>
      </rPr>
      <t>Resulting LDESTD Values by Subject</t>
    </r>
    <r>
      <rPr>
        <sz val="10"/>
        <rFont val="Arial"/>
        <family val="2"/>
      </rPr>
      <t xml:space="preserve"> section within the EOC Processing Rules - Scoring document for the logic used to set the Assessment Achievement Level  value.</t>
    </r>
  </si>
  <si>
    <r>
      <t xml:space="preserve">Total raw score for Geometry.
Field Test items are not included in raw score totals.
Refer to the </t>
    </r>
    <r>
      <rPr>
        <b/>
        <u/>
        <sz val="10"/>
        <rFont val="Arial"/>
        <family val="2"/>
      </rPr>
      <t>Resulting LDESTD Values by Subject</t>
    </r>
    <r>
      <rPr>
        <sz val="10"/>
        <rFont val="Arial"/>
        <family val="2"/>
      </rPr>
      <t xml:space="preserve"> section within the EOC Processing Rules - Scoring document for the logic used to set the Raw Score value.</t>
    </r>
  </si>
  <si>
    <r>
      <t xml:space="preserve">Scaled score for Geometry.
Refer to the </t>
    </r>
    <r>
      <rPr>
        <b/>
        <u/>
        <sz val="10"/>
        <rFont val="Arial"/>
        <family val="2"/>
      </rPr>
      <t>Resulting LDESTD Values by Subject</t>
    </r>
    <r>
      <rPr>
        <sz val="10"/>
        <rFont val="Arial"/>
        <family val="2"/>
      </rPr>
      <t xml:space="preserve"> section within the EOC Processing Rules - Scoring document for the logic used to set the Scaled Score value.</t>
    </r>
  </si>
  <si>
    <r>
      <t xml:space="preserve">Assessment achievement level for Geometry.
Refer to the </t>
    </r>
    <r>
      <rPr>
        <b/>
        <u/>
        <sz val="10"/>
        <rFont val="Arial"/>
        <family val="2"/>
      </rPr>
      <t>Resulting LDESTD Values by Subject</t>
    </r>
    <r>
      <rPr>
        <sz val="10"/>
        <rFont val="Arial"/>
        <family val="2"/>
      </rPr>
      <t xml:space="preserve"> section within the EOC Processing Rules - Scoring document for the logic used to set the Assessment Achievement Level  value.</t>
    </r>
  </si>
  <si>
    <r>
      <t xml:space="preserve">Accountability achievement level for Geometry.
Refer to the </t>
    </r>
    <r>
      <rPr>
        <b/>
        <u/>
        <sz val="10"/>
        <rFont val="Arial"/>
        <family val="2"/>
      </rPr>
      <t>Resulting LDESTD Values by Subject</t>
    </r>
    <r>
      <rPr>
        <sz val="10"/>
        <rFont val="Arial"/>
        <family val="2"/>
      </rPr>
      <t xml:space="preserve"> section within the EOC Processing Rules - Scoring document for the logic used to set the Assessment Achievement Level  value.</t>
    </r>
  </si>
  <si>
    <r>
      <t xml:space="preserve">Total raw score for Biology.
Field Test items are not included in raw score totals.
Refer to the </t>
    </r>
    <r>
      <rPr>
        <b/>
        <u/>
        <sz val="10"/>
        <rFont val="Arial"/>
        <family val="2"/>
      </rPr>
      <t>Resulting LDESTD Values by Subject</t>
    </r>
    <r>
      <rPr>
        <sz val="10"/>
        <rFont val="Arial"/>
        <family val="2"/>
      </rPr>
      <t xml:space="preserve"> section within the EOC Processing Rules - Scoring document for the logic used to set the Raw Score value.</t>
    </r>
  </si>
  <si>
    <r>
      <t xml:space="preserve">Scaled score for Biology.
Refer to the </t>
    </r>
    <r>
      <rPr>
        <b/>
        <u/>
        <sz val="10"/>
        <rFont val="Arial"/>
        <family val="2"/>
      </rPr>
      <t>Resulting LDESTD Values by Subject</t>
    </r>
    <r>
      <rPr>
        <sz val="10"/>
        <rFont val="Arial"/>
        <family val="2"/>
      </rPr>
      <t xml:space="preserve"> section within the EOC Processing Rules - Scoring document for the logic used to set the Scaled Score value.</t>
    </r>
  </si>
  <si>
    <r>
      <t xml:space="preserve">Assessment achievement level for Biology.
Refer to the </t>
    </r>
    <r>
      <rPr>
        <b/>
        <u/>
        <sz val="10"/>
        <rFont val="Arial"/>
        <family val="2"/>
      </rPr>
      <t>Resulting LDESTD Values by Subject</t>
    </r>
    <r>
      <rPr>
        <sz val="10"/>
        <rFont val="Arial"/>
        <family val="2"/>
      </rPr>
      <t xml:space="preserve"> section within the EOC Processing Rules - Scoring document for the logic used to set the Assessment Achievement Level  value.</t>
    </r>
  </si>
  <si>
    <r>
      <t xml:space="preserve">Accountability achievement level for Biology.
Refer to the </t>
    </r>
    <r>
      <rPr>
        <b/>
        <u/>
        <sz val="10"/>
        <rFont val="Arial"/>
        <family val="2"/>
      </rPr>
      <t>Resulting LDESTD Values by Subject</t>
    </r>
    <r>
      <rPr>
        <sz val="10"/>
        <rFont val="Arial"/>
        <family val="2"/>
      </rPr>
      <t xml:space="preserve"> section within the EOC Processing Rules - Scoring document for the logic used to set the Assessment Achievement Level  value.</t>
    </r>
  </si>
  <si>
    <r>
      <t xml:space="preserve">Total raw score for English III.
Field Test items are not included in raw score totals.
Refer to the </t>
    </r>
    <r>
      <rPr>
        <b/>
        <u/>
        <sz val="10"/>
        <rFont val="Arial"/>
        <family val="2"/>
      </rPr>
      <t>Resulting LDESTD Values by Subject</t>
    </r>
    <r>
      <rPr>
        <sz val="10"/>
        <rFont val="Arial"/>
        <family val="2"/>
      </rPr>
      <t xml:space="preserve"> section within the EOC Processing Rules - Scoring document for the logic used to set the Raw Score value.</t>
    </r>
  </si>
  <si>
    <r>
      <t xml:space="preserve">Scaled score for English III.
Refer to the </t>
    </r>
    <r>
      <rPr>
        <b/>
        <u/>
        <sz val="10"/>
        <rFont val="Arial"/>
        <family val="2"/>
      </rPr>
      <t>Resulting LDESTD Values by Subject</t>
    </r>
    <r>
      <rPr>
        <sz val="10"/>
        <rFont val="Arial"/>
        <family val="2"/>
      </rPr>
      <t xml:space="preserve"> section within the EOC Processing Rules - Scoring document for the logic used to set the Scaled Score value.</t>
    </r>
  </si>
  <si>
    <r>
      <t xml:space="preserve">Assessment achievement level for English III.
Refer to the </t>
    </r>
    <r>
      <rPr>
        <b/>
        <u/>
        <sz val="10"/>
        <rFont val="Arial"/>
        <family val="2"/>
      </rPr>
      <t>Resulting LDESTD Values by Subject</t>
    </r>
    <r>
      <rPr>
        <sz val="10"/>
        <rFont val="Arial"/>
        <family val="2"/>
      </rPr>
      <t xml:space="preserve"> section within the EOC Processing Rules - Scoring document for the logic used to set the Assessment Achievement Level  value.</t>
    </r>
  </si>
  <si>
    <r>
      <t xml:space="preserve">Accountability achievement level for English III.
Refer to the </t>
    </r>
    <r>
      <rPr>
        <b/>
        <u/>
        <sz val="10"/>
        <rFont val="Arial"/>
        <family val="2"/>
      </rPr>
      <t>Resulting LDESTD Values by Subject</t>
    </r>
    <r>
      <rPr>
        <sz val="10"/>
        <rFont val="Arial"/>
        <family val="2"/>
      </rPr>
      <t xml:space="preserve"> section within the EOC Processing Rules - Scoring document for the logic used to set the Assessment Achievement Level  value.</t>
    </r>
  </si>
  <si>
    <r>
      <t xml:space="preserve">Total raw score for U.S. History.
Field Test items are not included in raw score totals.
Refer to the </t>
    </r>
    <r>
      <rPr>
        <b/>
        <u/>
        <sz val="10"/>
        <rFont val="Arial"/>
        <family val="2"/>
      </rPr>
      <t>Resulting LDESTD Values by Subject</t>
    </r>
    <r>
      <rPr>
        <sz val="10"/>
        <rFont val="Arial"/>
        <family val="2"/>
      </rPr>
      <t xml:space="preserve"> section within the EOC Processing Rules - Scoring document for the logic used to set the Raw Score value.</t>
    </r>
  </si>
  <si>
    <r>
      <t xml:space="preserve">Assessment achievement level for U.S. History.
Refer to the </t>
    </r>
    <r>
      <rPr>
        <b/>
        <u/>
        <sz val="10"/>
        <rFont val="Arial"/>
        <family val="2"/>
      </rPr>
      <t>Resulting LDESTD Values by Subjec</t>
    </r>
    <r>
      <rPr>
        <sz val="10"/>
        <rFont val="Arial"/>
        <family val="2"/>
      </rPr>
      <t>t section within the EOC Processing Rules - Scoring document for the logic used to set the Assessment Achievement Level  value.</t>
    </r>
  </si>
  <si>
    <r>
      <t xml:space="preserve">Accountability achievement level for U.S. History.
Refer to the </t>
    </r>
    <r>
      <rPr>
        <b/>
        <u/>
        <sz val="10"/>
        <rFont val="Arial"/>
        <family val="2"/>
      </rPr>
      <t>Resulting LDESTD Values by Subject</t>
    </r>
    <r>
      <rPr>
        <sz val="10"/>
        <rFont val="Arial"/>
        <family val="2"/>
      </rPr>
      <t xml:space="preserve"> section within the EOC Processing Rules - Scoring document for the logic used to set the Assessment Achievement Level  value.</t>
    </r>
  </si>
  <si>
    <t>Student's site district reports should be rolled up/reported to.
Refer to the Common Louisiana Processing Rules - Reporting document for the rules to determine the District Reporting Code.</t>
  </si>
  <si>
    <t xml:space="preserve">1 = Economically Disadvantaged
0 = Not Economically Disadvantaged
Blank </t>
  </si>
  <si>
    <t>Y = Classified as a Migrant Student
N = Not classified as a Migrant Student</t>
  </si>
  <si>
    <t>Precode Exceptionality Category</t>
  </si>
  <si>
    <t>Values are derived from the grade in eDIRECT, or from the Enroll file. For students who updated their grade in eDIRECT, the updated grade level will be populated here.</t>
  </si>
  <si>
    <t>"Y" when school type = '13'.</t>
  </si>
  <si>
    <t>Algebra I Enroll Flag</t>
  </si>
  <si>
    <t>"Y" when the student was included in the enroll file for the subject.</t>
  </si>
  <si>
    <t>Y = Included in Enroll File 
N = Not on Enroll File</t>
  </si>
  <si>
    <t>Summarized Ethnicity Race</t>
  </si>
  <si>
    <t>District and School where student was tested for this subject.
Blank when a student is not in a test session for the subject.</t>
  </si>
  <si>
    <t>Directions in Native Language</t>
  </si>
  <si>
    <t>English II Enroll Flag</t>
  </si>
  <si>
    <t>English II CohortFlag</t>
  </si>
  <si>
    <t>Y = Included in Cohort File 
N = Not on Cohort File</t>
  </si>
  <si>
    <t>Algebra I CohortFlag</t>
  </si>
  <si>
    <t>Geometry Enroll Flag</t>
  </si>
  <si>
    <t>Biology Enroll Flag</t>
  </si>
  <si>
    <t>English III Enroll Flag</t>
  </si>
  <si>
    <t>U.S. History Enroll Flag</t>
  </si>
  <si>
    <t>Switched the Test Date-Year and Test Date-Month fields so the Year comes before the Month.</t>
  </si>
  <si>
    <t>Added a reference to the Common Louisiana Processing Rules - Reporting document for the District Reporting Code.</t>
  </si>
  <si>
    <t>Switched the DOB-Month and DOB-Day fields so the Month comes before the Day.</t>
  </si>
  <si>
    <t>Added the rules for when the Scholarship Student Flag is "Y" to the Description/Comments column.</t>
  </si>
  <si>
    <t>Updated the length of the Teacher Last Name, Teacher First Name, Test Administrator Last Name, Test Administrator First Name for each subject to match the length from the enroll file and the upload files.</t>
  </si>
  <si>
    <t>Added a &lt;Subject&gt; Enroll Flag for each subject. This will be "Y" when the student is on the enroll file for the subject.</t>
  </si>
  <si>
    <t>Added an Algebra I and English II Cohort Flag. This will be "Y" when a student is on the cohort file for the subject.</t>
  </si>
  <si>
    <t>Added the Directions in Native Languange accommodation to the precode and eDirect accommodation sections for each subject. This accommodation was previously missing.</t>
  </si>
  <si>
    <t>Switched the Highest Previous History-Year and Highest Previous History-Month fields for each subject so the Year comes before the Month.</t>
  </si>
  <si>
    <r>
      <t xml:space="preserve">"E" when a student was put into a test session or was in the enrolle file for the subject.
Refer to the </t>
    </r>
    <r>
      <rPr>
        <b/>
        <u/>
        <sz val="10"/>
        <rFont val="Arial"/>
        <family val="2"/>
      </rPr>
      <t>Eligible Flag By Subject</t>
    </r>
    <r>
      <rPr>
        <sz val="10"/>
        <rFont val="Arial"/>
        <family val="2"/>
      </rPr>
      <t xml:space="preserve"> section of the Processing Rules - Scoring document for the logic to set this field.</t>
    </r>
  </si>
  <si>
    <t>Highest Previous Assessment Achievement Level</t>
  </si>
  <si>
    <t>E = Excellent
G = Good
F = Fair
NI = Needs Improvement
Blank</t>
  </si>
  <si>
    <t>Clarified the Session Completed business rules to note that Y, N, and Blank are valid in window, but Y and Blank are the only valid values in files produced after the testing window is closed.</t>
  </si>
  <si>
    <t>Clarified the Content business rules to note that this will be set for all students that are in a test session or were in the enroll file for the subject.</t>
  </si>
  <si>
    <t>Updated the Assessment Achievement Levels to be E, G, F, and NI instead of the 3 character values.</t>
  </si>
  <si>
    <t>Updated the business rules for the Retest Flag to note that this field will be set for all students in a test session, on the enroll file, or on the cohort file for a subject. Also updated the achievement levels to be E, G, F, and NI.</t>
  </si>
  <si>
    <t>Updated the Eligible Flag logic and added a reference to the Eligible Flag By Subject section of the processing rules.</t>
  </si>
  <si>
    <t>Updated the Highest Previous Achievement Level Values to be E, G, F, and NI.</t>
  </si>
  <si>
    <t>Added the Subject Name to the Accountability Code Field Names.</t>
  </si>
  <si>
    <t>A-Z, 0-9, - in each position
Blank</t>
  </si>
  <si>
    <t>Added "-" as a possible value for the Class Section</t>
  </si>
  <si>
    <t>Updated the business rules for the cohort flag. Field will be "Y" when the student was on the cohort file.</t>
  </si>
  <si>
    <t>Removed the rules for the Retest Flag and left the reference to the Processing Rules to avoid confusion.</t>
  </si>
  <si>
    <t>Updated the Class Roster Flag to be a Test Session / Class Roster Flag. It will be set to "Y" when a student is in a Test Session for the subject.</t>
  </si>
  <si>
    <t>Updated any demographic column name that contained "eDIRECT" to replace "eDIRECT" with "Reporting".</t>
  </si>
  <si>
    <t xml:space="preserve">Updated the Include in Staff and Contractor and Reseacher fields to be "Y" for the Reporting Directions Read Aloud in Native Language. </t>
  </si>
  <si>
    <t>LDOE Sign-off for EOC Winter 2016.</t>
  </si>
  <si>
    <t>Meiqin Zhang</t>
  </si>
  <si>
    <t>Unique number generated at the time the student record is converted into the DRC Student File.  (Starts over each administration.)
Blank for In-window files.</t>
  </si>
  <si>
    <t>Updated the business rules for a number of fields to clarify that they should be populated for any student that is in a test session or is on the enroll file.</t>
  </si>
  <si>
    <r>
      <t>District Reporting</t>
    </r>
    <r>
      <rPr>
        <sz val="10"/>
        <rFont val="Arial"/>
        <family val="2"/>
      </rPr>
      <t xml:space="preserve"> Rolled Up</t>
    </r>
    <r>
      <rPr>
        <sz val="10"/>
        <color rgb="FF000000"/>
        <rFont val="Arial"/>
        <family val="2"/>
      </rPr>
      <t xml:space="preserve"> Code</t>
    </r>
  </si>
  <si>
    <t>Precode Grade</t>
  </si>
  <si>
    <t>07 = Grade 7
08 = Grade 8
T9 = Transitional Grade 9
09 = Grade 9
10 = Grade 10
11 = Grade 11
12 = Grade 12</t>
  </si>
  <si>
    <r>
      <rPr>
        <sz val="10"/>
        <rFont val="Arial"/>
        <family val="2"/>
      </rPr>
      <t>Reporting G</t>
    </r>
    <r>
      <rPr>
        <sz val="10"/>
        <color rgb="FF000000"/>
        <rFont val="Arial"/>
        <family val="2"/>
      </rPr>
      <t>ender</t>
    </r>
  </si>
  <si>
    <t>Reporting Migrant Status</t>
  </si>
  <si>
    <t>Reporting Education Classification</t>
  </si>
  <si>
    <t>Reporting LEP Status</t>
  </si>
  <si>
    <t>Reporting Section 504 Code</t>
  </si>
  <si>
    <t>Reporting Exceptionality Category</t>
  </si>
  <si>
    <t>Reporting Homeless (McKinney-Vento) Flag</t>
  </si>
  <si>
    <t>As valued in eDIRECT. 
Blank when a student is not in a test session and was not in the enroll file for the subject or if the value is blank in eDIRECT.</t>
  </si>
  <si>
    <r>
      <t xml:space="preserve">Refer to the </t>
    </r>
    <r>
      <rPr>
        <b/>
        <u/>
        <sz val="10"/>
        <rFont val="Arial"/>
        <family val="2"/>
      </rPr>
      <t>Course Values</t>
    </r>
    <r>
      <rPr>
        <sz val="10"/>
        <rFont val="Arial"/>
        <family val="2"/>
      </rPr>
      <t xml:space="preserve"> section of the Processing Rules - Scoring document for course codes applicable to Algebra I.
Blank when a student is not in a test session and was not in the enroll file for the subject or if the value is blank in eDIRECT.</t>
    </r>
  </si>
  <si>
    <r>
      <t xml:space="preserve">Refer to the </t>
    </r>
    <r>
      <rPr>
        <b/>
        <u/>
        <sz val="10"/>
        <rFont val="Arial"/>
        <family val="2"/>
      </rPr>
      <t>Course Values</t>
    </r>
    <r>
      <rPr>
        <sz val="10"/>
        <rFont val="Arial"/>
        <family val="2"/>
      </rPr>
      <t xml:space="preserve"> section of the Processing Rules - Scoring document for course names applicable to Algebra I.
Blank when a student is not in a test session and was not in the enroll file for the subject or if the value is blank in eDIRECT.</t>
    </r>
  </si>
  <si>
    <t>Reporting Accommodations</t>
  </si>
  <si>
    <t>Accountability Code - Algebra I</t>
  </si>
  <si>
    <t>Testing Flags - Algebra I</t>
  </si>
  <si>
    <t>Blank when the student is not voided.</t>
  </si>
  <si>
    <t>"N" when zero items are attempted.
"Y" when at least one item is attempted.
Blank for students not in a test session.</t>
  </si>
  <si>
    <r>
      <t xml:space="preserve">Refer to the </t>
    </r>
    <r>
      <rPr>
        <b/>
        <u/>
        <sz val="10"/>
        <rFont val="Arial"/>
        <family val="2"/>
      </rPr>
      <t>Highest History and Retester Flag By Subject</t>
    </r>
    <r>
      <rPr>
        <sz val="10"/>
        <rFont val="Arial"/>
        <family val="2"/>
      </rPr>
      <t xml:space="preserve"> section of the Processing Rules - Scoring document for the logic used to set this field.
Blank for students who are not in a test session and are not in the enroll file or cohort file for the subject. </t>
    </r>
  </si>
  <si>
    <t>Test Session / Class Roster Flag</t>
  </si>
  <si>
    <r>
      <t xml:space="preserve">"Y" when a student is in a test session for the subject.
If field value = "Y", then student will appear on the Class Roster.
The Class Roster flag will be set to "Y", if the student meets the selection criteria defined within the </t>
    </r>
    <r>
      <rPr>
        <b/>
        <u/>
        <sz val="10"/>
        <rFont val="Arial"/>
        <family val="2"/>
      </rPr>
      <t>Class Roster Report</t>
    </r>
    <r>
      <rPr>
        <sz val="10"/>
        <rFont val="Arial"/>
        <family val="2"/>
      </rPr>
      <t xml:space="preserve"> section of the Processing Rules - Reporting document.</t>
    </r>
  </si>
  <si>
    <t>"Y" when the student was included in the cohort file for the subject.</t>
  </si>
  <si>
    <t>Accountability Code - English II</t>
  </si>
  <si>
    <t>Testing Flags - English II</t>
  </si>
  <si>
    <r>
      <t>Reporting</t>
    </r>
    <r>
      <rPr>
        <b/>
        <sz val="10"/>
        <color rgb="FFFF0000"/>
        <rFont val="Arial"/>
        <family val="2"/>
      </rPr>
      <t xml:space="preserve"> </t>
    </r>
    <r>
      <rPr>
        <b/>
        <sz val="10"/>
        <color rgb="FF0000FF"/>
        <rFont val="Arial"/>
        <family val="2"/>
      </rPr>
      <t>Accommodations</t>
    </r>
  </si>
  <si>
    <t>Testing Flags - Geometry</t>
  </si>
  <si>
    <t>Testing Flags - Biology</t>
  </si>
  <si>
    <t>Testing Flags - English III</t>
  </si>
  <si>
    <t>Accountability Code - U.S. History</t>
  </si>
  <si>
    <t>Accountability Code - English III</t>
  </si>
  <si>
    <r>
      <t xml:space="preserve">Refer to the </t>
    </r>
    <r>
      <rPr>
        <b/>
        <u/>
        <sz val="10"/>
        <rFont val="Arial"/>
        <family val="2"/>
      </rPr>
      <t>Highest History and Retester Flag By Subject</t>
    </r>
    <r>
      <rPr>
        <sz val="10"/>
        <rFont val="Arial"/>
        <family val="2"/>
      </rPr>
      <t xml:space="preserve"> section of the Processing Rules - Scoring document for the logic used to set this field.
Blank for students who </t>
    </r>
    <r>
      <rPr>
        <sz val="10"/>
        <rFont val="Arial"/>
        <family val="2"/>
      </rPr>
      <t xml:space="preserve">are not in a test session and are not in the enroll file or cohort file for the subject. </t>
    </r>
  </si>
  <si>
    <t>Accountability Code - Biology</t>
  </si>
  <si>
    <t>Accountability Code - Geometry</t>
  </si>
  <si>
    <t>Created for Spring 2017</t>
  </si>
  <si>
    <t>Jenny Amundson</t>
  </si>
  <si>
    <t>Added student full first and last name to the end of the file</t>
  </si>
  <si>
    <t>Full Student First Name</t>
  </si>
  <si>
    <t>Full Student Last Name</t>
  </si>
  <si>
    <t>Changed Form to use form letter instead of form number</t>
  </si>
  <si>
    <t>Changed Spanish Human Read Aloud to Spanish Text to Speech</t>
  </si>
  <si>
    <t>Added "P" as possible value for Rescore Flags</t>
  </si>
  <si>
    <r>
      <t xml:space="preserve">This is the RAW name provided in the LAP file from eScholar
</t>
    </r>
    <r>
      <rPr>
        <b/>
        <u/>
        <sz val="10"/>
        <rFont val="Arial"/>
        <family val="2"/>
      </rPr>
      <t>For files delivered to LDOE</t>
    </r>
    <r>
      <rPr>
        <sz val="10"/>
        <rFont val="Arial"/>
        <family val="2"/>
      </rPr>
      <t xml:space="preserve">
Refer to the Reporting Summarization and Delivery Table in the Common Louisiana Processing Rules - Reporting document for which assess groups full PII can be passed to LDE and which assess groups limited PII has to be passed to LDE.
Only the first 3 characters of the last name and first character of the first name will display for assess groups identified as passing limited PII to LDE.
These fields will be populated with the full values on the audit student level LDESTD file produced for LDE.
</t>
    </r>
    <r>
      <rPr>
        <b/>
        <u/>
        <sz val="10"/>
        <rFont val="Arial"/>
        <family val="2"/>
      </rPr>
      <t>For files delivered to eScholar</t>
    </r>
    <r>
      <rPr>
        <sz val="10"/>
        <rFont val="Arial"/>
        <family val="2"/>
      </rPr>
      <t xml:space="preserve">
These fields will be populated with the full values on the file produced for eScholar.</t>
    </r>
  </si>
  <si>
    <t>Rollup to State</t>
  </si>
  <si>
    <t>Student's scores were summarized in the State totals.
As valued on the Master File.</t>
  </si>
  <si>
    <t>R, I, P, H, C</t>
  </si>
  <si>
    <t>I, P, H, C</t>
  </si>
  <si>
    <t>As valued in eDIRECT.
Spanish Test and Calculator are not applicable to English II and will always be "N".</t>
  </si>
  <si>
    <t>As valued in eDIRECT.
Spanish Test and Calculator are not applicable to Biology and will always be "N".</t>
  </si>
  <si>
    <t>As valued in eDIRECT.
Spanish Test and Calculator are not applicable to English III and will always be "N".</t>
  </si>
  <si>
    <t>As valued in eDIRECT.
Spanish Test and Calculator are not applicable to U.S. History and will always be "N".</t>
  </si>
  <si>
    <t>Session 0 Completed</t>
  </si>
  <si>
    <t>Session 0 will be blank when the form does not have a session 0 or when the form has a session 0 and the session has not been started.</t>
  </si>
  <si>
    <t>Field Test Item Responses</t>
  </si>
  <si>
    <t>Updated the Content fields to be 5 positions to add NFT and AE to the value. The Admin Error field was moved up and the FILLER field above the Admin Error was reduced by 3 bytes.</t>
  </si>
  <si>
    <t>Split the Response String fields into an Operational String and a Field Test String.</t>
  </si>
  <si>
    <t>A-Z, 1-9 in any position
Blank</t>
  </si>
  <si>
    <r>
      <t xml:space="preserve">Refer to the </t>
    </r>
    <r>
      <rPr>
        <b/>
        <u/>
        <sz val="10"/>
        <rFont val="Arial"/>
        <family val="2"/>
      </rPr>
      <t>EOC Processing Rules - Scoring</t>
    </r>
    <r>
      <rPr>
        <sz val="10"/>
        <rFont val="Arial"/>
        <family val="2"/>
      </rPr>
      <t xml:space="preserve"> document in section 2.6.2.2 for the Form letters
Blank when a student is not in a test session for the subject.</t>
    </r>
  </si>
  <si>
    <t>Spanish Text to Speech</t>
  </si>
  <si>
    <t>Operational Item Responses</t>
  </si>
  <si>
    <t>R = Rescore Complete
P = Rescore in Progress
Blank = No Rescore</t>
  </si>
  <si>
    <r>
      <t xml:space="preserve">Refer to the </t>
    </r>
    <r>
      <rPr>
        <b/>
        <u/>
        <sz val="10"/>
        <rFont val="Arial"/>
        <family val="2"/>
      </rPr>
      <t>Rescore Flag by Subject</t>
    </r>
    <r>
      <rPr>
        <sz val="10"/>
        <rFont val="Arial"/>
        <family val="2"/>
      </rPr>
      <t xml:space="preserve"> section within the EOC Processing Rules - Scoring document for the logic to set this field.</t>
    </r>
  </si>
  <si>
    <r>
      <t xml:space="preserve">Blank for students not in a test session.
Refer to the </t>
    </r>
    <r>
      <rPr>
        <b/>
        <u/>
        <sz val="10"/>
        <rFont val="Arial"/>
        <family val="2"/>
      </rPr>
      <t>Reportable Status by Subject</t>
    </r>
    <r>
      <rPr>
        <sz val="10"/>
        <rFont val="Arial"/>
        <family val="2"/>
      </rPr>
      <t xml:space="preserve"> section within the EOC Processing Rules - Scoring document for the logic to set these values.</t>
    </r>
  </si>
  <si>
    <r>
      <t xml:space="preserve">As valued in eDIRECT.
</t>
    </r>
    <r>
      <rPr>
        <b/>
        <sz val="10"/>
        <rFont val="Arial"/>
        <family val="2"/>
      </rPr>
      <t xml:space="preserve">Note: </t>
    </r>
    <r>
      <rPr>
        <sz val="10"/>
        <rFont val="Arial"/>
        <family val="2"/>
      </rPr>
      <t>Students using the Spanish TTS accommodation will have a "Y" for Text-to-Speech and a "Y" for Spanish Test.</t>
    </r>
  </si>
  <si>
    <r>
      <t xml:space="preserve">Refer to the </t>
    </r>
    <r>
      <rPr>
        <b/>
        <u/>
        <sz val="10"/>
        <rFont val="Arial"/>
        <family val="2"/>
      </rPr>
      <t>EOC Processing Rules - Scoring</t>
    </r>
    <r>
      <rPr>
        <sz val="10"/>
        <rFont val="Arial"/>
        <family val="2"/>
      </rPr>
      <t xml:space="preserve"> document in section 2.6.2.2 for the Form letters
Blank when a student is not in a test session for the subject..</t>
    </r>
  </si>
  <si>
    <t>EOC Fall 2017</t>
  </si>
  <si>
    <t>Evelyn Ballen</t>
  </si>
  <si>
    <t>TEST DETAILS - ENGLISH I</t>
  </si>
  <si>
    <t>English I Enroll Flag</t>
  </si>
  <si>
    <t>English I ACCOMMODATIONS</t>
  </si>
  <si>
    <t>As valued in eDIRECT.
Spanish Test and Calculator are not applicable to English I and will always be "N".</t>
  </si>
  <si>
    <t>English I SCORING INFORMATION</t>
  </si>
  <si>
    <t>Total raw score for English I.
Field Test items are not included in raw score totals.
Refer to the Resulting LDESTD Values by Subject section within the EOC Processing Rules - Scoring document for the logic used to set the Raw Score value.</t>
  </si>
  <si>
    <t>Scaled score for English I.
Refer to the Resulting LDESTD Values by Subject section within the EOC Processing Rules - Scoring document for the logic used to set the Scaled Score value.</t>
  </si>
  <si>
    <t>Assessment achievement level for English I.
Refer to the Resulting LDESTD Values by Subject section within the EOC Processing Rules - Scoring document for the logic used to set the Assessment Achievement Level  value.</t>
  </si>
  <si>
    <t>Accountability achievement level for English I.
Refer to the Resulting LDESTD Values by Subject section within the EOC Processing Rules - Scoring document for the logic used to set the Assessment Achievement Level  value.</t>
  </si>
  <si>
    <t>Testing Flags - English I</t>
  </si>
  <si>
    <t>Accountability Code - English I</t>
  </si>
  <si>
    <t>Added fields for English I (positions 4317 - 4993)</t>
  </si>
  <si>
    <t>Document created for Fall 2017.</t>
  </si>
  <si>
    <t xml:space="preserve">Added new Possible Values (UNS, APP, BAS, MAS ADV) to all occurences of Assessment Achievement Level fields to match LEAP_FileLaout Assessment_Accountability </t>
  </si>
  <si>
    <t xml:space="preserve">Changed field Length from 2 to 3 for all occurences of Assessment Achievement Level fields to accommodate new Possible Values (UNS, APP, BAS, MAS ADV) </t>
  </si>
  <si>
    <t xml:space="preserve">Updated all occurences of Filler fields below Accountability Achievement Level field to be 14 bytes to counterbalance the length increase (1 byte) of the Assessment Achievement Level field </t>
  </si>
  <si>
    <t>Format: "YYYY-MM-DD HH:MM:SS"</t>
  </si>
  <si>
    <t>Date the file was generated</t>
  </si>
  <si>
    <t>Date and Time Stamp</t>
  </si>
  <si>
    <t>Added Date and Time Stamp field (position 5029 - 5047 )</t>
  </si>
  <si>
    <t>Test Administrator associated with the student's test session.
Blank when a student is not in a test session for the subject.
Test Administrator Middle Initial will be blank because this is not data that DRC captures to report.</t>
  </si>
  <si>
    <t xml:space="preserve">Added Description/Comments for all occurrences of "Administrator Middle Initial" field (starting porsitions 385, 1003, 1581, 2363, 3040) </t>
  </si>
  <si>
    <t xml:space="preserve">Operational Item Response String.
When a constructed response item is scored on more than one dimension, there will be one position for each dimension containing the number of points assigned to each dimension within the item response string.
An MC item will be a '-' if the session is submitted but the item is unattempted. It will be blank if the session is not submitted.  </t>
  </si>
  <si>
    <t xml:space="preserve">Field Test Item Response String.
When a constructed response item is scored on more than one dimension, there will be one position for each dimension containing the number of points assigned to each dimension within the item response string.
An MC item will be a '-' if the session is submitted but the item is unattempted. It will be blank if the session is not submitted. </t>
  </si>
  <si>
    <t>Updated Description/Comments for all "Operational Item Responses" and "Field  Item Responses" fields</t>
  </si>
  <si>
    <t>Updated Possible Values for "Course Name" within all applicable subjects</t>
  </si>
  <si>
    <t>Major Content Raw Score</t>
  </si>
  <si>
    <t>Major Content Rating</t>
  </si>
  <si>
    <t>1 = Weak Performance
2 = Moderate Performance
3 = Strong Performance
Blank</t>
  </si>
  <si>
    <t>Major Content Percent Correct</t>
  </si>
  <si>
    <t>Additional &amp; Supporting Content Raw Score</t>
  </si>
  <si>
    <t>Additional &amp; Supporting Content Rating</t>
  </si>
  <si>
    <t>Additional &amp; Supporting Content Percent Correct</t>
  </si>
  <si>
    <t>Expressing Mathematical Reasoning Raw Score</t>
  </si>
  <si>
    <t>Expressing Mathematical Reasoning Rating</t>
  </si>
  <si>
    <t>Expressing Mathematical Reasoning Percent Correct</t>
  </si>
  <si>
    <t>Modeling &amp; Application Raw Score</t>
  </si>
  <si>
    <t>Modeling &amp; Application Rating</t>
  </si>
  <si>
    <t>Modeling &amp; Application Percent Correct</t>
  </si>
  <si>
    <t>Subclaim Scoring Information</t>
  </si>
  <si>
    <t>Reading Literary Text Raw Score</t>
  </si>
  <si>
    <t>Reading Literary Text Rating</t>
  </si>
  <si>
    <t>Reading Literary Text Percent Correct</t>
  </si>
  <si>
    <t>Reading Informational Text Raw Score</t>
  </si>
  <si>
    <t>Reading Informational Text Rating</t>
  </si>
  <si>
    <t>Reading Informational Text Percent Correct</t>
  </si>
  <si>
    <t>Reading Vocabulary Raw Score</t>
  </si>
  <si>
    <t>Reading Vocabulary Rating</t>
  </si>
  <si>
    <t>Reading Vocabulary Percent Correct</t>
  </si>
  <si>
    <t>Written Expression Raw Score</t>
  </si>
  <si>
    <t>Written Expression Rating</t>
  </si>
  <si>
    <t>Written Expression Percent Correct</t>
  </si>
  <si>
    <t>Knowledge &amp; Use of Language Conventions Raw Score</t>
  </si>
  <si>
    <t>Knowledge &amp; Use of Language Conventions Rating</t>
  </si>
  <si>
    <t>Knowledge &amp; Use of Language Conventions Percent Correct</t>
  </si>
  <si>
    <t>Claim Scoring Information</t>
  </si>
  <si>
    <t xml:space="preserve">Reading Rating </t>
  </si>
  <si>
    <t>Writing Raw Score</t>
  </si>
  <si>
    <t>Writing Rating</t>
  </si>
  <si>
    <t>Writing Percent Correct</t>
  </si>
  <si>
    <t>Replaced Content Standard Information section with Subclaim Scoring Information for Algebra I and Geometry.
Replaced Content Standard Information section with Subclaim Scoring Information and Claim Scoring Information for English I and English II.</t>
  </si>
  <si>
    <t>English I
English I NOCCA Integrated
LASMSA Intro Write and Lit
Not Enrolled in Course
Blank</t>
  </si>
  <si>
    <t>120331
120411
120521</t>
  </si>
  <si>
    <r>
      <t xml:space="preserve">Test Administrator associated with the student's test session.
Blank when a student is not in a test session for the subject.
</t>
    </r>
    <r>
      <rPr>
        <sz val="10"/>
        <color rgb="FFFF0000"/>
        <rFont val="Arial"/>
        <family val="2"/>
      </rPr>
      <t xml:space="preserve">Test Administrator Middle Initial will be blank because this is not data that DRC captures to report </t>
    </r>
    <r>
      <rPr>
        <sz val="10"/>
        <rFont val="Arial"/>
        <family val="2"/>
      </rPr>
      <t/>
    </r>
  </si>
  <si>
    <r>
      <t xml:space="preserve">160321
160338
160380
160340
160331
</t>
    </r>
    <r>
      <rPr>
        <sz val="10"/>
        <color rgb="FFFF0000"/>
        <rFont val="Arial"/>
        <family val="2"/>
      </rPr>
      <t>160362</t>
    </r>
    <r>
      <rPr>
        <sz val="10"/>
        <color rgb="FF000000"/>
        <rFont val="Arial"/>
        <family val="2"/>
      </rPr>
      <t xml:space="preserve">
Blank</t>
    </r>
  </si>
  <si>
    <r>
      <t xml:space="preserve">Algebra I
Algebra I - Part 2
Algebra I - Middle School
Integrated Mathematics II
Applied Algebra
</t>
    </r>
    <r>
      <rPr>
        <sz val="10"/>
        <color rgb="FFFF0000"/>
        <rFont val="Arial"/>
        <family val="2"/>
      </rPr>
      <t>NOCCA Integrated Math II</t>
    </r>
    <r>
      <rPr>
        <sz val="10"/>
        <color rgb="FF000000"/>
        <rFont val="Arial"/>
        <family val="2"/>
      </rPr>
      <t xml:space="preserve">  </t>
    </r>
    <r>
      <rPr>
        <sz val="10"/>
        <color rgb="FF000000"/>
        <rFont val="Arial"/>
        <family val="2"/>
      </rPr>
      <t xml:space="preserve">
Not Enrolled in Course
Blank</t>
    </r>
  </si>
  <si>
    <r>
      <t xml:space="preserve">Operational Item Response String.
When a constructed response item is scored on more than one dimension, there will be one position for each dimension containing the number of points assigned to each dimension within the item response string.
</t>
    </r>
    <r>
      <rPr>
        <sz val="10"/>
        <color rgb="FFFF0000"/>
        <rFont val="Arial"/>
        <family val="2"/>
      </rPr>
      <t>An MC item will be a '-' if the session is submitted but the item is unattempted. It will be blank if the session is not submitted</t>
    </r>
    <r>
      <rPr>
        <sz val="10"/>
        <color theme="1"/>
        <rFont val="Arial"/>
        <family val="2"/>
      </rPr>
      <t>.</t>
    </r>
    <r>
      <rPr>
        <sz val="10"/>
        <rFont val="Arial"/>
        <family val="2"/>
      </rPr>
      <t xml:space="preserve"> </t>
    </r>
    <r>
      <rPr>
        <sz val="10"/>
        <rFont val="Arial"/>
        <family val="2"/>
      </rPr>
      <t xml:space="preserve">
</t>
    </r>
  </si>
  <si>
    <r>
      <t xml:space="preserve">Field Test Item Response String.
When a constructed response item is scored on more than one dimension, there will be one position for each dimension containing the number of points assigned to each dimension within the item response string.
</t>
    </r>
    <r>
      <rPr>
        <sz val="10"/>
        <color rgb="FFFF0000"/>
        <rFont val="Arial"/>
        <family val="2"/>
      </rPr>
      <t xml:space="preserve">
An MC item will be a '-' if the session is submitted but the item is unattempted. It will be blank if the session is not submitted.</t>
    </r>
    <r>
      <rPr>
        <sz val="10"/>
        <rFont val="Arial"/>
        <family val="2"/>
      </rPr>
      <t xml:space="preserve">  
</t>
    </r>
  </si>
  <si>
    <r>
      <t xml:space="preserve">120332
</t>
    </r>
    <r>
      <rPr>
        <sz val="10"/>
        <color rgb="FFFF0000"/>
        <rFont val="Arial"/>
        <family val="2"/>
      </rPr>
      <t>120412</t>
    </r>
    <r>
      <rPr>
        <sz val="10"/>
        <color rgb="FF000000"/>
        <rFont val="Arial"/>
        <family val="2"/>
      </rPr>
      <t xml:space="preserve"> </t>
    </r>
    <r>
      <rPr>
        <sz val="10"/>
        <color rgb="FF000000"/>
        <rFont val="Arial"/>
        <family val="2"/>
      </rPr>
      <t xml:space="preserve">
</t>
    </r>
    <r>
      <rPr>
        <sz val="10"/>
        <color rgb="FFFF0000"/>
        <rFont val="Arial"/>
        <family val="2"/>
      </rPr>
      <t>120519</t>
    </r>
    <r>
      <rPr>
        <sz val="10"/>
        <color rgb="FF000000"/>
        <rFont val="Arial"/>
        <family val="2"/>
      </rPr>
      <t xml:space="preserve"> </t>
    </r>
  </si>
  <si>
    <r>
      <t xml:space="preserve">Test Administrator associated with the student's test session.
Blank when a student is not in a test session for the subject.
</t>
    </r>
    <r>
      <rPr>
        <sz val="10"/>
        <color rgb="FFFF0000"/>
        <rFont val="Arial"/>
        <family val="2"/>
      </rPr>
      <t xml:space="preserve">Test Administrator Middle Initial will be blank because this is not data that DRC captures to report </t>
    </r>
  </si>
  <si>
    <r>
      <t xml:space="preserve">Operational Item Response String.
When a constructed response item is scored on more than one dimension, there will be one position for each dimension containing the number of points assigned to each dimension within the item response string.
</t>
    </r>
    <r>
      <rPr>
        <sz val="10"/>
        <color rgb="FFFF0000"/>
        <rFont val="Arial"/>
        <family val="2"/>
      </rPr>
      <t xml:space="preserve">
An MC item will be a '-' if the session is submitted but the item is unattempted. It will be blank if the session is not submitted</t>
    </r>
    <r>
      <rPr>
        <sz val="10"/>
        <rFont val="Arial"/>
        <family val="2"/>
      </rPr>
      <t xml:space="preserve">.  </t>
    </r>
  </si>
  <si>
    <r>
      <t xml:space="preserve">Field Test Item Response String.
When a constructed response item is scored on more than one dimension, there will be one position for each dimension containing the number of points assigned to each dimension within the item response string.
</t>
    </r>
    <r>
      <rPr>
        <sz val="10"/>
        <color rgb="FFFF0000"/>
        <rFont val="Arial"/>
        <family val="2"/>
      </rPr>
      <t>An MC item will be a '-' if the session is submitted but the item is unattempted. It will be blank if the session is not submitted.</t>
    </r>
    <r>
      <rPr>
        <sz val="10"/>
        <rFont val="Arial"/>
        <family val="2"/>
      </rPr>
      <t xml:space="preserve"> </t>
    </r>
  </si>
  <si>
    <r>
      <t xml:space="preserve">160323
160332
160341
</t>
    </r>
    <r>
      <rPr>
        <sz val="10"/>
        <color rgb="FFFF0000"/>
        <rFont val="Arial"/>
        <family val="2"/>
      </rPr>
      <t>160363</t>
    </r>
    <r>
      <rPr>
        <sz val="10"/>
        <color rgb="FF000000"/>
        <rFont val="Arial"/>
        <family val="2"/>
      </rPr>
      <t xml:space="preserve"> </t>
    </r>
    <r>
      <rPr>
        <sz val="10"/>
        <color rgb="FF000000"/>
        <rFont val="Arial"/>
        <family val="2"/>
      </rPr>
      <t xml:space="preserve">
Blank</t>
    </r>
  </si>
  <si>
    <r>
      <t xml:space="preserve">Test Administrator associated with the student's test session.
Blank when a student is not in a test session for the subject.
</t>
    </r>
    <r>
      <rPr>
        <sz val="10"/>
        <color rgb="FFFF0000"/>
        <rFont val="Arial"/>
        <family val="2"/>
      </rPr>
      <t xml:space="preserve">Test Administrator Middle Initial will be blank because this is not data that DRC captures to report. </t>
    </r>
    <r>
      <rPr>
        <sz val="10"/>
        <rFont val="Arial"/>
        <family val="2"/>
      </rPr>
      <t xml:space="preserve"> </t>
    </r>
  </si>
  <si>
    <r>
      <t xml:space="preserve">Geometry
Applied Geometry
Integrated Math III
</t>
    </r>
    <r>
      <rPr>
        <sz val="10"/>
        <color rgb="FFFF0000"/>
        <rFont val="Arial"/>
        <family val="2"/>
      </rPr>
      <t>NOCCA Integrated Math III</t>
    </r>
    <r>
      <rPr>
        <sz val="10"/>
        <color rgb="FF000000"/>
        <rFont val="Arial"/>
        <family val="2"/>
      </rPr>
      <t xml:space="preserve"> </t>
    </r>
    <r>
      <rPr>
        <sz val="10"/>
        <color rgb="FF000000"/>
        <rFont val="Arial"/>
        <family val="2"/>
      </rPr>
      <t xml:space="preserve">
Not Enrolled in Course
Blank</t>
    </r>
  </si>
  <si>
    <r>
      <t xml:space="preserve">Operational Item Response String.
When a constructed response item is scored on more than one dimension, there will be one position for each dimension containing the number of points assigned to each dimension within the item response string.
</t>
    </r>
    <r>
      <rPr>
        <sz val="10"/>
        <color rgb="FFFF0000"/>
        <rFont val="Arial"/>
        <family val="2"/>
      </rPr>
      <t xml:space="preserve">
An MC item will be a '-' if the session is submitted but the item is unattempted. It will be blank if the session is not submitted. </t>
    </r>
    <r>
      <rPr>
        <sz val="10"/>
        <rFont val="Arial"/>
        <family val="2"/>
      </rPr>
      <t xml:space="preserve"> </t>
    </r>
  </si>
  <si>
    <r>
      <t xml:space="preserve">Field Test Item Response String.
When a constructed response item is scored on more than one dimension, there will be one position for each dimension containing the number of points assigned to each dimension within the item response string.
</t>
    </r>
    <r>
      <rPr>
        <sz val="10"/>
        <color rgb="FFFF0000"/>
        <rFont val="Arial"/>
        <family val="2"/>
      </rPr>
      <t xml:space="preserve">
An MC item will be a '-' if the session is submitted but the item is unattempted. It will be blank if the session is not submitted.</t>
    </r>
    <r>
      <rPr>
        <sz val="10"/>
        <rFont val="Arial"/>
        <family val="2"/>
      </rPr>
      <t xml:space="preserve">  </t>
    </r>
  </si>
  <si>
    <r>
      <t xml:space="preserve">150301
150321
150322
</t>
    </r>
    <r>
      <rPr>
        <sz val="10"/>
        <color rgb="FFFF0000"/>
        <rFont val="Arial"/>
        <family val="2"/>
      </rPr>
      <t xml:space="preserve">150502 </t>
    </r>
    <r>
      <rPr>
        <sz val="10"/>
        <color rgb="FFFF0000"/>
        <rFont val="Arial"/>
        <family val="2"/>
      </rPr>
      <t xml:space="preserve">
150503</t>
    </r>
    <r>
      <rPr>
        <sz val="10"/>
        <color rgb="FF000000"/>
        <rFont val="Arial"/>
        <family val="2"/>
      </rPr>
      <t xml:space="preserve"> </t>
    </r>
    <r>
      <rPr>
        <sz val="10"/>
        <color rgb="FF000000"/>
        <rFont val="Arial"/>
        <family val="2"/>
      </rPr>
      <t xml:space="preserve">
Blank</t>
    </r>
  </si>
  <si>
    <r>
      <t xml:space="preserve">Test Administrator associated with the student's test session.
Blank when a student is not in a test session for the subject.
</t>
    </r>
    <r>
      <rPr>
        <sz val="10"/>
        <color rgb="FFFF0000"/>
        <rFont val="Arial"/>
        <family val="2"/>
      </rPr>
      <t xml:space="preserve">Test Administrator Middle Initial will be blank because this is not data that DRC captures to report </t>
    </r>
    <r>
      <rPr>
        <b/>
        <sz val="10"/>
        <color rgb="FFFF0000"/>
        <rFont val="Arial"/>
        <family val="2"/>
      </rPr>
      <t xml:space="preserve"> </t>
    </r>
    <r>
      <rPr>
        <sz val="10"/>
        <rFont val="Arial"/>
        <family val="2"/>
      </rPr>
      <t xml:space="preserve">
</t>
    </r>
  </si>
  <si>
    <r>
      <t xml:space="preserve">Test Administrator associated with the student's test session.
Blank when a student is not in a test session for the subject.
</t>
    </r>
    <r>
      <rPr>
        <sz val="10"/>
        <color rgb="FFFF0000"/>
        <rFont val="Arial"/>
        <family val="2"/>
      </rPr>
      <t>Test Administrator Middle Initial will be blank because this is not data that DRC captures to report</t>
    </r>
    <r>
      <rPr>
        <sz val="10"/>
        <rFont val="Arial"/>
        <family val="2"/>
      </rPr>
      <t xml:space="preserve"> </t>
    </r>
  </si>
  <si>
    <r>
      <t xml:space="preserve">120333
120329
120325
120403
120327
120341
120404
120601
120602
120603
120604
120605
</t>
    </r>
    <r>
      <rPr>
        <sz val="10"/>
        <color rgb="FFFF0000"/>
        <rFont val="Arial"/>
        <family val="2"/>
      </rPr>
      <t>120338</t>
    </r>
    <r>
      <rPr>
        <sz val="10"/>
        <color rgb="FFFF0000"/>
        <rFont val="Arial"/>
        <family val="2"/>
      </rPr>
      <t xml:space="preserve">
120413</t>
    </r>
    <r>
      <rPr>
        <b/>
        <sz val="10"/>
        <color rgb="FFFF0000"/>
        <rFont val="Arial"/>
        <family val="2"/>
      </rPr>
      <t xml:space="preserve"> </t>
    </r>
  </si>
  <si>
    <r>
      <t xml:space="preserve">English III
English III GT
English III AP ELA Comp
English III IB Lit
English III IB Lang Lit
English III Honors
English III IB Lit Perf
English III DE Comp 1
English III DE Comp II
English III DE Amer Lit I
English III DE Amer Lit II
English III DE Am Writers
</t>
    </r>
    <r>
      <rPr>
        <sz val="10"/>
        <color rgb="FFFF0000"/>
        <rFont val="Arial"/>
        <family val="2"/>
      </rPr>
      <t>English III Equivalent-LA Sch for Math Sci and Arts</t>
    </r>
    <r>
      <rPr>
        <b/>
        <sz val="10"/>
        <color rgb="FFFF0000"/>
        <rFont val="Arial"/>
        <family val="2"/>
      </rPr>
      <t xml:space="preserve"> </t>
    </r>
    <r>
      <rPr>
        <sz val="10"/>
        <color rgb="FF000000"/>
        <rFont val="Arial"/>
        <family val="2"/>
      </rPr>
      <t xml:space="preserve">
</t>
    </r>
    <r>
      <rPr>
        <sz val="10"/>
        <color rgb="FFFF0000"/>
        <rFont val="Arial"/>
        <family val="2"/>
      </rPr>
      <t xml:space="preserve">NOCCA Integrated English III </t>
    </r>
    <r>
      <rPr>
        <sz val="10"/>
        <color rgb="FFFF0000"/>
        <rFont val="Arial"/>
        <family val="2"/>
      </rPr>
      <t xml:space="preserve">
Not Enrolled in Course</t>
    </r>
    <r>
      <rPr>
        <sz val="10"/>
        <color rgb="FF000000"/>
        <rFont val="Arial"/>
        <family val="2"/>
      </rPr>
      <t xml:space="preserve">
Blank</t>
    </r>
  </si>
  <si>
    <r>
      <t xml:space="preserve">Operational Item Response String.
When a constructed response item is scored on more than one dimension, there will be one position for each dimension containing the number of points assigned to each dimension within the item response string.
</t>
    </r>
    <r>
      <rPr>
        <sz val="10"/>
        <color rgb="FFFF0000"/>
        <rFont val="Arial"/>
        <family val="2"/>
      </rPr>
      <t>An MC item will be a '-' if the session is submitted but the item is unattempted. It will be blank if the session is not submitted.</t>
    </r>
    <r>
      <rPr>
        <sz val="10"/>
        <rFont val="Arial"/>
        <family val="2"/>
      </rPr>
      <t xml:space="preserve"> </t>
    </r>
  </si>
  <si>
    <r>
      <t xml:space="preserve">Field Test Item Response String.
When a constructed response item is scored on more than one dimension, there will be one position for each dimension containing the number of points assigned to each dimension within the item response string.
</t>
    </r>
    <r>
      <rPr>
        <sz val="10"/>
        <color rgb="FFFF0000"/>
        <rFont val="Arial"/>
        <family val="2"/>
      </rPr>
      <t>An MC item will be a '-' if the session is submitted but the item is unattempted. It will be blank if the session is not submitted.</t>
    </r>
  </si>
  <si>
    <r>
      <t xml:space="preserve">220403
220406
220404
220405
220407
220408
220409
</t>
    </r>
    <r>
      <rPr>
        <sz val="10"/>
        <color rgb="FFFF0000"/>
        <rFont val="Arial"/>
        <family val="2"/>
      </rPr>
      <t xml:space="preserve">220613 </t>
    </r>
    <r>
      <rPr>
        <sz val="10"/>
        <color rgb="FF000000"/>
        <rFont val="Arial"/>
        <family val="2"/>
      </rPr>
      <t xml:space="preserve">
Blank</t>
    </r>
  </si>
  <si>
    <r>
      <t xml:space="preserve">Operational Item Response String.
When a constructed response item is scored on more than one dimension, there will be one position for each dimension containing the number of points assigned to each dimension within the item response string.
</t>
    </r>
    <r>
      <rPr>
        <sz val="10"/>
        <color rgb="FFFF0000"/>
        <rFont val="Arial"/>
        <family val="2"/>
      </rPr>
      <t xml:space="preserve">An MC item will be a '-' if the session is submitted but the item is unattempted. It will be blank if the session is not submitted. </t>
    </r>
    <r>
      <rPr>
        <sz val="10"/>
        <rFont val="Arial"/>
        <family val="2"/>
      </rPr>
      <t/>
    </r>
  </si>
  <si>
    <r>
      <t xml:space="preserve">Field Test Item Response String.
When a constructed response item is scored on more than one dimension, there will be one position for each dimension containing the number of points assigned to each dimension within the item response string.
</t>
    </r>
    <r>
      <rPr>
        <sz val="10"/>
        <color rgb="FFFF0000"/>
        <rFont val="Arial"/>
        <family val="2"/>
      </rPr>
      <t xml:space="preserve">
An MC item will be a '-' if the session is submitted but the item is unattempted. It will be blank if the session is not submitted.</t>
    </r>
    <r>
      <rPr>
        <sz val="10"/>
        <rFont val="Arial"/>
        <family val="2"/>
      </rPr>
      <t xml:space="preserve"> </t>
    </r>
  </si>
  <si>
    <r>
      <t xml:space="preserve">Biology
Biology I DE Gen Bio I
Biology I DE Bio I Sci Mj
</t>
    </r>
    <r>
      <rPr>
        <sz val="10"/>
        <color rgb="FFFF0000"/>
        <rFont val="Arial"/>
        <family val="2"/>
      </rPr>
      <t xml:space="preserve">NOCCA Integrated Sci II </t>
    </r>
    <r>
      <rPr>
        <b/>
        <sz val="10"/>
        <color rgb="FFFF0000"/>
        <rFont val="Arial"/>
        <family val="2"/>
      </rPr>
      <t xml:space="preserve"> </t>
    </r>
    <r>
      <rPr>
        <sz val="10"/>
        <color rgb="FF000000"/>
        <rFont val="Arial"/>
        <family val="2"/>
      </rPr>
      <t xml:space="preserve">
</t>
    </r>
    <r>
      <rPr>
        <sz val="10"/>
        <color rgb="FFFF0000"/>
        <rFont val="Arial"/>
        <family val="2"/>
      </rPr>
      <t>NOCCA Integrated Sci III</t>
    </r>
    <r>
      <rPr>
        <sz val="10"/>
        <color rgb="FF000000"/>
        <rFont val="Arial"/>
        <family val="2"/>
      </rPr>
      <t xml:space="preserve"> </t>
    </r>
    <r>
      <rPr>
        <sz val="10"/>
        <color rgb="FF000000"/>
        <rFont val="Arial"/>
        <family val="2"/>
      </rPr>
      <t xml:space="preserve">
Not Enrolled in Course
Blank</t>
    </r>
  </si>
  <si>
    <r>
      <t xml:space="preserve">US History
US History GT
US History AP
US History IB
US History DE Amr Hist I
US History DE Amr Hist II
US History Honors
</t>
    </r>
    <r>
      <rPr>
        <sz val="10"/>
        <color rgb="FFFF0000"/>
        <rFont val="Arial"/>
        <family val="2"/>
      </rPr>
      <t>NOCCA Integrated World History III</t>
    </r>
    <r>
      <rPr>
        <sz val="10"/>
        <color rgb="FF000000"/>
        <rFont val="Arial"/>
        <family val="2"/>
      </rPr>
      <t xml:space="preserve"> </t>
    </r>
    <r>
      <rPr>
        <sz val="10"/>
        <color rgb="FF000000"/>
        <rFont val="Arial"/>
        <family val="2"/>
      </rPr>
      <t xml:space="preserve">
Not Enrolled in Course
Blank</t>
    </r>
  </si>
  <si>
    <t>Starting Location</t>
  </si>
  <si>
    <t xml:space="preserve">Military Affiliated
</t>
  </si>
  <si>
    <t>Foster Care</t>
  </si>
  <si>
    <t>Added Military Affiliated and Foster Care fields, each one character in length.</t>
  </si>
  <si>
    <t xml:space="preserve">As flagged on the Enroll File. 
</t>
  </si>
  <si>
    <t>Y = Military Affiliated
N = Not Military Affiliated</t>
  </si>
  <si>
    <t>Y = Foster Care
N = Not in Foster Care</t>
  </si>
  <si>
    <r>
      <t xml:space="preserve">Operational Item Response String.
When a constructed response item is scored on more than one dimension, there will be one position for each dimension containing the number of points assigned to each dimension within the item response string.
</t>
    </r>
    <r>
      <rPr>
        <sz val="10"/>
        <color rgb="FFFF0000"/>
        <rFont val="Arial"/>
        <family val="2"/>
      </rPr>
      <t>An MC item will be a '-' if the session is submitted but the item is unattempted. It will be blank if the session is not submitted.</t>
    </r>
    <r>
      <rPr>
        <sz val="10"/>
        <rFont val="Arial"/>
        <family val="2"/>
      </rPr>
      <t xml:space="preserve">  </t>
    </r>
  </si>
  <si>
    <r>
      <rPr>
        <strike/>
        <sz val="10"/>
        <color rgb="FF000000"/>
        <rFont val="Arial"/>
        <family val="2"/>
      </rPr>
      <t>E = Excellent
G= Good
F= Fair
NI = Needs Improvement</t>
    </r>
    <r>
      <rPr>
        <sz val="10"/>
        <color rgb="FF000000"/>
        <rFont val="Arial"/>
        <family val="2"/>
      </rPr>
      <t xml:space="preserve">
</t>
    </r>
    <r>
      <rPr>
        <sz val="10"/>
        <color rgb="FFFF0000"/>
        <rFont val="Arial"/>
        <family val="2"/>
      </rPr>
      <t>UNS = Unsatisfactory
APP = Approaching Basic
BAS = Basic
MAS = Mastery
ADV = Advanced</t>
    </r>
    <r>
      <rPr>
        <sz val="10"/>
        <color rgb="FF000000"/>
        <rFont val="Arial"/>
        <family val="2"/>
      </rPr>
      <t xml:space="preserve">
Blank</t>
    </r>
  </si>
  <si>
    <r>
      <rPr>
        <strike/>
        <sz val="10"/>
        <color rgb="FF000000"/>
        <rFont val="Arial"/>
        <family val="2"/>
      </rPr>
      <t>EXC = Excellent
GOO = Good
FAI = Fair
NIP = Needs Improvement</t>
    </r>
    <r>
      <rPr>
        <sz val="10"/>
        <color rgb="FF000000"/>
        <rFont val="Arial"/>
        <family val="2"/>
      </rPr>
      <t xml:space="preserve">
</t>
    </r>
    <r>
      <rPr>
        <sz val="10"/>
        <color rgb="FFFF0000"/>
        <rFont val="Arial"/>
        <family val="2"/>
      </rPr>
      <t>UNS = Unsatisfactory
APP = Approaching Basic
BAS = Basic
MAS = Mastery
ADV = Advanced</t>
    </r>
    <r>
      <rPr>
        <sz val="10"/>
        <color rgb="FF000000"/>
        <rFont val="Arial"/>
        <family val="2"/>
      </rPr>
      <t xml:space="preserve">
Blank</t>
    </r>
  </si>
  <si>
    <r>
      <rPr>
        <strike/>
        <sz val="10"/>
        <color rgb="FF000000"/>
        <rFont val="Arial"/>
        <family val="2"/>
      </rPr>
      <t>E = Excellent
G= Good
F= Fair
NI = Needs Improvement</t>
    </r>
    <r>
      <rPr>
        <sz val="10"/>
        <color rgb="FF000000"/>
        <rFont val="Arial"/>
        <family val="2"/>
      </rPr>
      <t xml:space="preserve">
</t>
    </r>
    <r>
      <rPr>
        <sz val="10"/>
        <color rgb="FFFF0000"/>
        <rFont val="Arial"/>
        <family val="2"/>
      </rPr>
      <t>UNS = Unsatisfactory
APP = Approaching Basic
BAS = Basic
MAS = Mastery
ADV = Advanced</t>
    </r>
    <r>
      <rPr>
        <sz val="10"/>
        <color rgb="FF000000"/>
        <rFont val="Arial"/>
        <family val="2"/>
      </rPr>
      <t xml:space="preserve">
Blank
</t>
    </r>
  </si>
  <si>
    <r>
      <t>E = Excellent
G= Good
F= Fair
NI = Needs Improvement</t>
    </r>
    <r>
      <rPr>
        <sz val="10"/>
        <color rgb="FF000000"/>
        <rFont val="Arial"/>
        <family val="2"/>
      </rPr>
      <t xml:space="preserve">
Blank</t>
    </r>
  </si>
  <si>
    <r>
      <t xml:space="preserve">EXC = Excellent
GOO = Good
FAI = Fair
NIP = Needs Improvement
</t>
    </r>
    <r>
      <rPr>
        <sz val="10"/>
        <color rgb="FF000000"/>
        <rFont val="Arial"/>
        <family val="2"/>
      </rPr>
      <t>Blank</t>
    </r>
  </si>
  <si>
    <r>
      <t>Content Standard Information/</t>
    </r>
    <r>
      <rPr>
        <b/>
        <sz val="10"/>
        <color rgb="FFFF0000"/>
        <rFont val="Arial"/>
        <family val="2"/>
      </rPr>
      <t>Reporting Category</t>
    </r>
  </si>
  <si>
    <t xml:space="preserve">
UNS = Unsatisfactory
APP = Approaching Basic
BAS = Basic
MAS = Mastery
ADV = Advanced
Blank</t>
  </si>
  <si>
    <t>Added UNS, APP, BAS, MAS ADV Assessment Achievement Level fields for Algebra, Geometry, US History, English 1, English 2</t>
  </si>
  <si>
    <t>Striking through 4-level Assessment Achievement level values for Algebra, English II, Geometry because they will be 5-level only in Fall 2017</t>
  </si>
  <si>
    <r>
      <t xml:space="preserve">E = Excellent
G= Good
F= Fair
NI = Needs Improvement
</t>
    </r>
    <r>
      <rPr>
        <sz val="10"/>
        <color rgb="FF000000"/>
        <rFont val="Arial"/>
        <family val="2"/>
      </rPr>
      <t>Blank</t>
    </r>
  </si>
  <si>
    <t>E1
E1AE
Blank</t>
  </si>
  <si>
    <t>E1 (for English I) indicates a student was put into a test session or was in the enrolle file for the subject.
E1AE indicates a student was put into a test session for the AE form for the subject.
Blank when a student is not in a test session or was not in the enroll file for the subject.</t>
  </si>
  <si>
    <r>
      <rPr>
        <strike/>
        <sz val="10"/>
        <color rgb="FF000000"/>
        <rFont val="Arial"/>
        <family val="2"/>
      </rPr>
      <t xml:space="preserve">600-800 </t>
    </r>
    <r>
      <rPr>
        <sz val="10"/>
        <color rgb="FF000000"/>
        <rFont val="Arial"/>
        <family val="2"/>
      </rPr>
      <t xml:space="preserve">
</t>
    </r>
    <r>
      <rPr>
        <sz val="10"/>
        <color rgb="FFFF0000"/>
        <rFont val="Arial"/>
        <family val="2"/>
      </rPr>
      <t>650-850</t>
    </r>
    <r>
      <rPr>
        <sz val="10"/>
        <color rgb="FF000000"/>
        <rFont val="Arial"/>
        <family val="2"/>
      </rPr>
      <t xml:space="preserve">
Blank</t>
    </r>
  </si>
  <si>
    <r>
      <t xml:space="preserve">English II
</t>
    </r>
    <r>
      <rPr>
        <strike/>
        <sz val="10"/>
        <color rgb="FF000000"/>
        <rFont val="Arial"/>
        <family val="2"/>
      </rPr>
      <t>English II Retest</t>
    </r>
    <r>
      <rPr>
        <sz val="10"/>
        <color rgb="FFFF0000"/>
        <rFont val="Arial"/>
        <family val="2"/>
      </rPr>
      <t xml:space="preserve"> </t>
    </r>
    <r>
      <rPr>
        <strike/>
        <sz val="10"/>
        <color rgb="FF000000"/>
        <rFont val="Arial"/>
        <family val="2"/>
      </rPr>
      <t xml:space="preserve">
</t>
    </r>
    <r>
      <rPr>
        <sz val="10"/>
        <color rgb="FF000000"/>
        <rFont val="Arial"/>
        <family val="2"/>
      </rPr>
      <t>NOCCA Integrated English II
LASMSA COMPOSITION AND LITERATURE (EN 210)
Not Enrolled in Course
Blank</t>
    </r>
  </si>
  <si>
    <r>
      <rPr>
        <strike/>
        <sz val="10"/>
        <color rgb="FF000000"/>
        <rFont val="Arial"/>
        <family val="2"/>
      </rPr>
      <t xml:space="preserve">600-800 </t>
    </r>
    <r>
      <rPr>
        <sz val="10"/>
        <color rgb="FF000000"/>
        <rFont val="Arial"/>
        <family val="2"/>
      </rPr>
      <t xml:space="preserve">
</t>
    </r>
    <r>
      <rPr>
        <sz val="10"/>
        <color rgb="FFFF0000"/>
        <rFont val="Arial"/>
        <family val="2"/>
      </rPr>
      <t>650-850</t>
    </r>
    <r>
      <rPr>
        <sz val="10"/>
        <color rgb="FF000000"/>
        <rFont val="Arial"/>
        <family val="2"/>
      </rPr>
      <t xml:space="preserve"> 
Blank</t>
    </r>
  </si>
  <si>
    <r>
      <rPr>
        <strike/>
        <sz val="10"/>
        <color rgb="FF000000"/>
        <rFont val="Arial"/>
        <family val="2"/>
      </rPr>
      <t xml:space="preserve">600-800 </t>
    </r>
    <r>
      <rPr>
        <sz val="10"/>
        <color rgb="FF000000"/>
        <rFont val="Arial"/>
        <family val="2"/>
      </rPr>
      <t xml:space="preserve">
</t>
    </r>
    <r>
      <rPr>
        <sz val="10"/>
        <color rgb="FFFF0000"/>
        <rFont val="Arial"/>
        <family val="2"/>
      </rPr>
      <t>650-650</t>
    </r>
    <r>
      <rPr>
        <sz val="10"/>
        <color rgb="FF000000"/>
        <rFont val="Arial"/>
        <family val="2"/>
      </rPr>
      <t xml:space="preserve">
Blank</t>
    </r>
  </si>
  <si>
    <t xml:space="preserve">Blank when Scale Score is blank.
</t>
  </si>
  <si>
    <r>
      <rPr>
        <strike/>
        <sz val="10"/>
        <color rgb="FF000000"/>
        <rFont val="Arial"/>
        <family val="2"/>
      </rPr>
      <t xml:space="preserve">600-800 </t>
    </r>
    <r>
      <rPr>
        <sz val="10"/>
        <color rgb="FF000000"/>
        <rFont val="Arial"/>
        <family val="2"/>
      </rPr>
      <t xml:space="preserve">
</t>
    </r>
    <r>
      <rPr>
        <sz val="10"/>
        <color rgb="FFFF0000"/>
        <rFont val="Arial"/>
        <family val="2"/>
      </rPr>
      <t xml:space="preserve">650-850 </t>
    </r>
    <r>
      <rPr>
        <sz val="10"/>
        <color rgb="FF000000"/>
        <rFont val="Arial"/>
        <family val="2"/>
      </rPr>
      <t xml:space="preserve">
Blank</t>
    </r>
  </si>
  <si>
    <r>
      <rPr>
        <strike/>
        <sz val="10"/>
        <color rgb="FF000000"/>
        <rFont val="Arial"/>
        <family val="2"/>
      </rPr>
      <t>600-800</t>
    </r>
    <r>
      <rPr>
        <sz val="10"/>
        <color rgb="FF000000"/>
        <rFont val="Arial"/>
        <family val="2"/>
      </rPr>
      <t xml:space="preserve"> 
</t>
    </r>
    <r>
      <rPr>
        <sz val="10"/>
        <color rgb="FFFF0000"/>
        <rFont val="Arial"/>
        <family val="2"/>
      </rPr>
      <t xml:space="preserve">650-850 </t>
    </r>
    <r>
      <rPr>
        <sz val="10"/>
        <color rgb="FF000000"/>
        <rFont val="Arial"/>
        <family val="2"/>
      </rPr>
      <t xml:space="preserve">
Blank</t>
    </r>
  </si>
  <si>
    <t>650-850 
Blank</t>
  </si>
  <si>
    <r>
      <rPr>
        <sz val="10"/>
        <rFont val="Arial"/>
        <family val="2"/>
      </rPr>
      <t>UNS = Unsatisfactory
APP = Approaching Basic
BAS = Basic
MAS = Mastery
ADV = Advanced</t>
    </r>
    <r>
      <rPr>
        <sz val="10"/>
        <color rgb="FF000000"/>
        <rFont val="Arial"/>
        <family val="2"/>
      </rPr>
      <t xml:space="preserve">
Blank</t>
    </r>
  </si>
  <si>
    <r>
      <t xml:space="preserve">AL
ALAE
</t>
    </r>
    <r>
      <rPr>
        <strike/>
        <sz val="10"/>
        <rFont val="Arial"/>
        <family val="2"/>
      </rPr>
      <t>ALNFT</t>
    </r>
    <r>
      <rPr>
        <sz val="10"/>
        <rFont val="Arial"/>
        <family val="2"/>
      </rPr>
      <t xml:space="preserve">
Blank</t>
    </r>
  </si>
  <si>
    <r>
      <t xml:space="preserve">AL (for Algebra I) indicates a student was put into a test session for the regular form or was in the enroll file for the subject.
ALAE indicates a student was put into a test session for the AE form for the subject.
</t>
    </r>
    <r>
      <rPr>
        <strike/>
        <sz val="10"/>
        <rFont val="Arial"/>
        <family val="2"/>
      </rPr>
      <t xml:space="preserve">ALNFT indicates a student was put into a test session for the NFT form for the subject. </t>
    </r>
    <r>
      <rPr>
        <sz val="10"/>
        <rFont val="Arial"/>
        <family val="2"/>
      </rPr>
      <t xml:space="preserve">
Blank when a student is not in a test session or was not in the enroll file for the subject.</t>
    </r>
  </si>
  <si>
    <r>
      <t xml:space="preserve">E2
E2AE
</t>
    </r>
    <r>
      <rPr>
        <strike/>
        <sz val="10"/>
        <rFont val="Arial"/>
        <family val="2"/>
      </rPr>
      <t>E2NFT</t>
    </r>
    <r>
      <rPr>
        <sz val="10"/>
        <rFont val="Arial"/>
        <family val="2"/>
      </rPr>
      <t xml:space="preserve">
Blank</t>
    </r>
  </si>
  <si>
    <r>
      <t xml:space="preserve">E2 (for English II) indicates a student was put into a test session or was in the enrolle file for the subject.
E2AE indicates a student was put into a test session for the AE form for the subject.
</t>
    </r>
    <r>
      <rPr>
        <strike/>
        <sz val="10"/>
        <rFont val="Arial"/>
        <family val="2"/>
      </rPr>
      <t xml:space="preserve">
E2NFT indicates a student was put into a test session for the NFT form for the subject. </t>
    </r>
    <r>
      <rPr>
        <sz val="10"/>
        <rFont val="Arial"/>
        <family val="2"/>
      </rPr>
      <t xml:space="preserve">
Blank when a student is not in a test session or was not in the enroll file for the subject.</t>
    </r>
  </si>
  <si>
    <r>
      <t xml:space="preserve">GM
GMAE
</t>
    </r>
    <r>
      <rPr>
        <strike/>
        <sz val="10"/>
        <rFont val="Arial"/>
        <family val="2"/>
      </rPr>
      <t>GMNFT</t>
    </r>
    <r>
      <rPr>
        <sz val="10"/>
        <rFont val="Arial"/>
        <family val="2"/>
      </rPr>
      <t xml:space="preserve">
Blank</t>
    </r>
  </si>
  <si>
    <r>
      <t xml:space="preserve">GM (for Geometry) indicates a student was put into a test session or was in the enrolle file for the subject.
GMAE indicates a student was put into a test session for the AE form for the subject.
</t>
    </r>
    <r>
      <rPr>
        <strike/>
        <sz val="10"/>
        <rFont val="Arial"/>
        <family val="2"/>
      </rPr>
      <t xml:space="preserve">
GMNFT indicates a student was put into a test session for the NFT form for the subject. </t>
    </r>
    <r>
      <rPr>
        <sz val="10"/>
        <rFont val="Arial"/>
        <family val="2"/>
      </rPr>
      <t xml:space="preserve">
Blank when a student is not in a test session or was not in the enroll file for the subject.</t>
    </r>
  </si>
  <si>
    <r>
      <t xml:space="preserve">BL
BLAE
</t>
    </r>
    <r>
      <rPr>
        <strike/>
        <sz val="10"/>
        <rFont val="Arial"/>
        <family val="2"/>
      </rPr>
      <t>BLNFT</t>
    </r>
    <r>
      <rPr>
        <sz val="10"/>
        <rFont val="Arial"/>
        <family val="2"/>
      </rPr>
      <t xml:space="preserve">
Blank</t>
    </r>
  </si>
  <si>
    <r>
      <t xml:space="preserve">BL (for Biology) indicates a student was put into a test session or was in the enrolle file for the subject.
BLAE indicates a student was put into a test session for the AE form for the subject.
</t>
    </r>
    <r>
      <rPr>
        <strike/>
        <sz val="10"/>
        <rFont val="Arial"/>
        <family val="2"/>
      </rPr>
      <t xml:space="preserve">
BLNFT indicates a student was put into a test session for the NFT form for the subject. </t>
    </r>
    <r>
      <rPr>
        <sz val="10"/>
        <rFont val="Arial"/>
        <family val="2"/>
      </rPr>
      <t xml:space="preserve">
Blank when a student is not in a test session or was not in the enroll file for the subject.</t>
    </r>
  </si>
  <si>
    <r>
      <t xml:space="preserve">E3
E3AE
</t>
    </r>
    <r>
      <rPr>
        <strike/>
        <sz val="10"/>
        <rFont val="Arial"/>
        <family val="2"/>
      </rPr>
      <t>E3NFT</t>
    </r>
    <r>
      <rPr>
        <sz val="10"/>
        <rFont val="Arial"/>
        <family val="2"/>
      </rPr>
      <t xml:space="preserve">
Blank</t>
    </r>
  </si>
  <si>
    <r>
      <t xml:space="preserve">E3 (for English III) indicates a student was put into a test session or was in the enrolle file for the subject.
E3AE indicates a student was put into a test session for the AE form for the subject.
</t>
    </r>
    <r>
      <rPr>
        <strike/>
        <sz val="10"/>
        <rFont val="Arial"/>
        <family val="2"/>
      </rPr>
      <t xml:space="preserve">E3NFT indicates a student was put into a test session for the NFT form for the subject. </t>
    </r>
    <r>
      <rPr>
        <sz val="10"/>
        <rFont val="Arial"/>
        <family val="2"/>
      </rPr>
      <t xml:space="preserve">
Blank when a student is not in a test session or was not in the enroll file for the subject.</t>
    </r>
  </si>
  <si>
    <t>Removed NFT values from "Content" for each subject</t>
  </si>
  <si>
    <t>Updated values for "Scale Score", "SEM High" and "SEM Low" to align with the assessment achievement levels within each subject.</t>
  </si>
  <si>
    <t>Western Expansion to Progressivism - Standard 2 - Rating</t>
  </si>
  <si>
    <t>Isolationism through the Great War - Standard 3 - Rating</t>
  </si>
  <si>
    <t>Becoming a World Power through World War II - Standard 4 - Rating</t>
  </si>
  <si>
    <t>Cold War Era - Standard 5 - Rating</t>
  </si>
  <si>
    <t>The Modern Age - Standard 6 - Rating</t>
  </si>
  <si>
    <t>Added rating fields to US History under "Content Standard Information/Reporting Category" section</t>
  </si>
  <si>
    <t xml:space="preserve"> </t>
  </si>
  <si>
    <t>Total points earned for the English II Reading Vocabulary subclaim.
Blank when subclaim is not assessed (zero points possible), or when the Raw Score Total for English II is blank.</t>
  </si>
  <si>
    <t>Percent correct for the English II Reading Vocabulary subclaim. This is calculated by dividing the total points earned by the total points possible for the subclaim.
Blank when Reading Vocabulary Raw Score is blank.</t>
  </si>
  <si>
    <t>Total points earned for the English II Reading Informational Text subclaim.
Blank when subclaim is not assessed (zero points possible), or when the Raw ScoreTotal for English II is blank.</t>
  </si>
  <si>
    <t>Percent correct for the English II Reading Literary Text subclaim. This is calculated by dividing the total points earned by the total points possible for the subclaim.
Blank when Reading Literary Text Raw Score is blank.</t>
  </si>
  <si>
    <t>Total points earned for the English II Written Expression subclaim.
Blank when subclaim is not assessed (zero points possible), or when the Raw Score Total for English II is blank.</t>
  </si>
  <si>
    <t>Total points earned for the English II Knowledge &amp; Use of Language Conventions subclaim.
Blank when subclaim is not assessed (zero points possible), or when the Raw Score Total for English II is blank.</t>
  </si>
  <si>
    <t xml:space="preserve">Percent correct for the English II Written Expression subclaim. This is calculated by dividing the total points earned by the total points possible for the subclaim.
Blank when Written Expression Raw Score is blank.
</t>
  </si>
  <si>
    <t>Percent correct for the English II Knowledge &amp; Use of Language Conventions subclaim. This is calculated by dividing the total points earned by the total points possible for the subclaim.
Blank when Knowledge &amp; Use of Language Conventions Raw Score is blank.</t>
  </si>
  <si>
    <t>Total points earned for the English II Reading claim.
Blank when subclaim is not assessed (zero points possible), or when the Raw Score Total for English II is blank.</t>
  </si>
  <si>
    <t>Percent correct for the English II Reading claim. This is calculated by dividing the total points earned by the total points possible for the claim.
Blank when Reading Raw Score is blank.</t>
  </si>
  <si>
    <t>Percent correct for the English II Writing claim. This is calculated by dividing the total points earned by the total points possible for the claim.
Blank when Writing Raw Score is blank.</t>
  </si>
  <si>
    <t>Total points earned for the English I Reading Literary Text subclaim.
Blank when subclaim is not assessed (zero points possible), or when the Raw Score Total for English I is blank.</t>
  </si>
  <si>
    <t>Percent correct for the English I Reading Literary Text subclaim. This is calculated by dividing the total points earned by the total points possible for the subclaim.
Blank when Reading Literary Text Raw Score is blank.</t>
  </si>
  <si>
    <t>Total points earned for the English I Reading Informational Text subclaim.
Blank when subclaim is not assessed (zero points possible), or when the Raw Score Total for English I is blank.</t>
  </si>
  <si>
    <t>Percent correct for the English I Reading Informational Text subclaim. This is calculated by dividing the total points earned by the total points possible for the subclaim.
Blank when Reading Informational Text Raw Score is blank.</t>
  </si>
  <si>
    <t>Total points earned for the English I Reading Vocabulary subclaim.
Blank when subclaim is not assessed (zero points possible), or when the Raw Score Total for English I is blank.</t>
  </si>
  <si>
    <t>Percent correct for the English I Reading Vocabulary subclaim. This is calculated by dividing the total points earned by the total points possible for the subclaim.
Blank when Reading Vocabulary Raw Score is blank.</t>
  </si>
  <si>
    <t>Total points earned for the English I Written Expression subclaim.
Blank when subclaim is not assessed (zero points possible), or when the Raw Score Total for English I is blank.</t>
  </si>
  <si>
    <t>Percent correct for the English I Written Expression subclaim. This is calculated by dividing the total points earned by the total points possible for the subclaim.
Blank when Written Expression Raw Score is blank.</t>
  </si>
  <si>
    <t>Total points earned for the English I Knowledge &amp; Use of Language Conventions subclaim.
Blank when subclaim is not assessed (zero points possible), or when the Raw Score Total for English I is blank.</t>
  </si>
  <si>
    <t>Percent correct for the English I Knowledge &amp; Use of Language Conventions subclaim. This is calculated by dividing the total points earned by the total points possible for the subclaim.
Blank when Knowledge &amp; Use of Language Conventions Raw Score is blank.</t>
  </si>
  <si>
    <t>Total points earned for the English I Reading claim.
Blank when subclaim is not assessed (zero points possible), or when the Raw Score Total for English I is blank.</t>
  </si>
  <si>
    <t>Percent correct for the English I Reading claim. This is calculated by dividing the total points earned by the total points possible for the claim.
Blank when Reading Raw Score is blank.</t>
  </si>
  <si>
    <t>Percent correct for the English I Writing claim. This is calculated by dividing the total points earned by the total points possible for the claim.
Blank when Writing Raw Score is blank.</t>
  </si>
  <si>
    <t>Updated logic description for Rating fields for Al1, E1, E2, GM, US History</t>
  </si>
  <si>
    <t>Percent correct for the English II Reading Informational Text subclaim. This is calculated by dividing the total points earned by the total points possible for the subclaim.
Blank when Reading Informational Text Raw Score is blank.</t>
  </si>
  <si>
    <r>
      <t xml:space="preserve">Rating associated with the Reading Literary Text Raw Score.
Blank when Reading Literary Text Raw Score is blank.
</t>
    </r>
    <r>
      <rPr>
        <sz val="10"/>
        <color rgb="FFFF0000"/>
        <rFont val="Arial"/>
        <family val="2"/>
      </rPr>
      <t>"1" when student has not attempted any item within all submitted sessions.</t>
    </r>
  </si>
  <si>
    <r>
      <t xml:space="preserve">Rating associated with the Western Expansion to Progressivism Raw Score.
Blank when Western Expansion to Progressivism Raw Score is blank.
</t>
    </r>
    <r>
      <rPr>
        <sz val="10"/>
        <color rgb="FFFF0000"/>
        <rFont val="Arial"/>
        <family val="2"/>
      </rPr>
      <t>"1" when student has not attempted any item within all submitted sessions.</t>
    </r>
  </si>
  <si>
    <r>
      <t xml:space="preserve">Rating associated with the Becoming a World Power through World War II Score.
Blank when Becoming a World Power through World War II is blank.
</t>
    </r>
    <r>
      <rPr>
        <sz val="10"/>
        <color rgb="FFFF0000"/>
        <rFont val="Arial"/>
        <family val="2"/>
      </rPr>
      <t xml:space="preserve">
"1" when student has not attempted any item within all submitted sessions.</t>
    </r>
  </si>
  <si>
    <r>
      <t xml:space="preserve">Rating associated with the The Modern Age Score.
Blank when The Modern Age is blank.
</t>
    </r>
    <r>
      <rPr>
        <sz val="10"/>
        <color rgb="FFFF0000"/>
        <rFont val="Arial"/>
        <family val="2"/>
      </rPr>
      <t>"1" when student has not attempted any item within all submitted sessions.</t>
    </r>
  </si>
  <si>
    <r>
      <t xml:space="preserve">Rating associated with the Reading Literary Text Raw Score.
Blank when Reading Literary Text Raw Score is blank.
</t>
    </r>
    <r>
      <rPr>
        <sz val="10"/>
        <color rgb="FFFF0000"/>
        <rFont val="Arial"/>
        <family val="2"/>
      </rPr>
      <t xml:space="preserve">
"1" when student has not attempted any item within all submitted sessions.</t>
    </r>
  </si>
  <si>
    <r>
      <t xml:space="preserve">Rating associated with the Additional &amp; Supporting Content Raw Score.
Blank when Additional &amp; Supporting Content Raw Score is blank.
</t>
    </r>
    <r>
      <rPr>
        <sz val="10"/>
        <color rgb="FFFF0000"/>
        <rFont val="Arial"/>
        <family val="2"/>
      </rPr>
      <t>"1" when student has not attempted any item within all submitted sessions.</t>
    </r>
  </si>
  <si>
    <t>Removed word "Text" from the descciption for Major Content Rating fileds.</t>
  </si>
  <si>
    <r>
      <t xml:space="preserve">Rating associated with the Major Content Raw Score.
Blank when Major Content Raw Raw Score is blank.
</t>
    </r>
    <r>
      <rPr>
        <sz val="10"/>
        <color rgb="FFFF0000"/>
        <rFont val="Arial"/>
        <family val="2"/>
      </rPr>
      <t>"1" when student has not attempted any item within all submitted sessions.</t>
    </r>
  </si>
  <si>
    <t xml:space="preserve">Total points earned for the Algebra I Major Content subclaim.
Blank when subclaim is not assessed (zero points possible), or when the Raw Score Total for Algebra I is blank.
</t>
  </si>
  <si>
    <r>
      <t xml:space="preserve">Rating associated with the Algebra I Major Content Raw Score.
Blank when Algebra I Major Content Raw Score is blank.
</t>
    </r>
    <r>
      <rPr>
        <sz val="10"/>
        <color rgb="FFFF0000"/>
        <rFont val="Arial"/>
        <family val="2"/>
      </rPr>
      <t>"1" when student has not attempted any item within all submitted sessions.</t>
    </r>
  </si>
  <si>
    <t>Percent correct for the Algebra I Major Content subclaim. This is calculated by dividing the total points earned by the total points possible for the subclaim.
Blank when Algebra I Major Content Raw Score is blank.</t>
  </si>
  <si>
    <t>Total points earned for the Algebra I Additional &amp; Supporting Content subclaim.
Blank when subclaim is not assessed (zero points possible), or when the Raw Score Total for Algebra I is blank.</t>
  </si>
  <si>
    <r>
      <t xml:space="preserve">Rating associated with the Algebra I Expressing Mathematical Reasoning Raw Score.
Blank when Expressing Mathematical Reasoning Raw Score is blank.
</t>
    </r>
    <r>
      <rPr>
        <sz val="10"/>
        <color rgb="FFFF0000"/>
        <rFont val="Arial"/>
        <family val="2"/>
      </rPr>
      <t xml:space="preserve"> "1" when student has not attempted any item within all submitted sessions.</t>
    </r>
  </si>
  <si>
    <t>Percent correct for the Algebra I Expressing Mathematical Reasoning subclaim. This is calculated by dividing the total points earned by the total points possible for the subclaim.
Blank when Expressing Mathematical Reasoning Raw Score is blank.</t>
  </si>
  <si>
    <t>Percent correct for the Algebra I Additional &amp; Supporting Content subclaim. This is calculated by dividing the total points earned by the total points possible for the subclaim.
Blank when Additional &amp; Supporting Content Raw Score is blank.</t>
  </si>
  <si>
    <t>Percent correct for the Algebra I Modeling &amp; Application subclaim. This is calculated by dividing the total points earned by the total points possible for the subclaim.
Blank when Modeling &amp; Application Raw Score is blank.</t>
  </si>
  <si>
    <r>
      <t xml:space="preserve">Rating associated with the Algebra I Modeling &amp; Application Raw Score.
Blank when Algebra I Modeling &amp; Application Raw Score is blank.
</t>
    </r>
    <r>
      <rPr>
        <sz val="10"/>
        <color rgb="FFFF0000"/>
        <rFont val="Arial"/>
        <family val="2"/>
      </rPr>
      <t>"1" when student has not attempted any item within all submitted sessions.</t>
    </r>
  </si>
  <si>
    <r>
      <t xml:space="preserve">Rating associated with the Algebra I Additional &amp; Supporting Content Raw Score.
Blank when Additional &amp; Supporting Content Raw Score is blank.
</t>
    </r>
    <r>
      <rPr>
        <sz val="10"/>
        <color rgb="FFFF0000"/>
        <rFont val="Arial"/>
        <family val="2"/>
      </rPr>
      <t>"1" when student has not attempted any item within all submitted sessions.</t>
    </r>
  </si>
  <si>
    <r>
      <t xml:space="preserve">Rating associated with the English II Written Expression Raw Score.
Blank when Written Expression Raw Score is blank.
</t>
    </r>
    <r>
      <rPr>
        <sz val="10"/>
        <color rgb="FFFF0000"/>
        <rFont val="Arial"/>
        <family val="2"/>
      </rPr>
      <t>"1" when student has not attempted any item within all submitted sessions.</t>
    </r>
  </si>
  <si>
    <t>Total points earned for the English II Reading Literary Text subclaim.
Blank when subclaim is not assessed (zero points possible), or when the Raw Score Total for English II is blank.</t>
  </si>
  <si>
    <r>
      <t xml:space="preserve">Rating associated with the Reading Informational Text Raw Score.
Blank when Reading Informational Text Raw Score is blank.
</t>
    </r>
    <r>
      <rPr>
        <sz val="10"/>
        <color rgb="FFFF0000"/>
        <rFont val="Arial"/>
        <family val="2"/>
      </rPr>
      <t>"1" when student has not attempted any item within all submitted sessions.</t>
    </r>
  </si>
  <si>
    <r>
      <t xml:space="preserve">Rating associated with the English II Knowledge &amp; Use of Language Conventions Raw Score.
Blank when Knowledge &amp; Use of Language Conventions Raw Score is blank.
</t>
    </r>
    <r>
      <rPr>
        <sz val="10"/>
        <color rgb="FFFF0000"/>
        <rFont val="Arial"/>
        <family val="2"/>
      </rPr>
      <t>"1" when student has not attempted any item within all submitted sessions.</t>
    </r>
  </si>
  <si>
    <r>
      <t xml:space="preserve">Rating associated with the English II Reading Raw Score.
Blank when Reading  Raw Score is blank.
</t>
    </r>
    <r>
      <rPr>
        <sz val="10"/>
        <color rgb="FFFF0000"/>
        <rFont val="Arial"/>
        <family val="2"/>
      </rPr>
      <t>"1" when student has not attempted any item within all submitted sessions.</t>
    </r>
  </si>
  <si>
    <r>
      <t xml:space="preserve">Rating associated with the English II Writing Raw Score.
Blank when Writing Raw Score is blank.
</t>
    </r>
    <r>
      <rPr>
        <sz val="10"/>
        <color rgb="FFFF0000"/>
        <rFont val="Arial"/>
        <family val="2"/>
      </rPr>
      <t>"1" when student has not attempted any item within all submitted sessions.</t>
    </r>
  </si>
  <si>
    <r>
      <t xml:space="preserve">Rating associated with the Expressing Mathematical Reasoning Raw Score.
Blank when Expressing Mathematical Reasoning Raw Score is blank.
</t>
    </r>
    <r>
      <rPr>
        <sz val="10"/>
        <color rgb="FFFF0000"/>
        <rFont val="Arial"/>
        <family val="2"/>
      </rPr>
      <t>"1" when student has not attempted any item within all submitted sessions.</t>
    </r>
  </si>
  <si>
    <r>
      <t xml:space="preserve">Rating associated with the Modeling &amp; Application Raw Score.
Blank when Modeling &amp; Application Raw Score is blank.
</t>
    </r>
    <r>
      <rPr>
        <sz val="10"/>
        <color rgb="FFFF0000"/>
        <rFont val="Arial"/>
        <family val="2"/>
      </rPr>
      <t>"1" when student has not attempted any item within all submitted sessions.</t>
    </r>
  </si>
  <si>
    <r>
      <t xml:space="preserve">Rating associated with the Reading Vocabulary Raw Score.
Blank when Reading Vocabulary Raw Score is blank.
</t>
    </r>
    <r>
      <rPr>
        <sz val="10"/>
        <color rgb="FFFF0000"/>
        <rFont val="Arial"/>
        <family val="2"/>
      </rPr>
      <t>"1" when student has not attempted any item within all submitted sessions.</t>
    </r>
  </si>
  <si>
    <r>
      <t xml:space="preserve">Rating associated with the Written Expression Raw Score.
Blank when Written Expression Raw Score is blank.
</t>
    </r>
    <r>
      <rPr>
        <sz val="10"/>
        <color rgb="FFFF0000"/>
        <rFont val="Arial"/>
        <family val="2"/>
      </rPr>
      <t>"1" when student has not attempted any item within all submitted sessions.</t>
    </r>
    <r>
      <rPr>
        <sz val="10"/>
        <rFont val="Arial"/>
        <family val="2"/>
      </rPr>
      <t xml:space="preserve">
</t>
    </r>
  </si>
  <si>
    <r>
      <t xml:space="preserve">Rating associated with the Knowledge &amp; Use of Language Conventions Raw Score.
Blank when Knowledge &amp; Use of Language Conventions Rating Raw Score is blank.
</t>
    </r>
    <r>
      <rPr>
        <sz val="10"/>
        <color rgb="FFFF0000"/>
        <rFont val="Arial"/>
        <family val="2"/>
      </rPr>
      <t>"1" when student has not attempted any item within all submitted sessions.</t>
    </r>
  </si>
  <si>
    <r>
      <t xml:space="preserve">Rating associated with the Reading Raw Score.
Blank when Reading Raw Score is blank.
</t>
    </r>
    <r>
      <rPr>
        <sz val="10"/>
        <color rgb="FFFF0000"/>
        <rFont val="Arial"/>
        <family val="2"/>
      </rPr>
      <t>"1" when student has not attempted any item within all submitted sessions.</t>
    </r>
  </si>
  <si>
    <r>
      <t xml:space="preserve">Rating associated with the Writing Raw Score.
Blank when Writing Raw Score is blank.
</t>
    </r>
    <r>
      <rPr>
        <sz val="10"/>
        <color rgb="FFFF0000"/>
        <rFont val="Arial"/>
        <family val="2"/>
      </rPr>
      <t>"1" when student has not attempted any item within all submitted sessions.</t>
    </r>
  </si>
  <si>
    <t>Total points earned for the Geometry Major Content subclaim.
Blank when subclaim is not assessed (zero points possible), or when the Raw Score Total for Geometry is blank.</t>
  </si>
  <si>
    <t>Percent correct for the Geometry Major Content subclaim. This is calculated by dividing the total points earned by the total points possible for the subclaim.
Blank when Major Content Raw Score is blank.</t>
  </si>
  <si>
    <t>Percent correct for the Geometry Additional &amp; Supporting Content subclaim. This is calculated by dividing the total points earned by the total points possible for the subclaim.
Blank when Additional &amp; Supporting Content Raw Score is blank.</t>
  </si>
  <si>
    <t>Total points earned for the Geometry Modeling &amp; Application Raw Score subclaim.
Blank when subclaim is not assessed (zero points possible), or when the Raw Score Total for Geometry is blank.</t>
  </si>
  <si>
    <t>Percent correct for the Geometry Modeling &amp; Application subclaim. This is calculated by dividing the total points earned by the total points possible for the subclaim.
Blank when Modeling &amp; Application Raw Score is blank.</t>
  </si>
  <si>
    <r>
      <t xml:space="preserve">Rating associated with the Isolationism through the Great War Score.
Blank when Isolationism through the Great War Raw Score is blank.
</t>
    </r>
    <r>
      <rPr>
        <sz val="10"/>
        <color rgb="FFFF0000"/>
        <rFont val="Arial"/>
        <family val="2"/>
      </rPr>
      <t>"1" when student has not attempted any item within all submitted sessions.</t>
    </r>
  </si>
  <si>
    <t>Total points earned for the English I Writing claim.
Blank when subclaim is not assessed (zero points possible), or when the Raw Score Total for English I is blank.</t>
  </si>
  <si>
    <t>Total points earned for the English II Writing claim.
Blank when subclaim is not assessed (zero points possible), or when the Raw Score Total for English II is blank.</t>
  </si>
  <si>
    <t>Total points earned for the Geometry Additional &amp; Supporting Content subclaim.
Blank when subclaim is not assessed (zero points possible), or when the Raw Score Total for Geometry is blank.</t>
  </si>
  <si>
    <t>Total points earned for the Geometry Expressing Mathematical Reasoning subclaim.
Blank when subclaim is not assessed (zero points possible), or when the Raw Score Total for Geometry is blank.</t>
  </si>
  <si>
    <t>Percent correct for the Geometry Expressing Mathematical Reasoning subclaim. This is calculated by dividing the total points earned by the total points possible for the subclaim.
Blank when Expressing Mathematical Reasoning Raw Score is blank.</t>
  </si>
  <si>
    <r>
      <t xml:space="preserve">Rating associated with the Cold War Era Score.
Blank when Cold War Era  is blank.
</t>
    </r>
    <r>
      <rPr>
        <sz val="10"/>
        <color rgb="FFFF0000"/>
        <rFont val="Arial"/>
        <family val="2"/>
      </rPr>
      <t xml:space="preserve">
"1" when student has not attempted any item within all submitted sessions.</t>
    </r>
  </si>
  <si>
    <t>Updated descriptions for claim and sublaim fields to match field names</t>
  </si>
  <si>
    <r>
      <t>US</t>
    </r>
    <r>
      <rPr>
        <sz val="10"/>
        <color rgb="FFFF0000"/>
        <rFont val="Arial"/>
        <family val="2"/>
      </rPr>
      <t xml:space="preserve">E </t>
    </r>
    <r>
      <rPr>
        <sz val="10"/>
        <rFont val="Arial"/>
        <family val="2"/>
      </rPr>
      <t xml:space="preserve">
US</t>
    </r>
    <r>
      <rPr>
        <sz val="10"/>
        <color rgb="FFFF0000"/>
        <rFont val="Arial"/>
        <family val="2"/>
      </rPr>
      <t>E</t>
    </r>
    <r>
      <rPr>
        <sz val="10"/>
        <rFont val="Arial"/>
        <family val="2"/>
      </rPr>
      <t xml:space="preserve">AE </t>
    </r>
    <r>
      <rPr>
        <sz val="10"/>
        <rFont val="Arial"/>
        <family val="2"/>
      </rPr>
      <t xml:space="preserve">
</t>
    </r>
    <r>
      <rPr>
        <strike/>
        <sz val="10"/>
        <rFont val="Arial"/>
        <family val="2"/>
      </rPr>
      <t>USNFT</t>
    </r>
    <r>
      <rPr>
        <sz val="10"/>
        <rFont val="Arial"/>
        <family val="2"/>
      </rPr>
      <t xml:space="preserve">
Blank</t>
    </r>
  </si>
  <si>
    <r>
      <t>US</t>
    </r>
    <r>
      <rPr>
        <sz val="10"/>
        <color rgb="FFFF0000"/>
        <rFont val="Arial"/>
        <family val="2"/>
      </rPr>
      <t xml:space="preserve">E </t>
    </r>
    <r>
      <rPr>
        <sz val="10"/>
        <rFont val="Arial"/>
        <family val="2"/>
      </rPr>
      <t xml:space="preserve"> (for US History) indicates a student was put into a test session or was in the enrolle file for the subject.
US</t>
    </r>
    <r>
      <rPr>
        <sz val="10"/>
        <color rgb="FFFF0000"/>
        <rFont val="Arial"/>
        <family val="2"/>
      </rPr>
      <t>E</t>
    </r>
    <r>
      <rPr>
        <sz val="10"/>
        <rFont val="Arial"/>
        <family val="2"/>
      </rPr>
      <t>AE</t>
    </r>
    <r>
      <rPr>
        <sz val="10"/>
        <rFont val="Arial"/>
        <family val="2"/>
      </rPr>
      <t xml:space="preserve"> indicates a student was put into a test session for the AE form for the subject.
</t>
    </r>
    <r>
      <rPr>
        <strike/>
        <sz val="10"/>
        <rFont val="Arial"/>
        <family val="2"/>
      </rPr>
      <t xml:space="preserve">USNFT indicates a student was put into a test session for the NFT form for the subject. </t>
    </r>
    <r>
      <rPr>
        <sz val="10"/>
        <rFont val="Arial"/>
        <family val="2"/>
      </rPr>
      <t xml:space="preserve">
Blank when a student is not in a test session or was not in the enroll file for the subject.</t>
    </r>
  </si>
  <si>
    <r>
      <t xml:space="preserve">600-800 </t>
    </r>
    <r>
      <rPr>
        <sz val="10"/>
        <color rgb="FF000000"/>
        <rFont val="Arial"/>
        <family val="2"/>
      </rPr>
      <t xml:space="preserve">
Blank</t>
    </r>
  </si>
  <si>
    <r>
      <t xml:space="preserve">Scaled score for U.S. History.
</t>
    </r>
    <r>
      <rPr>
        <sz val="10"/>
        <rFont val="Arial"/>
        <family val="2"/>
      </rPr>
      <t xml:space="preserve">
Refer to the </t>
    </r>
    <r>
      <rPr>
        <b/>
        <u/>
        <sz val="10"/>
        <rFont val="Arial"/>
        <family val="2"/>
      </rPr>
      <t>Resulting LDESTD Values by Subject</t>
    </r>
    <r>
      <rPr>
        <sz val="10"/>
        <rFont val="Arial"/>
        <family val="2"/>
      </rPr>
      <t xml:space="preserve"> section within the EOC Processing Rules - Scoring document for the logic used to set the Scaled Score value.</t>
    </r>
  </si>
  <si>
    <r>
      <t>EXC = Excellent
GOO = Good
FAI = Fair
NIP = Needs Improvement</t>
    </r>
    <r>
      <rPr>
        <sz val="10"/>
        <color rgb="FF000000"/>
        <rFont val="Arial"/>
        <family val="2"/>
      </rPr>
      <t xml:space="preserve">
Blank</t>
    </r>
  </si>
  <si>
    <t xml:space="preserve">
Blank when Scale Score is blank.</t>
  </si>
  <si>
    <r>
      <t xml:space="preserve">
</t>
    </r>
    <r>
      <rPr>
        <sz val="10"/>
        <color rgb="FFFF0000"/>
        <rFont val="Arial"/>
        <family val="2"/>
      </rPr>
      <t>USL</t>
    </r>
    <r>
      <rPr>
        <sz val="10"/>
        <rFont val="Arial"/>
        <family val="2"/>
      </rPr>
      <t xml:space="preserve">
</t>
    </r>
    <r>
      <rPr>
        <sz val="10"/>
        <color rgb="FFFF0000"/>
        <rFont val="Arial"/>
        <family val="2"/>
      </rPr>
      <t>USLAE</t>
    </r>
    <r>
      <rPr>
        <sz val="10"/>
        <rFont val="Arial"/>
        <family val="2"/>
      </rPr>
      <t xml:space="preserve">
Blank</t>
    </r>
  </si>
  <si>
    <r>
      <rPr>
        <sz val="10"/>
        <color rgb="FFFF0000"/>
        <rFont val="Arial"/>
        <family val="2"/>
      </rPr>
      <t>USL</t>
    </r>
    <r>
      <rPr>
        <sz val="10"/>
        <rFont val="Arial"/>
        <family val="2"/>
      </rPr>
      <t xml:space="preserve"> (for US History LEAP 2025) indicates a student was put into a test session or was in the enrolle file for the subject.
</t>
    </r>
    <r>
      <rPr>
        <sz val="10"/>
        <color rgb="FFFF0000"/>
        <rFont val="Arial"/>
        <family val="2"/>
      </rPr>
      <t>USLAE</t>
    </r>
    <r>
      <rPr>
        <sz val="10"/>
        <rFont val="Arial"/>
        <family val="2"/>
      </rPr>
      <t xml:space="preserve"> indicates a student was put into a test session for the AE form for the subject.
</t>
    </r>
    <r>
      <rPr>
        <sz val="10"/>
        <rFont val="Arial"/>
        <family val="2"/>
      </rPr>
      <t xml:space="preserve">
Blank when a student is not in a test session or was not in the enroll file for the subject.</t>
    </r>
  </si>
  <si>
    <r>
      <t xml:space="preserve">
</t>
    </r>
    <r>
      <rPr>
        <sz val="10"/>
        <color rgb="FFFF0000"/>
        <rFont val="Arial"/>
        <family val="2"/>
      </rPr>
      <t>650-850</t>
    </r>
    <r>
      <rPr>
        <sz val="10"/>
        <color rgb="FF000000"/>
        <rFont val="Arial"/>
        <family val="2"/>
      </rPr>
      <t xml:space="preserve">
Blank</t>
    </r>
  </si>
  <si>
    <r>
      <t xml:space="preserve">
</t>
    </r>
    <r>
      <rPr>
        <sz val="10"/>
        <color rgb="FFFF0000"/>
        <rFont val="Arial"/>
        <family val="2"/>
      </rPr>
      <t>UNS = Unsatisfactory
APP = Approaching Basic
BAS = Basic
MAS = Mastery
ADV = Advanced</t>
    </r>
    <r>
      <rPr>
        <sz val="10"/>
        <color rgb="FF000000"/>
        <rFont val="Arial"/>
        <family val="2"/>
      </rPr>
      <t xml:space="preserve">
Blank</t>
    </r>
  </si>
  <si>
    <r>
      <t xml:space="preserve"> 
</t>
    </r>
    <r>
      <rPr>
        <sz val="10"/>
        <color rgb="FFFF0000"/>
        <rFont val="Arial"/>
        <family val="2"/>
      </rPr>
      <t>650-850</t>
    </r>
    <r>
      <rPr>
        <sz val="10"/>
        <color rgb="FF000000"/>
        <rFont val="Arial"/>
        <family val="2"/>
      </rPr>
      <t xml:space="preserve">
Blank</t>
    </r>
  </si>
  <si>
    <r>
      <t>TEST DETAILS - US HISTORY</t>
    </r>
    <r>
      <rPr>
        <b/>
        <sz val="10"/>
        <color rgb="FFFF0000"/>
        <rFont val="Arial"/>
        <family val="2"/>
      </rPr>
      <t xml:space="preserve"> (LEAP 2025)</t>
    </r>
  </si>
  <si>
    <r>
      <t xml:space="preserve">U.S. HISTORY </t>
    </r>
    <r>
      <rPr>
        <b/>
        <sz val="10"/>
        <color rgb="FFFF0000"/>
        <rFont val="Arial"/>
        <family val="2"/>
      </rPr>
      <t>(LEAP 2025)</t>
    </r>
    <r>
      <rPr>
        <b/>
        <sz val="10"/>
        <color rgb="FF0000FF"/>
        <rFont val="Arial"/>
        <family val="2"/>
      </rPr>
      <t xml:space="preserve"> SCORING INFORMATION</t>
    </r>
  </si>
  <si>
    <r>
      <t xml:space="preserve">Testing Flags - U.S. History </t>
    </r>
    <r>
      <rPr>
        <b/>
        <sz val="10"/>
        <color rgb="FFFF0000"/>
        <rFont val="Arial"/>
        <family val="2"/>
      </rPr>
      <t>(LEAP 2025)</t>
    </r>
  </si>
  <si>
    <t>Split US History fields into US History (EOC) and US Histort (LEAP 2025)</t>
  </si>
  <si>
    <r>
      <t xml:space="preserve">U.S. HISTORY </t>
    </r>
    <r>
      <rPr>
        <b/>
        <sz val="10"/>
        <color rgb="FFFF0000"/>
        <rFont val="Arial"/>
        <family val="2"/>
      </rPr>
      <t>(EOC)</t>
    </r>
    <r>
      <rPr>
        <b/>
        <sz val="10"/>
        <color rgb="FF0000FF"/>
        <rFont val="Arial"/>
        <family val="2"/>
      </rPr>
      <t xml:space="preserve"> SCORING INFORMATION</t>
    </r>
  </si>
  <si>
    <r>
      <t xml:space="preserve">U.S. HISTORY </t>
    </r>
    <r>
      <rPr>
        <b/>
        <sz val="10"/>
        <color rgb="FFFF0000"/>
        <rFont val="Arial"/>
        <family val="2"/>
      </rPr>
      <t>(EOC)</t>
    </r>
    <r>
      <rPr>
        <b/>
        <sz val="10"/>
        <color rgb="FF0000FF"/>
        <rFont val="Arial"/>
        <family val="2"/>
      </rPr>
      <t xml:space="preserve"> ACCOMMODATIONS</t>
    </r>
  </si>
  <si>
    <r>
      <t xml:space="preserve">TEST DETAILS - US HISTORY </t>
    </r>
    <r>
      <rPr>
        <b/>
        <sz val="10"/>
        <color rgb="FFFF0000"/>
        <rFont val="Arial"/>
        <family val="2"/>
      </rPr>
      <t>(EOC)</t>
    </r>
  </si>
  <si>
    <r>
      <t xml:space="preserve">Testing Flags - U.S. History </t>
    </r>
    <r>
      <rPr>
        <b/>
        <sz val="10"/>
        <color rgb="FFFF0000"/>
        <rFont val="Arial"/>
        <family val="2"/>
      </rPr>
      <t>(EOC)</t>
    </r>
  </si>
  <si>
    <r>
      <t>U.S. HISTORY</t>
    </r>
    <r>
      <rPr>
        <b/>
        <sz val="10"/>
        <color rgb="FFFF0000"/>
        <rFont val="Arial"/>
        <family val="2"/>
      </rPr>
      <t xml:space="preserve"> (LEAP 2025) </t>
    </r>
    <r>
      <rPr>
        <b/>
        <sz val="10"/>
        <color rgb="FF0000FF"/>
        <rFont val="Arial"/>
        <family val="2"/>
      </rPr>
      <t>ACCOMMODATIONS</t>
    </r>
  </si>
  <si>
    <r>
      <t>Total points earned for the Algebra I Expressing Mathematical Reasoning subclaim.
Blank when subclaim is not assessed (zero points possible), or when the Raw Score Total for</t>
    </r>
    <r>
      <rPr>
        <sz val="10"/>
        <color rgb="FFFF0000"/>
        <rFont val="Arial"/>
        <family val="2"/>
      </rPr>
      <t xml:space="preserve"> Algebra I</t>
    </r>
    <r>
      <rPr>
        <sz val="10"/>
        <rFont val="Arial"/>
        <family val="2"/>
      </rPr>
      <t xml:space="preserve"> is blank.</t>
    </r>
  </si>
  <si>
    <r>
      <t xml:space="preserve">Percent Correct for Western Expansion to Progressivism. This is calculated by dividing the total points earned by the total points possible for the standard.
Blank when the </t>
    </r>
    <r>
      <rPr>
        <sz val="10"/>
        <color rgb="FFFF0000"/>
        <rFont val="Arial"/>
        <family val="2"/>
      </rPr>
      <t xml:space="preserve">Western Expansion to Progressivism </t>
    </r>
    <r>
      <rPr>
        <sz val="10"/>
        <rFont val="Arial"/>
        <family val="2"/>
      </rPr>
      <t>Raw Score is blank.</t>
    </r>
  </si>
  <si>
    <r>
      <t xml:space="preserve">Percent Correct for Isolationism through the Great War. This is calculated by dividing the total points earned by the total points possible for the standard.
Blank when the </t>
    </r>
    <r>
      <rPr>
        <sz val="10"/>
        <color rgb="FFFF0000"/>
        <rFont val="Arial"/>
        <family val="2"/>
      </rPr>
      <t>Isolationism through the Great War</t>
    </r>
    <r>
      <rPr>
        <sz val="10"/>
        <rFont val="Arial"/>
        <family val="2"/>
      </rPr>
      <t xml:space="preserve">  Raw Score is blank.</t>
    </r>
  </si>
  <si>
    <r>
      <t>Percent Correct for Becoming a World Power through World War II. This is calculated by dividing the total points earned by the total points possible for the standard.
Blank when the</t>
    </r>
    <r>
      <rPr>
        <sz val="10"/>
        <color rgb="FFFF0000"/>
        <rFont val="Arial"/>
        <family val="2"/>
      </rPr>
      <t xml:space="preserve"> Becoming a World Power through World War II</t>
    </r>
    <r>
      <rPr>
        <sz val="10"/>
        <rFont val="Arial"/>
        <family val="2"/>
      </rPr>
      <t xml:space="preserve"> Raw Score is blank.</t>
    </r>
  </si>
  <si>
    <r>
      <t xml:space="preserve">Percent Correct for Cold War Era. This is calculated by dividing the total points earned by the total points possible for the standard.
Blank when the </t>
    </r>
    <r>
      <rPr>
        <sz val="10"/>
        <color rgb="FFFF0000"/>
        <rFont val="Arial"/>
        <family val="2"/>
      </rPr>
      <t>Cold War Era</t>
    </r>
    <r>
      <rPr>
        <sz val="10"/>
        <rFont val="Arial"/>
        <family val="2"/>
      </rPr>
      <t xml:space="preserve"> Raw Score is blank.</t>
    </r>
  </si>
  <si>
    <r>
      <t xml:space="preserve">Percent Correct for The Modern Age. This is calculated by dividing the total points earned by the total points possible for the standard.
Blank when the </t>
    </r>
    <r>
      <rPr>
        <sz val="10"/>
        <color rgb="FFFF0000"/>
        <rFont val="Arial"/>
        <family val="2"/>
      </rPr>
      <t>The Modern Age</t>
    </r>
    <r>
      <rPr>
        <sz val="10"/>
        <rFont val="Arial"/>
        <family val="2"/>
      </rPr>
      <t xml:space="preserve"> Raw Score is blank.</t>
    </r>
  </si>
  <si>
    <r>
      <t xml:space="preserve">Total points earned for the Algebra I Modeling &amp; Application Raw Score subclaim.
Blank when subclaim is not assessed (zero points possible), or when the Raw Score Total for </t>
    </r>
    <r>
      <rPr>
        <sz val="10"/>
        <color rgb="FFFF0000"/>
        <rFont val="Arial"/>
        <family val="2"/>
      </rPr>
      <t xml:space="preserve">Algebra I </t>
    </r>
    <r>
      <rPr>
        <sz val="10"/>
        <color theme="1"/>
        <rFont val="Arial"/>
        <family val="2"/>
      </rPr>
      <t>is blank.</t>
    </r>
  </si>
  <si>
    <t>Incorporated LDOE feedback into Description for the following fields:
Expressing Mathematical Reasoning Raw Score
Modeling &amp; Application Raw Score
Reading Vocabulary Rating
Western Expansion to Progressivism - Standard 2 - Percent Correct
Isolationism through the Great War - Standard 3 - Percent Correct
Becoming a World Power through World War II - Standard 4 - Percent Correct
Cold War Era - Standard 5 - Percent Correct
The Modern Age - Standard 6 - Percent Correct</t>
  </si>
  <si>
    <r>
      <t>Rating associated with the English II Reading Vocabulary Raw Score.
Blank when Reading Vocabulary</t>
    </r>
    <r>
      <rPr>
        <strike/>
        <sz val="10"/>
        <color rgb="FFFF0000"/>
        <rFont val="Arial"/>
        <family val="2"/>
      </rPr>
      <t xml:space="preserve"> Text</t>
    </r>
    <r>
      <rPr>
        <sz val="10"/>
        <rFont val="Arial"/>
        <family val="2"/>
      </rPr>
      <t xml:space="preserve"> Raw Score is blank.
</t>
    </r>
    <r>
      <rPr>
        <sz val="10"/>
        <color rgb="FFFF0000"/>
        <rFont val="Arial"/>
        <family val="2"/>
      </rPr>
      <t>"1" when student has not attempted any item within all submitted sessions.</t>
    </r>
  </si>
  <si>
    <t>Interpreting Functions Percent Correct</t>
  </si>
  <si>
    <t>Interpreting Functions Raw Score</t>
  </si>
  <si>
    <t>Interpreting Functions Rating</t>
  </si>
  <si>
    <t>Solving Algebraically Raw Score</t>
  </si>
  <si>
    <t>Solving Algebraically Rating</t>
  </si>
  <si>
    <t>Solving Graphically/Rate of Change Raw Score</t>
  </si>
  <si>
    <r>
      <t xml:space="preserve">Total points earned for the Algebra I Interpreting Functions Raw Score subcategory.
Blank when subcategory is not assessed (zero points possible), or when the Raw Score Total for </t>
    </r>
    <r>
      <rPr>
        <sz val="10"/>
        <rFont val="Arial"/>
        <family val="2"/>
      </rPr>
      <t>Algebra I</t>
    </r>
    <r>
      <rPr>
        <sz val="10"/>
        <color rgb="FFFF0000"/>
        <rFont val="Arial"/>
        <family val="2"/>
      </rPr>
      <t xml:space="preserve"> </t>
    </r>
    <r>
      <rPr>
        <sz val="10"/>
        <color theme="1"/>
        <rFont val="Arial"/>
        <family val="2"/>
      </rPr>
      <t>is blank.</t>
    </r>
  </si>
  <si>
    <t>Rating associated with the Algebra I Interpreting Functions Raw Score.
Blank when Algebra I Interpreting Functions Raw Score is blank.
"1" when student has not attempted any item within all submitted sessions.</t>
  </si>
  <si>
    <t>Percent correct for the Algebra I Interpreting Functions subcategory. This is calculated by dividing the total points earned by the total points possible for the subclaim.
Blank when Interpreting Functions Raw Score is blank.</t>
  </si>
  <si>
    <r>
      <t xml:space="preserve">Total points earned for the Algebra I Solving Algebraically Raw Score subcategory.
Blank when subcategory is not assessed (zero points possible), or when the Raw Score Total for </t>
    </r>
    <r>
      <rPr>
        <sz val="10"/>
        <rFont val="Arial"/>
        <family val="2"/>
      </rPr>
      <t>Algebra I</t>
    </r>
    <r>
      <rPr>
        <sz val="10"/>
        <color rgb="FFFF0000"/>
        <rFont val="Arial"/>
        <family val="2"/>
      </rPr>
      <t xml:space="preserve"> </t>
    </r>
    <r>
      <rPr>
        <sz val="10"/>
        <color theme="1"/>
        <rFont val="Arial"/>
        <family val="2"/>
      </rPr>
      <t>is blank.</t>
    </r>
  </si>
  <si>
    <t>Percent correct for the Algebra I Solving Algebraically subcategory. This is calculated by dividing the total points earned by the total points possible for the subcategory.
Blank when Solving Algebraically Raw Score is blank.</t>
  </si>
  <si>
    <t>Solving Algebraically Percent Correct</t>
  </si>
  <si>
    <t>Solving Graphically/Rate of Change Percent Correct</t>
  </si>
  <si>
    <t>Solving Graphically/Rate of Change Rating</t>
  </si>
  <si>
    <t>Congruence Transformations/Similarity Raw Score</t>
  </si>
  <si>
    <r>
      <t xml:space="preserve">Total points earned for the Geometry Congruence Transformations/Similarity Raw Score subcategory.
Blank when subcategory is not assessed (zero points possible), or when the Raw Score Total for </t>
    </r>
    <r>
      <rPr>
        <sz val="10"/>
        <rFont val="Arial"/>
        <family val="2"/>
      </rPr>
      <t>Geometry</t>
    </r>
    <r>
      <rPr>
        <sz val="10"/>
        <color rgb="FFFF0000"/>
        <rFont val="Arial"/>
        <family val="2"/>
      </rPr>
      <t xml:space="preserve"> </t>
    </r>
    <r>
      <rPr>
        <sz val="10"/>
        <color theme="1"/>
        <rFont val="Arial"/>
        <family val="2"/>
      </rPr>
      <t>is blank.</t>
    </r>
  </si>
  <si>
    <t>Congruence Transformations/Similarity Rating</t>
  </si>
  <si>
    <t>Rating associated with the Congruence Transformations/Similarity subcategory Raw Score.
Blank when Congruence Transformations/Similarity subcategory Raw Score is blank.
"1" when student has not attempted any item within all submitted sessions.</t>
  </si>
  <si>
    <t>Percent correct for the Congruence Transformations/Similarity   subcategory. This is calculated by dividing the total points earned by the total points possible for the subclaim.
Blank when Congruence Transformations/Similarity  Raw Score is blank.</t>
  </si>
  <si>
    <t>Subcategory Information</t>
  </si>
  <si>
    <r>
      <t xml:space="preserve">Total points earned for the Algebra I Solving Graphically/Rate of Change Raw Score subcategory.
Blank when subcategory is not assessed (zero points possible), or when the Raw Score Total for </t>
    </r>
    <r>
      <rPr>
        <sz val="10"/>
        <rFont val="Arial"/>
        <family val="2"/>
      </rPr>
      <t>Algebra I</t>
    </r>
    <r>
      <rPr>
        <sz val="10"/>
        <color rgb="FFFF0000"/>
        <rFont val="Arial"/>
        <family val="2"/>
      </rPr>
      <t xml:space="preserve"> </t>
    </r>
    <r>
      <rPr>
        <sz val="10"/>
        <color theme="1"/>
        <rFont val="Arial"/>
        <family val="2"/>
      </rPr>
      <t>is blank.</t>
    </r>
  </si>
  <si>
    <t>Rating associated with the Algebra I Solving Graphically/Rate of Change Raw Score.
Blank when Algebra I Solving Graphically/Rate of Change Raw Score is blank.
"1" when student has not attempted any item within all submitted sessions.</t>
  </si>
  <si>
    <t>Percent correct for the Algebra I Solving Graphically/Rate of Change subcategory. This is calculated by dividing the total points earned by the total points possible for the subclaim.
Blank when Solving Graphically/Rate of Change Raw Score is blank.</t>
  </si>
  <si>
    <t xml:space="preserve">Added Subcategory Information for Algebra I and Geometry </t>
  </si>
  <si>
    <t>Similarity in Trigonometry/Modeling &amp; Applying Rating</t>
  </si>
  <si>
    <t>Similarity in Trigonometry/Modeling &amp; Applying  Raw Score</t>
  </si>
  <si>
    <t>Similarity in Trigonometry/Modeling &amp; Applying Percent Correct</t>
  </si>
  <si>
    <t>Total points earned for the Geometry Similarity in Trigonometry/Modeling &amp; Applying subcategory.
Blank when subcategory is not assessed (zero points possible), or when the Raw Score Total for Geometry is blank.</t>
  </si>
  <si>
    <t>Rating associated with the Similarity in Trigonometry/Modeling &amp; Applying Raw Score.
Blank when Similarity in Trigonometry/Modeling &amp; Applying Raw Score is blank.
"1" when student has not attempted any item within all submitted sessions.</t>
  </si>
  <si>
    <t>Percent correct for the Geometry Similarity in Trigonometry/Modeling &amp; Applying subcategory. This is calculated by dividing the total points earned by the total points possible for the subcategory.
Blank when Similarity in Trigonometry/Modeling &amp; Applying Raw Score is blank.</t>
  </si>
  <si>
    <r>
      <t xml:space="preserve">Rating associated with the Algebra I Solving Algebraically Raw Score.
Blank when Algebra I </t>
    </r>
    <r>
      <rPr>
        <sz val="10"/>
        <color rgb="FFFF0000"/>
        <rFont val="Arial"/>
        <family val="2"/>
      </rPr>
      <t>Solving Algebraically</t>
    </r>
    <r>
      <rPr>
        <sz val="10"/>
        <rFont val="Arial"/>
        <family val="2"/>
      </rPr>
      <t xml:space="preserve"> Raw Score is blank.
"1" when student has not attempted any item within all submitted sessions.</t>
    </r>
  </si>
  <si>
    <r>
      <t xml:space="preserve">Congruence Transformations/Similarity </t>
    </r>
    <r>
      <rPr>
        <sz val="10"/>
        <color rgb="FFFF0000"/>
        <rFont val="Arial"/>
        <family val="2"/>
      </rPr>
      <t xml:space="preserve">Percent </t>
    </r>
    <r>
      <rPr>
        <sz val="10"/>
        <rFont val="Arial"/>
        <family val="2"/>
      </rPr>
      <t>Correct</t>
    </r>
  </si>
  <si>
    <t>Incorporated LDOE feedback from 10/18/2017
Corrected description for "Solving Algebraically Rating" field
Corrected field name for "Congruence Transformations/Similarity Percent Correct"</t>
  </si>
  <si>
    <t>Session 4 Completed</t>
  </si>
  <si>
    <t>Added Session 4 Completed field to Algebra I and Geometry</t>
  </si>
  <si>
    <r>
      <t xml:space="preserve">Total points earned for operational MC items for Algebra I.
Blank when Total Raw Score is blank.
</t>
    </r>
    <r>
      <rPr>
        <sz val="10"/>
        <color rgb="FFFF0000"/>
        <rFont val="Arial"/>
        <family val="2"/>
      </rPr>
      <t xml:space="preserve">
Field value is right justified with leading spaces. </t>
    </r>
  </si>
  <si>
    <r>
      <t xml:space="preserve">Total points earned for operational CR items for Algebra I.
Blank when Total Raw Score is blank.
</t>
    </r>
    <r>
      <rPr>
        <sz val="10"/>
        <color rgb="FFFF0000"/>
        <rFont val="Arial"/>
        <family val="2"/>
      </rPr>
      <t xml:space="preserve">Field value is right justified with leading spaces. </t>
    </r>
    <r>
      <rPr>
        <sz val="10"/>
        <rFont val="Arial"/>
        <family val="2"/>
      </rPr>
      <t xml:space="preserve">
</t>
    </r>
  </si>
  <si>
    <r>
      <t xml:space="preserve">Total points earned for operational MC items for English II.
Blank when Total Raw Score is blank.
</t>
    </r>
    <r>
      <rPr>
        <sz val="10"/>
        <color rgb="FFFF0000"/>
        <rFont val="Arial"/>
        <family val="2"/>
      </rPr>
      <t xml:space="preserve">Field value is right justified with leading spaces. </t>
    </r>
  </si>
  <si>
    <r>
      <t xml:space="preserve">Total points earned for operational CR items for English II.
Blank when Total Raw Score is blank.
</t>
    </r>
    <r>
      <rPr>
        <sz val="10"/>
        <color rgb="FFFF0000"/>
        <rFont val="Arial"/>
        <family val="2"/>
      </rPr>
      <t>Field value is right justified with leading spaces</t>
    </r>
    <r>
      <rPr>
        <sz val="10"/>
        <rFont val="Arial"/>
        <family val="2"/>
      </rPr>
      <t xml:space="preserve">. </t>
    </r>
  </si>
  <si>
    <r>
      <t>Total points earned for operational MC items for Geometry.
Blank when Total Raw Score is blank.</t>
    </r>
    <r>
      <rPr>
        <sz val="10"/>
        <rFont val="Arial"/>
        <family val="2"/>
      </rPr>
      <t xml:space="preserve">
</t>
    </r>
    <r>
      <rPr>
        <sz val="10"/>
        <color rgb="FFFF0000"/>
        <rFont val="Arial"/>
        <family val="2"/>
      </rPr>
      <t>Field value is right justified with leading spaces.</t>
    </r>
    <r>
      <rPr>
        <sz val="10"/>
        <rFont val="Arial"/>
        <family val="2"/>
      </rPr>
      <t xml:space="preserve"> </t>
    </r>
  </si>
  <si>
    <r>
      <t xml:space="preserve">Total points earned for operational CR items for Geometry.
Blank when Total Raw Score is blank.
</t>
    </r>
    <r>
      <rPr>
        <sz val="10"/>
        <color rgb="FFFF0000"/>
        <rFont val="Arial"/>
        <family val="2"/>
      </rPr>
      <t xml:space="preserve">Field value is right justified with leading spaces. </t>
    </r>
  </si>
  <si>
    <r>
      <t xml:space="preserve">Total Percent Correct. This is calculated by dividing the Total Raw Score by the total operational points possible.
Blank when raw score is blank.
</t>
    </r>
    <r>
      <rPr>
        <sz val="10"/>
        <color rgb="FFFF0000"/>
        <rFont val="Arial"/>
        <family val="2"/>
      </rPr>
      <t xml:space="preserve">
Field value is right justified with leading spaces. </t>
    </r>
  </si>
  <si>
    <r>
      <t xml:space="preserve">Total Percent Correct. This is calculated by dividing the Total Raw Score by the total operational points possible.
Blank when raw score is blank.
</t>
    </r>
    <r>
      <rPr>
        <sz val="10"/>
        <color rgb="FFFF0000"/>
        <rFont val="Arial"/>
        <family val="2"/>
      </rPr>
      <t xml:space="preserve">Field value is right justified with leading spaces. </t>
    </r>
  </si>
  <si>
    <r>
      <t>Total raw score for Algebra I.
Field Test items are not included in raw score totals.</t>
    </r>
    <r>
      <rPr>
        <sz val="10"/>
        <rFont val="Arial"/>
        <family val="2"/>
      </rPr>
      <t xml:space="preserve">
Refer to the </t>
    </r>
    <r>
      <rPr>
        <b/>
        <u/>
        <sz val="10"/>
        <rFont val="Arial"/>
        <family val="2"/>
      </rPr>
      <t xml:space="preserve">Resulting LDESTD Values by Subject </t>
    </r>
    <r>
      <rPr>
        <sz val="10"/>
        <rFont val="Arial"/>
        <family val="2"/>
      </rPr>
      <t>section within the EOC Processing Rules - Scoring document for the logic used to set the Raw Score value.</t>
    </r>
  </si>
  <si>
    <r>
      <t xml:space="preserve">Total points earned for operational MC items for Biology.
Blank when Total Raw Score is blank.
</t>
    </r>
    <r>
      <rPr>
        <sz val="10"/>
        <color rgb="FFFF0000"/>
        <rFont val="Arial"/>
        <family val="2"/>
      </rPr>
      <t>Field value is right justified with leading spaces</t>
    </r>
    <r>
      <rPr>
        <sz val="10"/>
        <rFont val="Arial"/>
        <family val="2"/>
      </rPr>
      <t xml:space="preserve">. </t>
    </r>
  </si>
  <si>
    <r>
      <t xml:space="preserve">Total points earned for operational CR items for Biology.
Blank when Total Raw Score is blank.
</t>
    </r>
    <r>
      <rPr>
        <sz val="10"/>
        <color rgb="FFFF0000"/>
        <rFont val="Arial"/>
        <family val="2"/>
      </rPr>
      <t>Field value is right justified with leading spaces.</t>
    </r>
    <r>
      <rPr>
        <sz val="10"/>
        <rFont val="Arial"/>
        <family val="2"/>
      </rPr>
      <t xml:space="preserve"> </t>
    </r>
  </si>
  <si>
    <r>
      <t xml:space="preserve">Total Percent Correct. This is calculated by dividing the Total Raw Score by the total operational points possible.
Blank when raw score is blank.
</t>
    </r>
    <r>
      <rPr>
        <sz val="10"/>
        <color rgb="FFFF0000"/>
        <rFont val="Arial"/>
        <family val="2"/>
      </rPr>
      <t>Field value is right justified with leading spaces.</t>
    </r>
    <r>
      <rPr>
        <sz val="10"/>
        <rFont val="Arial"/>
        <family val="2"/>
      </rPr>
      <t xml:space="preserve"> </t>
    </r>
  </si>
  <si>
    <r>
      <t xml:space="preserve">Total points earned for operational MC items for English III.
Blank when Total Raw Score is blank.
</t>
    </r>
    <r>
      <rPr>
        <sz val="10"/>
        <color rgb="FFFF0000"/>
        <rFont val="Arial"/>
        <family val="2"/>
      </rPr>
      <t>Field value is right justified with leading spaces</t>
    </r>
    <r>
      <rPr>
        <sz val="10"/>
        <rFont val="Arial"/>
        <family val="2"/>
      </rPr>
      <t xml:space="preserve">. </t>
    </r>
  </si>
  <si>
    <r>
      <t xml:space="preserve">Total points earned for operational CR items for English III.
Blank when Total Raw Score is blank.
</t>
    </r>
    <r>
      <rPr>
        <sz val="10"/>
        <color rgb="FFFF0000"/>
        <rFont val="Arial"/>
        <family val="2"/>
      </rPr>
      <t>Field value is right justified with leading spaces</t>
    </r>
    <r>
      <rPr>
        <sz val="10"/>
        <rFont val="Arial"/>
        <family val="2"/>
      </rPr>
      <t xml:space="preserve">. </t>
    </r>
  </si>
  <si>
    <r>
      <t xml:space="preserve">Total points earned for operational MC items for U.S. History.
Blank when Total Raw Score is blank.
</t>
    </r>
    <r>
      <rPr>
        <sz val="10"/>
        <color rgb="FFFF0000"/>
        <rFont val="Arial"/>
        <family val="2"/>
      </rPr>
      <t xml:space="preserve">
Field value is right justified with leading spaces.  </t>
    </r>
  </si>
  <si>
    <r>
      <t xml:space="preserve">Total points earned for operational CR items for U.S. History.
Blank when Total Raw Score is blank.
</t>
    </r>
    <r>
      <rPr>
        <sz val="10"/>
        <color rgb="FFFF0000"/>
        <rFont val="Arial"/>
        <family val="2"/>
      </rPr>
      <t xml:space="preserve">Field value is right justified with leading spaces. </t>
    </r>
  </si>
  <si>
    <r>
      <t xml:space="preserve">Total points earned for operational MC items for U.S. History.
Blank when Total Raw Score is blank.
</t>
    </r>
    <r>
      <rPr>
        <sz val="10"/>
        <color rgb="FFFF0000"/>
        <rFont val="Arial"/>
        <family val="2"/>
      </rPr>
      <t>Field value is right justified with leading spaces</t>
    </r>
    <r>
      <rPr>
        <sz val="10"/>
        <rFont val="Arial"/>
        <family val="2"/>
      </rPr>
      <t xml:space="preserve">. </t>
    </r>
  </si>
  <si>
    <r>
      <t xml:space="preserve">Total points earned for operational CR items for U.S. History.
Blank when Total Raw Score is blank.
</t>
    </r>
    <r>
      <rPr>
        <sz val="10"/>
        <color rgb="FFFF0000"/>
        <rFont val="Arial"/>
        <family val="2"/>
      </rPr>
      <t>Field value is right justified with leading spaces.</t>
    </r>
    <r>
      <rPr>
        <sz val="10"/>
        <rFont val="Arial"/>
        <family val="2"/>
      </rPr>
      <t xml:space="preserve"> </t>
    </r>
  </si>
  <si>
    <r>
      <t xml:space="preserve">Total points earned for operational MC items for English I.
Blank when Total Raw Score is blank.
</t>
    </r>
    <r>
      <rPr>
        <sz val="10"/>
        <color rgb="FFFF0000"/>
        <rFont val="Arial"/>
        <family val="2"/>
      </rPr>
      <t xml:space="preserve">
Field value is right justified with leading spaces.</t>
    </r>
    <r>
      <rPr>
        <sz val="10"/>
        <rFont val="Arial"/>
        <family val="2"/>
      </rPr>
      <t xml:space="preserve"> </t>
    </r>
  </si>
  <si>
    <r>
      <t xml:space="preserve">Total points earned for operational CR items for English I.
Blank when Total Raw Score is blank.
</t>
    </r>
    <r>
      <rPr>
        <sz val="10"/>
        <color rgb="FFFF0000"/>
        <rFont val="Arial"/>
        <family val="2"/>
      </rPr>
      <t xml:space="preserve">Field value is right justified with leading spaces. </t>
    </r>
  </si>
  <si>
    <t>LDOE Sign-off for Fall 2017</t>
  </si>
  <si>
    <t>Qi Li</t>
  </si>
  <si>
    <t>Per internal SQA request, added formatting clarification to the Description for  Total MC Score, Total CR Score, Total Percent Correct. Re: Smart 66393</t>
  </si>
  <si>
    <r>
      <rPr>
        <strike/>
        <sz val="10"/>
        <color theme="1"/>
        <rFont val="Arial"/>
        <family val="2"/>
      </rPr>
      <t>00.0-99.5</t>
    </r>
    <r>
      <rPr>
        <sz val="10"/>
        <color theme="1"/>
        <rFont val="Arial"/>
        <family val="2"/>
      </rPr>
      <t xml:space="preserve">
</t>
    </r>
    <r>
      <rPr>
        <sz val="10"/>
        <color rgb="FFFF0000"/>
        <rFont val="Arial"/>
        <family val="2"/>
      </rPr>
      <t>0-99</t>
    </r>
    <r>
      <rPr>
        <sz val="10"/>
        <color theme="1"/>
        <rFont val="Arial"/>
        <family val="2"/>
      </rPr>
      <t xml:space="preserve">
Blank</t>
    </r>
  </si>
  <si>
    <t>Replaced raw score values of 00.0-99.5 with 0-99 for all affected subjects</t>
  </si>
  <si>
    <r>
      <t xml:space="preserve">Each Item uses </t>
    </r>
    <r>
      <rPr>
        <strike/>
        <sz val="10"/>
        <color rgb="FF000000"/>
        <rFont val="Arial"/>
        <family val="2"/>
      </rPr>
      <t>3</t>
    </r>
    <r>
      <rPr>
        <sz val="10"/>
        <color rgb="FFFF0000"/>
        <rFont val="Arial"/>
        <family val="2"/>
      </rPr>
      <t>4</t>
    </r>
    <r>
      <rPr>
        <sz val="10"/>
        <color rgb="FF000000"/>
        <rFont val="Arial"/>
        <family val="2"/>
      </rPr>
      <t xml:space="preserve"> characters of space.
If the item is </t>
    </r>
    <r>
      <rPr>
        <b/>
        <sz val="10"/>
        <color rgb="FF000000"/>
        <rFont val="Arial"/>
        <family val="2"/>
      </rPr>
      <t>multiple choice</t>
    </r>
    <r>
      <rPr>
        <sz val="10"/>
        <color rgb="FF000000"/>
        <rFont val="Arial"/>
        <family val="2"/>
      </rPr>
      <t xml:space="preserve">, the first character of the three is populated with the student's response within the remaining position as filler.
1-4
A
B
C
D
Blank = No Response
If the item </t>
    </r>
    <r>
      <rPr>
        <b/>
        <sz val="10"/>
        <color rgb="FF000000"/>
        <rFont val="Arial"/>
        <family val="2"/>
      </rPr>
      <t>constructed response</t>
    </r>
    <r>
      <rPr>
        <sz val="10"/>
        <color rgb="FF000000"/>
        <rFont val="Arial"/>
        <family val="2"/>
      </rPr>
      <t xml:space="preserve">, the student's score for the constructed response item is represented. 
</t>
    </r>
    <r>
      <rPr>
        <strike/>
        <sz val="10"/>
        <color rgb="FF000000"/>
        <rFont val="Arial"/>
        <family val="2"/>
      </rPr>
      <t>0.0 - 4.0</t>
    </r>
    <r>
      <rPr>
        <sz val="10"/>
        <color rgb="FF000000"/>
        <rFont val="Arial"/>
        <family val="2"/>
      </rPr>
      <t xml:space="preserve"> </t>
    </r>
    <r>
      <rPr>
        <sz val="10"/>
        <color rgb="FFFF0000"/>
        <rFont val="Arial"/>
        <family val="2"/>
      </rPr>
      <t>0.00-99.0</t>
    </r>
    <r>
      <rPr>
        <sz val="10"/>
        <color rgb="FF000000"/>
        <rFont val="Arial"/>
        <family val="2"/>
      </rPr>
      <t xml:space="preserve">
&lt;NonScore Code&gt; = Refer to the </t>
    </r>
    <r>
      <rPr>
        <b/>
        <u/>
        <sz val="10"/>
        <color rgb="FF000000"/>
        <rFont val="Arial"/>
        <family val="2"/>
      </rPr>
      <t>Constructed Response Items</t>
    </r>
    <r>
      <rPr>
        <sz val="10"/>
        <color rgb="FF000000"/>
        <rFont val="Arial"/>
        <family val="2"/>
      </rPr>
      <t xml:space="preserve"> section of the Processing Rules - Scoring document for applicable non-score codes.
"-" = Item not attempted and not sent to handscoring.</t>
    </r>
  </si>
  <si>
    <r>
      <t xml:space="preserve">Each Item uses </t>
    </r>
    <r>
      <rPr>
        <strike/>
        <sz val="10"/>
        <color rgb="FF000000"/>
        <rFont val="Arial"/>
        <family val="2"/>
      </rPr>
      <t>3</t>
    </r>
    <r>
      <rPr>
        <sz val="10"/>
        <color rgb="FF000000"/>
        <rFont val="Arial"/>
        <family val="2"/>
      </rPr>
      <t xml:space="preserve"> </t>
    </r>
    <r>
      <rPr>
        <sz val="10"/>
        <color rgb="FFFF0000"/>
        <rFont val="Arial"/>
        <family val="2"/>
      </rPr>
      <t>4</t>
    </r>
    <r>
      <rPr>
        <sz val="10"/>
        <color rgb="FF000000"/>
        <rFont val="Arial"/>
        <family val="2"/>
      </rPr>
      <t xml:space="preserve">characters of space.
If the item is </t>
    </r>
    <r>
      <rPr>
        <b/>
        <sz val="10"/>
        <color rgb="FF000000"/>
        <rFont val="Arial"/>
        <family val="2"/>
      </rPr>
      <t>multiple choice</t>
    </r>
    <r>
      <rPr>
        <sz val="10"/>
        <color rgb="FF000000"/>
        <rFont val="Arial"/>
        <family val="2"/>
      </rPr>
      <t xml:space="preserve">, the first character of the three is populated with the student's response within the remaining position as filler.
1-4
A
B
C
D
Blank = No Response
If the item </t>
    </r>
    <r>
      <rPr>
        <b/>
        <sz val="10"/>
        <color rgb="FF000000"/>
        <rFont val="Arial"/>
        <family val="2"/>
      </rPr>
      <t>constructed response</t>
    </r>
    <r>
      <rPr>
        <sz val="10"/>
        <color rgb="FF000000"/>
        <rFont val="Arial"/>
        <family val="2"/>
      </rPr>
      <t xml:space="preserve">, the student's score for the constructed response item is represented. 
</t>
    </r>
    <r>
      <rPr>
        <strike/>
        <sz val="10"/>
        <color rgb="FF000000"/>
        <rFont val="Arial"/>
        <family val="2"/>
      </rPr>
      <t xml:space="preserve">0.0 - 4.0 </t>
    </r>
    <r>
      <rPr>
        <sz val="10"/>
        <color rgb="FFFF0000"/>
        <rFont val="Arial"/>
        <family val="2"/>
      </rPr>
      <t>0.00-99.0</t>
    </r>
    <r>
      <rPr>
        <sz val="10"/>
        <color rgb="FF000000"/>
        <rFont val="Arial"/>
        <family val="2"/>
      </rPr>
      <t xml:space="preserve">
&lt;NonScore Code&gt; = Refer to the </t>
    </r>
    <r>
      <rPr>
        <b/>
        <u/>
        <sz val="10"/>
        <color rgb="FF000000"/>
        <rFont val="Arial"/>
        <family val="2"/>
      </rPr>
      <t>Constructed Response Items</t>
    </r>
    <r>
      <rPr>
        <sz val="10"/>
        <color rgb="FF000000"/>
        <rFont val="Arial"/>
        <family val="2"/>
      </rPr>
      <t xml:space="preserve"> section of the Processing Rules - Scoring document for applicable non-score codes.
"-" = Item not attempted and not sent to handscoring.</t>
    </r>
  </si>
  <si>
    <r>
      <t xml:space="preserve">Each Item uses </t>
    </r>
    <r>
      <rPr>
        <strike/>
        <sz val="10"/>
        <color rgb="FF000000"/>
        <rFont val="Arial"/>
        <family val="2"/>
      </rPr>
      <t>3</t>
    </r>
    <r>
      <rPr>
        <sz val="10"/>
        <color rgb="FFFF0000"/>
        <rFont val="Arial"/>
        <family val="2"/>
      </rPr>
      <t xml:space="preserve"> 4</t>
    </r>
    <r>
      <rPr>
        <sz val="10"/>
        <color rgb="FF000000"/>
        <rFont val="Arial"/>
        <family val="2"/>
      </rPr>
      <t xml:space="preserve">characters of space.
If the item is </t>
    </r>
    <r>
      <rPr>
        <b/>
        <sz val="10"/>
        <color rgb="FF000000"/>
        <rFont val="Arial"/>
        <family val="2"/>
      </rPr>
      <t>multiple choice</t>
    </r>
    <r>
      <rPr>
        <sz val="10"/>
        <color rgb="FF000000"/>
        <rFont val="Arial"/>
        <family val="2"/>
      </rPr>
      <t xml:space="preserve">, the first character of the three is populated with the student's response within the remaining position as filler.
1-4
A
B
C
D
Blank = No Response
If the item </t>
    </r>
    <r>
      <rPr>
        <b/>
        <sz val="10"/>
        <color rgb="FF000000"/>
        <rFont val="Arial"/>
        <family val="2"/>
      </rPr>
      <t>constructed response</t>
    </r>
    <r>
      <rPr>
        <sz val="10"/>
        <color rgb="FF000000"/>
        <rFont val="Arial"/>
        <family val="2"/>
      </rPr>
      <t xml:space="preserve">, the student's score for the constructed response item is represented. 
</t>
    </r>
    <r>
      <rPr>
        <strike/>
        <sz val="10"/>
        <color rgb="FF000000"/>
        <rFont val="Arial"/>
        <family val="2"/>
      </rPr>
      <t>0.0 - 4.0</t>
    </r>
    <r>
      <rPr>
        <sz val="10"/>
        <color rgb="FFFF0000"/>
        <rFont val="Arial"/>
        <family val="2"/>
      </rPr>
      <t xml:space="preserve"> 0.00-99.0</t>
    </r>
    <r>
      <rPr>
        <sz val="10"/>
        <color rgb="FF000000"/>
        <rFont val="Arial"/>
        <family val="2"/>
      </rPr>
      <t xml:space="preserve">
&lt;NonScore Code&gt; = Refer to the </t>
    </r>
    <r>
      <rPr>
        <b/>
        <u/>
        <sz val="10"/>
        <color rgb="FF000000"/>
        <rFont val="Arial"/>
        <family val="2"/>
      </rPr>
      <t>Constructed Response Items</t>
    </r>
    <r>
      <rPr>
        <sz val="10"/>
        <color rgb="FF000000"/>
        <rFont val="Arial"/>
        <family val="2"/>
      </rPr>
      <t xml:space="preserve"> section of the Processing Rules - Scoring document for applicable non-score codes.
"-" = Item not attempted and not sent to handscoring.</t>
    </r>
  </si>
  <si>
    <r>
      <t xml:space="preserve">Each Item uses </t>
    </r>
    <r>
      <rPr>
        <strike/>
        <sz val="10"/>
        <color rgb="FF000000"/>
        <rFont val="Arial"/>
        <family val="2"/>
      </rPr>
      <t xml:space="preserve">3 </t>
    </r>
    <r>
      <rPr>
        <sz val="10"/>
        <color rgb="FFFF0000"/>
        <rFont val="Arial"/>
        <family val="2"/>
      </rPr>
      <t>4</t>
    </r>
    <r>
      <rPr>
        <sz val="10"/>
        <color rgb="FF000000"/>
        <rFont val="Arial"/>
        <family val="2"/>
      </rPr>
      <t xml:space="preserve">characters of space.
If the item is </t>
    </r>
    <r>
      <rPr>
        <b/>
        <sz val="10"/>
        <color rgb="FF000000"/>
        <rFont val="Arial"/>
        <family val="2"/>
      </rPr>
      <t>multiple choice</t>
    </r>
    <r>
      <rPr>
        <sz val="10"/>
        <color rgb="FF000000"/>
        <rFont val="Arial"/>
        <family val="2"/>
      </rPr>
      <t xml:space="preserve">, the first character of the three is populated with the student's response within the remaining position as filler.
1-4
A
B
C
D
Blank = No Response
If the item </t>
    </r>
    <r>
      <rPr>
        <b/>
        <sz val="10"/>
        <color rgb="FF000000"/>
        <rFont val="Arial"/>
        <family val="2"/>
      </rPr>
      <t>constructed response</t>
    </r>
    <r>
      <rPr>
        <sz val="10"/>
        <color rgb="FF000000"/>
        <rFont val="Arial"/>
        <family val="2"/>
      </rPr>
      <t xml:space="preserve">, the student's score for the constructed response item is represented. 
</t>
    </r>
    <r>
      <rPr>
        <strike/>
        <sz val="10"/>
        <color rgb="FF000000"/>
        <rFont val="Arial"/>
        <family val="2"/>
      </rPr>
      <t>0.0 - 4.0</t>
    </r>
    <r>
      <rPr>
        <sz val="10"/>
        <color rgb="FF000000"/>
        <rFont val="Arial"/>
        <family val="2"/>
      </rPr>
      <t xml:space="preserve"> </t>
    </r>
    <r>
      <rPr>
        <sz val="10"/>
        <color rgb="FFFF0000"/>
        <rFont val="Arial"/>
        <family val="2"/>
      </rPr>
      <t>0.00-99.0</t>
    </r>
    <r>
      <rPr>
        <sz val="10"/>
        <color rgb="FF000000"/>
        <rFont val="Arial"/>
        <family val="2"/>
      </rPr>
      <t xml:space="preserve">
&lt;NonScore Code&gt; = Refer to the </t>
    </r>
    <r>
      <rPr>
        <b/>
        <u/>
        <sz val="10"/>
        <color rgb="FF000000"/>
        <rFont val="Arial"/>
        <family val="2"/>
      </rPr>
      <t>Constructed Response Items</t>
    </r>
    <r>
      <rPr>
        <sz val="10"/>
        <color rgb="FF000000"/>
        <rFont val="Arial"/>
        <family val="2"/>
      </rPr>
      <t xml:space="preserve"> section of the Processing Rules - Scoring document for applicable non-score codes.
"-" = Item not attempted and not sent to handscoring.</t>
    </r>
  </si>
  <si>
    <r>
      <t xml:space="preserve">Each Item uses </t>
    </r>
    <r>
      <rPr>
        <strike/>
        <sz val="10"/>
        <color rgb="FF000000"/>
        <rFont val="Arial"/>
        <family val="2"/>
      </rPr>
      <t>3</t>
    </r>
    <r>
      <rPr>
        <sz val="10"/>
        <color rgb="FFFF0000"/>
        <rFont val="Arial"/>
        <family val="2"/>
      </rPr>
      <t>4</t>
    </r>
    <r>
      <rPr>
        <sz val="10"/>
        <color rgb="FF000000"/>
        <rFont val="Arial"/>
        <family val="2"/>
      </rPr>
      <t xml:space="preserve"> characters of space.
If the item is </t>
    </r>
    <r>
      <rPr>
        <b/>
        <sz val="10"/>
        <color rgb="FF000000"/>
        <rFont val="Arial"/>
        <family val="2"/>
      </rPr>
      <t>multiple choice</t>
    </r>
    <r>
      <rPr>
        <sz val="10"/>
        <color rgb="FF000000"/>
        <rFont val="Arial"/>
        <family val="2"/>
      </rPr>
      <t xml:space="preserve">, the first character of the three is populated with the student's response within the remaining position as filler.
1-4
A
B
C
D
Blank = No Response
If the item </t>
    </r>
    <r>
      <rPr>
        <b/>
        <sz val="10"/>
        <color rgb="FF000000"/>
        <rFont val="Arial"/>
        <family val="2"/>
      </rPr>
      <t>constructed response</t>
    </r>
    <r>
      <rPr>
        <sz val="10"/>
        <color rgb="FF000000"/>
        <rFont val="Arial"/>
        <family val="2"/>
      </rPr>
      <t xml:space="preserve">, the student's score for the constructed response item is represented. 
</t>
    </r>
    <r>
      <rPr>
        <strike/>
        <sz val="10"/>
        <color rgb="FF000000"/>
        <rFont val="Arial"/>
        <family val="2"/>
      </rPr>
      <t>0.0 - 4.0</t>
    </r>
    <r>
      <rPr>
        <sz val="10"/>
        <color rgb="FF000000"/>
        <rFont val="Arial"/>
        <family val="2"/>
      </rPr>
      <t xml:space="preserve"> 0.</t>
    </r>
    <r>
      <rPr>
        <sz val="10"/>
        <color rgb="FFFF0000"/>
        <rFont val="Arial"/>
        <family val="2"/>
      </rPr>
      <t>00-99.0</t>
    </r>
    <r>
      <rPr>
        <sz val="10"/>
        <color rgb="FF000000"/>
        <rFont val="Arial"/>
        <family val="2"/>
      </rPr>
      <t xml:space="preserve">
&lt;NonScore Code&gt; = Refer to the </t>
    </r>
    <r>
      <rPr>
        <b/>
        <u/>
        <sz val="10"/>
        <color rgb="FF000000"/>
        <rFont val="Arial"/>
        <family val="2"/>
      </rPr>
      <t>Constructed Response Items</t>
    </r>
    <r>
      <rPr>
        <sz val="10"/>
        <color rgb="FF000000"/>
        <rFont val="Arial"/>
        <family val="2"/>
      </rPr>
      <t xml:space="preserve"> section of the Processing Rules - Scoring document for applicable non-score codes.
"-" = Item not attempted and not sent to handscoring.</t>
    </r>
  </si>
  <si>
    <r>
      <t xml:space="preserve">Each Item uses </t>
    </r>
    <r>
      <rPr>
        <strike/>
        <sz val="10"/>
        <color rgb="FF000000"/>
        <rFont val="Arial"/>
        <family val="2"/>
      </rPr>
      <t>3</t>
    </r>
    <r>
      <rPr>
        <sz val="10"/>
        <color rgb="FFFF0000"/>
        <rFont val="Arial"/>
        <family val="2"/>
      </rPr>
      <t>4</t>
    </r>
    <r>
      <rPr>
        <sz val="10"/>
        <color rgb="FF000000"/>
        <rFont val="Arial"/>
        <family val="2"/>
      </rPr>
      <t xml:space="preserve"> characters of space.
If the item is </t>
    </r>
    <r>
      <rPr>
        <b/>
        <sz val="10"/>
        <color rgb="FF000000"/>
        <rFont val="Arial"/>
        <family val="2"/>
      </rPr>
      <t>multiple choice</t>
    </r>
    <r>
      <rPr>
        <sz val="10"/>
        <color rgb="FF000000"/>
        <rFont val="Arial"/>
        <family val="2"/>
      </rPr>
      <t xml:space="preserve">, the first character of the three is populated with the student's response within the remaining position as filler.
1-4
A
B
C
D
Blank = No Response
If the item </t>
    </r>
    <r>
      <rPr>
        <b/>
        <sz val="10"/>
        <color rgb="FF000000"/>
        <rFont val="Arial"/>
        <family val="2"/>
      </rPr>
      <t>constructed response</t>
    </r>
    <r>
      <rPr>
        <sz val="10"/>
        <color rgb="FF000000"/>
        <rFont val="Arial"/>
        <family val="2"/>
      </rPr>
      <t xml:space="preserve">, the student's score for the constructed response item is represented. 
</t>
    </r>
    <r>
      <rPr>
        <strike/>
        <sz val="10"/>
        <color rgb="FF000000"/>
        <rFont val="Arial"/>
        <family val="2"/>
      </rPr>
      <t xml:space="preserve">0.0 - 4.0 </t>
    </r>
    <r>
      <rPr>
        <sz val="10"/>
        <color rgb="FF000000"/>
        <rFont val="Arial"/>
        <family val="2"/>
      </rPr>
      <t>0.</t>
    </r>
    <r>
      <rPr>
        <sz val="10"/>
        <color rgb="FFFF0000"/>
        <rFont val="Arial"/>
        <family val="2"/>
      </rPr>
      <t>00-99.0</t>
    </r>
    <r>
      <rPr>
        <sz val="10"/>
        <color rgb="FF000000"/>
        <rFont val="Arial"/>
        <family val="2"/>
      </rPr>
      <t xml:space="preserve">
&lt;NonScore Code&gt; = Refer to the </t>
    </r>
    <r>
      <rPr>
        <b/>
        <u/>
        <sz val="10"/>
        <color rgb="FF000000"/>
        <rFont val="Arial"/>
        <family val="2"/>
      </rPr>
      <t>Constructed Response Items</t>
    </r>
    <r>
      <rPr>
        <sz val="10"/>
        <color rgb="FF000000"/>
        <rFont val="Arial"/>
        <family val="2"/>
      </rPr>
      <t xml:space="preserve"> section of the Processing Rules - Scoring document for applicable non-score codes.
"-" = Item not attempted and not sent to handscoring.</t>
    </r>
  </si>
  <si>
    <r>
      <t>Each Item uses</t>
    </r>
    <r>
      <rPr>
        <strike/>
        <sz val="10"/>
        <color rgb="FF000000"/>
        <rFont val="Arial"/>
        <family val="2"/>
      </rPr>
      <t xml:space="preserve"> 3</t>
    </r>
    <r>
      <rPr>
        <sz val="10"/>
        <color rgb="FFFF0000"/>
        <rFont val="Arial"/>
        <family val="2"/>
      </rPr>
      <t xml:space="preserve">4 </t>
    </r>
    <r>
      <rPr>
        <sz val="10"/>
        <color rgb="FF000000"/>
        <rFont val="Arial"/>
        <family val="2"/>
      </rPr>
      <t xml:space="preserve">characters of space.
If the item is </t>
    </r>
    <r>
      <rPr>
        <b/>
        <sz val="10"/>
        <color rgb="FF000000"/>
        <rFont val="Arial"/>
        <family val="2"/>
      </rPr>
      <t>multiple choice</t>
    </r>
    <r>
      <rPr>
        <sz val="10"/>
        <color rgb="FF000000"/>
        <rFont val="Arial"/>
        <family val="2"/>
      </rPr>
      <t xml:space="preserve">, the first character of the three is populated with the student's response within the remaining position as filler.
1-4
A
B
C
D
Blank = No Response
If the item </t>
    </r>
    <r>
      <rPr>
        <b/>
        <sz val="10"/>
        <color rgb="FF000000"/>
        <rFont val="Arial"/>
        <family val="2"/>
      </rPr>
      <t>constructed response</t>
    </r>
    <r>
      <rPr>
        <sz val="10"/>
        <color rgb="FF000000"/>
        <rFont val="Arial"/>
        <family val="2"/>
      </rPr>
      <t xml:space="preserve">, the student's score for the constructed response item is represented. 
</t>
    </r>
    <r>
      <rPr>
        <strike/>
        <sz val="10"/>
        <color rgb="FF000000"/>
        <rFont val="Arial"/>
        <family val="2"/>
      </rPr>
      <t xml:space="preserve">0.0 - 4.0 </t>
    </r>
    <r>
      <rPr>
        <sz val="10"/>
        <color rgb="FFFF0000"/>
        <rFont val="Arial"/>
        <family val="2"/>
      </rPr>
      <t>0.00-99.0</t>
    </r>
    <r>
      <rPr>
        <sz val="10"/>
        <color rgb="FF000000"/>
        <rFont val="Arial"/>
        <family val="2"/>
      </rPr>
      <t xml:space="preserve">
&lt;NonScore Code&gt; = Refer to the </t>
    </r>
    <r>
      <rPr>
        <b/>
        <u/>
        <sz val="10"/>
        <color rgb="FF000000"/>
        <rFont val="Arial"/>
        <family val="2"/>
      </rPr>
      <t>Constructed Response Items</t>
    </r>
    <r>
      <rPr>
        <sz val="10"/>
        <color rgb="FF000000"/>
        <rFont val="Arial"/>
        <family val="2"/>
      </rPr>
      <t xml:space="preserve"> section of the Processing Rules - Scoring document for applicable non-score codes.
"-" = Item not attempted and not sent to handscoring.</t>
    </r>
  </si>
  <si>
    <r>
      <t>Each Item uses</t>
    </r>
    <r>
      <rPr>
        <strike/>
        <sz val="10"/>
        <color rgb="FF000000"/>
        <rFont val="Arial"/>
        <family val="2"/>
      </rPr>
      <t xml:space="preserve"> 3</t>
    </r>
    <r>
      <rPr>
        <sz val="10"/>
        <color rgb="FFFF0000"/>
        <rFont val="Arial"/>
        <family val="2"/>
      </rPr>
      <t>4</t>
    </r>
    <r>
      <rPr>
        <sz val="10"/>
        <color rgb="FF000000"/>
        <rFont val="Arial"/>
        <family val="2"/>
      </rPr>
      <t xml:space="preserve"> characters of space.
If the item is </t>
    </r>
    <r>
      <rPr>
        <b/>
        <sz val="10"/>
        <color rgb="FF000000"/>
        <rFont val="Arial"/>
        <family val="2"/>
      </rPr>
      <t>multiple choice</t>
    </r>
    <r>
      <rPr>
        <sz val="10"/>
        <color rgb="FF000000"/>
        <rFont val="Arial"/>
        <family val="2"/>
      </rPr>
      <t xml:space="preserve">, the first character of the three is populated with the student's response within the remaining position as filler.
1-4
A
B
C
D
Blank = No Response
If the item </t>
    </r>
    <r>
      <rPr>
        <b/>
        <sz val="10"/>
        <color rgb="FF000000"/>
        <rFont val="Arial"/>
        <family val="2"/>
      </rPr>
      <t>constructed response</t>
    </r>
    <r>
      <rPr>
        <sz val="10"/>
        <color rgb="FF000000"/>
        <rFont val="Arial"/>
        <family val="2"/>
      </rPr>
      <t xml:space="preserve">, the student's score for the constructed response item is represented. 
</t>
    </r>
    <r>
      <rPr>
        <strike/>
        <sz val="10"/>
        <color rgb="FF000000"/>
        <rFont val="Arial"/>
        <family val="2"/>
      </rPr>
      <t>0.0 - 4.0</t>
    </r>
    <r>
      <rPr>
        <sz val="10"/>
        <color rgb="FF000000"/>
        <rFont val="Arial"/>
        <family val="2"/>
      </rPr>
      <t xml:space="preserve"> </t>
    </r>
    <r>
      <rPr>
        <sz val="10"/>
        <color rgb="FFFF0000"/>
        <rFont val="Arial"/>
        <family val="2"/>
      </rPr>
      <t>0.00-99.0</t>
    </r>
    <r>
      <rPr>
        <sz val="10"/>
        <color rgb="FF000000"/>
        <rFont val="Arial"/>
        <family val="2"/>
      </rPr>
      <t xml:space="preserve">
&lt;NonScore Code&gt; = Refer to the </t>
    </r>
    <r>
      <rPr>
        <b/>
        <u/>
        <sz val="10"/>
        <color rgb="FF000000"/>
        <rFont val="Arial"/>
        <family val="2"/>
      </rPr>
      <t>Constructed Response Items</t>
    </r>
    <r>
      <rPr>
        <sz val="10"/>
        <color rgb="FF000000"/>
        <rFont val="Arial"/>
        <family val="2"/>
      </rPr>
      <t xml:space="preserve"> section of the Processing Rules - Scoring document for applicable non-score codes.
"-" = Item not attempted and not sent to handscoring.</t>
    </r>
  </si>
  <si>
    <t xml:space="preserve">Rule updates for all Operational Item Responses and Field Item Responses fields:
Changed Item Responses string length from 3 to 4 
Changed item contsructed response representation from 0.0-4.0 to 0.00-99.0 </t>
  </si>
  <si>
    <t>Increased length of USL Operational Response String field to be 220 to accommodate data that is being tested for the bluedots. 
Removed Filler fields  in position 4728 and 5038.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</si>
</sst>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4" x14ac:knownFonts="1">
    <font>
      <sz val="11"/>
      <color theme="1"/>
      <name val="Calibri"/>
      <family val="2"/>
      <scheme val="minor"/>
    </font>
    <font>
      <sz val="10"/>
      <name val="Arial"/>
      <family val="2"/>
    </font>
    <font>
      <b/>
      <sz val="10"/>
      <color rgb="FF000000"/>
      <name val="Arial"/>
      <family val="2"/>
    </font>
    <font>
      <sz val="10"/>
      <color rgb="FF000000"/>
      <name val="Arial"/>
      <family val="2"/>
    </font>
    <font>
      <b/>
      <sz val="10"/>
      <color theme="1"/>
      <name val="Arial"/>
      <family val="2"/>
    </font>
    <font>
      <sz val="10"/>
      <color theme="1"/>
      <name val="Arial"/>
      <family val="2"/>
    </font>
    <font>
      <b/>
      <sz val="10"/>
      <name val="Arial"/>
      <family val="2"/>
    </font>
    <font>
      <b/>
      <u/>
      <sz val="10"/>
      <color theme="1"/>
      <name val="Arial"/>
      <family val="2"/>
    </font>
    <font>
      <b/>
      <sz val="10"/>
      <color rgb="FF0000FF"/>
      <name val="Arial"/>
      <family val="2"/>
    </font>
    <font>
      <b/>
      <u/>
      <sz val="10"/>
      <name val="Arial"/>
      <family val="2"/>
    </font>
    <font>
      <b/>
      <sz val="16"/>
      <color theme="1"/>
      <name val="Arial"/>
      <family val="2"/>
    </font>
    <font>
      <b/>
      <u/>
      <sz val="10"/>
      <color rgb="FF000000"/>
      <name val="Arial"/>
      <family val="2"/>
    </font>
    <font>
      <b/>
      <sz val="10"/>
      <color indexed="10"/>
      <name val="Arial"/>
      <family val="2"/>
    </font>
    <font>
      <b/>
      <sz val="8"/>
      <color indexed="10"/>
      <name val="Arial"/>
      <family val="2"/>
    </font>
    <font>
      <b/>
      <sz val="10"/>
      <color indexed="8"/>
      <name val="Arial"/>
      <family val="2"/>
    </font>
    <font>
      <b/>
      <sz val="10"/>
      <color rgb="FFFF0000"/>
      <name val="Arial"/>
      <family val="2"/>
    </font>
    <font>
      <b/>
      <sz val="11"/>
      <color theme="1"/>
      <name val="Calibri"/>
      <family val="2"/>
      <scheme val="minor"/>
    </font>
    <font>
      <sz val="10"/>
      <color rgb="FFFF0000"/>
      <name val="Arial"/>
      <family val="2"/>
    </font>
    <font>
      <b/>
      <strike/>
      <sz val="10"/>
      <color rgb="FF0000FF"/>
      <name val="Arial"/>
      <family val="2"/>
    </font>
    <font>
      <strike/>
      <sz val="10"/>
      <color theme="1"/>
      <name val="Arial"/>
      <family val="2"/>
    </font>
    <font>
      <strike/>
      <sz val="10"/>
      <color rgb="FF000000"/>
      <name val="Arial"/>
      <family val="2"/>
    </font>
    <font>
      <strike/>
      <sz val="10"/>
      <name val="Arial"/>
      <family val="2"/>
    </font>
    <font>
      <strike/>
      <sz val="11"/>
      <color theme="1"/>
      <name val="Calibri"/>
      <family val="2"/>
      <scheme val="minor"/>
    </font>
    <font>
      <strike/>
      <sz val="10"/>
      <color rgb="FFFF0000"/>
      <name val="Arial"/>
      <family val="2"/>
    </font>
  </fonts>
  <fills count="9">
    <fill>
      <patternFill patternType="none"/>
    </fill>
    <fill>
      <patternFill patternType="gray125"/>
    </fill>
    <fill>
      <patternFill patternType="solid">
        <fgColor indexed="22"/>
        <bgColor indexed="64"/>
      </patternFill>
    </fill>
    <fill>
      <patternFill patternType="solid">
        <fgColor rgb="FFFFFF66"/>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0" tint="-0.24994659260841701"/>
        <bgColor indexed="64"/>
      </patternFill>
    </fill>
    <fill>
      <patternFill patternType="solid">
        <fgColor rgb="FFFFFF00"/>
        <bgColor indexed="64"/>
      </patternFill>
    </fill>
    <fill>
      <patternFill patternType="solid">
        <fgColor rgb="FFFFFF99"/>
        <bgColor indexed="64"/>
      </patternFill>
    </fill>
  </fills>
  <borders count="6">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s>
  <cellStyleXfs count="5">
    <xf numFmtId="0" fontId="0" fillId="0" borderId="0"/>
    <xf numFmtId="0" fontId="1" fillId="0" borderId="0"/>
    <xf numFmtId="0" fontId="1" fillId="0" borderId="0"/>
    <xf numFmtId="0" fontId="1" fillId="0" borderId="0"/>
    <xf numFmtId="0" fontId="1" fillId="0" borderId="0"/>
  </cellStyleXfs>
  <cellXfs count="208">
    <xf numFmtId="0" fontId="0" fillId="0" borderId="0" xfId="0"/>
    <xf numFmtId="0" fontId="2" fillId="0" borderId="0" xfId="0" applyFont="1" applyFill="1" applyBorder="1" applyAlignment="1">
      <alignment horizontal="left" wrapText="1"/>
    </xf>
    <xf numFmtId="0" fontId="6" fillId="0" borderId="0" xfId="0" applyFont="1" applyFill="1" applyBorder="1" applyAlignment="1">
      <alignment horizontal="left" wrapText="1"/>
    </xf>
    <xf numFmtId="0" fontId="3" fillId="0" borderId="0" xfId="0" applyFont="1" applyFill="1" applyBorder="1" applyAlignment="1">
      <alignment horizontal="center" vertical="top"/>
    </xf>
    <xf numFmtId="0" fontId="5" fillId="0" borderId="0" xfId="0" applyFont="1" applyFill="1" applyBorder="1" applyAlignment="1">
      <alignment horizontal="left" vertical="top"/>
    </xf>
    <xf numFmtId="0" fontId="1" fillId="0" borderId="0" xfId="0" applyFont="1" applyFill="1" applyBorder="1" applyAlignment="1">
      <alignment horizontal="center" vertical="top"/>
    </xf>
    <xf numFmtId="0" fontId="5" fillId="0" borderId="0" xfId="0" applyFont="1" applyFill="1" applyBorder="1" applyAlignment="1">
      <alignment horizontal="center" vertical="top"/>
    </xf>
    <xf numFmtId="0" fontId="2" fillId="0" borderId="0" xfId="0" applyFont="1" applyFill="1" applyBorder="1" applyAlignment="1">
      <alignment horizontal="center" vertical="top" wrapText="1"/>
    </xf>
    <xf numFmtId="0" fontId="5" fillId="0" borderId="0" xfId="0" applyFont="1" applyFill="1" applyBorder="1" applyAlignment="1">
      <alignment horizontal="left"/>
    </xf>
    <xf numFmtId="0" fontId="5" fillId="0" borderId="0" xfId="0" applyFont="1" applyFill="1" applyBorder="1" applyAlignment="1">
      <alignment vertical="top" wrapText="1"/>
    </xf>
    <xf numFmtId="49" fontId="1" fillId="0" borderId="0" xfId="1" applyNumberFormat="1" applyFont="1" applyFill="1" applyBorder="1" applyAlignment="1">
      <alignment horizontal="left" vertical="center" wrapText="1"/>
    </xf>
    <xf numFmtId="49" fontId="1" fillId="0" borderId="0" xfId="3" applyNumberFormat="1" applyFont="1" applyFill="1" applyBorder="1" applyAlignment="1">
      <alignment horizontal="left" vertical="center" wrapText="1"/>
    </xf>
    <xf numFmtId="0" fontId="1" fillId="0" borderId="0" xfId="3" applyFont="1" applyFill="1" applyBorder="1" applyAlignment="1">
      <alignment vertical="center" wrapText="1"/>
    </xf>
    <xf numFmtId="0" fontId="1" fillId="0" borderId="0" xfId="0" applyFont="1" applyFill="1" applyBorder="1" applyAlignment="1">
      <alignment vertical="top" wrapText="1"/>
    </xf>
    <xf numFmtId="0" fontId="2" fillId="0" borderId="0" xfId="0" applyFont="1" applyFill="1" applyBorder="1" applyAlignment="1">
      <alignment horizontal="left" vertical="center" wrapText="1"/>
    </xf>
    <xf numFmtId="49" fontId="3" fillId="0" borderId="0" xfId="0" applyNumberFormat="1" applyFont="1" applyFill="1" applyBorder="1" applyAlignment="1">
      <alignment horizontal="left" vertical="center" wrapText="1"/>
    </xf>
    <xf numFmtId="0" fontId="5" fillId="0" borderId="0" xfId="0" applyFont="1" applyFill="1" applyBorder="1" applyAlignment="1">
      <alignment horizontal="left" vertical="center"/>
    </xf>
    <xf numFmtId="49" fontId="10" fillId="0" borderId="0" xfId="0" applyNumberFormat="1" applyFont="1" applyFill="1" applyBorder="1" applyAlignment="1">
      <alignment vertical="center"/>
    </xf>
    <xf numFmtId="0" fontId="6" fillId="0" borderId="0" xfId="0" applyFont="1" applyFill="1" applyBorder="1" applyAlignment="1">
      <alignment vertical="center" wrapText="1"/>
    </xf>
    <xf numFmtId="0" fontId="5" fillId="0" borderId="0" xfId="0" applyFont="1" applyFill="1" applyAlignment="1">
      <alignment vertical="center" wrapText="1"/>
    </xf>
    <xf numFmtId="0" fontId="6" fillId="2" borderId="1" xfId="3" applyFont="1" applyFill="1" applyBorder="1" applyAlignment="1" applyProtection="1">
      <alignment horizontal="center" vertical="top" wrapText="1"/>
    </xf>
    <xf numFmtId="0" fontId="14" fillId="2" borderId="1" xfId="3" applyFont="1" applyFill="1" applyBorder="1" applyAlignment="1" applyProtection="1">
      <alignment vertical="top" wrapText="1"/>
    </xf>
    <xf numFmtId="0" fontId="6" fillId="2" borderId="1" xfId="3" applyFont="1" applyFill="1" applyBorder="1" applyAlignment="1" applyProtection="1">
      <alignment vertical="top" wrapText="1"/>
    </xf>
    <xf numFmtId="0" fontId="3" fillId="0" borderId="0" xfId="0" applyFont="1" applyFill="1" applyBorder="1" applyAlignment="1">
      <alignment vertical="top" wrapText="1"/>
    </xf>
    <xf numFmtId="0" fontId="8" fillId="0" borderId="0" xfId="0" applyFont="1" applyFill="1" applyBorder="1" applyAlignment="1">
      <alignment vertical="top" wrapText="1"/>
    </xf>
    <xf numFmtId="0" fontId="5" fillId="0" borderId="0" xfId="0" applyFont="1" applyFill="1" applyBorder="1" applyAlignment="1">
      <alignment vertical="top"/>
    </xf>
    <xf numFmtId="0" fontId="2" fillId="0" borderId="0" xfId="0" applyFont="1" applyFill="1" applyBorder="1" applyAlignment="1">
      <alignment wrapText="1"/>
    </xf>
    <xf numFmtId="49" fontId="7" fillId="0" borderId="0" xfId="0" applyNumberFormat="1" applyFont="1" applyFill="1" applyBorder="1" applyAlignment="1">
      <alignment horizontal="center" vertical="top"/>
    </xf>
    <xf numFmtId="0" fontId="3" fillId="0" borderId="0" xfId="0" applyFont="1" applyFill="1" applyBorder="1" applyAlignment="1">
      <alignment horizontal="center" vertical="top" wrapText="1"/>
    </xf>
    <xf numFmtId="0" fontId="5" fillId="0" borderId="0" xfId="0" applyFont="1" applyFill="1" applyBorder="1" applyAlignment="1">
      <alignment horizontal="center" vertical="top" wrapText="1"/>
    </xf>
    <xf numFmtId="0" fontId="4" fillId="0" borderId="0" xfId="0" applyFont="1" applyFill="1" applyBorder="1" applyAlignment="1">
      <alignment horizontal="center" vertical="top"/>
    </xf>
    <xf numFmtId="14" fontId="0" fillId="0" borderId="1" xfId="0" applyNumberFormat="1" applyBorder="1"/>
    <xf numFmtId="0" fontId="0" fillId="0" borderId="1" xfId="0" applyBorder="1"/>
    <xf numFmtId="0" fontId="0" fillId="0" borderId="1" xfId="0" applyBorder="1" applyAlignment="1">
      <alignment wrapText="1"/>
    </xf>
    <xf numFmtId="0" fontId="0" fillId="0" borderId="0" xfId="0" applyAlignment="1">
      <alignment wrapText="1"/>
    </xf>
    <xf numFmtId="0" fontId="0" fillId="0" borderId="1" xfId="0" applyFill="1" applyBorder="1"/>
    <xf numFmtId="14" fontId="16" fillId="0" borderId="1" xfId="0" applyNumberFormat="1" applyFont="1" applyBorder="1"/>
    <xf numFmtId="0" fontId="16" fillId="0" borderId="1" xfId="0" applyFont="1" applyBorder="1" applyAlignment="1">
      <alignment wrapText="1"/>
    </xf>
    <xf numFmtId="0" fontId="16" fillId="0" borderId="1" xfId="0" applyFont="1" applyFill="1" applyBorder="1"/>
    <xf numFmtId="0" fontId="1" fillId="0" borderId="0" xfId="0" applyFont="1" applyFill="1" applyAlignment="1">
      <alignment vertical="center" wrapText="1"/>
    </xf>
    <xf numFmtId="0" fontId="0" fillId="0" borderId="0" xfId="0" applyFill="1"/>
    <xf numFmtId="0" fontId="3" fillId="0" borderId="0" xfId="0" applyFont="1" applyFill="1" applyBorder="1" applyAlignment="1">
      <alignment horizontal="left" vertical="center" wrapText="1"/>
    </xf>
    <xf numFmtId="0" fontId="1" fillId="0" borderId="0" xfId="0" applyFont="1" applyFill="1" applyBorder="1" applyAlignment="1">
      <alignment horizontal="left" vertical="center" wrapText="1"/>
    </xf>
    <xf numFmtId="0" fontId="1" fillId="0" borderId="0" xfId="0" applyFont="1" applyFill="1" applyBorder="1" applyAlignment="1">
      <alignment vertical="center" wrapText="1"/>
    </xf>
    <xf numFmtId="0" fontId="1" fillId="0" borderId="0" xfId="3" applyFont="1" applyFill="1" applyBorder="1" applyAlignment="1">
      <alignment horizontal="left" vertical="center" wrapText="1"/>
    </xf>
    <xf numFmtId="0" fontId="1" fillId="0" borderId="0" xfId="2" applyFont="1" applyFill="1" applyBorder="1" applyAlignment="1">
      <alignment vertical="center" wrapText="1"/>
    </xf>
    <xf numFmtId="0" fontId="1" fillId="0" borderId="0" xfId="0" applyFont="1" applyFill="1" applyBorder="1" applyAlignment="1">
      <alignment vertical="center" wrapText="1"/>
    </xf>
    <xf numFmtId="0" fontId="5" fillId="0" borderId="0" xfId="0" applyFont="1" applyFill="1" applyAlignment="1">
      <alignment horizontal="center" vertical="top"/>
    </xf>
    <xf numFmtId="0" fontId="5" fillId="0" borderId="0" xfId="0" applyFont="1" applyFill="1" applyAlignment="1">
      <alignment horizontal="center"/>
    </xf>
    <xf numFmtId="1" fontId="1" fillId="0" borderId="0" xfId="3" applyNumberFormat="1" applyFont="1" applyFill="1" applyBorder="1" applyAlignment="1">
      <alignment horizontal="center" vertical="top"/>
    </xf>
    <xf numFmtId="0" fontId="5" fillId="0" borderId="0" xfId="0" applyFont="1" applyFill="1" applyAlignment="1">
      <alignment horizontal="right" vertical="top"/>
    </xf>
    <xf numFmtId="0" fontId="1" fillId="0" borderId="0" xfId="3" applyFont="1" applyFill="1" applyBorder="1" applyAlignment="1">
      <alignment vertical="top" wrapText="1"/>
    </xf>
    <xf numFmtId="0" fontId="5" fillId="0" borderId="0" xfId="0" applyFont="1" applyFill="1" applyAlignment="1">
      <alignment vertical="center"/>
    </xf>
    <xf numFmtId="0" fontId="1" fillId="0" borderId="0" xfId="0" applyFont="1" applyFill="1" applyBorder="1" applyAlignment="1">
      <alignment horizontal="center" vertical="top" wrapText="1"/>
    </xf>
    <xf numFmtId="0" fontId="1" fillId="0" borderId="0" xfId="3" applyFont="1" applyFill="1" applyBorder="1" applyAlignment="1">
      <alignment horizontal="left" vertical="center" wrapText="1"/>
    </xf>
    <xf numFmtId="14" fontId="0" fillId="0" borderId="0" xfId="0" applyNumberFormat="1"/>
    <xf numFmtId="0" fontId="0" fillId="0" borderId="3" xfId="0" applyFill="1" applyBorder="1"/>
    <xf numFmtId="0" fontId="16" fillId="0" borderId="0" xfId="0" applyFont="1" applyAlignment="1">
      <alignment wrapText="1"/>
    </xf>
    <xf numFmtId="0" fontId="1" fillId="0" borderId="0" xfId="0" applyFont="1" applyFill="1" applyBorder="1" applyAlignment="1">
      <alignment vertical="center" wrapText="1"/>
    </xf>
    <xf numFmtId="0" fontId="3" fillId="0" borderId="0" xfId="0" applyFont="1" applyFill="1" applyBorder="1" applyAlignment="1">
      <alignment horizontal="left" vertical="center" wrapText="1"/>
    </xf>
    <xf numFmtId="0" fontId="3" fillId="0" borderId="0" xfId="0" applyFont="1" applyFill="1" applyBorder="1" applyAlignment="1">
      <alignment horizontal="left" vertical="center" wrapText="1"/>
    </xf>
    <xf numFmtId="0" fontId="1" fillId="0" borderId="0" xfId="0" applyFont="1" applyFill="1" applyBorder="1" applyAlignment="1">
      <alignment horizontal="left" vertical="center" wrapText="1"/>
    </xf>
    <xf numFmtId="0" fontId="1" fillId="0" borderId="0" xfId="0" applyFont="1" applyFill="1" applyBorder="1" applyAlignment="1">
      <alignment vertical="center" wrapText="1"/>
    </xf>
    <xf numFmtId="0" fontId="1" fillId="0" borderId="0" xfId="3" applyFont="1" applyFill="1" applyBorder="1" applyAlignment="1">
      <alignment horizontal="left" vertical="center" wrapText="1"/>
    </xf>
    <xf numFmtId="0" fontId="5" fillId="0" borderId="0" xfId="0" applyFont="1" applyFill="1"/>
    <xf numFmtId="0" fontId="19" fillId="0" borderId="0" xfId="0" applyFont="1" applyFill="1" applyBorder="1" applyAlignment="1">
      <alignment horizontal="left" vertical="top"/>
    </xf>
    <xf numFmtId="0" fontId="21" fillId="0" borderId="0" xfId="0" applyFont="1" applyFill="1" applyBorder="1" applyAlignment="1">
      <alignment horizontal="center" vertical="top"/>
    </xf>
    <xf numFmtId="0" fontId="20" fillId="0" borderId="0" xfId="0" applyFont="1" applyFill="1" applyBorder="1" applyAlignment="1">
      <alignment horizontal="center" vertical="top" wrapText="1"/>
    </xf>
    <xf numFmtId="0" fontId="20" fillId="0" borderId="0" xfId="0" applyFont="1" applyFill="1" applyBorder="1" applyAlignment="1">
      <alignment horizontal="center" vertical="top"/>
    </xf>
    <xf numFmtId="0" fontId="20" fillId="0" borderId="0" xfId="0" applyFont="1" applyFill="1" applyBorder="1" applyAlignment="1">
      <alignment horizontal="left" vertical="center" wrapText="1"/>
    </xf>
    <xf numFmtId="0" fontId="21" fillId="0" borderId="0" xfId="0" applyFont="1" applyFill="1" applyBorder="1" applyAlignment="1">
      <alignment vertical="center" wrapText="1"/>
    </xf>
    <xf numFmtId="0" fontId="22" fillId="0" borderId="0" xfId="0" applyFont="1" applyFill="1"/>
    <xf numFmtId="0" fontId="20" fillId="0" borderId="0" xfId="0" applyFont="1" applyFill="1" applyBorder="1" applyAlignment="1">
      <alignment vertical="top" wrapText="1"/>
    </xf>
    <xf numFmtId="0" fontId="3" fillId="0" borderId="0" xfId="0" applyFont="1" applyFill="1" applyBorder="1" applyAlignment="1">
      <alignment horizontal="left" vertical="center" wrapText="1"/>
    </xf>
    <xf numFmtId="0" fontId="3" fillId="0" borderId="1" xfId="0" applyFont="1" applyFill="1" applyBorder="1" applyAlignment="1">
      <alignment horizontal="left" vertical="center" wrapText="1"/>
    </xf>
    <xf numFmtId="0" fontId="1" fillId="3" borderId="0" xfId="0" applyFont="1" applyFill="1" applyBorder="1" applyAlignment="1">
      <alignment vertical="center" wrapText="1"/>
    </xf>
    <xf numFmtId="0" fontId="3" fillId="0" borderId="0" xfId="0" applyFont="1" applyFill="1" applyBorder="1" applyAlignment="1">
      <alignment horizontal="left" vertical="center" wrapText="1"/>
    </xf>
    <xf numFmtId="0" fontId="1" fillId="0" borderId="0" xfId="0" applyFont="1" applyFill="1" applyBorder="1" applyAlignment="1">
      <alignment vertical="center" wrapText="1"/>
    </xf>
    <xf numFmtId="0" fontId="3" fillId="0" borderId="0" xfId="0" applyFont="1" applyFill="1" applyBorder="1" applyAlignment="1">
      <alignment horizontal="left" vertical="center" wrapText="1"/>
    </xf>
    <xf numFmtId="0" fontId="1" fillId="0" borderId="0" xfId="0" applyFont="1" applyFill="1" applyBorder="1" applyAlignment="1">
      <alignment vertical="center" wrapText="1"/>
    </xf>
    <xf numFmtId="0" fontId="1" fillId="0" borderId="0" xfId="0" applyFont="1" applyFill="1" applyBorder="1" applyAlignment="1">
      <alignment horizontal="left" vertical="center" wrapText="1"/>
    </xf>
    <xf numFmtId="0" fontId="1" fillId="3" borderId="1" xfId="0" applyFont="1" applyFill="1" applyBorder="1" applyAlignment="1">
      <alignment vertical="center" wrapText="1"/>
    </xf>
    <xf numFmtId="0" fontId="17" fillId="4" borderId="1" xfId="0" applyFont="1" applyFill="1" applyBorder="1" applyAlignment="1">
      <alignment horizontal="center" vertical="top"/>
    </xf>
    <xf numFmtId="0" fontId="17" fillId="5" borderId="1" xfId="0" applyFont="1" applyFill="1" applyBorder="1" applyAlignment="1">
      <alignment horizontal="center" vertical="top"/>
    </xf>
    <xf numFmtId="0" fontId="17" fillId="5" borderId="0" xfId="0" applyFont="1" applyFill="1" applyBorder="1" applyAlignment="1">
      <alignment horizontal="center" vertical="top"/>
    </xf>
    <xf numFmtId="0" fontId="3" fillId="5" borderId="0" xfId="0" applyFont="1" applyFill="1" applyBorder="1" applyAlignment="1">
      <alignment horizontal="left" vertical="center" wrapText="1"/>
    </xf>
    <xf numFmtId="0" fontId="3" fillId="5" borderId="1" xfId="0" applyFont="1" applyFill="1" applyBorder="1" applyAlignment="1">
      <alignment horizontal="left" vertical="center" wrapText="1"/>
    </xf>
    <xf numFmtId="0" fontId="1" fillId="5" borderId="0" xfId="0" applyFont="1" applyFill="1" applyBorder="1" applyAlignment="1">
      <alignment vertical="center" wrapText="1"/>
    </xf>
    <xf numFmtId="0" fontId="19" fillId="5" borderId="1" xfId="0" applyFont="1" applyFill="1" applyBorder="1" applyAlignment="1">
      <alignment wrapText="1"/>
    </xf>
    <xf numFmtId="0" fontId="18" fillId="5" borderId="1" xfId="0" applyFont="1" applyFill="1" applyBorder="1" applyAlignment="1">
      <alignment vertical="center"/>
    </xf>
    <xf numFmtId="0" fontId="20" fillId="5" borderId="1" xfId="0" applyFont="1" applyFill="1" applyBorder="1" applyAlignment="1">
      <alignment wrapText="1"/>
    </xf>
    <xf numFmtId="0" fontId="20" fillId="5" borderId="1" xfId="0" applyFont="1" applyFill="1" applyBorder="1" applyAlignment="1">
      <alignment horizontal="center" wrapText="1"/>
    </xf>
    <xf numFmtId="0" fontId="20" fillId="5" borderId="1" xfId="0" applyFont="1" applyFill="1" applyBorder="1" applyAlignment="1">
      <alignment horizontal="center" vertical="center" wrapText="1"/>
    </xf>
    <xf numFmtId="0" fontId="20" fillId="5" borderId="1" xfId="0" applyFont="1" applyFill="1" applyBorder="1" applyAlignment="1">
      <alignment vertical="center" wrapText="1"/>
    </xf>
    <xf numFmtId="0" fontId="1" fillId="5" borderId="1" xfId="0" applyFont="1" applyFill="1" applyBorder="1" applyAlignment="1">
      <alignment horizontal="center" vertical="top"/>
    </xf>
    <xf numFmtId="0" fontId="3" fillId="5" borderId="1" xfId="0" applyFont="1" applyFill="1" applyBorder="1" applyAlignment="1">
      <alignment horizontal="center" vertical="top" wrapText="1"/>
    </xf>
    <xf numFmtId="0" fontId="3" fillId="5" borderId="1" xfId="0" applyFont="1" applyFill="1" applyBorder="1" applyAlignment="1">
      <alignment horizontal="center" vertical="top"/>
    </xf>
    <xf numFmtId="0" fontId="8" fillId="5" borderId="1" xfId="0" applyFont="1" applyFill="1" applyBorder="1" applyAlignment="1">
      <alignment vertical="top" wrapText="1"/>
    </xf>
    <xf numFmtId="0" fontId="1" fillId="5" borderId="1" xfId="0" applyFont="1" applyFill="1" applyBorder="1" applyAlignment="1">
      <alignment vertical="center" wrapText="1"/>
    </xf>
    <xf numFmtId="0" fontId="5" fillId="5" borderId="1" xfId="0" applyFont="1" applyFill="1" applyBorder="1" applyAlignment="1">
      <alignment horizontal="center"/>
    </xf>
    <xf numFmtId="1" fontId="1" fillId="5" borderId="1" xfId="3" applyNumberFormat="1" applyFont="1" applyFill="1" applyBorder="1" applyAlignment="1">
      <alignment horizontal="center" vertical="top"/>
    </xf>
    <xf numFmtId="0" fontId="5" fillId="5" borderId="1" xfId="0" applyFont="1" applyFill="1" applyBorder="1" applyAlignment="1">
      <alignment horizontal="center" vertical="top"/>
    </xf>
    <xf numFmtId="0" fontId="1" fillId="5" borderId="1" xfId="4" applyFont="1" applyFill="1" applyBorder="1" applyAlignment="1">
      <alignment vertical="top" wrapText="1"/>
    </xf>
    <xf numFmtId="16" fontId="1" fillId="5" borderId="1" xfId="0" applyNumberFormat="1" applyFont="1" applyFill="1" applyBorder="1" applyAlignment="1">
      <alignment vertical="center" wrapText="1"/>
    </xf>
    <xf numFmtId="16" fontId="5" fillId="5" borderId="1" xfId="0" applyNumberFormat="1" applyFont="1" applyFill="1" applyBorder="1" applyAlignment="1">
      <alignment vertical="center" wrapText="1"/>
    </xf>
    <xf numFmtId="0" fontId="5" fillId="5" borderId="1" xfId="0" applyFont="1" applyFill="1" applyBorder="1" applyAlignment="1">
      <alignment vertical="center" wrapText="1"/>
    </xf>
    <xf numFmtId="0" fontId="8" fillId="5" borderId="1" xfId="4" applyFont="1" applyFill="1" applyBorder="1" applyAlignment="1">
      <alignment vertical="top" wrapText="1"/>
    </xf>
    <xf numFmtId="0" fontId="3" fillId="5" borderId="1" xfId="0" applyFont="1" applyFill="1" applyBorder="1" applyAlignment="1">
      <alignment vertical="top" wrapText="1"/>
    </xf>
    <xf numFmtId="0" fontId="1" fillId="5" borderId="0" xfId="0" applyFont="1" applyFill="1" applyBorder="1" applyAlignment="1">
      <alignment horizontal="left" vertical="center" wrapText="1"/>
    </xf>
    <xf numFmtId="0" fontId="21" fillId="5" borderId="1" xfId="0" applyFont="1" applyFill="1" applyBorder="1" applyAlignment="1">
      <alignment horizontal="center" vertical="top"/>
    </xf>
    <xf numFmtId="0" fontId="20" fillId="5" borderId="1" xfId="0" applyFont="1" applyFill="1" applyBorder="1" applyAlignment="1">
      <alignment horizontal="center" vertical="top" wrapText="1"/>
    </xf>
    <xf numFmtId="0" fontId="20" fillId="5" borderId="1" xfId="0" applyFont="1" applyFill="1" applyBorder="1" applyAlignment="1">
      <alignment horizontal="center" vertical="top"/>
    </xf>
    <xf numFmtId="0" fontId="18" fillId="5" borderId="1" xfId="0" applyFont="1" applyFill="1" applyBorder="1" applyAlignment="1">
      <alignment vertical="top" wrapText="1"/>
    </xf>
    <xf numFmtId="0" fontId="20" fillId="5" borderId="1" xfId="0" applyFont="1" applyFill="1" applyBorder="1" applyAlignment="1">
      <alignment horizontal="left" vertical="center" wrapText="1"/>
    </xf>
    <xf numFmtId="0" fontId="21" fillId="5" borderId="1" xfId="0" applyFont="1" applyFill="1" applyBorder="1" applyAlignment="1">
      <alignment vertical="center" wrapText="1"/>
    </xf>
    <xf numFmtId="0" fontId="20" fillId="5" borderId="1" xfId="0" applyFont="1" applyFill="1" applyBorder="1" applyAlignment="1">
      <alignment vertical="top" wrapText="1"/>
    </xf>
    <xf numFmtId="0" fontId="5" fillId="5" borderId="1" xfId="0" applyFont="1" applyFill="1" applyBorder="1" applyAlignment="1">
      <alignment horizontal="right" vertical="top"/>
    </xf>
    <xf numFmtId="0" fontId="5" fillId="5" borderId="1" xfId="0" applyFont="1" applyFill="1" applyBorder="1" applyAlignment="1">
      <alignment vertical="center"/>
    </xf>
    <xf numFmtId="0" fontId="1" fillId="5" borderId="0" xfId="0" applyFont="1" applyFill="1" applyAlignment="1">
      <alignment vertical="center" wrapText="1"/>
    </xf>
    <xf numFmtId="0" fontId="1" fillId="5" borderId="1" xfId="0" applyFont="1" applyFill="1" applyBorder="1" applyAlignment="1">
      <alignment vertical="center"/>
    </xf>
    <xf numFmtId="0" fontId="17" fillId="6" borderId="1" xfId="0" applyFont="1" applyFill="1" applyBorder="1" applyAlignment="1">
      <alignment horizontal="center" vertical="top"/>
    </xf>
    <xf numFmtId="0" fontId="1" fillId="6" borderId="1" xfId="0" applyFont="1" applyFill="1" applyBorder="1" applyAlignment="1">
      <alignment horizontal="center" vertical="top"/>
    </xf>
    <xf numFmtId="0" fontId="3" fillId="6" borderId="1" xfId="0" applyFont="1" applyFill="1" applyBorder="1" applyAlignment="1">
      <alignment horizontal="center" vertical="top" wrapText="1"/>
    </xf>
    <xf numFmtId="0" fontId="3" fillId="6" borderId="1" xfId="0" applyFont="1" applyFill="1" applyBorder="1" applyAlignment="1">
      <alignment horizontal="center" vertical="top"/>
    </xf>
    <xf numFmtId="0" fontId="3" fillId="6" borderId="1" xfId="0" applyFont="1" applyFill="1" applyBorder="1" applyAlignment="1">
      <alignment vertical="top" wrapText="1"/>
    </xf>
    <xf numFmtId="0" fontId="3" fillId="6" borderId="1" xfId="0" applyFont="1" applyFill="1" applyBorder="1" applyAlignment="1">
      <alignment horizontal="left" vertical="center" wrapText="1"/>
    </xf>
    <xf numFmtId="0" fontId="1" fillId="5" borderId="1" xfId="0" applyFont="1" applyFill="1" applyBorder="1" applyAlignment="1">
      <alignment vertical="top" wrapText="1"/>
    </xf>
    <xf numFmtId="49" fontId="3" fillId="5" borderId="1" xfId="0" applyNumberFormat="1" applyFont="1" applyFill="1" applyBorder="1" applyAlignment="1">
      <alignment horizontal="left" vertical="center" wrapText="1"/>
    </xf>
    <xf numFmtId="0" fontId="1" fillId="5" borderId="0" xfId="0" applyFont="1" applyFill="1" applyBorder="1" applyAlignment="1">
      <alignment horizontal="center" vertical="top"/>
    </xf>
    <xf numFmtId="0" fontId="3" fillId="5" borderId="0" xfId="0" applyFont="1" applyFill="1" applyBorder="1" applyAlignment="1">
      <alignment horizontal="center" vertical="top" wrapText="1"/>
    </xf>
    <xf numFmtId="0" fontId="3" fillId="5" borderId="0" xfId="0" applyFont="1" applyFill="1" applyBorder="1" applyAlignment="1">
      <alignment horizontal="center" vertical="top"/>
    </xf>
    <xf numFmtId="0" fontId="3" fillId="5" borderId="0" xfId="0" applyFont="1" applyFill="1" applyBorder="1" applyAlignment="1">
      <alignment vertical="top" wrapText="1"/>
    </xf>
    <xf numFmtId="0" fontId="1" fillId="5" borderId="0" xfId="0" applyFont="1" applyFill="1" applyBorder="1" applyAlignment="1">
      <alignment horizontal="left" vertical="center" wrapText="1"/>
    </xf>
    <xf numFmtId="0" fontId="8" fillId="5" borderId="0" xfId="0" applyFont="1" applyFill="1" applyBorder="1" applyAlignment="1">
      <alignment vertical="top" wrapText="1"/>
    </xf>
    <xf numFmtId="0" fontId="1" fillId="5" borderId="1" xfId="0" applyFont="1" applyFill="1" applyBorder="1" applyAlignment="1">
      <alignment horizontal="left" vertical="center" wrapText="1"/>
    </xf>
    <xf numFmtId="0" fontId="2" fillId="5" borderId="1" xfId="0" applyFont="1" applyFill="1" applyBorder="1" applyAlignment="1">
      <alignment horizontal="center" vertical="top" wrapText="1"/>
    </xf>
    <xf numFmtId="0" fontId="2" fillId="5" borderId="1" xfId="0" applyFont="1" applyFill="1" applyBorder="1" applyAlignment="1">
      <alignment horizontal="left" vertical="center" wrapText="1"/>
    </xf>
    <xf numFmtId="0" fontId="6" fillId="5" borderId="1" xfId="0" applyFont="1" applyFill="1" applyBorder="1" applyAlignment="1">
      <alignment vertical="center" wrapText="1"/>
    </xf>
    <xf numFmtId="0" fontId="1" fillId="5" borderId="1" xfId="0" applyFont="1" applyFill="1" applyBorder="1" applyAlignment="1">
      <alignment vertical="center" wrapText="1"/>
    </xf>
    <xf numFmtId="0" fontId="1" fillId="5" borderId="1" xfId="2" applyFont="1" applyFill="1" applyBorder="1" applyAlignment="1">
      <alignment vertical="center" wrapText="1"/>
    </xf>
    <xf numFmtId="0" fontId="1" fillId="5" borderId="1" xfId="3" applyFont="1" applyFill="1" applyBorder="1" applyAlignment="1">
      <alignment vertical="center" wrapText="1"/>
    </xf>
    <xf numFmtId="0" fontId="1" fillId="5" borderId="1" xfId="3" applyFont="1" applyFill="1" applyBorder="1" applyAlignment="1">
      <alignment horizontal="left" vertical="center" wrapText="1"/>
    </xf>
    <xf numFmtId="0" fontId="5" fillId="5" borderId="1" xfId="0" applyFont="1" applyFill="1" applyBorder="1" applyAlignment="1">
      <alignment horizontal="center" vertical="top" wrapText="1"/>
    </xf>
    <xf numFmtId="0" fontId="5" fillId="5" borderId="1" xfId="0" applyFont="1" applyFill="1" applyBorder="1" applyAlignment="1">
      <alignment vertical="top" wrapText="1"/>
    </xf>
    <xf numFmtId="0" fontId="3" fillId="5" borderId="1" xfId="0" applyFont="1" applyFill="1" applyBorder="1" applyAlignment="1">
      <alignment horizontal="left" vertical="top" wrapText="1"/>
    </xf>
    <xf numFmtId="0" fontId="5" fillId="5" borderId="1" xfId="0" applyFont="1" applyFill="1" applyBorder="1" applyAlignment="1">
      <alignment horizontal="center" vertical="center"/>
    </xf>
    <xf numFmtId="1" fontId="1" fillId="5" borderId="1" xfId="3" applyNumberFormat="1" applyFont="1" applyFill="1" applyBorder="1" applyAlignment="1">
      <alignment horizontal="center" vertical="center"/>
    </xf>
    <xf numFmtId="1" fontId="1" fillId="5" borderId="1" xfId="3" applyNumberFormat="1" applyFont="1" applyFill="1" applyBorder="1" applyAlignment="1">
      <alignment horizontal="right" vertical="top"/>
    </xf>
    <xf numFmtId="0" fontId="4" fillId="5" borderId="1" xfId="0" applyFont="1" applyFill="1" applyBorder="1" applyAlignment="1">
      <alignment horizontal="center" vertical="top"/>
    </xf>
    <xf numFmtId="0" fontId="5" fillId="5" borderId="0" xfId="0" applyFont="1" applyFill="1" applyBorder="1" applyAlignment="1">
      <alignment horizontal="center" vertical="top"/>
    </xf>
    <xf numFmtId="0" fontId="5" fillId="5" borderId="1" xfId="0" applyFont="1" applyFill="1" applyBorder="1" applyAlignment="1">
      <alignment vertical="top"/>
    </xf>
    <xf numFmtId="0" fontId="5" fillId="5" borderId="1" xfId="0" applyFont="1" applyFill="1" applyBorder="1" applyAlignment="1">
      <alignment horizontal="left" vertical="center"/>
    </xf>
    <xf numFmtId="0" fontId="4" fillId="5" borderId="0" xfId="0" applyFont="1" applyFill="1" applyBorder="1" applyAlignment="1">
      <alignment horizontal="center" vertical="top"/>
    </xf>
    <xf numFmtId="14" fontId="16" fillId="0" borderId="0" xfId="0" applyNumberFormat="1" applyFont="1"/>
    <xf numFmtId="0" fontId="16" fillId="0" borderId="3" xfId="0" applyFont="1" applyFill="1" applyBorder="1"/>
    <xf numFmtId="16" fontId="5" fillId="7" borderId="1" xfId="0" applyNumberFormat="1" applyFont="1" applyFill="1" applyBorder="1" applyAlignment="1">
      <alignment vertical="center" wrapText="1"/>
    </xf>
    <xf numFmtId="0" fontId="3" fillId="8" borderId="1" xfId="0" applyFont="1" applyFill="1" applyBorder="1" applyAlignment="1">
      <alignment horizontal="left" vertical="center" wrapText="1"/>
    </xf>
    <xf numFmtId="0" fontId="1" fillId="8" borderId="1" xfId="0" applyFont="1" applyFill="1" applyBorder="1" applyAlignment="1">
      <alignment horizontal="center" vertical="top"/>
    </xf>
    <xf numFmtId="0" fontId="21" fillId="8" borderId="1" xfId="0" applyFont="1" applyFill="1" applyBorder="1" applyAlignment="1">
      <alignment horizontal="center" vertical="top"/>
    </xf>
    <xf numFmtId="0" fontId="20" fillId="8" borderId="1" xfId="0" applyFont="1" applyFill="1" applyBorder="1" applyAlignment="1">
      <alignment horizontal="center" vertical="top" wrapText="1"/>
    </xf>
    <xf numFmtId="0" fontId="20" fillId="8" borderId="1" xfId="0" applyFont="1" applyFill="1" applyBorder="1" applyAlignment="1">
      <alignment horizontal="center" vertical="top"/>
    </xf>
    <xf numFmtId="0" fontId="20" fillId="8" borderId="1" xfId="0" applyFont="1" applyFill="1" applyBorder="1" applyAlignment="1">
      <alignment vertical="top" wrapText="1"/>
    </xf>
    <xf numFmtId="0" fontId="20" fillId="8" borderId="1" xfId="0" applyFont="1" applyFill="1" applyBorder="1" applyAlignment="1">
      <alignment horizontal="left" vertical="center" wrapText="1"/>
    </xf>
    <xf numFmtId="0" fontId="21" fillId="8" borderId="1" xfId="0" applyFont="1" applyFill="1" applyBorder="1" applyAlignment="1">
      <alignment vertical="center" wrapText="1"/>
    </xf>
    <xf numFmtId="0" fontId="3" fillId="8" borderId="1" xfId="0" applyFont="1" applyFill="1" applyBorder="1" applyAlignment="1">
      <alignment horizontal="center" vertical="top" wrapText="1"/>
    </xf>
    <xf numFmtId="0" fontId="21" fillId="8" borderId="1" xfId="0" applyFont="1" applyFill="1" applyBorder="1" applyAlignment="1">
      <alignment vertical="top" wrapText="1"/>
    </xf>
    <xf numFmtId="0" fontId="1" fillId="8" borderId="1" xfId="0" applyFont="1" applyFill="1" applyBorder="1" applyAlignment="1">
      <alignment vertical="center" wrapText="1"/>
    </xf>
    <xf numFmtId="0" fontId="17" fillId="8" borderId="1" xfId="0" applyFont="1" applyFill="1" applyBorder="1" applyAlignment="1">
      <alignment horizontal="center" vertical="top" wrapText="1"/>
    </xf>
    <xf numFmtId="0" fontId="3" fillId="0" borderId="0" xfId="0" applyFont="1" applyFill="1" applyBorder="1" applyAlignment="1">
      <alignment horizontal="left" vertical="center" wrapText="1"/>
    </xf>
    <xf numFmtId="0" fontId="0" fillId="0" borderId="0" xfId="0" applyFill="1" applyAlignment="1">
      <alignment horizontal="left" vertical="center" wrapText="1"/>
    </xf>
    <xf numFmtId="0" fontId="1" fillId="0" borderId="0" xfId="0" applyFont="1" applyFill="1" applyBorder="1" applyAlignment="1">
      <alignment horizontal="left" vertical="center" wrapText="1"/>
    </xf>
    <xf numFmtId="49" fontId="10" fillId="0" borderId="0" xfId="0" applyNumberFormat="1" applyFont="1" applyFill="1" applyBorder="1" applyAlignment="1">
      <alignment horizontal="left"/>
    </xf>
    <xf numFmtId="0" fontId="1" fillId="5" borderId="1" xfId="0" applyFont="1" applyFill="1" applyBorder="1" applyAlignment="1">
      <alignment horizontal="left" vertical="center" wrapText="1"/>
    </xf>
    <xf numFmtId="0" fontId="1" fillId="0" borderId="0" xfId="0" quotePrefix="1" applyFont="1" applyFill="1" applyBorder="1" applyAlignment="1">
      <alignment horizontal="left" vertical="center" wrapText="1"/>
    </xf>
    <xf numFmtId="0" fontId="1" fillId="0" borderId="0" xfId="3" applyFont="1" applyFill="1" applyBorder="1" applyAlignment="1">
      <alignment horizontal="left" vertical="center" wrapText="1"/>
    </xf>
    <xf numFmtId="0" fontId="1" fillId="0" borderId="0" xfId="0" applyFont="1" applyFill="1" applyBorder="1" applyAlignment="1">
      <alignment vertical="center" wrapText="1"/>
    </xf>
    <xf numFmtId="49" fontId="1" fillId="0" borderId="0" xfId="2" applyNumberFormat="1" applyFont="1" applyFill="1" applyBorder="1" applyAlignment="1">
      <alignment vertical="center" wrapText="1"/>
    </xf>
    <xf numFmtId="0" fontId="1" fillId="0" borderId="0" xfId="2" applyFont="1" applyFill="1" applyBorder="1" applyAlignment="1">
      <alignment vertical="center" wrapText="1"/>
    </xf>
    <xf numFmtId="0" fontId="3" fillId="5" borderId="1" xfId="0" applyFont="1" applyFill="1" applyBorder="1" applyAlignment="1">
      <alignment horizontal="left" vertical="center" wrapText="1"/>
    </xf>
    <xf numFmtId="0" fontId="3" fillId="5" borderId="4" xfId="0" applyFont="1" applyFill="1" applyBorder="1" applyAlignment="1">
      <alignment horizontal="left" vertical="center" wrapText="1"/>
    </xf>
    <xf numFmtId="0" fontId="3" fillId="5" borderId="3" xfId="0" applyFont="1" applyFill="1" applyBorder="1" applyAlignment="1">
      <alignment horizontal="left" vertical="center" wrapText="1"/>
    </xf>
    <xf numFmtId="0" fontId="3" fillId="5" borderId="5" xfId="0" applyFont="1" applyFill="1" applyBorder="1" applyAlignment="1">
      <alignment horizontal="left" vertical="center" wrapText="1"/>
    </xf>
    <xf numFmtId="0" fontId="0" fillId="5" borderId="1" xfId="0" applyFill="1" applyBorder="1" applyAlignment="1">
      <alignment horizontal="left" vertical="center" wrapText="1"/>
    </xf>
    <xf numFmtId="0" fontId="1" fillId="5" borderId="0" xfId="0" applyFont="1" applyFill="1" applyBorder="1" applyAlignment="1">
      <alignment horizontal="left" vertical="center" wrapText="1"/>
    </xf>
    <xf numFmtId="0" fontId="0" fillId="0" borderId="0" xfId="0" applyFill="1" applyAlignment="1">
      <alignment vertical="center" wrapText="1"/>
    </xf>
    <xf numFmtId="0" fontId="0" fillId="5" borderId="5" xfId="0" applyFill="1" applyBorder="1" applyAlignment="1">
      <alignment horizontal="left" vertical="center" wrapText="1"/>
    </xf>
    <xf numFmtId="0" fontId="1" fillId="5" borderId="4" xfId="0" applyFont="1" applyFill="1" applyBorder="1" applyAlignment="1">
      <alignment vertical="center" wrapText="1"/>
    </xf>
    <xf numFmtId="0" fontId="0" fillId="5" borderId="5" xfId="0" applyFill="1" applyBorder="1" applyAlignment="1">
      <alignment vertical="center" wrapText="1"/>
    </xf>
    <xf numFmtId="0" fontId="0" fillId="0" borderId="0" xfId="0" applyAlignment="1">
      <alignment horizontal="left" vertical="center" wrapText="1"/>
    </xf>
    <xf numFmtId="0" fontId="0" fillId="0" borderId="0" xfId="0" applyAlignment="1">
      <alignment vertical="center" wrapText="1"/>
    </xf>
    <xf numFmtId="0" fontId="1" fillId="5" borderId="1" xfId="0" applyFont="1" applyFill="1" applyBorder="1" applyAlignment="1">
      <alignment vertical="center" wrapText="1"/>
    </xf>
    <xf numFmtId="0" fontId="0" fillId="5" borderId="1" xfId="0" applyFill="1" applyBorder="1" applyAlignment="1">
      <alignment vertical="center" wrapText="1"/>
    </xf>
    <xf numFmtId="0" fontId="1" fillId="5" borderId="4" xfId="0" quotePrefix="1" applyFont="1" applyFill="1" applyBorder="1" applyAlignment="1">
      <alignment horizontal="left" vertical="center" wrapText="1"/>
    </xf>
    <xf numFmtId="0" fontId="1" fillId="5" borderId="3" xfId="0" quotePrefix="1" applyFont="1" applyFill="1" applyBorder="1" applyAlignment="1">
      <alignment horizontal="left" vertical="center" wrapText="1"/>
    </xf>
    <xf numFmtId="0" fontId="1" fillId="5" borderId="5" xfId="0" quotePrefix="1" applyFont="1" applyFill="1" applyBorder="1" applyAlignment="1">
      <alignment horizontal="left" vertical="center" wrapText="1"/>
    </xf>
    <xf numFmtId="0" fontId="3" fillId="5" borderId="0" xfId="0" applyFont="1" applyFill="1" applyBorder="1" applyAlignment="1">
      <alignment horizontal="left" vertical="center" wrapText="1"/>
    </xf>
    <xf numFmtId="0" fontId="0" fillId="5" borderId="2" xfId="0" applyFill="1" applyBorder="1" applyAlignment="1">
      <alignment horizontal="left" vertical="center" wrapText="1"/>
    </xf>
    <xf numFmtId="0" fontId="0" fillId="0" borderId="2" xfId="0" applyBorder="1" applyAlignment="1">
      <alignment vertical="center" wrapText="1"/>
    </xf>
    <xf numFmtId="0" fontId="1" fillId="5" borderId="3" xfId="0" applyFont="1" applyFill="1" applyBorder="1" applyAlignment="1">
      <alignment vertical="center" wrapText="1"/>
    </xf>
    <xf numFmtId="0" fontId="1" fillId="5" borderId="5" xfId="0" applyFont="1" applyFill="1" applyBorder="1" applyAlignment="1">
      <alignment vertical="center" wrapText="1"/>
    </xf>
    <xf numFmtId="0" fontId="1" fillId="5" borderId="4" xfId="0" applyFont="1" applyFill="1" applyBorder="1" applyAlignment="1">
      <alignment horizontal="left" vertical="center" wrapText="1"/>
    </xf>
    <xf numFmtId="0" fontId="1" fillId="5" borderId="3" xfId="0" applyFont="1" applyFill="1" applyBorder="1" applyAlignment="1">
      <alignment horizontal="left" vertical="center" wrapText="1"/>
    </xf>
    <xf numFmtId="0" fontId="1" fillId="5" borderId="5" xfId="0" applyFont="1" applyFill="1" applyBorder="1" applyAlignment="1">
      <alignment horizontal="left" vertical="center" wrapText="1"/>
    </xf>
    <xf numFmtId="0" fontId="3" fillId="8" borderId="0" xfId="0" applyFont="1" applyFill="1" applyBorder="1" applyAlignment="1">
      <alignment horizontal="left" vertical="center" wrapText="1"/>
    </xf>
    <xf numFmtId="0" fontId="3" fillId="8" borderId="1" xfId="0" applyFont="1" applyFill="1" applyBorder="1" applyAlignment="1">
      <alignment horizontal="left" vertical="center" wrapText="1"/>
    </xf>
    <xf numFmtId="0" fontId="6" fillId="5" borderId="1" xfId="0" applyFont="1" applyFill="1" applyBorder="1" applyAlignment="1">
      <alignment horizontal="left" vertical="center" wrapText="1"/>
    </xf>
    <xf numFmtId="0" fontId="6" fillId="0" borderId="0" xfId="0" applyFont="1" applyFill="1" applyBorder="1" applyAlignment="1">
      <alignment horizontal="left" vertical="center" wrapText="1"/>
    </xf>
    <xf numFmtId="0" fontId="12" fillId="0" borderId="2" xfId="3" applyFont="1" applyBorder="1" applyAlignment="1" applyProtection="1">
      <alignment horizontal="left" vertical="top" wrapText="1"/>
    </xf>
  </cellXfs>
  <cellStyles count="5">
    <cellStyle name="Normal" xfId="0" builtinId="0"/>
    <cellStyle name="Normal 12" xfId="3"/>
    <cellStyle name="Normal 2" xfId="1"/>
    <cellStyle name="Normal 23" xfId="4"/>
    <cellStyle name="Normal 29" xfId="2"/>
  </cellStyles>
  <dxfs count="0"/>
  <tableStyles count="0" defaultTableStyle="TableStyleMedium9" defaultPivotStyle="PivotStyleLight16"/>
  <colors>
    <mruColors>
      <color rgb="FFFFFF99"/>
      <color rgb="FFFFFF66"/>
      <color rgb="FFCC99FF"/>
      <color rgb="FF9966FF"/>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I949"/>
  <sheetViews>
    <sheetView tabSelected="1" topLeftCell="A825" zoomScale="75" zoomScaleNormal="75" zoomScaleSheetLayoutView="100" workbookViewId="0">
      <selection activeCell="G724" sqref="G724"/>
    </sheetView>
  </sheetViews>
  <sheetFormatPr defaultColWidth="9.28515625" defaultRowHeight="12.75" x14ac:dyDescent="0.25"/>
  <cols>
    <col min="1" max="1" width="17.42578125" style="6" customWidth="1"/>
    <col min="2" max="2" width="17.28515625" style="6" customWidth="1"/>
    <col min="3" max="3" width="11.5703125" style="30" customWidth="1"/>
    <col min="4" max="4" width="10.140625" style="30" customWidth="1"/>
    <col min="5" max="5" width="10.42578125" style="30" customWidth="1"/>
    <col min="6" max="6" width="10.140625" style="30" customWidth="1"/>
    <col min="7" max="7" width="40" style="25" customWidth="1"/>
    <col min="8" max="8" width="34.85546875" style="16" customWidth="1"/>
    <col min="9" max="9" width="57.28515625" style="43" customWidth="1"/>
    <col min="10" max="16384" width="9.28515625" style="4"/>
  </cols>
  <sheetData>
    <row r="1" spans="1:9" ht="20.25" x14ac:dyDescent="0.3">
      <c r="B1" s="27"/>
      <c r="C1" s="171" t="s">
        <v>272</v>
      </c>
      <c r="D1" s="171"/>
      <c r="E1" s="171"/>
      <c r="F1" s="171"/>
      <c r="G1" s="171"/>
      <c r="H1" s="171"/>
      <c r="I1" s="17" t="s">
        <v>413</v>
      </c>
    </row>
    <row r="2" spans="1:9" s="8" customFormat="1" ht="38.25" x14ac:dyDescent="0.2">
      <c r="A2" s="1" t="s">
        <v>43</v>
      </c>
      <c r="B2" s="1" t="s">
        <v>44</v>
      </c>
      <c r="C2" s="1" t="s">
        <v>45</v>
      </c>
      <c r="D2" s="1" t="s">
        <v>504</v>
      </c>
      <c r="E2" s="1" t="s">
        <v>46</v>
      </c>
      <c r="F2" s="1" t="s">
        <v>47</v>
      </c>
      <c r="G2" s="26" t="s">
        <v>48</v>
      </c>
      <c r="H2" s="1" t="s">
        <v>49</v>
      </c>
      <c r="I2" s="2" t="s">
        <v>50</v>
      </c>
    </row>
    <row r="3" spans="1:9" s="8" customFormat="1" x14ac:dyDescent="0.2">
      <c r="A3" s="3" t="s">
        <v>0</v>
      </c>
      <c r="B3" s="3" t="s">
        <v>0</v>
      </c>
      <c r="C3" s="28" t="s">
        <v>97</v>
      </c>
      <c r="D3" s="3">
        <v>1</v>
      </c>
      <c r="E3" s="3">
        <f>D3+F3-1</f>
        <v>4</v>
      </c>
      <c r="F3" s="3">
        <v>4</v>
      </c>
      <c r="G3" s="23" t="s">
        <v>39</v>
      </c>
      <c r="H3" s="1"/>
      <c r="I3" s="2"/>
    </row>
    <row r="4" spans="1:9" ht="38.25" x14ac:dyDescent="0.25">
      <c r="A4" s="5" t="s">
        <v>0</v>
      </c>
      <c r="B4" s="5" t="s">
        <v>0</v>
      </c>
      <c r="C4" s="28" t="s">
        <v>97</v>
      </c>
      <c r="D4" s="3">
        <f>D3+F3</f>
        <v>5</v>
      </c>
      <c r="E4" s="3">
        <f>D4+F4-1</f>
        <v>6</v>
      </c>
      <c r="F4" s="3">
        <v>2</v>
      </c>
      <c r="G4" s="23" t="s">
        <v>38</v>
      </c>
      <c r="H4" s="41" t="s">
        <v>51</v>
      </c>
    </row>
    <row r="5" spans="1:9" x14ac:dyDescent="0.25">
      <c r="A5" s="5"/>
      <c r="B5" s="5"/>
      <c r="C5" s="28"/>
      <c r="D5" s="3"/>
      <c r="E5" s="3"/>
      <c r="F5" s="3"/>
      <c r="G5" s="24" t="s">
        <v>52</v>
      </c>
      <c r="H5" s="41"/>
    </row>
    <row r="6" spans="1:9" ht="43.5" customHeight="1" x14ac:dyDescent="0.25">
      <c r="A6" s="5" t="s">
        <v>0</v>
      </c>
      <c r="B6" s="5" t="s">
        <v>0</v>
      </c>
      <c r="C6" s="28" t="s">
        <v>97</v>
      </c>
      <c r="D6" s="3">
        <f>D4+F4</f>
        <v>7</v>
      </c>
      <c r="E6" s="3">
        <f t="shared" ref="E6:E14" si="0">D6+F6-1</f>
        <v>9</v>
      </c>
      <c r="F6" s="3">
        <v>3</v>
      </c>
      <c r="G6" s="23" t="s">
        <v>1</v>
      </c>
      <c r="H6" s="41"/>
      <c r="I6" s="176" t="s">
        <v>103</v>
      </c>
    </row>
    <row r="7" spans="1:9" ht="43.5" customHeight="1" x14ac:dyDescent="0.25">
      <c r="A7" s="5" t="s">
        <v>0</v>
      </c>
      <c r="B7" s="5" t="s">
        <v>0</v>
      </c>
      <c r="C7" s="28" t="s">
        <v>97</v>
      </c>
      <c r="D7" s="3">
        <f t="shared" ref="D7:D14" si="1">D6+F6</f>
        <v>10</v>
      </c>
      <c r="E7" s="3">
        <f t="shared" si="0"/>
        <v>12</v>
      </c>
      <c r="F7" s="3">
        <v>3</v>
      </c>
      <c r="G7" s="23" t="s">
        <v>2</v>
      </c>
      <c r="H7" s="41"/>
      <c r="I7" s="177"/>
    </row>
    <row r="8" spans="1:9" x14ac:dyDescent="0.25">
      <c r="A8" s="5" t="s">
        <v>0</v>
      </c>
      <c r="B8" s="5" t="s">
        <v>0</v>
      </c>
      <c r="C8" s="28" t="s">
        <v>97</v>
      </c>
      <c r="D8" s="3">
        <f t="shared" si="1"/>
        <v>13</v>
      </c>
      <c r="E8" s="3">
        <f t="shared" si="0"/>
        <v>52</v>
      </c>
      <c r="F8" s="3">
        <v>40</v>
      </c>
      <c r="G8" s="23" t="s">
        <v>3</v>
      </c>
      <c r="H8" s="41"/>
    </row>
    <row r="9" spans="1:9" x14ac:dyDescent="0.25">
      <c r="A9" s="5" t="s">
        <v>0</v>
      </c>
      <c r="B9" s="5" t="s">
        <v>0</v>
      </c>
      <c r="C9" s="28" t="s">
        <v>97</v>
      </c>
      <c r="D9" s="3">
        <f t="shared" si="1"/>
        <v>53</v>
      </c>
      <c r="E9" s="3">
        <f t="shared" si="0"/>
        <v>92</v>
      </c>
      <c r="F9" s="3">
        <v>40</v>
      </c>
      <c r="G9" s="23" t="s">
        <v>4</v>
      </c>
      <c r="H9" s="41"/>
    </row>
    <row r="10" spans="1:9" ht="51" x14ac:dyDescent="0.25">
      <c r="A10" s="5" t="s">
        <v>0</v>
      </c>
      <c r="B10" s="5" t="s">
        <v>0</v>
      </c>
      <c r="C10" s="28" t="s">
        <v>97</v>
      </c>
      <c r="D10" s="3">
        <f t="shared" si="1"/>
        <v>93</v>
      </c>
      <c r="E10" s="3">
        <f t="shared" si="0"/>
        <v>98</v>
      </c>
      <c r="F10" s="3">
        <v>6</v>
      </c>
      <c r="G10" s="23" t="s">
        <v>349</v>
      </c>
      <c r="H10" s="19" t="s">
        <v>77</v>
      </c>
      <c r="I10" s="39" t="s">
        <v>299</v>
      </c>
    </row>
    <row r="11" spans="1:9" ht="199.5" customHeight="1" x14ac:dyDescent="0.25">
      <c r="A11" s="5" t="s">
        <v>0</v>
      </c>
      <c r="B11" s="5" t="s">
        <v>0</v>
      </c>
      <c r="C11" s="28" t="s">
        <v>97</v>
      </c>
      <c r="D11" s="3">
        <f t="shared" si="1"/>
        <v>99</v>
      </c>
      <c r="E11" s="3">
        <f t="shared" si="0"/>
        <v>100</v>
      </c>
      <c r="F11" s="3">
        <v>2</v>
      </c>
      <c r="G11" s="23" t="s">
        <v>5</v>
      </c>
      <c r="H11" s="45" t="s">
        <v>104</v>
      </c>
      <c r="I11" s="45" t="s">
        <v>238</v>
      </c>
    </row>
    <row r="12" spans="1:9" ht="95.25" customHeight="1" x14ac:dyDescent="0.25">
      <c r="A12" s="5" t="s">
        <v>0</v>
      </c>
      <c r="B12" s="5" t="s">
        <v>0</v>
      </c>
      <c r="C12" s="28" t="s">
        <v>97</v>
      </c>
      <c r="D12" s="3">
        <f t="shared" si="1"/>
        <v>101</v>
      </c>
      <c r="E12" s="3">
        <f t="shared" si="0"/>
        <v>101</v>
      </c>
      <c r="F12" s="3">
        <v>1</v>
      </c>
      <c r="G12" s="23" t="s">
        <v>7</v>
      </c>
      <c r="H12" s="41" t="s">
        <v>53</v>
      </c>
      <c r="I12" s="45" t="s">
        <v>242</v>
      </c>
    </row>
    <row r="13" spans="1:9" ht="38.25" x14ac:dyDescent="0.2">
      <c r="A13" s="47" t="s">
        <v>0</v>
      </c>
      <c r="B13" s="47" t="s">
        <v>0</v>
      </c>
      <c r="C13" s="48"/>
      <c r="D13" s="47">
        <f t="shared" si="1"/>
        <v>102</v>
      </c>
      <c r="E13" s="49">
        <f t="shared" si="0"/>
        <v>102</v>
      </c>
      <c r="F13" s="50">
        <v>1</v>
      </c>
      <c r="G13" s="51" t="s">
        <v>391</v>
      </c>
      <c r="H13" s="44" t="s">
        <v>118</v>
      </c>
      <c r="I13" s="44" t="s">
        <v>392</v>
      </c>
    </row>
    <row r="14" spans="1:9" x14ac:dyDescent="0.25">
      <c r="A14" s="5"/>
      <c r="B14" s="5"/>
      <c r="C14" s="28"/>
      <c r="D14" s="3">
        <f t="shared" si="1"/>
        <v>103</v>
      </c>
      <c r="E14" s="3">
        <f t="shared" si="0"/>
        <v>117</v>
      </c>
      <c r="F14" s="3">
        <v>15</v>
      </c>
      <c r="G14" s="23" t="s">
        <v>55</v>
      </c>
      <c r="H14" s="41"/>
    </row>
    <row r="15" spans="1:9" x14ac:dyDescent="0.25">
      <c r="A15" s="5"/>
      <c r="B15" s="5"/>
      <c r="C15" s="6"/>
      <c r="D15" s="3"/>
      <c r="E15" s="3"/>
      <c r="F15" s="7"/>
      <c r="G15" s="24" t="s">
        <v>56</v>
      </c>
      <c r="H15" s="14"/>
    </row>
    <row r="16" spans="1:9" ht="55.5" customHeight="1" x14ac:dyDescent="0.25">
      <c r="A16" s="5" t="s">
        <v>0</v>
      </c>
      <c r="B16" s="5" t="s">
        <v>6</v>
      </c>
      <c r="C16" s="28" t="s">
        <v>393</v>
      </c>
      <c r="D16" s="3">
        <f>D14+F14</f>
        <v>118</v>
      </c>
      <c r="E16" s="3">
        <f t="shared" ref="E16:E51" si="2">D16+F16-1</f>
        <v>137</v>
      </c>
      <c r="F16" s="3">
        <v>20</v>
      </c>
      <c r="G16" s="23" t="s">
        <v>105</v>
      </c>
      <c r="H16" s="41" t="s">
        <v>240</v>
      </c>
      <c r="I16" s="170" t="s">
        <v>57</v>
      </c>
    </row>
    <row r="17" spans="1:9" ht="56.25" customHeight="1" x14ac:dyDescent="0.25">
      <c r="A17" s="5" t="s">
        <v>0</v>
      </c>
      <c r="B17" s="5" t="s">
        <v>6</v>
      </c>
      <c r="C17" s="28" t="s">
        <v>393</v>
      </c>
      <c r="D17" s="3">
        <f t="shared" ref="D17:D51" si="3">D16+F16</f>
        <v>138</v>
      </c>
      <c r="E17" s="3">
        <f t="shared" si="2"/>
        <v>152</v>
      </c>
      <c r="F17" s="3">
        <v>15</v>
      </c>
      <c r="G17" s="23" t="s">
        <v>106</v>
      </c>
      <c r="H17" s="41" t="s">
        <v>240</v>
      </c>
      <c r="I17" s="170"/>
    </row>
    <row r="18" spans="1:9" ht="56.25" customHeight="1" x14ac:dyDescent="0.25">
      <c r="A18" s="5" t="s">
        <v>0</v>
      </c>
      <c r="B18" s="5" t="s">
        <v>6</v>
      </c>
      <c r="C18" s="28" t="s">
        <v>97</v>
      </c>
      <c r="D18" s="3">
        <f t="shared" si="3"/>
        <v>153</v>
      </c>
      <c r="E18" s="3">
        <f t="shared" si="2"/>
        <v>153</v>
      </c>
      <c r="F18" s="3">
        <v>1</v>
      </c>
      <c r="G18" s="23" t="s">
        <v>107</v>
      </c>
      <c r="H18" s="41" t="s">
        <v>241</v>
      </c>
      <c r="I18" s="170"/>
    </row>
    <row r="19" spans="1:9" x14ac:dyDescent="0.25">
      <c r="A19" s="5" t="s">
        <v>0</v>
      </c>
      <c r="B19" s="5" t="s">
        <v>0</v>
      </c>
      <c r="C19" s="28" t="s">
        <v>393</v>
      </c>
      <c r="D19" s="3">
        <f t="shared" si="3"/>
        <v>154</v>
      </c>
      <c r="E19" s="3">
        <f t="shared" si="2"/>
        <v>163</v>
      </c>
      <c r="F19" s="3">
        <v>10</v>
      </c>
      <c r="G19" s="9" t="s">
        <v>58</v>
      </c>
      <c r="H19" s="52" t="s">
        <v>239</v>
      </c>
      <c r="I19" s="43" t="s">
        <v>59</v>
      </c>
    </row>
    <row r="20" spans="1:9" ht="63.75" x14ac:dyDescent="0.25">
      <c r="A20" s="5" t="s">
        <v>6</v>
      </c>
      <c r="B20" s="5" t="s">
        <v>6</v>
      </c>
      <c r="C20" s="28" t="s">
        <v>96</v>
      </c>
      <c r="D20" s="3">
        <f t="shared" si="3"/>
        <v>164</v>
      </c>
      <c r="E20" s="3">
        <f t="shared" si="2"/>
        <v>169</v>
      </c>
      <c r="F20" s="3">
        <v>6</v>
      </c>
      <c r="G20" s="23" t="s">
        <v>243</v>
      </c>
      <c r="H20" s="45" t="s">
        <v>244</v>
      </c>
      <c r="I20" s="43" t="s">
        <v>347</v>
      </c>
    </row>
    <row r="21" spans="1:9" ht="61.5" customHeight="1" x14ac:dyDescent="0.25">
      <c r="A21" s="5" t="s">
        <v>0</v>
      </c>
      <c r="B21" s="5" t="s">
        <v>0</v>
      </c>
      <c r="C21" s="28" t="s">
        <v>393</v>
      </c>
      <c r="D21" s="3">
        <f t="shared" si="3"/>
        <v>170</v>
      </c>
      <c r="E21" s="3">
        <f t="shared" si="2"/>
        <v>171</v>
      </c>
      <c r="F21" s="3">
        <v>2</v>
      </c>
      <c r="G21" s="13" t="s">
        <v>109</v>
      </c>
      <c r="H21" s="10" t="s">
        <v>60</v>
      </c>
      <c r="I21" s="174" t="s">
        <v>62</v>
      </c>
    </row>
    <row r="22" spans="1:9" ht="60" customHeight="1" x14ac:dyDescent="0.25">
      <c r="A22" s="5" t="s">
        <v>0</v>
      </c>
      <c r="B22" s="5" t="s">
        <v>0</v>
      </c>
      <c r="C22" s="28" t="s">
        <v>393</v>
      </c>
      <c r="D22" s="3">
        <f t="shared" si="3"/>
        <v>172</v>
      </c>
      <c r="E22" s="3">
        <f t="shared" si="2"/>
        <v>173</v>
      </c>
      <c r="F22" s="3">
        <v>2</v>
      </c>
      <c r="G22" s="13" t="s">
        <v>108</v>
      </c>
      <c r="H22" s="10" t="s">
        <v>61</v>
      </c>
      <c r="I22" s="174"/>
    </row>
    <row r="23" spans="1:9" ht="60" customHeight="1" x14ac:dyDescent="0.25">
      <c r="A23" s="5" t="s">
        <v>0</v>
      </c>
      <c r="B23" s="5" t="s">
        <v>0</v>
      </c>
      <c r="C23" s="28" t="s">
        <v>393</v>
      </c>
      <c r="D23" s="3">
        <f t="shared" si="3"/>
        <v>174</v>
      </c>
      <c r="E23" s="3">
        <f t="shared" si="2"/>
        <v>177</v>
      </c>
      <c r="F23" s="3">
        <v>4</v>
      </c>
      <c r="G23" s="23" t="s">
        <v>110</v>
      </c>
      <c r="H23" s="10" t="s">
        <v>63</v>
      </c>
      <c r="I23" s="174"/>
    </row>
    <row r="24" spans="1:9" ht="108" customHeight="1" x14ac:dyDescent="0.25">
      <c r="A24" s="5" t="s">
        <v>0</v>
      </c>
      <c r="B24" s="5" t="s">
        <v>0</v>
      </c>
      <c r="C24" s="28" t="s">
        <v>97</v>
      </c>
      <c r="D24" s="3">
        <f t="shared" si="3"/>
        <v>178</v>
      </c>
      <c r="E24" s="3">
        <f t="shared" si="2"/>
        <v>179</v>
      </c>
      <c r="F24" s="3">
        <v>2</v>
      </c>
      <c r="G24" s="23" t="s">
        <v>111</v>
      </c>
      <c r="H24" s="41" t="s">
        <v>100</v>
      </c>
      <c r="I24" s="43" t="s">
        <v>303</v>
      </c>
    </row>
    <row r="25" spans="1:9" ht="108" customHeight="1" x14ac:dyDescent="0.25">
      <c r="A25" s="5" t="s">
        <v>6</v>
      </c>
      <c r="B25" s="5" t="s">
        <v>6</v>
      </c>
      <c r="C25" s="28" t="s">
        <v>97</v>
      </c>
      <c r="D25" s="3">
        <f t="shared" si="3"/>
        <v>180</v>
      </c>
      <c r="E25" s="3">
        <f t="shared" si="2"/>
        <v>181</v>
      </c>
      <c r="F25" s="3">
        <v>2</v>
      </c>
      <c r="G25" s="23" t="s">
        <v>350</v>
      </c>
      <c r="H25" s="41" t="s">
        <v>351</v>
      </c>
      <c r="I25" s="43" t="s">
        <v>245</v>
      </c>
    </row>
    <row r="26" spans="1:9" x14ac:dyDescent="0.25">
      <c r="A26" s="5"/>
      <c r="B26" s="5"/>
      <c r="C26" s="28"/>
      <c r="D26" s="3">
        <f t="shared" si="3"/>
        <v>182</v>
      </c>
      <c r="E26" s="3">
        <f t="shared" si="2"/>
        <v>191</v>
      </c>
      <c r="F26" s="3">
        <v>10</v>
      </c>
      <c r="G26" s="23" t="s">
        <v>55</v>
      </c>
      <c r="H26" s="41"/>
    </row>
    <row r="27" spans="1:9" ht="51" x14ac:dyDescent="0.25">
      <c r="A27" s="5" t="s">
        <v>0</v>
      </c>
      <c r="B27" s="5" t="s">
        <v>0</v>
      </c>
      <c r="C27" s="28" t="s">
        <v>393</v>
      </c>
      <c r="D27" s="3">
        <f t="shared" si="3"/>
        <v>192</v>
      </c>
      <c r="E27" s="3">
        <f t="shared" si="2"/>
        <v>192</v>
      </c>
      <c r="F27" s="3">
        <v>1</v>
      </c>
      <c r="G27" s="23" t="s">
        <v>352</v>
      </c>
      <c r="H27" s="11" t="s">
        <v>246</v>
      </c>
      <c r="I27" s="43" t="s">
        <v>247</v>
      </c>
    </row>
    <row r="28" spans="1:9" ht="38.25" x14ac:dyDescent="0.25">
      <c r="A28" s="5" t="s">
        <v>0</v>
      </c>
      <c r="B28" s="5" t="s">
        <v>0</v>
      </c>
      <c r="C28" s="28" t="s">
        <v>97</v>
      </c>
      <c r="D28" s="3">
        <f t="shared" si="3"/>
        <v>193</v>
      </c>
      <c r="E28" s="3">
        <f t="shared" si="2"/>
        <v>193</v>
      </c>
      <c r="F28" s="3">
        <v>1</v>
      </c>
      <c r="G28" s="23" t="s">
        <v>42</v>
      </c>
      <c r="H28" s="12" t="s">
        <v>300</v>
      </c>
      <c r="I28" s="43" t="s">
        <v>245</v>
      </c>
    </row>
    <row r="29" spans="1:9" ht="51" x14ac:dyDescent="0.25">
      <c r="A29" s="5" t="s">
        <v>0</v>
      </c>
      <c r="B29" s="5" t="s">
        <v>0</v>
      </c>
      <c r="C29" s="28" t="s">
        <v>97</v>
      </c>
      <c r="D29" s="3">
        <f t="shared" si="3"/>
        <v>194</v>
      </c>
      <c r="E29" s="3">
        <f t="shared" si="2"/>
        <v>194</v>
      </c>
      <c r="F29" s="3">
        <v>1</v>
      </c>
      <c r="G29" s="13" t="s">
        <v>353</v>
      </c>
      <c r="H29" s="12" t="s">
        <v>301</v>
      </c>
      <c r="I29" s="43" t="s">
        <v>247</v>
      </c>
    </row>
    <row r="30" spans="1:9" ht="38.25" x14ac:dyDescent="0.25">
      <c r="A30" s="5" t="s">
        <v>0</v>
      </c>
      <c r="B30" s="5" t="s">
        <v>0</v>
      </c>
      <c r="C30" s="28" t="s">
        <v>393</v>
      </c>
      <c r="D30" s="3">
        <f t="shared" si="3"/>
        <v>195</v>
      </c>
      <c r="E30" s="3">
        <f t="shared" si="2"/>
        <v>195</v>
      </c>
      <c r="F30" s="3">
        <v>1</v>
      </c>
      <c r="G30" s="13" t="s">
        <v>354</v>
      </c>
      <c r="H30" s="12" t="s">
        <v>64</v>
      </c>
      <c r="I30" s="43" t="s">
        <v>137</v>
      </c>
    </row>
    <row r="31" spans="1:9" ht="51" x14ac:dyDescent="0.25">
      <c r="A31" s="5" t="s">
        <v>6</v>
      </c>
      <c r="B31" s="5" t="s">
        <v>6</v>
      </c>
      <c r="C31" s="28" t="s">
        <v>97</v>
      </c>
      <c r="D31" s="3">
        <f t="shared" si="3"/>
        <v>196</v>
      </c>
      <c r="E31" s="3">
        <f t="shared" si="2"/>
        <v>196</v>
      </c>
      <c r="F31" s="3">
        <v>1</v>
      </c>
      <c r="G31" s="23" t="s">
        <v>150</v>
      </c>
      <c r="H31" s="12" t="s">
        <v>251</v>
      </c>
      <c r="I31" s="43" t="s">
        <v>245</v>
      </c>
    </row>
    <row r="32" spans="1:9" ht="25.5" x14ac:dyDescent="0.25">
      <c r="A32" s="5" t="s">
        <v>0</v>
      </c>
      <c r="B32" s="5" t="s">
        <v>0</v>
      </c>
      <c r="C32" s="28" t="s">
        <v>97</v>
      </c>
      <c r="D32" s="3">
        <f t="shared" si="3"/>
        <v>197</v>
      </c>
      <c r="E32" s="3">
        <f t="shared" si="2"/>
        <v>198</v>
      </c>
      <c r="F32" s="3">
        <v>2</v>
      </c>
      <c r="G32" s="13" t="s">
        <v>355</v>
      </c>
      <c r="H32" s="41" t="s">
        <v>65</v>
      </c>
      <c r="I32" s="43" t="s">
        <v>137</v>
      </c>
    </row>
    <row r="33" spans="1:9" ht="38.25" x14ac:dyDescent="0.25">
      <c r="A33" s="5" t="s">
        <v>6</v>
      </c>
      <c r="B33" s="5" t="s">
        <v>6</v>
      </c>
      <c r="C33" s="28" t="s">
        <v>97</v>
      </c>
      <c r="D33" s="3">
        <f t="shared" si="3"/>
        <v>199</v>
      </c>
      <c r="E33" s="3">
        <f t="shared" si="2"/>
        <v>200</v>
      </c>
      <c r="F33" s="3">
        <v>2</v>
      </c>
      <c r="G33" s="23" t="s">
        <v>151</v>
      </c>
      <c r="H33" s="41" t="s">
        <v>249</v>
      </c>
      <c r="I33" s="43" t="s">
        <v>245</v>
      </c>
    </row>
    <row r="34" spans="1:9" ht="25.5" x14ac:dyDescent="0.25">
      <c r="A34" s="5" t="s">
        <v>0</v>
      </c>
      <c r="B34" s="5" t="s">
        <v>0</v>
      </c>
      <c r="C34" s="28" t="s">
        <v>97</v>
      </c>
      <c r="D34" s="3">
        <f t="shared" si="3"/>
        <v>201</v>
      </c>
      <c r="E34" s="3">
        <f t="shared" si="2"/>
        <v>201</v>
      </c>
      <c r="F34" s="3">
        <v>1</v>
      </c>
      <c r="G34" s="13" t="s">
        <v>356</v>
      </c>
      <c r="H34" s="12" t="s">
        <v>66</v>
      </c>
      <c r="I34" s="43" t="s">
        <v>137</v>
      </c>
    </row>
    <row r="35" spans="1:9" ht="38.25" x14ac:dyDescent="0.25">
      <c r="A35" s="5" t="s">
        <v>6</v>
      </c>
      <c r="B35" s="5" t="s">
        <v>6</v>
      </c>
      <c r="C35" s="28" t="s">
        <v>97</v>
      </c>
      <c r="D35" s="3">
        <f t="shared" si="3"/>
        <v>202</v>
      </c>
      <c r="E35" s="3">
        <f t="shared" si="2"/>
        <v>202</v>
      </c>
      <c r="F35" s="3">
        <v>1</v>
      </c>
      <c r="G35" s="13" t="s">
        <v>152</v>
      </c>
      <c r="H35" s="12" t="s">
        <v>248</v>
      </c>
      <c r="I35" s="43" t="s">
        <v>245</v>
      </c>
    </row>
    <row r="36" spans="1:9" ht="141.75" customHeight="1" x14ac:dyDescent="0.25">
      <c r="A36" s="5" t="s">
        <v>0</v>
      </c>
      <c r="B36" s="5" t="s">
        <v>0</v>
      </c>
      <c r="C36" s="28" t="s">
        <v>97</v>
      </c>
      <c r="D36" s="3">
        <f t="shared" si="3"/>
        <v>203</v>
      </c>
      <c r="E36" s="3">
        <f t="shared" si="2"/>
        <v>204</v>
      </c>
      <c r="F36" s="3">
        <v>2</v>
      </c>
      <c r="G36" s="13" t="s">
        <v>357</v>
      </c>
      <c r="H36" s="168" t="s">
        <v>67</v>
      </c>
      <c r="I36" s="43" t="s">
        <v>137</v>
      </c>
    </row>
    <row r="37" spans="1:9" ht="141" customHeight="1" x14ac:dyDescent="0.25">
      <c r="A37" s="5" t="s">
        <v>6</v>
      </c>
      <c r="B37" s="5" t="s">
        <v>6</v>
      </c>
      <c r="C37" s="28" t="s">
        <v>97</v>
      </c>
      <c r="D37" s="3">
        <f t="shared" si="3"/>
        <v>205</v>
      </c>
      <c r="E37" s="3">
        <f t="shared" si="2"/>
        <v>206</v>
      </c>
      <c r="F37" s="3">
        <v>2</v>
      </c>
      <c r="G37" s="23" t="s">
        <v>302</v>
      </c>
      <c r="H37" s="168"/>
      <c r="I37" s="43" t="s">
        <v>250</v>
      </c>
    </row>
    <row r="38" spans="1:9" ht="25.5" x14ac:dyDescent="0.25">
      <c r="A38" s="5" t="s">
        <v>0</v>
      </c>
      <c r="B38" s="5" t="s">
        <v>6</v>
      </c>
      <c r="C38" s="28" t="s">
        <v>393</v>
      </c>
      <c r="D38" s="3">
        <f t="shared" si="3"/>
        <v>207</v>
      </c>
      <c r="E38" s="3">
        <f t="shared" si="2"/>
        <v>207</v>
      </c>
      <c r="F38" s="3">
        <v>1</v>
      </c>
      <c r="G38" s="23" t="s">
        <v>8</v>
      </c>
      <c r="H38" s="12" t="s">
        <v>68</v>
      </c>
      <c r="I38" s="174" t="s">
        <v>247</v>
      </c>
    </row>
    <row r="39" spans="1:9" ht="38.25" x14ac:dyDescent="0.25">
      <c r="A39" s="5" t="s">
        <v>0</v>
      </c>
      <c r="B39" s="5" t="s">
        <v>6</v>
      </c>
      <c r="C39" s="28" t="s">
        <v>97</v>
      </c>
      <c r="D39" s="3">
        <f t="shared" si="3"/>
        <v>208</v>
      </c>
      <c r="E39" s="3">
        <f t="shared" si="2"/>
        <v>208</v>
      </c>
      <c r="F39" s="3">
        <v>1</v>
      </c>
      <c r="G39" s="23" t="s">
        <v>40</v>
      </c>
      <c r="H39" s="12" t="s">
        <v>69</v>
      </c>
      <c r="I39" s="174"/>
    </row>
    <row r="40" spans="1:9" ht="25.5" x14ac:dyDescent="0.25">
      <c r="A40" s="5" t="s">
        <v>0</v>
      </c>
      <c r="B40" s="5" t="s">
        <v>6</v>
      </c>
      <c r="C40" s="28" t="s">
        <v>393</v>
      </c>
      <c r="D40" s="3">
        <f t="shared" si="3"/>
        <v>209</v>
      </c>
      <c r="E40" s="3">
        <f t="shared" si="2"/>
        <v>209</v>
      </c>
      <c r="F40" s="3">
        <v>1</v>
      </c>
      <c r="G40" s="23" t="s">
        <v>9</v>
      </c>
      <c r="H40" s="12" t="s">
        <v>70</v>
      </c>
      <c r="I40" s="174"/>
    </row>
    <row r="41" spans="1:9" ht="25.5" x14ac:dyDescent="0.25">
      <c r="A41" s="5" t="s">
        <v>0</v>
      </c>
      <c r="B41" s="5" t="s">
        <v>6</v>
      </c>
      <c r="C41" s="28" t="s">
        <v>393</v>
      </c>
      <c r="D41" s="3">
        <f t="shared" si="3"/>
        <v>210</v>
      </c>
      <c r="E41" s="3">
        <f t="shared" si="2"/>
        <v>210</v>
      </c>
      <c r="F41" s="3">
        <v>1</v>
      </c>
      <c r="G41" s="23" t="s">
        <v>10</v>
      </c>
      <c r="H41" s="12" t="s">
        <v>71</v>
      </c>
      <c r="I41" s="174"/>
    </row>
    <row r="42" spans="1:9" ht="51" x14ac:dyDescent="0.25">
      <c r="A42" s="5" t="s">
        <v>0</v>
      </c>
      <c r="B42" s="5" t="s">
        <v>6</v>
      </c>
      <c r="C42" s="28" t="s">
        <v>393</v>
      </c>
      <c r="D42" s="3">
        <f t="shared" si="3"/>
        <v>211</v>
      </c>
      <c r="E42" s="3">
        <f t="shared" si="2"/>
        <v>211</v>
      </c>
      <c r="F42" s="3">
        <v>1</v>
      </c>
      <c r="G42" s="23" t="s">
        <v>11</v>
      </c>
      <c r="H42" s="12" t="s">
        <v>73</v>
      </c>
      <c r="I42" s="174"/>
    </row>
    <row r="43" spans="1:9" ht="25.5" x14ac:dyDescent="0.25">
      <c r="A43" s="5" t="s">
        <v>0</v>
      </c>
      <c r="B43" s="5" t="s">
        <v>6</v>
      </c>
      <c r="C43" s="28" t="s">
        <v>393</v>
      </c>
      <c r="D43" s="3">
        <f t="shared" si="3"/>
        <v>212</v>
      </c>
      <c r="E43" s="3">
        <f t="shared" si="2"/>
        <v>212</v>
      </c>
      <c r="F43" s="3">
        <v>1</v>
      </c>
      <c r="G43" s="23" t="s">
        <v>12</v>
      </c>
      <c r="H43" s="12" t="s">
        <v>72</v>
      </c>
      <c r="I43" s="174"/>
    </row>
    <row r="44" spans="1:9" ht="102" x14ac:dyDescent="0.25">
      <c r="A44" s="5" t="s">
        <v>0</v>
      </c>
      <c r="B44" s="5" t="s">
        <v>0</v>
      </c>
      <c r="C44" s="28" t="s">
        <v>393</v>
      </c>
      <c r="D44" s="3">
        <f t="shared" si="3"/>
        <v>213</v>
      </c>
      <c r="E44" s="3">
        <f t="shared" si="2"/>
        <v>213</v>
      </c>
      <c r="F44" s="3">
        <v>1</v>
      </c>
      <c r="G44" s="13" t="s">
        <v>308</v>
      </c>
      <c r="H44" s="43" t="s">
        <v>75</v>
      </c>
      <c r="I44" s="43" t="s">
        <v>76</v>
      </c>
    </row>
    <row r="45" spans="1:9" ht="51" x14ac:dyDescent="0.25">
      <c r="A45" s="5" t="s">
        <v>0</v>
      </c>
      <c r="B45" s="5" t="s">
        <v>0</v>
      </c>
      <c r="C45" s="28" t="s">
        <v>97</v>
      </c>
      <c r="D45" s="3">
        <f t="shared" si="3"/>
        <v>214</v>
      </c>
      <c r="E45" s="3">
        <f t="shared" si="2"/>
        <v>214</v>
      </c>
      <c r="F45" s="3">
        <v>1</v>
      </c>
      <c r="G45" s="13" t="s">
        <v>358</v>
      </c>
      <c r="H45" s="12" t="s">
        <v>74</v>
      </c>
      <c r="I45" s="43" t="s">
        <v>247</v>
      </c>
    </row>
    <row r="46" spans="1:9" ht="38.25" x14ac:dyDescent="0.25">
      <c r="A46" s="5" t="s">
        <v>0</v>
      </c>
      <c r="B46" s="5" t="s">
        <v>0</v>
      </c>
      <c r="C46" s="28" t="s">
        <v>97</v>
      </c>
      <c r="D46" s="3">
        <f t="shared" si="3"/>
        <v>215</v>
      </c>
      <c r="E46" s="3">
        <f t="shared" si="2"/>
        <v>215</v>
      </c>
      <c r="F46" s="3">
        <v>1</v>
      </c>
      <c r="G46" s="23" t="s">
        <v>31</v>
      </c>
      <c r="H46" s="41" t="s">
        <v>252</v>
      </c>
      <c r="I46" s="43" t="s">
        <v>253</v>
      </c>
    </row>
    <row r="47" spans="1:9" ht="25.5" x14ac:dyDescent="0.25">
      <c r="A47" s="5" t="s">
        <v>0</v>
      </c>
      <c r="B47" s="5" t="s">
        <v>0</v>
      </c>
      <c r="C47" s="28" t="s">
        <v>97</v>
      </c>
      <c r="D47" s="3">
        <f t="shared" si="3"/>
        <v>216</v>
      </c>
      <c r="E47" s="3">
        <f t="shared" si="2"/>
        <v>216</v>
      </c>
      <c r="F47" s="3">
        <v>1</v>
      </c>
      <c r="G47" s="13" t="s">
        <v>41</v>
      </c>
      <c r="H47" s="15" t="s">
        <v>254</v>
      </c>
      <c r="I47" s="43" t="s">
        <v>304</v>
      </c>
    </row>
    <row r="48" spans="1:9" ht="38.25" x14ac:dyDescent="0.25">
      <c r="A48" s="5" t="s">
        <v>0</v>
      </c>
      <c r="B48" s="5" t="s">
        <v>0</v>
      </c>
      <c r="C48" s="28" t="s">
        <v>97</v>
      </c>
      <c r="D48" s="3">
        <f t="shared" si="3"/>
        <v>217</v>
      </c>
      <c r="E48" s="3">
        <f t="shared" si="2"/>
        <v>222</v>
      </c>
      <c r="F48" s="3">
        <v>6</v>
      </c>
      <c r="G48" s="13" t="s">
        <v>153</v>
      </c>
      <c r="H48" s="15" t="s">
        <v>115</v>
      </c>
      <c r="I48" s="43" t="s">
        <v>255</v>
      </c>
    </row>
    <row r="49" spans="1:9" ht="25.5" x14ac:dyDescent="0.25">
      <c r="A49" s="94" t="s">
        <v>0</v>
      </c>
      <c r="B49" s="94" t="s">
        <v>0</v>
      </c>
      <c r="C49" s="95" t="s">
        <v>97</v>
      </c>
      <c r="D49" s="96">
        <f t="shared" si="3"/>
        <v>223</v>
      </c>
      <c r="E49" s="96">
        <f t="shared" si="2"/>
        <v>223</v>
      </c>
      <c r="F49" s="96">
        <v>1</v>
      </c>
      <c r="G49" s="126" t="s">
        <v>505</v>
      </c>
      <c r="H49" s="127" t="s">
        <v>509</v>
      </c>
      <c r="I49" s="98" t="s">
        <v>508</v>
      </c>
    </row>
    <row r="50" spans="1:9" ht="25.5" x14ac:dyDescent="0.25">
      <c r="A50" s="94" t="s">
        <v>0</v>
      </c>
      <c r="B50" s="94" t="s">
        <v>0</v>
      </c>
      <c r="C50" s="95" t="s">
        <v>97</v>
      </c>
      <c r="D50" s="96">
        <f t="shared" si="3"/>
        <v>224</v>
      </c>
      <c r="E50" s="96">
        <f t="shared" si="2"/>
        <v>224</v>
      </c>
      <c r="F50" s="96">
        <v>1</v>
      </c>
      <c r="G50" s="126" t="s">
        <v>506</v>
      </c>
      <c r="H50" s="127" t="s">
        <v>510</v>
      </c>
      <c r="I50" s="98" t="s">
        <v>508</v>
      </c>
    </row>
    <row r="51" spans="1:9" x14ac:dyDescent="0.25">
      <c r="A51" s="5"/>
      <c r="B51" s="5"/>
      <c r="C51" s="28"/>
      <c r="D51" s="3">
        <f t="shared" si="3"/>
        <v>225</v>
      </c>
      <c r="E51" s="3">
        <f t="shared" si="2"/>
        <v>233</v>
      </c>
      <c r="F51" s="128">
        <v>9</v>
      </c>
      <c r="G51" s="23" t="s">
        <v>55</v>
      </c>
      <c r="H51" s="41"/>
    </row>
    <row r="52" spans="1:9" x14ac:dyDescent="0.25">
      <c r="A52" s="5"/>
      <c r="B52" s="5"/>
      <c r="C52" s="6"/>
      <c r="D52" s="3"/>
      <c r="E52" s="3"/>
      <c r="F52" s="7"/>
      <c r="G52" s="24" t="s">
        <v>157</v>
      </c>
      <c r="H52" s="14"/>
      <c r="I52" s="18"/>
    </row>
    <row r="53" spans="1:9" ht="25.5" x14ac:dyDescent="0.25">
      <c r="A53" s="5" t="s">
        <v>0</v>
      </c>
      <c r="B53" s="5" t="s">
        <v>0</v>
      </c>
      <c r="C53" s="28" t="s">
        <v>97</v>
      </c>
      <c r="D53" s="3">
        <f>D51+F51</f>
        <v>234</v>
      </c>
      <c r="E53" s="3">
        <f t="shared" ref="E53:E69" si="4">D53+F53-1</f>
        <v>234</v>
      </c>
      <c r="F53" s="3">
        <v>1</v>
      </c>
      <c r="G53" s="23" t="s">
        <v>37</v>
      </c>
      <c r="H53" s="41" t="s">
        <v>54</v>
      </c>
    </row>
    <row r="54" spans="1:9" ht="140.25" x14ac:dyDescent="0.25">
      <c r="A54" s="5" t="s">
        <v>0</v>
      </c>
      <c r="B54" s="5" t="s">
        <v>0</v>
      </c>
      <c r="C54" s="28" t="s">
        <v>97</v>
      </c>
      <c r="D54" s="3">
        <f t="shared" ref="D54:D69" si="5">D53+F53</f>
        <v>235</v>
      </c>
      <c r="E54" s="3">
        <f t="shared" si="4"/>
        <v>239</v>
      </c>
      <c r="F54" s="3">
        <v>5</v>
      </c>
      <c r="G54" s="23" t="s">
        <v>13</v>
      </c>
      <c r="H54" s="108" t="s">
        <v>533</v>
      </c>
      <c r="I54" s="87" t="s">
        <v>534</v>
      </c>
    </row>
    <row r="55" spans="1:9" ht="51" x14ac:dyDescent="0.25">
      <c r="A55" s="5" t="s">
        <v>6</v>
      </c>
      <c r="B55" s="5" t="s">
        <v>6</v>
      </c>
      <c r="C55" s="28" t="s">
        <v>97</v>
      </c>
      <c r="D55" s="3">
        <f t="shared" si="5"/>
        <v>240</v>
      </c>
      <c r="E55" s="3">
        <f t="shared" si="4"/>
        <v>245</v>
      </c>
      <c r="F55" s="3">
        <v>6</v>
      </c>
      <c r="G55" s="23" t="s">
        <v>14</v>
      </c>
      <c r="H55" s="42" t="s">
        <v>404</v>
      </c>
      <c r="I55" s="43" t="s">
        <v>405</v>
      </c>
    </row>
    <row r="56" spans="1:9" ht="17.25" customHeight="1" x14ac:dyDescent="0.25">
      <c r="A56" s="5" t="s">
        <v>0</v>
      </c>
      <c r="B56" s="5" t="s">
        <v>6</v>
      </c>
      <c r="C56" s="28" t="s">
        <v>97</v>
      </c>
      <c r="D56" s="3">
        <f t="shared" si="5"/>
        <v>246</v>
      </c>
      <c r="E56" s="3">
        <f t="shared" si="4"/>
        <v>265</v>
      </c>
      <c r="F56" s="3">
        <v>20</v>
      </c>
      <c r="G56" s="23" t="s">
        <v>15</v>
      </c>
      <c r="H56" s="168" t="s">
        <v>256</v>
      </c>
      <c r="I56" s="175" t="s">
        <v>359</v>
      </c>
    </row>
    <row r="57" spans="1:9" ht="19.5" customHeight="1" x14ac:dyDescent="0.25">
      <c r="A57" s="5" t="s">
        <v>0</v>
      </c>
      <c r="B57" s="5" t="s">
        <v>6</v>
      </c>
      <c r="C57" s="28" t="s">
        <v>97</v>
      </c>
      <c r="D57" s="3">
        <f t="shared" si="5"/>
        <v>266</v>
      </c>
      <c r="E57" s="3">
        <f t="shared" si="4"/>
        <v>280</v>
      </c>
      <c r="F57" s="3">
        <v>15</v>
      </c>
      <c r="G57" s="23" t="s">
        <v>16</v>
      </c>
      <c r="H57" s="168"/>
      <c r="I57" s="175"/>
    </row>
    <row r="58" spans="1:9" ht="20.25" customHeight="1" x14ac:dyDescent="0.25">
      <c r="A58" s="5" t="s">
        <v>0</v>
      </c>
      <c r="B58" s="5" t="s">
        <v>6</v>
      </c>
      <c r="C58" s="28" t="s">
        <v>97</v>
      </c>
      <c r="D58" s="3">
        <f t="shared" si="5"/>
        <v>281</v>
      </c>
      <c r="E58" s="3">
        <f t="shared" si="4"/>
        <v>281</v>
      </c>
      <c r="F58" s="3">
        <v>1</v>
      </c>
      <c r="G58" s="23" t="s">
        <v>273</v>
      </c>
      <c r="H58" s="168"/>
      <c r="I58" s="175"/>
    </row>
    <row r="59" spans="1:9" ht="38.25" x14ac:dyDescent="0.25">
      <c r="A59" s="5"/>
      <c r="B59" s="5"/>
      <c r="C59" s="28" t="s">
        <v>237</v>
      </c>
      <c r="D59" s="3">
        <f t="shared" si="5"/>
        <v>282</v>
      </c>
      <c r="E59" s="3">
        <f t="shared" si="4"/>
        <v>284</v>
      </c>
      <c r="F59" s="3">
        <v>3</v>
      </c>
      <c r="G59" s="23" t="s">
        <v>155</v>
      </c>
      <c r="H59" s="45" t="s">
        <v>156</v>
      </c>
      <c r="I59" s="172" t="s">
        <v>478</v>
      </c>
    </row>
    <row r="60" spans="1:9" ht="25.5" customHeight="1" x14ac:dyDescent="0.25">
      <c r="A60" s="5" t="s">
        <v>6</v>
      </c>
      <c r="B60" s="5" t="s">
        <v>6</v>
      </c>
      <c r="C60" s="28" t="s">
        <v>97</v>
      </c>
      <c r="D60" s="3">
        <f t="shared" si="5"/>
        <v>285</v>
      </c>
      <c r="E60" s="3">
        <f t="shared" si="4"/>
        <v>304</v>
      </c>
      <c r="F60" s="3">
        <v>20</v>
      </c>
      <c r="G60" s="23" t="s">
        <v>17</v>
      </c>
      <c r="H60" s="168" t="s">
        <v>256</v>
      </c>
      <c r="I60" s="172"/>
    </row>
    <row r="61" spans="1:9" x14ac:dyDescent="0.25">
      <c r="A61" s="5" t="s">
        <v>6</v>
      </c>
      <c r="B61" s="5" t="s">
        <v>6</v>
      </c>
      <c r="C61" s="28" t="s">
        <v>97</v>
      </c>
      <c r="D61" s="3">
        <f t="shared" si="5"/>
        <v>305</v>
      </c>
      <c r="E61" s="3">
        <f t="shared" si="4"/>
        <v>324</v>
      </c>
      <c r="F61" s="3">
        <v>20</v>
      </c>
      <c r="G61" s="23" t="s">
        <v>18</v>
      </c>
      <c r="H61" s="168"/>
      <c r="I61" s="172"/>
    </row>
    <row r="62" spans="1:9" x14ac:dyDescent="0.25">
      <c r="A62" s="5" t="s">
        <v>6</v>
      </c>
      <c r="B62" s="5" t="s">
        <v>6</v>
      </c>
      <c r="C62" s="28" t="s">
        <v>97</v>
      </c>
      <c r="D62" s="3">
        <f t="shared" si="5"/>
        <v>325</v>
      </c>
      <c r="E62" s="3">
        <f t="shared" si="4"/>
        <v>325</v>
      </c>
      <c r="F62" s="3">
        <v>1</v>
      </c>
      <c r="G62" s="23" t="s">
        <v>274</v>
      </c>
      <c r="H62" s="168"/>
      <c r="I62" s="172"/>
    </row>
    <row r="63" spans="1:9" ht="89.25" x14ac:dyDescent="0.25">
      <c r="A63" s="5" t="s">
        <v>0</v>
      </c>
      <c r="B63" s="5" t="s">
        <v>0</v>
      </c>
      <c r="C63" s="28" t="s">
        <v>97</v>
      </c>
      <c r="D63" s="3">
        <f t="shared" si="5"/>
        <v>326</v>
      </c>
      <c r="E63" s="3">
        <f t="shared" si="4"/>
        <v>331</v>
      </c>
      <c r="F63" s="3">
        <v>6</v>
      </c>
      <c r="G63" s="23" t="s">
        <v>154</v>
      </c>
      <c r="H63" s="86" t="s">
        <v>479</v>
      </c>
      <c r="I63" s="43" t="s">
        <v>360</v>
      </c>
    </row>
    <row r="64" spans="1:9" ht="93.75" customHeight="1" x14ac:dyDescent="0.25">
      <c r="A64" s="5" t="s">
        <v>0</v>
      </c>
      <c r="B64" s="5" t="s">
        <v>0</v>
      </c>
      <c r="C64" s="28" t="s">
        <v>97</v>
      </c>
      <c r="D64" s="3">
        <f t="shared" si="5"/>
        <v>332</v>
      </c>
      <c r="E64" s="3">
        <f t="shared" si="4"/>
        <v>361</v>
      </c>
      <c r="F64" s="3">
        <v>30</v>
      </c>
      <c r="G64" s="23" t="s">
        <v>19</v>
      </c>
      <c r="H64" s="86" t="s">
        <v>480</v>
      </c>
      <c r="I64" s="43" t="s">
        <v>361</v>
      </c>
    </row>
    <row r="65" spans="1:9" ht="51" x14ac:dyDescent="0.25">
      <c r="A65" s="5" t="s">
        <v>0</v>
      </c>
      <c r="B65" s="5" t="s">
        <v>0</v>
      </c>
      <c r="C65" s="28" t="s">
        <v>97</v>
      </c>
      <c r="D65" s="3">
        <f t="shared" si="5"/>
        <v>362</v>
      </c>
      <c r="E65" s="3">
        <f t="shared" si="4"/>
        <v>381</v>
      </c>
      <c r="F65" s="3">
        <v>20</v>
      </c>
      <c r="G65" s="23" t="s">
        <v>112</v>
      </c>
      <c r="H65" s="41" t="s">
        <v>338</v>
      </c>
      <c r="I65" s="43" t="s">
        <v>359</v>
      </c>
    </row>
    <row r="66" spans="1:9" ht="38.25" x14ac:dyDescent="0.25">
      <c r="A66" s="5" t="s">
        <v>0</v>
      </c>
      <c r="B66" s="5" t="s">
        <v>0</v>
      </c>
      <c r="C66" s="28" t="s">
        <v>98</v>
      </c>
      <c r="D66" s="3">
        <f t="shared" si="5"/>
        <v>382</v>
      </c>
      <c r="E66" s="3">
        <f t="shared" si="4"/>
        <v>387</v>
      </c>
      <c r="F66" s="3">
        <v>6</v>
      </c>
      <c r="G66" s="23" t="s">
        <v>114</v>
      </c>
      <c r="H66" s="41" t="s">
        <v>115</v>
      </c>
      <c r="I66" s="43" t="s">
        <v>309</v>
      </c>
    </row>
    <row r="67" spans="1:9" ht="25.5" x14ac:dyDescent="0.25">
      <c r="A67" s="5" t="s">
        <v>0</v>
      </c>
      <c r="B67" s="5" t="s">
        <v>0</v>
      </c>
      <c r="C67" s="28" t="s">
        <v>237</v>
      </c>
      <c r="D67" s="3">
        <f t="shared" si="5"/>
        <v>388</v>
      </c>
      <c r="E67" s="3">
        <f t="shared" si="4"/>
        <v>388</v>
      </c>
      <c r="F67" s="3">
        <v>1</v>
      </c>
      <c r="G67" s="23" t="s">
        <v>305</v>
      </c>
      <c r="H67" s="41" t="s">
        <v>307</v>
      </c>
      <c r="I67" s="43" t="s">
        <v>306</v>
      </c>
    </row>
    <row r="68" spans="1:9" ht="25.5" x14ac:dyDescent="0.25">
      <c r="A68" s="5" t="s">
        <v>0</v>
      </c>
      <c r="B68" s="5" t="s">
        <v>0</v>
      </c>
      <c r="C68" s="28" t="s">
        <v>237</v>
      </c>
      <c r="D68" s="3">
        <f t="shared" si="5"/>
        <v>389</v>
      </c>
      <c r="E68" s="3">
        <f t="shared" si="4"/>
        <v>389</v>
      </c>
      <c r="F68" s="3">
        <v>1</v>
      </c>
      <c r="G68" s="23" t="s">
        <v>314</v>
      </c>
      <c r="H68" s="41" t="s">
        <v>313</v>
      </c>
      <c r="I68" s="43" t="s">
        <v>370</v>
      </c>
    </row>
    <row r="69" spans="1:9" x14ac:dyDescent="0.25">
      <c r="A69" s="5"/>
      <c r="B69" s="5"/>
      <c r="C69" s="28"/>
      <c r="D69" s="3">
        <f t="shared" si="5"/>
        <v>390</v>
      </c>
      <c r="E69" s="3">
        <f t="shared" si="4"/>
        <v>409</v>
      </c>
      <c r="F69" s="3">
        <v>20</v>
      </c>
      <c r="G69" s="23" t="s">
        <v>55</v>
      </c>
      <c r="H69" s="41"/>
    </row>
    <row r="70" spans="1:9" x14ac:dyDescent="0.25">
      <c r="A70" s="5"/>
      <c r="B70" s="5"/>
      <c r="C70" s="6"/>
      <c r="D70" s="3"/>
      <c r="E70" s="3"/>
      <c r="F70" s="7"/>
      <c r="G70" s="24" t="s">
        <v>20</v>
      </c>
      <c r="H70" s="14"/>
      <c r="I70" s="18"/>
    </row>
    <row r="71" spans="1:9" ht="38.25" x14ac:dyDescent="0.25">
      <c r="A71" s="5" t="s">
        <v>6</v>
      </c>
      <c r="B71" s="5" t="s">
        <v>6</v>
      </c>
      <c r="C71" s="28" t="s">
        <v>98</v>
      </c>
      <c r="D71" s="3">
        <f>D69+F69</f>
        <v>410</v>
      </c>
      <c r="E71" s="3">
        <f>D71+F71-1</f>
        <v>410</v>
      </c>
      <c r="F71" s="3">
        <v>1</v>
      </c>
      <c r="G71" s="23" t="s">
        <v>21</v>
      </c>
      <c r="H71" s="41" t="s">
        <v>102</v>
      </c>
      <c r="I71" s="173"/>
    </row>
    <row r="72" spans="1:9" ht="38.25" x14ac:dyDescent="0.25">
      <c r="A72" s="5" t="s">
        <v>6</v>
      </c>
      <c r="B72" s="5" t="s">
        <v>6</v>
      </c>
      <c r="C72" s="28" t="s">
        <v>98</v>
      </c>
      <c r="D72" s="3">
        <f>D71+F71</f>
        <v>411</v>
      </c>
      <c r="E72" s="3">
        <f>D72+F72-1</f>
        <v>411</v>
      </c>
      <c r="F72" s="3">
        <v>1</v>
      </c>
      <c r="G72" s="23" t="s">
        <v>22</v>
      </c>
      <c r="H72" s="41" t="s">
        <v>102</v>
      </c>
      <c r="I72" s="170"/>
    </row>
    <row r="73" spans="1:9" ht="38.25" x14ac:dyDescent="0.25">
      <c r="A73" s="5" t="s">
        <v>6</v>
      </c>
      <c r="B73" s="5" t="s">
        <v>6</v>
      </c>
      <c r="C73" s="28" t="s">
        <v>98</v>
      </c>
      <c r="D73" s="3">
        <f>D72+F72</f>
        <v>412</v>
      </c>
      <c r="E73" s="3">
        <f>D73+F73-1</f>
        <v>412</v>
      </c>
      <c r="F73" s="3">
        <v>1</v>
      </c>
      <c r="G73" s="23" t="s">
        <v>23</v>
      </c>
      <c r="H73" s="41" t="s">
        <v>102</v>
      </c>
      <c r="I73" s="170"/>
    </row>
    <row r="74" spans="1:9" ht="38.25" x14ac:dyDescent="0.25">
      <c r="A74" s="121" t="s">
        <v>6</v>
      </c>
      <c r="B74" s="121" t="s">
        <v>6</v>
      </c>
      <c r="C74" s="122" t="s">
        <v>98</v>
      </c>
      <c r="D74" s="123">
        <f>D73+F73</f>
        <v>413</v>
      </c>
      <c r="E74" s="123">
        <f>D74+F74-1</f>
        <v>413</v>
      </c>
      <c r="F74" s="123">
        <v>1</v>
      </c>
      <c r="G74" s="124" t="s">
        <v>684</v>
      </c>
      <c r="H74" s="125" t="s">
        <v>102</v>
      </c>
      <c r="I74" s="80"/>
    </row>
    <row r="75" spans="1:9" x14ac:dyDescent="0.25">
      <c r="A75" s="5"/>
      <c r="B75" s="5"/>
      <c r="C75" s="28"/>
      <c r="D75" s="120">
        <f>D74+F74</f>
        <v>414</v>
      </c>
      <c r="E75" s="120">
        <f>D75+F75-1</f>
        <v>417</v>
      </c>
      <c r="F75" s="120">
        <v>4</v>
      </c>
      <c r="G75" s="23" t="s">
        <v>55</v>
      </c>
      <c r="H75" s="41"/>
    </row>
    <row r="76" spans="1:9" x14ac:dyDescent="0.25">
      <c r="A76" s="5"/>
      <c r="B76" s="5"/>
      <c r="C76" s="28"/>
      <c r="D76" s="3"/>
      <c r="E76" s="3"/>
      <c r="F76" s="3"/>
      <c r="G76" s="24" t="s">
        <v>141</v>
      </c>
      <c r="H76" s="41"/>
    </row>
    <row r="77" spans="1:9" x14ac:dyDescent="0.25">
      <c r="A77" s="5"/>
      <c r="B77" s="5"/>
      <c r="C77" s="28"/>
      <c r="D77" s="3"/>
      <c r="E77" s="3"/>
      <c r="F77" s="3"/>
      <c r="G77" s="24" t="s">
        <v>113</v>
      </c>
      <c r="H77" s="41"/>
    </row>
    <row r="78" spans="1:9" ht="12.75" customHeight="1" x14ac:dyDescent="0.25">
      <c r="A78" s="5" t="s">
        <v>6</v>
      </c>
      <c r="B78" s="5" t="s">
        <v>6</v>
      </c>
      <c r="C78" s="28" t="s">
        <v>97</v>
      </c>
      <c r="D78" s="3">
        <f>D75+F75</f>
        <v>418</v>
      </c>
      <c r="E78" s="3">
        <f t="shared" ref="E78:E91" si="6">D78+F78-1</f>
        <v>418</v>
      </c>
      <c r="F78" s="3">
        <v>1</v>
      </c>
      <c r="G78" s="23" t="s">
        <v>126</v>
      </c>
      <c r="H78" s="170" t="s">
        <v>257</v>
      </c>
      <c r="I78" s="170" t="s">
        <v>138</v>
      </c>
    </row>
    <row r="79" spans="1:9" x14ac:dyDescent="0.25">
      <c r="A79" s="5" t="s">
        <v>6</v>
      </c>
      <c r="B79" s="5" t="s">
        <v>6</v>
      </c>
      <c r="C79" s="28" t="s">
        <v>97</v>
      </c>
      <c r="D79" s="3">
        <f t="shared" ref="D79:D91" si="7">D78+F78</f>
        <v>419</v>
      </c>
      <c r="E79" s="3">
        <f t="shared" si="6"/>
        <v>419</v>
      </c>
      <c r="F79" s="3">
        <v>1</v>
      </c>
      <c r="G79" s="23" t="s">
        <v>127</v>
      </c>
      <c r="H79" s="170"/>
      <c r="I79" s="170"/>
    </row>
    <row r="80" spans="1:9" x14ac:dyDescent="0.25">
      <c r="A80" s="5" t="s">
        <v>6</v>
      </c>
      <c r="B80" s="5" t="s">
        <v>6</v>
      </c>
      <c r="C80" s="28" t="s">
        <v>97</v>
      </c>
      <c r="D80" s="3">
        <f t="shared" si="7"/>
        <v>420</v>
      </c>
      <c r="E80" s="3">
        <f t="shared" si="6"/>
        <v>420</v>
      </c>
      <c r="F80" s="3">
        <v>1</v>
      </c>
      <c r="G80" s="13" t="s">
        <v>406</v>
      </c>
      <c r="H80" s="170"/>
      <c r="I80" s="170"/>
    </row>
    <row r="81" spans="1:9" x14ac:dyDescent="0.25">
      <c r="A81" s="5" t="s">
        <v>6</v>
      </c>
      <c r="B81" s="5" t="s">
        <v>6</v>
      </c>
      <c r="C81" s="28" t="s">
        <v>97</v>
      </c>
      <c r="D81" s="3">
        <f t="shared" si="7"/>
        <v>421</v>
      </c>
      <c r="E81" s="3">
        <f t="shared" si="6"/>
        <v>421</v>
      </c>
      <c r="F81" s="3">
        <v>1</v>
      </c>
      <c r="G81" s="23" t="s">
        <v>128</v>
      </c>
      <c r="H81" s="170"/>
      <c r="I81" s="170"/>
    </row>
    <row r="82" spans="1:9" x14ac:dyDescent="0.25">
      <c r="A82" s="5" t="s">
        <v>6</v>
      </c>
      <c r="B82" s="5" t="s">
        <v>6</v>
      </c>
      <c r="C82" s="28" t="s">
        <v>97</v>
      </c>
      <c r="D82" s="3">
        <f t="shared" si="7"/>
        <v>422</v>
      </c>
      <c r="E82" s="3">
        <f t="shared" si="6"/>
        <v>422</v>
      </c>
      <c r="F82" s="3">
        <v>1</v>
      </c>
      <c r="G82" s="23" t="s">
        <v>129</v>
      </c>
      <c r="H82" s="170"/>
      <c r="I82" s="170"/>
    </row>
    <row r="83" spans="1:9" x14ac:dyDescent="0.25">
      <c r="A83" s="5" t="s">
        <v>6</v>
      </c>
      <c r="B83" s="5" t="s">
        <v>6</v>
      </c>
      <c r="C83" s="28" t="s">
        <v>97</v>
      </c>
      <c r="D83" s="3">
        <f t="shared" si="7"/>
        <v>423</v>
      </c>
      <c r="E83" s="3">
        <f t="shared" si="6"/>
        <v>423</v>
      </c>
      <c r="F83" s="3">
        <v>1</v>
      </c>
      <c r="G83" s="23" t="s">
        <v>130</v>
      </c>
      <c r="H83" s="170"/>
      <c r="I83" s="170"/>
    </row>
    <row r="84" spans="1:9" x14ac:dyDescent="0.25">
      <c r="A84" s="5" t="s">
        <v>6</v>
      </c>
      <c r="B84" s="5" t="s">
        <v>6</v>
      </c>
      <c r="C84" s="28" t="s">
        <v>97</v>
      </c>
      <c r="D84" s="3">
        <f t="shared" si="7"/>
        <v>424</v>
      </c>
      <c r="E84" s="3">
        <f t="shared" si="6"/>
        <v>424</v>
      </c>
      <c r="F84" s="3">
        <v>1</v>
      </c>
      <c r="G84" s="23" t="s">
        <v>275</v>
      </c>
      <c r="H84" s="170"/>
      <c r="I84" s="170"/>
    </row>
    <row r="85" spans="1:9" x14ac:dyDescent="0.25">
      <c r="A85" s="5" t="s">
        <v>6</v>
      </c>
      <c r="B85" s="5" t="s">
        <v>6</v>
      </c>
      <c r="C85" s="28" t="s">
        <v>97</v>
      </c>
      <c r="D85" s="3">
        <f t="shared" si="7"/>
        <v>425</v>
      </c>
      <c r="E85" s="3">
        <f t="shared" si="6"/>
        <v>425</v>
      </c>
      <c r="F85" s="3">
        <v>1</v>
      </c>
      <c r="G85" s="23" t="s">
        <v>310</v>
      </c>
      <c r="H85" s="170"/>
      <c r="I85" s="170"/>
    </row>
    <row r="86" spans="1:9" x14ac:dyDescent="0.25">
      <c r="A86" s="5" t="s">
        <v>6</v>
      </c>
      <c r="B86" s="5" t="s">
        <v>6</v>
      </c>
      <c r="C86" s="28" t="s">
        <v>97</v>
      </c>
      <c r="D86" s="3">
        <f t="shared" si="7"/>
        <v>426</v>
      </c>
      <c r="E86" s="3">
        <f t="shared" si="6"/>
        <v>426</v>
      </c>
      <c r="F86" s="3">
        <v>1</v>
      </c>
      <c r="G86" s="23" t="s">
        <v>131</v>
      </c>
      <c r="H86" s="170"/>
      <c r="I86" s="170"/>
    </row>
    <row r="87" spans="1:9" x14ac:dyDescent="0.25">
      <c r="A87" s="5" t="s">
        <v>6</v>
      </c>
      <c r="B87" s="5" t="s">
        <v>6</v>
      </c>
      <c r="C87" s="28" t="s">
        <v>97</v>
      </c>
      <c r="D87" s="3">
        <f t="shared" si="7"/>
        <v>427</v>
      </c>
      <c r="E87" s="3">
        <f t="shared" si="6"/>
        <v>427</v>
      </c>
      <c r="F87" s="3">
        <v>1</v>
      </c>
      <c r="G87" s="23" t="s">
        <v>132</v>
      </c>
      <c r="H87" s="170"/>
      <c r="I87" s="170"/>
    </row>
    <row r="88" spans="1:9" x14ac:dyDescent="0.25">
      <c r="A88" s="5" t="s">
        <v>6</v>
      </c>
      <c r="B88" s="5" t="s">
        <v>6</v>
      </c>
      <c r="C88" s="28" t="s">
        <v>97</v>
      </c>
      <c r="D88" s="3">
        <f t="shared" si="7"/>
        <v>428</v>
      </c>
      <c r="E88" s="3">
        <f t="shared" si="6"/>
        <v>428</v>
      </c>
      <c r="F88" s="3">
        <v>1</v>
      </c>
      <c r="G88" s="23" t="s">
        <v>133</v>
      </c>
      <c r="H88" s="170"/>
      <c r="I88" s="170"/>
    </row>
    <row r="89" spans="1:9" x14ac:dyDescent="0.25">
      <c r="A89" s="5" t="s">
        <v>6</v>
      </c>
      <c r="B89" s="5" t="s">
        <v>6</v>
      </c>
      <c r="C89" s="28" t="s">
        <v>97</v>
      </c>
      <c r="D89" s="3">
        <f t="shared" si="7"/>
        <v>429</v>
      </c>
      <c r="E89" s="3">
        <f t="shared" si="6"/>
        <v>429</v>
      </c>
      <c r="F89" s="3">
        <v>1</v>
      </c>
      <c r="G89" s="23" t="s">
        <v>134</v>
      </c>
      <c r="H89" s="170"/>
      <c r="I89" s="170"/>
    </row>
    <row r="90" spans="1:9" x14ac:dyDescent="0.25">
      <c r="A90" s="5" t="s">
        <v>6</v>
      </c>
      <c r="B90" s="5" t="s">
        <v>6</v>
      </c>
      <c r="C90" s="28" t="s">
        <v>97</v>
      </c>
      <c r="D90" s="3">
        <f t="shared" si="7"/>
        <v>430</v>
      </c>
      <c r="E90" s="3">
        <f t="shared" si="6"/>
        <v>430</v>
      </c>
      <c r="F90" s="3">
        <v>1</v>
      </c>
      <c r="G90" s="23" t="s">
        <v>135</v>
      </c>
      <c r="H90" s="170"/>
      <c r="I90" s="170"/>
    </row>
    <row r="91" spans="1:9" x14ac:dyDescent="0.25">
      <c r="A91" s="5" t="s">
        <v>6</v>
      </c>
      <c r="B91" s="5" t="s">
        <v>6</v>
      </c>
      <c r="C91" s="28" t="s">
        <v>97</v>
      </c>
      <c r="D91" s="3">
        <f t="shared" si="7"/>
        <v>431</v>
      </c>
      <c r="E91" s="3">
        <f t="shared" si="6"/>
        <v>431</v>
      </c>
      <c r="F91" s="3">
        <v>1</v>
      </c>
      <c r="G91" s="23" t="s">
        <v>136</v>
      </c>
      <c r="H91" s="170"/>
      <c r="I91" s="170"/>
    </row>
    <row r="92" spans="1:9" x14ac:dyDescent="0.25">
      <c r="A92" s="5"/>
      <c r="B92" s="5"/>
      <c r="C92" s="28"/>
      <c r="D92" s="3"/>
      <c r="E92" s="3"/>
      <c r="F92" s="3"/>
      <c r="G92" s="24" t="s">
        <v>362</v>
      </c>
      <c r="H92" s="41"/>
    </row>
    <row r="93" spans="1:9" ht="12.75" customHeight="1" x14ac:dyDescent="0.25">
      <c r="A93" s="5" t="s">
        <v>0</v>
      </c>
      <c r="B93" s="5" t="s">
        <v>0</v>
      </c>
      <c r="C93" s="28" t="s">
        <v>97</v>
      </c>
      <c r="D93" s="3">
        <f>D91+F91</f>
        <v>432</v>
      </c>
      <c r="E93" s="3">
        <f t="shared" ref="E93:E107" si="8">D93+F93-1</f>
        <v>432</v>
      </c>
      <c r="F93" s="3">
        <v>1</v>
      </c>
      <c r="G93" s="23" t="s">
        <v>126</v>
      </c>
      <c r="H93" s="170" t="s">
        <v>118</v>
      </c>
      <c r="I93" s="170" t="s">
        <v>411</v>
      </c>
    </row>
    <row r="94" spans="1:9" x14ac:dyDescent="0.25">
      <c r="A94" s="5" t="s">
        <v>0</v>
      </c>
      <c r="B94" s="5" t="s">
        <v>0</v>
      </c>
      <c r="C94" s="28" t="s">
        <v>97</v>
      </c>
      <c r="D94" s="3">
        <f t="shared" ref="D94:D107" si="9">D93+F93</f>
        <v>433</v>
      </c>
      <c r="E94" s="3">
        <f t="shared" si="8"/>
        <v>433</v>
      </c>
      <c r="F94" s="3">
        <v>1</v>
      </c>
      <c r="G94" s="23" t="s">
        <v>127</v>
      </c>
      <c r="H94" s="170"/>
      <c r="I94" s="170"/>
    </row>
    <row r="95" spans="1:9" x14ac:dyDescent="0.25">
      <c r="A95" s="5" t="s">
        <v>0</v>
      </c>
      <c r="B95" s="5" t="s">
        <v>0</v>
      </c>
      <c r="C95" s="28" t="s">
        <v>97</v>
      </c>
      <c r="D95" s="3">
        <f t="shared" si="9"/>
        <v>434</v>
      </c>
      <c r="E95" s="3">
        <f t="shared" si="8"/>
        <v>434</v>
      </c>
      <c r="F95" s="3">
        <v>1</v>
      </c>
      <c r="G95" s="13" t="s">
        <v>55</v>
      </c>
      <c r="H95" s="170"/>
      <c r="I95" s="170"/>
    </row>
    <row r="96" spans="1:9" x14ac:dyDescent="0.25">
      <c r="A96" s="5" t="s">
        <v>0</v>
      </c>
      <c r="B96" s="5" t="s">
        <v>0</v>
      </c>
      <c r="C96" s="28" t="s">
        <v>97</v>
      </c>
      <c r="D96" s="3">
        <f t="shared" si="9"/>
        <v>435</v>
      </c>
      <c r="E96" s="3">
        <f t="shared" si="8"/>
        <v>435</v>
      </c>
      <c r="F96" s="3">
        <v>1</v>
      </c>
      <c r="G96" s="23" t="s">
        <v>128</v>
      </c>
      <c r="H96" s="170"/>
      <c r="I96" s="170"/>
    </row>
    <row r="97" spans="1:9" x14ac:dyDescent="0.25">
      <c r="A97" s="5" t="s">
        <v>0</v>
      </c>
      <c r="B97" s="5" t="s">
        <v>0</v>
      </c>
      <c r="C97" s="28" t="s">
        <v>97</v>
      </c>
      <c r="D97" s="3">
        <f t="shared" si="9"/>
        <v>436</v>
      </c>
      <c r="E97" s="3">
        <f t="shared" si="8"/>
        <v>436</v>
      </c>
      <c r="F97" s="3">
        <v>1</v>
      </c>
      <c r="G97" s="23" t="s">
        <v>129</v>
      </c>
      <c r="H97" s="170"/>
      <c r="I97" s="170"/>
    </row>
    <row r="98" spans="1:9" x14ac:dyDescent="0.25">
      <c r="A98" s="5" t="s">
        <v>0</v>
      </c>
      <c r="B98" s="5" t="s">
        <v>0</v>
      </c>
      <c r="C98" s="28" t="s">
        <v>97</v>
      </c>
      <c r="D98" s="3">
        <f t="shared" si="9"/>
        <v>437</v>
      </c>
      <c r="E98" s="3">
        <f t="shared" si="8"/>
        <v>437</v>
      </c>
      <c r="F98" s="3">
        <v>1</v>
      </c>
      <c r="G98" s="23" t="s">
        <v>130</v>
      </c>
      <c r="H98" s="170"/>
      <c r="I98" s="170"/>
    </row>
    <row r="99" spans="1:9" x14ac:dyDescent="0.25">
      <c r="A99" s="5" t="s">
        <v>0</v>
      </c>
      <c r="B99" s="5" t="s">
        <v>0</v>
      </c>
      <c r="C99" s="28" t="s">
        <v>97</v>
      </c>
      <c r="D99" s="3">
        <f t="shared" si="9"/>
        <v>438</v>
      </c>
      <c r="E99" s="3">
        <f t="shared" si="8"/>
        <v>438</v>
      </c>
      <c r="F99" s="3">
        <v>1</v>
      </c>
      <c r="G99" s="23" t="s">
        <v>275</v>
      </c>
      <c r="H99" s="170"/>
      <c r="I99" s="170"/>
    </row>
    <row r="100" spans="1:9" x14ac:dyDescent="0.25">
      <c r="A100" s="5" t="s">
        <v>0</v>
      </c>
      <c r="B100" s="5" t="s">
        <v>0</v>
      </c>
      <c r="C100" s="28" t="s">
        <v>97</v>
      </c>
      <c r="D100" s="3">
        <f t="shared" si="9"/>
        <v>439</v>
      </c>
      <c r="E100" s="3">
        <f t="shared" si="8"/>
        <v>439</v>
      </c>
      <c r="F100" s="3">
        <v>1</v>
      </c>
      <c r="G100" s="23" t="s">
        <v>310</v>
      </c>
      <c r="H100" s="170"/>
      <c r="I100" s="170"/>
    </row>
    <row r="101" spans="1:9" x14ac:dyDescent="0.25">
      <c r="A101" s="5" t="s">
        <v>0</v>
      </c>
      <c r="B101" s="5" t="s">
        <v>0</v>
      </c>
      <c r="C101" s="28" t="s">
        <v>97</v>
      </c>
      <c r="D101" s="3">
        <f t="shared" si="9"/>
        <v>440</v>
      </c>
      <c r="E101" s="3">
        <f t="shared" si="8"/>
        <v>440</v>
      </c>
      <c r="F101" s="3">
        <v>1</v>
      </c>
      <c r="G101" s="23" t="s">
        <v>131</v>
      </c>
      <c r="H101" s="170"/>
      <c r="I101" s="170"/>
    </row>
    <row r="102" spans="1:9" x14ac:dyDescent="0.25">
      <c r="A102" s="5" t="s">
        <v>0</v>
      </c>
      <c r="B102" s="5" t="s">
        <v>0</v>
      </c>
      <c r="C102" s="28" t="s">
        <v>97</v>
      </c>
      <c r="D102" s="3">
        <f t="shared" si="9"/>
        <v>441</v>
      </c>
      <c r="E102" s="3">
        <f t="shared" si="8"/>
        <v>441</v>
      </c>
      <c r="F102" s="3">
        <v>1</v>
      </c>
      <c r="G102" s="23" t="s">
        <v>132</v>
      </c>
      <c r="H102" s="170"/>
      <c r="I102" s="170"/>
    </row>
    <row r="103" spans="1:9" x14ac:dyDescent="0.25">
      <c r="A103" s="5" t="s">
        <v>0</v>
      </c>
      <c r="B103" s="5" t="s">
        <v>0</v>
      </c>
      <c r="C103" s="28" t="s">
        <v>97</v>
      </c>
      <c r="D103" s="3">
        <f t="shared" si="9"/>
        <v>442</v>
      </c>
      <c r="E103" s="3">
        <f t="shared" si="8"/>
        <v>442</v>
      </c>
      <c r="F103" s="3">
        <v>1</v>
      </c>
      <c r="G103" s="23" t="s">
        <v>133</v>
      </c>
      <c r="H103" s="170"/>
      <c r="I103" s="170"/>
    </row>
    <row r="104" spans="1:9" x14ac:dyDescent="0.25">
      <c r="A104" s="5" t="s">
        <v>0</v>
      </c>
      <c r="B104" s="5" t="s">
        <v>0</v>
      </c>
      <c r="C104" s="28" t="s">
        <v>97</v>
      </c>
      <c r="D104" s="3">
        <f t="shared" si="9"/>
        <v>443</v>
      </c>
      <c r="E104" s="3">
        <f t="shared" si="8"/>
        <v>443</v>
      </c>
      <c r="F104" s="3">
        <v>1</v>
      </c>
      <c r="G104" s="23" t="s">
        <v>134</v>
      </c>
      <c r="H104" s="170"/>
      <c r="I104" s="170"/>
    </row>
    <row r="105" spans="1:9" x14ac:dyDescent="0.25">
      <c r="A105" s="5" t="s">
        <v>0</v>
      </c>
      <c r="B105" s="5" t="s">
        <v>0</v>
      </c>
      <c r="C105" s="28" t="s">
        <v>97</v>
      </c>
      <c r="D105" s="3">
        <f t="shared" si="9"/>
        <v>444</v>
      </c>
      <c r="E105" s="3">
        <f t="shared" si="8"/>
        <v>444</v>
      </c>
      <c r="F105" s="3">
        <v>1</v>
      </c>
      <c r="G105" s="23" t="s">
        <v>135</v>
      </c>
      <c r="H105" s="170"/>
      <c r="I105" s="170"/>
    </row>
    <row r="106" spans="1:9" x14ac:dyDescent="0.25">
      <c r="A106" s="5" t="s">
        <v>0</v>
      </c>
      <c r="B106" s="5" t="s">
        <v>0</v>
      </c>
      <c r="C106" s="28" t="s">
        <v>97</v>
      </c>
      <c r="D106" s="3">
        <f t="shared" si="9"/>
        <v>445</v>
      </c>
      <c r="E106" s="3">
        <f t="shared" si="8"/>
        <v>445</v>
      </c>
      <c r="F106" s="3">
        <v>1</v>
      </c>
      <c r="G106" s="23" t="s">
        <v>136</v>
      </c>
      <c r="H106" s="170"/>
      <c r="I106" s="170"/>
    </row>
    <row r="107" spans="1:9" x14ac:dyDescent="0.25">
      <c r="A107" s="5"/>
      <c r="B107" s="5"/>
      <c r="C107" s="28"/>
      <c r="D107" s="3">
        <f t="shared" si="9"/>
        <v>446</v>
      </c>
      <c r="E107" s="3">
        <f t="shared" si="8"/>
        <v>465</v>
      </c>
      <c r="F107" s="3">
        <v>20</v>
      </c>
      <c r="G107" s="23" t="s">
        <v>55</v>
      </c>
      <c r="H107" s="41"/>
    </row>
    <row r="108" spans="1:9" x14ac:dyDescent="0.25">
      <c r="A108" s="5"/>
      <c r="B108" s="5"/>
      <c r="C108" s="3"/>
      <c r="D108" s="3"/>
      <c r="E108" s="3"/>
      <c r="F108" s="3"/>
      <c r="G108" s="24" t="s">
        <v>139</v>
      </c>
      <c r="H108" s="41"/>
    </row>
    <row r="109" spans="1:9" ht="63.75" x14ac:dyDescent="0.25">
      <c r="A109" s="5" t="s">
        <v>0</v>
      </c>
      <c r="B109" s="5" t="s">
        <v>0</v>
      </c>
      <c r="C109" s="28" t="s">
        <v>98</v>
      </c>
      <c r="D109" s="3">
        <f>D107+F107</f>
        <v>466</v>
      </c>
      <c r="E109" s="3">
        <f t="shared" ref="E109:E116" si="10">D109+F109-1</f>
        <v>468</v>
      </c>
      <c r="F109" s="3">
        <v>3</v>
      </c>
      <c r="G109" s="23" t="s">
        <v>24</v>
      </c>
      <c r="H109" s="43" t="s">
        <v>80</v>
      </c>
      <c r="I109" s="75" t="s">
        <v>686</v>
      </c>
    </row>
    <row r="110" spans="1:9" ht="76.5" x14ac:dyDescent="0.25">
      <c r="A110" s="5" t="s">
        <v>0</v>
      </c>
      <c r="B110" s="5" t="s">
        <v>0</v>
      </c>
      <c r="C110" s="28" t="s">
        <v>98</v>
      </c>
      <c r="D110" s="3">
        <f t="shared" ref="D110:D116" si="11">D109+F109</f>
        <v>469</v>
      </c>
      <c r="E110" s="3">
        <f t="shared" si="10"/>
        <v>471</v>
      </c>
      <c r="F110" s="3">
        <v>3</v>
      </c>
      <c r="G110" s="23" t="s">
        <v>25</v>
      </c>
      <c r="H110" s="43" t="s">
        <v>80</v>
      </c>
      <c r="I110" s="75" t="s">
        <v>687</v>
      </c>
    </row>
    <row r="111" spans="1:9" ht="95.25" customHeight="1" x14ac:dyDescent="0.25">
      <c r="A111" s="5" t="s">
        <v>0</v>
      </c>
      <c r="B111" s="5" t="s">
        <v>0</v>
      </c>
      <c r="C111" s="28" t="s">
        <v>98</v>
      </c>
      <c r="D111" s="3">
        <f t="shared" si="11"/>
        <v>472</v>
      </c>
      <c r="E111" s="3">
        <f t="shared" si="10"/>
        <v>474</v>
      </c>
      <c r="F111" s="3">
        <v>3</v>
      </c>
      <c r="G111" s="23" t="s">
        <v>142</v>
      </c>
      <c r="H111" s="43" t="s">
        <v>80</v>
      </c>
      <c r="I111" s="12" t="s">
        <v>694</v>
      </c>
    </row>
    <row r="112" spans="1:9" ht="76.5" x14ac:dyDescent="0.25">
      <c r="A112" s="5" t="s">
        <v>0</v>
      </c>
      <c r="B112" s="5" t="s">
        <v>0</v>
      </c>
      <c r="C112" s="28" t="s">
        <v>98</v>
      </c>
      <c r="D112" s="3">
        <f t="shared" si="11"/>
        <v>475</v>
      </c>
      <c r="E112" s="3">
        <f t="shared" si="10"/>
        <v>477</v>
      </c>
      <c r="F112" s="3">
        <v>3</v>
      </c>
      <c r="G112" s="23" t="s">
        <v>178</v>
      </c>
      <c r="H112" s="43" t="s">
        <v>85</v>
      </c>
      <c r="I112" s="75" t="s">
        <v>693</v>
      </c>
    </row>
    <row r="113" spans="1:9" ht="63.75" x14ac:dyDescent="0.25">
      <c r="A113" s="5" t="s">
        <v>0</v>
      </c>
      <c r="B113" s="5" t="s">
        <v>0</v>
      </c>
      <c r="C113" s="28" t="s">
        <v>98</v>
      </c>
      <c r="D113" s="3">
        <f t="shared" si="11"/>
        <v>478</v>
      </c>
      <c r="E113" s="3">
        <f t="shared" si="10"/>
        <v>480</v>
      </c>
      <c r="F113" s="3">
        <v>3</v>
      </c>
      <c r="G113" s="23" t="s">
        <v>30</v>
      </c>
      <c r="H113" s="85" t="s">
        <v>524</v>
      </c>
      <c r="I113" s="12" t="s">
        <v>277</v>
      </c>
    </row>
    <row r="114" spans="1:9" ht="127.5" x14ac:dyDescent="0.25">
      <c r="A114" s="5" t="s">
        <v>0</v>
      </c>
      <c r="B114" s="5" t="s">
        <v>0</v>
      </c>
      <c r="C114" s="28" t="s">
        <v>98</v>
      </c>
      <c r="D114" s="3">
        <f t="shared" si="11"/>
        <v>481</v>
      </c>
      <c r="E114" s="3">
        <f t="shared" si="10"/>
        <v>483</v>
      </c>
      <c r="F114" s="83">
        <v>3</v>
      </c>
      <c r="G114" s="23" t="s">
        <v>120</v>
      </c>
      <c r="H114" s="86" t="s">
        <v>512</v>
      </c>
      <c r="I114" s="44" t="s">
        <v>278</v>
      </c>
    </row>
    <row r="115" spans="1:9" ht="127.5" x14ac:dyDescent="0.25">
      <c r="A115" s="5" t="s">
        <v>0</v>
      </c>
      <c r="B115" s="5" t="s">
        <v>0</v>
      </c>
      <c r="C115" s="28" t="s">
        <v>394</v>
      </c>
      <c r="D115" s="3">
        <f t="shared" si="11"/>
        <v>484</v>
      </c>
      <c r="E115" s="3">
        <f t="shared" si="10"/>
        <v>486</v>
      </c>
      <c r="F115" s="3">
        <v>3</v>
      </c>
      <c r="G115" s="23" t="s">
        <v>124</v>
      </c>
      <c r="H115" s="85" t="s">
        <v>513</v>
      </c>
      <c r="I115" s="44" t="s">
        <v>279</v>
      </c>
    </row>
    <row r="116" spans="1:9" x14ac:dyDescent="0.25">
      <c r="A116" s="5"/>
      <c r="B116" s="5"/>
      <c r="C116" s="28"/>
      <c r="D116" s="3">
        <f t="shared" si="11"/>
        <v>487</v>
      </c>
      <c r="E116" s="3">
        <f t="shared" si="10"/>
        <v>500</v>
      </c>
      <c r="F116" s="84">
        <v>14</v>
      </c>
      <c r="G116" s="23" t="s">
        <v>55</v>
      </c>
      <c r="H116" s="41"/>
      <c r="I116" s="44"/>
    </row>
    <row r="117" spans="1:9" x14ac:dyDescent="0.25">
      <c r="A117" s="5"/>
      <c r="B117" s="5"/>
      <c r="C117" s="28"/>
      <c r="D117" s="3"/>
      <c r="E117" s="3"/>
      <c r="F117" s="3"/>
      <c r="G117" s="24" t="s">
        <v>276</v>
      </c>
      <c r="H117" s="41"/>
      <c r="I117" s="44"/>
    </row>
    <row r="118" spans="1:9" x14ac:dyDescent="0.25">
      <c r="A118" s="5" t="s">
        <v>6</v>
      </c>
      <c r="B118" s="5" t="s">
        <v>6</v>
      </c>
      <c r="C118" s="28" t="s">
        <v>98</v>
      </c>
      <c r="D118" s="3">
        <f>D116+F116</f>
        <v>501</v>
      </c>
      <c r="E118" s="3">
        <f>D118+F118-1</f>
        <v>503</v>
      </c>
      <c r="F118" s="3">
        <v>3</v>
      </c>
      <c r="G118" s="23" t="s">
        <v>258</v>
      </c>
      <c r="H118" s="195" t="s">
        <v>529</v>
      </c>
      <c r="I118" s="175" t="s">
        <v>260</v>
      </c>
    </row>
    <row r="119" spans="1:9" ht="21.6" customHeight="1" x14ac:dyDescent="0.25">
      <c r="A119" s="5" t="s">
        <v>6</v>
      </c>
      <c r="B119" s="5" t="s">
        <v>6</v>
      </c>
      <c r="C119" s="28" t="s">
        <v>98</v>
      </c>
      <c r="D119" s="3">
        <f>D118+F118</f>
        <v>504</v>
      </c>
      <c r="E119" s="3">
        <f>D119+F119-1</f>
        <v>506</v>
      </c>
      <c r="F119" s="3">
        <v>3</v>
      </c>
      <c r="G119" s="23" t="s">
        <v>259</v>
      </c>
      <c r="H119" s="196"/>
      <c r="I119" s="197"/>
    </row>
    <row r="120" spans="1:9" s="65" customFormat="1" x14ac:dyDescent="0.2">
      <c r="A120" s="88"/>
      <c r="B120" s="88"/>
      <c r="C120" s="88"/>
      <c r="D120" s="88"/>
      <c r="E120" s="88"/>
      <c r="F120" s="88"/>
      <c r="G120" s="89" t="s">
        <v>140</v>
      </c>
      <c r="H120" s="88"/>
      <c r="I120" s="88"/>
    </row>
    <row r="121" spans="1:9" s="65" customFormat="1" ht="38.25" x14ac:dyDescent="0.2">
      <c r="A121" s="90" t="s">
        <v>0</v>
      </c>
      <c r="B121" s="91" t="s">
        <v>0</v>
      </c>
      <c r="C121" s="92" t="s">
        <v>98</v>
      </c>
      <c r="D121" s="92">
        <v>507</v>
      </c>
      <c r="E121" s="92">
        <v>508</v>
      </c>
      <c r="F121" s="92">
        <v>2</v>
      </c>
      <c r="G121" s="93" t="s">
        <v>163</v>
      </c>
      <c r="H121" s="93" t="s">
        <v>84</v>
      </c>
      <c r="I121" s="93" t="s">
        <v>146</v>
      </c>
    </row>
    <row r="122" spans="1:9" s="65" customFormat="1" ht="51" x14ac:dyDescent="0.2">
      <c r="A122" s="90" t="s">
        <v>0</v>
      </c>
      <c r="B122" s="91" t="s">
        <v>0</v>
      </c>
      <c r="C122" s="92" t="s">
        <v>98</v>
      </c>
      <c r="D122" s="92">
        <v>509</v>
      </c>
      <c r="E122" s="92">
        <v>511</v>
      </c>
      <c r="F122" s="92">
        <v>3</v>
      </c>
      <c r="G122" s="93" t="s">
        <v>179</v>
      </c>
      <c r="H122" s="93" t="s">
        <v>85</v>
      </c>
      <c r="I122" s="93" t="s">
        <v>145</v>
      </c>
    </row>
    <row r="123" spans="1:9" s="65" customFormat="1" ht="38.25" x14ac:dyDescent="0.2">
      <c r="A123" s="90" t="s">
        <v>0</v>
      </c>
      <c r="B123" s="91" t="s">
        <v>0</v>
      </c>
      <c r="C123" s="92" t="s">
        <v>98</v>
      </c>
      <c r="D123" s="92">
        <v>512</v>
      </c>
      <c r="E123" s="92">
        <v>513</v>
      </c>
      <c r="F123" s="92">
        <v>2</v>
      </c>
      <c r="G123" s="93" t="s">
        <v>164</v>
      </c>
      <c r="H123" s="93" t="s">
        <v>84</v>
      </c>
      <c r="I123" s="93" t="s">
        <v>147</v>
      </c>
    </row>
    <row r="124" spans="1:9" s="65" customFormat="1" ht="51" x14ac:dyDescent="0.2">
      <c r="A124" s="90" t="s">
        <v>0</v>
      </c>
      <c r="B124" s="91" t="s">
        <v>0</v>
      </c>
      <c r="C124" s="92" t="s">
        <v>98</v>
      </c>
      <c r="D124" s="92">
        <v>514</v>
      </c>
      <c r="E124" s="92">
        <v>516</v>
      </c>
      <c r="F124" s="92">
        <v>3</v>
      </c>
      <c r="G124" s="93" t="s">
        <v>180</v>
      </c>
      <c r="H124" s="93" t="s">
        <v>85</v>
      </c>
      <c r="I124" s="93" t="s">
        <v>148</v>
      </c>
    </row>
    <row r="125" spans="1:9" s="65" customFormat="1" ht="51" x14ac:dyDescent="0.2">
      <c r="A125" s="90" t="s">
        <v>0</v>
      </c>
      <c r="B125" s="91" t="s">
        <v>0</v>
      </c>
      <c r="C125" s="92" t="s">
        <v>98</v>
      </c>
      <c r="D125" s="92">
        <v>517</v>
      </c>
      <c r="E125" s="92">
        <v>518</v>
      </c>
      <c r="F125" s="92">
        <v>2</v>
      </c>
      <c r="G125" s="93" t="s">
        <v>165</v>
      </c>
      <c r="H125" s="93" t="s">
        <v>84</v>
      </c>
      <c r="I125" s="93" t="s">
        <v>149</v>
      </c>
    </row>
    <row r="126" spans="1:9" s="65" customFormat="1" ht="63.75" x14ac:dyDescent="0.2">
      <c r="A126" s="90" t="s">
        <v>0</v>
      </c>
      <c r="B126" s="91" t="s">
        <v>0</v>
      </c>
      <c r="C126" s="92" t="s">
        <v>98</v>
      </c>
      <c r="D126" s="92">
        <v>519</v>
      </c>
      <c r="E126" s="92">
        <v>521</v>
      </c>
      <c r="F126" s="92">
        <v>3</v>
      </c>
      <c r="G126" s="93" t="s">
        <v>181</v>
      </c>
      <c r="H126" s="93" t="s">
        <v>85</v>
      </c>
      <c r="I126" s="93" t="s">
        <v>144</v>
      </c>
    </row>
    <row r="127" spans="1:9" x14ac:dyDescent="0.25">
      <c r="A127" s="5"/>
      <c r="B127" s="5"/>
      <c r="C127" s="28"/>
      <c r="D127" s="3"/>
      <c r="E127" s="3"/>
      <c r="F127" s="3"/>
      <c r="G127" s="23"/>
      <c r="H127" s="59"/>
      <c r="I127" s="58"/>
    </row>
    <row r="128" spans="1:9" x14ac:dyDescent="0.25">
      <c r="A128" s="94" t="s">
        <v>551</v>
      </c>
      <c r="B128" s="94"/>
      <c r="C128" s="95"/>
      <c r="D128" s="96"/>
      <c r="E128" s="96"/>
      <c r="F128" s="96"/>
      <c r="G128" s="97" t="s">
        <v>454</v>
      </c>
      <c r="H128" s="86"/>
      <c r="I128" s="98"/>
    </row>
    <row r="129" spans="1:9" s="64" customFormat="1" ht="63.75" x14ac:dyDescent="0.2">
      <c r="A129" s="99" t="s">
        <v>0</v>
      </c>
      <c r="B129" s="99" t="s">
        <v>0</v>
      </c>
      <c r="C129" s="95" t="s">
        <v>98</v>
      </c>
      <c r="D129" s="96">
        <f>D119+F119</f>
        <v>507</v>
      </c>
      <c r="E129" s="100">
        <f t="shared" ref="E129:E151" si="12">D129+F129-1</f>
        <v>510</v>
      </c>
      <c r="F129" s="101">
        <v>4</v>
      </c>
      <c r="G129" s="102" t="s">
        <v>441</v>
      </c>
      <c r="H129" s="155" t="s">
        <v>709</v>
      </c>
      <c r="I129" s="98" t="s">
        <v>586</v>
      </c>
    </row>
    <row r="130" spans="1:9" s="64" customFormat="1" ht="76.5" x14ac:dyDescent="0.2">
      <c r="A130" s="99" t="s">
        <v>0</v>
      </c>
      <c r="B130" s="99" t="s">
        <v>0</v>
      </c>
      <c r="C130" s="95" t="s">
        <v>98</v>
      </c>
      <c r="D130" s="101">
        <f t="shared" ref="D130" si="13">D129+F129</f>
        <v>511</v>
      </c>
      <c r="E130" s="100">
        <f t="shared" si="12"/>
        <v>511</v>
      </c>
      <c r="F130" s="101">
        <v>1</v>
      </c>
      <c r="G130" s="102" t="s">
        <v>442</v>
      </c>
      <c r="H130" s="103" t="s">
        <v>443</v>
      </c>
      <c r="I130" s="98" t="s">
        <v>587</v>
      </c>
    </row>
    <row r="131" spans="1:9" s="64" customFormat="1" ht="63.75" x14ac:dyDescent="0.2">
      <c r="A131" s="99" t="s">
        <v>0</v>
      </c>
      <c r="B131" s="99" t="s">
        <v>0</v>
      </c>
      <c r="C131" s="95" t="s">
        <v>98</v>
      </c>
      <c r="D131" s="101">
        <f>D130+F130</f>
        <v>512</v>
      </c>
      <c r="E131" s="100">
        <f t="shared" si="12"/>
        <v>514</v>
      </c>
      <c r="F131" s="101">
        <v>3</v>
      </c>
      <c r="G131" s="102" t="s">
        <v>444</v>
      </c>
      <c r="H131" s="103" t="s">
        <v>85</v>
      </c>
      <c r="I131" s="98" t="s">
        <v>588</v>
      </c>
    </row>
    <row r="132" spans="1:9" s="64" customFormat="1" ht="63.75" x14ac:dyDescent="0.2">
      <c r="A132" s="99" t="s">
        <v>0</v>
      </c>
      <c r="B132" s="99" t="s">
        <v>0</v>
      </c>
      <c r="C132" s="95" t="s">
        <v>98</v>
      </c>
      <c r="D132" s="101">
        <f>D131+F131</f>
        <v>515</v>
      </c>
      <c r="E132" s="100">
        <f t="shared" si="12"/>
        <v>518</v>
      </c>
      <c r="F132" s="101">
        <v>4</v>
      </c>
      <c r="G132" s="102" t="s">
        <v>445</v>
      </c>
      <c r="H132" s="155" t="s">
        <v>709</v>
      </c>
      <c r="I132" s="98" t="s">
        <v>589</v>
      </c>
    </row>
    <row r="133" spans="1:9" s="64" customFormat="1" ht="89.25" x14ac:dyDescent="0.2">
      <c r="A133" s="99" t="s">
        <v>0</v>
      </c>
      <c r="B133" s="99" t="s">
        <v>0</v>
      </c>
      <c r="C133" s="95" t="s">
        <v>98</v>
      </c>
      <c r="D133" s="101">
        <f t="shared" ref="D133:D141" si="14">D132+F132</f>
        <v>519</v>
      </c>
      <c r="E133" s="100">
        <f t="shared" si="12"/>
        <v>519</v>
      </c>
      <c r="F133" s="101">
        <v>1</v>
      </c>
      <c r="G133" s="102" t="s">
        <v>446</v>
      </c>
      <c r="H133" s="103" t="s">
        <v>443</v>
      </c>
      <c r="I133" s="98" t="s">
        <v>595</v>
      </c>
    </row>
    <row r="134" spans="1:9" s="64" customFormat="1" ht="63.75" x14ac:dyDescent="0.2">
      <c r="A134" s="99" t="s">
        <v>0</v>
      </c>
      <c r="B134" s="99" t="s">
        <v>0</v>
      </c>
      <c r="C134" s="95" t="s">
        <v>98</v>
      </c>
      <c r="D134" s="101">
        <f>D133+F133</f>
        <v>520</v>
      </c>
      <c r="E134" s="100">
        <f t="shared" si="12"/>
        <v>522</v>
      </c>
      <c r="F134" s="101">
        <v>3</v>
      </c>
      <c r="G134" s="102" t="s">
        <v>447</v>
      </c>
      <c r="H134" s="103" t="s">
        <v>85</v>
      </c>
      <c r="I134" s="98" t="s">
        <v>592</v>
      </c>
    </row>
    <row r="135" spans="1:9" s="64" customFormat="1" ht="63.75" x14ac:dyDescent="0.2">
      <c r="A135" s="99" t="s">
        <v>0</v>
      </c>
      <c r="B135" s="99" t="s">
        <v>0</v>
      </c>
      <c r="C135" s="95" t="s">
        <v>98</v>
      </c>
      <c r="D135" s="101">
        <f>D134+F134</f>
        <v>523</v>
      </c>
      <c r="E135" s="100">
        <f t="shared" si="12"/>
        <v>526</v>
      </c>
      <c r="F135" s="101">
        <v>4</v>
      </c>
      <c r="G135" s="102" t="s">
        <v>448</v>
      </c>
      <c r="H135" s="155" t="s">
        <v>709</v>
      </c>
      <c r="I135" s="98" t="s">
        <v>642</v>
      </c>
    </row>
    <row r="136" spans="1:9" s="64" customFormat="1" ht="102" x14ac:dyDescent="0.2">
      <c r="A136" s="99" t="s">
        <v>0</v>
      </c>
      <c r="B136" s="99" t="s">
        <v>0</v>
      </c>
      <c r="C136" s="95" t="s">
        <v>98</v>
      </c>
      <c r="D136" s="101">
        <f t="shared" si="14"/>
        <v>527</v>
      </c>
      <c r="E136" s="100">
        <f t="shared" si="12"/>
        <v>527</v>
      </c>
      <c r="F136" s="101">
        <v>1</v>
      </c>
      <c r="G136" s="102" t="s">
        <v>449</v>
      </c>
      <c r="H136" s="103" t="s">
        <v>443</v>
      </c>
      <c r="I136" s="98" t="s">
        <v>590</v>
      </c>
    </row>
    <row r="137" spans="1:9" s="64" customFormat="1" ht="76.5" x14ac:dyDescent="0.2">
      <c r="A137" s="99" t="s">
        <v>0</v>
      </c>
      <c r="B137" s="99" t="s">
        <v>0</v>
      </c>
      <c r="C137" s="95" t="s">
        <v>98</v>
      </c>
      <c r="D137" s="101">
        <f>D136+F136</f>
        <v>528</v>
      </c>
      <c r="E137" s="100">
        <f t="shared" si="12"/>
        <v>530</v>
      </c>
      <c r="F137" s="101">
        <v>3</v>
      </c>
      <c r="G137" s="102" t="s">
        <v>450</v>
      </c>
      <c r="H137" s="104" t="s">
        <v>85</v>
      </c>
      <c r="I137" s="105" t="s">
        <v>591</v>
      </c>
    </row>
    <row r="138" spans="1:9" s="64" customFormat="1" ht="63.75" x14ac:dyDescent="0.2">
      <c r="A138" s="99" t="s">
        <v>0</v>
      </c>
      <c r="B138" s="99" t="s">
        <v>0</v>
      </c>
      <c r="C138" s="95" t="s">
        <v>98</v>
      </c>
      <c r="D138" s="101">
        <f>D137+F137</f>
        <v>531</v>
      </c>
      <c r="E138" s="100">
        <f t="shared" si="12"/>
        <v>534</v>
      </c>
      <c r="F138" s="101">
        <v>4</v>
      </c>
      <c r="G138" s="102" t="s">
        <v>451</v>
      </c>
      <c r="H138" s="155" t="s">
        <v>709</v>
      </c>
      <c r="I138" s="105" t="s">
        <v>648</v>
      </c>
    </row>
    <row r="139" spans="1:9" s="64" customFormat="1" ht="89.25" x14ac:dyDescent="0.2">
      <c r="A139" s="99" t="s">
        <v>0</v>
      </c>
      <c r="B139" s="99" t="s">
        <v>0</v>
      </c>
      <c r="C139" s="95" t="s">
        <v>98</v>
      </c>
      <c r="D139" s="101">
        <f t="shared" si="14"/>
        <v>535</v>
      </c>
      <c r="E139" s="100">
        <f t="shared" si="12"/>
        <v>535</v>
      </c>
      <c r="F139" s="101">
        <v>1</v>
      </c>
      <c r="G139" s="102" t="s">
        <v>452</v>
      </c>
      <c r="H139" s="103" t="s">
        <v>443</v>
      </c>
      <c r="I139" s="98" t="s">
        <v>594</v>
      </c>
    </row>
    <row r="140" spans="1:9" s="64" customFormat="1" ht="65.25" customHeight="1" x14ac:dyDescent="0.2">
      <c r="A140" s="99" t="s">
        <v>0</v>
      </c>
      <c r="B140" s="99" t="s">
        <v>0</v>
      </c>
      <c r="C140" s="95" t="s">
        <v>98</v>
      </c>
      <c r="D140" s="101">
        <f t="shared" si="14"/>
        <v>536</v>
      </c>
      <c r="E140" s="100">
        <f t="shared" si="12"/>
        <v>538</v>
      </c>
      <c r="F140" s="101">
        <v>3</v>
      </c>
      <c r="G140" s="102" t="s">
        <v>453</v>
      </c>
      <c r="H140" s="104" t="s">
        <v>85</v>
      </c>
      <c r="I140" s="105" t="s">
        <v>593</v>
      </c>
    </row>
    <row r="141" spans="1:9" s="64" customFormat="1" ht="16.899999999999999" customHeight="1" x14ac:dyDescent="0.2">
      <c r="A141" s="99"/>
      <c r="B141" s="99"/>
      <c r="C141" s="95"/>
      <c r="D141" s="101">
        <f t="shared" si="14"/>
        <v>539</v>
      </c>
      <c r="E141" s="100">
        <f t="shared" si="12"/>
        <v>540</v>
      </c>
      <c r="F141" s="101">
        <v>2</v>
      </c>
      <c r="G141" s="102" t="s">
        <v>55</v>
      </c>
      <c r="H141" s="104"/>
      <c r="I141" s="105"/>
    </row>
    <row r="142" spans="1:9" s="64" customFormat="1" ht="19.149999999999999" customHeight="1" x14ac:dyDescent="0.2">
      <c r="A142" s="99"/>
      <c r="B142" s="99"/>
      <c r="C142" s="95"/>
      <c r="D142" s="101"/>
      <c r="E142" s="100" t="s">
        <v>551</v>
      </c>
      <c r="F142" s="101"/>
      <c r="G142" s="106" t="s">
        <v>670</v>
      </c>
      <c r="H142" s="104"/>
      <c r="I142" s="105"/>
    </row>
    <row r="143" spans="1:9" s="64" customFormat="1" ht="99.6" customHeight="1" x14ac:dyDescent="0.2">
      <c r="A143" s="99" t="s">
        <v>0</v>
      </c>
      <c r="B143" s="99" t="s">
        <v>0</v>
      </c>
      <c r="C143" s="95" t="s">
        <v>98</v>
      </c>
      <c r="D143" s="101">
        <f>D141+F141</f>
        <v>541</v>
      </c>
      <c r="E143" s="100">
        <f t="shared" si="12"/>
        <v>544</v>
      </c>
      <c r="F143" s="101">
        <v>4</v>
      </c>
      <c r="G143" s="102" t="s">
        <v>652</v>
      </c>
      <c r="H143" s="155" t="s">
        <v>709</v>
      </c>
      <c r="I143" s="105" t="s">
        <v>657</v>
      </c>
    </row>
    <row r="144" spans="1:9" s="64" customFormat="1" ht="102" customHeight="1" x14ac:dyDescent="0.2">
      <c r="A144" s="99" t="s">
        <v>0</v>
      </c>
      <c r="B144" s="99" t="s">
        <v>0</v>
      </c>
      <c r="C144" s="95" t="s">
        <v>98</v>
      </c>
      <c r="D144" s="101">
        <f t="shared" ref="D144:D152" si="15">D143+F143</f>
        <v>545</v>
      </c>
      <c r="E144" s="100">
        <f t="shared" si="12"/>
        <v>545</v>
      </c>
      <c r="F144" s="101">
        <v>1</v>
      </c>
      <c r="G144" s="102" t="s">
        <v>653</v>
      </c>
      <c r="H144" s="104" t="s">
        <v>443</v>
      </c>
      <c r="I144" s="98" t="s">
        <v>658</v>
      </c>
    </row>
    <row r="145" spans="1:9" s="64" customFormat="1" ht="76.900000000000006" customHeight="1" x14ac:dyDescent="0.2">
      <c r="A145" s="99" t="s">
        <v>0</v>
      </c>
      <c r="B145" s="99" t="s">
        <v>0</v>
      </c>
      <c r="C145" s="95" t="s">
        <v>98</v>
      </c>
      <c r="D145" s="101">
        <f t="shared" si="15"/>
        <v>546</v>
      </c>
      <c r="E145" s="100">
        <f t="shared" si="12"/>
        <v>548</v>
      </c>
      <c r="F145" s="101">
        <v>3</v>
      </c>
      <c r="G145" s="102" t="s">
        <v>651</v>
      </c>
      <c r="H145" s="104" t="s">
        <v>85</v>
      </c>
      <c r="I145" s="105" t="s">
        <v>659</v>
      </c>
    </row>
    <row r="146" spans="1:9" s="64" customFormat="1" ht="93" customHeight="1" x14ac:dyDescent="0.2">
      <c r="A146" s="99" t="s">
        <v>0</v>
      </c>
      <c r="B146" s="99" t="s">
        <v>0</v>
      </c>
      <c r="C146" s="95" t="s">
        <v>98</v>
      </c>
      <c r="D146" s="101">
        <f t="shared" si="15"/>
        <v>549</v>
      </c>
      <c r="E146" s="100">
        <f t="shared" si="12"/>
        <v>552</v>
      </c>
      <c r="F146" s="101">
        <v>4</v>
      </c>
      <c r="G146" s="102" t="s">
        <v>654</v>
      </c>
      <c r="H146" s="155" t="s">
        <v>709</v>
      </c>
      <c r="I146" s="105" t="s">
        <v>660</v>
      </c>
    </row>
    <row r="147" spans="1:9" s="64" customFormat="1" ht="84" customHeight="1" x14ac:dyDescent="0.2">
      <c r="A147" s="99" t="s">
        <v>0</v>
      </c>
      <c r="B147" s="99" t="s">
        <v>0</v>
      </c>
      <c r="C147" s="95" t="s">
        <v>98</v>
      </c>
      <c r="D147" s="101">
        <f t="shared" si="15"/>
        <v>553</v>
      </c>
      <c r="E147" s="100">
        <f t="shared" si="12"/>
        <v>553</v>
      </c>
      <c r="F147" s="101">
        <v>1</v>
      </c>
      <c r="G147" s="102" t="s">
        <v>655</v>
      </c>
      <c r="H147" s="104" t="s">
        <v>443</v>
      </c>
      <c r="I147" s="98" t="s">
        <v>681</v>
      </c>
    </row>
    <row r="148" spans="1:9" s="64" customFormat="1" ht="98.45" customHeight="1" x14ac:dyDescent="0.2">
      <c r="A148" s="99" t="s">
        <v>0</v>
      </c>
      <c r="B148" s="99" t="s">
        <v>0</v>
      </c>
      <c r="C148" s="95" t="s">
        <v>98</v>
      </c>
      <c r="D148" s="101">
        <f t="shared" si="15"/>
        <v>554</v>
      </c>
      <c r="E148" s="100">
        <f t="shared" si="12"/>
        <v>556</v>
      </c>
      <c r="F148" s="101">
        <v>3</v>
      </c>
      <c r="G148" s="102" t="s">
        <v>662</v>
      </c>
      <c r="H148" s="104" t="s">
        <v>85</v>
      </c>
      <c r="I148" s="105" t="s">
        <v>661</v>
      </c>
    </row>
    <row r="149" spans="1:9" s="64" customFormat="1" ht="85.9" customHeight="1" x14ac:dyDescent="0.2">
      <c r="A149" s="99" t="s">
        <v>0</v>
      </c>
      <c r="B149" s="99" t="s">
        <v>0</v>
      </c>
      <c r="C149" s="95" t="s">
        <v>98</v>
      </c>
      <c r="D149" s="101">
        <f t="shared" si="15"/>
        <v>557</v>
      </c>
      <c r="E149" s="100">
        <f t="shared" si="12"/>
        <v>560</v>
      </c>
      <c r="F149" s="101">
        <v>4</v>
      </c>
      <c r="G149" s="102" t="s">
        <v>656</v>
      </c>
      <c r="H149" s="155" t="s">
        <v>709</v>
      </c>
      <c r="I149" s="105" t="s">
        <v>671</v>
      </c>
    </row>
    <row r="150" spans="1:9" s="64" customFormat="1" ht="90.6" customHeight="1" x14ac:dyDescent="0.2">
      <c r="A150" s="99" t="s">
        <v>0</v>
      </c>
      <c r="B150" s="99" t="s">
        <v>0</v>
      </c>
      <c r="C150" s="95" t="s">
        <v>98</v>
      </c>
      <c r="D150" s="101">
        <f t="shared" si="15"/>
        <v>561</v>
      </c>
      <c r="E150" s="100">
        <f t="shared" si="12"/>
        <v>561</v>
      </c>
      <c r="F150" s="101">
        <v>1</v>
      </c>
      <c r="G150" s="102" t="s">
        <v>664</v>
      </c>
      <c r="H150" s="104" t="s">
        <v>443</v>
      </c>
      <c r="I150" s="98" t="s">
        <v>672</v>
      </c>
    </row>
    <row r="151" spans="1:9" s="64" customFormat="1" ht="72" customHeight="1" x14ac:dyDescent="0.2">
      <c r="A151" s="99" t="s">
        <v>0</v>
      </c>
      <c r="B151" s="99" t="s">
        <v>0</v>
      </c>
      <c r="C151" s="95" t="s">
        <v>98</v>
      </c>
      <c r="D151" s="101">
        <f t="shared" si="15"/>
        <v>562</v>
      </c>
      <c r="E151" s="100">
        <f t="shared" si="12"/>
        <v>564</v>
      </c>
      <c r="F151" s="101">
        <v>3</v>
      </c>
      <c r="G151" s="102" t="s">
        <v>663</v>
      </c>
      <c r="H151" s="104" t="s">
        <v>85</v>
      </c>
      <c r="I151" s="105" t="s">
        <v>673</v>
      </c>
    </row>
    <row r="152" spans="1:9" x14ac:dyDescent="0.25">
      <c r="A152" s="94"/>
      <c r="B152" s="94"/>
      <c r="C152" s="95"/>
      <c r="D152" s="101">
        <f t="shared" si="15"/>
        <v>565</v>
      </c>
      <c r="E152" s="96">
        <f>D152+F152-1</f>
        <v>566</v>
      </c>
      <c r="F152" s="96">
        <v>2</v>
      </c>
      <c r="G152" s="107" t="s">
        <v>55</v>
      </c>
      <c r="H152" s="86"/>
      <c r="I152" s="87"/>
    </row>
    <row r="153" spans="1:9" x14ac:dyDescent="0.25">
      <c r="A153" s="5"/>
      <c r="B153" s="5"/>
      <c r="C153" s="28"/>
      <c r="D153" s="3"/>
      <c r="E153" s="3"/>
      <c r="F153" s="3"/>
      <c r="G153" s="24" t="s">
        <v>364</v>
      </c>
      <c r="H153" s="41"/>
    </row>
    <row r="154" spans="1:9" ht="71.25" customHeight="1" x14ac:dyDescent="0.25">
      <c r="A154" s="5" t="s">
        <v>0</v>
      </c>
      <c r="B154" s="5" t="s">
        <v>0</v>
      </c>
      <c r="C154" s="28" t="s">
        <v>394</v>
      </c>
      <c r="D154" s="3">
        <f>D152+F152</f>
        <v>567</v>
      </c>
      <c r="E154" s="3">
        <f t="shared" ref="E154:E162" si="16">D154+F154-1</f>
        <v>568</v>
      </c>
      <c r="F154" s="5">
        <v>2</v>
      </c>
      <c r="G154" s="13" t="s">
        <v>363</v>
      </c>
      <c r="H154" s="41" t="s">
        <v>92</v>
      </c>
      <c r="I154" s="43" t="s">
        <v>159</v>
      </c>
    </row>
    <row r="155" spans="1:9" ht="63.75" x14ac:dyDescent="0.25">
      <c r="A155" s="5" t="s">
        <v>0</v>
      </c>
      <c r="B155" s="5" t="s">
        <v>0</v>
      </c>
      <c r="C155" s="28" t="s">
        <v>98</v>
      </c>
      <c r="D155" s="3">
        <f t="shared" ref="D155:D162" si="17">D154+F154</f>
        <v>569</v>
      </c>
      <c r="E155" s="3">
        <f t="shared" si="16"/>
        <v>569</v>
      </c>
      <c r="F155" s="3">
        <v>1</v>
      </c>
      <c r="G155" s="23" t="s">
        <v>26</v>
      </c>
      <c r="H155" s="41" t="s">
        <v>125</v>
      </c>
      <c r="I155" s="43" t="s">
        <v>410</v>
      </c>
    </row>
    <row r="156" spans="1:9" ht="38.25" x14ac:dyDescent="0.25">
      <c r="A156" s="5" t="s">
        <v>0</v>
      </c>
      <c r="B156" s="5" t="s">
        <v>0</v>
      </c>
      <c r="C156" s="28" t="s">
        <v>98</v>
      </c>
      <c r="D156" s="3">
        <f t="shared" si="17"/>
        <v>570</v>
      </c>
      <c r="E156" s="3">
        <f t="shared" si="16"/>
        <v>570</v>
      </c>
      <c r="F156" s="3">
        <v>1</v>
      </c>
      <c r="G156" s="23" t="s">
        <v>27</v>
      </c>
      <c r="H156" s="41" t="s">
        <v>81</v>
      </c>
      <c r="I156" s="43" t="s">
        <v>366</v>
      </c>
    </row>
    <row r="157" spans="1:9" ht="38.25" x14ac:dyDescent="0.25">
      <c r="A157" s="5" t="s">
        <v>0</v>
      </c>
      <c r="B157" s="5" t="s">
        <v>0</v>
      </c>
      <c r="C157" s="28" t="s">
        <v>99</v>
      </c>
      <c r="D157" s="3">
        <f t="shared" si="17"/>
        <v>571</v>
      </c>
      <c r="E157" s="3">
        <f t="shared" si="16"/>
        <v>571</v>
      </c>
      <c r="F157" s="3">
        <v>1</v>
      </c>
      <c r="G157" s="23" t="s">
        <v>122</v>
      </c>
      <c r="H157" s="41" t="s">
        <v>261</v>
      </c>
      <c r="I157" s="43" t="s">
        <v>262</v>
      </c>
    </row>
    <row r="158" spans="1:9" ht="51" x14ac:dyDescent="0.25">
      <c r="A158" s="5" t="s">
        <v>0</v>
      </c>
      <c r="B158" s="5" t="s">
        <v>0</v>
      </c>
      <c r="C158" s="28" t="s">
        <v>98</v>
      </c>
      <c r="D158" s="3">
        <f t="shared" si="17"/>
        <v>572</v>
      </c>
      <c r="E158" s="3">
        <f t="shared" si="16"/>
        <v>572</v>
      </c>
      <c r="F158" s="3">
        <v>1</v>
      </c>
      <c r="G158" s="23" t="s">
        <v>28</v>
      </c>
      <c r="H158" s="41" t="s">
        <v>82</v>
      </c>
      <c r="I158" s="43" t="s">
        <v>365</v>
      </c>
    </row>
    <row r="159" spans="1:9" ht="172.5" customHeight="1" x14ac:dyDescent="0.25">
      <c r="A159" s="5" t="s">
        <v>0</v>
      </c>
      <c r="B159" s="5" t="s">
        <v>0</v>
      </c>
      <c r="C159" s="28" t="s">
        <v>96</v>
      </c>
      <c r="D159" s="3">
        <f t="shared" si="17"/>
        <v>573</v>
      </c>
      <c r="E159" s="3">
        <f t="shared" si="16"/>
        <v>573</v>
      </c>
      <c r="F159" s="3">
        <v>1</v>
      </c>
      <c r="G159" s="23" t="s">
        <v>32</v>
      </c>
      <c r="H159" s="41" t="s">
        <v>79</v>
      </c>
      <c r="I159" s="43" t="s">
        <v>367</v>
      </c>
    </row>
    <row r="160" spans="1:9" ht="63.75" x14ac:dyDescent="0.25">
      <c r="A160" s="5" t="s">
        <v>0</v>
      </c>
      <c r="B160" s="5" t="s">
        <v>0</v>
      </c>
      <c r="C160" s="28" t="s">
        <v>96</v>
      </c>
      <c r="D160" s="3">
        <f t="shared" si="17"/>
        <v>574</v>
      </c>
      <c r="E160" s="3">
        <f t="shared" si="16"/>
        <v>574</v>
      </c>
      <c r="F160" s="3">
        <v>1</v>
      </c>
      <c r="G160" s="23" t="s">
        <v>29</v>
      </c>
      <c r="H160" s="41" t="s">
        <v>78</v>
      </c>
      <c r="I160" s="43" t="s">
        <v>328</v>
      </c>
    </row>
    <row r="161" spans="1:9" ht="38.25" x14ac:dyDescent="0.25">
      <c r="A161" s="5" t="s">
        <v>6</v>
      </c>
      <c r="B161" s="5" t="s">
        <v>6</v>
      </c>
      <c r="C161" s="28" t="s">
        <v>99</v>
      </c>
      <c r="D161" s="3">
        <f t="shared" si="17"/>
        <v>575</v>
      </c>
      <c r="E161" s="3">
        <f t="shared" si="16"/>
        <v>575</v>
      </c>
      <c r="F161" s="3">
        <v>1</v>
      </c>
      <c r="G161" s="23" t="s">
        <v>119</v>
      </c>
      <c r="H161" s="42" t="s">
        <v>408</v>
      </c>
      <c r="I161" s="43" t="s">
        <v>409</v>
      </c>
    </row>
    <row r="162" spans="1:9" x14ac:dyDescent="0.25">
      <c r="A162" s="5"/>
      <c r="B162" s="5"/>
      <c r="C162" s="29"/>
      <c r="D162" s="3">
        <f t="shared" si="17"/>
        <v>576</v>
      </c>
      <c r="E162" s="3">
        <f t="shared" si="16"/>
        <v>577</v>
      </c>
      <c r="F162" s="84">
        <v>2</v>
      </c>
      <c r="G162" s="9" t="s">
        <v>55</v>
      </c>
      <c r="H162" s="41"/>
    </row>
    <row r="163" spans="1:9" x14ac:dyDescent="0.25">
      <c r="A163" s="5"/>
      <c r="B163" s="5"/>
      <c r="C163" s="29"/>
      <c r="D163" s="3"/>
      <c r="E163" s="3"/>
      <c r="F163" s="6"/>
      <c r="G163" s="24" t="s">
        <v>158</v>
      </c>
      <c r="H163" s="41"/>
    </row>
    <row r="164" spans="1:9" ht="89.25" x14ac:dyDescent="0.25">
      <c r="A164" s="5" t="s">
        <v>6</v>
      </c>
      <c r="B164" s="5" t="s">
        <v>6</v>
      </c>
      <c r="C164" s="29" t="s">
        <v>99</v>
      </c>
      <c r="D164" s="3">
        <f>D162+F162</f>
        <v>578</v>
      </c>
      <c r="E164" s="3">
        <f>D164+F164-1</f>
        <v>578</v>
      </c>
      <c r="F164" s="6">
        <v>1</v>
      </c>
      <c r="G164" s="13" t="s">
        <v>368</v>
      </c>
      <c r="H164" s="44" t="s">
        <v>118</v>
      </c>
      <c r="I164" s="43" t="s">
        <v>369</v>
      </c>
    </row>
    <row r="165" spans="1:9" ht="84.75" customHeight="1" x14ac:dyDescent="0.25">
      <c r="A165" s="5" t="s">
        <v>6</v>
      </c>
      <c r="B165" s="5" t="s">
        <v>6</v>
      </c>
      <c r="C165" s="29" t="s">
        <v>99</v>
      </c>
      <c r="D165" s="3">
        <f>D164+F164</f>
        <v>579</v>
      </c>
      <c r="E165" s="3">
        <f>D165+F165-1</f>
        <v>579</v>
      </c>
      <c r="F165" s="6">
        <v>1</v>
      </c>
      <c r="G165" s="9" t="s">
        <v>116</v>
      </c>
      <c r="H165" s="44" t="s">
        <v>118</v>
      </c>
      <c r="I165" s="43" t="s">
        <v>162</v>
      </c>
    </row>
    <row r="166" spans="1:9" ht="77.25" customHeight="1" x14ac:dyDescent="0.25">
      <c r="A166" s="5" t="s">
        <v>6</v>
      </c>
      <c r="B166" s="5" t="s">
        <v>6</v>
      </c>
      <c r="C166" s="29" t="s">
        <v>99</v>
      </c>
      <c r="D166" s="3">
        <f>D165+F165</f>
        <v>580</v>
      </c>
      <c r="E166" s="3">
        <f>D166+F166-1</f>
        <v>580</v>
      </c>
      <c r="F166" s="6">
        <v>1</v>
      </c>
      <c r="G166" s="9" t="s">
        <v>117</v>
      </c>
      <c r="H166" s="44" t="s">
        <v>118</v>
      </c>
      <c r="I166" s="43" t="s">
        <v>265</v>
      </c>
    </row>
    <row r="167" spans="1:9" x14ac:dyDescent="0.25">
      <c r="A167" s="5"/>
      <c r="B167" s="5"/>
      <c r="C167" s="29"/>
      <c r="D167" s="3">
        <f>D166+F166</f>
        <v>581</v>
      </c>
      <c r="E167" s="3">
        <f>D167+F167-1</f>
        <v>590</v>
      </c>
      <c r="F167" s="6">
        <v>10</v>
      </c>
      <c r="G167" s="9" t="s">
        <v>55</v>
      </c>
      <c r="H167" s="44"/>
    </row>
    <row r="168" spans="1:9" x14ac:dyDescent="0.25">
      <c r="A168" s="5"/>
      <c r="B168" s="5"/>
      <c r="C168" s="28"/>
      <c r="D168" s="3"/>
      <c r="E168" s="3"/>
      <c r="F168" s="3"/>
      <c r="G168" s="24" t="s">
        <v>36</v>
      </c>
      <c r="H168" s="41"/>
    </row>
    <row r="169" spans="1:9" ht="25.5" x14ac:dyDescent="0.25">
      <c r="A169" s="5" t="s">
        <v>0</v>
      </c>
      <c r="B169" s="5" t="s">
        <v>0</v>
      </c>
      <c r="C169" s="3" t="s">
        <v>96</v>
      </c>
      <c r="D169" s="3">
        <f>D167+F167</f>
        <v>591</v>
      </c>
      <c r="E169" s="3">
        <f>D169+F169-1</f>
        <v>594</v>
      </c>
      <c r="F169" s="3">
        <v>4</v>
      </c>
      <c r="G169" s="23" t="s">
        <v>34</v>
      </c>
      <c r="H169" s="41" t="s">
        <v>88</v>
      </c>
      <c r="I169" s="170" t="s">
        <v>87</v>
      </c>
    </row>
    <row r="170" spans="1:9" ht="51" x14ac:dyDescent="0.25">
      <c r="A170" s="5" t="s">
        <v>0</v>
      </c>
      <c r="B170" s="5" t="s">
        <v>0</v>
      </c>
      <c r="C170" s="3" t="s">
        <v>96</v>
      </c>
      <c r="D170" s="3">
        <f t="shared" ref="D170:D174" si="18">D169+F169</f>
        <v>595</v>
      </c>
      <c r="E170" s="3">
        <f t="shared" ref="E170:E194" si="19">D170+F170-1</f>
        <v>596</v>
      </c>
      <c r="F170" s="3">
        <v>2</v>
      </c>
      <c r="G170" s="23" t="s">
        <v>33</v>
      </c>
      <c r="H170" s="41" t="s">
        <v>86</v>
      </c>
      <c r="I170" s="170"/>
    </row>
    <row r="171" spans="1:9" ht="25.5" x14ac:dyDescent="0.25">
      <c r="A171" s="5" t="s">
        <v>0</v>
      </c>
      <c r="B171" s="5" t="s">
        <v>0</v>
      </c>
      <c r="C171" s="3" t="s">
        <v>96</v>
      </c>
      <c r="D171" s="3">
        <f t="shared" si="18"/>
        <v>597</v>
      </c>
      <c r="E171" s="3">
        <f t="shared" si="19"/>
        <v>599</v>
      </c>
      <c r="F171" s="3">
        <v>3</v>
      </c>
      <c r="G171" s="23" t="s">
        <v>35</v>
      </c>
      <c r="H171" s="41" t="s">
        <v>89</v>
      </c>
      <c r="I171" s="43" t="s">
        <v>90</v>
      </c>
    </row>
    <row r="172" spans="1:9" ht="63.75" x14ac:dyDescent="0.25">
      <c r="A172" s="5" t="s">
        <v>0</v>
      </c>
      <c r="B172" s="5" t="s">
        <v>0</v>
      </c>
      <c r="C172" s="3" t="s">
        <v>96</v>
      </c>
      <c r="D172" s="3">
        <f t="shared" si="18"/>
        <v>600</v>
      </c>
      <c r="E172" s="3">
        <f t="shared" si="19"/>
        <v>602</v>
      </c>
      <c r="F172" s="3">
        <v>3</v>
      </c>
      <c r="G172" s="23" t="s">
        <v>329</v>
      </c>
      <c r="H172" s="41" t="s">
        <v>330</v>
      </c>
      <c r="I172" s="43" t="s">
        <v>91</v>
      </c>
    </row>
    <row r="173" spans="1:9" x14ac:dyDescent="0.25">
      <c r="A173" s="5"/>
      <c r="B173" s="5"/>
      <c r="C173" s="28"/>
      <c r="D173" s="3">
        <f t="shared" si="18"/>
        <v>603</v>
      </c>
      <c r="E173" s="3">
        <f>D173+F173-1</f>
        <v>612</v>
      </c>
      <c r="F173" s="3">
        <v>10</v>
      </c>
      <c r="G173" s="23" t="s">
        <v>55</v>
      </c>
      <c r="H173" s="41"/>
    </row>
    <row r="174" spans="1:9" ht="186.75" customHeight="1" x14ac:dyDescent="0.25">
      <c r="A174" s="5" t="s">
        <v>6</v>
      </c>
      <c r="B174" s="5" t="s">
        <v>6</v>
      </c>
      <c r="C174" s="28" t="s">
        <v>98</v>
      </c>
      <c r="D174" s="3">
        <f t="shared" si="18"/>
        <v>613</v>
      </c>
      <c r="E174" s="5">
        <f>D174+F174-1</f>
        <v>812</v>
      </c>
      <c r="F174" s="5">
        <v>200</v>
      </c>
      <c r="G174" s="13" t="s">
        <v>407</v>
      </c>
      <c r="H174" s="203" t="s">
        <v>711</v>
      </c>
      <c r="I174" s="98" t="s">
        <v>481</v>
      </c>
    </row>
    <row r="175" spans="1:9" ht="189.75" customHeight="1" x14ac:dyDescent="0.25">
      <c r="A175" s="5" t="s">
        <v>6</v>
      </c>
      <c r="B175" s="5" t="s">
        <v>6</v>
      </c>
      <c r="C175" s="53" t="s">
        <v>98</v>
      </c>
      <c r="D175" s="5">
        <f t="shared" ref="D175" si="20">D174+F174</f>
        <v>813</v>
      </c>
      <c r="E175" s="5">
        <f>D175+F175-1</f>
        <v>912</v>
      </c>
      <c r="F175" s="5">
        <v>100</v>
      </c>
      <c r="G175" s="13" t="s">
        <v>401</v>
      </c>
      <c r="H175" s="203"/>
      <c r="I175" s="98" t="s">
        <v>482</v>
      </c>
    </row>
    <row r="176" spans="1:9" x14ac:dyDescent="0.25">
      <c r="A176" s="5"/>
      <c r="B176" s="5"/>
      <c r="C176" s="28"/>
      <c r="D176" s="3">
        <f>D175+F175</f>
        <v>913</v>
      </c>
      <c r="E176" s="3">
        <f>D176+F176-1</f>
        <v>928</v>
      </c>
      <c r="F176" s="3">
        <v>16</v>
      </c>
      <c r="G176" s="23" t="s">
        <v>55</v>
      </c>
      <c r="H176" s="41"/>
    </row>
    <row r="177" spans="1:9" x14ac:dyDescent="0.25">
      <c r="A177" s="5"/>
      <c r="B177" s="5"/>
      <c r="C177" s="28"/>
      <c r="D177" s="3"/>
      <c r="E177" s="3"/>
      <c r="F177" s="3"/>
      <c r="G177" s="24" t="s">
        <v>93</v>
      </c>
      <c r="H177" s="41"/>
    </row>
    <row r="178" spans="1:9" ht="25.5" x14ac:dyDescent="0.25">
      <c r="A178" s="5" t="s">
        <v>0</v>
      </c>
      <c r="B178" s="5" t="s">
        <v>0</v>
      </c>
      <c r="C178" s="28" t="s">
        <v>97</v>
      </c>
      <c r="D178" s="3">
        <f>D176+F176</f>
        <v>929</v>
      </c>
      <c r="E178" s="3">
        <f>D178+F178-1</f>
        <v>929</v>
      </c>
      <c r="F178" s="3">
        <v>1</v>
      </c>
      <c r="G178" s="23" t="s">
        <v>37</v>
      </c>
      <c r="H178" s="41" t="s">
        <v>54</v>
      </c>
    </row>
    <row r="179" spans="1:9" ht="140.25" x14ac:dyDescent="0.25">
      <c r="A179" s="5" t="s">
        <v>0</v>
      </c>
      <c r="B179" s="5" t="s">
        <v>0</v>
      </c>
      <c r="C179" s="28" t="s">
        <v>97</v>
      </c>
      <c r="D179" s="3">
        <f>D178+F178</f>
        <v>930</v>
      </c>
      <c r="E179" s="3">
        <f t="shared" si="19"/>
        <v>934</v>
      </c>
      <c r="F179" s="3">
        <v>5</v>
      </c>
      <c r="G179" s="23" t="s">
        <v>13</v>
      </c>
      <c r="H179" s="108" t="s">
        <v>535</v>
      </c>
      <c r="I179" s="87" t="s">
        <v>536</v>
      </c>
    </row>
    <row r="180" spans="1:9" ht="51" x14ac:dyDescent="0.25">
      <c r="A180" s="5" t="s">
        <v>6</v>
      </c>
      <c r="B180" s="5" t="s">
        <v>6</v>
      </c>
      <c r="C180" s="28" t="s">
        <v>97</v>
      </c>
      <c r="D180" s="3">
        <f>D179+F179</f>
        <v>935</v>
      </c>
      <c r="E180" s="3">
        <f t="shared" si="19"/>
        <v>940</v>
      </c>
      <c r="F180" s="3">
        <v>6</v>
      </c>
      <c r="G180" s="23" t="s">
        <v>14</v>
      </c>
      <c r="H180" s="42" t="s">
        <v>404</v>
      </c>
      <c r="I180" s="43" t="s">
        <v>412</v>
      </c>
    </row>
    <row r="181" spans="1:9" ht="30" customHeight="1" x14ac:dyDescent="0.25">
      <c r="A181" s="5" t="s">
        <v>0</v>
      </c>
      <c r="B181" s="5" t="s">
        <v>6</v>
      </c>
      <c r="C181" s="28" t="s">
        <v>97</v>
      </c>
      <c r="D181" s="3">
        <f t="shared" ref="D181:D186" si="21">D180+F180</f>
        <v>941</v>
      </c>
      <c r="E181" s="3">
        <f t="shared" si="19"/>
        <v>960</v>
      </c>
      <c r="F181" s="3">
        <v>20</v>
      </c>
      <c r="G181" s="23" t="s">
        <v>15</v>
      </c>
      <c r="H181" s="168" t="s">
        <v>256</v>
      </c>
      <c r="I181" s="175" t="s">
        <v>359</v>
      </c>
    </row>
    <row r="182" spans="1:9" ht="18" customHeight="1" x14ac:dyDescent="0.25">
      <c r="A182" s="5" t="s">
        <v>0</v>
      </c>
      <c r="B182" s="5" t="s">
        <v>6</v>
      </c>
      <c r="C182" s="28" t="s">
        <v>97</v>
      </c>
      <c r="D182" s="3">
        <f t="shared" si="21"/>
        <v>961</v>
      </c>
      <c r="E182" s="3">
        <f t="shared" si="19"/>
        <v>975</v>
      </c>
      <c r="F182" s="3">
        <v>15</v>
      </c>
      <c r="G182" s="23" t="s">
        <v>16</v>
      </c>
      <c r="H182" s="168"/>
      <c r="I182" s="175"/>
    </row>
    <row r="183" spans="1:9" x14ac:dyDescent="0.25">
      <c r="A183" s="5" t="s">
        <v>0</v>
      </c>
      <c r="B183" s="5" t="s">
        <v>6</v>
      </c>
      <c r="C183" s="28" t="s">
        <v>97</v>
      </c>
      <c r="D183" s="3">
        <f t="shared" si="21"/>
        <v>976</v>
      </c>
      <c r="E183" s="3">
        <f t="shared" si="19"/>
        <v>976</v>
      </c>
      <c r="F183" s="3">
        <v>1</v>
      </c>
      <c r="G183" s="23" t="s">
        <v>273</v>
      </c>
      <c r="H183" s="168"/>
      <c r="I183" s="175"/>
    </row>
    <row r="184" spans="1:9" ht="38.25" customHeight="1" x14ac:dyDescent="0.25">
      <c r="A184" s="5" t="s">
        <v>6</v>
      </c>
      <c r="B184" s="5" t="s">
        <v>6</v>
      </c>
      <c r="C184" s="28" t="s">
        <v>97</v>
      </c>
      <c r="D184" s="3">
        <f>D183+F183</f>
        <v>977</v>
      </c>
      <c r="E184" s="3">
        <f>D184+F184-1</f>
        <v>979</v>
      </c>
      <c r="F184" s="3">
        <v>3</v>
      </c>
      <c r="G184" s="23" t="s">
        <v>155</v>
      </c>
      <c r="H184" s="45" t="s">
        <v>156</v>
      </c>
      <c r="I184" s="172" t="s">
        <v>484</v>
      </c>
    </row>
    <row r="185" spans="1:9" ht="38.25" customHeight="1" x14ac:dyDescent="0.25">
      <c r="A185" s="5" t="s">
        <v>6</v>
      </c>
      <c r="B185" s="5" t="s">
        <v>6</v>
      </c>
      <c r="C185" s="28" t="s">
        <v>97</v>
      </c>
      <c r="D185" s="3">
        <f>D184+F184</f>
        <v>980</v>
      </c>
      <c r="E185" s="3">
        <f t="shared" si="19"/>
        <v>999</v>
      </c>
      <c r="F185" s="3">
        <v>20</v>
      </c>
      <c r="G185" s="23" t="s">
        <v>17</v>
      </c>
      <c r="H185" s="168" t="s">
        <v>256</v>
      </c>
      <c r="I185" s="172"/>
    </row>
    <row r="186" spans="1:9" ht="38.25" customHeight="1" x14ac:dyDescent="0.25">
      <c r="A186" s="5" t="s">
        <v>6</v>
      </c>
      <c r="B186" s="5" t="s">
        <v>6</v>
      </c>
      <c r="C186" s="28" t="s">
        <v>97</v>
      </c>
      <c r="D186" s="3">
        <f t="shared" si="21"/>
        <v>1000</v>
      </c>
      <c r="E186" s="3">
        <f t="shared" si="19"/>
        <v>1019</v>
      </c>
      <c r="F186" s="3">
        <v>20</v>
      </c>
      <c r="G186" s="23" t="s">
        <v>18</v>
      </c>
      <c r="H186" s="168"/>
      <c r="I186" s="172"/>
    </row>
    <row r="187" spans="1:9" x14ac:dyDescent="0.25">
      <c r="A187" s="5" t="s">
        <v>6</v>
      </c>
      <c r="B187" s="5" t="s">
        <v>6</v>
      </c>
      <c r="C187" s="28" t="s">
        <v>97</v>
      </c>
      <c r="D187" s="3">
        <f t="shared" ref="D187:D194" si="22">D186+F186</f>
        <v>1020</v>
      </c>
      <c r="E187" s="3">
        <f t="shared" si="19"/>
        <v>1020</v>
      </c>
      <c r="F187" s="3">
        <v>1</v>
      </c>
      <c r="G187" s="23" t="s">
        <v>274</v>
      </c>
      <c r="H187" s="168"/>
      <c r="I187" s="172"/>
    </row>
    <row r="188" spans="1:9" ht="63.75" x14ac:dyDescent="0.25">
      <c r="A188" s="5" t="s">
        <v>0</v>
      </c>
      <c r="B188" s="5" t="s">
        <v>0</v>
      </c>
      <c r="C188" s="28" t="s">
        <v>97</v>
      </c>
      <c r="D188" s="3">
        <f t="shared" si="22"/>
        <v>1021</v>
      </c>
      <c r="E188" s="3">
        <f>D188+F188-1</f>
        <v>1026</v>
      </c>
      <c r="F188" s="3">
        <v>6</v>
      </c>
      <c r="G188" s="23" t="s">
        <v>154</v>
      </c>
      <c r="H188" s="86" t="s">
        <v>483</v>
      </c>
      <c r="I188" s="43" t="s">
        <v>360</v>
      </c>
    </row>
    <row r="189" spans="1:9" ht="89.25" x14ac:dyDescent="0.25">
      <c r="A189" s="5" t="s">
        <v>0</v>
      </c>
      <c r="B189" s="5" t="s">
        <v>0</v>
      </c>
      <c r="C189" s="28" t="s">
        <v>97</v>
      </c>
      <c r="D189" s="3">
        <f t="shared" si="22"/>
        <v>1027</v>
      </c>
      <c r="E189" s="3">
        <f t="shared" si="19"/>
        <v>1056</v>
      </c>
      <c r="F189" s="3">
        <v>30</v>
      </c>
      <c r="G189" s="23" t="s">
        <v>19</v>
      </c>
      <c r="H189" s="86" t="s">
        <v>525</v>
      </c>
      <c r="I189" s="43" t="s">
        <v>361</v>
      </c>
    </row>
    <row r="190" spans="1:9" ht="51" x14ac:dyDescent="0.25">
      <c r="A190" s="5" t="s">
        <v>0</v>
      </c>
      <c r="B190" s="5" t="s">
        <v>0</v>
      </c>
      <c r="C190" s="28" t="s">
        <v>97</v>
      </c>
      <c r="D190" s="3">
        <f t="shared" si="22"/>
        <v>1057</v>
      </c>
      <c r="E190" s="3">
        <f t="shared" si="19"/>
        <v>1076</v>
      </c>
      <c r="F190" s="3">
        <v>20</v>
      </c>
      <c r="G190" s="23" t="s">
        <v>112</v>
      </c>
      <c r="H190" s="41" t="s">
        <v>338</v>
      </c>
      <c r="I190" s="43" t="s">
        <v>359</v>
      </c>
    </row>
    <row r="191" spans="1:9" s="40" customFormat="1" ht="38.25" x14ac:dyDescent="0.25">
      <c r="A191" s="5" t="s">
        <v>0</v>
      </c>
      <c r="B191" s="5" t="s">
        <v>0</v>
      </c>
      <c r="C191" s="28" t="s">
        <v>98</v>
      </c>
      <c r="D191" s="3">
        <f t="shared" si="22"/>
        <v>1077</v>
      </c>
      <c r="E191" s="3">
        <f>D191+F191-1</f>
        <v>1082</v>
      </c>
      <c r="F191" s="3">
        <v>6</v>
      </c>
      <c r="G191" s="23" t="s">
        <v>114</v>
      </c>
      <c r="H191" s="41" t="s">
        <v>115</v>
      </c>
      <c r="I191" s="43" t="s">
        <v>309</v>
      </c>
    </row>
    <row r="192" spans="1:9" s="40" customFormat="1" ht="25.5" x14ac:dyDescent="0.25">
      <c r="A192" s="5" t="s">
        <v>0</v>
      </c>
      <c r="B192" s="5" t="s">
        <v>0</v>
      </c>
      <c r="C192" s="28" t="s">
        <v>237</v>
      </c>
      <c r="D192" s="3">
        <f t="shared" si="22"/>
        <v>1083</v>
      </c>
      <c r="E192" s="3">
        <f>D192+F192-1</f>
        <v>1083</v>
      </c>
      <c r="F192" s="3">
        <v>1</v>
      </c>
      <c r="G192" s="23" t="s">
        <v>311</v>
      </c>
      <c r="H192" s="41" t="s">
        <v>307</v>
      </c>
      <c r="I192" s="43" t="s">
        <v>306</v>
      </c>
    </row>
    <row r="193" spans="1:9" s="40" customFormat="1" ht="25.5" x14ac:dyDescent="0.25">
      <c r="A193" s="5" t="s">
        <v>0</v>
      </c>
      <c r="B193" s="5" t="s">
        <v>0</v>
      </c>
      <c r="C193" s="28" t="s">
        <v>237</v>
      </c>
      <c r="D193" s="3">
        <f t="shared" si="22"/>
        <v>1084</v>
      </c>
      <c r="E193" s="3">
        <f>D193+F193-1</f>
        <v>1084</v>
      </c>
      <c r="F193" s="3">
        <v>1</v>
      </c>
      <c r="G193" s="23" t="s">
        <v>312</v>
      </c>
      <c r="H193" s="41" t="s">
        <v>313</v>
      </c>
      <c r="I193" s="43" t="s">
        <v>370</v>
      </c>
    </row>
    <row r="194" spans="1:9" x14ac:dyDescent="0.25">
      <c r="A194" s="5"/>
      <c r="B194" s="5"/>
      <c r="C194" s="28"/>
      <c r="D194" s="3">
        <f t="shared" si="22"/>
        <v>1085</v>
      </c>
      <c r="E194" s="3">
        <f t="shared" si="19"/>
        <v>1104</v>
      </c>
      <c r="F194" s="3">
        <v>20</v>
      </c>
      <c r="G194" s="23" t="s">
        <v>55</v>
      </c>
      <c r="H194" s="41"/>
    </row>
    <row r="195" spans="1:9" s="40" customFormat="1" ht="15" x14ac:dyDescent="0.25">
      <c r="A195" s="5"/>
      <c r="B195" s="5"/>
      <c r="C195" s="6"/>
      <c r="D195" s="3"/>
      <c r="E195" s="3"/>
      <c r="F195" s="7"/>
      <c r="G195" s="24" t="s">
        <v>20</v>
      </c>
      <c r="H195" s="14"/>
      <c r="I195" s="18"/>
    </row>
    <row r="196" spans="1:9" s="40" customFormat="1" ht="38.25" x14ac:dyDescent="0.25">
      <c r="A196" s="5" t="s">
        <v>6</v>
      </c>
      <c r="B196" s="5" t="s">
        <v>6</v>
      </c>
      <c r="C196" s="28" t="s">
        <v>98</v>
      </c>
      <c r="D196" s="3">
        <f>D194+F194</f>
        <v>1105</v>
      </c>
      <c r="E196" s="3">
        <f>D196+F196-1</f>
        <v>1105</v>
      </c>
      <c r="F196" s="3">
        <v>1</v>
      </c>
      <c r="G196" s="23" t="s">
        <v>21</v>
      </c>
      <c r="H196" s="41" t="s">
        <v>102</v>
      </c>
      <c r="I196" s="173"/>
    </row>
    <row r="197" spans="1:9" s="40" customFormat="1" ht="38.25" x14ac:dyDescent="0.25">
      <c r="A197" s="5" t="s">
        <v>6</v>
      </c>
      <c r="B197" s="5" t="s">
        <v>6</v>
      </c>
      <c r="C197" s="28" t="s">
        <v>98</v>
      </c>
      <c r="D197" s="3">
        <f>D196+F196</f>
        <v>1106</v>
      </c>
      <c r="E197" s="3">
        <f>D197+F197-1</f>
        <v>1106</v>
      </c>
      <c r="F197" s="3">
        <v>1</v>
      </c>
      <c r="G197" s="23" t="s">
        <v>22</v>
      </c>
      <c r="H197" s="41" t="s">
        <v>102</v>
      </c>
      <c r="I197" s="170"/>
    </row>
    <row r="198" spans="1:9" s="40" customFormat="1" ht="38.25" x14ac:dyDescent="0.25">
      <c r="A198" s="5" t="s">
        <v>6</v>
      </c>
      <c r="B198" s="5" t="s">
        <v>6</v>
      </c>
      <c r="C198" s="28" t="s">
        <v>98</v>
      </c>
      <c r="D198" s="3">
        <f>D197+F197</f>
        <v>1107</v>
      </c>
      <c r="E198" s="3">
        <f>D198+F198-1</f>
        <v>1107</v>
      </c>
      <c r="F198" s="3">
        <v>1</v>
      </c>
      <c r="G198" s="23" t="s">
        <v>23</v>
      </c>
      <c r="H198" s="41" t="s">
        <v>102</v>
      </c>
      <c r="I198" s="170"/>
    </row>
    <row r="199" spans="1:9" s="40" customFormat="1" ht="15" x14ac:dyDescent="0.25">
      <c r="A199" s="5"/>
      <c r="B199" s="5"/>
      <c r="C199" s="28"/>
      <c r="D199" s="3">
        <f>D198+F198</f>
        <v>1108</v>
      </c>
      <c r="E199" s="3">
        <f>D199+F199-1</f>
        <v>1112</v>
      </c>
      <c r="F199" s="3">
        <v>5</v>
      </c>
      <c r="G199" s="23" t="s">
        <v>55</v>
      </c>
      <c r="H199" s="41"/>
      <c r="I199" s="43"/>
    </row>
    <row r="200" spans="1:9" s="40" customFormat="1" ht="15" x14ac:dyDescent="0.25">
      <c r="A200" s="5"/>
      <c r="B200" s="5"/>
      <c r="C200" s="28"/>
      <c r="D200" s="3"/>
      <c r="E200" s="3"/>
      <c r="F200" s="3"/>
      <c r="G200" s="24" t="s">
        <v>160</v>
      </c>
      <c r="H200" s="41"/>
      <c r="I200" s="43"/>
    </row>
    <row r="201" spans="1:9" s="40" customFormat="1" ht="15" x14ac:dyDescent="0.25">
      <c r="A201" s="5"/>
      <c r="B201" s="5"/>
      <c r="C201" s="28"/>
      <c r="D201" s="3"/>
      <c r="E201" s="3"/>
      <c r="F201" s="3"/>
      <c r="G201" s="24" t="s">
        <v>113</v>
      </c>
      <c r="H201" s="41"/>
      <c r="I201" s="43"/>
    </row>
    <row r="202" spans="1:9" s="40" customFormat="1" ht="15" customHeight="1" x14ac:dyDescent="0.25">
      <c r="A202" s="5" t="s">
        <v>6</v>
      </c>
      <c r="B202" s="5" t="s">
        <v>6</v>
      </c>
      <c r="C202" s="28" t="s">
        <v>97</v>
      </c>
      <c r="D202" s="3">
        <f>D199+F199</f>
        <v>1113</v>
      </c>
      <c r="E202" s="3">
        <f>D202+F202-1</f>
        <v>1113</v>
      </c>
      <c r="F202" s="3">
        <v>1</v>
      </c>
      <c r="G202" s="23" t="s">
        <v>126</v>
      </c>
      <c r="H202" s="170" t="s">
        <v>257</v>
      </c>
      <c r="I202" s="170" t="s">
        <v>138</v>
      </c>
    </row>
    <row r="203" spans="1:9" s="40" customFormat="1" ht="15" x14ac:dyDescent="0.25">
      <c r="A203" s="5" t="s">
        <v>6</v>
      </c>
      <c r="B203" s="5" t="s">
        <v>6</v>
      </c>
      <c r="C203" s="28" t="s">
        <v>97</v>
      </c>
      <c r="D203" s="3">
        <f>D202+F202</f>
        <v>1114</v>
      </c>
      <c r="E203" s="3">
        <f>D203+F203-1</f>
        <v>1114</v>
      </c>
      <c r="F203" s="3">
        <v>1</v>
      </c>
      <c r="G203" s="23" t="s">
        <v>127</v>
      </c>
      <c r="H203" s="170"/>
      <c r="I203" s="170"/>
    </row>
    <row r="204" spans="1:9" s="40" customFormat="1" ht="15" x14ac:dyDescent="0.25">
      <c r="A204" s="5" t="s">
        <v>6</v>
      </c>
      <c r="B204" s="5" t="s">
        <v>6</v>
      </c>
      <c r="C204" s="28" t="s">
        <v>97</v>
      </c>
      <c r="D204" s="3">
        <f t="shared" ref="D204:D215" si="23">D203+F203</f>
        <v>1115</v>
      </c>
      <c r="E204" s="3">
        <f t="shared" ref="E204:E215" si="24">D204+F204-1</f>
        <v>1115</v>
      </c>
      <c r="F204" s="3">
        <v>1</v>
      </c>
      <c r="G204" s="13" t="s">
        <v>406</v>
      </c>
      <c r="H204" s="170"/>
      <c r="I204" s="170"/>
    </row>
    <row r="205" spans="1:9" s="40" customFormat="1" ht="15" x14ac:dyDescent="0.25">
      <c r="A205" s="5" t="s">
        <v>6</v>
      </c>
      <c r="B205" s="5" t="s">
        <v>6</v>
      </c>
      <c r="C205" s="28" t="s">
        <v>97</v>
      </c>
      <c r="D205" s="3">
        <f t="shared" si="23"/>
        <v>1116</v>
      </c>
      <c r="E205" s="3">
        <f t="shared" si="24"/>
        <v>1116</v>
      </c>
      <c r="F205" s="3">
        <v>1</v>
      </c>
      <c r="G205" s="23" t="s">
        <v>128</v>
      </c>
      <c r="H205" s="170"/>
      <c r="I205" s="170"/>
    </row>
    <row r="206" spans="1:9" s="40" customFormat="1" ht="15" x14ac:dyDescent="0.25">
      <c r="A206" s="5" t="s">
        <v>6</v>
      </c>
      <c r="B206" s="5" t="s">
        <v>6</v>
      </c>
      <c r="C206" s="28" t="s">
        <v>97</v>
      </c>
      <c r="D206" s="3">
        <f t="shared" si="23"/>
        <v>1117</v>
      </c>
      <c r="E206" s="3">
        <f t="shared" si="24"/>
        <v>1117</v>
      </c>
      <c r="F206" s="3">
        <v>1</v>
      </c>
      <c r="G206" s="23" t="s">
        <v>129</v>
      </c>
      <c r="H206" s="170"/>
      <c r="I206" s="170"/>
    </row>
    <row r="207" spans="1:9" s="40" customFormat="1" ht="15" x14ac:dyDescent="0.25">
      <c r="A207" s="5" t="s">
        <v>6</v>
      </c>
      <c r="B207" s="5" t="s">
        <v>6</v>
      </c>
      <c r="C207" s="28" t="s">
        <v>97</v>
      </c>
      <c r="D207" s="3">
        <f t="shared" si="23"/>
        <v>1118</v>
      </c>
      <c r="E207" s="3">
        <f t="shared" si="24"/>
        <v>1118</v>
      </c>
      <c r="F207" s="3">
        <v>1</v>
      </c>
      <c r="G207" s="23" t="s">
        <v>130</v>
      </c>
      <c r="H207" s="170"/>
      <c r="I207" s="170"/>
    </row>
    <row r="208" spans="1:9" s="40" customFormat="1" ht="15" x14ac:dyDescent="0.25">
      <c r="A208" s="5" t="s">
        <v>6</v>
      </c>
      <c r="B208" s="5" t="s">
        <v>6</v>
      </c>
      <c r="C208" s="28" t="s">
        <v>97</v>
      </c>
      <c r="D208" s="3">
        <f t="shared" si="23"/>
        <v>1119</v>
      </c>
      <c r="E208" s="3">
        <f t="shared" si="24"/>
        <v>1119</v>
      </c>
      <c r="F208" s="3">
        <v>1</v>
      </c>
      <c r="G208" s="23" t="s">
        <v>275</v>
      </c>
      <c r="H208" s="170"/>
      <c r="I208" s="170"/>
    </row>
    <row r="209" spans="1:9" s="40" customFormat="1" ht="15" x14ac:dyDescent="0.25">
      <c r="A209" s="5" t="s">
        <v>6</v>
      </c>
      <c r="B209" s="5" t="s">
        <v>6</v>
      </c>
      <c r="C209" s="28" t="s">
        <v>97</v>
      </c>
      <c r="D209" s="3">
        <f>D208+F208</f>
        <v>1120</v>
      </c>
      <c r="E209" s="3">
        <f>D209+F209-1</f>
        <v>1120</v>
      </c>
      <c r="F209" s="3">
        <v>1</v>
      </c>
      <c r="G209" s="23" t="s">
        <v>310</v>
      </c>
      <c r="H209" s="170"/>
      <c r="I209" s="170"/>
    </row>
    <row r="210" spans="1:9" s="40" customFormat="1" ht="15" x14ac:dyDescent="0.25">
      <c r="A210" s="5" t="s">
        <v>6</v>
      </c>
      <c r="B210" s="5" t="s">
        <v>6</v>
      </c>
      <c r="C210" s="28" t="s">
        <v>97</v>
      </c>
      <c r="D210" s="3">
        <f>D209+F209</f>
        <v>1121</v>
      </c>
      <c r="E210" s="3">
        <f t="shared" si="24"/>
        <v>1121</v>
      </c>
      <c r="F210" s="3">
        <v>1</v>
      </c>
      <c r="G210" s="23" t="s">
        <v>131</v>
      </c>
      <c r="H210" s="170"/>
      <c r="I210" s="170"/>
    </row>
    <row r="211" spans="1:9" s="40" customFormat="1" ht="15" x14ac:dyDescent="0.25">
      <c r="A211" s="5" t="s">
        <v>6</v>
      </c>
      <c r="B211" s="5" t="s">
        <v>6</v>
      </c>
      <c r="C211" s="28" t="s">
        <v>97</v>
      </c>
      <c r="D211" s="3">
        <f t="shared" si="23"/>
        <v>1122</v>
      </c>
      <c r="E211" s="3">
        <f t="shared" si="24"/>
        <v>1122</v>
      </c>
      <c r="F211" s="3">
        <v>1</v>
      </c>
      <c r="G211" s="23" t="s">
        <v>132</v>
      </c>
      <c r="H211" s="170"/>
      <c r="I211" s="170"/>
    </row>
    <row r="212" spans="1:9" s="40" customFormat="1" ht="15" x14ac:dyDescent="0.25">
      <c r="A212" s="5" t="s">
        <v>6</v>
      </c>
      <c r="B212" s="5" t="s">
        <v>6</v>
      </c>
      <c r="C212" s="28" t="s">
        <v>97</v>
      </c>
      <c r="D212" s="3">
        <f t="shared" si="23"/>
        <v>1123</v>
      </c>
      <c r="E212" s="3">
        <f t="shared" si="24"/>
        <v>1123</v>
      </c>
      <c r="F212" s="3">
        <v>1</v>
      </c>
      <c r="G212" s="23" t="s">
        <v>133</v>
      </c>
      <c r="H212" s="170"/>
      <c r="I212" s="170"/>
    </row>
    <row r="213" spans="1:9" s="40" customFormat="1" ht="15" x14ac:dyDescent="0.25">
      <c r="A213" s="5" t="s">
        <v>6</v>
      </c>
      <c r="B213" s="5" t="s">
        <v>6</v>
      </c>
      <c r="C213" s="28" t="s">
        <v>97</v>
      </c>
      <c r="D213" s="3">
        <f t="shared" si="23"/>
        <v>1124</v>
      </c>
      <c r="E213" s="3">
        <f t="shared" si="24"/>
        <v>1124</v>
      </c>
      <c r="F213" s="3">
        <v>1</v>
      </c>
      <c r="G213" s="23" t="s">
        <v>134</v>
      </c>
      <c r="H213" s="170"/>
      <c r="I213" s="170"/>
    </row>
    <row r="214" spans="1:9" s="40" customFormat="1" ht="15" x14ac:dyDescent="0.25">
      <c r="A214" s="5" t="s">
        <v>6</v>
      </c>
      <c r="B214" s="5" t="s">
        <v>6</v>
      </c>
      <c r="C214" s="28" t="s">
        <v>97</v>
      </c>
      <c r="D214" s="3">
        <f t="shared" si="23"/>
        <v>1125</v>
      </c>
      <c r="E214" s="3">
        <f t="shared" si="24"/>
        <v>1125</v>
      </c>
      <c r="F214" s="3">
        <v>1</v>
      </c>
      <c r="G214" s="23" t="s">
        <v>135</v>
      </c>
      <c r="H214" s="170"/>
      <c r="I214" s="170"/>
    </row>
    <row r="215" spans="1:9" s="40" customFormat="1" ht="15" x14ac:dyDescent="0.25">
      <c r="A215" s="5" t="s">
        <v>6</v>
      </c>
      <c r="B215" s="5" t="s">
        <v>6</v>
      </c>
      <c r="C215" s="28" t="s">
        <v>97</v>
      </c>
      <c r="D215" s="3">
        <f t="shared" si="23"/>
        <v>1126</v>
      </c>
      <c r="E215" s="3">
        <f t="shared" si="24"/>
        <v>1126</v>
      </c>
      <c r="F215" s="3">
        <v>1</v>
      </c>
      <c r="G215" s="23" t="s">
        <v>136</v>
      </c>
      <c r="H215" s="170"/>
      <c r="I215" s="170"/>
    </row>
    <row r="216" spans="1:9" s="40" customFormat="1" ht="15" x14ac:dyDescent="0.25">
      <c r="A216" s="5"/>
      <c r="B216" s="5"/>
      <c r="C216" s="28"/>
      <c r="D216" s="3"/>
      <c r="E216" s="3"/>
      <c r="F216" s="3"/>
      <c r="G216" s="24" t="s">
        <v>362</v>
      </c>
      <c r="H216" s="41"/>
      <c r="I216" s="43"/>
    </row>
    <row r="217" spans="1:9" s="40" customFormat="1" ht="15" customHeight="1" x14ac:dyDescent="0.25">
      <c r="A217" s="5" t="s">
        <v>0</v>
      </c>
      <c r="B217" s="5" t="s">
        <v>0</v>
      </c>
      <c r="C217" s="28" t="s">
        <v>97</v>
      </c>
      <c r="D217" s="3">
        <f>D215+F215</f>
        <v>1127</v>
      </c>
      <c r="E217" s="3">
        <f>D217+F217-1</f>
        <v>1127</v>
      </c>
      <c r="F217" s="3">
        <v>1</v>
      </c>
      <c r="G217" s="23" t="s">
        <v>126</v>
      </c>
      <c r="H217" s="170" t="s">
        <v>118</v>
      </c>
      <c r="I217" s="170" t="s">
        <v>395</v>
      </c>
    </row>
    <row r="218" spans="1:9" s="40" customFormat="1" ht="15" x14ac:dyDescent="0.25">
      <c r="A218" s="5" t="s">
        <v>0</v>
      </c>
      <c r="B218" s="5" t="s">
        <v>0</v>
      </c>
      <c r="C218" s="28" t="s">
        <v>97</v>
      </c>
      <c r="D218" s="3">
        <f>D217+F217</f>
        <v>1128</v>
      </c>
      <c r="E218" s="3">
        <f>D218+F218-1</f>
        <v>1128</v>
      </c>
      <c r="F218" s="3">
        <v>1</v>
      </c>
      <c r="G218" s="23" t="s">
        <v>127</v>
      </c>
      <c r="H218" s="170"/>
      <c r="I218" s="170"/>
    </row>
    <row r="219" spans="1:9" s="40" customFormat="1" ht="15" x14ac:dyDescent="0.25">
      <c r="A219" s="5" t="s">
        <v>0</v>
      </c>
      <c r="B219" s="5" t="s">
        <v>0</v>
      </c>
      <c r="C219" s="28" t="s">
        <v>97</v>
      </c>
      <c r="D219" s="3">
        <f t="shared" ref="D219:D230" si="25">D218+F218</f>
        <v>1129</v>
      </c>
      <c r="E219" s="3">
        <f t="shared" ref="E219:E230" si="26">D219+F219-1</f>
        <v>1129</v>
      </c>
      <c r="F219" s="3">
        <v>1</v>
      </c>
      <c r="G219" s="13" t="s">
        <v>55</v>
      </c>
      <c r="H219" s="170"/>
      <c r="I219" s="170"/>
    </row>
    <row r="220" spans="1:9" s="40" customFormat="1" ht="15" x14ac:dyDescent="0.25">
      <c r="A220" s="5" t="s">
        <v>0</v>
      </c>
      <c r="B220" s="5" t="s">
        <v>0</v>
      </c>
      <c r="C220" s="28" t="s">
        <v>97</v>
      </c>
      <c r="D220" s="3">
        <f t="shared" si="25"/>
        <v>1130</v>
      </c>
      <c r="E220" s="3">
        <f t="shared" si="26"/>
        <v>1130</v>
      </c>
      <c r="F220" s="3">
        <v>1</v>
      </c>
      <c r="G220" s="23" t="s">
        <v>128</v>
      </c>
      <c r="H220" s="170"/>
      <c r="I220" s="170"/>
    </row>
    <row r="221" spans="1:9" s="40" customFormat="1" ht="15" x14ac:dyDescent="0.25">
      <c r="A221" s="5" t="s">
        <v>0</v>
      </c>
      <c r="B221" s="5" t="s">
        <v>0</v>
      </c>
      <c r="C221" s="28" t="s">
        <v>97</v>
      </c>
      <c r="D221" s="3">
        <f t="shared" si="25"/>
        <v>1131</v>
      </c>
      <c r="E221" s="3">
        <f t="shared" si="26"/>
        <v>1131</v>
      </c>
      <c r="F221" s="3">
        <v>1</v>
      </c>
      <c r="G221" s="23" t="s">
        <v>129</v>
      </c>
      <c r="H221" s="170"/>
      <c r="I221" s="170"/>
    </row>
    <row r="222" spans="1:9" s="40" customFormat="1" ht="15" x14ac:dyDescent="0.25">
      <c r="A222" s="5" t="s">
        <v>0</v>
      </c>
      <c r="B222" s="5" t="s">
        <v>0</v>
      </c>
      <c r="C222" s="28" t="s">
        <v>97</v>
      </c>
      <c r="D222" s="3">
        <f t="shared" si="25"/>
        <v>1132</v>
      </c>
      <c r="E222" s="3">
        <f t="shared" si="26"/>
        <v>1132</v>
      </c>
      <c r="F222" s="3">
        <v>1</v>
      </c>
      <c r="G222" s="23" t="s">
        <v>130</v>
      </c>
      <c r="H222" s="170"/>
      <c r="I222" s="170"/>
    </row>
    <row r="223" spans="1:9" s="40" customFormat="1" ht="15" x14ac:dyDescent="0.25">
      <c r="A223" s="5" t="s">
        <v>0</v>
      </c>
      <c r="B223" s="5" t="s">
        <v>0</v>
      </c>
      <c r="C223" s="28" t="s">
        <v>97</v>
      </c>
      <c r="D223" s="3">
        <f t="shared" si="25"/>
        <v>1133</v>
      </c>
      <c r="E223" s="3">
        <f t="shared" si="26"/>
        <v>1133</v>
      </c>
      <c r="F223" s="3">
        <v>1</v>
      </c>
      <c r="G223" s="23" t="s">
        <v>275</v>
      </c>
      <c r="H223" s="170"/>
      <c r="I223" s="170"/>
    </row>
    <row r="224" spans="1:9" s="40" customFormat="1" ht="15" x14ac:dyDescent="0.25">
      <c r="A224" s="5" t="s">
        <v>0</v>
      </c>
      <c r="B224" s="5" t="s">
        <v>0</v>
      </c>
      <c r="C224" s="28" t="s">
        <v>97</v>
      </c>
      <c r="D224" s="3">
        <f t="shared" si="25"/>
        <v>1134</v>
      </c>
      <c r="E224" s="3">
        <f t="shared" si="26"/>
        <v>1134</v>
      </c>
      <c r="F224" s="3">
        <v>1</v>
      </c>
      <c r="G224" s="23" t="s">
        <v>310</v>
      </c>
      <c r="H224" s="170"/>
      <c r="I224" s="170"/>
    </row>
    <row r="225" spans="1:9" s="40" customFormat="1" ht="15" x14ac:dyDescent="0.25">
      <c r="A225" s="5" t="s">
        <v>0</v>
      </c>
      <c r="B225" s="5" t="s">
        <v>0</v>
      </c>
      <c r="C225" s="28" t="s">
        <v>97</v>
      </c>
      <c r="D225" s="3">
        <f>D224+F224</f>
        <v>1135</v>
      </c>
      <c r="E225" s="3">
        <f t="shared" si="26"/>
        <v>1135</v>
      </c>
      <c r="F225" s="3">
        <v>1</v>
      </c>
      <c r="G225" s="23" t="s">
        <v>131</v>
      </c>
      <c r="H225" s="170"/>
      <c r="I225" s="170"/>
    </row>
    <row r="226" spans="1:9" s="40" customFormat="1" ht="15" x14ac:dyDescent="0.25">
      <c r="A226" s="5" t="s">
        <v>0</v>
      </c>
      <c r="B226" s="5" t="s">
        <v>0</v>
      </c>
      <c r="C226" s="28" t="s">
        <v>97</v>
      </c>
      <c r="D226" s="3">
        <f t="shared" si="25"/>
        <v>1136</v>
      </c>
      <c r="E226" s="3">
        <f t="shared" si="26"/>
        <v>1136</v>
      </c>
      <c r="F226" s="3">
        <v>1</v>
      </c>
      <c r="G226" s="23" t="s">
        <v>132</v>
      </c>
      <c r="H226" s="170"/>
      <c r="I226" s="170"/>
    </row>
    <row r="227" spans="1:9" s="40" customFormat="1" ht="15" x14ac:dyDescent="0.25">
      <c r="A227" s="5" t="s">
        <v>0</v>
      </c>
      <c r="B227" s="5" t="s">
        <v>0</v>
      </c>
      <c r="C227" s="28" t="s">
        <v>97</v>
      </c>
      <c r="D227" s="3">
        <f t="shared" si="25"/>
        <v>1137</v>
      </c>
      <c r="E227" s="3">
        <f t="shared" si="26"/>
        <v>1137</v>
      </c>
      <c r="F227" s="3">
        <v>1</v>
      </c>
      <c r="G227" s="23" t="s">
        <v>133</v>
      </c>
      <c r="H227" s="170"/>
      <c r="I227" s="170"/>
    </row>
    <row r="228" spans="1:9" s="40" customFormat="1" ht="15" x14ac:dyDescent="0.25">
      <c r="A228" s="5" t="s">
        <v>0</v>
      </c>
      <c r="B228" s="5" t="s">
        <v>0</v>
      </c>
      <c r="C228" s="28" t="s">
        <v>97</v>
      </c>
      <c r="D228" s="3">
        <f t="shared" si="25"/>
        <v>1138</v>
      </c>
      <c r="E228" s="3">
        <f t="shared" si="26"/>
        <v>1138</v>
      </c>
      <c r="F228" s="3">
        <v>1</v>
      </c>
      <c r="G228" s="23" t="s">
        <v>134</v>
      </c>
      <c r="H228" s="170"/>
      <c r="I228" s="170"/>
    </row>
    <row r="229" spans="1:9" s="40" customFormat="1" ht="15" x14ac:dyDescent="0.25">
      <c r="A229" s="5" t="s">
        <v>0</v>
      </c>
      <c r="B229" s="5" t="s">
        <v>0</v>
      </c>
      <c r="C229" s="28" t="s">
        <v>97</v>
      </c>
      <c r="D229" s="3">
        <f t="shared" si="25"/>
        <v>1139</v>
      </c>
      <c r="E229" s="3">
        <f t="shared" si="26"/>
        <v>1139</v>
      </c>
      <c r="F229" s="3">
        <v>1</v>
      </c>
      <c r="G229" s="23" t="s">
        <v>135</v>
      </c>
      <c r="H229" s="170"/>
      <c r="I229" s="170"/>
    </row>
    <row r="230" spans="1:9" s="40" customFormat="1" ht="15" x14ac:dyDescent="0.25">
      <c r="A230" s="5" t="s">
        <v>0</v>
      </c>
      <c r="B230" s="5" t="s">
        <v>0</v>
      </c>
      <c r="C230" s="28" t="s">
        <v>97</v>
      </c>
      <c r="D230" s="3">
        <f t="shared" si="25"/>
        <v>1140</v>
      </c>
      <c r="E230" s="3">
        <f t="shared" si="26"/>
        <v>1140</v>
      </c>
      <c r="F230" s="3">
        <v>1</v>
      </c>
      <c r="G230" s="23" t="s">
        <v>136</v>
      </c>
      <c r="H230" s="170"/>
      <c r="I230" s="170"/>
    </row>
    <row r="231" spans="1:9" s="40" customFormat="1" ht="15" x14ac:dyDescent="0.25">
      <c r="A231" s="5"/>
      <c r="B231" s="5"/>
      <c r="C231" s="28"/>
      <c r="D231" s="3">
        <f>D230+F230</f>
        <v>1141</v>
      </c>
      <c r="E231" s="3">
        <f>D231+F231-1</f>
        <v>1160</v>
      </c>
      <c r="F231" s="3">
        <v>20</v>
      </c>
      <c r="G231" s="23" t="s">
        <v>55</v>
      </c>
      <c r="H231" s="41"/>
      <c r="I231" s="43"/>
    </row>
    <row r="232" spans="1:9" s="40" customFormat="1" ht="15" x14ac:dyDescent="0.25">
      <c r="A232" s="5"/>
      <c r="B232" s="5"/>
      <c r="C232" s="3"/>
      <c r="D232" s="3"/>
      <c r="E232" s="3"/>
      <c r="F232" s="3"/>
      <c r="G232" s="24" t="s">
        <v>161</v>
      </c>
      <c r="H232" s="41"/>
      <c r="I232" s="43"/>
    </row>
    <row r="233" spans="1:9" s="40" customFormat="1" ht="63.75" x14ac:dyDescent="0.25">
      <c r="A233" s="5" t="s">
        <v>0</v>
      </c>
      <c r="B233" s="5" t="s">
        <v>0</v>
      </c>
      <c r="C233" s="28" t="s">
        <v>98</v>
      </c>
      <c r="D233" s="3">
        <f>D231+F231</f>
        <v>1161</v>
      </c>
      <c r="E233" s="3">
        <f t="shared" ref="E233:E240" si="27">D233+F233-1</f>
        <v>1163</v>
      </c>
      <c r="F233" s="3">
        <v>3</v>
      </c>
      <c r="G233" s="23" t="s">
        <v>24</v>
      </c>
      <c r="H233" s="43" t="s">
        <v>80</v>
      </c>
      <c r="I233" s="75" t="s">
        <v>688</v>
      </c>
    </row>
    <row r="234" spans="1:9" s="40" customFormat="1" ht="63.75" x14ac:dyDescent="0.25">
      <c r="A234" s="5" t="s">
        <v>0</v>
      </c>
      <c r="B234" s="5" t="s">
        <v>0</v>
      </c>
      <c r="C234" s="28" t="s">
        <v>98</v>
      </c>
      <c r="D234" s="3">
        <f t="shared" ref="D234:D240" si="28">D233+F233</f>
        <v>1164</v>
      </c>
      <c r="E234" s="3">
        <f t="shared" si="27"/>
        <v>1166</v>
      </c>
      <c r="F234" s="3">
        <v>3</v>
      </c>
      <c r="G234" s="23" t="s">
        <v>25</v>
      </c>
      <c r="H234" s="43" t="s">
        <v>80</v>
      </c>
      <c r="I234" s="75" t="s">
        <v>689</v>
      </c>
    </row>
    <row r="235" spans="1:9" s="40" customFormat="1" ht="89.25" x14ac:dyDescent="0.25">
      <c r="A235" s="5" t="s">
        <v>0</v>
      </c>
      <c r="B235" s="5" t="s">
        <v>0</v>
      </c>
      <c r="C235" s="28" t="s">
        <v>98</v>
      </c>
      <c r="D235" s="3">
        <f t="shared" si="28"/>
        <v>1167</v>
      </c>
      <c r="E235" s="3">
        <f t="shared" si="27"/>
        <v>1169</v>
      </c>
      <c r="F235" s="3">
        <v>3</v>
      </c>
      <c r="G235" s="23" t="s">
        <v>142</v>
      </c>
      <c r="H235" s="43" t="s">
        <v>80</v>
      </c>
      <c r="I235" s="12" t="s">
        <v>280</v>
      </c>
    </row>
    <row r="236" spans="1:9" s="40" customFormat="1" ht="76.5" x14ac:dyDescent="0.25">
      <c r="A236" s="5" t="s">
        <v>0</v>
      </c>
      <c r="B236" s="5" t="s">
        <v>0</v>
      </c>
      <c r="C236" s="28" t="s">
        <v>98</v>
      </c>
      <c r="D236" s="3">
        <f t="shared" si="28"/>
        <v>1170</v>
      </c>
      <c r="E236" s="3">
        <f t="shared" si="27"/>
        <v>1172</v>
      </c>
      <c r="F236" s="3">
        <v>3</v>
      </c>
      <c r="G236" s="23" t="s">
        <v>178</v>
      </c>
      <c r="H236" s="43" t="s">
        <v>85</v>
      </c>
      <c r="I236" s="75" t="s">
        <v>693</v>
      </c>
    </row>
    <row r="237" spans="1:9" s="40" customFormat="1" ht="63.75" x14ac:dyDescent="0.25">
      <c r="A237" s="5" t="s">
        <v>0</v>
      </c>
      <c r="B237" s="5" t="s">
        <v>0</v>
      </c>
      <c r="C237" s="28" t="s">
        <v>98</v>
      </c>
      <c r="D237" s="3">
        <f t="shared" si="28"/>
        <v>1173</v>
      </c>
      <c r="E237" s="3">
        <f t="shared" si="27"/>
        <v>1175</v>
      </c>
      <c r="F237" s="3">
        <v>3</v>
      </c>
      <c r="G237" s="23" t="s">
        <v>30</v>
      </c>
      <c r="H237" s="85" t="s">
        <v>526</v>
      </c>
      <c r="I237" s="12" t="s">
        <v>281</v>
      </c>
    </row>
    <row r="238" spans="1:9" s="40" customFormat="1" ht="127.5" x14ac:dyDescent="0.25">
      <c r="A238" s="5" t="s">
        <v>0</v>
      </c>
      <c r="B238" s="5" t="s">
        <v>0</v>
      </c>
      <c r="C238" s="28" t="s">
        <v>98</v>
      </c>
      <c r="D238" s="3">
        <f t="shared" si="28"/>
        <v>1176</v>
      </c>
      <c r="E238" s="3">
        <f t="shared" si="27"/>
        <v>1178</v>
      </c>
      <c r="F238" s="84">
        <v>3</v>
      </c>
      <c r="G238" s="23" t="s">
        <v>120</v>
      </c>
      <c r="H238" s="85" t="s">
        <v>512</v>
      </c>
      <c r="I238" s="44" t="s">
        <v>282</v>
      </c>
    </row>
    <row r="239" spans="1:9" s="40" customFormat="1" ht="127.5" x14ac:dyDescent="0.25">
      <c r="A239" s="5" t="s">
        <v>0</v>
      </c>
      <c r="B239" s="5" t="s">
        <v>0</v>
      </c>
      <c r="C239" s="28" t="s">
        <v>394</v>
      </c>
      <c r="D239" s="3">
        <f t="shared" si="28"/>
        <v>1179</v>
      </c>
      <c r="E239" s="3">
        <f t="shared" si="27"/>
        <v>1181</v>
      </c>
      <c r="F239" s="3">
        <v>3</v>
      </c>
      <c r="G239" s="23" t="s">
        <v>124</v>
      </c>
      <c r="H239" s="85" t="s">
        <v>513</v>
      </c>
      <c r="I239" s="44" t="s">
        <v>283</v>
      </c>
    </row>
    <row r="240" spans="1:9" s="40" customFormat="1" ht="15" x14ac:dyDescent="0.25">
      <c r="A240" s="5"/>
      <c r="B240" s="5"/>
      <c r="C240" s="28"/>
      <c r="D240" s="3">
        <f t="shared" si="28"/>
        <v>1182</v>
      </c>
      <c r="E240" s="3">
        <f t="shared" si="27"/>
        <v>1195</v>
      </c>
      <c r="F240" s="84">
        <v>14</v>
      </c>
      <c r="G240" s="23" t="s">
        <v>55</v>
      </c>
      <c r="H240" s="41"/>
      <c r="I240" s="44"/>
    </row>
    <row r="241" spans="1:9" s="40" customFormat="1" ht="15" x14ac:dyDescent="0.25">
      <c r="A241" s="5"/>
      <c r="B241" s="5"/>
      <c r="C241" s="28"/>
      <c r="D241" s="3"/>
      <c r="E241" s="3"/>
      <c r="F241" s="3"/>
      <c r="G241" s="24" t="s">
        <v>276</v>
      </c>
      <c r="H241" s="41"/>
      <c r="I241" s="44"/>
    </row>
    <row r="242" spans="1:9" s="40" customFormat="1" ht="15" x14ac:dyDescent="0.25">
      <c r="A242" s="5" t="s">
        <v>6</v>
      </c>
      <c r="B242" s="5" t="s">
        <v>6</v>
      </c>
      <c r="C242" s="28" t="s">
        <v>98</v>
      </c>
      <c r="D242" s="3">
        <f>D240+F240</f>
        <v>1196</v>
      </c>
      <c r="E242" s="3">
        <f>D242+F242-1</f>
        <v>1198</v>
      </c>
      <c r="F242" s="3">
        <v>3</v>
      </c>
      <c r="G242" s="23" t="s">
        <v>258</v>
      </c>
      <c r="H242" s="195" t="s">
        <v>527</v>
      </c>
      <c r="I242" s="175" t="s">
        <v>528</v>
      </c>
    </row>
    <row r="243" spans="1:9" s="40" customFormat="1" ht="40.15" customHeight="1" x14ac:dyDescent="0.25">
      <c r="A243" s="5" t="s">
        <v>6</v>
      </c>
      <c r="B243" s="5" t="s">
        <v>6</v>
      </c>
      <c r="C243" s="28" t="s">
        <v>98</v>
      </c>
      <c r="D243" s="3">
        <f>D242+F242</f>
        <v>1199</v>
      </c>
      <c r="E243" s="3">
        <f>D243+F243-1</f>
        <v>1201</v>
      </c>
      <c r="F243" s="3">
        <v>3</v>
      </c>
      <c r="G243" s="23" t="s">
        <v>259</v>
      </c>
      <c r="H243" s="196"/>
      <c r="I243" s="197"/>
    </row>
    <row r="244" spans="1:9" s="71" customFormat="1" ht="15" x14ac:dyDescent="0.25">
      <c r="A244" s="109"/>
      <c r="B244" s="109"/>
      <c r="C244" s="110"/>
      <c r="D244" s="111"/>
      <c r="E244" s="111"/>
      <c r="F244" s="111"/>
      <c r="G244" s="112" t="s">
        <v>140</v>
      </c>
      <c r="H244" s="113"/>
      <c r="I244" s="114"/>
    </row>
    <row r="245" spans="1:9" s="71" customFormat="1" ht="38.25" x14ac:dyDescent="0.25">
      <c r="A245" s="109" t="s">
        <v>0</v>
      </c>
      <c r="B245" s="109" t="s">
        <v>0</v>
      </c>
      <c r="C245" s="110" t="s">
        <v>98</v>
      </c>
      <c r="D245" s="111">
        <f>D243+F243</f>
        <v>1202</v>
      </c>
      <c r="E245" s="111">
        <f t="shared" ref="E245:E250" si="29">D245+F245-1</f>
        <v>1203</v>
      </c>
      <c r="F245" s="111">
        <v>2</v>
      </c>
      <c r="G245" s="115" t="s">
        <v>166</v>
      </c>
      <c r="H245" s="113" t="s">
        <v>84</v>
      </c>
      <c r="I245" s="114" t="s">
        <v>194</v>
      </c>
    </row>
    <row r="246" spans="1:9" s="71" customFormat="1" ht="63.75" x14ac:dyDescent="0.25">
      <c r="A246" s="109" t="s">
        <v>0</v>
      </c>
      <c r="B246" s="109" t="s">
        <v>0</v>
      </c>
      <c r="C246" s="110" t="s">
        <v>98</v>
      </c>
      <c r="D246" s="111">
        <f t="shared" ref="D246:D250" si="30">D245+F245</f>
        <v>1204</v>
      </c>
      <c r="E246" s="111">
        <f t="shared" si="29"/>
        <v>1206</v>
      </c>
      <c r="F246" s="111">
        <v>3</v>
      </c>
      <c r="G246" s="115" t="s">
        <v>182</v>
      </c>
      <c r="H246" s="113" t="s">
        <v>85</v>
      </c>
      <c r="I246" s="114" t="s">
        <v>195</v>
      </c>
    </row>
    <row r="247" spans="1:9" s="71" customFormat="1" ht="38.25" x14ac:dyDescent="0.25">
      <c r="A247" s="109" t="s">
        <v>0</v>
      </c>
      <c r="B247" s="109" t="s">
        <v>0</v>
      </c>
      <c r="C247" s="110" t="s">
        <v>98</v>
      </c>
      <c r="D247" s="111">
        <f t="shared" si="30"/>
        <v>1207</v>
      </c>
      <c r="E247" s="111">
        <f t="shared" si="29"/>
        <v>1208</v>
      </c>
      <c r="F247" s="111">
        <v>2</v>
      </c>
      <c r="G247" s="115" t="s">
        <v>167</v>
      </c>
      <c r="H247" s="113" t="s">
        <v>84</v>
      </c>
      <c r="I247" s="114" t="s">
        <v>196</v>
      </c>
    </row>
    <row r="248" spans="1:9" s="71" customFormat="1" ht="51" x14ac:dyDescent="0.25">
      <c r="A248" s="109" t="s">
        <v>0</v>
      </c>
      <c r="B248" s="109" t="s">
        <v>0</v>
      </c>
      <c r="C248" s="110" t="s">
        <v>98</v>
      </c>
      <c r="D248" s="111">
        <f t="shared" si="30"/>
        <v>1209</v>
      </c>
      <c r="E248" s="111">
        <f t="shared" si="29"/>
        <v>1211</v>
      </c>
      <c r="F248" s="111">
        <v>3</v>
      </c>
      <c r="G248" s="115" t="s">
        <v>183</v>
      </c>
      <c r="H248" s="113" t="s">
        <v>85</v>
      </c>
      <c r="I248" s="114" t="s">
        <v>197</v>
      </c>
    </row>
    <row r="249" spans="1:9" s="71" customFormat="1" ht="38.25" x14ac:dyDescent="0.25">
      <c r="A249" s="109" t="s">
        <v>0</v>
      </c>
      <c r="B249" s="109" t="s">
        <v>0</v>
      </c>
      <c r="C249" s="110" t="s">
        <v>98</v>
      </c>
      <c r="D249" s="111">
        <f t="shared" si="30"/>
        <v>1212</v>
      </c>
      <c r="E249" s="111">
        <f t="shared" si="29"/>
        <v>1213</v>
      </c>
      <c r="F249" s="111">
        <v>2</v>
      </c>
      <c r="G249" s="115" t="s">
        <v>168</v>
      </c>
      <c r="H249" s="113" t="s">
        <v>84</v>
      </c>
      <c r="I249" s="114" t="s">
        <v>198</v>
      </c>
    </row>
    <row r="250" spans="1:9" s="71" customFormat="1" ht="51" x14ac:dyDescent="0.25">
      <c r="A250" s="109" t="s">
        <v>0</v>
      </c>
      <c r="B250" s="109" t="s">
        <v>0</v>
      </c>
      <c r="C250" s="110" t="s">
        <v>98</v>
      </c>
      <c r="D250" s="111">
        <f t="shared" si="30"/>
        <v>1214</v>
      </c>
      <c r="E250" s="111">
        <f t="shared" si="29"/>
        <v>1216</v>
      </c>
      <c r="F250" s="111">
        <v>3</v>
      </c>
      <c r="G250" s="115" t="s">
        <v>184</v>
      </c>
      <c r="H250" s="113" t="s">
        <v>85</v>
      </c>
      <c r="I250" s="114" t="s">
        <v>199</v>
      </c>
    </row>
    <row r="251" spans="1:9" s="71" customFormat="1" ht="15" x14ac:dyDescent="0.25">
      <c r="A251" s="66"/>
      <c r="B251" s="66"/>
      <c r="C251" s="67"/>
      <c r="D251" s="68">
        <f>D250+F250</f>
        <v>1217</v>
      </c>
      <c r="E251" s="68">
        <f>D251+F251-1</f>
        <v>1236</v>
      </c>
      <c r="F251" s="68">
        <v>20</v>
      </c>
      <c r="G251" s="72" t="s">
        <v>55</v>
      </c>
      <c r="H251" s="69"/>
      <c r="I251" s="70"/>
    </row>
    <row r="252" spans="1:9" s="71" customFormat="1" ht="15" x14ac:dyDescent="0.25">
      <c r="A252" s="99"/>
      <c r="B252" s="99"/>
      <c r="C252" s="99"/>
      <c r="D252" s="101"/>
      <c r="E252" s="101"/>
      <c r="F252" s="116"/>
      <c r="G252" s="97" t="s">
        <v>454</v>
      </c>
      <c r="H252" s="117"/>
      <c r="I252" s="105"/>
    </row>
    <row r="253" spans="1:9" s="71" customFormat="1" ht="63.75" x14ac:dyDescent="0.25">
      <c r="A253" s="99" t="s">
        <v>0</v>
      </c>
      <c r="B253" s="99" t="s">
        <v>0</v>
      </c>
      <c r="C253" s="95" t="s">
        <v>98</v>
      </c>
      <c r="D253" s="101">
        <f>D243+F243</f>
        <v>1202</v>
      </c>
      <c r="E253" s="100">
        <f t="shared" ref="E253:E268" si="31">D253+F253-1</f>
        <v>1205</v>
      </c>
      <c r="F253" s="116">
        <v>4</v>
      </c>
      <c r="G253" s="102" t="s">
        <v>455</v>
      </c>
      <c r="H253" s="155" t="s">
        <v>709</v>
      </c>
      <c r="I253" s="105" t="s">
        <v>597</v>
      </c>
    </row>
    <row r="254" spans="1:9" s="71" customFormat="1" ht="76.5" x14ac:dyDescent="0.25">
      <c r="A254" s="99" t="s">
        <v>0</v>
      </c>
      <c r="B254" s="99" t="s">
        <v>0</v>
      </c>
      <c r="C254" s="95" t="s">
        <v>98</v>
      </c>
      <c r="D254" s="101">
        <f t="shared" ref="D254:D255" si="32">D253+F253</f>
        <v>1206</v>
      </c>
      <c r="E254" s="100">
        <f t="shared" si="31"/>
        <v>1206</v>
      </c>
      <c r="F254" s="116">
        <v>1</v>
      </c>
      <c r="G254" s="102" t="s">
        <v>456</v>
      </c>
      <c r="H254" s="103" t="s">
        <v>443</v>
      </c>
      <c r="I254" s="98" t="s">
        <v>578</v>
      </c>
    </row>
    <row r="255" spans="1:9" s="71" customFormat="1" ht="63.75" x14ac:dyDescent="0.25">
      <c r="A255" s="99" t="s">
        <v>0</v>
      </c>
      <c r="B255" s="99" t="s">
        <v>0</v>
      </c>
      <c r="C255" s="95" t="s">
        <v>98</v>
      </c>
      <c r="D255" s="101">
        <f t="shared" si="32"/>
        <v>1207</v>
      </c>
      <c r="E255" s="100">
        <f t="shared" si="31"/>
        <v>1209</v>
      </c>
      <c r="F255" s="116">
        <v>3</v>
      </c>
      <c r="G255" s="102" t="s">
        <v>457</v>
      </c>
      <c r="H255" s="103" t="s">
        <v>85</v>
      </c>
      <c r="I255" s="118" t="s">
        <v>555</v>
      </c>
    </row>
    <row r="256" spans="1:9" s="71" customFormat="1" ht="63.75" x14ac:dyDescent="0.25">
      <c r="A256" s="99" t="s">
        <v>0</v>
      </c>
      <c r="B256" s="99" t="s">
        <v>0</v>
      </c>
      <c r="C256" s="95" t="s">
        <v>98</v>
      </c>
      <c r="D256" s="101">
        <f>D255+F255</f>
        <v>1210</v>
      </c>
      <c r="E256" s="100">
        <f t="shared" si="31"/>
        <v>1213</v>
      </c>
      <c r="F256" s="116">
        <v>4</v>
      </c>
      <c r="G256" s="102" t="s">
        <v>458</v>
      </c>
      <c r="H256" s="155" t="s">
        <v>709</v>
      </c>
      <c r="I256" s="98" t="s">
        <v>554</v>
      </c>
    </row>
    <row r="257" spans="1:9" s="71" customFormat="1" ht="76.5" x14ac:dyDescent="0.25">
      <c r="A257" s="99" t="s">
        <v>0</v>
      </c>
      <c r="B257" s="99" t="s">
        <v>0</v>
      </c>
      <c r="C257" s="95" t="s">
        <v>98</v>
      </c>
      <c r="D257" s="101">
        <f t="shared" ref="D257:D266" si="33">D256+F256</f>
        <v>1214</v>
      </c>
      <c r="E257" s="100">
        <f t="shared" si="31"/>
        <v>1214</v>
      </c>
      <c r="F257" s="116">
        <v>1</v>
      </c>
      <c r="G257" s="102" t="s">
        <v>459</v>
      </c>
      <c r="H257" s="103" t="s">
        <v>443</v>
      </c>
      <c r="I257" s="98" t="s">
        <v>598</v>
      </c>
    </row>
    <row r="258" spans="1:9" s="71" customFormat="1" ht="63.75" x14ac:dyDescent="0.25">
      <c r="A258" s="99" t="s">
        <v>0</v>
      </c>
      <c r="B258" s="99" t="s">
        <v>0</v>
      </c>
      <c r="C258" s="95" t="s">
        <v>98</v>
      </c>
      <c r="D258" s="101">
        <f>D257+F257</f>
        <v>1215</v>
      </c>
      <c r="E258" s="100">
        <f t="shared" si="31"/>
        <v>1217</v>
      </c>
      <c r="F258" s="116">
        <v>3</v>
      </c>
      <c r="G258" s="102" t="s">
        <v>460</v>
      </c>
      <c r="H258" s="103" t="s">
        <v>85</v>
      </c>
      <c r="I258" s="98" t="s">
        <v>577</v>
      </c>
    </row>
    <row r="259" spans="1:9" s="71" customFormat="1" ht="63.75" x14ac:dyDescent="0.25">
      <c r="A259" s="99" t="s">
        <v>0</v>
      </c>
      <c r="B259" s="99" t="s">
        <v>0</v>
      </c>
      <c r="C259" s="95" t="s">
        <v>98</v>
      </c>
      <c r="D259" s="101">
        <f>D258+F258</f>
        <v>1218</v>
      </c>
      <c r="E259" s="100">
        <f t="shared" si="31"/>
        <v>1221</v>
      </c>
      <c r="F259" s="116">
        <v>4</v>
      </c>
      <c r="G259" s="102" t="s">
        <v>461</v>
      </c>
      <c r="H259" s="155" t="s">
        <v>709</v>
      </c>
      <c r="I259" s="98" t="s">
        <v>552</v>
      </c>
    </row>
    <row r="260" spans="1:9" s="71" customFormat="1" ht="89.25" x14ac:dyDescent="0.25">
      <c r="A260" s="99" t="s">
        <v>0</v>
      </c>
      <c r="B260" s="99" t="s">
        <v>0</v>
      </c>
      <c r="C260" s="95" t="s">
        <v>98</v>
      </c>
      <c r="D260" s="101">
        <f t="shared" si="33"/>
        <v>1222</v>
      </c>
      <c r="E260" s="100">
        <f t="shared" si="31"/>
        <v>1222</v>
      </c>
      <c r="F260" s="116">
        <v>1</v>
      </c>
      <c r="G260" s="102" t="s">
        <v>462</v>
      </c>
      <c r="H260" s="103" t="s">
        <v>443</v>
      </c>
      <c r="I260" s="98" t="s">
        <v>650</v>
      </c>
    </row>
    <row r="261" spans="1:9" s="71" customFormat="1" ht="63.75" x14ac:dyDescent="0.25">
      <c r="A261" s="99" t="s">
        <v>0</v>
      </c>
      <c r="B261" s="99" t="s">
        <v>0</v>
      </c>
      <c r="C261" s="95" t="s">
        <v>98</v>
      </c>
      <c r="D261" s="101">
        <f>D260+F260</f>
        <v>1223</v>
      </c>
      <c r="E261" s="100">
        <f t="shared" si="31"/>
        <v>1225</v>
      </c>
      <c r="F261" s="116">
        <v>3</v>
      </c>
      <c r="G261" s="102" t="s">
        <v>463</v>
      </c>
      <c r="H261" s="103" t="s">
        <v>85</v>
      </c>
      <c r="I261" s="98" t="s">
        <v>553</v>
      </c>
    </row>
    <row r="262" spans="1:9" s="71" customFormat="1" ht="51" x14ac:dyDescent="0.25">
      <c r="A262" s="99" t="s">
        <v>0</v>
      </c>
      <c r="B262" s="99" t="s">
        <v>0</v>
      </c>
      <c r="C262" s="95" t="s">
        <v>98</v>
      </c>
      <c r="D262" s="101">
        <f>D261+F261</f>
        <v>1226</v>
      </c>
      <c r="E262" s="100">
        <f t="shared" si="31"/>
        <v>1229</v>
      </c>
      <c r="F262" s="116">
        <v>4</v>
      </c>
      <c r="G262" s="102" t="s">
        <v>464</v>
      </c>
      <c r="H262" s="155" t="s">
        <v>709</v>
      </c>
      <c r="I262" s="98" t="s">
        <v>556</v>
      </c>
    </row>
    <row r="263" spans="1:9" s="71" customFormat="1" ht="89.25" x14ac:dyDescent="0.25">
      <c r="A263" s="99" t="s">
        <v>0</v>
      </c>
      <c r="B263" s="99" t="s">
        <v>0</v>
      </c>
      <c r="C263" s="95" t="s">
        <v>98</v>
      </c>
      <c r="D263" s="101">
        <f t="shared" si="33"/>
        <v>1230</v>
      </c>
      <c r="E263" s="100">
        <f t="shared" si="31"/>
        <v>1230</v>
      </c>
      <c r="F263" s="116">
        <v>1</v>
      </c>
      <c r="G263" s="102" t="s">
        <v>465</v>
      </c>
      <c r="H263" s="103" t="s">
        <v>443</v>
      </c>
      <c r="I263" s="98" t="s">
        <v>596</v>
      </c>
    </row>
    <row r="264" spans="1:9" s="71" customFormat="1" ht="76.5" x14ac:dyDescent="0.25">
      <c r="A264" s="99" t="s">
        <v>0</v>
      </c>
      <c r="B264" s="99" t="s">
        <v>0</v>
      </c>
      <c r="C264" s="95" t="s">
        <v>98</v>
      </c>
      <c r="D264" s="101">
        <f>D263+F263</f>
        <v>1231</v>
      </c>
      <c r="E264" s="100">
        <f t="shared" si="31"/>
        <v>1233</v>
      </c>
      <c r="F264" s="116">
        <v>3</v>
      </c>
      <c r="G264" s="102" t="s">
        <v>466</v>
      </c>
      <c r="H264" s="103" t="s">
        <v>85</v>
      </c>
      <c r="I264" s="98" t="s">
        <v>558</v>
      </c>
    </row>
    <row r="265" spans="1:9" s="71" customFormat="1" ht="63.75" x14ac:dyDescent="0.25">
      <c r="A265" s="99" t="s">
        <v>0</v>
      </c>
      <c r="B265" s="99" t="s">
        <v>0</v>
      </c>
      <c r="C265" s="95" t="s">
        <v>98</v>
      </c>
      <c r="D265" s="101">
        <f>D264+F264</f>
        <v>1234</v>
      </c>
      <c r="E265" s="100">
        <f t="shared" si="31"/>
        <v>1237</v>
      </c>
      <c r="F265" s="116">
        <v>4</v>
      </c>
      <c r="G265" s="102" t="s">
        <v>467</v>
      </c>
      <c r="H265" s="155" t="s">
        <v>709</v>
      </c>
      <c r="I265" s="98" t="s">
        <v>557</v>
      </c>
    </row>
    <row r="266" spans="1:9" s="71" customFormat="1" ht="94.15" customHeight="1" x14ac:dyDescent="0.25">
      <c r="A266" s="99" t="s">
        <v>0</v>
      </c>
      <c r="B266" s="99" t="s">
        <v>0</v>
      </c>
      <c r="C266" s="95" t="s">
        <v>98</v>
      </c>
      <c r="D266" s="101">
        <f t="shared" si="33"/>
        <v>1238</v>
      </c>
      <c r="E266" s="100">
        <f t="shared" si="31"/>
        <v>1238</v>
      </c>
      <c r="F266" s="116">
        <v>1</v>
      </c>
      <c r="G266" s="102" t="s">
        <v>468</v>
      </c>
      <c r="H266" s="103" t="s">
        <v>443</v>
      </c>
      <c r="I266" s="98" t="s">
        <v>599</v>
      </c>
    </row>
    <row r="267" spans="1:9" s="71" customFormat="1" ht="78" customHeight="1" x14ac:dyDescent="0.25">
      <c r="A267" s="99" t="s">
        <v>0</v>
      </c>
      <c r="B267" s="99" t="s">
        <v>0</v>
      </c>
      <c r="C267" s="95" t="s">
        <v>98</v>
      </c>
      <c r="D267" s="101">
        <f>D266+F266</f>
        <v>1239</v>
      </c>
      <c r="E267" s="100">
        <f t="shared" si="31"/>
        <v>1241</v>
      </c>
      <c r="F267" s="116">
        <v>3</v>
      </c>
      <c r="G267" s="102" t="s">
        <v>469</v>
      </c>
      <c r="H267" s="103" t="s">
        <v>85</v>
      </c>
      <c r="I267" s="98" t="s">
        <v>559</v>
      </c>
    </row>
    <row r="268" spans="1:9" s="71" customFormat="1" ht="18" customHeight="1" x14ac:dyDescent="0.25">
      <c r="A268" s="99"/>
      <c r="B268" s="99"/>
      <c r="C268" s="95" t="s">
        <v>98</v>
      </c>
      <c r="D268" s="101">
        <f>D267+F267</f>
        <v>1242</v>
      </c>
      <c r="E268" s="100">
        <f t="shared" si="31"/>
        <v>1261</v>
      </c>
      <c r="F268" s="116">
        <v>20</v>
      </c>
      <c r="G268" s="102" t="s">
        <v>55</v>
      </c>
      <c r="H268" s="117"/>
      <c r="I268" s="105"/>
    </row>
    <row r="269" spans="1:9" s="71" customFormat="1" ht="15" x14ac:dyDescent="0.25">
      <c r="A269" s="99"/>
      <c r="B269" s="99"/>
      <c r="C269" s="95"/>
      <c r="D269" s="101"/>
      <c r="E269" s="101"/>
      <c r="F269" s="116"/>
      <c r="G269" s="97" t="s">
        <v>470</v>
      </c>
      <c r="H269" s="117"/>
      <c r="I269" s="105"/>
    </row>
    <row r="270" spans="1:9" s="71" customFormat="1" ht="51" x14ac:dyDescent="0.25">
      <c r="A270" s="99" t="s">
        <v>0</v>
      </c>
      <c r="B270" s="99" t="s">
        <v>0</v>
      </c>
      <c r="C270" s="95" t="s">
        <v>98</v>
      </c>
      <c r="D270" s="101">
        <f>D268+F268</f>
        <v>1262</v>
      </c>
      <c r="E270" s="100">
        <f t="shared" ref="E270:E276" si="34">D270+F270-1</f>
        <v>1265</v>
      </c>
      <c r="F270" s="116">
        <v>4</v>
      </c>
      <c r="G270" s="102" t="s">
        <v>167</v>
      </c>
      <c r="H270" s="155" t="s">
        <v>709</v>
      </c>
      <c r="I270" s="98" t="s">
        <v>560</v>
      </c>
    </row>
    <row r="271" spans="1:9" s="71" customFormat="1" ht="76.5" x14ac:dyDescent="0.25">
      <c r="A271" s="99" t="s">
        <v>0</v>
      </c>
      <c r="B271" s="99" t="s">
        <v>0</v>
      </c>
      <c r="C271" s="95" t="s">
        <v>98</v>
      </c>
      <c r="D271" s="101">
        <f t="shared" ref="D271" si="35">D270+F270</f>
        <v>1266</v>
      </c>
      <c r="E271" s="100">
        <f t="shared" si="34"/>
        <v>1266</v>
      </c>
      <c r="F271" s="116">
        <v>1</v>
      </c>
      <c r="G271" s="102" t="s">
        <v>471</v>
      </c>
      <c r="H271" s="103" t="s">
        <v>443</v>
      </c>
      <c r="I271" s="98" t="s">
        <v>600</v>
      </c>
    </row>
    <row r="272" spans="1:9" s="71" customFormat="1" ht="63.75" x14ac:dyDescent="0.25">
      <c r="A272" s="99" t="s">
        <v>0</v>
      </c>
      <c r="B272" s="99" t="s">
        <v>0</v>
      </c>
      <c r="C272" s="95" t="s">
        <v>98</v>
      </c>
      <c r="D272" s="101">
        <f>D271+F271</f>
        <v>1267</v>
      </c>
      <c r="E272" s="100">
        <f t="shared" si="34"/>
        <v>1269</v>
      </c>
      <c r="F272" s="116">
        <v>3</v>
      </c>
      <c r="G272" s="102" t="s">
        <v>183</v>
      </c>
      <c r="H272" s="103" t="s">
        <v>85</v>
      </c>
      <c r="I272" s="98" t="s">
        <v>561</v>
      </c>
    </row>
    <row r="273" spans="1:9" s="71" customFormat="1" ht="51" x14ac:dyDescent="0.25">
      <c r="A273" s="99" t="s">
        <v>0</v>
      </c>
      <c r="B273" s="99" t="s">
        <v>0</v>
      </c>
      <c r="C273" s="95" t="s">
        <v>98</v>
      </c>
      <c r="D273" s="101">
        <f>D272+F272</f>
        <v>1270</v>
      </c>
      <c r="E273" s="100">
        <f t="shared" si="34"/>
        <v>1273</v>
      </c>
      <c r="F273" s="116">
        <v>4</v>
      </c>
      <c r="G273" s="102" t="s">
        <v>472</v>
      </c>
      <c r="H273" s="155" t="s">
        <v>709</v>
      </c>
      <c r="I273" s="98" t="s">
        <v>616</v>
      </c>
    </row>
    <row r="274" spans="1:9" s="71" customFormat="1" ht="76.5" x14ac:dyDescent="0.25">
      <c r="A274" s="99" t="s">
        <v>0</v>
      </c>
      <c r="B274" s="99" t="s">
        <v>0</v>
      </c>
      <c r="C274" s="95" t="s">
        <v>98</v>
      </c>
      <c r="D274" s="101">
        <f t="shared" ref="D274" si="36">D273+F273</f>
        <v>1274</v>
      </c>
      <c r="E274" s="100">
        <f t="shared" si="34"/>
        <v>1274</v>
      </c>
      <c r="F274" s="116">
        <v>1</v>
      </c>
      <c r="G274" s="102" t="s">
        <v>473</v>
      </c>
      <c r="H274" s="103" t="s">
        <v>443</v>
      </c>
      <c r="I274" s="98" t="s">
        <v>601</v>
      </c>
    </row>
    <row r="275" spans="1:9" s="71" customFormat="1" ht="63.75" x14ac:dyDescent="0.25">
      <c r="A275" s="99" t="s">
        <v>0</v>
      </c>
      <c r="B275" s="99" t="s">
        <v>0</v>
      </c>
      <c r="C275" s="95" t="s">
        <v>98</v>
      </c>
      <c r="D275" s="101">
        <f>D274+F274</f>
        <v>1275</v>
      </c>
      <c r="E275" s="100">
        <f t="shared" si="34"/>
        <v>1277</v>
      </c>
      <c r="F275" s="116">
        <v>3</v>
      </c>
      <c r="G275" s="102" t="s">
        <v>474</v>
      </c>
      <c r="H275" s="103" t="s">
        <v>85</v>
      </c>
      <c r="I275" s="98" t="s">
        <v>562</v>
      </c>
    </row>
    <row r="276" spans="1:9" s="71" customFormat="1" ht="15" x14ac:dyDescent="0.25">
      <c r="A276" s="99"/>
      <c r="B276" s="99"/>
      <c r="C276" s="99"/>
      <c r="D276" s="101">
        <f>D275+F275</f>
        <v>1278</v>
      </c>
      <c r="E276" s="100">
        <f t="shared" si="34"/>
        <v>1287</v>
      </c>
      <c r="F276" s="116">
        <v>10</v>
      </c>
      <c r="G276" s="102" t="s">
        <v>55</v>
      </c>
      <c r="H276" s="119"/>
      <c r="I276" s="98"/>
    </row>
    <row r="277" spans="1:9" s="40" customFormat="1" ht="15" x14ac:dyDescent="0.25">
      <c r="A277" s="5"/>
      <c r="B277" s="5"/>
      <c r="C277" s="28"/>
      <c r="D277" s="3"/>
      <c r="E277" s="3"/>
      <c r="F277" s="3"/>
      <c r="G277" s="24" t="s">
        <v>372</v>
      </c>
      <c r="H277" s="60"/>
      <c r="I277" s="62"/>
    </row>
    <row r="278" spans="1:9" s="40" customFormat="1" ht="25.5" x14ac:dyDescent="0.25">
      <c r="A278" s="5" t="s">
        <v>0</v>
      </c>
      <c r="B278" s="5" t="s">
        <v>0</v>
      </c>
      <c r="C278" s="28" t="s">
        <v>394</v>
      </c>
      <c r="D278" s="3">
        <f>D276+F276</f>
        <v>1288</v>
      </c>
      <c r="E278" s="3">
        <f t="shared" ref="E278:E286" si="37">D278+F278-1</f>
        <v>1289</v>
      </c>
      <c r="F278" s="5">
        <v>2</v>
      </c>
      <c r="G278" s="13" t="s">
        <v>371</v>
      </c>
      <c r="H278" s="60" t="s">
        <v>92</v>
      </c>
      <c r="I278" s="62" t="s">
        <v>159</v>
      </c>
    </row>
    <row r="279" spans="1:9" s="40" customFormat="1" ht="63.75" x14ac:dyDescent="0.25">
      <c r="A279" s="5" t="s">
        <v>0</v>
      </c>
      <c r="B279" s="5" t="s">
        <v>0</v>
      </c>
      <c r="C279" s="28" t="s">
        <v>98</v>
      </c>
      <c r="D279" s="3">
        <f t="shared" ref="D279:D286" si="38">D278+F278</f>
        <v>1290</v>
      </c>
      <c r="E279" s="3">
        <f t="shared" si="37"/>
        <v>1290</v>
      </c>
      <c r="F279" s="3">
        <v>1</v>
      </c>
      <c r="G279" s="23" t="s">
        <v>26</v>
      </c>
      <c r="H279" s="60" t="s">
        <v>125</v>
      </c>
      <c r="I279" s="62" t="s">
        <v>410</v>
      </c>
    </row>
    <row r="280" spans="1:9" s="40" customFormat="1" ht="38.25" x14ac:dyDescent="0.25">
      <c r="A280" s="5" t="s">
        <v>0</v>
      </c>
      <c r="B280" s="5" t="s">
        <v>0</v>
      </c>
      <c r="C280" s="28" t="s">
        <v>98</v>
      </c>
      <c r="D280" s="3">
        <f t="shared" si="38"/>
        <v>1291</v>
      </c>
      <c r="E280" s="3">
        <f t="shared" si="37"/>
        <v>1291</v>
      </c>
      <c r="F280" s="3">
        <v>1</v>
      </c>
      <c r="G280" s="23" t="s">
        <v>27</v>
      </c>
      <c r="H280" s="60" t="s">
        <v>81</v>
      </c>
      <c r="I280" s="62" t="s">
        <v>263</v>
      </c>
    </row>
    <row r="281" spans="1:9" s="40" customFormat="1" ht="38.25" x14ac:dyDescent="0.25">
      <c r="A281" s="5" t="s">
        <v>0</v>
      </c>
      <c r="B281" s="5" t="s">
        <v>0</v>
      </c>
      <c r="C281" s="28" t="s">
        <v>98</v>
      </c>
      <c r="D281" s="3">
        <f t="shared" si="38"/>
        <v>1292</v>
      </c>
      <c r="E281" s="3">
        <f t="shared" si="37"/>
        <v>1292</v>
      </c>
      <c r="F281" s="3">
        <v>1</v>
      </c>
      <c r="G281" s="23" t="s">
        <v>122</v>
      </c>
      <c r="H281" s="60" t="s">
        <v>261</v>
      </c>
      <c r="I281" s="62" t="s">
        <v>262</v>
      </c>
    </row>
    <row r="282" spans="1:9" s="40" customFormat="1" ht="51" x14ac:dyDescent="0.25">
      <c r="A282" s="5" t="s">
        <v>0</v>
      </c>
      <c r="B282" s="5" t="s">
        <v>0</v>
      </c>
      <c r="C282" s="28" t="s">
        <v>98</v>
      </c>
      <c r="D282" s="3">
        <f t="shared" si="38"/>
        <v>1293</v>
      </c>
      <c r="E282" s="3">
        <f t="shared" si="37"/>
        <v>1293</v>
      </c>
      <c r="F282" s="3">
        <v>1</v>
      </c>
      <c r="G282" s="23" t="s">
        <v>28</v>
      </c>
      <c r="H282" s="60" t="s">
        <v>82</v>
      </c>
      <c r="I282" s="62" t="s">
        <v>264</v>
      </c>
    </row>
    <row r="283" spans="1:9" s="40" customFormat="1" ht="171.75" customHeight="1" x14ac:dyDescent="0.25">
      <c r="A283" s="5" t="s">
        <v>0</v>
      </c>
      <c r="B283" s="5" t="s">
        <v>0</v>
      </c>
      <c r="C283" s="28" t="s">
        <v>96</v>
      </c>
      <c r="D283" s="3">
        <f t="shared" si="38"/>
        <v>1294</v>
      </c>
      <c r="E283" s="3">
        <f t="shared" si="37"/>
        <v>1294</v>
      </c>
      <c r="F283" s="3">
        <v>1</v>
      </c>
      <c r="G283" s="23" t="s">
        <v>32</v>
      </c>
      <c r="H283" s="60" t="s">
        <v>79</v>
      </c>
      <c r="I283" s="62" t="s">
        <v>367</v>
      </c>
    </row>
    <row r="284" spans="1:9" s="40" customFormat="1" ht="63.75" x14ac:dyDescent="0.25">
      <c r="A284" s="5" t="s">
        <v>0</v>
      </c>
      <c r="B284" s="5" t="s">
        <v>0</v>
      </c>
      <c r="C284" s="28" t="s">
        <v>96</v>
      </c>
      <c r="D284" s="3">
        <f t="shared" si="38"/>
        <v>1295</v>
      </c>
      <c r="E284" s="3">
        <f t="shared" si="37"/>
        <v>1295</v>
      </c>
      <c r="F284" s="3">
        <v>1</v>
      </c>
      <c r="G284" s="23" t="s">
        <v>29</v>
      </c>
      <c r="H284" s="60" t="s">
        <v>78</v>
      </c>
      <c r="I284" s="62" t="s">
        <v>328</v>
      </c>
    </row>
    <row r="285" spans="1:9" s="40" customFormat="1" ht="38.25" x14ac:dyDescent="0.25">
      <c r="A285" s="5" t="s">
        <v>6</v>
      </c>
      <c r="B285" s="5" t="s">
        <v>6</v>
      </c>
      <c r="C285" s="28" t="s">
        <v>98</v>
      </c>
      <c r="D285" s="3">
        <f t="shared" si="38"/>
        <v>1296</v>
      </c>
      <c r="E285" s="3">
        <f t="shared" si="37"/>
        <v>1296</v>
      </c>
      <c r="F285" s="3">
        <v>1</v>
      </c>
      <c r="G285" s="23" t="s">
        <v>119</v>
      </c>
      <c r="H285" s="61" t="s">
        <v>408</v>
      </c>
      <c r="I285" s="62" t="s">
        <v>409</v>
      </c>
    </row>
    <row r="286" spans="1:9" s="40" customFormat="1" ht="15" x14ac:dyDescent="0.25">
      <c r="A286" s="5"/>
      <c r="B286" s="5"/>
      <c r="C286" s="29"/>
      <c r="D286" s="3">
        <f t="shared" si="38"/>
        <v>1297</v>
      </c>
      <c r="E286" s="3">
        <f t="shared" si="37"/>
        <v>1306</v>
      </c>
      <c r="F286" s="6">
        <v>10</v>
      </c>
      <c r="G286" s="9" t="s">
        <v>55</v>
      </c>
      <c r="H286" s="60"/>
      <c r="I286" s="62"/>
    </row>
    <row r="287" spans="1:9" s="40" customFormat="1" ht="15" x14ac:dyDescent="0.25">
      <c r="A287" s="5"/>
      <c r="B287" s="5"/>
      <c r="C287" s="29"/>
      <c r="D287" s="3"/>
      <c r="E287" s="3"/>
      <c r="F287" s="6"/>
      <c r="G287" s="24" t="s">
        <v>158</v>
      </c>
      <c r="H287" s="60"/>
      <c r="I287" s="62"/>
    </row>
    <row r="288" spans="1:9" s="40" customFormat="1" ht="89.25" x14ac:dyDescent="0.25">
      <c r="A288" s="5" t="s">
        <v>6</v>
      </c>
      <c r="B288" s="5" t="s">
        <v>6</v>
      </c>
      <c r="C288" s="29" t="s">
        <v>99</v>
      </c>
      <c r="D288" s="3">
        <f>D286+F286</f>
        <v>1307</v>
      </c>
      <c r="E288" s="3">
        <f>D288+F288-1</f>
        <v>1307</v>
      </c>
      <c r="F288" s="6">
        <v>1</v>
      </c>
      <c r="G288" s="13" t="s">
        <v>368</v>
      </c>
      <c r="H288" s="63" t="s">
        <v>118</v>
      </c>
      <c r="I288" s="62" t="s">
        <v>369</v>
      </c>
    </row>
    <row r="289" spans="1:9" s="40" customFormat="1" ht="63.75" x14ac:dyDescent="0.25">
      <c r="A289" s="5" t="s">
        <v>6</v>
      </c>
      <c r="B289" s="5" t="s">
        <v>6</v>
      </c>
      <c r="C289" s="29" t="s">
        <v>99</v>
      </c>
      <c r="D289" s="3">
        <f>D288+F288</f>
        <v>1308</v>
      </c>
      <c r="E289" s="3">
        <f>D289+F289-1</f>
        <v>1308</v>
      </c>
      <c r="F289" s="6">
        <v>1</v>
      </c>
      <c r="G289" s="9" t="s">
        <v>116</v>
      </c>
      <c r="H289" s="63" t="s">
        <v>118</v>
      </c>
      <c r="I289" s="62" t="s">
        <v>162</v>
      </c>
    </row>
    <row r="290" spans="1:9" s="40" customFormat="1" ht="63.75" x14ac:dyDescent="0.25">
      <c r="A290" s="5" t="s">
        <v>6</v>
      </c>
      <c r="B290" s="5" t="s">
        <v>6</v>
      </c>
      <c r="C290" s="29" t="s">
        <v>99</v>
      </c>
      <c r="D290" s="3">
        <f>D289+F289</f>
        <v>1309</v>
      </c>
      <c r="E290" s="3">
        <f>D290+F290-1</f>
        <v>1309</v>
      </c>
      <c r="F290" s="6">
        <v>1</v>
      </c>
      <c r="G290" s="9" t="s">
        <v>117</v>
      </c>
      <c r="H290" s="63" t="s">
        <v>118</v>
      </c>
      <c r="I290" s="62" t="s">
        <v>265</v>
      </c>
    </row>
    <row r="291" spans="1:9" s="40" customFormat="1" ht="15" x14ac:dyDescent="0.25">
      <c r="A291" s="5"/>
      <c r="B291" s="5"/>
      <c r="C291" s="29"/>
      <c r="D291" s="3">
        <f>D290+F290</f>
        <v>1310</v>
      </c>
      <c r="E291" s="3">
        <f>D291+F291-1</f>
        <v>1319</v>
      </c>
      <c r="F291" s="6">
        <v>10</v>
      </c>
      <c r="G291" s="9" t="s">
        <v>55</v>
      </c>
      <c r="H291" s="63"/>
      <c r="I291" s="62"/>
    </row>
    <row r="292" spans="1:9" s="40" customFormat="1" ht="15" x14ac:dyDescent="0.25">
      <c r="A292" s="5"/>
      <c r="B292" s="5"/>
      <c r="C292" s="28"/>
      <c r="D292" s="3"/>
      <c r="E292" s="3"/>
      <c r="F292" s="3"/>
      <c r="G292" s="24" t="s">
        <v>36</v>
      </c>
      <c r="H292" s="60"/>
      <c r="I292" s="62"/>
    </row>
    <row r="293" spans="1:9" s="40" customFormat="1" ht="26.45" customHeight="1" x14ac:dyDescent="0.25">
      <c r="A293" s="5" t="s">
        <v>0</v>
      </c>
      <c r="B293" s="5" t="s">
        <v>0</v>
      </c>
      <c r="C293" s="3" t="s">
        <v>96</v>
      </c>
      <c r="D293" s="3">
        <f>D291+F291</f>
        <v>1320</v>
      </c>
      <c r="E293" s="3">
        <f t="shared" ref="E293:E300" si="39">D293+F293-1</f>
        <v>1323</v>
      </c>
      <c r="F293" s="3">
        <v>4</v>
      </c>
      <c r="G293" s="23" t="s">
        <v>34</v>
      </c>
      <c r="H293" s="60" t="s">
        <v>88</v>
      </c>
      <c r="I293" s="170" t="s">
        <v>87</v>
      </c>
    </row>
    <row r="294" spans="1:9" s="40" customFormat="1" ht="51" x14ac:dyDescent="0.25">
      <c r="A294" s="5" t="s">
        <v>0</v>
      </c>
      <c r="B294" s="5" t="s">
        <v>0</v>
      </c>
      <c r="C294" s="3" t="s">
        <v>96</v>
      </c>
      <c r="D294" s="3">
        <f t="shared" ref="D294:D298" si="40">D293+F293</f>
        <v>1324</v>
      </c>
      <c r="E294" s="3">
        <f t="shared" si="39"/>
        <v>1325</v>
      </c>
      <c r="F294" s="3">
        <v>2</v>
      </c>
      <c r="G294" s="23" t="s">
        <v>33</v>
      </c>
      <c r="H294" s="60" t="s">
        <v>86</v>
      </c>
      <c r="I294" s="170"/>
    </row>
    <row r="295" spans="1:9" s="40" customFormat="1" ht="25.5" x14ac:dyDescent="0.25">
      <c r="A295" s="5" t="s">
        <v>0</v>
      </c>
      <c r="B295" s="5" t="s">
        <v>0</v>
      </c>
      <c r="C295" s="3" t="s">
        <v>96</v>
      </c>
      <c r="D295" s="3">
        <f t="shared" si="40"/>
        <v>1326</v>
      </c>
      <c r="E295" s="3">
        <f t="shared" si="39"/>
        <v>1328</v>
      </c>
      <c r="F295" s="3">
        <v>3</v>
      </c>
      <c r="G295" s="23" t="s">
        <v>35</v>
      </c>
      <c r="H295" s="41" t="s">
        <v>89</v>
      </c>
      <c r="I295" s="43" t="s">
        <v>90</v>
      </c>
    </row>
    <row r="296" spans="1:9" s="40" customFormat="1" ht="63.75" x14ac:dyDescent="0.25">
      <c r="A296" s="5" t="s">
        <v>0</v>
      </c>
      <c r="B296" s="5" t="s">
        <v>0</v>
      </c>
      <c r="C296" s="3" t="s">
        <v>96</v>
      </c>
      <c r="D296" s="3">
        <f t="shared" si="40"/>
        <v>1329</v>
      </c>
      <c r="E296" s="3">
        <f t="shared" si="39"/>
        <v>1331</v>
      </c>
      <c r="F296" s="3">
        <v>3</v>
      </c>
      <c r="G296" s="23" t="s">
        <v>329</v>
      </c>
      <c r="H296" s="41" t="s">
        <v>330</v>
      </c>
      <c r="I296" s="43" t="s">
        <v>91</v>
      </c>
    </row>
    <row r="297" spans="1:9" s="40" customFormat="1" ht="15" x14ac:dyDescent="0.25">
      <c r="A297" s="5"/>
      <c r="B297" s="5"/>
      <c r="C297" s="28"/>
      <c r="D297" s="3">
        <f t="shared" si="40"/>
        <v>1332</v>
      </c>
      <c r="E297" s="3">
        <f t="shared" si="39"/>
        <v>1341</v>
      </c>
      <c r="F297" s="3">
        <v>10</v>
      </c>
      <c r="G297" s="23" t="s">
        <v>55</v>
      </c>
      <c r="H297" s="41"/>
      <c r="I297" s="43"/>
    </row>
    <row r="298" spans="1:9" s="40" customFormat="1" ht="189.75" customHeight="1" x14ac:dyDescent="0.25">
      <c r="A298" s="5" t="s">
        <v>6</v>
      </c>
      <c r="B298" s="5" t="s">
        <v>6</v>
      </c>
      <c r="C298" s="28" t="s">
        <v>99</v>
      </c>
      <c r="D298" s="3">
        <f t="shared" si="40"/>
        <v>1342</v>
      </c>
      <c r="E298" s="5">
        <f t="shared" si="39"/>
        <v>1541</v>
      </c>
      <c r="F298" s="5">
        <v>200</v>
      </c>
      <c r="G298" s="13" t="s">
        <v>407</v>
      </c>
      <c r="H298" s="203" t="s">
        <v>712</v>
      </c>
      <c r="I298" s="98" t="s">
        <v>485</v>
      </c>
    </row>
    <row r="299" spans="1:9" s="40" customFormat="1" ht="189.75" customHeight="1" x14ac:dyDescent="0.25">
      <c r="A299" s="5" t="s">
        <v>6</v>
      </c>
      <c r="B299" s="5" t="s">
        <v>6</v>
      </c>
      <c r="C299" s="28" t="s">
        <v>98</v>
      </c>
      <c r="D299" s="3">
        <f t="shared" ref="D299" si="41">D298+F298</f>
        <v>1542</v>
      </c>
      <c r="E299" s="3">
        <f t="shared" ref="E299" si="42">D299+F299-1</f>
        <v>1641</v>
      </c>
      <c r="F299" s="3">
        <v>100</v>
      </c>
      <c r="G299" s="13" t="s">
        <v>401</v>
      </c>
      <c r="H299" s="203"/>
      <c r="I299" s="98" t="s">
        <v>486</v>
      </c>
    </row>
    <row r="300" spans="1:9" s="40" customFormat="1" ht="15" x14ac:dyDescent="0.25">
      <c r="A300" s="5"/>
      <c r="B300" s="5"/>
      <c r="C300" s="28"/>
      <c r="D300" s="3">
        <f>D299+F299</f>
        <v>1642</v>
      </c>
      <c r="E300" s="3">
        <f t="shared" si="39"/>
        <v>1657</v>
      </c>
      <c r="F300" s="3">
        <v>16</v>
      </c>
      <c r="G300" s="23" t="s">
        <v>55</v>
      </c>
      <c r="H300" s="41"/>
      <c r="I300" s="43"/>
    </row>
    <row r="301" spans="1:9" x14ac:dyDescent="0.25">
      <c r="A301" s="5"/>
      <c r="B301" s="5"/>
      <c r="C301" s="6"/>
      <c r="D301" s="3"/>
      <c r="E301" s="3"/>
      <c r="F301" s="7"/>
      <c r="G301" s="24" t="s">
        <v>200</v>
      </c>
      <c r="H301" s="14"/>
      <c r="I301" s="18"/>
    </row>
    <row r="302" spans="1:9" ht="25.5" x14ac:dyDescent="0.25">
      <c r="A302" s="5" t="s">
        <v>0</v>
      </c>
      <c r="B302" s="5" t="s">
        <v>0</v>
      </c>
      <c r="C302" s="28" t="s">
        <v>97</v>
      </c>
      <c r="D302" s="3">
        <f>D300+F300</f>
        <v>1658</v>
      </c>
      <c r="E302" s="3">
        <f>D302+F302-1</f>
        <v>1658</v>
      </c>
      <c r="F302" s="3">
        <v>1</v>
      </c>
      <c r="G302" s="23" t="s">
        <v>37</v>
      </c>
      <c r="H302" s="41" t="s">
        <v>54</v>
      </c>
    </row>
    <row r="303" spans="1:9" ht="140.25" x14ac:dyDescent="0.25">
      <c r="A303" s="5" t="s">
        <v>0</v>
      </c>
      <c r="B303" s="5" t="s">
        <v>0</v>
      </c>
      <c r="C303" s="28" t="s">
        <v>97</v>
      </c>
      <c r="D303" s="3">
        <f>D302+F302</f>
        <v>1659</v>
      </c>
      <c r="E303" s="3">
        <f t="shared" ref="E303:E317" si="43">D303+F303-1</f>
        <v>1663</v>
      </c>
      <c r="F303" s="3">
        <v>5</v>
      </c>
      <c r="G303" s="23" t="s">
        <v>13</v>
      </c>
      <c r="H303" s="108" t="s">
        <v>537</v>
      </c>
      <c r="I303" s="87" t="s">
        <v>538</v>
      </c>
    </row>
    <row r="304" spans="1:9" ht="51" x14ac:dyDescent="0.25">
      <c r="A304" s="5" t="s">
        <v>6</v>
      </c>
      <c r="B304" s="5" t="s">
        <v>6</v>
      </c>
      <c r="C304" s="28" t="s">
        <v>97</v>
      </c>
      <c r="D304" s="3">
        <f>D303+F303</f>
        <v>1664</v>
      </c>
      <c r="E304" s="3">
        <f t="shared" si="43"/>
        <v>1669</v>
      </c>
      <c r="F304" s="3">
        <v>6</v>
      </c>
      <c r="G304" s="23" t="s">
        <v>14</v>
      </c>
      <c r="H304" s="42" t="s">
        <v>404</v>
      </c>
      <c r="I304" s="43" t="s">
        <v>405</v>
      </c>
    </row>
    <row r="305" spans="1:9" ht="18" customHeight="1" x14ac:dyDescent="0.25">
      <c r="A305" s="5" t="s">
        <v>0</v>
      </c>
      <c r="B305" s="5" t="s">
        <v>6</v>
      </c>
      <c r="C305" s="28" t="s">
        <v>97</v>
      </c>
      <c r="D305" s="3">
        <f t="shared" ref="D305:D310" si="44">D304+F304</f>
        <v>1670</v>
      </c>
      <c r="E305" s="3">
        <f t="shared" si="43"/>
        <v>1689</v>
      </c>
      <c r="F305" s="3">
        <v>20</v>
      </c>
      <c r="G305" s="23" t="s">
        <v>15</v>
      </c>
      <c r="H305" s="168" t="s">
        <v>256</v>
      </c>
      <c r="I305" s="175" t="s">
        <v>359</v>
      </c>
    </row>
    <row r="306" spans="1:9" ht="18.75" customHeight="1" x14ac:dyDescent="0.25">
      <c r="A306" s="5" t="s">
        <v>0</v>
      </c>
      <c r="B306" s="5" t="s">
        <v>6</v>
      </c>
      <c r="C306" s="28" t="s">
        <v>97</v>
      </c>
      <c r="D306" s="3">
        <f t="shared" si="44"/>
        <v>1690</v>
      </c>
      <c r="E306" s="3">
        <f t="shared" si="43"/>
        <v>1704</v>
      </c>
      <c r="F306" s="3">
        <v>15</v>
      </c>
      <c r="G306" s="23" t="s">
        <v>16</v>
      </c>
      <c r="H306" s="168"/>
      <c r="I306" s="175"/>
    </row>
    <row r="307" spans="1:9" ht="17.25" customHeight="1" x14ac:dyDescent="0.25">
      <c r="A307" s="5" t="s">
        <v>0</v>
      </c>
      <c r="B307" s="5" t="s">
        <v>6</v>
      </c>
      <c r="C307" s="28" t="s">
        <v>97</v>
      </c>
      <c r="D307" s="3">
        <f t="shared" si="44"/>
        <v>1705</v>
      </c>
      <c r="E307" s="3">
        <f t="shared" si="43"/>
        <v>1705</v>
      </c>
      <c r="F307" s="3">
        <v>1</v>
      </c>
      <c r="G307" s="23" t="s">
        <v>273</v>
      </c>
      <c r="H307" s="168"/>
      <c r="I307" s="175"/>
    </row>
    <row r="308" spans="1:9" ht="38.25" customHeight="1" x14ac:dyDescent="0.25">
      <c r="A308" s="5" t="s">
        <v>6</v>
      </c>
      <c r="B308" s="5" t="s">
        <v>6</v>
      </c>
      <c r="C308" s="28" t="s">
        <v>97</v>
      </c>
      <c r="D308" s="3">
        <f>D307+F307</f>
        <v>1706</v>
      </c>
      <c r="E308" s="3">
        <f>D308+F308-1</f>
        <v>1708</v>
      </c>
      <c r="F308" s="3">
        <v>3</v>
      </c>
      <c r="G308" s="23" t="s">
        <v>155</v>
      </c>
      <c r="H308" s="45" t="s">
        <v>156</v>
      </c>
      <c r="I308" s="172" t="s">
        <v>488</v>
      </c>
    </row>
    <row r="309" spans="1:9" x14ac:dyDescent="0.25">
      <c r="A309" s="5" t="s">
        <v>6</v>
      </c>
      <c r="B309" s="5" t="s">
        <v>6</v>
      </c>
      <c r="C309" s="28" t="s">
        <v>97</v>
      </c>
      <c r="D309" s="3">
        <f>D308+F308</f>
        <v>1709</v>
      </c>
      <c r="E309" s="3">
        <f t="shared" si="43"/>
        <v>1728</v>
      </c>
      <c r="F309" s="3">
        <v>20</v>
      </c>
      <c r="G309" s="23" t="s">
        <v>17</v>
      </c>
      <c r="H309" s="168" t="s">
        <v>256</v>
      </c>
      <c r="I309" s="172"/>
    </row>
    <row r="310" spans="1:9" x14ac:dyDescent="0.25">
      <c r="A310" s="5" t="s">
        <v>6</v>
      </c>
      <c r="B310" s="5" t="s">
        <v>6</v>
      </c>
      <c r="C310" s="28" t="s">
        <v>97</v>
      </c>
      <c r="D310" s="3">
        <f t="shared" si="44"/>
        <v>1729</v>
      </c>
      <c r="E310" s="3">
        <f t="shared" si="43"/>
        <v>1748</v>
      </c>
      <c r="F310" s="3">
        <v>20</v>
      </c>
      <c r="G310" s="23" t="s">
        <v>18</v>
      </c>
      <c r="H310" s="168"/>
      <c r="I310" s="172"/>
    </row>
    <row r="311" spans="1:9" x14ac:dyDescent="0.25">
      <c r="A311" s="5" t="s">
        <v>6</v>
      </c>
      <c r="B311" s="5" t="s">
        <v>6</v>
      </c>
      <c r="C311" s="28" t="s">
        <v>97</v>
      </c>
      <c r="D311" s="3">
        <f t="shared" ref="D311:D317" si="45">D310+F310</f>
        <v>1749</v>
      </c>
      <c r="E311" s="3">
        <f t="shared" si="43"/>
        <v>1749</v>
      </c>
      <c r="F311" s="3">
        <v>1</v>
      </c>
      <c r="G311" s="23" t="s">
        <v>274</v>
      </c>
      <c r="H311" s="168"/>
      <c r="I311" s="172"/>
    </row>
    <row r="312" spans="1:9" ht="63.75" x14ac:dyDescent="0.25">
      <c r="A312" s="5" t="s">
        <v>0</v>
      </c>
      <c r="B312" s="5" t="s">
        <v>0</v>
      </c>
      <c r="C312" s="28" t="s">
        <v>237</v>
      </c>
      <c r="D312" s="3">
        <f t="shared" si="45"/>
        <v>1750</v>
      </c>
      <c r="E312" s="3">
        <f>D312+F312-1</f>
        <v>1755</v>
      </c>
      <c r="F312" s="3">
        <v>6</v>
      </c>
      <c r="G312" s="23" t="s">
        <v>154</v>
      </c>
      <c r="H312" s="86" t="s">
        <v>487</v>
      </c>
      <c r="I312" s="43" t="s">
        <v>360</v>
      </c>
    </row>
    <row r="313" spans="1:9" ht="76.5" x14ac:dyDescent="0.25">
      <c r="A313" s="5" t="s">
        <v>0</v>
      </c>
      <c r="B313" s="5" t="s">
        <v>0</v>
      </c>
      <c r="C313" s="28" t="s">
        <v>97</v>
      </c>
      <c r="D313" s="3">
        <f t="shared" si="45"/>
        <v>1756</v>
      </c>
      <c r="E313" s="3">
        <f t="shared" si="43"/>
        <v>1785</v>
      </c>
      <c r="F313" s="3">
        <v>30</v>
      </c>
      <c r="G313" s="23" t="s">
        <v>19</v>
      </c>
      <c r="H313" s="86" t="s">
        <v>489</v>
      </c>
      <c r="I313" s="43" t="s">
        <v>361</v>
      </c>
    </row>
    <row r="314" spans="1:9" ht="51" x14ac:dyDescent="0.25">
      <c r="A314" s="5" t="s">
        <v>0</v>
      </c>
      <c r="B314" s="5" t="s">
        <v>0</v>
      </c>
      <c r="C314" s="28" t="s">
        <v>97</v>
      </c>
      <c r="D314" s="3">
        <f t="shared" si="45"/>
        <v>1786</v>
      </c>
      <c r="E314" s="3">
        <f t="shared" si="43"/>
        <v>1805</v>
      </c>
      <c r="F314" s="3">
        <v>20</v>
      </c>
      <c r="G314" s="23" t="s">
        <v>112</v>
      </c>
      <c r="H314" s="41" t="s">
        <v>338</v>
      </c>
      <c r="I314" s="43" t="s">
        <v>359</v>
      </c>
    </row>
    <row r="315" spans="1:9" ht="38.25" x14ac:dyDescent="0.25">
      <c r="A315" s="5" t="s">
        <v>0</v>
      </c>
      <c r="B315" s="5" t="s">
        <v>0</v>
      </c>
      <c r="C315" s="28" t="s">
        <v>237</v>
      </c>
      <c r="D315" s="3">
        <f t="shared" si="45"/>
        <v>1806</v>
      </c>
      <c r="E315" s="3">
        <f>D315+F315-1</f>
        <v>1811</v>
      </c>
      <c r="F315" s="3">
        <v>6</v>
      </c>
      <c r="G315" s="23" t="s">
        <v>114</v>
      </c>
      <c r="H315" s="41" t="s">
        <v>115</v>
      </c>
      <c r="I315" s="43" t="s">
        <v>309</v>
      </c>
    </row>
    <row r="316" spans="1:9" ht="25.5" x14ac:dyDescent="0.25">
      <c r="A316" s="5" t="s">
        <v>0</v>
      </c>
      <c r="B316" s="5" t="s">
        <v>0</v>
      </c>
      <c r="C316" s="28" t="s">
        <v>237</v>
      </c>
      <c r="D316" s="3">
        <f t="shared" si="45"/>
        <v>1812</v>
      </c>
      <c r="E316" s="3">
        <f>D316+F316-1</f>
        <v>1812</v>
      </c>
      <c r="F316" s="3">
        <v>1</v>
      </c>
      <c r="G316" s="23" t="s">
        <v>315</v>
      </c>
      <c r="H316" s="41" t="s">
        <v>307</v>
      </c>
      <c r="I316" s="43" t="s">
        <v>306</v>
      </c>
    </row>
    <row r="317" spans="1:9" x14ac:dyDescent="0.25">
      <c r="A317" s="5"/>
      <c r="B317" s="5"/>
      <c r="C317" s="28"/>
      <c r="D317" s="3">
        <f t="shared" si="45"/>
        <v>1813</v>
      </c>
      <c r="E317" s="3">
        <f t="shared" si="43"/>
        <v>1832</v>
      </c>
      <c r="F317" s="3">
        <v>20</v>
      </c>
      <c r="G317" s="23" t="s">
        <v>55</v>
      </c>
      <c r="H317" s="41"/>
    </row>
    <row r="318" spans="1:9" s="40" customFormat="1" ht="15" x14ac:dyDescent="0.25">
      <c r="A318" s="5"/>
      <c r="B318" s="5"/>
      <c r="C318" s="6"/>
      <c r="D318" s="3"/>
      <c r="E318" s="3"/>
      <c r="F318" s="7"/>
      <c r="G318" s="24" t="s">
        <v>20</v>
      </c>
      <c r="H318" s="14"/>
      <c r="I318" s="18"/>
    </row>
    <row r="319" spans="1:9" s="40" customFormat="1" ht="38.25" x14ac:dyDescent="0.25">
      <c r="A319" s="5" t="s">
        <v>6</v>
      </c>
      <c r="B319" s="5" t="s">
        <v>6</v>
      </c>
      <c r="C319" s="28" t="s">
        <v>98</v>
      </c>
      <c r="D319" s="3">
        <f>D317+F317</f>
        <v>1833</v>
      </c>
      <c r="E319" s="3">
        <f>D319+F319-1</f>
        <v>1833</v>
      </c>
      <c r="F319" s="3">
        <v>1</v>
      </c>
      <c r="G319" s="23" t="s">
        <v>21</v>
      </c>
      <c r="H319" s="41" t="s">
        <v>102</v>
      </c>
      <c r="I319" s="173"/>
    </row>
    <row r="320" spans="1:9" s="40" customFormat="1" ht="38.25" x14ac:dyDescent="0.25">
      <c r="A320" s="5" t="s">
        <v>6</v>
      </c>
      <c r="B320" s="5" t="s">
        <v>6</v>
      </c>
      <c r="C320" s="28" t="s">
        <v>98</v>
      </c>
      <c r="D320" s="3">
        <f>D319+F319</f>
        <v>1834</v>
      </c>
      <c r="E320" s="3">
        <f>D320+F320-1</f>
        <v>1834</v>
      </c>
      <c r="F320" s="3">
        <v>1</v>
      </c>
      <c r="G320" s="23" t="s">
        <v>22</v>
      </c>
      <c r="H320" s="41" t="s">
        <v>102</v>
      </c>
      <c r="I320" s="170"/>
    </row>
    <row r="321" spans="1:9" s="40" customFormat="1" ht="38.25" x14ac:dyDescent="0.25">
      <c r="A321" s="5" t="s">
        <v>6</v>
      </c>
      <c r="B321" s="5" t="s">
        <v>6</v>
      </c>
      <c r="C321" s="28" t="s">
        <v>98</v>
      </c>
      <c r="D321" s="3">
        <f>D320+F320</f>
        <v>1835</v>
      </c>
      <c r="E321" s="3">
        <f>D321+F321-1</f>
        <v>1835</v>
      </c>
      <c r="F321" s="3">
        <v>1</v>
      </c>
      <c r="G321" s="23" t="s">
        <v>23</v>
      </c>
      <c r="H321" s="41" t="s">
        <v>102</v>
      </c>
      <c r="I321" s="170"/>
    </row>
    <row r="322" spans="1:9" s="40" customFormat="1" ht="38.25" x14ac:dyDescent="0.25">
      <c r="A322" s="94" t="s">
        <v>6</v>
      </c>
      <c r="B322" s="94" t="s">
        <v>6</v>
      </c>
      <c r="C322" s="95" t="s">
        <v>98</v>
      </c>
      <c r="D322" s="96">
        <f>D321+F321</f>
        <v>1836</v>
      </c>
      <c r="E322" s="96">
        <f>D322+F322-1</f>
        <v>1836</v>
      </c>
      <c r="F322" s="96">
        <v>1</v>
      </c>
      <c r="G322" s="107" t="s">
        <v>684</v>
      </c>
      <c r="H322" s="86" t="s">
        <v>102</v>
      </c>
      <c r="I322" s="80"/>
    </row>
    <row r="323" spans="1:9" s="40" customFormat="1" ht="15" x14ac:dyDescent="0.25">
      <c r="A323" s="5"/>
      <c r="B323" s="5"/>
      <c r="C323" s="28"/>
      <c r="D323" s="120">
        <f>D322+F322</f>
        <v>1837</v>
      </c>
      <c r="E323" s="120">
        <f>D323+F323-1</f>
        <v>1840</v>
      </c>
      <c r="F323" s="120">
        <v>4</v>
      </c>
      <c r="G323" s="23" t="s">
        <v>55</v>
      </c>
      <c r="H323" s="41"/>
      <c r="I323" s="43"/>
    </row>
    <row r="324" spans="1:9" s="40" customFormat="1" ht="15" x14ac:dyDescent="0.25">
      <c r="A324" s="5"/>
      <c r="B324" s="5"/>
      <c r="C324" s="28"/>
      <c r="D324" s="3"/>
      <c r="E324" s="3"/>
      <c r="F324" s="3"/>
      <c r="G324" s="24" t="s">
        <v>201</v>
      </c>
      <c r="H324" s="41"/>
      <c r="I324" s="43"/>
    </row>
    <row r="325" spans="1:9" s="40" customFormat="1" ht="15" x14ac:dyDescent="0.25">
      <c r="A325" s="5"/>
      <c r="B325" s="5"/>
      <c r="C325" s="28"/>
      <c r="D325" s="3"/>
      <c r="E325" s="3"/>
      <c r="F325" s="3"/>
      <c r="G325" s="24" t="s">
        <v>113</v>
      </c>
      <c r="H325" s="41"/>
      <c r="I325" s="43"/>
    </row>
    <row r="326" spans="1:9" s="40" customFormat="1" ht="15" customHeight="1" x14ac:dyDescent="0.25">
      <c r="A326" s="5" t="s">
        <v>6</v>
      </c>
      <c r="B326" s="5" t="s">
        <v>6</v>
      </c>
      <c r="C326" s="28" t="s">
        <v>99</v>
      </c>
      <c r="D326" s="3">
        <f>D323+F323</f>
        <v>1841</v>
      </c>
      <c r="E326" s="3">
        <f>D326+F326-1</f>
        <v>1841</v>
      </c>
      <c r="F326" s="3">
        <v>1</v>
      </c>
      <c r="G326" s="23" t="s">
        <v>126</v>
      </c>
      <c r="H326" s="170" t="s">
        <v>257</v>
      </c>
      <c r="I326" s="170" t="s">
        <v>138</v>
      </c>
    </row>
    <row r="327" spans="1:9" s="40" customFormat="1" ht="15" x14ac:dyDescent="0.25">
      <c r="A327" s="5" t="s">
        <v>6</v>
      </c>
      <c r="B327" s="5" t="s">
        <v>6</v>
      </c>
      <c r="C327" s="28" t="s">
        <v>99</v>
      </c>
      <c r="D327" s="3">
        <f>D326+F326</f>
        <v>1842</v>
      </c>
      <c r="E327" s="3">
        <f>D327+F327-1</f>
        <v>1842</v>
      </c>
      <c r="F327" s="3">
        <v>1</v>
      </c>
      <c r="G327" s="23" t="s">
        <v>127</v>
      </c>
      <c r="H327" s="170"/>
      <c r="I327" s="170"/>
    </row>
    <row r="328" spans="1:9" s="40" customFormat="1" ht="15" x14ac:dyDescent="0.25">
      <c r="A328" s="5" t="s">
        <v>6</v>
      </c>
      <c r="B328" s="5" t="s">
        <v>6</v>
      </c>
      <c r="C328" s="28" t="s">
        <v>99</v>
      </c>
      <c r="D328" s="3">
        <f t="shared" ref="D328:D339" si="46">D327+F327</f>
        <v>1843</v>
      </c>
      <c r="E328" s="3">
        <f t="shared" ref="E328:E339" si="47">D328+F328-1</f>
        <v>1843</v>
      </c>
      <c r="F328" s="3">
        <v>1</v>
      </c>
      <c r="G328" s="13" t="s">
        <v>406</v>
      </c>
      <c r="H328" s="170"/>
      <c r="I328" s="170"/>
    </row>
    <row r="329" spans="1:9" s="40" customFormat="1" ht="15" x14ac:dyDescent="0.25">
      <c r="A329" s="5" t="s">
        <v>6</v>
      </c>
      <c r="B329" s="5" t="s">
        <v>6</v>
      </c>
      <c r="C329" s="28" t="s">
        <v>99</v>
      </c>
      <c r="D329" s="3">
        <f t="shared" si="46"/>
        <v>1844</v>
      </c>
      <c r="E329" s="3">
        <f t="shared" si="47"/>
        <v>1844</v>
      </c>
      <c r="F329" s="3">
        <v>1</v>
      </c>
      <c r="G329" s="23" t="s">
        <v>128</v>
      </c>
      <c r="H329" s="170"/>
      <c r="I329" s="170"/>
    </row>
    <row r="330" spans="1:9" s="40" customFormat="1" ht="15" x14ac:dyDescent="0.25">
      <c r="A330" s="5" t="s">
        <v>6</v>
      </c>
      <c r="B330" s="5" t="s">
        <v>6</v>
      </c>
      <c r="C330" s="28" t="s">
        <v>99</v>
      </c>
      <c r="D330" s="3">
        <f t="shared" si="46"/>
        <v>1845</v>
      </c>
      <c r="E330" s="3">
        <f t="shared" si="47"/>
        <v>1845</v>
      </c>
      <c r="F330" s="3">
        <v>1</v>
      </c>
      <c r="G330" s="23" t="s">
        <v>129</v>
      </c>
      <c r="H330" s="170"/>
      <c r="I330" s="170"/>
    </row>
    <row r="331" spans="1:9" s="40" customFormat="1" ht="15" x14ac:dyDescent="0.25">
      <c r="A331" s="5" t="s">
        <v>6</v>
      </c>
      <c r="B331" s="5" t="s">
        <v>6</v>
      </c>
      <c r="C331" s="28" t="s">
        <v>99</v>
      </c>
      <c r="D331" s="3">
        <f t="shared" si="46"/>
        <v>1846</v>
      </c>
      <c r="E331" s="3">
        <f t="shared" si="47"/>
        <v>1846</v>
      </c>
      <c r="F331" s="3">
        <v>1</v>
      </c>
      <c r="G331" s="23" t="s">
        <v>130</v>
      </c>
      <c r="H331" s="170"/>
      <c r="I331" s="170"/>
    </row>
    <row r="332" spans="1:9" s="40" customFormat="1" ht="15" x14ac:dyDescent="0.25">
      <c r="A332" s="5" t="s">
        <v>6</v>
      </c>
      <c r="B332" s="5" t="s">
        <v>6</v>
      </c>
      <c r="C332" s="28" t="s">
        <v>99</v>
      </c>
      <c r="D332" s="3">
        <f t="shared" si="46"/>
        <v>1847</v>
      </c>
      <c r="E332" s="3">
        <f t="shared" si="47"/>
        <v>1847</v>
      </c>
      <c r="F332" s="3">
        <v>1</v>
      </c>
      <c r="G332" s="23" t="s">
        <v>275</v>
      </c>
      <c r="H332" s="170"/>
      <c r="I332" s="170"/>
    </row>
    <row r="333" spans="1:9" s="40" customFormat="1" ht="15" x14ac:dyDescent="0.25">
      <c r="A333" s="5" t="s">
        <v>6</v>
      </c>
      <c r="B333" s="5" t="s">
        <v>6</v>
      </c>
      <c r="C333" s="28" t="s">
        <v>97</v>
      </c>
      <c r="D333" s="3">
        <f t="shared" si="46"/>
        <v>1848</v>
      </c>
      <c r="E333" s="3">
        <f t="shared" si="47"/>
        <v>1848</v>
      </c>
      <c r="F333" s="3">
        <v>1</v>
      </c>
      <c r="G333" s="23" t="s">
        <v>310</v>
      </c>
      <c r="H333" s="170"/>
      <c r="I333" s="170"/>
    </row>
    <row r="334" spans="1:9" s="40" customFormat="1" ht="15" x14ac:dyDescent="0.25">
      <c r="A334" s="5" t="s">
        <v>6</v>
      </c>
      <c r="B334" s="5" t="s">
        <v>6</v>
      </c>
      <c r="C334" s="28" t="s">
        <v>99</v>
      </c>
      <c r="D334" s="3">
        <f>D333+F333</f>
        <v>1849</v>
      </c>
      <c r="E334" s="3">
        <f t="shared" si="47"/>
        <v>1849</v>
      </c>
      <c r="F334" s="3">
        <v>1</v>
      </c>
      <c r="G334" s="23" t="s">
        <v>131</v>
      </c>
      <c r="H334" s="170"/>
      <c r="I334" s="170"/>
    </row>
    <row r="335" spans="1:9" s="40" customFormat="1" ht="15" x14ac:dyDescent="0.25">
      <c r="A335" s="5" t="s">
        <v>6</v>
      </c>
      <c r="B335" s="5" t="s">
        <v>6</v>
      </c>
      <c r="C335" s="28" t="s">
        <v>99</v>
      </c>
      <c r="D335" s="3">
        <f t="shared" si="46"/>
        <v>1850</v>
      </c>
      <c r="E335" s="3">
        <f t="shared" si="47"/>
        <v>1850</v>
      </c>
      <c r="F335" s="3">
        <v>1</v>
      </c>
      <c r="G335" s="23" t="s">
        <v>132</v>
      </c>
      <c r="H335" s="170"/>
      <c r="I335" s="170"/>
    </row>
    <row r="336" spans="1:9" s="40" customFormat="1" ht="15" x14ac:dyDescent="0.25">
      <c r="A336" s="5" t="s">
        <v>6</v>
      </c>
      <c r="B336" s="5" t="s">
        <v>6</v>
      </c>
      <c r="C336" s="28" t="s">
        <v>99</v>
      </c>
      <c r="D336" s="3">
        <f t="shared" si="46"/>
        <v>1851</v>
      </c>
      <c r="E336" s="3">
        <f t="shared" si="47"/>
        <v>1851</v>
      </c>
      <c r="F336" s="3">
        <v>1</v>
      </c>
      <c r="G336" s="23" t="s">
        <v>133</v>
      </c>
      <c r="H336" s="170"/>
      <c r="I336" s="170"/>
    </row>
    <row r="337" spans="1:9" s="40" customFormat="1" ht="15" x14ac:dyDescent="0.25">
      <c r="A337" s="5" t="s">
        <v>6</v>
      </c>
      <c r="B337" s="5" t="s">
        <v>6</v>
      </c>
      <c r="C337" s="28" t="s">
        <v>99</v>
      </c>
      <c r="D337" s="3">
        <f t="shared" si="46"/>
        <v>1852</v>
      </c>
      <c r="E337" s="3">
        <f t="shared" si="47"/>
        <v>1852</v>
      </c>
      <c r="F337" s="3">
        <v>1</v>
      </c>
      <c r="G337" s="23" t="s">
        <v>134</v>
      </c>
      <c r="H337" s="170"/>
      <c r="I337" s="170"/>
    </row>
    <row r="338" spans="1:9" s="40" customFormat="1" ht="15" x14ac:dyDescent="0.25">
      <c r="A338" s="5" t="s">
        <v>6</v>
      </c>
      <c r="B338" s="5" t="s">
        <v>6</v>
      </c>
      <c r="C338" s="28" t="s">
        <v>99</v>
      </c>
      <c r="D338" s="3">
        <f t="shared" si="46"/>
        <v>1853</v>
      </c>
      <c r="E338" s="3">
        <f t="shared" si="47"/>
        <v>1853</v>
      </c>
      <c r="F338" s="3">
        <v>1</v>
      </c>
      <c r="G338" s="23" t="s">
        <v>135</v>
      </c>
      <c r="H338" s="170"/>
      <c r="I338" s="170"/>
    </row>
    <row r="339" spans="1:9" s="40" customFormat="1" ht="15" x14ac:dyDescent="0.25">
      <c r="A339" s="5" t="s">
        <v>6</v>
      </c>
      <c r="B339" s="5" t="s">
        <v>6</v>
      </c>
      <c r="C339" s="28" t="s">
        <v>99</v>
      </c>
      <c r="D339" s="3">
        <f t="shared" si="46"/>
        <v>1854</v>
      </c>
      <c r="E339" s="3">
        <f t="shared" si="47"/>
        <v>1854</v>
      </c>
      <c r="F339" s="3">
        <v>1</v>
      </c>
      <c r="G339" s="23" t="s">
        <v>136</v>
      </c>
      <c r="H339" s="170"/>
      <c r="I339" s="170"/>
    </row>
    <row r="340" spans="1:9" s="40" customFormat="1" ht="15" x14ac:dyDescent="0.25">
      <c r="A340" s="5"/>
      <c r="B340" s="5"/>
      <c r="C340" s="28"/>
      <c r="D340" s="3"/>
      <c r="E340" s="3"/>
      <c r="F340" s="3"/>
      <c r="G340" s="24" t="s">
        <v>373</v>
      </c>
      <c r="H340" s="43"/>
      <c r="I340" s="43"/>
    </row>
    <row r="341" spans="1:9" s="40" customFormat="1" ht="15" customHeight="1" x14ac:dyDescent="0.25">
      <c r="A341" s="5" t="s">
        <v>0</v>
      </c>
      <c r="B341" s="5" t="s">
        <v>0</v>
      </c>
      <c r="C341" s="28" t="s">
        <v>98</v>
      </c>
      <c r="D341" s="3">
        <f>D339+F339</f>
        <v>1855</v>
      </c>
      <c r="E341" s="3">
        <f>D341+F341-1</f>
        <v>1855</v>
      </c>
      <c r="F341" s="3">
        <v>1</v>
      </c>
      <c r="G341" s="23" t="s">
        <v>126</v>
      </c>
      <c r="H341" s="170" t="s">
        <v>118</v>
      </c>
      <c r="I341" s="170" t="s">
        <v>411</v>
      </c>
    </row>
    <row r="342" spans="1:9" s="40" customFormat="1" ht="15" x14ac:dyDescent="0.25">
      <c r="A342" s="5" t="s">
        <v>0</v>
      </c>
      <c r="B342" s="5" t="s">
        <v>0</v>
      </c>
      <c r="C342" s="28" t="s">
        <v>98</v>
      </c>
      <c r="D342" s="3">
        <f>D341+F341</f>
        <v>1856</v>
      </c>
      <c r="E342" s="3">
        <f>D342+F342-1</f>
        <v>1856</v>
      </c>
      <c r="F342" s="3">
        <v>1</v>
      </c>
      <c r="G342" s="23" t="s">
        <v>127</v>
      </c>
      <c r="H342" s="170"/>
      <c r="I342" s="170"/>
    </row>
    <row r="343" spans="1:9" s="40" customFormat="1" ht="15" x14ac:dyDescent="0.25">
      <c r="A343" s="5" t="s">
        <v>0</v>
      </c>
      <c r="B343" s="5" t="s">
        <v>0</v>
      </c>
      <c r="C343" s="28" t="s">
        <v>98</v>
      </c>
      <c r="D343" s="3">
        <f t="shared" ref="D343:D355" si="48">D342+F342</f>
        <v>1857</v>
      </c>
      <c r="E343" s="3">
        <f t="shared" ref="E343:E355" si="49">D343+F343-1</f>
        <v>1857</v>
      </c>
      <c r="F343" s="3">
        <v>1</v>
      </c>
      <c r="G343" s="13" t="s">
        <v>55</v>
      </c>
      <c r="H343" s="170"/>
      <c r="I343" s="170"/>
    </row>
    <row r="344" spans="1:9" s="40" customFormat="1" ht="15" x14ac:dyDescent="0.25">
      <c r="A344" s="5" t="s">
        <v>0</v>
      </c>
      <c r="B344" s="5" t="s">
        <v>0</v>
      </c>
      <c r="C344" s="28" t="s">
        <v>98</v>
      </c>
      <c r="D344" s="3">
        <f t="shared" si="48"/>
        <v>1858</v>
      </c>
      <c r="E344" s="3">
        <f t="shared" si="49"/>
        <v>1858</v>
      </c>
      <c r="F344" s="3">
        <v>1</v>
      </c>
      <c r="G344" s="23" t="s">
        <v>128</v>
      </c>
      <c r="H344" s="170"/>
      <c r="I344" s="170"/>
    </row>
    <row r="345" spans="1:9" s="40" customFormat="1" ht="15" x14ac:dyDescent="0.25">
      <c r="A345" s="5" t="s">
        <v>0</v>
      </c>
      <c r="B345" s="5" t="s">
        <v>0</v>
      </c>
      <c r="C345" s="28" t="s">
        <v>98</v>
      </c>
      <c r="D345" s="3">
        <f t="shared" si="48"/>
        <v>1859</v>
      </c>
      <c r="E345" s="3">
        <f t="shared" si="49"/>
        <v>1859</v>
      </c>
      <c r="F345" s="3">
        <v>1</v>
      </c>
      <c r="G345" s="23" t="s">
        <v>129</v>
      </c>
      <c r="H345" s="170"/>
      <c r="I345" s="170"/>
    </row>
    <row r="346" spans="1:9" s="40" customFormat="1" ht="15" x14ac:dyDescent="0.25">
      <c r="A346" s="5" t="s">
        <v>0</v>
      </c>
      <c r="B346" s="5" t="s">
        <v>0</v>
      </c>
      <c r="C346" s="28" t="s">
        <v>98</v>
      </c>
      <c r="D346" s="3">
        <f t="shared" si="48"/>
        <v>1860</v>
      </c>
      <c r="E346" s="3">
        <f t="shared" si="49"/>
        <v>1860</v>
      </c>
      <c r="F346" s="3">
        <v>1</v>
      </c>
      <c r="G346" s="23" t="s">
        <v>130</v>
      </c>
      <c r="H346" s="170"/>
      <c r="I346" s="170"/>
    </row>
    <row r="347" spans="1:9" s="40" customFormat="1" ht="15" x14ac:dyDescent="0.25">
      <c r="A347" s="5" t="s">
        <v>0</v>
      </c>
      <c r="B347" s="5" t="s">
        <v>0</v>
      </c>
      <c r="C347" s="28" t="s">
        <v>98</v>
      </c>
      <c r="D347" s="3">
        <f t="shared" si="48"/>
        <v>1861</v>
      </c>
      <c r="E347" s="3">
        <f t="shared" si="49"/>
        <v>1861</v>
      </c>
      <c r="F347" s="3">
        <v>1</v>
      </c>
      <c r="G347" s="23" t="s">
        <v>275</v>
      </c>
      <c r="H347" s="170"/>
      <c r="I347" s="170"/>
    </row>
    <row r="348" spans="1:9" s="40" customFormat="1" ht="15" x14ac:dyDescent="0.25">
      <c r="A348" s="5" t="s">
        <v>0</v>
      </c>
      <c r="B348" s="5" t="s">
        <v>0</v>
      </c>
      <c r="C348" s="28" t="s">
        <v>97</v>
      </c>
      <c r="D348" s="3">
        <f t="shared" si="48"/>
        <v>1862</v>
      </c>
      <c r="E348" s="3">
        <f t="shared" si="49"/>
        <v>1862</v>
      </c>
      <c r="F348" s="3">
        <v>1</v>
      </c>
      <c r="G348" s="23" t="s">
        <v>310</v>
      </c>
      <c r="H348" s="170"/>
      <c r="I348" s="170"/>
    </row>
    <row r="349" spans="1:9" s="40" customFormat="1" ht="15" x14ac:dyDescent="0.25">
      <c r="A349" s="5" t="s">
        <v>0</v>
      </c>
      <c r="B349" s="5" t="s">
        <v>0</v>
      </c>
      <c r="C349" s="28" t="s">
        <v>98</v>
      </c>
      <c r="D349" s="3">
        <f>D348+F348</f>
        <v>1863</v>
      </c>
      <c r="E349" s="3">
        <f t="shared" si="49"/>
        <v>1863</v>
      </c>
      <c r="F349" s="3">
        <v>1</v>
      </c>
      <c r="G349" s="23" t="s">
        <v>131</v>
      </c>
      <c r="H349" s="170"/>
      <c r="I349" s="170"/>
    </row>
    <row r="350" spans="1:9" s="40" customFormat="1" ht="15" x14ac:dyDescent="0.25">
      <c r="A350" s="5" t="s">
        <v>0</v>
      </c>
      <c r="B350" s="5" t="s">
        <v>0</v>
      </c>
      <c r="C350" s="28" t="s">
        <v>98</v>
      </c>
      <c r="D350" s="3">
        <f t="shared" si="48"/>
        <v>1864</v>
      </c>
      <c r="E350" s="3">
        <f t="shared" si="49"/>
        <v>1864</v>
      </c>
      <c r="F350" s="3">
        <v>1</v>
      </c>
      <c r="G350" s="23" t="s">
        <v>132</v>
      </c>
      <c r="H350" s="170"/>
      <c r="I350" s="170"/>
    </row>
    <row r="351" spans="1:9" s="40" customFormat="1" ht="15" x14ac:dyDescent="0.25">
      <c r="A351" s="5" t="s">
        <v>0</v>
      </c>
      <c r="B351" s="5" t="s">
        <v>0</v>
      </c>
      <c r="C351" s="28" t="s">
        <v>98</v>
      </c>
      <c r="D351" s="3">
        <f t="shared" si="48"/>
        <v>1865</v>
      </c>
      <c r="E351" s="3">
        <f t="shared" si="49"/>
        <v>1865</v>
      </c>
      <c r="F351" s="3">
        <v>1</v>
      </c>
      <c r="G351" s="23" t="s">
        <v>133</v>
      </c>
      <c r="H351" s="170"/>
      <c r="I351" s="170"/>
    </row>
    <row r="352" spans="1:9" s="40" customFormat="1" ht="15" x14ac:dyDescent="0.25">
      <c r="A352" s="5" t="s">
        <v>0</v>
      </c>
      <c r="B352" s="5" t="s">
        <v>0</v>
      </c>
      <c r="C352" s="28" t="s">
        <v>98</v>
      </c>
      <c r="D352" s="3">
        <f t="shared" si="48"/>
        <v>1866</v>
      </c>
      <c r="E352" s="3">
        <f t="shared" si="49"/>
        <v>1866</v>
      </c>
      <c r="F352" s="3">
        <v>1</v>
      </c>
      <c r="G352" s="23" t="s">
        <v>134</v>
      </c>
      <c r="H352" s="170"/>
      <c r="I352" s="170"/>
    </row>
    <row r="353" spans="1:9" s="40" customFormat="1" ht="15" x14ac:dyDescent="0.25">
      <c r="A353" s="5" t="s">
        <v>0</v>
      </c>
      <c r="B353" s="5" t="s">
        <v>0</v>
      </c>
      <c r="C353" s="28" t="s">
        <v>98</v>
      </c>
      <c r="D353" s="3">
        <f t="shared" si="48"/>
        <v>1867</v>
      </c>
      <c r="E353" s="3">
        <f t="shared" si="49"/>
        <v>1867</v>
      </c>
      <c r="F353" s="3">
        <v>1</v>
      </c>
      <c r="G353" s="23" t="s">
        <v>135</v>
      </c>
      <c r="H353" s="170"/>
      <c r="I353" s="170"/>
    </row>
    <row r="354" spans="1:9" s="40" customFormat="1" ht="15" x14ac:dyDescent="0.25">
      <c r="A354" s="5" t="s">
        <v>0</v>
      </c>
      <c r="B354" s="5" t="s">
        <v>0</v>
      </c>
      <c r="C354" s="28" t="s">
        <v>98</v>
      </c>
      <c r="D354" s="3">
        <f t="shared" si="48"/>
        <v>1868</v>
      </c>
      <c r="E354" s="3">
        <f t="shared" si="49"/>
        <v>1868</v>
      </c>
      <c r="F354" s="3">
        <v>1</v>
      </c>
      <c r="G354" s="23" t="s">
        <v>136</v>
      </c>
      <c r="H354" s="170"/>
      <c r="I354" s="170"/>
    </row>
    <row r="355" spans="1:9" s="40" customFormat="1" ht="15" x14ac:dyDescent="0.25">
      <c r="A355" s="5"/>
      <c r="B355" s="5"/>
      <c r="C355" s="28"/>
      <c r="D355" s="3">
        <f t="shared" si="48"/>
        <v>1869</v>
      </c>
      <c r="E355" s="3">
        <f t="shared" si="49"/>
        <v>1888</v>
      </c>
      <c r="F355" s="3">
        <v>20</v>
      </c>
      <c r="G355" s="23" t="s">
        <v>55</v>
      </c>
      <c r="H355" s="41"/>
      <c r="I355" s="43"/>
    </row>
    <row r="356" spans="1:9" s="40" customFormat="1" ht="15" x14ac:dyDescent="0.25">
      <c r="A356" s="5"/>
      <c r="B356" s="5"/>
      <c r="C356" s="3"/>
      <c r="D356" s="3"/>
      <c r="E356" s="3"/>
      <c r="F356" s="3"/>
      <c r="G356" s="24" t="s">
        <v>202</v>
      </c>
      <c r="H356" s="41"/>
      <c r="I356" s="43"/>
    </row>
    <row r="357" spans="1:9" s="40" customFormat="1" ht="63.75" x14ac:dyDescent="0.25">
      <c r="A357" s="5" t="s">
        <v>0</v>
      </c>
      <c r="B357" s="5" t="s">
        <v>0</v>
      </c>
      <c r="C357" s="28" t="s">
        <v>98</v>
      </c>
      <c r="D357" s="3">
        <f>D355+F355</f>
        <v>1889</v>
      </c>
      <c r="E357" s="3">
        <f t="shared" ref="E357:E364" si="50">D357+F357-1</f>
        <v>1891</v>
      </c>
      <c r="F357" s="3">
        <v>3</v>
      </c>
      <c r="G357" s="23" t="s">
        <v>24</v>
      </c>
      <c r="H357" s="43" t="s">
        <v>80</v>
      </c>
      <c r="I357" s="75" t="s">
        <v>690</v>
      </c>
    </row>
    <row r="358" spans="1:9" s="40" customFormat="1" ht="63.75" x14ac:dyDescent="0.25">
      <c r="A358" s="5" t="s">
        <v>0</v>
      </c>
      <c r="B358" s="5" t="s">
        <v>0</v>
      </c>
      <c r="C358" s="28" t="s">
        <v>98</v>
      </c>
      <c r="D358" s="3">
        <f t="shared" ref="D358:D364" si="51">D357+F357</f>
        <v>1892</v>
      </c>
      <c r="E358" s="3">
        <f t="shared" si="50"/>
        <v>1894</v>
      </c>
      <c r="F358" s="3">
        <v>3</v>
      </c>
      <c r="G358" s="23" t="s">
        <v>25</v>
      </c>
      <c r="H358" s="43" t="s">
        <v>80</v>
      </c>
      <c r="I358" s="75" t="s">
        <v>691</v>
      </c>
    </row>
    <row r="359" spans="1:9" s="40" customFormat="1" ht="89.25" x14ac:dyDescent="0.25">
      <c r="A359" s="5" t="s">
        <v>0</v>
      </c>
      <c r="B359" s="5" t="s">
        <v>0</v>
      </c>
      <c r="C359" s="28" t="s">
        <v>98</v>
      </c>
      <c r="D359" s="3">
        <f t="shared" si="51"/>
        <v>1895</v>
      </c>
      <c r="E359" s="3">
        <f t="shared" si="50"/>
        <v>1897</v>
      </c>
      <c r="F359" s="3">
        <v>3</v>
      </c>
      <c r="G359" s="23" t="s">
        <v>142</v>
      </c>
      <c r="H359" s="43" t="s">
        <v>80</v>
      </c>
      <c r="I359" s="12" t="s">
        <v>284</v>
      </c>
    </row>
    <row r="360" spans="1:9" s="40" customFormat="1" ht="76.5" x14ac:dyDescent="0.25">
      <c r="A360" s="5" t="s">
        <v>0</v>
      </c>
      <c r="B360" s="5" t="s">
        <v>0</v>
      </c>
      <c r="C360" s="28" t="s">
        <v>98</v>
      </c>
      <c r="D360" s="3">
        <f t="shared" si="51"/>
        <v>1898</v>
      </c>
      <c r="E360" s="3">
        <f t="shared" si="50"/>
        <v>1900</v>
      </c>
      <c r="F360" s="3">
        <v>3</v>
      </c>
      <c r="G360" s="23" t="s">
        <v>143</v>
      </c>
      <c r="H360" s="43" t="s">
        <v>85</v>
      </c>
      <c r="I360" s="75" t="s">
        <v>692</v>
      </c>
    </row>
    <row r="361" spans="1:9" s="40" customFormat="1" ht="63.75" x14ac:dyDescent="0.25">
      <c r="A361" s="5" t="s">
        <v>0</v>
      </c>
      <c r="B361" s="5" t="s">
        <v>0</v>
      </c>
      <c r="C361" s="28" t="s">
        <v>98</v>
      </c>
      <c r="D361" s="3">
        <f t="shared" si="51"/>
        <v>1901</v>
      </c>
      <c r="E361" s="3">
        <f t="shared" si="50"/>
        <v>1903</v>
      </c>
      <c r="F361" s="3">
        <v>3</v>
      </c>
      <c r="G361" s="23" t="s">
        <v>30</v>
      </c>
      <c r="H361" s="85" t="s">
        <v>530</v>
      </c>
      <c r="I361" s="12" t="s">
        <v>285</v>
      </c>
    </row>
    <row r="362" spans="1:9" s="40" customFormat="1" ht="140.25" x14ac:dyDescent="0.25">
      <c r="A362" s="5" t="s">
        <v>0</v>
      </c>
      <c r="B362" s="5" t="s">
        <v>0</v>
      </c>
      <c r="C362" s="28" t="s">
        <v>98</v>
      </c>
      <c r="D362" s="3">
        <f t="shared" si="51"/>
        <v>1904</v>
      </c>
      <c r="E362" s="3">
        <f t="shared" si="50"/>
        <v>1906</v>
      </c>
      <c r="F362" s="83">
        <v>3</v>
      </c>
      <c r="G362" s="23" t="s">
        <v>120</v>
      </c>
      <c r="H362" s="86" t="s">
        <v>514</v>
      </c>
      <c r="I362" s="54" t="s">
        <v>286</v>
      </c>
    </row>
    <row r="363" spans="1:9" s="40" customFormat="1" ht="127.5" x14ac:dyDescent="0.25">
      <c r="A363" s="5" t="s">
        <v>0</v>
      </c>
      <c r="B363" s="5" t="s">
        <v>0</v>
      </c>
      <c r="C363" s="28" t="s">
        <v>394</v>
      </c>
      <c r="D363" s="3">
        <f t="shared" si="51"/>
        <v>1907</v>
      </c>
      <c r="E363" s="3">
        <f t="shared" si="50"/>
        <v>1909</v>
      </c>
      <c r="F363" s="3">
        <v>3</v>
      </c>
      <c r="G363" s="23" t="s">
        <v>124</v>
      </c>
      <c r="H363" s="86" t="s">
        <v>513</v>
      </c>
      <c r="I363" s="44" t="s">
        <v>287</v>
      </c>
    </row>
    <row r="364" spans="1:9" s="40" customFormat="1" ht="15" x14ac:dyDescent="0.25">
      <c r="A364" s="5"/>
      <c r="B364" s="5"/>
      <c r="C364" s="28"/>
      <c r="D364" s="3">
        <f t="shared" si="51"/>
        <v>1910</v>
      </c>
      <c r="E364" s="3">
        <f t="shared" si="50"/>
        <v>1923</v>
      </c>
      <c r="F364" s="82">
        <v>14</v>
      </c>
      <c r="G364" s="23" t="s">
        <v>55</v>
      </c>
      <c r="H364" s="41"/>
      <c r="I364" s="44"/>
    </row>
    <row r="365" spans="1:9" s="40" customFormat="1" ht="15" x14ac:dyDescent="0.25">
      <c r="A365" s="5"/>
      <c r="B365" s="5"/>
      <c r="C365" s="28"/>
      <c r="D365" s="3"/>
      <c r="E365" s="3"/>
      <c r="F365" s="3"/>
      <c r="G365" s="24" t="s">
        <v>276</v>
      </c>
      <c r="H365" s="41"/>
      <c r="I365" s="44"/>
    </row>
    <row r="366" spans="1:9" s="40" customFormat="1" ht="15" x14ac:dyDescent="0.25">
      <c r="A366" s="5" t="s">
        <v>6</v>
      </c>
      <c r="B366" s="5" t="s">
        <v>6</v>
      </c>
      <c r="C366" s="28" t="s">
        <v>98</v>
      </c>
      <c r="D366" s="3">
        <f>D364+F364</f>
        <v>1924</v>
      </c>
      <c r="E366" s="3">
        <f>D366+F366-1</f>
        <v>1926</v>
      </c>
      <c r="F366" s="3">
        <v>3</v>
      </c>
      <c r="G366" s="23" t="s">
        <v>258</v>
      </c>
      <c r="H366" s="195" t="s">
        <v>529</v>
      </c>
      <c r="I366" s="175" t="s">
        <v>260</v>
      </c>
    </row>
    <row r="367" spans="1:9" s="40" customFormat="1" ht="25.15" customHeight="1" x14ac:dyDescent="0.25">
      <c r="A367" s="5" t="s">
        <v>6</v>
      </c>
      <c r="B367" s="5" t="s">
        <v>6</v>
      </c>
      <c r="C367" s="28" t="s">
        <v>98</v>
      </c>
      <c r="D367" s="3">
        <f>D366+F366</f>
        <v>1927</v>
      </c>
      <c r="E367" s="3">
        <f>D367+F367-1</f>
        <v>1929</v>
      </c>
      <c r="F367" s="3">
        <v>3</v>
      </c>
      <c r="G367" s="23" t="s">
        <v>259</v>
      </c>
      <c r="H367" s="196"/>
      <c r="I367" s="197"/>
    </row>
    <row r="368" spans="1:9" s="40" customFormat="1" ht="15" x14ac:dyDescent="0.25">
      <c r="A368" s="109"/>
      <c r="B368" s="109"/>
      <c r="C368" s="110"/>
      <c r="D368" s="111"/>
      <c r="E368" s="111"/>
      <c r="F368" s="111"/>
      <c r="G368" s="112" t="s">
        <v>140</v>
      </c>
      <c r="H368" s="113"/>
      <c r="I368" s="114"/>
    </row>
    <row r="369" spans="1:9" s="40" customFormat="1" ht="38.25" x14ac:dyDescent="0.25">
      <c r="A369" s="109" t="s">
        <v>0</v>
      </c>
      <c r="B369" s="109" t="s">
        <v>0</v>
      </c>
      <c r="C369" s="110" t="s">
        <v>98</v>
      </c>
      <c r="D369" s="111">
        <f>D367+F367</f>
        <v>1930</v>
      </c>
      <c r="E369" s="111">
        <f t="shared" ref="E369:E376" si="52">D369+F369-1</f>
        <v>1931</v>
      </c>
      <c r="F369" s="111">
        <v>2</v>
      </c>
      <c r="G369" s="115" t="s">
        <v>169</v>
      </c>
      <c r="H369" s="113" t="s">
        <v>84</v>
      </c>
      <c r="I369" s="114" t="s">
        <v>203</v>
      </c>
    </row>
    <row r="370" spans="1:9" s="40" customFormat="1" ht="51" x14ac:dyDescent="0.25">
      <c r="A370" s="109" t="s">
        <v>0</v>
      </c>
      <c r="B370" s="109" t="s">
        <v>0</v>
      </c>
      <c r="C370" s="110" t="s">
        <v>98</v>
      </c>
      <c r="D370" s="111">
        <f t="shared" ref="D370:D376" si="53">D369+F369</f>
        <v>1932</v>
      </c>
      <c r="E370" s="111">
        <f t="shared" si="52"/>
        <v>1934</v>
      </c>
      <c r="F370" s="111">
        <v>3</v>
      </c>
      <c r="G370" s="115" t="s">
        <v>185</v>
      </c>
      <c r="H370" s="113" t="s">
        <v>85</v>
      </c>
      <c r="I370" s="114" t="s">
        <v>204</v>
      </c>
    </row>
    <row r="371" spans="1:9" s="40" customFormat="1" ht="51" x14ac:dyDescent="0.25">
      <c r="A371" s="109" t="s">
        <v>0</v>
      </c>
      <c r="B371" s="109" t="s">
        <v>0</v>
      </c>
      <c r="C371" s="110" t="s">
        <v>98</v>
      </c>
      <c r="D371" s="111">
        <f t="shared" si="53"/>
        <v>1935</v>
      </c>
      <c r="E371" s="111">
        <f t="shared" si="52"/>
        <v>1936</v>
      </c>
      <c r="F371" s="111">
        <v>2</v>
      </c>
      <c r="G371" s="115" t="s">
        <v>170</v>
      </c>
      <c r="H371" s="113" t="s">
        <v>84</v>
      </c>
      <c r="I371" s="114" t="s">
        <v>205</v>
      </c>
    </row>
    <row r="372" spans="1:9" s="40" customFormat="1" ht="63.75" x14ac:dyDescent="0.25">
      <c r="A372" s="109" t="s">
        <v>0</v>
      </c>
      <c r="B372" s="109" t="s">
        <v>0</v>
      </c>
      <c r="C372" s="110" t="s">
        <v>98</v>
      </c>
      <c r="D372" s="111">
        <f t="shared" si="53"/>
        <v>1937</v>
      </c>
      <c r="E372" s="111">
        <f t="shared" si="52"/>
        <v>1939</v>
      </c>
      <c r="F372" s="111">
        <v>3</v>
      </c>
      <c r="G372" s="115" t="s">
        <v>186</v>
      </c>
      <c r="H372" s="113" t="s">
        <v>85</v>
      </c>
      <c r="I372" s="114" t="s">
        <v>206</v>
      </c>
    </row>
    <row r="373" spans="1:9" s="40" customFormat="1" ht="51" x14ac:dyDescent="0.25">
      <c r="A373" s="109" t="s">
        <v>0</v>
      </c>
      <c r="B373" s="109" t="s">
        <v>0</v>
      </c>
      <c r="C373" s="110" t="s">
        <v>98</v>
      </c>
      <c r="D373" s="111">
        <f t="shared" si="53"/>
        <v>1940</v>
      </c>
      <c r="E373" s="111">
        <f t="shared" si="52"/>
        <v>1941</v>
      </c>
      <c r="F373" s="111">
        <v>2</v>
      </c>
      <c r="G373" s="115" t="s">
        <v>171</v>
      </c>
      <c r="H373" s="113" t="s">
        <v>84</v>
      </c>
      <c r="I373" s="114" t="s">
        <v>208</v>
      </c>
    </row>
    <row r="374" spans="1:9" s="40" customFormat="1" ht="63.75" x14ac:dyDescent="0.25">
      <c r="A374" s="109" t="s">
        <v>0</v>
      </c>
      <c r="B374" s="109" t="s">
        <v>0</v>
      </c>
      <c r="C374" s="110" t="s">
        <v>98</v>
      </c>
      <c r="D374" s="111">
        <f t="shared" si="53"/>
        <v>1942</v>
      </c>
      <c r="E374" s="111">
        <f t="shared" si="52"/>
        <v>1944</v>
      </c>
      <c r="F374" s="111">
        <v>3</v>
      </c>
      <c r="G374" s="115" t="s">
        <v>187</v>
      </c>
      <c r="H374" s="113" t="s">
        <v>85</v>
      </c>
      <c r="I374" s="114" t="s">
        <v>207</v>
      </c>
    </row>
    <row r="375" spans="1:9" s="40" customFormat="1" ht="51" x14ac:dyDescent="0.25">
      <c r="A375" s="109" t="s">
        <v>0</v>
      </c>
      <c r="B375" s="109" t="s">
        <v>0</v>
      </c>
      <c r="C375" s="110" t="s">
        <v>98</v>
      </c>
      <c r="D375" s="111">
        <f t="shared" si="53"/>
        <v>1945</v>
      </c>
      <c r="E375" s="111">
        <f t="shared" si="52"/>
        <v>1946</v>
      </c>
      <c r="F375" s="111">
        <v>2</v>
      </c>
      <c r="G375" s="115" t="s">
        <v>172</v>
      </c>
      <c r="H375" s="113" t="s">
        <v>84</v>
      </c>
      <c r="I375" s="114" t="s">
        <v>209</v>
      </c>
    </row>
    <row r="376" spans="1:9" s="40" customFormat="1" ht="63.75" x14ac:dyDescent="0.25">
      <c r="A376" s="109" t="s">
        <v>0</v>
      </c>
      <c r="B376" s="109" t="s">
        <v>0</v>
      </c>
      <c r="C376" s="110" t="s">
        <v>98</v>
      </c>
      <c r="D376" s="111">
        <f t="shared" si="53"/>
        <v>1947</v>
      </c>
      <c r="E376" s="111">
        <f t="shared" si="52"/>
        <v>1949</v>
      </c>
      <c r="F376" s="111">
        <v>3</v>
      </c>
      <c r="G376" s="115" t="s">
        <v>188</v>
      </c>
      <c r="H376" s="113" t="s">
        <v>85</v>
      </c>
      <c r="I376" s="114" t="s">
        <v>210</v>
      </c>
    </row>
    <row r="377" spans="1:9" s="40" customFormat="1" ht="15" x14ac:dyDescent="0.25">
      <c r="A377" s="94"/>
      <c r="B377" s="94"/>
      <c r="C377" s="95"/>
      <c r="D377" s="96"/>
      <c r="E377" s="96"/>
      <c r="F377" s="96"/>
      <c r="G377" s="97" t="s">
        <v>454</v>
      </c>
      <c r="H377" s="86"/>
      <c r="I377" s="98"/>
    </row>
    <row r="378" spans="1:9" s="40" customFormat="1" ht="51" x14ac:dyDescent="0.25">
      <c r="A378" s="99" t="s">
        <v>0</v>
      </c>
      <c r="B378" s="99" t="s">
        <v>0</v>
      </c>
      <c r="C378" s="95" t="s">
        <v>98</v>
      </c>
      <c r="D378" s="96">
        <f>D367+F367</f>
        <v>1930</v>
      </c>
      <c r="E378" s="100">
        <f t="shared" ref="E378:E390" si="54">D378+F378-1</f>
        <v>1933</v>
      </c>
      <c r="F378" s="101">
        <v>4</v>
      </c>
      <c r="G378" s="102" t="s">
        <v>441</v>
      </c>
      <c r="H378" s="155" t="s">
        <v>709</v>
      </c>
      <c r="I378" s="98" t="s">
        <v>609</v>
      </c>
    </row>
    <row r="379" spans="1:9" s="40" customFormat="1" ht="76.5" x14ac:dyDescent="0.25">
      <c r="A379" s="99" t="s">
        <v>0</v>
      </c>
      <c r="B379" s="99" t="s">
        <v>0</v>
      </c>
      <c r="C379" s="95" t="s">
        <v>98</v>
      </c>
      <c r="D379" s="101">
        <f t="shared" ref="D379" si="55">D378+F378</f>
        <v>1934</v>
      </c>
      <c r="E379" s="100">
        <f t="shared" si="54"/>
        <v>1934</v>
      </c>
      <c r="F379" s="101">
        <v>1</v>
      </c>
      <c r="G379" s="102" t="s">
        <v>442</v>
      </c>
      <c r="H379" s="103" t="s">
        <v>443</v>
      </c>
      <c r="I379" s="98" t="s">
        <v>585</v>
      </c>
    </row>
    <row r="380" spans="1:9" s="40" customFormat="1" ht="63.75" x14ac:dyDescent="0.25">
      <c r="A380" s="99" t="s">
        <v>0</v>
      </c>
      <c r="B380" s="99" t="s">
        <v>0</v>
      </c>
      <c r="C380" s="95" t="s">
        <v>98</v>
      </c>
      <c r="D380" s="101">
        <f>D379+F379</f>
        <v>1935</v>
      </c>
      <c r="E380" s="100">
        <f t="shared" si="54"/>
        <v>1937</v>
      </c>
      <c r="F380" s="101">
        <v>3</v>
      </c>
      <c r="G380" s="102" t="s">
        <v>444</v>
      </c>
      <c r="H380" s="103" t="s">
        <v>85</v>
      </c>
      <c r="I380" s="98" t="s">
        <v>610</v>
      </c>
    </row>
    <row r="381" spans="1:9" s="40" customFormat="1" ht="63.75" x14ac:dyDescent="0.25">
      <c r="A381" s="99" t="s">
        <v>0</v>
      </c>
      <c r="B381" s="99" t="s">
        <v>0</v>
      </c>
      <c r="C381" s="95" t="s">
        <v>98</v>
      </c>
      <c r="D381" s="101">
        <f>D380+F380</f>
        <v>1938</v>
      </c>
      <c r="E381" s="100">
        <f t="shared" si="54"/>
        <v>1941</v>
      </c>
      <c r="F381" s="101">
        <v>4</v>
      </c>
      <c r="G381" s="102" t="s">
        <v>445</v>
      </c>
      <c r="H381" s="155" t="s">
        <v>709</v>
      </c>
      <c r="I381" s="98" t="s">
        <v>617</v>
      </c>
    </row>
    <row r="382" spans="1:9" s="40" customFormat="1" ht="89.25" x14ac:dyDescent="0.25">
      <c r="A382" s="99" t="s">
        <v>0</v>
      </c>
      <c r="B382" s="99" t="s">
        <v>0</v>
      </c>
      <c r="C382" s="95" t="s">
        <v>98</v>
      </c>
      <c r="D382" s="101">
        <f t="shared" ref="D382" si="56">D381+F381</f>
        <v>1942</v>
      </c>
      <c r="E382" s="100">
        <f t="shared" si="54"/>
        <v>1942</v>
      </c>
      <c r="F382" s="101">
        <v>1</v>
      </c>
      <c r="G382" s="102" t="s">
        <v>446</v>
      </c>
      <c r="H382" s="103" t="s">
        <v>443</v>
      </c>
      <c r="I382" s="98" t="s">
        <v>583</v>
      </c>
    </row>
    <row r="383" spans="1:9" s="40" customFormat="1" ht="63.75" x14ac:dyDescent="0.25">
      <c r="A383" s="99" t="s">
        <v>0</v>
      </c>
      <c r="B383" s="99" t="s">
        <v>0</v>
      </c>
      <c r="C383" s="95" t="s">
        <v>98</v>
      </c>
      <c r="D383" s="101">
        <f>D382+F382</f>
        <v>1943</v>
      </c>
      <c r="E383" s="100">
        <f t="shared" si="54"/>
        <v>1945</v>
      </c>
      <c r="F383" s="101">
        <v>3</v>
      </c>
      <c r="G383" s="102" t="s">
        <v>447</v>
      </c>
      <c r="H383" s="103" t="s">
        <v>85</v>
      </c>
      <c r="I383" s="98" t="s">
        <v>611</v>
      </c>
    </row>
    <row r="384" spans="1:9" s="40" customFormat="1" ht="63.75" x14ac:dyDescent="0.25">
      <c r="A384" s="99" t="s">
        <v>0</v>
      </c>
      <c r="B384" s="99" t="s">
        <v>0</v>
      </c>
      <c r="C384" s="95" t="s">
        <v>98</v>
      </c>
      <c r="D384" s="101">
        <f>D383+F383</f>
        <v>1946</v>
      </c>
      <c r="E384" s="100">
        <f t="shared" si="54"/>
        <v>1949</v>
      </c>
      <c r="F384" s="101">
        <v>4</v>
      </c>
      <c r="G384" s="102" t="s">
        <v>448</v>
      </c>
      <c r="H384" s="155" t="s">
        <v>709</v>
      </c>
      <c r="I384" s="98" t="s">
        <v>618</v>
      </c>
    </row>
    <row r="385" spans="1:9" s="40" customFormat="1" ht="102" x14ac:dyDescent="0.25">
      <c r="A385" s="99" t="s">
        <v>0</v>
      </c>
      <c r="B385" s="99" t="s">
        <v>0</v>
      </c>
      <c r="C385" s="95" t="s">
        <v>98</v>
      </c>
      <c r="D385" s="101">
        <f t="shared" ref="D385" si="57">D384+F384</f>
        <v>1950</v>
      </c>
      <c r="E385" s="100">
        <f t="shared" si="54"/>
        <v>1950</v>
      </c>
      <c r="F385" s="101">
        <v>1</v>
      </c>
      <c r="G385" s="102" t="s">
        <v>449</v>
      </c>
      <c r="H385" s="103" t="s">
        <v>443</v>
      </c>
      <c r="I385" s="98" t="s">
        <v>602</v>
      </c>
    </row>
    <row r="386" spans="1:9" s="40" customFormat="1" ht="76.5" x14ac:dyDescent="0.25">
      <c r="A386" s="99" t="s">
        <v>0</v>
      </c>
      <c r="B386" s="99" t="s">
        <v>0</v>
      </c>
      <c r="C386" s="95" t="s">
        <v>98</v>
      </c>
      <c r="D386" s="101">
        <f>D385+F385</f>
        <v>1951</v>
      </c>
      <c r="E386" s="100">
        <f t="shared" si="54"/>
        <v>1953</v>
      </c>
      <c r="F386" s="101">
        <v>3</v>
      </c>
      <c r="G386" s="102" t="s">
        <v>450</v>
      </c>
      <c r="H386" s="104" t="s">
        <v>85</v>
      </c>
      <c r="I386" s="105" t="s">
        <v>619</v>
      </c>
    </row>
    <row r="387" spans="1:9" s="40" customFormat="1" ht="63.75" x14ac:dyDescent="0.25">
      <c r="A387" s="99" t="s">
        <v>0</v>
      </c>
      <c r="B387" s="99" t="s">
        <v>0</v>
      </c>
      <c r="C387" s="95" t="s">
        <v>98</v>
      </c>
      <c r="D387" s="101">
        <f>D386+F386</f>
        <v>1954</v>
      </c>
      <c r="E387" s="100">
        <f t="shared" si="54"/>
        <v>1957</v>
      </c>
      <c r="F387" s="101">
        <v>4</v>
      </c>
      <c r="G387" s="102" t="s">
        <v>451</v>
      </c>
      <c r="H387" s="155" t="s">
        <v>709</v>
      </c>
      <c r="I387" s="105" t="s">
        <v>612</v>
      </c>
    </row>
    <row r="388" spans="1:9" s="40" customFormat="1" ht="76.5" x14ac:dyDescent="0.25">
      <c r="A388" s="99" t="s">
        <v>0</v>
      </c>
      <c r="B388" s="99" t="s">
        <v>0</v>
      </c>
      <c r="C388" s="95" t="s">
        <v>98</v>
      </c>
      <c r="D388" s="101">
        <f t="shared" ref="D388" si="58">D387+F387</f>
        <v>1958</v>
      </c>
      <c r="E388" s="100">
        <f t="shared" si="54"/>
        <v>1958</v>
      </c>
      <c r="F388" s="101">
        <v>1</v>
      </c>
      <c r="G388" s="102" t="s">
        <v>452</v>
      </c>
      <c r="H388" s="103" t="s">
        <v>443</v>
      </c>
      <c r="I388" s="98" t="s">
        <v>603</v>
      </c>
    </row>
    <row r="389" spans="1:9" s="40" customFormat="1" ht="63.75" x14ac:dyDescent="0.25">
      <c r="A389" s="99" t="s">
        <v>0</v>
      </c>
      <c r="B389" s="99" t="s">
        <v>0</v>
      </c>
      <c r="C389" s="95" t="s">
        <v>98</v>
      </c>
      <c r="D389" s="101">
        <f>D388+F388</f>
        <v>1959</v>
      </c>
      <c r="E389" s="100">
        <f t="shared" si="54"/>
        <v>1961</v>
      </c>
      <c r="F389" s="101">
        <v>3</v>
      </c>
      <c r="G389" s="102" t="s">
        <v>453</v>
      </c>
      <c r="H389" s="104" t="s">
        <v>85</v>
      </c>
      <c r="I389" s="105" t="s">
        <v>613</v>
      </c>
    </row>
    <row r="390" spans="1:9" s="40" customFormat="1" ht="15" x14ac:dyDescent="0.25">
      <c r="A390" s="99"/>
      <c r="B390" s="99"/>
      <c r="C390" s="95"/>
      <c r="D390" s="101">
        <f>D389+F389</f>
        <v>1962</v>
      </c>
      <c r="E390" s="100">
        <f t="shared" si="54"/>
        <v>1962</v>
      </c>
      <c r="F390" s="94">
        <v>1</v>
      </c>
      <c r="G390" s="102" t="s">
        <v>55</v>
      </c>
      <c r="H390" s="104"/>
      <c r="I390" s="105"/>
    </row>
    <row r="391" spans="1:9" s="64" customFormat="1" ht="22.9" customHeight="1" x14ac:dyDescent="0.2">
      <c r="A391" s="99"/>
      <c r="B391" s="99"/>
      <c r="C391" s="95"/>
      <c r="D391" s="101"/>
      <c r="E391" s="100" t="s">
        <v>551</v>
      </c>
      <c r="F391" s="101"/>
      <c r="G391" s="106" t="s">
        <v>670</v>
      </c>
      <c r="H391" s="104"/>
      <c r="I391" s="105"/>
    </row>
    <row r="392" spans="1:9" s="64" customFormat="1" ht="99.6" customHeight="1" x14ac:dyDescent="0.2">
      <c r="A392" s="99" t="s">
        <v>0</v>
      </c>
      <c r="B392" s="99" t="s">
        <v>0</v>
      </c>
      <c r="C392" s="95" t="s">
        <v>98</v>
      </c>
      <c r="D392" s="101">
        <f>D390+F390</f>
        <v>1963</v>
      </c>
      <c r="E392" s="100">
        <f t="shared" ref="E392:E397" si="59">D392+F392-1</f>
        <v>1966</v>
      </c>
      <c r="F392" s="101">
        <v>4</v>
      </c>
      <c r="G392" s="102" t="s">
        <v>665</v>
      </c>
      <c r="H392" s="155" t="s">
        <v>709</v>
      </c>
      <c r="I392" s="105" t="s">
        <v>666</v>
      </c>
    </row>
    <row r="393" spans="1:9" s="64" customFormat="1" ht="102" customHeight="1" x14ac:dyDescent="0.2">
      <c r="A393" s="99" t="s">
        <v>0</v>
      </c>
      <c r="B393" s="99" t="s">
        <v>0</v>
      </c>
      <c r="C393" s="95" t="s">
        <v>98</v>
      </c>
      <c r="D393" s="101">
        <f t="shared" ref="D393:D398" si="60">D392+F392</f>
        <v>1967</v>
      </c>
      <c r="E393" s="100">
        <f t="shared" si="59"/>
        <v>1967</v>
      </c>
      <c r="F393" s="101">
        <v>1</v>
      </c>
      <c r="G393" s="102" t="s">
        <v>667</v>
      </c>
      <c r="H393" s="104" t="s">
        <v>443</v>
      </c>
      <c r="I393" s="98" t="s">
        <v>668</v>
      </c>
    </row>
    <row r="394" spans="1:9" s="64" customFormat="1" ht="76.900000000000006" customHeight="1" x14ac:dyDescent="0.2">
      <c r="A394" s="99" t="s">
        <v>0</v>
      </c>
      <c r="B394" s="99" t="s">
        <v>0</v>
      </c>
      <c r="C394" s="95" t="s">
        <v>98</v>
      </c>
      <c r="D394" s="101">
        <f t="shared" si="60"/>
        <v>1968</v>
      </c>
      <c r="E394" s="100">
        <f t="shared" si="59"/>
        <v>1970</v>
      </c>
      <c r="F394" s="101">
        <v>3</v>
      </c>
      <c r="G394" s="102" t="s">
        <v>682</v>
      </c>
      <c r="H394" s="104" t="s">
        <v>85</v>
      </c>
      <c r="I394" s="105" t="s">
        <v>669</v>
      </c>
    </row>
    <row r="395" spans="1:9" s="64" customFormat="1" ht="33.6" customHeight="1" x14ac:dyDescent="0.2">
      <c r="A395" s="99" t="s">
        <v>0</v>
      </c>
      <c r="B395" s="99" t="s">
        <v>0</v>
      </c>
      <c r="C395" s="95" t="s">
        <v>98</v>
      </c>
      <c r="D395" s="101">
        <f t="shared" si="60"/>
        <v>1971</v>
      </c>
      <c r="E395" s="100">
        <f t="shared" si="59"/>
        <v>1974</v>
      </c>
      <c r="F395" s="101">
        <v>4</v>
      </c>
      <c r="G395" s="102" t="s">
        <v>676</v>
      </c>
      <c r="H395" s="155" t="s">
        <v>709</v>
      </c>
      <c r="I395" s="105" t="s">
        <v>678</v>
      </c>
    </row>
    <row r="396" spans="1:9" s="64" customFormat="1" ht="37.15" customHeight="1" x14ac:dyDescent="0.2">
      <c r="A396" s="99" t="s">
        <v>0</v>
      </c>
      <c r="B396" s="99" t="s">
        <v>0</v>
      </c>
      <c r="C396" s="95" t="s">
        <v>98</v>
      </c>
      <c r="D396" s="101">
        <f t="shared" si="60"/>
        <v>1975</v>
      </c>
      <c r="E396" s="100">
        <f t="shared" si="59"/>
        <v>1975</v>
      </c>
      <c r="F396" s="101">
        <v>1</v>
      </c>
      <c r="G396" s="102" t="s">
        <v>675</v>
      </c>
      <c r="H396" s="104" t="s">
        <v>443</v>
      </c>
      <c r="I396" s="98" t="s">
        <v>679</v>
      </c>
    </row>
    <row r="397" spans="1:9" s="64" customFormat="1" ht="47.45" customHeight="1" x14ac:dyDescent="0.2">
      <c r="A397" s="99" t="s">
        <v>0</v>
      </c>
      <c r="B397" s="99" t="s">
        <v>0</v>
      </c>
      <c r="C397" s="95" t="s">
        <v>98</v>
      </c>
      <c r="D397" s="101">
        <f t="shared" si="60"/>
        <v>1976</v>
      </c>
      <c r="E397" s="100">
        <f t="shared" si="59"/>
        <v>1978</v>
      </c>
      <c r="F397" s="101">
        <v>3</v>
      </c>
      <c r="G397" s="102" t="s">
        <v>677</v>
      </c>
      <c r="H397" s="104" t="s">
        <v>85</v>
      </c>
      <c r="I397" s="105" t="s">
        <v>680</v>
      </c>
    </row>
    <row r="398" spans="1:9" s="40" customFormat="1" ht="15" x14ac:dyDescent="0.25">
      <c r="A398" s="128"/>
      <c r="B398" s="128"/>
      <c r="C398" s="129"/>
      <c r="D398" s="101">
        <f t="shared" si="60"/>
        <v>1979</v>
      </c>
      <c r="E398" s="130">
        <f>D398+F398-1</f>
        <v>1979</v>
      </c>
      <c r="F398" s="84">
        <v>1</v>
      </c>
      <c r="G398" s="131" t="s">
        <v>55</v>
      </c>
      <c r="H398" s="85"/>
      <c r="I398" s="87"/>
    </row>
    <row r="399" spans="1:9" s="40" customFormat="1" ht="15" x14ac:dyDescent="0.25">
      <c r="A399" s="5"/>
      <c r="B399" s="5"/>
      <c r="C399" s="28"/>
      <c r="D399" s="3"/>
      <c r="E399" s="3"/>
      <c r="F399" s="3"/>
      <c r="G399" s="24" t="s">
        <v>374</v>
      </c>
      <c r="H399" s="78"/>
      <c r="I399" s="79"/>
    </row>
    <row r="400" spans="1:9" s="40" customFormat="1" ht="25.5" x14ac:dyDescent="0.25">
      <c r="A400" s="5" t="s">
        <v>0</v>
      </c>
      <c r="B400" s="5" t="s">
        <v>0</v>
      </c>
      <c r="C400" s="28" t="s">
        <v>394</v>
      </c>
      <c r="D400" s="3">
        <f>D398+F398</f>
        <v>1980</v>
      </c>
      <c r="E400" s="3">
        <f t="shared" ref="E400:E408" si="61">D400+F400-1</f>
        <v>1981</v>
      </c>
      <c r="F400" s="5">
        <v>2</v>
      </c>
      <c r="G400" s="13" t="s">
        <v>381</v>
      </c>
      <c r="H400" s="41" t="s">
        <v>92</v>
      </c>
      <c r="I400" s="43" t="s">
        <v>159</v>
      </c>
    </row>
    <row r="401" spans="1:9" s="40" customFormat="1" ht="63.75" x14ac:dyDescent="0.25">
      <c r="A401" s="5" t="s">
        <v>0</v>
      </c>
      <c r="B401" s="5" t="s">
        <v>0</v>
      </c>
      <c r="C401" s="28" t="s">
        <v>98</v>
      </c>
      <c r="D401" s="3">
        <f t="shared" ref="D401:D408" si="62">D400+F400</f>
        <v>1982</v>
      </c>
      <c r="E401" s="3">
        <f t="shared" si="61"/>
        <v>1982</v>
      </c>
      <c r="F401" s="3">
        <v>1</v>
      </c>
      <c r="G401" s="23" t="s">
        <v>26</v>
      </c>
      <c r="H401" s="41" t="s">
        <v>125</v>
      </c>
      <c r="I401" s="43" t="s">
        <v>410</v>
      </c>
    </row>
    <row r="402" spans="1:9" s="40" customFormat="1" ht="38.25" x14ac:dyDescent="0.25">
      <c r="A402" s="5" t="s">
        <v>0</v>
      </c>
      <c r="B402" s="5" t="s">
        <v>0</v>
      </c>
      <c r="C402" s="28" t="s">
        <v>98</v>
      </c>
      <c r="D402" s="3">
        <f t="shared" si="62"/>
        <v>1983</v>
      </c>
      <c r="E402" s="3">
        <f t="shared" si="61"/>
        <v>1983</v>
      </c>
      <c r="F402" s="3">
        <v>1</v>
      </c>
      <c r="G402" s="23" t="s">
        <v>27</v>
      </c>
      <c r="H402" s="41" t="s">
        <v>81</v>
      </c>
      <c r="I402" s="43" t="s">
        <v>121</v>
      </c>
    </row>
    <row r="403" spans="1:9" s="40" customFormat="1" ht="38.25" x14ac:dyDescent="0.25">
      <c r="A403" s="5" t="s">
        <v>0</v>
      </c>
      <c r="B403" s="5" t="s">
        <v>0</v>
      </c>
      <c r="C403" s="28" t="s">
        <v>99</v>
      </c>
      <c r="D403" s="3">
        <f t="shared" si="62"/>
        <v>1984</v>
      </c>
      <c r="E403" s="3">
        <f t="shared" si="61"/>
        <v>1984</v>
      </c>
      <c r="F403" s="3">
        <v>1</v>
      </c>
      <c r="G403" s="23" t="s">
        <v>122</v>
      </c>
      <c r="H403" s="41" t="s">
        <v>261</v>
      </c>
      <c r="I403" s="43" t="s">
        <v>262</v>
      </c>
    </row>
    <row r="404" spans="1:9" s="40" customFormat="1" ht="51" x14ac:dyDescent="0.25">
      <c r="A404" s="5" t="s">
        <v>0</v>
      </c>
      <c r="B404" s="5" t="s">
        <v>0</v>
      </c>
      <c r="C404" s="28" t="s">
        <v>98</v>
      </c>
      <c r="D404" s="3">
        <f t="shared" si="62"/>
        <v>1985</v>
      </c>
      <c r="E404" s="3">
        <f t="shared" si="61"/>
        <v>1985</v>
      </c>
      <c r="F404" s="3">
        <v>1</v>
      </c>
      <c r="G404" s="23" t="s">
        <v>28</v>
      </c>
      <c r="H404" s="41" t="s">
        <v>82</v>
      </c>
      <c r="I404" s="43" t="s">
        <v>264</v>
      </c>
    </row>
    <row r="405" spans="1:9" s="40" customFormat="1" ht="177" customHeight="1" x14ac:dyDescent="0.25">
      <c r="A405" s="5" t="s">
        <v>0</v>
      </c>
      <c r="B405" s="5" t="s">
        <v>0</v>
      </c>
      <c r="C405" s="28" t="s">
        <v>98</v>
      </c>
      <c r="D405" s="3">
        <f t="shared" si="62"/>
        <v>1986</v>
      </c>
      <c r="E405" s="3">
        <f t="shared" si="61"/>
        <v>1986</v>
      </c>
      <c r="F405" s="3">
        <v>1</v>
      </c>
      <c r="G405" s="23" t="s">
        <v>32</v>
      </c>
      <c r="H405" s="41" t="s">
        <v>79</v>
      </c>
      <c r="I405" s="43" t="s">
        <v>367</v>
      </c>
    </row>
    <row r="406" spans="1:9" s="40" customFormat="1" ht="63.75" x14ac:dyDescent="0.25">
      <c r="A406" s="5" t="s">
        <v>0</v>
      </c>
      <c r="B406" s="5" t="s">
        <v>0</v>
      </c>
      <c r="C406" s="28" t="s">
        <v>98</v>
      </c>
      <c r="D406" s="3">
        <f t="shared" si="62"/>
        <v>1987</v>
      </c>
      <c r="E406" s="3">
        <f t="shared" si="61"/>
        <v>1987</v>
      </c>
      <c r="F406" s="3">
        <v>1</v>
      </c>
      <c r="G406" s="23" t="s">
        <v>29</v>
      </c>
      <c r="H406" s="41" t="s">
        <v>78</v>
      </c>
      <c r="I406" s="43" t="s">
        <v>328</v>
      </c>
    </row>
    <row r="407" spans="1:9" s="40" customFormat="1" ht="38.25" x14ac:dyDescent="0.25">
      <c r="A407" s="5" t="s">
        <v>6</v>
      </c>
      <c r="B407" s="5" t="s">
        <v>6</v>
      </c>
      <c r="C407" s="28" t="s">
        <v>99</v>
      </c>
      <c r="D407" s="3">
        <f t="shared" si="62"/>
        <v>1988</v>
      </c>
      <c r="E407" s="3">
        <f t="shared" si="61"/>
        <v>1988</v>
      </c>
      <c r="F407" s="3">
        <v>1</v>
      </c>
      <c r="G407" s="23" t="s">
        <v>119</v>
      </c>
      <c r="H407" s="42" t="s">
        <v>408</v>
      </c>
      <c r="I407" s="43" t="s">
        <v>409</v>
      </c>
    </row>
    <row r="408" spans="1:9" s="40" customFormat="1" ht="15" x14ac:dyDescent="0.25">
      <c r="A408" s="5"/>
      <c r="B408" s="5"/>
      <c r="C408" s="29"/>
      <c r="D408" s="3">
        <f t="shared" si="62"/>
        <v>1989</v>
      </c>
      <c r="E408" s="3">
        <f t="shared" si="61"/>
        <v>1990</v>
      </c>
      <c r="F408" s="6">
        <v>2</v>
      </c>
      <c r="G408" s="9" t="s">
        <v>55</v>
      </c>
      <c r="H408" s="41"/>
      <c r="I408" s="43"/>
    </row>
    <row r="409" spans="1:9" s="40" customFormat="1" ht="15" x14ac:dyDescent="0.25">
      <c r="A409" s="5"/>
      <c r="B409" s="5"/>
      <c r="C409" s="29"/>
      <c r="D409" s="3"/>
      <c r="E409" s="3"/>
      <c r="F409" s="6"/>
      <c r="G409" s="24" t="s">
        <v>158</v>
      </c>
      <c r="H409" s="41"/>
      <c r="I409" s="43"/>
    </row>
    <row r="410" spans="1:9" s="40" customFormat="1" ht="89.25" x14ac:dyDescent="0.25">
      <c r="A410" s="5" t="s">
        <v>6</v>
      </c>
      <c r="B410" s="5" t="s">
        <v>6</v>
      </c>
      <c r="C410" s="29" t="s">
        <v>99</v>
      </c>
      <c r="D410" s="3">
        <f>D408+F408</f>
        <v>1991</v>
      </c>
      <c r="E410" s="3">
        <f>D410+F410-1</f>
        <v>1991</v>
      </c>
      <c r="F410" s="6">
        <v>1</v>
      </c>
      <c r="G410" s="13" t="s">
        <v>368</v>
      </c>
      <c r="H410" s="44" t="s">
        <v>118</v>
      </c>
      <c r="I410" s="43" t="s">
        <v>369</v>
      </c>
    </row>
    <row r="411" spans="1:9" s="40" customFormat="1" ht="63.75" x14ac:dyDescent="0.25">
      <c r="A411" s="5" t="s">
        <v>6</v>
      </c>
      <c r="B411" s="5" t="s">
        <v>6</v>
      </c>
      <c r="C411" s="29" t="s">
        <v>99</v>
      </c>
      <c r="D411" s="3">
        <f>D410+F410</f>
        <v>1992</v>
      </c>
      <c r="E411" s="3">
        <f>D411+F411-1</f>
        <v>1992</v>
      </c>
      <c r="F411" s="6">
        <v>1</v>
      </c>
      <c r="G411" s="9" t="s">
        <v>116</v>
      </c>
      <c r="H411" s="44" t="s">
        <v>118</v>
      </c>
      <c r="I411" s="43" t="s">
        <v>162</v>
      </c>
    </row>
    <row r="412" spans="1:9" s="40" customFormat="1" ht="63.75" x14ac:dyDescent="0.25">
      <c r="A412" s="5" t="s">
        <v>6</v>
      </c>
      <c r="B412" s="5" t="s">
        <v>6</v>
      </c>
      <c r="C412" s="29" t="s">
        <v>99</v>
      </c>
      <c r="D412" s="3">
        <f>D411+F411</f>
        <v>1993</v>
      </c>
      <c r="E412" s="3">
        <f>D412+F412-1</f>
        <v>1993</v>
      </c>
      <c r="F412" s="6">
        <v>1</v>
      </c>
      <c r="G412" s="9" t="s">
        <v>117</v>
      </c>
      <c r="H412" s="44" t="s">
        <v>118</v>
      </c>
      <c r="I412" s="43" t="s">
        <v>265</v>
      </c>
    </row>
    <row r="413" spans="1:9" s="40" customFormat="1" ht="15" x14ac:dyDescent="0.25">
      <c r="A413" s="5"/>
      <c r="B413" s="5"/>
      <c r="C413" s="29"/>
      <c r="D413" s="3">
        <f>D412+F412</f>
        <v>1994</v>
      </c>
      <c r="E413" s="3">
        <f>D413+F413-1</f>
        <v>2003</v>
      </c>
      <c r="F413" s="6">
        <v>10</v>
      </c>
      <c r="G413" s="9" t="s">
        <v>55</v>
      </c>
      <c r="H413" s="44"/>
      <c r="I413" s="43"/>
    </row>
    <row r="414" spans="1:9" s="40" customFormat="1" ht="15" x14ac:dyDescent="0.25">
      <c r="A414" s="5"/>
      <c r="B414" s="5"/>
      <c r="C414" s="28"/>
      <c r="D414" s="3"/>
      <c r="E414" s="3"/>
      <c r="F414" s="3"/>
      <c r="G414" s="24" t="s">
        <v>36</v>
      </c>
      <c r="H414" s="41"/>
      <c r="I414" s="43"/>
    </row>
    <row r="415" spans="1:9" s="40" customFormat="1" ht="25.5" x14ac:dyDescent="0.25">
      <c r="A415" s="5" t="s">
        <v>0</v>
      </c>
      <c r="B415" s="5" t="s">
        <v>0</v>
      </c>
      <c r="C415" s="3" t="s">
        <v>96</v>
      </c>
      <c r="D415" s="3">
        <f>D413+F413</f>
        <v>2004</v>
      </c>
      <c r="E415" s="3">
        <f t="shared" ref="E415:E422" si="63">D415+F415-1</f>
        <v>2007</v>
      </c>
      <c r="F415" s="3">
        <v>4</v>
      </c>
      <c r="G415" s="23" t="s">
        <v>34</v>
      </c>
      <c r="H415" s="41" t="s">
        <v>88</v>
      </c>
      <c r="I415" s="170" t="s">
        <v>87</v>
      </c>
    </row>
    <row r="416" spans="1:9" s="40" customFormat="1" ht="51" x14ac:dyDescent="0.25">
      <c r="A416" s="5" t="s">
        <v>0</v>
      </c>
      <c r="B416" s="5" t="s">
        <v>0</v>
      </c>
      <c r="C416" s="3" t="s">
        <v>96</v>
      </c>
      <c r="D416" s="3">
        <f t="shared" ref="D416:D420" si="64">D415+F415</f>
        <v>2008</v>
      </c>
      <c r="E416" s="3">
        <f t="shared" si="63"/>
        <v>2009</v>
      </c>
      <c r="F416" s="3">
        <v>2</v>
      </c>
      <c r="G416" s="23" t="s">
        <v>33</v>
      </c>
      <c r="H416" s="41" t="s">
        <v>86</v>
      </c>
      <c r="I416" s="170"/>
    </row>
    <row r="417" spans="1:9" s="40" customFormat="1" ht="25.5" x14ac:dyDescent="0.25">
      <c r="A417" s="5" t="s">
        <v>0</v>
      </c>
      <c r="B417" s="5" t="s">
        <v>0</v>
      </c>
      <c r="C417" s="3" t="s">
        <v>96</v>
      </c>
      <c r="D417" s="3">
        <f t="shared" si="64"/>
        <v>2010</v>
      </c>
      <c r="E417" s="3">
        <f t="shared" si="63"/>
        <v>2012</v>
      </c>
      <c r="F417" s="3">
        <v>3</v>
      </c>
      <c r="G417" s="23" t="s">
        <v>35</v>
      </c>
      <c r="H417" s="41" t="s">
        <v>89</v>
      </c>
      <c r="I417" s="43" t="s">
        <v>90</v>
      </c>
    </row>
    <row r="418" spans="1:9" s="40" customFormat="1" ht="63.75" x14ac:dyDescent="0.25">
      <c r="A418" s="5" t="s">
        <v>0</v>
      </c>
      <c r="B418" s="5" t="s">
        <v>0</v>
      </c>
      <c r="C418" s="3" t="s">
        <v>96</v>
      </c>
      <c r="D418" s="3">
        <f t="shared" si="64"/>
        <v>2013</v>
      </c>
      <c r="E418" s="3">
        <f t="shared" si="63"/>
        <v>2015</v>
      </c>
      <c r="F418" s="3">
        <v>3</v>
      </c>
      <c r="G418" s="23" t="s">
        <v>329</v>
      </c>
      <c r="H418" s="41" t="s">
        <v>330</v>
      </c>
      <c r="I418" s="43" t="s">
        <v>91</v>
      </c>
    </row>
    <row r="419" spans="1:9" s="40" customFormat="1" ht="15" x14ac:dyDescent="0.25">
      <c r="A419" s="5"/>
      <c r="B419" s="5"/>
      <c r="C419" s="28"/>
      <c r="D419" s="3">
        <f t="shared" si="64"/>
        <v>2016</v>
      </c>
      <c r="E419" s="3">
        <f t="shared" si="63"/>
        <v>2025</v>
      </c>
      <c r="F419" s="3">
        <v>10</v>
      </c>
      <c r="G419" s="23" t="s">
        <v>55</v>
      </c>
      <c r="H419" s="41"/>
      <c r="I419" s="43"/>
    </row>
    <row r="420" spans="1:9" s="40" customFormat="1" ht="188.25" customHeight="1" x14ac:dyDescent="0.25">
      <c r="A420" s="5" t="s">
        <v>6</v>
      </c>
      <c r="B420" s="5" t="s">
        <v>6</v>
      </c>
      <c r="C420" s="28" t="s">
        <v>99</v>
      </c>
      <c r="D420" s="3">
        <f t="shared" si="64"/>
        <v>2026</v>
      </c>
      <c r="E420" s="5">
        <f t="shared" si="63"/>
        <v>2225</v>
      </c>
      <c r="F420" s="5">
        <v>200</v>
      </c>
      <c r="G420" s="13" t="s">
        <v>407</v>
      </c>
      <c r="H420" s="203" t="s">
        <v>713</v>
      </c>
      <c r="I420" s="98" t="s">
        <v>490</v>
      </c>
    </row>
    <row r="421" spans="1:9" s="40" customFormat="1" ht="187.5" customHeight="1" x14ac:dyDescent="0.25">
      <c r="A421" s="5" t="s">
        <v>6</v>
      </c>
      <c r="B421" s="5" t="s">
        <v>6</v>
      </c>
      <c r="C421" s="28" t="s">
        <v>98</v>
      </c>
      <c r="D421" s="3">
        <f t="shared" ref="D421" si="65">D420+F420</f>
        <v>2226</v>
      </c>
      <c r="E421" s="3">
        <f t="shared" ref="E421" si="66">D421+F421-1</f>
        <v>2325</v>
      </c>
      <c r="F421" s="3">
        <v>100</v>
      </c>
      <c r="G421" s="13" t="s">
        <v>401</v>
      </c>
      <c r="H421" s="203"/>
      <c r="I421" s="98" t="s">
        <v>491</v>
      </c>
    </row>
    <row r="422" spans="1:9" s="40" customFormat="1" ht="15" x14ac:dyDescent="0.25">
      <c r="A422" s="5"/>
      <c r="B422" s="5"/>
      <c r="C422" s="28"/>
      <c r="D422" s="3">
        <f>D421+F421</f>
        <v>2326</v>
      </c>
      <c r="E422" s="3">
        <f t="shared" si="63"/>
        <v>2341</v>
      </c>
      <c r="F422" s="3">
        <v>16</v>
      </c>
      <c r="G422" s="23" t="s">
        <v>55</v>
      </c>
      <c r="H422" s="41"/>
      <c r="I422" s="43"/>
    </row>
    <row r="423" spans="1:9" x14ac:dyDescent="0.25">
      <c r="A423" s="5"/>
      <c r="B423" s="5"/>
      <c r="C423" s="6"/>
      <c r="D423" s="3"/>
      <c r="E423" s="3"/>
      <c r="F423" s="7"/>
      <c r="G423" s="24" t="s">
        <v>94</v>
      </c>
      <c r="H423" s="14"/>
      <c r="I423" s="18"/>
    </row>
    <row r="424" spans="1:9" ht="25.5" x14ac:dyDescent="0.25">
      <c r="A424" s="5" t="s">
        <v>0</v>
      </c>
      <c r="B424" s="5" t="s">
        <v>0</v>
      </c>
      <c r="C424" s="28" t="s">
        <v>97</v>
      </c>
      <c r="D424" s="3">
        <f>D422+F422</f>
        <v>2342</v>
      </c>
      <c r="E424" s="3">
        <f>D424+F424-1</f>
        <v>2342</v>
      </c>
      <c r="F424" s="3">
        <v>1</v>
      </c>
      <c r="G424" s="23" t="s">
        <v>37</v>
      </c>
      <c r="H424" s="41" t="s">
        <v>54</v>
      </c>
    </row>
    <row r="425" spans="1:9" ht="140.25" x14ac:dyDescent="0.25">
      <c r="A425" s="5" t="s">
        <v>0</v>
      </c>
      <c r="B425" s="5" t="s">
        <v>0</v>
      </c>
      <c r="C425" s="28" t="s">
        <v>97</v>
      </c>
      <c r="D425" s="3">
        <f>D424+F424</f>
        <v>2343</v>
      </c>
      <c r="E425" s="3">
        <f t="shared" ref="E425:E439" si="67">D425+F425-1</f>
        <v>2347</v>
      </c>
      <c r="F425" s="3">
        <v>5</v>
      </c>
      <c r="G425" s="23" t="s">
        <v>13</v>
      </c>
      <c r="H425" s="132" t="s">
        <v>539</v>
      </c>
      <c r="I425" s="87" t="s">
        <v>540</v>
      </c>
    </row>
    <row r="426" spans="1:9" ht="51" x14ac:dyDescent="0.25">
      <c r="A426" s="5" t="s">
        <v>6</v>
      </c>
      <c r="B426" s="5" t="s">
        <v>6</v>
      </c>
      <c r="C426" s="28" t="s">
        <v>97</v>
      </c>
      <c r="D426" s="3">
        <f>D425+F425</f>
        <v>2348</v>
      </c>
      <c r="E426" s="3">
        <f t="shared" si="67"/>
        <v>2353</v>
      </c>
      <c r="F426" s="3">
        <v>6</v>
      </c>
      <c r="G426" s="23" t="s">
        <v>14</v>
      </c>
      <c r="H426" s="42" t="s">
        <v>404</v>
      </c>
      <c r="I426" s="43" t="s">
        <v>405</v>
      </c>
    </row>
    <row r="427" spans="1:9" s="40" customFormat="1" ht="18.75" customHeight="1" x14ac:dyDescent="0.25">
      <c r="A427" s="5" t="s">
        <v>0</v>
      </c>
      <c r="B427" s="5" t="s">
        <v>6</v>
      </c>
      <c r="C427" s="28" t="s">
        <v>97</v>
      </c>
      <c r="D427" s="3">
        <f t="shared" ref="D427:D432" si="68">D426+F426</f>
        <v>2354</v>
      </c>
      <c r="E427" s="3">
        <f t="shared" si="67"/>
        <v>2373</v>
      </c>
      <c r="F427" s="3">
        <v>20</v>
      </c>
      <c r="G427" s="23" t="s">
        <v>15</v>
      </c>
      <c r="H427" s="168" t="s">
        <v>256</v>
      </c>
      <c r="I427" s="175" t="s">
        <v>359</v>
      </c>
    </row>
    <row r="428" spans="1:9" s="40" customFormat="1" ht="18.75" customHeight="1" x14ac:dyDescent="0.25">
      <c r="A428" s="5" t="s">
        <v>0</v>
      </c>
      <c r="B428" s="5" t="s">
        <v>6</v>
      </c>
      <c r="C428" s="28" t="s">
        <v>97</v>
      </c>
      <c r="D428" s="3">
        <f t="shared" si="68"/>
        <v>2374</v>
      </c>
      <c r="E428" s="3">
        <f t="shared" si="67"/>
        <v>2388</v>
      </c>
      <c r="F428" s="3">
        <v>15</v>
      </c>
      <c r="G428" s="23" t="s">
        <v>16</v>
      </c>
      <c r="H428" s="168"/>
      <c r="I428" s="175"/>
    </row>
    <row r="429" spans="1:9" s="40" customFormat="1" ht="21.75" customHeight="1" x14ac:dyDescent="0.25">
      <c r="A429" s="5" t="s">
        <v>0</v>
      </c>
      <c r="B429" s="5" t="s">
        <v>6</v>
      </c>
      <c r="C429" s="28" t="s">
        <v>97</v>
      </c>
      <c r="D429" s="3">
        <f t="shared" si="68"/>
        <v>2389</v>
      </c>
      <c r="E429" s="3">
        <f t="shared" si="67"/>
        <v>2389</v>
      </c>
      <c r="F429" s="3">
        <v>1</v>
      </c>
      <c r="G429" s="23" t="s">
        <v>273</v>
      </c>
      <c r="H429" s="168"/>
      <c r="I429" s="175"/>
    </row>
    <row r="430" spans="1:9" s="40" customFormat="1" ht="38.25" x14ac:dyDescent="0.25">
      <c r="A430" s="5" t="s">
        <v>6</v>
      </c>
      <c r="B430" s="5" t="s">
        <v>6</v>
      </c>
      <c r="C430" s="28" t="s">
        <v>97</v>
      </c>
      <c r="D430" s="3">
        <f t="shared" si="68"/>
        <v>2390</v>
      </c>
      <c r="E430" s="3">
        <f t="shared" si="67"/>
        <v>2392</v>
      </c>
      <c r="F430" s="3">
        <v>3</v>
      </c>
      <c r="G430" s="23" t="s">
        <v>155</v>
      </c>
      <c r="H430" s="45" t="s">
        <v>156</v>
      </c>
      <c r="I430" s="183" t="s">
        <v>493</v>
      </c>
    </row>
    <row r="431" spans="1:9" s="40" customFormat="1" ht="15" x14ac:dyDescent="0.25">
      <c r="A431" s="5" t="s">
        <v>6</v>
      </c>
      <c r="B431" s="5" t="s">
        <v>6</v>
      </c>
      <c r="C431" s="28" t="s">
        <v>97</v>
      </c>
      <c r="D431" s="3">
        <f>D430+F430</f>
        <v>2393</v>
      </c>
      <c r="E431" s="3">
        <f t="shared" si="67"/>
        <v>2412</v>
      </c>
      <c r="F431" s="3">
        <v>20</v>
      </c>
      <c r="G431" s="23" t="s">
        <v>17</v>
      </c>
      <c r="H431" s="168" t="s">
        <v>256</v>
      </c>
      <c r="I431" s="183"/>
    </row>
    <row r="432" spans="1:9" s="40" customFormat="1" ht="15" x14ac:dyDescent="0.25">
      <c r="A432" s="5" t="s">
        <v>6</v>
      </c>
      <c r="B432" s="5" t="s">
        <v>6</v>
      </c>
      <c r="C432" s="28" t="s">
        <v>97</v>
      </c>
      <c r="D432" s="3">
        <f t="shared" si="68"/>
        <v>2413</v>
      </c>
      <c r="E432" s="3">
        <f t="shared" si="67"/>
        <v>2432</v>
      </c>
      <c r="F432" s="3">
        <v>20</v>
      </c>
      <c r="G432" s="23" t="s">
        <v>18</v>
      </c>
      <c r="H432" s="168"/>
      <c r="I432" s="183"/>
    </row>
    <row r="433" spans="1:9" s="40" customFormat="1" ht="15" x14ac:dyDescent="0.25">
      <c r="A433" s="5" t="s">
        <v>6</v>
      </c>
      <c r="B433" s="5" t="s">
        <v>6</v>
      </c>
      <c r="C433" s="28" t="s">
        <v>97</v>
      </c>
      <c r="D433" s="3">
        <f t="shared" ref="D433:D439" si="69">D432+F432</f>
        <v>2433</v>
      </c>
      <c r="E433" s="3">
        <f t="shared" si="67"/>
        <v>2433</v>
      </c>
      <c r="F433" s="3">
        <v>1</v>
      </c>
      <c r="G433" s="23" t="s">
        <v>274</v>
      </c>
      <c r="H433" s="168"/>
      <c r="I433" s="183"/>
    </row>
    <row r="434" spans="1:9" s="40" customFormat="1" ht="76.5" x14ac:dyDescent="0.25">
      <c r="A434" s="5" t="s">
        <v>0</v>
      </c>
      <c r="B434" s="5" t="s">
        <v>0</v>
      </c>
      <c r="C434" s="28" t="s">
        <v>237</v>
      </c>
      <c r="D434" s="3">
        <f t="shared" si="69"/>
        <v>2434</v>
      </c>
      <c r="E434" s="3">
        <f>D434+F434-1</f>
        <v>2439</v>
      </c>
      <c r="F434" s="3">
        <v>6</v>
      </c>
      <c r="G434" s="23" t="s">
        <v>154</v>
      </c>
      <c r="H434" s="85" t="s">
        <v>492</v>
      </c>
      <c r="I434" s="43" t="s">
        <v>360</v>
      </c>
    </row>
    <row r="435" spans="1:9" ht="89.25" x14ac:dyDescent="0.25">
      <c r="A435" s="5" t="s">
        <v>0</v>
      </c>
      <c r="B435" s="5" t="s">
        <v>0</v>
      </c>
      <c r="C435" s="28" t="s">
        <v>97</v>
      </c>
      <c r="D435" s="3">
        <f t="shared" si="69"/>
        <v>2440</v>
      </c>
      <c r="E435" s="3">
        <f t="shared" si="67"/>
        <v>2469</v>
      </c>
      <c r="F435" s="3">
        <v>30</v>
      </c>
      <c r="G435" s="23" t="s">
        <v>19</v>
      </c>
      <c r="H435" s="85" t="s">
        <v>502</v>
      </c>
      <c r="I435" s="43" t="s">
        <v>361</v>
      </c>
    </row>
    <row r="436" spans="1:9" s="40" customFormat="1" ht="51" x14ac:dyDescent="0.25">
      <c r="A436" s="5" t="s">
        <v>0</v>
      </c>
      <c r="B436" s="5" t="s">
        <v>0</v>
      </c>
      <c r="C436" s="28" t="s">
        <v>97</v>
      </c>
      <c r="D436" s="3">
        <f t="shared" si="69"/>
        <v>2470</v>
      </c>
      <c r="E436" s="3">
        <f t="shared" si="67"/>
        <v>2489</v>
      </c>
      <c r="F436" s="3">
        <v>20</v>
      </c>
      <c r="G436" s="23" t="s">
        <v>112</v>
      </c>
      <c r="H436" s="41" t="s">
        <v>338</v>
      </c>
      <c r="I436" s="43" t="s">
        <v>359</v>
      </c>
    </row>
    <row r="437" spans="1:9" s="40" customFormat="1" ht="38.25" x14ac:dyDescent="0.25">
      <c r="A437" s="5" t="s">
        <v>0</v>
      </c>
      <c r="B437" s="5" t="s">
        <v>0</v>
      </c>
      <c r="C437" s="28" t="s">
        <v>237</v>
      </c>
      <c r="D437" s="3">
        <f t="shared" si="69"/>
        <v>2490</v>
      </c>
      <c r="E437" s="3">
        <f>D437+F437-1</f>
        <v>2495</v>
      </c>
      <c r="F437" s="3">
        <v>6</v>
      </c>
      <c r="G437" s="23" t="s">
        <v>114</v>
      </c>
      <c r="H437" s="41" t="s">
        <v>115</v>
      </c>
      <c r="I437" s="43" t="s">
        <v>309</v>
      </c>
    </row>
    <row r="438" spans="1:9" s="40" customFormat="1" ht="25.5" x14ac:dyDescent="0.25">
      <c r="A438" s="5" t="s">
        <v>0</v>
      </c>
      <c r="B438" s="5" t="s">
        <v>0</v>
      </c>
      <c r="C438" s="28" t="s">
        <v>237</v>
      </c>
      <c r="D438" s="3">
        <f t="shared" si="69"/>
        <v>2496</v>
      </c>
      <c r="E438" s="3">
        <f>D438+F438-1</f>
        <v>2496</v>
      </c>
      <c r="F438" s="3">
        <v>1</v>
      </c>
      <c r="G438" s="23" t="s">
        <v>316</v>
      </c>
      <c r="H438" s="41" t="s">
        <v>307</v>
      </c>
      <c r="I438" s="43" t="s">
        <v>306</v>
      </c>
    </row>
    <row r="439" spans="1:9" s="40" customFormat="1" ht="15" x14ac:dyDescent="0.25">
      <c r="A439" s="5"/>
      <c r="B439" s="5"/>
      <c r="C439" s="30"/>
      <c r="D439" s="3">
        <f t="shared" si="69"/>
        <v>2497</v>
      </c>
      <c r="E439" s="3">
        <f t="shared" si="67"/>
        <v>2516</v>
      </c>
      <c r="F439" s="3">
        <v>20</v>
      </c>
      <c r="G439" s="23" t="s">
        <v>55</v>
      </c>
      <c r="H439" s="41"/>
      <c r="I439" s="43"/>
    </row>
    <row r="440" spans="1:9" s="40" customFormat="1" ht="15" x14ac:dyDescent="0.25">
      <c r="A440" s="5"/>
      <c r="B440" s="5"/>
      <c r="C440" s="6"/>
      <c r="D440" s="3"/>
      <c r="E440" s="3"/>
      <c r="F440" s="7"/>
      <c r="G440" s="24" t="s">
        <v>20</v>
      </c>
      <c r="H440" s="14"/>
      <c r="I440" s="18"/>
    </row>
    <row r="441" spans="1:9" s="40" customFormat="1" ht="38.25" x14ac:dyDescent="0.25">
      <c r="A441" s="5" t="s">
        <v>6</v>
      </c>
      <c r="B441" s="5" t="s">
        <v>6</v>
      </c>
      <c r="C441" s="28" t="s">
        <v>98</v>
      </c>
      <c r="D441" s="3">
        <f>D439+F439</f>
        <v>2517</v>
      </c>
      <c r="E441" s="3">
        <f>D441+F441-1</f>
        <v>2517</v>
      </c>
      <c r="F441" s="3">
        <v>1</v>
      </c>
      <c r="G441" s="23" t="s">
        <v>21</v>
      </c>
      <c r="H441" s="41" t="s">
        <v>102</v>
      </c>
      <c r="I441" s="173"/>
    </row>
    <row r="442" spans="1:9" s="40" customFormat="1" ht="38.25" x14ac:dyDescent="0.25">
      <c r="A442" s="5" t="s">
        <v>6</v>
      </c>
      <c r="B442" s="5" t="s">
        <v>6</v>
      </c>
      <c r="C442" s="28" t="s">
        <v>98</v>
      </c>
      <c r="D442" s="3">
        <f>D441+F441</f>
        <v>2518</v>
      </c>
      <c r="E442" s="3">
        <f>D442+F442-1</f>
        <v>2518</v>
      </c>
      <c r="F442" s="3">
        <v>1</v>
      </c>
      <c r="G442" s="23" t="s">
        <v>22</v>
      </c>
      <c r="H442" s="41" t="s">
        <v>102</v>
      </c>
      <c r="I442" s="170"/>
    </row>
    <row r="443" spans="1:9" s="40" customFormat="1" ht="38.25" x14ac:dyDescent="0.25">
      <c r="A443" s="5" t="s">
        <v>6</v>
      </c>
      <c r="B443" s="5" t="s">
        <v>6</v>
      </c>
      <c r="C443" s="28" t="s">
        <v>98</v>
      </c>
      <c r="D443" s="3">
        <f>D442+F442</f>
        <v>2519</v>
      </c>
      <c r="E443" s="3">
        <f>D443+F443-1</f>
        <v>2519</v>
      </c>
      <c r="F443" s="3">
        <v>1</v>
      </c>
      <c r="G443" s="23" t="s">
        <v>23</v>
      </c>
      <c r="H443" s="41" t="s">
        <v>102</v>
      </c>
      <c r="I443" s="170"/>
    </row>
    <row r="444" spans="1:9" s="40" customFormat="1" ht="15" x14ac:dyDescent="0.25">
      <c r="A444" s="5"/>
      <c r="B444" s="5"/>
      <c r="C444" s="28"/>
      <c r="D444" s="3">
        <f>D443+F443</f>
        <v>2520</v>
      </c>
      <c r="E444" s="3">
        <f>D444+F444-1</f>
        <v>2524</v>
      </c>
      <c r="F444" s="3">
        <v>5</v>
      </c>
      <c r="G444" s="23" t="s">
        <v>55</v>
      </c>
      <c r="H444" s="41"/>
      <c r="I444" s="43"/>
    </row>
    <row r="445" spans="1:9" s="40" customFormat="1" ht="15" x14ac:dyDescent="0.25">
      <c r="A445" s="5"/>
      <c r="B445" s="5"/>
      <c r="C445" s="28"/>
      <c r="D445" s="3"/>
      <c r="E445" s="3"/>
      <c r="F445" s="3"/>
      <c r="G445" s="24" t="s">
        <v>211</v>
      </c>
      <c r="H445" s="41"/>
      <c r="I445" s="43"/>
    </row>
    <row r="446" spans="1:9" s="40" customFormat="1" ht="15" x14ac:dyDescent="0.25">
      <c r="A446" s="5"/>
      <c r="B446" s="5"/>
      <c r="C446" s="28"/>
      <c r="D446" s="3"/>
      <c r="E446" s="3"/>
      <c r="F446" s="3"/>
      <c r="G446" s="24" t="s">
        <v>113</v>
      </c>
      <c r="H446" s="41"/>
      <c r="I446" s="43"/>
    </row>
    <row r="447" spans="1:9" s="40" customFormat="1" ht="15" customHeight="1" x14ac:dyDescent="0.25">
      <c r="A447" s="5" t="s">
        <v>6</v>
      </c>
      <c r="B447" s="5" t="s">
        <v>6</v>
      </c>
      <c r="C447" s="28" t="s">
        <v>237</v>
      </c>
      <c r="D447" s="3">
        <f>D444+F444</f>
        <v>2525</v>
      </c>
      <c r="E447" s="3">
        <f>D447+F447-1</f>
        <v>2525</v>
      </c>
      <c r="F447" s="3">
        <v>1</v>
      </c>
      <c r="G447" s="23" t="s">
        <v>126</v>
      </c>
      <c r="H447" s="170" t="s">
        <v>257</v>
      </c>
      <c r="I447" s="170" t="s">
        <v>138</v>
      </c>
    </row>
    <row r="448" spans="1:9" s="40" customFormat="1" ht="15" x14ac:dyDescent="0.25">
      <c r="A448" s="5" t="s">
        <v>6</v>
      </c>
      <c r="B448" s="5" t="s">
        <v>6</v>
      </c>
      <c r="C448" s="28" t="s">
        <v>237</v>
      </c>
      <c r="D448" s="3">
        <f>D447+F447</f>
        <v>2526</v>
      </c>
      <c r="E448" s="3">
        <f>D448+F448-1</f>
        <v>2526</v>
      </c>
      <c r="F448" s="3">
        <v>1</v>
      </c>
      <c r="G448" s="23" t="s">
        <v>127</v>
      </c>
      <c r="H448" s="170"/>
      <c r="I448" s="170"/>
    </row>
    <row r="449" spans="1:9" s="40" customFormat="1" ht="15" x14ac:dyDescent="0.25">
      <c r="A449" s="5" t="s">
        <v>6</v>
      </c>
      <c r="B449" s="5" t="s">
        <v>6</v>
      </c>
      <c r="C449" s="28" t="s">
        <v>237</v>
      </c>
      <c r="D449" s="3">
        <f t="shared" ref="D449:D460" si="70">D448+F448</f>
        <v>2527</v>
      </c>
      <c r="E449" s="3">
        <f t="shared" ref="E449:E460" si="71">D449+F449-1</f>
        <v>2527</v>
      </c>
      <c r="F449" s="3">
        <v>1</v>
      </c>
      <c r="G449" s="13" t="s">
        <v>406</v>
      </c>
      <c r="H449" s="170"/>
      <c r="I449" s="170"/>
    </row>
    <row r="450" spans="1:9" s="40" customFormat="1" ht="15" x14ac:dyDescent="0.25">
      <c r="A450" s="5" t="s">
        <v>6</v>
      </c>
      <c r="B450" s="5" t="s">
        <v>6</v>
      </c>
      <c r="C450" s="28" t="s">
        <v>237</v>
      </c>
      <c r="D450" s="3">
        <f t="shared" si="70"/>
        <v>2528</v>
      </c>
      <c r="E450" s="3">
        <f t="shared" si="71"/>
        <v>2528</v>
      </c>
      <c r="F450" s="3">
        <v>1</v>
      </c>
      <c r="G450" s="23" t="s">
        <v>128</v>
      </c>
      <c r="H450" s="170"/>
      <c r="I450" s="170"/>
    </row>
    <row r="451" spans="1:9" s="40" customFormat="1" ht="15" x14ac:dyDescent="0.25">
      <c r="A451" s="5" t="s">
        <v>6</v>
      </c>
      <c r="B451" s="5" t="s">
        <v>6</v>
      </c>
      <c r="C451" s="28" t="s">
        <v>237</v>
      </c>
      <c r="D451" s="3">
        <f t="shared" si="70"/>
        <v>2529</v>
      </c>
      <c r="E451" s="3">
        <f t="shared" si="71"/>
        <v>2529</v>
      </c>
      <c r="F451" s="3">
        <v>1</v>
      </c>
      <c r="G451" s="23" t="s">
        <v>129</v>
      </c>
      <c r="H451" s="170"/>
      <c r="I451" s="170"/>
    </row>
    <row r="452" spans="1:9" s="40" customFormat="1" ht="15" x14ac:dyDescent="0.25">
      <c r="A452" s="5" t="s">
        <v>6</v>
      </c>
      <c r="B452" s="5" t="s">
        <v>6</v>
      </c>
      <c r="C452" s="28" t="s">
        <v>237</v>
      </c>
      <c r="D452" s="3">
        <f t="shared" si="70"/>
        <v>2530</v>
      </c>
      <c r="E452" s="3">
        <f t="shared" si="71"/>
        <v>2530</v>
      </c>
      <c r="F452" s="3">
        <v>1</v>
      </c>
      <c r="G452" s="23" t="s">
        <v>130</v>
      </c>
      <c r="H452" s="170"/>
      <c r="I452" s="170"/>
    </row>
    <row r="453" spans="1:9" s="40" customFormat="1" ht="15" x14ac:dyDescent="0.25">
      <c r="A453" s="5" t="s">
        <v>6</v>
      </c>
      <c r="B453" s="5" t="s">
        <v>6</v>
      </c>
      <c r="C453" s="28" t="s">
        <v>237</v>
      </c>
      <c r="D453" s="3">
        <f t="shared" si="70"/>
        <v>2531</v>
      </c>
      <c r="E453" s="3">
        <f t="shared" si="71"/>
        <v>2531</v>
      </c>
      <c r="F453" s="3">
        <v>1</v>
      </c>
      <c r="G453" s="23" t="s">
        <v>275</v>
      </c>
      <c r="H453" s="170"/>
      <c r="I453" s="170"/>
    </row>
    <row r="454" spans="1:9" s="40" customFormat="1" ht="15" x14ac:dyDescent="0.25">
      <c r="A454" s="5" t="s">
        <v>6</v>
      </c>
      <c r="B454" s="5" t="s">
        <v>6</v>
      </c>
      <c r="C454" s="28" t="s">
        <v>97</v>
      </c>
      <c r="D454" s="3">
        <f t="shared" si="70"/>
        <v>2532</v>
      </c>
      <c r="E454" s="3">
        <f t="shared" si="71"/>
        <v>2532</v>
      </c>
      <c r="F454" s="3">
        <v>1</v>
      </c>
      <c r="G454" s="23" t="s">
        <v>310</v>
      </c>
      <c r="H454" s="170"/>
      <c r="I454" s="170"/>
    </row>
    <row r="455" spans="1:9" s="40" customFormat="1" ht="15" x14ac:dyDescent="0.25">
      <c r="A455" s="5" t="s">
        <v>6</v>
      </c>
      <c r="B455" s="5" t="s">
        <v>6</v>
      </c>
      <c r="C455" s="28" t="s">
        <v>237</v>
      </c>
      <c r="D455" s="3">
        <f>D454+F454</f>
        <v>2533</v>
      </c>
      <c r="E455" s="3">
        <f t="shared" si="71"/>
        <v>2533</v>
      </c>
      <c r="F455" s="3">
        <v>1</v>
      </c>
      <c r="G455" s="23" t="s">
        <v>131</v>
      </c>
      <c r="H455" s="170"/>
      <c r="I455" s="170"/>
    </row>
    <row r="456" spans="1:9" s="40" customFormat="1" ht="15" x14ac:dyDescent="0.25">
      <c r="A456" s="5" t="s">
        <v>6</v>
      </c>
      <c r="B456" s="5" t="s">
        <v>6</v>
      </c>
      <c r="C456" s="28" t="s">
        <v>237</v>
      </c>
      <c r="D456" s="3">
        <f t="shared" si="70"/>
        <v>2534</v>
      </c>
      <c r="E456" s="3">
        <f t="shared" si="71"/>
        <v>2534</v>
      </c>
      <c r="F456" s="3">
        <v>1</v>
      </c>
      <c r="G456" s="23" t="s">
        <v>132</v>
      </c>
      <c r="H456" s="170"/>
      <c r="I456" s="170"/>
    </row>
    <row r="457" spans="1:9" s="40" customFormat="1" ht="15" x14ac:dyDescent="0.25">
      <c r="A457" s="5" t="s">
        <v>6</v>
      </c>
      <c r="B457" s="5" t="s">
        <v>6</v>
      </c>
      <c r="C457" s="28" t="s">
        <v>237</v>
      </c>
      <c r="D457" s="3">
        <f t="shared" si="70"/>
        <v>2535</v>
      </c>
      <c r="E457" s="3">
        <f t="shared" si="71"/>
        <v>2535</v>
      </c>
      <c r="F457" s="3">
        <v>1</v>
      </c>
      <c r="G457" s="23" t="s">
        <v>133</v>
      </c>
      <c r="H457" s="170"/>
      <c r="I457" s="170"/>
    </row>
    <row r="458" spans="1:9" s="40" customFormat="1" ht="15" x14ac:dyDescent="0.25">
      <c r="A458" s="5" t="s">
        <v>6</v>
      </c>
      <c r="B458" s="5" t="s">
        <v>6</v>
      </c>
      <c r="C458" s="28" t="s">
        <v>237</v>
      </c>
      <c r="D458" s="3">
        <f t="shared" si="70"/>
        <v>2536</v>
      </c>
      <c r="E458" s="3">
        <f t="shared" si="71"/>
        <v>2536</v>
      </c>
      <c r="F458" s="3">
        <v>1</v>
      </c>
      <c r="G458" s="23" t="s">
        <v>134</v>
      </c>
      <c r="H458" s="170"/>
      <c r="I458" s="170"/>
    </row>
    <row r="459" spans="1:9" s="40" customFormat="1" ht="15" x14ac:dyDescent="0.25">
      <c r="A459" s="5" t="s">
        <v>6</v>
      </c>
      <c r="B459" s="5" t="s">
        <v>6</v>
      </c>
      <c r="C459" s="28" t="s">
        <v>237</v>
      </c>
      <c r="D459" s="3">
        <f t="shared" si="70"/>
        <v>2537</v>
      </c>
      <c r="E459" s="3">
        <f t="shared" si="71"/>
        <v>2537</v>
      </c>
      <c r="F459" s="3">
        <v>1</v>
      </c>
      <c r="G459" s="23" t="s">
        <v>135</v>
      </c>
      <c r="H459" s="170"/>
      <c r="I459" s="170"/>
    </row>
    <row r="460" spans="1:9" s="40" customFormat="1" ht="15" x14ac:dyDescent="0.25">
      <c r="A460" s="5" t="s">
        <v>6</v>
      </c>
      <c r="B460" s="5" t="s">
        <v>6</v>
      </c>
      <c r="C460" s="28" t="s">
        <v>237</v>
      </c>
      <c r="D460" s="3">
        <f t="shared" si="70"/>
        <v>2538</v>
      </c>
      <c r="E460" s="3">
        <f t="shared" si="71"/>
        <v>2538</v>
      </c>
      <c r="F460" s="3">
        <v>1</v>
      </c>
      <c r="G460" s="23" t="s">
        <v>136</v>
      </c>
      <c r="H460" s="170"/>
      <c r="I460" s="170"/>
    </row>
    <row r="461" spans="1:9" s="40" customFormat="1" ht="15" x14ac:dyDescent="0.25">
      <c r="A461" s="5"/>
      <c r="B461" s="5"/>
      <c r="C461" s="28"/>
      <c r="D461" s="3"/>
      <c r="E461" s="3"/>
      <c r="F461" s="3"/>
      <c r="G461" s="24" t="s">
        <v>362</v>
      </c>
      <c r="H461" s="41"/>
      <c r="I461" s="43"/>
    </row>
    <row r="462" spans="1:9" s="40" customFormat="1" ht="15" customHeight="1" x14ac:dyDescent="0.25">
      <c r="A462" s="5" t="s">
        <v>0</v>
      </c>
      <c r="B462" s="5" t="s">
        <v>0</v>
      </c>
      <c r="C462" s="28" t="s">
        <v>97</v>
      </c>
      <c r="D462" s="3">
        <f>D460+F460</f>
        <v>2539</v>
      </c>
      <c r="E462" s="3">
        <f>D462+F462-1</f>
        <v>2539</v>
      </c>
      <c r="F462" s="3">
        <v>1</v>
      </c>
      <c r="G462" s="23" t="s">
        <v>126</v>
      </c>
      <c r="H462" s="170" t="s">
        <v>118</v>
      </c>
      <c r="I462" s="170" t="s">
        <v>396</v>
      </c>
    </row>
    <row r="463" spans="1:9" s="40" customFormat="1" ht="15" x14ac:dyDescent="0.25">
      <c r="A463" s="5" t="s">
        <v>0</v>
      </c>
      <c r="B463" s="5" t="s">
        <v>0</v>
      </c>
      <c r="C463" s="28" t="s">
        <v>97</v>
      </c>
      <c r="D463" s="3">
        <f>D462+F462</f>
        <v>2540</v>
      </c>
      <c r="E463" s="3">
        <f>D463+F463-1</f>
        <v>2540</v>
      </c>
      <c r="F463" s="3">
        <v>1</v>
      </c>
      <c r="G463" s="23" t="s">
        <v>127</v>
      </c>
      <c r="H463" s="170"/>
      <c r="I463" s="170"/>
    </row>
    <row r="464" spans="1:9" s="40" customFormat="1" ht="15" x14ac:dyDescent="0.25">
      <c r="A464" s="5" t="s">
        <v>0</v>
      </c>
      <c r="B464" s="5" t="s">
        <v>0</v>
      </c>
      <c r="C464" s="28" t="s">
        <v>97</v>
      </c>
      <c r="D464" s="3">
        <f t="shared" ref="D464:D476" si="72">D463+F463</f>
        <v>2541</v>
      </c>
      <c r="E464" s="3">
        <f t="shared" ref="E464:E476" si="73">D464+F464-1</f>
        <v>2541</v>
      </c>
      <c r="F464" s="3">
        <v>1</v>
      </c>
      <c r="G464" s="13" t="s">
        <v>55</v>
      </c>
      <c r="H464" s="170"/>
      <c r="I464" s="170"/>
    </row>
    <row r="465" spans="1:9" s="40" customFormat="1" ht="15" x14ac:dyDescent="0.25">
      <c r="A465" s="5" t="s">
        <v>0</v>
      </c>
      <c r="B465" s="5" t="s">
        <v>0</v>
      </c>
      <c r="C465" s="28" t="s">
        <v>97</v>
      </c>
      <c r="D465" s="3">
        <f t="shared" si="72"/>
        <v>2542</v>
      </c>
      <c r="E465" s="3">
        <f t="shared" si="73"/>
        <v>2542</v>
      </c>
      <c r="F465" s="3">
        <v>1</v>
      </c>
      <c r="G465" s="23" t="s">
        <v>128</v>
      </c>
      <c r="H465" s="170"/>
      <c r="I465" s="170"/>
    </row>
    <row r="466" spans="1:9" s="40" customFormat="1" ht="15" x14ac:dyDescent="0.25">
      <c r="A466" s="5" t="s">
        <v>0</v>
      </c>
      <c r="B466" s="5" t="s">
        <v>0</v>
      </c>
      <c r="C466" s="28" t="s">
        <v>97</v>
      </c>
      <c r="D466" s="3">
        <f t="shared" si="72"/>
        <v>2543</v>
      </c>
      <c r="E466" s="3">
        <f t="shared" si="73"/>
        <v>2543</v>
      </c>
      <c r="F466" s="3">
        <v>1</v>
      </c>
      <c r="G466" s="23" t="s">
        <v>129</v>
      </c>
      <c r="H466" s="170"/>
      <c r="I466" s="170"/>
    </row>
    <row r="467" spans="1:9" s="40" customFormat="1" ht="15" x14ac:dyDescent="0.25">
      <c r="A467" s="5" t="s">
        <v>0</v>
      </c>
      <c r="B467" s="5" t="s">
        <v>0</v>
      </c>
      <c r="C467" s="28" t="s">
        <v>97</v>
      </c>
      <c r="D467" s="3">
        <f t="shared" si="72"/>
        <v>2544</v>
      </c>
      <c r="E467" s="3">
        <f t="shared" si="73"/>
        <v>2544</v>
      </c>
      <c r="F467" s="3">
        <v>1</v>
      </c>
      <c r="G467" s="23" t="s">
        <v>130</v>
      </c>
      <c r="H467" s="170"/>
      <c r="I467" s="170"/>
    </row>
    <row r="468" spans="1:9" s="40" customFormat="1" ht="15" x14ac:dyDescent="0.25">
      <c r="A468" s="5" t="s">
        <v>0</v>
      </c>
      <c r="B468" s="5" t="s">
        <v>0</v>
      </c>
      <c r="C468" s="28" t="s">
        <v>97</v>
      </c>
      <c r="D468" s="3">
        <f t="shared" si="72"/>
        <v>2545</v>
      </c>
      <c r="E468" s="3">
        <f t="shared" si="73"/>
        <v>2545</v>
      </c>
      <c r="F468" s="3">
        <v>1</v>
      </c>
      <c r="G468" s="23" t="s">
        <v>275</v>
      </c>
      <c r="H468" s="170"/>
      <c r="I468" s="170"/>
    </row>
    <row r="469" spans="1:9" s="40" customFormat="1" ht="15" x14ac:dyDescent="0.25">
      <c r="A469" s="5" t="s">
        <v>0</v>
      </c>
      <c r="B469" s="5" t="s">
        <v>0</v>
      </c>
      <c r="C469" s="28" t="s">
        <v>97</v>
      </c>
      <c r="D469" s="3">
        <f t="shared" si="72"/>
        <v>2546</v>
      </c>
      <c r="E469" s="3">
        <f t="shared" si="73"/>
        <v>2546</v>
      </c>
      <c r="F469" s="3">
        <v>1</v>
      </c>
      <c r="G469" s="23" t="s">
        <v>310</v>
      </c>
      <c r="H469" s="170"/>
      <c r="I469" s="170"/>
    </row>
    <row r="470" spans="1:9" s="40" customFormat="1" ht="15" x14ac:dyDescent="0.25">
      <c r="A470" s="5" t="s">
        <v>0</v>
      </c>
      <c r="B470" s="5" t="s">
        <v>0</v>
      </c>
      <c r="C470" s="28" t="s">
        <v>97</v>
      </c>
      <c r="D470" s="3">
        <f>D469+F469</f>
        <v>2547</v>
      </c>
      <c r="E470" s="3">
        <f t="shared" si="73"/>
        <v>2547</v>
      </c>
      <c r="F470" s="3">
        <v>1</v>
      </c>
      <c r="G470" s="23" t="s">
        <v>131</v>
      </c>
      <c r="H470" s="170"/>
      <c r="I470" s="170"/>
    </row>
    <row r="471" spans="1:9" s="40" customFormat="1" ht="15" x14ac:dyDescent="0.25">
      <c r="A471" s="5" t="s">
        <v>0</v>
      </c>
      <c r="B471" s="5" t="s">
        <v>0</v>
      </c>
      <c r="C471" s="28" t="s">
        <v>97</v>
      </c>
      <c r="D471" s="3">
        <f t="shared" si="72"/>
        <v>2548</v>
      </c>
      <c r="E471" s="3">
        <f t="shared" si="73"/>
        <v>2548</v>
      </c>
      <c r="F471" s="3">
        <v>1</v>
      </c>
      <c r="G471" s="23" t="s">
        <v>132</v>
      </c>
      <c r="H471" s="170"/>
      <c r="I471" s="170"/>
    </row>
    <row r="472" spans="1:9" s="40" customFormat="1" ht="15" x14ac:dyDescent="0.25">
      <c r="A472" s="5" t="s">
        <v>0</v>
      </c>
      <c r="B472" s="5" t="s">
        <v>0</v>
      </c>
      <c r="C472" s="28" t="s">
        <v>97</v>
      </c>
      <c r="D472" s="3">
        <f t="shared" si="72"/>
        <v>2549</v>
      </c>
      <c r="E472" s="3">
        <f t="shared" si="73"/>
        <v>2549</v>
      </c>
      <c r="F472" s="3">
        <v>1</v>
      </c>
      <c r="G472" s="23" t="s">
        <v>133</v>
      </c>
      <c r="H472" s="170"/>
      <c r="I472" s="170"/>
    </row>
    <row r="473" spans="1:9" s="40" customFormat="1" ht="15" x14ac:dyDescent="0.25">
      <c r="A473" s="5" t="s">
        <v>0</v>
      </c>
      <c r="B473" s="5" t="s">
        <v>0</v>
      </c>
      <c r="C473" s="28" t="s">
        <v>97</v>
      </c>
      <c r="D473" s="3">
        <f t="shared" si="72"/>
        <v>2550</v>
      </c>
      <c r="E473" s="3">
        <f t="shared" si="73"/>
        <v>2550</v>
      </c>
      <c r="F473" s="3">
        <v>1</v>
      </c>
      <c r="G473" s="23" t="s">
        <v>134</v>
      </c>
      <c r="H473" s="170"/>
      <c r="I473" s="170"/>
    </row>
    <row r="474" spans="1:9" s="40" customFormat="1" ht="15" x14ac:dyDescent="0.25">
      <c r="A474" s="5" t="s">
        <v>0</v>
      </c>
      <c r="B474" s="5" t="s">
        <v>0</v>
      </c>
      <c r="C474" s="28" t="s">
        <v>97</v>
      </c>
      <c r="D474" s="3">
        <f t="shared" si="72"/>
        <v>2551</v>
      </c>
      <c r="E474" s="3">
        <f t="shared" si="73"/>
        <v>2551</v>
      </c>
      <c r="F474" s="3">
        <v>1</v>
      </c>
      <c r="G474" s="23" t="s">
        <v>135</v>
      </c>
      <c r="H474" s="170"/>
      <c r="I474" s="170"/>
    </row>
    <row r="475" spans="1:9" s="40" customFormat="1" ht="15" x14ac:dyDescent="0.25">
      <c r="A475" s="5" t="s">
        <v>0</v>
      </c>
      <c r="B475" s="5" t="s">
        <v>0</v>
      </c>
      <c r="C475" s="28" t="s">
        <v>97</v>
      </c>
      <c r="D475" s="3">
        <f t="shared" si="72"/>
        <v>2552</v>
      </c>
      <c r="E475" s="3">
        <f t="shared" si="73"/>
        <v>2552</v>
      </c>
      <c r="F475" s="3">
        <v>1</v>
      </c>
      <c r="G475" s="23" t="s">
        <v>136</v>
      </c>
      <c r="H475" s="170"/>
      <c r="I475" s="170"/>
    </row>
    <row r="476" spans="1:9" s="40" customFormat="1" ht="15" x14ac:dyDescent="0.25">
      <c r="A476" s="5" t="s">
        <v>0</v>
      </c>
      <c r="B476" s="5" t="s">
        <v>0</v>
      </c>
      <c r="C476" s="28" t="s">
        <v>97</v>
      </c>
      <c r="D476" s="3">
        <f t="shared" si="72"/>
        <v>2553</v>
      </c>
      <c r="E476" s="3">
        <f t="shared" si="73"/>
        <v>2572</v>
      </c>
      <c r="F476" s="3">
        <v>20</v>
      </c>
      <c r="G476" s="23" t="s">
        <v>55</v>
      </c>
      <c r="H476" s="41"/>
      <c r="I476" s="43"/>
    </row>
    <row r="477" spans="1:9" s="40" customFormat="1" ht="15" x14ac:dyDescent="0.25">
      <c r="A477" s="5"/>
      <c r="B477" s="5"/>
      <c r="C477" s="3"/>
      <c r="D477" s="3"/>
      <c r="E477" s="3"/>
      <c r="F477" s="3"/>
      <c r="G477" s="24" t="s">
        <v>212</v>
      </c>
      <c r="H477" s="41"/>
      <c r="I477" s="43"/>
    </row>
    <row r="478" spans="1:9" s="40" customFormat="1" ht="63.75" x14ac:dyDescent="0.25">
      <c r="A478" s="5" t="s">
        <v>0</v>
      </c>
      <c r="B478" s="5" t="s">
        <v>0</v>
      </c>
      <c r="C478" s="28" t="s">
        <v>98</v>
      </c>
      <c r="D478" s="3">
        <f>D476+F476</f>
        <v>2573</v>
      </c>
      <c r="E478" s="3">
        <f t="shared" ref="E478:E485" si="74">D478+F478-1</f>
        <v>2575</v>
      </c>
      <c r="F478" s="3">
        <v>3</v>
      </c>
      <c r="G478" s="23" t="s">
        <v>24</v>
      </c>
      <c r="H478" s="43" t="s">
        <v>80</v>
      </c>
      <c r="I478" s="75" t="s">
        <v>695</v>
      </c>
    </row>
    <row r="479" spans="1:9" s="40" customFormat="1" ht="63.75" x14ac:dyDescent="0.25">
      <c r="A479" s="5" t="s">
        <v>0</v>
      </c>
      <c r="B479" s="5" t="s">
        <v>0</v>
      </c>
      <c r="C479" s="28" t="s">
        <v>98</v>
      </c>
      <c r="D479" s="3">
        <f t="shared" ref="D479:D485" si="75">D478+F478</f>
        <v>2576</v>
      </c>
      <c r="E479" s="3">
        <f t="shared" si="74"/>
        <v>2578</v>
      </c>
      <c r="F479" s="3">
        <v>3</v>
      </c>
      <c r="G479" s="23" t="s">
        <v>25</v>
      </c>
      <c r="H479" s="43" t="s">
        <v>80</v>
      </c>
      <c r="I479" s="75" t="s">
        <v>696</v>
      </c>
    </row>
    <row r="480" spans="1:9" s="40" customFormat="1" ht="89.25" x14ac:dyDescent="0.25">
      <c r="A480" s="5" t="s">
        <v>0</v>
      </c>
      <c r="B480" s="5" t="s">
        <v>0</v>
      </c>
      <c r="C480" s="28" t="s">
        <v>98</v>
      </c>
      <c r="D480" s="3">
        <f t="shared" si="75"/>
        <v>2579</v>
      </c>
      <c r="E480" s="3">
        <f t="shared" si="74"/>
        <v>2581</v>
      </c>
      <c r="F480" s="3">
        <v>3</v>
      </c>
      <c r="G480" s="23" t="s">
        <v>142</v>
      </c>
      <c r="H480" s="43" t="s">
        <v>80</v>
      </c>
      <c r="I480" s="12" t="s">
        <v>288</v>
      </c>
    </row>
    <row r="481" spans="1:9" s="40" customFormat="1" ht="76.5" x14ac:dyDescent="0.25">
      <c r="A481" s="5" t="s">
        <v>0</v>
      </c>
      <c r="B481" s="5" t="s">
        <v>0</v>
      </c>
      <c r="C481" s="28" t="s">
        <v>98</v>
      </c>
      <c r="D481" s="3">
        <f t="shared" si="75"/>
        <v>2582</v>
      </c>
      <c r="E481" s="3">
        <f t="shared" si="74"/>
        <v>2584</v>
      </c>
      <c r="F481" s="3">
        <v>3</v>
      </c>
      <c r="G481" s="23" t="s">
        <v>143</v>
      </c>
      <c r="H481" s="43" t="s">
        <v>85</v>
      </c>
      <c r="I481" s="75" t="s">
        <v>697</v>
      </c>
    </row>
    <row r="482" spans="1:9" s="40" customFormat="1" ht="63.75" x14ac:dyDescent="0.25">
      <c r="A482" s="5" t="s">
        <v>0</v>
      </c>
      <c r="B482" s="5" t="s">
        <v>0</v>
      </c>
      <c r="C482" s="28" t="s">
        <v>98</v>
      </c>
      <c r="D482" s="3">
        <f t="shared" si="75"/>
        <v>2585</v>
      </c>
      <c r="E482" s="3">
        <f t="shared" si="74"/>
        <v>2587</v>
      </c>
      <c r="F482" s="3">
        <v>3</v>
      </c>
      <c r="G482" s="23" t="s">
        <v>30</v>
      </c>
      <c r="H482" s="41" t="s">
        <v>83</v>
      </c>
      <c r="I482" s="12" t="s">
        <v>289</v>
      </c>
    </row>
    <row r="483" spans="1:9" s="40" customFormat="1" ht="63.75" x14ac:dyDescent="0.25">
      <c r="A483" s="5" t="s">
        <v>0</v>
      </c>
      <c r="B483" s="5" t="s">
        <v>0</v>
      </c>
      <c r="C483" s="28" t="s">
        <v>98</v>
      </c>
      <c r="D483" s="3">
        <f t="shared" si="75"/>
        <v>2588</v>
      </c>
      <c r="E483" s="3">
        <f t="shared" si="74"/>
        <v>2589</v>
      </c>
      <c r="F483" s="5">
        <v>2</v>
      </c>
      <c r="G483" s="23" t="s">
        <v>120</v>
      </c>
      <c r="H483" s="74" t="s">
        <v>515</v>
      </c>
      <c r="I483" s="44" t="s">
        <v>290</v>
      </c>
    </row>
    <row r="484" spans="1:9" s="40" customFormat="1" ht="63.75" x14ac:dyDescent="0.25">
      <c r="A484" s="5" t="s">
        <v>0</v>
      </c>
      <c r="B484" s="5" t="s">
        <v>0</v>
      </c>
      <c r="C484" s="28" t="s">
        <v>394</v>
      </c>
      <c r="D484" s="3">
        <f t="shared" si="75"/>
        <v>2590</v>
      </c>
      <c r="E484" s="3">
        <f t="shared" si="74"/>
        <v>2592</v>
      </c>
      <c r="F484" s="3">
        <v>3</v>
      </c>
      <c r="G484" s="23" t="s">
        <v>124</v>
      </c>
      <c r="H484" s="74" t="s">
        <v>516</v>
      </c>
      <c r="I484" s="44" t="s">
        <v>291</v>
      </c>
    </row>
    <row r="485" spans="1:9" s="40" customFormat="1" ht="15" x14ac:dyDescent="0.25">
      <c r="A485" s="5"/>
      <c r="B485" s="5"/>
      <c r="C485" s="28"/>
      <c r="D485" s="3">
        <f t="shared" si="75"/>
        <v>2593</v>
      </c>
      <c r="E485" s="3">
        <f t="shared" si="74"/>
        <v>2607</v>
      </c>
      <c r="F485" s="5">
        <v>15</v>
      </c>
      <c r="G485" s="23" t="s">
        <v>55</v>
      </c>
      <c r="H485" s="41"/>
      <c r="I485" s="44"/>
    </row>
    <row r="486" spans="1:9" s="40" customFormat="1" ht="15" x14ac:dyDescent="0.25">
      <c r="A486" s="5"/>
      <c r="B486" s="5"/>
      <c r="C486" s="28"/>
      <c r="D486" s="3"/>
      <c r="E486" s="3"/>
      <c r="F486" s="3"/>
      <c r="G486" s="24" t="s">
        <v>276</v>
      </c>
      <c r="H486" s="41"/>
      <c r="I486" s="44"/>
    </row>
    <row r="487" spans="1:9" s="40" customFormat="1" ht="25.5" x14ac:dyDescent="0.25">
      <c r="A487" s="5" t="s">
        <v>6</v>
      </c>
      <c r="B487" s="5" t="s">
        <v>6</v>
      </c>
      <c r="C487" s="28" t="s">
        <v>98</v>
      </c>
      <c r="D487" s="3">
        <f>D485+F485</f>
        <v>2608</v>
      </c>
      <c r="E487" s="3">
        <f>D487+F487-1</f>
        <v>2610</v>
      </c>
      <c r="F487" s="3">
        <v>3</v>
      </c>
      <c r="G487" s="23" t="s">
        <v>258</v>
      </c>
      <c r="H487" s="41" t="s">
        <v>83</v>
      </c>
      <c r="I487" s="43" t="s">
        <v>260</v>
      </c>
    </row>
    <row r="488" spans="1:9" s="40" customFormat="1" ht="25.5" x14ac:dyDescent="0.25">
      <c r="A488" s="5" t="s">
        <v>6</v>
      </c>
      <c r="B488" s="5" t="s">
        <v>6</v>
      </c>
      <c r="C488" s="28" t="s">
        <v>98</v>
      </c>
      <c r="D488" s="3">
        <f>D487+F487</f>
        <v>2611</v>
      </c>
      <c r="E488" s="3">
        <f>D488+F488-1</f>
        <v>2613</v>
      </c>
      <c r="F488" s="3">
        <v>3</v>
      </c>
      <c r="G488" s="23" t="s">
        <v>259</v>
      </c>
      <c r="H488" s="41" t="s">
        <v>83</v>
      </c>
      <c r="I488" s="43" t="s">
        <v>260</v>
      </c>
    </row>
    <row r="489" spans="1:9" s="40" customFormat="1" ht="15" x14ac:dyDescent="0.25">
      <c r="A489" s="5"/>
      <c r="B489" s="5"/>
      <c r="C489" s="28"/>
      <c r="D489" s="3"/>
      <c r="E489" s="3"/>
      <c r="F489" s="3"/>
      <c r="G489" s="24" t="s">
        <v>140</v>
      </c>
      <c r="H489" s="41"/>
      <c r="I489" s="43"/>
    </row>
    <row r="490" spans="1:9" s="40" customFormat="1" ht="38.25" x14ac:dyDescent="0.25">
      <c r="A490" s="5" t="s">
        <v>0</v>
      </c>
      <c r="B490" s="5" t="s">
        <v>0</v>
      </c>
      <c r="C490" s="28" t="s">
        <v>98</v>
      </c>
      <c r="D490" s="3">
        <f>D488+F488</f>
        <v>2614</v>
      </c>
      <c r="E490" s="3">
        <f t="shared" ref="E490:E495" si="76">D490+F490-1</f>
        <v>2615</v>
      </c>
      <c r="F490" s="3">
        <v>2</v>
      </c>
      <c r="G490" s="23" t="s">
        <v>222</v>
      </c>
      <c r="H490" s="41" t="s">
        <v>84</v>
      </c>
      <c r="I490" s="43" t="s">
        <v>213</v>
      </c>
    </row>
    <row r="491" spans="1:9" s="40" customFormat="1" ht="63.75" x14ac:dyDescent="0.25">
      <c r="A491" s="5" t="s">
        <v>0</v>
      </c>
      <c r="B491" s="5" t="s">
        <v>0</v>
      </c>
      <c r="C491" s="28" t="s">
        <v>98</v>
      </c>
      <c r="D491" s="3">
        <f t="shared" ref="D491:D496" si="77">D490+F490</f>
        <v>2616</v>
      </c>
      <c r="E491" s="3">
        <f t="shared" si="76"/>
        <v>2618</v>
      </c>
      <c r="F491" s="3">
        <v>3</v>
      </c>
      <c r="G491" s="23" t="s">
        <v>219</v>
      </c>
      <c r="H491" s="41" t="s">
        <v>85</v>
      </c>
      <c r="I491" s="43" t="s">
        <v>214</v>
      </c>
    </row>
    <row r="492" spans="1:9" s="40" customFormat="1" ht="38.25" x14ac:dyDescent="0.25">
      <c r="A492" s="5" t="s">
        <v>0</v>
      </c>
      <c r="B492" s="5" t="s">
        <v>0</v>
      </c>
      <c r="C492" s="28" t="s">
        <v>98</v>
      </c>
      <c r="D492" s="3">
        <f t="shared" si="77"/>
        <v>2619</v>
      </c>
      <c r="E492" s="3">
        <f t="shared" si="76"/>
        <v>2620</v>
      </c>
      <c r="F492" s="3">
        <v>2</v>
      </c>
      <c r="G492" s="23" t="s">
        <v>223</v>
      </c>
      <c r="H492" s="41" t="s">
        <v>84</v>
      </c>
      <c r="I492" s="43" t="s">
        <v>215</v>
      </c>
    </row>
    <row r="493" spans="1:9" s="40" customFormat="1" ht="51" x14ac:dyDescent="0.25">
      <c r="A493" s="5" t="s">
        <v>0</v>
      </c>
      <c r="B493" s="5" t="s">
        <v>0</v>
      </c>
      <c r="C493" s="28" t="s">
        <v>98</v>
      </c>
      <c r="D493" s="3">
        <f t="shared" si="77"/>
        <v>2621</v>
      </c>
      <c r="E493" s="3">
        <f t="shared" si="76"/>
        <v>2623</v>
      </c>
      <c r="F493" s="3">
        <v>3</v>
      </c>
      <c r="G493" s="23" t="s">
        <v>220</v>
      </c>
      <c r="H493" s="41" t="s">
        <v>85</v>
      </c>
      <c r="I493" s="43" t="s">
        <v>216</v>
      </c>
    </row>
    <row r="494" spans="1:9" s="40" customFormat="1" ht="38.25" x14ac:dyDescent="0.25">
      <c r="A494" s="5" t="s">
        <v>0</v>
      </c>
      <c r="B494" s="5" t="s">
        <v>0</v>
      </c>
      <c r="C494" s="28" t="s">
        <v>98</v>
      </c>
      <c r="D494" s="3">
        <f t="shared" si="77"/>
        <v>2624</v>
      </c>
      <c r="E494" s="3">
        <f t="shared" si="76"/>
        <v>2625</v>
      </c>
      <c r="F494" s="3">
        <v>2</v>
      </c>
      <c r="G494" s="23" t="s">
        <v>224</v>
      </c>
      <c r="H494" s="41" t="s">
        <v>84</v>
      </c>
      <c r="I494" s="43" t="s">
        <v>218</v>
      </c>
    </row>
    <row r="495" spans="1:9" s="40" customFormat="1" ht="63.75" x14ac:dyDescent="0.25">
      <c r="A495" s="5" t="s">
        <v>0</v>
      </c>
      <c r="B495" s="5" t="s">
        <v>0</v>
      </c>
      <c r="C495" s="28" t="s">
        <v>98</v>
      </c>
      <c r="D495" s="3">
        <f t="shared" si="77"/>
        <v>2626</v>
      </c>
      <c r="E495" s="3">
        <f t="shared" si="76"/>
        <v>2628</v>
      </c>
      <c r="F495" s="3">
        <v>3</v>
      </c>
      <c r="G495" s="23" t="s">
        <v>221</v>
      </c>
      <c r="H495" s="41" t="s">
        <v>85</v>
      </c>
      <c r="I495" s="43" t="s">
        <v>217</v>
      </c>
    </row>
    <row r="496" spans="1:9" s="40" customFormat="1" ht="15" x14ac:dyDescent="0.25">
      <c r="A496" s="5"/>
      <c r="B496" s="5"/>
      <c r="C496" s="28"/>
      <c r="D496" s="3">
        <f t="shared" si="77"/>
        <v>2629</v>
      </c>
      <c r="E496" s="3">
        <f>D496+F496-1</f>
        <v>2648</v>
      </c>
      <c r="F496" s="3">
        <v>20</v>
      </c>
      <c r="G496" s="23" t="s">
        <v>55</v>
      </c>
      <c r="H496" s="41"/>
      <c r="I496" s="43"/>
    </row>
    <row r="497" spans="1:9" s="40" customFormat="1" ht="15" x14ac:dyDescent="0.25">
      <c r="A497" s="5"/>
      <c r="B497" s="5"/>
      <c r="C497" s="28"/>
      <c r="D497" s="3"/>
      <c r="E497" s="3"/>
      <c r="F497" s="3"/>
      <c r="G497" s="24" t="s">
        <v>375</v>
      </c>
      <c r="H497" s="41"/>
      <c r="I497" s="43"/>
    </row>
    <row r="498" spans="1:9" s="40" customFormat="1" ht="25.5" x14ac:dyDescent="0.25">
      <c r="A498" s="5" t="s">
        <v>0</v>
      </c>
      <c r="B498" s="5" t="s">
        <v>0</v>
      </c>
      <c r="C498" s="28" t="s">
        <v>394</v>
      </c>
      <c r="D498" s="3">
        <f>D496+F496</f>
        <v>2649</v>
      </c>
      <c r="E498" s="3">
        <f t="shared" ref="E498:E506" si="78">D498+F498-1</f>
        <v>2650</v>
      </c>
      <c r="F498" s="5">
        <v>2</v>
      </c>
      <c r="G498" s="13" t="s">
        <v>380</v>
      </c>
      <c r="H498" s="41" t="s">
        <v>92</v>
      </c>
      <c r="I498" s="43" t="s">
        <v>159</v>
      </c>
    </row>
    <row r="499" spans="1:9" s="40" customFormat="1" ht="63.75" x14ac:dyDescent="0.25">
      <c r="A499" s="5" t="s">
        <v>0</v>
      </c>
      <c r="B499" s="5" t="s">
        <v>0</v>
      </c>
      <c r="C499" s="28" t="s">
        <v>98</v>
      </c>
      <c r="D499" s="3">
        <f t="shared" ref="D499:D506" si="79">D498+F498</f>
        <v>2651</v>
      </c>
      <c r="E499" s="3">
        <f t="shared" si="78"/>
        <v>2651</v>
      </c>
      <c r="F499" s="3">
        <v>1</v>
      </c>
      <c r="G499" s="23" t="s">
        <v>26</v>
      </c>
      <c r="H499" s="41" t="s">
        <v>125</v>
      </c>
      <c r="I499" s="43" t="s">
        <v>410</v>
      </c>
    </row>
    <row r="500" spans="1:9" s="40" customFormat="1" ht="38.25" x14ac:dyDescent="0.25">
      <c r="A500" s="5" t="s">
        <v>0</v>
      </c>
      <c r="B500" s="5" t="s">
        <v>0</v>
      </c>
      <c r="C500" s="28" t="s">
        <v>98</v>
      </c>
      <c r="D500" s="3">
        <f t="shared" si="79"/>
        <v>2652</v>
      </c>
      <c r="E500" s="3">
        <f t="shared" si="78"/>
        <v>2652</v>
      </c>
      <c r="F500" s="3">
        <v>1</v>
      </c>
      <c r="G500" s="23" t="s">
        <v>27</v>
      </c>
      <c r="H500" s="41" t="s">
        <v>81</v>
      </c>
      <c r="I500" s="43" t="s">
        <v>263</v>
      </c>
    </row>
    <row r="501" spans="1:9" s="40" customFormat="1" ht="38.25" x14ac:dyDescent="0.25">
      <c r="A501" s="5" t="s">
        <v>0</v>
      </c>
      <c r="B501" s="5" t="s">
        <v>0</v>
      </c>
      <c r="C501" s="28" t="s">
        <v>99</v>
      </c>
      <c r="D501" s="3">
        <f t="shared" si="79"/>
        <v>2653</v>
      </c>
      <c r="E501" s="3">
        <f t="shared" si="78"/>
        <v>2653</v>
      </c>
      <c r="F501" s="3">
        <v>1</v>
      </c>
      <c r="G501" s="23" t="s">
        <v>122</v>
      </c>
      <c r="H501" s="41" t="s">
        <v>261</v>
      </c>
      <c r="I501" s="43" t="s">
        <v>262</v>
      </c>
    </row>
    <row r="502" spans="1:9" s="40" customFormat="1" ht="51" x14ac:dyDescent="0.25">
      <c r="A502" s="5" t="s">
        <v>0</v>
      </c>
      <c r="B502" s="5" t="s">
        <v>0</v>
      </c>
      <c r="C502" s="28" t="s">
        <v>98</v>
      </c>
      <c r="D502" s="3">
        <f t="shared" si="79"/>
        <v>2654</v>
      </c>
      <c r="E502" s="3">
        <f t="shared" si="78"/>
        <v>2654</v>
      </c>
      <c r="F502" s="3">
        <v>1</v>
      </c>
      <c r="G502" s="23" t="s">
        <v>28</v>
      </c>
      <c r="H502" s="41" t="s">
        <v>82</v>
      </c>
      <c r="I502" s="43" t="s">
        <v>264</v>
      </c>
    </row>
    <row r="503" spans="1:9" s="40" customFormat="1" ht="169.5" customHeight="1" x14ac:dyDescent="0.25">
      <c r="A503" s="5" t="s">
        <v>0</v>
      </c>
      <c r="B503" s="5" t="s">
        <v>0</v>
      </c>
      <c r="C503" s="28" t="s">
        <v>96</v>
      </c>
      <c r="D503" s="3">
        <f t="shared" si="79"/>
        <v>2655</v>
      </c>
      <c r="E503" s="3">
        <f t="shared" si="78"/>
        <v>2655</v>
      </c>
      <c r="F503" s="3">
        <v>1</v>
      </c>
      <c r="G503" s="23" t="s">
        <v>32</v>
      </c>
      <c r="H503" s="41" t="s">
        <v>79</v>
      </c>
      <c r="I503" s="43" t="s">
        <v>379</v>
      </c>
    </row>
    <row r="504" spans="1:9" s="40" customFormat="1" ht="63.75" x14ac:dyDescent="0.25">
      <c r="A504" s="5" t="s">
        <v>0</v>
      </c>
      <c r="B504" s="5" t="s">
        <v>0</v>
      </c>
      <c r="C504" s="28" t="s">
        <v>96</v>
      </c>
      <c r="D504" s="3">
        <f t="shared" si="79"/>
        <v>2656</v>
      </c>
      <c r="E504" s="3">
        <f t="shared" si="78"/>
        <v>2656</v>
      </c>
      <c r="F504" s="3">
        <v>1</v>
      </c>
      <c r="G504" s="23" t="s">
        <v>29</v>
      </c>
      <c r="H504" s="41" t="s">
        <v>78</v>
      </c>
      <c r="I504" s="43" t="s">
        <v>328</v>
      </c>
    </row>
    <row r="505" spans="1:9" s="40" customFormat="1" ht="38.25" x14ac:dyDescent="0.25">
      <c r="A505" s="5" t="s">
        <v>6</v>
      </c>
      <c r="B505" s="5" t="s">
        <v>6</v>
      </c>
      <c r="C505" s="28" t="s">
        <v>99</v>
      </c>
      <c r="D505" s="3">
        <f t="shared" si="79"/>
        <v>2657</v>
      </c>
      <c r="E505" s="3">
        <f t="shared" si="78"/>
        <v>2657</v>
      </c>
      <c r="F505" s="3">
        <v>1</v>
      </c>
      <c r="G505" s="23" t="s">
        <v>119</v>
      </c>
      <c r="H505" s="42" t="s">
        <v>408</v>
      </c>
      <c r="I505" s="43" t="s">
        <v>409</v>
      </c>
    </row>
    <row r="506" spans="1:9" s="40" customFormat="1" ht="15" x14ac:dyDescent="0.25">
      <c r="A506" s="5"/>
      <c r="B506" s="5"/>
      <c r="C506" s="29"/>
      <c r="D506" s="3">
        <f t="shared" si="79"/>
        <v>2658</v>
      </c>
      <c r="E506" s="3">
        <f t="shared" si="78"/>
        <v>2667</v>
      </c>
      <c r="F506" s="6">
        <v>10</v>
      </c>
      <c r="G506" s="9" t="s">
        <v>55</v>
      </c>
      <c r="H506" s="41"/>
      <c r="I506" s="43"/>
    </row>
    <row r="507" spans="1:9" s="40" customFormat="1" ht="15" x14ac:dyDescent="0.25">
      <c r="A507" s="5"/>
      <c r="B507" s="5"/>
      <c r="C507" s="29"/>
      <c r="D507" s="3"/>
      <c r="E507" s="3"/>
      <c r="F507" s="6"/>
      <c r="G507" s="24" t="s">
        <v>158</v>
      </c>
      <c r="H507" s="41"/>
      <c r="I507" s="43"/>
    </row>
    <row r="508" spans="1:9" s="40" customFormat="1" ht="89.25" x14ac:dyDescent="0.25">
      <c r="A508" s="5" t="s">
        <v>6</v>
      </c>
      <c r="B508" s="5" t="s">
        <v>6</v>
      </c>
      <c r="C508" s="29" t="s">
        <v>99</v>
      </c>
      <c r="D508" s="3">
        <f>D506+F506</f>
        <v>2668</v>
      </c>
      <c r="E508" s="3">
        <f>D508+F508-1</f>
        <v>2668</v>
      </c>
      <c r="F508" s="6">
        <v>1</v>
      </c>
      <c r="G508" s="13" t="s">
        <v>368</v>
      </c>
      <c r="H508" s="44" t="s">
        <v>118</v>
      </c>
      <c r="I508" s="43" t="s">
        <v>369</v>
      </c>
    </row>
    <row r="509" spans="1:9" s="40" customFormat="1" ht="63.75" x14ac:dyDescent="0.25">
      <c r="A509" s="5" t="s">
        <v>6</v>
      </c>
      <c r="B509" s="5" t="s">
        <v>6</v>
      </c>
      <c r="C509" s="29" t="s">
        <v>99</v>
      </c>
      <c r="D509" s="3">
        <f>D508+F508</f>
        <v>2669</v>
      </c>
      <c r="E509" s="3">
        <f>D509+F509-1</f>
        <v>2669</v>
      </c>
      <c r="F509" s="6">
        <v>1</v>
      </c>
      <c r="G509" s="9" t="s">
        <v>116</v>
      </c>
      <c r="H509" s="44" t="s">
        <v>118</v>
      </c>
      <c r="I509" s="43" t="s">
        <v>162</v>
      </c>
    </row>
    <row r="510" spans="1:9" s="40" customFormat="1" ht="63.75" x14ac:dyDescent="0.25">
      <c r="A510" s="5" t="s">
        <v>6</v>
      </c>
      <c r="B510" s="5" t="s">
        <v>6</v>
      </c>
      <c r="C510" s="29" t="s">
        <v>99</v>
      </c>
      <c r="D510" s="3">
        <f>D509+F509</f>
        <v>2670</v>
      </c>
      <c r="E510" s="3">
        <f>D510+F510-1</f>
        <v>2670</v>
      </c>
      <c r="F510" s="6">
        <v>1</v>
      </c>
      <c r="G510" s="9" t="s">
        <v>117</v>
      </c>
      <c r="H510" s="44" t="s">
        <v>118</v>
      </c>
      <c r="I510" s="43" t="s">
        <v>265</v>
      </c>
    </row>
    <row r="511" spans="1:9" s="40" customFormat="1" ht="15" x14ac:dyDescent="0.25">
      <c r="A511" s="5"/>
      <c r="B511" s="5"/>
      <c r="C511" s="29"/>
      <c r="D511" s="3">
        <f>D510+F510</f>
        <v>2671</v>
      </c>
      <c r="E511" s="3">
        <f>D511+F511-1</f>
        <v>2680</v>
      </c>
      <c r="F511" s="6">
        <v>10</v>
      </c>
      <c r="G511" s="9" t="s">
        <v>55</v>
      </c>
      <c r="H511" s="44"/>
      <c r="I511" s="43"/>
    </row>
    <row r="512" spans="1:9" s="40" customFormat="1" ht="15" x14ac:dyDescent="0.25">
      <c r="A512" s="5"/>
      <c r="B512" s="5"/>
      <c r="C512" s="28"/>
      <c r="D512" s="3"/>
      <c r="E512" s="3"/>
      <c r="F512" s="3"/>
      <c r="G512" s="24" t="s">
        <v>36</v>
      </c>
      <c r="H512" s="41"/>
      <c r="I512" s="43"/>
    </row>
    <row r="513" spans="1:9" s="40" customFormat="1" ht="25.5" x14ac:dyDescent="0.25">
      <c r="A513" s="5" t="s">
        <v>0</v>
      </c>
      <c r="B513" s="5" t="s">
        <v>0</v>
      </c>
      <c r="C513" s="3" t="s">
        <v>96</v>
      </c>
      <c r="D513" s="3">
        <f>D511+F511</f>
        <v>2681</v>
      </c>
      <c r="E513" s="3">
        <f t="shared" ref="E513:E520" si="80">D513+F513-1</f>
        <v>2684</v>
      </c>
      <c r="F513" s="3">
        <v>4</v>
      </c>
      <c r="G513" s="23" t="s">
        <v>34</v>
      </c>
      <c r="H513" s="41" t="s">
        <v>88</v>
      </c>
      <c r="I513" s="170" t="s">
        <v>87</v>
      </c>
    </row>
    <row r="514" spans="1:9" s="40" customFormat="1" ht="51" x14ac:dyDescent="0.25">
      <c r="A514" s="5" t="s">
        <v>0</v>
      </c>
      <c r="B514" s="5" t="s">
        <v>0</v>
      </c>
      <c r="C514" s="3" t="s">
        <v>96</v>
      </c>
      <c r="D514" s="3">
        <f t="shared" ref="D514:D518" si="81">D513+F513</f>
        <v>2685</v>
      </c>
      <c r="E514" s="3">
        <f t="shared" si="80"/>
        <v>2686</v>
      </c>
      <c r="F514" s="3">
        <v>2</v>
      </c>
      <c r="G514" s="23" t="s">
        <v>33</v>
      </c>
      <c r="H514" s="41" t="s">
        <v>86</v>
      </c>
      <c r="I514" s="170"/>
    </row>
    <row r="515" spans="1:9" s="40" customFormat="1" ht="25.5" x14ac:dyDescent="0.25">
      <c r="A515" s="5" t="s">
        <v>0</v>
      </c>
      <c r="B515" s="5" t="s">
        <v>0</v>
      </c>
      <c r="C515" s="3" t="s">
        <v>96</v>
      </c>
      <c r="D515" s="3">
        <f t="shared" si="81"/>
        <v>2687</v>
      </c>
      <c r="E515" s="3">
        <f t="shared" si="80"/>
        <v>2689</v>
      </c>
      <c r="F515" s="3">
        <v>3</v>
      </c>
      <c r="G515" s="23" t="s">
        <v>35</v>
      </c>
      <c r="H515" s="41" t="s">
        <v>89</v>
      </c>
      <c r="I515" s="43" t="s">
        <v>90</v>
      </c>
    </row>
    <row r="516" spans="1:9" s="40" customFormat="1" ht="63.75" x14ac:dyDescent="0.25">
      <c r="A516" s="5" t="s">
        <v>0</v>
      </c>
      <c r="B516" s="5" t="s">
        <v>0</v>
      </c>
      <c r="C516" s="3" t="s">
        <v>96</v>
      </c>
      <c r="D516" s="3">
        <f t="shared" si="81"/>
        <v>2690</v>
      </c>
      <c r="E516" s="3">
        <f t="shared" si="80"/>
        <v>2692</v>
      </c>
      <c r="F516" s="3">
        <v>3</v>
      </c>
      <c r="G516" s="23" t="s">
        <v>329</v>
      </c>
      <c r="H516" s="41" t="s">
        <v>330</v>
      </c>
      <c r="I516" s="43" t="s">
        <v>91</v>
      </c>
    </row>
    <row r="517" spans="1:9" s="40" customFormat="1" ht="15" x14ac:dyDescent="0.25">
      <c r="A517" s="5"/>
      <c r="B517" s="5"/>
      <c r="C517" s="28"/>
      <c r="D517" s="3">
        <f t="shared" si="81"/>
        <v>2693</v>
      </c>
      <c r="E517" s="3">
        <f t="shared" si="80"/>
        <v>2702</v>
      </c>
      <c r="F517" s="3">
        <v>10</v>
      </c>
      <c r="G517" s="23" t="s">
        <v>55</v>
      </c>
      <c r="H517" s="41"/>
      <c r="I517" s="43"/>
    </row>
    <row r="518" spans="1:9" s="40" customFormat="1" ht="188.25" customHeight="1" x14ac:dyDescent="0.25">
      <c r="A518" s="5" t="s">
        <v>6</v>
      </c>
      <c r="B518" s="5" t="s">
        <v>6</v>
      </c>
      <c r="C518" s="28" t="s">
        <v>99</v>
      </c>
      <c r="D518" s="3">
        <f t="shared" si="81"/>
        <v>2703</v>
      </c>
      <c r="E518" s="5">
        <f t="shared" si="80"/>
        <v>2902</v>
      </c>
      <c r="F518" s="5">
        <v>200</v>
      </c>
      <c r="G518" s="13" t="s">
        <v>407</v>
      </c>
      <c r="H518" s="203" t="s">
        <v>714</v>
      </c>
      <c r="I518" s="138" t="s">
        <v>511</v>
      </c>
    </row>
    <row r="519" spans="1:9" s="40" customFormat="1" ht="188.25" customHeight="1" x14ac:dyDescent="0.25">
      <c r="A519" s="5" t="s">
        <v>6</v>
      </c>
      <c r="B519" s="5" t="s">
        <v>6</v>
      </c>
      <c r="C519" s="28" t="s">
        <v>98</v>
      </c>
      <c r="D519" s="3">
        <f t="shared" ref="D519" si="82">D518+F518</f>
        <v>2903</v>
      </c>
      <c r="E519" s="3">
        <f t="shared" ref="E519" si="83">D519+F519-1</f>
        <v>3002</v>
      </c>
      <c r="F519" s="3">
        <v>100</v>
      </c>
      <c r="G519" s="13" t="s">
        <v>401</v>
      </c>
      <c r="H519" s="203"/>
      <c r="I519" s="98" t="s">
        <v>491</v>
      </c>
    </row>
    <row r="520" spans="1:9" s="40" customFormat="1" ht="15" x14ac:dyDescent="0.25">
      <c r="A520" s="5"/>
      <c r="B520" s="5"/>
      <c r="C520" s="28"/>
      <c r="D520" s="3">
        <f>D519+F519</f>
        <v>3003</v>
      </c>
      <c r="E520" s="3">
        <f t="shared" si="80"/>
        <v>3018</v>
      </c>
      <c r="F520" s="3">
        <v>16</v>
      </c>
      <c r="G520" s="23" t="s">
        <v>55</v>
      </c>
      <c r="H520" s="41"/>
      <c r="I520" s="43"/>
    </row>
    <row r="521" spans="1:9" x14ac:dyDescent="0.25">
      <c r="A521" s="5"/>
      <c r="B521" s="5"/>
      <c r="C521" s="6"/>
      <c r="D521" s="3"/>
      <c r="E521" s="3"/>
      <c r="F521" s="3"/>
      <c r="G521" s="24" t="s">
        <v>95</v>
      </c>
      <c r="H521" s="41"/>
    </row>
    <row r="522" spans="1:9" ht="25.5" x14ac:dyDescent="0.25">
      <c r="A522" s="5" t="s">
        <v>0</v>
      </c>
      <c r="B522" s="5" t="s">
        <v>0</v>
      </c>
      <c r="C522" s="28" t="s">
        <v>97</v>
      </c>
      <c r="D522" s="3">
        <f>D520+F520</f>
        <v>3019</v>
      </c>
      <c r="E522" s="3">
        <f>D522+F522-1</f>
        <v>3019</v>
      </c>
      <c r="F522" s="3">
        <v>1</v>
      </c>
      <c r="G522" s="23" t="s">
        <v>37</v>
      </c>
      <c r="H522" s="41" t="s">
        <v>54</v>
      </c>
    </row>
    <row r="523" spans="1:9" ht="140.25" x14ac:dyDescent="0.25">
      <c r="A523" s="5" t="s">
        <v>0</v>
      </c>
      <c r="B523" s="5" t="s">
        <v>0</v>
      </c>
      <c r="C523" s="28" t="s">
        <v>97</v>
      </c>
      <c r="D523" s="3">
        <f>D522+F522</f>
        <v>3020</v>
      </c>
      <c r="E523" s="3">
        <f t="shared" ref="E523:E537" si="84">D523+F523-1</f>
        <v>3024</v>
      </c>
      <c r="F523" s="3">
        <v>5</v>
      </c>
      <c r="G523" s="23" t="s">
        <v>13</v>
      </c>
      <c r="H523" s="108" t="s">
        <v>541</v>
      </c>
      <c r="I523" s="87" t="s">
        <v>542</v>
      </c>
    </row>
    <row r="524" spans="1:9" ht="51" x14ac:dyDescent="0.25">
      <c r="A524" s="5" t="s">
        <v>6</v>
      </c>
      <c r="B524" s="5" t="s">
        <v>6</v>
      </c>
      <c r="C524" s="28" t="s">
        <v>97</v>
      </c>
      <c r="D524" s="3">
        <f>D523+F523</f>
        <v>3025</v>
      </c>
      <c r="E524" s="3">
        <f t="shared" si="84"/>
        <v>3030</v>
      </c>
      <c r="F524" s="3">
        <v>6</v>
      </c>
      <c r="G524" s="23" t="s">
        <v>14</v>
      </c>
      <c r="H524" s="42" t="s">
        <v>404</v>
      </c>
      <c r="I524" s="43" t="s">
        <v>405</v>
      </c>
    </row>
    <row r="525" spans="1:9" ht="17.25" customHeight="1" x14ac:dyDescent="0.25">
      <c r="A525" s="5" t="s">
        <v>0</v>
      </c>
      <c r="B525" s="5" t="s">
        <v>6</v>
      </c>
      <c r="C525" s="28" t="s">
        <v>97</v>
      </c>
      <c r="D525" s="3">
        <f t="shared" ref="D525:D531" si="85">D524+F524</f>
        <v>3031</v>
      </c>
      <c r="E525" s="3">
        <f t="shared" si="84"/>
        <v>3050</v>
      </c>
      <c r="F525" s="3">
        <v>20</v>
      </c>
      <c r="G525" s="23" t="s">
        <v>15</v>
      </c>
      <c r="H525" s="168" t="s">
        <v>256</v>
      </c>
      <c r="I525" s="175" t="s">
        <v>359</v>
      </c>
    </row>
    <row r="526" spans="1:9" ht="17.25" customHeight="1" x14ac:dyDescent="0.25">
      <c r="A526" s="5" t="s">
        <v>0</v>
      </c>
      <c r="B526" s="5" t="s">
        <v>6</v>
      </c>
      <c r="C526" s="28" t="s">
        <v>97</v>
      </c>
      <c r="D526" s="3">
        <f t="shared" si="85"/>
        <v>3051</v>
      </c>
      <c r="E526" s="3">
        <f t="shared" si="84"/>
        <v>3065</v>
      </c>
      <c r="F526" s="3">
        <v>15</v>
      </c>
      <c r="G526" s="23" t="s">
        <v>16</v>
      </c>
      <c r="H526" s="168"/>
      <c r="I526" s="175"/>
    </row>
    <row r="527" spans="1:9" ht="17.25" customHeight="1" x14ac:dyDescent="0.25">
      <c r="A527" s="5" t="s">
        <v>0</v>
      </c>
      <c r="B527" s="5" t="s">
        <v>6</v>
      </c>
      <c r="C527" s="28" t="s">
        <v>97</v>
      </c>
      <c r="D527" s="3">
        <f t="shared" si="85"/>
        <v>3066</v>
      </c>
      <c r="E527" s="3">
        <f t="shared" si="84"/>
        <v>3066</v>
      </c>
      <c r="F527" s="3">
        <v>1</v>
      </c>
      <c r="G527" s="23" t="s">
        <v>273</v>
      </c>
      <c r="H527" s="168"/>
      <c r="I527" s="175"/>
    </row>
    <row r="528" spans="1:9" ht="39" customHeight="1" x14ac:dyDescent="0.25">
      <c r="A528" s="5" t="s">
        <v>6</v>
      </c>
      <c r="B528" s="5" t="s">
        <v>6</v>
      </c>
      <c r="C528" s="28" t="s">
        <v>97</v>
      </c>
      <c r="D528" s="3">
        <f t="shared" si="85"/>
        <v>3067</v>
      </c>
      <c r="E528" s="3">
        <f t="shared" si="84"/>
        <v>3069</v>
      </c>
      <c r="F528" s="3">
        <v>3</v>
      </c>
      <c r="G528" s="23" t="s">
        <v>155</v>
      </c>
      <c r="H528" s="45" t="s">
        <v>156</v>
      </c>
      <c r="I528" s="183" t="s">
        <v>494</v>
      </c>
    </row>
    <row r="529" spans="1:9" x14ac:dyDescent="0.25">
      <c r="A529" s="5" t="s">
        <v>6</v>
      </c>
      <c r="B529" s="5" t="s">
        <v>6</v>
      </c>
      <c r="C529" s="28" t="s">
        <v>97</v>
      </c>
      <c r="D529" s="3">
        <f t="shared" si="85"/>
        <v>3070</v>
      </c>
      <c r="E529" s="3">
        <f t="shared" si="84"/>
        <v>3089</v>
      </c>
      <c r="F529" s="3">
        <v>20</v>
      </c>
      <c r="G529" s="23" t="s">
        <v>17</v>
      </c>
      <c r="H529" s="168" t="s">
        <v>256</v>
      </c>
      <c r="I529" s="183"/>
    </row>
    <row r="530" spans="1:9" x14ac:dyDescent="0.25">
      <c r="A530" s="5" t="s">
        <v>6</v>
      </c>
      <c r="B530" s="5" t="s">
        <v>6</v>
      </c>
      <c r="C530" s="28" t="s">
        <v>97</v>
      </c>
      <c r="D530" s="3">
        <f t="shared" si="85"/>
        <v>3090</v>
      </c>
      <c r="E530" s="3">
        <f t="shared" si="84"/>
        <v>3109</v>
      </c>
      <c r="F530" s="3">
        <v>20</v>
      </c>
      <c r="G530" s="23" t="s">
        <v>18</v>
      </c>
      <c r="H530" s="168"/>
      <c r="I530" s="183"/>
    </row>
    <row r="531" spans="1:9" x14ac:dyDescent="0.25">
      <c r="A531" s="5" t="s">
        <v>0</v>
      </c>
      <c r="B531" s="5" t="s">
        <v>0</v>
      </c>
      <c r="C531" s="28" t="s">
        <v>97</v>
      </c>
      <c r="D531" s="3">
        <f t="shared" si="85"/>
        <v>3110</v>
      </c>
      <c r="E531" s="3">
        <f t="shared" si="84"/>
        <v>3110</v>
      </c>
      <c r="F531" s="3">
        <v>1</v>
      </c>
      <c r="G531" s="23" t="s">
        <v>274</v>
      </c>
      <c r="H531" s="168"/>
      <c r="I531" s="183"/>
    </row>
    <row r="532" spans="1:9" ht="221.45" customHeight="1" x14ac:dyDescent="0.25">
      <c r="A532" s="5" t="s">
        <v>0</v>
      </c>
      <c r="B532" s="5" t="s">
        <v>0</v>
      </c>
      <c r="C532" s="28" t="s">
        <v>237</v>
      </c>
      <c r="D532" s="3">
        <f t="shared" ref="D532:D537" si="86">D531+F531</f>
        <v>3111</v>
      </c>
      <c r="E532" s="3">
        <f>D532+F532-1</f>
        <v>3116</v>
      </c>
      <c r="F532" s="3">
        <v>6</v>
      </c>
      <c r="G532" s="23" t="s">
        <v>154</v>
      </c>
      <c r="H532" s="86" t="s">
        <v>495</v>
      </c>
      <c r="I532" s="43" t="s">
        <v>360</v>
      </c>
    </row>
    <row r="533" spans="1:9" ht="232.15" customHeight="1" x14ac:dyDescent="0.25">
      <c r="A533" s="5" t="s">
        <v>0</v>
      </c>
      <c r="B533" s="5" t="s">
        <v>0</v>
      </c>
      <c r="C533" s="28" t="s">
        <v>97</v>
      </c>
      <c r="D533" s="3">
        <f t="shared" si="86"/>
        <v>3117</v>
      </c>
      <c r="E533" s="3">
        <f t="shared" si="84"/>
        <v>3146</v>
      </c>
      <c r="F533" s="3">
        <v>30</v>
      </c>
      <c r="G533" s="23" t="s">
        <v>19</v>
      </c>
      <c r="H533" s="86" t="s">
        <v>496</v>
      </c>
      <c r="I533" s="43" t="s">
        <v>361</v>
      </c>
    </row>
    <row r="534" spans="1:9" s="40" customFormat="1" ht="51" x14ac:dyDescent="0.25">
      <c r="A534" s="5" t="s">
        <v>0</v>
      </c>
      <c r="B534" s="5" t="s">
        <v>0</v>
      </c>
      <c r="C534" s="28" t="s">
        <v>97</v>
      </c>
      <c r="D534" s="3">
        <f t="shared" si="86"/>
        <v>3147</v>
      </c>
      <c r="E534" s="3">
        <f t="shared" si="84"/>
        <v>3166</v>
      </c>
      <c r="F534" s="3">
        <v>20</v>
      </c>
      <c r="G534" s="23" t="s">
        <v>112</v>
      </c>
      <c r="H534" s="41" t="s">
        <v>338</v>
      </c>
      <c r="I534" s="43" t="s">
        <v>359</v>
      </c>
    </row>
    <row r="535" spans="1:9" s="40" customFormat="1" ht="38.25" x14ac:dyDescent="0.25">
      <c r="A535" s="5" t="s">
        <v>0</v>
      </c>
      <c r="B535" s="5" t="s">
        <v>0</v>
      </c>
      <c r="C535" s="28" t="s">
        <v>237</v>
      </c>
      <c r="D535" s="3">
        <f t="shared" si="86"/>
        <v>3167</v>
      </c>
      <c r="E535" s="3">
        <f>D535+F535-1</f>
        <v>3172</v>
      </c>
      <c r="F535" s="3">
        <v>6</v>
      </c>
      <c r="G535" s="23" t="s">
        <v>114</v>
      </c>
      <c r="H535" s="41" t="s">
        <v>115</v>
      </c>
      <c r="I535" s="43" t="s">
        <v>309</v>
      </c>
    </row>
    <row r="536" spans="1:9" s="40" customFormat="1" ht="25.5" x14ac:dyDescent="0.25">
      <c r="A536" s="5" t="s">
        <v>0</v>
      </c>
      <c r="B536" s="5" t="s">
        <v>0</v>
      </c>
      <c r="C536" s="28" t="s">
        <v>237</v>
      </c>
      <c r="D536" s="3">
        <f t="shared" si="86"/>
        <v>3173</v>
      </c>
      <c r="E536" s="3">
        <f>D536+F536-1</f>
        <v>3173</v>
      </c>
      <c r="F536" s="3">
        <v>1</v>
      </c>
      <c r="G536" s="23" t="s">
        <v>317</v>
      </c>
      <c r="H536" s="41" t="s">
        <v>307</v>
      </c>
      <c r="I536" s="43" t="s">
        <v>306</v>
      </c>
    </row>
    <row r="537" spans="1:9" s="40" customFormat="1" ht="15" x14ac:dyDescent="0.25">
      <c r="A537" s="5"/>
      <c r="B537" s="5"/>
      <c r="C537" s="28"/>
      <c r="D537" s="3">
        <f t="shared" si="86"/>
        <v>3174</v>
      </c>
      <c r="E537" s="3">
        <f t="shared" si="84"/>
        <v>3193</v>
      </c>
      <c r="F537" s="3">
        <v>20</v>
      </c>
      <c r="G537" s="23" t="s">
        <v>55</v>
      </c>
      <c r="H537" s="41"/>
      <c r="I537" s="43"/>
    </row>
    <row r="538" spans="1:9" s="40" customFormat="1" ht="15" x14ac:dyDescent="0.25">
      <c r="A538" s="5"/>
      <c r="B538" s="5"/>
      <c r="C538" s="6"/>
      <c r="D538" s="3"/>
      <c r="E538" s="3"/>
      <c r="F538" s="7"/>
      <c r="G538" s="24" t="s">
        <v>20</v>
      </c>
      <c r="H538" s="14"/>
      <c r="I538" s="18"/>
    </row>
    <row r="539" spans="1:9" s="40" customFormat="1" ht="38.25" x14ac:dyDescent="0.25">
      <c r="A539" s="5" t="s">
        <v>6</v>
      </c>
      <c r="B539" s="5" t="s">
        <v>6</v>
      </c>
      <c r="C539" s="28" t="s">
        <v>98</v>
      </c>
      <c r="D539" s="3">
        <f>D537+F537</f>
        <v>3194</v>
      </c>
      <c r="E539" s="3">
        <f>D539+F539-1</f>
        <v>3194</v>
      </c>
      <c r="F539" s="3">
        <v>1</v>
      </c>
      <c r="G539" s="23" t="s">
        <v>21</v>
      </c>
      <c r="H539" s="41" t="s">
        <v>102</v>
      </c>
      <c r="I539" s="173"/>
    </row>
    <row r="540" spans="1:9" s="40" customFormat="1" ht="38.25" x14ac:dyDescent="0.25">
      <c r="A540" s="5" t="s">
        <v>6</v>
      </c>
      <c r="B540" s="5" t="s">
        <v>6</v>
      </c>
      <c r="C540" s="28" t="s">
        <v>98</v>
      </c>
      <c r="D540" s="3">
        <f>D539+F539</f>
        <v>3195</v>
      </c>
      <c r="E540" s="3">
        <f>D540+F540-1</f>
        <v>3195</v>
      </c>
      <c r="F540" s="3">
        <v>1</v>
      </c>
      <c r="G540" s="23" t="s">
        <v>22</v>
      </c>
      <c r="H540" s="41" t="s">
        <v>102</v>
      </c>
      <c r="I540" s="170"/>
    </row>
    <row r="541" spans="1:9" s="40" customFormat="1" ht="38.25" x14ac:dyDescent="0.25">
      <c r="A541" s="5" t="s">
        <v>6</v>
      </c>
      <c r="B541" s="5" t="s">
        <v>6</v>
      </c>
      <c r="C541" s="28" t="s">
        <v>98</v>
      </c>
      <c r="D541" s="3">
        <f>D540+F540</f>
        <v>3196</v>
      </c>
      <c r="E541" s="3">
        <f>D541+F541-1</f>
        <v>3196</v>
      </c>
      <c r="F541" s="3">
        <v>1</v>
      </c>
      <c r="G541" s="23" t="s">
        <v>23</v>
      </c>
      <c r="H541" s="41" t="s">
        <v>102</v>
      </c>
      <c r="I541" s="170"/>
    </row>
    <row r="542" spans="1:9" s="40" customFormat="1" ht="15" x14ac:dyDescent="0.25">
      <c r="A542" s="5"/>
      <c r="B542" s="5"/>
      <c r="C542" s="28"/>
      <c r="D542" s="3">
        <f>D541+F541</f>
        <v>3197</v>
      </c>
      <c r="E542" s="3">
        <f>D542+F542-1</f>
        <v>3201</v>
      </c>
      <c r="F542" s="3">
        <v>5</v>
      </c>
      <c r="G542" s="23" t="s">
        <v>55</v>
      </c>
      <c r="H542" s="41"/>
      <c r="I542" s="43"/>
    </row>
    <row r="543" spans="1:9" s="40" customFormat="1" ht="15" x14ac:dyDescent="0.25">
      <c r="A543" s="5"/>
      <c r="B543" s="5"/>
      <c r="C543" s="28"/>
      <c r="D543" s="3"/>
      <c r="E543" s="3"/>
      <c r="F543" s="3"/>
      <c r="G543" s="24" t="s">
        <v>225</v>
      </c>
      <c r="H543" s="41"/>
      <c r="I543" s="43"/>
    </row>
    <row r="544" spans="1:9" s="40" customFormat="1" ht="15" x14ac:dyDescent="0.25">
      <c r="A544" s="5"/>
      <c r="B544" s="5"/>
      <c r="C544" s="28"/>
      <c r="D544" s="3"/>
      <c r="E544" s="3"/>
      <c r="F544" s="3"/>
      <c r="G544" s="24" t="s">
        <v>113</v>
      </c>
      <c r="H544" s="41"/>
      <c r="I544" s="43"/>
    </row>
    <row r="545" spans="1:9" s="40" customFormat="1" ht="15" customHeight="1" x14ac:dyDescent="0.25">
      <c r="A545" s="5" t="s">
        <v>6</v>
      </c>
      <c r="B545" s="5" t="s">
        <v>6</v>
      </c>
      <c r="C545" s="28" t="s">
        <v>237</v>
      </c>
      <c r="D545" s="3">
        <f>D542+F542</f>
        <v>3202</v>
      </c>
      <c r="E545" s="3">
        <f>D545+F545-1</f>
        <v>3202</v>
      </c>
      <c r="F545" s="3">
        <v>1</v>
      </c>
      <c r="G545" s="23" t="s">
        <v>126</v>
      </c>
      <c r="H545" s="170" t="s">
        <v>257</v>
      </c>
      <c r="I545" s="170" t="s">
        <v>138</v>
      </c>
    </row>
    <row r="546" spans="1:9" s="40" customFormat="1" ht="15" x14ac:dyDescent="0.25">
      <c r="A546" s="5" t="s">
        <v>6</v>
      </c>
      <c r="B546" s="5" t="s">
        <v>6</v>
      </c>
      <c r="C546" s="28" t="s">
        <v>237</v>
      </c>
      <c r="D546" s="3">
        <f>D545+F545</f>
        <v>3203</v>
      </c>
      <c r="E546" s="3">
        <f>D546+F546-1</f>
        <v>3203</v>
      </c>
      <c r="F546" s="3">
        <v>1</v>
      </c>
      <c r="G546" s="23" t="s">
        <v>127</v>
      </c>
      <c r="H546" s="170"/>
      <c r="I546" s="170"/>
    </row>
    <row r="547" spans="1:9" s="40" customFormat="1" ht="15" x14ac:dyDescent="0.25">
      <c r="A547" s="5" t="s">
        <v>6</v>
      </c>
      <c r="B547" s="5" t="s">
        <v>6</v>
      </c>
      <c r="C547" s="28" t="s">
        <v>237</v>
      </c>
      <c r="D547" s="3">
        <f t="shared" ref="D547:D558" si="87">D546+F546</f>
        <v>3204</v>
      </c>
      <c r="E547" s="3">
        <f t="shared" ref="E547:E558" si="88">D547+F547-1</f>
        <v>3204</v>
      </c>
      <c r="F547" s="3">
        <v>1</v>
      </c>
      <c r="G547" s="13" t="s">
        <v>406</v>
      </c>
      <c r="H547" s="170"/>
      <c r="I547" s="170"/>
    </row>
    <row r="548" spans="1:9" s="40" customFormat="1" ht="15" x14ac:dyDescent="0.25">
      <c r="A548" s="5" t="s">
        <v>6</v>
      </c>
      <c r="B548" s="5" t="s">
        <v>6</v>
      </c>
      <c r="C548" s="28" t="s">
        <v>237</v>
      </c>
      <c r="D548" s="3">
        <f t="shared" si="87"/>
        <v>3205</v>
      </c>
      <c r="E548" s="3">
        <f t="shared" si="88"/>
        <v>3205</v>
      </c>
      <c r="F548" s="3">
        <v>1</v>
      </c>
      <c r="G548" s="23" t="s">
        <v>128</v>
      </c>
      <c r="H548" s="170"/>
      <c r="I548" s="170"/>
    </row>
    <row r="549" spans="1:9" s="40" customFormat="1" ht="15" x14ac:dyDescent="0.25">
      <c r="A549" s="5" t="s">
        <v>6</v>
      </c>
      <c r="B549" s="5" t="s">
        <v>6</v>
      </c>
      <c r="C549" s="28" t="s">
        <v>237</v>
      </c>
      <c r="D549" s="3">
        <f t="shared" si="87"/>
        <v>3206</v>
      </c>
      <c r="E549" s="3">
        <f t="shared" si="88"/>
        <v>3206</v>
      </c>
      <c r="F549" s="3">
        <v>1</v>
      </c>
      <c r="G549" s="23" t="s">
        <v>129</v>
      </c>
      <c r="H549" s="170"/>
      <c r="I549" s="170"/>
    </row>
    <row r="550" spans="1:9" s="40" customFormat="1" ht="15" x14ac:dyDescent="0.25">
      <c r="A550" s="5" t="s">
        <v>6</v>
      </c>
      <c r="B550" s="5" t="s">
        <v>6</v>
      </c>
      <c r="C550" s="28" t="s">
        <v>237</v>
      </c>
      <c r="D550" s="3">
        <f t="shared" si="87"/>
        <v>3207</v>
      </c>
      <c r="E550" s="3">
        <f t="shared" si="88"/>
        <v>3207</v>
      </c>
      <c r="F550" s="3">
        <v>1</v>
      </c>
      <c r="G550" s="23" t="s">
        <v>130</v>
      </c>
      <c r="H550" s="170"/>
      <c r="I550" s="170"/>
    </row>
    <row r="551" spans="1:9" s="40" customFormat="1" ht="15" x14ac:dyDescent="0.25">
      <c r="A551" s="5" t="s">
        <v>6</v>
      </c>
      <c r="B551" s="5" t="s">
        <v>6</v>
      </c>
      <c r="C551" s="28" t="s">
        <v>237</v>
      </c>
      <c r="D551" s="3">
        <f t="shared" si="87"/>
        <v>3208</v>
      </c>
      <c r="E551" s="3">
        <f t="shared" si="88"/>
        <v>3208</v>
      </c>
      <c r="F551" s="3">
        <v>1</v>
      </c>
      <c r="G551" s="23" t="s">
        <v>275</v>
      </c>
      <c r="H551" s="170"/>
      <c r="I551" s="170"/>
    </row>
    <row r="552" spans="1:9" s="40" customFormat="1" ht="15" x14ac:dyDescent="0.25">
      <c r="A552" s="5" t="s">
        <v>6</v>
      </c>
      <c r="B552" s="5" t="s">
        <v>6</v>
      </c>
      <c r="C552" s="28" t="s">
        <v>97</v>
      </c>
      <c r="D552" s="3">
        <f t="shared" si="87"/>
        <v>3209</v>
      </c>
      <c r="E552" s="3">
        <f t="shared" si="88"/>
        <v>3209</v>
      </c>
      <c r="F552" s="3">
        <v>1</v>
      </c>
      <c r="G552" s="23" t="s">
        <v>310</v>
      </c>
      <c r="H552" s="170"/>
      <c r="I552" s="170"/>
    </row>
    <row r="553" spans="1:9" s="40" customFormat="1" ht="15" x14ac:dyDescent="0.25">
      <c r="A553" s="5" t="s">
        <v>6</v>
      </c>
      <c r="B553" s="5" t="s">
        <v>6</v>
      </c>
      <c r="C553" s="28" t="s">
        <v>237</v>
      </c>
      <c r="D553" s="3">
        <f>D552+F552</f>
        <v>3210</v>
      </c>
      <c r="E553" s="3">
        <f t="shared" si="88"/>
        <v>3210</v>
      </c>
      <c r="F553" s="3">
        <v>1</v>
      </c>
      <c r="G553" s="23" t="s">
        <v>131</v>
      </c>
      <c r="H553" s="170"/>
      <c r="I553" s="170"/>
    </row>
    <row r="554" spans="1:9" s="40" customFormat="1" ht="15" x14ac:dyDescent="0.25">
      <c r="A554" s="5" t="s">
        <v>6</v>
      </c>
      <c r="B554" s="5" t="s">
        <v>6</v>
      </c>
      <c r="C554" s="28" t="s">
        <v>237</v>
      </c>
      <c r="D554" s="3">
        <f t="shared" si="87"/>
        <v>3211</v>
      </c>
      <c r="E554" s="3">
        <f t="shared" si="88"/>
        <v>3211</v>
      </c>
      <c r="F554" s="3">
        <v>1</v>
      </c>
      <c r="G554" s="23" t="s">
        <v>132</v>
      </c>
      <c r="H554" s="170"/>
      <c r="I554" s="170"/>
    </row>
    <row r="555" spans="1:9" s="40" customFormat="1" ht="15" x14ac:dyDescent="0.25">
      <c r="A555" s="5" t="s">
        <v>6</v>
      </c>
      <c r="B555" s="5" t="s">
        <v>6</v>
      </c>
      <c r="C555" s="28" t="s">
        <v>237</v>
      </c>
      <c r="D555" s="3">
        <f t="shared" si="87"/>
        <v>3212</v>
      </c>
      <c r="E555" s="3">
        <f t="shared" si="88"/>
        <v>3212</v>
      </c>
      <c r="F555" s="3">
        <v>1</v>
      </c>
      <c r="G555" s="23" t="s">
        <v>133</v>
      </c>
      <c r="H555" s="170"/>
      <c r="I555" s="170"/>
    </row>
    <row r="556" spans="1:9" s="40" customFormat="1" ht="15" x14ac:dyDescent="0.25">
      <c r="A556" s="5" t="s">
        <v>6</v>
      </c>
      <c r="B556" s="5" t="s">
        <v>6</v>
      </c>
      <c r="C556" s="28" t="s">
        <v>237</v>
      </c>
      <c r="D556" s="3">
        <f t="shared" si="87"/>
        <v>3213</v>
      </c>
      <c r="E556" s="3">
        <f t="shared" si="88"/>
        <v>3213</v>
      </c>
      <c r="F556" s="3">
        <v>1</v>
      </c>
      <c r="G556" s="23" t="s">
        <v>134</v>
      </c>
      <c r="H556" s="170"/>
      <c r="I556" s="170"/>
    </row>
    <row r="557" spans="1:9" s="40" customFormat="1" ht="15" x14ac:dyDescent="0.25">
      <c r="A557" s="5" t="s">
        <v>6</v>
      </c>
      <c r="B557" s="5" t="s">
        <v>6</v>
      </c>
      <c r="C557" s="28" t="s">
        <v>237</v>
      </c>
      <c r="D557" s="3">
        <f t="shared" si="87"/>
        <v>3214</v>
      </c>
      <c r="E557" s="3">
        <f t="shared" si="88"/>
        <v>3214</v>
      </c>
      <c r="F557" s="3">
        <v>1</v>
      </c>
      <c r="G557" s="23" t="s">
        <v>135</v>
      </c>
      <c r="H557" s="170"/>
      <c r="I557" s="170"/>
    </row>
    <row r="558" spans="1:9" s="40" customFormat="1" ht="15" x14ac:dyDescent="0.25">
      <c r="A558" s="5" t="s">
        <v>6</v>
      </c>
      <c r="B558" s="5" t="s">
        <v>6</v>
      </c>
      <c r="C558" s="28" t="s">
        <v>237</v>
      </c>
      <c r="D558" s="3">
        <f t="shared" si="87"/>
        <v>3215</v>
      </c>
      <c r="E558" s="3">
        <f t="shared" si="88"/>
        <v>3215</v>
      </c>
      <c r="F558" s="3">
        <v>1</v>
      </c>
      <c r="G558" s="23" t="s">
        <v>136</v>
      </c>
      <c r="H558" s="170"/>
      <c r="I558" s="170"/>
    </row>
    <row r="559" spans="1:9" s="40" customFormat="1" ht="15" x14ac:dyDescent="0.25">
      <c r="A559" s="5"/>
      <c r="B559" s="5"/>
      <c r="C559" s="28"/>
      <c r="D559" s="3"/>
      <c r="E559" s="3"/>
      <c r="F559" s="3"/>
      <c r="G559" s="24" t="s">
        <v>362</v>
      </c>
      <c r="H559" s="41"/>
      <c r="I559" s="43"/>
    </row>
    <row r="560" spans="1:9" s="40" customFormat="1" ht="15" customHeight="1" x14ac:dyDescent="0.25">
      <c r="A560" s="5" t="s">
        <v>0</v>
      </c>
      <c r="B560" s="5" t="s">
        <v>0</v>
      </c>
      <c r="C560" s="28" t="s">
        <v>237</v>
      </c>
      <c r="D560" s="3">
        <f>D558+F558</f>
        <v>3216</v>
      </c>
      <c r="E560" s="3">
        <f>D560+F560-1</f>
        <v>3216</v>
      </c>
      <c r="F560" s="3">
        <v>1</v>
      </c>
      <c r="G560" s="23" t="s">
        <v>126</v>
      </c>
      <c r="H560" s="170" t="s">
        <v>118</v>
      </c>
      <c r="I560" s="170" t="s">
        <v>397</v>
      </c>
    </row>
    <row r="561" spans="1:9" s="40" customFormat="1" ht="15" x14ac:dyDescent="0.25">
      <c r="A561" s="5" t="s">
        <v>0</v>
      </c>
      <c r="B561" s="5" t="s">
        <v>0</v>
      </c>
      <c r="C561" s="28" t="s">
        <v>237</v>
      </c>
      <c r="D561" s="3">
        <f>D560+F560</f>
        <v>3217</v>
      </c>
      <c r="E561" s="3">
        <f>D561+F561-1</f>
        <v>3217</v>
      </c>
      <c r="F561" s="3">
        <v>1</v>
      </c>
      <c r="G561" s="23" t="s">
        <v>127</v>
      </c>
      <c r="H561" s="170"/>
      <c r="I561" s="170"/>
    </row>
    <row r="562" spans="1:9" s="40" customFormat="1" ht="15" x14ac:dyDescent="0.25">
      <c r="A562" s="5" t="s">
        <v>0</v>
      </c>
      <c r="B562" s="5" t="s">
        <v>0</v>
      </c>
      <c r="C562" s="28" t="s">
        <v>237</v>
      </c>
      <c r="D562" s="3">
        <f t="shared" ref="D562:D574" si="89">D561+F561</f>
        <v>3218</v>
      </c>
      <c r="E562" s="3">
        <f t="shared" ref="E562:E574" si="90">D562+F562-1</f>
        <v>3218</v>
      </c>
      <c r="F562" s="3">
        <v>1</v>
      </c>
      <c r="G562" s="13" t="s">
        <v>55</v>
      </c>
      <c r="H562" s="170"/>
      <c r="I562" s="170"/>
    </row>
    <row r="563" spans="1:9" s="40" customFormat="1" ht="15" x14ac:dyDescent="0.25">
      <c r="A563" s="5" t="s">
        <v>0</v>
      </c>
      <c r="B563" s="5" t="s">
        <v>0</v>
      </c>
      <c r="C563" s="28" t="s">
        <v>237</v>
      </c>
      <c r="D563" s="3">
        <f t="shared" si="89"/>
        <v>3219</v>
      </c>
      <c r="E563" s="3">
        <f t="shared" si="90"/>
        <v>3219</v>
      </c>
      <c r="F563" s="3">
        <v>1</v>
      </c>
      <c r="G563" s="23" t="s">
        <v>128</v>
      </c>
      <c r="H563" s="170"/>
      <c r="I563" s="170"/>
    </row>
    <row r="564" spans="1:9" s="40" customFormat="1" ht="15" x14ac:dyDescent="0.25">
      <c r="A564" s="5" t="s">
        <v>0</v>
      </c>
      <c r="B564" s="5" t="s">
        <v>0</v>
      </c>
      <c r="C564" s="28" t="s">
        <v>237</v>
      </c>
      <c r="D564" s="3">
        <f t="shared" si="89"/>
        <v>3220</v>
      </c>
      <c r="E564" s="3">
        <f t="shared" si="90"/>
        <v>3220</v>
      </c>
      <c r="F564" s="3">
        <v>1</v>
      </c>
      <c r="G564" s="23" t="s">
        <v>129</v>
      </c>
      <c r="H564" s="170"/>
      <c r="I564" s="170"/>
    </row>
    <row r="565" spans="1:9" s="40" customFormat="1" ht="15" x14ac:dyDescent="0.25">
      <c r="A565" s="5" t="s">
        <v>0</v>
      </c>
      <c r="B565" s="5" t="s">
        <v>0</v>
      </c>
      <c r="C565" s="28" t="s">
        <v>237</v>
      </c>
      <c r="D565" s="3">
        <f t="shared" si="89"/>
        <v>3221</v>
      </c>
      <c r="E565" s="3">
        <f t="shared" si="90"/>
        <v>3221</v>
      </c>
      <c r="F565" s="3">
        <v>1</v>
      </c>
      <c r="G565" s="23" t="s">
        <v>130</v>
      </c>
      <c r="H565" s="170"/>
      <c r="I565" s="170"/>
    </row>
    <row r="566" spans="1:9" s="40" customFormat="1" ht="15" x14ac:dyDescent="0.25">
      <c r="A566" s="5" t="s">
        <v>0</v>
      </c>
      <c r="B566" s="5" t="s">
        <v>0</v>
      </c>
      <c r="C566" s="28" t="s">
        <v>237</v>
      </c>
      <c r="D566" s="3">
        <f t="shared" si="89"/>
        <v>3222</v>
      </c>
      <c r="E566" s="3">
        <f t="shared" si="90"/>
        <v>3222</v>
      </c>
      <c r="F566" s="3">
        <v>1</v>
      </c>
      <c r="G566" s="23" t="s">
        <v>275</v>
      </c>
      <c r="H566" s="170"/>
      <c r="I566" s="170"/>
    </row>
    <row r="567" spans="1:9" s="40" customFormat="1" ht="15" x14ac:dyDescent="0.25">
      <c r="A567" s="5" t="s">
        <v>0</v>
      </c>
      <c r="B567" s="5" t="s">
        <v>0</v>
      </c>
      <c r="C567" s="28" t="s">
        <v>97</v>
      </c>
      <c r="D567" s="3">
        <f t="shared" si="89"/>
        <v>3223</v>
      </c>
      <c r="E567" s="3">
        <f t="shared" si="90"/>
        <v>3223</v>
      </c>
      <c r="F567" s="3">
        <v>1</v>
      </c>
      <c r="G567" s="23" t="s">
        <v>310</v>
      </c>
      <c r="H567" s="170"/>
      <c r="I567" s="170"/>
    </row>
    <row r="568" spans="1:9" s="40" customFormat="1" ht="15" x14ac:dyDescent="0.25">
      <c r="A568" s="5" t="s">
        <v>0</v>
      </c>
      <c r="B568" s="5" t="s">
        <v>0</v>
      </c>
      <c r="C568" s="28" t="s">
        <v>237</v>
      </c>
      <c r="D568" s="3">
        <f>D567+F567</f>
        <v>3224</v>
      </c>
      <c r="E568" s="3">
        <f t="shared" si="90"/>
        <v>3224</v>
      </c>
      <c r="F568" s="3">
        <v>1</v>
      </c>
      <c r="G568" s="23" t="s">
        <v>131</v>
      </c>
      <c r="H568" s="170"/>
      <c r="I568" s="170"/>
    </row>
    <row r="569" spans="1:9" s="40" customFormat="1" ht="15" x14ac:dyDescent="0.25">
      <c r="A569" s="5" t="s">
        <v>0</v>
      </c>
      <c r="B569" s="5" t="s">
        <v>0</v>
      </c>
      <c r="C569" s="28" t="s">
        <v>237</v>
      </c>
      <c r="D569" s="3">
        <f t="shared" si="89"/>
        <v>3225</v>
      </c>
      <c r="E569" s="3">
        <f t="shared" si="90"/>
        <v>3225</v>
      </c>
      <c r="F569" s="3">
        <v>1</v>
      </c>
      <c r="G569" s="23" t="s">
        <v>132</v>
      </c>
      <c r="H569" s="170"/>
      <c r="I569" s="170"/>
    </row>
    <row r="570" spans="1:9" s="40" customFormat="1" ht="15" x14ac:dyDescent="0.25">
      <c r="A570" s="5" t="s">
        <v>0</v>
      </c>
      <c r="B570" s="5" t="s">
        <v>0</v>
      </c>
      <c r="C570" s="28" t="s">
        <v>237</v>
      </c>
      <c r="D570" s="3">
        <f t="shared" si="89"/>
        <v>3226</v>
      </c>
      <c r="E570" s="3">
        <f t="shared" si="90"/>
        <v>3226</v>
      </c>
      <c r="F570" s="3">
        <v>1</v>
      </c>
      <c r="G570" s="23" t="s">
        <v>133</v>
      </c>
      <c r="H570" s="170"/>
      <c r="I570" s="170"/>
    </row>
    <row r="571" spans="1:9" s="40" customFormat="1" ht="15" x14ac:dyDescent="0.25">
      <c r="A571" s="5" t="s">
        <v>0</v>
      </c>
      <c r="B571" s="5" t="s">
        <v>0</v>
      </c>
      <c r="C571" s="28" t="s">
        <v>237</v>
      </c>
      <c r="D571" s="3">
        <f t="shared" si="89"/>
        <v>3227</v>
      </c>
      <c r="E571" s="3">
        <f t="shared" si="90"/>
        <v>3227</v>
      </c>
      <c r="F571" s="3">
        <v>1</v>
      </c>
      <c r="G571" s="23" t="s">
        <v>134</v>
      </c>
      <c r="H571" s="170"/>
      <c r="I571" s="170"/>
    </row>
    <row r="572" spans="1:9" s="40" customFormat="1" ht="15" x14ac:dyDescent="0.25">
      <c r="A572" s="5" t="s">
        <v>0</v>
      </c>
      <c r="B572" s="5" t="s">
        <v>0</v>
      </c>
      <c r="C572" s="28" t="s">
        <v>237</v>
      </c>
      <c r="D572" s="3">
        <f t="shared" si="89"/>
        <v>3228</v>
      </c>
      <c r="E572" s="3">
        <f t="shared" si="90"/>
        <v>3228</v>
      </c>
      <c r="F572" s="3">
        <v>1</v>
      </c>
      <c r="G572" s="23" t="s">
        <v>135</v>
      </c>
      <c r="H572" s="170"/>
      <c r="I572" s="170"/>
    </row>
    <row r="573" spans="1:9" s="40" customFormat="1" ht="15" x14ac:dyDescent="0.25">
      <c r="A573" s="5" t="s">
        <v>0</v>
      </c>
      <c r="B573" s="5" t="s">
        <v>0</v>
      </c>
      <c r="C573" s="28" t="s">
        <v>237</v>
      </c>
      <c r="D573" s="3">
        <f t="shared" si="89"/>
        <v>3229</v>
      </c>
      <c r="E573" s="3">
        <f t="shared" si="90"/>
        <v>3229</v>
      </c>
      <c r="F573" s="3">
        <v>1</v>
      </c>
      <c r="G573" s="23" t="s">
        <v>136</v>
      </c>
      <c r="H573" s="170"/>
      <c r="I573" s="170"/>
    </row>
    <row r="574" spans="1:9" s="40" customFormat="1" ht="15" x14ac:dyDescent="0.25">
      <c r="A574" s="5" t="s">
        <v>0</v>
      </c>
      <c r="B574" s="5" t="s">
        <v>0</v>
      </c>
      <c r="C574" s="28" t="s">
        <v>237</v>
      </c>
      <c r="D574" s="3">
        <f t="shared" si="89"/>
        <v>3230</v>
      </c>
      <c r="E574" s="3">
        <f t="shared" si="90"/>
        <v>3249</v>
      </c>
      <c r="F574" s="3">
        <v>20</v>
      </c>
      <c r="G574" s="23" t="s">
        <v>55</v>
      </c>
      <c r="H574" s="41"/>
      <c r="I574" s="43"/>
    </row>
    <row r="575" spans="1:9" s="40" customFormat="1" ht="15" x14ac:dyDescent="0.25">
      <c r="A575" s="5"/>
      <c r="B575" s="5"/>
      <c r="C575" s="3"/>
      <c r="D575" s="3"/>
      <c r="E575" s="3"/>
      <c r="F575" s="3"/>
      <c r="G575" s="24" t="s">
        <v>226</v>
      </c>
      <c r="H575" s="41"/>
      <c r="I575" s="43"/>
    </row>
    <row r="576" spans="1:9" s="40" customFormat="1" ht="63.75" x14ac:dyDescent="0.25">
      <c r="A576" s="5" t="s">
        <v>0</v>
      </c>
      <c r="B576" s="5" t="s">
        <v>0</v>
      </c>
      <c r="C576" s="28" t="s">
        <v>98</v>
      </c>
      <c r="D576" s="3">
        <f>D574+F574</f>
        <v>3250</v>
      </c>
      <c r="E576" s="3">
        <f t="shared" ref="E576:E583" si="91">D576+F576-1</f>
        <v>3252</v>
      </c>
      <c r="F576" s="3">
        <v>3</v>
      </c>
      <c r="G576" s="23" t="s">
        <v>24</v>
      </c>
      <c r="H576" s="43" t="s">
        <v>80</v>
      </c>
      <c r="I576" s="75" t="s">
        <v>698</v>
      </c>
    </row>
    <row r="577" spans="1:9" s="40" customFormat="1" ht="63.75" x14ac:dyDescent="0.25">
      <c r="A577" s="5" t="s">
        <v>0</v>
      </c>
      <c r="B577" s="5" t="s">
        <v>0</v>
      </c>
      <c r="C577" s="28" t="s">
        <v>98</v>
      </c>
      <c r="D577" s="3">
        <f t="shared" ref="D577:D583" si="92">D576+F576</f>
        <v>3253</v>
      </c>
      <c r="E577" s="3">
        <f t="shared" si="91"/>
        <v>3255</v>
      </c>
      <c r="F577" s="3">
        <v>3</v>
      </c>
      <c r="G577" s="23" t="s">
        <v>25</v>
      </c>
      <c r="H577" s="43" t="s">
        <v>80</v>
      </c>
      <c r="I577" s="75" t="s">
        <v>699</v>
      </c>
    </row>
    <row r="578" spans="1:9" s="40" customFormat="1" ht="89.25" x14ac:dyDescent="0.25">
      <c r="A578" s="5" t="s">
        <v>0</v>
      </c>
      <c r="B578" s="5" t="s">
        <v>0</v>
      </c>
      <c r="C578" s="28" t="s">
        <v>98</v>
      </c>
      <c r="D578" s="3">
        <f t="shared" si="92"/>
        <v>3256</v>
      </c>
      <c r="E578" s="3">
        <f t="shared" si="91"/>
        <v>3258</v>
      </c>
      <c r="F578" s="3">
        <v>3</v>
      </c>
      <c r="G578" s="23" t="s">
        <v>142</v>
      </c>
      <c r="H578" s="43" t="s">
        <v>80</v>
      </c>
      <c r="I578" s="12" t="s">
        <v>292</v>
      </c>
    </row>
    <row r="579" spans="1:9" s="40" customFormat="1" ht="76.5" x14ac:dyDescent="0.25">
      <c r="A579" s="5" t="s">
        <v>0</v>
      </c>
      <c r="B579" s="5" t="s">
        <v>0</v>
      </c>
      <c r="C579" s="28" t="s">
        <v>98</v>
      </c>
      <c r="D579" s="3">
        <f t="shared" si="92"/>
        <v>3259</v>
      </c>
      <c r="E579" s="3">
        <f t="shared" si="91"/>
        <v>3261</v>
      </c>
      <c r="F579" s="3">
        <v>3</v>
      </c>
      <c r="G579" s="23" t="s">
        <v>143</v>
      </c>
      <c r="H579" s="43" t="s">
        <v>85</v>
      </c>
      <c r="I579" s="75" t="s">
        <v>692</v>
      </c>
    </row>
    <row r="580" spans="1:9" s="40" customFormat="1" ht="63.75" x14ac:dyDescent="0.25">
      <c r="A580" s="5" t="s">
        <v>0</v>
      </c>
      <c r="B580" s="5" t="s">
        <v>0</v>
      </c>
      <c r="C580" s="28" t="s">
        <v>98</v>
      </c>
      <c r="D580" s="3">
        <f t="shared" si="92"/>
        <v>3262</v>
      </c>
      <c r="E580" s="3">
        <f t="shared" si="91"/>
        <v>3264</v>
      </c>
      <c r="F580" s="3">
        <v>3</v>
      </c>
      <c r="G580" s="23" t="s">
        <v>30</v>
      </c>
      <c r="H580" s="41" t="s">
        <v>83</v>
      </c>
      <c r="I580" s="12" t="s">
        <v>293</v>
      </c>
    </row>
    <row r="581" spans="1:9" s="40" customFormat="1" ht="63.75" x14ac:dyDescent="0.25">
      <c r="A581" s="5" t="s">
        <v>0</v>
      </c>
      <c r="B581" s="5" t="s">
        <v>0</v>
      </c>
      <c r="C581" s="28" t="s">
        <v>98</v>
      </c>
      <c r="D581" s="3">
        <f t="shared" si="92"/>
        <v>3265</v>
      </c>
      <c r="E581" s="3">
        <f t="shared" si="91"/>
        <v>3266</v>
      </c>
      <c r="F581" s="5">
        <v>2</v>
      </c>
      <c r="G581" s="23" t="s">
        <v>120</v>
      </c>
      <c r="H581" s="73" t="s">
        <v>521</v>
      </c>
      <c r="I581" s="44" t="s">
        <v>294</v>
      </c>
    </row>
    <row r="582" spans="1:9" s="40" customFormat="1" ht="63.75" x14ac:dyDescent="0.25">
      <c r="A582" s="5" t="s">
        <v>0</v>
      </c>
      <c r="B582" s="5" t="s">
        <v>0</v>
      </c>
      <c r="C582" s="28" t="s">
        <v>394</v>
      </c>
      <c r="D582" s="3">
        <f t="shared" si="92"/>
        <v>3267</v>
      </c>
      <c r="E582" s="3">
        <f t="shared" si="91"/>
        <v>3269</v>
      </c>
      <c r="F582" s="3">
        <v>3</v>
      </c>
      <c r="G582" s="23" t="s">
        <v>124</v>
      </c>
      <c r="H582" s="41" t="s">
        <v>123</v>
      </c>
      <c r="I582" s="44" t="s">
        <v>295</v>
      </c>
    </row>
    <row r="583" spans="1:9" s="40" customFormat="1" ht="15" x14ac:dyDescent="0.25">
      <c r="A583" s="5"/>
      <c r="B583" s="5"/>
      <c r="C583" s="28"/>
      <c r="D583" s="3">
        <f t="shared" si="92"/>
        <v>3270</v>
      </c>
      <c r="E583" s="3">
        <f t="shared" si="91"/>
        <v>3284</v>
      </c>
      <c r="F583" s="5">
        <v>15</v>
      </c>
      <c r="G583" s="23" t="s">
        <v>55</v>
      </c>
      <c r="H583" s="41"/>
      <c r="I583" s="44"/>
    </row>
    <row r="584" spans="1:9" s="40" customFormat="1" ht="15" x14ac:dyDescent="0.25">
      <c r="A584" s="5"/>
      <c r="B584" s="5"/>
      <c r="C584" s="28"/>
      <c r="D584" s="3"/>
      <c r="E584" s="3"/>
      <c r="F584" s="3"/>
      <c r="G584" s="24" t="s">
        <v>276</v>
      </c>
      <c r="H584" s="41"/>
      <c r="I584" s="44"/>
    </row>
    <row r="585" spans="1:9" s="40" customFormat="1" ht="15" x14ac:dyDescent="0.25">
      <c r="A585" s="5" t="s">
        <v>6</v>
      </c>
      <c r="B585" s="5" t="s">
        <v>6</v>
      </c>
      <c r="C585" s="28" t="s">
        <v>98</v>
      </c>
      <c r="D585" s="3">
        <f>D583+F583</f>
        <v>3285</v>
      </c>
      <c r="E585" s="3">
        <f>D585+F585-1</f>
        <v>3287</v>
      </c>
      <c r="F585" s="3">
        <v>3</v>
      </c>
      <c r="G585" s="23" t="s">
        <v>258</v>
      </c>
      <c r="H585" s="168" t="s">
        <v>83</v>
      </c>
      <c r="I585" s="175" t="s">
        <v>260</v>
      </c>
    </row>
    <row r="586" spans="1:9" s="40" customFormat="1" ht="15" x14ac:dyDescent="0.25">
      <c r="A586" s="5" t="s">
        <v>6</v>
      </c>
      <c r="B586" s="5" t="s">
        <v>6</v>
      </c>
      <c r="C586" s="28" t="s">
        <v>98</v>
      </c>
      <c r="D586" s="3">
        <f>D585+F585</f>
        <v>3288</v>
      </c>
      <c r="E586" s="3">
        <f>D586+F586-1</f>
        <v>3290</v>
      </c>
      <c r="F586" s="3">
        <v>3</v>
      </c>
      <c r="G586" s="23" t="s">
        <v>259</v>
      </c>
      <c r="H586" s="188"/>
      <c r="I586" s="189"/>
    </row>
    <row r="587" spans="1:9" s="40" customFormat="1" ht="15" x14ac:dyDescent="0.25">
      <c r="A587" s="5"/>
      <c r="B587" s="5"/>
      <c r="C587" s="28"/>
      <c r="D587" s="3"/>
      <c r="E587" s="3"/>
      <c r="F587" s="3"/>
      <c r="G587" s="24" t="s">
        <v>140</v>
      </c>
      <c r="H587" s="41"/>
      <c r="I587" s="43"/>
    </row>
    <row r="588" spans="1:9" s="40" customFormat="1" ht="38.25" x14ac:dyDescent="0.25">
      <c r="A588" s="5" t="s">
        <v>0</v>
      </c>
      <c r="B588" s="5" t="s">
        <v>0</v>
      </c>
      <c r="C588" s="28" t="s">
        <v>98</v>
      </c>
      <c r="D588" s="3">
        <f>D586+F586</f>
        <v>3291</v>
      </c>
      <c r="E588" s="3">
        <f t="shared" ref="E588:E593" si="93">D588+F588-1</f>
        <v>3292</v>
      </c>
      <c r="F588" s="3">
        <v>2</v>
      </c>
      <c r="G588" s="23" t="s">
        <v>166</v>
      </c>
      <c r="H588" s="41" t="s">
        <v>84</v>
      </c>
      <c r="I588" s="43" t="s">
        <v>194</v>
      </c>
    </row>
    <row r="589" spans="1:9" s="40" customFormat="1" ht="63.75" x14ac:dyDescent="0.25">
      <c r="A589" s="5" t="s">
        <v>0</v>
      </c>
      <c r="B589" s="5" t="s">
        <v>0</v>
      </c>
      <c r="C589" s="28" t="s">
        <v>98</v>
      </c>
      <c r="D589" s="3">
        <f t="shared" ref="D589:D594" si="94">D588+F588</f>
        <v>3293</v>
      </c>
      <c r="E589" s="3">
        <f t="shared" si="93"/>
        <v>3295</v>
      </c>
      <c r="F589" s="3">
        <v>3</v>
      </c>
      <c r="G589" s="23" t="s">
        <v>182</v>
      </c>
      <c r="H589" s="41" t="s">
        <v>85</v>
      </c>
      <c r="I589" s="43" t="s">
        <v>195</v>
      </c>
    </row>
    <row r="590" spans="1:9" s="40" customFormat="1" ht="38.25" x14ac:dyDescent="0.25">
      <c r="A590" s="5" t="s">
        <v>0</v>
      </c>
      <c r="B590" s="5" t="s">
        <v>0</v>
      </c>
      <c r="C590" s="28" t="s">
        <v>98</v>
      </c>
      <c r="D590" s="3">
        <f t="shared" si="94"/>
        <v>3296</v>
      </c>
      <c r="E590" s="3">
        <f t="shared" si="93"/>
        <v>3297</v>
      </c>
      <c r="F590" s="3">
        <v>2</v>
      </c>
      <c r="G590" s="23" t="s">
        <v>167</v>
      </c>
      <c r="H590" s="41" t="s">
        <v>84</v>
      </c>
      <c r="I590" s="43" t="s">
        <v>196</v>
      </c>
    </row>
    <row r="591" spans="1:9" s="40" customFormat="1" ht="51" x14ac:dyDescent="0.25">
      <c r="A591" s="5" t="s">
        <v>0</v>
      </c>
      <c r="B591" s="5" t="s">
        <v>0</v>
      </c>
      <c r="C591" s="28" t="s">
        <v>98</v>
      </c>
      <c r="D591" s="3">
        <f t="shared" si="94"/>
        <v>3298</v>
      </c>
      <c r="E591" s="3">
        <f t="shared" si="93"/>
        <v>3300</v>
      </c>
      <c r="F591" s="3">
        <v>3</v>
      </c>
      <c r="G591" s="23" t="s">
        <v>183</v>
      </c>
      <c r="H591" s="41" t="s">
        <v>85</v>
      </c>
      <c r="I591" s="43" t="s">
        <v>197</v>
      </c>
    </row>
    <row r="592" spans="1:9" s="40" customFormat="1" ht="38.25" x14ac:dyDescent="0.25">
      <c r="A592" s="5" t="s">
        <v>0</v>
      </c>
      <c r="B592" s="5" t="s">
        <v>0</v>
      </c>
      <c r="C592" s="28" t="s">
        <v>98</v>
      </c>
      <c r="D592" s="3">
        <f t="shared" si="94"/>
        <v>3301</v>
      </c>
      <c r="E592" s="3">
        <f t="shared" si="93"/>
        <v>3302</v>
      </c>
      <c r="F592" s="3">
        <v>2</v>
      </c>
      <c r="G592" s="23" t="s">
        <v>168</v>
      </c>
      <c r="H592" s="41" t="s">
        <v>84</v>
      </c>
      <c r="I592" s="43" t="s">
        <v>198</v>
      </c>
    </row>
    <row r="593" spans="1:9" s="40" customFormat="1" ht="51" x14ac:dyDescent="0.25">
      <c r="A593" s="5" t="s">
        <v>0</v>
      </c>
      <c r="B593" s="5" t="s">
        <v>0</v>
      </c>
      <c r="C593" s="28" t="s">
        <v>98</v>
      </c>
      <c r="D593" s="3">
        <f t="shared" si="94"/>
        <v>3303</v>
      </c>
      <c r="E593" s="3">
        <f t="shared" si="93"/>
        <v>3305</v>
      </c>
      <c r="F593" s="3">
        <v>3</v>
      </c>
      <c r="G593" s="23" t="s">
        <v>184</v>
      </c>
      <c r="H593" s="41" t="s">
        <v>85</v>
      </c>
      <c r="I593" s="43" t="s">
        <v>199</v>
      </c>
    </row>
    <row r="594" spans="1:9" s="40" customFormat="1" ht="15" x14ac:dyDescent="0.25">
      <c r="A594" s="5"/>
      <c r="B594" s="5"/>
      <c r="C594" s="28"/>
      <c r="D594" s="3">
        <f t="shared" si="94"/>
        <v>3306</v>
      </c>
      <c r="E594" s="3">
        <f>D594+F594-1</f>
        <v>3325</v>
      </c>
      <c r="F594" s="3">
        <v>20</v>
      </c>
      <c r="G594" s="23" t="s">
        <v>55</v>
      </c>
      <c r="H594" s="41"/>
      <c r="I594" s="43"/>
    </row>
    <row r="595" spans="1:9" s="40" customFormat="1" ht="15" x14ac:dyDescent="0.25">
      <c r="A595" s="5"/>
      <c r="B595" s="5"/>
      <c r="C595" s="28"/>
      <c r="D595" s="3"/>
      <c r="E595" s="3"/>
      <c r="F595" s="3"/>
      <c r="G595" s="24" t="s">
        <v>376</v>
      </c>
      <c r="H595" s="41"/>
      <c r="I595" s="43"/>
    </row>
    <row r="596" spans="1:9" s="40" customFormat="1" ht="25.5" x14ac:dyDescent="0.25">
      <c r="A596" s="5" t="s">
        <v>0</v>
      </c>
      <c r="B596" s="5" t="s">
        <v>0</v>
      </c>
      <c r="C596" s="28" t="s">
        <v>394</v>
      </c>
      <c r="D596" s="3">
        <f>D594+F594</f>
        <v>3326</v>
      </c>
      <c r="E596" s="3">
        <f t="shared" ref="E596:E604" si="95">D596+F596-1</f>
        <v>3327</v>
      </c>
      <c r="F596" s="5">
        <v>2</v>
      </c>
      <c r="G596" s="13" t="s">
        <v>378</v>
      </c>
      <c r="H596" s="41" t="s">
        <v>92</v>
      </c>
      <c r="I596" s="43" t="s">
        <v>159</v>
      </c>
    </row>
    <row r="597" spans="1:9" s="40" customFormat="1" ht="63.75" x14ac:dyDescent="0.25">
      <c r="A597" s="5" t="s">
        <v>0</v>
      </c>
      <c r="B597" s="5" t="s">
        <v>0</v>
      </c>
      <c r="C597" s="28" t="s">
        <v>98</v>
      </c>
      <c r="D597" s="3">
        <f t="shared" ref="D597:D602" si="96">D596+F596</f>
        <v>3328</v>
      </c>
      <c r="E597" s="3">
        <f t="shared" si="95"/>
        <v>3328</v>
      </c>
      <c r="F597" s="3">
        <v>1</v>
      </c>
      <c r="G597" s="23" t="s">
        <v>26</v>
      </c>
      <c r="H597" s="41" t="s">
        <v>125</v>
      </c>
      <c r="I597" s="43" t="s">
        <v>410</v>
      </c>
    </row>
    <row r="598" spans="1:9" s="40" customFormat="1" ht="38.25" x14ac:dyDescent="0.25">
      <c r="A598" s="5" t="s">
        <v>0</v>
      </c>
      <c r="B598" s="5" t="s">
        <v>0</v>
      </c>
      <c r="C598" s="28" t="s">
        <v>98</v>
      </c>
      <c r="D598" s="3">
        <f t="shared" si="96"/>
        <v>3329</v>
      </c>
      <c r="E598" s="3">
        <f t="shared" si="95"/>
        <v>3329</v>
      </c>
      <c r="F598" s="3">
        <v>1</v>
      </c>
      <c r="G598" s="23" t="s">
        <v>27</v>
      </c>
      <c r="H598" s="41" t="s">
        <v>81</v>
      </c>
      <c r="I598" s="43" t="s">
        <v>263</v>
      </c>
    </row>
    <row r="599" spans="1:9" s="40" customFormat="1" ht="60" customHeight="1" x14ac:dyDescent="0.25">
      <c r="A599" s="5" t="s">
        <v>6</v>
      </c>
      <c r="B599" s="5" t="s">
        <v>6</v>
      </c>
      <c r="C599" s="28" t="s">
        <v>99</v>
      </c>
      <c r="D599" s="3">
        <f t="shared" si="96"/>
        <v>3330</v>
      </c>
      <c r="E599" s="3">
        <f t="shared" si="95"/>
        <v>3330</v>
      </c>
      <c r="F599" s="3">
        <v>1</v>
      </c>
      <c r="G599" s="23" t="s">
        <v>122</v>
      </c>
      <c r="H599" s="41" t="s">
        <v>261</v>
      </c>
      <c r="I599" s="43" t="s">
        <v>262</v>
      </c>
    </row>
    <row r="600" spans="1:9" s="40" customFormat="1" ht="51" x14ac:dyDescent="0.25">
      <c r="A600" s="5" t="s">
        <v>0</v>
      </c>
      <c r="B600" s="5" t="s">
        <v>0</v>
      </c>
      <c r="C600" s="28" t="s">
        <v>98</v>
      </c>
      <c r="D600" s="3">
        <f t="shared" si="96"/>
        <v>3331</v>
      </c>
      <c r="E600" s="3">
        <f t="shared" si="95"/>
        <v>3331</v>
      </c>
      <c r="F600" s="3">
        <v>1</v>
      </c>
      <c r="G600" s="23" t="s">
        <v>28</v>
      </c>
      <c r="H600" s="41" t="s">
        <v>82</v>
      </c>
      <c r="I600" s="43" t="s">
        <v>264</v>
      </c>
    </row>
    <row r="601" spans="1:9" s="40" customFormat="1" ht="184.5" customHeight="1" x14ac:dyDescent="0.25">
      <c r="A601" s="5" t="s">
        <v>0</v>
      </c>
      <c r="B601" s="5" t="s">
        <v>0</v>
      </c>
      <c r="C601" s="28" t="s">
        <v>98</v>
      </c>
      <c r="D601" s="3">
        <f t="shared" si="96"/>
        <v>3332</v>
      </c>
      <c r="E601" s="3">
        <f t="shared" si="95"/>
        <v>3332</v>
      </c>
      <c r="F601" s="3">
        <v>1</v>
      </c>
      <c r="G601" s="23" t="s">
        <v>32</v>
      </c>
      <c r="H601" s="41" t="s">
        <v>79</v>
      </c>
      <c r="I601" s="43" t="s">
        <v>367</v>
      </c>
    </row>
    <row r="602" spans="1:9" s="40" customFormat="1" ht="63.75" x14ac:dyDescent="0.25">
      <c r="A602" s="5" t="s">
        <v>0</v>
      </c>
      <c r="B602" s="5" t="s">
        <v>0</v>
      </c>
      <c r="C602" s="28" t="s">
        <v>98</v>
      </c>
      <c r="D602" s="3">
        <f t="shared" si="96"/>
        <v>3333</v>
      </c>
      <c r="E602" s="3">
        <f t="shared" si="95"/>
        <v>3333</v>
      </c>
      <c r="F602" s="3">
        <v>1</v>
      </c>
      <c r="G602" s="23" t="s">
        <v>29</v>
      </c>
      <c r="H602" s="41" t="s">
        <v>78</v>
      </c>
      <c r="I602" s="43" t="s">
        <v>328</v>
      </c>
    </row>
    <row r="603" spans="1:9" s="40" customFormat="1" ht="38.25" x14ac:dyDescent="0.25">
      <c r="A603" s="5" t="s">
        <v>6</v>
      </c>
      <c r="B603" s="5" t="s">
        <v>6</v>
      </c>
      <c r="C603" s="28" t="s">
        <v>99</v>
      </c>
      <c r="D603" s="3">
        <f>D602+F602</f>
        <v>3334</v>
      </c>
      <c r="E603" s="3">
        <f t="shared" si="95"/>
        <v>3334</v>
      </c>
      <c r="F603" s="3">
        <v>1</v>
      </c>
      <c r="G603" s="23" t="s">
        <v>119</v>
      </c>
      <c r="H603" s="42" t="s">
        <v>408</v>
      </c>
      <c r="I603" s="43" t="s">
        <v>409</v>
      </c>
    </row>
    <row r="604" spans="1:9" s="40" customFormat="1" ht="15" x14ac:dyDescent="0.25">
      <c r="A604" s="5"/>
      <c r="B604" s="5"/>
      <c r="C604" s="29"/>
      <c r="D604" s="3">
        <f>D603+F603</f>
        <v>3335</v>
      </c>
      <c r="E604" s="3">
        <f t="shared" si="95"/>
        <v>3344</v>
      </c>
      <c r="F604" s="6">
        <v>10</v>
      </c>
      <c r="G604" s="9" t="s">
        <v>55</v>
      </c>
      <c r="H604" s="41"/>
      <c r="I604" s="43"/>
    </row>
    <row r="605" spans="1:9" s="40" customFormat="1" ht="15" x14ac:dyDescent="0.25">
      <c r="A605" s="5"/>
      <c r="B605" s="5"/>
      <c r="C605" s="29"/>
      <c r="D605" s="3"/>
      <c r="E605" s="3"/>
      <c r="F605" s="6"/>
      <c r="G605" s="24" t="s">
        <v>158</v>
      </c>
      <c r="H605" s="41"/>
      <c r="I605" s="43"/>
    </row>
    <row r="606" spans="1:9" s="40" customFormat="1" ht="89.25" x14ac:dyDescent="0.25">
      <c r="A606" s="5" t="s">
        <v>6</v>
      </c>
      <c r="B606" s="5" t="s">
        <v>6</v>
      </c>
      <c r="C606" s="29" t="s">
        <v>99</v>
      </c>
      <c r="D606" s="3">
        <f>D604+F604</f>
        <v>3345</v>
      </c>
      <c r="E606" s="3">
        <f>D606+F606-1</f>
        <v>3345</v>
      </c>
      <c r="F606" s="6">
        <v>1</v>
      </c>
      <c r="G606" s="13" t="s">
        <v>368</v>
      </c>
      <c r="H606" s="44" t="s">
        <v>118</v>
      </c>
      <c r="I606" s="43" t="s">
        <v>369</v>
      </c>
    </row>
    <row r="607" spans="1:9" s="40" customFormat="1" ht="63.75" x14ac:dyDescent="0.25">
      <c r="A607" s="5" t="s">
        <v>6</v>
      </c>
      <c r="B607" s="5" t="s">
        <v>6</v>
      </c>
      <c r="C607" s="29" t="s">
        <v>99</v>
      </c>
      <c r="D607" s="3">
        <f>D606+F606</f>
        <v>3346</v>
      </c>
      <c r="E607" s="3">
        <f>D607+F607-1</f>
        <v>3346</v>
      </c>
      <c r="F607" s="6">
        <v>1</v>
      </c>
      <c r="G607" s="9" t="s">
        <v>116</v>
      </c>
      <c r="H607" s="44" t="s">
        <v>118</v>
      </c>
      <c r="I607" s="43" t="s">
        <v>162</v>
      </c>
    </row>
    <row r="608" spans="1:9" s="40" customFormat="1" ht="63.75" x14ac:dyDescent="0.25">
      <c r="A608" s="5" t="s">
        <v>6</v>
      </c>
      <c r="B608" s="5" t="s">
        <v>6</v>
      </c>
      <c r="C608" s="29" t="s">
        <v>99</v>
      </c>
      <c r="D608" s="3">
        <f>D607+F607</f>
        <v>3347</v>
      </c>
      <c r="E608" s="3">
        <f>D608+F608-1</f>
        <v>3347</v>
      </c>
      <c r="F608" s="6">
        <v>1</v>
      </c>
      <c r="G608" s="9" t="s">
        <v>117</v>
      </c>
      <c r="H608" s="44" t="s">
        <v>118</v>
      </c>
      <c r="I608" s="43" t="s">
        <v>265</v>
      </c>
    </row>
    <row r="609" spans="1:9" s="40" customFormat="1" ht="15" x14ac:dyDescent="0.25">
      <c r="A609" s="5"/>
      <c r="B609" s="5"/>
      <c r="C609" s="29"/>
      <c r="D609" s="3">
        <f>D608+F608</f>
        <v>3348</v>
      </c>
      <c r="E609" s="3">
        <f>D609+F609-1</f>
        <v>3357</v>
      </c>
      <c r="F609" s="6">
        <v>10</v>
      </c>
      <c r="G609" s="9" t="s">
        <v>55</v>
      </c>
      <c r="H609" s="44"/>
      <c r="I609" s="43"/>
    </row>
    <row r="610" spans="1:9" s="40" customFormat="1" ht="15" x14ac:dyDescent="0.25">
      <c r="A610" s="5"/>
      <c r="B610" s="5"/>
      <c r="C610" s="28"/>
      <c r="D610" s="3"/>
      <c r="E610" s="3"/>
      <c r="F610" s="3"/>
      <c r="G610" s="24" t="s">
        <v>36</v>
      </c>
      <c r="H610" s="41"/>
      <c r="I610" s="43"/>
    </row>
    <row r="611" spans="1:9" s="40" customFormat="1" ht="25.5" x14ac:dyDescent="0.25">
      <c r="A611" s="5" t="s">
        <v>0</v>
      </c>
      <c r="B611" s="5" t="s">
        <v>0</v>
      </c>
      <c r="C611" s="3" t="s">
        <v>96</v>
      </c>
      <c r="D611" s="3">
        <f>D609+F609</f>
        <v>3358</v>
      </c>
      <c r="E611" s="3">
        <f t="shared" ref="E611:E618" si="97">D611+F611-1</f>
        <v>3361</v>
      </c>
      <c r="F611" s="3">
        <v>4</v>
      </c>
      <c r="G611" s="23" t="s">
        <v>34</v>
      </c>
      <c r="H611" s="41" t="s">
        <v>88</v>
      </c>
      <c r="I611" s="170" t="s">
        <v>87</v>
      </c>
    </row>
    <row r="612" spans="1:9" s="40" customFormat="1" ht="51" x14ac:dyDescent="0.25">
      <c r="A612" s="5" t="s">
        <v>0</v>
      </c>
      <c r="B612" s="5" t="s">
        <v>0</v>
      </c>
      <c r="C612" s="3" t="s">
        <v>96</v>
      </c>
      <c r="D612" s="3">
        <f t="shared" ref="D612:D616" si="98">D611+F611</f>
        <v>3362</v>
      </c>
      <c r="E612" s="3">
        <f t="shared" si="97"/>
        <v>3363</v>
      </c>
      <c r="F612" s="3">
        <v>2</v>
      </c>
      <c r="G612" s="23" t="s">
        <v>33</v>
      </c>
      <c r="H612" s="41" t="s">
        <v>86</v>
      </c>
      <c r="I612" s="170"/>
    </row>
    <row r="613" spans="1:9" s="40" customFormat="1" ht="25.5" x14ac:dyDescent="0.25">
      <c r="A613" s="5" t="s">
        <v>0</v>
      </c>
      <c r="B613" s="5" t="s">
        <v>0</v>
      </c>
      <c r="C613" s="3" t="s">
        <v>96</v>
      </c>
      <c r="D613" s="3">
        <f t="shared" si="98"/>
        <v>3364</v>
      </c>
      <c r="E613" s="3">
        <f t="shared" si="97"/>
        <v>3366</v>
      </c>
      <c r="F613" s="3">
        <v>3</v>
      </c>
      <c r="G613" s="23" t="s">
        <v>35</v>
      </c>
      <c r="H613" s="41" t="s">
        <v>89</v>
      </c>
      <c r="I613" s="43" t="s">
        <v>90</v>
      </c>
    </row>
    <row r="614" spans="1:9" s="40" customFormat="1" ht="63.75" x14ac:dyDescent="0.25">
      <c r="A614" s="5" t="s">
        <v>0</v>
      </c>
      <c r="B614" s="5" t="s">
        <v>0</v>
      </c>
      <c r="C614" s="3" t="s">
        <v>96</v>
      </c>
      <c r="D614" s="3">
        <f t="shared" si="98"/>
        <v>3367</v>
      </c>
      <c r="E614" s="3">
        <f t="shared" si="97"/>
        <v>3369</v>
      </c>
      <c r="F614" s="3">
        <v>3</v>
      </c>
      <c r="G614" s="23" t="s">
        <v>329</v>
      </c>
      <c r="H614" s="41" t="s">
        <v>330</v>
      </c>
      <c r="I614" s="43" t="s">
        <v>91</v>
      </c>
    </row>
    <row r="615" spans="1:9" s="40" customFormat="1" ht="15" x14ac:dyDescent="0.25">
      <c r="A615" s="5"/>
      <c r="B615" s="5"/>
      <c r="C615" s="28"/>
      <c r="D615" s="3">
        <f t="shared" si="98"/>
        <v>3370</v>
      </c>
      <c r="E615" s="3">
        <f t="shared" si="97"/>
        <v>3379</v>
      </c>
      <c r="F615" s="3">
        <v>10</v>
      </c>
      <c r="G615" s="23" t="s">
        <v>55</v>
      </c>
      <c r="H615" s="41"/>
      <c r="I615" s="43"/>
    </row>
    <row r="616" spans="1:9" s="40" customFormat="1" ht="190.5" customHeight="1" x14ac:dyDescent="0.25">
      <c r="A616" s="5" t="s">
        <v>6</v>
      </c>
      <c r="B616" s="5" t="s">
        <v>6</v>
      </c>
      <c r="C616" s="28" t="s">
        <v>98</v>
      </c>
      <c r="D616" s="3">
        <f t="shared" si="98"/>
        <v>3380</v>
      </c>
      <c r="E616" s="3">
        <f t="shared" si="97"/>
        <v>3579</v>
      </c>
      <c r="F616" s="3">
        <v>200</v>
      </c>
      <c r="G616" s="13" t="s">
        <v>407</v>
      </c>
      <c r="H616" s="203" t="s">
        <v>715</v>
      </c>
      <c r="I616" s="98" t="s">
        <v>497</v>
      </c>
    </row>
    <row r="617" spans="1:9" s="40" customFormat="1" ht="188.25" customHeight="1" x14ac:dyDescent="0.25">
      <c r="A617" s="5" t="s">
        <v>6</v>
      </c>
      <c r="B617" s="5" t="s">
        <v>6</v>
      </c>
      <c r="C617" s="28" t="s">
        <v>98</v>
      </c>
      <c r="D617" s="3">
        <f t="shared" ref="D617" si="99">D616+F616</f>
        <v>3580</v>
      </c>
      <c r="E617" s="3">
        <f t="shared" ref="E617" si="100">D617+F617-1</f>
        <v>3679</v>
      </c>
      <c r="F617" s="3">
        <v>100</v>
      </c>
      <c r="G617" s="13" t="s">
        <v>401</v>
      </c>
      <c r="H617" s="203"/>
      <c r="I617" s="98" t="s">
        <v>498</v>
      </c>
    </row>
    <row r="618" spans="1:9" s="40" customFormat="1" ht="15" x14ac:dyDescent="0.25">
      <c r="A618" s="5"/>
      <c r="B618" s="5"/>
      <c r="C618" s="28"/>
      <c r="D618" s="3">
        <f>D617+F617</f>
        <v>3680</v>
      </c>
      <c r="E618" s="3">
        <f t="shared" si="97"/>
        <v>3695</v>
      </c>
      <c r="F618" s="3">
        <v>16</v>
      </c>
      <c r="G618" s="23" t="s">
        <v>55</v>
      </c>
      <c r="H618" s="41"/>
      <c r="I618" s="43"/>
    </row>
    <row r="619" spans="1:9" x14ac:dyDescent="0.25">
      <c r="A619" s="5"/>
      <c r="B619" s="5"/>
      <c r="C619" s="6"/>
      <c r="D619" s="3"/>
      <c r="E619" s="3"/>
      <c r="F619" s="7"/>
      <c r="G619" s="133" t="s">
        <v>639</v>
      </c>
      <c r="H619" s="14"/>
      <c r="I619" s="18"/>
    </row>
    <row r="620" spans="1:9" ht="25.5" x14ac:dyDescent="0.25">
      <c r="A620" s="5" t="s">
        <v>0</v>
      </c>
      <c r="B620" s="5" t="s">
        <v>0</v>
      </c>
      <c r="C620" s="28" t="s">
        <v>97</v>
      </c>
      <c r="D620" s="3">
        <f>D618+F618</f>
        <v>3696</v>
      </c>
      <c r="E620" s="3">
        <f>D620+F620-1</f>
        <v>3696</v>
      </c>
      <c r="F620" s="3">
        <v>1</v>
      </c>
      <c r="G620" s="23" t="s">
        <v>37</v>
      </c>
      <c r="H620" s="41" t="s">
        <v>54</v>
      </c>
    </row>
    <row r="621" spans="1:9" ht="140.25" x14ac:dyDescent="0.25">
      <c r="A621" s="5" t="s">
        <v>0</v>
      </c>
      <c r="B621" s="5" t="s">
        <v>0</v>
      </c>
      <c r="C621" s="28" t="s">
        <v>97</v>
      </c>
      <c r="D621" s="3">
        <f t="shared" ref="D621:D634" si="101">D620+F620</f>
        <v>3697</v>
      </c>
      <c r="E621" s="3">
        <f t="shared" ref="E621:E635" si="102">D621+F621-1</f>
        <v>3701</v>
      </c>
      <c r="F621" s="3">
        <v>5</v>
      </c>
      <c r="G621" s="23" t="s">
        <v>13</v>
      </c>
      <c r="H621" s="134" t="s">
        <v>622</v>
      </c>
      <c r="I621" s="87" t="s">
        <v>623</v>
      </c>
    </row>
    <row r="622" spans="1:9" ht="51" x14ac:dyDescent="0.25">
      <c r="A622" s="5" t="s">
        <v>6</v>
      </c>
      <c r="B622" s="5" t="s">
        <v>6</v>
      </c>
      <c r="C622" s="28" t="s">
        <v>97</v>
      </c>
      <c r="D622" s="3">
        <f t="shared" si="101"/>
        <v>3702</v>
      </c>
      <c r="E622" s="3">
        <f t="shared" si="102"/>
        <v>3707</v>
      </c>
      <c r="F622" s="3">
        <v>6</v>
      </c>
      <c r="G622" s="23" t="s">
        <v>14</v>
      </c>
      <c r="H622" s="42" t="s">
        <v>404</v>
      </c>
      <c r="I622" s="43" t="s">
        <v>405</v>
      </c>
    </row>
    <row r="623" spans="1:9" ht="17.25" customHeight="1" x14ac:dyDescent="0.25">
      <c r="A623" s="5" t="s">
        <v>0</v>
      </c>
      <c r="B623" s="5" t="s">
        <v>6</v>
      </c>
      <c r="C623" s="28" t="s">
        <v>97</v>
      </c>
      <c r="D623" s="3">
        <f t="shared" si="101"/>
        <v>3708</v>
      </c>
      <c r="E623" s="3">
        <f t="shared" si="102"/>
        <v>3727</v>
      </c>
      <c r="F623" s="3">
        <v>20</v>
      </c>
      <c r="G623" s="23" t="s">
        <v>15</v>
      </c>
      <c r="H623" s="168" t="s">
        <v>256</v>
      </c>
      <c r="I623" s="175" t="s">
        <v>359</v>
      </c>
    </row>
    <row r="624" spans="1:9" ht="18.75" customHeight="1" x14ac:dyDescent="0.25">
      <c r="A624" s="5" t="s">
        <v>0</v>
      </c>
      <c r="B624" s="5" t="s">
        <v>6</v>
      </c>
      <c r="C624" s="28" t="s">
        <v>97</v>
      </c>
      <c r="D624" s="3">
        <f t="shared" si="101"/>
        <v>3728</v>
      </c>
      <c r="E624" s="3">
        <f t="shared" si="102"/>
        <v>3742</v>
      </c>
      <c r="F624" s="3">
        <v>15</v>
      </c>
      <c r="G624" s="23" t="s">
        <v>16</v>
      </c>
      <c r="H624" s="168"/>
      <c r="I624" s="175"/>
    </row>
    <row r="625" spans="1:9" ht="17.25" customHeight="1" x14ac:dyDescent="0.25">
      <c r="A625" s="5" t="s">
        <v>0</v>
      </c>
      <c r="B625" s="5" t="s">
        <v>6</v>
      </c>
      <c r="C625" s="28" t="s">
        <v>97</v>
      </c>
      <c r="D625" s="3">
        <f t="shared" si="101"/>
        <v>3743</v>
      </c>
      <c r="E625" s="3">
        <f t="shared" si="102"/>
        <v>3743</v>
      </c>
      <c r="F625" s="3">
        <v>1</v>
      </c>
      <c r="G625" s="23" t="s">
        <v>273</v>
      </c>
      <c r="H625" s="168"/>
      <c r="I625" s="175"/>
    </row>
    <row r="626" spans="1:9" ht="38.25" x14ac:dyDescent="0.25">
      <c r="A626" s="5" t="s">
        <v>6</v>
      </c>
      <c r="B626" s="5" t="s">
        <v>6</v>
      </c>
      <c r="C626" s="28" t="s">
        <v>97</v>
      </c>
      <c r="D626" s="3">
        <f t="shared" si="101"/>
        <v>3744</v>
      </c>
      <c r="E626" s="3">
        <f t="shared" si="102"/>
        <v>3746</v>
      </c>
      <c r="F626" s="3">
        <v>3</v>
      </c>
      <c r="G626" s="23" t="s">
        <v>155</v>
      </c>
      <c r="H626" s="45" t="s">
        <v>156</v>
      </c>
      <c r="I626" s="183" t="s">
        <v>478</v>
      </c>
    </row>
    <row r="627" spans="1:9" x14ac:dyDescent="0.25">
      <c r="A627" s="5" t="s">
        <v>6</v>
      </c>
      <c r="B627" s="5" t="s">
        <v>6</v>
      </c>
      <c r="C627" s="28" t="s">
        <v>97</v>
      </c>
      <c r="D627" s="3">
        <f t="shared" si="101"/>
        <v>3747</v>
      </c>
      <c r="E627" s="3">
        <f t="shared" si="102"/>
        <v>3766</v>
      </c>
      <c r="F627" s="3">
        <v>20</v>
      </c>
      <c r="G627" s="23" t="s">
        <v>17</v>
      </c>
      <c r="H627" s="168" t="s">
        <v>256</v>
      </c>
      <c r="I627" s="183"/>
    </row>
    <row r="628" spans="1:9" x14ac:dyDescent="0.25">
      <c r="A628" s="5" t="s">
        <v>6</v>
      </c>
      <c r="B628" s="5" t="s">
        <v>6</v>
      </c>
      <c r="C628" s="28" t="s">
        <v>97</v>
      </c>
      <c r="D628" s="3">
        <f t="shared" si="101"/>
        <v>3767</v>
      </c>
      <c r="E628" s="3">
        <f t="shared" si="102"/>
        <v>3786</v>
      </c>
      <c r="F628" s="3">
        <v>20</v>
      </c>
      <c r="G628" s="23" t="s">
        <v>18</v>
      </c>
      <c r="H628" s="168"/>
      <c r="I628" s="183"/>
    </row>
    <row r="629" spans="1:9" x14ac:dyDescent="0.25">
      <c r="A629" s="5" t="s">
        <v>0</v>
      </c>
      <c r="B629" s="5" t="s">
        <v>0</v>
      </c>
      <c r="C629" s="28" t="s">
        <v>97</v>
      </c>
      <c r="D629" s="3">
        <f t="shared" si="101"/>
        <v>3787</v>
      </c>
      <c r="E629" s="3">
        <f t="shared" si="102"/>
        <v>3787</v>
      </c>
      <c r="F629" s="3">
        <v>1</v>
      </c>
      <c r="G629" s="23" t="s">
        <v>274</v>
      </c>
      <c r="H629" s="168"/>
      <c r="I629" s="183"/>
    </row>
    <row r="630" spans="1:9" ht="114.75" x14ac:dyDescent="0.25">
      <c r="A630" s="5" t="s">
        <v>0</v>
      </c>
      <c r="B630" s="5" t="s">
        <v>0</v>
      </c>
      <c r="C630" s="28" t="s">
        <v>237</v>
      </c>
      <c r="D630" s="3">
        <f t="shared" si="101"/>
        <v>3788</v>
      </c>
      <c r="E630" s="3">
        <f>D630+F630-1</f>
        <v>3793</v>
      </c>
      <c r="F630" s="3">
        <v>6</v>
      </c>
      <c r="G630" s="23" t="s">
        <v>154</v>
      </c>
      <c r="H630" s="86" t="s">
        <v>499</v>
      </c>
      <c r="I630" s="43" t="s">
        <v>360</v>
      </c>
    </row>
    <row r="631" spans="1:9" ht="127.5" x14ac:dyDescent="0.25">
      <c r="A631" s="5" t="s">
        <v>0</v>
      </c>
      <c r="B631" s="5" t="s">
        <v>0</v>
      </c>
      <c r="C631" s="28" t="s">
        <v>97</v>
      </c>
      <c r="D631" s="3">
        <f t="shared" si="101"/>
        <v>3794</v>
      </c>
      <c r="E631" s="3">
        <f t="shared" si="102"/>
        <v>3823</v>
      </c>
      <c r="F631" s="3">
        <v>30</v>
      </c>
      <c r="G631" s="23" t="s">
        <v>19</v>
      </c>
      <c r="H631" s="86" t="s">
        <v>503</v>
      </c>
      <c r="I631" s="43" t="s">
        <v>361</v>
      </c>
    </row>
    <row r="632" spans="1:9" s="40" customFormat="1" ht="51" x14ac:dyDescent="0.25">
      <c r="A632" s="5" t="s">
        <v>0</v>
      </c>
      <c r="B632" s="5" t="s">
        <v>0</v>
      </c>
      <c r="C632" s="28" t="s">
        <v>97</v>
      </c>
      <c r="D632" s="3">
        <f t="shared" si="101"/>
        <v>3824</v>
      </c>
      <c r="E632" s="3">
        <f t="shared" si="102"/>
        <v>3843</v>
      </c>
      <c r="F632" s="3">
        <v>20</v>
      </c>
      <c r="G632" s="23" t="s">
        <v>112</v>
      </c>
      <c r="H632" s="41" t="s">
        <v>338</v>
      </c>
      <c r="I632" s="43" t="s">
        <v>359</v>
      </c>
    </row>
    <row r="633" spans="1:9" s="40" customFormat="1" ht="38.25" x14ac:dyDescent="0.25">
      <c r="A633" s="5" t="s">
        <v>0</v>
      </c>
      <c r="B633" s="5" t="s">
        <v>0</v>
      </c>
      <c r="C633" s="28" t="s">
        <v>99</v>
      </c>
      <c r="D633" s="3">
        <f t="shared" si="101"/>
        <v>3844</v>
      </c>
      <c r="E633" s="3">
        <f>D633+F633-1</f>
        <v>3849</v>
      </c>
      <c r="F633" s="3">
        <v>6</v>
      </c>
      <c r="G633" s="23" t="s">
        <v>114</v>
      </c>
      <c r="H633" s="41" t="s">
        <v>115</v>
      </c>
      <c r="I633" s="43" t="s">
        <v>309</v>
      </c>
    </row>
    <row r="634" spans="1:9" s="40" customFormat="1" ht="25.5" x14ac:dyDescent="0.25">
      <c r="A634" s="5" t="s">
        <v>0</v>
      </c>
      <c r="B634" s="5" t="s">
        <v>0</v>
      </c>
      <c r="C634" s="28" t="s">
        <v>237</v>
      </c>
      <c r="D634" s="3">
        <f t="shared" si="101"/>
        <v>3850</v>
      </c>
      <c r="E634" s="3">
        <f>D634+F634-1</f>
        <v>3850</v>
      </c>
      <c r="F634" s="3">
        <v>1</v>
      </c>
      <c r="G634" s="23" t="s">
        <v>318</v>
      </c>
      <c r="H634" s="41" t="s">
        <v>307</v>
      </c>
      <c r="I634" s="43" t="s">
        <v>306</v>
      </c>
    </row>
    <row r="635" spans="1:9" s="40" customFormat="1" ht="15" x14ac:dyDescent="0.25">
      <c r="A635" s="5"/>
      <c r="B635" s="5"/>
      <c r="C635" s="28"/>
      <c r="D635" s="3">
        <f>D634+F634</f>
        <v>3851</v>
      </c>
      <c r="E635" s="3">
        <f t="shared" si="102"/>
        <v>3869</v>
      </c>
      <c r="F635" s="3">
        <v>19</v>
      </c>
      <c r="G635" s="23" t="s">
        <v>55</v>
      </c>
      <c r="H635" s="41"/>
      <c r="I635" s="43"/>
    </row>
    <row r="636" spans="1:9" s="40" customFormat="1" ht="15" x14ac:dyDescent="0.25">
      <c r="A636" s="5"/>
      <c r="B636" s="5"/>
      <c r="C636" s="6"/>
      <c r="D636" s="3"/>
      <c r="E636" s="3"/>
      <c r="F636" s="7"/>
      <c r="G636" s="24" t="s">
        <v>20</v>
      </c>
      <c r="H636" s="14"/>
      <c r="I636" s="18"/>
    </row>
    <row r="637" spans="1:9" s="40" customFormat="1" ht="38.25" x14ac:dyDescent="0.25">
      <c r="A637" s="5" t="s">
        <v>6</v>
      </c>
      <c r="B637" s="5" t="s">
        <v>6</v>
      </c>
      <c r="C637" s="28" t="s">
        <v>98</v>
      </c>
      <c r="D637" s="3">
        <f>D635+F635</f>
        <v>3870</v>
      </c>
      <c r="E637" s="3">
        <f>D637+F637-1</f>
        <v>3870</v>
      </c>
      <c r="F637" s="3">
        <v>1</v>
      </c>
      <c r="G637" s="23" t="s">
        <v>399</v>
      </c>
      <c r="H637" s="41" t="s">
        <v>102</v>
      </c>
      <c r="I637" s="170" t="s">
        <v>400</v>
      </c>
    </row>
    <row r="638" spans="1:9" s="40" customFormat="1" ht="38.25" x14ac:dyDescent="0.25">
      <c r="A638" s="5" t="s">
        <v>6</v>
      </c>
      <c r="B638" s="5" t="s">
        <v>6</v>
      </c>
      <c r="C638" s="28" t="s">
        <v>98</v>
      </c>
      <c r="D638" s="3">
        <f>D637+F637</f>
        <v>3871</v>
      </c>
      <c r="E638" s="3">
        <f>D638+F638-1</f>
        <v>3871</v>
      </c>
      <c r="F638" s="3">
        <v>1</v>
      </c>
      <c r="G638" s="23" t="s">
        <v>21</v>
      </c>
      <c r="H638" s="41" t="s">
        <v>102</v>
      </c>
      <c r="I638" s="206"/>
    </row>
    <row r="639" spans="1:9" s="40" customFormat="1" ht="38.25" x14ac:dyDescent="0.25">
      <c r="A639" s="5" t="s">
        <v>6</v>
      </c>
      <c r="B639" s="5" t="s">
        <v>6</v>
      </c>
      <c r="C639" s="28" t="s">
        <v>98</v>
      </c>
      <c r="D639" s="3">
        <f>D638+F638</f>
        <v>3872</v>
      </c>
      <c r="E639" s="3">
        <f>D639+F639-1</f>
        <v>3872</v>
      </c>
      <c r="F639" s="3">
        <v>1</v>
      </c>
      <c r="G639" s="23" t="s">
        <v>22</v>
      </c>
      <c r="H639" s="41" t="s">
        <v>102</v>
      </c>
      <c r="I639" s="206"/>
    </row>
    <row r="640" spans="1:9" s="40" customFormat="1" ht="38.25" x14ac:dyDescent="0.25">
      <c r="A640" s="5" t="s">
        <v>6</v>
      </c>
      <c r="B640" s="5" t="s">
        <v>6</v>
      </c>
      <c r="C640" s="28" t="s">
        <v>98</v>
      </c>
      <c r="D640" s="3">
        <f>D639+F639</f>
        <v>3873</v>
      </c>
      <c r="E640" s="3">
        <f>D640+F640-1</f>
        <v>3873</v>
      </c>
      <c r="F640" s="3">
        <v>1</v>
      </c>
      <c r="G640" s="23" t="s">
        <v>23</v>
      </c>
      <c r="H640" s="41" t="s">
        <v>102</v>
      </c>
      <c r="I640" s="206"/>
    </row>
    <row r="641" spans="1:9" s="40" customFormat="1" ht="15" x14ac:dyDescent="0.25">
      <c r="A641" s="5"/>
      <c r="B641" s="5"/>
      <c r="C641" s="28"/>
      <c r="D641" s="3">
        <f>D640+F640</f>
        <v>3874</v>
      </c>
      <c r="E641" s="3">
        <f>D641+F641-1</f>
        <v>3878</v>
      </c>
      <c r="F641" s="3">
        <v>5</v>
      </c>
      <c r="G641" s="23" t="s">
        <v>55</v>
      </c>
      <c r="H641" s="41"/>
      <c r="I641" s="43"/>
    </row>
    <row r="642" spans="1:9" s="40" customFormat="1" ht="15" x14ac:dyDescent="0.25">
      <c r="A642" s="5"/>
      <c r="B642" s="5"/>
      <c r="C642" s="28"/>
      <c r="D642" s="3"/>
      <c r="E642" s="3"/>
      <c r="F642" s="3"/>
      <c r="G642" s="133" t="s">
        <v>638</v>
      </c>
      <c r="H642" s="41"/>
      <c r="I642" s="43"/>
    </row>
    <row r="643" spans="1:9" s="40" customFormat="1" ht="15" x14ac:dyDescent="0.25">
      <c r="A643" s="5"/>
      <c r="B643" s="5"/>
      <c r="C643" s="28"/>
      <c r="D643" s="3"/>
      <c r="E643" s="3"/>
      <c r="F643" s="3"/>
      <c r="G643" s="24" t="s">
        <v>113</v>
      </c>
      <c r="H643" s="41"/>
      <c r="I643" s="43"/>
    </row>
    <row r="644" spans="1:9" s="40" customFormat="1" ht="15" customHeight="1" x14ac:dyDescent="0.25">
      <c r="A644" s="5" t="s">
        <v>6</v>
      </c>
      <c r="B644" s="5" t="s">
        <v>6</v>
      </c>
      <c r="C644" s="28" t="s">
        <v>237</v>
      </c>
      <c r="D644" s="3">
        <f>D641+F641</f>
        <v>3879</v>
      </c>
      <c r="E644" s="3">
        <f>D644+F644-1</f>
        <v>3879</v>
      </c>
      <c r="F644" s="3">
        <v>1</v>
      </c>
      <c r="G644" s="23" t="s">
        <v>126</v>
      </c>
      <c r="H644" s="170" t="s">
        <v>257</v>
      </c>
      <c r="I644" s="170" t="s">
        <v>138</v>
      </c>
    </row>
    <row r="645" spans="1:9" s="40" customFormat="1" ht="15" x14ac:dyDescent="0.25">
      <c r="A645" s="5" t="s">
        <v>6</v>
      </c>
      <c r="B645" s="5" t="s">
        <v>6</v>
      </c>
      <c r="C645" s="28" t="s">
        <v>237</v>
      </c>
      <c r="D645" s="3">
        <f>D644+F644</f>
        <v>3880</v>
      </c>
      <c r="E645" s="3">
        <f>D645+F645-1</f>
        <v>3880</v>
      </c>
      <c r="F645" s="3">
        <v>1</v>
      </c>
      <c r="G645" s="23" t="s">
        <v>127</v>
      </c>
      <c r="H645" s="170"/>
      <c r="I645" s="170"/>
    </row>
    <row r="646" spans="1:9" s="40" customFormat="1" ht="15" x14ac:dyDescent="0.25">
      <c r="A646" s="5" t="s">
        <v>6</v>
      </c>
      <c r="B646" s="5" t="s">
        <v>6</v>
      </c>
      <c r="C646" s="28" t="s">
        <v>237</v>
      </c>
      <c r="D646" s="3">
        <f t="shared" ref="D646:D657" si="103">D645+F645</f>
        <v>3881</v>
      </c>
      <c r="E646" s="3">
        <f t="shared" ref="E646:E657" si="104">D646+F646-1</f>
        <v>3881</v>
      </c>
      <c r="F646" s="3">
        <v>1</v>
      </c>
      <c r="G646" s="13" t="s">
        <v>406</v>
      </c>
      <c r="H646" s="170"/>
      <c r="I646" s="170"/>
    </row>
    <row r="647" spans="1:9" s="40" customFormat="1" ht="15" x14ac:dyDescent="0.25">
      <c r="A647" s="5" t="s">
        <v>6</v>
      </c>
      <c r="B647" s="5" t="s">
        <v>6</v>
      </c>
      <c r="C647" s="28" t="s">
        <v>237</v>
      </c>
      <c r="D647" s="3">
        <f t="shared" si="103"/>
        <v>3882</v>
      </c>
      <c r="E647" s="3">
        <f t="shared" si="104"/>
        <v>3882</v>
      </c>
      <c r="F647" s="3">
        <v>1</v>
      </c>
      <c r="G647" s="23" t="s">
        <v>128</v>
      </c>
      <c r="H647" s="170"/>
      <c r="I647" s="170"/>
    </row>
    <row r="648" spans="1:9" s="40" customFormat="1" ht="15" x14ac:dyDescent="0.25">
      <c r="A648" s="5" t="s">
        <v>6</v>
      </c>
      <c r="B648" s="5" t="s">
        <v>6</v>
      </c>
      <c r="C648" s="28" t="s">
        <v>237</v>
      </c>
      <c r="D648" s="3">
        <f t="shared" si="103"/>
        <v>3883</v>
      </c>
      <c r="E648" s="3">
        <f t="shared" si="104"/>
        <v>3883</v>
      </c>
      <c r="F648" s="3">
        <v>1</v>
      </c>
      <c r="G648" s="23" t="s">
        <v>129</v>
      </c>
      <c r="H648" s="170"/>
      <c r="I648" s="170"/>
    </row>
    <row r="649" spans="1:9" s="40" customFormat="1" ht="15" x14ac:dyDescent="0.25">
      <c r="A649" s="5" t="s">
        <v>6</v>
      </c>
      <c r="B649" s="5" t="s">
        <v>6</v>
      </c>
      <c r="C649" s="28" t="s">
        <v>237</v>
      </c>
      <c r="D649" s="3">
        <f t="shared" si="103"/>
        <v>3884</v>
      </c>
      <c r="E649" s="3">
        <f t="shared" si="104"/>
        <v>3884</v>
      </c>
      <c r="F649" s="3">
        <v>1</v>
      </c>
      <c r="G649" s="23" t="s">
        <v>130</v>
      </c>
      <c r="H649" s="170"/>
      <c r="I649" s="170"/>
    </row>
    <row r="650" spans="1:9" s="40" customFormat="1" ht="15" x14ac:dyDescent="0.25">
      <c r="A650" s="5" t="s">
        <v>6</v>
      </c>
      <c r="B650" s="5" t="s">
        <v>6</v>
      </c>
      <c r="C650" s="28" t="s">
        <v>237</v>
      </c>
      <c r="D650" s="3">
        <f t="shared" si="103"/>
        <v>3885</v>
      </c>
      <c r="E650" s="3">
        <f t="shared" si="104"/>
        <v>3885</v>
      </c>
      <c r="F650" s="3">
        <v>1</v>
      </c>
      <c r="G650" s="23" t="s">
        <v>275</v>
      </c>
      <c r="H650" s="170"/>
      <c r="I650" s="170"/>
    </row>
    <row r="651" spans="1:9" s="40" customFormat="1" ht="15" x14ac:dyDescent="0.25">
      <c r="A651" s="5" t="s">
        <v>6</v>
      </c>
      <c r="B651" s="5" t="s">
        <v>6</v>
      </c>
      <c r="C651" s="28" t="s">
        <v>97</v>
      </c>
      <c r="D651" s="3">
        <f t="shared" si="103"/>
        <v>3886</v>
      </c>
      <c r="E651" s="3">
        <f t="shared" si="104"/>
        <v>3886</v>
      </c>
      <c r="F651" s="3">
        <v>1</v>
      </c>
      <c r="G651" s="23" t="s">
        <v>310</v>
      </c>
      <c r="H651" s="170"/>
      <c r="I651" s="170"/>
    </row>
    <row r="652" spans="1:9" s="40" customFormat="1" ht="15" x14ac:dyDescent="0.25">
      <c r="A652" s="5" t="s">
        <v>6</v>
      </c>
      <c r="B652" s="5" t="s">
        <v>6</v>
      </c>
      <c r="C652" s="28" t="s">
        <v>237</v>
      </c>
      <c r="D652" s="3">
        <f>D651+F651</f>
        <v>3887</v>
      </c>
      <c r="E652" s="3">
        <f t="shared" si="104"/>
        <v>3887</v>
      </c>
      <c r="F652" s="3">
        <v>1</v>
      </c>
      <c r="G652" s="23" t="s">
        <v>131</v>
      </c>
      <c r="H652" s="170"/>
      <c r="I652" s="170"/>
    </row>
    <row r="653" spans="1:9" s="40" customFormat="1" ht="15" x14ac:dyDescent="0.25">
      <c r="A653" s="5" t="s">
        <v>6</v>
      </c>
      <c r="B653" s="5" t="s">
        <v>6</v>
      </c>
      <c r="C653" s="28" t="s">
        <v>237</v>
      </c>
      <c r="D653" s="3">
        <f t="shared" si="103"/>
        <v>3888</v>
      </c>
      <c r="E653" s="3">
        <f t="shared" si="104"/>
        <v>3888</v>
      </c>
      <c r="F653" s="3">
        <v>1</v>
      </c>
      <c r="G653" s="23" t="s">
        <v>132</v>
      </c>
      <c r="H653" s="170"/>
      <c r="I653" s="170"/>
    </row>
    <row r="654" spans="1:9" s="40" customFormat="1" ht="15" x14ac:dyDescent="0.25">
      <c r="A654" s="5" t="s">
        <v>6</v>
      </c>
      <c r="B654" s="5" t="s">
        <v>6</v>
      </c>
      <c r="C654" s="28" t="s">
        <v>237</v>
      </c>
      <c r="D654" s="3">
        <f t="shared" si="103"/>
        <v>3889</v>
      </c>
      <c r="E654" s="3">
        <f t="shared" si="104"/>
        <v>3889</v>
      </c>
      <c r="F654" s="3">
        <v>1</v>
      </c>
      <c r="G654" s="23" t="s">
        <v>133</v>
      </c>
      <c r="H654" s="170"/>
      <c r="I654" s="170"/>
    </row>
    <row r="655" spans="1:9" s="40" customFormat="1" ht="15" x14ac:dyDescent="0.25">
      <c r="A655" s="5" t="s">
        <v>6</v>
      </c>
      <c r="B655" s="5" t="s">
        <v>6</v>
      </c>
      <c r="C655" s="28" t="s">
        <v>237</v>
      </c>
      <c r="D655" s="3">
        <f t="shared" si="103"/>
        <v>3890</v>
      </c>
      <c r="E655" s="3">
        <f t="shared" si="104"/>
        <v>3890</v>
      </c>
      <c r="F655" s="3">
        <v>1</v>
      </c>
      <c r="G655" s="23" t="s">
        <v>134</v>
      </c>
      <c r="H655" s="170"/>
      <c r="I655" s="170"/>
    </row>
    <row r="656" spans="1:9" s="40" customFormat="1" ht="15" x14ac:dyDescent="0.25">
      <c r="A656" s="5" t="s">
        <v>6</v>
      </c>
      <c r="B656" s="5" t="s">
        <v>6</v>
      </c>
      <c r="C656" s="28" t="s">
        <v>237</v>
      </c>
      <c r="D656" s="3">
        <f t="shared" si="103"/>
        <v>3891</v>
      </c>
      <c r="E656" s="3">
        <f t="shared" si="104"/>
        <v>3891</v>
      </c>
      <c r="F656" s="3">
        <v>1</v>
      </c>
      <c r="G656" s="23" t="s">
        <v>135</v>
      </c>
      <c r="H656" s="170"/>
      <c r="I656" s="170"/>
    </row>
    <row r="657" spans="1:9" s="40" customFormat="1" ht="15" x14ac:dyDescent="0.25">
      <c r="A657" s="5" t="s">
        <v>6</v>
      </c>
      <c r="B657" s="5" t="s">
        <v>6</v>
      </c>
      <c r="C657" s="28" t="s">
        <v>237</v>
      </c>
      <c r="D657" s="3">
        <f t="shared" si="103"/>
        <v>3892</v>
      </c>
      <c r="E657" s="3">
        <f t="shared" si="104"/>
        <v>3892</v>
      </c>
      <c r="F657" s="3">
        <v>1</v>
      </c>
      <c r="G657" s="23" t="s">
        <v>136</v>
      </c>
      <c r="H657" s="170"/>
      <c r="I657" s="170"/>
    </row>
    <row r="658" spans="1:9" s="40" customFormat="1" ht="15" x14ac:dyDescent="0.25">
      <c r="A658" s="5"/>
      <c r="B658" s="5"/>
      <c r="C658" s="28"/>
      <c r="D658" s="3"/>
      <c r="E658" s="3"/>
      <c r="F658" s="3"/>
      <c r="G658" s="24" t="s">
        <v>362</v>
      </c>
      <c r="H658" s="41"/>
      <c r="I658" s="43"/>
    </row>
    <row r="659" spans="1:9" s="40" customFormat="1" ht="15" customHeight="1" x14ac:dyDescent="0.25">
      <c r="A659" s="5" t="s">
        <v>0</v>
      </c>
      <c r="B659" s="5" t="s">
        <v>0</v>
      </c>
      <c r="C659" s="28" t="s">
        <v>97</v>
      </c>
      <c r="D659" s="3">
        <f>D657+F657</f>
        <v>3893</v>
      </c>
      <c r="E659" s="3">
        <f>D659+F659-1</f>
        <v>3893</v>
      </c>
      <c r="F659" s="3">
        <v>1</v>
      </c>
      <c r="G659" s="23" t="s">
        <v>126</v>
      </c>
      <c r="H659" s="170" t="s">
        <v>118</v>
      </c>
      <c r="I659" s="170" t="s">
        <v>398</v>
      </c>
    </row>
    <row r="660" spans="1:9" s="40" customFormat="1" ht="15" x14ac:dyDescent="0.25">
      <c r="A660" s="5" t="s">
        <v>0</v>
      </c>
      <c r="B660" s="5" t="s">
        <v>0</v>
      </c>
      <c r="C660" s="28" t="s">
        <v>97</v>
      </c>
      <c r="D660" s="3">
        <f>D659+F659</f>
        <v>3894</v>
      </c>
      <c r="E660" s="3">
        <f>D660+F660-1</f>
        <v>3894</v>
      </c>
      <c r="F660" s="3">
        <v>1</v>
      </c>
      <c r="G660" s="23" t="s">
        <v>127</v>
      </c>
      <c r="H660" s="170"/>
      <c r="I660" s="170"/>
    </row>
    <row r="661" spans="1:9" s="40" customFormat="1" ht="15" x14ac:dyDescent="0.25">
      <c r="A661" s="5" t="s">
        <v>0</v>
      </c>
      <c r="B661" s="5" t="s">
        <v>0</v>
      </c>
      <c r="C661" s="28" t="s">
        <v>97</v>
      </c>
      <c r="D661" s="3">
        <f t="shared" ref="D661:D673" si="105">D660+F660</f>
        <v>3895</v>
      </c>
      <c r="E661" s="3">
        <f t="shared" ref="E661:E673" si="106">D661+F661-1</f>
        <v>3895</v>
      </c>
      <c r="F661" s="3">
        <v>1</v>
      </c>
      <c r="G661" s="13" t="s">
        <v>55</v>
      </c>
      <c r="H661" s="170"/>
      <c r="I661" s="170"/>
    </row>
    <row r="662" spans="1:9" s="40" customFormat="1" ht="15" x14ac:dyDescent="0.25">
      <c r="A662" s="5" t="s">
        <v>0</v>
      </c>
      <c r="B662" s="5" t="s">
        <v>0</v>
      </c>
      <c r="C662" s="28" t="s">
        <v>97</v>
      </c>
      <c r="D662" s="3">
        <f t="shared" si="105"/>
        <v>3896</v>
      </c>
      <c r="E662" s="3">
        <f t="shared" si="106"/>
        <v>3896</v>
      </c>
      <c r="F662" s="3">
        <v>1</v>
      </c>
      <c r="G662" s="23" t="s">
        <v>128</v>
      </c>
      <c r="H662" s="170"/>
      <c r="I662" s="170"/>
    </row>
    <row r="663" spans="1:9" s="40" customFormat="1" ht="15" x14ac:dyDescent="0.25">
      <c r="A663" s="5" t="s">
        <v>0</v>
      </c>
      <c r="B663" s="5" t="s">
        <v>0</v>
      </c>
      <c r="C663" s="28" t="s">
        <v>97</v>
      </c>
      <c r="D663" s="3">
        <f t="shared" si="105"/>
        <v>3897</v>
      </c>
      <c r="E663" s="3">
        <f t="shared" si="106"/>
        <v>3897</v>
      </c>
      <c r="F663" s="3">
        <v>1</v>
      </c>
      <c r="G663" s="23" t="s">
        <v>129</v>
      </c>
      <c r="H663" s="170"/>
      <c r="I663" s="170"/>
    </row>
    <row r="664" spans="1:9" s="40" customFormat="1" ht="15" x14ac:dyDescent="0.25">
      <c r="A664" s="5" t="s">
        <v>0</v>
      </c>
      <c r="B664" s="5" t="s">
        <v>0</v>
      </c>
      <c r="C664" s="28" t="s">
        <v>97</v>
      </c>
      <c r="D664" s="3">
        <f t="shared" si="105"/>
        <v>3898</v>
      </c>
      <c r="E664" s="3">
        <f t="shared" si="106"/>
        <v>3898</v>
      </c>
      <c r="F664" s="3">
        <v>1</v>
      </c>
      <c r="G664" s="23" t="s">
        <v>130</v>
      </c>
      <c r="H664" s="170"/>
      <c r="I664" s="170"/>
    </row>
    <row r="665" spans="1:9" s="40" customFormat="1" ht="15" x14ac:dyDescent="0.25">
      <c r="A665" s="5" t="s">
        <v>0</v>
      </c>
      <c r="B665" s="5" t="s">
        <v>0</v>
      </c>
      <c r="C665" s="28" t="s">
        <v>97</v>
      </c>
      <c r="D665" s="3">
        <f t="shared" si="105"/>
        <v>3899</v>
      </c>
      <c r="E665" s="3">
        <f t="shared" si="106"/>
        <v>3899</v>
      </c>
      <c r="F665" s="3">
        <v>1</v>
      </c>
      <c r="G665" s="23" t="s">
        <v>275</v>
      </c>
      <c r="H665" s="170"/>
      <c r="I665" s="170"/>
    </row>
    <row r="666" spans="1:9" s="40" customFormat="1" ht="15" x14ac:dyDescent="0.25">
      <c r="A666" s="5" t="s">
        <v>0</v>
      </c>
      <c r="B666" s="5" t="s">
        <v>0</v>
      </c>
      <c r="C666" s="28" t="s">
        <v>97</v>
      </c>
      <c r="D666" s="3">
        <f t="shared" si="105"/>
        <v>3900</v>
      </c>
      <c r="E666" s="3">
        <f t="shared" si="106"/>
        <v>3900</v>
      </c>
      <c r="F666" s="3">
        <v>1</v>
      </c>
      <c r="G666" s="23" t="s">
        <v>310</v>
      </c>
      <c r="H666" s="170"/>
      <c r="I666" s="170"/>
    </row>
    <row r="667" spans="1:9" s="40" customFormat="1" ht="15" x14ac:dyDescent="0.25">
      <c r="A667" s="5" t="s">
        <v>0</v>
      </c>
      <c r="B667" s="5" t="s">
        <v>0</v>
      </c>
      <c r="C667" s="28" t="s">
        <v>97</v>
      </c>
      <c r="D667" s="3">
        <f>D666+F666</f>
        <v>3901</v>
      </c>
      <c r="E667" s="3">
        <f t="shared" si="106"/>
        <v>3901</v>
      </c>
      <c r="F667" s="3">
        <v>1</v>
      </c>
      <c r="G667" s="23" t="s">
        <v>131</v>
      </c>
      <c r="H667" s="170"/>
      <c r="I667" s="170"/>
    </row>
    <row r="668" spans="1:9" s="40" customFormat="1" ht="15" x14ac:dyDescent="0.25">
      <c r="A668" s="5" t="s">
        <v>0</v>
      </c>
      <c r="B668" s="5" t="s">
        <v>0</v>
      </c>
      <c r="C668" s="28" t="s">
        <v>97</v>
      </c>
      <c r="D668" s="3">
        <f t="shared" si="105"/>
        <v>3902</v>
      </c>
      <c r="E668" s="3">
        <f t="shared" si="106"/>
        <v>3902</v>
      </c>
      <c r="F668" s="3">
        <v>1</v>
      </c>
      <c r="G668" s="23" t="s">
        <v>132</v>
      </c>
      <c r="H668" s="170"/>
      <c r="I668" s="170"/>
    </row>
    <row r="669" spans="1:9" s="40" customFormat="1" ht="15" x14ac:dyDescent="0.25">
      <c r="A669" s="5" t="s">
        <v>0</v>
      </c>
      <c r="B669" s="5" t="s">
        <v>0</v>
      </c>
      <c r="C669" s="28" t="s">
        <v>97</v>
      </c>
      <c r="D669" s="3">
        <f t="shared" si="105"/>
        <v>3903</v>
      </c>
      <c r="E669" s="3">
        <f t="shared" si="106"/>
        <v>3903</v>
      </c>
      <c r="F669" s="3">
        <v>1</v>
      </c>
      <c r="G669" s="23" t="s">
        <v>133</v>
      </c>
      <c r="H669" s="170"/>
      <c r="I669" s="170"/>
    </row>
    <row r="670" spans="1:9" s="40" customFormat="1" ht="15" x14ac:dyDescent="0.25">
      <c r="A670" s="5" t="s">
        <v>0</v>
      </c>
      <c r="B670" s="5" t="s">
        <v>0</v>
      </c>
      <c r="C670" s="28" t="s">
        <v>97</v>
      </c>
      <c r="D670" s="3">
        <f t="shared" si="105"/>
        <v>3904</v>
      </c>
      <c r="E670" s="3">
        <f t="shared" si="106"/>
        <v>3904</v>
      </c>
      <c r="F670" s="3">
        <v>1</v>
      </c>
      <c r="G670" s="23" t="s">
        <v>134</v>
      </c>
      <c r="H670" s="170"/>
      <c r="I670" s="170"/>
    </row>
    <row r="671" spans="1:9" s="40" customFormat="1" ht="15" x14ac:dyDescent="0.25">
      <c r="A671" s="5" t="s">
        <v>0</v>
      </c>
      <c r="B671" s="5" t="s">
        <v>0</v>
      </c>
      <c r="C671" s="28" t="s">
        <v>97</v>
      </c>
      <c r="D671" s="3">
        <f t="shared" si="105"/>
        <v>3905</v>
      </c>
      <c r="E671" s="3">
        <f t="shared" si="106"/>
        <v>3905</v>
      </c>
      <c r="F671" s="3">
        <v>1</v>
      </c>
      <c r="G671" s="23" t="s">
        <v>135</v>
      </c>
      <c r="H671" s="170"/>
      <c r="I671" s="170"/>
    </row>
    <row r="672" spans="1:9" s="40" customFormat="1" ht="15" x14ac:dyDescent="0.25">
      <c r="A672" s="5" t="s">
        <v>0</v>
      </c>
      <c r="B672" s="5" t="s">
        <v>0</v>
      </c>
      <c r="C672" s="28" t="s">
        <v>97</v>
      </c>
      <c r="D672" s="3">
        <f t="shared" si="105"/>
        <v>3906</v>
      </c>
      <c r="E672" s="3">
        <f t="shared" si="106"/>
        <v>3906</v>
      </c>
      <c r="F672" s="3">
        <v>1</v>
      </c>
      <c r="G672" s="23" t="s">
        <v>136</v>
      </c>
      <c r="H672" s="170"/>
      <c r="I672" s="170"/>
    </row>
    <row r="673" spans="1:9" s="40" customFormat="1" ht="15" x14ac:dyDescent="0.25">
      <c r="A673" s="5"/>
      <c r="B673" s="5"/>
      <c r="C673" s="28"/>
      <c r="D673" s="3">
        <f t="shared" si="105"/>
        <v>3907</v>
      </c>
      <c r="E673" s="3">
        <f t="shared" si="106"/>
        <v>3926</v>
      </c>
      <c r="F673" s="3">
        <v>20</v>
      </c>
      <c r="G673" s="23" t="s">
        <v>55</v>
      </c>
      <c r="H673" s="41"/>
      <c r="I673" s="43"/>
    </row>
    <row r="674" spans="1:9" s="40" customFormat="1" ht="25.5" x14ac:dyDescent="0.25">
      <c r="A674" s="5"/>
      <c r="B674" s="5"/>
      <c r="C674" s="3"/>
      <c r="D674" s="3"/>
      <c r="E674" s="3"/>
      <c r="F674" s="3"/>
      <c r="G674" s="133" t="s">
        <v>637</v>
      </c>
      <c r="H674" s="41"/>
      <c r="I674" s="43"/>
    </row>
    <row r="675" spans="1:9" s="40" customFormat="1" ht="63.75" x14ac:dyDescent="0.25">
      <c r="A675" s="5" t="s">
        <v>0</v>
      </c>
      <c r="B675" s="5" t="s">
        <v>0</v>
      </c>
      <c r="C675" s="28" t="s">
        <v>98</v>
      </c>
      <c r="D675" s="3">
        <f>D673+F673</f>
        <v>3927</v>
      </c>
      <c r="E675" s="3">
        <f t="shared" ref="E675:E682" si="107">D675+F675-1</f>
        <v>3929</v>
      </c>
      <c r="F675" s="3">
        <v>3</v>
      </c>
      <c r="G675" s="23" t="s">
        <v>24</v>
      </c>
      <c r="H675" s="43" t="s">
        <v>80</v>
      </c>
      <c r="I675" s="75" t="s">
        <v>700</v>
      </c>
    </row>
    <row r="676" spans="1:9" s="40" customFormat="1" ht="63.75" x14ac:dyDescent="0.25">
      <c r="A676" s="5" t="s">
        <v>0</v>
      </c>
      <c r="B676" s="5" t="s">
        <v>0</v>
      </c>
      <c r="C676" s="28" t="s">
        <v>98</v>
      </c>
      <c r="D676" s="3">
        <f t="shared" ref="D676:D682" si="108">D675+F675</f>
        <v>3930</v>
      </c>
      <c r="E676" s="3">
        <f t="shared" si="107"/>
        <v>3932</v>
      </c>
      <c r="F676" s="3">
        <v>3</v>
      </c>
      <c r="G676" s="23" t="s">
        <v>25</v>
      </c>
      <c r="H676" s="43" t="s">
        <v>80</v>
      </c>
      <c r="I676" s="75" t="s">
        <v>701</v>
      </c>
    </row>
    <row r="677" spans="1:9" s="40" customFormat="1" ht="89.25" x14ac:dyDescent="0.25">
      <c r="A677" s="5" t="s">
        <v>0</v>
      </c>
      <c r="B677" s="5" t="s">
        <v>0</v>
      </c>
      <c r="C677" s="28" t="s">
        <v>98</v>
      </c>
      <c r="D677" s="3">
        <f t="shared" si="108"/>
        <v>3933</v>
      </c>
      <c r="E677" s="3">
        <f t="shared" si="107"/>
        <v>3935</v>
      </c>
      <c r="F677" s="3">
        <v>3</v>
      </c>
      <c r="G677" s="23" t="s">
        <v>142</v>
      </c>
      <c r="H677" s="43" t="s">
        <v>80</v>
      </c>
      <c r="I677" s="12" t="s">
        <v>296</v>
      </c>
    </row>
    <row r="678" spans="1:9" s="40" customFormat="1" ht="76.5" x14ac:dyDescent="0.25">
      <c r="A678" s="5" t="s">
        <v>0</v>
      </c>
      <c r="B678" s="5" t="s">
        <v>0</v>
      </c>
      <c r="C678" s="28" t="s">
        <v>98</v>
      </c>
      <c r="D678" s="3">
        <f t="shared" si="108"/>
        <v>3936</v>
      </c>
      <c r="E678" s="3">
        <f t="shared" si="107"/>
        <v>3938</v>
      </c>
      <c r="F678" s="3">
        <v>3</v>
      </c>
      <c r="G678" s="23" t="s">
        <v>143</v>
      </c>
      <c r="H678" s="43" t="s">
        <v>85</v>
      </c>
      <c r="I678" s="75" t="s">
        <v>692</v>
      </c>
    </row>
    <row r="679" spans="1:9" s="40" customFormat="1" ht="76.5" x14ac:dyDescent="0.25">
      <c r="A679" s="5" t="s">
        <v>0</v>
      </c>
      <c r="B679" s="5" t="s">
        <v>0</v>
      </c>
      <c r="C679" s="28" t="s">
        <v>98</v>
      </c>
      <c r="D679" s="3">
        <f t="shared" si="108"/>
        <v>3939</v>
      </c>
      <c r="E679" s="3">
        <f t="shared" si="107"/>
        <v>3941</v>
      </c>
      <c r="F679" s="3">
        <v>3</v>
      </c>
      <c r="G679" s="23" t="s">
        <v>30</v>
      </c>
      <c r="H679" s="76" t="s">
        <v>624</v>
      </c>
      <c r="I679" s="12" t="s">
        <v>625</v>
      </c>
    </row>
    <row r="680" spans="1:9" s="40" customFormat="1" ht="63.75" x14ac:dyDescent="0.25">
      <c r="A680" s="5" t="s">
        <v>0</v>
      </c>
      <c r="B680" s="5" t="s">
        <v>0</v>
      </c>
      <c r="C680" s="28" t="s">
        <v>98</v>
      </c>
      <c r="D680" s="3">
        <f t="shared" si="108"/>
        <v>3942</v>
      </c>
      <c r="E680" s="3">
        <f t="shared" si="107"/>
        <v>3943</v>
      </c>
      <c r="F680" s="5">
        <v>2</v>
      </c>
      <c r="G680" s="23" t="s">
        <v>120</v>
      </c>
      <c r="H680" s="74" t="s">
        <v>515</v>
      </c>
      <c r="I680" s="44" t="s">
        <v>297</v>
      </c>
    </row>
    <row r="681" spans="1:9" s="40" customFormat="1" ht="63.75" x14ac:dyDescent="0.25">
      <c r="A681" s="5" t="s">
        <v>0</v>
      </c>
      <c r="B681" s="5" t="s">
        <v>0</v>
      </c>
      <c r="C681" s="28" t="s">
        <v>394</v>
      </c>
      <c r="D681" s="3">
        <f t="shared" si="108"/>
        <v>3944</v>
      </c>
      <c r="E681" s="3">
        <f t="shared" si="107"/>
        <v>3946</v>
      </c>
      <c r="F681" s="3">
        <v>3</v>
      </c>
      <c r="G681" s="23" t="s">
        <v>124</v>
      </c>
      <c r="H681" s="74" t="s">
        <v>626</v>
      </c>
      <c r="I681" s="44" t="s">
        <v>298</v>
      </c>
    </row>
    <row r="682" spans="1:9" s="40" customFormat="1" ht="15" x14ac:dyDescent="0.25">
      <c r="A682" s="5"/>
      <c r="B682" s="5"/>
      <c r="C682" s="28"/>
      <c r="D682" s="3">
        <f t="shared" si="108"/>
        <v>3947</v>
      </c>
      <c r="E682" s="3">
        <f t="shared" si="107"/>
        <v>3961</v>
      </c>
      <c r="F682" s="5">
        <v>15</v>
      </c>
      <c r="G682" s="23" t="s">
        <v>55</v>
      </c>
      <c r="H682" s="41"/>
      <c r="I682" s="44"/>
    </row>
    <row r="683" spans="1:9" s="40" customFormat="1" ht="15" x14ac:dyDescent="0.25">
      <c r="A683" s="5"/>
      <c r="B683" s="5"/>
      <c r="C683" s="28"/>
      <c r="D683" s="3"/>
      <c r="E683" s="3"/>
      <c r="F683" s="3"/>
      <c r="G683" s="24" t="s">
        <v>276</v>
      </c>
      <c r="H683" s="41"/>
      <c r="I683" s="44"/>
    </row>
    <row r="684" spans="1:9" s="40" customFormat="1" ht="15" x14ac:dyDescent="0.25">
      <c r="A684" s="5" t="s">
        <v>6</v>
      </c>
      <c r="B684" s="5" t="s">
        <v>6</v>
      </c>
      <c r="C684" s="28" t="s">
        <v>98</v>
      </c>
      <c r="D684" s="3">
        <f>D682+F682</f>
        <v>3962</v>
      </c>
      <c r="E684" s="3">
        <f>D684+F684-1</f>
        <v>3964</v>
      </c>
      <c r="F684" s="3">
        <v>3</v>
      </c>
      <c r="G684" s="23" t="s">
        <v>258</v>
      </c>
      <c r="H684" s="168" t="s">
        <v>624</v>
      </c>
      <c r="I684" s="175" t="s">
        <v>627</v>
      </c>
    </row>
    <row r="685" spans="1:9" s="40" customFormat="1" ht="24" customHeight="1" x14ac:dyDescent="0.25">
      <c r="A685" s="5" t="s">
        <v>6</v>
      </c>
      <c r="B685" s="5" t="s">
        <v>6</v>
      </c>
      <c r="C685" s="28" t="s">
        <v>98</v>
      </c>
      <c r="D685" s="3">
        <f>D684+F684</f>
        <v>3965</v>
      </c>
      <c r="E685" s="3">
        <f>D685+F685-1</f>
        <v>3967</v>
      </c>
      <c r="F685" s="3">
        <v>3</v>
      </c>
      <c r="G685" s="23" t="s">
        <v>259</v>
      </c>
      <c r="H685" s="169"/>
      <c r="I685" s="184"/>
    </row>
    <row r="686" spans="1:9" s="40" customFormat="1" ht="15" x14ac:dyDescent="0.25">
      <c r="A686" s="5"/>
      <c r="B686" s="5"/>
      <c r="C686" s="28"/>
      <c r="D686" s="3"/>
      <c r="E686" s="3"/>
      <c r="F686" s="3"/>
      <c r="G686" s="24" t="s">
        <v>140</v>
      </c>
      <c r="H686" s="41"/>
      <c r="I686" s="43"/>
    </row>
    <row r="687" spans="1:9" s="40" customFormat="1" ht="38.25" x14ac:dyDescent="0.25">
      <c r="A687" s="5" t="s">
        <v>0</v>
      </c>
      <c r="B687" s="5" t="s">
        <v>0</v>
      </c>
      <c r="C687" s="28" t="s">
        <v>98</v>
      </c>
      <c r="D687" s="3">
        <f>D685+F685</f>
        <v>3968</v>
      </c>
      <c r="E687" s="3">
        <f t="shared" ref="E687:E697" si="109">D687+F687-1</f>
        <v>3969</v>
      </c>
      <c r="F687" s="3">
        <v>2</v>
      </c>
      <c r="G687" s="23" t="s">
        <v>173</v>
      </c>
      <c r="H687" s="41" t="s">
        <v>84</v>
      </c>
      <c r="I687" s="43" t="s">
        <v>227</v>
      </c>
    </row>
    <row r="688" spans="1:9" s="40" customFormat="1" ht="63.75" x14ac:dyDescent="0.25">
      <c r="A688" s="5" t="s">
        <v>0</v>
      </c>
      <c r="B688" s="5" t="s">
        <v>0</v>
      </c>
      <c r="C688" s="28" t="s">
        <v>98</v>
      </c>
      <c r="D688" s="3">
        <f t="shared" ref="D688:D697" si="110">D687+F687</f>
        <v>3970</v>
      </c>
      <c r="E688" s="3">
        <f t="shared" si="109"/>
        <v>3972</v>
      </c>
      <c r="F688" s="3">
        <v>3</v>
      </c>
      <c r="G688" s="23" t="s">
        <v>189</v>
      </c>
      <c r="H688" s="41" t="s">
        <v>85</v>
      </c>
      <c r="I688" s="43" t="s">
        <v>228</v>
      </c>
    </row>
    <row r="689" spans="1:9" s="40" customFormat="1" ht="38.25" x14ac:dyDescent="0.25">
      <c r="A689" s="5" t="s">
        <v>0</v>
      </c>
      <c r="B689" s="5" t="s">
        <v>0</v>
      </c>
      <c r="C689" s="28" t="s">
        <v>98</v>
      </c>
      <c r="D689" s="3">
        <f t="shared" si="110"/>
        <v>3973</v>
      </c>
      <c r="E689" s="3">
        <f t="shared" si="109"/>
        <v>3974</v>
      </c>
      <c r="F689" s="3">
        <v>2</v>
      </c>
      <c r="G689" s="23" t="s">
        <v>174</v>
      </c>
      <c r="H689" s="41" t="s">
        <v>84</v>
      </c>
      <c r="I689" s="43" t="s">
        <v>229</v>
      </c>
    </row>
    <row r="690" spans="1:9" s="40" customFormat="1" ht="63.75" x14ac:dyDescent="0.25">
      <c r="A690" s="5" t="s">
        <v>0</v>
      </c>
      <c r="B690" s="5" t="s">
        <v>0</v>
      </c>
      <c r="C690" s="28" t="s">
        <v>98</v>
      </c>
      <c r="D690" s="3">
        <f t="shared" si="110"/>
        <v>3975</v>
      </c>
      <c r="E690" s="3">
        <f t="shared" si="109"/>
        <v>3977</v>
      </c>
      <c r="F690" s="3">
        <v>3</v>
      </c>
      <c r="G690" s="23" t="s">
        <v>190</v>
      </c>
      <c r="H690" s="41" t="s">
        <v>85</v>
      </c>
      <c r="I690" s="43" t="s">
        <v>230</v>
      </c>
    </row>
    <row r="691" spans="1:9" s="40" customFormat="1" ht="51" x14ac:dyDescent="0.25">
      <c r="A691" s="5" t="s">
        <v>0</v>
      </c>
      <c r="B691" s="5" t="s">
        <v>0</v>
      </c>
      <c r="C691" s="28" t="s">
        <v>98</v>
      </c>
      <c r="D691" s="3">
        <f t="shared" si="110"/>
        <v>3978</v>
      </c>
      <c r="E691" s="3">
        <f t="shared" si="109"/>
        <v>3979</v>
      </c>
      <c r="F691" s="3">
        <v>2</v>
      </c>
      <c r="G691" s="23" t="s">
        <v>175</v>
      </c>
      <c r="H691" s="41" t="s">
        <v>84</v>
      </c>
      <c r="I691" s="43" t="s">
        <v>231</v>
      </c>
    </row>
    <row r="692" spans="1:9" s="40" customFormat="1" ht="63.75" x14ac:dyDescent="0.25">
      <c r="A692" s="5" t="s">
        <v>0</v>
      </c>
      <c r="B692" s="5" t="s">
        <v>0</v>
      </c>
      <c r="C692" s="28" t="s">
        <v>98</v>
      </c>
      <c r="D692" s="3">
        <f t="shared" si="110"/>
        <v>3980</v>
      </c>
      <c r="E692" s="3">
        <f t="shared" si="109"/>
        <v>3982</v>
      </c>
      <c r="F692" s="3">
        <v>3</v>
      </c>
      <c r="G692" s="23" t="s">
        <v>191</v>
      </c>
      <c r="H692" s="41" t="s">
        <v>85</v>
      </c>
      <c r="I692" s="43" t="s">
        <v>232</v>
      </c>
    </row>
    <row r="693" spans="1:9" s="40" customFormat="1" ht="38.25" x14ac:dyDescent="0.25">
      <c r="A693" s="5" t="s">
        <v>0</v>
      </c>
      <c r="B693" s="5" t="s">
        <v>0</v>
      </c>
      <c r="C693" s="28" t="s">
        <v>98</v>
      </c>
      <c r="D693" s="3">
        <f t="shared" si="110"/>
        <v>3983</v>
      </c>
      <c r="E693" s="3">
        <f t="shared" si="109"/>
        <v>3984</v>
      </c>
      <c r="F693" s="3">
        <v>2</v>
      </c>
      <c r="G693" s="23" t="s">
        <v>176</v>
      </c>
      <c r="H693" s="41" t="s">
        <v>84</v>
      </c>
      <c r="I693" s="43" t="s">
        <v>233</v>
      </c>
    </row>
    <row r="694" spans="1:9" s="40" customFormat="1" ht="63.75" x14ac:dyDescent="0.25">
      <c r="A694" s="5" t="s">
        <v>0</v>
      </c>
      <c r="B694" s="5" t="s">
        <v>0</v>
      </c>
      <c r="C694" s="28" t="s">
        <v>98</v>
      </c>
      <c r="D694" s="3">
        <f t="shared" si="110"/>
        <v>3985</v>
      </c>
      <c r="E694" s="3">
        <f t="shared" si="109"/>
        <v>3987</v>
      </c>
      <c r="F694" s="3">
        <v>3</v>
      </c>
      <c r="G694" s="23" t="s">
        <v>192</v>
      </c>
      <c r="H694" s="41" t="s">
        <v>85</v>
      </c>
      <c r="I694" s="43" t="s">
        <v>234</v>
      </c>
    </row>
    <row r="695" spans="1:9" s="40" customFormat="1" ht="38.25" x14ac:dyDescent="0.25">
      <c r="A695" s="5" t="s">
        <v>0</v>
      </c>
      <c r="B695" s="5" t="s">
        <v>0</v>
      </c>
      <c r="C695" s="28" t="s">
        <v>98</v>
      </c>
      <c r="D695" s="3">
        <f t="shared" si="110"/>
        <v>3988</v>
      </c>
      <c r="E695" s="3">
        <f t="shared" si="109"/>
        <v>3989</v>
      </c>
      <c r="F695" s="3">
        <v>2</v>
      </c>
      <c r="G695" s="23" t="s">
        <v>177</v>
      </c>
      <c r="H695" s="41" t="s">
        <v>84</v>
      </c>
      <c r="I695" s="43" t="s">
        <v>235</v>
      </c>
    </row>
    <row r="696" spans="1:9" s="40" customFormat="1" ht="63.75" x14ac:dyDescent="0.25">
      <c r="A696" s="5" t="s">
        <v>0</v>
      </c>
      <c r="B696" s="5" t="s">
        <v>0</v>
      </c>
      <c r="C696" s="28" t="s">
        <v>98</v>
      </c>
      <c r="D696" s="3">
        <f t="shared" si="110"/>
        <v>3990</v>
      </c>
      <c r="E696" s="3">
        <f t="shared" si="109"/>
        <v>3992</v>
      </c>
      <c r="F696" s="3">
        <v>3</v>
      </c>
      <c r="G696" s="23" t="s">
        <v>193</v>
      </c>
      <c r="H696" s="41" t="s">
        <v>85</v>
      </c>
      <c r="I696" s="43" t="s">
        <v>236</v>
      </c>
    </row>
    <row r="697" spans="1:9" s="40" customFormat="1" ht="15" x14ac:dyDescent="0.25">
      <c r="A697" s="5"/>
      <c r="B697" s="5"/>
      <c r="C697" s="28"/>
      <c r="D697" s="3">
        <f t="shared" si="110"/>
        <v>3993</v>
      </c>
      <c r="E697" s="3">
        <f t="shared" si="109"/>
        <v>4002</v>
      </c>
      <c r="F697" s="84">
        <v>10</v>
      </c>
      <c r="G697" s="23" t="s">
        <v>55</v>
      </c>
      <c r="H697" s="41"/>
      <c r="I697" s="43"/>
    </row>
    <row r="698" spans="1:9" s="40" customFormat="1" ht="15" x14ac:dyDescent="0.25">
      <c r="A698" s="5"/>
      <c r="B698" s="5"/>
      <c r="C698" s="28"/>
      <c r="D698" s="3"/>
      <c r="E698" s="3"/>
      <c r="F698" s="3"/>
      <c r="G698" s="133" t="s">
        <v>640</v>
      </c>
      <c r="H698" s="41"/>
      <c r="I698" s="43"/>
    </row>
    <row r="699" spans="1:9" s="40" customFormat="1" ht="25.5" x14ac:dyDescent="0.25">
      <c r="A699" s="5" t="s">
        <v>0</v>
      </c>
      <c r="B699" s="5" t="s">
        <v>0</v>
      </c>
      <c r="C699" s="28" t="s">
        <v>394</v>
      </c>
      <c r="D699" s="3">
        <f>D697+F697</f>
        <v>4003</v>
      </c>
      <c r="E699" s="3">
        <f t="shared" ref="E699:E707" si="111">D699+F699-1</f>
        <v>4004</v>
      </c>
      <c r="F699" s="5">
        <v>2</v>
      </c>
      <c r="G699" s="13" t="s">
        <v>377</v>
      </c>
      <c r="H699" s="41" t="s">
        <v>92</v>
      </c>
      <c r="I699" s="43" t="s">
        <v>159</v>
      </c>
    </row>
    <row r="700" spans="1:9" s="40" customFormat="1" ht="63.75" x14ac:dyDescent="0.25">
      <c r="A700" s="5" t="s">
        <v>0</v>
      </c>
      <c r="B700" s="5" t="s">
        <v>0</v>
      </c>
      <c r="C700" s="28" t="s">
        <v>98</v>
      </c>
      <c r="D700" s="3">
        <f t="shared" ref="D700:D707" si="112">D699+F699</f>
        <v>4005</v>
      </c>
      <c r="E700" s="3">
        <f t="shared" si="111"/>
        <v>4005</v>
      </c>
      <c r="F700" s="3">
        <v>1</v>
      </c>
      <c r="G700" s="23" t="s">
        <v>26</v>
      </c>
      <c r="H700" s="41" t="s">
        <v>125</v>
      </c>
      <c r="I700" s="43" t="s">
        <v>410</v>
      </c>
    </row>
    <row r="701" spans="1:9" s="40" customFormat="1" ht="38.25" x14ac:dyDescent="0.25">
      <c r="A701" s="5" t="s">
        <v>0</v>
      </c>
      <c r="B701" s="5" t="s">
        <v>0</v>
      </c>
      <c r="C701" s="28" t="s">
        <v>98</v>
      </c>
      <c r="D701" s="3">
        <f t="shared" si="112"/>
        <v>4006</v>
      </c>
      <c r="E701" s="3">
        <f t="shared" si="111"/>
        <v>4006</v>
      </c>
      <c r="F701" s="3">
        <v>1</v>
      </c>
      <c r="G701" s="23" t="s">
        <v>27</v>
      </c>
      <c r="H701" s="41" t="s">
        <v>81</v>
      </c>
      <c r="I701" s="43" t="s">
        <v>263</v>
      </c>
    </row>
    <row r="702" spans="1:9" s="40" customFormat="1" ht="38.25" x14ac:dyDescent="0.25">
      <c r="A702" s="5" t="s">
        <v>0</v>
      </c>
      <c r="B702" s="5" t="s">
        <v>0</v>
      </c>
      <c r="C702" s="28" t="s">
        <v>99</v>
      </c>
      <c r="D702" s="3">
        <f t="shared" si="112"/>
        <v>4007</v>
      </c>
      <c r="E702" s="3">
        <f t="shared" si="111"/>
        <v>4007</v>
      </c>
      <c r="F702" s="3">
        <v>1</v>
      </c>
      <c r="G702" s="23" t="s">
        <v>122</v>
      </c>
      <c r="H702" s="41" t="s">
        <v>261</v>
      </c>
      <c r="I702" s="43" t="s">
        <v>262</v>
      </c>
    </row>
    <row r="703" spans="1:9" s="40" customFormat="1" ht="51" x14ac:dyDescent="0.25">
      <c r="A703" s="5" t="s">
        <v>0</v>
      </c>
      <c r="B703" s="5" t="s">
        <v>0</v>
      </c>
      <c r="C703" s="28" t="s">
        <v>98</v>
      </c>
      <c r="D703" s="3">
        <f t="shared" si="112"/>
        <v>4008</v>
      </c>
      <c r="E703" s="3">
        <f t="shared" si="111"/>
        <v>4008</v>
      </c>
      <c r="F703" s="3">
        <v>1</v>
      </c>
      <c r="G703" s="23" t="s">
        <v>28</v>
      </c>
      <c r="H703" s="41" t="s">
        <v>82</v>
      </c>
      <c r="I703" s="43" t="s">
        <v>264</v>
      </c>
    </row>
    <row r="704" spans="1:9" s="40" customFormat="1" ht="176.25" customHeight="1" x14ac:dyDescent="0.25">
      <c r="A704" s="5" t="s">
        <v>0</v>
      </c>
      <c r="B704" s="5" t="s">
        <v>0</v>
      </c>
      <c r="C704" s="28" t="s">
        <v>98</v>
      </c>
      <c r="D704" s="3">
        <f t="shared" si="112"/>
        <v>4009</v>
      </c>
      <c r="E704" s="3">
        <f t="shared" si="111"/>
        <v>4009</v>
      </c>
      <c r="F704" s="3">
        <v>1</v>
      </c>
      <c r="G704" s="23" t="s">
        <v>32</v>
      </c>
      <c r="H704" s="41" t="s">
        <v>79</v>
      </c>
      <c r="I704" s="43" t="s">
        <v>367</v>
      </c>
    </row>
    <row r="705" spans="1:9" s="40" customFormat="1" ht="63.75" x14ac:dyDescent="0.25">
      <c r="A705" s="5" t="s">
        <v>0</v>
      </c>
      <c r="B705" s="5" t="s">
        <v>0</v>
      </c>
      <c r="C705" s="28" t="s">
        <v>98</v>
      </c>
      <c r="D705" s="3">
        <f t="shared" si="112"/>
        <v>4010</v>
      </c>
      <c r="E705" s="3">
        <f t="shared" si="111"/>
        <v>4010</v>
      </c>
      <c r="F705" s="3">
        <v>1</v>
      </c>
      <c r="G705" s="23" t="s">
        <v>29</v>
      </c>
      <c r="H705" s="41" t="s">
        <v>78</v>
      </c>
      <c r="I705" s="43" t="s">
        <v>328</v>
      </c>
    </row>
    <row r="706" spans="1:9" s="40" customFormat="1" ht="38.25" x14ac:dyDescent="0.25">
      <c r="A706" s="5" t="s">
        <v>6</v>
      </c>
      <c r="B706" s="5" t="s">
        <v>6</v>
      </c>
      <c r="C706" s="28" t="s">
        <v>99</v>
      </c>
      <c r="D706" s="3">
        <f t="shared" si="112"/>
        <v>4011</v>
      </c>
      <c r="E706" s="3">
        <f t="shared" si="111"/>
        <v>4011</v>
      </c>
      <c r="F706" s="3">
        <v>1</v>
      </c>
      <c r="G706" s="23" t="s">
        <v>119</v>
      </c>
      <c r="H706" s="42" t="s">
        <v>408</v>
      </c>
      <c r="I706" s="43" t="s">
        <v>409</v>
      </c>
    </row>
    <row r="707" spans="1:9" s="40" customFormat="1" ht="15" x14ac:dyDescent="0.25">
      <c r="A707" s="5"/>
      <c r="B707" s="5"/>
      <c r="C707" s="29"/>
      <c r="D707" s="3">
        <f t="shared" si="112"/>
        <v>4012</v>
      </c>
      <c r="E707" s="3">
        <f t="shared" si="111"/>
        <v>4021</v>
      </c>
      <c r="F707" s="6">
        <v>10</v>
      </c>
      <c r="G707" s="9" t="s">
        <v>55</v>
      </c>
      <c r="H707" s="41"/>
      <c r="I707" s="43"/>
    </row>
    <row r="708" spans="1:9" s="40" customFormat="1" ht="15" x14ac:dyDescent="0.25">
      <c r="A708" s="5"/>
      <c r="B708" s="5"/>
      <c r="C708" s="29"/>
      <c r="D708" s="3"/>
      <c r="E708" s="3"/>
      <c r="F708" s="6"/>
      <c r="G708" s="24" t="s">
        <v>158</v>
      </c>
      <c r="H708" s="41"/>
      <c r="I708" s="43"/>
    </row>
    <row r="709" spans="1:9" s="40" customFormat="1" ht="89.25" x14ac:dyDescent="0.25">
      <c r="A709" s="5" t="s">
        <v>6</v>
      </c>
      <c r="B709" s="5" t="s">
        <v>6</v>
      </c>
      <c r="C709" s="29" t="s">
        <v>99</v>
      </c>
      <c r="D709" s="3">
        <f>D707+F707</f>
        <v>4022</v>
      </c>
      <c r="E709" s="3">
        <f>D709+F709-1</f>
        <v>4022</v>
      </c>
      <c r="F709" s="6">
        <v>1</v>
      </c>
      <c r="G709" s="13" t="s">
        <v>368</v>
      </c>
      <c r="H709" s="44" t="s">
        <v>118</v>
      </c>
      <c r="I709" s="43" t="s">
        <v>369</v>
      </c>
    </row>
    <row r="710" spans="1:9" s="40" customFormat="1" ht="63.75" x14ac:dyDescent="0.25">
      <c r="A710" s="5" t="s">
        <v>6</v>
      </c>
      <c r="B710" s="5" t="s">
        <v>6</v>
      </c>
      <c r="C710" s="29" t="s">
        <v>99</v>
      </c>
      <c r="D710" s="3">
        <f>D709+F709</f>
        <v>4023</v>
      </c>
      <c r="E710" s="3">
        <f>D710+F710-1</f>
        <v>4023</v>
      </c>
      <c r="F710" s="6">
        <v>1</v>
      </c>
      <c r="G710" s="9" t="s">
        <v>116</v>
      </c>
      <c r="H710" s="44" t="s">
        <v>118</v>
      </c>
      <c r="I710" s="43" t="s">
        <v>162</v>
      </c>
    </row>
    <row r="711" spans="1:9" s="40" customFormat="1" ht="63.75" x14ac:dyDescent="0.25">
      <c r="A711" s="5" t="s">
        <v>6</v>
      </c>
      <c r="B711" s="5" t="s">
        <v>6</v>
      </c>
      <c r="C711" s="29" t="s">
        <v>99</v>
      </c>
      <c r="D711" s="3">
        <f>D710+F710</f>
        <v>4024</v>
      </c>
      <c r="E711" s="3">
        <f>D711+F711-1</f>
        <v>4024</v>
      </c>
      <c r="F711" s="6">
        <v>1</v>
      </c>
      <c r="G711" s="9" t="s">
        <v>117</v>
      </c>
      <c r="H711" s="44" t="s">
        <v>118</v>
      </c>
      <c r="I711" s="43" t="s">
        <v>265</v>
      </c>
    </row>
    <row r="712" spans="1:9" s="40" customFormat="1" ht="15" x14ac:dyDescent="0.25">
      <c r="A712" s="5"/>
      <c r="B712" s="5"/>
      <c r="C712" s="29"/>
      <c r="D712" s="3">
        <f>D711+F711</f>
        <v>4025</v>
      </c>
      <c r="E712" s="3">
        <f>D712+F712-1</f>
        <v>4034</v>
      </c>
      <c r="F712" s="6">
        <v>10</v>
      </c>
      <c r="G712" s="9" t="s">
        <v>55</v>
      </c>
      <c r="H712" s="44"/>
      <c r="I712" s="43"/>
    </row>
    <row r="713" spans="1:9" s="40" customFormat="1" ht="15" x14ac:dyDescent="0.25">
      <c r="A713" s="5"/>
      <c r="B713" s="5"/>
      <c r="C713" s="28"/>
      <c r="D713" s="3"/>
      <c r="E713" s="3"/>
      <c r="F713" s="3"/>
      <c r="G713" s="24" t="s">
        <v>36</v>
      </c>
      <c r="H713" s="41"/>
      <c r="I713" s="43"/>
    </row>
    <row r="714" spans="1:9" s="40" customFormat="1" ht="25.5" x14ac:dyDescent="0.25">
      <c r="A714" s="5" t="s">
        <v>0</v>
      </c>
      <c r="B714" s="5" t="s">
        <v>0</v>
      </c>
      <c r="C714" s="3" t="s">
        <v>96</v>
      </c>
      <c r="D714" s="3">
        <f>D712+F712</f>
        <v>4035</v>
      </c>
      <c r="E714" s="3">
        <f t="shared" ref="E714:E721" si="113">D714+F714-1</f>
        <v>4038</v>
      </c>
      <c r="F714" s="3">
        <v>4</v>
      </c>
      <c r="G714" s="23" t="s">
        <v>34</v>
      </c>
      <c r="H714" s="41" t="s">
        <v>88</v>
      </c>
      <c r="I714" s="170" t="s">
        <v>87</v>
      </c>
    </row>
    <row r="715" spans="1:9" s="40" customFormat="1" ht="51" x14ac:dyDescent="0.25">
      <c r="A715" s="5" t="s">
        <v>0</v>
      </c>
      <c r="B715" s="5" t="s">
        <v>0</v>
      </c>
      <c r="C715" s="3" t="s">
        <v>96</v>
      </c>
      <c r="D715" s="3">
        <f t="shared" ref="D715:D719" si="114">D714+F714</f>
        <v>4039</v>
      </c>
      <c r="E715" s="3">
        <f t="shared" si="113"/>
        <v>4040</v>
      </c>
      <c r="F715" s="3">
        <v>2</v>
      </c>
      <c r="G715" s="23" t="s">
        <v>33</v>
      </c>
      <c r="H715" s="41" t="s">
        <v>86</v>
      </c>
      <c r="I715" s="170"/>
    </row>
    <row r="716" spans="1:9" s="40" customFormat="1" ht="25.5" x14ac:dyDescent="0.25">
      <c r="A716" s="5" t="s">
        <v>0</v>
      </c>
      <c r="B716" s="5" t="s">
        <v>0</v>
      </c>
      <c r="C716" s="3" t="s">
        <v>96</v>
      </c>
      <c r="D716" s="3">
        <f t="shared" si="114"/>
        <v>4041</v>
      </c>
      <c r="E716" s="3">
        <f t="shared" si="113"/>
        <v>4043</v>
      </c>
      <c r="F716" s="3">
        <v>3</v>
      </c>
      <c r="G716" s="23" t="s">
        <v>35</v>
      </c>
      <c r="H716" s="41" t="s">
        <v>89</v>
      </c>
      <c r="I716" s="43" t="s">
        <v>90</v>
      </c>
    </row>
    <row r="717" spans="1:9" s="40" customFormat="1" ht="63.75" x14ac:dyDescent="0.25">
      <c r="A717" s="5" t="s">
        <v>0</v>
      </c>
      <c r="B717" s="5" t="s">
        <v>0</v>
      </c>
      <c r="C717" s="3" t="s">
        <v>96</v>
      </c>
      <c r="D717" s="3">
        <f t="shared" si="114"/>
        <v>4044</v>
      </c>
      <c r="E717" s="3">
        <f t="shared" si="113"/>
        <v>4046</v>
      </c>
      <c r="F717" s="3">
        <v>3</v>
      </c>
      <c r="G717" s="23" t="s">
        <v>329</v>
      </c>
      <c r="H717" s="41" t="s">
        <v>330</v>
      </c>
      <c r="I717" s="43" t="s">
        <v>91</v>
      </c>
    </row>
    <row r="718" spans="1:9" s="40" customFormat="1" ht="15" x14ac:dyDescent="0.25">
      <c r="A718" s="5"/>
      <c r="B718" s="5"/>
      <c r="C718" s="28"/>
      <c r="D718" s="3">
        <f t="shared" si="114"/>
        <v>4047</v>
      </c>
      <c r="E718" s="3">
        <f t="shared" si="113"/>
        <v>4056</v>
      </c>
      <c r="F718" s="3">
        <v>10</v>
      </c>
      <c r="G718" s="23" t="s">
        <v>55</v>
      </c>
      <c r="H718" s="41"/>
      <c r="I718" s="43"/>
    </row>
    <row r="719" spans="1:9" s="40" customFormat="1" ht="191.25" customHeight="1" x14ac:dyDescent="0.25">
      <c r="A719" s="5" t="s">
        <v>6</v>
      </c>
      <c r="B719" s="5" t="s">
        <v>6</v>
      </c>
      <c r="C719" s="28" t="s">
        <v>98</v>
      </c>
      <c r="D719" s="3">
        <f t="shared" si="114"/>
        <v>4057</v>
      </c>
      <c r="E719" s="5">
        <f t="shared" si="113"/>
        <v>4256</v>
      </c>
      <c r="F719" s="5">
        <v>200</v>
      </c>
      <c r="G719" s="13" t="s">
        <v>407</v>
      </c>
      <c r="H719" s="203" t="s">
        <v>716</v>
      </c>
      <c r="I719" s="98" t="s">
        <v>500</v>
      </c>
    </row>
    <row r="720" spans="1:9" s="40" customFormat="1" ht="187.5" customHeight="1" x14ac:dyDescent="0.25">
      <c r="A720" s="5" t="s">
        <v>6</v>
      </c>
      <c r="B720" s="5" t="s">
        <v>6</v>
      </c>
      <c r="C720" s="28" t="s">
        <v>98</v>
      </c>
      <c r="D720" s="3">
        <f t="shared" ref="D720" si="115">D719+F719</f>
        <v>4257</v>
      </c>
      <c r="E720" s="3">
        <f t="shared" ref="E720" si="116">D720+F720-1</f>
        <v>4356</v>
      </c>
      <c r="F720" s="3">
        <v>100</v>
      </c>
      <c r="G720" s="13" t="s">
        <v>401</v>
      </c>
      <c r="H720" s="203"/>
      <c r="I720" s="98" t="s">
        <v>501</v>
      </c>
    </row>
    <row r="721" spans="1:9" s="40" customFormat="1" ht="15" x14ac:dyDescent="0.25">
      <c r="A721" s="3"/>
      <c r="B721" s="3"/>
      <c r="C721" s="28"/>
      <c r="D721" s="3">
        <f>D720+F720</f>
        <v>4357</v>
      </c>
      <c r="E721" s="3">
        <f t="shared" si="113"/>
        <v>4376</v>
      </c>
      <c r="F721" s="3">
        <v>20</v>
      </c>
      <c r="G721" s="23" t="s">
        <v>55</v>
      </c>
      <c r="H721" s="76"/>
      <c r="I721" s="77"/>
    </row>
    <row r="722" spans="1:9" x14ac:dyDescent="0.25">
      <c r="A722" s="94"/>
      <c r="B722" s="94"/>
      <c r="C722" s="101"/>
      <c r="D722" s="130" t="s">
        <v>551</v>
      </c>
      <c r="E722" s="96" t="s">
        <v>551</v>
      </c>
      <c r="F722" s="135"/>
      <c r="G722" s="97" t="s">
        <v>633</v>
      </c>
      <c r="H722" s="136"/>
      <c r="I722" s="137"/>
    </row>
    <row r="723" spans="1:9" ht="25.5" x14ac:dyDescent="0.25">
      <c r="A723" s="94" t="s">
        <v>0</v>
      </c>
      <c r="B723" s="94" t="s">
        <v>0</v>
      </c>
      <c r="C723" s="95" t="s">
        <v>97</v>
      </c>
      <c r="D723" s="130">
        <f>D721+F721</f>
        <v>4377</v>
      </c>
      <c r="E723" s="96">
        <f t="shared" ref="E723:E738" si="117">D723+F723-1</f>
        <v>4377</v>
      </c>
      <c r="F723" s="96">
        <v>1</v>
      </c>
      <c r="G723" s="107" t="s">
        <v>37</v>
      </c>
      <c r="H723" s="86" t="s">
        <v>54</v>
      </c>
      <c r="I723" s="98"/>
    </row>
    <row r="724" spans="1:9" ht="102" x14ac:dyDescent="0.25">
      <c r="A724" s="94" t="s">
        <v>0</v>
      </c>
      <c r="B724" s="94" t="s">
        <v>0</v>
      </c>
      <c r="C724" s="95" t="s">
        <v>97</v>
      </c>
      <c r="D724" s="96">
        <f t="shared" ref="D724:D738" si="118">D723+F723</f>
        <v>4378</v>
      </c>
      <c r="E724" s="96">
        <f t="shared" si="117"/>
        <v>4382</v>
      </c>
      <c r="F724" s="96">
        <v>5</v>
      </c>
      <c r="G724" s="107" t="s">
        <v>13</v>
      </c>
      <c r="H724" s="134" t="s">
        <v>628</v>
      </c>
      <c r="I724" s="98" t="s">
        <v>629</v>
      </c>
    </row>
    <row r="725" spans="1:9" ht="51" x14ac:dyDescent="0.25">
      <c r="A725" s="94" t="s">
        <v>6</v>
      </c>
      <c r="B725" s="94" t="s">
        <v>6</v>
      </c>
      <c r="C725" s="95" t="s">
        <v>97</v>
      </c>
      <c r="D725" s="96">
        <f t="shared" si="118"/>
        <v>4383</v>
      </c>
      <c r="E725" s="96">
        <f t="shared" si="117"/>
        <v>4388</v>
      </c>
      <c r="F725" s="96">
        <v>6</v>
      </c>
      <c r="G725" s="107" t="s">
        <v>14</v>
      </c>
      <c r="H725" s="134" t="s">
        <v>404</v>
      </c>
      <c r="I725" s="98" t="s">
        <v>405</v>
      </c>
    </row>
    <row r="726" spans="1:9" ht="17.25" customHeight="1" x14ac:dyDescent="0.25">
      <c r="A726" s="94" t="s">
        <v>0</v>
      </c>
      <c r="B726" s="94" t="s">
        <v>6</v>
      </c>
      <c r="C726" s="95" t="s">
        <v>97</v>
      </c>
      <c r="D726" s="96">
        <f t="shared" si="118"/>
        <v>4389</v>
      </c>
      <c r="E726" s="96">
        <f t="shared" si="117"/>
        <v>4408</v>
      </c>
      <c r="F726" s="96">
        <v>20</v>
      </c>
      <c r="G726" s="107" t="s">
        <v>15</v>
      </c>
      <c r="H726" s="178" t="s">
        <v>256</v>
      </c>
      <c r="I726" s="190" t="s">
        <v>359</v>
      </c>
    </row>
    <row r="727" spans="1:9" ht="18.75" customHeight="1" x14ac:dyDescent="0.25">
      <c r="A727" s="94" t="s">
        <v>0</v>
      </c>
      <c r="B727" s="94" t="s">
        <v>6</v>
      </c>
      <c r="C727" s="95" t="s">
        <v>97</v>
      </c>
      <c r="D727" s="96">
        <f t="shared" si="118"/>
        <v>4409</v>
      </c>
      <c r="E727" s="96">
        <f t="shared" si="117"/>
        <v>4423</v>
      </c>
      <c r="F727" s="96">
        <v>15</v>
      </c>
      <c r="G727" s="107" t="s">
        <v>16</v>
      </c>
      <c r="H727" s="178"/>
      <c r="I727" s="190"/>
    </row>
    <row r="728" spans="1:9" ht="17.25" customHeight="1" x14ac:dyDescent="0.25">
      <c r="A728" s="94" t="s">
        <v>0</v>
      </c>
      <c r="B728" s="94" t="s">
        <v>6</v>
      </c>
      <c r="C728" s="95" t="s">
        <v>97</v>
      </c>
      <c r="D728" s="96">
        <f t="shared" si="118"/>
        <v>4424</v>
      </c>
      <c r="E728" s="96">
        <f t="shared" si="117"/>
        <v>4424</v>
      </c>
      <c r="F728" s="96">
        <v>1</v>
      </c>
      <c r="G728" s="107" t="s">
        <v>273</v>
      </c>
      <c r="H728" s="178"/>
      <c r="I728" s="190"/>
    </row>
    <row r="729" spans="1:9" ht="38.25" x14ac:dyDescent="0.25">
      <c r="A729" s="94" t="s">
        <v>6</v>
      </c>
      <c r="B729" s="94" t="s">
        <v>6</v>
      </c>
      <c r="C729" s="95" t="s">
        <v>97</v>
      </c>
      <c r="D729" s="96">
        <f t="shared" si="118"/>
        <v>4425</v>
      </c>
      <c r="E729" s="96">
        <f t="shared" si="117"/>
        <v>4427</v>
      </c>
      <c r="F729" s="96">
        <v>3</v>
      </c>
      <c r="G729" s="107" t="s">
        <v>155</v>
      </c>
      <c r="H729" s="139" t="s">
        <v>156</v>
      </c>
      <c r="I729" s="172" t="s">
        <v>478</v>
      </c>
    </row>
    <row r="730" spans="1:9" x14ac:dyDescent="0.25">
      <c r="A730" s="94" t="s">
        <v>6</v>
      </c>
      <c r="B730" s="94" t="s">
        <v>6</v>
      </c>
      <c r="C730" s="95" t="s">
        <v>97</v>
      </c>
      <c r="D730" s="96">
        <f t="shared" si="118"/>
        <v>4428</v>
      </c>
      <c r="E730" s="96">
        <f t="shared" si="117"/>
        <v>4447</v>
      </c>
      <c r="F730" s="96">
        <v>20</v>
      </c>
      <c r="G730" s="107" t="s">
        <v>17</v>
      </c>
      <c r="H730" s="178" t="s">
        <v>256</v>
      </c>
      <c r="I730" s="172"/>
    </row>
    <row r="731" spans="1:9" x14ac:dyDescent="0.25">
      <c r="A731" s="94" t="s">
        <v>6</v>
      </c>
      <c r="B731" s="94" t="s">
        <v>6</v>
      </c>
      <c r="C731" s="95" t="s">
        <v>97</v>
      </c>
      <c r="D731" s="96">
        <f t="shared" si="118"/>
        <v>4448</v>
      </c>
      <c r="E731" s="96">
        <f t="shared" si="117"/>
        <v>4467</v>
      </c>
      <c r="F731" s="96">
        <v>20</v>
      </c>
      <c r="G731" s="107" t="s">
        <v>18</v>
      </c>
      <c r="H731" s="178"/>
      <c r="I731" s="172"/>
    </row>
    <row r="732" spans="1:9" x14ac:dyDescent="0.25">
      <c r="A732" s="94" t="s">
        <v>0</v>
      </c>
      <c r="B732" s="94" t="s">
        <v>0</v>
      </c>
      <c r="C732" s="95" t="s">
        <v>97</v>
      </c>
      <c r="D732" s="96">
        <f t="shared" si="118"/>
        <v>4468</v>
      </c>
      <c r="E732" s="96">
        <f t="shared" si="117"/>
        <v>4468</v>
      </c>
      <c r="F732" s="96">
        <v>1</v>
      </c>
      <c r="G732" s="107" t="s">
        <v>274</v>
      </c>
      <c r="H732" s="178"/>
      <c r="I732" s="172"/>
    </row>
    <row r="733" spans="1:9" ht="114.75" x14ac:dyDescent="0.25">
      <c r="A733" s="94" t="s">
        <v>0</v>
      </c>
      <c r="B733" s="94" t="s">
        <v>0</v>
      </c>
      <c r="C733" s="95" t="s">
        <v>237</v>
      </c>
      <c r="D733" s="96">
        <f t="shared" si="118"/>
        <v>4469</v>
      </c>
      <c r="E733" s="96">
        <f t="shared" si="117"/>
        <v>4474</v>
      </c>
      <c r="F733" s="96">
        <v>6</v>
      </c>
      <c r="G733" s="107" t="s">
        <v>154</v>
      </c>
      <c r="H733" s="86" t="s">
        <v>499</v>
      </c>
      <c r="I733" s="98" t="s">
        <v>360</v>
      </c>
    </row>
    <row r="734" spans="1:9" ht="127.5" x14ac:dyDescent="0.25">
      <c r="A734" s="94" t="s">
        <v>0</v>
      </c>
      <c r="B734" s="94" t="s">
        <v>0</v>
      </c>
      <c r="C734" s="95" t="s">
        <v>97</v>
      </c>
      <c r="D734" s="96">
        <f t="shared" si="118"/>
        <v>4475</v>
      </c>
      <c r="E734" s="96">
        <f t="shared" si="117"/>
        <v>4504</v>
      </c>
      <c r="F734" s="96">
        <v>30</v>
      </c>
      <c r="G734" s="107" t="s">
        <v>19</v>
      </c>
      <c r="H734" s="86" t="s">
        <v>503</v>
      </c>
      <c r="I734" s="98" t="s">
        <v>361</v>
      </c>
    </row>
    <row r="735" spans="1:9" s="40" customFormat="1" ht="51" x14ac:dyDescent="0.25">
      <c r="A735" s="94" t="s">
        <v>0</v>
      </c>
      <c r="B735" s="94" t="s">
        <v>0</v>
      </c>
      <c r="C735" s="95" t="s">
        <v>97</v>
      </c>
      <c r="D735" s="96">
        <f t="shared" si="118"/>
        <v>4505</v>
      </c>
      <c r="E735" s="96">
        <f t="shared" si="117"/>
        <v>4524</v>
      </c>
      <c r="F735" s="96">
        <v>20</v>
      </c>
      <c r="G735" s="107" t="s">
        <v>112</v>
      </c>
      <c r="H735" s="86" t="s">
        <v>338</v>
      </c>
      <c r="I735" s="98" t="s">
        <v>359</v>
      </c>
    </row>
    <row r="736" spans="1:9" s="40" customFormat="1" ht="38.25" x14ac:dyDescent="0.25">
      <c r="A736" s="94" t="s">
        <v>0</v>
      </c>
      <c r="B736" s="94" t="s">
        <v>0</v>
      </c>
      <c r="C736" s="95" t="s">
        <v>99</v>
      </c>
      <c r="D736" s="96">
        <f t="shared" si="118"/>
        <v>4525</v>
      </c>
      <c r="E736" s="96">
        <f t="shared" si="117"/>
        <v>4530</v>
      </c>
      <c r="F736" s="96">
        <v>6</v>
      </c>
      <c r="G736" s="107" t="s">
        <v>114</v>
      </c>
      <c r="H736" s="86" t="s">
        <v>115</v>
      </c>
      <c r="I736" s="98" t="s">
        <v>309</v>
      </c>
    </row>
    <row r="737" spans="1:9" s="40" customFormat="1" ht="25.5" x14ac:dyDescent="0.25">
      <c r="A737" s="94" t="s">
        <v>0</v>
      </c>
      <c r="B737" s="94" t="s">
        <v>0</v>
      </c>
      <c r="C737" s="95" t="s">
        <v>237</v>
      </c>
      <c r="D737" s="96">
        <f t="shared" si="118"/>
        <v>4531</v>
      </c>
      <c r="E737" s="96">
        <f t="shared" si="117"/>
        <v>4531</v>
      </c>
      <c r="F737" s="96">
        <v>1</v>
      </c>
      <c r="G737" s="107" t="s">
        <v>318</v>
      </c>
      <c r="H737" s="86" t="s">
        <v>307</v>
      </c>
      <c r="I737" s="98" t="s">
        <v>306</v>
      </c>
    </row>
    <row r="738" spans="1:9" s="40" customFormat="1" ht="15" x14ac:dyDescent="0.25">
      <c r="A738" s="94"/>
      <c r="B738" s="94"/>
      <c r="C738" s="95"/>
      <c r="D738" s="96">
        <f t="shared" si="118"/>
        <v>4532</v>
      </c>
      <c r="E738" s="96">
        <f t="shared" si="117"/>
        <v>4550</v>
      </c>
      <c r="F738" s="96">
        <v>19</v>
      </c>
      <c r="G738" s="107" t="s">
        <v>55</v>
      </c>
      <c r="H738" s="86"/>
      <c r="I738" s="98"/>
    </row>
    <row r="739" spans="1:9" s="40" customFormat="1" ht="15" x14ac:dyDescent="0.25">
      <c r="A739" s="94"/>
      <c r="B739" s="94"/>
      <c r="C739" s="101"/>
      <c r="D739" s="96"/>
      <c r="E739" s="96"/>
      <c r="F739" s="135"/>
      <c r="G739" s="97" t="s">
        <v>20</v>
      </c>
      <c r="H739" s="136"/>
      <c r="I739" s="137"/>
    </row>
    <row r="740" spans="1:9" s="40" customFormat="1" ht="38.25" x14ac:dyDescent="0.25">
      <c r="A740" s="94" t="s">
        <v>6</v>
      </c>
      <c r="B740" s="94" t="s">
        <v>6</v>
      </c>
      <c r="C740" s="95" t="s">
        <v>98</v>
      </c>
      <c r="D740" s="96">
        <f>D738+F738</f>
        <v>4551</v>
      </c>
      <c r="E740" s="96">
        <f>D740+F740-1</f>
        <v>4551</v>
      </c>
      <c r="F740" s="96">
        <v>1</v>
      </c>
      <c r="G740" s="107" t="s">
        <v>399</v>
      </c>
      <c r="H740" s="86" t="s">
        <v>102</v>
      </c>
      <c r="I740" s="172" t="s">
        <v>400</v>
      </c>
    </row>
    <row r="741" spans="1:9" s="40" customFormat="1" ht="38.25" x14ac:dyDescent="0.25">
      <c r="A741" s="94" t="s">
        <v>6</v>
      </c>
      <c r="B741" s="94" t="s">
        <v>6</v>
      </c>
      <c r="C741" s="95" t="s">
        <v>98</v>
      </c>
      <c r="D741" s="96">
        <f>D740+F740</f>
        <v>4552</v>
      </c>
      <c r="E741" s="96">
        <f>D741+F741-1</f>
        <v>4552</v>
      </c>
      <c r="F741" s="96">
        <v>1</v>
      </c>
      <c r="G741" s="107" t="s">
        <v>21</v>
      </c>
      <c r="H741" s="86" t="s">
        <v>102</v>
      </c>
      <c r="I741" s="205"/>
    </row>
    <row r="742" spans="1:9" s="40" customFormat="1" ht="38.25" x14ac:dyDescent="0.25">
      <c r="A742" s="94" t="s">
        <v>6</v>
      </c>
      <c r="B742" s="94" t="s">
        <v>6</v>
      </c>
      <c r="C742" s="95" t="s">
        <v>98</v>
      </c>
      <c r="D742" s="96">
        <f>D741+F741</f>
        <v>4553</v>
      </c>
      <c r="E742" s="96">
        <f>D742+F742-1</f>
        <v>4553</v>
      </c>
      <c r="F742" s="96">
        <v>1</v>
      </c>
      <c r="G742" s="107" t="s">
        <v>22</v>
      </c>
      <c r="H742" s="86" t="s">
        <v>102</v>
      </c>
      <c r="I742" s="205"/>
    </row>
    <row r="743" spans="1:9" s="40" customFormat="1" ht="38.25" x14ac:dyDescent="0.25">
      <c r="A743" s="94" t="s">
        <v>6</v>
      </c>
      <c r="B743" s="94" t="s">
        <v>6</v>
      </c>
      <c r="C743" s="95" t="s">
        <v>98</v>
      </c>
      <c r="D743" s="96">
        <f>D742+F742</f>
        <v>4554</v>
      </c>
      <c r="E743" s="96">
        <f>D743+F743-1</f>
        <v>4554</v>
      </c>
      <c r="F743" s="96">
        <v>1</v>
      </c>
      <c r="G743" s="107" t="s">
        <v>23</v>
      </c>
      <c r="H743" s="86" t="s">
        <v>102</v>
      </c>
      <c r="I743" s="205"/>
    </row>
    <row r="744" spans="1:9" s="40" customFormat="1" ht="15" x14ac:dyDescent="0.25">
      <c r="A744" s="94"/>
      <c r="B744" s="94"/>
      <c r="C744" s="95"/>
      <c r="D744" s="96">
        <f>D743+F743</f>
        <v>4555</v>
      </c>
      <c r="E744" s="96">
        <f>D744+F744-1</f>
        <v>4559</v>
      </c>
      <c r="F744" s="96">
        <v>5</v>
      </c>
      <c r="G744" s="107" t="s">
        <v>55</v>
      </c>
      <c r="H744" s="86"/>
      <c r="I744" s="98"/>
    </row>
    <row r="745" spans="1:9" s="40" customFormat="1" ht="25.5" x14ac:dyDescent="0.25">
      <c r="A745" s="94"/>
      <c r="B745" s="94"/>
      <c r="C745" s="95"/>
      <c r="D745" s="96"/>
      <c r="E745" s="96"/>
      <c r="F745" s="96"/>
      <c r="G745" s="97" t="s">
        <v>641</v>
      </c>
      <c r="H745" s="86"/>
      <c r="I745" s="98"/>
    </row>
    <row r="746" spans="1:9" s="40" customFormat="1" ht="15" x14ac:dyDescent="0.25">
      <c r="A746" s="94"/>
      <c r="B746" s="94"/>
      <c r="C746" s="95"/>
      <c r="D746" s="96"/>
      <c r="E746" s="96"/>
      <c r="F746" s="96"/>
      <c r="G746" s="97" t="s">
        <v>113</v>
      </c>
      <c r="H746" s="86"/>
      <c r="I746" s="98"/>
    </row>
    <row r="747" spans="1:9" s="40" customFormat="1" ht="15" customHeight="1" x14ac:dyDescent="0.25">
      <c r="A747" s="94" t="s">
        <v>6</v>
      </c>
      <c r="B747" s="94" t="s">
        <v>6</v>
      </c>
      <c r="C747" s="95" t="s">
        <v>237</v>
      </c>
      <c r="D747" s="96">
        <f>D744+F744</f>
        <v>4560</v>
      </c>
      <c r="E747" s="96">
        <f t="shared" ref="E747:E760" si="119">D747+F747-1</f>
        <v>4560</v>
      </c>
      <c r="F747" s="96">
        <v>1</v>
      </c>
      <c r="G747" s="107" t="s">
        <v>126</v>
      </c>
      <c r="H747" s="172" t="s">
        <v>257</v>
      </c>
      <c r="I747" s="172" t="s">
        <v>138</v>
      </c>
    </row>
    <row r="748" spans="1:9" s="40" customFormat="1" ht="15" x14ac:dyDescent="0.25">
      <c r="A748" s="94" t="s">
        <v>6</v>
      </c>
      <c r="B748" s="94" t="s">
        <v>6</v>
      </c>
      <c r="C748" s="95" t="s">
        <v>237</v>
      </c>
      <c r="D748" s="96">
        <f t="shared" ref="D748:D760" si="120">D747+F747</f>
        <v>4561</v>
      </c>
      <c r="E748" s="96">
        <f t="shared" si="119"/>
        <v>4561</v>
      </c>
      <c r="F748" s="96">
        <v>1</v>
      </c>
      <c r="G748" s="107" t="s">
        <v>127</v>
      </c>
      <c r="H748" s="172"/>
      <c r="I748" s="172"/>
    </row>
    <row r="749" spans="1:9" s="40" customFormat="1" ht="15" x14ac:dyDescent="0.25">
      <c r="A749" s="94" t="s">
        <v>6</v>
      </c>
      <c r="B749" s="94" t="s">
        <v>6</v>
      </c>
      <c r="C749" s="95" t="s">
        <v>237</v>
      </c>
      <c r="D749" s="96">
        <f t="shared" si="120"/>
        <v>4562</v>
      </c>
      <c r="E749" s="96">
        <f t="shared" si="119"/>
        <v>4562</v>
      </c>
      <c r="F749" s="96">
        <v>1</v>
      </c>
      <c r="G749" s="126" t="s">
        <v>406</v>
      </c>
      <c r="H749" s="172"/>
      <c r="I749" s="172"/>
    </row>
    <row r="750" spans="1:9" s="40" customFormat="1" ht="15" x14ac:dyDescent="0.25">
      <c r="A750" s="94" t="s">
        <v>6</v>
      </c>
      <c r="B750" s="94" t="s">
        <v>6</v>
      </c>
      <c r="C750" s="95" t="s">
        <v>237</v>
      </c>
      <c r="D750" s="96">
        <f t="shared" si="120"/>
        <v>4563</v>
      </c>
      <c r="E750" s="96">
        <f t="shared" si="119"/>
        <v>4563</v>
      </c>
      <c r="F750" s="96">
        <v>1</v>
      </c>
      <c r="G750" s="107" t="s">
        <v>128</v>
      </c>
      <c r="H750" s="172"/>
      <c r="I750" s="172"/>
    </row>
    <row r="751" spans="1:9" s="40" customFormat="1" ht="15" x14ac:dyDescent="0.25">
      <c r="A751" s="94" t="s">
        <v>6</v>
      </c>
      <c r="B751" s="94" t="s">
        <v>6</v>
      </c>
      <c r="C751" s="95" t="s">
        <v>237</v>
      </c>
      <c r="D751" s="96">
        <f t="shared" si="120"/>
        <v>4564</v>
      </c>
      <c r="E751" s="96">
        <f t="shared" si="119"/>
        <v>4564</v>
      </c>
      <c r="F751" s="96">
        <v>1</v>
      </c>
      <c r="G751" s="107" t="s">
        <v>129</v>
      </c>
      <c r="H751" s="172"/>
      <c r="I751" s="172"/>
    </row>
    <row r="752" spans="1:9" s="40" customFormat="1" ht="15" x14ac:dyDescent="0.25">
      <c r="A752" s="94" t="s">
        <v>6</v>
      </c>
      <c r="B752" s="94" t="s">
        <v>6</v>
      </c>
      <c r="C752" s="95" t="s">
        <v>237</v>
      </c>
      <c r="D752" s="96">
        <f t="shared" si="120"/>
        <v>4565</v>
      </c>
      <c r="E752" s="96">
        <f t="shared" si="119"/>
        <v>4565</v>
      </c>
      <c r="F752" s="96">
        <v>1</v>
      </c>
      <c r="G752" s="107" t="s">
        <v>130</v>
      </c>
      <c r="H752" s="172"/>
      <c r="I752" s="172"/>
    </row>
    <row r="753" spans="1:9" s="40" customFormat="1" ht="15" x14ac:dyDescent="0.25">
      <c r="A753" s="94" t="s">
        <v>6</v>
      </c>
      <c r="B753" s="94" t="s">
        <v>6</v>
      </c>
      <c r="C753" s="95" t="s">
        <v>237</v>
      </c>
      <c r="D753" s="96">
        <f t="shared" si="120"/>
        <v>4566</v>
      </c>
      <c r="E753" s="96">
        <f t="shared" si="119"/>
        <v>4566</v>
      </c>
      <c r="F753" s="96">
        <v>1</v>
      </c>
      <c r="G753" s="107" t="s">
        <v>275</v>
      </c>
      <c r="H753" s="172"/>
      <c r="I753" s="172"/>
    </row>
    <row r="754" spans="1:9" s="40" customFormat="1" ht="15" x14ac:dyDescent="0.25">
      <c r="A754" s="94" t="s">
        <v>6</v>
      </c>
      <c r="B754" s="94" t="s">
        <v>6</v>
      </c>
      <c r="C754" s="95" t="s">
        <v>97</v>
      </c>
      <c r="D754" s="96">
        <f t="shared" si="120"/>
        <v>4567</v>
      </c>
      <c r="E754" s="96">
        <f t="shared" si="119"/>
        <v>4567</v>
      </c>
      <c r="F754" s="96">
        <v>1</v>
      </c>
      <c r="G754" s="107" t="s">
        <v>310</v>
      </c>
      <c r="H754" s="172"/>
      <c r="I754" s="172"/>
    </row>
    <row r="755" spans="1:9" s="40" customFormat="1" ht="15" x14ac:dyDescent="0.25">
      <c r="A755" s="94" t="s">
        <v>6</v>
      </c>
      <c r="B755" s="94" t="s">
        <v>6</v>
      </c>
      <c r="C755" s="95" t="s">
        <v>237</v>
      </c>
      <c r="D755" s="96">
        <f t="shared" si="120"/>
        <v>4568</v>
      </c>
      <c r="E755" s="96">
        <f t="shared" si="119"/>
        <v>4568</v>
      </c>
      <c r="F755" s="96">
        <v>1</v>
      </c>
      <c r="G755" s="107" t="s">
        <v>131</v>
      </c>
      <c r="H755" s="172"/>
      <c r="I755" s="172"/>
    </row>
    <row r="756" spans="1:9" s="40" customFormat="1" ht="15" x14ac:dyDescent="0.25">
      <c r="A756" s="94" t="s">
        <v>6</v>
      </c>
      <c r="B756" s="94" t="s">
        <v>6</v>
      </c>
      <c r="C756" s="95" t="s">
        <v>237</v>
      </c>
      <c r="D756" s="96">
        <f t="shared" si="120"/>
        <v>4569</v>
      </c>
      <c r="E756" s="96">
        <f t="shared" si="119"/>
        <v>4569</v>
      </c>
      <c r="F756" s="96">
        <v>1</v>
      </c>
      <c r="G756" s="107" t="s">
        <v>132</v>
      </c>
      <c r="H756" s="172"/>
      <c r="I756" s="172"/>
    </row>
    <row r="757" spans="1:9" s="40" customFormat="1" ht="15" x14ac:dyDescent="0.25">
      <c r="A757" s="94" t="s">
        <v>6</v>
      </c>
      <c r="B757" s="94" t="s">
        <v>6</v>
      </c>
      <c r="C757" s="95" t="s">
        <v>237</v>
      </c>
      <c r="D757" s="96">
        <f t="shared" si="120"/>
        <v>4570</v>
      </c>
      <c r="E757" s="96">
        <f t="shared" si="119"/>
        <v>4570</v>
      </c>
      <c r="F757" s="96">
        <v>1</v>
      </c>
      <c r="G757" s="107" t="s">
        <v>133</v>
      </c>
      <c r="H757" s="172"/>
      <c r="I757" s="172"/>
    </row>
    <row r="758" spans="1:9" s="40" customFormat="1" ht="15" x14ac:dyDescent="0.25">
      <c r="A758" s="94" t="s">
        <v>6</v>
      </c>
      <c r="B758" s="94" t="s">
        <v>6</v>
      </c>
      <c r="C758" s="95" t="s">
        <v>237</v>
      </c>
      <c r="D758" s="96">
        <f t="shared" si="120"/>
        <v>4571</v>
      </c>
      <c r="E758" s="96">
        <f t="shared" si="119"/>
        <v>4571</v>
      </c>
      <c r="F758" s="96">
        <v>1</v>
      </c>
      <c r="G758" s="107" t="s">
        <v>134</v>
      </c>
      <c r="H758" s="172"/>
      <c r="I758" s="172"/>
    </row>
    <row r="759" spans="1:9" s="40" customFormat="1" ht="15" x14ac:dyDescent="0.25">
      <c r="A759" s="94" t="s">
        <v>6</v>
      </c>
      <c r="B759" s="94" t="s">
        <v>6</v>
      </c>
      <c r="C759" s="95" t="s">
        <v>237</v>
      </c>
      <c r="D759" s="96">
        <f t="shared" si="120"/>
        <v>4572</v>
      </c>
      <c r="E759" s="96">
        <f t="shared" si="119"/>
        <v>4572</v>
      </c>
      <c r="F759" s="96">
        <v>1</v>
      </c>
      <c r="G759" s="107" t="s">
        <v>135</v>
      </c>
      <c r="H759" s="172"/>
      <c r="I759" s="172"/>
    </row>
    <row r="760" spans="1:9" s="40" customFormat="1" ht="15" x14ac:dyDescent="0.25">
      <c r="A760" s="94" t="s">
        <v>6</v>
      </c>
      <c r="B760" s="94" t="s">
        <v>6</v>
      </c>
      <c r="C760" s="95" t="s">
        <v>237</v>
      </c>
      <c r="D760" s="96">
        <f t="shared" si="120"/>
        <v>4573</v>
      </c>
      <c r="E760" s="96">
        <f t="shared" si="119"/>
        <v>4573</v>
      </c>
      <c r="F760" s="96">
        <v>1</v>
      </c>
      <c r="G760" s="107" t="s">
        <v>136</v>
      </c>
      <c r="H760" s="172"/>
      <c r="I760" s="172"/>
    </row>
    <row r="761" spans="1:9" s="40" customFormat="1" ht="15" x14ac:dyDescent="0.25">
      <c r="A761" s="94"/>
      <c r="B761" s="94"/>
      <c r="C761" s="95"/>
      <c r="D761" s="96"/>
      <c r="E761" s="96"/>
      <c r="F761" s="96"/>
      <c r="G761" s="97" t="s">
        <v>362</v>
      </c>
      <c r="H761" s="86"/>
      <c r="I761" s="98"/>
    </row>
    <row r="762" spans="1:9" s="40" customFormat="1" ht="15" customHeight="1" x14ac:dyDescent="0.25">
      <c r="A762" s="94" t="s">
        <v>0</v>
      </c>
      <c r="B762" s="94" t="s">
        <v>0</v>
      </c>
      <c r="C762" s="95" t="s">
        <v>97</v>
      </c>
      <c r="D762" s="96">
        <f>D760+F760</f>
        <v>4574</v>
      </c>
      <c r="E762" s="96">
        <f t="shared" ref="E762:E776" si="121">D762+F762-1</f>
        <v>4574</v>
      </c>
      <c r="F762" s="96">
        <v>1</v>
      </c>
      <c r="G762" s="107" t="s">
        <v>126</v>
      </c>
      <c r="H762" s="172" t="s">
        <v>118</v>
      </c>
      <c r="I762" s="172" t="s">
        <v>398</v>
      </c>
    </row>
    <row r="763" spans="1:9" s="40" customFormat="1" ht="15" x14ac:dyDescent="0.25">
      <c r="A763" s="94" t="s">
        <v>0</v>
      </c>
      <c r="B763" s="94" t="s">
        <v>0</v>
      </c>
      <c r="C763" s="95" t="s">
        <v>97</v>
      </c>
      <c r="D763" s="96">
        <f t="shared" ref="D763:D776" si="122">D762+F762</f>
        <v>4575</v>
      </c>
      <c r="E763" s="96">
        <f t="shared" si="121"/>
        <v>4575</v>
      </c>
      <c r="F763" s="96">
        <v>1</v>
      </c>
      <c r="G763" s="107" t="s">
        <v>127</v>
      </c>
      <c r="H763" s="172"/>
      <c r="I763" s="172"/>
    </row>
    <row r="764" spans="1:9" s="40" customFormat="1" ht="15" x14ac:dyDescent="0.25">
      <c r="A764" s="94" t="s">
        <v>0</v>
      </c>
      <c r="B764" s="94" t="s">
        <v>0</v>
      </c>
      <c r="C764" s="95" t="s">
        <v>97</v>
      </c>
      <c r="D764" s="96">
        <f t="shared" si="122"/>
        <v>4576</v>
      </c>
      <c r="E764" s="96">
        <f t="shared" si="121"/>
        <v>4576</v>
      </c>
      <c r="F764" s="96">
        <v>1</v>
      </c>
      <c r="G764" s="126" t="s">
        <v>55</v>
      </c>
      <c r="H764" s="172"/>
      <c r="I764" s="172"/>
    </row>
    <row r="765" spans="1:9" s="40" customFormat="1" ht="15" x14ac:dyDescent="0.25">
      <c r="A765" s="94" t="s">
        <v>0</v>
      </c>
      <c r="B765" s="94" t="s">
        <v>0</v>
      </c>
      <c r="C765" s="95" t="s">
        <v>97</v>
      </c>
      <c r="D765" s="96">
        <f t="shared" si="122"/>
        <v>4577</v>
      </c>
      <c r="E765" s="96">
        <f t="shared" si="121"/>
        <v>4577</v>
      </c>
      <c r="F765" s="96">
        <v>1</v>
      </c>
      <c r="G765" s="107" t="s">
        <v>128</v>
      </c>
      <c r="H765" s="172"/>
      <c r="I765" s="172"/>
    </row>
    <row r="766" spans="1:9" s="40" customFormat="1" ht="15" x14ac:dyDescent="0.25">
      <c r="A766" s="94" t="s">
        <v>0</v>
      </c>
      <c r="B766" s="94" t="s">
        <v>0</v>
      </c>
      <c r="C766" s="95" t="s">
        <v>97</v>
      </c>
      <c r="D766" s="96">
        <f t="shared" si="122"/>
        <v>4578</v>
      </c>
      <c r="E766" s="96">
        <f t="shared" si="121"/>
        <v>4578</v>
      </c>
      <c r="F766" s="96">
        <v>1</v>
      </c>
      <c r="G766" s="107" t="s">
        <v>129</v>
      </c>
      <c r="H766" s="172"/>
      <c r="I766" s="172"/>
    </row>
    <row r="767" spans="1:9" s="40" customFormat="1" ht="15" x14ac:dyDescent="0.25">
      <c r="A767" s="94" t="s">
        <v>0</v>
      </c>
      <c r="B767" s="94" t="s">
        <v>0</v>
      </c>
      <c r="C767" s="95" t="s">
        <v>97</v>
      </c>
      <c r="D767" s="96">
        <f t="shared" si="122"/>
        <v>4579</v>
      </c>
      <c r="E767" s="96">
        <f t="shared" si="121"/>
        <v>4579</v>
      </c>
      <c r="F767" s="96">
        <v>1</v>
      </c>
      <c r="G767" s="107" t="s">
        <v>130</v>
      </c>
      <c r="H767" s="172"/>
      <c r="I767" s="172"/>
    </row>
    <row r="768" spans="1:9" s="40" customFormat="1" ht="15" x14ac:dyDescent="0.25">
      <c r="A768" s="94" t="s">
        <v>0</v>
      </c>
      <c r="B768" s="94" t="s">
        <v>0</v>
      </c>
      <c r="C768" s="95" t="s">
        <v>97</v>
      </c>
      <c r="D768" s="96">
        <f t="shared" si="122"/>
        <v>4580</v>
      </c>
      <c r="E768" s="96">
        <f t="shared" si="121"/>
        <v>4580</v>
      </c>
      <c r="F768" s="96">
        <v>1</v>
      </c>
      <c r="G768" s="107" t="s">
        <v>275</v>
      </c>
      <c r="H768" s="172"/>
      <c r="I768" s="172"/>
    </row>
    <row r="769" spans="1:9" s="40" customFormat="1" ht="15" x14ac:dyDescent="0.25">
      <c r="A769" s="94" t="s">
        <v>0</v>
      </c>
      <c r="B769" s="94" t="s">
        <v>0</v>
      </c>
      <c r="C769" s="95" t="s">
        <v>97</v>
      </c>
      <c r="D769" s="96">
        <f t="shared" si="122"/>
        <v>4581</v>
      </c>
      <c r="E769" s="96">
        <f t="shared" si="121"/>
        <v>4581</v>
      </c>
      <c r="F769" s="96">
        <v>1</v>
      </c>
      <c r="G769" s="107" t="s">
        <v>310</v>
      </c>
      <c r="H769" s="172"/>
      <c r="I769" s="172"/>
    </row>
    <row r="770" spans="1:9" s="40" customFormat="1" ht="15" x14ac:dyDescent="0.25">
      <c r="A770" s="94" t="s">
        <v>0</v>
      </c>
      <c r="B770" s="94" t="s">
        <v>0</v>
      </c>
      <c r="C770" s="95" t="s">
        <v>97</v>
      </c>
      <c r="D770" s="96">
        <f t="shared" si="122"/>
        <v>4582</v>
      </c>
      <c r="E770" s="96">
        <f t="shared" si="121"/>
        <v>4582</v>
      </c>
      <c r="F770" s="96">
        <v>1</v>
      </c>
      <c r="G770" s="107" t="s">
        <v>131</v>
      </c>
      <c r="H770" s="172"/>
      <c r="I770" s="172"/>
    </row>
    <row r="771" spans="1:9" s="40" customFormat="1" ht="15" x14ac:dyDescent="0.25">
      <c r="A771" s="94" t="s">
        <v>0</v>
      </c>
      <c r="B771" s="94" t="s">
        <v>0</v>
      </c>
      <c r="C771" s="95" t="s">
        <v>97</v>
      </c>
      <c r="D771" s="96">
        <f t="shared" si="122"/>
        <v>4583</v>
      </c>
      <c r="E771" s="96">
        <f t="shared" si="121"/>
        <v>4583</v>
      </c>
      <c r="F771" s="96">
        <v>1</v>
      </c>
      <c r="G771" s="107" t="s">
        <v>132</v>
      </c>
      <c r="H771" s="172"/>
      <c r="I771" s="172"/>
    </row>
    <row r="772" spans="1:9" s="40" customFormat="1" ht="15" x14ac:dyDescent="0.25">
      <c r="A772" s="94" t="s">
        <v>0</v>
      </c>
      <c r="B772" s="94" t="s">
        <v>0</v>
      </c>
      <c r="C772" s="95" t="s">
        <v>97</v>
      </c>
      <c r="D772" s="96">
        <f t="shared" si="122"/>
        <v>4584</v>
      </c>
      <c r="E772" s="96">
        <f t="shared" si="121"/>
        <v>4584</v>
      </c>
      <c r="F772" s="96">
        <v>1</v>
      </c>
      <c r="G772" s="107" t="s">
        <v>133</v>
      </c>
      <c r="H772" s="172"/>
      <c r="I772" s="172"/>
    </row>
    <row r="773" spans="1:9" s="40" customFormat="1" ht="15" x14ac:dyDescent="0.25">
      <c r="A773" s="94" t="s">
        <v>0</v>
      </c>
      <c r="B773" s="94" t="s">
        <v>0</v>
      </c>
      <c r="C773" s="95" t="s">
        <v>97</v>
      </c>
      <c r="D773" s="96">
        <f t="shared" si="122"/>
        <v>4585</v>
      </c>
      <c r="E773" s="96">
        <f t="shared" si="121"/>
        <v>4585</v>
      </c>
      <c r="F773" s="96">
        <v>1</v>
      </c>
      <c r="G773" s="107" t="s">
        <v>134</v>
      </c>
      <c r="H773" s="172"/>
      <c r="I773" s="172"/>
    </row>
    <row r="774" spans="1:9" s="40" customFormat="1" ht="15" x14ac:dyDescent="0.25">
      <c r="A774" s="94" t="s">
        <v>0</v>
      </c>
      <c r="B774" s="94" t="s">
        <v>0</v>
      </c>
      <c r="C774" s="95" t="s">
        <v>97</v>
      </c>
      <c r="D774" s="96">
        <f t="shared" si="122"/>
        <v>4586</v>
      </c>
      <c r="E774" s="96">
        <f t="shared" si="121"/>
        <v>4586</v>
      </c>
      <c r="F774" s="96">
        <v>1</v>
      </c>
      <c r="G774" s="107" t="s">
        <v>135</v>
      </c>
      <c r="H774" s="172"/>
      <c r="I774" s="172"/>
    </row>
    <row r="775" spans="1:9" s="40" customFormat="1" ht="15" x14ac:dyDescent="0.25">
      <c r="A775" s="94" t="s">
        <v>0</v>
      </c>
      <c r="B775" s="94" t="s">
        <v>0</v>
      </c>
      <c r="C775" s="95" t="s">
        <v>97</v>
      </c>
      <c r="D775" s="96">
        <f t="shared" si="122"/>
        <v>4587</v>
      </c>
      <c r="E775" s="96">
        <f t="shared" si="121"/>
        <v>4587</v>
      </c>
      <c r="F775" s="96">
        <v>1</v>
      </c>
      <c r="G775" s="107" t="s">
        <v>136</v>
      </c>
      <c r="H775" s="172"/>
      <c r="I775" s="172"/>
    </row>
    <row r="776" spans="1:9" s="40" customFormat="1" ht="15" x14ac:dyDescent="0.25">
      <c r="A776" s="94"/>
      <c r="B776" s="94"/>
      <c r="C776" s="95"/>
      <c r="D776" s="96">
        <f t="shared" si="122"/>
        <v>4588</v>
      </c>
      <c r="E776" s="96">
        <f t="shared" si="121"/>
        <v>4607</v>
      </c>
      <c r="F776" s="96">
        <v>20</v>
      </c>
      <c r="G776" s="107" t="s">
        <v>55</v>
      </c>
      <c r="H776" s="86"/>
      <c r="I776" s="98"/>
    </row>
    <row r="777" spans="1:9" s="40" customFormat="1" ht="25.5" x14ac:dyDescent="0.25">
      <c r="A777" s="94"/>
      <c r="B777" s="94"/>
      <c r="C777" s="96"/>
      <c r="D777" s="96"/>
      <c r="E777" s="96"/>
      <c r="F777" s="96"/>
      <c r="G777" s="97" t="s">
        <v>634</v>
      </c>
      <c r="H777" s="86"/>
      <c r="I777" s="98"/>
    </row>
    <row r="778" spans="1:9" s="40" customFormat="1" ht="63.75" x14ac:dyDescent="0.25">
      <c r="A778" s="94" t="s">
        <v>0</v>
      </c>
      <c r="B778" s="94" t="s">
        <v>0</v>
      </c>
      <c r="C778" s="95" t="s">
        <v>98</v>
      </c>
      <c r="D778" s="96">
        <f>D776+F776</f>
        <v>4608</v>
      </c>
      <c r="E778" s="96">
        <f t="shared" ref="E778:E785" si="123">D778+F778-1</f>
        <v>4610</v>
      </c>
      <c r="F778" s="96">
        <v>3</v>
      </c>
      <c r="G778" s="107" t="s">
        <v>24</v>
      </c>
      <c r="H778" s="98" t="s">
        <v>80</v>
      </c>
      <c r="I778" s="81" t="s">
        <v>702</v>
      </c>
    </row>
    <row r="779" spans="1:9" s="40" customFormat="1" ht="63.75" x14ac:dyDescent="0.25">
      <c r="A779" s="94" t="s">
        <v>0</v>
      </c>
      <c r="B779" s="94" t="s">
        <v>0</v>
      </c>
      <c r="C779" s="95" t="s">
        <v>98</v>
      </c>
      <c r="D779" s="96">
        <f t="shared" ref="D779:D785" si="124">D778+F778</f>
        <v>4611</v>
      </c>
      <c r="E779" s="96">
        <f t="shared" si="123"/>
        <v>4613</v>
      </c>
      <c r="F779" s="96">
        <v>3</v>
      </c>
      <c r="G779" s="107" t="s">
        <v>25</v>
      </c>
      <c r="H779" s="98" t="s">
        <v>80</v>
      </c>
      <c r="I779" s="81" t="s">
        <v>703</v>
      </c>
    </row>
    <row r="780" spans="1:9" s="40" customFormat="1" ht="89.25" x14ac:dyDescent="0.25">
      <c r="A780" s="94" t="s">
        <v>0</v>
      </c>
      <c r="B780" s="94" t="s">
        <v>0</v>
      </c>
      <c r="C780" s="95" t="s">
        <v>98</v>
      </c>
      <c r="D780" s="96">
        <f t="shared" si="124"/>
        <v>4614</v>
      </c>
      <c r="E780" s="96">
        <f t="shared" si="123"/>
        <v>4616</v>
      </c>
      <c r="F780" s="96">
        <v>3</v>
      </c>
      <c r="G780" s="107" t="s">
        <v>142</v>
      </c>
      <c r="H780" s="98" t="s">
        <v>80</v>
      </c>
      <c r="I780" s="140" t="s">
        <v>296</v>
      </c>
    </row>
    <row r="781" spans="1:9" s="40" customFormat="1" ht="76.5" x14ac:dyDescent="0.25">
      <c r="A781" s="94" t="s">
        <v>0</v>
      </c>
      <c r="B781" s="94" t="s">
        <v>0</v>
      </c>
      <c r="C781" s="95" t="s">
        <v>98</v>
      </c>
      <c r="D781" s="96">
        <f t="shared" si="124"/>
        <v>4617</v>
      </c>
      <c r="E781" s="96">
        <f t="shared" si="123"/>
        <v>4619</v>
      </c>
      <c r="F781" s="96">
        <v>3</v>
      </c>
      <c r="G781" s="107" t="s">
        <v>143</v>
      </c>
      <c r="H781" s="98" t="s">
        <v>85</v>
      </c>
      <c r="I781" s="81" t="s">
        <v>697</v>
      </c>
    </row>
    <row r="782" spans="1:9" s="40" customFormat="1" ht="76.5" x14ac:dyDescent="0.25">
      <c r="A782" s="94" t="s">
        <v>0</v>
      </c>
      <c r="B782" s="94" t="s">
        <v>0</v>
      </c>
      <c r="C782" s="95" t="s">
        <v>98</v>
      </c>
      <c r="D782" s="96">
        <f t="shared" si="124"/>
        <v>4620</v>
      </c>
      <c r="E782" s="96">
        <f t="shared" si="123"/>
        <v>4622</v>
      </c>
      <c r="F782" s="96">
        <v>3</v>
      </c>
      <c r="G782" s="107" t="s">
        <v>30</v>
      </c>
      <c r="H782" s="86" t="s">
        <v>630</v>
      </c>
      <c r="I782" s="140" t="s">
        <v>625</v>
      </c>
    </row>
    <row r="783" spans="1:9" s="40" customFormat="1" ht="89.25" x14ac:dyDescent="0.25">
      <c r="A783" s="94" t="s">
        <v>0</v>
      </c>
      <c r="B783" s="94" t="s">
        <v>0</v>
      </c>
      <c r="C783" s="95" t="s">
        <v>98</v>
      </c>
      <c r="D783" s="96">
        <f t="shared" si="124"/>
        <v>4623</v>
      </c>
      <c r="E783" s="96">
        <f t="shared" si="123"/>
        <v>4625</v>
      </c>
      <c r="F783" s="83">
        <v>3</v>
      </c>
      <c r="G783" s="107" t="s">
        <v>120</v>
      </c>
      <c r="H783" s="86" t="s">
        <v>631</v>
      </c>
      <c r="I783" s="141" t="s">
        <v>297</v>
      </c>
    </row>
    <row r="784" spans="1:9" s="40" customFormat="1" ht="89.25" x14ac:dyDescent="0.25">
      <c r="A784" s="94" t="s">
        <v>0</v>
      </c>
      <c r="B784" s="94" t="s">
        <v>0</v>
      </c>
      <c r="C784" s="95" t="s">
        <v>394</v>
      </c>
      <c r="D784" s="96">
        <f t="shared" si="124"/>
        <v>4626</v>
      </c>
      <c r="E784" s="96">
        <f t="shared" si="123"/>
        <v>4628</v>
      </c>
      <c r="F784" s="96">
        <v>3</v>
      </c>
      <c r="G784" s="107" t="s">
        <v>124</v>
      </c>
      <c r="H784" s="86" t="s">
        <v>631</v>
      </c>
      <c r="I784" s="141" t="s">
        <v>298</v>
      </c>
    </row>
    <row r="785" spans="1:9" s="40" customFormat="1" ht="15" x14ac:dyDescent="0.25">
      <c r="A785" s="94"/>
      <c r="B785" s="94"/>
      <c r="C785" s="95"/>
      <c r="D785" s="96">
        <f t="shared" si="124"/>
        <v>4629</v>
      </c>
      <c r="E785" s="96">
        <f t="shared" si="123"/>
        <v>4642</v>
      </c>
      <c r="F785" s="83">
        <v>14</v>
      </c>
      <c r="G785" s="107" t="s">
        <v>55</v>
      </c>
      <c r="H785" s="86"/>
      <c r="I785" s="141"/>
    </row>
    <row r="786" spans="1:9" s="40" customFormat="1" ht="15" x14ac:dyDescent="0.25">
      <c r="A786" s="94"/>
      <c r="B786" s="94"/>
      <c r="C786" s="95"/>
      <c r="D786" s="96"/>
      <c r="E786" s="96"/>
      <c r="F786" s="96"/>
      <c r="G786" s="97" t="s">
        <v>276</v>
      </c>
      <c r="H786" s="86"/>
      <c r="I786" s="141"/>
    </row>
    <row r="787" spans="1:9" s="40" customFormat="1" ht="15" x14ac:dyDescent="0.25">
      <c r="A787" s="94" t="s">
        <v>6</v>
      </c>
      <c r="B787" s="94" t="s">
        <v>6</v>
      </c>
      <c r="C787" s="95" t="s">
        <v>98</v>
      </c>
      <c r="D787" s="96">
        <f>D785+F785</f>
        <v>4643</v>
      </c>
      <c r="E787" s="96">
        <f>D787+F787-1</f>
        <v>4645</v>
      </c>
      <c r="F787" s="96">
        <v>3</v>
      </c>
      <c r="G787" s="107" t="s">
        <v>258</v>
      </c>
      <c r="H787" s="178" t="s">
        <v>632</v>
      </c>
      <c r="I787" s="190" t="s">
        <v>627</v>
      </c>
    </row>
    <row r="788" spans="1:9" s="40" customFormat="1" ht="24" customHeight="1" x14ac:dyDescent="0.25">
      <c r="A788" s="94" t="s">
        <v>6</v>
      </c>
      <c r="B788" s="94" t="s">
        <v>6</v>
      </c>
      <c r="C788" s="95" t="s">
        <v>98</v>
      </c>
      <c r="D788" s="96">
        <f>D787+F787</f>
        <v>4646</v>
      </c>
      <c r="E788" s="96">
        <f>D788+F788-1</f>
        <v>4648</v>
      </c>
      <c r="F788" s="96">
        <v>3</v>
      </c>
      <c r="G788" s="107" t="s">
        <v>259</v>
      </c>
      <c r="H788" s="182"/>
      <c r="I788" s="191"/>
    </row>
    <row r="789" spans="1:9" s="40" customFormat="1" ht="25.5" x14ac:dyDescent="0.25">
      <c r="A789" s="94"/>
      <c r="B789" s="94"/>
      <c r="C789" s="95"/>
      <c r="D789" s="96"/>
      <c r="E789" s="96"/>
      <c r="F789" s="96"/>
      <c r="G789" s="97" t="s">
        <v>517</v>
      </c>
      <c r="H789" s="86"/>
      <c r="I789" s="98"/>
    </row>
    <row r="790" spans="1:9" s="40" customFormat="1" ht="38.25" x14ac:dyDescent="0.25">
      <c r="A790" s="94" t="s">
        <v>0</v>
      </c>
      <c r="B790" s="94" t="s">
        <v>0</v>
      </c>
      <c r="C790" s="95" t="s">
        <v>98</v>
      </c>
      <c r="D790" s="96">
        <f>D788+F788</f>
        <v>4649</v>
      </c>
      <c r="E790" s="96">
        <f t="shared" ref="E790:E805" si="125">D790+F790-1</f>
        <v>4650</v>
      </c>
      <c r="F790" s="96">
        <v>2</v>
      </c>
      <c r="G790" s="107" t="s">
        <v>173</v>
      </c>
      <c r="H790" s="86" t="s">
        <v>84</v>
      </c>
      <c r="I790" s="98" t="s">
        <v>227</v>
      </c>
    </row>
    <row r="791" spans="1:9" s="40" customFormat="1" ht="76.5" x14ac:dyDescent="0.25">
      <c r="A791" s="94" t="s">
        <v>0</v>
      </c>
      <c r="B791" s="94" t="s">
        <v>0</v>
      </c>
      <c r="C791" s="95" t="s">
        <v>98</v>
      </c>
      <c r="D791" s="96">
        <f t="shared" ref="D791:D805" si="126">D790+F790</f>
        <v>4651</v>
      </c>
      <c r="E791" s="96">
        <f t="shared" si="125"/>
        <v>4653</v>
      </c>
      <c r="F791" s="96">
        <v>3</v>
      </c>
      <c r="G791" s="107" t="s">
        <v>189</v>
      </c>
      <c r="H791" s="86" t="s">
        <v>85</v>
      </c>
      <c r="I791" s="98" t="s">
        <v>643</v>
      </c>
    </row>
    <row r="792" spans="1:9" s="40" customFormat="1" ht="102" x14ac:dyDescent="0.25">
      <c r="A792" s="94" t="s">
        <v>0</v>
      </c>
      <c r="B792" s="94" t="s">
        <v>0</v>
      </c>
      <c r="C792" s="95" t="s">
        <v>98</v>
      </c>
      <c r="D792" s="96">
        <f t="shared" si="126"/>
        <v>4654</v>
      </c>
      <c r="E792" s="96">
        <f t="shared" si="125"/>
        <v>4654</v>
      </c>
      <c r="F792" s="96">
        <v>1</v>
      </c>
      <c r="G792" s="107" t="s">
        <v>545</v>
      </c>
      <c r="H792" s="103" t="s">
        <v>443</v>
      </c>
      <c r="I792" s="98" t="s">
        <v>579</v>
      </c>
    </row>
    <row r="793" spans="1:9" s="40" customFormat="1" ht="38.25" x14ac:dyDescent="0.25">
      <c r="A793" s="94" t="s">
        <v>0</v>
      </c>
      <c r="B793" s="94" t="s">
        <v>0</v>
      </c>
      <c r="C793" s="95" t="s">
        <v>98</v>
      </c>
      <c r="D793" s="96">
        <f t="shared" si="126"/>
        <v>4655</v>
      </c>
      <c r="E793" s="96">
        <f t="shared" si="125"/>
        <v>4656</v>
      </c>
      <c r="F793" s="96">
        <v>2</v>
      </c>
      <c r="G793" s="107" t="s">
        <v>174</v>
      </c>
      <c r="H793" s="86" t="s">
        <v>84</v>
      </c>
      <c r="I793" s="98" t="s">
        <v>229</v>
      </c>
    </row>
    <row r="794" spans="1:9" s="40" customFormat="1" ht="76.5" x14ac:dyDescent="0.25">
      <c r="A794" s="94" t="s">
        <v>0</v>
      </c>
      <c r="B794" s="94" t="s">
        <v>0</v>
      </c>
      <c r="C794" s="95" t="s">
        <v>98</v>
      </c>
      <c r="D794" s="96">
        <f t="shared" si="126"/>
        <v>4657</v>
      </c>
      <c r="E794" s="96">
        <f t="shared" si="125"/>
        <v>4659</v>
      </c>
      <c r="F794" s="96">
        <v>3</v>
      </c>
      <c r="G794" s="107" t="s">
        <v>190</v>
      </c>
      <c r="H794" s="86" t="s">
        <v>85</v>
      </c>
      <c r="I794" s="98" t="s">
        <v>644</v>
      </c>
    </row>
    <row r="795" spans="1:9" s="40" customFormat="1" ht="102" x14ac:dyDescent="0.25">
      <c r="A795" s="94" t="s">
        <v>0</v>
      </c>
      <c r="B795" s="94" t="s">
        <v>0</v>
      </c>
      <c r="C795" s="95" t="s">
        <v>98</v>
      </c>
      <c r="D795" s="96">
        <f t="shared" si="126"/>
        <v>4660</v>
      </c>
      <c r="E795" s="96">
        <f t="shared" si="125"/>
        <v>4660</v>
      </c>
      <c r="F795" s="96">
        <v>1</v>
      </c>
      <c r="G795" s="107" t="s">
        <v>546</v>
      </c>
      <c r="H795" s="103" t="s">
        <v>443</v>
      </c>
      <c r="I795" s="98" t="s">
        <v>614</v>
      </c>
    </row>
    <row r="796" spans="1:9" s="40" customFormat="1" ht="51" x14ac:dyDescent="0.25">
      <c r="A796" s="94" t="s">
        <v>0</v>
      </c>
      <c r="B796" s="94" t="s">
        <v>0</v>
      </c>
      <c r="C796" s="95" t="s">
        <v>98</v>
      </c>
      <c r="D796" s="96">
        <f t="shared" si="126"/>
        <v>4661</v>
      </c>
      <c r="E796" s="96">
        <f t="shared" si="125"/>
        <v>4662</v>
      </c>
      <c r="F796" s="96">
        <v>2</v>
      </c>
      <c r="G796" s="107" t="s">
        <v>175</v>
      </c>
      <c r="H796" s="86" t="s">
        <v>84</v>
      </c>
      <c r="I796" s="98" t="s">
        <v>231</v>
      </c>
    </row>
    <row r="797" spans="1:9" s="40" customFormat="1" ht="76.5" x14ac:dyDescent="0.25">
      <c r="A797" s="94" t="s">
        <v>0</v>
      </c>
      <c r="B797" s="94" t="s">
        <v>0</v>
      </c>
      <c r="C797" s="95" t="s">
        <v>98</v>
      </c>
      <c r="D797" s="96">
        <f t="shared" si="126"/>
        <v>4663</v>
      </c>
      <c r="E797" s="96">
        <f t="shared" si="125"/>
        <v>4665</v>
      </c>
      <c r="F797" s="96">
        <v>3</v>
      </c>
      <c r="G797" s="107" t="s">
        <v>191</v>
      </c>
      <c r="H797" s="86" t="s">
        <v>85</v>
      </c>
      <c r="I797" s="98" t="s">
        <v>645</v>
      </c>
    </row>
    <row r="798" spans="1:9" s="40" customFormat="1" ht="102" x14ac:dyDescent="0.25">
      <c r="A798" s="94" t="s">
        <v>0</v>
      </c>
      <c r="B798" s="94" t="s">
        <v>0</v>
      </c>
      <c r="C798" s="95" t="s">
        <v>98</v>
      </c>
      <c r="D798" s="96">
        <f t="shared" si="126"/>
        <v>4666</v>
      </c>
      <c r="E798" s="96">
        <f t="shared" si="125"/>
        <v>4666</v>
      </c>
      <c r="F798" s="96">
        <v>1</v>
      </c>
      <c r="G798" s="107" t="s">
        <v>547</v>
      </c>
      <c r="H798" s="103" t="s">
        <v>443</v>
      </c>
      <c r="I798" s="98" t="s">
        <v>580</v>
      </c>
    </row>
    <row r="799" spans="1:9" s="40" customFormat="1" ht="38.25" x14ac:dyDescent="0.25">
      <c r="A799" s="94" t="s">
        <v>0</v>
      </c>
      <c r="B799" s="94" t="s">
        <v>0</v>
      </c>
      <c r="C799" s="95" t="s">
        <v>98</v>
      </c>
      <c r="D799" s="96">
        <f t="shared" si="126"/>
        <v>4667</v>
      </c>
      <c r="E799" s="96">
        <f t="shared" si="125"/>
        <v>4668</v>
      </c>
      <c r="F799" s="96">
        <v>2</v>
      </c>
      <c r="G799" s="107" t="s">
        <v>176</v>
      </c>
      <c r="H799" s="86" t="s">
        <v>84</v>
      </c>
      <c r="I799" s="98" t="s">
        <v>233</v>
      </c>
    </row>
    <row r="800" spans="1:9" s="40" customFormat="1" ht="63.75" x14ac:dyDescent="0.25">
      <c r="A800" s="94" t="s">
        <v>0</v>
      </c>
      <c r="B800" s="94" t="s">
        <v>0</v>
      </c>
      <c r="C800" s="95" t="s">
        <v>98</v>
      </c>
      <c r="D800" s="96">
        <f t="shared" si="126"/>
        <v>4669</v>
      </c>
      <c r="E800" s="96">
        <f t="shared" si="125"/>
        <v>4671</v>
      </c>
      <c r="F800" s="96">
        <v>3</v>
      </c>
      <c r="G800" s="107" t="s">
        <v>192</v>
      </c>
      <c r="H800" s="86" t="s">
        <v>85</v>
      </c>
      <c r="I800" s="98" t="s">
        <v>646</v>
      </c>
    </row>
    <row r="801" spans="1:9" s="40" customFormat="1" ht="76.5" x14ac:dyDescent="0.25">
      <c r="A801" s="94" t="s">
        <v>0</v>
      </c>
      <c r="B801" s="94" t="s">
        <v>0</v>
      </c>
      <c r="C801" s="95" t="s">
        <v>98</v>
      </c>
      <c r="D801" s="96">
        <f t="shared" si="126"/>
        <v>4672</v>
      </c>
      <c r="E801" s="96">
        <f t="shared" si="125"/>
        <v>4672</v>
      </c>
      <c r="F801" s="96">
        <v>1</v>
      </c>
      <c r="G801" s="107" t="s">
        <v>548</v>
      </c>
      <c r="H801" s="103" t="s">
        <v>443</v>
      </c>
      <c r="I801" s="98" t="s">
        <v>620</v>
      </c>
    </row>
    <row r="802" spans="1:9" s="40" customFormat="1" ht="38.25" x14ac:dyDescent="0.25">
      <c r="A802" s="94" t="s">
        <v>0</v>
      </c>
      <c r="B802" s="94" t="s">
        <v>0</v>
      </c>
      <c r="C802" s="95" t="s">
        <v>98</v>
      </c>
      <c r="D802" s="96">
        <f t="shared" si="126"/>
        <v>4673</v>
      </c>
      <c r="E802" s="96">
        <f t="shared" si="125"/>
        <v>4674</v>
      </c>
      <c r="F802" s="96">
        <v>2</v>
      </c>
      <c r="G802" s="107" t="s">
        <v>177</v>
      </c>
      <c r="H802" s="86" t="s">
        <v>84</v>
      </c>
      <c r="I802" s="98" t="s">
        <v>235</v>
      </c>
    </row>
    <row r="803" spans="1:9" s="40" customFormat="1" ht="63.75" x14ac:dyDescent="0.25">
      <c r="A803" s="94" t="s">
        <v>0</v>
      </c>
      <c r="B803" s="94" t="s">
        <v>0</v>
      </c>
      <c r="C803" s="95" t="s">
        <v>98</v>
      </c>
      <c r="D803" s="96">
        <f t="shared" si="126"/>
        <v>4675</v>
      </c>
      <c r="E803" s="96">
        <f t="shared" si="125"/>
        <v>4677</v>
      </c>
      <c r="F803" s="96">
        <v>3</v>
      </c>
      <c r="G803" s="107" t="s">
        <v>193</v>
      </c>
      <c r="H803" s="86" t="s">
        <v>85</v>
      </c>
      <c r="I803" s="98" t="s">
        <v>647</v>
      </c>
    </row>
    <row r="804" spans="1:9" s="40" customFormat="1" ht="76.5" x14ac:dyDescent="0.25">
      <c r="A804" s="94" t="s">
        <v>0</v>
      </c>
      <c r="B804" s="94" t="s">
        <v>0</v>
      </c>
      <c r="C804" s="95" t="s">
        <v>98</v>
      </c>
      <c r="D804" s="96">
        <f t="shared" si="126"/>
        <v>4678</v>
      </c>
      <c r="E804" s="96">
        <f t="shared" si="125"/>
        <v>4678</v>
      </c>
      <c r="F804" s="96">
        <v>1</v>
      </c>
      <c r="G804" s="107" t="s">
        <v>549</v>
      </c>
      <c r="H804" s="103" t="s">
        <v>443</v>
      </c>
      <c r="I804" s="98" t="s">
        <v>581</v>
      </c>
    </row>
    <row r="805" spans="1:9" s="40" customFormat="1" ht="15" x14ac:dyDescent="0.25">
      <c r="A805" s="94"/>
      <c r="B805" s="94"/>
      <c r="C805" s="95"/>
      <c r="D805" s="96">
        <f t="shared" si="126"/>
        <v>4679</v>
      </c>
      <c r="E805" s="96">
        <f t="shared" si="125"/>
        <v>4683</v>
      </c>
      <c r="F805" s="83">
        <v>5</v>
      </c>
      <c r="G805" s="107" t="s">
        <v>55</v>
      </c>
      <c r="H805" s="86"/>
      <c r="I805" s="98"/>
    </row>
    <row r="806" spans="1:9" s="40" customFormat="1" ht="15" x14ac:dyDescent="0.25">
      <c r="A806" s="94"/>
      <c r="B806" s="94"/>
      <c r="C806" s="95"/>
      <c r="D806" s="96"/>
      <c r="E806" s="96"/>
      <c r="F806" s="96"/>
      <c r="G806" s="97" t="s">
        <v>635</v>
      </c>
      <c r="H806" s="86"/>
      <c r="I806" s="98"/>
    </row>
    <row r="807" spans="1:9" s="40" customFormat="1" ht="25.5" x14ac:dyDescent="0.25">
      <c r="A807" s="94" t="s">
        <v>0</v>
      </c>
      <c r="B807" s="94" t="s">
        <v>0</v>
      </c>
      <c r="C807" s="95" t="s">
        <v>394</v>
      </c>
      <c r="D807" s="96">
        <f>D805+F805</f>
        <v>4684</v>
      </c>
      <c r="E807" s="96">
        <f t="shared" ref="E807:E815" si="127">D807+F807-1</f>
        <v>4685</v>
      </c>
      <c r="F807" s="94">
        <v>2</v>
      </c>
      <c r="G807" s="126" t="s">
        <v>377</v>
      </c>
      <c r="H807" s="86" t="s">
        <v>92</v>
      </c>
      <c r="I807" s="98" t="s">
        <v>159</v>
      </c>
    </row>
    <row r="808" spans="1:9" s="40" customFormat="1" ht="63.75" x14ac:dyDescent="0.25">
      <c r="A808" s="94" t="s">
        <v>0</v>
      </c>
      <c r="B808" s="94" t="s">
        <v>0</v>
      </c>
      <c r="C808" s="95" t="s">
        <v>98</v>
      </c>
      <c r="D808" s="96">
        <f t="shared" ref="D808:D815" si="128">D807+F807</f>
        <v>4686</v>
      </c>
      <c r="E808" s="96">
        <f t="shared" si="127"/>
        <v>4686</v>
      </c>
      <c r="F808" s="96">
        <v>1</v>
      </c>
      <c r="G808" s="107" t="s">
        <v>26</v>
      </c>
      <c r="H808" s="86" t="s">
        <v>125</v>
      </c>
      <c r="I808" s="98" t="s">
        <v>410</v>
      </c>
    </row>
    <row r="809" spans="1:9" s="40" customFormat="1" ht="38.25" x14ac:dyDescent="0.25">
      <c r="A809" s="94" t="s">
        <v>0</v>
      </c>
      <c r="B809" s="94" t="s">
        <v>0</v>
      </c>
      <c r="C809" s="95" t="s">
        <v>98</v>
      </c>
      <c r="D809" s="96">
        <f t="shared" si="128"/>
        <v>4687</v>
      </c>
      <c r="E809" s="96">
        <f t="shared" si="127"/>
        <v>4687</v>
      </c>
      <c r="F809" s="96">
        <v>1</v>
      </c>
      <c r="G809" s="107" t="s">
        <v>27</v>
      </c>
      <c r="H809" s="86" t="s">
        <v>81</v>
      </c>
      <c r="I809" s="98" t="s">
        <v>263</v>
      </c>
    </row>
    <row r="810" spans="1:9" s="40" customFormat="1" ht="38.25" x14ac:dyDescent="0.25">
      <c r="A810" s="94" t="s">
        <v>0</v>
      </c>
      <c r="B810" s="94" t="s">
        <v>0</v>
      </c>
      <c r="C810" s="95" t="s">
        <v>99</v>
      </c>
      <c r="D810" s="96">
        <f t="shared" si="128"/>
        <v>4688</v>
      </c>
      <c r="E810" s="96">
        <f t="shared" si="127"/>
        <v>4688</v>
      </c>
      <c r="F810" s="96">
        <v>1</v>
      </c>
      <c r="G810" s="107" t="s">
        <v>122</v>
      </c>
      <c r="H810" s="86" t="s">
        <v>261</v>
      </c>
      <c r="I810" s="98" t="s">
        <v>262</v>
      </c>
    </row>
    <row r="811" spans="1:9" s="40" customFormat="1" ht="51" x14ac:dyDescent="0.25">
      <c r="A811" s="94" t="s">
        <v>0</v>
      </c>
      <c r="B811" s="94" t="s">
        <v>0</v>
      </c>
      <c r="C811" s="95" t="s">
        <v>98</v>
      </c>
      <c r="D811" s="96">
        <f t="shared" si="128"/>
        <v>4689</v>
      </c>
      <c r="E811" s="96">
        <f t="shared" si="127"/>
        <v>4689</v>
      </c>
      <c r="F811" s="96">
        <v>1</v>
      </c>
      <c r="G811" s="107" t="s">
        <v>28</v>
      </c>
      <c r="H811" s="86" t="s">
        <v>82</v>
      </c>
      <c r="I811" s="98" t="s">
        <v>264</v>
      </c>
    </row>
    <row r="812" spans="1:9" s="40" customFormat="1" ht="176.25" customHeight="1" x14ac:dyDescent="0.25">
      <c r="A812" s="94" t="s">
        <v>0</v>
      </c>
      <c r="B812" s="94" t="s">
        <v>0</v>
      </c>
      <c r="C812" s="95" t="s">
        <v>98</v>
      </c>
      <c r="D812" s="96">
        <f t="shared" si="128"/>
        <v>4690</v>
      </c>
      <c r="E812" s="96">
        <f t="shared" si="127"/>
        <v>4690</v>
      </c>
      <c r="F812" s="96">
        <v>1</v>
      </c>
      <c r="G812" s="107" t="s">
        <v>32</v>
      </c>
      <c r="H812" s="86" t="s">
        <v>79</v>
      </c>
      <c r="I812" s="98" t="s">
        <v>367</v>
      </c>
    </row>
    <row r="813" spans="1:9" s="40" customFormat="1" ht="63.75" x14ac:dyDescent="0.25">
      <c r="A813" s="94" t="s">
        <v>0</v>
      </c>
      <c r="B813" s="94" t="s">
        <v>0</v>
      </c>
      <c r="C813" s="95" t="s">
        <v>98</v>
      </c>
      <c r="D813" s="96">
        <f t="shared" si="128"/>
        <v>4691</v>
      </c>
      <c r="E813" s="96">
        <f t="shared" si="127"/>
        <v>4691</v>
      </c>
      <c r="F813" s="96">
        <v>1</v>
      </c>
      <c r="G813" s="107" t="s">
        <v>29</v>
      </c>
      <c r="H813" s="86" t="s">
        <v>78</v>
      </c>
      <c r="I813" s="98" t="s">
        <v>328</v>
      </c>
    </row>
    <row r="814" spans="1:9" s="40" customFormat="1" ht="38.25" x14ac:dyDescent="0.25">
      <c r="A814" s="94" t="s">
        <v>6</v>
      </c>
      <c r="B814" s="94" t="s">
        <v>6</v>
      </c>
      <c r="C814" s="95" t="s">
        <v>99</v>
      </c>
      <c r="D814" s="96">
        <f t="shared" si="128"/>
        <v>4692</v>
      </c>
      <c r="E814" s="96">
        <f t="shared" si="127"/>
        <v>4692</v>
      </c>
      <c r="F814" s="96">
        <v>1</v>
      </c>
      <c r="G814" s="107" t="s">
        <v>119</v>
      </c>
      <c r="H814" s="134" t="s">
        <v>408</v>
      </c>
      <c r="I814" s="98" t="s">
        <v>409</v>
      </c>
    </row>
    <row r="815" spans="1:9" s="40" customFormat="1" ht="15" x14ac:dyDescent="0.25">
      <c r="A815" s="94"/>
      <c r="B815" s="94"/>
      <c r="C815" s="142"/>
      <c r="D815" s="96">
        <f t="shared" si="128"/>
        <v>4693</v>
      </c>
      <c r="E815" s="96">
        <f t="shared" si="127"/>
        <v>4702</v>
      </c>
      <c r="F815" s="101">
        <v>10</v>
      </c>
      <c r="G815" s="143" t="s">
        <v>55</v>
      </c>
      <c r="H815" s="86"/>
      <c r="I815" s="98"/>
    </row>
    <row r="816" spans="1:9" s="40" customFormat="1" ht="15" x14ac:dyDescent="0.25">
      <c r="A816" s="94"/>
      <c r="B816" s="94"/>
      <c r="C816" s="142"/>
      <c r="D816" s="96"/>
      <c r="E816" s="96"/>
      <c r="F816" s="101"/>
      <c r="G816" s="97" t="s">
        <v>158</v>
      </c>
      <c r="H816" s="86"/>
      <c r="I816" s="98"/>
    </row>
    <row r="817" spans="1:9" s="40" customFormat="1" ht="89.25" x14ac:dyDescent="0.25">
      <c r="A817" s="94" t="s">
        <v>6</v>
      </c>
      <c r="B817" s="94" t="s">
        <v>6</v>
      </c>
      <c r="C817" s="142" t="s">
        <v>99</v>
      </c>
      <c r="D817" s="96">
        <f>D815+F815</f>
        <v>4703</v>
      </c>
      <c r="E817" s="96">
        <f>D817+F817-1</f>
        <v>4703</v>
      </c>
      <c r="F817" s="101">
        <v>1</v>
      </c>
      <c r="G817" s="126" t="s">
        <v>368</v>
      </c>
      <c r="H817" s="141" t="s">
        <v>118</v>
      </c>
      <c r="I817" s="98" t="s">
        <v>369</v>
      </c>
    </row>
    <row r="818" spans="1:9" s="40" customFormat="1" ht="63.75" x14ac:dyDescent="0.25">
      <c r="A818" s="94" t="s">
        <v>6</v>
      </c>
      <c r="B818" s="94" t="s">
        <v>6</v>
      </c>
      <c r="C818" s="142" t="s">
        <v>99</v>
      </c>
      <c r="D818" s="96">
        <f>D817+F817</f>
        <v>4704</v>
      </c>
      <c r="E818" s="96">
        <f>D818+F818-1</f>
        <v>4704</v>
      </c>
      <c r="F818" s="101">
        <v>1</v>
      </c>
      <c r="G818" s="143" t="s">
        <v>116</v>
      </c>
      <c r="H818" s="141" t="s">
        <v>118</v>
      </c>
      <c r="I818" s="98" t="s">
        <v>162</v>
      </c>
    </row>
    <row r="819" spans="1:9" s="40" customFormat="1" ht="63.75" x14ac:dyDescent="0.25">
      <c r="A819" s="94" t="s">
        <v>6</v>
      </c>
      <c r="B819" s="94" t="s">
        <v>6</v>
      </c>
      <c r="C819" s="142" t="s">
        <v>99</v>
      </c>
      <c r="D819" s="96">
        <f>D818+F818</f>
        <v>4705</v>
      </c>
      <c r="E819" s="96">
        <f>D819+F819-1</f>
        <v>4705</v>
      </c>
      <c r="F819" s="101">
        <v>1</v>
      </c>
      <c r="G819" s="143" t="s">
        <v>117</v>
      </c>
      <c r="H819" s="141" t="s">
        <v>118</v>
      </c>
      <c r="I819" s="98" t="s">
        <v>265</v>
      </c>
    </row>
    <row r="820" spans="1:9" s="40" customFormat="1" ht="15" x14ac:dyDescent="0.25">
      <c r="A820" s="94"/>
      <c r="B820" s="94"/>
      <c r="C820" s="142"/>
      <c r="D820" s="96">
        <f>D819+F819</f>
        <v>4706</v>
      </c>
      <c r="E820" s="96">
        <f>D820+F820-1</f>
        <v>4715</v>
      </c>
      <c r="F820" s="101">
        <v>10</v>
      </c>
      <c r="G820" s="143" t="s">
        <v>55</v>
      </c>
      <c r="H820" s="141"/>
      <c r="I820" s="98"/>
    </row>
    <row r="821" spans="1:9" s="40" customFormat="1" ht="15" x14ac:dyDescent="0.25">
      <c r="A821" s="94"/>
      <c r="B821" s="94"/>
      <c r="C821" s="95"/>
      <c r="D821" s="96"/>
      <c r="E821" s="96"/>
      <c r="F821" s="96"/>
      <c r="G821" s="97" t="s">
        <v>36</v>
      </c>
      <c r="H821" s="86"/>
      <c r="I821" s="98"/>
    </row>
    <row r="822" spans="1:9" s="40" customFormat="1" ht="25.5" x14ac:dyDescent="0.25">
      <c r="A822" s="94" t="s">
        <v>0</v>
      </c>
      <c r="B822" s="94" t="s">
        <v>0</v>
      </c>
      <c r="C822" s="96" t="s">
        <v>96</v>
      </c>
      <c r="D822" s="96">
        <f>D820+F820</f>
        <v>4716</v>
      </c>
      <c r="E822" s="96">
        <f t="shared" ref="E822:E828" si="129">D822+F822-1</f>
        <v>4719</v>
      </c>
      <c r="F822" s="96">
        <v>4</v>
      </c>
      <c r="G822" s="107" t="s">
        <v>34</v>
      </c>
      <c r="H822" s="86" t="s">
        <v>88</v>
      </c>
      <c r="I822" s="172" t="s">
        <v>87</v>
      </c>
    </row>
    <row r="823" spans="1:9" s="40" customFormat="1" ht="51" x14ac:dyDescent="0.25">
      <c r="A823" s="94" t="s">
        <v>0</v>
      </c>
      <c r="B823" s="94" t="s">
        <v>0</v>
      </c>
      <c r="C823" s="96" t="s">
        <v>96</v>
      </c>
      <c r="D823" s="96">
        <f t="shared" ref="D823:D828" si="130">D822+F822</f>
        <v>4720</v>
      </c>
      <c r="E823" s="96">
        <f t="shared" si="129"/>
        <v>4721</v>
      </c>
      <c r="F823" s="96">
        <v>2</v>
      </c>
      <c r="G823" s="107" t="s">
        <v>33</v>
      </c>
      <c r="H823" s="86" t="s">
        <v>86</v>
      </c>
      <c r="I823" s="172"/>
    </row>
    <row r="824" spans="1:9" s="40" customFormat="1" ht="25.5" x14ac:dyDescent="0.25">
      <c r="A824" s="94" t="s">
        <v>0</v>
      </c>
      <c r="B824" s="94" t="s">
        <v>0</v>
      </c>
      <c r="C824" s="96" t="s">
        <v>96</v>
      </c>
      <c r="D824" s="96">
        <f t="shared" si="130"/>
        <v>4722</v>
      </c>
      <c r="E824" s="96">
        <f t="shared" si="129"/>
        <v>4724</v>
      </c>
      <c r="F824" s="96">
        <v>3</v>
      </c>
      <c r="G824" s="107" t="s">
        <v>35</v>
      </c>
      <c r="H824" s="86" t="s">
        <v>89</v>
      </c>
      <c r="I824" s="98" t="s">
        <v>90</v>
      </c>
    </row>
    <row r="825" spans="1:9" s="40" customFormat="1" ht="63.75" x14ac:dyDescent="0.25">
      <c r="A825" s="94" t="s">
        <v>0</v>
      </c>
      <c r="B825" s="94" t="s">
        <v>0</v>
      </c>
      <c r="C825" s="96" t="s">
        <v>96</v>
      </c>
      <c r="D825" s="96">
        <f t="shared" si="130"/>
        <v>4725</v>
      </c>
      <c r="E825" s="96">
        <f t="shared" si="129"/>
        <v>4727</v>
      </c>
      <c r="F825" s="96">
        <v>3</v>
      </c>
      <c r="G825" s="107" t="s">
        <v>329</v>
      </c>
      <c r="H825" s="86" t="s">
        <v>330</v>
      </c>
      <c r="I825" s="98" t="s">
        <v>91</v>
      </c>
    </row>
    <row r="826" spans="1:9" s="40" customFormat="1" ht="15" x14ac:dyDescent="0.25">
      <c r="A826" s="158"/>
      <c r="B826" s="158"/>
      <c r="C826" s="159"/>
      <c r="D826" s="160">
        <f t="shared" si="130"/>
        <v>4728</v>
      </c>
      <c r="E826" s="160">
        <f t="shared" si="129"/>
        <v>4737</v>
      </c>
      <c r="F826" s="160">
        <v>10</v>
      </c>
      <c r="G826" s="161" t="s">
        <v>55</v>
      </c>
      <c r="H826" s="162"/>
      <c r="I826" s="163"/>
    </row>
    <row r="827" spans="1:9" s="40" customFormat="1" ht="191.25" customHeight="1" x14ac:dyDescent="0.25">
      <c r="A827" s="94" t="s">
        <v>6</v>
      </c>
      <c r="B827" s="94" t="s">
        <v>6</v>
      </c>
      <c r="C827" s="95" t="s">
        <v>98</v>
      </c>
      <c r="D827" s="96">
        <f>D825+F825</f>
        <v>4728</v>
      </c>
      <c r="E827" s="96">
        <f t="shared" si="129"/>
        <v>4947</v>
      </c>
      <c r="F827" s="167">
        <v>220</v>
      </c>
      <c r="G827" s="126" t="s">
        <v>407</v>
      </c>
      <c r="H827" s="204" t="s">
        <v>717</v>
      </c>
      <c r="I827" s="98" t="s">
        <v>500</v>
      </c>
    </row>
    <row r="828" spans="1:9" s="40" customFormat="1" ht="187.5" customHeight="1" x14ac:dyDescent="0.25">
      <c r="A828" s="94" t="s">
        <v>6</v>
      </c>
      <c r="B828" s="94" t="s">
        <v>6</v>
      </c>
      <c r="C828" s="95" t="s">
        <v>98</v>
      </c>
      <c r="D828" s="96">
        <f t="shared" si="130"/>
        <v>4948</v>
      </c>
      <c r="E828" s="96">
        <f t="shared" si="129"/>
        <v>5047</v>
      </c>
      <c r="F828" s="96">
        <v>100</v>
      </c>
      <c r="G828" s="126" t="s">
        <v>401</v>
      </c>
      <c r="H828" s="204"/>
      <c r="I828" s="98" t="s">
        <v>501</v>
      </c>
    </row>
    <row r="829" spans="1:9" s="40" customFormat="1" ht="17.45" customHeight="1" x14ac:dyDescent="0.25">
      <c r="A829" s="157"/>
      <c r="B829" s="157"/>
      <c r="C829" s="164"/>
      <c r="D829" s="160">
        <v>5038</v>
      </c>
      <c r="E829" s="160">
        <f>D829+F829-1</f>
        <v>5047</v>
      </c>
      <c r="F829" s="160">
        <v>10</v>
      </c>
      <c r="G829" s="165" t="s">
        <v>55</v>
      </c>
      <c r="H829" s="156"/>
      <c r="I829" s="166"/>
    </row>
    <row r="830" spans="1:9" x14ac:dyDescent="0.25">
      <c r="A830" s="94"/>
      <c r="B830" s="94"/>
      <c r="C830" s="101"/>
      <c r="D830" s="96" t="s">
        <v>551</v>
      </c>
      <c r="E830" s="96" t="s">
        <v>551</v>
      </c>
      <c r="F830" s="96"/>
      <c r="G830" s="97" t="s">
        <v>415</v>
      </c>
      <c r="H830" s="86"/>
      <c r="I830" s="98"/>
    </row>
    <row r="831" spans="1:9" ht="25.5" x14ac:dyDescent="0.25">
      <c r="A831" s="94" t="s">
        <v>0</v>
      </c>
      <c r="B831" s="94" t="s">
        <v>0</v>
      </c>
      <c r="C831" s="95" t="s">
        <v>97</v>
      </c>
      <c r="D831" s="96">
        <f>D828+F828</f>
        <v>5048</v>
      </c>
      <c r="E831" s="96">
        <f>D831+F831-1</f>
        <v>5048</v>
      </c>
      <c r="F831" s="96">
        <v>1</v>
      </c>
      <c r="G831" s="107" t="s">
        <v>37</v>
      </c>
      <c r="H831" s="86" t="s">
        <v>54</v>
      </c>
      <c r="I831" s="98"/>
    </row>
    <row r="832" spans="1:9" ht="102" x14ac:dyDescent="0.25">
      <c r="A832" s="94" t="s">
        <v>0</v>
      </c>
      <c r="B832" s="94" t="s">
        <v>0</v>
      </c>
      <c r="C832" s="95" t="s">
        <v>97</v>
      </c>
      <c r="D832" s="96">
        <f>D831+F831</f>
        <v>5049</v>
      </c>
      <c r="E832" s="96">
        <f t="shared" ref="E832:E840" si="131">D832+F832-1</f>
        <v>5053</v>
      </c>
      <c r="F832" s="96">
        <v>5</v>
      </c>
      <c r="G832" s="107" t="s">
        <v>13</v>
      </c>
      <c r="H832" s="134" t="s">
        <v>522</v>
      </c>
      <c r="I832" s="98" t="s">
        <v>523</v>
      </c>
    </row>
    <row r="833" spans="1:9" ht="51" x14ac:dyDescent="0.25">
      <c r="A833" s="94" t="s">
        <v>6</v>
      </c>
      <c r="B833" s="94" t="s">
        <v>6</v>
      </c>
      <c r="C833" s="95" t="s">
        <v>97</v>
      </c>
      <c r="D833" s="96">
        <f>D832+F832</f>
        <v>5054</v>
      </c>
      <c r="E833" s="96">
        <f t="shared" si="131"/>
        <v>5059</v>
      </c>
      <c r="F833" s="96">
        <v>6</v>
      </c>
      <c r="G833" s="107" t="s">
        <v>14</v>
      </c>
      <c r="H833" s="134" t="s">
        <v>404</v>
      </c>
      <c r="I833" s="98" t="s">
        <v>405</v>
      </c>
    </row>
    <row r="834" spans="1:9" x14ac:dyDescent="0.25">
      <c r="A834" s="94" t="s">
        <v>0</v>
      </c>
      <c r="B834" s="94" t="s">
        <v>6</v>
      </c>
      <c r="C834" s="95" t="s">
        <v>97</v>
      </c>
      <c r="D834" s="96">
        <f t="shared" ref="D834:D845" si="132">D833+F833</f>
        <v>5060</v>
      </c>
      <c r="E834" s="96">
        <f t="shared" si="131"/>
        <v>5079</v>
      </c>
      <c r="F834" s="96">
        <v>20</v>
      </c>
      <c r="G834" s="107" t="s">
        <v>15</v>
      </c>
      <c r="H834" s="179" t="s">
        <v>256</v>
      </c>
      <c r="I834" s="186" t="s">
        <v>359</v>
      </c>
    </row>
    <row r="835" spans="1:9" x14ac:dyDescent="0.25">
      <c r="A835" s="94" t="s">
        <v>0</v>
      </c>
      <c r="B835" s="94" t="s">
        <v>6</v>
      </c>
      <c r="C835" s="95" t="s">
        <v>97</v>
      </c>
      <c r="D835" s="96">
        <f t="shared" si="132"/>
        <v>5080</v>
      </c>
      <c r="E835" s="96">
        <f t="shared" si="131"/>
        <v>5094</v>
      </c>
      <c r="F835" s="96">
        <v>15</v>
      </c>
      <c r="G835" s="107" t="s">
        <v>16</v>
      </c>
      <c r="H835" s="180"/>
      <c r="I835" s="198"/>
    </row>
    <row r="836" spans="1:9" x14ac:dyDescent="0.25">
      <c r="A836" s="94" t="s">
        <v>0</v>
      </c>
      <c r="B836" s="94" t="s">
        <v>6</v>
      </c>
      <c r="C836" s="95" t="s">
        <v>97</v>
      </c>
      <c r="D836" s="96">
        <f t="shared" si="132"/>
        <v>5095</v>
      </c>
      <c r="E836" s="96">
        <f t="shared" si="131"/>
        <v>5095</v>
      </c>
      <c r="F836" s="96">
        <v>1</v>
      </c>
      <c r="G836" s="107" t="s">
        <v>273</v>
      </c>
      <c r="H836" s="181"/>
      <c r="I836" s="199"/>
    </row>
    <row r="837" spans="1:9" ht="38.25" x14ac:dyDescent="0.25">
      <c r="A837" s="94" t="s">
        <v>6</v>
      </c>
      <c r="B837" s="94" t="s">
        <v>6</v>
      </c>
      <c r="C837" s="95" t="s">
        <v>97</v>
      </c>
      <c r="D837" s="96">
        <f t="shared" si="132"/>
        <v>5096</v>
      </c>
      <c r="E837" s="96">
        <f t="shared" si="131"/>
        <v>5098</v>
      </c>
      <c r="F837" s="96">
        <v>3</v>
      </c>
      <c r="G837" s="107" t="s">
        <v>155</v>
      </c>
      <c r="H837" s="139" t="s">
        <v>156</v>
      </c>
      <c r="I837" s="200" t="s">
        <v>435</v>
      </c>
    </row>
    <row r="838" spans="1:9" x14ac:dyDescent="0.25">
      <c r="A838" s="94" t="s">
        <v>6</v>
      </c>
      <c r="B838" s="94" t="s">
        <v>6</v>
      </c>
      <c r="C838" s="95" t="s">
        <v>97</v>
      </c>
      <c r="D838" s="96">
        <f t="shared" si="132"/>
        <v>5099</v>
      </c>
      <c r="E838" s="96">
        <f t="shared" si="131"/>
        <v>5118</v>
      </c>
      <c r="F838" s="96">
        <v>20</v>
      </c>
      <c r="G838" s="107" t="s">
        <v>17</v>
      </c>
      <c r="H838" s="179" t="s">
        <v>256</v>
      </c>
      <c r="I838" s="201"/>
    </row>
    <row r="839" spans="1:9" x14ac:dyDescent="0.25">
      <c r="A839" s="94" t="s">
        <v>6</v>
      </c>
      <c r="B839" s="94" t="s">
        <v>6</v>
      </c>
      <c r="C839" s="95" t="s">
        <v>97</v>
      </c>
      <c r="D839" s="96">
        <f t="shared" si="132"/>
        <v>5119</v>
      </c>
      <c r="E839" s="96">
        <f t="shared" si="131"/>
        <v>5138</v>
      </c>
      <c r="F839" s="96">
        <v>20</v>
      </c>
      <c r="G839" s="107" t="s">
        <v>18</v>
      </c>
      <c r="H839" s="180"/>
      <c r="I839" s="201"/>
    </row>
    <row r="840" spans="1:9" x14ac:dyDescent="0.25">
      <c r="A840" s="94" t="s">
        <v>0</v>
      </c>
      <c r="B840" s="94" t="s">
        <v>0</v>
      </c>
      <c r="C840" s="95" t="s">
        <v>97</v>
      </c>
      <c r="D840" s="96">
        <f t="shared" si="132"/>
        <v>5139</v>
      </c>
      <c r="E840" s="96">
        <f t="shared" si="131"/>
        <v>5139</v>
      </c>
      <c r="F840" s="96">
        <v>1</v>
      </c>
      <c r="G840" s="107" t="s">
        <v>274</v>
      </c>
      <c r="H840" s="181"/>
      <c r="I840" s="202"/>
    </row>
    <row r="841" spans="1:9" ht="63.75" x14ac:dyDescent="0.25">
      <c r="A841" s="94" t="s">
        <v>0</v>
      </c>
      <c r="B841" s="94" t="s">
        <v>0</v>
      </c>
      <c r="C841" s="95" t="s">
        <v>237</v>
      </c>
      <c r="D841" s="96">
        <f t="shared" si="132"/>
        <v>5140</v>
      </c>
      <c r="E841" s="96">
        <f>D841+F841-1</f>
        <v>5145</v>
      </c>
      <c r="F841" s="96">
        <v>6</v>
      </c>
      <c r="G841" s="107" t="s">
        <v>154</v>
      </c>
      <c r="H841" s="86" t="s">
        <v>477</v>
      </c>
      <c r="I841" s="98" t="s">
        <v>360</v>
      </c>
    </row>
    <row r="842" spans="1:9" ht="63.75" x14ac:dyDescent="0.25">
      <c r="A842" s="94" t="s">
        <v>0</v>
      </c>
      <c r="B842" s="94" t="s">
        <v>0</v>
      </c>
      <c r="C842" s="95" t="s">
        <v>97</v>
      </c>
      <c r="D842" s="96">
        <f t="shared" si="132"/>
        <v>5146</v>
      </c>
      <c r="E842" s="96">
        <f t="shared" ref="E842:E843" si="133">D842+F842-1</f>
        <v>5175</v>
      </c>
      <c r="F842" s="96">
        <v>30</v>
      </c>
      <c r="G842" s="107" t="s">
        <v>19</v>
      </c>
      <c r="H842" s="144" t="s">
        <v>476</v>
      </c>
      <c r="I842" s="98" t="s">
        <v>361</v>
      </c>
    </row>
    <row r="843" spans="1:9" ht="51" x14ac:dyDescent="0.25">
      <c r="A843" s="94" t="s">
        <v>0</v>
      </c>
      <c r="B843" s="94" t="s">
        <v>0</v>
      </c>
      <c r="C843" s="95" t="s">
        <v>97</v>
      </c>
      <c r="D843" s="96">
        <f t="shared" si="132"/>
        <v>5176</v>
      </c>
      <c r="E843" s="96">
        <f t="shared" si="133"/>
        <v>5195</v>
      </c>
      <c r="F843" s="96">
        <v>20</v>
      </c>
      <c r="G843" s="107" t="s">
        <v>112</v>
      </c>
      <c r="H843" s="86" t="s">
        <v>338</v>
      </c>
      <c r="I843" s="98" t="s">
        <v>359</v>
      </c>
    </row>
    <row r="844" spans="1:9" ht="38.25" x14ac:dyDescent="0.25">
      <c r="A844" s="94" t="s">
        <v>0</v>
      </c>
      <c r="B844" s="94" t="s">
        <v>0</v>
      </c>
      <c r="C844" s="95" t="s">
        <v>237</v>
      </c>
      <c r="D844" s="96">
        <f t="shared" si="132"/>
        <v>5196</v>
      </c>
      <c r="E844" s="96">
        <f>D844+F844-1</f>
        <v>5201</v>
      </c>
      <c r="F844" s="96">
        <v>6</v>
      </c>
      <c r="G844" s="107" t="s">
        <v>114</v>
      </c>
      <c r="H844" s="86" t="s">
        <v>115</v>
      </c>
      <c r="I844" s="98" t="s">
        <v>309</v>
      </c>
    </row>
    <row r="845" spans="1:9" ht="25.5" x14ac:dyDescent="0.25">
      <c r="A845" s="94" t="s">
        <v>0</v>
      </c>
      <c r="B845" s="94" t="s">
        <v>0</v>
      </c>
      <c r="C845" s="95" t="s">
        <v>237</v>
      </c>
      <c r="D845" s="96">
        <f t="shared" si="132"/>
        <v>5202</v>
      </c>
      <c r="E845" s="96">
        <f>D845+F845-1</f>
        <v>5202</v>
      </c>
      <c r="F845" s="96">
        <v>1</v>
      </c>
      <c r="G845" s="107" t="s">
        <v>416</v>
      </c>
      <c r="H845" s="86" t="s">
        <v>307</v>
      </c>
      <c r="I845" s="98" t="s">
        <v>306</v>
      </c>
    </row>
    <row r="846" spans="1:9" x14ac:dyDescent="0.25">
      <c r="A846" s="94"/>
      <c r="B846" s="94"/>
      <c r="C846" s="95"/>
      <c r="D846" s="96">
        <f>D845+F845</f>
        <v>5203</v>
      </c>
      <c r="E846" s="96">
        <f t="shared" ref="E846" si="134">D846+F846-1</f>
        <v>5222</v>
      </c>
      <c r="F846" s="96">
        <v>20</v>
      </c>
      <c r="G846" s="107" t="s">
        <v>55</v>
      </c>
      <c r="H846" s="86"/>
      <c r="I846" s="98"/>
    </row>
    <row r="847" spans="1:9" x14ac:dyDescent="0.25">
      <c r="A847" s="94"/>
      <c r="B847" s="94"/>
      <c r="C847" s="101"/>
      <c r="D847" s="96"/>
      <c r="E847" s="96"/>
      <c r="F847" s="135"/>
      <c r="G847" s="97" t="s">
        <v>20</v>
      </c>
      <c r="H847" s="136"/>
      <c r="I847" s="137"/>
    </row>
    <row r="848" spans="1:9" ht="38.25" x14ac:dyDescent="0.25">
      <c r="A848" s="94" t="s">
        <v>6</v>
      </c>
      <c r="B848" s="94" t="s">
        <v>6</v>
      </c>
      <c r="C848" s="95" t="s">
        <v>98</v>
      </c>
      <c r="D848" s="96">
        <f>D846+F846</f>
        <v>5223</v>
      </c>
      <c r="E848" s="96">
        <f>D848+F848-1</f>
        <v>5223</v>
      </c>
      <c r="F848" s="96">
        <v>1</v>
      </c>
      <c r="G848" s="107" t="s">
        <v>21</v>
      </c>
      <c r="H848" s="86" t="s">
        <v>102</v>
      </c>
      <c r="I848" s="192"/>
    </row>
    <row r="849" spans="1:9" ht="38.25" x14ac:dyDescent="0.25">
      <c r="A849" s="94" t="s">
        <v>6</v>
      </c>
      <c r="B849" s="94" t="s">
        <v>6</v>
      </c>
      <c r="C849" s="95" t="s">
        <v>98</v>
      </c>
      <c r="D849" s="96">
        <f>D848+F848</f>
        <v>5224</v>
      </c>
      <c r="E849" s="96">
        <f>D849+F849-1</f>
        <v>5224</v>
      </c>
      <c r="F849" s="96">
        <v>1</v>
      </c>
      <c r="G849" s="107" t="s">
        <v>22</v>
      </c>
      <c r="H849" s="86" t="s">
        <v>102</v>
      </c>
      <c r="I849" s="193"/>
    </row>
    <row r="850" spans="1:9" ht="38.25" x14ac:dyDescent="0.25">
      <c r="A850" s="94" t="s">
        <v>6</v>
      </c>
      <c r="B850" s="94" t="s">
        <v>6</v>
      </c>
      <c r="C850" s="95" t="s">
        <v>98</v>
      </c>
      <c r="D850" s="96">
        <f>D849+F849</f>
        <v>5225</v>
      </c>
      <c r="E850" s="96">
        <f>D850+F850-1</f>
        <v>5225</v>
      </c>
      <c r="F850" s="96">
        <v>1</v>
      </c>
      <c r="G850" s="107" t="s">
        <v>23</v>
      </c>
      <c r="H850" s="86" t="s">
        <v>102</v>
      </c>
      <c r="I850" s="194"/>
    </row>
    <row r="851" spans="1:9" x14ac:dyDescent="0.25">
      <c r="A851" s="94"/>
      <c r="B851" s="94"/>
      <c r="C851" s="95"/>
      <c r="D851" s="96">
        <f>D850+F850</f>
        <v>5226</v>
      </c>
      <c r="E851" s="96">
        <f>D851+F851-1</f>
        <v>5230</v>
      </c>
      <c r="F851" s="96">
        <v>5</v>
      </c>
      <c r="G851" s="107" t="s">
        <v>55</v>
      </c>
      <c r="H851" s="86"/>
      <c r="I851" s="98"/>
    </row>
    <row r="852" spans="1:9" x14ac:dyDescent="0.25">
      <c r="A852" s="94"/>
      <c r="B852" s="94"/>
      <c r="C852" s="95"/>
      <c r="D852" s="96"/>
      <c r="E852" s="96"/>
      <c r="F852" s="96"/>
      <c r="G852" s="97" t="s">
        <v>417</v>
      </c>
      <c r="H852" s="86"/>
      <c r="I852" s="98"/>
    </row>
    <row r="853" spans="1:9" x14ac:dyDescent="0.25">
      <c r="A853" s="94"/>
      <c r="B853" s="94"/>
      <c r="C853" s="95"/>
      <c r="D853" s="96"/>
      <c r="E853" s="96"/>
      <c r="F853" s="96"/>
      <c r="G853" s="97" t="s">
        <v>113</v>
      </c>
      <c r="H853" s="86"/>
      <c r="I853" s="98"/>
    </row>
    <row r="854" spans="1:9" x14ac:dyDescent="0.25">
      <c r="A854" s="94" t="s">
        <v>6</v>
      </c>
      <c r="B854" s="94" t="s">
        <v>6</v>
      </c>
      <c r="C854" s="95" t="s">
        <v>237</v>
      </c>
      <c r="D854" s="96">
        <f>D851+F851</f>
        <v>5231</v>
      </c>
      <c r="E854" s="96">
        <f>D854+F854-1</f>
        <v>5231</v>
      </c>
      <c r="F854" s="96">
        <v>1</v>
      </c>
      <c r="G854" s="107" t="s">
        <v>126</v>
      </c>
      <c r="H854" s="200" t="s">
        <v>257</v>
      </c>
      <c r="I854" s="200" t="s">
        <v>138</v>
      </c>
    </row>
    <row r="855" spans="1:9" x14ac:dyDescent="0.25">
      <c r="A855" s="94" t="s">
        <v>6</v>
      </c>
      <c r="B855" s="94" t="s">
        <v>6</v>
      </c>
      <c r="C855" s="95" t="s">
        <v>237</v>
      </c>
      <c r="D855" s="96">
        <f>D854+F854</f>
        <v>5232</v>
      </c>
      <c r="E855" s="96">
        <f>D855+F855-1</f>
        <v>5232</v>
      </c>
      <c r="F855" s="96">
        <v>1</v>
      </c>
      <c r="G855" s="107" t="s">
        <v>127</v>
      </c>
      <c r="H855" s="201"/>
      <c r="I855" s="201"/>
    </row>
    <row r="856" spans="1:9" x14ac:dyDescent="0.25">
      <c r="A856" s="94" t="s">
        <v>6</v>
      </c>
      <c r="B856" s="94" t="s">
        <v>6</v>
      </c>
      <c r="C856" s="95" t="s">
        <v>237</v>
      </c>
      <c r="D856" s="96">
        <f t="shared" ref="D856:D861" si="135">D855+F855</f>
        <v>5233</v>
      </c>
      <c r="E856" s="96">
        <f t="shared" ref="E856:E867" si="136">D856+F856-1</f>
        <v>5233</v>
      </c>
      <c r="F856" s="96">
        <v>1</v>
      </c>
      <c r="G856" s="126" t="s">
        <v>406</v>
      </c>
      <c r="H856" s="201"/>
      <c r="I856" s="201"/>
    </row>
    <row r="857" spans="1:9" x14ac:dyDescent="0.25">
      <c r="A857" s="94" t="s">
        <v>6</v>
      </c>
      <c r="B857" s="94" t="s">
        <v>6</v>
      </c>
      <c r="C857" s="95" t="s">
        <v>237</v>
      </c>
      <c r="D857" s="96">
        <f t="shared" si="135"/>
        <v>5234</v>
      </c>
      <c r="E857" s="96">
        <f t="shared" si="136"/>
        <v>5234</v>
      </c>
      <c r="F857" s="96">
        <v>1</v>
      </c>
      <c r="G857" s="107" t="s">
        <v>128</v>
      </c>
      <c r="H857" s="201"/>
      <c r="I857" s="201"/>
    </row>
    <row r="858" spans="1:9" x14ac:dyDescent="0.25">
      <c r="A858" s="94" t="s">
        <v>6</v>
      </c>
      <c r="B858" s="94" t="s">
        <v>6</v>
      </c>
      <c r="C858" s="95" t="s">
        <v>237</v>
      </c>
      <c r="D858" s="96">
        <f t="shared" si="135"/>
        <v>5235</v>
      </c>
      <c r="E858" s="96">
        <f t="shared" si="136"/>
        <v>5235</v>
      </c>
      <c r="F858" s="96">
        <v>1</v>
      </c>
      <c r="G858" s="107" t="s">
        <v>129</v>
      </c>
      <c r="H858" s="201"/>
      <c r="I858" s="201"/>
    </row>
    <row r="859" spans="1:9" x14ac:dyDescent="0.25">
      <c r="A859" s="94" t="s">
        <v>6</v>
      </c>
      <c r="B859" s="94" t="s">
        <v>6</v>
      </c>
      <c r="C859" s="95" t="s">
        <v>237</v>
      </c>
      <c r="D859" s="96">
        <f t="shared" si="135"/>
        <v>5236</v>
      </c>
      <c r="E859" s="96">
        <f t="shared" si="136"/>
        <v>5236</v>
      </c>
      <c r="F859" s="96">
        <v>1</v>
      </c>
      <c r="G859" s="107" t="s">
        <v>130</v>
      </c>
      <c r="H859" s="201"/>
      <c r="I859" s="201"/>
    </row>
    <row r="860" spans="1:9" x14ac:dyDescent="0.25">
      <c r="A860" s="94" t="s">
        <v>6</v>
      </c>
      <c r="B860" s="94" t="s">
        <v>6</v>
      </c>
      <c r="C860" s="95" t="s">
        <v>237</v>
      </c>
      <c r="D860" s="96">
        <f t="shared" si="135"/>
        <v>5237</v>
      </c>
      <c r="E860" s="96">
        <f t="shared" si="136"/>
        <v>5237</v>
      </c>
      <c r="F860" s="96">
        <v>1</v>
      </c>
      <c r="G860" s="107" t="s">
        <v>275</v>
      </c>
      <c r="H860" s="201"/>
      <c r="I860" s="201"/>
    </row>
    <row r="861" spans="1:9" x14ac:dyDescent="0.25">
      <c r="A861" s="94" t="s">
        <v>6</v>
      </c>
      <c r="B861" s="94" t="s">
        <v>6</v>
      </c>
      <c r="C861" s="95" t="s">
        <v>97</v>
      </c>
      <c r="D861" s="96">
        <f t="shared" si="135"/>
        <v>5238</v>
      </c>
      <c r="E861" s="96">
        <f t="shared" si="136"/>
        <v>5238</v>
      </c>
      <c r="F861" s="96">
        <v>1</v>
      </c>
      <c r="G861" s="107" t="s">
        <v>310</v>
      </c>
      <c r="H861" s="201"/>
      <c r="I861" s="201"/>
    </row>
    <row r="862" spans="1:9" x14ac:dyDescent="0.25">
      <c r="A862" s="94" t="s">
        <v>6</v>
      </c>
      <c r="B862" s="94" t="s">
        <v>6</v>
      </c>
      <c r="C862" s="95" t="s">
        <v>237</v>
      </c>
      <c r="D862" s="96">
        <f>D861+F861</f>
        <v>5239</v>
      </c>
      <c r="E862" s="96">
        <f t="shared" si="136"/>
        <v>5239</v>
      </c>
      <c r="F862" s="96">
        <v>1</v>
      </c>
      <c r="G862" s="107" t="s">
        <v>131</v>
      </c>
      <c r="H862" s="201"/>
      <c r="I862" s="201"/>
    </row>
    <row r="863" spans="1:9" x14ac:dyDescent="0.25">
      <c r="A863" s="94" t="s">
        <v>6</v>
      </c>
      <c r="B863" s="94" t="s">
        <v>6</v>
      </c>
      <c r="C863" s="95" t="s">
        <v>237</v>
      </c>
      <c r="D863" s="96">
        <f t="shared" ref="D863:D867" si="137">D862+F862</f>
        <v>5240</v>
      </c>
      <c r="E863" s="96">
        <f t="shared" si="136"/>
        <v>5240</v>
      </c>
      <c r="F863" s="96">
        <v>1</v>
      </c>
      <c r="G863" s="107" t="s">
        <v>132</v>
      </c>
      <c r="H863" s="201"/>
      <c r="I863" s="201"/>
    </row>
    <row r="864" spans="1:9" x14ac:dyDescent="0.25">
      <c r="A864" s="94" t="s">
        <v>6</v>
      </c>
      <c r="B864" s="94" t="s">
        <v>6</v>
      </c>
      <c r="C864" s="95" t="s">
        <v>237</v>
      </c>
      <c r="D864" s="96">
        <f t="shared" si="137"/>
        <v>5241</v>
      </c>
      <c r="E864" s="96">
        <f t="shared" si="136"/>
        <v>5241</v>
      </c>
      <c r="F864" s="96">
        <v>1</v>
      </c>
      <c r="G864" s="107" t="s">
        <v>133</v>
      </c>
      <c r="H864" s="201"/>
      <c r="I864" s="201"/>
    </row>
    <row r="865" spans="1:9" x14ac:dyDescent="0.25">
      <c r="A865" s="94" t="s">
        <v>6</v>
      </c>
      <c r="B865" s="94" t="s">
        <v>6</v>
      </c>
      <c r="C865" s="95" t="s">
        <v>237</v>
      </c>
      <c r="D865" s="96">
        <f t="shared" si="137"/>
        <v>5242</v>
      </c>
      <c r="E865" s="96">
        <f t="shared" si="136"/>
        <v>5242</v>
      </c>
      <c r="F865" s="96">
        <v>1</v>
      </c>
      <c r="G865" s="107" t="s">
        <v>134</v>
      </c>
      <c r="H865" s="201"/>
      <c r="I865" s="201"/>
    </row>
    <row r="866" spans="1:9" x14ac:dyDescent="0.25">
      <c r="A866" s="94" t="s">
        <v>6</v>
      </c>
      <c r="B866" s="94" t="s">
        <v>6</v>
      </c>
      <c r="C866" s="95" t="s">
        <v>237</v>
      </c>
      <c r="D866" s="96">
        <f t="shared" si="137"/>
        <v>5243</v>
      </c>
      <c r="E866" s="96">
        <f t="shared" si="136"/>
        <v>5243</v>
      </c>
      <c r="F866" s="96">
        <v>1</v>
      </c>
      <c r="G866" s="107" t="s">
        <v>135</v>
      </c>
      <c r="H866" s="201"/>
      <c r="I866" s="201"/>
    </row>
    <row r="867" spans="1:9" x14ac:dyDescent="0.25">
      <c r="A867" s="94" t="s">
        <v>6</v>
      </c>
      <c r="B867" s="94" t="s">
        <v>6</v>
      </c>
      <c r="C867" s="95" t="s">
        <v>237</v>
      </c>
      <c r="D867" s="96">
        <f t="shared" si="137"/>
        <v>5244</v>
      </c>
      <c r="E867" s="96">
        <f t="shared" si="136"/>
        <v>5244</v>
      </c>
      <c r="F867" s="96">
        <v>1</v>
      </c>
      <c r="G867" s="107" t="s">
        <v>136</v>
      </c>
      <c r="H867" s="202"/>
      <c r="I867" s="202"/>
    </row>
    <row r="868" spans="1:9" x14ac:dyDescent="0.25">
      <c r="A868" s="94"/>
      <c r="B868" s="94"/>
      <c r="C868" s="95"/>
      <c r="D868" s="96"/>
      <c r="E868" s="96"/>
      <c r="F868" s="96"/>
      <c r="G868" s="97" t="s">
        <v>362</v>
      </c>
      <c r="H868" s="86"/>
      <c r="I868" s="98"/>
    </row>
    <row r="869" spans="1:9" x14ac:dyDescent="0.25">
      <c r="A869" s="94" t="s">
        <v>0</v>
      </c>
      <c r="B869" s="94" t="s">
        <v>0</v>
      </c>
      <c r="C869" s="95" t="s">
        <v>237</v>
      </c>
      <c r="D869" s="96">
        <f>D867+F867</f>
        <v>5245</v>
      </c>
      <c r="E869" s="96">
        <f>D869+F869-1</f>
        <v>5245</v>
      </c>
      <c r="F869" s="96">
        <v>1</v>
      </c>
      <c r="G869" s="107" t="s">
        <v>126</v>
      </c>
      <c r="H869" s="172" t="s">
        <v>118</v>
      </c>
      <c r="I869" s="172" t="s">
        <v>418</v>
      </c>
    </row>
    <row r="870" spans="1:9" x14ac:dyDescent="0.25">
      <c r="A870" s="94" t="s">
        <v>0</v>
      </c>
      <c r="B870" s="94" t="s">
        <v>0</v>
      </c>
      <c r="C870" s="95" t="s">
        <v>237</v>
      </c>
      <c r="D870" s="96">
        <f>D869+F869</f>
        <v>5246</v>
      </c>
      <c r="E870" s="96">
        <f>D870+F870-1</f>
        <v>5246</v>
      </c>
      <c r="F870" s="96">
        <v>1</v>
      </c>
      <c r="G870" s="107" t="s">
        <v>127</v>
      </c>
      <c r="H870" s="172"/>
      <c r="I870" s="172"/>
    </row>
    <row r="871" spans="1:9" x14ac:dyDescent="0.25">
      <c r="A871" s="94" t="s">
        <v>0</v>
      </c>
      <c r="B871" s="94" t="s">
        <v>0</v>
      </c>
      <c r="C871" s="95" t="s">
        <v>237</v>
      </c>
      <c r="D871" s="96">
        <f t="shared" ref="D871:D876" si="138">D870+F870</f>
        <v>5247</v>
      </c>
      <c r="E871" s="96">
        <f t="shared" ref="E871:E883" si="139">D871+F871-1</f>
        <v>5247</v>
      </c>
      <c r="F871" s="96">
        <v>1</v>
      </c>
      <c r="G871" s="126" t="s">
        <v>55</v>
      </c>
      <c r="H871" s="172"/>
      <c r="I871" s="172"/>
    </row>
    <row r="872" spans="1:9" x14ac:dyDescent="0.25">
      <c r="A872" s="94" t="s">
        <v>0</v>
      </c>
      <c r="B872" s="94" t="s">
        <v>0</v>
      </c>
      <c r="C872" s="95" t="s">
        <v>237</v>
      </c>
      <c r="D872" s="96">
        <f t="shared" si="138"/>
        <v>5248</v>
      </c>
      <c r="E872" s="96">
        <f t="shared" si="139"/>
        <v>5248</v>
      </c>
      <c r="F872" s="96">
        <v>1</v>
      </c>
      <c r="G872" s="107" t="s">
        <v>128</v>
      </c>
      <c r="H872" s="172"/>
      <c r="I872" s="172"/>
    </row>
    <row r="873" spans="1:9" x14ac:dyDescent="0.25">
      <c r="A873" s="94" t="s">
        <v>0</v>
      </c>
      <c r="B873" s="94" t="s">
        <v>0</v>
      </c>
      <c r="C873" s="95" t="s">
        <v>237</v>
      </c>
      <c r="D873" s="96">
        <f t="shared" si="138"/>
        <v>5249</v>
      </c>
      <c r="E873" s="96">
        <f t="shared" si="139"/>
        <v>5249</v>
      </c>
      <c r="F873" s="96">
        <v>1</v>
      </c>
      <c r="G873" s="107" t="s">
        <v>129</v>
      </c>
      <c r="H873" s="172"/>
      <c r="I873" s="172"/>
    </row>
    <row r="874" spans="1:9" x14ac:dyDescent="0.25">
      <c r="A874" s="94" t="s">
        <v>0</v>
      </c>
      <c r="B874" s="94" t="s">
        <v>0</v>
      </c>
      <c r="C874" s="95" t="s">
        <v>237</v>
      </c>
      <c r="D874" s="96">
        <f t="shared" si="138"/>
        <v>5250</v>
      </c>
      <c r="E874" s="96">
        <f t="shared" si="139"/>
        <v>5250</v>
      </c>
      <c r="F874" s="96">
        <v>1</v>
      </c>
      <c r="G874" s="107" t="s">
        <v>130</v>
      </c>
      <c r="H874" s="172"/>
      <c r="I874" s="172"/>
    </row>
    <row r="875" spans="1:9" x14ac:dyDescent="0.25">
      <c r="A875" s="94" t="s">
        <v>0</v>
      </c>
      <c r="B875" s="94" t="s">
        <v>0</v>
      </c>
      <c r="C875" s="95" t="s">
        <v>237</v>
      </c>
      <c r="D875" s="96">
        <f t="shared" si="138"/>
        <v>5251</v>
      </c>
      <c r="E875" s="96">
        <f t="shared" si="139"/>
        <v>5251</v>
      </c>
      <c r="F875" s="96">
        <v>1</v>
      </c>
      <c r="G875" s="107" t="s">
        <v>275</v>
      </c>
      <c r="H875" s="172"/>
      <c r="I875" s="172"/>
    </row>
    <row r="876" spans="1:9" x14ac:dyDescent="0.25">
      <c r="A876" s="94" t="s">
        <v>0</v>
      </c>
      <c r="B876" s="94" t="s">
        <v>0</v>
      </c>
      <c r="C876" s="95" t="s">
        <v>97</v>
      </c>
      <c r="D876" s="96">
        <f t="shared" si="138"/>
        <v>5252</v>
      </c>
      <c r="E876" s="96">
        <f t="shared" si="139"/>
        <v>5252</v>
      </c>
      <c r="F876" s="96">
        <v>1</v>
      </c>
      <c r="G876" s="107" t="s">
        <v>310</v>
      </c>
      <c r="H876" s="172"/>
      <c r="I876" s="172"/>
    </row>
    <row r="877" spans="1:9" x14ac:dyDescent="0.25">
      <c r="A877" s="94" t="s">
        <v>0</v>
      </c>
      <c r="B877" s="94" t="s">
        <v>0</v>
      </c>
      <c r="C877" s="95" t="s">
        <v>237</v>
      </c>
      <c r="D877" s="96">
        <f>D876+F876</f>
        <v>5253</v>
      </c>
      <c r="E877" s="96">
        <f t="shared" si="139"/>
        <v>5253</v>
      </c>
      <c r="F877" s="96">
        <v>1</v>
      </c>
      <c r="G877" s="107" t="s">
        <v>131</v>
      </c>
      <c r="H877" s="172"/>
      <c r="I877" s="172"/>
    </row>
    <row r="878" spans="1:9" x14ac:dyDescent="0.25">
      <c r="A878" s="94" t="s">
        <v>0</v>
      </c>
      <c r="B878" s="94" t="s">
        <v>0</v>
      </c>
      <c r="C878" s="95" t="s">
        <v>237</v>
      </c>
      <c r="D878" s="96">
        <f t="shared" ref="D878:D883" si="140">D877+F877</f>
        <v>5254</v>
      </c>
      <c r="E878" s="96">
        <f t="shared" si="139"/>
        <v>5254</v>
      </c>
      <c r="F878" s="96">
        <v>1</v>
      </c>
      <c r="G878" s="107" t="s">
        <v>132</v>
      </c>
      <c r="H878" s="172"/>
      <c r="I878" s="172"/>
    </row>
    <row r="879" spans="1:9" x14ac:dyDescent="0.25">
      <c r="A879" s="94" t="s">
        <v>0</v>
      </c>
      <c r="B879" s="94" t="s">
        <v>0</v>
      </c>
      <c r="C879" s="95" t="s">
        <v>237</v>
      </c>
      <c r="D879" s="96">
        <f t="shared" si="140"/>
        <v>5255</v>
      </c>
      <c r="E879" s="96">
        <f t="shared" si="139"/>
        <v>5255</v>
      </c>
      <c r="F879" s="96">
        <v>1</v>
      </c>
      <c r="G879" s="107" t="s">
        <v>133</v>
      </c>
      <c r="H879" s="172"/>
      <c r="I879" s="172"/>
    </row>
    <row r="880" spans="1:9" x14ac:dyDescent="0.25">
      <c r="A880" s="94" t="s">
        <v>0</v>
      </c>
      <c r="B880" s="94" t="s">
        <v>0</v>
      </c>
      <c r="C880" s="95" t="s">
        <v>237</v>
      </c>
      <c r="D880" s="96">
        <f t="shared" si="140"/>
        <v>5256</v>
      </c>
      <c r="E880" s="96">
        <f t="shared" si="139"/>
        <v>5256</v>
      </c>
      <c r="F880" s="96">
        <v>1</v>
      </c>
      <c r="G880" s="107" t="s">
        <v>134</v>
      </c>
      <c r="H880" s="172"/>
      <c r="I880" s="172"/>
    </row>
    <row r="881" spans="1:9" x14ac:dyDescent="0.25">
      <c r="A881" s="94" t="s">
        <v>0</v>
      </c>
      <c r="B881" s="94" t="s">
        <v>0</v>
      </c>
      <c r="C881" s="95" t="s">
        <v>237</v>
      </c>
      <c r="D881" s="96">
        <f t="shared" si="140"/>
        <v>5257</v>
      </c>
      <c r="E881" s="96">
        <f t="shared" si="139"/>
        <v>5257</v>
      </c>
      <c r="F881" s="96">
        <v>1</v>
      </c>
      <c r="G881" s="107" t="s">
        <v>135</v>
      </c>
      <c r="H881" s="172"/>
      <c r="I881" s="172"/>
    </row>
    <row r="882" spans="1:9" x14ac:dyDescent="0.25">
      <c r="A882" s="94" t="s">
        <v>0</v>
      </c>
      <c r="B882" s="94" t="s">
        <v>0</v>
      </c>
      <c r="C882" s="95" t="s">
        <v>237</v>
      </c>
      <c r="D882" s="96">
        <f t="shared" si="140"/>
        <v>5258</v>
      </c>
      <c r="E882" s="96">
        <f t="shared" si="139"/>
        <v>5258</v>
      </c>
      <c r="F882" s="96">
        <v>1</v>
      </c>
      <c r="G882" s="107" t="s">
        <v>136</v>
      </c>
      <c r="H882" s="172"/>
      <c r="I882" s="172"/>
    </row>
    <row r="883" spans="1:9" x14ac:dyDescent="0.25">
      <c r="A883" s="94" t="s">
        <v>0</v>
      </c>
      <c r="B883" s="94" t="s">
        <v>0</v>
      </c>
      <c r="C883" s="95" t="s">
        <v>237</v>
      </c>
      <c r="D883" s="96">
        <f t="shared" si="140"/>
        <v>5259</v>
      </c>
      <c r="E883" s="96">
        <f t="shared" si="139"/>
        <v>5278</v>
      </c>
      <c r="F883" s="96">
        <v>20</v>
      </c>
      <c r="G883" s="107" t="s">
        <v>55</v>
      </c>
      <c r="H883" s="86"/>
      <c r="I883" s="98"/>
    </row>
    <row r="884" spans="1:9" x14ac:dyDescent="0.25">
      <c r="A884" s="94"/>
      <c r="B884" s="94"/>
      <c r="C884" s="96"/>
      <c r="D884" s="96"/>
      <c r="E884" s="96"/>
      <c r="F884" s="96"/>
      <c r="G884" s="97" t="s">
        <v>419</v>
      </c>
      <c r="H884" s="86"/>
      <c r="I884" s="98"/>
    </row>
    <row r="885" spans="1:9" ht="63.75" x14ac:dyDescent="0.25">
      <c r="A885" s="94" t="s">
        <v>0</v>
      </c>
      <c r="B885" s="94" t="s">
        <v>0</v>
      </c>
      <c r="C885" s="95" t="s">
        <v>98</v>
      </c>
      <c r="D885" s="96">
        <f>D883+F883</f>
        <v>5279</v>
      </c>
      <c r="E885" s="96">
        <f t="shared" ref="E885:E892" si="141">D885+F885-1</f>
        <v>5281</v>
      </c>
      <c r="F885" s="96">
        <v>3</v>
      </c>
      <c r="G885" s="107" t="s">
        <v>24</v>
      </c>
      <c r="H885" s="98" t="s">
        <v>80</v>
      </c>
      <c r="I885" s="81" t="s">
        <v>704</v>
      </c>
    </row>
    <row r="886" spans="1:9" ht="63.75" x14ac:dyDescent="0.25">
      <c r="A886" s="94" t="s">
        <v>0</v>
      </c>
      <c r="B886" s="94" t="s">
        <v>0</v>
      </c>
      <c r="C886" s="95" t="s">
        <v>98</v>
      </c>
      <c r="D886" s="96">
        <f t="shared" ref="D886:D892" si="142">D885+F885</f>
        <v>5282</v>
      </c>
      <c r="E886" s="96">
        <f t="shared" si="141"/>
        <v>5284</v>
      </c>
      <c r="F886" s="96">
        <v>3</v>
      </c>
      <c r="G886" s="107" t="s">
        <v>25</v>
      </c>
      <c r="H886" s="98" t="s">
        <v>80</v>
      </c>
      <c r="I886" s="81" t="s">
        <v>705</v>
      </c>
    </row>
    <row r="887" spans="1:9" ht="89.25" x14ac:dyDescent="0.25">
      <c r="A887" s="94" t="s">
        <v>0</v>
      </c>
      <c r="B887" s="94" t="s">
        <v>0</v>
      </c>
      <c r="C887" s="95" t="s">
        <v>98</v>
      </c>
      <c r="D887" s="96">
        <f t="shared" si="142"/>
        <v>5285</v>
      </c>
      <c r="E887" s="96">
        <f t="shared" si="141"/>
        <v>5287</v>
      </c>
      <c r="F887" s="96">
        <v>3</v>
      </c>
      <c r="G887" s="107" t="s">
        <v>142</v>
      </c>
      <c r="H887" s="98" t="s">
        <v>80</v>
      </c>
      <c r="I887" s="140" t="s">
        <v>420</v>
      </c>
    </row>
    <row r="888" spans="1:9" ht="76.5" x14ac:dyDescent="0.25">
      <c r="A888" s="94" t="s">
        <v>0</v>
      </c>
      <c r="B888" s="94" t="s">
        <v>0</v>
      </c>
      <c r="C888" s="95" t="s">
        <v>98</v>
      </c>
      <c r="D888" s="96">
        <f t="shared" si="142"/>
        <v>5288</v>
      </c>
      <c r="E888" s="96">
        <f t="shared" si="141"/>
        <v>5290</v>
      </c>
      <c r="F888" s="96">
        <v>3</v>
      </c>
      <c r="G888" s="107" t="s">
        <v>143</v>
      </c>
      <c r="H888" s="98" t="s">
        <v>85</v>
      </c>
      <c r="I888" s="81" t="s">
        <v>693</v>
      </c>
    </row>
    <row r="889" spans="1:9" ht="63.75" x14ac:dyDescent="0.25">
      <c r="A889" s="94" t="s">
        <v>0</v>
      </c>
      <c r="B889" s="94" t="s">
        <v>0</v>
      </c>
      <c r="C889" s="95" t="s">
        <v>98</v>
      </c>
      <c r="D889" s="96">
        <f t="shared" si="142"/>
        <v>5291</v>
      </c>
      <c r="E889" s="96">
        <f t="shared" si="141"/>
        <v>5293</v>
      </c>
      <c r="F889" s="96">
        <v>3</v>
      </c>
      <c r="G889" s="107" t="s">
        <v>30</v>
      </c>
      <c r="H889" s="86" t="s">
        <v>531</v>
      </c>
      <c r="I889" s="140" t="s">
        <v>421</v>
      </c>
    </row>
    <row r="890" spans="1:9" ht="89.25" x14ac:dyDescent="0.25">
      <c r="A890" s="94" t="s">
        <v>0</v>
      </c>
      <c r="B890" s="94" t="s">
        <v>0</v>
      </c>
      <c r="C890" s="95" t="s">
        <v>98</v>
      </c>
      <c r="D890" s="96">
        <f t="shared" si="142"/>
        <v>5294</v>
      </c>
      <c r="E890" s="96">
        <f t="shared" si="141"/>
        <v>5296</v>
      </c>
      <c r="F890" s="96">
        <v>3</v>
      </c>
      <c r="G890" s="107" t="s">
        <v>120</v>
      </c>
      <c r="H890" s="86" t="s">
        <v>518</v>
      </c>
      <c r="I890" s="141" t="s">
        <v>422</v>
      </c>
    </row>
    <row r="891" spans="1:9" ht="76.5" x14ac:dyDescent="0.25">
      <c r="A891" s="94" t="s">
        <v>0</v>
      </c>
      <c r="B891" s="94" t="s">
        <v>0</v>
      </c>
      <c r="C891" s="95" t="s">
        <v>394</v>
      </c>
      <c r="D891" s="96">
        <f t="shared" si="142"/>
        <v>5297</v>
      </c>
      <c r="E891" s="96">
        <f t="shared" si="141"/>
        <v>5299</v>
      </c>
      <c r="F891" s="96">
        <v>3</v>
      </c>
      <c r="G891" s="107" t="s">
        <v>124</v>
      </c>
      <c r="H891" s="85" t="s">
        <v>532</v>
      </c>
      <c r="I891" s="141" t="s">
        <v>423</v>
      </c>
    </row>
    <row r="892" spans="1:9" x14ac:dyDescent="0.25">
      <c r="A892" s="94"/>
      <c r="B892" s="94"/>
      <c r="C892" s="95"/>
      <c r="D892" s="96">
        <f t="shared" si="142"/>
        <v>5300</v>
      </c>
      <c r="E892" s="96">
        <f t="shared" si="141"/>
        <v>5313</v>
      </c>
      <c r="F892" s="96">
        <v>14</v>
      </c>
      <c r="G892" s="107" t="s">
        <v>55</v>
      </c>
      <c r="H892" s="86"/>
      <c r="I892" s="141"/>
    </row>
    <row r="893" spans="1:9" x14ac:dyDescent="0.25">
      <c r="A893" s="94"/>
      <c r="B893" s="94"/>
      <c r="C893" s="95"/>
      <c r="D893" s="96"/>
      <c r="E893" s="96"/>
      <c r="F893" s="96"/>
      <c r="G893" s="97" t="s">
        <v>276</v>
      </c>
      <c r="H893" s="86"/>
      <c r="I893" s="141"/>
    </row>
    <row r="894" spans="1:9" x14ac:dyDescent="0.25">
      <c r="A894" s="94" t="s">
        <v>6</v>
      </c>
      <c r="B894" s="94" t="s">
        <v>6</v>
      </c>
      <c r="C894" s="95" t="s">
        <v>98</v>
      </c>
      <c r="D894" s="96">
        <f>D892+F892</f>
        <v>5314</v>
      </c>
      <c r="E894" s="96">
        <f>D894+F894-1</f>
        <v>5316</v>
      </c>
      <c r="F894" s="96">
        <v>3</v>
      </c>
      <c r="G894" s="107" t="s">
        <v>258</v>
      </c>
      <c r="H894" s="179" t="s">
        <v>531</v>
      </c>
      <c r="I894" s="186" t="s">
        <v>260</v>
      </c>
    </row>
    <row r="895" spans="1:9" x14ac:dyDescent="0.25">
      <c r="A895" s="94" t="s">
        <v>6</v>
      </c>
      <c r="B895" s="94" t="s">
        <v>6</v>
      </c>
      <c r="C895" s="95" t="s">
        <v>98</v>
      </c>
      <c r="D895" s="96">
        <f>D894+F894</f>
        <v>5317</v>
      </c>
      <c r="E895" s="96">
        <f>D895+F895-1</f>
        <v>5319</v>
      </c>
      <c r="F895" s="96">
        <v>3</v>
      </c>
      <c r="G895" s="107" t="s">
        <v>259</v>
      </c>
      <c r="H895" s="185"/>
      <c r="I895" s="187"/>
    </row>
    <row r="896" spans="1:9" x14ac:dyDescent="0.25">
      <c r="A896" s="109"/>
      <c r="B896" s="109"/>
      <c r="C896" s="110"/>
      <c r="D896" s="111"/>
      <c r="E896" s="111"/>
      <c r="F896" s="111"/>
      <c r="G896" s="97" t="s">
        <v>454</v>
      </c>
      <c r="H896" s="113"/>
      <c r="I896" s="114"/>
    </row>
    <row r="897" spans="1:9" ht="63.75" x14ac:dyDescent="0.2">
      <c r="A897" s="99" t="s">
        <v>0</v>
      </c>
      <c r="B897" s="99" t="s">
        <v>0</v>
      </c>
      <c r="C897" s="95" t="s">
        <v>98</v>
      </c>
      <c r="D897" s="145">
        <f>D895+F895</f>
        <v>5320</v>
      </c>
      <c r="E897" s="146">
        <f t="shared" ref="E897:E912" si="143">D897+F897-1</f>
        <v>5323</v>
      </c>
      <c r="F897" s="145">
        <v>4</v>
      </c>
      <c r="G897" s="102" t="s">
        <v>455</v>
      </c>
      <c r="H897" s="155" t="s">
        <v>709</v>
      </c>
      <c r="I897" s="105" t="s">
        <v>563</v>
      </c>
    </row>
    <row r="898" spans="1:9" ht="76.5" x14ac:dyDescent="0.2">
      <c r="A898" s="99" t="s">
        <v>0</v>
      </c>
      <c r="B898" s="99" t="s">
        <v>0</v>
      </c>
      <c r="C898" s="95" t="s">
        <v>98</v>
      </c>
      <c r="D898" s="145">
        <f t="shared" ref="D898:D899" si="144">D897+F897</f>
        <v>5324</v>
      </c>
      <c r="E898" s="146">
        <f t="shared" si="143"/>
        <v>5324</v>
      </c>
      <c r="F898" s="145">
        <v>1</v>
      </c>
      <c r="G898" s="102" t="s">
        <v>456</v>
      </c>
      <c r="H898" s="103" t="s">
        <v>443</v>
      </c>
      <c r="I898" s="98" t="s">
        <v>582</v>
      </c>
    </row>
    <row r="899" spans="1:9" ht="63.75" x14ac:dyDescent="0.2">
      <c r="A899" s="99" t="s">
        <v>0</v>
      </c>
      <c r="B899" s="99" t="s">
        <v>0</v>
      </c>
      <c r="C899" s="95" t="s">
        <v>98</v>
      </c>
      <c r="D899" s="145">
        <f t="shared" si="144"/>
        <v>5325</v>
      </c>
      <c r="E899" s="146">
        <f t="shared" si="143"/>
        <v>5327</v>
      </c>
      <c r="F899" s="145">
        <v>3</v>
      </c>
      <c r="G899" s="102" t="s">
        <v>457</v>
      </c>
      <c r="H899" s="103" t="s">
        <v>85</v>
      </c>
      <c r="I899" s="98" t="s">
        <v>564</v>
      </c>
    </row>
    <row r="900" spans="1:9" ht="63.75" x14ac:dyDescent="0.2">
      <c r="A900" s="99" t="s">
        <v>0</v>
      </c>
      <c r="B900" s="99" t="s">
        <v>0</v>
      </c>
      <c r="C900" s="95" t="s">
        <v>98</v>
      </c>
      <c r="D900" s="145">
        <f>D899+F899</f>
        <v>5328</v>
      </c>
      <c r="E900" s="146">
        <f t="shared" si="143"/>
        <v>5331</v>
      </c>
      <c r="F900" s="145">
        <v>4</v>
      </c>
      <c r="G900" s="102" t="s">
        <v>458</v>
      </c>
      <c r="H900" s="155" t="s">
        <v>709</v>
      </c>
      <c r="I900" s="98" t="s">
        <v>565</v>
      </c>
    </row>
    <row r="901" spans="1:9" ht="76.5" x14ac:dyDescent="0.2">
      <c r="A901" s="99" t="s">
        <v>0</v>
      </c>
      <c r="B901" s="99" t="s">
        <v>0</v>
      </c>
      <c r="C901" s="95" t="s">
        <v>98</v>
      </c>
      <c r="D901" s="145">
        <f t="shared" ref="D901:D910" si="145">D900+F900</f>
        <v>5332</v>
      </c>
      <c r="E901" s="146">
        <f t="shared" si="143"/>
        <v>5332</v>
      </c>
      <c r="F901" s="145">
        <v>1</v>
      </c>
      <c r="G901" s="102" t="s">
        <v>459</v>
      </c>
      <c r="H901" s="103" t="s">
        <v>443</v>
      </c>
      <c r="I901" s="98" t="s">
        <v>598</v>
      </c>
    </row>
    <row r="902" spans="1:9" ht="63.75" x14ac:dyDescent="0.2">
      <c r="A902" s="99" t="s">
        <v>0</v>
      </c>
      <c r="B902" s="99" t="s">
        <v>0</v>
      </c>
      <c r="C902" s="95" t="s">
        <v>98</v>
      </c>
      <c r="D902" s="145">
        <f>D901+F901</f>
        <v>5333</v>
      </c>
      <c r="E902" s="146">
        <f t="shared" si="143"/>
        <v>5335</v>
      </c>
      <c r="F902" s="145">
        <v>3</v>
      </c>
      <c r="G902" s="102" t="s">
        <v>460</v>
      </c>
      <c r="H902" s="103" t="s">
        <v>85</v>
      </c>
      <c r="I902" s="98" t="s">
        <v>566</v>
      </c>
    </row>
    <row r="903" spans="1:9" ht="63.75" x14ac:dyDescent="0.2">
      <c r="A903" s="99" t="s">
        <v>0</v>
      </c>
      <c r="B903" s="99" t="s">
        <v>0</v>
      </c>
      <c r="C903" s="95" t="s">
        <v>98</v>
      </c>
      <c r="D903" s="145">
        <f>D902+F902</f>
        <v>5336</v>
      </c>
      <c r="E903" s="146">
        <f t="shared" si="143"/>
        <v>5339</v>
      </c>
      <c r="F903" s="145">
        <v>4</v>
      </c>
      <c r="G903" s="102" t="s">
        <v>461</v>
      </c>
      <c r="H903" s="155" t="s">
        <v>709</v>
      </c>
      <c r="I903" s="98" t="s">
        <v>567</v>
      </c>
    </row>
    <row r="904" spans="1:9" ht="76.5" x14ac:dyDescent="0.2">
      <c r="A904" s="99" t="s">
        <v>0</v>
      </c>
      <c r="B904" s="99" t="s">
        <v>0</v>
      </c>
      <c r="C904" s="95" t="s">
        <v>98</v>
      </c>
      <c r="D904" s="145">
        <f t="shared" si="145"/>
        <v>5340</v>
      </c>
      <c r="E904" s="146">
        <f t="shared" si="143"/>
        <v>5340</v>
      </c>
      <c r="F904" s="145">
        <v>1</v>
      </c>
      <c r="G904" s="102" t="s">
        <v>462</v>
      </c>
      <c r="H904" s="103" t="s">
        <v>443</v>
      </c>
      <c r="I904" s="98" t="s">
        <v>604</v>
      </c>
    </row>
    <row r="905" spans="1:9" ht="63.75" x14ac:dyDescent="0.2">
      <c r="A905" s="99" t="s">
        <v>0</v>
      </c>
      <c r="B905" s="99" t="s">
        <v>0</v>
      </c>
      <c r="C905" s="95" t="s">
        <v>98</v>
      </c>
      <c r="D905" s="145">
        <f>D904+F904</f>
        <v>5341</v>
      </c>
      <c r="E905" s="146">
        <f t="shared" si="143"/>
        <v>5343</v>
      </c>
      <c r="F905" s="145">
        <v>3</v>
      </c>
      <c r="G905" s="102" t="s">
        <v>463</v>
      </c>
      <c r="H905" s="103" t="s">
        <v>85</v>
      </c>
      <c r="I905" s="98" t="s">
        <v>568</v>
      </c>
    </row>
    <row r="906" spans="1:9" ht="51" x14ac:dyDescent="0.2">
      <c r="A906" s="99" t="s">
        <v>0</v>
      </c>
      <c r="B906" s="99" t="s">
        <v>0</v>
      </c>
      <c r="C906" s="95" t="s">
        <v>98</v>
      </c>
      <c r="D906" s="145">
        <f>D905+F905</f>
        <v>5344</v>
      </c>
      <c r="E906" s="146">
        <f t="shared" si="143"/>
        <v>5347</v>
      </c>
      <c r="F906" s="145">
        <v>4</v>
      </c>
      <c r="G906" s="102" t="s">
        <v>464</v>
      </c>
      <c r="H906" s="155" t="s">
        <v>709</v>
      </c>
      <c r="I906" s="98" t="s">
        <v>569</v>
      </c>
    </row>
    <row r="907" spans="1:9" ht="89.25" x14ac:dyDescent="0.2">
      <c r="A907" s="99" t="s">
        <v>0</v>
      </c>
      <c r="B907" s="99" t="s">
        <v>0</v>
      </c>
      <c r="C907" s="95" t="s">
        <v>98</v>
      </c>
      <c r="D907" s="145">
        <f t="shared" si="145"/>
        <v>5348</v>
      </c>
      <c r="E907" s="146">
        <f t="shared" si="143"/>
        <v>5348</v>
      </c>
      <c r="F907" s="145">
        <v>1</v>
      </c>
      <c r="G907" s="102" t="s">
        <v>465</v>
      </c>
      <c r="H907" s="103" t="s">
        <v>443</v>
      </c>
      <c r="I907" s="98" t="s">
        <v>605</v>
      </c>
    </row>
    <row r="908" spans="1:9" ht="63.75" x14ac:dyDescent="0.2">
      <c r="A908" s="99" t="s">
        <v>0</v>
      </c>
      <c r="B908" s="99" t="s">
        <v>0</v>
      </c>
      <c r="C908" s="95" t="s">
        <v>98</v>
      </c>
      <c r="D908" s="145">
        <f>D907+F907</f>
        <v>5349</v>
      </c>
      <c r="E908" s="146">
        <f t="shared" si="143"/>
        <v>5351</v>
      </c>
      <c r="F908" s="145">
        <v>3</v>
      </c>
      <c r="G908" s="102" t="s">
        <v>466</v>
      </c>
      <c r="H908" s="103" t="s">
        <v>85</v>
      </c>
      <c r="I908" s="98" t="s">
        <v>570</v>
      </c>
    </row>
    <row r="909" spans="1:9" ht="63.75" x14ac:dyDescent="0.2">
      <c r="A909" s="99" t="s">
        <v>0</v>
      </c>
      <c r="B909" s="99" t="s">
        <v>0</v>
      </c>
      <c r="C909" s="95" t="s">
        <v>98</v>
      </c>
      <c r="D909" s="145">
        <f>D908+F908</f>
        <v>5352</v>
      </c>
      <c r="E909" s="146">
        <f t="shared" si="143"/>
        <v>5355</v>
      </c>
      <c r="F909" s="145">
        <v>4</v>
      </c>
      <c r="G909" s="102" t="s">
        <v>467</v>
      </c>
      <c r="H909" s="155" t="s">
        <v>709</v>
      </c>
      <c r="I909" s="98" t="s">
        <v>571</v>
      </c>
    </row>
    <row r="910" spans="1:9" ht="102" x14ac:dyDescent="0.2">
      <c r="A910" s="99" t="s">
        <v>0</v>
      </c>
      <c r="B910" s="99" t="s">
        <v>0</v>
      </c>
      <c r="C910" s="95" t="s">
        <v>98</v>
      </c>
      <c r="D910" s="145">
        <f t="shared" si="145"/>
        <v>5356</v>
      </c>
      <c r="E910" s="146">
        <f t="shared" si="143"/>
        <v>5356</v>
      </c>
      <c r="F910" s="145">
        <v>1</v>
      </c>
      <c r="G910" s="102" t="s">
        <v>468</v>
      </c>
      <c r="H910" s="103" t="s">
        <v>443</v>
      </c>
      <c r="I910" s="98" t="s">
        <v>606</v>
      </c>
    </row>
    <row r="911" spans="1:9" ht="76.5" x14ac:dyDescent="0.2">
      <c r="A911" s="99" t="s">
        <v>0</v>
      </c>
      <c r="B911" s="99" t="s">
        <v>0</v>
      </c>
      <c r="C911" s="95" t="s">
        <v>98</v>
      </c>
      <c r="D911" s="145">
        <f>D910+F910</f>
        <v>5357</v>
      </c>
      <c r="E911" s="146">
        <f t="shared" si="143"/>
        <v>5359</v>
      </c>
      <c r="F911" s="145">
        <v>3</v>
      </c>
      <c r="G911" s="102" t="s">
        <v>469</v>
      </c>
      <c r="H911" s="103" t="s">
        <v>85</v>
      </c>
      <c r="I911" s="98" t="s">
        <v>572</v>
      </c>
    </row>
    <row r="912" spans="1:9" x14ac:dyDescent="0.2">
      <c r="A912" s="99"/>
      <c r="B912" s="99"/>
      <c r="C912" s="95" t="s">
        <v>98</v>
      </c>
      <c r="D912" s="145">
        <f>D911+F911</f>
        <v>5360</v>
      </c>
      <c r="E912" s="146">
        <f t="shared" si="143"/>
        <v>5379</v>
      </c>
      <c r="F912" s="145">
        <v>20</v>
      </c>
      <c r="G912" s="102" t="s">
        <v>55</v>
      </c>
      <c r="H912" s="117"/>
      <c r="I912" s="105"/>
    </row>
    <row r="913" spans="1:9" x14ac:dyDescent="0.2">
      <c r="A913" s="99"/>
      <c r="B913" s="99"/>
      <c r="C913" s="95" t="s">
        <v>98</v>
      </c>
      <c r="D913" s="145"/>
      <c r="E913" s="145"/>
      <c r="F913" s="145"/>
      <c r="G913" s="97" t="s">
        <v>470</v>
      </c>
      <c r="H913" s="117"/>
      <c r="I913" s="105"/>
    </row>
    <row r="914" spans="1:9" ht="51" x14ac:dyDescent="0.2">
      <c r="A914" s="99" t="s">
        <v>0</v>
      </c>
      <c r="B914" s="99" t="s">
        <v>0</v>
      </c>
      <c r="C914" s="95" t="s">
        <v>98</v>
      </c>
      <c r="D914" s="145">
        <f>D912+F912</f>
        <v>5380</v>
      </c>
      <c r="E914" s="146">
        <f t="shared" ref="E914:E920" si="146">D914+F914-1</f>
        <v>5383</v>
      </c>
      <c r="F914" s="145">
        <v>4</v>
      </c>
      <c r="G914" s="102" t="s">
        <v>167</v>
      </c>
      <c r="H914" s="155" t="s">
        <v>709</v>
      </c>
      <c r="I914" s="98" t="s">
        <v>573</v>
      </c>
    </row>
    <row r="915" spans="1:9" ht="76.5" x14ac:dyDescent="0.2">
      <c r="A915" s="99" t="s">
        <v>0</v>
      </c>
      <c r="B915" s="99" t="s">
        <v>0</v>
      </c>
      <c r="C915" s="95" t="s">
        <v>98</v>
      </c>
      <c r="D915" s="145">
        <f t="shared" ref="D915" si="147">D914+F914</f>
        <v>5384</v>
      </c>
      <c r="E915" s="146">
        <f t="shared" si="146"/>
        <v>5384</v>
      </c>
      <c r="F915" s="145">
        <v>1</v>
      </c>
      <c r="G915" s="102" t="s">
        <v>471</v>
      </c>
      <c r="H915" s="103" t="s">
        <v>443</v>
      </c>
      <c r="I915" s="98" t="s">
        <v>607</v>
      </c>
    </row>
    <row r="916" spans="1:9" ht="63.75" x14ac:dyDescent="0.2">
      <c r="A916" s="99" t="s">
        <v>0</v>
      </c>
      <c r="B916" s="99" t="s">
        <v>0</v>
      </c>
      <c r="C916" s="95" t="s">
        <v>98</v>
      </c>
      <c r="D916" s="145">
        <f>D915+F915</f>
        <v>5385</v>
      </c>
      <c r="E916" s="146">
        <f t="shared" si="146"/>
        <v>5387</v>
      </c>
      <c r="F916" s="145">
        <v>3</v>
      </c>
      <c r="G916" s="102" t="s">
        <v>183</v>
      </c>
      <c r="H916" s="103" t="s">
        <v>85</v>
      </c>
      <c r="I916" s="98" t="s">
        <v>574</v>
      </c>
    </row>
    <row r="917" spans="1:9" ht="51" x14ac:dyDescent="0.2">
      <c r="A917" s="99" t="s">
        <v>0</v>
      </c>
      <c r="B917" s="99" t="s">
        <v>0</v>
      </c>
      <c r="C917" s="95" t="s">
        <v>98</v>
      </c>
      <c r="D917" s="145">
        <f>D916+F916</f>
        <v>5388</v>
      </c>
      <c r="E917" s="146">
        <f t="shared" si="146"/>
        <v>5391</v>
      </c>
      <c r="F917" s="145">
        <v>4</v>
      </c>
      <c r="G917" s="102" t="s">
        <v>472</v>
      </c>
      <c r="H917" s="155" t="s">
        <v>709</v>
      </c>
      <c r="I917" s="98" t="s">
        <v>615</v>
      </c>
    </row>
    <row r="918" spans="1:9" ht="76.5" x14ac:dyDescent="0.2">
      <c r="A918" s="99" t="s">
        <v>0</v>
      </c>
      <c r="B918" s="99" t="s">
        <v>0</v>
      </c>
      <c r="C918" s="95" t="s">
        <v>98</v>
      </c>
      <c r="D918" s="145">
        <f t="shared" ref="D918" si="148">D917+F917</f>
        <v>5392</v>
      </c>
      <c r="E918" s="146">
        <f t="shared" si="146"/>
        <v>5392</v>
      </c>
      <c r="F918" s="145">
        <v>1</v>
      </c>
      <c r="G918" s="102" t="s">
        <v>473</v>
      </c>
      <c r="H918" s="103" t="s">
        <v>443</v>
      </c>
      <c r="I918" s="98" t="s">
        <v>608</v>
      </c>
    </row>
    <row r="919" spans="1:9" ht="63.75" x14ac:dyDescent="0.2">
      <c r="A919" s="99" t="s">
        <v>0</v>
      </c>
      <c r="B919" s="99" t="s">
        <v>0</v>
      </c>
      <c r="C919" s="95" t="s">
        <v>98</v>
      </c>
      <c r="D919" s="145">
        <f>D918+F918</f>
        <v>5393</v>
      </c>
      <c r="E919" s="146">
        <f t="shared" si="146"/>
        <v>5395</v>
      </c>
      <c r="F919" s="145">
        <v>3</v>
      </c>
      <c r="G919" s="102" t="s">
        <v>474</v>
      </c>
      <c r="H919" s="103" t="s">
        <v>85</v>
      </c>
      <c r="I919" s="98" t="s">
        <v>575</v>
      </c>
    </row>
    <row r="920" spans="1:9" x14ac:dyDescent="0.2">
      <c r="A920" s="99"/>
      <c r="B920" s="99"/>
      <c r="C920" s="99"/>
      <c r="D920" s="145">
        <f>D919+F919</f>
        <v>5396</v>
      </c>
      <c r="E920" s="146">
        <f t="shared" si="146"/>
        <v>5415</v>
      </c>
      <c r="F920" s="145">
        <v>20</v>
      </c>
      <c r="G920" s="102" t="s">
        <v>55</v>
      </c>
      <c r="H920" s="119"/>
      <c r="I920" s="98"/>
    </row>
    <row r="921" spans="1:9" x14ac:dyDescent="0.25">
      <c r="A921" s="94"/>
      <c r="B921" s="94"/>
      <c r="C921" s="95"/>
      <c r="D921" s="116"/>
      <c r="E921" s="147"/>
      <c r="F921" s="96"/>
      <c r="G921" s="97" t="s">
        <v>424</v>
      </c>
      <c r="H921" s="86"/>
      <c r="I921" s="98"/>
    </row>
    <row r="922" spans="1:9" ht="25.5" x14ac:dyDescent="0.25">
      <c r="A922" s="94" t="s">
        <v>0</v>
      </c>
      <c r="B922" s="94" t="s">
        <v>0</v>
      </c>
      <c r="C922" s="95" t="s">
        <v>394</v>
      </c>
      <c r="D922" s="101">
        <f>D920+F920</f>
        <v>5416</v>
      </c>
      <c r="E922" s="100">
        <f>D922+F922-1</f>
        <v>5417</v>
      </c>
      <c r="F922" s="94">
        <v>2</v>
      </c>
      <c r="G922" s="126" t="s">
        <v>425</v>
      </c>
      <c r="H922" s="86" t="s">
        <v>92</v>
      </c>
      <c r="I922" s="98" t="s">
        <v>159</v>
      </c>
    </row>
    <row r="923" spans="1:9" ht="63.75" x14ac:dyDescent="0.25">
      <c r="A923" s="94" t="s">
        <v>0</v>
      </c>
      <c r="B923" s="94" t="s">
        <v>0</v>
      </c>
      <c r="C923" s="95" t="s">
        <v>98</v>
      </c>
      <c r="D923" s="96">
        <f t="shared" ref="D923:D928" si="149">D922+F922</f>
        <v>5418</v>
      </c>
      <c r="E923" s="96">
        <f t="shared" ref="E923:E930" si="150">D923+F923-1</f>
        <v>5418</v>
      </c>
      <c r="F923" s="96">
        <v>1</v>
      </c>
      <c r="G923" s="107" t="s">
        <v>26</v>
      </c>
      <c r="H923" s="86" t="s">
        <v>125</v>
      </c>
      <c r="I923" s="98" t="s">
        <v>410</v>
      </c>
    </row>
    <row r="924" spans="1:9" ht="38.25" x14ac:dyDescent="0.25">
      <c r="A924" s="94" t="s">
        <v>0</v>
      </c>
      <c r="B924" s="94" t="s">
        <v>0</v>
      </c>
      <c r="C924" s="95" t="s">
        <v>98</v>
      </c>
      <c r="D924" s="96">
        <f t="shared" si="149"/>
        <v>5419</v>
      </c>
      <c r="E924" s="96">
        <f t="shared" si="150"/>
        <v>5419</v>
      </c>
      <c r="F924" s="96">
        <v>1</v>
      </c>
      <c r="G924" s="107" t="s">
        <v>27</v>
      </c>
      <c r="H924" s="86" t="s">
        <v>81</v>
      </c>
      <c r="I924" s="98" t="s">
        <v>263</v>
      </c>
    </row>
    <row r="925" spans="1:9" ht="38.25" x14ac:dyDescent="0.25">
      <c r="A925" s="94" t="s">
        <v>6</v>
      </c>
      <c r="B925" s="94" t="s">
        <v>6</v>
      </c>
      <c r="C925" s="95" t="s">
        <v>99</v>
      </c>
      <c r="D925" s="96">
        <f t="shared" si="149"/>
        <v>5420</v>
      </c>
      <c r="E925" s="96">
        <f t="shared" si="150"/>
        <v>5420</v>
      </c>
      <c r="F925" s="96">
        <v>1</v>
      </c>
      <c r="G925" s="107" t="s">
        <v>122</v>
      </c>
      <c r="H925" s="86" t="s">
        <v>261</v>
      </c>
      <c r="I925" s="98" t="s">
        <v>262</v>
      </c>
    </row>
    <row r="926" spans="1:9" ht="51" x14ac:dyDescent="0.25">
      <c r="A926" s="94" t="s">
        <v>0</v>
      </c>
      <c r="B926" s="94" t="s">
        <v>0</v>
      </c>
      <c r="C926" s="95" t="s">
        <v>98</v>
      </c>
      <c r="D926" s="96">
        <f t="shared" si="149"/>
        <v>5421</v>
      </c>
      <c r="E926" s="96">
        <f t="shared" si="150"/>
        <v>5421</v>
      </c>
      <c r="F926" s="96">
        <v>1</v>
      </c>
      <c r="G926" s="107" t="s">
        <v>28</v>
      </c>
      <c r="H926" s="86" t="s">
        <v>82</v>
      </c>
      <c r="I926" s="98" t="s">
        <v>264</v>
      </c>
    </row>
    <row r="927" spans="1:9" ht="76.5" x14ac:dyDescent="0.25">
      <c r="A927" s="94" t="s">
        <v>0</v>
      </c>
      <c r="B927" s="94" t="s">
        <v>0</v>
      </c>
      <c r="C927" s="95" t="s">
        <v>98</v>
      </c>
      <c r="D927" s="96">
        <f t="shared" si="149"/>
        <v>5422</v>
      </c>
      <c r="E927" s="96">
        <f t="shared" si="150"/>
        <v>5422</v>
      </c>
      <c r="F927" s="96">
        <v>1</v>
      </c>
      <c r="G927" s="107" t="s">
        <v>32</v>
      </c>
      <c r="H927" s="86" t="s">
        <v>79</v>
      </c>
      <c r="I927" s="98" t="s">
        <v>367</v>
      </c>
    </row>
    <row r="928" spans="1:9" ht="63.75" x14ac:dyDescent="0.25">
      <c r="A928" s="94" t="s">
        <v>0</v>
      </c>
      <c r="B928" s="94" t="s">
        <v>0</v>
      </c>
      <c r="C928" s="95" t="s">
        <v>98</v>
      </c>
      <c r="D928" s="96">
        <f t="shared" si="149"/>
        <v>5423</v>
      </c>
      <c r="E928" s="96">
        <f t="shared" si="150"/>
        <v>5423</v>
      </c>
      <c r="F928" s="96">
        <v>1</v>
      </c>
      <c r="G928" s="107" t="s">
        <v>29</v>
      </c>
      <c r="H928" s="86" t="s">
        <v>78</v>
      </c>
      <c r="I928" s="98" t="s">
        <v>328</v>
      </c>
    </row>
    <row r="929" spans="1:9" ht="38.25" x14ac:dyDescent="0.25">
      <c r="A929" s="94" t="s">
        <v>6</v>
      </c>
      <c r="B929" s="94" t="s">
        <v>6</v>
      </c>
      <c r="C929" s="95" t="s">
        <v>99</v>
      </c>
      <c r="D929" s="96">
        <f>D928+F928</f>
        <v>5424</v>
      </c>
      <c r="E929" s="96">
        <f t="shared" si="150"/>
        <v>5424</v>
      </c>
      <c r="F929" s="96">
        <v>1</v>
      </c>
      <c r="G929" s="107" t="s">
        <v>119</v>
      </c>
      <c r="H929" s="134" t="s">
        <v>408</v>
      </c>
      <c r="I929" s="98" t="s">
        <v>409</v>
      </c>
    </row>
    <row r="930" spans="1:9" x14ac:dyDescent="0.25">
      <c r="A930" s="94"/>
      <c r="B930" s="94"/>
      <c r="C930" s="142"/>
      <c r="D930" s="96">
        <f>D929+F929</f>
        <v>5425</v>
      </c>
      <c r="E930" s="96">
        <f t="shared" si="150"/>
        <v>5434</v>
      </c>
      <c r="F930" s="101">
        <v>10</v>
      </c>
      <c r="G930" s="143" t="s">
        <v>55</v>
      </c>
      <c r="H930" s="86"/>
      <c r="I930" s="98"/>
    </row>
    <row r="931" spans="1:9" x14ac:dyDescent="0.25">
      <c r="A931" s="94"/>
      <c r="B931" s="94"/>
      <c r="C931" s="142"/>
      <c r="D931" s="96"/>
      <c r="E931" s="96"/>
      <c r="F931" s="101"/>
      <c r="G931" s="97" t="s">
        <v>158</v>
      </c>
      <c r="H931" s="86"/>
      <c r="I931" s="98"/>
    </row>
    <row r="932" spans="1:9" ht="89.25" x14ac:dyDescent="0.25">
      <c r="A932" s="94" t="s">
        <v>6</v>
      </c>
      <c r="B932" s="94" t="s">
        <v>6</v>
      </c>
      <c r="C932" s="142" t="s">
        <v>99</v>
      </c>
      <c r="D932" s="96">
        <f>D930+F930</f>
        <v>5435</v>
      </c>
      <c r="E932" s="96">
        <f>D932+F932-1</f>
        <v>5435</v>
      </c>
      <c r="F932" s="101">
        <v>1</v>
      </c>
      <c r="G932" s="126" t="s">
        <v>368</v>
      </c>
      <c r="H932" s="141" t="s">
        <v>118</v>
      </c>
      <c r="I932" s="98" t="s">
        <v>369</v>
      </c>
    </row>
    <row r="933" spans="1:9" ht="63.75" x14ac:dyDescent="0.25">
      <c r="A933" s="94" t="s">
        <v>6</v>
      </c>
      <c r="B933" s="94" t="s">
        <v>6</v>
      </c>
      <c r="C933" s="142" t="s">
        <v>99</v>
      </c>
      <c r="D933" s="96">
        <f>D932+F932</f>
        <v>5436</v>
      </c>
      <c r="E933" s="96">
        <f>D933+F933-1</f>
        <v>5436</v>
      </c>
      <c r="F933" s="101">
        <v>1</v>
      </c>
      <c r="G933" s="143" t="s">
        <v>116</v>
      </c>
      <c r="H933" s="141" t="s">
        <v>118</v>
      </c>
      <c r="I933" s="98" t="s">
        <v>162</v>
      </c>
    </row>
    <row r="934" spans="1:9" ht="63.75" x14ac:dyDescent="0.25">
      <c r="A934" s="94" t="s">
        <v>6</v>
      </c>
      <c r="B934" s="94" t="s">
        <v>6</v>
      </c>
      <c r="C934" s="142" t="s">
        <v>99</v>
      </c>
      <c r="D934" s="96">
        <f>D933+F933</f>
        <v>5437</v>
      </c>
      <c r="E934" s="96">
        <f>D934+F934-1</f>
        <v>5437</v>
      </c>
      <c r="F934" s="101">
        <v>1</v>
      </c>
      <c r="G934" s="143" t="s">
        <v>117</v>
      </c>
      <c r="H934" s="141" t="s">
        <v>118</v>
      </c>
      <c r="I934" s="98" t="s">
        <v>265</v>
      </c>
    </row>
    <row r="935" spans="1:9" x14ac:dyDescent="0.25">
      <c r="A935" s="94"/>
      <c r="B935" s="94"/>
      <c r="C935" s="142"/>
      <c r="D935" s="96">
        <f>D934+F934</f>
        <v>5438</v>
      </c>
      <c r="E935" s="96">
        <f>D935+F935-1</f>
        <v>5447</v>
      </c>
      <c r="F935" s="101">
        <v>10</v>
      </c>
      <c r="G935" s="143" t="s">
        <v>55</v>
      </c>
      <c r="H935" s="141"/>
      <c r="I935" s="98"/>
    </row>
    <row r="936" spans="1:9" x14ac:dyDescent="0.25">
      <c r="A936" s="94"/>
      <c r="B936" s="94"/>
      <c r="C936" s="95"/>
      <c r="D936" s="96"/>
      <c r="E936" s="96"/>
      <c r="F936" s="96"/>
      <c r="G936" s="97" t="s">
        <v>36</v>
      </c>
      <c r="H936" s="86"/>
      <c r="I936" s="98"/>
    </row>
    <row r="937" spans="1:9" ht="25.5" x14ac:dyDescent="0.25">
      <c r="A937" s="94" t="s">
        <v>0</v>
      </c>
      <c r="B937" s="94" t="s">
        <v>0</v>
      </c>
      <c r="C937" s="96" t="s">
        <v>96</v>
      </c>
      <c r="D937" s="96">
        <f>D935+F935</f>
        <v>5448</v>
      </c>
      <c r="E937" s="96">
        <f t="shared" ref="E937:E947" si="151">D937+F937-1</f>
        <v>5451</v>
      </c>
      <c r="F937" s="96">
        <v>4</v>
      </c>
      <c r="G937" s="107" t="s">
        <v>34</v>
      </c>
      <c r="H937" s="86" t="s">
        <v>88</v>
      </c>
      <c r="I937" s="172" t="s">
        <v>87</v>
      </c>
    </row>
    <row r="938" spans="1:9" ht="51" x14ac:dyDescent="0.25">
      <c r="A938" s="94" t="s">
        <v>0</v>
      </c>
      <c r="B938" s="94" t="s">
        <v>0</v>
      </c>
      <c r="C938" s="96" t="s">
        <v>96</v>
      </c>
      <c r="D938" s="96">
        <f t="shared" ref="D938:D943" si="152">D937+F937</f>
        <v>5452</v>
      </c>
      <c r="E938" s="96">
        <f t="shared" si="151"/>
        <v>5453</v>
      </c>
      <c r="F938" s="96">
        <v>2</v>
      </c>
      <c r="G938" s="107" t="s">
        <v>33</v>
      </c>
      <c r="H938" s="86" t="s">
        <v>86</v>
      </c>
      <c r="I938" s="172"/>
    </row>
    <row r="939" spans="1:9" ht="25.5" x14ac:dyDescent="0.25">
      <c r="A939" s="94" t="s">
        <v>0</v>
      </c>
      <c r="B939" s="94" t="s">
        <v>0</v>
      </c>
      <c r="C939" s="96" t="s">
        <v>96</v>
      </c>
      <c r="D939" s="96">
        <f t="shared" si="152"/>
        <v>5454</v>
      </c>
      <c r="E939" s="96">
        <f t="shared" si="151"/>
        <v>5456</v>
      </c>
      <c r="F939" s="96">
        <v>3</v>
      </c>
      <c r="G939" s="107" t="s">
        <v>35</v>
      </c>
      <c r="H939" s="86" t="s">
        <v>89</v>
      </c>
      <c r="I939" s="98" t="s">
        <v>90</v>
      </c>
    </row>
    <row r="940" spans="1:9" ht="63.75" x14ac:dyDescent="0.25">
      <c r="A940" s="94" t="s">
        <v>0</v>
      </c>
      <c r="B940" s="94" t="s">
        <v>0</v>
      </c>
      <c r="C940" s="96" t="s">
        <v>96</v>
      </c>
      <c r="D940" s="96">
        <f t="shared" si="152"/>
        <v>5457</v>
      </c>
      <c r="E940" s="96">
        <f t="shared" si="151"/>
        <v>5459</v>
      </c>
      <c r="F940" s="96">
        <v>3</v>
      </c>
      <c r="G940" s="107" t="s">
        <v>329</v>
      </c>
      <c r="H940" s="86" t="s">
        <v>330</v>
      </c>
      <c r="I940" s="98" t="s">
        <v>91</v>
      </c>
    </row>
    <row r="941" spans="1:9" x14ac:dyDescent="0.25">
      <c r="A941" s="94"/>
      <c r="B941" s="94"/>
      <c r="C941" s="95"/>
      <c r="D941" s="96">
        <f t="shared" si="152"/>
        <v>5460</v>
      </c>
      <c r="E941" s="96">
        <f t="shared" si="151"/>
        <v>5469</v>
      </c>
      <c r="F941" s="96">
        <v>10</v>
      </c>
      <c r="G941" s="107" t="s">
        <v>55</v>
      </c>
      <c r="H941" s="86"/>
      <c r="I941" s="98"/>
    </row>
    <row r="942" spans="1:9" ht="114.75" x14ac:dyDescent="0.25">
      <c r="A942" s="94" t="s">
        <v>6</v>
      </c>
      <c r="B942" s="94" t="s">
        <v>6</v>
      </c>
      <c r="C942" s="95" t="s">
        <v>98</v>
      </c>
      <c r="D942" s="96">
        <f t="shared" si="152"/>
        <v>5470</v>
      </c>
      <c r="E942" s="96">
        <f t="shared" si="151"/>
        <v>5669</v>
      </c>
      <c r="F942" s="96">
        <v>200</v>
      </c>
      <c r="G942" s="126" t="s">
        <v>407</v>
      </c>
      <c r="H942" s="178" t="s">
        <v>718</v>
      </c>
      <c r="I942" s="98" t="s">
        <v>437</v>
      </c>
    </row>
    <row r="943" spans="1:9" ht="114.75" x14ac:dyDescent="0.25">
      <c r="A943" s="94" t="s">
        <v>6</v>
      </c>
      <c r="B943" s="94" t="s">
        <v>6</v>
      </c>
      <c r="C943" s="95" t="s">
        <v>98</v>
      </c>
      <c r="D943" s="96">
        <f t="shared" si="152"/>
        <v>5670</v>
      </c>
      <c r="E943" s="96">
        <f t="shared" si="151"/>
        <v>5769</v>
      </c>
      <c r="F943" s="96">
        <v>100</v>
      </c>
      <c r="G943" s="126" t="s">
        <v>401</v>
      </c>
      <c r="H943" s="178"/>
      <c r="I943" s="98" t="s">
        <v>438</v>
      </c>
    </row>
    <row r="944" spans="1:9" x14ac:dyDescent="0.25">
      <c r="A944" s="94"/>
      <c r="B944" s="94"/>
      <c r="C944" s="95"/>
      <c r="D944" s="96">
        <f>D943+F943</f>
        <v>5770</v>
      </c>
      <c r="E944" s="96">
        <f t="shared" si="151"/>
        <v>5785</v>
      </c>
      <c r="F944" s="96">
        <v>16</v>
      </c>
      <c r="G944" s="107" t="s">
        <v>55</v>
      </c>
      <c r="H944" s="86"/>
      <c r="I944" s="98"/>
    </row>
    <row r="945" spans="1:9" ht="100.5" customHeight="1" x14ac:dyDescent="0.25">
      <c r="A945" s="6" t="s">
        <v>6</v>
      </c>
      <c r="B945" s="6" t="s">
        <v>6</v>
      </c>
      <c r="D945" s="3">
        <f>D944+F944</f>
        <v>5786</v>
      </c>
      <c r="E945" s="6">
        <f t="shared" si="151"/>
        <v>5800</v>
      </c>
      <c r="F945" s="6">
        <v>15</v>
      </c>
      <c r="G945" s="25" t="s">
        <v>385</v>
      </c>
      <c r="I945" s="175" t="s">
        <v>390</v>
      </c>
    </row>
    <row r="946" spans="1:9" ht="135.75" customHeight="1" x14ac:dyDescent="0.25">
      <c r="A946" s="6" t="s">
        <v>6</v>
      </c>
      <c r="B946" s="6" t="s">
        <v>6</v>
      </c>
      <c r="D946" s="6">
        <f>D945+F945</f>
        <v>5801</v>
      </c>
      <c r="E946" s="6">
        <f t="shared" si="151"/>
        <v>5820</v>
      </c>
      <c r="F946" s="6">
        <v>20</v>
      </c>
      <c r="G946" s="25" t="s">
        <v>386</v>
      </c>
      <c r="I946" s="175"/>
    </row>
    <row r="947" spans="1:9" x14ac:dyDescent="0.25">
      <c r="A947" s="101" t="s">
        <v>0</v>
      </c>
      <c r="B947" s="101" t="s">
        <v>0</v>
      </c>
      <c r="C947" s="148"/>
      <c r="D947" s="149">
        <f>D946+F946</f>
        <v>5821</v>
      </c>
      <c r="E947" s="101">
        <f t="shared" si="151"/>
        <v>5839</v>
      </c>
      <c r="F947" s="101">
        <v>19</v>
      </c>
      <c r="G947" s="150" t="s">
        <v>433</v>
      </c>
      <c r="H947" s="151" t="s">
        <v>431</v>
      </c>
      <c r="I947" s="98" t="s">
        <v>432</v>
      </c>
    </row>
    <row r="948" spans="1:9" x14ac:dyDescent="0.25">
      <c r="D948" s="6"/>
      <c r="E948" s="6"/>
      <c r="F948" s="6"/>
      <c r="I948" s="77"/>
    </row>
    <row r="949" spans="1:9" x14ac:dyDescent="0.25">
      <c r="C949" s="30" t="s">
        <v>101</v>
      </c>
      <c r="E949" s="152">
        <f>E947</f>
        <v>5839</v>
      </c>
      <c r="I949" s="46"/>
    </row>
  </sheetData>
  <mergeCells count="109">
    <mergeCell ref="H518:H519"/>
    <mergeCell ref="H181:H183"/>
    <mergeCell ref="I822:I823"/>
    <mergeCell ref="H827:H828"/>
    <mergeCell ref="H747:H760"/>
    <mergeCell ref="I747:I760"/>
    <mergeCell ref="H762:H775"/>
    <mergeCell ref="H185:H187"/>
    <mergeCell ref="H242:H243"/>
    <mergeCell ref="I740:I743"/>
    <mergeCell ref="I217:I230"/>
    <mergeCell ref="I242:I243"/>
    <mergeCell ref="H525:H527"/>
    <mergeCell ref="H447:H460"/>
    <mergeCell ref="H462:H475"/>
    <mergeCell ref="H427:H429"/>
    <mergeCell ref="H431:H433"/>
    <mergeCell ref="H644:H657"/>
    <mergeCell ref="I637:I640"/>
    <mergeCell ref="H616:H617"/>
    <mergeCell ref="H719:H720"/>
    <mergeCell ref="I525:I527"/>
    <mergeCell ref="I427:I429"/>
    <mergeCell ref="I430:I433"/>
    <mergeCell ref="I196:I198"/>
    <mergeCell ref="I181:I183"/>
    <mergeCell ref="I184:I187"/>
    <mergeCell ref="I202:I215"/>
    <mergeCell ref="I834:I836"/>
    <mergeCell ref="I837:I840"/>
    <mergeCell ref="H118:H119"/>
    <mergeCell ref="I118:I119"/>
    <mergeCell ref="H366:H367"/>
    <mergeCell ref="I366:I367"/>
    <mergeCell ref="I169:I170"/>
    <mergeCell ref="I293:I294"/>
    <mergeCell ref="I415:I416"/>
    <mergeCell ref="I513:I514"/>
    <mergeCell ref="I447:I460"/>
    <mergeCell ref="I462:I475"/>
    <mergeCell ref="H174:H175"/>
    <mergeCell ref="H298:H299"/>
    <mergeCell ref="H420:H421"/>
    <mergeCell ref="I623:I625"/>
    <mergeCell ref="I626:I629"/>
    <mergeCell ref="I684:I685"/>
    <mergeCell ref="H894:H895"/>
    <mergeCell ref="I894:I895"/>
    <mergeCell ref="H585:H586"/>
    <mergeCell ref="I585:I586"/>
    <mergeCell ref="H627:H629"/>
    <mergeCell ref="I787:I788"/>
    <mergeCell ref="H726:H728"/>
    <mergeCell ref="I726:I728"/>
    <mergeCell ref="I729:I732"/>
    <mergeCell ref="H730:H732"/>
    <mergeCell ref="I869:I882"/>
    <mergeCell ref="I848:I850"/>
    <mergeCell ref="H838:H840"/>
    <mergeCell ref="H854:H867"/>
    <mergeCell ref="I854:I867"/>
    <mergeCell ref="I945:I946"/>
    <mergeCell ref="H305:H307"/>
    <mergeCell ref="H309:H311"/>
    <mergeCell ref="I326:I339"/>
    <mergeCell ref="H202:H215"/>
    <mergeCell ref="H217:H230"/>
    <mergeCell ref="H326:H339"/>
    <mergeCell ref="H341:H354"/>
    <mergeCell ref="I441:I443"/>
    <mergeCell ref="I319:I321"/>
    <mergeCell ref="I305:I307"/>
    <mergeCell ref="I308:I311"/>
    <mergeCell ref="I341:I354"/>
    <mergeCell ref="H659:H672"/>
    <mergeCell ref="I644:I657"/>
    <mergeCell ref="I659:I672"/>
    <mergeCell ref="H942:H943"/>
    <mergeCell ref="H834:H836"/>
    <mergeCell ref="I762:I775"/>
    <mergeCell ref="H787:H788"/>
    <mergeCell ref="H869:H882"/>
    <mergeCell ref="I937:I938"/>
    <mergeCell ref="I714:I715"/>
    <mergeCell ref="I528:I531"/>
    <mergeCell ref="H684:H685"/>
    <mergeCell ref="I611:I612"/>
    <mergeCell ref="C1:H1"/>
    <mergeCell ref="I16:I18"/>
    <mergeCell ref="H56:H58"/>
    <mergeCell ref="I59:I62"/>
    <mergeCell ref="H60:H62"/>
    <mergeCell ref="I71:I73"/>
    <mergeCell ref="H78:H91"/>
    <mergeCell ref="H93:H106"/>
    <mergeCell ref="I38:I43"/>
    <mergeCell ref="I56:I58"/>
    <mergeCell ref="H36:H37"/>
    <mergeCell ref="I21:I23"/>
    <mergeCell ref="I6:I7"/>
    <mergeCell ref="I78:I91"/>
    <mergeCell ref="I93:I106"/>
    <mergeCell ref="H529:H531"/>
    <mergeCell ref="I545:I558"/>
    <mergeCell ref="I560:I573"/>
    <mergeCell ref="I539:I541"/>
    <mergeCell ref="H545:H558"/>
    <mergeCell ref="H560:H573"/>
    <mergeCell ref="H623:H625"/>
  </mergeCells>
  <printOptions headings="1" gridLines="1"/>
  <pageMargins left="0.25" right="0.25" top="0.75" bottom="0.75" header="0.3" footer="0.3"/>
  <pageSetup paperSize="5" scale="80" fitToHeight="0" orientation="landscape" r:id="rId1"/>
  <headerFooter>
    <oddFooter>&amp;L&amp;"Arial,Regular"&amp;10R = Registration     I = In-window     P = Post-window     H = History     A = Accountability&amp;C&amp;"Arial,Regular"&amp;10Page &amp;P of &amp;N&amp;R&amp;"Arial,Regular"&amp;10Last Saved Date: 8/11/2016 11:38:03 AM</oddFooter>
  </headerFooter>
  <ignoredErrors>
    <ignoredError sqref="D827" formula="1"/>
  </ignoredError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C63"/>
  <sheetViews>
    <sheetView topLeftCell="A61" workbookViewId="0">
      <selection activeCell="B63" sqref="B63"/>
    </sheetView>
  </sheetViews>
  <sheetFormatPr defaultRowHeight="15" x14ac:dyDescent="0.25"/>
  <cols>
    <col min="1" max="1" width="10.7109375" bestFit="1" customWidth="1"/>
    <col min="2" max="2" width="66.5703125" style="34" customWidth="1"/>
    <col min="3" max="3" width="20.28515625" customWidth="1"/>
  </cols>
  <sheetData>
    <row r="1" spans="1:3" x14ac:dyDescent="0.25">
      <c r="A1" s="207" t="s">
        <v>266</v>
      </c>
      <c r="B1" s="207"/>
      <c r="C1" s="207"/>
    </row>
    <row r="2" spans="1:3" ht="25.5" x14ac:dyDescent="0.25">
      <c r="A2" s="20" t="s">
        <v>267</v>
      </c>
      <c r="B2" s="21" t="s">
        <v>268</v>
      </c>
      <c r="C2" s="22" t="s">
        <v>269</v>
      </c>
    </row>
    <row r="3" spans="1:3" x14ac:dyDescent="0.25">
      <c r="A3" s="31">
        <v>42624</v>
      </c>
      <c r="B3" s="33" t="s">
        <v>271</v>
      </c>
      <c r="C3" s="32" t="s">
        <v>270</v>
      </c>
    </row>
    <row r="4" spans="1:3" ht="30" x14ac:dyDescent="0.25">
      <c r="A4" s="31">
        <v>42633</v>
      </c>
      <c r="B4" s="33" t="s">
        <v>319</v>
      </c>
      <c r="C4" s="32" t="s">
        <v>270</v>
      </c>
    </row>
    <row r="5" spans="1:3" ht="30" x14ac:dyDescent="0.25">
      <c r="A5" s="31">
        <v>42633</v>
      </c>
      <c r="B5" s="33" t="s">
        <v>320</v>
      </c>
      <c r="C5" s="32" t="s">
        <v>270</v>
      </c>
    </row>
    <row r="6" spans="1:3" ht="30" x14ac:dyDescent="0.25">
      <c r="A6" s="31">
        <v>42633</v>
      </c>
      <c r="B6" s="33" t="s">
        <v>321</v>
      </c>
      <c r="C6" s="32" t="s">
        <v>270</v>
      </c>
    </row>
    <row r="7" spans="1:3" ht="30" x14ac:dyDescent="0.25">
      <c r="A7" s="31">
        <v>42633</v>
      </c>
      <c r="B7" s="33" t="s">
        <v>322</v>
      </c>
      <c r="C7" s="32" t="s">
        <v>270</v>
      </c>
    </row>
    <row r="8" spans="1:3" ht="45" x14ac:dyDescent="0.25">
      <c r="A8" s="31">
        <v>42633</v>
      </c>
      <c r="B8" s="33" t="s">
        <v>323</v>
      </c>
      <c r="C8" s="32" t="s">
        <v>270</v>
      </c>
    </row>
    <row r="9" spans="1:3" ht="30" x14ac:dyDescent="0.25">
      <c r="A9" s="31">
        <v>42633</v>
      </c>
      <c r="B9" s="33" t="s">
        <v>324</v>
      </c>
      <c r="C9" s="32" t="s">
        <v>270</v>
      </c>
    </row>
    <row r="10" spans="1:3" ht="30" x14ac:dyDescent="0.25">
      <c r="A10" s="31">
        <v>42633</v>
      </c>
      <c r="B10" s="33" t="s">
        <v>325</v>
      </c>
      <c r="C10" s="32" t="s">
        <v>270</v>
      </c>
    </row>
    <row r="11" spans="1:3" ht="45" x14ac:dyDescent="0.25">
      <c r="A11" s="31">
        <v>42633</v>
      </c>
      <c r="B11" s="33" t="s">
        <v>326</v>
      </c>
      <c r="C11" s="32" t="s">
        <v>270</v>
      </c>
    </row>
    <row r="12" spans="1:3" ht="45" x14ac:dyDescent="0.25">
      <c r="A12" s="31">
        <v>42633</v>
      </c>
      <c r="B12" s="33" t="s">
        <v>327</v>
      </c>
      <c r="C12" s="32" t="s">
        <v>270</v>
      </c>
    </row>
    <row r="13" spans="1:3" ht="45" x14ac:dyDescent="0.25">
      <c r="A13" s="31">
        <v>42641</v>
      </c>
      <c r="B13" s="33" t="s">
        <v>331</v>
      </c>
      <c r="C13" s="32" t="s">
        <v>270</v>
      </c>
    </row>
    <row r="14" spans="1:3" ht="45" x14ac:dyDescent="0.25">
      <c r="A14" s="31">
        <v>42641</v>
      </c>
      <c r="B14" s="33" t="s">
        <v>332</v>
      </c>
      <c r="C14" s="32" t="s">
        <v>270</v>
      </c>
    </row>
    <row r="15" spans="1:3" ht="30" x14ac:dyDescent="0.25">
      <c r="A15" s="31">
        <v>42641</v>
      </c>
      <c r="B15" s="33" t="s">
        <v>333</v>
      </c>
      <c r="C15" s="32" t="s">
        <v>270</v>
      </c>
    </row>
    <row r="16" spans="1:3" ht="60" x14ac:dyDescent="0.25">
      <c r="A16" s="31">
        <v>42641</v>
      </c>
      <c r="B16" s="33" t="s">
        <v>334</v>
      </c>
      <c r="C16" s="32" t="s">
        <v>270</v>
      </c>
    </row>
    <row r="17" spans="1:3" ht="30" x14ac:dyDescent="0.25">
      <c r="A17" s="31">
        <v>42641</v>
      </c>
      <c r="B17" s="33" t="s">
        <v>335</v>
      </c>
      <c r="C17" s="32" t="s">
        <v>270</v>
      </c>
    </row>
    <row r="18" spans="1:3" ht="30" x14ac:dyDescent="0.25">
      <c r="A18" s="31">
        <v>42641</v>
      </c>
      <c r="B18" s="33" t="s">
        <v>336</v>
      </c>
      <c r="C18" s="32" t="s">
        <v>270</v>
      </c>
    </row>
    <row r="19" spans="1:3" x14ac:dyDescent="0.25">
      <c r="A19" s="31">
        <v>42641</v>
      </c>
      <c r="B19" s="33" t="s">
        <v>337</v>
      </c>
      <c r="C19" s="35" t="s">
        <v>270</v>
      </c>
    </row>
    <row r="20" spans="1:3" x14ac:dyDescent="0.25">
      <c r="A20" s="31">
        <v>42650</v>
      </c>
      <c r="B20" s="33" t="s">
        <v>339</v>
      </c>
      <c r="C20" s="35" t="s">
        <v>270</v>
      </c>
    </row>
    <row r="21" spans="1:3" ht="30" x14ac:dyDescent="0.25">
      <c r="A21" s="31">
        <v>42650</v>
      </c>
      <c r="B21" s="33" t="s">
        <v>340</v>
      </c>
      <c r="C21" s="35" t="s">
        <v>270</v>
      </c>
    </row>
    <row r="22" spans="1:3" ht="30" x14ac:dyDescent="0.25">
      <c r="A22" s="31">
        <v>42650</v>
      </c>
      <c r="B22" s="33" t="s">
        <v>341</v>
      </c>
      <c r="C22" s="35" t="s">
        <v>270</v>
      </c>
    </row>
    <row r="23" spans="1:3" ht="30" x14ac:dyDescent="0.25">
      <c r="A23" s="31">
        <v>42650</v>
      </c>
      <c r="B23" s="33" t="s">
        <v>342</v>
      </c>
      <c r="C23" s="35" t="s">
        <v>270</v>
      </c>
    </row>
    <row r="24" spans="1:3" ht="30" x14ac:dyDescent="0.25">
      <c r="A24" s="31">
        <v>42653</v>
      </c>
      <c r="B24" s="33" t="s">
        <v>343</v>
      </c>
      <c r="C24" s="35" t="s">
        <v>270</v>
      </c>
    </row>
    <row r="25" spans="1:3" ht="30" x14ac:dyDescent="0.25">
      <c r="A25" s="31">
        <v>42653</v>
      </c>
      <c r="B25" s="33" t="s">
        <v>344</v>
      </c>
      <c r="C25" s="35" t="s">
        <v>270</v>
      </c>
    </row>
    <row r="26" spans="1:3" x14ac:dyDescent="0.25">
      <c r="A26" s="36">
        <v>42654</v>
      </c>
      <c r="B26" s="37" t="s">
        <v>345</v>
      </c>
      <c r="C26" s="38" t="s">
        <v>346</v>
      </c>
    </row>
    <row r="27" spans="1:3" ht="45" x14ac:dyDescent="0.25">
      <c r="A27" s="31">
        <v>42689</v>
      </c>
      <c r="B27" s="33" t="s">
        <v>348</v>
      </c>
      <c r="C27" s="35" t="s">
        <v>270</v>
      </c>
    </row>
    <row r="28" spans="1:3" x14ac:dyDescent="0.25">
      <c r="A28" s="31">
        <v>42731</v>
      </c>
      <c r="B28" s="33" t="s">
        <v>382</v>
      </c>
      <c r="C28" s="35" t="s">
        <v>383</v>
      </c>
    </row>
    <row r="29" spans="1:3" x14ac:dyDescent="0.25">
      <c r="A29" s="31">
        <v>42765</v>
      </c>
      <c r="B29" s="33" t="s">
        <v>384</v>
      </c>
      <c r="C29" s="35" t="s">
        <v>383</v>
      </c>
    </row>
    <row r="30" spans="1:3" x14ac:dyDescent="0.25">
      <c r="A30" s="31">
        <v>42767</v>
      </c>
      <c r="B30" s="33" t="s">
        <v>387</v>
      </c>
      <c r="C30" s="35" t="s">
        <v>383</v>
      </c>
    </row>
    <row r="31" spans="1:3" x14ac:dyDescent="0.25">
      <c r="A31" s="31">
        <v>42767</v>
      </c>
      <c r="B31" s="33" t="s">
        <v>388</v>
      </c>
      <c r="C31" s="35" t="s">
        <v>383</v>
      </c>
    </row>
    <row r="32" spans="1:3" x14ac:dyDescent="0.25">
      <c r="A32" s="31">
        <v>42767</v>
      </c>
      <c r="B32" s="33" t="s">
        <v>389</v>
      </c>
      <c r="C32" s="35" t="s">
        <v>383</v>
      </c>
    </row>
    <row r="33" spans="1:3" ht="45" x14ac:dyDescent="0.25">
      <c r="A33" s="31">
        <v>42846</v>
      </c>
      <c r="B33" s="33" t="s">
        <v>402</v>
      </c>
      <c r="C33" s="35" t="s">
        <v>270</v>
      </c>
    </row>
    <row r="34" spans="1:3" ht="30" x14ac:dyDescent="0.25">
      <c r="A34" s="31">
        <v>42846</v>
      </c>
      <c r="B34" s="33" t="s">
        <v>403</v>
      </c>
      <c r="C34" s="35" t="s">
        <v>270</v>
      </c>
    </row>
    <row r="35" spans="1:3" x14ac:dyDescent="0.25">
      <c r="A35" s="55">
        <v>42955</v>
      </c>
      <c r="B35" s="57" t="s">
        <v>427</v>
      </c>
      <c r="C35" s="56" t="s">
        <v>414</v>
      </c>
    </row>
    <row r="36" spans="1:3" x14ac:dyDescent="0.25">
      <c r="A36" s="55">
        <v>42955</v>
      </c>
      <c r="B36" s="34" t="s">
        <v>426</v>
      </c>
      <c r="C36" s="56" t="s">
        <v>414</v>
      </c>
    </row>
    <row r="37" spans="1:3" ht="45" x14ac:dyDescent="0.25">
      <c r="A37" s="55">
        <v>42956</v>
      </c>
      <c r="B37" s="34" t="s">
        <v>428</v>
      </c>
      <c r="C37" s="56" t="s">
        <v>414</v>
      </c>
    </row>
    <row r="38" spans="1:3" ht="45" x14ac:dyDescent="0.25">
      <c r="A38" s="55">
        <v>42956</v>
      </c>
      <c r="B38" s="34" t="s">
        <v>429</v>
      </c>
      <c r="C38" s="56" t="s">
        <v>414</v>
      </c>
    </row>
    <row r="39" spans="1:3" ht="45" x14ac:dyDescent="0.25">
      <c r="A39" s="55">
        <v>42956</v>
      </c>
      <c r="B39" s="34" t="s">
        <v>430</v>
      </c>
      <c r="C39" s="56" t="s">
        <v>414</v>
      </c>
    </row>
    <row r="40" spans="1:3" x14ac:dyDescent="0.25">
      <c r="A40" s="55">
        <v>42961</v>
      </c>
      <c r="B40" s="34" t="s">
        <v>434</v>
      </c>
      <c r="C40" s="56" t="s">
        <v>414</v>
      </c>
    </row>
    <row r="41" spans="1:3" ht="30" x14ac:dyDescent="0.25">
      <c r="A41" s="55">
        <v>42961</v>
      </c>
      <c r="B41" s="34" t="s">
        <v>436</v>
      </c>
      <c r="C41" s="56" t="s">
        <v>414</v>
      </c>
    </row>
    <row r="42" spans="1:3" ht="30" x14ac:dyDescent="0.25">
      <c r="A42" s="55">
        <v>42962</v>
      </c>
      <c r="B42" s="34" t="s">
        <v>439</v>
      </c>
      <c r="C42" s="56" t="s">
        <v>414</v>
      </c>
    </row>
    <row r="43" spans="1:3" ht="30" x14ac:dyDescent="0.25">
      <c r="A43" s="55">
        <v>42977</v>
      </c>
      <c r="B43" s="34" t="s">
        <v>440</v>
      </c>
      <c r="C43" s="56" t="s">
        <v>414</v>
      </c>
    </row>
    <row r="44" spans="1:3" ht="60" x14ac:dyDescent="0.25">
      <c r="A44" s="55">
        <v>42977</v>
      </c>
      <c r="B44" s="34" t="s">
        <v>475</v>
      </c>
      <c r="C44" s="56" t="s">
        <v>414</v>
      </c>
    </row>
    <row r="45" spans="1:3" ht="30" x14ac:dyDescent="0.25">
      <c r="A45" s="55">
        <v>42996</v>
      </c>
      <c r="B45" s="34" t="s">
        <v>507</v>
      </c>
      <c r="C45" s="56" t="s">
        <v>414</v>
      </c>
    </row>
    <row r="46" spans="1:3" ht="30" x14ac:dyDescent="0.25">
      <c r="A46" s="55">
        <v>42996</v>
      </c>
      <c r="B46" s="34" t="s">
        <v>519</v>
      </c>
      <c r="C46" s="56" t="s">
        <v>414</v>
      </c>
    </row>
    <row r="47" spans="1:3" ht="45" x14ac:dyDescent="0.25">
      <c r="A47" s="55">
        <v>42998</v>
      </c>
      <c r="B47" s="34" t="s">
        <v>520</v>
      </c>
      <c r="C47" s="56" t="s">
        <v>414</v>
      </c>
    </row>
    <row r="48" spans="1:3" ht="30" x14ac:dyDescent="0.25">
      <c r="A48" s="55">
        <v>43005</v>
      </c>
      <c r="B48" s="34" t="s">
        <v>544</v>
      </c>
      <c r="C48" s="56" t="s">
        <v>414</v>
      </c>
    </row>
    <row r="49" spans="1:3" x14ac:dyDescent="0.25">
      <c r="A49" s="55">
        <v>43005</v>
      </c>
      <c r="B49" s="34" t="s">
        <v>543</v>
      </c>
      <c r="C49" s="56" t="s">
        <v>414</v>
      </c>
    </row>
    <row r="50" spans="1:3" ht="30" x14ac:dyDescent="0.25">
      <c r="A50" s="55">
        <v>43005</v>
      </c>
      <c r="B50" s="34" t="s">
        <v>550</v>
      </c>
      <c r="C50" s="56" t="s">
        <v>414</v>
      </c>
    </row>
    <row r="51" spans="1:3" x14ac:dyDescent="0.25">
      <c r="A51" s="55">
        <v>43012</v>
      </c>
      <c r="B51" s="34" t="s">
        <v>576</v>
      </c>
      <c r="C51" s="56" t="s">
        <v>414</v>
      </c>
    </row>
    <row r="52" spans="1:3" ht="30" x14ac:dyDescent="0.25">
      <c r="A52" s="55">
        <v>43019</v>
      </c>
      <c r="B52" s="34" t="s">
        <v>584</v>
      </c>
      <c r="C52" s="56" t="s">
        <v>414</v>
      </c>
    </row>
    <row r="53" spans="1:3" x14ac:dyDescent="0.25">
      <c r="A53" s="55">
        <v>43020</v>
      </c>
      <c r="B53" s="34" t="s">
        <v>621</v>
      </c>
      <c r="C53" s="56" t="s">
        <v>414</v>
      </c>
    </row>
    <row r="54" spans="1:3" x14ac:dyDescent="0.25">
      <c r="A54" s="55">
        <v>43024</v>
      </c>
      <c r="B54" s="34" t="s">
        <v>636</v>
      </c>
      <c r="C54" s="56" t="s">
        <v>414</v>
      </c>
    </row>
    <row r="55" spans="1:3" ht="150" x14ac:dyDescent="0.25">
      <c r="A55" s="55">
        <v>43025</v>
      </c>
      <c r="B55" s="34" t="s">
        <v>649</v>
      </c>
      <c r="C55" s="56" t="s">
        <v>414</v>
      </c>
    </row>
    <row r="56" spans="1:3" x14ac:dyDescent="0.25">
      <c r="A56" s="55">
        <v>43026</v>
      </c>
      <c r="B56" s="34" t="s">
        <v>674</v>
      </c>
      <c r="C56" s="56" t="s">
        <v>414</v>
      </c>
    </row>
    <row r="57" spans="1:3" ht="60" x14ac:dyDescent="0.25">
      <c r="A57" s="55">
        <v>43027</v>
      </c>
      <c r="B57" s="34" t="s">
        <v>683</v>
      </c>
      <c r="C57" s="56" t="s">
        <v>414</v>
      </c>
    </row>
    <row r="58" spans="1:3" x14ac:dyDescent="0.25">
      <c r="A58" s="55">
        <v>43027</v>
      </c>
      <c r="B58" s="34" t="s">
        <v>685</v>
      </c>
      <c r="C58" s="56" t="s">
        <v>414</v>
      </c>
    </row>
    <row r="59" spans="1:3" x14ac:dyDescent="0.25">
      <c r="A59" s="153">
        <v>43028</v>
      </c>
      <c r="B59" s="57" t="s">
        <v>706</v>
      </c>
      <c r="C59" s="154" t="s">
        <v>707</v>
      </c>
    </row>
    <row r="60" spans="1:3" ht="45" x14ac:dyDescent="0.25">
      <c r="A60" s="55">
        <v>43031</v>
      </c>
      <c r="B60" s="34" t="s">
        <v>708</v>
      </c>
      <c r="C60" s="56" t="s">
        <v>414</v>
      </c>
    </row>
    <row r="61" spans="1:3" x14ac:dyDescent="0.25">
      <c r="A61" s="55">
        <v>43031</v>
      </c>
      <c r="B61" s="34" t="s">
        <v>710</v>
      </c>
      <c r="C61" s="56" t="s">
        <v>414</v>
      </c>
    </row>
    <row r="62" spans="1:3" ht="75" x14ac:dyDescent="0.25">
      <c r="A62" s="55">
        <v>43035</v>
      </c>
      <c r="B62" s="34" t="s">
        <v>719</v>
      </c>
      <c r="C62" s="56" t="s">
        <v>414</v>
      </c>
    </row>
    <row r="63" spans="1:3" ht="45" x14ac:dyDescent="0.25">
      <c r="A63" s="55">
        <v>43048</v>
      </c>
      <c r="B63" s="34" t="s">
        <v>720</v>
      </c>
      <c r="C63" s="56" t="s">
        <v>414</v>
      </c>
    </row>
  </sheetData>
  <mergeCells count="1">
    <mergeCell ref="A1:C1"/>
  </mergeCells>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1</vt:i4>
      </vt:variant>
    </vt:vector>
  </HeadingPairs>
  <TitlesOfParts>
    <vt:vector size="3" baseType="lpstr">
      <vt:lpstr>File Format</vt:lpstr>
      <vt:lpstr>Revision Log</vt:lpstr>
      <vt:lpstr>'File Format'!Print_Titles</vt:lpstr>
    </vt:vector>
  </TitlesOfParts>
  <Company>PMC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EOC Combined Score File Layout</dc:title>
  <dc:creator>dmurray@pacificmetrics.com</dc:creator>
  <cp:lastModifiedBy>Ballen, Evelyn</cp:lastModifiedBy>
  <cp:lastPrinted>2017-10-27T14:35:32Z</cp:lastPrinted>
  <dcterms:created xsi:type="dcterms:W3CDTF">2010-08-16T22:46:58Z</dcterms:created>
  <dcterms:modified xsi:type="dcterms:W3CDTF">2017-11-15T21:48:09Z</dcterms:modified>
</cp:coreProperties>
</file>