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T:\EOC\File Layouts and syntax\"/>
    </mc:Choice>
  </mc:AlternateContent>
  <bookViews>
    <workbookView xWindow="0" yWindow="0" windowWidth="21735" windowHeight="8640"/>
  </bookViews>
  <sheets>
    <sheet name="File Format" sheetId="1" r:id="rId1"/>
    <sheet name="Revision Log" sheetId="5" r:id="rId2"/>
    <sheet name="spss load syntax" sheetId="8" r:id="rId3"/>
  </sheets>
  <definedNames>
    <definedName name="_xlnm._FilterDatabase" localSheetId="2" hidden="1">'spss load syntax'!$A$2:$H$583</definedName>
    <definedName name="_xlnm.Print_Titles" localSheetId="0">'File Format'!$1:$2</definedName>
    <definedName name="_xlnm.Print_Titles" localSheetId="2">'spss load syntax'!$1:$2</definedName>
  </definedNames>
  <calcPr calcId="162913"/>
</workbook>
</file>

<file path=xl/calcChain.xml><?xml version="1.0" encoding="utf-8"?>
<calcChain xmlns="http://schemas.openxmlformats.org/spreadsheetml/2006/main">
  <c r="F582" i="8" l="1"/>
  <c r="F573" i="8"/>
  <c r="F565" i="8"/>
  <c r="F548" i="8"/>
  <c r="F539" i="8"/>
  <c r="F527" i="8"/>
  <c r="F523" i="8"/>
  <c r="F517" i="8"/>
  <c r="F513" i="8"/>
  <c r="F509" i="8"/>
  <c r="F500" i="8"/>
  <c r="F483" i="8"/>
  <c r="F474" i="8"/>
  <c r="F462" i="8"/>
  <c r="F458" i="8"/>
  <c r="F452" i="8"/>
  <c r="F448" i="8"/>
  <c r="F444" i="8"/>
  <c r="F435" i="8"/>
  <c r="F423" i="8"/>
  <c r="F414" i="8"/>
  <c r="F402" i="8"/>
  <c r="F398" i="8"/>
  <c r="F392" i="8"/>
  <c r="F388" i="8"/>
  <c r="F384" i="8"/>
  <c r="F375" i="8"/>
  <c r="F367" i="8"/>
  <c r="F358" i="8"/>
  <c r="F346" i="8"/>
  <c r="F342" i="8"/>
  <c r="F336" i="8"/>
  <c r="F332" i="8"/>
  <c r="F328" i="8"/>
  <c r="F319" i="8"/>
  <c r="F311" i="8"/>
  <c r="F302" i="8"/>
  <c r="F290" i="8"/>
  <c r="F286" i="8"/>
  <c r="F280" i="8"/>
  <c r="F276" i="8"/>
  <c r="F272" i="8"/>
  <c r="F263" i="8"/>
  <c r="F255" i="8"/>
  <c r="F241" i="8"/>
  <c r="F232" i="8"/>
  <c r="F218" i="8"/>
  <c r="F214" i="8"/>
  <c r="F208" i="8"/>
  <c r="F204" i="8"/>
  <c r="F200" i="8"/>
  <c r="F191" i="8"/>
  <c r="F183" i="8"/>
  <c r="F166" i="8"/>
  <c r="F157" i="8"/>
  <c r="F145" i="8"/>
  <c r="F141" i="8"/>
  <c r="F134" i="8"/>
  <c r="F130" i="8"/>
  <c r="F126" i="8"/>
  <c r="F117" i="8"/>
  <c r="F106" i="8"/>
  <c r="F92" i="8"/>
  <c r="F83" i="8"/>
  <c r="F69" i="8"/>
  <c r="F65" i="8"/>
  <c r="F58" i="8"/>
  <c r="F54" i="8"/>
  <c r="F50" i="8"/>
  <c r="F36" i="8"/>
  <c r="F34" i="8"/>
  <c r="F32" i="8"/>
  <c r="F30" i="8"/>
  <c r="F25" i="8"/>
  <c r="F20" i="8"/>
  <c r="F14" i="8"/>
  <c r="C3" i="8"/>
  <c r="A4" i="8"/>
  <c r="C4" i="8" s="1"/>
  <c r="B3" i="8"/>
  <c r="D3" i="8" s="1"/>
  <c r="I3" i="8" l="1"/>
  <c r="B4" i="8"/>
  <c r="D4" i="8" s="1"/>
  <c r="I4" i="8" s="1"/>
  <c r="A6" i="8"/>
  <c r="C6" i="8" s="1"/>
  <c r="A4" i="1"/>
  <c r="A6" i="1" s="1"/>
  <c r="B3" i="1"/>
  <c r="A7" i="8" l="1"/>
  <c r="C7" i="8" s="1"/>
  <c r="B6" i="8"/>
  <c r="D6" i="8" s="1"/>
  <c r="I6" i="8" s="1"/>
  <c r="B4" i="1"/>
  <c r="A8" i="8" l="1"/>
  <c r="C8" i="8" s="1"/>
  <c r="B7" i="8"/>
  <c r="D7" i="8" s="1"/>
  <c r="I7" i="8" s="1"/>
  <c r="B6" i="1"/>
  <c r="A7" i="1"/>
  <c r="A9" i="8" l="1"/>
  <c r="C9" i="8" s="1"/>
  <c r="B8" i="8"/>
  <c r="D8" i="8" s="1"/>
  <c r="I8" i="8" s="1"/>
  <c r="B7" i="1"/>
  <c r="A8" i="1"/>
  <c r="B9" i="8" l="1"/>
  <c r="D9" i="8" s="1"/>
  <c r="I9" i="8" s="1"/>
  <c r="A10" i="8"/>
  <c r="C10" i="8" s="1"/>
  <c r="B8" i="1"/>
  <c r="A9" i="1"/>
  <c r="A10" i="1" s="1"/>
  <c r="A11" i="1" s="1"/>
  <c r="A12" i="1" s="1"/>
  <c r="A13" i="1" s="1"/>
  <c r="A11" i="8" l="1"/>
  <c r="C11" i="8" s="1"/>
  <c r="B10" i="8"/>
  <c r="D10" i="8" s="1"/>
  <c r="I10" i="8" s="1"/>
  <c r="B13" i="1"/>
  <c r="A14" i="1"/>
  <c r="B9" i="1"/>
  <c r="A12" i="8" l="1"/>
  <c r="C12" i="8" s="1"/>
  <c r="B11" i="8"/>
  <c r="D11" i="8" s="1"/>
  <c r="I11" i="8" s="1"/>
  <c r="B11" i="1"/>
  <c r="B12" i="8" l="1"/>
  <c r="D12" i="8" s="1"/>
  <c r="I12" i="8" s="1"/>
  <c r="A13" i="8"/>
  <c r="C13" i="8" s="1"/>
  <c r="B12" i="1"/>
  <c r="B13" i="8" l="1"/>
  <c r="D13" i="8" s="1"/>
  <c r="I13" i="8" s="1"/>
  <c r="A14" i="8"/>
  <c r="C14" i="8" s="1"/>
  <c r="A16" i="1"/>
  <c r="B14" i="1"/>
  <c r="A16" i="8" l="1"/>
  <c r="C16" i="8" s="1"/>
  <c r="B14" i="8"/>
  <c r="D14" i="8" s="1"/>
  <c r="I14" i="8" s="1"/>
  <c r="B16" i="1"/>
  <c r="A17" i="1"/>
  <c r="A17" i="8" l="1"/>
  <c r="C17" i="8" s="1"/>
  <c r="B16" i="8"/>
  <c r="D16" i="8" s="1"/>
  <c r="I16" i="8" s="1"/>
  <c r="B17" i="1"/>
  <c r="A18" i="1"/>
  <c r="A19" i="1" s="1"/>
  <c r="B17" i="8" l="1"/>
  <c r="D17" i="8" s="1"/>
  <c r="I17" i="8" s="1"/>
  <c r="A18" i="8"/>
  <c r="C18" i="8" s="1"/>
  <c r="B18" i="1"/>
  <c r="B18" i="8" l="1"/>
  <c r="D18" i="8" s="1"/>
  <c r="I18" i="8" s="1"/>
  <c r="A19" i="8"/>
  <c r="C19" i="8" s="1"/>
  <c r="A20" i="1"/>
  <c r="B19" i="1"/>
  <c r="B19" i="8" l="1"/>
  <c r="D19" i="8" s="1"/>
  <c r="I19" i="8" s="1"/>
  <c r="A20" i="8"/>
  <c r="C20" i="8" s="1"/>
  <c r="B20" i="1"/>
  <c r="A21" i="1"/>
  <c r="A21" i="8" l="1"/>
  <c r="C21" i="8" s="1"/>
  <c r="B20" i="8"/>
  <c r="D20" i="8" s="1"/>
  <c r="I20" i="8" s="1"/>
  <c r="A22" i="1"/>
  <c r="B21" i="1"/>
  <c r="A22" i="8" l="1"/>
  <c r="C22" i="8" s="1"/>
  <c r="B21" i="8"/>
  <c r="D21" i="8" s="1"/>
  <c r="I21" i="8" s="1"/>
  <c r="B22" i="1"/>
  <c r="A23" i="1"/>
  <c r="B22" i="8" l="1"/>
  <c r="D22" i="8" s="1"/>
  <c r="I22" i="8" s="1"/>
  <c r="A23" i="8"/>
  <c r="C23" i="8" s="1"/>
  <c r="A24" i="1"/>
  <c r="A25" i="1" s="1"/>
  <c r="B23" i="1"/>
  <c r="B23" i="8" l="1"/>
  <c r="D23" i="8" s="1"/>
  <c r="I23" i="8" s="1"/>
  <c r="A24" i="8"/>
  <c r="C24" i="8" s="1"/>
  <c r="B24" i="1"/>
  <c r="A25" i="8" l="1"/>
  <c r="C25" i="8" s="1"/>
  <c r="B24" i="8"/>
  <c r="D24" i="8" s="1"/>
  <c r="I24" i="8" s="1"/>
  <c r="B25" i="1"/>
  <c r="A26" i="1"/>
  <c r="A27" i="1" s="1"/>
  <c r="B25" i="8" l="1"/>
  <c r="D25" i="8" s="1"/>
  <c r="I25" i="8" s="1"/>
  <c r="A26" i="8"/>
  <c r="C26" i="8" s="1"/>
  <c r="B26" i="1"/>
  <c r="A28" i="1"/>
  <c r="B27" i="1"/>
  <c r="B26" i="8" l="1"/>
  <c r="D26" i="8" s="1"/>
  <c r="I26" i="8" s="1"/>
  <c r="A27" i="8"/>
  <c r="C27" i="8" s="1"/>
  <c r="B28" i="1"/>
  <c r="A29" i="1"/>
  <c r="A30" i="1" s="1"/>
  <c r="A28" i="8" l="1"/>
  <c r="C28" i="8" s="1"/>
  <c r="B27" i="8"/>
  <c r="D27" i="8" s="1"/>
  <c r="I27" i="8" s="1"/>
  <c r="B30" i="1"/>
  <c r="A31" i="1"/>
  <c r="A32" i="1" s="1"/>
  <c r="B29" i="1"/>
  <c r="A29" i="8" l="1"/>
  <c r="C29" i="8" s="1"/>
  <c r="B28" i="8"/>
  <c r="D28" i="8" s="1"/>
  <c r="I28" i="8" s="1"/>
  <c r="A33" i="1"/>
  <c r="A34" i="1" s="1"/>
  <c r="B32" i="1"/>
  <c r="B31" i="1"/>
  <c r="A30" i="8" l="1"/>
  <c r="C30" i="8" s="1"/>
  <c r="B29" i="8"/>
  <c r="D29" i="8" s="1"/>
  <c r="I29" i="8" s="1"/>
  <c r="B34" i="1"/>
  <c r="A35" i="1"/>
  <c r="A36" i="1" s="1"/>
  <c r="B33" i="1"/>
  <c r="B30" i="8" l="1"/>
  <c r="D30" i="8" s="1"/>
  <c r="I30" i="8" s="1"/>
  <c r="A31" i="8"/>
  <c r="C31" i="8" s="1"/>
  <c r="B36" i="1"/>
  <c r="A37" i="1"/>
  <c r="B35" i="1"/>
  <c r="A32" i="8" l="1"/>
  <c r="C32" i="8" s="1"/>
  <c r="B31" i="8"/>
  <c r="D31" i="8" s="1"/>
  <c r="I31" i="8" s="1"/>
  <c r="A38" i="1"/>
  <c r="B37" i="1"/>
  <c r="A33" i="8" l="1"/>
  <c r="C33" i="8" s="1"/>
  <c r="B32" i="8"/>
  <c r="D32" i="8" s="1"/>
  <c r="I32" i="8" s="1"/>
  <c r="B38" i="1"/>
  <c r="A39" i="1"/>
  <c r="A34" i="8" l="1"/>
  <c r="C34" i="8" s="1"/>
  <c r="B33" i="8"/>
  <c r="D33" i="8" s="1"/>
  <c r="I33" i="8" s="1"/>
  <c r="A40" i="1"/>
  <c r="B39" i="1"/>
  <c r="B34" i="8" l="1"/>
  <c r="D34" i="8" s="1"/>
  <c r="I34" i="8" s="1"/>
  <c r="A35" i="8"/>
  <c r="C35" i="8" s="1"/>
  <c r="A41" i="1"/>
  <c r="B40" i="1"/>
  <c r="A36" i="8" l="1"/>
  <c r="C36" i="8" s="1"/>
  <c r="B35" i="8"/>
  <c r="D35" i="8" s="1"/>
  <c r="I35" i="8" s="1"/>
  <c r="B41" i="1"/>
  <c r="A42" i="1"/>
  <c r="A43" i="1" s="1"/>
  <c r="A44" i="1" s="1"/>
  <c r="A37" i="8" l="1"/>
  <c r="C37" i="8" s="1"/>
  <c r="B36" i="8"/>
  <c r="D36" i="8" s="1"/>
  <c r="I36" i="8" s="1"/>
  <c r="B42" i="1"/>
  <c r="A38" i="8" l="1"/>
  <c r="C38" i="8" s="1"/>
  <c r="B37" i="8"/>
  <c r="D37" i="8" s="1"/>
  <c r="I37" i="8" s="1"/>
  <c r="B44" i="1"/>
  <c r="A45" i="1"/>
  <c r="A46" i="1" s="1"/>
  <c r="A47" i="1" s="1"/>
  <c r="A48" i="1" s="1"/>
  <c r="B38" i="8" l="1"/>
  <c r="D38" i="8" s="1"/>
  <c r="I38" i="8" s="1"/>
  <c r="A39" i="8"/>
  <c r="C39" i="8" s="1"/>
  <c r="A49" i="1"/>
  <c r="B48" i="1"/>
  <c r="B47" i="1"/>
  <c r="B45" i="1"/>
  <c r="A40" i="8" l="1"/>
  <c r="C40" i="8" s="1"/>
  <c r="B39" i="8"/>
  <c r="D39" i="8" s="1"/>
  <c r="I39" i="8" s="1"/>
  <c r="A50" i="1"/>
  <c r="A52" i="1" s="1"/>
  <c r="B49" i="1"/>
  <c r="B43" i="1"/>
  <c r="A41" i="8" l="1"/>
  <c r="C41" i="8" s="1"/>
  <c r="B40" i="8"/>
  <c r="D40" i="8" s="1"/>
  <c r="I40" i="8" s="1"/>
  <c r="A53" i="1"/>
  <c r="A54" i="1" s="1"/>
  <c r="B52" i="1"/>
  <c r="B46" i="1"/>
  <c r="A42" i="8" l="1"/>
  <c r="C42" i="8" s="1"/>
  <c r="B41" i="8"/>
  <c r="D41" i="8" s="1"/>
  <c r="I41" i="8" s="1"/>
  <c r="B50" i="1"/>
  <c r="B42" i="8" l="1"/>
  <c r="D42" i="8" s="1"/>
  <c r="I42" i="8" s="1"/>
  <c r="A43" i="8"/>
  <c r="C43" i="8" s="1"/>
  <c r="B10" i="1"/>
  <c r="A44" i="8" l="1"/>
  <c r="C44" i="8" s="1"/>
  <c r="B43" i="8"/>
  <c r="D43" i="8" s="1"/>
  <c r="I43" i="8" s="1"/>
  <c r="B53" i="1"/>
  <c r="A45" i="8" l="1"/>
  <c r="C45" i="8" s="1"/>
  <c r="B44" i="8"/>
  <c r="D44" i="8" s="1"/>
  <c r="I44" i="8" s="1"/>
  <c r="A55" i="1"/>
  <c r="B54" i="1"/>
  <c r="B45" i="8" l="1"/>
  <c r="D45" i="8" s="1"/>
  <c r="I45" i="8" s="1"/>
  <c r="A46" i="8"/>
  <c r="C46" i="8" s="1"/>
  <c r="A56" i="1"/>
  <c r="B55" i="1"/>
  <c r="B46" i="8" l="1"/>
  <c r="D46" i="8" s="1"/>
  <c r="I46" i="8" s="1"/>
  <c r="A47" i="8"/>
  <c r="C47" i="8" s="1"/>
  <c r="B56" i="1"/>
  <c r="A57" i="1"/>
  <c r="A58" i="1" s="1"/>
  <c r="A59" i="1" s="1"/>
  <c r="A48" i="8" l="1"/>
  <c r="C48" i="8" s="1"/>
  <c r="B47" i="8"/>
  <c r="D47" i="8" s="1"/>
  <c r="I47" i="8" s="1"/>
  <c r="B58" i="1"/>
  <c r="B57" i="1"/>
  <c r="A49" i="8" l="1"/>
  <c r="C49" i="8" s="1"/>
  <c r="B48" i="8"/>
  <c r="D48" i="8" s="1"/>
  <c r="I48" i="8" s="1"/>
  <c r="A60" i="1"/>
  <c r="B59" i="1"/>
  <c r="B49" i="8" l="1"/>
  <c r="D49" i="8" s="1"/>
  <c r="I49" i="8" s="1"/>
  <c r="A50" i="8"/>
  <c r="C50" i="8" s="1"/>
  <c r="A61" i="1"/>
  <c r="A62" i="1" s="1"/>
  <c r="A63" i="1" s="1"/>
  <c r="A64" i="1" s="1"/>
  <c r="B60" i="1"/>
  <c r="B50" i="8" l="1"/>
  <c r="D50" i="8" s="1"/>
  <c r="I50" i="8" s="1"/>
  <c r="A52" i="8"/>
  <c r="C52" i="8" s="1"/>
  <c r="B64" i="1"/>
  <c r="A65" i="1"/>
  <c r="A67" i="1" s="1"/>
  <c r="A68" i="1" s="1"/>
  <c r="B63" i="1"/>
  <c r="B62" i="1"/>
  <c r="B61" i="1"/>
  <c r="B52" i="8" l="1"/>
  <c r="D52" i="8" s="1"/>
  <c r="I52" i="8" s="1"/>
  <c r="A53" i="8"/>
  <c r="C53" i="8" s="1"/>
  <c r="B65" i="1"/>
  <c r="A54" i="8" l="1"/>
  <c r="C54" i="8" s="1"/>
  <c r="B53" i="8"/>
  <c r="D53" i="8" s="1"/>
  <c r="I53" i="8" s="1"/>
  <c r="B67" i="1"/>
  <c r="A55" i="8" l="1"/>
  <c r="C55" i="8" s="1"/>
  <c r="B54" i="8"/>
  <c r="D54" i="8" s="1"/>
  <c r="I54" i="8" s="1"/>
  <c r="B68" i="1"/>
  <c r="A69" i="1"/>
  <c r="B55" i="8" l="1"/>
  <c r="D55" i="8" s="1"/>
  <c r="I55" i="8" s="1"/>
  <c r="A56" i="8"/>
  <c r="C56" i="8" s="1"/>
  <c r="B69" i="1"/>
  <c r="A70" i="1"/>
  <c r="B56" i="8" l="1"/>
  <c r="D56" i="8" s="1"/>
  <c r="I56" i="8" s="1"/>
  <c r="A57" i="8"/>
  <c r="C57" i="8" s="1"/>
  <c r="A71" i="1"/>
  <c r="B70" i="1"/>
  <c r="A58" i="8" l="1"/>
  <c r="C58" i="8" s="1"/>
  <c r="B57" i="8"/>
  <c r="D57" i="8" s="1"/>
  <c r="I57" i="8" s="1"/>
  <c r="A72" i="1"/>
  <c r="B71" i="1"/>
  <c r="A59" i="8" l="1"/>
  <c r="C59" i="8" s="1"/>
  <c r="B58" i="8"/>
  <c r="D58" i="8" s="1"/>
  <c r="I58" i="8" s="1"/>
  <c r="A73" i="1"/>
  <c r="B72" i="1"/>
  <c r="B59" i="8" l="1"/>
  <c r="D59" i="8" s="1"/>
  <c r="I59" i="8" s="1"/>
  <c r="A60" i="8"/>
  <c r="C60" i="8" s="1"/>
  <c r="B73" i="1"/>
  <c r="A74" i="1"/>
  <c r="A61" i="8" l="1"/>
  <c r="C61" i="8" s="1"/>
  <c r="B60" i="8"/>
  <c r="D60" i="8" s="1"/>
  <c r="I60" i="8" s="1"/>
  <c r="A75" i="1"/>
  <c r="B74" i="1"/>
  <c r="A62" i="8" l="1"/>
  <c r="C62" i="8" s="1"/>
  <c r="B61" i="8"/>
  <c r="D61" i="8" s="1"/>
  <c r="I61" i="8" s="1"/>
  <c r="A76" i="1"/>
  <c r="B75" i="1"/>
  <c r="A63" i="8" l="1"/>
  <c r="C63" i="8" s="1"/>
  <c r="B62" i="8"/>
  <c r="D62" i="8" s="1"/>
  <c r="I62" i="8" s="1"/>
  <c r="B76" i="1"/>
  <c r="A77" i="1"/>
  <c r="B63" i="8" l="1"/>
  <c r="D63" i="8" s="1"/>
  <c r="I63" i="8" s="1"/>
  <c r="A64" i="8"/>
  <c r="C64" i="8" s="1"/>
  <c r="B77" i="1"/>
  <c r="A78" i="1"/>
  <c r="B64" i="8" l="1"/>
  <c r="D64" i="8" s="1"/>
  <c r="I64" i="8" s="1"/>
  <c r="A65" i="8"/>
  <c r="C65" i="8" s="1"/>
  <c r="A79" i="1"/>
  <c r="B78" i="1"/>
  <c r="A67" i="8" l="1"/>
  <c r="C67" i="8" s="1"/>
  <c r="B65" i="8"/>
  <c r="D65" i="8" s="1"/>
  <c r="I65" i="8" s="1"/>
  <c r="B79" i="1"/>
  <c r="A80" i="1"/>
  <c r="A68" i="8" l="1"/>
  <c r="C68" i="8" s="1"/>
  <c r="B67" i="8"/>
  <c r="D67" i="8" s="1"/>
  <c r="I67" i="8" s="1"/>
  <c r="B80" i="1"/>
  <c r="A81" i="1"/>
  <c r="B68" i="8" l="1"/>
  <c r="D68" i="8" s="1"/>
  <c r="I68" i="8" s="1"/>
  <c r="A69" i="8"/>
  <c r="C69" i="8" s="1"/>
  <c r="B81" i="1"/>
  <c r="A82" i="1"/>
  <c r="A70" i="8" l="1"/>
  <c r="C70" i="8" s="1"/>
  <c r="B69" i="8"/>
  <c r="D69" i="8" s="1"/>
  <c r="I69" i="8" s="1"/>
  <c r="B82" i="1"/>
  <c r="A83" i="1"/>
  <c r="A71" i="8" l="1"/>
  <c r="C71" i="8" s="1"/>
  <c r="B70" i="8"/>
  <c r="D70" i="8" s="1"/>
  <c r="I70" i="8" s="1"/>
  <c r="A85" i="1"/>
  <c r="B83" i="1"/>
  <c r="A72" i="8" l="1"/>
  <c r="C72" i="8" s="1"/>
  <c r="B71" i="8"/>
  <c r="D71" i="8" s="1"/>
  <c r="I71" i="8" s="1"/>
  <c r="B85" i="1"/>
  <c r="A86" i="1"/>
  <c r="B72" i="8" l="1"/>
  <c r="D72" i="8" s="1"/>
  <c r="I72" i="8" s="1"/>
  <c r="A73" i="8"/>
  <c r="C73" i="8" s="1"/>
  <c r="A87" i="1"/>
  <c r="B86" i="1"/>
  <c r="A74" i="8" l="1"/>
  <c r="C74" i="8" s="1"/>
  <c r="B73" i="8"/>
  <c r="D73" i="8" s="1"/>
  <c r="I73" i="8" s="1"/>
  <c r="A88" i="1"/>
  <c r="B87" i="1"/>
  <c r="A75" i="8" l="1"/>
  <c r="C75" i="8" s="1"/>
  <c r="B74" i="8"/>
  <c r="D74" i="8" s="1"/>
  <c r="I74" i="8" s="1"/>
  <c r="B88" i="1"/>
  <c r="A89" i="1"/>
  <c r="A76" i="8" l="1"/>
  <c r="C76" i="8" s="1"/>
  <c r="B75" i="8"/>
  <c r="D75" i="8" s="1"/>
  <c r="I75" i="8" s="1"/>
  <c r="A90" i="1"/>
  <c r="B89" i="1"/>
  <c r="B76" i="8" l="1"/>
  <c r="D76" i="8" s="1"/>
  <c r="I76" i="8" s="1"/>
  <c r="A77" i="8"/>
  <c r="C77" i="8" s="1"/>
  <c r="A91" i="1"/>
  <c r="B90" i="1"/>
  <c r="A78" i="8" l="1"/>
  <c r="C78" i="8" s="1"/>
  <c r="B77" i="8"/>
  <c r="D77" i="8" s="1"/>
  <c r="I77" i="8" s="1"/>
  <c r="A92" i="1"/>
  <c r="A94" i="1" s="1"/>
  <c r="B91" i="1"/>
  <c r="A79" i="8" l="1"/>
  <c r="C79" i="8" s="1"/>
  <c r="B78" i="8"/>
  <c r="D78" i="8" s="1"/>
  <c r="I78" i="8" s="1"/>
  <c r="B92" i="1"/>
  <c r="B79" i="8" l="1"/>
  <c r="D79" i="8" s="1"/>
  <c r="I79" i="8" s="1"/>
  <c r="A80" i="8"/>
  <c r="C80" i="8" s="1"/>
  <c r="A95" i="1"/>
  <c r="B94" i="1"/>
  <c r="B80" i="8" l="1"/>
  <c r="D80" i="8" s="1"/>
  <c r="I80" i="8" s="1"/>
  <c r="A81" i="8"/>
  <c r="C81" i="8" s="1"/>
  <c r="A96" i="1"/>
  <c r="B95" i="1"/>
  <c r="A82" i="8" l="1"/>
  <c r="C82" i="8" s="1"/>
  <c r="B81" i="8"/>
  <c r="D81" i="8" s="1"/>
  <c r="I81" i="8" s="1"/>
  <c r="B96" i="1"/>
  <c r="A97" i="1"/>
  <c r="A83" i="8" l="1"/>
  <c r="C83" i="8" s="1"/>
  <c r="B82" i="8"/>
  <c r="D82" i="8" s="1"/>
  <c r="I82" i="8" s="1"/>
  <c r="B97" i="1"/>
  <c r="A98" i="1"/>
  <c r="B83" i="8" l="1"/>
  <c r="D83" i="8" s="1"/>
  <c r="I83" i="8" s="1"/>
  <c r="A85" i="8"/>
  <c r="C85" i="8" s="1"/>
  <c r="A99" i="1"/>
  <c r="B98" i="1"/>
  <c r="B85" i="8" l="1"/>
  <c r="D85" i="8" s="1"/>
  <c r="I85" i="8" s="1"/>
  <c r="A86" i="8"/>
  <c r="C86" i="8" s="1"/>
  <c r="A100" i="1"/>
  <c r="B99" i="1"/>
  <c r="B86" i="8" l="1"/>
  <c r="D86" i="8" s="1"/>
  <c r="I86" i="8" s="1"/>
  <c r="A87" i="8"/>
  <c r="C87" i="8" s="1"/>
  <c r="A101" i="1"/>
  <c r="B100" i="1"/>
  <c r="A88" i="8" l="1"/>
  <c r="C88" i="8" s="1"/>
  <c r="B87" i="8"/>
  <c r="D87" i="8" s="1"/>
  <c r="I87" i="8" s="1"/>
  <c r="A102" i="1"/>
  <c r="B101" i="1"/>
  <c r="A89" i="8" l="1"/>
  <c r="C89" i="8" s="1"/>
  <c r="B88" i="8"/>
  <c r="D88" i="8" s="1"/>
  <c r="I88" i="8" s="1"/>
  <c r="A103" i="1"/>
  <c r="B102" i="1"/>
  <c r="B89" i="8" l="1"/>
  <c r="D89" i="8" s="1"/>
  <c r="I89" i="8" s="1"/>
  <c r="A90" i="8"/>
  <c r="C90" i="8" s="1"/>
  <c r="A104" i="1"/>
  <c r="B103" i="1"/>
  <c r="B90" i="8" l="1"/>
  <c r="D90" i="8" s="1"/>
  <c r="I90" i="8" s="1"/>
  <c r="A91" i="8"/>
  <c r="C91" i="8" s="1"/>
  <c r="B104" i="1"/>
  <c r="A105" i="1"/>
  <c r="A92" i="8" l="1"/>
  <c r="C92" i="8" s="1"/>
  <c r="B91" i="8"/>
  <c r="D91" i="8" s="1"/>
  <c r="I91" i="8" s="1"/>
  <c r="B105" i="1"/>
  <c r="A106" i="1"/>
  <c r="B92" i="8" l="1"/>
  <c r="D92" i="8" s="1"/>
  <c r="I92" i="8" s="1"/>
  <c r="A94" i="8"/>
  <c r="C94" i="8" s="1"/>
  <c r="A108" i="1"/>
  <c r="B106" i="1"/>
  <c r="B94" i="8" l="1"/>
  <c r="D94" i="8" s="1"/>
  <c r="I94" i="8" s="1"/>
  <c r="A95" i="8"/>
  <c r="C95" i="8" s="1"/>
  <c r="B108" i="1"/>
  <c r="A109" i="1"/>
  <c r="A96" i="8" l="1"/>
  <c r="C96" i="8" s="1"/>
  <c r="B95" i="8"/>
  <c r="D95" i="8" s="1"/>
  <c r="I95" i="8" s="1"/>
  <c r="A110" i="1"/>
  <c r="B109" i="1"/>
  <c r="A97" i="8" l="1"/>
  <c r="C97" i="8" s="1"/>
  <c r="B96" i="8"/>
  <c r="D96" i="8" s="1"/>
  <c r="I96" i="8" s="1"/>
  <c r="A111" i="1"/>
  <c r="B110" i="1"/>
  <c r="A98" i="8" l="1"/>
  <c r="C98" i="8" s="1"/>
  <c r="B97" i="8"/>
  <c r="D97" i="8" s="1"/>
  <c r="I97" i="8" s="1"/>
  <c r="B111" i="1"/>
  <c r="A112" i="1"/>
  <c r="B98" i="8" l="1"/>
  <c r="D98" i="8" s="1"/>
  <c r="I98" i="8" s="1"/>
  <c r="A99" i="8"/>
  <c r="C99" i="8" s="1"/>
  <c r="A113" i="1"/>
  <c r="B112" i="1"/>
  <c r="A100" i="8" l="1"/>
  <c r="C100" i="8" s="1"/>
  <c r="B99" i="8"/>
  <c r="D99" i="8" s="1"/>
  <c r="I99" i="8" s="1"/>
  <c r="A114" i="1"/>
  <c r="B113" i="1"/>
  <c r="A101" i="8" l="1"/>
  <c r="C101" i="8" s="1"/>
  <c r="B100" i="8"/>
  <c r="D100" i="8" s="1"/>
  <c r="I100" i="8" s="1"/>
  <c r="A115" i="1"/>
  <c r="B114" i="1"/>
  <c r="A102" i="8" l="1"/>
  <c r="C102" i="8" s="1"/>
  <c r="B101" i="8"/>
  <c r="D101" i="8" s="1"/>
  <c r="I101" i="8" s="1"/>
  <c r="A116" i="1"/>
  <c r="B115" i="1"/>
  <c r="B102" i="8" l="1"/>
  <c r="D102" i="8" s="1"/>
  <c r="I102" i="8" s="1"/>
  <c r="A103" i="8"/>
  <c r="C103" i="8" s="1"/>
  <c r="A117" i="1"/>
  <c r="B116" i="1"/>
  <c r="A104" i="8" l="1"/>
  <c r="C104" i="8" s="1"/>
  <c r="B103" i="8"/>
  <c r="D103" i="8" s="1"/>
  <c r="I103" i="8" s="1"/>
  <c r="B117" i="1"/>
  <c r="A119" i="1"/>
  <c r="A105" i="8" l="1"/>
  <c r="C105" i="8" s="1"/>
  <c r="B104" i="8"/>
  <c r="D104" i="8" s="1"/>
  <c r="I104" i="8" s="1"/>
  <c r="A120" i="1"/>
  <c r="B119" i="1"/>
  <c r="A106" i="8" l="1"/>
  <c r="C106" i="8" s="1"/>
  <c r="B105" i="8"/>
  <c r="D105" i="8" s="1"/>
  <c r="I105" i="8" s="1"/>
  <c r="A121" i="1"/>
  <c r="B120" i="1"/>
  <c r="B106" i="8" l="1"/>
  <c r="D106" i="8" s="1"/>
  <c r="I106" i="8" s="1"/>
  <c r="A108" i="8"/>
  <c r="C108" i="8" s="1"/>
  <c r="A122" i="1"/>
  <c r="B121" i="1"/>
  <c r="A109" i="8" l="1"/>
  <c r="C109" i="8" s="1"/>
  <c r="B108" i="8"/>
  <c r="D108" i="8" s="1"/>
  <c r="I108" i="8" s="1"/>
  <c r="B122" i="1"/>
  <c r="A123" i="1"/>
  <c r="A110" i="8" l="1"/>
  <c r="C110" i="8" s="1"/>
  <c r="B109" i="8"/>
  <c r="D109" i="8" s="1"/>
  <c r="I109" i="8" s="1"/>
  <c r="B123" i="1"/>
  <c r="A124" i="1"/>
  <c r="A111" i="8" l="1"/>
  <c r="C111" i="8" s="1"/>
  <c r="B110" i="8"/>
  <c r="D110" i="8" s="1"/>
  <c r="I110" i="8" s="1"/>
  <c r="A125" i="1"/>
  <c r="A126" i="1" s="1"/>
  <c r="A128" i="1" s="1"/>
  <c r="B124" i="1"/>
  <c r="B111" i="8" l="1"/>
  <c r="D111" i="8" s="1"/>
  <c r="I111" i="8" s="1"/>
  <c r="A112" i="8"/>
  <c r="C112" i="8" s="1"/>
  <c r="B126" i="1"/>
  <c r="B125" i="1"/>
  <c r="A113" i="8" l="1"/>
  <c r="C113" i="8" s="1"/>
  <c r="B112" i="8"/>
  <c r="D112" i="8" s="1"/>
  <c r="I112" i="8" s="1"/>
  <c r="A129" i="1"/>
  <c r="B128" i="1"/>
  <c r="A114" i="8" l="1"/>
  <c r="C114" i="8" s="1"/>
  <c r="B113" i="8"/>
  <c r="D113" i="8" s="1"/>
  <c r="I113" i="8" s="1"/>
  <c r="A130" i="1"/>
  <c r="B129" i="1"/>
  <c r="B114" i="8" l="1"/>
  <c r="D114" i="8" s="1"/>
  <c r="I114" i="8" s="1"/>
  <c r="A115" i="8"/>
  <c r="C115" i="8" s="1"/>
  <c r="B130" i="1"/>
  <c r="A131" i="1"/>
  <c r="B115" i="8" l="1"/>
  <c r="D115" i="8" s="1"/>
  <c r="I115" i="8" s="1"/>
  <c r="A116" i="8"/>
  <c r="C116" i="8" s="1"/>
  <c r="A132" i="1"/>
  <c r="B131" i="1"/>
  <c r="A117" i="8" l="1"/>
  <c r="C117" i="8" s="1"/>
  <c r="B116" i="8"/>
  <c r="D116" i="8" s="1"/>
  <c r="I116" i="8" s="1"/>
  <c r="B132" i="1"/>
  <c r="A133" i="1"/>
  <c r="A119" i="8" l="1"/>
  <c r="C119" i="8" s="1"/>
  <c r="B117" i="8"/>
  <c r="D117" i="8" s="1"/>
  <c r="I117" i="8" s="1"/>
  <c r="B133" i="1"/>
  <c r="A134" i="1"/>
  <c r="A135" i="1" s="1"/>
  <c r="B119" i="8" l="1"/>
  <c r="D119" i="8" s="1"/>
  <c r="I119" i="8" s="1"/>
  <c r="A120" i="8"/>
  <c r="C120" i="8" s="1"/>
  <c r="B134" i="1"/>
  <c r="B120" i="8" l="1"/>
  <c r="D120" i="8" s="1"/>
  <c r="I120" i="8" s="1"/>
  <c r="A121" i="8"/>
  <c r="C121" i="8" s="1"/>
  <c r="B135" i="1"/>
  <c r="A136" i="1"/>
  <c r="B121" i="8" l="1"/>
  <c r="D121" i="8" s="1"/>
  <c r="I121" i="8" s="1"/>
  <c r="A122" i="8"/>
  <c r="C122" i="8" s="1"/>
  <c r="B136" i="1"/>
  <c r="A137" i="1"/>
  <c r="A123" i="8" l="1"/>
  <c r="C123" i="8" s="1"/>
  <c r="B122" i="8"/>
  <c r="D122" i="8" s="1"/>
  <c r="I122" i="8" s="1"/>
  <c r="A138" i="1"/>
  <c r="B137" i="1"/>
  <c r="A124" i="8" l="1"/>
  <c r="C124" i="8" s="1"/>
  <c r="B123" i="8"/>
  <c r="D123" i="8" s="1"/>
  <c r="I123" i="8" s="1"/>
  <c r="A139" i="1"/>
  <c r="B138" i="1"/>
  <c r="B124" i="8" l="1"/>
  <c r="D124" i="8" s="1"/>
  <c r="I124" i="8" s="1"/>
  <c r="A125" i="8"/>
  <c r="C125" i="8" s="1"/>
  <c r="A140" i="1"/>
  <c r="B139" i="1"/>
  <c r="B125" i="8" l="1"/>
  <c r="D125" i="8" s="1"/>
  <c r="I125" i="8" s="1"/>
  <c r="A126" i="8"/>
  <c r="C126" i="8" s="1"/>
  <c r="B140" i="1"/>
  <c r="A141" i="1"/>
  <c r="A143" i="1" s="1"/>
  <c r="A128" i="8" l="1"/>
  <c r="C128" i="8" s="1"/>
  <c r="B126" i="8"/>
  <c r="D126" i="8" s="1"/>
  <c r="I126" i="8" s="1"/>
  <c r="B141" i="1"/>
  <c r="B143" i="1"/>
  <c r="A129" i="8" l="1"/>
  <c r="C129" i="8" s="1"/>
  <c r="B128" i="8"/>
  <c r="D128" i="8" s="1"/>
  <c r="I128" i="8" s="1"/>
  <c r="A144" i="1"/>
  <c r="A145" i="1" s="1"/>
  <c r="B129" i="8" l="1"/>
  <c r="D129" i="8" s="1"/>
  <c r="I129" i="8" s="1"/>
  <c r="A130" i="8"/>
  <c r="C130" i="8" s="1"/>
  <c r="B144" i="1"/>
  <c r="B145" i="1"/>
  <c r="A146" i="1"/>
  <c r="A131" i="8" l="1"/>
  <c r="C131" i="8" s="1"/>
  <c r="B130" i="8"/>
  <c r="D130" i="8" s="1"/>
  <c r="I130" i="8" s="1"/>
  <c r="B146" i="1"/>
  <c r="A147" i="1"/>
  <c r="A132" i="8" l="1"/>
  <c r="C132" i="8" s="1"/>
  <c r="B131" i="8"/>
  <c r="D131" i="8" s="1"/>
  <c r="I131" i="8" s="1"/>
  <c r="B147" i="1"/>
  <c r="A148" i="1"/>
  <c r="A133" i="8" l="1"/>
  <c r="C133" i="8" s="1"/>
  <c r="B132" i="8"/>
  <c r="D132" i="8" s="1"/>
  <c r="I132" i="8" s="1"/>
  <c r="B148" i="1"/>
  <c r="A149" i="1"/>
  <c r="B133" i="8" l="1"/>
  <c r="D133" i="8" s="1"/>
  <c r="I133" i="8" s="1"/>
  <c r="A134" i="8"/>
  <c r="C134" i="8" s="1"/>
  <c r="A150" i="1"/>
  <c r="B149" i="1"/>
  <c r="A135" i="8" l="1"/>
  <c r="C135" i="8" s="1"/>
  <c r="B134" i="8"/>
  <c r="D134" i="8" s="1"/>
  <c r="I134" i="8" s="1"/>
  <c r="B150" i="1"/>
  <c r="A151" i="1"/>
  <c r="A136" i="8" l="1"/>
  <c r="C136" i="8" s="1"/>
  <c r="B135" i="8"/>
  <c r="D135" i="8" s="1"/>
  <c r="I135" i="8" s="1"/>
  <c r="A152" i="1"/>
  <c r="B151" i="1"/>
  <c r="A137" i="8" l="1"/>
  <c r="C137" i="8" s="1"/>
  <c r="B136" i="8"/>
  <c r="D136" i="8" s="1"/>
  <c r="I136" i="8" s="1"/>
  <c r="B152" i="1"/>
  <c r="A153" i="1"/>
  <c r="B137" i="8" l="1"/>
  <c r="D137" i="8" s="1"/>
  <c r="I137" i="8" s="1"/>
  <c r="A138" i="8"/>
  <c r="C138" i="8" s="1"/>
  <c r="A154" i="1"/>
  <c r="B153" i="1"/>
  <c r="A139" i="8" l="1"/>
  <c r="C139" i="8" s="1"/>
  <c r="B138" i="8"/>
  <c r="D138" i="8" s="1"/>
  <c r="I138" i="8" s="1"/>
  <c r="A155" i="1"/>
  <c r="B154" i="1"/>
  <c r="A140" i="8" l="1"/>
  <c r="C140" i="8" s="1"/>
  <c r="B139" i="8"/>
  <c r="D139" i="8" s="1"/>
  <c r="I139" i="8" s="1"/>
  <c r="A156" i="1"/>
  <c r="B155" i="1"/>
  <c r="A141" i="8" l="1"/>
  <c r="C141" i="8" s="1"/>
  <c r="B140" i="8"/>
  <c r="D140" i="8" s="1"/>
  <c r="I140" i="8" s="1"/>
  <c r="B156" i="1"/>
  <c r="A157" i="1"/>
  <c r="B141" i="8" l="1"/>
  <c r="D141" i="8" s="1"/>
  <c r="I141" i="8" s="1"/>
  <c r="A143" i="8"/>
  <c r="C143" i="8" s="1"/>
  <c r="B157" i="1"/>
  <c r="A159" i="1"/>
  <c r="A144" i="8" l="1"/>
  <c r="C144" i="8" s="1"/>
  <c r="B143" i="8"/>
  <c r="D143" i="8" s="1"/>
  <c r="I143" i="8" s="1"/>
  <c r="B159" i="1"/>
  <c r="A160" i="1"/>
  <c r="A145" i="8" l="1"/>
  <c r="C145" i="8" s="1"/>
  <c r="B144" i="8"/>
  <c r="D144" i="8" s="1"/>
  <c r="I144" i="8" s="1"/>
  <c r="A161" i="1"/>
  <c r="B160" i="1"/>
  <c r="A146" i="8" l="1"/>
  <c r="C146" i="8" s="1"/>
  <c r="B145" i="8"/>
  <c r="D145" i="8" s="1"/>
  <c r="I145" i="8" s="1"/>
  <c r="B161" i="1"/>
  <c r="A162" i="1"/>
  <c r="B146" i="8" l="1"/>
  <c r="D146" i="8" s="1"/>
  <c r="I146" i="8" s="1"/>
  <c r="A147" i="8"/>
  <c r="C147" i="8" s="1"/>
  <c r="B162" i="1"/>
  <c r="A163" i="1"/>
  <c r="A148" i="8" l="1"/>
  <c r="C148" i="8" s="1"/>
  <c r="B147" i="8"/>
  <c r="D147" i="8" s="1"/>
  <c r="I147" i="8" s="1"/>
  <c r="B163" i="1"/>
  <c r="A164" i="1"/>
  <c r="A149" i="8" l="1"/>
  <c r="C149" i="8" s="1"/>
  <c r="B148" i="8"/>
  <c r="D148" i="8" s="1"/>
  <c r="I148" i="8" s="1"/>
  <c r="A165" i="1"/>
  <c r="B164" i="1"/>
  <c r="B149" i="8" l="1"/>
  <c r="D149" i="8" s="1"/>
  <c r="I149" i="8" s="1"/>
  <c r="A150" i="8"/>
  <c r="C150" i="8" s="1"/>
  <c r="A166" i="1"/>
  <c r="A168" i="1" s="1"/>
  <c r="B165" i="1"/>
  <c r="B150" i="8" l="1"/>
  <c r="D150" i="8" s="1"/>
  <c r="I150" i="8" s="1"/>
  <c r="A151" i="8"/>
  <c r="C151" i="8" s="1"/>
  <c r="B166" i="1"/>
  <c r="A152" i="8" l="1"/>
  <c r="C152" i="8" s="1"/>
  <c r="B151" i="8"/>
  <c r="D151" i="8" s="1"/>
  <c r="I151" i="8" s="1"/>
  <c r="A169" i="1"/>
  <c r="B168" i="1"/>
  <c r="A153" i="8" l="1"/>
  <c r="C153" i="8" s="1"/>
  <c r="B152" i="8"/>
  <c r="D152" i="8" s="1"/>
  <c r="I152" i="8" s="1"/>
  <c r="A170" i="1"/>
  <c r="B169" i="1"/>
  <c r="B153" i="8" l="1"/>
  <c r="D153" i="8" s="1"/>
  <c r="I153" i="8" s="1"/>
  <c r="A154" i="8"/>
  <c r="C154" i="8" s="1"/>
  <c r="A171" i="1"/>
  <c r="B170" i="1"/>
  <c r="B154" i="8" l="1"/>
  <c r="D154" i="8" s="1"/>
  <c r="I154" i="8" s="1"/>
  <c r="A155" i="8"/>
  <c r="C155" i="8" s="1"/>
  <c r="B171" i="1"/>
  <c r="A172" i="1"/>
  <c r="B155" i="8" l="1"/>
  <c r="D155" i="8" s="1"/>
  <c r="I155" i="8" s="1"/>
  <c r="A156" i="8"/>
  <c r="C156" i="8" s="1"/>
  <c r="B172" i="1"/>
  <c r="A173" i="1"/>
  <c r="A157" i="8" l="1"/>
  <c r="C157" i="8" s="1"/>
  <c r="B156" i="8"/>
  <c r="D156" i="8" s="1"/>
  <c r="I156" i="8" s="1"/>
  <c r="B173" i="1"/>
  <c r="A174" i="1"/>
  <c r="A159" i="8" l="1"/>
  <c r="C159" i="8" s="1"/>
  <c r="B157" i="8"/>
  <c r="D157" i="8" s="1"/>
  <c r="I157" i="8" s="1"/>
  <c r="B174" i="1"/>
  <c r="A175" i="1"/>
  <c r="B159" i="8" l="1"/>
  <c r="D159" i="8" s="1"/>
  <c r="I159" i="8" s="1"/>
  <c r="A160" i="8"/>
  <c r="C160" i="8" s="1"/>
  <c r="B175" i="1"/>
  <c r="A176" i="1"/>
  <c r="B160" i="8" l="1"/>
  <c r="D160" i="8" s="1"/>
  <c r="I160" i="8" s="1"/>
  <c r="A161" i="8"/>
  <c r="C161" i="8" s="1"/>
  <c r="B176" i="1"/>
  <c r="A177" i="1"/>
  <c r="A162" i="8" l="1"/>
  <c r="C162" i="8" s="1"/>
  <c r="B161" i="8"/>
  <c r="D161" i="8" s="1"/>
  <c r="I161" i="8" s="1"/>
  <c r="A178" i="1"/>
  <c r="B177" i="1"/>
  <c r="A163" i="8" l="1"/>
  <c r="C163" i="8" s="1"/>
  <c r="B162" i="8"/>
  <c r="D162" i="8" s="1"/>
  <c r="I162" i="8" s="1"/>
  <c r="B178" i="1"/>
  <c r="A179" i="1"/>
  <c r="B163" i="8" l="1"/>
  <c r="D163" i="8" s="1"/>
  <c r="I163" i="8" s="1"/>
  <c r="A164" i="8"/>
  <c r="C164" i="8" s="1"/>
  <c r="B179" i="1"/>
  <c r="A180" i="1"/>
  <c r="A165" i="8" l="1"/>
  <c r="C165" i="8" s="1"/>
  <c r="B164" i="8"/>
  <c r="D164" i="8" s="1"/>
  <c r="I164" i="8" s="1"/>
  <c r="B180" i="1"/>
  <c r="A181" i="1"/>
  <c r="A166" i="8" l="1"/>
  <c r="C166" i="8" s="1"/>
  <c r="B165" i="8"/>
  <c r="D165" i="8" s="1"/>
  <c r="I165" i="8" s="1"/>
  <c r="B181" i="1"/>
  <c r="A182" i="1"/>
  <c r="A168" i="8" l="1"/>
  <c r="C168" i="8" s="1"/>
  <c r="B166" i="8"/>
  <c r="D166" i="8" s="1"/>
  <c r="I166" i="8" s="1"/>
  <c r="A183" i="1"/>
  <c r="B182" i="1"/>
  <c r="B168" i="8" l="1"/>
  <c r="D168" i="8" s="1"/>
  <c r="I168" i="8" s="1"/>
  <c r="A169" i="8"/>
  <c r="C169" i="8" s="1"/>
  <c r="B183" i="1"/>
  <c r="A185" i="1"/>
  <c r="B169" i="8" l="1"/>
  <c r="D169" i="8" s="1"/>
  <c r="I169" i="8" s="1"/>
  <c r="A170" i="8"/>
  <c r="C170" i="8" s="1"/>
  <c r="B185" i="1"/>
  <c r="A186" i="1"/>
  <c r="A171" i="8" l="1"/>
  <c r="C171" i="8" s="1"/>
  <c r="B170" i="8"/>
  <c r="D170" i="8" s="1"/>
  <c r="I170" i="8" s="1"/>
  <c r="B186" i="1"/>
  <c r="A187" i="1"/>
  <c r="A172" i="8" l="1"/>
  <c r="C172" i="8" s="1"/>
  <c r="B171" i="8"/>
  <c r="D171" i="8" s="1"/>
  <c r="I171" i="8" s="1"/>
  <c r="A188" i="1"/>
  <c r="B187" i="1"/>
  <c r="B172" i="8" l="1"/>
  <c r="D172" i="8" s="1"/>
  <c r="I172" i="8" s="1"/>
  <c r="A173" i="8"/>
  <c r="C173" i="8" s="1"/>
  <c r="A189" i="1"/>
  <c r="B188" i="1"/>
  <c r="A174" i="8" l="1"/>
  <c r="C174" i="8" s="1"/>
  <c r="B173" i="8"/>
  <c r="D173" i="8" s="1"/>
  <c r="I173" i="8" s="1"/>
  <c r="B189" i="1"/>
  <c r="A190" i="1"/>
  <c r="A175" i="8" l="1"/>
  <c r="C175" i="8" s="1"/>
  <c r="B174" i="8"/>
  <c r="D174" i="8" s="1"/>
  <c r="I174" i="8" s="1"/>
  <c r="A191" i="1"/>
  <c r="B190" i="1"/>
  <c r="A176" i="8" l="1"/>
  <c r="C176" i="8" s="1"/>
  <c r="B175" i="8"/>
  <c r="D175" i="8" s="1"/>
  <c r="I175" i="8" s="1"/>
  <c r="A193" i="1"/>
  <c r="B191" i="1"/>
  <c r="B176" i="8" l="1"/>
  <c r="D176" i="8" s="1"/>
  <c r="I176" i="8" s="1"/>
  <c r="A177" i="8"/>
  <c r="C177" i="8" s="1"/>
  <c r="B193" i="1"/>
  <c r="A194" i="1"/>
  <c r="A178" i="8" l="1"/>
  <c r="C178" i="8" s="1"/>
  <c r="B177" i="8"/>
  <c r="D177" i="8" s="1"/>
  <c r="I177" i="8" s="1"/>
  <c r="B194" i="1"/>
  <c r="A195" i="1"/>
  <c r="A179" i="8" l="1"/>
  <c r="C179" i="8" s="1"/>
  <c r="B178" i="8"/>
  <c r="D178" i="8" s="1"/>
  <c r="I178" i="8" s="1"/>
  <c r="B195" i="1"/>
  <c r="A196" i="1"/>
  <c r="A180" i="8" l="1"/>
  <c r="C180" i="8" s="1"/>
  <c r="B179" i="8"/>
  <c r="D179" i="8" s="1"/>
  <c r="I179" i="8" s="1"/>
  <c r="A197" i="1"/>
  <c r="B196" i="1"/>
  <c r="B180" i="8" l="1"/>
  <c r="D180" i="8" s="1"/>
  <c r="I180" i="8" s="1"/>
  <c r="A181" i="8"/>
  <c r="C181" i="8" s="1"/>
  <c r="B197" i="1"/>
  <c r="A198" i="1"/>
  <c r="A182" i="8" l="1"/>
  <c r="C182" i="8" s="1"/>
  <c r="B181" i="8"/>
  <c r="D181" i="8" s="1"/>
  <c r="I181" i="8" s="1"/>
  <c r="A199" i="1"/>
  <c r="B198" i="1"/>
  <c r="A183" i="8" l="1"/>
  <c r="C183" i="8" s="1"/>
  <c r="B182" i="8"/>
  <c r="D182" i="8" s="1"/>
  <c r="I182" i="8" s="1"/>
  <c r="A200" i="1"/>
  <c r="B199" i="1"/>
  <c r="B183" i="8" l="1"/>
  <c r="D183" i="8" s="1"/>
  <c r="I183" i="8" s="1"/>
  <c r="A185" i="8"/>
  <c r="C185" i="8" s="1"/>
  <c r="A202" i="1"/>
  <c r="B202" i="1" s="1"/>
  <c r="B200" i="1"/>
  <c r="B185" i="8" l="1"/>
  <c r="D185" i="8" s="1"/>
  <c r="I185" i="8" s="1"/>
  <c r="A186" i="8"/>
  <c r="C186" i="8" s="1"/>
  <c r="A203" i="1"/>
  <c r="A187" i="8" l="1"/>
  <c r="C187" i="8" s="1"/>
  <c r="B186" i="8"/>
  <c r="D186" i="8" s="1"/>
  <c r="I186" i="8" s="1"/>
  <c r="B203" i="1"/>
  <c r="A204" i="1"/>
  <c r="A188" i="8" l="1"/>
  <c r="C188" i="8" s="1"/>
  <c r="B187" i="8"/>
  <c r="D187" i="8" s="1"/>
  <c r="I187" i="8" s="1"/>
  <c r="B204" i="1"/>
  <c r="A205" i="1"/>
  <c r="B188" i="8" l="1"/>
  <c r="D188" i="8" s="1"/>
  <c r="I188" i="8" s="1"/>
  <c r="A189" i="8"/>
  <c r="C189" i="8" s="1"/>
  <c r="B205" i="1"/>
  <c r="A206" i="1"/>
  <c r="B189" i="8" l="1"/>
  <c r="D189" i="8" s="1"/>
  <c r="I189" i="8" s="1"/>
  <c r="A190" i="8"/>
  <c r="C190" i="8" s="1"/>
  <c r="B206" i="1"/>
  <c r="A207" i="1"/>
  <c r="B190" i="8" l="1"/>
  <c r="D190" i="8" s="1"/>
  <c r="I190" i="8" s="1"/>
  <c r="A191" i="8"/>
  <c r="C191" i="8" s="1"/>
  <c r="B207" i="1"/>
  <c r="A208" i="1"/>
  <c r="A209" i="1" s="1"/>
  <c r="A193" i="8" l="1"/>
  <c r="C193" i="8" s="1"/>
  <c r="B191" i="8"/>
  <c r="D191" i="8" s="1"/>
  <c r="I191" i="8" s="1"/>
  <c r="B208" i="1"/>
  <c r="A194" i="8" l="1"/>
  <c r="C194" i="8" s="1"/>
  <c r="B193" i="8"/>
  <c r="D193" i="8" s="1"/>
  <c r="I193" i="8" s="1"/>
  <c r="B209" i="1"/>
  <c r="A210" i="1"/>
  <c r="B194" i="8" l="1"/>
  <c r="D194" i="8" s="1"/>
  <c r="I194" i="8" s="1"/>
  <c r="A195" i="8"/>
  <c r="C195" i="8" s="1"/>
  <c r="B210" i="1"/>
  <c r="A211" i="1"/>
  <c r="B195" i="8" l="1"/>
  <c r="D195" i="8" s="1"/>
  <c r="I195" i="8" s="1"/>
  <c r="A196" i="8"/>
  <c r="C196" i="8" s="1"/>
  <c r="B211" i="1"/>
  <c r="A212" i="1"/>
  <c r="A197" i="8" l="1"/>
  <c r="C197" i="8" s="1"/>
  <c r="B196" i="8"/>
  <c r="D196" i="8" s="1"/>
  <c r="I196" i="8" s="1"/>
  <c r="B212" i="1"/>
  <c r="A213" i="1"/>
  <c r="A198" i="8" l="1"/>
  <c r="C198" i="8" s="1"/>
  <c r="B197" i="8"/>
  <c r="D197" i="8" s="1"/>
  <c r="I197" i="8" s="1"/>
  <c r="A214" i="1"/>
  <c r="A216" i="1" s="1"/>
  <c r="B213" i="1"/>
  <c r="B198" i="8" l="1"/>
  <c r="D198" i="8" s="1"/>
  <c r="I198" i="8" s="1"/>
  <c r="A199" i="8"/>
  <c r="C199" i="8" s="1"/>
  <c r="B214" i="1"/>
  <c r="A200" i="8" l="1"/>
  <c r="C200" i="8" s="1"/>
  <c r="B199" i="8"/>
  <c r="D199" i="8" s="1"/>
  <c r="I199" i="8" s="1"/>
  <c r="B216" i="1"/>
  <c r="A217" i="1"/>
  <c r="A202" i="8" l="1"/>
  <c r="C202" i="8" s="1"/>
  <c r="B200" i="8"/>
  <c r="D200" i="8" s="1"/>
  <c r="I200" i="8" s="1"/>
  <c r="B217" i="1"/>
  <c r="A218" i="1"/>
  <c r="A203" i="8" l="1"/>
  <c r="C203" i="8" s="1"/>
  <c r="B202" i="8"/>
  <c r="D202" i="8" s="1"/>
  <c r="I202" i="8" s="1"/>
  <c r="B218" i="1"/>
  <c r="A219" i="1"/>
  <c r="B203" i="8" l="1"/>
  <c r="D203" i="8" s="1"/>
  <c r="I203" i="8" s="1"/>
  <c r="A204" i="8"/>
  <c r="C204" i="8" s="1"/>
  <c r="A220" i="1"/>
  <c r="B219" i="1"/>
  <c r="B204" i="8" l="1"/>
  <c r="D204" i="8" s="1"/>
  <c r="I204" i="8" s="1"/>
  <c r="A205" i="8"/>
  <c r="C205" i="8" s="1"/>
  <c r="B220" i="1"/>
  <c r="A221" i="1"/>
  <c r="A206" i="8" l="1"/>
  <c r="C206" i="8" s="1"/>
  <c r="B205" i="8"/>
  <c r="D205" i="8" s="1"/>
  <c r="I205" i="8" s="1"/>
  <c r="B221" i="1"/>
  <c r="A222" i="1"/>
  <c r="A207" i="8" l="1"/>
  <c r="C207" i="8" s="1"/>
  <c r="B206" i="8"/>
  <c r="D206" i="8" s="1"/>
  <c r="I206" i="8" s="1"/>
  <c r="B222" i="1"/>
  <c r="A223" i="1"/>
  <c r="B207" i="8" l="1"/>
  <c r="D207" i="8" s="1"/>
  <c r="I207" i="8" s="1"/>
  <c r="A208" i="8"/>
  <c r="C208" i="8" s="1"/>
  <c r="B223" i="1"/>
  <c r="A224" i="1"/>
  <c r="A209" i="8" l="1"/>
  <c r="C209" i="8" s="1"/>
  <c r="B208" i="8"/>
  <c r="D208" i="8" s="1"/>
  <c r="I208" i="8" s="1"/>
  <c r="B224" i="1"/>
  <c r="A225" i="1"/>
  <c r="A210" i="8" l="1"/>
  <c r="C210" i="8" s="1"/>
  <c r="B209" i="8"/>
  <c r="D209" i="8" s="1"/>
  <c r="I209" i="8" s="1"/>
  <c r="B225" i="1"/>
  <c r="A226" i="1"/>
  <c r="A211" i="8" l="1"/>
  <c r="C211" i="8" s="1"/>
  <c r="B210" i="8"/>
  <c r="D210" i="8" s="1"/>
  <c r="I210" i="8" s="1"/>
  <c r="B226" i="1"/>
  <c r="A227" i="1"/>
  <c r="A228" i="1" s="1"/>
  <c r="B211" i="8" l="1"/>
  <c r="D211" i="8" s="1"/>
  <c r="I211" i="8" s="1"/>
  <c r="A212" i="8"/>
  <c r="C212" i="8" s="1"/>
  <c r="A229" i="1"/>
  <c r="A230" i="1" s="1"/>
  <c r="B228" i="1"/>
  <c r="B227" i="1"/>
  <c r="A213" i="8" l="1"/>
  <c r="C213" i="8" s="1"/>
  <c r="B212" i="8"/>
  <c r="D212" i="8" s="1"/>
  <c r="I212" i="8" s="1"/>
  <c r="A231" i="1"/>
  <c r="A232" i="1" s="1"/>
  <c r="B230" i="1"/>
  <c r="B229" i="1"/>
  <c r="A214" i="8" l="1"/>
  <c r="C214" i="8" s="1"/>
  <c r="B213" i="8"/>
  <c r="D213" i="8" s="1"/>
  <c r="I213" i="8" s="1"/>
  <c r="B231" i="1"/>
  <c r="B232" i="1"/>
  <c r="A234" i="1"/>
  <c r="A216" i="8" l="1"/>
  <c r="C216" i="8" s="1"/>
  <c r="B214" i="8"/>
  <c r="D214" i="8" s="1"/>
  <c r="I214" i="8" s="1"/>
  <c r="B234" i="1"/>
  <c r="A235" i="1"/>
  <c r="A217" i="8" l="1"/>
  <c r="C217" i="8" s="1"/>
  <c r="B216" i="8"/>
  <c r="D216" i="8" s="1"/>
  <c r="I216" i="8" s="1"/>
  <c r="B235" i="1"/>
  <c r="A236" i="1"/>
  <c r="B217" i="8" l="1"/>
  <c r="D217" i="8" s="1"/>
  <c r="I217" i="8" s="1"/>
  <c r="A218" i="8"/>
  <c r="C218" i="8" s="1"/>
  <c r="B236" i="1"/>
  <c r="A237" i="1"/>
  <c r="A219" i="8" l="1"/>
  <c r="C219" i="8" s="1"/>
  <c r="B218" i="8"/>
  <c r="D218" i="8" s="1"/>
  <c r="I218" i="8" s="1"/>
  <c r="B237" i="1"/>
  <c r="A238" i="1"/>
  <c r="A220" i="8" l="1"/>
  <c r="C220" i="8" s="1"/>
  <c r="B219" i="8"/>
  <c r="D219" i="8" s="1"/>
  <c r="I219" i="8" s="1"/>
  <c r="B238" i="1"/>
  <c r="A239" i="1"/>
  <c r="A221" i="8" l="1"/>
  <c r="C221" i="8" s="1"/>
  <c r="B220" i="8"/>
  <c r="D220" i="8" s="1"/>
  <c r="I220" i="8" s="1"/>
  <c r="B239" i="1"/>
  <c r="A240" i="1"/>
  <c r="B221" i="8" l="1"/>
  <c r="D221" i="8" s="1"/>
  <c r="I221" i="8" s="1"/>
  <c r="A222" i="8"/>
  <c r="C222" i="8" s="1"/>
  <c r="A241" i="1"/>
  <c r="A243" i="1" s="1"/>
  <c r="B240" i="1"/>
  <c r="A223" i="8" l="1"/>
  <c r="C223" i="8" s="1"/>
  <c r="B222" i="8"/>
  <c r="D222" i="8" s="1"/>
  <c r="I222" i="8" s="1"/>
  <c r="B241" i="1"/>
  <c r="A224" i="8" l="1"/>
  <c r="C224" i="8" s="1"/>
  <c r="B223" i="8"/>
  <c r="D223" i="8" s="1"/>
  <c r="I223" i="8" s="1"/>
  <c r="A244" i="1"/>
  <c r="B243" i="1"/>
  <c r="A225" i="8" l="1"/>
  <c r="C225" i="8" s="1"/>
  <c r="B224" i="8"/>
  <c r="D224" i="8" s="1"/>
  <c r="I224" i="8" s="1"/>
  <c r="A245" i="1"/>
  <c r="B244" i="1"/>
  <c r="A226" i="8" l="1"/>
  <c r="C226" i="8" s="1"/>
  <c r="B225" i="8"/>
  <c r="D225" i="8" s="1"/>
  <c r="I225" i="8" s="1"/>
  <c r="B245" i="1"/>
  <c r="A246" i="1"/>
  <c r="A227" i="8" l="1"/>
  <c r="C227" i="8" s="1"/>
  <c r="B226" i="8"/>
  <c r="D226" i="8" s="1"/>
  <c r="I226" i="8" s="1"/>
  <c r="A247" i="1"/>
  <c r="B246" i="1"/>
  <c r="A228" i="8" l="1"/>
  <c r="C228" i="8" s="1"/>
  <c r="B227" i="8"/>
  <c r="D227" i="8" s="1"/>
  <c r="I227" i="8" s="1"/>
  <c r="B247" i="1"/>
  <c r="A248" i="1"/>
  <c r="A229" i="8" l="1"/>
  <c r="C229" i="8" s="1"/>
  <c r="B228" i="8"/>
  <c r="D228" i="8" s="1"/>
  <c r="I228" i="8" s="1"/>
  <c r="A249" i="1"/>
  <c r="B248" i="1"/>
  <c r="B229" i="8" l="1"/>
  <c r="D229" i="8" s="1"/>
  <c r="I229" i="8" s="1"/>
  <c r="A230" i="8"/>
  <c r="C230" i="8" s="1"/>
  <c r="B249" i="1"/>
  <c r="A250" i="1"/>
  <c r="A231" i="8" l="1"/>
  <c r="C231" i="8" s="1"/>
  <c r="B230" i="8"/>
  <c r="D230" i="8" s="1"/>
  <c r="I230" i="8" s="1"/>
  <c r="A251" i="1"/>
  <c r="B250" i="1"/>
  <c r="A232" i="8" l="1"/>
  <c r="C232" i="8" s="1"/>
  <c r="B231" i="8"/>
  <c r="D231" i="8" s="1"/>
  <c r="I231" i="8" s="1"/>
  <c r="A252" i="1"/>
  <c r="B251" i="1"/>
  <c r="A234" i="8" l="1"/>
  <c r="C234" i="8" s="1"/>
  <c r="B232" i="8"/>
  <c r="D232" i="8" s="1"/>
  <c r="I232" i="8" s="1"/>
  <c r="B252" i="1"/>
  <c r="A253" i="1"/>
  <c r="A235" i="8" l="1"/>
  <c r="C235" i="8" s="1"/>
  <c r="B234" i="8"/>
  <c r="D234" i="8" s="1"/>
  <c r="I234" i="8" s="1"/>
  <c r="A254" i="1"/>
  <c r="B253" i="1"/>
  <c r="A236" i="8" l="1"/>
  <c r="C236" i="8" s="1"/>
  <c r="B235" i="8"/>
  <c r="D235" i="8" s="1"/>
  <c r="I235" i="8" s="1"/>
  <c r="A255" i="1"/>
  <c r="B254" i="1"/>
  <c r="A237" i="8" l="1"/>
  <c r="C237" i="8" s="1"/>
  <c r="B236" i="8"/>
  <c r="D236" i="8" s="1"/>
  <c r="I236" i="8" s="1"/>
  <c r="A257" i="1"/>
  <c r="B255" i="1"/>
  <c r="A238" i="8" l="1"/>
  <c r="C238" i="8" s="1"/>
  <c r="B237" i="8"/>
  <c r="D237" i="8" s="1"/>
  <c r="I237" i="8" s="1"/>
  <c r="A258" i="1"/>
  <c r="B257" i="1"/>
  <c r="A239" i="8" l="1"/>
  <c r="C239" i="8" s="1"/>
  <c r="B238" i="8"/>
  <c r="D238" i="8" s="1"/>
  <c r="I238" i="8" s="1"/>
  <c r="B258" i="1"/>
  <c r="A259" i="1"/>
  <c r="A240" i="8" l="1"/>
  <c r="C240" i="8" s="1"/>
  <c r="B239" i="8"/>
  <c r="D239" i="8" s="1"/>
  <c r="I239" i="8" s="1"/>
  <c r="B259" i="1"/>
  <c r="A260" i="1"/>
  <c r="A241" i="8" l="1"/>
  <c r="C241" i="8" s="1"/>
  <c r="B240" i="8"/>
  <c r="D240" i="8" s="1"/>
  <c r="I240" i="8" s="1"/>
  <c r="A261" i="1"/>
  <c r="B260" i="1"/>
  <c r="A243" i="8" l="1"/>
  <c r="C243" i="8" s="1"/>
  <c r="B241" i="8"/>
  <c r="D241" i="8" s="1"/>
  <c r="I241" i="8" s="1"/>
  <c r="B261" i="1"/>
  <c r="A262" i="1"/>
  <c r="A244" i="8" l="1"/>
  <c r="C244" i="8" s="1"/>
  <c r="B243" i="8"/>
  <c r="D243" i="8" s="1"/>
  <c r="I243" i="8" s="1"/>
  <c r="B262" i="1"/>
  <c r="A263" i="1"/>
  <c r="A245" i="8" l="1"/>
  <c r="C245" i="8" s="1"/>
  <c r="B244" i="8"/>
  <c r="D244" i="8" s="1"/>
  <c r="I244" i="8" s="1"/>
  <c r="A265" i="1"/>
  <c r="B263" i="1"/>
  <c r="A246" i="8" l="1"/>
  <c r="C246" i="8" s="1"/>
  <c r="B245" i="8"/>
  <c r="D245" i="8" s="1"/>
  <c r="I245" i="8" s="1"/>
  <c r="B265" i="1"/>
  <c r="A266" i="1"/>
  <c r="A247" i="8" l="1"/>
  <c r="C247" i="8" s="1"/>
  <c r="B246" i="8"/>
  <c r="D246" i="8" s="1"/>
  <c r="I246" i="8" s="1"/>
  <c r="B266" i="1"/>
  <c r="A267" i="1"/>
  <c r="B247" i="8" l="1"/>
  <c r="D247" i="8" s="1"/>
  <c r="I247" i="8" s="1"/>
  <c r="A248" i="8"/>
  <c r="C248" i="8" s="1"/>
  <c r="B267" i="1"/>
  <c r="A268" i="1"/>
  <c r="A249" i="8" l="1"/>
  <c r="C249" i="8" s="1"/>
  <c r="B248" i="8"/>
  <c r="D248" i="8" s="1"/>
  <c r="I248" i="8" s="1"/>
  <c r="B268" i="1"/>
  <c r="A269" i="1"/>
  <c r="A250" i="8" l="1"/>
  <c r="C250" i="8" s="1"/>
  <c r="B249" i="8"/>
  <c r="D249" i="8" s="1"/>
  <c r="I249" i="8" s="1"/>
  <c r="B269" i="1"/>
  <c r="A270" i="1"/>
  <c r="A251" i="8" l="1"/>
  <c r="C251" i="8" s="1"/>
  <c r="B250" i="8"/>
  <c r="D250" i="8" s="1"/>
  <c r="I250" i="8" s="1"/>
  <c r="A271" i="1"/>
  <c r="B270" i="1"/>
  <c r="B251" i="8" l="1"/>
  <c r="D251" i="8" s="1"/>
  <c r="I251" i="8" s="1"/>
  <c r="A252" i="8"/>
  <c r="C252" i="8" s="1"/>
  <c r="A272" i="1"/>
  <c r="A274" i="1" s="1"/>
  <c r="B271" i="1"/>
  <c r="A253" i="8" l="1"/>
  <c r="C253" i="8" s="1"/>
  <c r="B252" i="8"/>
  <c r="D252" i="8" s="1"/>
  <c r="I252" i="8" s="1"/>
  <c r="B272" i="1"/>
  <c r="A254" i="8" l="1"/>
  <c r="C254" i="8" s="1"/>
  <c r="B253" i="8"/>
  <c r="D253" i="8" s="1"/>
  <c r="I253" i="8" s="1"/>
  <c r="A275" i="1"/>
  <c r="B274" i="1"/>
  <c r="A255" i="8" l="1"/>
  <c r="C255" i="8" s="1"/>
  <c r="B254" i="8"/>
  <c r="D254" i="8" s="1"/>
  <c r="I254" i="8" s="1"/>
  <c r="A276" i="1"/>
  <c r="B275" i="1"/>
  <c r="B255" i="8" l="1"/>
  <c r="D255" i="8" s="1"/>
  <c r="I255" i="8" s="1"/>
  <c r="A257" i="8"/>
  <c r="C257" i="8" s="1"/>
  <c r="A277" i="1"/>
  <c r="B276" i="1"/>
  <c r="A258" i="8" l="1"/>
  <c r="C258" i="8" s="1"/>
  <c r="B257" i="8"/>
  <c r="D257" i="8" s="1"/>
  <c r="I257" i="8" s="1"/>
  <c r="A278" i="1"/>
  <c r="B277" i="1"/>
  <c r="A259" i="8" l="1"/>
  <c r="C259" i="8" s="1"/>
  <c r="B258" i="8"/>
  <c r="D258" i="8" s="1"/>
  <c r="I258" i="8" s="1"/>
  <c r="A279" i="1"/>
  <c r="B278" i="1"/>
  <c r="A260" i="8" l="1"/>
  <c r="C260" i="8" s="1"/>
  <c r="B259" i="8"/>
  <c r="D259" i="8" s="1"/>
  <c r="I259" i="8" s="1"/>
  <c r="A280" i="1"/>
  <c r="A281" i="1" s="1"/>
  <c r="B279" i="1"/>
  <c r="A261" i="8" l="1"/>
  <c r="C261" i="8" s="1"/>
  <c r="B260" i="8"/>
  <c r="D260" i="8" s="1"/>
  <c r="I260" i="8" s="1"/>
  <c r="B280" i="1"/>
  <c r="A262" i="8" l="1"/>
  <c r="C262" i="8" s="1"/>
  <c r="B261" i="8"/>
  <c r="D261" i="8" s="1"/>
  <c r="I261" i="8" s="1"/>
  <c r="A282" i="1"/>
  <c r="B281" i="1"/>
  <c r="A263" i="8" l="1"/>
  <c r="C263" i="8" s="1"/>
  <c r="B262" i="8"/>
  <c r="D262" i="8" s="1"/>
  <c r="I262" i="8" s="1"/>
  <c r="A283" i="1"/>
  <c r="B282" i="1"/>
  <c r="A265" i="8" l="1"/>
  <c r="C265" i="8" s="1"/>
  <c r="B263" i="8"/>
  <c r="D263" i="8" s="1"/>
  <c r="I263" i="8" s="1"/>
  <c r="A284" i="1"/>
  <c r="B283" i="1"/>
  <c r="B265" i="8" l="1"/>
  <c r="D265" i="8" s="1"/>
  <c r="I265" i="8" s="1"/>
  <c r="A266" i="8"/>
  <c r="C266" i="8" s="1"/>
  <c r="A285" i="1"/>
  <c r="B284" i="1"/>
  <c r="A267" i="8" l="1"/>
  <c r="C267" i="8" s="1"/>
  <c r="B266" i="8"/>
  <c r="D266" i="8" s="1"/>
  <c r="I266" i="8" s="1"/>
  <c r="A286" i="1"/>
  <c r="A287" i="1" s="1"/>
  <c r="A288" i="1" s="1"/>
  <c r="B285" i="1"/>
  <c r="A268" i="8" l="1"/>
  <c r="C268" i="8" s="1"/>
  <c r="B267" i="8"/>
  <c r="D267" i="8" s="1"/>
  <c r="I267" i="8" s="1"/>
  <c r="B286" i="1"/>
  <c r="A269" i="8" l="1"/>
  <c r="C269" i="8" s="1"/>
  <c r="B268" i="8"/>
  <c r="D268" i="8" s="1"/>
  <c r="I268" i="8" s="1"/>
  <c r="A289" i="1"/>
  <c r="B288" i="1"/>
  <c r="A270" i="8" l="1"/>
  <c r="C270" i="8" s="1"/>
  <c r="B269" i="8"/>
  <c r="D269" i="8" s="1"/>
  <c r="I269" i="8" s="1"/>
  <c r="A290" i="1"/>
  <c r="B289" i="1"/>
  <c r="A271" i="8" l="1"/>
  <c r="C271" i="8" s="1"/>
  <c r="B270" i="8"/>
  <c r="D270" i="8" s="1"/>
  <c r="I270" i="8" s="1"/>
  <c r="B290" i="1"/>
  <c r="A291" i="1"/>
  <c r="A272" i="8" l="1"/>
  <c r="C272" i="8" s="1"/>
  <c r="B271" i="8"/>
  <c r="D271" i="8" s="1"/>
  <c r="I271" i="8" s="1"/>
  <c r="A292" i="1"/>
  <c r="B291" i="1"/>
  <c r="A274" i="8" l="1"/>
  <c r="C274" i="8" s="1"/>
  <c r="B272" i="8"/>
  <c r="D272" i="8" s="1"/>
  <c r="I272" i="8" s="1"/>
  <c r="A293" i="1"/>
  <c r="B292" i="1"/>
  <c r="A275" i="8" l="1"/>
  <c r="C275" i="8" s="1"/>
  <c r="B274" i="8"/>
  <c r="D274" i="8" s="1"/>
  <c r="I274" i="8" s="1"/>
  <c r="A294" i="1"/>
  <c r="B293" i="1"/>
  <c r="A276" i="8" l="1"/>
  <c r="C276" i="8" s="1"/>
  <c r="B275" i="8"/>
  <c r="D275" i="8" s="1"/>
  <c r="I275" i="8" s="1"/>
  <c r="A295" i="1"/>
  <c r="B294" i="1"/>
  <c r="A277" i="8" l="1"/>
  <c r="C277" i="8" s="1"/>
  <c r="B276" i="8"/>
  <c r="D276" i="8" s="1"/>
  <c r="I276" i="8" s="1"/>
  <c r="A296" i="1"/>
  <c r="B295" i="1"/>
  <c r="A278" i="8" l="1"/>
  <c r="C278" i="8" s="1"/>
  <c r="B277" i="8"/>
  <c r="D277" i="8" s="1"/>
  <c r="I277" i="8" s="1"/>
  <c r="B296" i="1"/>
  <c r="A297" i="1"/>
  <c r="A279" i="8" l="1"/>
  <c r="C279" i="8" s="1"/>
  <c r="B278" i="8"/>
  <c r="D278" i="8" s="1"/>
  <c r="I278" i="8" s="1"/>
  <c r="B297" i="1"/>
  <c r="A298" i="1"/>
  <c r="A280" i="8" l="1"/>
  <c r="C280" i="8" s="1"/>
  <c r="B279" i="8"/>
  <c r="D279" i="8" s="1"/>
  <c r="I279" i="8" s="1"/>
  <c r="A299" i="1"/>
  <c r="B298" i="1"/>
  <c r="A281" i="8" l="1"/>
  <c r="C281" i="8" s="1"/>
  <c r="B280" i="8"/>
  <c r="D280" i="8" s="1"/>
  <c r="I280" i="8" s="1"/>
  <c r="A300" i="1"/>
  <c r="B299" i="1"/>
  <c r="A282" i="8" l="1"/>
  <c r="C282" i="8" s="1"/>
  <c r="B281" i="8"/>
  <c r="D281" i="8" s="1"/>
  <c r="I281" i="8" s="1"/>
  <c r="B300" i="1"/>
  <c r="A301" i="1"/>
  <c r="A283" i="8" l="1"/>
  <c r="C283" i="8" s="1"/>
  <c r="B282" i="8"/>
  <c r="D282" i="8" s="1"/>
  <c r="I282" i="8" s="1"/>
  <c r="B301" i="1"/>
  <c r="A302" i="1"/>
  <c r="A284" i="8" l="1"/>
  <c r="C284" i="8" s="1"/>
  <c r="B283" i="8"/>
  <c r="D283" i="8" s="1"/>
  <c r="I283" i="8" s="1"/>
  <c r="B302" i="1"/>
  <c r="A304" i="1"/>
  <c r="A285" i="8" l="1"/>
  <c r="C285" i="8" s="1"/>
  <c r="B284" i="8"/>
  <c r="D284" i="8" s="1"/>
  <c r="I284" i="8" s="1"/>
  <c r="B304" i="1"/>
  <c r="A305" i="1"/>
  <c r="A286" i="8" l="1"/>
  <c r="C286" i="8" s="1"/>
  <c r="B285" i="8"/>
  <c r="D285" i="8" s="1"/>
  <c r="I285" i="8" s="1"/>
  <c r="A306" i="1"/>
  <c r="B305" i="1"/>
  <c r="B286" i="8" l="1"/>
  <c r="D286" i="8" s="1"/>
  <c r="I286" i="8" s="1"/>
  <c r="A287" i="8"/>
  <c r="A307" i="1"/>
  <c r="B306" i="1"/>
  <c r="A288" i="8" l="1"/>
  <c r="C288" i="8" s="1"/>
  <c r="A308" i="1"/>
  <c r="B307" i="1"/>
  <c r="B288" i="8" l="1"/>
  <c r="D288" i="8" s="1"/>
  <c r="A289" i="8"/>
  <c r="C289" i="8" s="1"/>
  <c r="I288" i="8"/>
  <c r="A290" i="8"/>
  <c r="C290" i="8" s="1"/>
  <c r="B289" i="8"/>
  <c r="D289" i="8" s="1"/>
  <c r="A309" i="1"/>
  <c r="B308" i="1"/>
  <c r="I289" i="8" l="1"/>
  <c r="B290" i="8"/>
  <c r="D290" i="8" s="1"/>
  <c r="I290" i="8" s="1"/>
  <c r="A291" i="8"/>
  <c r="C291" i="8" s="1"/>
  <c r="B309" i="1"/>
  <c r="A310" i="1"/>
  <c r="A292" i="8" l="1"/>
  <c r="C292" i="8" s="1"/>
  <c r="B291" i="8"/>
  <c r="D291" i="8" s="1"/>
  <c r="I291" i="8" s="1"/>
  <c r="B310" i="1"/>
  <c r="A311" i="1"/>
  <c r="A313" i="1" s="1"/>
  <c r="A293" i="8" l="1"/>
  <c r="C293" i="8" s="1"/>
  <c r="B292" i="8"/>
  <c r="D292" i="8" s="1"/>
  <c r="I292" i="8" s="1"/>
  <c r="B311" i="1"/>
  <c r="A294" i="8" l="1"/>
  <c r="C294" i="8" s="1"/>
  <c r="B293" i="8"/>
  <c r="D293" i="8" s="1"/>
  <c r="I293" i="8" s="1"/>
  <c r="B313" i="1"/>
  <c r="A314" i="1"/>
  <c r="B294" i="8" l="1"/>
  <c r="D294" i="8" s="1"/>
  <c r="I294" i="8" s="1"/>
  <c r="A295" i="8"/>
  <c r="C295" i="8" s="1"/>
  <c r="A315" i="1"/>
  <c r="B314" i="1"/>
  <c r="A296" i="8" l="1"/>
  <c r="C296" i="8" s="1"/>
  <c r="B295" i="8"/>
  <c r="D295" i="8" s="1"/>
  <c r="I295" i="8" s="1"/>
  <c r="B315" i="1"/>
  <c r="A316" i="1"/>
  <c r="A297" i="8" l="1"/>
  <c r="C297" i="8" s="1"/>
  <c r="B296" i="8"/>
  <c r="D296" i="8" s="1"/>
  <c r="I296" i="8" s="1"/>
  <c r="A317" i="1"/>
  <c r="B316" i="1"/>
  <c r="A298" i="8" l="1"/>
  <c r="C298" i="8" s="1"/>
  <c r="B297" i="8"/>
  <c r="D297" i="8" s="1"/>
  <c r="I297" i="8" s="1"/>
  <c r="A318" i="1"/>
  <c r="B317" i="1"/>
  <c r="B298" i="8" l="1"/>
  <c r="D298" i="8" s="1"/>
  <c r="I298" i="8" s="1"/>
  <c r="A299" i="8"/>
  <c r="C299" i="8" s="1"/>
  <c r="A319" i="1"/>
  <c r="B318" i="1"/>
  <c r="A300" i="8" l="1"/>
  <c r="C300" i="8" s="1"/>
  <c r="B299" i="8"/>
  <c r="D299" i="8" s="1"/>
  <c r="I299" i="8" s="1"/>
  <c r="A321" i="1"/>
  <c r="B319" i="1"/>
  <c r="A301" i="8" l="1"/>
  <c r="C301" i="8" s="1"/>
  <c r="B300" i="8"/>
  <c r="D300" i="8" s="1"/>
  <c r="I300" i="8" s="1"/>
  <c r="A322" i="1"/>
  <c r="B321" i="1"/>
  <c r="A302" i="8" l="1"/>
  <c r="C302" i="8" s="1"/>
  <c r="B301" i="8"/>
  <c r="D301" i="8" s="1"/>
  <c r="I301" i="8" s="1"/>
  <c r="B322" i="1"/>
  <c r="A323" i="1"/>
  <c r="B302" i="8" l="1"/>
  <c r="D302" i="8" s="1"/>
  <c r="I302" i="8" s="1"/>
  <c r="A304" i="8"/>
  <c r="C304" i="8" s="1"/>
  <c r="A324" i="1"/>
  <c r="B323" i="1"/>
  <c r="A305" i="8" l="1"/>
  <c r="C305" i="8" s="1"/>
  <c r="B304" i="8"/>
  <c r="D304" i="8" s="1"/>
  <c r="I304" i="8" s="1"/>
  <c r="A325" i="1"/>
  <c r="B324" i="1"/>
  <c r="A306" i="8" l="1"/>
  <c r="C306" i="8" s="1"/>
  <c r="B305" i="8"/>
  <c r="D305" i="8" s="1"/>
  <c r="I305" i="8" s="1"/>
  <c r="B325" i="1"/>
  <c r="A326" i="1"/>
  <c r="A307" i="8" l="1"/>
  <c r="C307" i="8" s="1"/>
  <c r="B306" i="8"/>
  <c r="D306" i="8" s="1"/>
  <c r="I306" i="8" s="1"/>
  <c r="A327" i="1"/>
  <c r="B326" i="1"/>
  <c r="B307" i="8" l="1"/>
  <c r="D307" i="8" s="1"/>
  <c r="I307" i="8" s="1"/>
  <c r="A308" i="8"/>
  <c r="C308" i="8" s="1"/>
  <c r="B327" i="1"/>
  <c r="A328" i="1"/>
  <c r="A330" i="1" s="1"/>
  <c r="B308" i="8" l="1"/>
  <c r="D308" i="8" s="1"/>
  <c r="I308" i="8" s="1"/>
  <c r="A309" i="8"/>
  <c r="C309" i="8" s="1"/>
  <c r="B328" i="1"/>
  <c r="A310" i="8" l="1"/>
  <c r="C310" i="8" s="1"/>
  <c r="B309" i="8"/>
  <c r="D309" i="8" s="1"/>
  <c r="I309" i="8" s="1"/>
  <c r="A331" i="1"/>
  <c r="B330" i="1"/>
  <c r="A311" i="8" l="1"/>
  <c r="C311" i="8" s="1"/>
  <c r="B310" i="8"/>
  <c r="D310" i="8" s="1"/>
  <c r="I310" i="8" s="1"/>
  <c r="A332" i="1"/>
  <c r="B331" i="1"/>
  <c r="B311" i="8" l="1"/>
  <c r="D311" i="8" s="1"/>
  <c r="I311" i="8" s="1"/>
  <c r="A313" i="8"/>
  <c r="C313" i="8" s="1"/>
  <c r="A333" i="1"/>
  <c r="B332" i="1"/>
  <c r="B313" i="8" l="1"/>
  <c r="D313" i="8" s="1"/>
  <c r="I313" i="8" s="1"/>
  <c r="A314" i="8"/>
  <c r="C314" i="8" s="1"/>
  <c r="B333" i="1"/>
  <c r="A334" i="1"/>
  <c r="A315" i="8" l="1"/>
  <c r="C315" i="8" s="1"/>
  <c r="B314" i="8"/>
  <c r="D314" i="8" s="1"/>
  <c r="I314" i="8" s="1"/>
  <c r="A335" i="1"/>
  <c r="B334" i="1"/>
  <c r="A316" i="8" l="1"/>
  <c r="C316" i="8" s="1"/>
  <c r="B315" i="8"/>
  <c r="D315" i="8" s="1"/>
  <c r="I315" i="8" s="1"/>
  <c r="B335" i="1"/>
  <c r="A336" i="1"/>
  <c r="A337" i="1" s="1"/>
  <c r="B316" i="8" l="1"/>
  <c r="D316" i="8" s="1"/>
  <c r="I316" i="8" s="1"/>
  <c r="A317" i="8"/>
  <c r="C317" i="8" s="1"/>
  <c r="B336" i="1"/>
  <c r="A318" i="8" l="1"/>
  <c r="C318" i="8" s="1"/>
  <c r="B317" i="8"/>
  <c r="D317" i="8" s="1"/>
  <c r="I317" i="8" s="1"/>
  <c r="A338" i="1"/>
  <c r="B337" i="1"/>
  <c r="A319" i="8" l="1"/>
  <c r="C319" i="8" s="1"/>
  <c r="B318" i="8"/>
  <c r="D318" i="8" s="1"/>
  <c r="I318" i="8" s="1"/>
  <c r="A339" i="1"/>
  <c r="B338" i="1"/>
  <c r="A321" i="8" l="1"/>
  <c r="C321" i="8" s="1"/>
  <c r="B319" i="8"/>
  <c r="D319" i="8" s="1"/>
  <c r="I319" i="8" s="1"/>
  <c r="A340" i="1"/>
  <c r="B339" i="1"/>
  <c r="B321" i="8" l="1"/>
  <c r="D321" i="8" s="1"/>
  <c r="I321" i="8" s="1"/>
  <c r="A322" i="8"/>
  <c r="C322" i="8" s="1"/>
  <c r="B340" i="1"/>
  <c r="A341" i="1"/>
  <c r="B322" i="8" l="1"/>
  <c r="D322" i="8" s="1"/>
  <c r="I322" i="8" s="1"/>
  <c r="A323" i="8"/>
  <c r="C323" i="8" s="1"/>
  <c r="A342" i="1"/>
  <c r="A344" i="1" s="1"/>
  <c r="B341" i="1"/>
  <c r="A324" i="8" l="1"/>
  <c r="C324" i="8" s="1"/>
  <c r="B323" i="8"/>
  <c r="D323" i="8" s="1"/>
  <c r="I323" i="8" s="1"/>
  <c r="B342" i="1"/>
  <c r="A325" i="8" l="1"/>
  <c r="C325" i="8" s="1"/>
  <c r="B324" i="8"/>
  <c r="D324" i="8" s="1"/>
  <c r="I324" i="8" s="1"/>
  <c r="A345" i="1"/>
  <c r="B344" i="1"/>
  <c r="B325" i="8" l="1"/>
  <c r="D325" i="8" s="1"/>
  <c r="I325" i="8" s="1"/>
  <c r="A326" i="8"/>
  <c r="C326" i="8" s="1"/>
  <c r="A346" i="1"/>
  <c r="B345" i="1"/>
  <c r="A327" i="8" l="1"/>
  <c r="C327" i="8" s="1"/>
  <c r="B326" i="8"/>
  <c r="D326" i="8" s="1"/>
  <c r="I326" i="8" s="1"/>
  <c r="B346" i="1"/>
  <c r="A347" i="1"/>
  <c r="A328" i="8" l="1"/>
  <c r="C328" i="8" s="1"/>
  <c r="B327" i="8"/>
  <c r="D327" i="8" s="1"/>
  <c r="I327" i="8" s="1"/>
  <c r="B347" i="1"/>
  <c r="A348" i="1"/>
  <c r="A330" i="8" l="1"/>
  <c r="C330" i="8" s="1"/>
  <c r="B328" i="8"/>
  <c r="D328" i="8" s="1"/>
  <c r="I328" i="8" s="1"/>
  <c r="B348" i="1"/>
  <c r="A349" i="1"/>
  <c r="B330" i="8" l="1"/>
  <c r="D330" i="8" s="1"/>
  <c r="I330" i="8" s="1"/>
  <c r="A331" i="8"/>
  <c r="C331" i="8" s="1"/>
  <c r="B349" i="1"/>
  <c r="A350" i="1"/>
  <c r="A332" i="8" l="1"/>
  <c r="C332" i="8" s="1"/>
  <c r="B331" i="8"/>
  <c r="D331" i="8" s="1"/>
  <c r="I331" i="8" s="1"/>
  <c r="A351" i="1"/>
  <c r="B350" i="1"/>
  <c r="A333" i="8" l="1"/>
  <c r="C333" i="8" s="1"/>
  <c r="B332" i="8"/>
  <c r="D332" i="8" s="1"/>
  <c r="I332" i="8" s="1"/>
  <c r="A352" i="1"/>
  <c r="B351" i="1"/>
  <c r="A334" i="8" l="1"/>
  <c r="C334" i="8" s="1"/>
  <c r="B333" i="8"/>
  <c r="D333" i="8" s="1"/>
  <c r="I333" i="8" s="1"/>
  <c r="A353" i="1"/>
  <c r="B352" i="1"/>
  <c r="B334" i="8" l="1"/>
  <c r="D334" i="8" s="1"/>
  <c r="I334" i="8" s="1"/>
  <c r="A335" i="8"/>
  <c r="C335" i="8" s="1"/>
  <c r="B353" i="1"/>
  <c r="A354" i="1"/>
  <c r="A336" i="8" l="1"/>
  <c r="C336" i="8" s="1"/>
  <c r="B335" i="8"/>
  <c r="D335" i="8" s="1"/>
  <c r="I335" i="8" s="1"/>
  <c r="B354" i="1"/>
  <c r="A355" i="1"/>
  <c r="A337" i="8" l="1"/>
  <c r="C337" i="8" s="1"/>
  <c r="B336" i="8"/>
  <c r="D336" i="8" s="1"/>
  <c r="I336" i="8" s="1"/>
  <c r="A356" i="1"/>
  <c r="B355" i="1"/>
  <c r="A338" i="8" l="1"/>
  <c r="C338" i="8" s="1"/>
  <c r="B337" i="8"/>
  <c r="D337" i="8" s="1"/>
  <c r="I337" i="8" s="1"/>
  <c r="B356" i="1"/>
  <c r="A357" i="1"/>
  <c r="B338" i="8" l="1"/>
  <c r="D338" i="8" s="1"/>
  <c r="I338" i="8" s="1"/>
  <c r="A339" i="8"/>
  <c r="C339" i="8" s="1"/>
  <c r="A358" i="1"/>
  <c r="B357" i="1"/>
  <c r="B339" i="8" l="1"/>
  <c r="D339" i="8" s="1"/>
  <c r="I339" i="8" s="1"/>
  <c r="A340" i="8"/>
  <c r="C340" i="8" s="1"/>
  <c r="B358" i="1"/>
  <c r="A360" i="1"/>
  <c r="A341" i="8" l="1"/>
  <c r="C341" i="8" s="1"/>
  <c r="B340" i="8"/>
  <c r="D340" i="8" s="1"/>
  <c r="I340" i="8" s="1"/>
  <c r="B360" i="1"/>
  <c r="A361" i="1"/>
  <c r="A342" i="8" l="1"/>
  <c r="C342" i="8" s="1"/>
  <c r="B341" i="8"/>
  <c r="D341" i="8" s="1"/>
  <c r="I341" i="8" s="1"/>
  <c r="A362" i="1"/>
  <c r="B361" i="1"/>
  <c r="B342" i="8" l="1"/>
  <c r="D342" i="8" s="1"/>
  <c r="I342" i="8" s="1"/>
  <c r="A344" i="8"/>
  <c r="C344" i="8" s="1"/>
  <c r="A363" i="1"/>
  <c r="B362" i="1"/>
  <c r="B344" i="8" l="1"/>
  <c r="D344" i="8" s="1"/>
  <c r="I344" i="8" s="1"/>
  <c r="A345" i="8"/>
  <c r="C345" i="8" s="1"/>
  <c r="B363" i="1"/>
  <c r="A364" i="1"/>
  <c r="A346" i="8" l="1"/>
  <c r="C346" i="8" s="1"/>
  <c r="B345" i="8"/>
  <c r="D345" i="8" s="1"/>
  <c r="I345" i="8" s="1"/>
  <c r="A365" i="1"/>
  <c r="B364" i="1"/>
  <c r="A347" i="8" l="1"/>
  <c r="C347" i="8" s="1"/>
  <c r="B346" i="8"/>
  <c r="D346" i="8" s="1"/>
  <c r="I346" i="8" s="1"/>
  <c r="B365" i="1"/>
  <c r="A366" i="1"/>
  <c r="B347" i="8" l="1"/>
  <c r="D347" i="8" s="1"/>
  <c r="I347" i="8" s="1"/>
  <c r="A348" i="8"/>
  <c r="C348" i="8" s="1"/>
  <c r="B366" i="1"/>
  <c r="A367" i="1"/>
  <c r="A369" i="1" s="1"/>
  <c r="B348" i="8" l="1"/>
  <c r="D348" i="8" s="1"/>
  <c r="I348" i="8" s="1"/>
  <c r="A349" i="8"/>
  <c r="C349" i="8" s="1"/>
  <c r="B367" i="1"/>
  <c r="A350" i="8" l="1"/>
  <c r="C350" i="8" s="1"/>
  <c r="B349" i="8"/>
  <c r="D349" i="8" s="1"/>
  <c r="I349" i="8" s="1"/>
  <c r="B369" i="1"/>
  <c r="A370" i="1"/>
  <c r="A351" i="8" l="1"/>
  <c r="C351" i="8" s="1"/>
  <c r="B350" i="8"/>
  <c r="D350" i="8" s="1"/>
  <c r="I350" i="8" s="1"/>
  <c r="B370" i="1"/>
  <c r="A371" i="1"/>
  <c r="B351" i="8" l="1"/>
  <c r="D351" i="8" s="1"/>
  <c r="I351" i="8" s="1"/>
  <c r="A352" i="8"/>
  <c r="C352" i="8" s="1"/>
  <c r="B371" i="1"/>
  <c r="A372" i="1"/>
  <c r="A353" i="8" l="1"/>
  <c r="C353" i="8" s="1"/>
  <c r="B352" i="8"/>
  <c r="D352" i="8" s="1"/>
  <c r="I352" i="8" s="1"/>
  <c r="A373" i="1"/>
  <c r="B372" i="1"/>
  <c r="A354" i="8" l="1"/>
  <c r="C354" i="8" s="1"/>
  <c r="B353" i="8"/>
  <c r="D353" i="8" s="1"/>
  <c r="I353" i="8" s="1"/>
  <c r="B373" i="1"/>
  <c r="A374" i="1"/>
  <c r="A355" i="8" l="1"/>
  <c r="C355" i="8" s="1"/>
  <c r="B354" i="8"/>
  <c r="D354" i="8" s="1"/>
  <c r="I354" i="8" s="1"/>
  <c r="A375" i="1"/>
  <c r="B374" i="1"/>
  <c r="B355" i="8" l="1"/>
  <c r="D355" i="8" s="1"/>
  <c r="I355" i="8" s="1"/>
  <c r="A356" i="8"/>
  <c r="C356" i="8" s="1"/>
  <c r="B375" i="1"/>
  <c r="A377" i="1"/>
  <c r="A357" i="8" l="1"/>
  <c r="C357" i="8" s="1"/>
  <c r="B356" i="8"/>
  <c r="D356" i="8" s="1"/>
  <c r="I356" i="8" s="1"/>
  <c r="A378" i="1"/>
  <c r="B377" i="1"/>
  <c r="A358" i="8" l="1"/>
  <c r="C358" i="8" s="1"/>
  <c r="B357" i="8"/>
  <c r="D357" i="8" s="1"/>
  <c r="I357" i="8" s="1"/>
  <c r="A379" i="1"/>
  <c r="B378" i="1"/>
  <c r="A360" i="8" l="1"/>
  <c r="C360" i="8" s="1"/>
  <c r="B358" i="8"/>
  <c r="D358" i="8" s="1"/>
  <c r="I358" i="8" s="1"/>
  <c r="A380" i="1"/>
  <c r="B379" i="1"/>
  <c r="B360" i="8" l="1"/>
  <c r="D360" i="8" s="1"/>
  <c r="I360" i="8" s="1"/>
  <c r="A361" i="8"/>
  <c r="C361" i="8" s="1"/>
  <c r="A381" i="1"/>
  <c r="B380" i="1"/>
  <c r="A362" i="8" l="1"/>
  <c r="C362" i="8" s="1"/>
  <c r="B361" i="8"/>
  <c r="D361" i="8" s="1"/>
  <c r="I361" i="8" s="1"/>
  <c r="B381" i="1"/>
  <c r="A382" i="1"/>
  <c r="A363" i="8" l="1"/>
  <c r="C363" i="8" s="1"/>
  <c r="B362" i="8"/>
  <c r="D362" i="8" s="1"/>
  <c r="I362" i="8" s="1"/>
  <c r="B382" i="1"/>
  <c r="A383" i="1"/>
  <c r="A364" i="8" l="1"/>
  <c r="C364" i="8" s="1"/>
  <c r="B363" i="8"/>
  <c r="D363" i="8" s="1"/>
  <c r="I363" i="8" s="1"/>
  <c r="A384" i="1"/>
  <c r="A386" i="1" s="1"/>
  <c r="B383" i="1"/>
  <c r="B364" i="8" l="1"/>
  <c r="D364" i="8" s="1"/>
  <c r="I364" i="8" s="1"/>
  <c r="A365" i="8"/>
  <c r="C365" i="8" s="1"/>
  <c r="B384" i="1"/>
  <c r="A366" i="8" l="1"/>
  <c r="C366" i="8" s="1"/>
  <c r="B365" i="8"/>
  <c r="D365" i="8" s="1"/>
  <c r="I365" i="8" s="1"/>
  <c r="B386" i="1"/>
  <c r="A387" i="1"/>
  <c r="A367" i="8" l="1"/>
  <c r="C367" i="8" s="1"/>
  <c r="B366" i="8"/>
  <c r="D366" i="8" s="1"/>
  <c r="I366" i="8" s="1"/>
  <c r="A388" i="1"/>
  <c r="B387" i="1"/>
  <c r="A369" i="8" l="1"/>
  <c r="C369" i="8" s="1"/>
  <c r="B367" i="8"/>
  <c r="D367" i="8" s="1"/>
  <c r="I367" i="8" s="1"/>
  <c r="B388" i="1"/>
  <c r="A389" i="1"/>
  <c r="B369" i="8" l="1"/>
  <c r="D369" i="8" s="1"/>
  <c r="I369" i="8" s="1"/>
  <c r="A370" i="8"/>
  <c r="C370" i="8" s="1"/>
  <c r="B389" i="1"/>
  <c r="A390" i="1"/>
  <c r="A371" i="8" l="1"/>
  <c r="C371" i="8" s="1"/>
  <c r="B370" i="8"/>
  <c r="D370" i="8" s="1"/>
  <c r="I370" i="8" s="1"/>
  <c r="A391" i="1"/>
  <c r="B390" i="1"/>
  <c r="A372" i="8" l="1"/>
  <c r="C372" i="8" s="1"/>
  <c r="B371" i="8"/>
  <c r="D371" i="8" s="1"/>
  <c r="I371" i="8" s="1"/>
  <c r="A392" i="1"/>
  <c r="A393" i="1" s="1"/>
  <c r="B391" i="1"/>
  <c r="A373" i="8" l="1"/>
  <c r="C373" i="8" s="1"/>
  <c r="B372" i="8"/>
  <c r="D372" i="8" s="1"/>
  <c r="I372" i="8" s="1"/>
  <c r="B392" i="1"/>
  <c r="B373" i="8" l="1"/>
  <c r="D373" i="8" s="1"/>
  <c r="I373" i="8" s="1"/>
  <c r="A374" i="8"/>
  <c r="C374" i="8" s="1"/>
  <c r="A394" i="1"/>
  <c r="B393" i="1"/>
  <c r="A375" i="8" l="1"/>
  <c r="C375" i="8" s="1"/>
  <c r="B374" i="8"/>
  <c r="D374" i="8" s="1"/>
  <c r="I374" i="8" s="1"/>
  <c r="B394" i="1"/>
  <c r="A395" i="1"/>
  <c r="A377" i="8" l="1"/>
  <c r="C377" i="8" s="1"/>
  <c r="B375" i="8"/>
  <c r="D375" i="8" s="1"/>
  <c r="I375" i="8" s="1"/>
  <c r="A396" i="1"/>
  <c r="B395" i="1"/>
  <c r="A378" i="8" l="1"/>
  <c r="C378" i="8" s="1"/>
  <c r="B377" i="8"/>
  <c r="D377" i="8" s="1"/>
  <c r="I377" i="8" s="1"/>
  <c r="B396" i="1"/>
  <c r="A397" i="1"/>
  <c r="B378" i="8" l="1"/>
  <c r="D378" i="8" s="1"/>
  <c r="I378" i="8" s="1"/>
  <c r="A379" i="8"/>
  <c r="C379" i="8" s="1"/>
  <c r="A398" i="1"/>
  <c r="A400" i="1" s="1"/>
  <c r="B397" i="1"/>
  <c r="B379" i="8" l="1"/>
  <c r="D379" i="8" s="1"/>
  <c r="I379" i="8" s="1"/>
  <c r="A380" i="8"/>
  <c r="C380" i="8" s="1"/>
  <c r="B398" i="1"/>
  <c r="A381" i="8" l="1"/>
  <c r="C381" i="8" s="1"/>
  <c r="B380" i="8"/>
  <c r="D380" i="8" s="1"/>
  <c r="I380" i="8" s="1"/>
  <c r="A401" i="1"/>
  <c r="B400" i="1"/>
  <c r="A382" i="8" l="1"/>
  <c r="C382" i="8" s="1"/>
  <c r="B381" i="8"/>
  <c r="D381" i="8" s="1"/>
  <c r="I381" i="8" s="1"/>
  <c r="A402" i="1"/>
  <c r="B401" i="1"/>
  <c r="B382" i="8" l="1"/>
  <c r="D382" i="8" s="1"/>
  <c r="I382" i="8" s="1"/>
  <c r="A383" i="8"/>
  <c r="C383" i="8" s="1"/>
  <c r="A403" i="1"/>
  <c r="B402" i="1"/>
  <c r="B383" i="8" l="1"/>
  <c r="D383" i="8" s="1"/>
  <c r="I383" i="8" s="1"/>
  <c r="A384" i="8"/>
  <c r="C384" i="8" s="1"/>
  <c r="A404" i="1"/>
  <c r="B403" i="1"/>
  <c r="A386" i="8" l="1"/>
  <c r="C386" i="8" s="1"/>
  <c r="B384" i="8"/>
  <c r="D384" i="8" s="1"/>
  <c r="I384" i="8" s="1"/>
  <c r="B404" i="1"/>
  <c r="A405" i="1"/>
  <c r="A387" i="8" l="1"/>
  <c r="C387" i="8" s="1"/>
  <c r="B386" i="8"/>
  <c r="D386" i="8" s="1"/>
  <c r="I386" i="8" s="1"/>
  <c r="A406" i="1"/>
  <c r="B405" i="1"/>
  <c r="B387" i="8" l="1"/>
  <c r="D387" i="8" s="1"/>
  <c r="I387" i="8" s="1"/>
  <c r="A388" i="8"/>
  <c r="C388" i="8" s="1"/>
  <c r="A407" i="1"/>
  <c r="B406" i="1"/>
  <c r="A389" i="8" l="1"/>
  <c r="C389" i="8" s="1"/>
  <c r="B388" i="8"/>
  <c r="D388" i="8" s="1"/>
  <c r="I388" i="8" s="1"/>
  <c r="A408" i="1"/>
  <c r="B407" i="1"/>
  <c r="A390" i="8" l="1"/>
  <c r="C390" i="8" s="1"/>
  <c r="B389" i="8"/>
  <c r="D389" i="8" s="1"/>
  <c r="I389" i="8" s="1"/>
  <c r="A409" i="1"/>
  <c r="B408" i="1"/>
  <c r="A391" i="8" l="1"/>
  <c r="C391" i="8" s="1"/>
  <c r="B390" i="8"/>
  <c r="D390" i="8" s="1"/>
  <c r="I390" i="8" s="1"/>
  <c r="B409" i="1"/>
  <c r="A410" i="1"/>
  <c r="B391" i="8" l="1"/>
  <c r="D391" i="8" s="1"/>
  <c r="I391" i="8" s="1"/>
  <c r="A392" i="8"/>
  <c r="C392" i="8" s="1"/>
  <c r="B410" i="1"/>
  <c r="A411" i="1"/>
  <c r="A393" i="8" l="1"/>
  <c r="C393" i="8" s="1"/>
  <c r="B392" i="8"/>
  <c r="D392" i="8" s="1"/>
  <c r="I392" i="8" s="1"/>
  <c r="A412" i="1"/>
  <c r="B411" i="1"/>
  <c r="A394" i="8" l="1"/>
  <c r="C394" i="8" s="1"/>
  <c r="B393" i="8"/>
  <c r="D393" i="8" s="1"/>
  <c r="I393" i="8" s="1"/>
  <c r="A413" i="1"/>
  <c r="B412" i="1"/>
  <c r="A395" i="8" l="1"/>
  <c r="C395" i="8" s="1"/>
  <c r="B394" i="8"/>
  <c r="D394" i="8" s="1"/>
  <c r="I394" i="8" s="1"/>
  <c r="B413" i="1"/>
  <c r="A414" i="1"/>
  <c r="B395" i="8" l="1"/>
  <c r="D395" i="8" s="1"/>
  <c r="I395" i="8" s="1"/>
  <c r="A396" i="8"/>
  <c r="C396" i="8" s="1"/>
  <c r="A416" i="1"/>
  <c r="B414" i="1"/>
  <c r="B396" i="8" l="1"/>
  <c r="D396" i="8" s="1"/>
  <c r="I396" i="8" s="1"/>
  <c r="A397" i="8"/>
  <c r="C397" i="8" s="1"/>
  <c r="B416" i="1"/>
  <c r="A417" i="1"/>
  <c r="A398" i="8" l="1"/>
  <c r="C398" i="8" s="1"/>
  <c r="B397" i="8"/>
  <c r="D397" i="8" s="1"/>
  <c r="I397" i="8" s="1"/>
  <c r="B417" i="1"/>
  <c r="A418" i="1"/>
  <c r="A400" i="8" l="1"/>
  <c r="C400" i="8" s="1"/>
  <c r="B398" i="8"/>
  <c r="D398" i="8" s="1"/>
  <c r="I398" i="8" s="1"/>
  <c r="A419" i="1"/>
  <c r="B418" i="1"/>
  <c r="B400" i="8" l="1"/>
  <c r="D400" i="8" s="1"/>
  <c r="I400" i="8" s="1"/>
  <c r="A401" i="8"/>
  <c r="C401" i="8" s="1"/>
  <c r="A420" i="1"/>
  <c r="B419" i="1"/>
  <c r="A402" i="8" l="1"/>
  <c r="C402" i="8" s="1"/>
  <c r="B401" i="8"/>
  <c r="D401" i="8" s="1"/>
  <c r="I401" i="8" s="1"/>
  <c r="A421" i="1"/>
  <c r="B420" i="1"/>
  <c r="A403" i="8" l="1"/>
  <c r="C403" i="8" s="1"/>
  <c r="B402" i="8"/>
  <c r="D402" i="8" s="1"/>
  <c r="I402" i="8" s="1"/>
  <c r="B421" i="1"/>
  <c r="A422" i="1"/>
  <c r="A404" i="8" l="1"/>
  <c r="C404" i="8" s="1"/>
  <c r="B403" i="8"/>
  <c r="D403" i="8" s="1"/>
  <c r="I403" i="8" s="1"/>
  <c r="A423" i="1"/>
  <c r="A425" i="1" s="1"/>
  <c r="B422" i="1"/>
  <c r="B404" i="8" l="1"/>
  <c r="D404" i="8" s="1"/>
  <c r="I404" i="8" s="1"/>
  <c r="A405" i="8"/>
  <c r="C405" i="8" s="1"/>
  <c r="B423" i="1"/>
  <c r="A406" i="8" l="1"/>
  <c r="C406" i="8" s="1"/>
  <c r="B405" i="8"/>
  <c r="D405" i="8" s="1"/>
  <c r="I405" i="8" s="1"/>
  <c r="B425" i="1"/>
  <c r="A426" i="1"/>
  <c r="A407" i="8" l="1"/>
  <c r="C407" i="8" s="1"/>
  <c r="B406" i="8"/>
  <c r="D406" i="8" s="1"/>
  <c r="I406" i="8" s="1"/>
  <c r="A427" i="1"/>
  <c r="B426" i="1"/>
  <c r="A408" i="8" l="1"/>
  <c r="C408" i="8" s="1"/>
  <c r="B407" i="8"/>
  <c r="D407" i="8" s="1"/>
  <c r="I407" i="8" s="1"/>
  <c r="A428" i="1"/>
  <c r="B427" i="1"/>
  <c r="B408" i="8" l="1"/>
  <c r="D408" i="8" s="1"/>
  <c r="I408" i="8" s="1"/>
  <c r="A409" i="8"/>
  <c r="C409" i="8" s="1"/>
  <c r="B428" i="1"/>
  <c r="A429" i="1"/>
  <c r="A410" i="8" l="1"/>
  <c r="C410" i="8" s="1"/>
  <c r="B409" i="8"/>
  <c r="D409" i="8" s="1"/>
  <c r="I409" i="8" s="1"/>
  <c r="B429" i="1"/>
  <c r="A430" i="1"/>
  <c r="A411" i="8" l="1"/>
  <c r="C411" i="8" s="1"/>
  <c r="B410" i="8"/>
  <c r="D410" i="8" s="1"/>
  <c r="I410" i="8" s="1"/>
  <c r="A431" i="1"/>
  <c r="B430" i="1"/>
  <c r="A412" i="8" l="1"/>
  <c r="C412" i="8" s="1"/>
  <c r="B411" i="8"/>
  <c r="D411" i="8" s="1"/>
  <c r="I411" i="8" s="1"/>
  <c r="A432" i="1"/>
  <c r="B431" i="1"/>
  <c r="B412" i="8" l="1"/>
  <c r="D412" i="8" s="1"/>
  <c r="I412" i="8" s="1"/>
  <c r="A413" i="8"/>
  <c r="C413" i="8" s="1"/>
  <c r="A433" i="1"/>
  <c r="B432" i="1"/>
  <c r="B413" i="8" l="1"/>
  <c r="D413" i="8" s="1"/>
  <c r="I413" i="8" s="1"/>
  <c r="A414" i="8"/>
  <c r="C414" i="8" s="1"/>
  <c r="B433" i="1"/>
  <c r="A434" i="1"/>
  <c r="A416" i="8" l="1"/>
  <c r="C416" i="8" s="1"/>
  <c r="B414" i="8"/>
  <c r="D414" i="8" s="1"/>
  <c r="I414" i="8" s="1"/>
  <c r="A435" i="1"/>
  <c r="B434" i="1"/>
  <c r="A417" i="8" l="1"/>
  <c r="C417" i="8" s="1"/>
  <c r="B416" i="8"/>
  <c r="D416" i="8" s="1"/>
  <c r="I416" i="8" s="1"/>
  <c r="B435" i="1"/>
  <c r="A437" i="1"/>
  <c r="B417" i="8" l="1"/>
  <c r="D417" i="8" s="1"/>
  <c r="I417" i="8" s="1"/>
  <c r="A418" i="8"/>
  <c r="C418" i="8" s="1"/>
  <c r="B437" i="1"/>
  <c r="A438" i="1"/>
  <c r="B418" i="8" l="1"/>
  <c r="D418" i="8" s="1"/>
  <c r="I418" i="8" s="1"/>
  <c r="A419" i="8"/>
  <c r="C419" i="8" s="1"/>
  <c r="A439" i="1"/>
  <c r="B438" i="1"/>
  <c r="A420" i="8" l="1"/>
  <c r="C420" i="8" s="1"/>
  <c r="B419" i="8"/>
  <c r="D419" i="8" s="1"/>
  <c r="I419" i="8" s="1"/>
  <c r="B439" i="1"/>
  <c r="A440" i="1"/>
  <c r="A421" i="8" l="1"/>
  <c r="C421" i="8" s="1"/>
  <c r="B420" i="8"/>
  <c r="D420" i="8" s="1"/>
  <c r="I420" i="8" s="1"/>
  <c r="B440" i="1"/>
  <c r="A441" i="1"/>
  <c r="B421" i="8" l="1"/>
  <c r="D421" i="8" s="1"/>
  <c r="I421" i="8" s="1"/>
  <c r="A422" i="8"/>
  <c r="C422" i="8" s="1"/>
  <c r="B441" i="1"/>
  <c r="A442" i="1"/>
  <c r="A423" i="8" l="1"/>
  <c r="C423" i="8" s="1"/>
  <c r="B422" i="8"/>
  <c r="D422" i="8" s="1"/>
  <c r="I422" i="8" s="1"/>
  <c r="B442" i="1"/>
  <c r="A443" i="1"/>
  <c r="A425" i="8" l="1"/>
  <c r="C425" i="8" s="1"/>
  <c r="B423" i="8"/>
  <c r="D423" i="8" s="1"/>
  <c r="I423" i="8" s="1"/>
  <c r="B443" i="1"/>
  <c r="A444" i="1"/>
  <c r="A446" i="1" s="1"/>
  <c r="A426" i="8" l="1"/>
  <c r="C426" i="8" s="1"/>
  <c r="B425" i="8"/>
  <c r="D425" i="8" s="1"/>
  <c r="I425" i="8" s="1"/>
  <c r="B444" i="1"/>
  <c r="B426" i="8" l="1"/>
  <c r="D426" i="8" s="1"/>
  <c r="I426" i="8" s="1"/>
  <c r="A427" i="8"/>
  <c r="C427" i="8" s="1"/>
  <c r="B446" i="1"/>
  <c r="A447" i="1"/>
  <c r="B427" i="8" l="1"/>
  <c r="D427" i="8" s="1"/>
  <c r="I427" i="8" s="1"/>
  <c r="A428" i="8"/>
  <c r="C428" i="8" s="1"/>
  <c r="A448" i="1"/>
  <c r="B447" i="1"/>
  <c r="A429" i="8" l="1"/>
  <c r="C429" i="8" s="1"/>
  <c r="B428" i="8"/>
  <c r="D428" i="8" s="1"/>
  <c r="I428" i="8" s="1"/>
  <c r="B448" i="1"/>
  <c r="A449" i="1"/>
  <c r="A430" i="8" l="1"/>
  <c r="C430" i="8" s="1"/>
  <c r="B429" i="8"/>
  <c r="D429" i="8" s="1"/>
  <c r="I429" i="8" s="1"/>
  <c r="A450" i="1"/>
  <c r="B449" i="1"/>
  <c r="B430" i="8" l="1"/>
  <c r="D430" i="8" s="1"/>
  <c r="I430" i="8" s="1"/>
  <c r="A431" i="8"/>
  <c r="C431" i="8" s="1"/>
  <c r="A451" i="1"/>
  <c r="A452" i="1" s="1"/>
  <c r="A453" i="1" s="1"/>
  <c r="B450" i="1"/>
  <c r="A432" i="8" l="1"/>
  <c r="C432" i="8" s="1"/>
  <c r="B431" i="8"/>
  <c r="D431" i="8" s="1"/>
  <c r="I431" i="8" s="1"/>
  <c r="B452" i="1"/>
  <c r="B451" i="1"/>
  <c r="A433" i="8" l="1"/>
  <c r="C433" i="8" s="1"/>
  <c r="B432" i="8"/>
  <c r="D432" i="8" s="1"/>
  <c r="I432" i="8" s="1"/>
  <c r="A454" i="1"/>
  <c r="B453" i="1"/>
  <c r="A434" i="8" l="1"/>
  <c r="C434" i="8" s="1"/>
  <c r="B433" i="8"/>
  <c r="D433" i="8" s="1"/>
  <c r="I433" i="8" s="1"/>
  <c r="B454" i="1"/>
  <c r="A455" i="1"/>
  <c r="B434" i="8" l="1"/>
  <c r="D434" i="8" s="1"/>
  <c r="I434" i="8" s="1"/>
  <c r="A435" i="8"/>
  <c r="C435" i="8" s="1"/>
  <c r="B455" i="1"/>
  <c r="A456" i="1"/>
  <c r="A437" i="8" l="1"/>
  <c r="C437" i="8" s="1"/>
  <c r="B435" i="8"/>
  <c r="D435" i="8" s="1"/>
  <c r="I435" i="8" s="1"/>
  <c r="A457" i="1"/>
  <c r="B456" i="1"/>
  <c r="A438" i="8" l="1"/>
  <c r="C438" i="8" s="1"/>
  <c r="B437" i="8"/>
  <c r="D437" i="8" s="1"/>
  <c r="I437" i="8" s="1"/>
  <c r="B457" i="1"/>
  <c r="A458" i="1"/>
  <c r="A439" i="8" l="1"/>
  <c r="C439" i="8" s="1"/>
  <c r="B438" i="8"/>
  <c r="D438" i="8" s="1"/>
  <c r="I438" i="8" s="1"/>
  <c r="A460" i="1"/>
  <c r="B460" i="1" s="1"/>
  <c r="B458" i="1"/>
  <c r="B439" i="8" l="1"/>
  <c r="D439" i="8" s="1"/>
  <c r="I439" i="8" s="1"/>
  <c r="A440" i="8"/>
  <c r="C440" i="8" s="1"/>
  <c r="A461" i="1"/>
  <c r="A441" i="8" l="1"/>
  <c r="C441" i="8" s="1"/>
  <c r="B440" i="8"/>
  <c r="D440" i="8" s="1"/>
  <c r="I440" i="8" s="1"/>
  <c r="A462" i="1"/>
  <c r="B461" i="1"/>
  <c r="A442" i="8" l="1"/>
  <c r="C442" i="8" s="1"/>
  <c r="B441" i="8"/>
  <c r="D441" i="8" s="1"/>
  <c r="I441" i="8" s="1"/>
  <c r="A463" i="1"/>
  <c r="B462" i="1"/>
  <c r="A443" i="8" l="1"/>
  <c r="C443" i="8" s="1"/>
  <c r="B442" i="8"/>
  <c r="D442" i="8" s="1"/>
  <c r="I442" i="8" s="1"/>
  <c r="B463" i="1"/>
  <c r="A464" i="1"/>
  <c r="B443" i="8" l="1"/>
  <c r="D443" i="8" s="1"/>
  <c r="I443" i="8" s="1"/>
  <c r="A444" i="8"/>
  <c r="C444" i="8" s="1"/>
  <c r="B464" i="1"/>
  <c r="A465" i="1"/>
  <c r="B444" i="8" l="1"/>
  <c r="D444" i="8" s="1"/>
  <c r="I444" i="8" s="1"/>
  <c r="A446" i="8"/>
  <c r="C446" i="8" s="1"/>
  <c r="A466" i="1"/>
  <c r="B465" i="1"/>
  <c r="A447" i="8" l="1"/>
  <c r="C447" i="8" s="1"/>
  <c r="B446" i="8"/>
  <c r="D446" i="8" s="1"/>
  <c r="I446" i="8" s="1"/>
  <c r="B466" i="1"/>
  <c r="A467" i="1"/>
  <c r="A448" i="8" l="1"/>
  <c r="C448" i="8" s="1"/>
  <c r="B447" i="8"/>
  <c r="D447" i="8" s="1"/>
  <c r="I447" i="8" s="1"/>
  <c r="B467" i="1"/>
  <c r="A468" i="1"/>
  <c r="B448" i="8" l="1"/>
  <c r="D448" i="8" s="1"/>
  <c r="I448" i="8" s="1"/>
  <c r="A449" i="8"/>
  <c r="C449" i="8" s="1"/>
  <c r="A469" i="1"/>
  <c r="B468" i="1"/>
  <c r="B449" i="8" l="1"/>
  <c r="D449" i="8" s="1"/>
  <c r="I449" i="8" s="1"/>
  <c r="A450" i="8"/>
  <c r="C450" i="8" s="1"/>
  <c r="B469" i="1"/>
  <c r="A470" i="1"/>
  <c r="A451" i="8" l="1"/>
  <c r="C451" i="8" s="1"/>
  <c r="B450" i="8"/>
  <c r="D450" i="8" s="1"/>
  <c r="I450" i="8" s="1"/>
  <c r="A471" i="1"/>
  <c r="B470" i="1"/>
  <c r="A452" i="8" l="1"/>
  <c r="C452" i="8" s="1"/>
  <c r="B451" i="8"/>
  <c r="D451" i="8" s="1"/>
  <c r="I451" i="8" s="1"/>
  <c r="A472" i="1"/>
  <c r="B471" i="1"/>
  <c r="B452" i="8" l="1"/>
  <c r="D452" i="8" s="1"/>
  <c r="I452" i="8" s="1"/>
  <c r="A453" i="8"/>
  <c r="C453" i="8" s="1"/>
  <c r="B472" i="1"/>
  <c r="A473" i="1"/>
  <c r="B453" i="8" l="1"/>
  <c r="D453" i="8" s="1"/>
  <c r="I453" i="8" s="1"/>
  <c r="A454" i="8"/>
  <c r="C454" i="8" s="1"/>
  <c r="B473" i="1"/>
  <c r="A474" i="1"/>
  <c r="A455" i="8" l="1"/>
  <c r="C455" i="8" s="1"/>
  <c r="B454" i="8"/>
  <c r="D454" i="8" s="1"/>
  <c r="I454" i="8" s="1"/>
  <c r="B474" i="1"/>
  <c r="A476" i="1"/>
  <c r="A456" i="8" l="1"/>
  <c r="C456" i="8" s="1"/>
  <c r="B455" i="8"/>
  <c r="D455" i="8" s="1"/>
  <c r="I455" i="8" s="1"/>
  <c r="A477" i="1"/>
  <c r="B476" i="1"/>
  <c r="B456" i="8" l="1"/>
  <c r="D456" i="8" s="1"/>
  <c r="I456" i="8" s="1"/>
  <c r="A457" i="8"/>
  <c r="C457" i="8" s="1"/>
  <c r="B477" i="1"/>
  <c r="A478" i="1"/>
  <c r="A458" i="8" l="1"/>
  <c r="C458" i="8" s="1"/>
  <c r="B457" i="8"/>
  <c r="D457" i="8" s="1"/>
  <c r="I457" i="8" s="1"/>
  <c r="A479" i="1"/>
  <c r="B478" i="1"/>
  <c r="A460" i="8" l="1"/>
  <c r="C460" i="8" s="1"/>
  <c r="B458" i="8"/>
  <c r="D458" i="8" s="1"/>
  <c r="I458" i="8" s="1"/>
  <c r="B479" i="1"/>
  <c r="A480" i="1"/>
  <c r="A461" i="8" l="1"/>
  <c r="C461" i="8" s="1"/>
  <c r="B460" i="8"/>
  <c r="D460" i="8" s="1"/>
  <c r="I460" i="8" s="1"/>
  <c r="B480" i="1"/>
  <c r="A481" i="1"/>
  <c r="B461" i="8" l="1"/>
  <c r="D461" i="8" s="1"/>
  <c r="I461" i="8" s="1"/>
  <c r="A462" i="8"/>
  <c r="C462" i="8" s="1"/>
  <c r="A482" i="1"/>
  <c r="B481" i="1"/>
  <c r="A463" i="8" l="1"/>
  <c r="C463" i="8" s="1"/>
  <c r="B462" i="8"/>
  <c r="D462" i="8" s="1"/>
  <c r="I462" i="8" s="1"/>
  <c r="A483" i="1"/>
  <c r="A485" i="1" s="1"/>
  <c r="B482" i="1"/>
  <c r="A464" i="8" l="1"/>
  <c r="C464" i="8" s="1"/>
  <c r="B463" i="8"/>
  <c r="D463" i="8" s="1"/>
  <c r="I463" i="8" s="1"/>
  <c r="B483" i="1"/>
  <c r="A465" i="8" l="1"/>
  <c r="C465" i="8" s="1"/>
  <c r="B464" i="8"/>
  <c r="D464" i="8" s="1"/>
  <c r="I464" i="8" s="1"/>
  <c r="B485" i="1"/>
  <c r="A486" i="1"/>
  <c r="B465" i="8" l="1"/>
  <c r="D465" i="8" s="1"/>
  <c r="I465" i="8" s="1"/>
  <c r="A466" i="8"/>
  <c r="C466" i="8" s="1"/>
  <c r="A487" i="1"/>
  <c r="B486" i="1"/>
  <c r="A467" i="8" l="1"/>
  <c r="C467" i="8" s="1"/>
  <c r="B466" i="8"/>
  <c r="D466" i="8" s="1"/>
  <c r="I466" i="8" s="1"/>
  <c r="B487" i="1"/>
  <c r="A488" i="1"/>
  <c r="A468" i="8" l="1"/>
  <c r="C468" i="8" s="1"/>
  <c r="B467" i="8"/>
  <c r="D467" i="8" s="1"/>
  <c r="I467" i="8" s="1"/>
  <c r="A489" i="1"/>
  <c r="B488" i="1"/>
  <c r="A469" i="8" l="1"/>
  <c r="C469" i="8" s="1"/>
  <c r="B468" i="8"/>
  <c r="D468" i="8" s="1"/>
  <c r="I468" i="8" s="1"/>
  <c r="B489" i="1"/>
  <c r="A490" i="1"/>
  <c r="B469" i="8" l="1"/>
  <c r="D469" i="8" s="1"/>
  <c r="I469" i="8" s="1"/>
  <c r="A470" i="8"/>
  <c r="C470" i="8" s="1"/>
  <c r="A491" i="1"/>
  <c r="B490" i="1"/>
  <c r="A471" i="8" l="1"/>
  <c r="C471" i="8" s="1"/>
  <c r="B470" i="8"/>
  <c r="D470" i="8" s="1"/>
  <c r="I470" i="8" s="1"/>
  <c r="A492" i="1"/>
  <c r="B491" i="1"/>
  <c r="A472" i="8" l="1"/>
  <c r="C472" i="8" s="1"/>
  <c r="B471" i="8"/>
  <c r="D471" i="8" s="1"/>
  <c r="I471" i="8" s="1"/>
  <c r="A493" i="1"/>
  <c r="B492" i="1"/>
  <c r="A473" i="8" l="1"/>
  <c r="C473" i="8" s="1"/>
  <c r="B472" i="8"/>
  <c r="D472" i="8" s="1"/>
  <c r="I472" i="8" s="1"/>
  <c r="B493" i="1"/>
  <c r="A494" i="1"/>
  <c r="B473" i="8" l="1"/>
  <c r="D473" i="8" s="1"/>
  <c r="I473" i="8" s="1"/>
  <c r="A474" i="8"/>
  <c r="C474" i="8" s="1"/>
  <c r="A495" i="1"/>
  <c r="B494" i="1"/>
  <c r="A476" i="8" l="1"/>
  <c r="C476" i="8" s="1"/>
  <c r="B474" i="8"/>
  <c r="D474" i="8" s="1"/>
  <c r="I474" i="8" s="1"/>
  <c r="A496" i="1"/>
  <c r="B495" i="1"/>
  <c r="A477" i="8" l="1"/>
  <c r="C477" i="8" s="1"/>
  <c r="B476" i="8"/>
  <c r="D476" i="8" s="1"/>
  <c r="I476" i="8" s="1"/>
  <c r="B496" i="1"/>
  <c r="A497" i="1"/>
  <c r="A478" i="8" l="1"/>
  <c r="C478" i="8" s="1"/>
  <c r="B477" i="8"/>
  <c r="D477" i="8" s="1"/>
  <c r="I477" i="8" s="1"/>
  <c r="B497" i="1"/>
  <c r="A498" i="1"/>
  <c r="B478" i="8" l="1"/>
  <c r="D478" i="8" s="1"/>
  <c r="I478" i="8" s="1"/>
  <c r="A479" i="8"/>
  <c r="C479" i="8" s="1"/>
  <c r="A499" i="1"/>
  <c r="B498" i="1"/>
  <c r="A480" i="8" l="1"/>
  <c r="C480" i="8" s="1"/>
  <c r="B479" i="8"/>
  <c r="D479" i="8" s="1"/>
  <c r="I479" i="8" s="1"/>
  <c r="A500" i="1"/>
  <c r="B499" i="1"/>
  <c r="A481" i="8" l="1"/>
  <c r="C481" i="8" s="1"/>
  <c r="B480" i="8"/>
  <c r="D480" i="8" s="1"/>
  <c r="I480" i="8" s="1"/>
  <c r="B500" i="1"/>
  <c r="A502" i="1"/>
  <c r="A482" i="8" l="1"/>
  <c r="C482" i="8" s="1"/>
  <c r="B481" i="8"/>
  <c r="D481" i="8" s="1"/>
  <c r="I481" i="8" s="1"/>
  <c r="B502" i="1"/>
  <c r="A503" i="1"/>
  <c r="B482" i="8" l="1"/>
  <c r="D482" i="8" s="1"/>
  <c r="I482" i="8" s="1"/>
  <c r="A483" i="8"/>
  <c r="C483" i="8" s="1"/>
  <c r="B503" i="1"/>
  <c r="A504" i="1"/>
  <c r="B483" i="8" l="1"/>
  <c r="D483" i="8" s="1"/>
  <c r="I483" i="8" s="1"/>
  <c r="A485" i="8"/>
  <c r="C485" i="8" s="1"/>
  <c r="A505" i="1"/>
  <c r="B504" i="1"/>
  <c r="A486" i="8" l="1"/>
  <c r="C486" i="8" s="1"/>
  <c r="B485" i="8"/>
  <c r="D485" i="8" s="1"/>
  <c r="I485" i="8" s="1"/>
  <c r="A506" i="1"/>
  <c r="B505" i="1"/>
  <c r="A487" i="8" l="1"/>
  <c r="C487" i="8" s="1"/>
  <c r="B486" i="8"/>
  <c r="D486" i="8" s="1"/>
  <c r="I486" i="8" s="1"/>
  <c r="A507" i="1"/>
  <c r="B506" i="1"/>
  <c r="B487" i="8" l="1"/>
  <c r="D487" i="8" s="1"/>
  <c r="I487" i="8" s="1"/>
  <c r="A488" i="8"/>
  <c r="C488" i="8" s="1"/>
  <c r="B507" i="1"/>
  <c r="A508" i="1"/>
  <c r="B488" i="8" l="1"/>
  <c r="D488" i="8" s="1"/>
  <c r="I488" i="8" s="1"/>
  <c r="A489" i="8"/>
  <c r="C489" i="8" s="1"/>
  <c r="A509" i="1"/>
  <c r="A511" i="1" s="1"/>
  <c r="B508" i="1"/>
  <c r="A490" i="8" l="1"/>
  <c r="C490" i="8" s="1"/>
  <c r="B489" i="8"/>
  <c r="D489" i="8" s="1"/>
  <c r="I489" i="8" s="1"/>
  <c r="B509" i="1"/>
  <c r="A491" i="8" l="1"/>
  <c r="C491" i="8" s="1"/>
  <c r="B490" i="8"/>
  <c r="D490" i="8" s="1"/>
  <c r="I490" i="8" s="1"/>
  <c r="A512" i="1"/>
  <c r="B511" i="1"/>
  <c r="B491" i="8" l="1"/>
  <c r="D491" i="8" s="1"/>
  <c r="I491" i="8" s="1"/>
  <c r="A492" i="8"/>
  <c r="C492" i="8" s="1"/>
  <c r="B512" i="1"/>
  <c r="A513" i="1"/>
  <c r="A493" i="8" l="1"/>
  <c r="C493" i="8" s="1"/>
  <c r="B492" i="8"/>
  <c r="D492" i="8" s="1"/>
  <c r="I492" i="8" s="1"/>
  <c r="B513" i="1"/>
  <c r="A514" i="1"/>
  <c r="A494" i="8" l="1"/>
  <c r="C494" i="8" s="1"/>
  <c r="B493" i="8"/>
  <c r="D493" i="8" s="1"/>
  <c r="I493" i="8" s="1"/>
  <c r="B514" i="1"/>
  <c r="A515" i="1"/>
  <c r="A495" i="8" l="1"/>
  <c r="C495" i="8" s="1"/>
  <c r="B494" i="8"/>
  <c r="D494" i="8" s="1"/>
  <c r="I494" i="8" s="1"/>
  <c r="B515" i="1"/>
  <c r="A516" i="1"/>
  <c r="B495" i="8" l="1"/>
  <c r="D495" i="8" s="1"/>
  <c r="I495" i="8" s="1"/>
  <c r="A496" i="8"/>
  <c r="C496" i="8" s="1"/>
  <c r="B516" i="1"/>
  <c r="A517" i="1"/>
  <c r="A518" i="1" s="1"/>
  <c r="A497" i="8" l="1"/>
  <c r="C497" i="8" s="1"/>
  <c r="B496" i="8"/>
  <c r="D496" i="8" s="1"/>
  <c r="I496" i="8" s="1"/>
  <c r="B517" i="1"/>
  <c r="A498" i="8" l="1"/>
  <c r="C498" i="8" s="1"/>
  <c r="B497" i="8"/>
  <c r="D497" i="8" s="1"/>
  <c r="I497" i="8" s="1"/>
  <c r="B518" i="1"/>
  <c r="A519" i="1"/>
  <c r="A499" i="8" l="1"/>
  <c r="C499" i="8" s="1"/>
  <c r="B498" i="8"/>
  <c r="D498" i="8" s="1"/>
  <c r="I498" i="8" s="1"/>
  <c r="B519" i="1"/>
  <c r="A520" i="1"/>
  <c r="B499" i="8" l="1"/>
  <c r="D499" i="8" s="1"/>
  <c r="I499" i="8" s="1"/>
  <c r="A500" i="8"/>
  <c r="C500" i="8" s="1"/>
  <c r="B520" i="1"/>
  <c r="A521" i="1"/>
  <c r="B500" i="8" l="1"/>
  <c r="D500" i="8" s="1"/>
  <c r="I500" i="8" s="1"/>
  <c r="A502" i="8"/>
  <c r="C502" i="8" s="1"/>
  <c r="A522" i="1"/>
  <c r="B521" i="1"/>
  <c r="A503" i="8" l="1"/>
  <c r="C503" i="8" s="1"/>
  <c r="B502" i="8"/>
  <c r="D502" i="8" s="1"/>
  <c r="I502" i="8" s="1"/>
  <c r="A523" i="1"/>
  <c r="A525" i="1" s="1"/>
  <c r="B522" i="1"/>
  <c r="A504" i="8" l="1"/>
  <c r="C504" i="8" s="1"/>
  <c r="B503" i="8"/>
  <c r="D503" i="8" s="1"/>
  <c r="I503" i="8" s="1"/>
  <c r="B523" i="1"/>
  <c r="B504" i="8" l="1"/>
  <c r="D504" i="8" s="1"/>
  <c r="I504" i="8" s="1"/>
  <c r="A505" i="8"/>
  <c r="C505" i="8" s="1"/>
  <c r="A526" i="1"/>
  <c r="B525" i="1"/>
  <c r="A506" i="8" l="1"/>
  <c r="C506" i="8" s="1"/>
  <c r="B505" i="8"/>
  <c r="D505" i="8" s="1"/>
  <c r="I505" i="8" s="1"/>
  <c r="A527" i="1"/>
  <c r="B526" i="1"/>
  <c r="A507" i="8" l="1"/>
  <c r="C507" i="8" s="1"/>
  <c r="B506" i="8"/>
  <c r="D506" i="8" s="1"/>
  <c r="I506" i="8" s="1"/>
  <c r="B527" i="1"/>
  <c r="A528" i="1"/>
  <c r="A508" i="8" l="1"/>
  <c r="C508" i="8" s="1"/>
  <c r="B507" i="8"/>
  <c r="D507" i="8" s="1"/>
  <c r="I507" i="8" s="1"/>
  <c r="B528" i="1"/>
  <c r="A529" i="1"/>
  <c r="B508" i="8" l="1"/>
  <c r="D508" i="8" s="1"/>
  <c r="I508" i="8" s="1"/>
  <c r="A509" i="8"/>
  <c r="C509" i="8" s="1"/>
  <c r="B529" i="1"/>
  <c r="A530" i="1"/>
  <c r="A511" i="8" l="1"/>
  <c r="C511" i="8" s="1"/>
  <c r="B509" i="8"/>
  <c r="D509" i="8" s="1"/>
  <c r="I509" i="8" s="1"/>
  <c r="A531" i="1"/>
  <c r="B530" i="1"/>
  <c r="A512" i="8" l="1"/>
  <c r="C512" i="8" s="1"/>
  <c r="B511" i="8"/>
  <c r="D511" i="8" s="1"/>
  <c r="I511" i="8" s="1"/>
  <c r="B531" i="1"/>
  <c r="A532" i="1"/>
  <c r="A513" i="8" l="1"/>
  <c r="C513" i="8" s="1"/>
  <c r="B512" i="8"/>
  <c r="D512" i="8" s="1"/>
  <c r="I512" i="8" s="1"/>
  <c r="A533" i="1"/>
  <c r="B532" i="1"/>
  <c r="B513" i="8" l="1"/>
  <c r="D513" i="8" s="1"/>
  <c r="I513" i="8" s="1"/>
  <c r="A514" i="8"/>
  <c r="C514" i="8" s="1"/>
  <c r="A534" i="1"/>
  <c r="B533" i="1"/>
  <c r="A515" i="8" l="1"/>
  <c r="C515" i="8" s="1"/>
  <c r="B514" i="8"/>
  <c r="D514" i="8" s="1"/>
  <c r="I514" i="8" s="1"/>
  <c r="B534" i="1"/>
  <c r="A535" i="1"/>
  <c r="A516" i="8" l="1"/>
  <c r="C516" i="8" s="1"/>
  <c r="B515" i="8"/>
  <c r="D515" i="8" s="1"/>
  <c r="I515" i="8" s="1"/>
  <c r="A536" i="1"/>
  <c r="B535" i="1"/>
  <c r="A517" i="8" l="1"/>
  <c r="C517" i="8" s="1"/>
  <c r="B516" i="8"/>
  <c r="D516" i="8" s="1"/>
  <c r="I516" i="8" s="1"/>
  <c r="A537" i="1"/>
  <c r="B536" i="1"/>
  <c r="B517" i="8" l="1"/>
  <c r="D517" i="8" s="1"/>
  <c r="I517" i="8" s="1"/>
  <c r="A518" i="8"/>
  <c r="C518" i="8" s="1"/>
  <c r="B537" i="1"/>
  <c r="A538" i="1"/>
  <c r="B518" i="8" l="1"/>
  <c r="D518" i="8" s="1"/>
  <c r="I518" i="8" s="1"/>
  <c r="A519" i="8"/>
  <c r="C519" i="8" s="1"/>
  <c r="A539" i="1"/>
  <c r="B538" i="1"/>
  <c r="A520" i="8" l="1"/>
  <c r="C520" i="8" s="1"/>
  <c r="B519" i="8"/>
  <c r="D519" i="8" s="1"/>
  <c r="I519" i="8" s="1"/>
  <c r="A541" i="1"/>
  <c r="B539" i="1"/>
  <c r="A521" i="8" l="1"/>
  <c r="C521" i="8" s="1"/>
  <c r="B520" i="8"/>
  <c r="D520" i="8" s="1"/>
  <c r="I520" i="8" s="1"/>
  <c r="A542" i="1"/>
  <c r="B541" i="1"/>
  <c r="B521" i="8" l="1"/>
  <c r="D521" i="8" s="1"/>
  <c r="I521" i="8" s="1"/>
  <c r="A522" i="8"/>
  <c r="C522" i="8" s="1"/>
  <c r="A543" i="1"/>
  <c r="B542" i="1"/>
  <c r="B522" i="8" l="1"/>
  <c r="D522" i="8" s="1"/>
  <c r="I522" i="8" s="1"/>
  <c r="A523" i="8"/>
  <c r="C523" i="8" s="1"/>
  <c r="A544" i="1"/>
  <c r="B543" i="1"/>
  <c r="A525" i="8" l="1"/>
  <c r="C525" i="8" s="1"/>
  <c r="B523" i="8"/>
  <c r="D523" i="8" s="1"/>
  <c r="I523" i="8" s="1"/>
  <c r="A545" i="1"/>
  <c r="B544" i="1"/>
  <c r="A526" i="8" l="1"/>
  <c r="C526" i="8" s="1"/>
  <c r="B525" i="8"/>
  <c r="D525" i="8" s="1"/>
  <c r="I525" i="8" s="1"/>
  <c r="A546" i="1"/>
  <c r="B545" i="1"/>
  <c r="B526" i="8" l="1"/>
  <c r="D526" i="8" s="1"/>
  <c r="I526" i="8" s="1"/>
  <c r="A527" i="8"/>
  <c r="C527" i="8" s="1"/>
  <c r="B546" i="1"/>
  <c r="A547" i="1"/>
  <c r="A528" i="8" l="1"/>
  <c r="C528" i="8" s="1"/>
  <c r="B527" i="8"/>
  <c r="D527" i="8" s="1"/>
  <c r="I527" i="8" s="1"/>
  <c r="B547" i="1"/>
  <c r="A548" i="1"/>
  <c r="A550" i="1" s="1"/>
  <c r="B550" i="1" s="1"/>
  <c r="A529" i="8" l="1"/>
  <c r="C529" i="8" s="1"/>
  <c r="B528" i="8"/>
  <c r="D528" i="8" s="1"/>
  <c r="I528" i="8" s="1"/>
  <c r="B548" i="1"/>
  <c r="A530" i="8" l="1"/>
  <c r="C530" i="8" s="1"/>
  <c r="B529" i="8"/>
  <c r="D529" i="8" s="1"/>
  <c r="I529" i="8" s="1"/>
  <c r="A551" i="1"/>
  <c r="B530" i="8" l="1"/>
  <c r="D530" i="8" s="1"/>
  <c r="I530" i="8" s="1"/>
  <c r="A531" i="8"/>
  <c r="C531" i="8" s="1"/>
  <c r="A552" i="1"/>
  <c r="B551" i="1"/>
  <c r="A532" i="8" l="1"/>
  <c r="C532" i="8" s="1"/>
  <c r="B531" i="8"/>
  <c r="D531" i="8" s="1"/>
  <c r="I531" i="8" s="1"/>
  <c r="A553" i="1"/>
  <c r="B552" i="1"/>
  <c r="A533" i="8" l="1"/>
  <c r="C533" i="8" s="1"/>
  <c r="B532" i="8"/>
  <c r="D532" i="8" s="1"/>
  <c r="I532" i="8" s="1"/>
  <c r="A554" i="1"/>
  <c r="B553" i="1"/>
  <c r="A534" i="8" l="1"/>
  <c r="C534" i="8" s="1"/>
  <c r="B533" i="8"/>
  <c r="D533" i="8" s="1"/>
  <c r="I533" i="8" s="1"/>
  <c r="A555" i="1"/>
  <c r="B554" i="1"/>
  <c r="B534" i="8" l="1"/>
  <c r="D534" i="8" s="1"/>
  <c r="I534" i="8" s="1"/>
  <c r="A535" i="8"/>
  <c r="C535" i="8" s="1"/>
  <c r="B555" i="1"/>
  <c r="A556" i="1"/>
  <c r="A536" i="8" l="1"/>
  <c r="C536" i="8" s="1"/>
  <c r="B535" i="8"/>
  <c r="D535" i="8" s="1"/>
  <c r="I535" i="8" s="1"/>
  <c r="B556" i="1"/>
  <c r="A557" i="1"/>
  <c r="A537" i="8" l="1"/>
  <c r="C537" i="8" s="1"/>
  <c r="B536" i="8"/>
  <c r="D536" i="8" s="1"/>
  <c r="I536" i="8" s="1"/>
  <c r="A558" i="1"/>
  <c r="B557" i="1"/>
  <c r="A538" i="8" l="1"/>
  <c r="C538" i="8" s="1"/>
  <c r="B537" i="8"/>
  <c r="D537" i="8" s="1"/>
  <c r="I537" i="8" s="1"/>
  <c r="B558" i="1"/>
  <c r="A559" i="1"/>
  <c r="B538" i="8" l="1"/>
  <c r="D538" i="8" s="1"/>
  <c r="I538" i="8" s="1"/>
  <c r="A539" i="8"/>
  <c r="C539" i="8" s="1"/>
  <c r="B559" i="1"/>
  <c r="A560" i="1"/>
  <c r="A541" i="8" l="1"/>
  <c r="C541" i="8" s="1"/>
  <c r="B539" i="8"/>
  <c r="D539" i="8" s="1"/>
  <c r="I539" i="8" s="1"/>
  <c r="B560" i="1"/>
  <c r="A561" i="1"/>
  <c r="A542" i="8" l="1"/>
  <c r="C542" i="8" s="1"/>
  <c r="B541" i="8"/>
  <c r="D541" i="8" s="1"/>
  <c r="I541" i="8" s="1"/>
  <c r="A562" i="1"/>
  <c r="B561" i="1"/>
  <c r="A543" i="8" l="1"/>
  <c r="C543" i="8" s="1"/>
  <c r="B542" i="8"/>
  <c r="D542" i="8" s="1"/>
  <c r="I542" i="8" s="1"/>
  <c r="A563" i="1"/>
  <c r="B562" i="1"/>
  <c r="B543" i="8" l="1"/>
  <c r="D543" i="8" s="1"/>
  <c r="I543" i="8" s="1"/>
  <c r="A544" i="8"/>
  <c r="C544" i="8" s="1"/>
  <c r="B563" i="1"/>
  <c r="A564" i="1"/>
  <c r="A545" i="8" l="1"/>
  <c r="C545" i="8" s="1"/>
  <c r="B544" i="8"/>
  <c r="D544" i="8" s="1"/>
  <c r="I544" i="8" s="1"/>
  <c r="B564" i="1"/>
  <c r="A565" i="1"/>
  <c r="A546" i="8" l="1"/>
  <c r="C546" i="8" s="1"/>
  <c r="B545" i="8"/>
  <c r="D545" i="8" s="1"/>
  <c r="I545" i="8" s="1"/>
  <c r="A567" i="1"/>
  <c r="B565" i="1"/>
  <c r="A547" i="8" l="1"/>
  <c r="C547" i="8" s="1"/>
  <c r="B546" i="8"/>
  <c r="D546" i="8" s="1"/>
  <c r="I546" i="8" s="1"/>
  <c r="A568" i="1"/>
  <c r="B567" i="1"/>
  <c r="B547" i="8" l="1"/>
  <c r="D547" i="8" s="1"/>
  <c r="I547" i="8" s="1"/>
  <c r="A548" i="8"/>
  <c r="C548" i="8" s="1"/>
  <c r="A569" i="1"/>
  <c r="B568" i="1"/>
  <c r="A550" i="8" l="1"/>
  <c r="C550" i="8" s="1"/>
  <c r="B548" i="8"/>
  <c r="D548" i="8" s="1"/>
  <c r="I548" i="8" s="1"/>
  <c r="A570" i="1"/>
  <c r="B569" i="1"/>
  <c r="A551" i="8" l="1"/>
  <c r="C551" i="8" s="1"/>
  <c r="B550" i="8"/>
  <c r="D550" i="8" s="1"/>
  <c r="I550" i="8" s="1"/>
  <c r="B570" i="1"/>
  <c r="A571" i="1"/>
  <c r="A552" i="8" l="1"/>
  <c r="C552" i="8" s="1"/>
  <c r="B551" i="8"/>
  <c r="D551" i="8" s="1"/>
  <c r="I551" i="8" s="1"/>
  <c r="B571" i="1"/>
  <c r="A572" i="1"/>
  <c r="B552" i="8" l="1"/>
  <c r="D552" i="8" s="1"/>
  <c r="I552" i="8" s="1"/>
  <c r="A553" i="8"/>
  <c r="C553" i="8" s="1"/>
  <c r="B572" i="1"/>
  <c r="A573" i="1"/>
  <c r="B553" i="8" l="1"/>
  <c r="D553" i="8" s="1"/>
  <c r="I553" i="8" s="1"/>
  <c r="A554" i="8"/>
  <c r="C554" i="8" s="1"/>
  <c r="B573" i="1"/>
  <c r="A575" i="1"/>
  <c r="A555" i="8" l="1"/>
  <c r="C555" i="8" s="1"/>
  <c r="B554" i="8"/>
  <c r="D554" i="8" s="1"/>
  <c r="I554" i="8" s="1"/>
  <c r="A576" i="1"/>
  <c r="B575" i="1"/>
  <c r="A556" i="8" l="1"/>
  <c r="C556" i="8" s="1"/>
  <c r="B555" i="8"/>
  <c r="D555" i="8" s="1"/>
  <c r="I555" i="8" s="1"/>
  <c r="A577" i="1"/>
  <c r="B576" i="1"/>
  <c r="B556" i="8" l="1"/>
  <c r="D556" i="8" s="1"/>
  <c r="I556" i="8" s="1"/>
  <c r="A557" i="8"/>
  <c r="C557" i="8" s="1"/>
  <c r="B577" i="1"/>
  <c r="A578" i="1"/>
  <c r="B557" i="8" l="1"/>
  <c r="D557" i="8" s="1"/>
  <c r="I557" i="8" s="1"/>
  <c r="A558" i="8"/>
  <c r="C558" i="8" s="1"/>
  <c r="B578" i="1"/>
  <c r="A579" i="1"/>
  <c r="A559" i="8" l="1"/>
  <c r="C559" i="8" s="1"/>
  <c r="B558" i="8"/>
  <c r="D558" i="8" s="1"/>
  <c r="I558" i="8" s="1"/>
  <c r="B579" i="1"/>
  <c r="A580" i="1"/>
  <c r="A560" i="8" l="1"/>
  <c r="C560" i="8" s="1"/>
  <c r="B559" i="8"/>
  <c r="D559" i="8" s="1"/>
  <c r="I559" i="8" s="1"/>
  <c r="A581" i="1"/>
  <c r="B580" i="1"/>
  <c r="B560" i="8" l="1"/>
  <c r="D560" i="8" s="1"/>
  <c r="I560" i="8" s="1"/>
  <c r="A561" i="8"/>
  <c r="C561" i="8" s="1"/>
  <c r="B581" i="1"/>
  <c r="A582" i="1"/>
  <c r="A583" i="1" s="1"/>
  <c r="B583" i="1" s="1"/>
  <c r="A562" i="8" l="1"/>
  <c r="C562" i="8" s="1"/>
  <c r="B561" i="8"/>
  <c r="D561" i="8" s="1"/>
  <c r="I561" i="8" s="1"/>
  <c r="B582" i="1"/>
  <c r="A563" i="8" l="1"/>
  <c r="C563" i="8" s="1"/>
  <c r="B562" i="8"/>
  <c r="D562" i="8" s="1"/>
  <c r="I562" i="8" s="1"/>
  <c r="B585" i="1"/>
  <c r="A564" i="8" l="1"/>
  <c r="C564" i="8" s="1"/>
  <c r="B563" i="8"/>
  <c r="D563" i="8" s="1"/>
  <c r="I563" i="8" s="1"/>
  <c r="B564" i="8" l="1"/>
  <c r="D564" i="8" s="1"/>
  <c r="I564" i="8" s="1"/>
  <c r="A565" i="8"/>
  <c r="C565" i="8" s="1"/>
  <c r="A567" i="8" l="1"/>
  <c r="C567" i="8" s="1"/>
  <c r="B565" i="8"/>
  <c r="D565" i="8" s="1"/>
  <c r="I565" i="8" s="1"/>
  <c r="A568" i="8" l="1"/>
  <c r="C568" i="8" s="1"/>
  <c r="B567" i="8"/>
  <c r="D567" i="8" s="1"/>
  <c r="I567" i="8" s="1"/>
  <c r="A569" i="8" l="1"/>
  <c r="C569" i="8" s="1"/>
  <c r="B568" i="8"/>
  <c r="D568" i="8" s="1"/>
  <c r="I568" i="8" s="1"/>
  <c r="B569" i="8" l="1"/>
  <c r="D569" i="8" s="1"/>
  <c r="I569" i="8" s="1"/>
  <c r="A570" i="8"/>
  <c r="C570" i="8" s="1"/>
  <c r="A571" i="8" l="1"/>
  <c r="C571" i="8" s="1"/>
  <c r="B570" i="8"/>
  <c r="D570" i="8" s="1"/>
  <c r="I570" i="8" s="1"/>
  <c r="A572" i="8" l="1"/>
  <c r="C572" i="8" s="1"/>
  <c r="B571" i="8"/>
  <c r="D571" i="8" s="1"/>
  <c r="I571" i="8" s="1"/>
  <c r="A573" i="8" l="1"/>
  <c r="C573" i="8" s="1"/>
  <c r="B572" i="8"/>
  <c r="D572" i="8" s="1"/>
  <c r="I572" i="8" s="1"/>
  <c r="B573" i="8" l="1"/>
  <c r="D573" i="8" s="1"/>
  <c r="I573" i="8" s="1"/>
  <c r="A575" i="8"/>
  <c r="C575" i="8" s="1"/>
  <c r="A576" i="8" l="1"/>
  <c r="C576" i="8" s="1"/>
  <c r="B575" i="8"/>
  <c r="D575" i="8" s="1"/>
  <c r="I575" i="8" s="1"/>
  <c r="A577" i="8" l="1"/>
  <c r="C577" i="8" s="1"/>
  <c r="B576" i="8"/>
  <c r="D576" i="8" s="1"/>
  <c r="I576" i="8" s="1"/>
  <c r="A578" i="8" l="1"/>
  <c r="C578" i="8" s="1"/>
  <c r="B577" i="8"/>
  <c r="D577" i="8" s="1"/>
  <c r="I577" i="8" s="1"/>
  <c r="B578" i="8" l="1"/>
  <c r="D578" i="8" s="1"/>
  <c r="I578" i="8" s="1"/>
  <c r="A579" i="8"/>
  <c r="C579" i="8" s="1"/>
  <c r="A580" i="8" l="1"/>
  <c r="C580" i="8" s="1"/>
  <c r="B579" i="8"/>
  <c r="D579" i="8" s="1"/>
  <c r="I579" i="8" s="1"/>
  <c r="A581" i="8" l="1"/>
  <c r="C581" i="8" s="1"/>
  <c r="B580" i="8"/>
  <c r="D580" i="8" s="1"/>
  <c r="I580" i="8" s="1"/>
  <c r="A582" i="8" l="1"/>
  <c r="C582" i="8" s="1"/>
  <c r="B581" i="8"/>
  <c r="D581" i="8" s="1"/>
  <c r="I581" i="8" s="1"/>
  <c r="A583" i="8" l="1"/>
  <c r="B582" i="8"/>
  <c r="D582" i="8" s="1"/>
  <c r="I582" i="8" s="1"/>
  <c r="B583" i="8" l="1"/>
  <c r="C583" i="8"/>
  <c r="B585" i="8" l="1"/>
  <c r="D583" i="8"/>
  <c r="I583" i="8" s="1"/>
</calcChain>
</file>

<file path=xl/sharedStrings.xml><?xml version="1.0" encoding="utf-8"?>
<sst xmlns="http://schemas.openxmlformats.org/spreadsheetml/2006/main" count="1946" uniqueCount="722">
  <si>
    <t>District Code</t>
  </si>
  <si>
    <t>School Code</t>
  </si>
  <si>
    <t>District Name</t>
  </si>
  <si>
    <t>School Name</t>
  </si>
  <si>
    <t>School Type</t>
  </si>
  <si>
    <t>Charter School Type</t>
  </si>
  <si>
    <t>Hispanic</t>
  </si>
  <si>
    <t>Asian</t>
  </si>
  <si>
    <t>Black</t>
  </si>
  <si>
    <t>Native Hawaiian or other Pacific Islander</t>
  </si>
  <si>
    <t>White</t>
  </si>
  <si>
    <t>Content</t>
  </si>
  <si>
    <t>Teacher Last Name</t>
  </si>
  <si>
    <t>Teacher First Name</t>
  </si>
  <si>
    <t>Course Name</t>
  </si>
  <si>
    <t>Total MC Score</t>
  </si>
  <si>
    <t>Total CR Score</t>
  </si>
  <si>
    <t>Reportable status</t>
  </si>
  <si>
    <t>Test Valid Attempt</t>
  </si>
  <si>
    <t>Void Flag</t>
  </si>
  <si>
    <t>Eligible Flag</t>
  </si>
  <si>
    <t>Scale Score</t>
  </si>
  <si>
    <t>Career Diploma Pathway/Track</t>
  </si>
  <si>
    <t>Retest Flag</t>
  </si>
  <si>
    <t>Admin Error Administration</t>
  </si>
  <si>
    <t>Test Date-Month</t>
  </si>
  <si>
    <t>Test Date-Year</t>
  </si>
  <si>
    <t>American Indian or Alaska Native</t>
  </si>
  <si>
    <t>Scholarship Student Flag</t>
  </si>
  <si>
    <t>Economically Disadvantaged Status</t>
  </si>
  <si>
    <t>Ending Location</t>
  </si>
  <si>
    <t>Length</t>
  </si>
  <si>
    <t>Field Name</t>
  </si>
  <si>
    <t>Possible Values</t>
  </si>
  <si>
    <t>Description/Comments</t>
  </si>
  <si>
    <t>05 = May
06 = June
12 = December</t>
  </si>
  <si>
    <t>DISTRICT/SCHOOL</t>
  </si>
  <si>
    <t>1 = Type 1 Charter
2 = Type 2 Charter
3 = Type 3 Charter
4 = Type 4 Charter
5 = Type 5 Charter
6 = Type 3B Charter
Blank = Not a Charter School</t>
  </si>
  <si>
    <t>Y = Admin Error Form
Blank = Non-Admin Error Form</t>
  </si>
  <si>
    <t>FILLER</t>
  </si>
  <si>
    <t>STUDENT DETAILS</t>
  </si>
  <si>
    <r>
      <t xml:space="preserve">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t>
    </r>
  </si>
  <si>
    <t>LASID</t>
  </si>
  <si>
    <t>Unique student identification number generated by LDE.</t>
  </si>
  <si>
    <t>01-12
Blank</t>
  </si>
  <si>
    <t>00-31</t>
  </si>
  <si>
    <r>
      <t xml:space="preserve">Month, Day, Year of student's birth
</t>
    </r>
    <r>
      <rPr>
        <sz val="10"/>
        <rFont val="Arial"/>
        <family val="2"/>
      </rPr>
      <t xml:space="preserve">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Month and Year will be blank for assess groups identified as passing limited PII to LDE.
These fields will be populated on the audit student level LDESTD file produced for LDE</t>
    </r>
  </si>
  <si>
    <t>19&lt;YY&gt;-20&lt;YY&gt;
Blank</t>
  </si>
  <si>
    <t>0 = Regular Education
1 = Special Education
2 = Gifted or Talented</t>
  </si>
  <si>
    <t>01 = Not LEP
02 = LEP</t>
  </si>
  <si>
    <t>Y = 504
N = Not 504</t>
  </si>
  <si>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Severe Mental Dis.)
Blank = student has no special education category</t>
  </si>
  <si>
    <t>Y = Hispanic or Latino
N = Not Hispanic or Latino</t>
  </si>
  <si>
    <t>Y = American Indian or Alaska Native
N = Not American Indian or Alaska Native</t>
  </si>
  <si>
    <t>Y = Asian
N = Not Asian</t>
  </si>
  <si>
    <t>Y = Black or African American
N = Not Black or African American</t>
  </si>
  <si>
    <t>Y = White
N = Not White</t>
  </si>
  <si>
    <t>Y = Native Hawaiian or Other Pacific 
        Islander
N = Not Native Hawaiian or Other 
      Pacific Islander</t>
  </si>
  <si>
    <t>Y = Homeless
N = Not Homeless</t>
  </si>
  <si>
    <t>1 = Hispanic/Latino
2 = American Indian or Alaska Native
3 = Asian
4 = Black or African American
5 = Native Hawaiian or Other Pacific
       Islander
6 = White
7 = Two or more races</t>
  </si>
  <si>
    <r>
      <t xml:space="preserve">Student's summarized ethnicity/race.
Refer to the </t>
    </r>
    <r>
      <rPr>
        <b/>
        <u/>
        <sz val="10"/>
        <rFont val="Arial"/>
        <family val="2"/>
      </rPr>
      <t>Rules to Determine Demographic Values</t>
    </r>
    <r>
      <rPr>
        <sz val="10"/>
        <rFont val="Arial"/>
        <family val="2"/>
      </rPr>
      <t xml:space="preserve"> section of the Processing Rules - Scoring document for logic to determine this value.</t>
    </r>
  </si>
  <si>
    <t>6-digit school code
3 digit district code
3 character assess group</t>
  </si>
  <si>
    <t xml:space="preserve">E = Eligible Tester
Blank </t>
  </si>
  <si>
    <t>I = Initial Tester
R = Retester
P = Previously Passed
Blank</t>
  </si>
  <si>
    <t>0-999
Blank</t>
  </si>
  <si>
    <t>Y = Valid Attempt
N = No Valid Attempt
Blank</t>
  </si>
  <si>
    <t>1= LDE Void
2 = District Void
3 = Administrative Error (AE) Void
Blank</t>
  </si>
  <si>
    <t>600-800 
Blank</t>
  </si>
  <si>
    <t>0-99
Blank</t>
  </si>
  <si>
    <t>0-100
Blank</t>
  </si>
  <si>
    <t>01-99
Blank</t>
  </si>
  <si>
    <t>TEST DETAILS - ENGLISH II</t>
  </si>
  <si>
    <t>TEST DETAILS - BIOLOGY</t>
  </si>
  <si>
    <t>TEST DETAILS - ENGLISH III</t>
  </si>
  <si>
    <t>06 = Grade 6
07 = Grade 7
08 = Grade 8
T9 = Transitional Grade 9
09 = Grade 9
10 = Grade 10
11 = Grade 11
12 = Grade 12</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</si>
  <si>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</si>
  <si>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t>01 = LEA
02 = LAB
03 = CHA
04 = TRI
05 = NPB
06 = STA
08 = BSE
09 = OJJ
10 = MAR
12 = RES
13 = NPS
14 = RLA
15 = RNO
16 = JUV
17 = RBR</t>
  </si>
  <si>
    <t>Student Last Name</t>
  </si>
  <si>
    <t>Student First Name</t>
  </si>
  <si>
    <t>Student Middle Initial</t>
  </si>
  <si>
    <t>DOB - Day</t>
  </si>
  <si>
    <t>DOB - Month</t>
  </si>
  <si>
    <t>DOB - Year</t>
  </si>
  <si>
    <t>Reporting Grade</t>
  </si>
  <si>
    <t>Class Section</t>
  </si>
  <si>
    <t>Testing Site Code</t>
  </si>
  <si>
    <t>6 digit site code
Blank</t>
  </si>
  <si>
    <t>Y = Yes
N = No</t>
  </si>
  <si>
    <t>Assessment Achievement Level</t>
  </si>
  <si>
    <t>"N" when attempts zero items.
"Y" when at least one item is attempted
Blank when student not enrolled.</t>
  </si>
  <si>
    <t>Test Launch Flag</t>
  </si>
  <si>
    <t>EXC = Excellent
GOO = Good
FAI = Fair
NIP = Needs Improvement
Blank</t>
  </si>
  <si>
    <t>Accountability Achievement Level</t>
  </si>
  <si>
    <t>N = Not Reportable
P = Pending
R = Reportable
Blank</t>
  </si>
  <si>
    <t>Text-to-Speech</t>
  </si>
  <si>
    <t>Spanish Test</t>
  </si>
  <si>
    <t>Braille</t>
  </si>
  <si>
    <t>Accommodated Paper</t>
  </si>
  <si>
    <t>Human Read Aloud</t>
  </si>
  <si>
    <t>Communication Assistance</t>
  </si>
  <si>
    <t>Transferred Answers</t>
  </si>
  <si>
    <t>Answers Recorded</t>
  </si>
  <si>
    <t>Calculator</t>
  </si>
  <si>
    <t>Extended Time</t>
  </si>
  <si>
    <t>Individual or Small Group Administration</t>
  </si>
  <si>
    <t>As valued in eDIRECT.</t>
  </si>
  <si>
    <t>ALGEBRA I SCORING INFORMATION</t>
  </si>
  <si>
    <t>Content Standard Information</t>
  </si>
  <si>
    <t>Total Raw Score</t>
  </si>
  <si>
    <t>Total Percent correct</t>
  </si>
  <si>
    <t>Precode Site Code</t>
  </si>
  <si>
    <t>Course Code</t>
  </si>
  <si>
    <t>100-899 = School Level
900-999 = District Level
Blank</t>
  </si>
  <si>
    <t>TEST DETAILS - ALGEBRA I</t>
  </si>
  <si>
    <t xml:space="preserve">Refer to the Accountability Codes for Testing document for valid values. </t>
  </si>
  <si>
    <t>ENGLISH II SCORING INFORMATION</t>
  </si>
  <si>
    <t>Writing and Language Conventions Raw Score</t>
  </si>
  <si>
    <t>Reading Raw Score</t>
  </si>
  <si>
    <t>Research Raw Score</t>
  </si>
  <si>
    <t>Western Expansion to Progressivism - Standard 2 - Raw Score</t>
  </si>
  <si>
    <t>Isolationism through the Great War - Standard 3 - Raw Score</t>
  </si>
  <si>
    <t>Becoming a World Power through World War II - Standard 4 - Raw Score</t>
  </si>
  <si>
    <t>Cold War Era - Standard 5 - Raw Score</t>
  </si>
  <si>
    <t>The Modern Age - Standard 6 - Raw Score</t>
  </si>
  <si>
    <t>Total Percent Correct</t>
  </si>
  <si>
    <t>Writing and Language Conventions Percent Correct</t>
  </si>
  <si>
    <t>Reading Percent Correct</t>
  </si>
  <si>
    <t>Research Percent Correct</t>
  </si>
  <si>
    <t>Western Expansion to Progressivism - Standard 2 - Percent Correct</t>
  </si>
  <si>
    <t>Isolationism through the Great War - Standard 3 - Percent Correct</t>
  </si>
  <si>
    <t>Becoming a World Power through World War II - Standard 4 - Percent Correct</t>
  </si>
  <si>
    <t>Cold War Era - Standard 5 - Percent Correct</t>
  </si>
  <si>
    <t>The Modern Age - Standard 6 - Percent Correct</t>
  </si>
  <si>
    <t>Total points earned for Writing and Language Conventions. 
Blank when the Total Raw Score is blank.</t>
  </si>
  <si>
    <t>Percent Correct for Writing and Language Conventions. This is calculated by dividing the total points earned by the total points possible for the standard.
Blank when the Total Raw Score is blank.</t>
  </si>
  <si>
    <t>Total points earned for Reading.
Blank when the Total Raw Score is blank.</t>
  </si>
  <si>
    <t>Percent Correct for Reading. This is calculated by dividing the total points earned by the total points possible for the standard.
Blank when the Total Raw Score is blank.</t>
  </si>
  <si>
    <t>Total points earned for Research.
Blank when the Total Raw Score is blank.</t>
  </si>
  <si>
    <t>Percent Correct for Research. This is calculated by dividing the total points earned by the total points possible for the standard.
Blank when the Total Raw Score is blank.</t>
  </si>
  <si>
    <t>TEST DETAILS - GEOMETRY</t>
  </si>
  <si>
    <t>GEOMETRY SCORING INFORMATION</t>
  </si>
  <si>
    <t>BIOLOGY SCORING INFORMATION</t>
  </si>
  <si>
    <t>Total points earned for Science as Inquiry. 
Blank when the Total Raw Score is blank.</t>
  </si>
  <si>
    <t>Percent Correct for Science as Inquiry. This is calculated by dividing the total points earned by the total points possible for the standard.
Blank when the Total Raw Score is blank.</t>
  </si>
  <si>
    <t>Total points earned for Life Science.
Blank when the Total Raw Score is blank.</t>
  </si>
  <si>
    <t>Percent Correct for Life Science. This is calculated by dividing the total points earned by the total points possible for the standard.
Blank when the Total Raw Score is blank.</t>
  </si>
  <si>
    <t>Percent Correct for Earth and Space Science. This is calculated by dividing the total points earned by the total points possible for the standard.
Blank when the Total Raw Score is blank.</t>
  </si>
  <si>
    <t>Total points earned for Earth and Space Science.
Blank when the Total Raw Score is blank.</t>
  </si>
  <si>
    <t>Science as Inquiry Percent Correct</t>
  </si>
  <si>
    <t>Life Science Percent Correct</t>
  </si>
  <si>
    <t>Earth and Space Science Percent Correct</t>
  </si>
  <si>
    <t>Science as Inquiry Raw Score</t>
  </si>
  <si>
    <t>Life Science Raw Score</t>
  </si>
  <si>
    <t>Earth and Space Science Raw Score</t>
  </si>
  <si>
    <t>ENGLISH III SCORING INFORMATION</t>
  </si>
  <si>
    <t>Total points earned for Western Expansion to Progressivism. 
Blank when the Total Raw Score is blank.</t>
  </si>
  <si>
    <t>Percent Correct for Western Expansion to Progressivism. This is calculated by dividing the total points earned by the total points possible for the standard.
Blank when the Total Raw Score is blank.</t>
  </si>
  <si>
    <t>Total points earned for Isolationism through the Great War.
Blank when the Total Raw Score is blank.</t>
  </si>
  <si>
    <t>Percent Correct for Isolationism through the Great War. This is calculated by dividing the total points earned by the total points possible for the standard.
Blank when the Total Raw Score is blank.</t>
  </si>
  <si>
    <t>Total points earned for Becoming a World Power through World War II.
Blank when the Total Raw Score is blank.</t>
  </si>
  <si>
    <t>Percent Correct for Becoming a World Power through World War II. This is calculated by dividing the total points earned by the total points possible for the standard.
Blank when the Total Raw Score is blank.</t>
  </si>
  <si>
    <t>Total points earned for Cold War Era.
Blank when the Total Raw Score is blank.</t>
  </si>
  <si>
    <t>Percent Correct for Cold War Era. This is calculated by dividing the total points earned by the total points possible for the standard.
Blank when the Total Raw Score is blank.</t>
  </si>
  <si>
    <t>Total points earned for The Modern Age.
Blank when the Total Raw Score is blank.</t>
  </si>
  <si>
    <t>Percent Correct for The Modern Age. This is calculated by dividing the total points earned by the total points possible for the standard.
Blank when the Total Raw Score is blank.</t>
  </si>
  <si>
    <t>The numeric type for the Assess Group Code value from the School Master File for the school the student is being reported to.</t>
  </si>
  <si>
    <t>0-9 in any position</t>
  </si>
  <si>
    <t>A-Z in any position</t>
  </si>
  <si>
    <t>A-Z</t>
  </si>
  <si>
    <t>Charter type as listed in the School Master File.
Blank for 888 and 998 school types.</t>
  </si>
  <si>
    <t>As flagged on the Enroll File. 
Blank for a manually added student.</t>
  </si>
  <si>
    <t>F = Female
M = Male</t>
  </si>
  <si>
    <t>As valued in eDIRECT.
Values are derived from the Enroll file for precoded students or as entered in eDIRECT for manually added students.</t>
  </si>
  <si>
    <t>Y = Career Diploma
N = Not Career Diploma
Blank</t>
  </si>
  <si>
    <t>As flagged on the Enroll File.
Blank for a manually added student.</t>
  </si>
  <si>
    <t>Y = Scholarship Student
N = Non-Scholarship Student</t>
  </si>
  <si>
    <t>Site code from the Enroll File. 
Blank for manually added students.</t>
  </si>
  <si>
    <t>A-Z in any position
Blank</t>
  </si>
  <si>
    <t>Y = Test Launched
N = Test Not Launched
Blank</t>
  </si>
  <si>
    <t>"Y" when student launches the test.
"N" when student does not launch the test.
Blank when student is not in a test session.</t>
  </si>
  <si>
    <t>"N" when zero items are attempted.
"Y" when at least one item is attempted.
Blank when student is not enrolled.</t>
  </si>
  <si>
    <t xml:space="preserve">Blank when the student is not voided.
"2" for all voided students in the In-Window files. </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</si>
  <si>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</si>
  <si>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</si>
  <si>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</si>
  <si>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</si>
  <si>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Teacher Middle Initial</t>
  </si>
  <si>
    <t>Native Language Word-to-Word Dictionary</t>
  </si>
  <si>
    <r>
      <t xml:space="preserve">Assessment achievement level for Algebra 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</si>
  <si>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Algebra 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</si>
  <si>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Total raw score for English II.
Field Test items are not included in raw score totals.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</si>
  <si>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r>
      <t xml:space="preserve">Assessment achievement level for English 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</si>
  <si>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English 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</si>
  <si>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Assessment achievement level for Geometry.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</si>
  <si>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Geometry.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</si>
  <si>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Assessment achievement level for Biology.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</si>
  <si>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Biology.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</si>
  <si>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Assessment achievement level for English III.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</si>
  <si>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English III.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</si>
  <si>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Total raw score for U.S. History.
Field Test items are not included in raw score totals.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</si>
  <si>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r>
      <t xml:space="preserve">Assessment achievement level for U.S. History.
Refer to the </t>
    </r>
    <r>
      <rPr>
        <b/>
        <u/>
        <sz val="10"/>
        <rFont val="Arial"/>
        <family val="2"/>
      </rPr>
      <t>Resulting LDESTD Values by Subjec</t>
    </r>
    <r>
      <rPr>
        <sz val="10"/>
        <rFont val="Arial"/>
        <family val="2"/>
      </rPr>
      <t>t section within the EOC Processing Rules - Scoring document for the logic used to set the Assessment Achievement Level  value.</t>
    </r>
  </si>
  <si>
    <r>
      <t xml:space="preserve">Accountability achievement level for U.S. History.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</si>
  <si>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t>Student's site district reports should be rolled up/reported to.
Refer to the Common Louisiana Processing Rules - Reporting document for the rules to determine the District Reporting Code.</t>
  </si>
  <si>
    <t xml:space="preserve">1 = Economically Disadvantaged
0 = Not Economically Disadvantaged
Blank </t>
  </si>
  <si>
    <t>Y = Classified as a Migrant Student
N = Not classified as a Migrant Student</t>
  </si>
  <si>
    <t>Values are derived from the grade in eDIRECT, or from the Enroll file. For students who updated their grade in eDIRECT, the updated grade level will be populated here.</t>
  </si>
  <si>
    <t>"Y" when school type = '13'.</t>
  </si>
  <si>
    <t>Algebra I Enroll Flag</t>
  </si>
  <si>
    <t>"Y" when the student was included in the enroll file for the subject.</t>
  </si>
  <si>
    <t>Y = Included in Enroll File 
N = Not on Enroll File</t>
  </si>
  <si>
    <t>Summarized Ethnicity Race</t>
  </si>
  <si>
    <t>District and School where student was tested for this subject.
Blank when a student is not in a test session for the subject.</t>
  </si>
  <si>
    <t>Directions in Native Language</t>
  </si>
  <si>
    <t>English II Enroll Flag</t>
  </si>
  <si>
    <t>English II CohortFlag</t>
  </si>
  <si>
    <t>Y = Included in Cohort File 
N = Not on Cohort File</t>
  </si>
  <si>
    <t>Algebra I CohortFlag</t>
  </si>
  <si>
    <t>Geometry Enroll Flag</t>
  </si>
  <si>
    <t>Biology Enroll Flag</t>
  </si>
  <si>
    <t>English III Enroll Flag</t>
  </si>
  <si>
    <t>U.S. History Enroll Flag</t>
  </si>
  <si>
    <t>A-Z, 0-9, - in each position
Blank</t>
  </si>
  <si>
    <r>
      <t>District Reporting</t>
    </r>
    <r>
      <rPr>
        <sz val="10"/>
        <rFont val="Arial"/>
        <family val="2"/>
      </rPr>
      <t xml:space="preserve"> Rolled Up</t>
    </r>
    <r>
      <rPr>
        <sz val="10"/>
        <color rgb="FF000000"/>
        <rFont val="Arial"/>
        <family val="2"/>
      </rPr>
      <t xml:space="preserve"> Code</t>
    </r>
  </si>
  <si>
    <r>
      <rPr>
        <sz val="10"/>
        <rFont val="Arial"/>
        <family val="2"/>
      </rPr>
      <t>Reporting G</t>
    </r>
    <r>
      <rPr>
        <sz val="10"/>
        <color rgb="FF000000"/>
        <rFont val="Arial"/>
        <family val="2"/>
      </rPr>
      <t>ender</t>
    </r>
  </si>
  <si>
    <t>Reporting Migrant Status</t>
  </si>
  <si>
    <t>Reporting Education Classification</t>
  </si>
  <si>
    <t>Reporting LEP Status</t>
  </si>
  <si>
    <t>Reporting Section 504 Code</t>
  </si>
  <si>
    <t>Reporting Exceptionality Category</t>
  </si>
  <si>
    <t>Reporting Homeless (McKinney-Vento) Flag</t>
  </si>
  <si>
    <t>As valued in eDIRECT. 
Blank when a student is not in a test session and was not in the enroll file for the subject or if the value is blank in eDIRECT.</t>
  </si>
  <si>
    <r>
      <t xml:space="preserve">Refer to the </t>
    </r>
    <r>
      <rPr>
        <b/>
        <u/>
        <sz val="10"/>
        <rFont val="Arial"/>
        <family val="2"/>
      </rPr>
      <t>Course Values</t>
    </r>
    <r>
      <rPr>
        <sz val="10"/>
        <rFont val="Arial"/>
        <family val="2"/>
      </rPr>
      <t xml:space="preserve"> section of the Processing Rules - Scoring document for course codes applicable to Algebra I.
Blank when a student is not in a test session and was not in the enroll file for the subject or if the value is blank in eDIRECT.</t>
    </r>
  </si>
  <si>
    <t>Reporting Accommodations</t>
  </si>
  <si>
    <t>Accountability Code - Algebra I</t>
  </si>
  <si>
    <t>Testing Flags - Algebra I</t>
  </si>
  <si>
    <t>Blank when the student is not voided.</t>
  </si>
  <si>
    <t>"N" when zero items are attempted.
"Y" when at least one item is attempted.
Blank for students not in a test session.</t>
  </si>
  <si>
    <r>
      <t xml:space="preserve">Refer to the </t>
    </r>
    <r>
      <rPr>
        <b/>
        <u/>
        <sz val="10"/>
        <rFont val="Arial"/>
        <family val="2"/>
      </rPr>
      <t>Highest History and Retester Flag By Subject</t>
    </r>
    <r>
      <rPr>
        <sz val="10"/>
        <rFont val="Arial"/>
        <family val="2"/>
      </rPr>
      <t xml:space="preserve"> section of the Processing Rules - Scoring document for the logic used to set this field.
Blank for students who are not in a test session and are not in the enroll file or cohort file for the subject. </t>
    </r>
  </si>
  <si>
    <t>"Y" when the student was included in the cohort file for the subject.</t>
  </si>
  <si>
    <t>Accountability Code - English II</t>
  </si>
  <si>
    <t>Testing Flags - English II</t>
  </si>
  <si>
    <r>
      <t>Reporting</t>
    </r>
    <r>
      <rPr>
        <b/>
        <sz val="10"/>
        <color rgb="FFFF0000"/>
        <rFont val="Arial"/>
        <family val="2"/>
      </rPr>
      <t xml:space="preserve"> </t>
    </r>
    <r>
      <rPr>
        <b/>
        <sz val="10"/>
        <color rgb="FF0000FF"/>
        <rFont val="Arial"/>
        <family val="2"/>
      </rPr>
      <t>Accommodations</t>
    </r>
  </si>
  <si>
    <t>Testing Flags - Geometry</t>
  </si>
  <si>
    <t>Testing Flags - Biology</t>
  </si>
  <si>
    <t>Testing Flags - English III</t>
  </si>
  <si>
    <t>Accountability Code - U.S. History</t>
  </si>
  <si>
    <t>Accountability Code - English III</t>
  </si>
  <si>
    <r>
      <t xml:space="preserve">Refer to the </t>
    </r>
    <r>
      <rPr>
        <b/>
        <u/>
        <sz val="10"/>
        <rFont val="Arial"/>
        <family val="2"/>
      </rPr>
      <t>Highest History and Retester Flag By Subject</t>
    </r>
    <r>
      <rPr>
        <sz val="10"/>
        <rFont val="Arial"/>
        <family val="2"/>
      </rPr>
      <t xml:space="preserve"> section of the Processing Rules - Scoring document for the logic used to set this field.
Blank for students who </t>
    </r>
    <r>
      <rPr>
        <sz val="10"/>
        <rFont val="Arial"/>
        <family val="2"/>
      </rPr>
      <t xml:space="preserve">are not in a test session and are not in the enroll file or cohort file for the subject. </t>
    </r>
  </si>
  <si>
    <t>Accountability Code - Biology</t>
  </si>
  <si>
    <t>Accountability Code - Geometry</t>
  </si>
  <si>
    <t>Rollup to State</t>
  </si>
  <si>
    <t>Student's scores were summarized in the State totals.
As valued on the Master File.</t>
  </si>
  <si>
    <t>As valued in eDIRECT.
Spanish Test and Calculator are not applicable to English II and will always be "N".</t>
  </si>
  <si>
    <t>As valued in eDIRECT.
Spanish Test and Calculator are not applicable to Biology and will always be "N".</t>
  </si>
  <si>
    <t>As valued in eDIRECT.
Spanish Test and Calculator are not applicable to English III and will always be "N".</t>
  </si>
  <si>
    <t>As valued in eDIRECT.
Spanish Test and Calculator are not applicable to U.S. History and will always be "N".</t>
  </si>
  <si>
    <r>
      <t xml:space="preserve">Blank for students not in a test session.
Refer to the </t>
    </r>
    <r>
      <rPr>
        <b/>
        <u/>
        <sz val="10"/>
        <rFont val="Arial"/>
        <family val="2"/>
      </rPr>
      <t>Reportable Status by Subject</t>
    </r>
    <r>
      <rPr>
        <sz val="10"/>
        <rFont val="Arial"/>
        <family val="2"/>
      </rPr>
      <t xml:space="preserve"> section within the EOC Processing Rules - Scoring document for the logic to set these values.</t>
    </r>
  </si>
  <si>
    <r>
      <t xml:space="preserve">As valued in eDIRECT.
</t>
    </r>
    <r>
      <rPr>
        <b/>
        <sz val="10"/>
        <rFont val="Arial"/>
        <family val="2"/>
      </rPr>
      <t xml:space="preserve">Note: </t>
    </r>
    <r>
      <rPr>
        <sz val="10"/>
        <rFont val="Arial"/>
        <family val="2"/>
      </rPr>
      <t>Students using the Spanish TTS accommodation will have a "Y" for Text-to-Speech and a "Y" for Spanish Test.</t>
    </r>
  </si>
  <si>
    <t>Evelyn Ballen</t>
  </si>
  <si>
    <t>TEST DETAILS - ENGLISH I</t>
  </si>
  <si>
    <t>English I Enroll Flag</t>
  </si>
  <si>
    <t>As valued in eDIRECT.
Spanish Test and Calculator are not applicable to English I and will always be "N".</t>
  </si>
  <si>
    <t>English I SCORING INFORMATION</t>
  </si>
  <si>
    <t>Total raw score for English I.
Field Test items are not included in raw score totals.
Refer to the Resulting LDESTD Values by Subject section within the EOC Processing Rules - Scoring document for the logic used to set the Raw Score value.</t>
  </si>
  <si>
    <t>Assessment achievement level for English I.
Refer to the Resulting LDESTD Values by Subject section within the EOC Processing Rules - Scoring document for the logic used to set the Assessment Achievement Level  value.</t>
  </si>
  <si>
    <t>Accountability achievement level for English I.
Refer to the Resulting LDESTD Values by Subject section within the EOC Processing Rules - Scoring document for the logic used to set the Assessment Achievement Level  value.</t>
  </si>
  <si>
    <t>Testing Flags - English I</t>
  </si>
  <si>
    <t>Accountability Code - English I</t>
  </si>
  <si>
    <t>Format: "YYYY-MM-DD HH:MM:SS"</t>
  </si>
  <si>
    <t>Date the file was generated</t>
  </si>
  <si>
    <t>Date and Time Stamp</t>
  </si>
  <si>
    <t>Major Content Raw Score</t>
  </si>
  <si>
    <t>Major Content Rating</t>
  </si>
  <si>
    <t>1 = Weak Performance
2 = Moderate Performance
3 = Strong Performance
Blank</t>
  </si>
  <si>
    <t>Major Content Percent Correct</t>
  </si>
  <si>
    <t>Additional &amp; Supporting Content Raw Score</t>
  </si>
  <si>
    <t>Additional &amp; Supporting Content Rating</t>
  </si>
  <si>
    <t>Additional &amp; Supporting Content Percent Correct</t>
  </si>
  <si>
    <t>Expressing Mathematical Reasoning Raw Score</t>
  </si>
  <si>
    <t>Expressing Mathematical Reasoning Rating</t>
  </si>
  <si>
    <t>Expressing Mathematical Reasoning Percent Correct</t>
  </si>
  <si>
    <t>Modeling &amp; Application Raw Score</t>
  </si>
  <si>
    <t>Modeling &amp; Application Rating</t>
  </si>
  <si>
    <t>Modeling &amp; Application Percent Correct</t>
  </si>
  <si>
    <t>Reading Literary Text Raw Score</t>
  </si>
  <si>
    <t>Reading Literary Text Rating</t>
  </si>
  <si>
    <t>Reading Literary Text Percent Correct</t>
  </si>
  <si>
    <t>Reading Informational Text Raw Score</t>
  </si>
  <si>
    <t>Reading Informational Text Rating</t>
  </si>
  <si>
    <t>Reading Informational Text Percent Correct</t>
  </si>
  <si>
    <t>Reading Vocabulary Raw Score</t>
  </si>
  <si>
    <t>Reading Vocabulary Rating</t>
  </si>
  <si>
    <t>Reading Vocabulary Percent Correct</t>
  </si>
  <si>
    <t>Written Expression Raw Score</t>
  </si>
  <si>
    <t>Written Expression Rating</t>
  </si>
  <si>
    <t>Written Expression Percent Correct</t>
  </si>
  <si>
    <t>Knowledge &amp; Use of Language Conventions Raw Score</t>
  </si>
  <si>
    <t>Knowledge &amp; Use of Language Conventions Rating</t>
  </si>
  <si>
    <t>Knowledge &amp; Use of Language Conventions Percent Correct</t>
  </si>
  <si>
    <t xml:space="preserve">Reading Rating </t>
  </si>
  <si>
    <t>Writing Raw Score</t>
  </si>
  <si>
    <t>Writing Rating</t>
  </si>
  <si>
    <t>Writing Percent Correct</t>
  </si>
  <si>
    <t>120331
120411
120521</t>
  </si>
  <si>
    <t>Starting Location</t>
  </si>
  <si>
    <t xml:space="preserve">Military Affiliated
</t>
  </si>
  <si>
    <t>Foster Care</t>
  </si>
  <si>
    <r>
      <t>E = Excellent
G= Good
F= Fair
NI = Needs Improvement</t>
    </r>
    <r>
      <rPr>
        <sz val="10"/>
        <color rgb="FF000000"/>
        <rFont val="Arial"/>
        <family val="2"/>
      </rPr>
      <t xml:space="preserve">
Blank</t>
    </r>
  </si>
  <si>
    <r>
      <t xml:space="preserve">EXC = Excellent
GOO = Good
FAI = Fair
NIP = Needs Improvement
</t>
    </r>
    <r>
      <rPr>
        <sz val="10"/>
        <color rgb="FF000000"/>
        <rFont val="Arial"/>
        <family val="2"/>
      </rPr>
      <t>Blank</t>
    </r>
  </si>
  <si>
    <t xml:space="preserve">
UNS = Unsatisfactory
APP = Approaching Basic
BAS = Basic
MAS = Mastery
ADV = Advanced
Blank</t>
  </si>
  <si>
    <r>
      <t xml:space="preserve">E = Excellent
G= Good
F= Fair
NI = Needs Improvement
</t>
    </r>
    <r>
      <rPr>
        <sz val="10"/>
        <color rgb="FF000000"/>
        <rFont val="Arial"/>
        <family val="2"/>
      </rPr>
      <t>Blank</t>
    </r>
  </si>
  <si>
    <t>650-850 
Blank</t>
  </si>
  <si>
    <r>
      <rPr>
        <sz val="10"/>
        <rFont val="Arial"/>
        <family val="2"/>
      </rPr>
      <t>UNS = Unsatisfactory
APP = Approaching Basic
BAS = Basic
MAS = Mastery
ADV = Advanced</t>
    </r>
    <r>
      <rPr>
        <sz val="10"/>
        <color rgb="FF000000"/>
        <rFont val="Arial"/>
        <family val="2"/>
      </rPr>
      <t xml:space="preserve">
Blank</t>
    </r>
  </si>
  <si>
    <t>Western Expansion to Progressivism - Standard 2 - Rating</t>
  </si>
  <si>
    <t>Isolationism through the Great War - Standard 3 - Rating</t>
  </si>
  <si>
    <t>Becoming a World Power through World War II - Standard 4 - Rating</t>
  </si>
  <si>
    <t>Cold War Era - Standard 5 - Rating</t>
  </si>
  <si>
    <t>The Modern Age - Standard 6 - Rating</t>
  </si>
  <si>
    <t xml:space="preserve"> </t>
  </si>
  <si>
    <r>
      <t xml:space="preserve">600-800 </t>
    </r>
    <r>
      <rPr>
        <sz val="10"/>
        <color rgb="FF000000"/>
        <rFont val="Arial"/>
        <family val="2"/>
      </rPr>
      <t xml:space="preserve">
Blank</t>
    </r>
  </si>
  <si>
    <r>
      <t>EXC = Excellent
GOO = Good
FAI = Fair
NIP = Needs Improvement</t>
    </r>
    <r>
      <rPr>
        <sz val="10"/>
        <color rgb="FF000000"/>
        <rFont val="Arial"/>
        <family val="2"/>
      </rPr>
      <t xml:space="preserve">
Blank</t>
    </r>
  </si>
  <si>
    <t>Interpreting Functions Percent Correct</t>
  </si>
  <si>
    <t>Interpreting Functions Raw Score</t>
  </si>
  <si>
    <t>Interpreting Functions Rating</t>
  </si>
  <si>
    <t>Solving Algebraically Raw Score</t>
  </si>
  <si>
    <t>Solving Algebraically Rating</t>
  </si>
  <si>
    <t>Solving Graphically/Rate of Change Raw Score</t>
  </si>
  <si>
    <t>Rating associated with the Algebra I Interpreting Functions Raw Score.
Blank when Algebra I Interpreting Functions Raw Score is blank.
"1" when student has not attempted any item within all submitted sessions.</t>
  </si>
  <si>
    <t>Percent correct for the Algebra I Solving Algebraically subcategory. This is calculated by dividing the total points earned by the total points possible for the subcategory.
Blank when Solving Algebraically Raw Score is blank.</t>
  </si>
  <si>
    <t>Solving Algebraically Percent Correct</t>
  </si>
  <si>
    <t>Solving Graphically/Rate of Change Percent Correct</t>
  </si>
  <si>
    <t>Solving Graphically/Rate of Change Rating</t>
  </si>
  <si>
    <t>Congruence Transformations/Similarity Raw Score</t>
  </si>
  <si>
    <r>
      <t xml:space="preserve">Total points earned for the Geometry Congruence Transformations/Similarity Raw Score subcategory.
Blank when subcategory is not assessed (zero points possible), or when the Raw Score Total for </t>
    </r>
    <r>
      <rPr>
        <sz val="10"/>
        <rFont val="Arial"/>
        <family val="2"/>
      </rPr>
      <t>Geometry</t>
    </r>
    <r>
      <rPr>
        <sz val="10"/>
        <color rgb="FFFF0000"/>
        <rFont val="Arial"/>
        <family val="2"/>
      </rPr>
      <t xml:space="preserve"> </t>
    </r>
    <r>
      <rPr>
        <sz val="10"/>
        <color theme="1"/>
        <rFont val="Arial"/>
        <family val="2"/>
      </rPr>
      <t>is blank.</t>
    </r>
  </si>
  <si>
    <t>Congruence Transformations/Similarity Rating</t>
  </si>
  <si>
    <t>Rating associated with the Congruence Transformations/Similarity subcategory Raw Score.
Blank when Congruence Transformations/Similarity subcategory Raw Score is blank.
"1" when student has not attempted any item within all submitted sessions.</t>
  </si>
  <si>
    <t>Subcategory Information</t>
  </si>
  <si>
    <t>Rating associated with the Algebra I Solving Graphically/Rate of Change Raw Score.
Blank when Algebra I Solving Graphically/Rate of Change Raw Score is blank.
"1" when student has not attempted any item within all submitted sessions.</t>
  </si>
  <si>
    <t>Similarity in Trigonometry/Modeling &amp; Applying Rating</t>
  </si>
  <si>
    <t>Similarity in Trigonometry/Modeling &amp; Applying  Raw Score</t>
  </si>
  <si>
    <t>Similarity in Trigonometry/Modeling &amp; Applying Percent Correct</t>
  </si>
  <si>
    <t>Total points earned for the Geometry Similarity in Trigonometry/Modeling &amp; Applying subcategory.
Blank when subcategory is not assessed (zero points possible), or when the Raw Score Total for Geometry is blank.</t>
  </si>
  <si>
    <t>Rating associated with the Similarity in Trigonometry/Modeling &amp; Applying Raw Score.
Blank when Similarity in Trigonometry/Modeling &amp; Applying Raw Score is blank.
"1" when student has not attempted any item within all submitted sessions.</t>
  </si>
  <si>
    <t>Percent correct for the Geometry Similarity in Trigonometry/Modeling &amp; Applying subcategory. This is calculated by dividing the total points earned by the total points possible for the subcategory.
Blank when Similarity in Trigonometry/Modeling &amp; Applying Raw Score is blank.</t>
  </si>
  <si>
    <t xml:space="preserve">Total points earned for operational MC items for U.S. History.
Blank when Total Raw Score is blank.
Field value is right justified with leading spaces.  </t>
  </si>
  <si>
    <t xml:space="preserve">Total points earned for operational CR items for U.S. History.
Blank when Total Raw Score is blank.
Field value is right justified with leading spaces. </t>
  </si>
  <si>
    <t xml:space="preserve">Total Percent Correct. This is calculated by dividing the Total Raw Score by the total operational points possible.
Blank when raw score is blank.
Field value is right justified with leading spaces. </t>
  </si>
  <si>
    <t>160321
160338
160380
160340
160331
160362
Blank</t>
  </si>
  <si>
    <t xml:space="preserve">Total points earned for operational MC items for Algebra I.
Blank when Total Raw Score is blank.
Field value is right justified with leading spaces. </t>
  </si>
  <si>
    <t xml:space="preserve">Total points earned for operational CR items for Algebra I.
Blank when Total Raw Score is blank.
Field value is right justified with leading spaces. 
</t>
  </si>
  <si>
    <r>
      <t xml:space="preserve">Total raw score for Algebra I.
Field Test items are not included in raw score totals.
Refer to the </t>
    </r>
    <r>
      <rPr>
        <b/>
        <u/>
        <sz val="10"/>
        <rFont val="Arial"/>
        <family val="2"/>
      </rPr>
      <t xml:space="preserve">Resulting LDESTD Values by Subject </t>
    </r>
    <r>
      <rPr>
        <sz val="10"/>
        <rFont val="Arial"/>
        <family val="2"/>
      </rPr>
      <t>section within the EOC Processing Rules - Scoring document for the logic used to set the Raw Score value.</t>
    </r>
  </si>
  <si>
    <t xml:space="preserve">
650-850
Blank</t>
  </si>
  <si>
    <t xml:space="preserve">
650-850 
Blank</t>
  </si>
  <si>
    <r>
      <rPr>
        <strike/>
        <sz val="10"/>
        <rFont val="Arial"/>
        <family val="2"/>
      </rPr>
      <t>00.0-99.5</t>
    </r>
    <r>
      <rPr>
        <sz val="10"/>
        <rFont val="Arial"/>
        <family val="2"/>
      </rPr>
      <t xml:space="preserve">
0-99
Blank</t>
    </r>
  </si>
  <si>
    <t>Rating associated with the Algebra I Major Content Raw Score.
Blank when Algebra I Major Content Raw Score is blank.
"1" when student has not attempted any item within all submitted sessions.</t>
  </si>
  <si>
    <t>Rating associated with the Algebra I Additional &amp; Supporting Content Raw Score.
Blank when Additional &amp; Supporting Content Raw Score is blank.
"1" when student has not attempted any item within all submitted sessions.</t>
  </si>
  <si>
    <t>Rating associated with the Algebra I Expressing Mathematical Reasoning Raw Score.
Blank when Expressing Mathematical Reasoning Raw Score is blank.
 "1" when student has not attempted any item within all submitted sessions.</t>
  </si>
  <si>
    <t>Rating associated with the Algebra I Modeling &amp; Application Raw Score.
Blank when Algebra I Modeling &amp; Application Raw Score is blank.
"1" when student has not attempted any item within all submitted sessions.</t>
  </si>
  <si>
    <t>Total points earned for the Algebra I Interpreting Functions Raw Score subcategory.
Blank when subcategory is not assessed (zero points possible), or when the Raw Score Total for Algebra I is blank.</t>
  </si>
  <si>
    <t>Total points earned for the Algebra I Solving Algebraically Raw Score subcategory.
Blank when subcategory is not assessed (zero points possible), or when the Raw Score Total for Algebra I is blank.</t>
  </si>
  <si>
    <t>Rating associated with the Algebra I Solving Algebraically Raw Score.
Blank when Algebra I Solving Algebraically Raw Score is blank.
"1" when student has not attempted any item within all submitted sessions.</t>
  </si>
  <si>
    <t>Total points earned for the Algebra I Solving Graphically/Rate of Change Raw Score subcategory.
Blank when subcategory is not assessed (zero points possible), or when the Raw Score Total for Algebra I is blank.</t>
  </si>
  <si>
    <t xml:space="preserve">
0-99
Blank</t>
  </si>
  <si>
    <t xml:space="preserve">120332
120412 
120519 </t>
  </si>
  <si>
    <t xml:space="preserve">Total points earned for operational MC items for English II.
Blank when Total Raw Score is blank.
Field value is right justified with leading spaces. </t>
  </si>
  <si>
    <t xml:space="preserve">Total points earned for operational CR items for English II.
Blank when Total Raw Score is blank.
Field value is right justified with leading spaces. </t>
  </si>
  <si>
    <t>Rating associated with the Reading Literary Text Raw Score.
Blank when Reading Literary Text Raw Score is blank.
"1" when student has not attempted any item within all submitted sessions.</t>
  </si>
  <si>
    <t>Rating associated with the Reading Informational Text Raw Score.
Blank when Reading Informational Text Raw Score is blank.
"1" when student has not attempted any item within all submitted sessions.</t>
  </si>
  <si>
    <t>Rating associated with the English II Written Expression Raw Score.
Blank when Written Expression Raw Score is blank.
"1" when student has not attempted any item within all submitted sessions.</t>
  </si>
  <si>
    <t>Rating associated with the English II Knowledge &amp; Use of Language Conventions Raw Score.
Blank when Knowledge &amp; Use of Language Conventions Raw Score is blank.
"1" when student has not attempted any item within all submitted sessions.</t>
  </si>
  <si>
    <t>Rating associated with the English II Reading Raw Score.
Blank when Reading  Raw Score is blank.
"1" when student has not attempted any item within all submitted sessions.</t>
  </si>
  <si>
    <t>Rating associated with the English II Writing Raw Score.
Blank when Writing Raw Score is blank.
"1" when student has not attempted any item within all submitted sessions.</t>
  </si>
  <si>
    <t>Rating associated with the English II Reading Vocabulary Raw Score.
Blank when Reading Vocabulary Raw Score is blank.
"1" when student has not attempted any item within all submitted sessions.</t>
  </si>
  <si>
    <t>160323
160332
160341
160363 
Blank</t>
  </si>
  <si>
    <r>
      <t xml:space="preserve">Refer to the </t>
    </r>
    <r>
      <rPr>
        <b/>
        <u/>
        <sz val="10"/>
        <color theme="1"/>
        <rFont val="Arial"/>
        <family val="2"/>
      </rPr>
      <t>Course Values</t>
    </r>
    <r>
      <rPr>
        <sz val="10"/>
        <color theme="1"/>
        <rFont val="Arial"/>
        <family val="2"/>
      </rPr>
      <t xml:space="preserve"> section of the Processing Rules - Scoring document for course codes applicable to Algebra I.
Blank when a student is not in a test session and was not in the enroll file for the subject or if the value is blank in eDIRECT.</t>
    </r>
  </si>
  <si>
    <t xml:space="preserve">Total points earned for operational MC items for Geometry.
Blank when Total Raw Score is blank.
Field value is right justified with leading spaces. </t>
  </si>
  <si>
    <t xml:space="preserve">Total points earned for operational CR items for Geometry.
Blank when Total Raw Score is blank.
Field value is right justified with leading spaces. </t>
  </si>
  <si>
    <r>
      <t xml:space="preserve">Total raw score for Geometry.
Field Test items are not included in raw score totals.
Refer to the </t>
    </r>
    <r>
      <rPr>
        <b/>
        <u/>
        <sz val="10"/>
        <color theme="1"/>
        <rFont val="Arial"/>
        <family val="2"/>
      </rPr>
      <t>Resulting LDESTD Values by Subject</t>
    </r>
    <r>
      <rPr>
        <sz val="10"/>
        <color theme="1"/>
        <rFont val="Arial"/>
        <family val="2"/>
      </rPr>
      <t xml:space="preserve"> section within the EOC Processing Rules - Scoring document for the logic used to set the Raw Score value.</t>
    </r>
  </si>
  <si>
    <t xml:space="preserve">
UNS = Unsatisfactory
APP = Approaching Basic
BAS = Basic
MAS = Mastery
ADV = Advanced
Blank
</t>
  </si>
  <si>
    <r>
      <t xml:space="preserve">Test Administrator associated with the student's test session.
Blank when a student is not in a test session for the subject.
Test Administrator Middle Initial will be blank because this is not data that DRC captures to report </t>
    </r>
    <r>
      <rPr>
        <b/>
        <sz val="10"/>
        <color theme="1"/>
        <rFont val="Arial"/>
        <family val="2"/>
      </rPr>
      <t xml:space="preserve"> </t>
    </r>
    <r>
      <rPr>
        <sz val="10"/>
        <color theme="1"/>
        <rFont val="Arial"/>
        <family val="2"/>
      </rPr>
      <t xml:space="preserve">
</t>
    </r>
  </si>
  <si>
    <t>150301
150321
150322
150502 
150503 
Blank</t>
  </si>
  <si>
    <t xml:space="preserve">Total points earned for operational MC items for Biology.
Blank when Total Raw Score is blank.
Field value is right justified with leading spaces. </t>
  </si>
  <si>
    <t xml:space="preserve">Total points earned for operational CR items for Biology.
Blank when Total Raw Score is blank.
Field value is right justified with leading spaces. </t>
  </si>
  <si>
    <r>
      <t xml:space="preserve">Total raw score for Biology.
Field Test items are not included in raw score totals.
Refer to the </t>
    </r>
    <r>
      <rPr>
        <b/>
        <u/>
        <sz val="10"/>
        <color theme="1"/>
        <rFont val="Arial"/>
        <family val="2"/>
      </rPr>
      <t>Resulting LDESTD Values by Subject</t>
    </r>
    <r>
      <rPr>
        <sz val="10"/>
        <color theme="1"/>
        <rFont val="Arial"/>
        <family val="2"/>
      </rPr>
      <t xml:space="preserve"> section within the EOC Processing Rules - Scoring document for the logic used to set the Raw Score value.</t>
    </r>
  </si>
  <si>
    <r>
      <t>120333
120329
120325
120403
120327
120341
120404
120601
120602
120603
120604
120605
120338
120413</t>
    </r>
    <r>
      <rPr>
        <b/>
        <sz val="10"/>
        <color theme="1"/>
        <rFont val="Arial"/>
        <family val="2"/>
      </rPr>
      <t xml:space="preserve"> </t>
    </r>
  </si>
  <si>
    <t xml:space="preserve">Total points earned for operational MC items for English III.
Blank when Total Raw Score is blank.
Field value is right justified with leading spaces. </t>
  </si>
  <si>
    <t xml:space="preserve">Total points earned for operational CR items for English III.
Blank when Total Raw Score is blank.
Field value is right justified with leading spaces. </t>
  </si>
  <si>
    <r>
      <t xml:space="preserve">Total raw score for English III.
Field Test items are not included in raw score totals.
Refer to the </t>
    </r>
    <r>
      <rPr>
        <b/>
        <u/>
        <sz val="10"/>
        <color theme="1"/>
        <rFont val="Arial"/>
        <family val="2"/>
      </rPr>
      <t>Resulting LDESTD Values by Subject</t>
    </r>
    <r>
      <rPr>
        <sz val="10"/>
        <color theme="1"/>
        <rFont val="Arial"/>
        <family val="2"/>
      </rPr>
      <t xml:space="preserve"> section within the EOC Processing Rules - Scoring document for the logic used to set the Raw Score value.</t>
    </r>
  </si>
  <si>
    <t>220403
220406
220404
220405
220407
220408
220409
220613 
Blank</t>
  </si>
  <si>
    <t>Rating associated with the Writing Raw Score.
Blank when Writing Raw Score is blank.
"1" when student has not attempted any item within all submitted sessions.</t>
  </si>
  <si>
    <t xml:space="preserve">Total points earned for operational MC items for U.S. History.
Blank when Total Raw Score is blank.
Field value is right justified with leading spaces. </t>
  </si>
  <si>
    <r>
      <t>U.S. HISTORY (EOC)</t>
    </r>
    <r>
      <rPr>
        <b/>
        <sz val="10"/>
        <rFont val="Arial"/>
        <family val="2"/>
      </rPr>
      <t xml:space="preserve"> </t>
    </r>
    <r>
      <rPr>
        <b/>
        <sz val="10"/>
        <color rgb="FF0000FF"/>
        <rFont val="Arial"/>
        <family val="2"/>
      </rPr>
      <t>SCORING INFORMATION</t>
    </r>
  </si>
  <si>
    <t>Testing Flags - U.S. History (EOC)</t>
  </si>
  <si>
    <t>Rating associated with the Major Content Raw Score.
Blank when Major Content Raw Raw Score is blank.
"1" when student has not attempted any item within all submitted sessions.</t>
  </si>
  <si>
    <t>Rating associated with the Additional &amp; Supporting Content Raw Score.
Blank when Additional &amp; Supporting Content Raw Score is blank.
"1" when student has not attempted any item within all submitted sessions.</t>
  </si>
  <si>
    <t>Rating associated with the Expressing Mathematical Reasoning Raw Score.
Blank when Expressing Mathematical Reasoning Raw Score is blank.
"1" when student has not attempted any item within all submitted sessions.</t>
  </si>
  <si>
    <t>Congruence Transformations/Similarity Percent Correct</t>
  </si>
  <si>
    <t>TEST DETAILS - US HISTORY (EOC)</t>
  </si>
  <si>
    <t>TEST DETAILS - US HISTORY (LEAP 2025)</t>
  </si>
  <si>
    <t>U.S. HISTORY (LEAP 2025) SCORING INFORMATION</t>
  </si>
  <si>
    <t>Percent Correct for Western Expansion to Progressivism. This is calculated by dividing the total points earned by the total points possible for the standard.
Blank when the Western Expansion to Progressivism Raw Score is blank.</t>
  </si>
  <si>
    <t>Rating associated with the Western Expansion to Progressivism Raw Score.
Blank when Western Expansion to Progressivism Raw Score is blank.
"1" when student has not attempted any item within all submitted sessions.</t>
  </si>
  <si>
    <t>Percent Correct for Isolationism through the Great War. This is calculated by dividing the total points earned by the total points possible for the standard.
Blank when the Isolationism through the Great War  Raw Score is blank.</t>
  </si>
  <si>
    <t>Rating associated with the Isolationism through the Great War Score.
Blank when Isolationism through the Great War Raw Score is blank.
"1" when student has not attempted any item within all submitted sessions.</t>
  </si>
  <si>
    <t>Percent Correct for Becoming a World Power through World War II. This is calculated by dividing the total points earned by the total points possible for the standard.
Blank when the Becoming a World Power through World War II Raw Score is blank.</t>
  </si>
  <si>
    <t>Rating associated with the Becoming a World Power through World War II Score.
Blank when Becoming a World Power through World War II is blank.
"1" when student has not attempted any item within all submitted sessions.</t>
  </si>
  <si>
    <t>Percent Correct for Cold War Era. This is calculated by dividing the total points earned by the total points possible for the standard.
Blank when the Cold War Era Raw Score is blank.</t>
  </si>
  <si>
    <t>Rating associated with the Cold War Era Score.
Blank when Cold War Era  is blank.
"1" when student has not attempted any item within all submitted sessions.</t>
  </si>
  <si>
    <t>Percent Correct for The Modern Age. This is calculated by dividing the total points earned by the total points possible for the standard.
Blank when the The Modern Age Raw Score is blank.</t>
  </si>
  <si>
    <t>Rating associated with the The Modern Age Score.
Blank when The Modern Age is blank.
"1" when student has not attempted any item within all submitted sessions.</t>
  </si>
  <si>
    <t xml:space="preserve">Total points earned for operational MC items for English I.
Blank when Total Raw Score is blank.
Field value is right justified with leading spaces. </t>
  </si>
  <si>
    <t xml:space="preserve">Total points earned for operational CR items for English I.
Blank when Total Raw Score is blank.
Field value is right justified with leading spaces. </t>
  </si>
  <si>
    <t>Rating associated with the Reading Vocabulary Raw Score.
Blank when Reading Vocabulary Raw Score is blank.
"1" when student has not attempted any item within all submitted sessions.</t>
  </si>
  <si>
    <t xml:space="preserve">Rating associated with the Written Expression Raw Score.
Blank when Written Expression Raw Score is blank.
"1" when student has not attempted any item within all submitted sessions.
</t>
  </si>
  <si>
    <t>Rating associated with the Knowledge &amp; Use of Language Conventions Raw Score.
Blank when Knowledge &amp; Use of Language Conventions Rating Raw Score is blank.
"1" when student has not attempted any item within all submitted sessions.</t>
  </si>
  <si>
    <t>Rating associated with the Reading Raw Score.
Blank when Reading Raw Score is blank.
"1" when student has not attempted any item within all submitted sessions.</t>
  </si>
  <si>
    <t xml:space="preserve">As flagged on the Enroll File. 
Blank for students in the NPS Assess Group.
</t>
  </si>
  <si>
    <t xml:space="preserve">As flagged on the Enroll File. 
Blank for students in the NPS Assess Group.
</t>
  </si>
  <si>
    <r>
      <t xml:space="preserve">Assessment achievement level for U.S. History.
Refer to the </t>
    </r>
    <r>
      <rPr>
        <b/>
        <u/>
        <sz val="10"/>
        <color theme="1"/>
        <rFont val="Arial"/>
        <family val="2"/>
      </rPr>
      <t>Resulting LDESTD Values by Subjec</t>
    </r>
    <r>
      <rPr>
        <sz val="10"/>
        <color theme="1"/>
        <rFont val="Arial"/>
        <family val="2"/>
      </rPr>
      <t>t section within the EOC Processing Rules - Scoring document for the logic used to set the Assessment Achievement Level  value.</t>
    </r>
  </si>
  <si>
    <r>
      <t xml:space="preserve">Accountability achievement level for U.S. History.
Refer to the </t>
    </r>
    <r>
      <rPr>
        <b/>
        <u/>
        <sz val="10"/>
        <color theme="1"/>
        <rFont val="Arial"/>
        <family val="2"/>
      </rPr>
      <t>Resulting LDESTD Values by Subject</t>
    </r>
    <r>
      <rPr>
        <sz val="10"/>
        <color theme="1"/>
        <rFont val="Arial"/>
        <family val="2"/>
      </rPr>
      <t xml:space="preserve"> section within the EOC Processing Rules - Scoring document for the logic used to set the Assessment Achievement Level  value.</t>
    </r>
  </si>
  <si>
    <t>Testing Flags - U.S. History (LEAP 2025)</t>
  </si>
  <si>
    <t>Scale score for Algebra I.
Refer to the Resulting LDESTD Values by Subject section within the EOC Processing Rules - Scoring document for the logic used to set the Raw Score value.</t>
  </si>
  <si>
    <t>Scale score for English II.
Refer to the Resulting LDESTD Values by Subject section within the EOC Processing Rules - Scoring document for the logic used to set the Scale Score value.</t>
  </si>
  <si>
    <t>Scale score for Geometry.
Refer to the Resulting LDESTD Values by Subject section within the EOC Processing Rules - Scoring document for the logic used to set the Scale Score value.</t>
  </si>
  <si>
    <t>Scale score for Biology.
Refer to the Resulting LDESTD Values by Subject section within the EOC Processing Rules - Scoring document for the logic used to set the Scale Score value.</t>
  </si>
  <si>
    <t>Scale score for English III.
Refer to the Resulting LDESTD Values by Subject section within the EOC Processing Rules - Scoring document for the logic used to set the Scale Score value.</t>
  </si>
  <si>
    <t>Scale score for U.S. History.
Refer to the Resulting LDESTD Values by Subject section within the EOC Processing Rules - Scoring document for the logic used to set the Scale Score value.</t>
  </si>
  <si>
    <t>Scale score for English I.
Refer to the Resulting LDESTD Values by Subject section within the EOC Processing Rules - Scoring document for the logic used to set the Scale Score value.</t>
  </si>
  <si>
    <t>Rating associated with the Modeling &amp; Application Raw Score.
Blank when Modeling &amp; Application Raw Score is blank.
"1" when student has not attempted any item within all submitted sessions.</t>
  </si>
  <si>
    <t>AL (for Algebra I) indicates a student was put into a test session for the regular form or was in the enroll file for the subject.
ALAE indicates a student was put into a test session for the AE form for the subject.
ALNFT indicates a student was put into a test session for the NFT form for the subject. 
ALNFTAE indicates a student was put into a test session for the AE NFT form for the subject. 
Blank when a student is not in a test session or was not in the enroll file for the subject.</t>
  </si>
  <si>
    <t>Scientific Calculator</t>
  </si>
  <si>
    <t>Graphing Calculator</t>
  </si>
  <si>
    <t>Total points earned for the English II Writing claim.
Blank when category is not assessed (zero points possible), or when the Raw Score Total for English II is blank.</t>
  </si>
  <si>
    <t>Total points earned for the Geometry Modeling &amp; Application Raw Score category.
Blank when category is not assessed (zero points possible), or when the Raw Score Total for Geometry is blank.</t>
  </si>
  <si>
    <t>"E" when a student was put into a test session or was in the enroll file for the subject.
Refer to the Eligible Flag By Subject section of the Processing Rules - Scoring document for the logic to set this field.</t>
  </si>
  <si>
    <t>E2 (for English II) indicates a student was put into a test session or was in the enroll file for the subject.
E2AE indicates a student was put into a test session for the AE form for the subject.
E2NFT indicates a student was put into a test session for the NFT form for the subject.
E2NFTAE indicates a student was put into a test session for the AE NFT form for the subject 
Blank when a student is not in a test session or was not in the enroll file for the subject.</t>
  </si>
  <si>
    <t>GM (for Geometry) indicates a student was put into a test session or was in the enroll file for the subject.
GMAE indicates a student was put into a test session for the AE form for the subject.
GMNFT indicates a student was put into a test session for the NFT form for the subject. 
GMNFTAE indicates a student was put into a test session for the  AE NFT form for the subject
Blank when a student is not in a test session or was not in the enroll file for the subject.</t>
  </si>
  <si>
    <t>BL (for Biology) indicates a student was put into a test session or was in the enroll file for the subject.
BLAE indicates a student was put into a test session for the AE form for the subject.
BLNFT indicates a student was put into a test session for the NFT form for the subject. 
Blank when a student is not in a test session or was not in the enroll file for the subject.</t>
  </si>
  <si>
    <t>E3 (for English III) indicates a student was put into a test session or was in the enroll file for the subject.
E3AE indicates a student was put into a test session for the AE form for the subject.
E3NFT indicates a student was put into a test session for the NFT form for the subject. 
Blank when a student is not in a test session or was not in the enroll file for the subject.</t>
  </si>
  <si>
    <t>USE  (for US History) indicates a student was put into a test session or was in the enroll file for the subject.
USEAE indicates a student was put into a test session for the AE form for the subject.
USENFT indicates a student was put into a test session for the NFT form for the subject. 
Blank when a student is not in a test session or was not in the enroll file for the subject.</t>
  </si>
  <si>
    <t>USL (for US History LEAP 2025) indicates a student was put into a test session or was in the enroll file for the subject.
USLAE indicates a student was put into a test session for the AE form for the subject.
USLNFT indicates a student was put into a test session for the NFT form for the subject. 
USLNFTAE indicates a student was put into a test session for the AE NFT form for the subject. 
Blank when a student is not in a test session or was not in the enroll file for the subject.</t>
  </si>
  <si>
    <t>E1 (for English I) indicates a student was put into a test session or was in the enroll file for the subject.
E1AE indicates a student was put into a test session for the AE form for the subject.
E1NFT indicates a student was put into a test session for the NFT form for the subject. 
E1NFTAE indicates a student was put into a test session for the AE NFT form for the subject
Blank when a student is not in a test session or was not in the enroll file for the subject.</t>
  </si>
  <si>
    <t>blank</t>
  </si>
  <si>
    <t>EOC LDESTD File Layout - Final File_LDE Staff and Contractors</t>
  </si>
  <si>
    <t>EOC Combined Fall 2017/Spring 2018</t>
  </si>
  <si>
    <t>Y = Military Affiliated
N = Not Military Affiliated
blank</t>
  </si>
  <si>
    <t>Y = Foster Care
N = Not in Foster Care
blank</t>
  </si>
  <si>
    <t>AL
ALAE
ALNFT
ALNFTAE
Blank</t>
  </si>
  <si>
    <r>
      <t xml:space="preserve">Refer to the </t>
    </r>
    <r>
      <rPr>
        <b/>
        <u/>
        <sz val="10"/>
        <color theme="1"/>
        <rFont val="Arial"/>
        <family val="2"/>
      </rPr>
      <t>Course Values</t>
    </r>
    <r>
      <rPr>
        <sz val="10"/>
        <color theme="1"/>
        <rFont val="Arial"/>
        <family val="2"/>
      </rPr>
      <t xml:space="preserve"> section of the Processing Rules - Scoring document for course names applicable to Algebra I.
Blank when a student is not in a test session and was not in the enroll file for the subject or if the value is blank in eDIRECT.
The Course Name value in LDESTD file will be truncated to fit the field length. </t>
    </r>
  </si>
  <si>
    <t>Algebra I
Algebra I - Part 2
Algebra I - Middle School
Integrated Mathematics II
Applied Algebra
NOCCA Integrated Math II  
Not Enrolled In Course
Blank</t>
  </si>
  <si>
    <r>
      <t xml:space="preserve">Percent correct for the Algebra I Modeling &amp; Application </t>
    </r>
    <r>
      <rPr>
        <sz val="10"/>
        <color theme="1"/>
        <rFont val="Arial"/>
        <family val="2"/>
      </rPr>
      <t xml:space="preserve"> category. This is calculated by dividing the total points earned by the total points possible for the </t>
    </r>
    <r>
      <rPr>
        <sz val="10"/>
        <color theme="1"/>
        <rFont val="Arial"/>
        <family val="2"/>
      </rPr>
      <t>category.
Blank when Modeling &amp; Application Raw Score is blank.</t>
    </r>
  </si>
  <si>
    <r>
      <t xml:space="preserve">Total points earned for the Algebra I Modeling &amp; Application Raw Score </t>
    </r>
    <r>
      <rPr>
        <sz val="10"/>
        <color theme="1"/>
        <rFont val="Arial"/>
        <family val="2"/>
      </rPr>
      <t xml:space="preserve">category.
Blank when </t>
    </r>
    <r>
      <rPr>
        <sz val="10"/>
        <color theme="1"/>
        <rFont val="Arial"/>
        <family val="2"/>
      </rPr>
      <t>category is not assessed (zero points possible), or when the Raw Score Total for Algebra I is blank.</t>
    </r>
  </si>
  <si>
    <r>
      <t xml:space="preserve">Percent correct for the Algebra I Additional &amp; Supporting Content </t>
    </r>
    <r>
      <rPr>
        <sz val="10"/>
        <color theme="1"/>
        <rFont val="Arial"/>
        <family val="2"/>
      </rPr>
      <t xml:space="preserve">category. This is calculated by dividing the total points earned by the total points possible for the </t>
    </r>
    <r>
      <rPr>
        <sz val="10"/>
        <color theme="1"/>
        <rFont val="Arial"/>
        <family val="2"/>
      </rPr>
      <t>category.
Blank when Additional &amp; Supporting Content Raw Score is blank.</t>
    </r>
  </si>
  <si>
    <r>
      <t xml:space="preserve">Percent correct for the Algebra I Expressing Mathematical Reasoning </t>
    </r>
    <r>
      <rPr>
        <sz val="10"/>
        <color theme="1"/>
        <rFont val="Arial"/>
        <family val="2"/>
      </rPr>
      <t xml:space="preserve">category. This is calculated by dividing the total points earned by the total points possible for the </t>
    </r>
    <r>
      <rPr>
        <sz val="10"/>
        <color theme="1"/>
        <rFont val="Arial"/>
        <family val="2"/>
      </rPr>
      <t>category.
Blank when Expressing Mathematical Reasoning Raw Score is blank.</t>
    </r>
  </si>
  <si>
    <r>
      <t xml:space="preserve">Total points earned for the Algebra I Expressing Mathematical Reasoning </t>
    </r>
    <r>
      <rPr>
        <sz val="10"/>
        <color theme="1"/>
        <rFont val="Arial"/>
        <family val="2"/>
      </rPr>
      <t xml:space="preserve"> category.
Blank when </t>
    </r>
    <r>
      <rPr>
        <sz val="10"/>
        <color theme="1"/>
        <rFont val="Arial"/>
        <family val="2"/>
      </rPr>
      <t>category is not assessed (zero points possible), or when the Raw Score Total for Algebra I is blank.</t>
    </r>
  </si>
  <si>
    <r>
      <t xml:space="preserve">Total points earned for the Algebra I Additional &amp; Supporting Content category.
Blank when </t>
    </r>
    <r>
      <rPr>
        <sz val="10"/>
        <color theme="1"/>
        <rFont val="Arial"/>
        <family val="2"/>
      </rPr>
      <t>category is not assessed (zero points possible), or when the Raw Score Total for Algebra I is blank.</t>
    </r>
  </si>
  <si>
    <t xml:space="preserve">Total points earned for the Algebra I Major Content category.
Blank when category is not assessed (zero points possible), or when the Raw Score Total for Algebra I is blank.
</t>
  </si>
  <si>
    <r>
      <t xml:space="preserve">Percent correct for the Algebra I Major Content </t>
    </r>
    <r>
      <rPr>
        <sz val="10"/>
        <color theme="1"/>
        <rFont val="Arial"/>
        <family val="2"/>
      </rPr>
      <t xml:space="preserve"> category. This is calculated by dividing the total points earned by the total points possible for the </t>
    </r>
    <r>
      <rPr>
        <sz val="10"/>
        <color theme="1"/>
        <rFont val="Arial"/>
        <family val="2"/>
      </rPr>
      <t>category.
Blank when Algebra I Major Content Raw Score is blank.</t>
    </r>
  </si>
  <si>
    <t>Percent correct for the Algebra I Interpreting Functions subcategory. This is calculated by dividing the total points earned by the total points possible for the subcategory.
Blank when Interpreting Functions Raw Score is blank.</t>
  </si>
  <si>
    <t>Percent correct for the Algebra I Solving Graphically/Rate of Change subcategory. This is calculated by dividing the total points earned by the total points possible for the subcategory.
Blank when Solving Graphically/Rate of Change Raw Score is blank.</t>
  </si>
  <si>
    <t>E2
E2AE
E2NFT
E2NFTAE
Blank</t>
  </si>
  <si>
    <r>
      <t xml:space="preserve">Refer to the </t>
    </r>
    <r>
      <rPr>
        <b/>
        <u/>
        <sz val="10"/>
        <color theme="1"/>
        <rFont val="Arial"/>
        <family val="2"/>
      </rPr>
      <t>Course Values</t>
    </r>
    <r>
      <rPr>
        <sz val="10"/>
        <color theme="1"/>
        <rFont val="Arial"/>
        <family val="2"/>
      </rPr>
      <t xml:space="preserve"> section of the Processing Rules - Scoring document for course names applicable to English II.
Blank when a student is not in a test session and was not in the enroll file for the subject or if the value is blank in eDIRECT.
The Course Name value in LDESTD file will be truncated to fit the field length. </t>
    </r>
  </si>
  <si>
    <r>
      <t xml:space="preserve">English II
NOCCA Integrated English II
LASMSA COMPOSITION AND LITERATURE (EN 210)
Not Enrolled </t>
    </r>
    <r>
      <rPr>
        <sz val="10"/>
        <color rgb="FFFF0000"/>
        <rFont val="Arial"/>
        <family val="2"/>
      </rPr>
      <t>In</t>
    </r>
    <r>
      <rPr>
        <sz val="10"/>
        <rFont val="Arial"/>
        <family val="2"/>
      </rPr>
      <t xml:space="preserve"> Course
Blank</t>
    </r>
  </si>
  <si>
    <t>Subcategory Scoring Information</t>
  </si>
  <si>
    <t>Total points earned for the English II Reading Literary Text  subcategory.
Blank when subcategory not assessed (zero points possible), or when the Raw Score Total for English II is blank.</t>
  </si>
  <si>
    <t>Percent correct for the English II Reading Literary Text subcategory. This is calculated by dividing the total points earned by the total points possible for the  subcategory.
Blank when Reading Literary Text Raw Score is blank.</t>
  </si>
  <si>
    <t>Total points earned for the English II Reading Informational Text subcategory.
Blank when subcategory is not assessed (zero points possible), or when the Raw ScoreTotal for English II is blank.</t>
  </si>
  <si>
    <t>Percent correct for the English II Reading Informational Text subcategory. This is calculated by dividing the total points earned by the total points possible for the subcategory.
Blank when Reading Informational Text Raw Score is blank.</t>
  </si>
  <si>
    <t>Total points earned for the English II Reading Vocabulary  subcategory.
Blank when subcategory is not assessed (zero points possible), or when the Raw Score Total for English II is blank.</t>
  </si>
  <si>
    <t>Percent correct for the English II Reading Vocabulary subcategory. This is calculated by dividing the total points earned by the total points possible for the  subcategory.
Blank when Reading Vocabulary Raw Score is blank.</t>
  </si>
  <si>
    <t>Total points earned for the English II Written Expression subcategory.
Blank when  subcategory is not assessed (zero points possible), or when the Raw Score Total for English II is blank.</t>
  </si>
  <si>
    <t xml:space="preserve">Percent correct for the English II Written Expression subcategory. This is calculated by dividing the total points earned by the total points possible for the subcategory.
Blank when Written Expression Raw Score is blank.
</t>
  </si>
  <si>
    <t>Total points earned for the English II Knowledge &amp; Use of Language Conventions subcategory.
Blank when  subcategory is not assessed (zero points possible), or when the Raw Score Total for English II is blank.</t>
  </si>
  <si>
    <t>Percent correct for the English II Knowledge &amp; Use of Language Conventions  subcategory. This is calculated by dividing the total points earned by the total points possible for thesubcategory.
Blank when Knowledge &amp; Use of Language Conventions Raw Score is blank.</t>
  </si>
  <si>
    <t>Percent correct for the English II Reading category. This is calculated by dividing the total points earned by the total points possible for the  category.
Blank when Reading Raw Score is blank.</t>
  </si>
  <si>
    <t>Percent correct for the English II Writing category. This is calculated by dividing the total points earned by the total points possible for the category.
Blank when Writing Raw Score is blank.</t>
  </si>
  <si>
    <t>Total points earned for the English II Reading  category.
Blank when category is not assessed (zero points possible), or when the Raw Score Total for English II is blank.</t>
  </si>
  <si>
    <r>
      <t xml:space="preserve">Refer to the </t>
    </r>
    <r>
      <rPr>
        <b/>
        <u/>
        <sz val="10"/>
        <color theme="1"/>
        <rFont val="Arial"/>
        <family val="2"/>
      </rPr>
      <t>Course Values</t>
    </r>
    <r>
      <rPr>
        <sz val="10"/>
        <color theme="1"/>
        <rFont val="Arial"/>
        <family val="2"/>
      </rPr>
      <t xml:space="preserve"> section of the Processing Rules - Scoring document for course names applicable to Geometry.
Blank when a student is not in a test session and was not in the enroll file for the subject or if the value is blank in eDIRECT.
The Course Name value in LDESTD file will be truncated to fit the field length. </t>
    </r>
  </si>
  <si>
    <t>Geometry
Applied Geometry
Integrated Math III
NOCCA Integrated Math III 
Not Enrolled In Course
Blank</t>
  </si>
  <si>
    <t>Total points earned for the Geometry Major Content category.
Blank when category is not assessed (zero points possible), or when the Raw Score Total for Geometry is blank.</t>
  </si>
  <si>
    <t>Percent correct for the Geometry Major Content category. This is calculated by dividing the total points earned by the total points possible for the category.
Blank when Major Content Raw Score is blank.</t>
  </si>
  <si>
    <t>Total points earned for the Geometry Additional &amp; Supporting Content category.
Blank when category is not assessed (zero points possible), or when the Raw Score Total for Geometry is blank.</t>
  </si>
  <si>
    <t>Percent correct for the Geometry Additional &amp; Supporting Content category. This is calculated by dividing the total points earned by the total points possible for the category.
Blank when Additional &amp; Supporting Content Raw Score is blank.</t>
  </si>
  <si>
    <t>Total points earned for the Geometry Expressing Mathematical Reasoning category.
Blank when category is not assessed (zero points possible), or when the Raw Score Total for Geometry is blank.</t>
  </si>
  <si>
    <t>Percent correct for the Geometry Expressing Mathematical Reasoning category. This is calculated by dividing the total points earned by the total points possible for the category.
Blank when Expressing Mathematical Reasoning Raw Score is blank.</t>
  </si>
  <si>
    <t>Percent correct for the Geometry Modeling &amp; Application category. This is calculated by dividing the total points earned by the total points possible for the category.
Blank when Modeling &amp; Application Raw Score is blank.</t>
  </si>
  <si>
    <t>Percent correct for the Congruence Transformations/Similarity   subcategory. This is calculated by dividing the total points earned by the total points possible for the subcategory.
Blank when Congruence Transformations/Similarity  Raw Score is blank.</t>
  </si>
  <si>
    <t>BL
BLAE
BLNFT
Blank</t>
  </si>
  <si>
    <r>
      <t xml:space="preserve">Refer to the </t>
    </r>
    <r>
      <rPr>
        <b/>
        <u/>
        <sz val="10"/>
        <color theme="1"/>
        <rFont val="Arial"/>
        <family val="2"/>
      </rPr>
      <t>Course Values</t>
    </r>
    <r>
      <rPr>
        <sz val="10"/>
        <color theme="1"/>
        <rFont val="Arial"/>
        <family val="2"/>
      </rPr>
      <t xml:space="preserve"> section of the Processing Rules - Scoring document for course names applicable to Biology.
Blank when a student is not in a test session and was not in the enroll file for the subject or if the value is blank in eDIRECT.
The Course Name value in LDESTD file will be truncated to fit the field length. </t>
    </r>
  </si>
  <si>
    <t>E3
E3AE
E3NFT
Blank</t>
  </si>
  <si>
    <r>
      <t xml:space="preserve">Refer to the </t>
    </r>
    <r>
      <rPr>
        <b/>
        <u/>
        <sz val="10"/>
        <color theme="1"/>
        <rFont val="Arial"/>
        <family val="2"/>
      </rPr>
      <t>Course Values</t>
    </r>
    <r>
      <rPr>
        <sz val="10"/>
        <color theme="1"/>
        <rFont val="Arial"/>
        <family val="2"/>
      </rPr>
      <t xml:space="preserve"> section of the Processing Rules - Scoring document for course codes applicable to US History (EOC).
Blank when a student is not in a test session and was not in the enroll file for the subject or if the value is blank in eDIRECT.</t>
    </r>
  </si>
  <si>
    <r>
      <t xml:space="preserve">Refer to the </t>
    </r>
    <r>
      <rPr>
        <b/>
        <u/>
        <sz val="10"/>
        <color theme="1"/>
        <rFont val="Arial"/>
        <family val="2"/>
      </rPr>
      <t>Course Values</t>
    </r>
    <r>
      <rPr>
        <sz val="10"/>
        <color theme="1"/>
        <rFont val="Arial"/>
        <family val="2"/>
      </rPr>
      <t xml:space="preserve"> section of the Processing Rules - Scoring document for course codes applicable to US History (EOC).
Blank when a student is not in a test session and was not in the enroll file for the subject or if the value is blank in eDIRECT.
The Course Name value in LDESTD file will be truncated to fit the field length. </t>
    </r>
  </si>
  <si>
    <t>Reporting Categories</t>
  </si>
  <si>
    <t xml:space="preserve">
USL
USLAE
USLNFT
USLNFTAE
Blank</t>
  </si>
  <si>
    <r>
      <t xml:space="preserve">Refer to the </t>
    </r>
    <r>
      <rPr>
        <b/>
        <u/>
        <sz val="10"/>
        <color theme="1"/>
        <rFont val="Arial"/>
        <family val="2"/>
      </rPr>
      <t>Course Values</t>
    </r>
    <r>
      <rPr>
        <sz val="10"/>
        <color theme="1"/>
        <rFont val="Arial"/>
        <family val="2"/>
      </rPr>
      <t xml:space="preserve"> section of the Processing Rules - Scoring document for course codes applicable to US History (LEAP 2025).
Blank when a student is not in a test session and was not in the enroll file for the subject or if the value is blank in eDIRECT.</t>
    </r>
  </si>
  <si>
    <t>US History
US History GT
US History AP
US History IB
US History DE Amr Hist I
US History DE Amr Hist II
US History Honors
NOCCA Integrated World History III 
Not Enrolled In Course
Blank</t>
  </si>
  <si>
    <r>
      <t xml:space="preserve">Refer to the </t>
    </r>
    <r>
      <rPr>
        <b/>
        <u/>
        <sz val="10"/>
        <color theme="1"/>
        <rFont val="Arial"/>
        <family val="2"/>
      </rPr>
      <t>Course Values</t>
    </r>
    <r>
      <rPr>
        <sz val="10"/>
        <color theme="1"/>
        <rFont val="Arial"/>
        <family val="2"/>
      </rPr>
      <t xml:space="preserve"> section of the Processing Rules - Scoring document for course codes applicable to US History (LEAP 2025).
Blank when a student is not in a test session and was not in the enroll file for the subject or if the value is blank in eDIRECT.
The Course Name value in LDESTD file will be truncated to fit the field length. </t>
    </r>
  </si>
  <si>
    <t>E1
E1AE
E1NFT
E1NFTAE
Blank</t>
  </si>
  <si>
    <r>
      <t xml:space="preserve">Refer to the </t>
    </r>
    <r>
      <rPr>
        <b/>
        <u/>
        <sz val="10"/>
        <color theme="1"/>
        <rFont val="Arial"/>
        <family val="2"/>
      </rPr>
      <t>Course Values</t>
    </r>
    <r>
      <rPr>
        <sz val="10"/>
        <color theme="1"/>
        <rFont val="Arial"/>
        <family val="2"/>
      </rPr>
      <t xml:space="preserve"> section of the Processing Rules - Scoring document for course codes applicable to English I.
Blank when a student is not in a test session and was not in the enroll file for the subject or if the value is blank in eDIRECT.</t>
    </r>
  </si>
  <si>
    <t>English I
English I NOCCA Integrated
LASMSA Intro Write and Lit
Not Enrolled In Course
Blank</t>
  </si>
  <si>
    <r>
      <t xml:space="preserve">Refer to the </t>
    </r>
    <r>
      <rPr>
        <b/>
        <u/>
        <sz val="10"/>
        <color theme="1"/>
        <rFont val="Arial"/>
        <family val="2"/>
      </rPr>
      <t>Course Values</t>
    </r>
    <r>
      <rPr>
        <sz val="10"/>
        <color theme="1"/>
        <rFont val="Arial"/>
        <family val="2"/>
      </rPr>
      <t xml:space="preserve"> section of the Processing Rules - Scoring document for course codes applicable to English I.
Blank when a student is not in a test session and was not in the enroll file for the subject or if the value is blank in eDIRECT.
The Course Name value in LDESTD file will be truncated to fit the field length. </t>
    </r>
  </si>
  <si>
    <t>Total points earned for the English I Reading Literary Text subcategory.
Blank when subcategory. is not assessed (zero points possible), or when the Raw Score Total for English I is blank.</t>
  </si>
  <si>
    <t>Percent correct for the English I Reading Literary Text subcategory. This is calculated by dividing the total points earned by the total points possible for the subcategory.
Blank when Reading Literary Text Raw Score is blank.</t>
  </si>
  <si>
    <t>Total points earned for the English I Reading Informational Text  subcategory.
Blank when  subcategory is not assessed (zero points possible), or when the Raw Score Total for English I is blank.</t>
  </si>
  <si>
    <t>Percent correct for the English I Reading Informational Text  subcategory. This is calculated by dividing the total points earned by the total points possible for the  subcategory.
Blank when Reading Informational Text Raw Score is blank.</t>
  </si>
  <si>
    <t>Percent correct for the English I Reading Vocabularysubcategory. This is calculated by dividing the total points earned by the total points possible for the subcategory.
Blank when Reading Vocabulary Raw Score is blank.</t>
  </si>
  <si>
    <t>Total points earned for the English I Written Expression subcategory.
Blank when subcategory. is not assessed (zero points possible), or when the Raw Score Total for English I is blank.</t>
  </si>
  <si>
    <t>Percent correct for the English I Written Expression  subcategory.This is calculated by dividing the total points earned by the total points possible for the subcategory.
Blank when Written Expression Raw Score is blank.</t>
  </si>
  <si>
    <t>Total points earned for the English I Knowledge &amp; Use of Language Conventions  subcategory.
Blank when  subcategory. is not assessed (zero points possible), or when the Raw Score Total for English I is blank.</t>
  </si>
  <si>
    <t>Percent correct for the English I Knowledge &amp; Use of Language Conventions  subcategory. This is calculated by dividing the total points earned by the total points possible for the subcategory.
Blank when Knowledge &amp; Use of Language Conventions Raw Score is blank.</t>
  </si>
  <si>
    <t>Total points earned for the English I Reading category.
Blank when category is not assessed (zero points possible), or when the Raw Score Total for English I is blank.</t>
  </si>
  <si>
    <t>Percent correct for the English I Reading  category. This is calculated by dividing the total points earned by the total points possible for the category.
Blank when Reading Raw Score is blank.</t>
  </si>
  <si>
    <t>Total points earned for the English I Writing category.
Blank when  category is not assessed (zero points possible), or when the Raw Score Total for English I is blank.</t>
  </si>
  <si>
    <t>Percent correct for the English I Writing category. This is calculated by dividing the total points earned by the total points possible for the  category.
Blank when Writing Raw Score is blank.</t>
  </si>
  <si>
    <r>
      <t xml:space="preserve">Total points earned for the English I Reading Vocabulary </t>
    </r>
    <r>
      <rPr>
        <strike/>
        <sz val="10"/>
        <color theme="1"/>
        <rFont val="Arial"/>
        <family val="2"/>
      </rPr>
      <t xml:space="preserve"> </t>
    </r>
    <r>
      <rPr>
        <sz val="10"/>
        <color theme="1"/>
        <rFont val="Arial"/>
        <family val="2"/>
      </rPr>
      <t xml:space="preserve">
Blank when </t>
    </r>
    <r>
      <rPr>
        <strike/>
        <sz val="10"/>
        <color theme="1"/>
        <rFont val="Arial"/>
        <family val="2"/>
      </rPr>
      <t xml:space="preserve"> </t>
    </r>
    <r>
      <rPr>
        <sz val="10"/>
        <color theme="1"/>
        <rFont val="Arial"/>
        <family val="2"/>
      </rPr>
      <t>subcategory. is not assessed (zero points possible), or when the Raw Score Total for English I is blank.</t>
    </r>
  </si>
  <si>
    <t>Category Scoring Information</t>
  </si>
  <si>
    <t>Reporting Category</t>
  </si>
  <si>
    <r>
      <t xml:space="preserve">Biology
Biology I DE Gen Bio I
Biology I DE Bio I Sci Mj
NOCCA Integrated Sci II </t>
    </r>
    <r>
      <rPr>
        <b/>
        <sz val="10"/>
        <color theme="1"/>
        <rFont val="Arial"/>
        <family val="2"/>
      </rPr>
      <t xml:space="preserve"> </t>
    </r>
    <r>
      <rPr>
        <sz val="10"/>
        <color theme="1"/>
        <rFont val="Arial"/>
        <family val="2"/>
      </rPr>
      <t xml:space="preserve">
NOCCA Integrated Sci III 
Not Enrolled In Course
Blank</t>
    </r>
  </si>
  <si>
    <t>GM
GMAE
GMNFT
GMNFTAE
Blank</t>
  </si>
  <si>
    <r>
      <t>Category</t>
    </r>
    <r>
      <rPr>
        <b/>
        <sz val="10"/>
        <color rgb="FFFF0000"/>
        <rFont val="Arial"/>
        <family val="2"/>
      </rPr>
      <t xml:space="preserve"> </t>
    </r>
    <r>
      <rPr>
        <b/>
        <sz val="10"/>
        <color rgb="FF0000FF"/>
        <rFont val="Arial"/>
        <family val="2"/>
      </rPr>
      <t>Scoring Information</t>
    </r>
  </si>
  <si>
    <r>
      <t>English III
English III GT
English III AP ELA Comp
English III IB Lit
English III IB Lang Lit
English III Honors
English III IB Lit Perf
English III DE Comp 1I
English III DE Comp II
English III DE Amer Lit I
English III DE Amer Lit II
English III DE Am Writers
English III Equivalent-LA Sch for Math Sci and Arts</t>
    </r>
    <r>
      <rPr>
        <b/>
        <sz val="10"/>
        <color theme="1"/>
        <rFont val="Arial"/>
        <family val="2"/>
      </rPr>
      <t xml:space="preserve"> </t>
    </r>
    <r>
      <rPr>
        <sz val="10"/>
        <color theme="1"/>
        <rFont val="Arial"/>
        <family val="2"/>
      </rPr>
      <t xml:space="preserve">
NOCCA Integrated English III 
Not Enrolled In Course
Blank</t>
    </r>
  </si>
  <si>
    <r>
      <t xml:space="preserve">Refer to the </t>
    </r>
    <r>
      <rPr>
        <b/>
        <u/>
        <sz val="10"/>
        <color theme="1"/>
        <rFont val="Arial"/>
        <family val="2"/>
      </rPr>
      <t>Course Values</t>
    </r>
    <r>
      <rPr>
        <sz val="10"/>
        <color theme="1"/>
        <rFont val="Arial"/>
        <family val="2"/>
      </rPr>
      <t xml:space="preserve"> section of the Processing Rules - Scoring document for course codes applicable to Englsih III.
Blank when a student is not in a test session and was not in the enroll file for the subject or if the value is blank in eDIRECT.
The Course Name value in LDESTD file will be truncated to fit the field length. </t>
    </r>
  </si>
  <si>
    <r>
      <t xml:space="preserve">Refer to the </t>
    </r>
    <r>
      <rPr>
        <b/>
        <u/>
        <sz val="10"/>
        <color theme="1"/>
        <rFont val="Arial"/>
        <family val="2"/>
      </rPr>
      <t>Course Values</t>
    </r>
    <r>
      <rPr>
        <sz val="10"/>
        <color theme="1"/>
        <rFont val="Arial"/>
        <family val="2"/>
      </rPr>
      <t xml:space="preserve"> section of the Processing Rules - Scoring document for course codes applicable to Englsih III.
Blank when a student is not in a test session and was not in the enroll file for the subject or if the value is blank in eDIRECT.</t>
    </r>
  </si>
  <si>
    <t>USE 
USEAE 
USENFT
Blank</t>
  </si>
  <si>
    <t>Document created for 2017-2018.</t>
  </si>
  <si>
    <t>TexttoSpeech</t>
  </si>
  <si>
    <t>FieldName</t>
  </si>
  <si>
    <t>TestDateYear</t>
  </si>
  <si>
    <t>TestDateMonth</t>
  </si>
  <si>
    <t>DistrictCode</t>
  </si>
  <si>
    <t>SchoolCode</t>
  </si>
  <si>
    <t>DistrictName</t>
  </si>
  <si>
    <t>SchoolName</t>
  </si>
  <si>
    <t>DistrictReportingRolledUpCode</t>
  </si>
  <si>
    <t>SchoolType</t>
  </si>
  <si>
    <t>CharterSchoolType</t>
  </si>
  <si>
    <t>RolluptoState</t>
  </si>
  <si>
    <t>StudentLastName</t>
  </si>
  <si>
    <t>StudentFirstName</t>
  </si>
  <si>
    <t>StudentMiddleInitial</t>
  </si>
  <si>
    <t>DOBMonth</t>
  </si>
  <si>
    <t>DOBDay</t>
  </si>
  <si>
    <t>DOBYear</t>
  </si>
  <si>
    <t>ReportingGrade</t>
  </si>
  <si>
    <t>ReportingGender</t>
  </si>
  <si>
    <t>EconomicallyDisadvantagedStatus</t>
  </si>
  <si>
    <t>ReportingMigrantStatus</t>
  </si>
  <si>
    <t>ReportingEducationClassification</t>
  </si>
  <si>
    <t>ReportingLEPStatus</t>
  </si>
  <si>
    <t>ReportingSection504Code</t>
  </si>
  <si>
    <t>ReportingExceptionalityCategory</t>
  </si>
  <si>
    <t>AmericanIndianorAlaskaNative</t>
  </si>
  <si>
    <t>NativeHawaiianorotherPacificIslander</t>
  </si>
  <si>
    <t>SummarizedEthnicityRace</t>
  </si>
  <si>
    <t>ScholarshipStudentFlag</t>
  </si>
  <si>
    <t>PrecodeSiteCode</t>
  </si>
  <si>
    <t xml:space="preserve">MilitaryAffiliated
</t>
  </si>
  <si>
    <t>FosterCare</t>
  </si>
  <si>
    <t>TESTDETAILSALGEBRAI</t>
  </si>
  <si>
    <t>AdminErrorAdministration</t>
  </si>
  <si>
    <t>TeacherLastName</t>
  </si>
  <si>
    <t>TeacherFirstName</t>
  </si>
  <si>
    <t>TeacherMiddleInitial</t>
  </si>
  <si>
    <t>CourseCode</t>
  </si>
  <si>
    <t>CourseName</t>
  </si>
  <si>
    <t>ClassSection</t>
  </si>
  <si>
    <t>TestingSiteCode</t>
  </si>
  <si>
    <t>AlgebraIEnrollFlag</t>
  </si>
  <si>
    <t>SpanishTest</t>
  </si>
  <si>
    <t>AccommodatedPaper</t>
  </si>
  <si>
    <t>HumanReadAloud</t>
  </si>
  <si>
    <t>NativeLanguageWordtoWordDictionary</t>
  </si>
  <si>
    <t>DirectionsinNativeLanguage</t>
  </si>
  <si>
    <t>CommunicationAssistance</t>
  </si>
  <si>
    <t>TransferredAnswers</t>
  </si>
  <si>
    <t>AnswersRecorded</t>
  </si>
  <si>
    <t>ScientificCalculator</t>
  </si>
  <si>
    <t>GraphingCalculator</t>
  </si>
  <si>
    <t>ExtendedTime</t>
  </si>
  <si>
    <t>IndividualorSmallGroupAdministration</t>
  </si>
  <si>
    <t>TotalMCScore</t>
  </si>
  <si>
    <t>TotalCRScore</t>
  </si>
  <si>
    <t>TotalRawScore</t>
  </si>
  <si>
    <t>TotalPercentCorrect</t>
  </si>
  <si>
    <t>ScaleScore</t>
  </si>
  <si>
    <t>AssessmentAchievementLevel</t>
  </si>
  <si>
    <t>AccountabilityAchievementLevel</t>
  </si>
  <si>
    <t>MajorContentRawScore</t>
  </si>
  <si>
    <t>MajorContentRating</t>
  </si>
  <si>
    <t>MajorContentPercentCorrect</t>
  </si>
  <si>
    <t>ExpressingMathematicalReasoningRawScore</t>
  </si>
  <si>
    <t>ExpressingMathematicalReasoningRating</t>
  </si>
  <si>
    <t>ExpressingMathematicalReasoningPercentCorrect</t>
  </si>
  <si>
    <t>InterpretingFunctionsRawScore</t>
  </si>
  <si>
    <t>InterpretingFunctionsRating</t>
  </si>
  <si>
    <t>InterpretingFunctionsPercentCorrect</t>
  </si>
  <si>
    <t>SolvingAlgebraicallyRawScore</t>
  </si>
  <si>
    <t>SolvingAlgebraicallyRating</t>
  </si>
  <si>
    <t>SolvingAlgebraicallyPercentCorrect</t>
  </si>
  <si>
    <t>AccountabilityCodeAlgebraI</t>
  </si>
  <si>
    <t>Reportablestatus</t>
  </si>
  <si>
    <t>TestValidAttempt</t>
  </si>
  <si>
    <t>TestLaunchFlag</t>
  </si>
  <si>
    <t>VoidFlag</t>
  </si>
  <si>
    <t>RetestFlag</t>
  </si>
  <si>
    <t>EligibleFlag</t>
  </si>
  <si>
    <t>EnglishIIEnrollFlag</t>
  </si>
  <si>
    <t>EnglishIICohortFlag</t>
  </si>
  <si>
    <t>ReadingLiteraryTextRawScore</t>
  </si>
  <si>
    <t>ReadingLiteraryTextRating</t>
  </si>
  <si>
    <t>ReadingLiteraryTextPercentCorrect</t>
  </si>
  <si>
    <t>ReadingInformationalTextRawScore</t>
  </si>
  <si>
    <t>ReadingInformationalTextRating</t>
  </si>
  <si>
    <t>ReadingInformationalTextPercentCorrect</t>
  </si>
  <si>
    <t>ReadingVocabularyRawScore</t>
  </si>
  <si>
    <t>ReadingVocabularyRating</t>
  </si>
  <si>
    <t>ReadingVocabularyPercentCorrect</t>
  </si>
  <si>
    <t>WrittenExpressionRawScore</t>
  </si>
  <si>
    <t>WrittenExpressionRating</t>
  </si>
  <si>
    <t>WrittenExpressionPercentCorrect</t>
  </si>
  <si>
    <t>ReadingRawScore</t>
  </si>
  <si>
    <t>ReadingRating</t>
  </si>
  <si>
    <t>ReadingPercentCorrect</t>
  </si>
  <si>
    <t>WritingRawScore</t>
  </si>
  <si>
    <t>WritingRating</t>
  </si>
  <si>
    <t>WritingPercentCorrect</t>
  </si>
  <si>
    <t>AccountabilityCodeEnglishII</t>
  </si>
  <si>
    <t>GeometryEnrollFlag</t>
  </si>
  <si>
    <t>TotalPercentcorrect</t>
  </si>
  <si>
    <t>AccountabilityCodeGeometry</t>
  </si>
  <si>
    <t>BiologyEnrollFlag</t>
  </si>
  <si>
    <t>ScienceasInquiryRawScore</t>
  </si>
  <si>
    <t>ScienceasInquiryPercentCorrect</t>
  </si>
  <si>
    <t>LifeScienceRawScore</t>
  </si>
  <si>
    <t>LifeSciencePercentCorrect</t>
  </si>
  <si>
    <t>EarthandSpaceScienceRawScore</t>
  </si>
  <si>
    <t>EarthandSpaceSciencePercentCorrect</t>
  </si>
  <si>
    <t>AccountabilityCodeBiology</t>
  </si>
  <si>
    <t>EnglishIIIEnrollFlag</t>
  </si>
  <si>
    <t>WritingandLanguageConventionsRawScore</t>
  </si>
  <si>
    <t>WritingandLanguageConventionsPercentCorrect</t>
  </si>
  <si>
    <t>ResearchRawScore</t>
  </si>
  <si>
    <t>ResearchPercentCorrect</t>
  </si>
  <si>
    <t>AccountabilityCodeEnglishIII</t>
  </si>
  <si>
    <t>WesternExpansiontoProgressivismStandard2RawScore</t>
  </si>
  <si>
    <t>WesternExpansiontoProgressivismStandard2PercentCorrect</t>
  </si>
  <si>
    <t>IsolationismthroughtheGreatWarStandard3RawScore</t>
  </si>
  <si>
    <t>IsolationismthroughtheGreatWarStandard3PercentCorrect</t>
  </si>
  <si>
    <t>BecomingaWorldPowerthroughWorldWarIIStandard4RawScore</t>
  </si>
  <si>
    <t>BecomingaWorldPowerthroughWorldWarIIStandard4PercentCorrect</t>
  </si>
  <si>
    <t>ColdWarEraStandard5RawScore</t>
  </si>
  <si>
    <t>ColdWarEraStandard5PercentCorrect</t>
  </si>
  <si>
    <t>TheModernAgeStandard6RawScore</t>
  </si>
  <si>
    <t>TheModernAgeStandard6PercentCorrect</t>
  </si>
  <si>
    <t>WesternExpansiontoProgressivismStandard2Rating</t>
  </si>
  <si>
    <t>IsolationismthroughtheGreatWarStandard3Rating</t>
  </si>
  <si>
    <t>BecomingaWorldPowerthroughWorldWarIIStandard4Rating</t>
  </si>
  <si>
    <t>ColdWarEraStandard5Rating</t>
  </si>
  <si>
    <t>TheModernAgeStandard6Rating</t>
  </si>
  <si>
    <t>EnglishIEnrollFlag</t>
  </si>
  <si>
    <t>AccountabilityCodeEnglishI</t>
  </si>
  <si>
    <t>DateandTimeStamp</t>
  </si>
  <si>
    <t>SPSS START</t>
  </si>
  <si>
    <t>SPSS END</t>
  </si>
  <si>
    <t>filler count</t>
  </si>
  <si>
    <t>temp</t>
  </si>
  <si>
    <t>final</t>
  </si>
  <si>
    <t>STUDENTDETAILS</t>
  </si>
  <si>
    <t>ReportingAccommodations</t>
  </si>
  <si>
    <t>ALGEBRAISCORINGINFORMATION</t>
  </si>
  <si>
    <t>CategoryScoringInformation</t>
  </si>
  <si>
    <t>SubcategoryInformation</t>
  </si>
  <si>
    <t>TestingFlagsAlgebraI</t>
  </si>
  <si>
    <t>TESTDETAILSENGLISHII</t>
  </si>
  <si>
    <t>ENGLISHIISCORINGINFORMATION</t>
  </si>
  <si>
    <t>SubcategoryScoringInformation</t>
  </si>
  <si>
    <t>TestingFlagsEnglishII</t>
  </si>
  <si>
    <t>TESTDETAILSGEOMETRY</t>
  </si>
  <si>
    <t>GEOMETRYSCORINGINFORMATION</t>
  </si>
  <si>
    <t>TestingFlagsGeometry</t>
  </si>
  <si>
    <t>TESTDETAILSBIOLOGY</t>
  </si>
  <si>
    <t>BIOLOGYSCORINGINFORMATION</t>
  </si>
  <si>
    <t>ContentStandardInformation</t>
  </si>
  <si>
    <t>TestingFlagsBiology</t>
  </si>
  <si>
    <t>TESTDETAILSENGLISHIII</t>
  </si>
  <si>
    <t>ENGLISHIIISCORINGINFORMATION</t>
  </si>
  <si>
    <t>TestingFlagsEnglishIII</t>
  </si>
  <si>
    <t>TESTDETAILSUSHISTORY(EOC)</t>
  </si>
  <si>
    <t>ReportingCategories</t>
  </si>
  <si>
    <t>TESTDETAILSUSHISTORY(LEAP2025)</t>
  </si>
  <si>
    <t>ReportingCategory</t>
  </si>
  <si>
    <t>TESTDETAILSENGLISHI</t>
  </si>
  <si>
    <t>EnglishISCORINGINFORMATION</t>
  </si>
  <si>
    <t>TestingFlagsEnglishI</t>
  </si>
  <si>
    <t>AlgebraIFlag</t>
  </si>
  <si>
    <t>USHistoryEnrollFlag</t>
  </si>
  <si>
    <t>USHISTORY(EOC)SCORINGINFORMATION</t>
  </si>
  <si>
    <t>TestingFlagsUSHistory(EOC)</t>
  </si>
  <si>
    <t>AccountabilityCodeUSHistory</t>
  </si>
  <si>
    <t>USHISTORY(LEAP2025)SCORINGINFORMATION</t>
  </si>
  <si>
    <t>TestingFlagsUSHistory(LEAP2025)</t>
  </si>
  <si>
    <t>ReportingHomelessMcKinneyVentoFlag</t>
  </si>
  <si>
    <t>DISTRICTSCHOOL</t>
  </si>
  <si>
    <t>CareerDiplomaPathwayTrack</t>
  </si>
  <si>
    <t>SolvingGraphicallyRateofChangeRawScore</t>
  </si>
  <si>
    <t>SolvingGraphicallyRateofChangeRating</t>
  </si>
  <si>
    <t>SolvingGraphicallyRateofChangePercentCorrect</t>
  </si>
  <si>
    <t>CongruenceTransformationsSimilarityRawScore</t>
  </si>
  <si>
    <t>CongruenceTransformationsSimilarityRating</t>
  </si>
  <si>
    <t>CongruenceTransformationsSimilarityPercentCorrect</t>
  </si>
  <si>
    <t>AdditionalSupportingContentRawScore</t>
  </si>
  <si>
    <t>AdditionalSupportingContentRating</t>
  </si>
  <si>
    <t>AdditionalSupportingContentPercentCorrect</t>
  </si>
  <si>
    <t>ModelingApplicationRawScore</t>
  </si>
  <si>
    <t>ModelingApplicationRating</t>
  </si>
  <si>
    <t>ModelingApplicationPercentCorrect</t>
  </si>
  <si>
    <t>KnowledgeUseofLanguageConventionsRawScore</t>
  </si>
  <si>
    <t>KnowledgeUseofLanguageConventionsRating</t>
  </si>
  <si>
    <t>KnowledgeUseofLanguageConventionsPercentCorrect</t>
  </si>
  <si>
    <t>SimilarityinTrigonometryModelingApplyingRawScore</t>
  </si>
  <si>
    <t>SimilarityinTrigonometryModelingApplyingRating</t>
  </si>
  <si>
    <t>SimilarityinTrigonometryModelingApplyingPercentCorrect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</si>
</sst>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10"/>
      <name val="Arial"/>
      <family val="2"/>
    </font>
    <font>
      <b/>
      <sz val="10"/>
      <color rgb="FF000000"/>
      <name val="Arial"/>
      <family val="2"/>
    </font>
    <font>
      <sz val="10"/>
      <color rgb="FF000000"/>
      <name val="Arial"/>
      <family val="2"/>
    </font>
    <font>
      <b/>
      <sz val="10"/>
      <color theme="1"/>
      <name val="Arial"/>
      <family val="2"/>
    </font>
    <font>
      <sz val="10"/>
      <color theme="1"/>
      <name val="Arial"/>
      <family val="2"/>
    </font>
    <font>
      <b/>
      <sz val="10"/>
      <name val="Arial"/>
      <family val="2"/>
    </font>
    <font>
      <b/>
      <u/>
      <sz val="10"/>
      <color theme="1"/>
      <name val="Arial"/>
      <family val="2"/>
    </font>
    <font>
      <b/>
      <sz val="10"/>
      <color rgb="FF0000FF"/>
      <name val="Arial"/>
      <family val="2"/>
    </font>
    <font>
      <b/>
      <u/>
      <sz val="10"/>
      <name val="Arial"/>
      <family val="2"/>
    </font>
    <font>
      <b/>
      <sz val="16"/>
      <color theme="1"/>
      <name val="Arial"/>
      <family val="2"/>
    </font>
    <font>
      <b/>
      <sz val="10"/>
      <color indexed="10"/>
      <name val="Arial"/>
      <family val="2"/>
    </font>
    <font>
      <b/>
      <sz val="8"/>
      <color indexed="10"/>
      <name val="Arial"/>
      <family val="2"/>
    </font>
    <font>
      <b/>
      <sz val="10"/>
      <color indexed="8"/>
      <name val="Arial"/>
      <family val="2"/>
    </font>
    <font>
      <b/>
      <sz val="10"/>
      <color rgb="FFFF0000"/>
      <name val="Arial"/>
      <family val="2"/>
    </font>
    <font>
      <sz val="10"/>
      <color rgb="FFFF0000"/>
      <name val="Arial"/>
      <family val="2"/>
    </font>
    <font>
      <strike/>
      <sz val="10"/>
      <color rgb="FF000000"/>
      <name val="Arial"/>
      <family val="2"/>
    </font>
    <font>
      <strike/>
      <sz val="10"/>
      <name val="Arial"/>
      <family val="2"/>
    </font>
    <font>
      <strike/>
      <sz val="11"/>
      <color theme="1"/>
      <name val="Calibri"/>
      <family val="2"/>
      <scheme val="minor"/>
    </font>
    <font>
      <strike/>
      <sz val="10"/>
      <color theme="1"/>
      <name val="Arial"/>
      <family val="2"/>
    </font>
  </fonts>
  <fills count="3">
    <fill>
      <patternFill patternType="none"/>
    </fill>
    <fill>
      <patternFill patternType="gray125"/>
    </fill>
    <fill>
      <patternFill patternType="solid">
        <fgColor indexed="2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5">
    <xf numFmtId="0" fontId="0" fillId="0" borderId="0"/>
    <xf numFmtId="0" fontId="1" fillId="0" borderId="0"/>
    <xf numFmtId="0" fontId="1" fillId="0" borderId="0"/>
    <xf numFmtId="0" fontId="1" fillId="0" borderId="0"/>
    <xf numFmtId="0" fontId="1" fillId="0" borderId="0"/>
  </cellStyleXfs>
  <cellXfs count="83">
    <xf numFmtId="0" fontId="0" fillId="0" borderId="0" xfId="0"/>
    <xf numFmtId="0" fontId="2" fillId="0" borderId="0" xfId="0" applyFont="1" applyFill="1" applyBorder="1" applyAlignment="1">
      <alignment horizontal="left" wrapText="1"/>
    </xf>
    <xf numFmtId="0" fontId="6" fillId="0" borderId="0" xfId="0" applyFont="1" applyFill="1" applyBorder="1" applyAlignment="1">
      <alignment horizontal="left" wrapText="1"/>
    </xf>
    <xf numFmtId="0" fontId="3" fillId="0" borderId="0" xfId="0" applyFont="1" applyFill="1" applyBorder="1" applyAlignment="1">
      <alignment horizontal="center" vertical="top"/>
    </xf>
    <xf numFmtId="0" fontId="5" fillId="0" borderId="0" xfId="0" applyFont="1" applyFill="1" applyBorder="1" applyAlignment="1">
      <alignment horizontal="left" vertical="top"/>
    </xf>
    <xf numFmtId="0" fontId="1" fillId="0" borderId="0" xfId="0" applyFont="1" applyFill="1" applyBorder="1" applyAlignment="1">
      <alignment horizontal="center" vertical="top"/>
    </xf>
    <xf numFmtId="0" fontId="5" fillId="0" borderId="0" xfId="0" applyFont="1" applyFill="1" applyBorder="1" applyAlignment="1">
      <alignment horizontal="center" vertical="top"/>
    </xf>
    <xf numFmtId="0" fontId="2" fillId="0" borderId="0" xfId="0" applyFont="1" applyFill="1" applyBorder="1" applyAlignment="1">
      <alignment horizontal="center" vertical="top" wrapText="1"/>
    </xf>
    <xf numFmtId="0" fontId="5" fillId="0" borderId="0" xfId="0" applyFont="1" applyFill="1" applyBorder="1" applyAlignment="1">
      <alignment horizontal="left"/>
    </xf>
    <xf numFmtId="0" fontId="5" fillId="0" borderId="0" xfId="0" applyFont="1" applyFill="1" applyBorder="1" applyAlignment="1">
      <alignment vertical="top" wrapText="1"/>
    </xf>
    <xf numFmtId="49" fontId="1" fillId="0" borderId="0" xfId="1" applyNumberFormat="1" applyFont="1" applyFill="1" applyBorder="1" applyAlignment="1">
      <alignment horizontal="left" vertical="center" wrapText="1"/>
    </xf>
    <xf numFmtId="49" fontId="1" fillId="0" borderId="0" xfId="3" applyNumberFormat="1" applyFont="1" applyFill="1" applyBorder="1" applyAlignment="1">
      <alignment horizontal="left" vertical="center" wrapText="1"/>
    </xf>
    <xf numFmtId="0" fontId="1" fillId="0" borderId="0" xfId="3" applyFont="1" applyFill="1" applyBorder="1" applyAlignment="1">
      <alignment vertical="center" wrapText="1"/>
    </xf>
    <xf numFmtId="0" fontId="1" fillId="0" borderId="0" xfId="0" applyFont="1" applyFill="1" applyBorder="1" applyAlignment="1">
      <alignment vertical="top" wrapText="1"/>
    </xf>
    <xf numFmtId="0" fontId="2" fillId="0" borderId="0" xfId="0" applyFont="1" applyFill="1" applyBorder="1" applyAlignment="1">
      <alignment horizontal="left" vertical="center" wrapText="1"/>
    </xf>
    <xf numFmtId="49" fontId="3" fillId="0" borderId="0" xfId="0" applyNumberFormat="1" applyFont="1" applyFill="1" applyBorder="1" applyAlignment="1">
      <alignment horizontal="left" vertical="center" wrapText="1"/>
    </xf>
    <xf numFmtId="0" fontId="5" fillId="0" borderId="0" xfId="0" applyFont="1" applyFill="1" applyBorder="1" applyAlignment="1">
      <alignment horizontal="left" vertical="center"/>
    </xf>
    <xf numFmtId="0" fontId="6" fillId="0" borderId="0" xfId="0" applyFont="1" applyFill="1" applyBorder="1" applyAlignment="1">
      <alignment vertical="center" wrapText="1"/>
    </xf>
    <xf numFmtId="0" fontId="6" fillId="2" borderId="1" xfId="3" applyFont="1" applyFill="1" applyBorder="1" applyAlignment="1" applyProtection="1">
      <alignment horizontal="center" vertical="top" wrapText="1"/>
    </xf>
    <xf numFmtId="0" fontId="13" fillId="2" borderId="1" xfId="3" applyFont="1" applyFill="1" applyBorder="1" applyAlignment="1" applyProtection="1">
      <alignment vertical="top" wrapText="1"/>
    </xf>
    <xf numFmtId="0" fontId="6" fillId="2" borderId="1" xfId="3" applyFont="1" applyFill="1" applyBorder="1" applyAlignment="1" applyProtection="1">
      <alignment vertical="top" wrapText="1"/>
    </xf>
    <xf numFmtId="0" fontId="3" fillId="0" borderId="0" xfId="0" applyFont="1" applyFill="1" applyBorder="1" applyAlignment="1">
      <alignment vertical="top" wrapText="1"/>
    </xf>
    <xf numFmtId="0" fontId="8" fillId="0" borderId="0" xfId="0" applyFont="1" applyFill="1" applyBorder="1" applyAlignment="1">
      <alignment vertical="top" wrapText="1"/>
    </xf>
    <xf numFmtId="0" fontId="5" fillId="0" borderId="0" xfId="0" applyFont="1" applyFill="1" applyBorder="1" applyAlignment="1">
      <alignment vertical="top"/>
    </xf>
    <xf numFmtId="0" fontId="2" fillId="0" borderId="0" xfId="0" applyFont="1" applyFill="1" applyBorder="1" applyAlignment="1">
      <alignment wrapText="1"/>
    </xf>
    <xf numFmtId="0" fontId="4" fillId="0" borderId="0" xfId="0" applyFont="1" applyFill="1" applyBorder="1" applyAlignment="1">
      <alignment horizontal="center" vertical="top"/>
    </xf>
    <xf numFmtId="14" fontId="0" fillId="0" borderId="1" xfId="0" applyNumberFormat="1" applyBorder="1"/>
    <xf numFmtId="0" fontId="0" fillId="0" borderId="1" xfId="0" applyBorder="1"/>
    <xf numFmtId="0" fontId="0" fillId="0" borderId="1" xfId="0" applyBorder="1" applyAlignment="1">
      <alignment wrapText="1"/>
    </xf>
    <xf numFmtId="0" fontId="0" fillId="0" borderId="0" xfId="0" applyAlignment="1">
      <alignment wrapText="1"/>
    </xf>
    <xf numFmtId="1" fontId="1" fillId="0" borderId="0" xfId="3" applyNumberFormat="1" applyFont="1" applyFill="1" applyBorder="1" applyAlignment="1">
      <alignment horizontal="center" vertical="top"/>
    </xf>
    <xf numFmtId="0" fontId="1" fillId="0" borderId="0" xfId="3" applyFont="1" applyFill="1" applyBorder="1" applyAlignment="1">
      <alignment vertical="top" wrapText="1"/>
    </xf>
    <xf numFmtId="0" fontId="5" fillId="0" borderId="0" xfId="2" applyFont="1" applyFill="1" applyBorder="1" applyAlignment="1">
      <alignment vertical="center" wrapText="1"/>
    </xf>
    <xf numFmtId="0" fontId="5" fillId="0" borderId="0" xfId="0" applyFont="1" applyFill="1" applyBorder="1" applyAlignment="1">
      <alignment vertical="center" wrapText="1"/>
    </xf>
    <xf numFmtId="0" fontId="5" fillId="0" borderId="0" xfId="3" applyFont="1" applyFill="1" applyBorder="1" applyAlignment="1">
      <alignment vertical="center" wrapText="1"/>
    </xf>
    <xf numFmtId="0" fontId="15" fillId="0" borderId="0" xfId="0" applyFont="1" applyFill="1" applyBorder="1" applyAlignment="1">
      <alignment horizontal="center" vertical="top"/>
    </xf>
    <xf numFmtId="0" fontId="3" fillId="0" borderId="0" xfId="0" applyFont="1" applyFill="1" applyBorder="1" applyAlignment="1">
      <alignment horizontal="left" vertical="center" wrapText="1"/>
    </xf>
    <xf numFmtId="0" fontId="1"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5" fillId="0" borderId="0" xfId="0" applyFont="1" applyFill="1" applyBorder="1" applyAlignment="1">
      <alignment horizontal="left" vertical="center" wrapText="1"/>
    </xf>
    <xf numFmtId="0" fontId="1" fillId="0" borderId="0" xfId="3" applyFont="1" applyFill="1" applyBorder="1" applyAlignment="1">
      <alignment horizontal="left" vertical="center" wrapText="1"/>
    </xf>
    <xf numFmtId="0" fontId="1" fillId="0" borderId="0" xfId="2" applyFont="1" applyFill="1" applyBorder="1" applyAlignment="1">
      <alignment vertical="center" wrapText="1"/>
    </xf>
    <xf numFmtId="0" fontId="5" fillId="0" borderId="0" xfId="0" applyFont="1" applyFill="1" applyBorder="1" applyAlignment="1">
      <alignment horizontal="left" vertical="center" wrapText="1"/>
    </xf>
    <xf numFmtId="0" fontId="5" fillId="0" borderId="0" xfId="0" applyFont="1" applyFill="1" applyBorder="1" applyAlignment="1">
      <alignment horizontal="right" vertical="top"/>
    </xf>
    <xf numFmtId="0" fontId="5" fillId="0" borderId="0" xfId="0" applyFont="1" applyFill="1" applyBorder="1" applyAlignment="1">
      <alignment vertical="center"/>
    </xf>
    <xf numFmtId="0" fontId="1" fillId="0" borderId="0" xfId="4" applyFont="1" applyFill="1" applyBorder="1" applyAlignment="1">
      <alignment vertical="top" wrapText="1"/>
    </xf>
    <xf numFmtId="16" fontId="1" fillId="0" borderId="0" xfId="0" applyNumberFormat="1" applyFont="1" applyFill="1" applyBorder="1" applyAlignment="1">
      <alignment vertical="center" wrapText="1"/>
    </xf>
    <xf numFmtId="0" fontId="5" fillId="0" borderId="0" xfId="0" applyFont="1" applyFill="1" applyBorder="1"/>
    <xf numFmtId="0" fontId="8" fillId="0" borderId="0" xfId="4" applyFont="1" applyFill="1" applyBorder="1" applyAlignment="1">
      <alignment vertical="top" wrapText="1"/>
    </xf>
    <xf numFmtId="0" fontId="0" fillId="0" borderId="0" xfId="0" applyFill="1" applyBorder="1"/>
    <xf numFmtId="0" fontId="18" fillId="0" borderId="0" xfId="0" applyFont="1" applyFill="1" applyBorder="1"/>
    <xf numFmtId="0" fontId="1" fillId="0" borderId="0" xfId="0" applyFont="1" applyFill="1" applyBorder="1" applyAlignment="1">
      <alignment horizontal="right" vertical="top"/>
    </xf>
    <xf numFmtId="0" fontId="1" fillId="0" borderId="0" xfId="0" applyFont="1" applyFill="1" applyBorder="1" applyAlignment="1">
      <alignment vertical="center"/>
    </xf>
    <xf numFmtId="16" fontId="5" fillId="0" borderId="0" xfId="0" applyNumberFormat="1" applyFont="1" applyFill="1" applyBorder="1" applyAlignment="1">
      <alignment vertical="center" wrapText="1"/>
    </xf>
    <xf numFmtId="0" fontId="5" fillId="0" borderId="0" xfId="3" applyFont="1" applyFill="1" applyBorder="1" applyAlignment="1">
      <alignment horizontal="left" vertical="center" wrapText="1"/>
    </xf>
    <xf numFmtId="0" fontId="16" fillId="0" borderId="0" xfId="0" applyFont="1" applyFill="1" applyBorder="1" applyAlignment="1">
      <alignment horizontal="center" vertical="top"/>
    </xf>
    <xf numFmtId="0" fontId="16" fillId="0" borderId="0" xfId="0" applyFont="1" applyFill="1" applyBorder="1" applyAlignment="1">
      <alignment horizontal="left" vertical="center" wrapText="1"/>
    </xf>
    <xf numFmtId="0" fontId="17" fillId="0" borderId="0" xfId="0" applyFont="1" applyFill="1" applyBorder="1" applyAlignment="1">
      <alignment vertical="center" wrapText="1"/>
    </xf>
    <xf numFmtId="0" fontId="5" fillId="0" borderId="0" xfId="0" applyFont="1" applyFill="1" applyBorder="1" applyAlignment="1">
      <alignment horizontal="center" vertical="center"/>
    </xf>
    <xf numFmtId="1" fontId="1" fillId="0" borderId="0" xfId="3" applyNumberFormat="1" applyFont="1" applyFill="1" applyBorder="1" applyAlignment="1">
      <alignment horizontal="center" vertical="center"/>
    </xf>
    <xf numFmtId="1" fontId="5" fillId="0" borderId="0" xfId="3" applyNumberFormat="1" applyFont="1" applyFill="1" applyBorder="1" applyAlignment="1">
      <alignment horizontal="center" vertical="center"/>
    </xf>
    <xf numFmtId="0" fontId="5" fillId="0" borderId="0" xfId="4" applyFont="1" applyFill="1" applyBorder="1" applyAlignment="1">
      <alignment vertical="top" wrapText="1"/>
    </xf>
    <xf numFmtId="1" fontId="1" fillId="0" borderId="0" xfId="3" applyNumberFormat="1" applyFont="1" applyFill="1" applyBorder="1" applyAlignment="1">
      <alignment horizontal="right" vertical="top"/>
    </xf>
    <xf numFmtId="49" fontId="10" fillId="0" borderId="0" xfId="0" applyNumberFormat="1" applyFont="1" applyFill="1" applyBorder="1" applyAlignment="1">
      <alignment vertical="center"/>
    </xf>
    <xf numFmtId="49" fontId="5" fillId="0" borderId="0" xfId="0" applyNumberFormat="1" applyFont="1" applyFill="1" applyBorder="1" applyAlignment="1">
      <alignment horizontal="left" vertical="center" wrapText="1"/>
    </xf>
    <xf numFmtId="0" fontId="4" fillId="0" borderId="0" xfId="0" applyFont="1" applyFill="1" applyBorder="1" applyAlignment="1">
      <alignment vertical="top" wrapText="1"/>
    </xf>
    <xf numFmtId="0" fontId="4" fillId="0" borderId="0" xfId="0" applyFont="1" applyFill="1" applyBorder="1" applyAlignment="1">
      <alignment horizontal="left" vertical="center" wrapText="1"/>
    </xf>
    <xf numFmtId="0" fontId="4" fillId="0" borderId="0" xfId="0" applyFont="1" applyFill="1" applyBorder="1" applyAlignment="1">
      <alignment vertical="center" wrapText="1"/>
    </xf>
    <xf numFmtId="0" fontId="5" fillId="0" borderId="0" xfId="0" applyFont="1" applyFill="1" applyBorder="1" applyAlignment="1">
      <alignment horizontal="left" vertical="top" wrapText="1"/>
    </xf>
    <xf numFmtId="0" fontId="2" fillId="0" borderId="0" xfId="0" applyFont="1" applyFill="1" applyBorder="1" applyAlignment="1">
      <alignment horizontal="center" wrapText="1"/>
    </xf>
    <xf numFmtId="0" fontId="5" fillId="0" borderId="0" xfId="0" applyFont="1" applyFill="1" applyBorder="1" applyAlignment="1">
      <alignment horizontal="center"/>
    </xf>
    <xf numFmtId="0" fontId="5" fillId="0" borderId="0" xfId="0" applyFont="1" applyFill="1" applyBorder="1" applyAlignment="1">
      <alignment horizontal="center" vertical="center" wrapText="1"/>
    </xf>
    <xf numFmtId="0" fontId="1" fillId="0" borderId="0" xfId="0" applyFont="1" applyFill="1" applyBorder="1" applyAlignment="1">
      <alignment horizontal="center" vertical="center" wrapText="1"/>
    </xf>
    <xf numFmtId="0" fontId="1"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3" fillId="0" borderId="0" xfId="0" applyFont="1" applyFill="1" applyBorder="1" applyAlignment="1">
      <alignment horizontal="left" vertical="center" wrapText="1"/>
    </xf>
    <xf numFmtId="49" fontId="10" fillId="0" borderId="0" xfId="0" applyNumberFormat="1" applyFont="1" applyFill="1" applyBorder="1" applyAlignment="1">
      <alignment horizontal="left"/>
    </xf>
    <xf numFmtId="0" fontId="1" fillId="0" borderId="0" xfId="3" applyFont="1" applyFill="1" applyBorder="1" applyAlignment="1">
      <alignment horizontal="left" vertical="center" wrapText="1"/>
    </xf>
    <xf numFmtId="49" fontId="1" fillId="0" borderId="0" xfId="2" applyNumberFormat="1" applyFont="1" applyFill="1" applyBorder="1" applyAlignment="1">
      <alignment vertical="center" wrapText="1"/>
    </xf>
    <xf numFmtId="0" fontId="1" fillId="0" borderId="0" xfId="2" applyFont="1" applyFill="1" applyBorder="1" applyAlignment="1">
      <alignment vertical="center" wrapText="1"/>
    </xf>
    <xf numFmtId="0" fontId="5" fillId="0" borderId="0" xfId="0" applyFont="1" applyFill="1" applyBorder="1" applyAlignment="1">
      <alignment vertical="center" wrapText="1"/>
    </xf>
    <xf numFmtId="0" fontId="5" fillId="0" borderId="0" xfId="0" applyFont="1" applyFill="1" applyBorder="1" applyAlignment="1">
      <alignment horizontal="left" vertical="center" wrapText="1"/>
    </xf>
    <xf numFmtId="0" fontId="11" fillId="0" borderId="2" xfId="3" applyFont="1" applyBorder="1" applyAlignment="1" applyProtection="1">
      <alignment horizontal="left" vertical="top" wrapText="1"/>
    </xf>
  </cellXfs>
  <cellStyles count="5">
    <cellStyle name="Normal" xfId="0" builtinId="0"/>
    <cellStyle name="Normal 12" xfId="3"/>
    <cellStyle name="Normal 2" xfId="1"/>
    <cellStyle name="Normal 23" xfId="4"/>
    <cellStyle name="Normal 29" xfId="2"/>
  </cellStyles>
  <dxfs count="0"/>
  <tableStyles count="0" defaultTableStyle="TableStyleMedium9" defaultPivotStyle="PivotStyleLight16"/>
  <colors>
    <mruColors>
      <color rgb="FF0000FF"/>
      <color rgb="FFFFFF66"/>
      <color rgb="FFE8E8E8"/>
      <color rgb="FFFFFF99"/>
      <color rgb="FFCC99FF"/>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F585"/>
  <sheetViews>
    <sheetView tabSelected="1" zoomScale="75" zoomScaleNormal="75" zoomScaleSheetLayoutView="100" workbookViewId="0">
      <selection sqref="A1:E1"/>
    </sheetView>
  </sheetViews>
  <sheetFormatPr defaultColWidth="9.28515625" defaultRowHeight="12.75" x14ac:dyDescent="0.25"/>
  <cols>
    <col min="1" max="1" width="10.140625" style="25" customWidth="1"/>
    <col min="2" max="2" width="10.42578125" style="25" customWidth="1"/>
    <col min="3" max="3" width="10.140625" style="25" customWidth="1"/>
    <col min="4" max="4" width="40" style="23" customWidth="1"/>
    <col min="5" max="5" width="34.85546875" style="16" customWidth="1"/>
    <col min="6" max="6" width="57.28515625" style="38" customWidth="1"/>
    <col min="7" max="16384" width="9.28515625" style="4"/>
  </cols>
  <sheetData>
    <row r="1" spans="1:6" ht="20.25" x14ac:dyDescent="0.3">
      <c r="A1" s="76" t="s">
        <v>443</v>
      </c>
      <c r="B1" s="76"/>
      <c r="C1" s="76"/>
      <c r="D1" s="76"/>
      <c r="E1" s="76"/>
      <c r="F1" s="63" t="s">
        <v>444</v>
      </c>
    </row>
    <row r="2" spans="1:6" s="8" customFormat="1" ht="25.5" x14ac:dyDescent="0.2">
      <c r="A2" s="1" t="s">
        <v>304</v>
      </c>
      <c r="B2" s="1" t="s">
        <v>30</v>
      </c>
      <c r="C2" s="1" t="s">
        <v>31</v>
      </c>
      <c r="D2" s="24" t="s">
        <v>32</v>
      </c>
      <c r="E2" s="1" t="s">
        <v>33</v>
      </c>
      <c r="F2" s="2" t="s">
        <v>34</v>
      </c>
    </row>
    <row r="3" spans="1:6" s="8" customFormat="1" x14ac:dyDescent="0.2">
      <c r="A3" s="3">
        <v>1</v>
      </c>
      <c r="B3" s="3">
        <f>A3+C3-1</f>
        <v>4</v>
      </c>
      <c r="C3" s="3">
        <v>4</v>
      </c>
      <c r="D3" s="21" t="s">
        <v>26</v>
      </c>
      <c r="E3" s="1"/>
      <c r="F3" s="2"/>
    </row>
    <row r="4" spans="1:6" ht="38.25" x14ac:dyDescent="0.25">
      <c r="A4" s="3">
        <f>A3+C3</f>
        <v>5</v>
      </c>
      <c r="B4" s="3">
        <f>A4+C4-1</f>
        <v>6</v>
      </c>
      <c r="C4" s="3">
        <v>2</v>
      </c>
      <c r="D4" s="21" t="s">
        <v>25</v>
      </c>
      <c r="E4" s="36" t="s">
        <v>35</v>
      </c>
    </row>
    <row r="5" spans="1:6" x14ac:dyDescent="0.25">
      <c r="A5" s="3"/>
      <c r="B5" s="3"/>
      <c r="C5" s="3"/>
      <c r="D5" s="22" t="s">
        <v>36</v>
      </c>
      <c r="E5" s="36"/>
    </row>
    <row r="6" spans="1:6" ht="43.5" customHeight="1" x14ac:dyDescent="0.25">
      <c r="A6" s="3">
        <f>A4+C4</f>
        <v>7</v>
      </c>
      <c r="B6" s="3">
        <f t="shared" ref="B6:B14" si="0">A6+C6-1</f>
        <v>9</v>
      </c>
      <c r="C6" s="3">
        <v>3</v>
      </c>
      <c r="D6" s="21" t="s">
        <v>0</v>
      </c>
      <c r="E6" s="36"/>
      <c r="F6" s="78" t="s">
        <v>75</v>
      </c>
    </row>
    <row r="7" spans="1:6" ht="43.5" customHeight="1" x14ac:dyDescent="0.25">
      <c r="A7" s="3">
        <f t="shared" ref="A7:A14" si="1">A6+C6</f>
        <v>10</v>
      </c>
      <c r="B7" s="3">
        <f t="shared" si="0"/>
        <v>12</v>
      </c>
      <c r="C7" s="3">
        <v>3</v>
      </c>
      <c r="D7" s="21" t="s">
        <v>1</v>
      </c>
      <c r="E7" s="36"/>
      <c r="F7" s="79"/>
    </row>
    <row r="8" spans="1:6" x14ac:dyDescent="0.25">
      <c r="A8" s="3">
        <f t="shared" si="1"/>
        <v>13</v>
      </c>
      <c r="B8" s="3">
        <f t="shared" si="0"/>
        <v>52</v>
      </c>
      <c r="C8" s="3">
        <v>40</v>
      </c>
      <c r="D8" s="21" t="s">
        <v>2</v>
      </c>
      <c r="E8" s="36"/>
    </row>
    <row r="9" spans="1:6" x14ac:dyDescent="0.25">
      <c r="A9" s="3">
        <f t="shared" si="1"/>
        <v>53</v>
      </c>
      <c r="B9" s="3">
        <f t="shared" si="0"/>
        <v>92</v>
      </c>
      <c r="C9" s="3">
        <v>40</v>
      </c>
      <c r="D9" s="21" t="s">
        <v>3</v>
      </c>
      <c r="E9" s="36"/>
    </row>
    <row r="10" spans="1:6" ht="51" x14ac:dyDescent="0.25">
      <c r="A10" s="3">
        <f t="shared" si="1"/>
        <v>93</v>
      </c>
      <c r="B10" s="3">
        <f t="shared" si="0"/>
        <v>98</v>
      </c>
      <c r="C10" s="3">
        <v>6</v>
      </c>
      <c r="D10" s="21" t="s">
        <v>222</v>
      </c>
      <c r="E10" s="33" t="s">
        <v>61</v>
      </c>
      <c r="F10" s="38" t="s">
        <v>202</v>
      </c>
    </row>
    <row r="11" spans="1:6" ht="199.5" customHeight="1" x14ac:dyDescent="0.25">
      <c r="A11" s="3">
        <f t="shared" si="1"/>
        <v>99</v>
      </c>
      <c r="B11" s="3">
        <f t="shared" si="0"/>
        <v>100</v>
      </c>
      <c r="C11" s="3">
        <v>2</v>
      </c>
      <c r="D11" s="21" t="s">
        <v>4</v>
      </c>
      <c r="E11" s="41" t="s">
        <v>76</v>
      </c>
      <c r="F11" s="41" t="s">
        <v>165</v>
      </c>
    </row>
    <row r="12" spans="1:6" ht="95.25" customHeight="1" x14ac:dyDescent="0.25">
      <c r="A12" s="3">
        <f t="shared" si="1"/>
        <v>101</v>
      </c>
      <c r="B12" s="3">
        <f t="shared" si="0"/>
        <v>101</v>
      </c>
      <c r="C12" s="3">
        <v>1</v>
      </c>
      <c r="D12" s="21" t="s">
        <v>5</v>
      </c>
      <c r="E12" s="36" t="s">
        <v>37</v>
      </c>
      <c r="F12" s="41" t="s">
        <v>169</v>
      </c>
    </row>
    <row r="13" spans="1:6" ht="38.25" x14ac:dyDescent="0.25">
      <c r="A13" s="6">
        <f t="shared" si="1"/>
        <v>102</v>
      </c>
      <c r="B13" s="30">
        <f t="shared" si="0"/>
        <v>102</v>
      </c>
      <c r="C13" s="43">
        <v>1</v>
      </c>
      <c r="D13" s="31" t="s">
        <v>250</v>
      </c>
      <c r="E13" s="40" t="s">
        <v>87</v>
      </c>
      <c r="F13" s="40" t="s">
        <v>251</v>
      </c>
    </row>
    <row r="14" spans="1:6" x14ac:dyDescent="0.25">
      <c r="A14" s="3">
        <f t="shared" si="1"/>
        <v>103</v>
      </c>
      <c r="B14" s="3">
        <f t="shared" si="0"/>
        <v>117</v>
      </c>
      <c r="C14" s="3">
        <v>15</v>
      </c>
      <c r="D14" s="21" t="s">
        <v>39</v>
      </c>
      <c r="E14" s="36"/>
    </row>
    <row r="15" spans="1:6" x14ac:dyDescent="0.25">
      <c r="A15" s="3"/>
      <c r="B15" s="3"/>
      <c r="C15" s="7"/>
      <c r="D15" s="22" t="s">
        <v>40</v>
      </c>
      <c r="E15" s="14"/>
    </row>
    <row r="16" spans="1:6" ht="55.5" customHeight="1" x14ac:dyDescent="0.25">
      <c r="A16" s="3">
        <f>A14+C14</f>
        <v>118</v>
      </c>
      <c r="B16" s="3">
        <f t="shared" ref="B16:B50" si="2">A16+C16-1</f>
        <v>137</v>
      </c>
      <c r="C16" s="3">
        <v>20</v>
      </c>
      <c r="D16" s="21" t="s">
        <v>77</v>
      </c>
      <c r="E16" s="36" t="s">
        <v>167</v>
      </c>
      <c r="F16" s="73" t="s">
        <v>41</v>
      </c>
    </row>
    <row r="17" spans="1:6" ht="56.25" customHeight="1" x14ac:dyDescent="0.25">
      <c r="A17" s="3">
        <f t="shared" ref="A17:A50" si="3">A16+C16</f>
        <v>138</v>
      </c>
      <c r="B17" s="3">
        <f t="shared" si="2"/>
        <v>152</v>
      </c>
      <c r="C17" s="3">
        <v>15</v>
      </c>
      <c r="D17" s="21" t="s">
        <v>78</v>
      </c>
      <c r="E17" s="36" t="s">
        <v>167</v>
      </c>
      <c r="F17" s="73"/>
    </row>
    <row r="18" spans="1:6" ht="56.25" customHeight="1" x14ac:dyDescent="0.25">
      <c r="A18" s="3">
        <f t="shared" si="3"/>
        <v>153</v>
      </c>
      <c r="B18" s="3">
        <f t="shared" si="2"/>
        <v>153</v>
      </c>
      <c r="C18" s="3">
        <v>1</v>
      </c>
      <c r="D18" s="21" t="s">
        <v>79</v>
      </c>
      <c r="E18" s="36" t="s">
        <v>168</v>
      </c>
      <c r="F18" s="73"/>
    </row>
    <row r="19" spans="1:6" x14ac:dyDescent="0.25">
      <c r="A19" s="3">
        <f t="shared" si="3"/>
        <v>154</v>
      </c>
      <c r="B19" s="3">
        <f t="shared" si="2"/>
        <v>163</v>
      </c>
      <c r="C19" s="3">
        <v>10</v>
      </c>
      <c r="D19" s="9" t="s">
        <v>42</v>
      </c>
      <c r="E19" s="44" t="s">
        <v>166</v>
      </c>
      <c r="F19" s="38" t="s">
        <v>43</v>
      </c>
    </row>
    <row r="20" spans="1:6" x14ac:dyDescent="0.25">
      <c r="A20" s="3">
        <f t="shared" si="3"/>
        <v>164</v>
      </c>
      <c r="B20" s="3">
        <f t="shared" si="2"/>
        <v>169</v>
      </c>
      <c r="C20" s="3">
        <v>6</v>
      </c>
      <c r="D20" s="21" t="s">
        <v>39</v>
      </c>
      <c r="E20" s="41" t="s">
        <v>318</v>
      </c>
      <c r="F20" s="38" t="s">
        <v>318</v>
      </c>
    </row>
    <row r="21" spans="1:6" ht="61.5" customHeight="1" x14ac:dyDescent="0.25">
      <c r="A21" s="3">
        <f t="shared" si="3"/>
        <v>170</v>
      </c>
      <c r="B21" s="3">
        <f t="shared" si="2"/>
        <v>171</v>
      </c>
      <c r="C21" s="3">
        <v>2</v>
      </c>
      <c r="D21" s="13" t="s">
        <v>81</v>
      </c>
      <c r="E21" s="10" t="s">
        <v>44</v>
      </c>
      <c r="F21" s="77" t="s">
        <v>46</v>
      </c>
    </row>
    <row r="22" spans="1:6" ht="60" customHeight="1" x14ac:dyDescent="0.25">
      <c r="A22" s="3">
        <f t="shared" si="3"/>
        <v>172</v>
      </c>
      <c r="B22" s="3">
        <f t="shared" si="2"/>
        <v>173</v>
      </c>
      <c r="C22" s="3">
        <v>2</v>
      </c>
      <c r="D22" s="13" t="s">
        <v>80</v>
      </c>
      <c r="E22" s="10" t="s">
        <v>45</v>
      </c>
      <c r="F22" s="77"/>
    </row>
    <row r="23" spans="1:6" ht="60" customHeight="1" x14ac:dyDescent="0.25">
      <c r="A23" s="3">
        <f t="shared" si="3"/>
        <v>174</v>
      </c>
      <c r="B23" s="3">
        <f t="shared" si="2"/>
        <v>177</v>
      </c>
      <c r="C23" s="3">
        <v>4</v>
      </c>
      <c r="D23" s="21" t="s">
        <v>82</v>
      </c>
      <c r="E23" s="10" t="s">
        <v>47</v>
      </c>
      <c r="F23" s="77"/>
    </row>
    <row r="24" spans="1:6" ht="108" customHeight="1" x14ac:dyDescent="0.25">
      <c r="A24" s="3">
        <f t="shared" si="3"/>
        <v>178</v>
      </c>
      <c r="B24" s="3">
        <f t="shared" si="2"/>
        <v>179</v>
      </c>
      <c r="C24" s="3">
        <v>2</v>
      </c>
      <c r="D24" s="21" t="s">
        <v>83</v>
      </c>
      <c r="E24" s="36" t="s">
        <v>74</v>
      </c>
      <c r="F24" s="38" t="s">
        <v>205</v>
      </c>
    </row>
    <row r="25" spans="1:6" x14ac:dyDescent="0.25">
      <c r="A25" s="3">
        <f t="shared" si="3"/>
        <v>180</v>
      </c>
      <c r="B25" s="3">
        <f t="shared" si="2"/>
        <v>191</v>
      </c>
      <c r="C25" s="3">
        <v>12</v>
      </c>
      <c r="D25" s="21" t="s">
        <v>39</v>
      </c>
      <c r="E25" s="36"/>
    </row>
    <row r="26" spans="1:6" ht="51" x14ac:dyDescent="0.25">
      <c r="A26" s="3">
        <f t="shared" si="3"/>
        <v>192</v>
      </c>
      <c r="B26" s="3">
        <f t="shared" si="2"/>
        <v>192</v>
      </c>
      <c r="C26" s="3">
        <v>1</v>
      </c>
      <c r="D26" s="21" t="s">
        <v>223</v>
      </c>
      <c r="E26" s="11" t="s">
        <v>171</v>
      </c>
      <c r="F26" s="38" t="s">
        <v>172</v>
      </c>
    </row>
    <row r="27" spans="1:6" ht="38.25" x14ac:dyDescent="0.25">
      <c r="A27" s="3">
        <f t="shared" si="3"/>
        <v>193</v>
      </c>
      <c r="B27" s="3">
        <f t="shared" si="2"/>
        <v>193</v>
      </c>
      <c r="C27" s="3">
        <v>1</v>
      </c>
      <c r="D27" s="21" t="s">
        <v>29</v>
      </c>
      <c r="E27" s="12" t="s">
        <v>203</v>
      </c>
      <c r="F27" s="38" t="s">
        <v>170</v>
      </c>
    </row>
    <row r="28" spans="1:6" ht="51" x14ac:dyDescent="0.25">
      <c r="A28" s="3">
        <f t="shared" si="3"/>
        <v>194</v>
      </c>
      <c r="B28" s="3">
        <f t="shared" si="2"/>
        <v>194</v>
      </c>
      <c r="C28" s="3">
        <v>1</v>
      </c>
      <c r="D28" s="13" t="s">
        <v>224</v>
      </c>
      <c r="E28" s="12" t="s">
        <v>204</v>
      </c>
      <c r="F28" s="38" t="s">
        <v>172</v>
      </c>
    </row>
    <row r="29" spans="1:6" ht="38.25" x14ac:dyDescent="0.25">
      <c r="A29" s="3">
        <f t="shared" si="3"/>
        <v>195</v>
      </c>
      <c r="B29" s="3">
        <f t="shared" si="2"/>
        <v>195</v>
      </c>
      <c r="C29" s="3">
        <v>1</v>
      </c>
      <c r="D29" s="13" t="s">
        <v>225</v>
      </c>
      <c r="E29" s="12" t="s">
        <v>48</v>
      </c>
      <c r="F29" s="38" t="s">
        <v>105</v>
      </c>
    </row>
    <row r="30" spans="1:6" x14ac:dyDescent="0.25">
      <c r="A30" s="3">
        <f t="shared" si="3"/>
        <v>196</v>
      </c>
      <c r="B30" s="3">
        <f t="shared" si="2"/>
        <v>196</v>
      </c>
      <c r="C30" s="3">
        <v>1</v>
      </c>
      <c r="D30" s="21" t="s">
        <v>39</v>
      </c>
      <c r="E30" s="12" t="s">
        <v>318</v>
      </c>
      <c r="F30" s="38" t="s">
        <v>318</v>
      </c>
    </row>
    <row r="31" spans="1:6" ht="25.5" x14ac:dyDescent="0.25">
      <c r="A31" s="3">
        <f t="shared" si="3"/>
        <v>197</v>
      </c>
      <c r="B31" s="3">
        <f t="shared" si="2"/>
        <v>198</v>
      </c>
      <c r="C31" s="3">
        <v>2</v>
      </c>
      <c r="D31" s="13" t="s">
        <v>226</v>
      </c>
      <c r="E31" s="36" t="s">
        <v>49</v>
      </c>
      <c r="F31" s="38" t="s">
        <v>105</v>
      </c>
    </row>
    <row r="32" spans="1:6" x14ac:dyDescent="0.25">
      <c r="A32" s="3">
        <f t="shared" si="3"/>
        <v>199</v>
      </c>
      <c r="B32" s="3">
        <f t="shared" si="2"/>
        <v>200</v>
      </c>
      <c r="C32" s="3">
        <v>2</v>
      </c>
      <c r="D32" s="21" t="s">
        <v>39</v>
      </c>
      <c r="E32" s="36" t="s">
        <v>318</v>
      </c>
      <c r="F32" s="38" t="s">
        <v>318</v>
      </c>
    </row>
    <row r="33" spans="1:6" ht="25.5" x14ac:dyDescent="0.25">
      <c r="A33" s="3">
        <f t="shared" si="3"/>
        <v>201</v>
      </c>
      <c r="B33" s="3">
        <f t="shared" si="2"/>
        <v>201</v>
      </c>
      <c r="C33" s="3">
        <v>1</v>
      </c>
      <c r="D33" s="13" t="s">
        <v>227</v>
      </c>
      <c r="E33" s="12" t="s">
        <v>50</v>
      </c>
      <c r="F33" s="38" t="s">
        <v>105</v>
      </c>
    </row>
    <row r="34" spans="1:6" x14ac:dyDescent="0.25">
      <c r="A34" s="3">
        <f t="shared" si="3"/>
        <v>202</v>
      </c>
      <c r="B34" s="3">
        <f t="shared" si="2"/>
        <v>202</v>
      </c>
      <c r="C34" s="3">
        <v>1</v>
      </c>
      <c r="D34" s="13" t="s">
        <v>39</v>
      </c>
      <c r="E34" s="12" t="s">
        <v>318</v>
      </c>
      <c r="F34" s="38" t="s">
        <v>318</v>
      </c>
    </row>
    <row r="35" spans="1:6" ht="320.45" customHeight="1" x14ac:dyDescent="0.25">
      <c r="A35" s="3">
        <f t="shared" si="3"/>
        <v>203</v>
      </c>
      <c r="B35" s="3">
        <f t="shared" si="2"/>
        <v>204</v>
      </c>
      <c r="C35" s="3">
        <v>2</v>
      </c>
      <c r="D35" s="13" t="s">
        <v>228</v>
      </c>
      <c r="E35" s="36" t="s">
        <v>51</v>
      </c>
      <c r="F35" s="38" t="s">
        <v>105</v>
      </c>
    </row>
    <row r="36" spans="1:6" ht="21" customHeight="1" x14ac:dyDescent="0.25">
      <c r="A36" s="3">
        <f t="shared" si="3"/>
        <v>205</v>
      </c>
      <c r="B36" s="3">
        <f t="shared" si="2"/>
        <v>206</v>
      </c>
      <c r="C36" s="3">
        <v>2</v>
      </c>
      <c r="D36" s="21" t="s">
        <v>39</v>
      </c>
      <c r="E36" s="36"/>
      <c r="F36" s="38" t="s">
        <v>318</v>
      </c>
    </row>
    <row r="37" spans="1:6" ht="25.5" x14ac:dyDescent="0.25">
      <c r="A37" s="3">
        <f t="shared" si="3"/>
        <v>207</v>
      </c>
      <c r="B37" s="3">
        <f t="shared" si="2"/>
        <v>207</v>
      </c>
      <c r="C37" s="3">
        <v>1</v>
      </c>
      <c r="D37" s="21" t="s">
        <v>6</v>
      </c>
      <c r="E37" s="12" t="s">
        <v>52</v>
      </c>
      <c r="F37" s="77" t="s">
        <v>172</v>
      </c>
    </row>
    <row r="38" spans="1:6" ht="38.25" x14ac:dyDescent="0.25">
      <c r="A38" s="3">
        <f t="shared" si="3"/>
        <v>208</v>
      </c>
      <c r="B38" s="3">
        <f t="shared" si="2"/>
        <v>208</v>
      </c>
      <c r="C38" s="3">
        <v>1</v>
      </c>
      <c r="D38" s="21" t="s">
        <v>27</v>
      </c>
      <c r="E38" s="12" t="s">
        <v>53</v>
      </c>
      <c r="F38" s="77"/>
    </row>
    <row r="39" spans="1:6" ht="25.5" x14ac:dyDescent="0.25">
      <c r="A39" s="3">
        <f t="shared" si="3"/>
        <v>209</v>
      </c>
      <c r="B39" s="3">
        <f t="shared" si="2"/>
        <v>209</v>
      </c>
      <c r="C39" s="3">
        <v>1</v>
      </c>
      <c r="D39" s="21" t="s">
        <v>7</v>
      </c>
      <c r="E39" s="12" t="s">
        <v>54</v>
      </c>
      <c r="F39" s="77"/>
    </row>
    <row r="40" spans="1:6" ht="25.5" x14ac:dyDescent="0.25">
      <c r="A40" s="3">
        <f t="shared" si="3"/>
        <v>210</v>
      </c>
      <c r="B40" s="3">
        <f t="shared" si="2"/>
        <v>210</v>
      </c>
      <c r="C40" s="3">
        <v>1</v>
      </c>
      <c r="D40" s="21" t="s">
        <v>8</v>
      </c>
      <c r="E40" s="12" t="s">
        <v>55</v>
      </c>
      <c r="F40" s="77"/>
    </row>
    <row r="41" spans="1:6" ht="51" x14ac:dyDescent="0.25">
      <c r="A41" s="3">
        <f t="shared" si="3"/>
        <v>211</v>
      </c>
      <c r="B41" s="3">
        <f t="shared" si="2"/>
        <v>211</v>
      </c>
      <c r="C41" s="3">
        <v>1</v>
      </c>
      <c r="D41" s="21" t="s">
        <v>9</v>
      </c>
      <c r="E41" s="12" t="s">
        <v>57</v>
      </c>
      <c r="F41" s="77"/>
    </row>
    <row r="42" spans="1:6" ht="25.5" x14ac:dyDescent="0.25">
      <c r="A42" s="3">
        <f t="shared" si="3"/>
        <v>212</v>
      </c>
      <c r="B42" s="3">
        <f t="shared" si="2"/>
        <v>212</v>
      </c>
      <c r="C42" s="3">
        <v>1</v>
      </c>
      <c r="D42" s="21" t="s">
        <v>10</v>
      </c>
      <c r="E42" s="12" t="s">
        <v>56</v>
      </c>
      <c r="F42" s="77"/>
    </row>
    <row r="43" spans="1:6" ht="102" x14ac:dyDescent="0.25">
      <c r="A43" s="3">
        <f t="shared" si="3"/>
        <v>213</v>
      </c>
      <c r="B43" s="3">
        <f t="shared" si="2"/>
        <v>213</v>
      </c>
      <c r="C43" s="3">
        <v>1</v>
      </c>
      <c r="D43" s="13" t="s">
        <v>210</v>
      </c>
      <c r="E43" s="38" t="s">
        <v>59</v>
      </c>
      <c r="F43" s="38" t="s">
        <v>60</v>
      </c>
    </row>
    <row r="44" spans="1:6" ht="51" x14ac:dyDescent="0.25">
      <c r="A44" s="3">
        <f t="shared" si="3"/>
        <v>214</v>
      </c>
      <c r="B44" s="3">
        <f t="shared" si="2"/>
        <v>214</v>
      </c>
      <c r="C44" s="3">
        <v>1</v>
      </c>
      <c r="D44" s="13" t="s">
        <v>229</v>
      </c>
      <c r="E44" s="12" t="s">
        <v>58</v>
      </c>
      <c r="F44" s="38" t="s">
        <v>172</v>
      </c>
    </row>
    <row r="45" spans="1:6" ht="38.25" x14ac:dyDescent="0.25">
      <c r="A45" s="3">
        <f t="shared" si="3"/>
        <v>215</v>
      </c>
      <c r="B45" s="3">
        <f t="shared" si="2"/>
        <v>215</v>
      </c>
      <c r="C45" s="3">
        <v>1</v>
      </c>
      <c r="D45" s="21" t="s">
        <v>22</v>
      </c>
      <c r="E45" s="36" t="s">
        <v>173</v>
      </c>
      <c r="F45" s="38" t="s">
        <v>174</v>
      </c>
    </row>
    <row r="46" spans="1:6" ht="25.5" x14ac:dyDescent="0.25">
      <c r="A46" s="3">
        <f t="shared" si="3"/>
        <v>216</v>
      </c>
      <c r="B46" s="3">
        <f t="shared" si="2"/>
        <v>216</v>
      </c>
      <c r="C46" s="3">
        <v>1</v>
      </c>
      <c r="D46" s="13" t="s">
        <v>28</v>
      </c>
      <c r="E46" s="15" t="s">
        <v>175</v>
      </c>
      <c r="F46" s="38" t="s">
        <v>206</v>
      </c>
    </row>
    <row r="47" spans="1:6" ht="38.25" x14ac:dyDescent="0.25">
      <c r="A47" s="3">
        <f t="shared" si="3"/>
        <v>217</v>
      </c>
      <c r="B47" s="3">
        <f t="shared" si="2"/>
        <v>222</v>
      </c>
      <c r="C47" s="3">
        <v>6</v>
      </c>
      <c r="D47" s="13" t="s">
        <v>110</v>
      </c>
      <c r="E47" s="15" t="s">
        <v>86</v>
      </c>
      <c r="F47" s="38" t="s">
        <v>176</v>
      </c>
    </row>
    <row r="48" spans="1:6" ht="51" x14ac:dyDescent="0.25">
      <c r="A48" s="3">
        <f t="shared" si="3"/>
        <v>223</v>
      </c>
      <c r="B48" s="3">
        <f t="shared" si="2"/>
        <v>223</v>
      </c>
      <c r="C48" s="3">
        <v>1</v>
      </c>
      <c r="D48" s="9" t="s">
        <v>305</v>
      </c>
      <c r="E48" s="64" t="s">
        <v>445</v>
      </c>
      <c r="F48" s="33" t="s">
        <v>417</v>
      </c>
    </row>
    <row r="49" spans="1:6" ht="63.75" x14ac:dyDescent="0.25">
      <c r="A49" s="3">
        <f t="shared" si="3"/>
        <v>224</v>
      </c>
      <c r="B49" s="3">
        <f t="shared" si="2"/>
        <v>224</v>
      </c>
      <c r="C49" s="3">
        <v>1</v>
      </c>
      <c r="D49" s="9" t="s">
        <v>306</v>
      </c>
      <c r="E49" s="64" t="s">
        <v>446</v>
      </c>
      <c r="F49" s="33" t="s">
        <v>416</v>
      </c>
    </row>
    <row r="50" spans="1:6" x14ac:dyDescent="0.25">
      <c r="A50" s="3">
        <f t="shared" si="3"/>
        <v>225</v>
      </c>
      <c r="B50" s="3">
        <f t="shared" si="2"/>
        <v>233</v>
      </c>
      <c r="C50" s="5">
        <v>9</v>
      </c>
      <c r="D50" s="9" t="s">
        <v>39</v>
      </c>
      <c r="E50" s="39"/>
      <c r="F50" s="33"/>
    </row>
    <row r="51" spans="1:6" x14ac:dyDescent="0.25">
      <c r="A51" s="3"/>
      <c r="B51" s="3"/>
      <c r="C51" s="7"/>
      <c r="D51" s="65" t="s">
        <v>113</v>
      </c>
      <c r="E51" s="66"/>
      <c r="F51" s="67"/>
    </row>
    <row r="52" spans="1:6" ht="25.5" x14ac:dyDescent="0.25">
      <c r="A52" s="3">
        <f>A50+C50</f>
        <v>234</v>
      </c>
      <c r="B52" s="3">
        <f t="shared" ref="B52:B65" si="4">A52+C52-1</f>
        <v>234</v>
      </c>
      <c r="C52" s="3">
        <v>1</v>
      </c>
      <c r="D52" s="9" t="s">
        <v>24</v>
      </c>
      <c r="E52" s="39" t="s">
        <v>38</v>
      </c>
      <c r="F52" s="33"/>
    </row>
    <row r="53" spans="1:6" ht="178.5" x14ac:dyDescent="0.25">
      <c r="A53" s="3">
        <f t="shared" ref="A53:A65" si="5">A52+C52</f>
        <v>235</v>
      </c>
      <c r="B53" s="3">
        <f t="shared" si="4"/>
        <v>242</v>
      </c>
      <c r="C53" s="6">
        <v>8</v>
      </c>
      <c r="D53" s="9" t="s">
        <v>11</v>
      </c>
      <c r="E53" s="39" t="s">
        <v>447</v>
      </c>
      <c r="F53" s="33" t="s">
        <v>429</v>
      </c>
    </row>
    <row r="54" spans="1:6" x14ac:dyDescent="0.25">
      <c r="A54" s="3">
        <f t="shared" si="5"/>
        <v>243</v>
      </c>
      <c r="B54" s="3">
        <f t="shared" si="4"/>
        <v>250</v>
      </c>
      <c r="C54" s="5">
        <v>8</v>
      </c>
      <c r="D54" s="21" t="s">
        <v>39</v>
      </c>
      <c r="E54" s="37" t="s">
        <v>318</v>
      </c>
      <c r="F54" s="38" t="s">
        <v>318</v>
      </c>
    </row>
    <row r="55" spans="1:6" ht="17.25" customHeight="1" x14ac:dyDescent="0.25">
      <c r="A55" s="3">
        <f t="shared" si="5"/>
        <v>251</v>
      </c>
      <c r="B55" s="3">
        <f t="shared" si="4"/>
        <v>270</v>
      </c>
      <c r="C55" s="3">
        <v>20</v>
      </c>
      <c r="D55" s="21" t="s">
        <v>12</v>
      </c>
      <c r="E55" s="75" t="s">
        <v>177</v>
      </c>
      <c r="F55" s="74" t="s">
        <v>230</v>
      </c>
    </row>
    <row r="56" spans="1:6" ht="19.5" customHeight="1" x14ac:dyDescent="0.25">
      <c r="A56" s="3">
        <f t="shared" si="5"/>
        <v>271</v>
      </c>
      <c r="B56" s="3">
        <f t="shared" si="4"/>
        <v>285</v>
      </c>
      <c r="C56" s="3">
        <v>15</v>
      </c>
      <c r="D56" s="21" t="s">
        <v>13</v>
      </c>
      <c r="E56" s="75"/>
      <c r="F56" s="74"/>
    </row>
    <row r="57" spans="1:6" ht="20.25" customHeight="1" x14ac:dyDescent="0.25">
      <c r="A57" s="3">
        <f t="shared" si="5"/>
        <v>286</v>
      </c>
      <c r="B57" s="3">
        <f t="shared" si="4"/>
        <v>286</v>
      </c>
      <c r="C57" s="3">
        <v>1</v>
      </c>
      <c r="D57" s="21" t="s">
        <v>186</v>
      </c>
      <c r="E57" s="75"/>
      <c r="F57" s="74"/>
    </row>
    <row r="58" spans="1:6" ht="13.15" customHeight="1" x14ac:dyDescent="0.25">
      <c r="A58" s="3">
        <f t="shared" si="5"/>
        <v>287</v>
      </c>
      <c r="B58" s="3">
        <f t="shared" si="4"/>
        <v>330</v>
      </c>
      <c r="C58" s="3">
        <v>44</v>
      </c>
      <c r="D58" s="21" t="s">
        <v>39</v>
      </c>
      <c r="E58" s="41" t="s">
        <v>318</v>
      </c>
      <c r="F58" s="37" t="s">
        <v>318</v>
      </c>
    </row>
    <row r="59" spans="1:6" ht="89.25" x14ac:dyDescent="0.25">
      <c r="A59" s="3">
        <f t="shared" si="5"/>
        <v>331</v>
      </c>
      <c r="B59" s="3">
        <f t="shared" si="4"/>
        <v>336</v>
      </c>
      <c r="C59" s="3">
        <v>6</v>
      </c>
      <c r="D59" s="21" t="s">
        <v>111</v>
      </c>
      <c r="E59" s="37" t="s">
        <v>347</v>
      </c>
      <c r="F59" s="38" t="s">
        <v>231</v>
      </c>
    </row>
    <row r="60" spans="1:6" ht="93.75" customHeight="1" x14ac:dyDescent="0.25">
      <c r="A60" s="3">
        <f t="shared" si="5"/>
        <v>337</v>
      </c>
      <c r="B60" s="3">
        <f t="shared" si="4"/>
        <v>366</v>
      </c>
      <c r="C60" s="3">
        <v>30</v>
      </c>
      <c r="D60" s="21" t="s">
        <v>14</v>
      </c>
      <c r="E60" s="39" t="s">
        <v>449</v>
      </c>
      <c r="F60" s="33" t="s">
        <v>448</v>
      </c>
    </row>
    <row r="61" spans="1:6" ht="51" x14ac:dyDescent="0.25">
      <c r="A61" s="3">
        <f t="shared" si="5"/>
        <v>367</v>
      </c>
      <c r="B61" s="3">
        <f t="shared" si="4"/>
        <v>386</v>
      </c>
      <c r="C61" s="3">
        <v>20</v>
      </c>
      <c r="D61" s="21" t="s">
        <v>84</v>
      </c>
      <c r="E61" s="36" t="s">
        <v>221</v>
      </c>
      <c r="F61" s="38" t="s">
        <v>230</v>
      </c>
    </row>
    <row r="62" spans="1:6" ht="38.25" x14ac:dyDescent="0.25">
      <c r="A62" s="3">
        <f t="shared" si="5"/>
        <v>387</v>
      </c>
      <c r="B62" s="3">
        <f t="shared" si="4"/>
        <v>392</v>
      </c>
      <c r="C62" s="3">
        <v>6</v>
      </c>
      <c r="D62" s="21" t="s">
        <v>85</v>
      </c>
      <c r="E62" s="36" t="s">
        <v>86</v>
      </c>
      <c r="F62" s="38" t="s">
        <v>211</v>
      </c>
    </row>
    <row r="63" spans="1:6" ht="25.5" x14ac:dyDescent="0.25">
      <c r="A63" s="3">
        <f t="shared" si="5"/>
        <v>393</v>
      </c>
      <c r="B63" s="3">
        <f t="shared" si="4"/>
        <v>393</v>
      </c>
      <c r="C63" s="3">
        <v>1</v>
      </c>
      <c r="D63" s="21" t="s">
        <v>207</v>
      </c>
      <c r="E63" s="36" t="s">
        <v>209</v>
      </c>
      <c r="F63" s="38" t="s">
        <v>208</v>
      </c>
    </row>
    <row r="64" spans="1:6" ht="25.5" x14ac:dyDescent="0.25">
      <c r="A64" s="3">
        <f t="shared" si="5"/>
        <v>394</v>
      </c>
      <c r="B64" s="3">
        <f t="shared" si="4"/>
        <v>394</v>
      </c>
      <c r="C64" s="3">
        <v>1</v>
      </c>
      <c r="D64" s="21" t="s">
        <v>216</v>
      </c>
      <c r="E64" s="36" t="s">
        <v>215</v>
      </c>
      <c r="F64" s="38" t="s">
        <v>238</v>
      </c>
    </row>
    <row r="65" spans="1:6" x14ac:dyDescent="0.25">
      <c r="A65" s="3">
        <f t="shared" si="5"/>
        <v>395</v>
      </c>
      <c r="B65" s="3">
        <f t="shared" si="4"/>
        <v>431</v>
      </c>
      <c r="C65" s="5">
        <v>37</v>
      </c>
      <c r="D65" s="21" t="s">
        <v>39</v>
      </c>
      <c r="E65" s="36"/>
    </row>
    <row r="66" spans="1:6" x14ac:dyDescent="0.25">
      <c r="A66" s="3"/>
      <c r="B66" s="3"/>
      <c r="C66" s="3"/>
      <c r="D66" s="22" t="s">
        <v>232</v>
      </c>
      <c r="E66" s="36"/>
    </row>
    <row r="67" spans="1:6" ht="12.75" customHeight="1" x14ac:dyDescent="0.25">
      <c r="A67" s="3">
        <f>A65+C65</f>
        <v>432</v>
      </c>
      <c r="B67" s="3">
        <f t="shared" ref="B67:B83" si="6">A67+C67-1</f>
        <v>432</v>
      </c>
      <c r="C67" s="6">
        <v>1</v>
      </c>
      <c r="D67" s="9" t="s">
        <v>94</v>
      </c>
      <c r="E67" s="71" t="s">
        <v>87</v>
      </c>
      <c r="F67" s="73" t="s">
        <v>257</v>
      </c>
    </row>
    <row r="68" spans="1:6" x14ac:dyDescent="0.25">
      <c r="A68" s="3">
        <f t="shared" ref="A68:A83" si="7">A67+C67</f>
        <v>433</v>
      </c>
      <c r="B68" s="3">
        <f t="shared" si="6"/>
        <v>433</v>
      </c>
      <c r="C68" s="6">
        <v>1</v>
      </c>
      <c r="D68" s="9" t="s">
        <v>95</v>
      </c>
      <c r="E68" s="71"/>
      <c r="F68" s="73"/>
    </row>
    <row r="69" spans="1:6" x14ac:dyDescent="0.25">
      <c r="A69" s="3">
        <f t="shared" si="7"/>
        <v>434</v>
      </c>
      <c r="B69" s="3">
        <f t="shared" si="6"/>
        <v>434</v>
      </c>
      <c r="C69" s="6">
        <v>1</v>
      </c>
      <c r="D69" s="9" t="s">
        <v>39</v>
      </c>
      <c r="E69" s="71"/>
      <c r="F69" s="73"/>
    </row>
    <row r="70" spans="1:6" x14ac:dyDescent="0.25">
      <c r="A70" s="3">
        <f t="shared" si="7"/>
        <v>435</v>
      </c>
      <c r="B70" s="3">
        <f t="shared" si="6"/>
        <v>435</v>
      </c>
      <c r="C70" s="6">
        <v>1</v>
      </c>
      <c r="D70" s="9" t="s">
        <v>96</v>
      </c>
      <c r="E70" s="71"/>
      <c r="F70" s="73"/>
    </row>
    <row r="71" spans="1:6" x14ac:dyDescent="0.25">
      <c r="A71" s="3">
        <f t="shared" si="7"/>
        <v>436</v>
      </c>
      <c r="B71" s="3">
        <f t="shared" si="6"/>
        <v>436</v>
      </c>
      <c r="C71" s="6">
        <v>1</v>
      </c>
      <c r="D71" s="9" t="s">
        <v>97</v>
      </c>
      <c r="E71" s="71"/>
      <c r="F71" s="73"/>
    </row>
    <row r="72" spans="1:6" x14ac:dyDescent="0.25">
      <c r="A72" s="3">
        <f t="shared" si="7"/>
        <v>437</v>
      </c>
      <c r="B72" s="3">
        <f t="shared" si="6"/>
        <v>437</v>
      </c>
      <c r="C72" s="6">
        <v>1</v>
      </c>
      <c r="D72" s="9" t="s">
        <v>98</v>
      </c>
      <c r="E72" s="71"/>
      <c r="F72" s="73"/>
    </row>
    <row r="73" spans="1:6" x14ac:dyDescent="0.25">
      <c r="A73" s="3">
        <f t="shared" si="7"/>
        <v>438</v>
      </c>
      <c r="B73" s="3">
        <f t="shared" si="6"/>
        <v>438</v>
      </c>
      <c r="C73" s="6">
        <v>1</v>
      </c>
      <c r="D73" s="9" t="s">
        <v>187</v>
      </c>
      <c r="E73" s="71"/>
      <c r="F73" s="73"/>
    </row>
    <row r="74" spans="1:6" x14ac:dyDescent="0.25">
      <c r="A74" s="3">
        <f t="shared" si="7"/>
        <v>439</v>
      </c>
      <c r="B74" s="3">
        <f t="shared" si="6"/>
        <v>439</v>
      </c>
      <c r="C74" s="6">
        <v>1</v>
      </c>
      <c r="D74" s="9" t="s">
        <v>212</v>
      </c>
      <c r="E74" s="71"/>
      <c r="F74" s="73"/>
    </row>
    <row r="75" spans="1:6" x14ac:dyDescent="0.25">
      <c r="A75" s="3">
        <f t="shared" si="7"/>
        <v>440</v>
      </c>
      <c r="B75" s="3">
        <f t="shared" si="6"/>
        <v>440</v>
      </c>
      <c r="C75" s="6">
        <v>1</v>
      </c>
      <c r="D75" s="9" t="s">
        <v>99</v>
      </c>
      <c r="E75" s="71"/>
      <c r="F75" s="73"/>
    </row>
    <row r="76" spans="1:6" x14ac:dyDescent="0.25">
      <c r="A76" s="3">
        <f t="shared" si="7"/>
        <v>441</v>
      </c>
      <c r="B76" s="3">
        <f t="shared" si="6"/>
        <v>441</v>
      </c>
      <c r="C76" s="6">
        <v>1</v>
      </c>
      <c r="D76" s="9" t="s">
        <v>100</v>
      </c>
      <c r="E76" s="71"/>
      <c r="F76" s="73"/>
    </row>
    <row r="77" spans="1:6" x14ac:dyDescent="0.25">
      <c r="A77" s="3">
        <f t="shared" si="7"/>
        <v>442</v>
      </c>
      <c r="B77" s="3">
        <f t="shared" si="6"/>
        <v>442</v>
      </c>
      <c r="C77" s="6">
        <v>1</v>
      </c>
      <c r="D77" s="9" t="s">
        <v>101</v>
      </c>
      <c r="E77" s="71"/>
      <c r="F77" s="73"/>
    </row>
    <row r="78" spans="1:6" x14ac:dyDescent="0.25">
      <c r="A78" s="3">
        <f t="shared" si="7"/>
        <v>443</v>
      </c>
      <c r="B78" s="3">
        <f t="shared" si="6"/>
        <v>443</v>
      </c>
      <c r="C78" s="6">
        <v>1</v>
      </c>
      <c r="D78" s="9" t="s">
        <v>102</v>
      </c>
      <c r="E78" s="71"/>
      <c r="F78" s="73"/>
    </row>
    <row r="79" spans="1:6" x14ac:dyDescent="0.25">
      <c r="A79" s="3">
        <f t="shared" si="7"/>
        <v>444</v>
      </c>
      <c r="B79" s="3">
        <f t="shared" si="6"/>
        <v>444</v>
      </c>
      <c r="C79" s="6">
        <v>1</v>
      </c>
      <c r="D79" s="9" t="s">
        <v>430</v>
      </c>
      <c r="E79" s="71" t="s">
        <v>442</v>
      </c>
      <c r="F79" s="73"/>
    </row>
    <row r="80" spans="1:6" x14ac:dyDescent="0.25">
      <c r="A80" s="3">
        <f t="shared" si="7"/>
        <v>445</v>
      </c>
      <c r="B80" s="3">
        <f t="shared" si="6"/>
        <v>445</v>
      </c>
      <c r="C80" s="6">
        <v>1</v>
      </c>
      <c r="D80" s="9" t="s">
        <v>431</v>
      </c>
      <c r="E80" s="71"/>
      <c r="F80" s="73"/>
    </row>
    <row r="81" spans="1:6" x14ac:dyDescent="0.25">
      <c r="A81" s="3">
        <f t="shared" si="7"/>
        <v>446</v>
      </c>
      <c r="B81" s="3">
        <f t="shared" si="6"/>
        <v>446</v>
      </c>
      <c r="C81" s="6">
        <v>1</v>
      </c>
      <c r="D81" s="9" t="s">
        <v>103</v>
      </c>
      <c r="E81" s="33"/>
      <c r="F81" s="73"/>
    </row>
    <row r="82" spans="1:6" x14ac:dyDescent="0.25">
      <c r="A82" s="3">
        <f t="shared" si="7"/>
        <v>447</v>
      </c>
      <c r="B82" s="3">
        <f t="shared" si="6"/>
        <v>447</v>
      </c>
      <c r="C82" s="6">
        <v>1</v>
      </c>
      <c r="D82" s="9" t="s">
        <v>104</v>
      </c>
      <c r="E82" s="33"/>
      <c r="F82" s="73"/>
    </row>
    <row r="83" spans="1:6" x14ac:dyDescent="0.25">
      <c r="A83" s="3">
        <f t="shared" si="7"/>
        <v>448</v>
      </c>
      <c r="B83" s="3">
        <f t="shared" si="6"/>
        <v>465</v>
      </c>
      <c r="C83" s="6">
        <v>18</v>
      </c>
      <c r="D83" s="9" t="s">
        <v>39</v>
      </c>
      <c r="E83" s="39"/>
    </row>
    <row r="84" spans="1:6" x14ac:dyDescent="0.25">
      <c r="A84" s="3"/>
      <c r="B84" s="3"/>
      <c r="C84" s="3"/>
      <c r="D84" s="22" t="s">
        <v>106</v>
      </c>
      <c r="E84" s="36"/>
    </row>
    <row r="85" spans="1:6" ht="63.75" x14ac:dyDescent="0.25">
      <c r="A85" s="3">
        <f>A83+C83</f>
        <v>466</v>
      </c>
      <c r="B85" s="3">
        <f t="shared" ref="B85:B92" si="8">A85+C85-1</f>
        <v>468</v>
      </c>
      <c r="C85" s="3">
        <v>3</v>
      </c>
      <c r="D85" s="21" t="s">
        <v>15</v>
      </c>
      <c r="E85" s="38" t="s">
        <v>64</v>
      </c>
      <c r="F85" s="38" t="s">
        <v>348</v>
      </c>
    </row>
    <row r="86" spans="1:6" ht="76.5" x14ac:dyDescent="0.25">
      <c r="A86" s="3">
        <f t="shared" ref="A86:A92" si="9">A85+C85</f>
        <v>469</v>
      </c>
      <c r="B86" s="3">
        <f t="shared" si="8"/>
        <v>471</v>
      </c>
      <c r="C86" s="3">
        <v>3</v>
      </c>
      <c r="D86" s="21" t="s">
        <v>16</v>
      </c>
      <c r="E86" s="38" t="s">
        <v>64</v>
      </c>
      <c r="F86" s="38" t="s">
        <v>349</v>
      </c>
    </row>
    <row r="87" spans="1:6" ht="95.25" customHeight="1" x14ac:dyDescent="0.25">
      <c r="A87" s="3">
        <f t="shared" si="9"/>
        <v>472</v>
      </c>
      <c r="B87" s="3">
        <f t="shared" si="8"/>
        <v>474</v>
      </c>
      <c r="C87" s="3">
        <v>3</v>
      </c>
      <c r="D87" s="21" t="s">
        <v>108</v>
      </c>
      <c r="E87" s="38" t="s">
        <v>64</v>
      </c>
      <c r="F87" s="12" t="s">
        <v>350</v>
      </c>
    </row>
    <row r="88" spans="1:6" ht="76.5" x14ac:dyDescent="0.25">
      <c r="A88" s="3">
        <f t="shared" si="9"/>
        <v>475</v>
      </c>
      <c r="B88" s="3">
        <f t="shared" si="8"/>
        <v>477</v>
      </c>
      <c r="C88" s="3">
        <v>3</v>
      </c>
      <c r="D88" s="21" t="s">
        <v>124</v>
      </c>
      <c r="E88" s="38" t="s">
        <v>69</v>
      </c>
      <c r="F88" s="38" t="s">
        <v>346</v>
      </c>
    </row>
    <row r="89" spans="1:6" ht="63.75" x14ac:dyDescent="0.25">
      <c r="A89" s="3">
        <f t="shared" si="9"/>
        <v>478</v>
      </c>
      <c r="B89" s="3">
        <f t="shared" si="8"/>
        <v>480</v>
      </c>
      <c r="C89" s="3">
        <v>3</v>
      </c>
      <c r="D89" s="21" t="s">
        <v>21</v>
      </c>
      <c r="E89" s="37" t="s">
        <v>351</v>
      </c>
      <c r="F89" s="12" t="s">
        <v>421</v>
      </c>
    </row>
    <row r="90" spans="1:6" ht="89.25" x14ac:dyDescent="0.25">
      <c r="A90" s="3">
        <f t="shared" si="9"/>
        <v>481</v>
      </c>
      <c r="B90" s="3">
        <f t="shared" si="8"/>
        <v>483</v>
      </c>
      <c r="C90" s="5">
        <v>3</v>
      </c>
      <c r="D90" s="21" t="s">
        <v>88</v>
      </c>
      <c r="E90" s="37" t="s">
        <v>309</v>
      </c>
      <c r="F90" s="40" t="s">
        <v>188</v>
      </c>
    </row>
    <row r="91" spans="1:6" ht="89.25" x14ac:dyDescent="0.25">
      <c r="A91" s="3">
        <f t="shared" si="9"/>
        <v>484</v>
      </c>
      <c r="B91" s="3">
        <f t="shared" si="8"/>
        <v>486</v>
      </c>
      <c r="C91" s="3">
        <v>3</v>
      </c>
      <c r="D91" s="21" t="s">
        <v>92</v>
      </c>
      <c r="E91" s="37" t="s">
        <v>309</v>
      </c>
      <c r="F91" s="40" t="s">
        <v>189</v>
      </c>
    </row>
    <row r="92" spans="1:6" ht="13.9" customHeight="1" x14ac:dyDescent="0.25">
      <c r="A92" s="3">
        <f t="shared" si="9"/>
        <v>487</v>
      </c>
      <c r="B92" s="3">
        <f t="shared" si="8"/>
        <v>506</v>
      </c>
      <c r="C92" s="5">
        <v>20</v>
      </c>
      <c r="D92" s="21" t="s">
        <v>39</v>
      </c>
      <c r="E92" s="36"/>
      <c r="F92" s="40"/>
    </row>
    <row r="93" spans="1:6" x14ac:dyDescent="0.25">
      <c r="A93" s="3" t="s">
        <v>318</v>
      </c>
      <c r="B93" s="5"/>
      <c r="C93" s="5"/>
      <c r="D93" s="22" t="s">
        <v>515</v>
      </c>
      <c r="E93" s="37"/>
    </row>
    <row r="94" spans="1:6" s="47" customFormat="1" ht="63.75" x14ac:dyDescent="0.2">
      <c r="A94" s="3">
        <f>A92+C92</f>
        <v>507</v>
      </c>
      <c r="B94" s="30">
        <f t="shared" ref="B94:B106" si="10">A94+C94-1</f>
        <v>510</v>
      </c>
      <c r="C94" s="5">
        <v>4</v>
      </c>
      <c r="D94" s="45" t="s">
        <v>271</v>
      </c>
      <c r="E94" s="46" t="s">
        <v>362</v>
      </c>
      <c r="F94" s="33" t="s">
        <v>456</v>
      </c>
    </row>
    <row r="95" spans="1:6" s="47" customFormat="1" ht="76.5" x14ac:dyDescent="0.2">
      <c r="A95" s="5">
        <f t="shared" ref="A95:A106" si="11">A94+C94</f>
        <v>511</v>
      </c>
      <c r="B95" s="30">
        <f t="shared" si="10"/>
        <v>511</v>
      </c>
      <c r="C95" s="5">
        <v>1</v>
      </c>
      <c r="D95" s="45" t="s">
        <v>272</v>
      </c>
      <c r="E95" s="46" t="s">
        <v>273</v>
      </c>
      <c r="F95" s="33" t="s">
        <v>354</v>
      </c>
    </row>
    <row r="96" spans="1:6" s="47" customFormat="1" ht="63.75" x14ac:dyDescent="0.2">
      <c r="A96" s="5">
        <f t="shared" si="11"/>
        <v>512</v>
      </c>
      <c r="B96" s="30">
        <f t="shared" si="10"/>
        <v>514</v>
      </c>
      <c r="C96" s="5">
        <v>3</v>
      </c>
      <c r="D96" s="45" t="s">
        <v>274</v>
      </c>
      <c r="E96" s="46" t="s">
        <v>69</v>
      </c>
      <c r="F96" s="33" t="s">
        <v>457</v>
      </c>
    </row>
    <row r="97" spans="1:6" s="47" customFormat="1" ht="63.75" x14ac:dyDescent="0.2">
      <c r="A97" s="5">
        <f t="shared" si="11"/>
        <v>515</v>
      </c>
      <c r="B97" s="30">
        <f t="shared" si="10"/>
        <v>518</v>
      </c>
      <c r="C97" s="5">
        <v>4</v>
      </c>
      <c r="D97" s="45" t="s">
        <v>275</v>
      </c>
      <c r="E97" s="46" t="s">
        <v>362</v>
      </c>
      <c r="F97" s="33" t="s">
        <v>455</v>
      </c>
    </row>
    <row r="98" spans="1:6" s="47" customFormat="1" ht="89.25" x14ac:dyDescent="0.2">
      <c r="A98" s="5">
        <f t="shared" si="11"/>
        <v>519</v>
      </c>
      <c r="B98" s="30">
        <f t="shared" si="10"/>
        <v>519</v>
      </c>
      <c r="C98" s="5">
        <v>1</v>
      </c>
      <c r="D98" s="45" t="s">
        <v>276</v>
      </c>
      <c r="E98" s="46" t="s">
        <v>273</v>
      </c>
      <c r="F98" s="33" t="s">
        <v>355</v>
      </c>
    </row>
    <row r="99" spans="1:6" s="47" customFormat="1" ht="63.75" x14ac:dyDescent="0.2">
      <c r="A99" s="5">
        <f t="shared" si="11"/>
        <v>520</v>
      </c>
      <c r="B99" s="30">
        <f t="shared" si="10"/>
        <v>522</v>
      </c>
      <c r="C99" s="5">
        <v>3</v>
      </c>
      <c r="D99" s="45" t="s">
        <v>277</v>
      </c>
      <c r="E99" s="46" t="s">
        <v>69</v>
      </c>
      <c r="F99" s="33" t="s">
        <v>452</v>
      </c>
    </row>
    <row r="100" spans="1:6" s="47" customFormat="1" ht="63.75" x14ac:dyDescent="0.2">
      <c r="A100" s="5">
        <f t="shared" si="11"/>
        <v>523</v>
      </c>
      <c r="B100" s="30">
        <f t="shared" si="10"/>
        <v>526</v>
      </c>
      <c r="C100" s="5">
        <v>4</v>
      </c>
      <c r="D100" s="45" t="s">
        <v>278</v>
      </c>
      <c r="E100" s="46" t="s">
        <v>362</v>
      </c>
      <c r="F100" s="33" t="s">
        <v>454</v>
      </c>
    </row>
    <row r="101" spans="1:6" s="47" customFormat="1" ht="102" x14ac:dyDescent="0.2">
      <c r="A101" s="5">
        <f t="shared" si="11"/>
        <v>527</v>
      </c>
      <c r="B101" s="30">
        <f t="shared" si="10"/>
        <v>527</v>
      </c>
      <c r="C101" s="5">
        <v>1</v>
      </c>
      <c r="D101" s="45" t="s">
        <v>279</v>
      </c>
      <c r="E101" s="46" t="s">
        <v>273</v>
      </c>
      <c r="F101" s="33" t="s">
        <v>356</v>
      </c>
    </row>
    <row r="102" spans="1:6" s="47" customFormat="1" ht="76.5" x14ac:dyDescent="0.2">
      <c r="A102" s="5">
        <f t="shared" si="11"/>
        <v>528</v>
      </c>
      <c r="B102" s="30">
        <f t="shared" si="10"/>
        <v>530</v>
      </c>
      <c r="C102" s="5">
        <v>3</v>
      </c>
      <c r="D102" s="45" t="s">
        <v>280</v>
      </c>
      <c r="E102" s="46" t="s">
        <v>69</v>
      </c>
      <c r="F102" s="33" t="s">
        <v>453</v>
      </c>
    </row>
    <row r="103" spans="1:6" s="47" customFormat="1" ht="63.75" x14ac:dyDescent="0.2">
      <c r="A103" s="5">
        <f t="shared" si="11"/>
        <v>531</v>
      </c>
      <c r="B103" s="30">
        <f t="shared" si="10"/>
        <v>534</v>
      </c>
      <c r="C103" s="5">
        <v>4</v>
      </c>
      <c r="D103" s="45" t="s">
        <v>281</v>
      </c>
      <c r="E103" s="46" t="s">
        <v>362</v>
      </c>
      <c r="F103" s="33" t="s">
        <v>451</v>
      </c>
    </row>
    <row r="104" spans="1:6" s="47" customFormat="1" ht="89.25" x14ac:dyDescent="0.2">
      <c r="A104" s="5">
        <f t="shared" si="11"/>
        <v>535</v>
      </c>
      <c r="B104" s="30">
        <f t="shared" si="10"/>
        <v>535</v>
      </c>
      <c r="C104" s="5">
        <v>1</v>
      </c>
      <c r="D104" s="45" t="s">
        <v>282</v>
      </c>
      <c r="E104" s="46" t="s">
        <v>273</v>
      </c>
      <c r="F104" s="33" t="s">
        <v>357</v>
      </c>
    </row>
    <row r="105" spans="1:6" s="47" customFormat="1" ht="65.25" customHeight="1" x14ac:dyDescent="0.2">
      <c r="A105" s="5">
        <f t="shared" si="11"/>
        <v>536</v>
      </c>
      <c r="B105" s="30">
        <f t="shared" si="10"/>
        <v>538</v>
      </c>
      <c r="C105" s="5">
        <v>3</v>
      </c>
      <c r="D105" s="45" t="s">
        <v>283</v>
      </c>
      <c r="E105" s="46" t="s">
        <v>69</v>
      </c>
      <c r="F105" s="33" t="s">
        <v>450</v>
      </c>
    </row>
    <row r="106" spans="1:6" s="47" customFormat="1" ht="16.899999999999999" customHeight="1" x14ac:dyDescent="0.2">
      <c r="A106" s="5">
        <f t="shared" si="11"/>
        <v>539</v>
      </c>
      <c r="B106" s="30">
        <f t="shared" si="10"/>
        <v>540</v>
      </c>
      <c r="C106" s="5">
        <v>2</v>
      </c>
      <c r="D106" s="45" t="s">
        <v>39</v>
      </c>
      <c r="E106" s="46"/>
      <c r="F106" s="38"/>
    </row>
    <row r="107" spans="1:6" s="47" customFormat="1" ht="19.149999999999999" customHeight="1" x14ac:dyDescent="0.2">
      <c r="A107" s="5"/>
      <c r="B107" s="30" t="s">
        <v>318</v>
      </c>
      <c r="C107" s="5"/>
      <c r="D107" s="48" t="s">
        <v>336</v>
      </c>
      <c r="E107" s="46"/>
      <c r="F107" s="38"/>
    </row>
    <row r="108" spans="1:6" s="47" customFormat="1" ht="99.6" customHeight="1" x14ac:dyDescent="0.2">
      <c r="A108" s="5">
        <f>A106+C106</f>
        <v>541</v>
      </c>
      <c r="B108" s="30">
        <f t="shared" ref="B108:B117" si="12">A108+C108-1</f>
        <v>544</v>
      </c>
      <c r="C108" s="5">
        <v>4</v>
      </c>
      <c r="D108" s="45" t="s">
        <v>322</v>
      </c>
      <c r="E108" s="46" t="s">
        <v>362</v>
      </c>
      <c r="F108" s="38" t="s">
        <v>358</v>
      </c>
    </row>
    <row r="109" spans="1:6" s="47" customFormat="1" ht="102" customHeight="1" x14ac:dyDescent="0.2">
      <c r="A109" s="5">
        <f t="shared" ref="A109:A117" si="13">A108+C108</f>
        <v>545</v>
      </c>
      <c r="B109" s="30">
        <f t="shared" si="12"/>
        <v>545</v>
      </c>
      <c r="C109" s="5">
        <v>1</v>
      </c>
      <c r="D109" s="45" t="s">
        <v>323</v>
      </c>
      <c r="E109" s="46" t="s">
        <v>273</v>
      </c>
      <c r="F109" s="38" t="s">
        <v>327</v>
      </c>
    </row>
    <row r="110" spans="1:6" s="47" customFormat="1" ht="76.900000000000006" customHeight="1" x14ac:dyDescent="0.2">
      <c r="A110" s="5">
        <f t="shared" si="13"/>
        <v>546</v>
      </c>
      <c r="B110" s="30">
        <f t="shared" si="12"/>
        <v>548</v>
      </c>
      <c r="C110" s="5">
        <v>3</v>
      </c>
      <c r="D110" s="45" t="s">
        <v>321</v>
      </c>
      <c r="E110" s="46" t="s">
        <v>69</v>
      </c>
      <c r="F110" s="33" t="s">
        <v>458</v>
      </c>
    </row>
    <row r="111" spans="1:6" s="47" customFormat="1" ht="93" customHeight="1" x14ac:dyDescent="0.2">
      <c r="A111" s="5">
        <f t="shared" si="13"/>
        <v>549</v>
      </c>
      <c r="B111" s="30">
        <f t="shared" si="12"/>
        <v>552</v>
      </c>
      <c r="C111" s="5">
        <v>4</v>
      </c>
      <c r="D111" s="45" t="s">
        <v>324</v>
      </c>
      <c r="E111" s="46" t="s">
        <v>362</v>
      </c>
      <c r="F111" s="38" t="s">
        <v>359</v>
      </c>
    </row>
    <row r="112" spans="1:6" s="47" customFormat="1" ht="84" customHeight="1" x14ac:dyDescent="0.2">
      <c r="A112" s="5">
        <f t="shared" si="13"/>
        <v>553</v>
      </c>
      <c r="B112" s="30">
        <f t="shared" si="12"/>
        <v>553</v>
      </c>
      <c r="C112" s="5">
        <v>1</v>
      </c>
      <c r="D112" s="45" t="s">
        <v>325</v>
      </c>
      <c r="E112" s="46" t="s">
        <v>273</v>
      </c>
      <c r="F112" s="38" t="s">
        <v>360</v>
      </c>
    </row>
    <row r="113" spans="1:6" s="47" customFormat="1" ht="98.45" customHeight="1" x14ac:dyDescent="0.2">
      <c r="A113" s="5">
        <f t="shared" si="13"/>
        <v>554</v>
      </c>
      <c r="B113" s="30">
        <f t="shared" si="12"/>
        <v>556</v>
      </c>
      <c r="C113" s="5">
        <v>3</v>
      </c>
      <c r="D113" s="45" t="s">
        <v>329</v>
      </c>
      <c r="E113" s="46" t="s">
        <v>69</v>
      </c>
      <c r="F113" s="38" t="s">
        <v>328</v>
      </c>
    </row>
    <row r="114" spans="1:6" s="47" customFormat="1" ht="85.9" customHeight="1" x14ac:dyDescent="0.2">
      <c r="A114" s="5">
        <f t="shared" si="13"/>
        <v>557</v>
      </c>
      <c r="B114" s="30">
        <f t="shared" si="12"/>
        <v>560</v>
      </c>
      <c r="C114" s="5">
        <v>4</v>
      </c>
      <c r="D114" s="45" t="s">
        <v>326</v>
      </c>
      <c r="E114" s="46" t="s">
        <v>353</v>
      </c>
      <c r="F114" s="38" t="s">
        <v>361</v>
      </c>
    </row>
    <row r="115" spans="1:6" s="47" customFormat="1" ht="90.6" customHeight="1" x14ac:dyDescent="0.2">
      <c r="A115" s="5">
        <f t="shared" si="13"/>
        <v>561</v>
      </c>
      <c r="B115" s="30">
        <f t="shared" si="12"/>
        <v>561</v>
      </c>
      <c r="C115" s="5">
        <v>1</v>
      </c>
      <c r="D115" s="45" t="s">
        <v>331</v>
      </c>
      <c r="E115" s="46" t="s">
        <v>273</v>
      </c>
      <c r="F115" s="38" t="s">
        <v>337</v>
      </c>
    </row>
    <row r="116" spans="1:6" s="47" customFormat="1" ht="72" customHeight="1" x14ac:dyDescent="0.2">
      <c r="A116" s="5">
        <f t="shared" si="13"/>
        <v>562</v>
      </c>
      <c r="B116" s="30">
        <f t="shared" si="12"/>
        <v>564</v>
      </c>
      <c r="C116" s="5">
        <v>3</v>
      </c>
      <c r="D116" s="45" t="s">
        <v>330</v>
      </c>
      <c r="E116" s="46" t="s">
        <v>69</v>
      </c>
      <c r="F116" s="33" t="s">
        <v>459</v>
      </c>
    </row>
    <row r="117" spans="1:6" x14ac:dyDescent="0.25">
      <c r="A117" s="5">
        <f t="shared" si="13"/>
        <v>565</v>
      </c>
      <c r="B117" s="5">
        <f t="shared" si="12"/>
        <v>566</v>
      </c>
      <c r="C117" s="5">
        <v>2</v>
      </c>
      <c r="D117" s="13" t="s">
        <v>39</v>
      </c>
      <c r="E117" s="37"/>
    </row>
    <row r="118" spans="1:6" x14ac:dyDescent="0.25">
      <c r="A118" s="3"/>
      <c r="B118" s="3"/>
      <c r="C118" s="3"/>
      <c r="D118" s="22" t="s">
        <v>234</v>
      </c>
      <c r="E118" s="36"/>
    </row>
    <row r="119" spans="1:6" ht="71.25" customHeight="1" x14ac:dyDescent="0.25">
      <c r="A119" s="3">
        <f>A117+C117</f>
        <v>567</v>
      </c>
      <c r="B119" s="3">
        <f t="shared" ref="B119:B126" si="14">A119+C119-1</f>
        <v>568</v>
      </c>
      <c r="C119" s="5">
        <v>2</v>
      </c>
      <c r="D119" s="13" t="s">
        <v>233</v>
      </c>
      <c r="E119" s="36" t="s">
        <v>70</v>
      </c>
      <c r="F119" s="38" t="s">
        <v>114</v>
      </c>
    </row>
    <row r="120" spans="1:6" ht="63.75" x14ac:dyDescent="0.25">
      <c r="A120" s="3">
        <f t="shared" ref="A120:A126" si="15">A119+C119</f>
        <v>569</v>
      </c>
      <c r="B120" s="3">
        <f t="shared" si="14"/>
        <v>569</v>
      </c>
      <c r="C120" s="3">
        <v>1</v>
      </c>
      <c r="D120" s="21" t="s">
        <v>17</v>
      </c>
      <c r="E120" s="36" t="s">
        <v>93</v>
      </c>
      <c r="F120" s="38" t="s">
        <v>256</v>
      </c>
    </row>
    <row r="121" spans="1:6" ht="38.25" x14ac:dyDescent="0.25">
      <c r="A121" s="3">
        <f t="shared" si="15"/>
        <v>570</v>
      </c>
      <c r="B121" s="3">
        <f t="shared" si="14"/>
        <v>570</v>
      </c>
      <c r="C121" s="3">
        <v>1</v>
      </c>
      <c r="D121" s="21" t="s">
        <v>18</v>
      </c>
      <c r="E121" s="36" t="s">
        <v>65</v>
      </c>
      <c r="F121" s="38" t="s">
        <v>236</v>
      </c>
    </row>
    <row r="122" spans="1:6" ht="38.25" x14ac:dyDescent="0.25">
      <c r="A122" s="3">
        <f t="shared" si="15"/>
        <v>571</v>
      </c>
      <c r="B122" s="3">
        <f t="shared" si="14"/>
        <v>571</v>
      </c>
      <c r="C122" s="3">
        <v>1</v>
      </c>
      <c r="D122" s="21" t="s">
        <v>90</v>
      </c>
      <c r="E122" s="36" t="s">
        <v>178</v>
      </c>
      <c r="F122" s="38" t="s">
        <v>179</v>
      </c>
    </row>
    <row r="123" spans="1:6" ht="51" x14ac:dyDescent="0.25">
      <c r="A123" s="3">
        <f t="shared" si="15"/>
        <v>572</v>
      </c>
      <c r="B123" s="3">
        <f t="shared" si="14"/>
        <v>572</v>
      </c>
      <c r="C123" s="3">
        <v>1</v>
      </c>
      <c r="D123" s="21" t="s">
        <v>19</v>
      </c>
      <c r="E123" s="36" t="s">
        <v>66</v>
      </c>
      <c r="F123" s="38" t="s">
        <v>235</v>
      </c>
    </row>
    <row r="124" spans="1:6" ht="172.5" customHeight="1" x14ac:dyDescent="0.25">
      <c r="A124" s="3">
        <f t="shared" si="15"/>
        <v>573</v>
      </c>
      <c r="B124" s="3">
        <f t="shared" si="14"/>
        <v>573</v>
      </c>
      <c r="C124" s="3">
        <v>1</v>
      </c>
      <c r="D124" s="21" t="s">
        <v>23</v>
      </c>
      <c r="E124" s="36" t="s">
        <v>63</v>
      </c>
      <c r="F124" s="38" t="s">
        <v>237</v>
      </c>
    </row>
    <row r="125" spans="1:6" ht="63.75" x14ac:dyDescent="0.25">
      <c r="A125" s="3">
        <f t="shared" si="15"/>
        <v>574</v>
      </c>
      <c r="B125" s="3">
        <f t="shared" si="14"/>
        <v>574</v>
      </c>
      <c r="C125" s="3">
        <v>1</v>
      </c>
      <c r="D125" s="21" t="s">
        <v>20</v>
      </c>
      <c r="E125" s="36" t="s">
        <v>62</v>
      </c>
      <c r="F125" s="38" t="s">
        <v>434</v>
      </c>
    </row>
    <row r="126" spans="1:6" x14ac:dyDescent="0.25">
      <c r="A126" s="3">
        <f t="shared" si="15"/>
        <v>575</v>
      </c>
      <c r="B126" s="3">
        <f t="shared" si="14"/>
        <v>928</v>
      </c>
      <c r="C126" s="5">
        <v>354</v>
      </c>
      <c r="D126" s="9" t="s">
        <v>39</v>
      </c>
      <c r="E126" s="36"/>
    </row>
    <row r="127" spans="1:6" x14ac:dyDescent="0.25">
      <c r="A127" s="3"/>
      <c r="B127" s="3"/>
      <c r="C127" s="3"/>
      <c r="D127" s="22" t="s">
        <v>71</v>
      </c>
      <c r="E127" s="36"/>
    </row>
    <row r="128" spans="1:6" ht="25.5" x14ac:dyDescent="0.25">
      <c r="A128" s="3">
        <f>A126+C126</f>
        <v>929</v>
      </c>
      <c r="B128" s="3">
        <f t="shared" ref="B128:B141" si="16">A128+C128-1</f>
        <v>929</v>
      </c>
      <c r="C128" s="3">
        <v>1</v>
      </c>
      <c r="D128" s="21" t="s">
        <v>24</v>
      </c>
      <c r="E128" s="36" t="s">
        <v>38</v>
      </c>
    </row>
    <row r="129" spans="1:6" ht="191.25" x14ac:dyDescent="0.25">
      <c r="A129" s="3">
        <f t="shared" ref="A129:A141" si="17">A128+C128</f>
        <v>930</v>
      </c>
      <c r="B129" s="3">
        <f t="shared" si="16"/>
        <v>937</v>
      </c>
      <c r="C129" s="6">
        <v>8</v>
      </c>
      <c r="D129" s="9" t="s">
        <v>11</v>
      </c>
      <c r="E129" s="39" t="s">
        <v>460</v>
      </c>
      <c r="F129" s="33" t="s">
        <v>435</v>
      </c>
    </row>
    <row r="130" spans="1:6" x14ac:dyDescent="0.25">
      <c r="A130" s="3">
        <f t="shared" si="17"/>
        <v>938</v>
      </c>
      <c r="B130" s="3">
        <f t="shared" si="16"/>
        <v>945</v>
      </c>
      <c r="C130" s="5">
        <v>8</v>
      </c>
      <c r="D130" s="13" t="s">
        <v>39</v>
      </c>
      <c r="E130" s="37" t="s">
        <v>318</v>
      </c>
      <c r="F130" s="38" t="s">
        <v>318</v>
      </c>
    </row>
    <row r="131" spans="1:6" ht="30" customHeight="1" x14ac:dyDescent="0.25">
      <c r="A131" s="3">
        <f t="shared" si="17"/>
        <v>946</v>
      </c>
      <c r="B131" s="3">
        <f t="shared" si="16"/>
        <v>965</v>
      </c>
      <c r="C131" s="3">
        <v>20</v>
      </c>
      <c r="D131" s="21" t="s">
        <v>12</v>
      </c>
      <c r="E131" s="75" t="s">
        <v>177</v>
      </c>
      <c r="F131" s="74" t="s">
        <v>230</v>
      </c>
    </row>
    <row r="132" spans="1:6" ht="18" customHeight="1" x14ac:dyDescent="0.25">
      <c r="A132" s="3">
        <f t="shared" si="17"/>
        <v>966</v>
      </c>
      <c r="B132" s="3">
        <f t="shared" si="16"/>
        <v>980</v>
      </c>
      <c r="C132" s="3">
        <v>15</v>
      </c>
      <c r="D132" s="21" t="s">
        <v>13</v>
      </c>
      <c r="E132" s="75"/>
      <c r="F132" s="74"/>
    </row>
    <row r="133" spans="1:6" x14ac:dyDescent="0.25">
      <c r="A133" s="3">
        <f t="shared" si="17"/>
        <v>981</v>
      </c>
      <c r="B133" s="3">
        <f t="shared" si="16"/>
        <v>981</v>
      </c>
      <c r="C133" s="3">
        <v>1</v>
      </c>
      <c r="D133" s="21" t="s">
        <v>186</v>
      </c>
      <c r="E133" s="75"/>
      <c r="F133" s="74"/>
    </row>
    <row r="134" spans="1:6" ht="38.25" customHeight="1" x14ac:dyDescent="0.25">
      <c r="A134" s="3">
        <f t="shared" si="17"/>
        <v>982</v>
      </c>
      <c r="B134" s="3">
        <f t="shared" si="16"/>
        <v>1025</v>
      </c>
      <c r="C134" s="3">
        <v>44</v>
      </c>
      <c r="D134" s="21" t="s">
        <v>39</v>
      </c>
      <c r="E134" s="41" t="s">
        <v>318</v>
      </c>
      <c r="F134" s="37" t="s">
        <v>318</v>
      </c>
    </row>
    <row r="135" spans="1:6" ht="63.75" x14ac:dyDescent="0.25">
      <c r="A135" s="3">
        <f t="shared" si="17"/>
        <v>1026</v>
      </c>
      <c r="B135" s="3">
        <f t="shared" si="16"/>
        <v>1031</v>
      </c>
      <c r="C135" s="3">
        <v>6</v>
      </c>
      <c r="D135" s="21" t="s">
        <v>111</v>
      </c>
      <c r="E135" s="37" t="s">
        <v>363</v>
      </c>
      <c r="F135" s="38" t="s">
        <v>231</v>
      </c>
    </row>
    <row r="136" spans="1:6" ht="102" x14ac:dyDescent="0.25">
      <c r="A136" s="3">
        <f t="shared" si="17"/>
        <v>1032</v>
      </c>
      <c r="B136" s="3">
        <f t="shared" si="16"/>
        <v>1061</v>
      </c>
      <c r="C136" s="3">
        <v>30</v>
      </c>
      <c r="D136" s="21" t="s">
        <v>14</v>
      </c>
      <c r="E136" s="37" t="s">
        <v>462</v>
      </c>
      <c r="F136" s="33" t="s">
        <v>461</v>
      </c>
    </row>
    <row r="137" spans="1:6" ht="51" x14ac:dyDescent="0.25">
      <c r="A137" s="3">
        <f t="shared" si="17"/>
        <v>1062</v>
      </c>
      <c r="B137" s="3">
        <f t="shared" si="16"/>
        <v>1081</v>
      </c>
      <c r="C137" s="3">
        <v>20</v>
      </c>
      <c r="D137" s="21" t="s">
        <v>84</v>
      </c>
      <c r="E137" s="36" t="s">
        <v>221</v>
      </c>
      <c r="F137" s="38" t="s">
        <v>230</v>
      </c>
    </row>
    <row r="138" spans="1:6" s="49" customFormat="1" ht="38.25" x14ac:dyDescent="0.25">
      <c r="A138" s="3">
        <f t="shared" si="17"/>
        <v>1082</v>
      </c>
      <c r="B138" s="3">
        <f t="shared" si="16"/>
        <v>1087</v>
      </c>
      <c r="C138" s="3">
        <v>6</v>
      </c>
      <c r="D138" s="21" t="s">
        <v>85</v>
      </c>
      <c r="E138" s="36" t="s">
        <v>86</v>
      </c>
      <c r="F138" s="38" t="s">
        <v>211</v>
      </c>
    </row>
    <row r="139" spans="1:6" s="50" customFormat="1" ht="25.5" x14ac:dyDescent="0.25">
      <c r="A139" s="5">
        <f t="shared" si="17"/>
        <v>1088</v>
      </c>
      <c r="B139" s="5">
        <f t="shared" si="16"/>
        <v>1088</v>
      </c>
      <c r="C139" s="5">
        <v>1</v>
      </c>
      <c r="D139" s="13" t="s">
        <v>213</v>
      </c>
      <c r="E139" s="37" t="s">
        <v>209</v>
      </c>
      <c r="F139" s="38" t="s">
        <v>208</v>
      </c>
    </row>
    <row r="140" spans="1:6" s="50" customFormat="1" ht="25.5" x14ac:dyDescent="0.25">
      <c r="A140" s="5">
        <f t="shared" si="17"/>
        <v>1089</v>
      </c>
      <c r="B140" s="5">
        <f t="shared" si="16"/>
        <v>1089</v>
      </c>
      <c r="C140" s="5">
        <v>1</v>
      </c>
      <c r="D140" s="13" t="s">
        <v>214</v>
      </c>
      <c r="E140" s="37" t="s">
        <v>215</v>
      </c>
      <c r="F140" s="38" t="s">
        <v>238</v>
      </c>
    </row>
    <row r="141" spans="1:6" x14ac:dyDescent="0.25">
      <c r="A141" s="5">
        <f t="shared" si="17"/>
        <v>1090</v>
      </c>
      <c r="B141" s="5">
        <f t="shared" si="16"/>
        <v>1126</v>
      </c>
      <c r="C141" s="6">
        <v>37</v>
      </c>
      <c r="D141" s="9" t="s">
        <v>39</v>
      </c>
      <c r="E141" s="36"/>
    </row>
    <row r="142" spans="1:6" s="49" customFormat="1" ht="15" x14ac:dyDescent="0.25">
      <c r="A142" s="5" t="s">
        <v>318</v>
      </c>
      <c r="B142" s="3"/>
      <c r="C142" s="3"/>
      <c r="D142" s="22" t="s">
        <v>232</v>
      </c>
      <c r="E142" s="36"/>
      <c r="F142" s="38"/>
    </row>
    <row r="143" spans="1:6" s="49" customFormat="1" ht="15" customHeight="1" x14ac:dyDescent="0.25">
      <c r="A143" s="5">
        <f>A141+C141</f>
        <v>1127</v>
      </c>
      <c r="B143" s="3">
        <f t="shared" ref="B143:B157" si="18">A143+C143-1</f>
        <v>1127</v>
      </c>
      <c r="C143" s="3">
        <v>1</v>
      </c>
      <c r="D143" s="21" t="s">
        <v>94</v>
      </c>
      <c r="E143" s="73" t="s">
        <v>87</v>
      </c>
      <c r="F143" s="73" t="s">
        <v>252</v>
      </c>
    </row>
    <row r="144" spans="1:6" s="49" customFormat="1" ht="15" x14ac:dyDescent="0.25">
      <c r="A144" s="3">
        <f t="shared" ref="A144:A157" si="19">A143+C143</f>
        <v>1128</v>
      </c>
      <c r="B144" s="3">
        <f t="shared" si="18"/>
        <v>1128</v>
      </c>
      <c r="C144" s="3">
        <v>1</v>
      </c>
      <c r="D144" s="21" t="s">
        <v>95</v>
      </c>
      <c r="E144" s="73"/>
      <c r="F144" s="73"/>
    </row>
    <row r="145" spans="1:6" s="49" customFormat="1" ht="15" x14ac:dyDescent="0.25">
      <c r="A145" s="3">
        <f t="shared" si="19"/>
        <v>1129</v>
      </c>
      <c r="B145" s="3">
        <f t="shared" si="18"/>
        <v>1129</v>
      </c>
      <c r="C145" s="3">
        <v>1</v>
      </c>
      <c r="D145" s="13" t="s">
        <v>39</v>
      </c>
      <c r="E145" s="73"/>
      <c r="F145" s="73"/>
    </row>
    <row r="146" spans="1:6" s="49" customFormat="1" ht="15" x14ac:dyDescent="0.25">
      <c r="A146" s="3">
        <f t="shared" si="19"/>
        <v>1130</v>
      </c>
      <c r="B146" s="3">
        <f t="shared" si="18"/>
        <v>1130</v>
      </c>
      <c r="C146" s="3">
        <v>1</v>
      </c>
      <c r="D146" s="21" t="s">
        <v>96</v>
      </c>
      <c r="E146" s="73"/>
      <c r="F146" s="73"/>
    </row>
    <row r="147" spans="1:6" s="49" customFormat="1" ht="15" x14ac:dyDescent="0.25">
      <c r="A147" s="3">
        <f t="shared" si="19"/>
        <v>1131</v>
      </c>
      <c r="B147" s="3">
        <f t="shared" si="18"/>
        <v>1131</v>
      </c>
      <c r="C147" s="3">
        <v>1</v>
      </c>
      <c r="D147" s="21" t="s">
        <v>97</v>
      </c>
      <c r="E147" s="73"/>
      <c r="F147" s="73"/>
    </row>
    <row r="148" spans="1:6" s="49" customFormat="1" ht="15" x14ac:dyDescent="0.25">
      <c r="A148" s="3">
        <f t="shared" si="19"/>
        <v>1132</v>
      </c>
      <c r="B148" s="3">
        <f t="shared" si="18"/>
        <v>1132</v>
      </c>
      <c r="C148" s="3">
        <v>1</v>
      </c>
      <c r="D148" s="21" t="s">
        <v>98</v>
      </c>
      <c r="E148" s="73"/>
      <c r="F148" s="73"/>
    </row>
    <row r="149" spans="1:6" s="49" customFormat="1" ht="15" x14ac:dyDescent="0.25">
      <c r="A149" s="3">
        <f t="shared" si="19"/>
        <v>1133</v>
      </c>
      <c r="B149" s="3">
        <f t="shared" si="18"/>
        <v>1133</v>
      </c>
      <c r="C149" s="3">
        <v>1</v>
      </c>
      <c r="D149" s="21" t="s">
        <v>187</v>
      </c>
      <c r="E149" s="73"/>
      <c r="F149" s="73"/>
    </row>
    <row r="150" spans="1:6" s="49" customFormat="1" ht="15" x14ac:dyDescent="0.25">
      <c r="A150" s="3">
        <f t="shared" si="19"/>
        <v>1134</v>
      </c>
      <c r="B150" s="3">
        <f t="shared" si="18"/>
        <v>1134</v>
      </c>
      <c r="C150" s="3">
        <v>1</v>
      </c>
      <c r="D150" s="21" t="s">
        <v>212</v>
      </c>
      <c r="E150" s="73"/>
      <c r="F150" s="73"/>
    </row>
    <row r="151" spans="1:6" s="49" customFormat="1" ht="15" x14ac:dyDescent="0.25">
      <c r="A151" s="3">
        <f t="shared" si="19"/>
        <v>1135</v>
      </c>
      <c r="B151" s="3">
        <f t="shared" si="18"/>
        <v>1135</v>
      </c>
      <c r="C151" s="3">
        <v>1</v>
      </c>
      <c r="D151" s="21" t="s">
        <v>99</v>
      </c>
      <c r="E151" s="73"/>
      <c r="F151" s="73"/>
    </row>
    <row r="152" spans="1:6" s="49" customFormat="1" ht="15" x14ac:dyDescent="0.25">
      <c r="A152" s="3">
        <f t="shared" si="19"/>
        <v>1136</v>
      </c>
      <c r="B152" s="3">
        <f t="shared" si="18"/>
        <v>1136</v>
      </c>
      <c r="C152" s="3">
        <v>1</v>
      </c>
      <c r="D152" s="21" t="s">
        <v>100</v>
      </c>
      <c r="E152" s="73"/>
      <c r="F152" s="73"/>
    </row>
    <row r="153" spans="1:6" s="49" customFormat="1" ht="15" x14ac:dyDescent="0.25">
      <c r="A153" s="3">
        <f t="shared" si="19"/>
        <v>1137</v>
      </c>
      <c r="B153" s="3">
        <f t="shared" si="18"/>
        <v>1137</v>
      </c>
      <c r="C153" s="3">
        <v>1</v>
      </c>
      <c r="D153" s="21" t="s">
        <v>101</v>
      </c>
      <c r="E153" s="73"/>
      <c r="F153" s="73"/>
    </row>
    <row r="154" spans="1:6" s="49" customFormat="1" ht="15" x14ac:dyDescent="0.25">
      <c r="A154" s="3">
        <f t="shared" si="19"/>
        <v>1138</v>
      </c>
      <c r="B154" s="3">
        <f t="shared" si="18"/>
        <v>1138</v>
      </c>
      <c r="C154" s="3">
        <v>1</v>
      </c>
      <c r="D154" s="21" t="s">
        <v>102</v>
      </c>
      <c r="E154" s="73"/>
      <c r="F154" s="73"/>
    </row>
    <row r="155" spans="1:6" s="49" customFormat="1" ht="15" x14ac:dyDescent="0.25">
      <c r="A155" s="3">
        <f t="shared" si="19"/>
        <v>1139</v>
      </c>
      <c r="B155" s="3">
        <f t="shared" si="18"/>
        <v>1139</v>
      </c>
      <c r="C155" s="3">
        <v>1</v>
      </c>
      <c r="D155" s="21" t="s">
        <v>103</v>
      </c>
      <c r="E155" s="73"/>
      <c r="F155" s="73"/>
    </row>
    <row r="156" spans="1:6" s="49" customFormat="1" ht="15" x14ac:dyDescent="0.25">
      <c r="A156" s="3">
        <f t="shared" si="19"/>
        <v>1140</v>
      </c>
      <c r="B156" s="3">
        <f t="shared" si="18"/>
        <v>1140</v>
      </c>
      <c r="C156" s="3">
        <v>1</v>
      </c>
      <c r="D156" s="21" t="s">
        <v>104</v>
      </c>
      <c r="E156" s="73"/>
      <c r="F156" s="73"/>
    </row>
    <row r="157" spans="1:6" s="49" customFormat="1" ht="15" x14ac:dyDescent="0.25">
      <c r="A157" s="3">
        <f t="shared" si="19"/>
        <v>1141</v>
      </c>
      <c r="B157" s="3">
        <f t="shared" si="18"/>
        <v>1160</v>
      </c>
      <c r="C157" s="3">
        <v>20</v>
      </c>
      <c r="D157" s="21" t="s">
        <v>39</v>
      </c>
      <c r="E157" s="36"/>
      <c r="F157" s="38"/>
    </row>
    <row r="158" spans="1:6" s="49" customFormat="1" ht="15" x14ac:dyDescent="0.25">
      <c r="A158" s="3"/>
      <c r="B158" s="3"/>
      <c r="C158" s="3"/>
      <c r="D158" s="22" t="s">
        <v>115</v>
      </c>
      <c r="E158" s="36"/>
      <c r="F158" s="38"/>
    </row>
    <row r="159" spans="1:6" s="49" customFormat="1" ht="63.75" x14ac:dyDescent="0.25">
      <c r="A159" s="3">
        <f>A157+C157</f>
        <v>1161</v>
      </c>
      <c r="B159" s="3">
        <f t="shared" ref="B159:B166" si="20">A159+C159-1</f>
        <v>1163</v>
      </c>
      <c r="C159" s="3">
        <v>3</v>
      </c>
      <c r="D159" s="21" t="s">
        <v>15</v>
      </c>
      <c r="E159" s="38" t="s">
        <v>64</v>
      </c>
      <c r="F159" s="38" t="s">
        <v>364</v>
      </c>
    </row>
    <row r="160" spans="1:6" s="49" customFormat="1" ht="63.75" x14ac:dyDescent="0.25">
      <c r="A160" s="3">
        <f t="shared" ref="A160:A166" si="21">A159+C159</f>
        <v>1164</v>
      </c>
      <c r="B160" s="3">
        <f t="shared" si="20"/>
        <v>1166</v>
      </c>
      <c r="C160" s="3">
        <v>3</v>
      </c>
      <c r="D160" s="21" t="s">
        <v>16</v>
      </c>
      <c r="E160" s="38" t="s">
        <v>64</v>
      </c>
      <c r="F160" s="38" t="s">
        <v>365</v>
      </c>
    </row>
    <row r="161" spans="1:6" s="49" customFormat="1" ht="89.25" x14ac:dyDescent="0.25">
      <c r="A161" s="3">
        <f t="shared" si="21"/>
        <v>1167</v>
      </c>
      <c r="B161" s="3">
        <f t="shared" si="20"/>
        <v>1169</v>
      </c>
      <c r="C161" s="3">
        <v>3</v>
      </c>
      <c r="D161" s="21" t="s">
        <v>108</v>
      </c>
      <c r="E161" s="38" t="s">
        <v>64</v>
      </c>
      <c r="F161" s="12" t="s">
        <v>190</v>
      </c>
    </row>
    <row r="162" spans="1:6" s="49" customFormat="1" ht="76.5" x14ac:dyDescent="0.25">
      <c r="A162" s="3">
        <f t="shared" si="21"/>
        <v>1170</v>
      </c>
      <c r="B162" s="3">
        <f t="shared" si="20"/>
        <v>1172</v>
      </c>
      <c r="C162" s="3">
        <v>3</v>
      </c>
      <c r="D162" s="21" t="s">
        <v>124</v>
      </c>
      <c r="E162" s="38" t="s">
        <v>69</v>
      </c>
      <c r="F162" s="38" t="s">
        <v>346</v>
      </c>
    </row>
    <row r="163" spans="1:6" s="49" customFormat="1" ht="63.75" x14ac:dyDescent="0.25">
      <c r="A163" s="3">
        <f t="shared" si="21"/>
        <v>1173</v>
      </c>
      <c r="B163" s="3">
        <f t="shared" si="20"/>
        <v>1175</v>
      </c>
      <c r="C163" s="5">
        <v>3</v>
      </c>
      <c r="D163" s="13" t="s">
        <v>21</v>
      </c>
      <c r="E163" s="37" t="s">
        <v>352</v>
      </c>
      <c r="F163" s="12" t="s">
        <v>422</v>
      </c>
    </row>
    <row r="164" spans="1:6" s="49" customFormat="1" ht="89.25" x14ac:dyDescent="0.25">
      <c r="A164" s="3">
        <f t="shared" si="21"/>
        <v>1176</v>
      </c>
      <c r="B164" s="3">
        <f t="shared" si="20"/>
        <v>1178</v>
      </c>
      <c r="C164" s="5">
        <v>3</v>
      </c>
      <c r="D164" s="13" t="s">
        <v>88</v>
      </c>
      <c r="E164" s="37" t="s">
        <v>309</v>
      </c>
      <c r="F164" s="40" t="s">
        <v>191</v>
      </c>
    </row>
    <row r="165" spans="1:6" s="49" customFormat="1" ht="89.25" x14ac:dyDescent="0.25">
      <c r="A165" s="3">
        <f t="shared" si="21"/>
        <v>1179</v>
      </c>
      <c r="B165" s="3">
        <f t="shared" si="20"/>
        <v>1181</v>
      </c>
      <c r="C165" s="5">
        <v>3</v>
      </c>
      <c r="D165" s="13" t="s">
        <v>92</v>
      </c>
      <c r="E165" s="37" t="s">
        <v>309</v>
      </c>
      <c r="F165" s="40" t="s">
        <v>192</v>
      </c>
    </row>
    <row r="166" spans="1:6" s="49" customFormat="1" ht="15" x14ac:dyDescent="0.25">
      <c r="A166" s="3">
        <f t="shared" si="21"/>
        <v>1182</v>
      </c>
      <c r="B166" s="3">
        <f t="shared" si="20"/>
        <v>1201</v>
      </c>
      <c r="C166" s="5">
        <v>20</v>
      </c>
      <c r="D166" s="13" t="s">
        <v>39</v>
      </c>
      <c r="E166" s="37"/>
      <c r="F166" s="40"/>
    </row>
    <row r="167" spans="1:6" s="50" customFormat="1" ht="39" customHeight="1" x14ac:dyDescent="0.25">
      <c r="A167" s="3"/>
      <c r="B167" s="5"/>
      <c r="C167" s="51"/>
      <c r="D167" s="22" t="s">
        <v>463</v>
      </c>
      <c r="E167" s="52"/>
      <c r="F167" s="38"/>
    </row>
    <row r="168" spans="1:6" s="50" customFormat="1" ht="63.75" x14ac:dyDescent="0.25">
      <c r="A168" s="3">
        <f>A166+C166</f>
        <v>1202</v>
      </c>
      <c r="B168" s="30">
        <f t="shared" ref="B168:B183" si="22">A168+C168-1</f>
        <v>1205</v>
      </c>
      <c r="C168" s="51">
        <v>4</v>
      </c>
      <c r="D168" s="45" t="s">
        <v>284</v>
      </c>
      <c r="E168" s="46" t="s">
        <v>362</v>
      </c>
      <c r="F168" s="33" t="s">
        <v>464</v>
      </c>
    </row>
    <row r="169" spans="1:6" s="50" customFormat="1" ht="76.5" x14ac:dyDescent="0.25">
      <c r="A169" s="5">
        <f t="shared" ref="A169:A183" si="23">A168+C168</f>
        <v>1206</v>
      </c>
      <c r="B169" s="30">
        <f t="shared" si="22"/>
        <v>1206</v>
      </c>
      <c r="C169" s="51">
        <v>1</v>
      </c>
      <c r="D169" s="45" t="s">
        <v>285</v>
      </c>
      <c r="E169" s="46" t="s">
        <v>273</v>
      </c>
      <c r="F169" s="33" t="s">
        <v>366</v>
      </c>
    </row>
    <row r="170" spans="1:6" s="50" customFormat="1" ht="63.75" x14ac:dyDescent="0.25">
      <c r="A170" s="5">
        <f t="shared" si="23"/>
        <v>1207</v>
      </c>
      <c r="B170" s="30">
        <f t="shared" si="22"/>
        <v>1209</v>
      </c>
      <c r="C170" s="51">
        <v>3</v>
      </c>
      <c r="D170" s="45" t="s">
        <v>286</v>
      </c>
      <c r="E170" s="46" t="s">
        <v>69</v>
      </c>
      <c r="F170" s="33" t="s">
        <v>465</v>
      </c>
    </row>
    <row r="171" spans="1:6" s="50" customFormat="1" ht="63.75" x14ac:dyDescent="0.25">
      <c r="A171" s="5">
        <f t="shared" si="23"/>
        <v>1210</v>
      </c>
      <c r="B171" s="30">
        <f t="shared" si="22"/>
        <v>1213</v>
      </c>
      <c r="C171" s="51">
        <v>4</v>
      </c>
      <c r="D171" s="45" t="s">
        <v>287</v>
      </c>
      <c r="E171" s="46" t="s">
        <v>362</v>
      </c>
      <c r="F171" s="33" t="s">
        <v>466</v>
      </c>
    </row>
    <row r="172" spans="1:6" s="50" customFormat="1" ht="76.5" x14ac:dyDescent="0.25">
      <c r="A172" s="5">
        <f t="shared" si="23"/>
        <v>1214</v>
      </c>
      <c r="B172" s="30">
        <f t="shared" si="22"/>
        <v>1214</v>
      </c>
      <c r="C172" s="51">
        <v>1</v>
      </c>
      <c r="D172" s="45" t="s">
        <v>288</v>
      </c>
      <c r="E172" s="46" t="s">
        <v>273</v>
      </c>
      <c r="F172" s="38" t="s">
        <v>367</v>
      </c>
    </row>
    <row r="173" spans="1:6" s="50" customFormat="1" ht="63.75" x14ac:dyDescent="0.25">
      <c r="A173" s="5">
        <f t="shared" si="23"/>
        <v>1215</v>
      </c>
      <c r="B173" s="30">
        <f t="shared" si="22"/>
        <v>1217</v>
      </c>
      <c r="C173" s="51">
        <v>3</v>
      </c>
      <c r="D173" s="45" t="s">
        <v>289</v>
      </c>
      <c r="E173" s="46" t="s">
        <v>69</v>
      </c>
      <c r="F173" s="33" t="s">
        <v>467</v>
      </c>
    </row>
    <row r="174" spans="1:6" s="50" customFormat="1" ht="63.75" x14ac:dyDescent="0.25">
      <c r="A174" s="5">
        <f t="shared" si="23"/>
        <v>1218</v>
      </c>
      <c r="B174" s="30">
        <f t="shared" si="22"/>
        <v>1221</v>
      </c>
      <c r="C174" s="51">
        <v>4</v>
      </c>
      <c r="D174" s="45" t="s">
        <v>290</v>
      </c>
      <c r="E174" s="46" t="s">
        <v>362</v>
      </c>
      <c r="F174" s="33" t="s">
        <v>468</v>
      </c>
    </row>
    <row r="175" spans="1:6" s="50" customFormat="1" ht="89.25" x14ac:dyDescent="0.25">
      <c r="A175" s="5">
        <f t="shared" si="23"/>
        <v>1222</v>
      </c>
      <c r="B175" s="30">
        <f t="shared" si="22"/>
        <v>1222</v>
      </c>
      <c r="C175" s="51">
        <v>1</v>
      </c>
      <c r="D175" s="45" t="s">
        <v>291</v>
      </c>
      <c r="E175" s="46" t="s">
        <v>273</v>
      </c>
      <c r="F175" s="33" t="s">
        <v>372</v>
      </c>
    </row>
    <row r="176" spans="1:6" s="50" customFormat="1" ht="63.75" x14ac:dyDescent="0.25">
      <c r="A176" s="5">
        <f t="shared" si="23"/>
        <v>1223</v>
      </c>
      <c r="B176" s="30">
        <f t="shared" si="22"/>
        <v>1225</v>
      </c>
      <c r="C176" s="51">
        <v>3</v>
      </c>
      <c r="D176" s="45" t="s">
        <v>292</v>
      </c>
      <c r="E176" s="46" t="s">
        <v>69</v>
      </c>
      <c r="F176" s="33" t="s">
        <v>469</v>
      </c>
    </row>
    <row r="177" spans="1:6" s="50" customFormat="1" ht="63.75" x14ac:dyDescent="0.25">
      <c r="A177" s="5">
        <f t="shared" si="23"/>
        <v>1226</v>
      </c>
      <c r="B177" s="30">
        <f t="shared" si="22"/>
        <v>1229</v>
      </c>
      <c r="C177" s="51">
        <v>4</v>
      </c>
      <c r="D177" s="45" t="s">
        <v>293</v>
      </c>
      <c r="E177" s="46" t="s">
        <v>362</v>
      </c>
      <c r="F177" s="33" t="s">
        <v>470</v>
      </c>
    </row>
    <row r="178" spans="1:6" s="50" customFormat="1" ht="89.25" x14ac:dyDescent="0.25">
      <c r="A178" s="5">
        <f t="shared" si="23"/>
        <v>1230</v>
      </c>
      <c r="B178" s="30">
        <f t="shared" si="22"/>
        <v>1230</v>
      </c>
      <c r="C178" s="51">
        <v>1</v>
      </c>
      <c r="D178" s="45" t="s">
        <v>294</v>
      </c>
      <c r="E178" s="46" t="s">
        <v>273</v>
      </c>
      <c r="F178" s="33" t="s">
        <v>368</v>
      </c>
    </row>
    <row r="179" spans="1:6" s="50" customFormat="1" ht="76.5" x14ac:dyDescent="0.25">
      <c r="A179" s="5">
        <f t="shared" si="23"/>
        <v>1231</v>
      </c>
      <c r="B179" s="30">
        <f t="shared" si="22"/>
        <v>1233</v>
      </c>
      <c r="C179" s="51">
        <v>3</v>
      </c>
      <c r="D179" s="45" t="s">
        <v>295</v>
      </c>
      <c r="E179" s="46" t="s">
        <v>69</v>
      </c>
      <c r="F179" s="33" t="s">
        <v>471</v>
      </c>
    </row>
    <row r="180" spans="1:6" s="50" customFormat="1" ht="63.75" x14ac:dyDescent="0.25">
      <c r="A180" s="5">
        <f t="shared" si="23"/>
        <v>1234</v>
      </c>
      <c r="B180" s="30">
        <f t="shared" si="22"/>
        <v>1237</v>
      </c>
      <c r="C180" s="51">
        <v>4</v>
      </c>
      <c r="D180" s="45" t="s">
        <v>296</v>
      </c>
      <c r="E180" s="46" t="s">
        <v>362</v>
      </c>
      <c r="F180" s="33" t="s">
        <v>472</v>
      </c>
    </row>
    <row r="181" spans="1:6" s="50" customFormat="1" ht="94.15" customHeight="1" x14ac:dyDescent="0.25">
      <c r="A181" s="5">
        <f t="shared" si="23"/>
        <v>1238</v>
      </c>
      <c r="B181" s="30">
        <f t="shared" si="22"/>
        <v>1238</v>
      </c>
      <c r="C181" s="51">
        <v>1</v>
      </c>
      <c r="D181" s="45" t="s">
        <v>297</v>
      </c>
      <c r="E181" s="46" t="s">
        <v>273</v>
      </c>
      <c r="F181" s="33" t="s">
        <v>369</v>
      </c>
    </row>
    <row r="182" spans="1:6" s="50" customFormat="1" ht="78" customHeight="1" x14ac:dyDescent="0.25">
      <c r="A182" s="5">
        <f t="shared" si="23"/>
        <v>1239</v>
      </c>
      <c r="B182" s="30">
        <f t="shared" si="22"/>
        <v>1241</v>
      </c>
      <c r="C182" s="51">
        <v>3</v>
      </c>
      <c r="D182" s="45" t="s">
        <v>298</v>
      </c>
      <c r="E182" s="46" t="s">
        <v>69</v>
      </c>
      <c r="F182" s="33" t="s">
        <v>473</v>
      </c>
    </row>
    <row r="183" spans="1:6" s="50" customFormat="1" ht="18" customHeight="1" x14ac:dyDescent="0.25">
      <c r="A183" s="5">
        <f t="shared" si="23"/>
        <v>1242</v>
      </c>
      <c r="B183" s="30">
        <f t="shared" si="22"/>
        <v>1261</v>
      </c>
      <c r="C183" s="51">
        <v>20</v>
      </c>
      <c r="D183" s="45" t="s">
        <v>39</v>
      </c>
      <c r="E183" s="52"/>
      <c r="F183" s="38"/>
    </row>
    <row r="184" spans="1:6" s="50" customFormat="1" ht="15" x14ac:dyDescent="0.25">
      <c r="A184" s="5"/>
      <c r="B184" s="5"/>
      <c r="C184" s="51"/>
      <c r="D184" s="22" t="s">
        <v>515</v>
      </c>
      <c r="E184" s="52"/>
      <c r="F184" s="38"/>
    </row>
    <row r="185" spans="1:6" s="50" customFormat="1" ht="51" x14ac:dyDescent="0.25">
      <c r="A185" s="5">
        <f>A183+C183</f>
        <v>1262</v>
      </c>
      <c r="B185" s="30">
        <f t="shared" ref="B185:B191" si="24">A185+C185-1</f>
        <v>1265</v>
      </c>
      <c r="C185" s="51">
        <v>4</v>
      </c>
      <c r="D185" s="45" t="s">
        <v>117</v>
      </c>
      <c r="E185" s="46" t="s">
        <v>353</v>
      </c>
      <c r="F185" s="33" t="s">
        <v>476</v>
      </c>
    </row>
    <row r="186" spans="1:6" s="50" customFormat="1" ht="76.5" x14ac:dyDescent="0.25">
      <c r="A186" s="5">
        <f t="shared" ref="A186:A191" si="25">A185+C185</f>
        <v>1266</v>
      </c>
      <c r="B186" s="30">
        <f t="shared" si="24"/>
        <v>1266</v>
      </c>
      <c r="C186" s="51">
        <v>1</v>
      </c>
      <c r="D186" s="45" t="s">
        <v>299</v>
      </c>
      <c r="E186" s="46" t="s">
        <v>273</v>
      </c>
      <c r="F186" s="38" t="s">
        <v>370</v>
      </c>
    </row>
    <row r="187" spans="1:6" s="50" customFormat="1" ht="63.75" x14ac:dyDescent="0.25">
      <c r="A187" s="5">
        <f t="shared" si="25"/>
        <v>1267</v>
      </c>
      <c r="B187" s="30">
        <f t="shared" si="24"/>
        <v>1269</v>
      </c>
      <c r="C187" s="51">
        <v>3</v>
      </c>
      <c r="D187" s="45" t="s">
        <v>126</v>
      </c>
      <c r="E187" s="46" t="s">
        <v>69</v>
      </c>
      <c r="F187" s="33" t="s">
        <v>474</v>
      </c>
    </row>
    <row r="188" spans="1:6" s="50" customFormat="1" ht="51" x14ac:dyDescent="0.25">
      <c r="A188" s="5">
        <f t="shared" si="25"/>
        <v>1270</v>
      </c>
      <c r="B188" s="30">
        <f t="shared" si="24"/>
        <v>1273</v>
      </c>
      <c r="C188" s="51">
        <v>4</v>
      </c>
      <c r="D188" s="45" t="s">
        <v>300</v>
      </c>
      <c r="E188" s="46" t="s">
        <v>362</v>
      </c>
      <c r="F188" s="33" t="s">
        <v>432</v>
      </c>
    </row>
    <row r="189" spans="1:6" s="50" customFormat="1" ht="76.5" x14ac:dyDescent="0.25">
      <c r="A189" s="5">
        <f t="shared" si="25"/>
        <v>1274</v>
      </c>
      <c r="B189" s="30">
        <f t="shared" si="24"/>
        <v>1274</v>
      </c>
      <c r="C189" s="51">
        <v>1</v>
      </c>
      <c r="D189" s="45" t="s">
        <v>301</v>
      </c>
      <c r="E189" s="46" t="s">
        <v>273</v>
      </c>
      <c r="F189" s="33" t="s">
        <v>371</v>
      </c>
    </row>
    <row r="190" spans="1:6" s="50" customFormat="1" ht="63.75" x14ac:dyDescent="0.25">
      <c r="A190" s="5">
        <f t="shared" si="25"/>
        <v>1275</v>
      </c>
      <c r="B190" s="30">
        <f t="shared" si="24"/>
        <v>1277</v>
      </c>
      <c r="C190" s="51">
        <v>3</v>
      </c>
      <c r="D190" s="45" t="s">
        <v>302</v>
      </c>
      <c r="E190" s="46" t="s">
        <v>69</v>
      </c>
      <c r="F190" s="33" t="s">
        <v>475</v>
      </c>
    </row>
    <row r="191" spans="1:6" s="50" customFormat="1" ht="15" x14ac:dyDescent="0.25">
      <c r="A191" s="5">
        <f t="shared" si="25"/>
        <v>1278</v>
      </c>
      <c r="B191" s="30">
        <f t="shared" si="24"/>
        <v>1287</v>
      </c>
      <c r="C191" s="51">
        <v>10</v>
      </c>
      <c r="D191" s="45" t="s">
        <v>39</v>
      </c>
      <c r="E191" s="52"/>
      <c r="F191" s="38"/>
    </row>
    <row r="192" spans="1:6" s="49" customFormat="1" ht="15" x14ac:dyDescent="0.25">
      <c r="A192" s="3"/>
      <c r="B192" s="3"/>
      <c r="C192" s="3"/>
      <c r="D192" s="22" t="s">
        <v>240</v>
      </c>
      <c r="E192" s="36"/>
      <c r="F192" s="38"/>
    </row>
    <row r="193" spans="1:6" s="49" customFormat="1" ht="25.5" x14ac:dyDescent="0.25">
      <c r="A193" s="3">
        <f>A191+C191</f>
        <v>1288</v>
      </c>
      <c r="B193" s="3">
        <f t="shared" ref="B193:B200" si="26">A193+C193-1</f>
        <v>1289</v>
      </c>
      <c r="C193" s="5">
        <v>2</v>
      </c>
      <c r="D193" s="13" t="s">
        <v>239</v>
      </c>
      <c r="E193" s="36" t="s">
        <v>70</v>
      </c>
      <c r="F193" s="38" t="s">
        <v>114</v>
      </c>
    </row>
    <row r="194" spans="1:6" s="49" customFormat="1" ht="63.75" x14ac:dyDescent="0.25">
      <c r="A194" s="3">
        <f t="shared" ref="A194:A200" si="27">A193+C193</f>
        <v>1290</v>
      </c>
      <c r="B194" s="3">
        <f t="shared" si="26"/>
        <v>1290</v>
      </c>
      <c r="C194" s="3">
        <v>1</v>
      </c>
      <c r="D194" s="21" t="s">
        <v>17</v>
      </c>
      <c r="E194" s="36" t="s">
        <v>93</v>
      </c>
      <c r="F194" s="38" t="s">
        <v>256</v>
      </c>
    </row>
    <row r="195" spans="1:6" s="49" customFormat="1" ht="38.25" x14ac:dyDescent="0.25">
      <c r="A195" s="3">
        <f t="shared" si="27"/>
        <v>1291</v>
      </c>
      <c r="B195" s="3">
        <f t="shared" si="26"/>
        <v>1291</v>
      </c>
      <c r="C195" s="3">
        <v>1</v>
      </c>
      <c r="D195" s="21" t="s">
        <v>18</v>
      </c>
      <c r="E195" s="36" t="s">
        <v>65</v>
      </c>
      <c r="F195" s="38" t="s">
        <v>180</v>
      </c>
    </row>
    <row r="196" spans="1:6" s="49" customFormat="1" ht="38.25" x14ac:dyDescent="0.25">
      <c r="A196" s="3">
        <f t="shared" si="27"/>
        <v>1292</v>
      </c>
      <c r="B196" s="3">
        <f t="shared" si="26"/>
        <v>1292</v>
      </c>
      <c r="C196" s="3">
        <v>1</v>
      </c>
      <c r="D196" s="21" t="s">
        <v>90</v>
      </c>
      <c r="E196" s="36" t="s">
        <v>178</v>
      </c>
      <c r="F196" s="38" t="s">
        <v>179</v>
      </c>
    </row>
    <row r="197" spans="1:6" s="49" customFormat="1" ht="51" x14ac:dyDescent="0.25">
      <c r="A197" s="3">
        <f t="shared" si="27"/>
        <v>1293</v>
      </c>
      <c r="B197" s="3">
        <f t="shared" si="26"/>
        <v>1293</v>
      </c>
      <c r="C197" s="3">
        <v>1</v>
      </c>
      <c r="D197" s="21" t="s">
        <v>19</v>
      </c>
      <c r="E197" s="36" t="s">
        <v>66</v>
      </c>
      <c r="F197" s="38" t="s">
        <v>181</v>
      </c>
    </row>
    <row r="198" spans="1:6" s="49" customFormat="1" ht="171.75" customHeight="1" x14ac:dyDescent="0.25">
      <c r="A198" s="3">
        <f t="shared" si="27"/>
        <v>1294</v>
      </c>
      <c r="B198" s="3">
        <f t="shared" si="26"/>
        <v>1294</v>
      </c>
      <c r="C198" s="3">
        <v>1</v>
      </c>
      <c r="D198" s="21" t="s">
        <v>23</v>
      </c>
      <c r="E198" s="36" t="s">
        <v>63</v>
      </c>
      <c r="F198" s="38" t="s">
        <v>237</v>
      </c>
    </row>
    <row r="199" spans="1:6" s="49" customFormat="1" ht="63.75" x14ac:dyDescent="0.25">
      <c r="A199" s="3">
        <f t="shared" si="27"/>
        <v>1295</v>
      </c>
      <c r="B199" s="3">
        <f t="shared" si="26"/>
        <v>1295</v>
      </c>
      <c r="C199" s="3">
        <v>1</v>
      </c>
      <c r="D199" s="21" t="s">
        <v>20</v>
      </c>
      <c r="E199" s="36" t="s">
        <v>62</v>
      </c>
      <c r="F199" s="38" t="s">
        <v>434</v>
      </c>
    </row>
    <row r="200" spans="1:6" s="49" customFormat="1" ht="15" x14ac:dyDescent="0.25">
      <c r="A200" s="3">
        <f t="shared" si="27"/>
        <v>1296</v>
      </c>
      <c r="B200" s="3">
        <f t="shared" si="26"/>
        <v>1657</v>
      </c>
      <c r="C200" s="3">
        <v>362</v>
      </c>
      <c r="D200" s="21" t="s">
        <v>39</v>
      </c>
      <c r="E200" s="37" t="s">
        <v>318</v>
      </c>
      <c r="F200" s="38" t="s">
        <v>318</v>
      </c>
    </row>
    <row r="201" spans="1:6" x14ac:dyDescent="0.25">
      <c r="A201" s="3" t="s">
        <v>318</v>
      </c>
      <c r="B201" s="3" t="s">
        <v>318</v>
      </c>
      <c r="C201" s="7"/>
      <c r="D201" s="22" t="s">
        <v>139</v>
      </c>
      <c r="E201" s="14"/>
      <c r="F201" s="17"/>
    </row>
    <row r="202" spans="1:6" ht="25.5" x14ac:dyDescent="0.25">
      <c r="A202" s="3">
        <f>A200+C200</f>
        <v>1658</v>
      </c>
      <c r="B202" s="3">
        <f t="shared" ref="B202:B214" si="28">A202+C202-1</f>
        <v>1658</v>
      </c>
      <c r="C202" s="3">
        <v>1</v>
      </c>
      <c r="D202" s="21" t="s">
        <v>24</v>
      </c>
      <c r="E202" s="36" t="s">
        <v>38</v>
      </c>
    </row>
    <row r="203" spans="1:6" ht="178.5" x14ac:dyDescent="0.25">
      <c r="A203" s="3">
        <f t="shared" ref="A203:A214" si="29">A202+C202</f>
        <v>1659</v>
      </c>
      <c r="B203" s="3">
        <f t="shared" si="28"/>
        <v>1666</v>
      </c>
      <c r="C203" s="5">
        <v>8</v>
      </c>
      <c r="D203" s="13" t="s">
        <v>11</v>
      </c>
      <c r="E203" s="37" t="s">
        <v>518</v>
      </c>
      <c r="F203" s="38" t="s">
        <v>436</v>
      </c>
    </row>
    <row r="204" spans="1:6" x14ac:dyDescent="0.25">
      <c r="A204" s="3">
        <f t="shared" si="29"/>
        <v>1667</v>
      </c>
      <c r="B204" s="3">
        <f t="shared" si="28"/>
        <v>1674</v>
      </c>
      <c r="C204" s="6">
        <v>8</v>
      </c>
      <c r="D204" s="21" t="s">
        <v>39</v>
      </c>
      <c r="E204" s="37" t="s">
        <v>318</v>
      </c>
      <c r="F204" s="38" t="s">
        <v>318</v>
      </c>
    </row>
    <row r="205" spans="1:6" ht="18" customHeight="1" x14ac:dyDescent="0.25">
      <c r="A205" s="3">
        <f t="shared" si="29"/>
        <v>1675</v>
      </c>
      <c r="B205" s="3">
        <f t="shared" si="28"/>
        <v>1694</v>
      </c>
      <c r="C205" s="3">
        <v>20</v>
      </c>
      <c r="D205" s="21" t="s">
        <v>12</v>
      </c>
      <c r="E205" s="75" t="s">
        <v>177</v>
      </c>
      <c r="F205" s="74" t="s">
        <v>230</v>
      </c>
    </row>
    <row r="206" spans="1:6" ht="18.75" customHeight="1" x14ac:dyDescent="0.25">
      <c r="A206" s="3">
        <f t="shared" si="29"/>
        <v>1695</v>
      </c>
      <c r="B206" s="3">
        <f t="shared" si="28"/>
        <v>1709</v>
      </c>
      <c r="C206" s="3">
        <v>15</v>
      </c>
      <c r="D206" s="21" t="s">
        <v>13</v>
      </c>
      <c r="E206" s="75"/>
      <c r="F206" s="74"/>
    </row>
    <row r="207" spans="1:6" ht="17.25" customHeight="1" x14ac:dyDescent="0.25">
      <c r="A207" s="3">
        <f t="shared" si="29"/>
        <v>1710</v>
      </c>
      <c r="B207" s="3">
        <f t="shared" si="28"/>
        <v>1710</v>
      </c>
      <c r="C207" s="3">
        <v>1</v>
      </c>
      <c r="D207" s="21" t="s">
        <v>186</v>
      </c>
      <c r="E207" s="75"/>
      <c r="F207" s="74"/>
    </row>
    <row r="208" spans="1:6" ht="38.25" customHeight="1" x14ac:dyDescent="0.25">
      <c r="A208" s="3">
        <f t="shared" si="29"/>
        <v>1711</v>
      </c>
      <c r="B208" s="3">
        <f t="shared" si="28"/>
        <v>1754</v>
      </c>
      <c r="C208" s="3">
        <v>44</v>
      </c>
      <c r="D208" s="21" t="s">
        <v>39</v>
      </c>
      <c r="E208" s="32" t="s">
        <v>318</v>
      </c>
      <c r="F208" s="39" t="s">
        <v>318</v>
      </c>
    </row>
    <row r="209" spans="1:6" ht="63.75" x14ac:dyDescent="0.25">
      <c r="A209" s="3">
        <f t="shared" si="29"/>
        <v>1755</v>
      </c>
      <c r="B209" s="3">
        <f t="shared" si="28"/>
        <v>1760</v>
      </c>
      <c r="C209" s="3">
        <v>6</v>
      </c>
      <c r="D209" s="21" t="s">
        <v>111</v>
      </c>
      <c r="E209" s="39" t="s">
        <v>373</v>
      </c>
      <c r="F209" s="33" t="s">
        <v>374</v>
      </c>
    </row>
    <row r="210" spans="1:6" ht="102" x14ac:dyDescent="0.25">
      <c r="A210" s="3">
        <f t="shared" si="29"/>
        <v>1761</v>
      </c>
      <c r="B210" s="3">
        <f t="shared" si="28"/>
        <v>1790</v>
      </c>
      <c r="C210" s="3">
        <v>30</v>
      </c>
      <c r="D210" s="21" t="s">
        <v>14</v>
      </c>
      <c r="E210" s="39" t="s">
        <v>478</v>
      </c>
      <c r="F210" s="33" t="s">
        <v>477</v>
      </c>
    </row>
    <row r="211" spans="1:6" ht="51" x14ac:dyDescent="0.25">
      <c r="A211" s="3">
        <f t="shared" si="29"/>
        <v>1791</v>
      </c>
      <c r="B211" s="3">
        <f t="shared" si="28"/>
        <v>1810</v>
      </c>
      <c r="C211" s="3">
        <v>20</v>
      </c>
      <c r="D211" s="21" t="s">
        <v>84</v>
      </c>
      <c r="E211" s="36" t="s">
        <v>221</v>
      </c>
      <c r="F211" s="38" t="s">
        <v>230</v>
      </c>
    </row>
    <row r="212" spans="1:6" ht="38.25" x14ac:dyDescent="0.25">
      <c r="A212" s="3">
        <f t="shared" si="29"/>
        <v>1811</v>
      </c>
      <c r="B212" s="3">
        <f t="shared" si="28"/>
        <v>1816</v>
      </c>
      <c r="C212" s="3">
        <v>6</v>
      </c>
      <c r="D212" s="21" t="s">
        <v>85</v>
      </c>
      <c r="E212" s="36" t="s">
        <v>86</v>
      </c>
      <c r="F212" s="38" t="s">
        <v>211</v>
      </c>
    </row>
    <row r="213" spans="1:6" ht="25.5" x14ac:dyDescent="0.25">
      <c r="A213" s="3">
        <f t="shared" si="29"/>
        <v>1817</v>
      </c>
      <c r="B213" s="3">
        <f t="shared" si="28"/>
        <v>1817</v>
      </c>
      <c r="C213" s="3">
        <v>1</v>
      </c>
      <c r="D213" s="21" t="s">
        <v>217</v>
      </c>
      <c r="E213" s="36" t="s">
        <v>209</v>
      </c>
      <c r="F213" s="38" t="s">
        <v>208</v>
      </c>
    </row>
    <row r="214" spans="1:6" x14ac:dyDescent="0.25">
      <c r="A214" s="3">
        <f t="shared" si="29"/>
        <v>1818</v>
      </c>
      <c r="B214" s="3">
        <f t="shared" si="28"/>
        <v>1854</v>
      </c>
      <c r="C214" s="5">
        <v>37</v>
      </c>
      <c r="D214" s="21" t="s">
        <v>39</v>
      </c>
      <c r="E214" s="36"/>
    </row>
    <row r="215" spans="1:6" s="49" customFormat="1" ht="15" x14ac:dyDescent="0.25">
      <c r="A215" s="3"/>
      <c r="B215" s="3"/>
      <c r="C215" s="5"/>
      <c r="D215" s="22" t="s">
        <v>241</v>
      </c>
      <c r="E215" s="38"/>
      <c r="F215" s="38"/>
    </row>
    <row r="216" spans="1:6" s="49" customFormat="1" ht="15" customHeight="1" x14ac:dyDescent="0.25">
      <c r="A216" s="3">
        <f>A214+C214</f>
        <v>1855</v>
      </c>
      <c r="B216" s="3">
        <f t="shared" ref="B216:B232" si="30">A216+C216-1</f>
        <v>1855</v>
      </c>
      <c r="C216" s="5">
        <v>1</v>
      </c>
      <c r="D216" s="21" t="s">
        <v>94</v>
      </c>
      <c r="E216" s="72" t="s">
        <v>87</v>
      </c>
      <c r="F216" s="73" t="s">
        <v>257</v>
      </c>
    </row>
    <row r="217" spans="1:6" s="49" customFormat="1" ht="15" x14ac:dyDescent="0.25">
      <c r="A217" s="3">
        <f t="shared" ref="A217:A232" si="31">A216+C216</f>
        <v>1856</v>
      </c>
      <c r="B217" s="3">
        <f t="shared" si="30"/>
        <v>1856</v>
      </c>
      <c r="C217" s="5">
        <v>1</v>
      </c>
      <c r="D217" s="21" t="s">
        <v>95</v>
      </c>
      <c r="E217" s="72"/>
      <c r="F217" s="73"/>
    </row>
    <row r="218" spans="1:6" s="49" customFormat="1" ht="15" x14ac:dyDescent="0.25">
      <c r="A218" s="3">
        <f t="shared" si="31"/>
        <v>1857</v>
      </c>
      <c r="B218" s="3">
        <f t="shared" si="30"/>
        <v>1857</v>
      </c>
      <c r="C218" s="5">
        <v>1</v>
      </c>
      <c r="D218" s="13" t="s">
        <v>39</v>
      </c>
      <c r="E218" s="72"/>
      <c r="F218" s="73"/>
    </row>
    <row r="219" spans="1:6" s="49" customFormat="1" ht="15" x14ac:dyDescent="0.25">
      <c r="A219" s="3">
        <f t="shared" si="31"/>
        <v>1858</v>
      </c>
      <c r="B219" s="3">
        <f t="shared" si="30"/>
        <v>1858</v>
      </c>
      <c r="C219" s="5">
        <v>1</v>
      </c>
      <c r="D219" s="21" t="s">
        <v>96</v>
      </c>
      <c r="E219" s="72"/>
      <c r="F219" s="73"/>
    </row>
    <row r="220" spans="1:6" s="49" customFormat="1" ht="15" x14ac:dyDescent="0.25">
      <c r="A220" s="3">
        <f t="shared" si="31"/>
        <v>1859</v>
      </c>
      <c r="B220" s="3">
        <f t="shared" si="30"/>
        <v>1859</v>
      </c>
      <c r="C220" s="5">
        <v>1</v>
      </c>
      <c r="D220" s="21" t="s">
        <v>97</v>
      </c>
      <c r="E220" s="72"/>
      <c r="F220" s="73"/>
    </row>
    <row r="221" spans="1:6" s="49" customFormat="1" ht="15" x14ac:dyDescent="0.25">
      <c r="A221" s="3">
        <f t="shared" si="31"/>
        <v>1860</v>
      </c>
      <c r="B221" s="3">
        <f t="shared" si="30"/>
        <v>1860</v>
      </c>
      <c r="C221" s="5">
        <v>1</v>
      </c>
      <c r="D221" s="21" t="s">
        <v>98</v>
      </c>
      <c r="E221" s="72"/>
      <c r="F221" s="73"/>
    </row>
    <row r="222" spans="1:6" s="49" customFormat="1" ht="15" x14ac:dyDescent="0.25">
      <c r="A222" s="3">
        <f t="shared" si="31"/>
        <v>1861</v>
      </c>
      <c r="B222" s="3">
        <f t="shared" si="30"/>
        <v>1861</v>
      </c>
      <c r="C222" s="5">
        <v>1</v>
      </c>
      <c r="D222" s="21" t="s">
        <v>187</v>
      </c>
      <c r="E222" s="72"/>
      <c r="F222" s="73"/>
    </row>
    <row r="223" spans="1:6" s="49" customFormat="1" ht="15" x14ac:dyDescent="0.25">
      <c r="A223" s="3">
        <f t="shared" si="31"/>
        <v>1862</v>
      </c>
      <c r="B223" s="3">
        <f t="shared" si="30"/>
        <v>1862</v>
      </c>
      <c r="C223" s="5">
        <v>1</v>
      </c>
      <c r="D223" s="21" t="s">
        <v>212</v>
      </c>
      <c r="E223" s="72"/>
      <c r="F223" s="73"/>
    </row>
    <row r="224" spans="1:6" s="49" customFormat="1" ht="15" x14ac:dyDescent="0.25">
      <c r="A224" s="3">
        <f t="shared" si="31"/>
        <v>1863</v>
      </c>
      <c r="B224" s="3">
        <f t="shared" si="30"/>
        <v>1863</v>
      </c>
      <c r="C224" s="5">
        <v>1</v>
      </c>
      <c r="D224" s="21" t="s">
        <v>99</v>
      </c>
      <c r="E224" s="72"/>
      <c r="F224" s="73"/>
    </row>
    <row r="225" spans="1:6" s="49" customFormat="1" ht="15" x14ac:dyDescent="0.25">
      <c r="A225" s="3">
        <f t="shared" si="31"/>
        <v>1864</v>
      </c>
      <c r="B225" s="3">
        <f t="shared" si="30"/>
        <v>1864</v>
      </c>
      <c r="C225" s="5">
        <v>1</v>
      </c>
      <c r="D225" s="21" t="s">
        <v>100</v>
      </c>
      <c r="E225" s="72"/>
      <c r="F225" s="73"/>
    </row>
    <row r="226" spans="1:6" s="49" customFormat="1" ht="15" x14ac:dyDescent="0.25">
      <c r="A226" s="3">
        <f t="shared" si="31"/>
        <v>1865</v>
      </c>
      <c r="B226" s="3">
        <f t="shared" si="30"/>
        <v>1865</v>
      </c>
      <c r="C226" s="5">
        <v>1</v>
      </c>
      <c r="D226" s="21" t="s">
        <v>101</v>
      </c>
      <c r="E226" s="72"/>
      <c r="F226" s="73"/>
    </row>
    <row r="227" spans="1:6" s="49" customFormat="1" ht="15" x14ac:dyDescent="0.25">
      <c r="A227" s="3">
        <f t="shared" si="31"/>
        <v>1866</v>
      </c>
      <c r="B227" s="3">
        <f t="shared" si="30"/>
        <v>1866</v>
      </c>
      <c r="C227" s="5">
        <v>1</v>
      </c>
      <c r="D227" s="21" t="s">
        <v>102</v>
      </c>
      <c r="E227" s="72"/>
      <c r="F227" s="73"/>
    </row>
    <row r="228" spans="1:6" s="49" customFormat="1" ht="15" x14ac:dyDescent="0.25">
      <c r="A228" s="3">
        <f t="shared" si="31"/>
        <v>1867</v>
      </c>
      <c r="B228" s="3">
        <f t="shared" si="30"/>
        <v>1867</v>
      </c>
      <c r="C228" s="5">
        <v>1</v>
      </c>
      <c r="D228" s="21" t="s">
        <v>430</v>
      </c>
      <c r="E228" s="71" t="s">
        <v>442</v>
      </c>
      <c r="F228" s="73"/>
    </row>
    <row r="229" spans="1:6" s="49" customFormat="1" ht="15" x14ac:dyDescent="0.25">
      <c r="A229" s="3">
        <f t="shared" si="31"/>
        <v>1868</v>
      </c>
      <c r="B229" s="3">
        <f t="shared" si="30"/>
        <v>1868</v>
      </c>
      <c r="C229" s="5">
        <v>1</v>
      </c>
      <c r="D229" s="21" t="s">
        <v>431</v>
      </c>
      <c r="E229" s="71"/>
      <c r="F229" s="73"/>
    </row>
    <row r="230" spans="1:6" s="49" customFormat="1" ht="15" x14ac:dyDescent="0.25">
      <c r="A230" s="3">
        <f t="shared" si="31"/>
        <v>1869</v>
      </c>
      <c r="B230" s="3">
        <f t="shared" si="30"/>
        <v>1869</v>
      </c>
      <c r="C230" s="5">
        <v>1</v>
      </c>
      <c r="D230" s="21" t="s">
        <v>103</v>
      </c>
      <c r="E230" s="38"/>
      <c r="F230" s="73"/>
    </row>
    <row r="231" spans="1:6" s="49" customFormat="1" ht="15" x14ac:dyDescent="0.25">
      <c r="A231" s="3">
        <f t="shared" si="31"/>
        <v>1870</v>
      </c>
      <c r="B231" s="3">
        <f t="shared" si="30"/>
        <v>1870</v>
      </c>
      <c r="C231" s="5">
        <v>1</v>
      </c>
      <c r="D231" s="21" t="s">
        <v>104</v>
      </c>
      <c r="E231" s="38"/>
      <c r="F231" s="73"/>
    </row>
    <row r="232" spans="1:6" s="49" customFormat="1" ht="15" x14ac:dyDescent="0.25">
      <c r="A232" s="3">
        <f t="shared" si="31"/>
        <v>1871</v>
      </c>
      <c r="B232" s="3">
        <f t="shared" si="30"/>
        <v>1888</v>
      </c>
      <c r="C232" s="5">
        <v>18</v>
      </c>
      <c r="D232" s="21" t="s">
        <v>39</v>
      </c>
      <c r="E232" s="36"/>
      <c r="F232" s="38"/>
    </row>
    <row r="233" spans="1:6" s="49" customFormat="1" ht="15" x14ac:dyDescent="0.25">
      <c r="A233" s="3"/>
      <c r="B233" s="3"/>
      <c r="C233" s="5"/>
      <c r="D233" s="22" t="s">
        <v>140</v>
      </c>
      <c r="E233" s="36"/>
      <c r="F233" s="38"/>
    </row>
    <row r="234" spans="1:6" s="49" customFormat="1" ht="63.75" x14ac:dyDescent="0.25">
      <c r="A234" s="3">
        <f>A232+C232</f>
        <v>1889</v>
      </c>
      <c r="B234" s="3">
        <f t="shared" ref="B234:B241" si="32">A234+C234-1</f>
        <v>1891</v>
      </c>
      <c r="C234" s="3">
        <v>3</v>
      </c>
      <c r="D234" s="21" t="s">
        <v>15</v>
      </c>
      <c r="E234" s="38" t="s">
        <v>64</v>
      </c>
      <c r="F234" s="33" t="s">
        <v>375</v>
      </c>
    </row>
    <row r="235" spans="1:6" s="49" customFormat="1" ht="63.75" x14ac:dyDescent="0.25">
      <c r="A235" s="3">
        <f t="shared" ref="A235:A241" si="33">A234+C234</f>
        <v>1892</v>
      </c>
      <c r="B235" s="3">
        <f t="shared" si="32"/>
        <v>1894</v>
      </c>
      <c r="C235" s="3">
        <v>3</v>
      </c>
      <c r="D235" s="21" t="s">
        <v>16</v>
      </c>
      <c r="E235" s="38" t="s">
        <v>64</v>
      </c>
      <c r="F235" s="33" t="s">
        <v>376</v>
      </c>
    </row>
    <row r="236" spans="1:6" s="49" customFormat="1" ht="89.25" x14ac:dyDescent="0.25">
      <c r="A236" s="3">
        <f t="shared" si="33"/>
        <v>1895</v>
      </c>
      <c r="B236" s="3">
        <f t="shared" si="32"/>
        <v>1897</v>
      </c>
      <c r="C236" s="3">
        <v>3</v>
      </c>
      <c r="D236" s="21" t="s">
        <v>108</v>
      </c>
      <c r="E236" s="38" t="s">
        <v>64</v>
      </c>
      <c r="F236" s="34" t="s">
        <v>377</v>
      </c>
    </row>
    <row r="237" spans="1:6" s="49" customFormat="1" ht="76.5" x14ac:dyDescent="0.25">
      <c r="A237" s="3">
        <f t="shared" si="33"/>
        <v>1898</v>
      </c>
      <c r="B237" s="3">
        <f t="shared" si="32"/>
        <v>1900</v>
      </c>
      <c r="C237" s="3">
        <v>3</v>
      </c>
      <c r="D237" s="21" t="s">
        <v>109</v>
      </c>
      <c r="E237" s="38" t="s">
        <v>69</v>
      </c>
      <c r="F237" s="33" t="s">
        <v>346</v>
      </c>
    </row>
    <row r="238" spans="1:6" s="49" customFormat="1" ht="63.75" x14ac:dyDescent="0.25">
      <c r="A238" s="3">
        <f t="shared" si="33"/>
        <v>1901</v>
      </c>
      <c r="B238" s="3">
        <f t="shared" si="32"/>
        <v>1903</v>
      </c>
      <c r="C238" s="3">
        <v>3</v>
      </c>
      <c r="D238" s="21" t="s">
        <v>21</v>
      </c>
      <c r="E238" s="39" t="s">
        <v>352</v>
      </c>
      <c r="F238" s="12" t="s">
        <v>423</v>
      </c>
    </row>
    <row r="239" spans="1:6" s="49" customFormat="1" ht="102" x14ac:dyDescent="0.25">
      <c r="A239" s="3">
        <f t="shared" si="33"/>
        <v>1904</v>
      </c>
      <c r="B239" s="3">
        <f t="shared" si="32"/>
        <v>1906</v>
      </c>
      <c r="C239" s="6">
        <v>3</v>
      </c>
      <c r="D239" s="21" t="s">
        <v>88</v>
      </c>
      <c r="E239" s="39" t="s">
        <v>378</v>
      </c>
      <c r="F239" s="40" t="s">
        <v>193</v>
      </c>
    </row>
    <row r="240" spans="1:6" s="49" customFormat="1" ht="89.25" x14ac:dyDescent="0.25">
      <c r="A240" s="3">
        <f t="shared" si="33"/>
        <v>1907</v>
      </c>
      <c r="B240" s="3">
        <f t="shared" si="32"/>
        <v>1909</v>
      </c>
      <c r="C240" s="3">
        <v>3</v>
      </c>
      <c r="D240" s="21" t="s">
        <v>92</v>
      </c>
      <c r="E240" s="39" t="s">
        <v>309</v>
      </c>
      <c r="F240" s="40" t="s">
        <v>194</v>
      </c>
    </row>
    <row r="241" spans="1:6" s="49" customFormat="1" ht="15" x14ac:dyDescent="0.25">
      <c r="A241" s="3">
        <f t="shared" si="33"/>
        <v>1910</v>
      </c>
      <c r="B241" s="3">
        <f t="shared" si="32"/>
        <v>1929</v>
      </c>
      <c r="C241" s="6">
        <v>20</v>
      </c>
      <c r="D241" s="21" t="s">
        <v>39</v>
      </c>
      <c r="E241" s="36"/>
      <c r="F241" s="40"/>
    </row>
    <row r="242" spans="1:6" s="49" customFormat="1" ht="28.15" customHeight="1" x14ac:dyDescent="0.25">
      <c r="A242" s="3"/>
      <c r="B242" s="3"/>
      <c r="C242" s="3"/>
      <c r="D242" s="22" t="s">
        <v>519</v>
      </c>
      <c r="E242" s="36"/>
      <c r="F242" s="38"/>
    </row>
    <row r="243" spans="1:6" s="49" customFormat="1" ht="51" x14ac:dyDescent="0.25">
      <c r="A243" s="3">
        <f>A241+C241</f>
        <v>1930</v>
      </c>
      <c r="B243" s="30">
        <f t="shared" ref="B243:B255" si="34">A243+C243-1</f>
        <v>1933</v>
      </c>
      <c r="C243" s="6">
        <v>4</v>
      </c>
      <c r="D243" s="45" t="s">
        <v>271</v>
      </c>
      <c r="E243" s="46" t="s">
        <v>362</v>
      </c>
      <c r="F243" s="33" t="s">
        <v>479</v>
      </c>
    </row>
    <row r="244" spans="1:6" s="49" customFormat="1" ht="76.5" x14ac:dyDescent="0.25">
      <c r="A244" s="6">
        <f t="shared" ref="A244:A255" si="35">A243+C243</f>
        <v>1934</v>
      </c>
      <c r="B244" s="30">
        <f t="shared" si="34"/>
        <v>1934</v>
      </c>
      <c r="C244" s="6">
        <v>1</v>
      </c>
      <c r="D244" s="45" t="s">
        <v>272</v>
      </c>
      <c r="E244" s="46" t="s">
        <v>273</v>
      </c>
      <c r="F244" s="38" t="s">
        <v>393</v>
      </c>
    </row>
    <row r="245" spans="1:6" s="49" customFormat="1" ht="63.75" x14ac:dyDescent="0.25">
      <c r="A245" s="6">
        <f t="shared" si="35"/>
        <v>1935</v>
      </c>
      <c r="B245" s="30">
        <f t="shared" si="34"/>
        <v>1937</v>
      </c>
      <c r="C245" s="6">
        <v>3</v>
      </c>
      <c r="D245" s="45" t="s">
        <v>274</v>
      </c>
      <c r="E245" s="46" t="s">
        <v>69</v>
      </c>
      <c r="F245" s="33" t="s">
        <v>480</v>
      </c>
    </row>
    <row r="246" spans="1:6" s="49" customFormat="1" ht="63.75" x14ac:dyDescent="0.25">
      <c r="A246" s="6">
        <f t="shared" si="35"/>
        <v>1938</v>
      </c>
      <c r="B246" s="30">
        <f t="shared" si="34"/>
        <v>1941</v>
      </c>
      <c r="C246" s="6">
        <v>4</v>
      </c>
      <c r="D246" s="45" t="s">
        <v>275</v>
      </c>
      <c r="E246" s="46" t="s">
        <v>362</v>
      </c>
      <c r="F246" s="33" t="s">
        <v>481</v>
      </c>
    </row>
    <row r="247" spans="1:6" s="49" customFormat="1" ht="89.25" x14ac:dyDescent="0.25">
      <c r="A247" s="6">
        <f t="shared" si="35"/>
        <v>1942</v>
      </c>
      <c r="B247" s="30">
        <f t="shared" si="34"/>
        <v>1942</v>
      </c>
      <c r="C247" s="6">
        <v>1</v>
      </c>
      <c r="D247" s="45" t="s">
        <v>276</v>
      </c>
      <c r="E247" s="46" t="s">
        <v>273</v>
      </c>
      <c r="F247" s="33" t="s">
        <v>394</v>
      </c>
    </row>
    <row r="248" spans="1:6" s="49" customFormat="1" ht="63.75" x14ac:dyDescent="0.25">
      <c r="A248" s="6">
        <f t="shared" si="35"/>
        <v>1943</v>
      </c>
      <c r="B248" s="30">
        <f t="shared" si="34"/>
        <v>1945</v>
      </c>
      <c r="C248" s="6">
        <v>3</v>
      </c>
      <c r="D248" s="45" t="s">
        <v>277</v>
      </c>
      <c r="E248" s="46" t="s">
        <v>69</v>
      </c>
      <c r="F248" s="33" t="s">
        <v>482</v>
      </c>
    </row>
    <row r="249" spans="1:6" s="49" customFormat="1" ht="63.75" x14ac:dyDescent="0.25">
      <c r="A249" s="6">
        <f t="shared" si="35"/>
        <v>1946</v>
      </c>
      <c r="B249" s="30">
        <f t="shared" si="34"/>
        <v>1949</v>
      </c>
      <c r="C249" s="6">
        <v>4</v>
      </c>
      <c r="D249" s="45" t="s">
        <v>278</v>
      </c>
      <c r="E249" s="46" t="s">
        <v>362</v>
      </c>
      <c r="F249" s="33" t="s">
        <v>483</v>
      </c>
    </row>
    <row r="250" spans="1:6" s="49" customFormat="1" ht="102" x14ac:dyDescent="0.25">
      <c r="A250" s="6">
        <f t="shared" si="35"/>
        <v>1950</v>
      </c>
      <c r="B250" s="30">
        <f t="shared" si="34"/>
        <v>1950</v>
      </c>
      <c r="C250" s="6">
        <v>1</v>
      </c>
      <c r="D250" s="45" t="s">
        <v>279</v>
      </c>
      <c r="E250" s="46" t="s">
        <v>273</v>
      </c>
      <c r="F250" s="33" t="s">
        <v>395</v>
      </c>
    </row>
    <row r="251" spans="1:6" s="49" customFormat="1" ht="76.5" x14ac:dyDescent="0.25">
      <c r="A251" s="6">
        <f t="shared" si="35"/>
        <v>1951</v>
      </c>
      <c r="B251" s="30">
        <f t="shared" si="34"/>
        <v>1953</v>
      </c>
      <c r="C251" s="6">
        <v>3</v>
      </c>
      <c r="D251" s="45" t="s">
        <v>280</v>
      </c>
      <c r="E251" s="53" t="s">
        <v>69</v>
      </c>
      <c r="F251" s="33" t="s">
        <v>484</v>
      </c>
    </row>
    <row r="252" spans="1:6" s="49" customFormat="1" ht="63.75" x14ac:dyDescent="0.25">
      <c r="A252" s="6">
        <f t="shared" si="35"/>
        <v>1954</v>
      </c>
      <c r="B252" s="30">
        <f t="shared" si="34"/>
        <v>1957</v>
      </c>
      <c r="C252" s="6">
        <v>4</v>
      </c>
      <c r="D252" s="45" t="s">
        <v>281</v>
      </c>
      <c r="E252" s="46" t="s">
        <v>362</v>
      </c>
      <c r="F252" s="33" t="s">
        <v>433</v>
      </c>
    </row>
    <row r="253" spans="1:6" s="49" customFormat="1" ht="76.5" x14ac:dyDescent="0.25">
      <c r="A253" s="6">
        <f t="shared" si="35"/>
        <v>1958</v>
      </c>
      <c r="B253" s="30">
        <f t="shared" si="34"/>
        <v>1958</v>
      </c>
      <c r="C253" s="6">
        <v>1</v>
      </c>
      <c r="D253" s="45" t="s">
        <v>282</v>
      </c>
      <c r="E253" s="46" t="s">
        <v>273</v>
      </c>
      <c r="F253" s="38" t="s">
        <v>428</v>
      </c>
    </row>
    <row r="254" spans="1:6" s="49" customFormat="1" ht="63.75" x14ac:dyDescent="0.25">
      <c r="A254" s="6">
        <f t="shared" si="35"/>
        <v>1959</v>
      </c>
      <c r="B254" s="30">
        <f t="shared" si="34"/>
        <v>1961</v>
      </c>
      <c r="C254" s="6">
        <v>3</v>
      </c>
      <c r="D254" s="45" t="s">
        <v>283</v>
      </c>
      <c r="E254" s="53" t="s">
        <v>69</v>
      </c>
      <c r="F254" s="33" t="s">
        <v>485</v>
      </c>
    </row>
    <row r="255" spans="1:6" s="49" customFormat="1" ht="15" x14ac:dyDescent="0.25">
      <c r="A255" s="6">
        <f t="shared" si="35"/>
        <v>1962</v>
      </c>
      <c r="B255" s="30">
        <f t="shared" si="34"/>
        <v>1962</v>
      </c>
      <c r="C255" s="5">
        <v>1</v>
      </c>
      <c r="D255" s="45" t="s">
        <v>39</v>
      </c>
      <c r="E255" s="53"/>
      <c r="F255" s="33"/>
    </row>
    <row r="256" spans="1:6" s="47" customFormat="1" ht="22.9" customHeight="1" x14ac:dyDescent="0.2">
      <c r="A256" s="6"/>
      <c r="B256" s="30" t="s">
        <v>318</v>
      </c>
      <c r="C256" s="6"/>
      <c r="D256" s="48" t="s">
        <v>336</v>
      </c>
      <c r="E256" s="53"/>
      <c r="F256" s="33"/>
    </row>
    <row r="257" spans="1:6" s="47" customFormat="1" ht="99.6" customHeight="1" x14ac:dyDescent="0.2">
      <c r="A257" s="6">
        <f>A255+C255</f>
        <v>1963</v>
      </c>
      <c r="B257" s="30">
        <f t="shared" ref="B257:B263" si="36">A257+C257-1</f>
        <v>1966</v>
      </c>
      <c r="C257" s="6">
        <v>4</v>
      </c>
      <c r="D257" s="45" t="s">
        <v>332</v>
      </c>
      <c r="E257" s="46" t="s">
        <v>362</v>
      </c>
      <c r="F257" s="33" t="s">
        <v>333</v>
      </c>
    </row>
    <row r="258" spans="1:6" s="47" customFormat="1" ht="102" customHeight="1" x14ac:dyDescent="0.2">
      <c r="A258" s="6">
        <f t="shared" ref="A258:A263" si="37">A257+C257</f>
        <v>1967</v>
      </c>
      <c r="B258" s="30">
        <f t="shared" si="36"/>
        <v>1967</v>
      </c>
      <c r="C258" s="6">
        <v>1</v>
      </c>
      <c r="D258" s="45" t="s">
        <v>334</v>
      </c>
      <c r="E258" s="53" t="s">
        <v>273</v>
      </c>
      <c r="F258" s="38" t="s">
        <v>335</v>
      </c>
    </row>
    <row r="259" spans="1:6" s="47" customFormat="1" ht="76.900000000000006" customHeight="1" x14ac:dyDescent="0.2">
      <c r="A259" s="6">
        <f t="shared" si="37"/>
        <v>1968</v>
      </c>
      <c r="B259" s="30">
        <f t="shared" si="36"/>
        <v>1970</v>
      </c>
      <c r="C259" s="6">
        <v>3</v>
      </c>
      <c r="D259" s="45" t="s">
        <v>396</v>
      </c>
      <c r="E259" s="46" t="s">
        <v>69</v>
      </c>
      <c r="F259" s="33" t="s">
        <v>486</v>
      </c>
    </row>
    <row r="260" spans="1:6" s="47" customFormat="1" ht="33.6" customHeight="1" x14ac:dyDescent="0.2">
      <c r="A260" s="6">
        <f t="shared" si="37"/>
        <v>1971</v>
      </c>
      <c r="B260" s="30">
        <f t="shared" si="36"/>
        <v>1974</v>
      </c>
      <c r="C260" s="6">
        <v>4</v>
      </c>
      <c r="D260" s="45" t="s">
        <v>339</v>
      </c>
      <c r="E260" s="46" t="s">
        <v>362</v>
      </c>
      <c r="F260" s="38" t="s">
        <v>341</v>
      </c>
    </row>
    <row r="261" spans="1:6" s="47" customFormat="1" ht="37.15" customHeight="1" x14ac:dyDescent="0.2">
      <c r="A261" s="6">
        <f t="shared" si="37"/>
        <v>1975</v>
      </c>
      <c r="B261" s="30">
        <f t="shared" si="36"/>
        <v>1975</v>
      </c>
      <c r="C261" s="6">
        <v>1</v>
      </c>
      <c r="D261" s="45" t="s">
        <v>338</v>
      </c>
      <c r="E261" s="46" t="s">
        <v>273</v>
      </c>
      <c r="F261" s="38" t="s">
        <v>342</v>
      </c>
    </row>
    <row r="262" spans="1:6" s="47" customFormat="1" ht="47.45" customHeight="1" x14ac:dyDescent="0.2">
      <c r="A262" s="6">
        <f t="shared" si="37"/>
        <v>1976</v>
      </c>
      <c r="B262" s="30">
        <f t="shared" si="36"/>
        <v>1978</v>
      </c>
      <c r="C262" s="6">
        <v>3</v>
      </c>
      <c r="D262" s="45" t="s">
        <v>340</v>
      </c>
      <c r="E262" s="53" t="s">
        <v>69</v>
      </c>
      <c r="F262" s="33" t="s">
        <v>343</v>
      </c>
    </row>
    <row r="263" spans="1:6" s="49" customFormat="1" ht="15" x14ac:dyDescent="0.25">
      <c r="A263" s="6">
        <f t="shared" si="37"/>
        <v>1979</v>
      </c>
      <c r="B263" s="3">
        <f t="shared" si="36"/>
        <v>1979</v>
      </c>
      <c r="C263" s="35">
        <v>1</v>
      </c>
      <c r="D263" s="21" t="s">
        <v>39</v>
      </c>
      <c r="E263" s="36"/>
      <c r="F263" s="38"/>
    </row>
    <row r="264" spans="1:6" s="49" customFormat="1" ht="15" x14ac:dyDescent="0.25">
      <c r="A264" s="3"/>
      <c r="B264" s="3"/>
      <c r="C264" s="3"/>
      <c r="D264" s="22" t="s">
        <v>242</v>
      </c>
      <c r="E264" s="36"/>
      <c r="F264" s="38"/>
    </row>
    <row r="265" spans="1:6" s="49" customFormat="1" ht="25.5" x14ac:dyDescent="0.25">
      <c r="A265" s="3">
        <f>A263+C263</f>
        <v>1980</v>
      </c>
      <c r="B265" s="3">
        <f t="shared" ref="B265:B272" si="38">A265+C265-1</f>
        <v>1981</v>
      </c>
      <c r="C265" s="5">
        <v>2</v>
      </c>
      <c r="D265" s="13" t="s">
        <v>249</v>
      </c>
      <c r="E265" s="36" t="s">
        <v>70</v>
      </c>
      <c r="F265" s="38" t="s">
        <v>114</v>
      </c>
    </row>
    <row r="266" spans="1:6" s="49" customFormat="1" ht="63.75" x14ac:dyDescent="0.25">
      <c r="A266" s="3">
        <f t="shared" ref="A266:A272" si="39">A265+C265</f>
        <v>1982</v>
      </c>
      <c r="B266" s="3">
        <f t="shared" si="38"/>
        <v>1982</v>
      </c>
      <c r="C266" s="3">
        <v>1</v>
      </c>
      <c r="D266" s="21" t="s">
        <v>17</v>
      </c>
      <c r="E266" s="36" t="s">
        <v>93</v>
      </c>
      <c r="F266" s="38" t="s">
        <v>256</v>
      </c>
    </row>
    <row r="267" spans="1:6" s="49" customFormat="1" ht="38.25" x14ac:dyDescent="0.25">
      <c r="A267" s="3">
        <f t="shared" si="39"/>
        <v>1983</v>
      </c>
      <c r="B267" s="3">
        <f t="shared" si="38"/>
        <v>1983</v>
      </c>
      <c r="C267" s="3">
        <v>1</v>
      </c>
      <c r="D267" s="21" t="s">
        <v>18</v>
      </c>
      <c r="E267" s="36" t="s">
        <v>65</v>
      </c>
      <c r="F267" s="38" t="s">
        <v>89</v>
      </c>
    </row>
    <row r="268" spans="1:6" s="49" customFormat="1" ht="38.25" x14ac:dyDescent="0.25">
      <c r="A268" s="3">
        <f t="shared" si="39"/>
        <v>1984</v>
      </c>
      <c r="B268" s="3">
        <f t="shared" si="38"/>
        <v>1984</v>
      </c>
      <c r="C268" s="3">
        <v>1</v>
      </c>
      <c r="D268" s="21" t="s">
        <v>90</v>
      </c>
      <c r="E268" s="36" t="s">
        <v>178</v>
      </c>
      <c r="F268" s="38" t="s">
        <v>179</v>
      </c>
    </row>
    <row r="269" spans="1:6" s="49" customFormat="1" ht="51" x14ac:dyDescent="0.25">
      <c r="A269" s="3">
        <f t="shared" si="39"/>
        <v>1985</v>
      </c>
      <c r="B269" s="3">
        <f t="shared" si="38"/>
        <v>1985</v>
      </c>
      <c r="C269" s="3">
        <v>1</v>
      </c>
      <c r="D269" s="21" t="s">
        <v>19</v>
      </c>
      <c r="E269" s="36" t="s">
        <v>66</v>
      </c>
      <c r="F269" s="38" t="s">
        <v>181</v>
      </c>
    </row>
    <row r="270" spans="1:6" s="49" customFormat="1" ht="177" customHeight="1" x14ac:dyDescent="0.25">
      <c r="A270" s="3">
        <f t="shared" si="39"/>
        <v>1986</v>
      </c>
      <c r="B270" s="3">
        <f t="shared" si="38"/>
        <v>1986</v>
      </c>
      <c r="C270" s="3">
        <v>1</v>
      </c>
      <c r="D270" s="21" t="s">
        <v>23</v>
      </c>
      <c r="E270" s="36" t="s">
        <v>63</v>
      </c>
      <c r="F270" s="38" t="s">
        <v>237</v>
      </c>
    </row>
    <row r="271" spans="1:6" s="49" customFormat="1" ht="63.75" x14ac:dyDescent="0.25">
      <c r="A271" s="3">
        <f t="shared" si="39"/>
        <v>1987</v>
      </c>
      <c r="B271" s="3">
        <f t="shared" si="38"/>
        <v>1987</v>
      </c>
      <c r="C271" s="3">
        <v>1</v>
      </c>
      <c r="D271" s="21" t="s">
        <v>20</v>
      </c>
      <c r="E271" s="36" t="s">
        <v>62</v>
      </c>
      <c r="F271" s="38" t="s">
        <v>434</v>
      </c>
    </row>
    <row r="272" spans="1:6" s="49" customFormat="1" ht="15" x14ac:dyDescent="0.25">
      <c r="A272" s="3">
        <f t="shared" si="39"/>
        <v>1988</v>
      </c>
      <c r="B272" s="3">
        <f t="shared" si="38"/>
        <v>2341</v>
      </c>
      <c r="C272" s="3">
        <v>354</v>
      </c>
      <c r="D272" s="21" t="s">
        <v>39</v>
      </c>
      <c r="E272" s="37" t="s">
        <v>318</v>
      </c>
      <c r="F272" s="38" t="s">
        <v>318</v>
      </c>
    </row>
    <row r="273" spans="1:6" x14ac:dyDescent="0.25">
      <c r="A273" s="3"/>
      <c r="B273" s="3"/>
      <c r="C273" s="7"/>
      <c r="D273" s="22" t="s">
        <v>72</v>
      </c>
      <c r="E273" s="14"/>
      <c r="F273" s="17"/>
    </row>
    <row r="274" spans="1:6" ht="25.5" x14ac:dyDescent="0.25">
      <c r="A274" s="3">
        <f>A272+C272</f>
        <v>2342</v>
      </c>
      <c r="B274" s="3">
        <f t="shared" ref="B274:B286" si="40">A274+C274-1</f>
        <v>2342</v>
      </c>
      <c r="C274" s="3">
        <v>1</v>
      </c>
      <c r="D274" s="21" t="s">
        <v>24</v>
      </c>
      <c r="E274" s="36" t="s">
        <v>38</v>
      </c>
    </row>
    <row r="275" spans="1:6" ht="140.25" x14ac:dyDescent="0.25">
      <c r="A275" s="3">
        <f t="shared" ref="A275:A302" si="41">A274+C274</f>
        <v>2343</v>
      </c>
      <c r="B275" s="3">
        <f t="shared" si="40"/>
        <v>2350</v>
      </c>
      <c r="C275" s="6">
        <v>8</v>
      </c>
      <c r="D275" s="21" t="s">
        <v>11</v>
      </c>
      <c r="E275" s="39" t="s">
        <v>487</v>
      </c>
      <c r="F275" s="38" t="s">
        <v>437</v>
      </c>
    </row>
    <row r="276" spans="1:6" x14ac:dyDescent="0.25">
      <c r="A276" s="3">
        <f t="shared" si="41"/>
        <v>2351</v>
      </c>
      <c r="B276" s="3">
        <f t="shared" si="40"/>
        <v>2358</v>
      </c>
      <c r="C276" s="6">
        <v>8</v>
      </c>
      <c r="D276" s="21" t="s">
        <v>39</v>
      </c>
      <c r="E276" s="37" t="s">
        <v>318</v>
      </c>
      <c r="F276" s="38" t="s">
        <v>318</v>
      </c>
    </row>
    <row r="277" spans="1:6" s="49" customFormat="1" ht="18.75" customHeight="1" x14ac:dyDescent="0.25">
      <c r="A277" s="3">
        <f t="shared" si="41"/>
        <v>2359</v>
      </c>
      <c r="B277" s="3">
        <f t="shared" si="40"/>
        <v>2378</v>
      </c>
      <c r="C277" s="3">
        <v>20</v>
      </c>
      <c r="D277" s="21" t="s">
        <v>12</v>
      </c>
      <c r="E277" s="75" t="s">
        <v>177</v>
      </c>
      <c r="F277" s="74" t="s">
        <v>230</v>
      </c>
    </row>
    <row r="278" spans="1:6" s="49" customFormat="1" ht="18.75" customHeight="1" x14ac:dyDescent="0.25">
      <c r="A278" s="3">
        <f t="shared" si="41"/>
        <v>2379</v>
      </c>
      <c r="B278" s="3">
        <f t="shared" si="40"/>
        <v>2393</v>
      </c>
      <c r="C278" s="3">
        <v>15</v>
      </c>
      <c r="D278" s="21" t="s">
        <v>13</v>
      </c>
      <c r="E278" s="75"/>
      <c r="F278" s="74"/>
    </row>
    <row r="279" spans="1:6" s="49" customFormat="1" ht="21.75" customHeight="1" x14ac:dyDescent="0.25">
      <c r="A279" s="3">
        <f t="shared" si="41"/>
        <v>2394</v>
      </c>
      <c r="B279" s="3">
        <f t="shared" si="40"/>
        <v>2394</v>
      </c>
      <c r="C279" s="3">
        <v>1</v>
      </c>
      <c r="D279" s="21" t="s">
        <v>186</v>
      </c>
      <c r="E279" s="75"/>
      <c r="F279" s="74"/>
    </row>
    <row r="280" spans="1:6" s="49" customFormat="1" ht="39.6" customHeight="1" x14ac:dyDescent="0.25">
      <c r="A280" s="3">
        <f t="shared" si="41"/>
        <v>2395</v>
      </c>
      <c r="B280" s="3">
        <f t="shared" si="40"/>
        <v>2438</v>
      </c>
      <c r="C280" s="3">
        <v>44</v>
      </c>
      <c r="D280" s="21" t="s">
        <v>39</v>
      </c>
      <c r="E280" s="32" t="s">
        <v>112</v>
      </c>
      <c r="F280" s="39" t="s">
        <v>379</v>
      </c>
    </row>
    <row r="281" spans="1:6" s="49" customFormat="1" ht="76.5" x14ac:dyDescent="0.25">
      <c r="A281" s="3">
        <f t="shared" si="41"/>
        <v>2439</v>
      </c>
      <c r="B281" s="3">
        <f t="shared" si="40"/>
        <v>2444</v>
      </c>
      <c r="C281" s="3">
        <v>6</v>
      </c>
      <c r="D281" s="21" t="s">
        <v>111</v>
      </c>
      <c r="E281" s="39" t="s">
        <v>380</v>
      </c>
      <c r="F281" s="33" t="s">
        <v>374</v>
      </c>
    </row>
    <row r="282" spans="1:6" ht="102" x14ac:dyDescent="0.25">
      <c r="A282" s="3">
        <f t="shared" si="41"/>
        <v>2445</v>
      </c>
      <c r="B282" s="3">
        <f t="shared" si="40"/>
        <v>2474</v>
      </c>
      <c r="C282" s="6">
        <v>30</v>
      </c>
      <c r="D282" s="9" t="s">
        <v>14</v>
      </c>
      <c r="E282" s="39" t="s">
        <v>517</v>
      </c>
      <c r="F282" s="33" t="s">
        <v>488</v>
      </c>
    </row>
    <row r="283" spans="1:6" s="49" customFormat="1" ht="51" x14ac:dyDescent="0.25">
      <c r="A283" s="3">
        <f t="shared" si="41"/>
        <v>2475</v>
      </c>
      <c r="B283" s="3">
        <f t="shared" si="40"/>
        <v>2494</v>
      </c>
      <c r="C283" s="6">
        <v>20</v>
      </c>
      <c r="D283" s="9" t="s">
        <v>84</v>
      </c>
      <c r="E283" s="39" t="s">
        <v>221</v>
      </c>
      <c r="F283" s="33" t="s">
        <v>230</v>
      </c>
    </row>
    <row r="284" spans="1:6" s="49" customFormat="1" ht="38.25" x14ac:dyDescent="0.25">
      <c r="A284" s="3">
        <f t="shared" si="41"/>
        <v>2495</v>
      </c>
      <c r="B284" s="3">
        <f t="shared" si="40"/>
        <v>2500</v>
      </c>
      <c r="C284" s="6">
        <v>6</v>
      </c>
      <c r="D284" s="9" t="s">
        <v>85</v>
      </c>
      <c r="E284" s="39" t="s">
        <v>86</v>
      </c>
      <c r="F284" s="33" t="s">
        <v>211</v>
      </c>
    </row>
    <row r="285" spans="1:6" s="49" customFormat="1" ht="25.5" x14ac:dyDescent="0.25">
      <c r="A285" s="3">
        <f t="shared" si="41"/>
        <v>2501</v>
      </c>
      <c r="B285" s="3">
        <f t="shared" si="40"/>
        <v>2501</v>
      </c>
      <c r="C285" s="6">
        <v>1</v>
      </c>
      <c r="D285" s="9" t="s">
        <v>218</v>
      </c>
      <c r="E285" s="39" t="s">
        <v>209</v>
      </c>
      <c r="F285" s="33" t="s">
        <v>208</v>
      </c>
    </row>
    <row r="286" spans="1:6" s="49" customFormat="1" ht="15" x14ac:dyDescent="0.25">
      <c r="A286" s="3">
        <f t="shared" si="41"/>
        <v>2502</v>
      </c>
      <c r="B286" s="3">
        <f t="shared" si="40"/>
        <v>2538</v>
      </c>
      <c r="C286" s="6">
        <v>37</v>
      </c>
      <c r="D286" s="9" t="s">
        <v>39</v>
      </c>
      <c r="E286" s="39"/>
      <c r="F286" s="33"/>
    </row>
    <row r="287" spans="1:6" s="49" customFormat="1" ht="15" x14ac:dyDescent="0.25">
      <c r="A287" s="3">
        <f t="shared" si="41"/>
        <v>2539</v>
      </c>
      <c r="B287" s="3"/>
      <c r="C287" s="3"/>
      <c r="D287" s="22" t="s">
        <v>232</v>
      </c>
      <c r="E287" s="36"/>
      <c r="F287" s="38"/>
    </row>
    <row r="288" spans="1:6" s="49" customFormat="1" ht="15" customHeight="1" x14ac:dyDescent="0.25">
      <c r="A288" s="3">
        <f t="shared" si="41"/>
        <v>2539</v>
      </c>
      <c r="B288" s="3">
        <f t="shared" ref="B288:B302" si="42">A288+C288-1</f>
        <v>2539</v>
      </c>
      <c r="C288" s="3">
        <v>1</v>
      </c>
      <c r="D288" s="21" t="s">
        <v>94</v>
      </c>
      <c r="E288" s="73" t="s">
        <v>87</v>
      </c>
      <c r="F288" s="73" t="s">
        <v>253</v>
      </c>
    </row>
    <row r="289" spans="1:6" s="49" customFormat="1" ht="15" x14ac:dyDescent="0.25">
      <c r="A289" s="3">
        <f t="shared" si="41"/>
        <v>2540</v>
      </c>
      <c r="B289" s="3">
        <f t="shared" si="42"/>
        <v>2540</v>
      </c>
      <c r="C289" s="3">
        <v>1</v>
      </c>
      <c r="D289" s="21" t="s">
        <v>95</v>
      </c>
      <c r="E289" s="73"/>
      <c r="F289" s="73"/>
    </row>
    <row r="290" spans="1:6" s="49" customFormat="1" ht="15" x14ac:dyDescent="0.25">
      <c r="A290" s="3">
        <f t="shared" si="41"/>
        <v>2541</v>
      </c>
      <c r="B290" s="3">
        <f t="shared" si="42"/>
        <v>2541</v>
      </c>
      <c r="C290" s="3">
        <v>1</v>
      </c>
      <c r="D290" s="13" t="s">
        <v>39</v>
      </c>
      <c r="E290" s="73"/>
      <c r="F290" s="73"/>
    </row>
    <row r="291" spans="1:6" s="49" customFormat="1" ht="15" x14ac:dyDescent="0.25">
      <c r="A291" s="3">
        <f t="shared" si="41"/>
        <v>2542</v>
      </c>
      <c r="B291" s="3">
        <f t="shared" si="42"/>
        <v>2542</v>
      </c>
      <c r="C291" s="3">
        <v>1</v>
      </c>
      <c r="D291" s="21" t="s">
        <v>96</v>
      </c>
      <c r="E291" s="73"/>
      <c r="F291" s="73"/>
    </row>
    <row r="292" spans="1:6" s="49" customFormat="1" ht="15" x14ac:dyDescent="0.25">
      <c r="A292" s="3">
        <f t="shared" si="41"/>
        <v>2543</v>
      </c>
      <c r="B292" s="3">
        <f t="shared" si="42"/>
        <v>2543</v>
      </c>
      <c r="C292" s="3">
        <v>1</v>
      </c>
      <c r="D292" s="21" t="s">
        <v>97</v>
      </c>
      <c r="E292" s="73"/>
      <c r="F292" s="73"/>
    </row>
    <row r="293" spans="1:6" s="49" customFormat="1" ht="15" x14ac:dyDescent="0.25">
      <c r="A293" s="3">
        <f t="shared" si="41"/>
        <v>2544</v>
      </c>
      <c r="B293" s="3">
        <f t="shared" si="42"/>
        <v>2544</v>
      </c>
      <c r="C293" s="3">
        <v>1</v>
      </c>
      <c r="D293" s="21" t="s">
        <v>98</v>
      </c>
      <c r="E293" s="73"/>
      <c r="F293" s="73"/>
    </row>
    <row r="294" spans="1:6" s="49" customFormat="1" ht="15" x14ac:dyDescent="0.25">
      <c r="A294" s="3">
        <f t="shared" si="41"/>
        <v>2545</v>
      </c>
      <c r="B294" s="3">
        <f t="shared" si="42"/>
        <v>2545</v>
      </c>
      <c r="C294" s="3">
        <v>1</v>
      </c>
      <c r="D294" s="21" t="s">
        <v>187</v>
      </c>
      <c r="E294" s="73"/>
      <c r="F294" s="73"/>
    </row>
    <row r="295" spans="1:6" s="49" customFormat="1" ht="15" x14ac:dyDescent="0.25">
      <c r="A295" s="3">
        <f t="shared" si="41"/>
        <v>2546</v>
      </c>
      <c r="B295" s="3">
        <f t="shared" si="42"/>
        <v>2546</v>
      </c>
      <c r="C295" s="3">
        <v>1</v>
      </c>
      <c r="D295" s="21" t="s">
        <v>212</v>
      </c>
      <c r="E295" s="73"/>
      <c r="F295" s="73"/>
    </row>
    <row r="296" spans="1:6" s="49" customFormat="1" ht="15" x14ac:dyDescent="0.25">
      <c r="A296" s="3">
        <f t="shared" si="41"/>
        <v>2547</v>
      </c>
      <c r="B296" s="3">
        <f t="shared" si="42"/>
        <v>2547</v>
      </c>
      <c r="C296" s="3">
        <v>1</v>
      </c>
      <c r="D296" s="21" t="s">
        <v>99</v>
      </c>
      <c r="E296" s="73"/>
      <c r="F296" s="73"/>
    </row>
    <row r="297" spans="1:6" s="49" customFormat="1" ht="15" x14ac:dyDescent="0.25">
      <c r="A297" s="3">
        <f t="shared" si="41"/>
        <v>2548</v>
      </c>
      <c r="B297" s="3">
        <f t="shared" si="42"/>
        <v>2548</v>
      </c>
      <c r="C297" s="3">
        <v>1</v>
      </c>
      <c r="D297" s="21" t="s">
        <v>100</v>
      </c>
      <c r="E297" s="73"/>
      <c r="F297" s="73"/>
    </row>
    <row r="298" spans="1:6" s="49" customFormat="1" ht="15" x14ac:dyDescent="0.25">
      <c r="A298" s="3">
        <f t="shared" si="41"/>
        <v>2549</v>
      </c>
      <c r="B298" s="3">
        <f t="shared" si="42"/>
        <v>2549</v>
      </c>
      <c r="C298" s="3">
        <v>1</v>
      </c>
      <c r="D298" s="21" t="s">
        <v>101</v>
      </c>
      <c r="E298" s="73"/>
      <c r="F298" s="73"/>
    </row>
    <row r="299" spans="1:6" s="49" customFormat="1" ht="15" x14ac:dyDescent="0.25">
      <c r="A299" s="3">
        <f t="shared" si="41"/>
        <v>2550</v>
      </c>
      <c r="B299" s="3">
        <f t="shared" si="42"/>
        <v>2550</v>
      </c>
      <c r="C299" s="3">
        <v>1</v>
      </c>
      <c r="D299" s="21" t="s">
        <v>102</v>
      </c>
      <c r="E299" s="73"/>
      <c r="F299" s="73"/>
    </row>
    <row r="300" spans="1:6" s="49" customFormat="1" ht="15" x14ac:dyDescent="0.25">
      <c r="A300" s="3">
        <f t="shared" si="41"/>
        <v>2551</v>
      </c>
      <c r="B300" s="3">
        <f t="shared" si="42"/>
        <v>2551</v>
      </c>
      <c r="C300" s="3">
        <v>1</v>
      </c>
      <c r="D300" s="21" t="s">
        <v>103</v>
      </c>
      <c r="E300" s="73"/>
      <c r="F300" s="73"/>
    </row>
    <row r="301" spans="1:6" s="49" customFormat="1" ht="15" x14ac:dyDescent="0.25">
      <c r="A301" s="3">
        <f t="shared" si="41"/>
        <v>2552</v>
      </c>
      <c r="B301" s="3">
        <f t="shared" si="42"/>
        <v>2552</v>
      </c>
      <c r="C301" s="3">
        <v>1</v>
      </c>
      <c r="D301" s="21" t="s">
        <v>104</v>
      </c>
      <c r="E301" s="73"/>
      <c r="F301" s="73"/>
    </row>
    <row r="302" spans="1:6" s="49" customFormat="1" ht="15" x14ac:dyDescent="0.25">
      <c r="A302" s="3">
        <f t="shared" si="41"/>
        <v>2553</v>
      </c>
      <c r="B302" s="3">
        <f t="shared" si="42"/>
        <v>2572</v>
      </c>
      <c r="C302" s="3">
        <v>20</v>
      </c>
      <c r="D302" s="21" t="s">
        <v>39</v>
      </c>
      <c r="E302" s="36"/>
      <c r="F302" s="38"/>
    </row>
    <row r="303" spans="1:6" s="49" customFormat="1" ht="15" x14ac:dyDescent="0.25">
      <c r="A303" s="3"/>
      <c r="B303" s="3"/>
      <c r="C303" s="3"/>
      <c r="D303" s="22" t="s">
        <v>141</v>
      </c>
      <c r="E303" s="36"/>
      <c r="F303" s="38"/>
    </row>
    <row r="304" spans="1:6" s="49" customFormat="1" ht="63.75" x14ac:dyDescent="0.25">
      <c r="A304" s="3">
        <f>A302+C302</f>
        <v>2573</v>
      </c>
      <c r="B304" s="3">
        <f t="shared" ref="B304:B311" si="43">A304+C304-1</f>
        <v>2575</v>
      </c>
      <c r="C304" s="3">
        <v>3</v>
      </c>
      <c r="D304" s="21" t="s">
        <v>15</v>
      </c>
      <c r="E304" s="38" t="s">
        <v>64</v>
      </c>
      <c r="F304" s="33" t="s">
        <v>381</v>
      </c>
    </row>
    <row r="305" spans="1:6" s="49" customFormat="1" ht="63.75" x14ac:dyDescent="0.25">
      <c r="A305" s="3">
        <f t="shared" ref="A305:A311" si="44">A304+C304</f>
        <v>2576</v>
      </c>
      <c r="B305" s="3">
        <f t="shared" si="43"/>
        <v>2578</v>
      </c>
      <c r="C305" s="3">
        <v>3</v>
      </c>
      <c r="D305" s="21" t="s">
        <v>16</v>
      </c>
      <c r="E305" s="38" t="s">
        <v>64</v>
      </c>
      <c r="F305" s="33" t="s">
        <v>382</v>
      </c>
    </row>
    <row r="306" spans="1:6" s="49" customFormat="1" ht="89.25" x14ac:dyDescent="0.25">
      <c r="A306" s="3">
        <f t="shared" si="44"/>
        <v>2579</v>
      </c>
      <c r="B306" s="3">
        <f t="shared" si="43"/>
        <v>2581</v>
      </c>
      <c r="C306" s="3">
        <v>3</v>
      </c>
      <c r="D306" s="21" t="s">
        <v>108</v>
      </c>
      <c r="E306" s="38" t="s">
        <v>64</v>
      </c>
      <c r="F306" s="34" t="s">
        <v>383</v>
      </c>
    </row>
    <row r="307" spans="1:6" s="49" customFormat="1" ht="76.5" x14ac:dyDescent="0.25">
      <c r="A307" s="3">
        <f t="shared" si="44"/>
        <v>2582</v>
      </c>
      <c r="B307" s="3">
        <f t="shared" si="43"/>
        <v>2584</v>
      </c>
      <c r="C307" s="3">
        <v>3</v>
      </c>
      <c r="D307" s="21" t="s">
        <v>109</v>
      </c>
      <c r="E307" s="38" t="s">
        <v>69</v>
      </c>
      <c r="F307" s="33" t="s">
        <v>346</v>
      </c>
    </row>
    <row r="308" spans="1:6" s="49" customFormat="1" ht="63.75" x14ac:dyDescent="0.25">
      <c r="A308" s="3">
        <f t="shared" si="44"/>
        <v>2585</v>
      </c>
      <c r="B308" s="3">
        <f t="shared" si="43"/>
        <v>2587</v>
      </c>
      <c r="C308" s="3">
        <v>3</v>
      </c>
      <c r="D308" s="21" t="s">
        <v>21</v>
      </c>
      <c r="E308" s="36" t="s">
        <v>67</v>
      </c>
      <c r="F308" s="12" t="s">
        <v>424</v>
      </c>
    </row>
    <row r="309" spans="1:6" s="49" customFormat="1" ht="63.75" x14ac:dyDescent="0.25">
      <c r="A309" s="3">
        <f t="shared" si="44"/>
        <v>2588</v>
      </c>
      <c r="B309" s="3">
        <f t="shared" si="43"/>
        <v>2589</v>
      </c>
      <c r="C309" s="5">
        <v>2</v>
      </c>
      <c r="D309" s="21" t="s">
        <v>88</v>
      </c>
      <c r="E309" s="36" t="s">
        <v>307</v>
      </c>
      <c r="F309" s="40" t="s">
        <v>195</v>
      </c>
    </row>
    <row r="310" spans="1:6" s="49" customFormat="1" ht="63.75" x14ac:dyDescent="0.25">
      <c r="A310" s="3">
        <f t="shared" si="44"/>
        <v>2590</v>
      </c>
      <c r="B310" s="3">
        <f t="shared" si="43"/>
        <v>2592</v>
      </c>
      <c r="C310" s="3">
        <v>3</v>
      </c>
      <c r="D310" s="21" t="s">
        <v>92</v>
      </c>
      <c r="E310" s="36" t="s">
        <v>308</v>
      </c>
      <c r="F310" s="40" t="s">
        <v>196</v>
      </c>
    </row>
    <row r="311" spans="1:6" s="49" customFormat="1" ht="15" x14ac:dyDescent="0.25">
      <c r="A311" s="3">
        <f t="shared" si="44"/>
        <v>2593</v>
      </c>
      <c r="B311" s="3">
        <f t="shared" si="43"/>
        <v>2613</v>
      </c>
      <c r="C311" s="5">
        <v>21</v>
      </c>
      <c r="D311" s="21" t="s">
        <v>39</v>
      </c>
      <c r="E311" s="36"/>
      <c r="F311" s="40"/>
    </row>
    <row r="312" spans="1:6" s="49" customFormat="1" ht="15" x14ac:dyDescent="0.25">
      <c r="A312" s="3" t="s">
        <v>318</v>
      </c>
      <c r="B312" s="3"/>
      <c r="C312" s="3"/>
      <c r="D312" s="22" t="s">
        <v>107</v>
      </c>
      <c r="E312" s="36"/>
      <c r="F312" s="38"/>
    </row>
    <row r="313" spans="1:6" s="49" customFormat="1" ht="38.25" x14ac:dyDescent="0.25">
      <c r="A313" s="3">
        <f>A311+C311</f>
        <v>2614</v>
      </c>
      <c r="B313" s="3">
        <f t="shared" ref="B313:B319" si="45">A313+C313-1</f>
        <v>2615</v>
      </c>
      <c r="C313" s="3">
        <v>2</v>
      </c>
      <c r="D313" s="21" t="s">
        <v>151</v>
      </c>
      <c r="E313" s="36" t="s">
        <v>68</v>
      </c>
      <c r="F313" s="38" t="s">
        <v>142</v>
      </c>
    </row>
    <row r="314" spans="1:6" s="49" customFormat="1" ht="63.75" x14ac:dyDescent="0.25">
      <c r="A314" s="3">
        <f t="shared" ref="A314:A319" si="46">A313+C313</f>
        <v>2616</v>
      </c>
      <c r="B314" s="3">
        <f t="shared" si="45"/>
        <v>2618</v>
      </c>
      <c r="C314" s="3">
        <v>3</v>
      </c>
      <c r="D314" s="21" t="s">
        <v>148</v>
      </c>
      <c r="E314" s="36" t="s">
        <v>69</v>
      </c>
      <c r="F314" s="38" t="s">
        <v>143</v>
      </c>
    </row>
    <row r="315" spans="1:6" s="49" customFormat="1" ht="38.25" x14ac:dyDescent="0.25">
      <c r="A315" s="3">
        <f t="shared" si="46"/>
        <v>2619</v>
      </c>
      <c r="B315" s="3">
        <f t="shared" si="45"/>
        <v>2620</v>
      </c>
      <c r="C315" s="3">
        <v>2</v>
      </c>
      <c r="D315" s="21" t="s">
        <v>152</v>
      </c>
      <c r="E315" s="36" t="s">
        <v>68</v>
      </c>
      <c r="F315" s="38" t="s">
        <v>144</v>
      </c>
    </row>
    <row r="316" spans="1:6" s="49" customFormat="1" ht="51" x14ac:dyDescent="0.25">
      <c r="A316" s="3">
        <f t="shared" si="46"/>
        <v>2621</v>
      </c>
      <c r="B316" s="3">
        <f t="shared" si="45"/>
        <v>2623</v>
      </c>
      <c r="C316" s="3">
        <v>3</v>
      </c>
      <c r="D316" s="21" t="s">
        <v>149</v>
      </c>
      <c r="E316" s="36" t="s">
        <v>69</v>
      </c>
      <c r="F316" s="38" t="s">
        <v>145</v>
      </c>
    </row>
    <row r="317" spans="1:6" s="49" customFormat="1" ht="38.25" x14ac:dyDescent="0.25">
      <c r="A317" s="3">
        <f t="shared" si="46"/>
        <v>2624</v>
      </c>
      <c r="B317" s="3">
        <f t="shared" si="45"/>
        <v>2625</v>
      </c>
      <c r="C317" s="3">
        <v>2</v>
      </c>
      <c r="D317" s="21" t="s">
        <v>153</v>
      </c>
      <c r="E317" s="36" t="s">
        <v>68</v>
      </c>
      <c r="F317" s="38" t="s">
        <v>147</v>
      </c>
    </row>
    <row r="318" spans="1:6" s="49" customFormat="1" ht="63.75" x14ac:dyDescent="0.25">
      <c r="A318" s="3">
        <f t="shared" si="46"/>
        <v>2626</v>
      </c>
      <c r="B318" s="3">
        <f t="shared" si="45"/>
        <v>2628</v>
      </c>
      <c r="C318" s="3">
        <v>3</v>
      </c>
      <c r="D318" s="21" t="s">
        <v>150</v>
      </c>
      <c r="E318" s="36" t="s">
        <v>69</v>
      </c>
      <c r="F318" s="38" t="s">
        <v>146</v>
      </c>
    </row>
    <row r="319" spans="1:6" s="49" customFormat="1" ht="15" x14ac:dyDescent="0.25">
      <c r="A319" s="3">
        <f t="shared" si="46"/>
        <v>2629</v>
      </c>
      <c r="B319" s="3">
        <f t="shared" si="45"/>
        <v>2648</v>
      </c>
      <c r="C319" s="3">
        <v>20</v>
      </c>
      <c r="D319" s="21" t="s">
        <v>39</v>
      </c>
      <c r="E319" s="36"/>
      <c r="F319" s="38"/>
    </row>
    <row r="320" spans="1:6" s="49" customFormat="1" ht="15" x14ac:dyDescent="0.25">
      <c r="A320" s="3"/>
      <c r="B320" s="3"/>
      <c r="C320" s="3"/>
      <c r="D320" s="22" t="s">
        <v>243</v>
      </c>
      <c r="E320" s="36"/>
      <c r="F320" s="38"/>
    </row>
    <row r="321" spans="1:6" s="49" customFormat="1" ht="25.5" x14ac:dyDescent="0.25">
      <c r="A321" s="3">
        <f>A319+C319</f>
        <v>2649</v>
      </c>
      <c r="B321" s="3">
        <f t="shared" ref="B321:B328" si="47">A321+C321-1</f>
        <v>2650</v>
      </c>
      <c r="C321" s="5">
        <v>2</v>
      </c>
      <c r="D321" s="13" t="s">
        <v>248</v>
      </c>
      <c r="E321" s="36" t="s">
        <v>70</v>
      </c>
      <c r="F321" s="38" t="s">
        <v>114</v>
      </c>
    </row>
    <row r="322" spans="1:6" s="49" customFormat="1" ht="63.75" x14ac:dyDescent="0.25">
      <c r="A322" s="3">
        <f t="shared" ref="A322:A328" si="48">A321+C321</f>
        <v>2651</v>
      </c>
      <c r="B322" s="3">
        <f t="shared" si="47"/>
        <v>2651</v>
      </c>
      <c r="C322" s="3">
        <v>1</v>
      </c>
      <c r="D322" s="21" t="s">
        <v>17</v>
      </c>
      <c r="E322" s="36" t="s">
        <v>93</v>
      </c>
      <c r="F322" s="38" t="s">
        <v>256</v>
      </c>
    </row>
    <row r="323" spans="1:6" s="49" customFormat="1" ht="38.25" x14ac:dyDescent="0.25">
      <c r="A323" s="3">
        <f t="shared" si="48"/>
        <v>2652</v>
      </c>
      <c r="B323" s="3">
        <f t="shared" si="47"/>
        <v>2652</v>
      </c>
      <c r="C323" s="3">
        <v>1</v>
      </c>
      <c r="D323" s="21" t="s">
        <v>18</v>
      </c>
      <c r="E323" s="36" t="s">
        <v>65</v>
      </c>
      <c r="F323" s="38" t="s">
        <v>180</v>
      </c>
    </row>
    <row r="324" spans="1:6" s="49" customFormat="1" ht="38.25" x14ac:dyDescent="0.25">
      <c r="A324" s="3">
        <f t="shared" si="48"/>
        <v>2653</v>
      </c>
      <c r="B324" s="3">
        <f t="shared" si="47"/>
        <v>2653</v>
      </c>
      <c r="C324" s="3">
        <v>1</v>
      </c>
      <c r="D324" s="21" t="s">
        <v>90</v>
      </c>
      <c r="E324" s="36" t="s">
        <v>178</v>
      </c>
      <c r="F324" s="38" t="s">
        <v>179</v>
      </c>
    </row>
    <row r="325" spans="1:6" s="49" customFormat="1" ht="51" x14ac:dyDescent="0.25">
      <c r="A325" s="3">
        <f t="shared" si="48"/>
        <v>2654</v>
      </c>
      <c r="B325" s="3">
        <f t="shared" si="47"/>
        <v>2654</v>
      </c>
      <c r="C325" s="3">
        <v>1</v>
      </c>
      <c r="D325" s="21" t="s">
        <v>19</v>
      </c>
      <c r="E325" s="36" t="s">
        <v>66</v>
      </c>
      <c r="F325" s="38" t="s">
        <v>181</v>
      </c>
    </row>
    <row r="326" spans="1:6" s="49" customFormat="1" ht="169.5" customHeight="1" x14ac:dyDescent="0.25">
      <c r="A326" s="3">
        <f t="shared" si="48"/>
        <v>2655</v>
      </c>
      <c r="B326" s="3">
        <f t="shared" si="47"/>
        <v>2655</v>
      </c>
      <c r="C326" s="3">
        <v>1</v>
      </c>
      <c r="D326" s="21" t="s">
        <v>23</v>
      </c>
      <c r="E326" s="36" t="s">
        <v>63</v>
      </c>
      <c r="F326" s="38" t="s">
        <v>247</v>
      </c>
    </row>
    <row r="327" spans="1:6" s="49" customFormat="1" ht="63.75" x14ac:dyDescent="0.25">
      <c r="A327" s="3">
        <f t="shared" si="48"/>
        <v>2656</v>
      </c>
      <c r="B327" s="3">
        <f t="shared" si="47"/>
        <v>2656</v>
      </c>
      <c r="C327" s="3">
        <v>1</v>
      </c>
      <c r="D327" s="21" t="s">
        <v>20</v>
      </c>
      <c r="E327" s="36" t="s">
        <v>62</v>
      </c>
      <c r="F327" s="38" t="s">
        <v>434</v>
      </c>
    </row>
    <row r="328" spans="1:6" s="49" customFormat="1" ht="15" x14ac:dyDescent="0.25">
      <c r="A328" s="3">
        <f t="shared" si="48"/>
        <v>2657</v>
      </c>
      <c r="B328" s="3">
        <f t="shared" si="47"/>
        <v>3018</v>
      </c>
      <c r="C328" s="3">
        <v>362</v>
      </c>
      <c r="D328" s="21" t="s">
        <v>39</v>
      </c>
      <c r="E328" s="37" t="s">
        <v>318</v>
      </c>
      <c r="F328" s="38" t="s">
        <v>318</v>
      </c>
    </row>
    <row r="329" spans="1:6" x14ac:dyDescent="0.25">
      <c r="A329" s="3" t="s">
        <v>318</v>
      </c>
      <c r="B329" s="3"/>
      <c r="C329" s="3"/>
      <c r="D329" s="22" t="s">
        <v>73</v>
      </c>
      <c r="E329" s="36"/>
    </row>
    <row r="330" spans="1:6" ht="25.5" x14ac:dyDescent="0.25">
      <c r="A330" s="3">
        <f>A328+C328</f>
        <v>3019</v>
      </c>
      <c r="B330" s="3">
        <f t="shared" ref="B330:B342" si="49">A330+C330-1</f>
        <v>3019</v>
      </c>
      <c r="C330" s="3">
        <v>1</v>
      </c>
      <c r="D330" s="21" t="s">
        <v>24</v>
      </c>
      <c r="E330" s="36" t="s">
        <v>38</v>
      </c>
    </row>
    <row r="331" spans="1:6" ht="140.25" x14ac:dyDescent="0.25">
      <c r="A331" s="3">
        <f t="shared" ref="A331:A342" si="50">A330+C330</f>
        <v>3020</v>
      </c>
      <c r="B331" s="3">
        <f t="shared" si="49"/>
        <v>3027</v>
      </c>
      <c r="C331" s="6">
        <v>8</v>
      </c>
      <c r="D331" s="9" t="s">
        <v>11</v>
      </c>
      <c r="E331" s="39" t="s">
        <v>489</v>
      </c>
      <c r="F331" s="33" t="s">
        <v>438</v>
      </c>
    </row>
    <row r="332" spans="1:6" x14ac:dyDescent="0.25">
      <c r="A332" s="3">
        <f t="shared" si="50"/>
        <v>3028</v>
      </c>
      <c r="B332" s="3">
        <f t="shared" si="49"/>
        <v>3035</v>
      </c>
      <c r="C332" s="6">
        <v>8</v>
      </c>
      <c r="D332" s="21" t="s">
        <v>39</v>
      </c>
      <c r="E332" s="37" t="s">
        <v>318</v>
      </c>
      <c r="F332" s="38" t="s">
        <v>318</v>
      </c>
    </row>
    <row r="333" spans="1:6" ht="17.25" customHeight="1" x14ac:dyDescent="0.25">
      <c r="A333" s="3">
        <f t="shared" si="50"/>
        <v>3036</v>
      </c>
      <c r="B333" s="3">
        <f t="shared" si="49"/>
        <v>3055</v>
      </c>
      <c r="C333" s="3">
        <v>20</v>
      </c>
      <c r="D333" s="21" t="s">
        <v>12</v>
      </c>
      <c r="E333" s="75" t="s">
        <v>177</v>
      </c>
      <c r="F333" s="74" t="s">
        <v>230</v>
      </c>
    </row>
    <row r="334" spans="1:6" ht="17.25" customHeight="1" x14ac:dyDescent="0.25">
      <c r="A334" s="3">
        <f t="shared" si="50"/>
        <v>3056</v>
      </c>
      <c r="B334" s="3">
        <f t="shared" si="49"/>
        <v>3070</v>
      </c>
      <c r="C334" s="3">
        <v>15</v>
      </c>
      <c r="D334" s="21" t="s">
        <v>13</v>
      </c>
      <c r="E334" s="75"/>
      <c r="F334" s="74"/>
    </row>
    <row r="335" spans="1:6" ht="17.25" customHeight="1" x14ac:dyDescent="0.25">
      <c r="A335" s="3">
        <f t="shared" si="50"/>
        <v>3071</v>
      </c>
      <c r="B335" s="3">
        <f t="shared" si="49"/>
        <v>3071</v>
      </c>
      <c r="C335" s="3">
        <v>1</v>
      </c>
      <c r="D335" s="21" t="s">
        <v>186</v>
      </c>
      <c r="E335" s="75"/>
      <c r="F335" s="74"/>
    </row>
    <row r="336" spans="1:6" ht="39" customHeight="1" x14ac:dyDescent="0.25">
      <c r="A336" s="3">
        <f t="shared" si="50"/>
        <v>3072</v>
      </c>
      <c r="B336" s="3">
        <f t="shared" si="49"/>
        <v>3115</v>
      </c>
      <c r="C336" s="3">
        <v>44</v>
      </c>
      <c r="D336" s="21" t="s">
        <v>39</v>
      </c>
      <c r="E336" s="32" t="s">
        <v>318</v>
      </c>
      <c r="F336" s="39" t="s">
        <v>318</v>
      </c>
    </row>
    <row r="337" spans="1:6" ht="221.45" customHeight="1" x14ac:dyDescent="0.25">
      <c r="A337" s="3">
        <f t="shared" si="50"/>
        <v>3116</v>
      </c>
      <c r="B337" s="3">
        <f t="shared" si="49"/>
        <v>3121</v>
      </c>
      <c r="C337" s="3">
        <v>6</v>
      </c>
      <c r="D337" s="21" t="s">
        <v>111</v>
      </c>
      <c r="E337" s="39" t="s">
        <v>384</v>
      </c>
      <c r="F337" s="33" t="s">
        <v>522</v>
      </c>
    </row>
    <row r="338" spans="1:6" ht="232.15" customHeight="1" x14ac:dyDescent="0.25">
      <c r="A338" s="3">
        <f t="shared" si="50"/>
        <v>3122</v>
      </c>
      <c r="B338" s="3">
        <f t="shared" si="49"/>
        <v>3151</v>
      </c>
      <c r="C338" s="3">
        <v>30</v>
      </c>
      <c r="D338" s="21" t="s">
        <v>14</v>
      </c>
      <c r="E338" s="39" t="s">
        <v>520</v>
      </c>
      <c r="F338" s="33" t="s">
        <v>521</v>
      </c>
    </row>
    <row r="339" spans="1:6" s="49" customFormat="1" ht="51" x14ac:dyDescent="0.25">
      <c r="A339" s="3">
        <f t="shared" si="50"/>
        <v>3152</v>
      </c>
      <c r="B339" s="3">
        <f t="shared" si="49"/>
        <v>3171</v>
      </c>
      <c r="C339" s="3">
        <v>20</v>
      </c>
      <c r="D339" s="21" t="s">
        <v>84</v>
      </c>
      <c r="E339" s="36" t="s">
        <v>221</v>
      </c>
      <c r="F339" s="38" t="s">
        <v>230</v>
      </c>
    </row>
    <row r="340" spans="1:6" s="49" customFormat="1" ht="38.25" x14ac:dyDescent="0.25">
      <c r="A340" s="3">
        <f t="shared" si="50"/>
        <v>3172</v>
      </c>
      <c r="B340" s="3">
        <f t="shared" si="49"/>
        <v>3177</v>
      </c>
      <c r="C340" s="3">
        <v>6</v>
      </c>
      <c r="D340" s="21" t="s">
        <v>85</v>
      </c>
      <c r="E340" s="36" t="s">
        <v>86</v>
      </c>
      <c r="F340" s="38" t="s">
        <v>211</v>
      </c>
    </row>
    <row r="341" spans="1:6" s="49" customFormat="1" ht="25.5" x14ac:dyDescent="0.25">
      <c r="A341" s="3">
        <f t="shared" si="50"/>
        <v>3178</v>
      </c>
      <c r="B341" s="3">
        <f t="shared" si="49"/>
        <v>3178</v>
      </c>
      <c r="C341" s="3">
        <v>1</v>
      </c>
      <c r="D341" s="21" t="s">
        <v>219</v>
      </c>
      <c r="E341" s="36" t="s">
        <v>209</v>
      </c>
      <c r="F341" s="38" t="s">
        <v>208</v>
      </c>
    </row>
    <row r="342" spans="1:6" s="49" customFormat="1" ht="15" x14ac:dyDescent="0.25">
      <c r="A342" s="3">
        <f t="shared" si="50"/>
        <v>3179</v>
      </c>
      <c r="B342" s="3">
        <f t="shared" si="49"/>
        <v>3215</v>
      </c>
      <c r="C342" s="3">
        <v>37</v>
      </c>
      <c r="D342" s="21" t="s">
        <v>39</v>
      </c>
      <c r="E342" s="36"/>
      <c r="F342" s="38"/>
    </row>
    <row r="343" spans="1:6" s="49" customFormat="1" ht="15" x14ac:dyDescent="0.25">
      <c r="A343" s="3" t="s">
        <v>318</v>
      </c>
      <c r="B343" s="3"/>
      <c r="C343" s="3"/>
      <c r="D343" s="22" t="s">
        <v>232</v>
      </c>
      <c r="E343" s="36"/>
      <c r="F343" s="38"/>
    </row>
    <row r="344" spans="1:6" s="49" customFormat="1" ht="15" customHeight="1" x14ac:dyDescent="0.25">
      <c r="A344" s="3">
        <f>A342+C342</f>
        <v>3216</v>
      </c>
      <c r="B344" s="3">
        <f t="shared" ref="B344:B358" si="51">A344+C344-1</f>
        <v>3216</v>
      </c>
      <c r="C344" s="3">
        <v>1</v>
      </c>
      <c r="D344" s="21" t="s">
        <v>94</v>
      </c>
      <c r="E344" s="73" t="s">
        <v>87</v>
      </c>
      <c r="F344" s="73" t="s">
        <v>254</v>
      </c>
    </row>
    <row r="345" spans="1:6" s="49" customFormat="1" ht="15" x14ac:dyDescent="0.25">
      <c r="A345" s="3">
        <f t="shared" ref="A345:A358" si="52">A344+C344</f>
        <v>3217</v>
      </c>
      <c r="B345" s="3">
        <f t="shared" si="51"/>
        <v>3217</v>
      </c>
      <c r="C345" s="3">
        <v>1</v>
      </c>
      <c r="D345" s="21" t="s">
        <v>95</v>
      </c>
      <c r="E345" s="73"/>
      <c r="F345" s="73"/>
    </row>
    <row r="346" spans="1:6" s="49" customFormat="1" ht="15" x14ac:dyDescent="0.25">
      <c r="A346" s="3">
        <f t="shared" si="52"/>
        <v>3218</v>
      </c>
      <c r="B346" s="3">
        <f t="shared" si="51"/>
        <v>3218</v>
      </c>
      <c r="C346" s="3">
        <v>1</v>
      </c>
      <c r="D346" s="13" t="s">
        <v>39</v>
      </c>
      <c r="E346" s="73"/>
      <c r="F346" s="73"/>
    </row>
    <row r="347" spans="1:6" s="49" customFormat="1" ht="15" x14ac:dyDescent="0.25">
      <c r="A347" s="3">
        <f t="shared" si="52"/>
        <v>3219</v>
      </c>
      <c r="B347" s="3">
        <f t="shared" si="51"/>
        <v>3219</v>
      </c>
      <c r="C347" s="3">
        <v>1</v>
      </c>
      <c r="D347" s="21" t="s">
        <v>96</v>
      </c>
      <c r="E347" s="73"/>
      <c r="F347" s="73"/>
    </row>
    <row r="348" spans="1:6" s="49" customFormat="1" ht="15" x14ac:dyDescent="0.25">
      <c r="A348" s="3">
        <f t="shared" si="52"/>
        <v>3220</v>
      </c>
      <c r="B348" s="3">
        <f t="shared" si="51"/>
        <v>3220</v>
      </c>
      <c r="C348" s="3">
        <v>1</v>
      </c>
      <c r="D348" s="21" t="s">
        <v>97</v>
      </c>
      <c r="E348" s="73"/>
      <c r="F348" s="73"/>
    </row>
    <row r="349" spans="1:6" s="49" customFormat="1" ht="15" x14ac:dyDescent="0.25">
      <c r="A349" s="3">
        <f t="shared" si="52"/>
        <v>3221</v>
      </c>
      <c r="B349" s="3">
        <f t="shared" si="51"/>
        <v>3221</v>
      </c>
      <c r="C349" s="3">
        <v>1</v>
      </c>
      <c r="D349" s="21" t="s">
        <v>98</v>
      </c>
      <c r="E349" s="73"/>
      <c r="F349" s="73"/>
    </row>
    <row r="350" spans="1:6" s="49" customFormat="1" ht="15" x14ac:dyDescent="0.25">
      <c r="A350" s="3">
        <f t="shared" si="52"/>
        <v>3222</v>
      </c>
      <c r="B350" s="3">
        <f t="shared" si="51"/>
        <v>3222</v>
      </c>
      <c r="C350" s="3">
        <v>1</v>
      </c>
      <c r="D350" s="21" t="s">
        <v>187</v>
      </c>
      <c r="E350" s="73"/>
      <c r="F350" s="73"/>
    </row>
    <row r="351" spans="1:6" s="49" customFormat="1" ht="15" x14ac:dyDescent="0.25">
      <c r="A351" s="3">
        <f t="shared" si="52"/>
        <v>3223</v>
      </c>
      <c r="B351" s="3">
        <f t="shared" si="51"/>
        <v>3223</v>
      </c>
      <c r="C351" s="3">
        <v>1</v>
      </c>
      <c r="D351" s="21" t="s">
        <v>212</v>
      </c>
      <c r="E351" s="73"/>
      <c r="F351" s="73"/>
    </row>
    <row r="352" spans="1:6" s="49" customFormat="1" ht="15" x14ac:dyDescent="0.25">
      <c r="A352" s="3">
        <f t="shared" si="52"/>
        <v>3224</v>
      </c>
      <c r="B352" s="3">
        <f t="shared" si="51"/>
        <v>3224</v>
      </c>
      <c r="C352" s="3">
        <v>1</v>
      </c>
      <c r="D352" s="21" t="s">
        <v>99</v>
      </c>
      <c r="E352" s="73"/>
      <c r="F352" s="73"/>
    </row>
    <row r="353" spans="1:6" s="49" customFormat="1" ht="15" x14ac:dyDescent="0.25">
      <c r="A353" s="3">
        <f t="shared" si="52"/>
        <v>3225</v>
      </c>
      <c r="B353" s="3">
        <f t="shared" si="51"/>
        <v>3225</v>
      </c>
      <c r="C353" s="3">
        <v>1</v>
      </c>
      <c r="D353" s="21" t="s">
        <v>100</v>
      </c>
      <c r="E353" s="73"/>
      <c r="F353" s="73"/>
    </row>
    <row r="354" spans="1:6" s="49" customFormat="1" ht="15" x14ac:dyDescent="0.25">
      <c r="A354" s="3">
        <f t="shared" si="52"/>
        <v>3226</v>
      </c>
      <c r="B354" s="3">
        <f t="shared" si="51"/>
        <v>3226</v>
      </c>
      <c r="C354" s="3">
        <v>1</v>
      </c>
      <c r="D354" s="21" t="s">
        <v>101</v>
      </c>
      <c r="E354" s="73"/>
      <c r="F354" s="73"/>
    </row>
    <row r="355" spans="1:6" s="49" customFormat="1" ht="15" x14ac:dyDescent="0.25">
      <c r="A355" s="3">
        <f t="shared" si="52"/>
        <v>3227</v>
      </c>
      <c r="B355" s="3">
        <f t="shared" si="51"/>
        <v>3227</v>
      </c>
      <c r="C355" s="3">
        <v>1</v>
      </c>
      <c r="D355" s="21" t="s">
        <v>102</v>
      </c>
      <c r="E355" s="73"/>
      <c r="F355" s="73"/>
    </row>
    <row r="356" spans="1:6" s="49" customFormat="1" ht="15" x14ac:dyDescent="0.25">
      <c r="A356" s="3">
        <f t="shared" si="52"/>
        <v>3228</v>
      </c>
      <c r="B356" s="3">
        <f t="shared" si="51"/>
        <v>3228</v>
      </c>
      <c r="C356" s="3">
        <v>1</v>
      </c>
      <c r="D356" s="21" t="s">
        <v>103</v>
      </c>
      <c r="E356" s="73"/>
      <c r="F356" s="73"/>
    </row>
    <row r="357" spans="1:6" s="49" customFormat="1" ht="15" x14ac:dyDescent="0.25">
      <c r="A357" s="3">
        <f t="shared" si="52"/>
        <v>3229</v>
      </c>
      <c r="B357" s="3">
        <f t="shared" si="51"/>
        <v>3229</v>
      </c>
      <c r="C357" s="3">
        <v>1</v>
      </c>
      <c r="D357" s="21" t="s">
        <v>104</v>
      </c>
      <c r="E357" s="73"/>
      <c r="F357" s="73"/>
    </row>
    <row r="358" spans="1:6" s="49" customFormat="1" ht="15" x14ac:dyDescent="0.25">
      <c r="A358" s="3">
        <f t="shared" si="52"/>
        <v>3230</v>
      </c>
      <c r="B358" s="3">
        <f t="shared" si="51"/>
        <v>3249</v>
      </c>
      <c r="C358" s="3">
        <v>20</v>
      </c>
      <c r="D358" s="21" t="s">
        <v>39</v>
      </c>
      <c r="E358" s="36"/>
      <c r="F358" s="38"/>
    </row>
    <row r="359" spans="1:6" s="49" customFormat="1" ht="15" x14ac:dyDescent="0.25">
      <c r="A359" s="3"/>
      <c r="B359" s="3"/>
      <c r="C359" s="3"/>
      <c r="D359" s="22" t="s">
        <v>154</v>
      </c>
      <c r="E359" s="36"/>
      <c r="F359" s="38"/>
    </row>
    <row r="360" spans="1:6" s="49" customFormat="1" ht="63.75" x14ac:dyDescent="0.25">
      <c r="A360" s="3">
        <f>A358+C358</f>
        <v>3250</v>
      </c>
      <c r="B360" s="3">
        <f t="shared" ref="B360:B367" si="53">A360+C360-1</f>
        <v>3252</v>
      </c>
      <c r="C360" s="3">
        <v>3</v>
      </c>
      <c r="D360" s="21" t="s">
        <v>15</v>
      </c>
      <c r="E360" s="38" t="s">
        <v>64</v>
      </c>
      <c r="F360" s="33" t="s">
        <v>385</v>
      </c>
    </row>
    <row r="361" spans="1:6" s="49" customFormat="1" ht="63.75" x14ac:dyDescent="0.25">
      <c r="A361" s="3">
        <f t="shared" ref="A361:A367" si="54">A360+C360</f>
        <v>3253</v>
      </c>
      <c r="B361" s="3">
        <f t="shared" si="53"/>
        <v>3255</v>
      </c>
      <c r="C361" s="3">
        <v>3</v>
      </c>
      <c r="D361" s="21" t="s">
        <v>16</v>
      </c>
      <c r="E361" s="38" t="s">
        <v>64</v>
      </c>
      <c r="F361" s="33" t="s">
        <v>386</v>
      </c>
    </row>
    <row r="362" spans="1:6" s="49" customFormat="1" ht="89.25" x14ac:dyDescent="0.25">
      <c r="A362" s="3">
        <f t="shared" si="54"/>
        <v>3256</v>
      </c>
      <c r="B362" s="3">
        <f t="shared" si="53"/>
        <v>3258</v>
      </c>
      <c r="C362" s="3">
        <v>3</v>
      </c>
      <c r="D362" s="21" t="s">
        <v>108</v>
      </c>
      <c r="E362" s="38" t="s">
        <v>64</v>
      </c>
      <c r="F362" s="34" t="s">
        <v>387</v>
      </c>
    </row>
    <row r="363" spans="1:6" s="49" customFormat="1" ht="76.5" x14ac:dyDescent="0.25">
      <c r="A363" s="3">
        <f t="shared" si="54"/>
        <v>3259</v>
      </c>
      <c r="B363" s="3">
        <f t="shared" si="53"/>
        <v>3261</v>
      </c>
      <c r="C363" s="3">
        <v>3</v>
      </c>
      <c r="D363" s="21" t="s">
        <v>109</v>
      </c>
      <c r="E363" s="38" t="s">
        <v>69</v>
      </c>
      <c r="F363" s="33" t="s">
        <v>346</v>
      </c>
    </row>
    <row r="364" spans="1:6" s="49" customFormat="1" ht="63.75" x14ac:dyDescent="0.25">
      <c r="A364" s="3">
        <f t="shared" si="54"/>
        <v>3262</v>
      </c>
      <c r="B364" s="3">
        <f t="shared" si="53"/>
        <v>3264</v>
      </c>
      <c r="C364" s="3">
        <v>3</v>
      </c>
      <c r="D364" s="21" t="s">
        <v>21</v>
      </c>
      <c r="E364" s="36" t="s">
        <v>67</v>
      </c>
      <c r="F364" s="12" t="s">
        <v>425</v>
      </c>
    </row>
    <row r="365" spans="1:6" s="49" customFormat="1" ht="63.75" x14ac:dyDescent="0.25">
      <c r="A365" s="3">
        <f t="shared" si="54"/>
        <v>3265</v>
      </c>
      <c r="B365" s="3">
        <f t="shared" si="53"/>
        <v>3266</v>
      </c>
      <c r="C365" s="5">
        <v>2</v>
      </c>
      <c r="D365" s="21" t="s">
        <v>88</v>
      </c>
      <c r="E365" s="36" t="s">
        <v>310</v>
      </c>
      <c r="F365" s="40" t="s">
        <v>197</v>
      </c>
    </row>
    <row r="366" spans="1:6" s="49" customFormat="1" ht="63.75" x14ac:dyDescent="0.25">
      <c r="A366" s="3">
        <f t="shared" si="54"/>
        <v>3267</v>
      </c>
      <c r="B366" s="3">
        <f t="shared" si="53"/>
        <v>3269</v>
      </c>
      <c r="C366" s="3">
        <v>3</v>
      </c>
      <c r="D366" s="21" t="s">
        <v>92</v>
      </c>
      <c r="E366" s="36" t="s">
        <v>91</v>
      </c>
      <c r="F366" s="40" t="s">
        <v>198</v>
      </c>
    </row>
    <row r="367" spans="1:6" s="49" customFormat="1" ht="15" x14ac:dyDescent="0.25">
      <c r="A367" s="3">
        <f t="shared" si="54"/>
        <v>3270</v>
      </c>
      <c r="B367" s="3">
        <f t="shared" si="53"/>
        <v>3290</v>
      </c>
      <c r="C367" s="5">
        <v>21</v>
      </c>
      <c r="D367" s="21" t="s">
        <v>39</v>
      </c>
      <c r="E367" s="36"/>
      <c r="F367" s="40"/>
    </row>
    <row r="368" spans="1:6" s="49" customFormat="1" ht="15" x14ac:dyDescent="0.25">
      <c r="A368" s="3" t="s">
        <v>318</v>
      </c>
      <c r="B368" s="3"/>
      <c r="C368" s="3"/>
      <c r="D368" s="22" t="s">
        <v>107</v>
      </c>
      <c r="E368" s="36"/>
      <c r="F368" s="38"/>
    </row>
    <row r="369" spans="1:6" s="49" customFormat="1" ht="38.25" x14ac:dyDescent="0.25">
      <c r="A369" s="3">
        <f>A367+C367</f>
        <v>3291</v>
      </c>
      <c r="B369" s="3">
        <f t="shared" ref="B369:B375" si="55">A369+C369-1</f>
        <v>3292</v>
      </c>
      <c r="C369" s="3">
        <v>2</v>
      </c>
      <c r="D369" s="21" t="s">
        <v>116</v>
      </c>
      <c r="E369" s="36" t="s">
        <v>68</v>
      </c>
      <c r="F369" s="38" t="s">
        <v>133</v>
      </c>
    </row>
    <row r="370" spans="1:6" s="49" customFormat="1" ht="63.75" x14ac:dyDescent="0.25">
      <c r="A370" s="3">
        <f t="shared" ref="A370:A375" si="56">A369+C369</f>
        <v>3293</v>
      </c>
      <c r="B370" s="3">
        <f t="shared" si="55"/>
        <v>3295</v>
      </c>
      <c r="C370" s="3">
        <v>3</v>
      </c>
      <c r="D370" s="21" t="s">
        <v>125</v>
      </c>
      <c r="E370" s="36" t="s">
        <v>69</v>
      </c>
      <c r="F370" s="38" t="s">
        <v>134</v>
      </c>
    </row>
    <row r="371" spans="1:6" s="49" customFormat="1" ht="38.25" x14ac:dyDescent="0.25">
      <c r="A371" s="3">
        <f t="shared" si="56"/>
        <v>3296</v>
      </c>
      <c r="B371" s="3">
        <f t="shared" si="55"/>
        <v>3297</v>
      </c>
      <c r="C371" s="3">
        <v>2</v>
      </c>
      <c r="D371" s="21" t="s">
        <v>117</v>
      </c>
      <c r="E371" s="36" t="s">
        <v>68</v>
      </c>
      <c r="F371" s="38" t="s">
        <v>135</v>
      </c>
    </row>
    <row r="372" spans="1:6" s="49" customFormat="1" ht="51" x14ac:dyDescent="0.25">
      <c r="A372" s="3">
        <f t="shared" si="56"/>
        <v>3298</v>
      </c>
      <c r="B372" s="3">
        <f t="shared" si="55"/>
        <v>3300</v>
      </c>
      <c r="C372" s="3">
        <v>3</v>
      </c>
      <c r="D372" s="21" t="s">
        <v>126</v>
      </c>
      <c r="E372" s="36" t="s">
        <v>69</v>
      </c>
      <c r="F372" s="38" t="s">
        <v>136</v>
      </c>
    </row>
    <row r="373" spans="1:6" s="49" customFormat="1" ht="38.25" x14ac:dyDescent="0.25">
      <c r="A373" s="3">
        <f t="shared" si="56"/>
        <v>3301</v>
      </c>
      <c r="B373" s="3">
        <f t="shared" si="55"/>
        <v>3302</v>
      </c>
      <c r="C373" s="3">
        <v>2</v>
      </c>
      <c r="D373" s="21" t="s">
        <v>118</v>
      </c>
      <c r="E373" s="36" t="s">
        <v>68</v>
      </c>
      <c r="F373" s="38" t="s">
        <v>137</v>
      </c>
    </row>
    <row r="374" spans="1:6" s="49" customFormat="1" ht="51" x14ac:dyDescent="0.25">
      <c r="A374" s="3">
        <f t="shared" si="56"/>
        <v>3303</v>
      </c>
      <c r="B374" s="3">
        <f t="shared" si="55"/>
        <v>3305</v>
      </c>
      <c r="C374" s="3">
        <v>3</v>
      </c>
      <c r="D374" s="21" t="s">
        <v>127</v>
      </c>
      <c r="E374" s="36" t="s">
        <v>69</v>
      </c>
      <c r="F374" s="38" t="s">
        <v>138</v>
      </c>
    </row>
    <row r="375" spans="1:6" s="49" customFormat="1" ht="15" x14ac:dyDescent="0.25">
      <c r="A375" s="3">
        <f t="shared" si="56"/>
        <v>3306</v>
      </c>
      <c r="B375" s="3">
        <f t="shared" si="55"/>
        <v>3325</v>
      </c>
      <c r="C375" s="3">
        <v>20</v>
      </c>
      <c r="D375" s="21" t="s">
        <v>39</v>
      </c>
      <c r="E375" s="36"/>
      <c r="F375" s="38"/>
    </row>
    <row r="376" spans="1:6" s="49" customFormat="1" ht="15" x14ac:dyDescent="0.25">
      <c r="A376" s="3"/>
      <c r="B376" s="3"/>
      <c r="C376" s="3"/>
      <c r="D376" s="22" t="s">
        <v>244</v>
      </c>
      <c r="E376" s="36"/>
      <c r="F376" s="38"/>
    </row>
    <row r="377" spans="1:6" s="49" customFormat="1" ht="25.5" x14ac:dyDescent="0.25">
      <c r="A377" s="3">
        <f>A375+C375</f>
        <v>3326</v>
      </c>
      <c r="B377" s="3">
        <f t="shared" ref="B377:B384" si="57">A377+C377-1</f>
        <v>3327</v>
      </c>
      <c r="C377" s="5">
        <v>2</v>
      </c>
      <c r="D377" s="13" t="s">
        <v>246</v>
      </c>
      <c r="E377" s="36" t="s">
        <v>70</v>
      </c>
      <c r="F377" s="38" t="s">
        <v>114</v>
      </c>
    </row>
    <row r="378" spans="1:6" s="49" customFormat="1" ht="63.75" x14ac:dyDescent="0.25">
      <c r="A378" s="3">
        <f t="shared" ref="A378:A384" si="58">A377+C377</f>
        <v>3328</v>
      </c>
      <c r="B378" s="3">
        <f t="shared" si="57"/>
        <v>3328</v>
      </c>
      <c r="C378" s="3">
        <v>1</v>
      </c>
      <c r="D378" s="21" t="s">
        <v>17</v>
      </c>
      <c r="E378" s="36" t="s">
        <v>93</v>
      </c>
      <c r="F378" s="38" t="s">
        <v>256</v>
      </c>
    </row>
    <row r="379" spans="1:6" s="49" customFormat="1" ht="38.25" x14ac:dyDescent="0.25">
      <c r="A379" s="3">
        <f t="shared" si="58"/>
        <v>3329</v>
      </c>
      <c r="B379" s="3">
        <f t="shared" si="57"/>
        <v>3329</v>
      </c>
      <c r="C379" s="3">
        <v>1</v>
      </c>
      <c r="D379" s="21" t="s">
        <v>18</v>
      </c>
      <c r="E379" s="36" t="s">
        <v>65</v>
      </c>
      <c r="F379" s="38" t="s">
        <v>180</v>
      </c>
    </row>
    <row r="380" spans="1:6" s="49" customFormat="1" ht="60" customHeight="1" x14ac:dyDescent="0.25">
      <c r="A380" s="3">
        <f t="shared" si="58"/>
        <v>3330</v>
      </c>
      <c r="B380" s="3">
        <f t="shared" si="57"/>
        <v>3330</v>
      </c>
      <c r="C380" s="3">
        <v>1</v>
      </c>
      <c r="D380" s="21" t="s">
        <v>90</v>
      </c>
      <c r="E380" s="36" t="s">
        <v>178</v>
      </c>
      <c r="F380" s="38" t="s">
        <v>179</v>
      </c>
    </row>
    <row r="381" spans="1:6" s="49" customFormat="1" ht="51" x14ac:dyDescent="0.25">
      <c r="A381" s="3">
        <f t="shared" si="58"/>
        <v>3331</v>
      </c>
      <c r="B381" s="3">
        <f t="shared" si="57"/>
        <v>3331</v>
      </c>
      <c r="C381" s="3">
        <v>1</v>
      </c>
      <c r="D381" s="21" t="s">
        <v>19</v>
      </c>
      <c r="E381" s="36" t="s">
        <v>66</v>
      </c>
      <c r="F381" s="38" t="s">
        <v>181</v>
      </c>
    </row>
    <row r="382" spans="1:6" s="49" customFormat="1" ht="184.5" customHeight="1" x14ac:dyDescent="0.25">
      <c r="A382" s="3">
        <f t="shared" si="58"/>
        <v>3332</v>
      </c>
      <c r="B382" s="3">
        <f t="shared" si="57"/>
        <v>3332</v>
      </c>
      <c r="C382" s="3">
        <v>1</v>
      </c>
      <c r="D382" s="21" t="s">
        <v>23</v>
      </c>
      <c r="E382" s="36" t="s">
        <v>63</v>
      </c>
      <c r="F382" s="38" t="s">
        <v>237</v>
      </c>
    </row>
    <row r="383" spans="1:6" s="49" customFormat="1" ht="63.75" x14ac:dyDescent="0.25">
      <c r="A383" s="3">
        <f t="shared" si="58"/>
        <v>3333</v>
      </c>
      <c r="B383" s="3">
        <f t="shared" si="57"/>
        <v>3333</v>
      </c>
      <c r="C383" s="3">
        <v>1</v>
      </c>
      <c r="D383" s="21" t="s">
        <v>20</v>
      </c>
      <c r="E383" s="36" t="s">
        <v>62</v>
      </c>
      <c r="F383" s="38" t="s">
        <v>434</v>
      </c>
    </row>
    <row r="384" spans="1:6" s="49" customFormat="1" ht="15" x14ac:dyDescent="0.25">
      <c r="A384" s="3">
        <f t="shared" si="58"/>
        <v>3334</v>
      </c>
      <c r="B384" s="3">
        <f t="shared" si="57"/>
        <v>3695</v>
      </c>
      <c r="C384" s="3">
        <v>362</v>
      </c>
      <c r="D384" s="21" t="s">
        <v>39</v>
      </c>
      <c r="E384" s="37" t="s">
        <v>318</v>
      </c>
      <c r="F384" s="38" t="s">
        <v>318</v>
      </c>
    </row>
    <row r="385" spans="1:6" x14ac:dyDescent="0.25">
      <c r="A385" s="3" t="s">
        <v>318</v>
      </c>
      <c r="B385" s="3"/>
      <c r="C385" s="7"/>
      <c r="D385" s="22" t="s">
        <v>397</v>
      </c>
      <c r="E385" s="14"/>
      <c r="F385" s="17"/>
    </row>
    <row r="386" spans="1:6" ht="25.5" x14ac:dyDescent="0.25">
      <c r="A386" s="3">
        <f>A384+C384</f>
        <v>3696</v>
      </c>
      <c r="B386" s="3">
        <f t="shared" ref="B386:B398" si="59">A386+C386-1</f>
        <v>3696</v>
      </c>
      <c r="C386" s="3">
        <v>1</v>
      </c>
      <c r="D386" s="21" t="s">
        <v>24</v>
      </c>
      <c r="E386" s="36" t="s">
        <v>38</v>
      </c>
    </row>
    <row r="387" spans="1:6" ht="140.25" x14ac:dyDescent="0.25">
      <c r="A387" s="3">
        <f t="shared" ref="A387:A398" si="60">A386+C386</f>
        <v>3697</v>
      </c>
      <c r="B387" s="3">
        <f t="shared" si="59"/>
        <v>3704</v>
      </c>
      <c r="C387" s="6">
        <v>8</v>
      </c>
      <c r="D387" s="9" t="s">
        <v>11</v>
      </c>
      <c r="E387" s="39" t="s">
        <v>523</v>
      </c>
      <c r="F387" s="33" t="s">
        <v>439</v>
      </c>
    </row>
    <row r="388" spans="1:6" x14ac:dyDescent="0.25">
      <c r="A388" s="3">
        <f t="shared" si="60"/>
        <v>3705</v>
      </c>
      <c r="B388" s="3">
        <f t="shared" si="59"/>
        <v>3712</v>
      </c>
      <c r="C388" s="35">
        <v>8</v>
      </c>
      <c r="D388" s="21" t="s">
        <v>39</v>
      </c>
      <c r="E388" s="37" t="s">
        <v>318</v>
      </c>
      <c r="F388" s="38" t="s">
        <v>318</v>
      </c>
    </row>
    <row r="389" spans="1:6" ht="17.25" customHeight="1" x14ac:dyDescent="0.25">
      <c r="A389" s="3">
        <f t="shared" si="60"/>
        <v>3713</v>
      </c>
      <c r="B389" s="3">
        <f t="shared" si="59"/>
        <v>3732</v>
      </c>
      <c r="C389" s="3">
        <v>20</v>
      </c>
      <c r="D389" s="21" t="s">
        <v>12</v>
      </c>
      <c r="E389" s="75" t="s">
        <v>177</v>
      </c>
      <c r="F389" s="74" t="s">
        <v>230</v>
      </c>
    </row>
    <row r="390" spans="1:6" ht="18.75" customHeight="1" x14ac:dyDescent="0.25">
      <c r="A390" s="3">
        <f t="shared" si="60"/>
        <v>3733</v>
      </c>
      <c r="B390" s="3">
        <f t="shared" si="59"/>
        <v>3747</v>
      </c>
      <c r="C390" s="3">
        <v>15</v>
      </c>
      <c r="D390" s="21" t="s">
        <v>13</v>
      </c>
      <c r="E390" s="75"/>
      <c r="F390" s="74"/>
    </row>
    <row r="391" spans="1:6" ht="17.25" customHeight="1" x14ac:dyDescent="0.25">
      <c r="A391" s="3">
        <f t="shared" si="60"/>
        <v>3748</v>
      </c>
      <c r="B391" s="3">
        <f t="shared" si="59"/>
        <v>3748</v>
      </c>
      <c r="C391" s="3">
        <v>1</v>
      </c>
      <c r="D391" s="21" t="s">
        <v>186</v>
      </c>
      <c r="E391" s="75"/>
      <c r="F391" s="74"/>
    </row>
    <row r="392" spans="1:6" ht="39.6" customHeight="1" x14ac:dyDescent="0.25">
      <c r="A392" s="3">
        <f t="shared" si="60"/>
        <v>3749</v>
      </c>
      <c r="B392" s="3">
        <f t="shared" si="59"/>
        <v>3792</v>
      </c>
      <c r="C392" s="3">
        <v>44</v>
      </c>
      <c r="D392" s="21" t="s">
        <v>39</v>
      </c>
      <c r="E392" s="32" t="s">
        <v>318</v>
      </c>
      <c r="F392" s="39" t="s">
        <v>318</v>
      </c>
    </row>
    <row r="393" spans="1:6" ht="114.75" x14ac:dyDescent="0.25">
      <c r="A393" s="3">
        <f t="shared" si="60"/>
        <v>3793</v>
      </c>
      <c r="B393" s="3">
        <f t="shared" si="59"/>
        <v>3798</v>
      </c>
      <c r="C393" s="3">
        <v>6</v>
      </c>
      <c r="D393" s="21" t="s">
        <v>111</v>
      </c>
      <c r="E393" s="39" t="s">
        <v>388</v>
      </c>
      <c r="F393" s="33" t="s">
        <v>490</v>
      </c>
    </row>
    <row r="394" spans="1:6" ht="127.5" x14ac:dyDescent="0.25">
      <c r="A394" s="3">
        <f t="shared" si="60"/>
        <v>3799</v>
      </c>
      <c r="B394" s="3">
        <f t="shared" si="59"/>
        <v>3828</v>
      </c>
      <c r="C394" s="3">
        <v>30</v>
      </c>
      <c r="D394" s="21" t="s">
        <v>14</v>
      </c>
      <c r="E394" s="42" t="s">
        <v>495</v>
      </c>
      <c r="F394" s="33" t="s">
        <v>491</v>
      </c>
    </row>
    <row r="395" spans="1:6" s="49" customFormat="1" ht="51" x14ac:dyDescent="0.25">
      <c r="A395" s="3">
        <f t="shared" si="60"/>
        <v>3829</v>
      </c>
      <c r="B395" s="3">
        <f t="shared" si="59"/>
        <v>3848</v>
      </c>
      <c r="C395" s="3">
        <v>20</v>
      </c>
      <c r="D395" s="21" t="s">
        <v>84</v>
      </c>
      <c r="E395" s="36" t="s">
        <v>221</v>
      </c>
      <c r="F395" s="38" t="s">
        <v>230</v>
      </c>
    </row>
    <row r="396" spans="1:6" s="49" customFormat="1" ht="38.25" x14ac:dyDescent="0.25">
      <c r="A396" s="3">
        <f t="shared" si="60"/>
        <v>3849</v>
      </c>
      <c r="B396" s="3">
        <f t="shared" si="59"/>
        <v>3854</v>
      </c>
      <c r="C396" s="3">
        <v>6</v>
      </c>
      <c r="D396" s="21" t="s">
        <v>85</v>
      </c>
      <c r="E396" s="36" t="s">
        <v>86</v>
      </c>
      <c r="F396" s="38" t="s">
        <v>211</v>
      </c>
    </row>
    <row r="397" spans="1:6" s="49" customFormat="1" ht="25.5" x14ac:dyDescent="0.25">
      <c r="A397" s="3">
        <f t="shared" si="60"/>
        <v>3855</v>
      </c>
      <c r="B397" s="3">
        <f t="shared" si="59"/>
        <v>3855</v>
      </c>
      <c r="C397" s="3">
        <v>1</v>
      </c>
      <c r="D397" s="21" t="s">
        <v>220</v>
      </c>
      <c r="E397" s="36" t="s">
        <v>209</v>
      </c>
      <c r="F397" s="38" t="s">
        <v>208</v>
      </c>
    </row>
    <row r="398" spans="1:6" s="49" customFormat="1" ht="15" x14ac:dyDescent="0.25">
      <c r="A398" s="3">
        <f t="shared" si="60"/>
        <v>3856</v>
      </c>
      <c r="B398" s="3">
        <f t="shared" si="59"/>
        <v>3892</v>
      </c>
      <c r="C398" s="6">
        <v>37</v>
      </c>
      <c r="D398" s="21" t="s">
        <v>39</v>
      </c>
      <c r="E398" s="36"/>
      <c r="F398" s="38"/>
    </row>
    <row r="399" spans="1:6" s="49" customFormat="1" ht="15" x14ac:dyDescent="0.25">
      <c r="A399" s="3" t="s">
        <v>318</v>
      </c>
      <c r="B399" s="3"/>
      <c r="C399" s="3"/>
      <c r="D399" s="22" t="s">
        <v>232</v>
      </c>
      <c r="E399" s="36"/>
      <c r="F399" s="38"/>
    </row>
    <row r="400" spans="1:6" s="49" customFormat="1" ht="15" customHeight="1" x14ac:dyDescent="0.25">
      <c r="A400" s="3">
        <f>A398+C398</f>
        <v>3893</v>
      </c>
      <c r="B400" s="3">
        <f t="shared" ref="B400:B414" si="61">A400+C400-1</f>
        <v>3893</v>
      </c>
      <c r="C400" s="3">
        <v>1</v>
      </c>
      <c r="D400" s="21" t="s">
        <v>94</v>
      </c>
      <c r="E400" s="73" t="s">
        <v>87</v>
      </c>
      <c r="F400" s="73" t="s">
        <v>255</v>
      </c>
    </row>
    <row r="401" spans="1:6" s="49" customFormat="1" ht="15" x14ac:dyDescent="0.25">
      <c r="A401" s="3">
        <f t="shared" ref="A401:A414" si="62">A400+C400</f>
        <v>3894</v>
      </c>
      <c r="B401" s="3">
        <f t="shared" si="61"/>
        <v>3894</v>
      </c>
      <c r="C401" s="3">
        <v>1</v>
      </c>
      <c r="D401" s="21" t="s">
        <v>95</v>
      </c>
      <c r="E401" s="73"/>
      <c r="F401" s="73"/>
    </row>
    <row r="402" spans="1:6" s="49" customFormat="1" ht="15" x14ac:dyDescent="0.25">
      <c r="A402" s="3">
        <f t="shared" si="62"/>
        <v>3895</v>
      </c>
      <c r="B402" s="3">
        <f t="shared" si="61"/>
        <v>3895</v>
      </c>
      <c r="C402" s="3">
        <v>1</v>
      </c>
      <c r="D402" s="13" t="s">
        <v>39</v>
      </c>
      <c r="E402" s="73"/>
      <c r="F402" s="73"/>
    </row>
    <row r="403" spans="1:6" s="49" customFormat="1" ht="15" x14ac:dyDescent="0.25">
      <c r="A403" s="3">
        <f t="shared" si="62"/>
        <v>3896</v>
      </c>
      <c r="B403" s="3">
        <f t="shared" si="61"/>
        <v>3896</v>
      </c>
      <c r="C403" s="3">
        <v>1</v>
      </c>
      <c r="D403" s="21" t="s">
        <v>96</v>
      </c>
      <c r="E403" s="73"/>
      <c r="F403" s="73"/>
    </row>
    <row r="404" spans="1:6" s="49" customFormat="1" ht="15" x14ac:dyDescent="0.25">
      <c r="A404" s="3">
        <f t="shared" si="62"/>
        <v>3897</v>
      </c>
      <c r="B404" s="3">
        <f t="shared" si="61"/>
        <v>3897</v>
      </c>
      <c r="C404" s="3">
        <v>1</v>
      </c>
      <c r="D404" s="21" t="s">
        <v>97</v>
      </c>
      <c r="E404" s="73"/>
      <c r="F404" s="73"/>
    </row>
    <row r="405" spans="1:6" s="49" customFormat="1" ht="15" x14ac:dyDescent="0.25">
      <c r="A405" s="3">
        <f t="shared" si="62"/>
        <v>3898</v>
      </c>
      <c r="B405" s="3">
        <f t="shared" si="61"/>
        <v>3898</v>
      </c>
      <c r="C405" s="3">
        <v>1</v>
      </c>
      <c r="D405" s="21" t="s">
        <v>98</v>
      </c>
      <c r="E405" s="73"/>
      <c r="F405" s="73"/>
    </row>
    <row r="406" spans="1:6" s="49" customFormat="1" ht="15" x14ac:dyDescent="0.25">
      <c r="A406" s="3">
        <f t="shared" si="62"/>
        <v>3899</v>
      </c>
      <c r="B406" s="3">
        <f t="shared" si="61"/>
        <v>3899</v>
      </c>
      <c r="C406" s="3">
        <v>1</v>
      </c>
      <c r="D406" s="21" t="s">
        <v>187</v>
      </c>
      <c r="E406" s="73"/>
      <c r="F406" s="73"/>
    </row>
    <row r="407" spans="1:6" s="49" customFormat="1" ht="15" x14ac:dyDescent="0.25">
      <c r="A407" s="3">
        <f t="shared" si="62"/>
        <v>3900</v>
      </c>
      <c r="B407" s="3">
        <f t="shared" si="61"/>
        <v>3900</v>
      </c>
      <c r="C407" s="3">
        <v>1</v>
      </c>
      <c r="D407" s="21" t="s">
        <v>212</v>
      </c>
      <c r="E407" s="73"/>
      <c r="F407" s="73"/>
    </row>
    <row r="408" spans="1:6" s="49" customFormat="1" ht="15" x14ac:dyDescent="0.25">
      <c r="A408" s="3">
        <f t="shared" si="62"/>
        <v>3901</v>
      </c>
      <c r="B408" s="3">
        <f t="shared" si="61"/>
        <v>3901</v>
      </c>
      <c r="C408" s="3">
        <v>1</v>
      </c>
      <c r="D408" s="21" t="s">
        <v>99</v>
      </c>
      <c r="E408" s="73"/>
      <c r="F408" s="73"/>
    </row>
    <row r="409" spans="1:6" s="49" customFormat="1" ht="15" x14ac:dyDescent="0.25">
      <c r="A409" s="3">
        <f t="shared" si="62"/>
        <v>3902</v>
      </c>
      <c r="B409" s="3">
        <f t="shared" si="61"/>
        <v>3902</v>
      </c>
      <c r="C409" s="3">
        <v>1</v>
      </c>
      <c r="D409" s="21" t="s">
        <v>100</v>
      </c>
      <c r="E409" s="73"/>
      <c r="F409" s="73"/>
    </row>
    <row r="410" spans="1:6" s="49" customFormat="1" ht="15" x14ac:dyDescent="0.25">
      <c r="A410" s="3">
        <f t="shared" si="62"/>
        <v>3903</v>
      </c>
      <c r="B410" s="3">
        <f t="shared" si="61"/>
        <v>3903</v>
      </c>
      <c r="C410" s="3">
        <v>1</v>
      </c>
      <c r="D410" s="21" t="s">
        <v>101</v>
      </c>
      <c r="E410" s="73"/>
      <c r="F410" s="73"/>
    </row>
    <row r="411" spans="1:6" s="49" customFormat="1" ht="15" x14ac:dyDescent="0.25">
      <c r="A411" s="3">
        <f t="shared" si="62"/>
        <v>3904</v>
      </c>
      <c r="B411" s="3">
        <f t="shared" si="61"/>
        <v>3904</v>
      </c>
      <c r="C411" s="3">
        <v>1</v>
      </c>
      <c r="D411" s="21" t="s">
        <v>102</v>
      </c>
      <c r="E411" s="73"/>
      <c r="F411" s="73"/>
    </row>
    <row r="412" spans="1:6" s="49" customFormat="1" ht="15" x14ac:dyDescent="0.25">
      <c r="A412" s="3">
        <f t="shared" si="62"/>
        <v>3905</v>
      </c>
      <c r="B412" s="3">
        <f t="shared" si="61"/>
        <v>3905</v>
      </c>
      <c r="C412" s="3">
        <v>1</v>
      </c>
      <c r="D412" s="21" t="s">
        <v>103</v>
      </c>
      <c r="E412" s="73"/>
      <c r="F412" s="73"/>
    </row>
    <row r="413" spans="1:6" s="49" customFormat="1" ht="15" x14ac:dyDescent="0.25">
      <c r="A413" s="3">
        <f t="shared" si="62"/>
        <v>3906</v>
      </c>
      <c r="B413" s="3">
        <f t="shared" si="61"/>
        <v>3906</v>
      </c>
      <c r="C413" s="3">
        <v>1</v>
      </c>
      <c r="D413" s="21" t="s">
        <v>104</v>
      </c>
      <c r="E413" s="73"/>
      <c r="F413" s="73"/>
    </row>
    <row r="414" spans="1:6" s="49" customFormat="1" ht="15" x14ac:dyDescent="0.25">
      <c r="A414" s="3">
        <f t="shared" si="62"/>
        <v>3907</v>
      </c>
      <c r="B414" s="3">
        <f t="shared" si="61"/>
        <v>3926</v>
      </c>
      <c r="C414" s="3">
        <v>20</v>
      </c>
      <c r="D414" s="21" t="s">
        <v>39</v>
      </c>
      <c r="E414" s="36"/>
      <c r="F414" s="38"/>
    </row>
    <row r="415" spans="1:6" s="49" customFormat="1" ht="25.5" x14ac:dyDescent="0.25">
      <c r="A415" s="3"/>
      <c r="B415" s="3"/>
      <c r="C415" s="3"/>
      <c r="D415" s="22" t="s">
        <v>391</v>
      </c>
      <c r="E415" s="36"/>
      <c r="F415" s="38"/>
    </row>
    <row r="416" spans="1:6" s="49" customFormat="1" ht="63.75" x14ac:dyDescent="0.25">
      <c r="A416" s="3">
        <f>A414+C414</f>
        <v>3927</v>
      </c>
      <c r="B416" s="3">
        <f t="shared" ref="B416:B423" si="63">A416+C416-1</f>
        <v>3929</v>
      </c>
      <c r="C416" s="3">
        <v>3</v>
      </c>
      <c r="D416" s="21" t="s">
        <v>15</v>
      </c>
      <c r="E416" s="38" t="s">
        <v>64</v>
      </c>
      <c r="F416" s="38" t="s">
        <v>344</v>
      </c>
    </row>
    <row r="417" spans="1:6" s="49" customFormat="1" ht="63.75" x14ac:dyDescent="0.25">
      <c r="A417" s="3">
        <f t="shared" ref="A417:A423" si="64">A416+C416</f>
        <v>3930</v>
      </c>
      <c r="B417" s="3">
        <f t="shared" si="63"/>
        <v>3932</v>
      </c>
      <c r="C417" s="3">
        <v>3</v>
      </c>
      <c r="D417" s="21" t="s">
        <v>16</v>
      </c>
      <c r="E417" s="38" t="s">
        <v>64</v>
      </c>
      <c r="F417" s="38" t="s">
        <v>345</v>
      </c>
    </row>
    <row r="418" spans="1:6" s="49" customFormat="1" ht="89.25" x14ac:dyDescent="0.25">
      <c r="A418" s="3">
        <f t="shared" si="64"/>
        <v>3933</v>
      </c>
      <c r="B418" s="3">
        <f t="shared" si="63"/>
        <v>3935</v>
      </c>
      <c r="C418" s="3">
        <v>3</v>
      </c>
      <c r="D418" s="21" t="s">
        <v>108</v>
      </c>
      <c r="E418" s="38" t="s">
        <v>64</v>
      </c>
      <c r="F418" s="12" t="s">
        <v>199</v>
      </c>
    </row>
    <row r="419" spans="1:6" s="49" customFormat="1" ht="76.5" x14ac:dyDescent="0.25">
      <c r="A419" s="3">
        <f t="shared" si="64"/>
        <v>3936</v>
      </c>
      <c r="B419" s="3">
        <f t="shared" si="63"/>
        <v>3938</v>
      </c>
      <c r="C419" s="3">
        <v>3</v>
      </c>
      <c r="D419" s="21" t="s">
        <v>109</v>
      </c>
      <c r="E419" s="38" t="s">
        <v>69</v>
      </c>
      <c r="F419" s="38" t="s">
        <v>346</v>
      </c>
    </row>
    <row r="420" spans="1:6" s="49" customFormat="1" ht="76.5" x14ac:dyDescent="0.25">
      <c r="A420" s="3">
        <f t="shared" si="64"/>
        <v>3939</v>
      </c>
      <c r="B420" s="3">
        <f t="shared" si="63"/>
        <v>3941</v>
      </c>
      <c r="C420" s="3">
        <v>3</v>
      </c>
      <c r="D420" s="21" t="s">
        <v>21</v>
      </c>
      <c r="E420" s="36" t="s">
        <v>319</v>
      </c>
      <c r="F420" s="12" t="s">
        <v>426</v>
      </c>
    </row>
    <row r="421" spans="1:6" s="49" customFormat="1" ht="63.75" x14ac:dyDescent="0.25">
      <c r="A421" s="3">
        <f t="shared" si="64"/>
        <v>3942</v>
      </c>
      <c r="B421" s="3">
        <f t="shared" si="63"/>
        <v>3943</v>
      </c>
      <c r="C421" s="5">
        <v>2</v>
      </c>
      <c r="D421" s="21" t="s">
        <v>88</v>
      </c>
      <c r="E421" s="36" t="s">
        <v>307</v>
      </c>
      <c r="F421" s="40" t="s">
        <v>200</v>
      </c>
    </row>
    <row r="422" spans="1:6" s="49" customFormat="1" ht="63.75" x14ac:dyDescent="0.25">
      <c r="A422" s="3">
        <f t="shared" si="64"/>
        <v>3944</v>
      </c>
      <c r="B422" s="3">
        <f t="shared" si="63"/>
        <v>3946</v>
      </c>
      <c r="C422" s="3">
        <v>3</v>
      </c>
      <c r="D422" s="21" t="s">
        <v>92</v>
      </c>
      <c r="E422" s="36" t="s">
        <v>320</v>
      </c>
      <c r="F422" s="40" t="s">
        <v>201</v>
      </c>
    </row>
    <row r="423" spans="1:6" s="49" customFormat="1" ht="15" x14ac:dyDescent="0.25">
      <c r="A423" s="3">
        <f t="shared" si="64"/>
        <v>3947</v>
      </c>
      <c r="B423" s="3">
        <f t="shared" si="63"/>
        <v>3967</v>
      </c>
      <c r="C423" s="5">
        <v>21</v>
      </c>
      <c r="D423" s="21" t="s">
        <v>39</v>
      </c>
      <c r="E423" s="36"/>
      <c r="F423" s="40"/>
    </row>
    <row r="424" spans="1:6" s="49" customFormat="1" ht="15" x14ac:dyDescent="0.25">
      <c r="A424" s="3" t="s">
        <v>318</v>
      </c>
      <c r="B424" s="3"/>
      <c r="C424" s="3"/>
      <c r="D424" s="22" t="s">
        <v>492</v>
      </c>
      <c r="E424" s="36"/>
      <c r="F424" s="38"/>
    </row>
    <row r="425" spans="1:6" s="49" customFormat="1" ht="38.25" x14ac:dyDescent="0.25">
      <c r="A425" s="3">
        <f>A423+C423</f>
        <v>3968</v>
      </c>
      <c r="B425" s="3">
        <f t="shared" ref="B425:B435" si="65">A425+C425-1</f>
        <v>3969</v>
      </c>
      <c r="C425" s="3">
        <v>2</v>
      </c>
      <c r="D425" s="21" t="s">
        <v>119</v>
      </c>
      <c r="E425" s="36" t="s">
        <v>68</v>
      </c>
      <c r="F425" s="38" t="s">
        <v>155</v>
      </c>
    </row>
    <row r="426" spans="1:6" s="49" customFormat="1" ht="63.75" x14ac:dyDescent="0.25">
      <c r="A426" s="3">
        <f t="shared" ref="A426:A435" si="66">A425+C425</f>
        <v>3970</v>
      </c>
      <c r="B426" s="3">
        <f t="shared" si="65"/>
        <v>3972</v>
      </c>
      <c r="C426" s="3">
        <v>3</v>
      </c>
      <c r="D426" s="21" t="s">
        <v>128</v>
      </c>
      <c r="E426" s="36" t="s">
        <v>69</v>
      </c>
      <c r="F426" s="38" t="s">
        <v>156</v>
      </c>
    </row>
    <row r="427" spans="1:6" s="49" customFormat="1" ht="38.25" x14ac:dyDescent="0.25">
      <c r="A427" s="3">
        <f t="shared" si="66"/>
        <v>3973</v>
      </c>
      <c r="B427" s="3">
        <f t="shared" si="65"/>
        <v>3974</v>
      </c>
      <c r="C427" s="3">
        <v>2</v>
      </c>
      <c r="D427" s="21" t="s">
        <v>120</v>
      </c>
      <c r="E427" s="36" t="s">
        <v>68</v>
      </c>
      <c r="F427" s="38" t="s">
        <v>157</v>
      </c>
    </row>
    <row r="428" spans="1:6" s="49" customFormat="1" ht="63.75" x14ac:dyDescent="0.25">
      <c r="A428" s="3">
        <f t="shared" si="66"/>
        <v>3975</v>
      </c>
      <c r="B428" s="3">
        <f t="shared" si="65"/>
        <v>3977</v>
      </c>
      <c r="C428" s="3">
        <v>3</v>
      </c>
      <c r="D428" s="21" t="s">
        <v>129</v>
      </c>
      <c r="E428" s="36" t="s">
        <v>69</v>
      </c>
      <c r="F428" s="38" t="s">
        <v>158</v>
      </c>
    </row>
    <row r="429" spans="1:6" s="49" customFormat="1" ht="51" x14ac:dyDescent="0.25">
      <c r="A429" s="3">
        <f t="shared" si="66"/>
        <v>3978</v>
      </c>
      <c r="B429" s="3">
        <f t="shared" si="65"/>
        <v>3979</v>
      </c>
      <c r="C429" s="3">
        <v>2</v>
      </c>
      <c r="D429" s="21" t="s">
        <v>121</v>
      </c>
      <c r="E429" s="36" t="s">
        <v>68</v>
      </c>
      <c r="F429" s="38" t="s">
        <v>159</v>
      </c>
    </row>
    <row r="430" spans="1:6" s="49" customFormat="1" ht="63.75" x14ac:dyDescent="0.25">
      <c r="A430" s="3">
        <f t="shared" si="66"/>
        <v>3980</v>
      </c>
      <c r="B430" s="3">
        <f t="shared" si="65"/>
        <v>3982</v>
      </c>
      <c r="C430" s="3">
        <v>3</v>
      </c>
      <c r="D430" s="21" t="s">
        <v>130</v>
      </c>
      <c r="E430" s="36" t="s">
        <v>69</v>
      </c>
      <c r="F430" s="38" t="s">
        <v>160</v>
      </c>
    </row>
    <row r="431" spans="1:6" s="49" customFormat="1" ht="38.25" x14ac:dyDescent="0.25">
      <c r="A431" s="3">
        <f t="shared" si="66"/>
        <v>3983</v>
      </c>
      <c r="B431" s="3">
        <f t="shared" si="65"/>
        <v>3984</v>
      </c>
      <c r="C431" s="3">
        <v>2</v>
      </c>
      <c r="D431" s="21" t="s">
        <v>122</v>
      </c>
      <c r="E431" s="36" t="s">
        <v>68</v>
      </c>
      <c r="F431" s="38" t="s">
        <v>161</v>
      </c>
    </row>
    <row r="432" spans="1:6" s="49" customFormat="1" ht="63.75" x14ac:dyDescent="0.25">
      <c r="A432" s="3">
        <f t="shared" si="66"/>
        <v>3985</v>
      </c>
      <c r="B432" s="3">
        <f t="shared" si="65"/>
        <v>3987</v>
      </c>
      <c r="C432" s="3">
        <v>3</v>
      </c>
      <c r="D432" s="21" t="s">
        <v>131</v>
      </c>
      <c r="E432" s="36" t="s">
        <v>69</v>
      </c>
      <c r="F432" s="38" t="s">
        <v>162</v>
      </c>
    </row>
    <row r="433" spans="1:6" s="49" customFormat="1" ht="38.25" x14ac:dyDescent="0.25">
      <c r="A433" s="3">
        <f t="shared" si="66"/>
        <v>3988</v>
      </c>
      <c r="B433" s="3">
        <f t="shared" si="65"/>
        <v>3989</v>
      </c>
      <c r="C433" s="3">
        <v>2</v>
      </c>
      <c r="D433" s="21" t="s">
        <v>123</v>
      </c>
      <c r="E433" s="36" t="s">
        <v>68</v>
      </c>
      <c r="F433" s="38" t="s">
        <v>163</v>
      </c>
    </row>
    <row r="434" spans="1:6" s="49" customFormat="1" ht="63.75" x14ac:dyDescent="0.25">
      <c r="A434" s="3">
        <f t="shared" si="66"/>
        <v>3990</v>
      </c>
      <c r="B434" s="3">
        <f t="shared" si="65"/>
        <v>3992</v>
      </c>
      <c r="C434" s="3">
        <v>3</v>
      </c>
      <c r="D434" s="21" t="s">
        <v>132</v>
      </c>
      <c r="E434" s="36" t="s">
        <v>69</v>
      </c>
      <c r="F434" s="38" t="s">
        <v>164</v>
      </c>
    </row>
    <row r="435" spans="1:6" s="49" customFormat="1" ht="15" x14ac:dyDescent="0.25">
      <c r="A435" s="3">
        <f t="shared" si="66"/>
        <v>3993</v>
      </c>
      <c r="B435" s="3">
        <f t="shared" si="65"/>
        <v>4002</v>
      </c>
      <c r="C435" s="5">
        <v>10</v>
      </c>
      <c r="D435" s="21" t="s">
        <v>39</v>
      </c>
      <c r="E435" s="36"/>
      <c r="F435" s="38"/>
    </row>
    <row r="436" spans="1:6" s="49" customFormat="1" ht="15" x14ac:dyDescent="0.25">
      <c r="A436" s="3"/>
      <c r="B436" s="3"/>
      <c r="C436" s="3"/>
      <c r="D436" s="22" t="s">
        <v>392</v>
      </c>
      <c r="E436" s="36"/>
      <c r="F436" s="38"/>
    </row>
    <row r="437" spans="1:6" s="49" customFormat="1" ht="25.5" x14ac:dyDescent="0.25">
      <c r="A437" s="3">
        <f>A435+C435</f>
        <v>4003</v>
      </c>
      <c r="B437" s="3">
        <f t="shared" ref="B437:B444" si="67">A437+C437-1</f>
        <v>4004</v>
      </c>
      <c r="C437" s="5">
        <v>2</v>
      </c>
      <c r="D437" s="13" t="s">
        <v>245</v>
      </c>
      <c r="E437" s="36" t="s">
        <v>70</v>
      </c>
      <c r="F437" s="38" t="s">
        <v>114</v>
      </c>
    </row>
    <row r="438" spans="1:6" s="49" customFormat="1" ht="63.75" x14ac:dyDescent="0.25">
      <c r="A438" s="3">
        <f t="shared" ref="A438:A444" si="68">A437+C437</f>
        <v>4005</v>
      </c>
      <c r="B438" s="3">
        <f t="shared" si="67"/>
        <v>4005</v>
      </c>
      <c r="C438" s="3">
        <v>1</v>
      </c>
      <c r="D438" s="21" t="s">
        <v>17</v>
      </c>
      <c r="E438" s="36" t="s">
        <v>93</v>
      </c>
      <c r="F438" s="38" t="s">
        <v>256</v>
      </c>
    </row>
    <row r="439" spans="1:6" s="49" customFormat="1" ht="38.25" x14ac:dyDescent="0.25">
      <c r="A439" s="3">
        <f t="shared" si="68"/>
        <v>4006</v>
      </c>
      <c r="B439" s="3">
        <f t="shared" si="67"/>
        <v>4006</v>
      </c>
      <c r="C439" s="3">
        <v>1</v>
      </c>
      <c r="D439" s="21" t="s">
        <v>18</v>
      </c>
      <c r="E439" s="36" t="s">
        <v>65</v>
      </c>
      <c r="F439" s="38" t="s">
        <v>180</v>
      </c>
    </row>
    <row r="440" spans="1:6" s="49" customFormat="1" ht="38.25" x14ac:dyDescent="0.25">
      <c r="A440" s="3">
        <f t="shared" si="68"/>
        <v>4007</v>
      </c>
      <c r="B440" s="3">
        <f t="shared" si="67"/>
        <v>4007</v>
      </c>
      <c r="C440" s="3">
        <v>1</v>
      </c>
      <c r="D440" s="21" t="s">
        <v>90</v>
      </c>
      <c r="E440" s="36" t="s">
        <v>178</v>
      </c>
      <c r="F440" s="38" t="s">
        <v>179</v>
      </c>
    </row>
    <row r="441" spans="1:6" s="49" customFormat="1" ht="51" x14ac:dyDescent="0.25">
      <c r="A441" s="3">
        <f t="shared" si="68"/>
        <v>4008</v>
      </c>
      <c r="B441" s="3">
        <f t="shared" si="67"/>
        <v>4008</v>
      </c>
      <c r="C441" s="3">
        <v>1</v>
      </c>
      <c r="D441" s="21" t="s">
        <v>19</v>
      </c>
      <c r="E441" s="36" t="s">
        <v>66</v>
      </c>
      <c r="F441" s="38" t="s">
        <v>181</v>
      </c>
    </row>
    <row r="442" spans="1:6" s="49" customFormat="1" ht="176.25" customHeight="1" x14ac:dyDescent="0.25">
      <c r="A442" s="3">
        <f t="shared" si="68"/>
        <v>4009</v>
      </c>
      <c r="B442" s="3">
        <f t="shared" si="67"/>
        <v>4009</v>
      </c>
      <c r="C442" s="3">
        <v>1</v>
      </c>
      <c r="D442" s="21" t="s">
        <v>23</v>
      </c>
      <c r="E442" s="36" t="s">
        <v>63</v>
      </c>
      <c r="F442" s="38" t="s">
        <v>237</v>
      </c>
    </row>
    <row r="443" spans="1:6" s="49" customFormat="1" ht="63.75" x14ac:dyDescent="0.25">
      <c r="A443" s="3">
        <f t="shared" si="68"/>
        <v>4010</v>
      </c>
      <c r="B443" s="3">
        <f t="shared" si="67"/>
        <v>4010</v>
      </c>
      <c r="C443" s="3">
        <v>1</v>
      </c>
      <c r="D443" s="21" t="s">
        <v>20</v>
      </c>
      <c r="E443" s="36" t="s">
        <v>62</v>
      </c>
      <c r="F443" s="38" t="s">
        <v>434</v>
      </c>
    </row>
    <row r="444" spans="1:6" s="49" customFormat="1" ht="15" x14ac:dyDescent="0.25">
      <c r="A444" s="3">
        <f t="shared" si="68"/>
        <v>4011</v>
      </c>
      <c r="B444" s="3">
        <f t="shared" si="67"/>
        <v>4376</v>
      </c>
      <c r="C444" s="3">
        <v>366</v>
      </c>
      <c r="D444" s="21" t="s">
        <v>39</v>
      </c>
      <c r="E444" s="37" t="s">
        <v>318</v>
      </c>
      <c r="F444" s="38" t="s">
        <v>318</v>
      </c>
    </row>
    <row r="445" spans="1:6" x14ac:dyDescent="0.25">
      <c r="A445" s="3" t="s">
        <v>318</v>
      </c>
      <c r="B445" s="3" t="s">
        <v>318</v>
      </c>
      <c r="C445" s="7"/>
      <c r="D445" s="22" t="s">
        <v>398</v>
      </c>
      <c r="E445" s="14"/>
      <c r="F445" s="17"/>
    </row>
    <row r="446" spans="1:6" ht="25.5" x14ac:dyDescent="0.25">
      <c r="A446" s="3">
        <f>A444+C444</f>
        <v>4377</v>
      </c>
      <c r="B446" s="3">
        <f t="shared" ref="B446:B458" si="69">A446+C446-1</f>
        <v>4377</v>
      </c>
      <c r="C446" s="3">
        <v>1</v>
      </c>
      <c r="D446" s="21" t="s">
        <v>24</v>
      </c>
      <c r="E446" s="36" t="s">
        <v>38</v>
      </c>
    </row>
    <row r="447" spans="1:6" ht="178.5" x14ac:dyDescent="0.25">
      <c r="A447" s="3">
        <f t="shared" ref="A447:A458" si="70">A446+C446</f>
        <v>4378</v>
      </c>
      <c r="B447" s="3">
        <f t="shared" si="69"/>
        <v>4385</v>
      </c>
      <c r="C447" s="6">
        <v>8</v>
      </c>
      <c r="D447" s="21" t="s">
        <v>11</v>
      </c>
      <c r="E447" s="39" t="s">
        <v>493</v>
      </c>
      <c r="F447" s="33" t="s">
        <v>440</v>
      </c>
    </row>
    <row r="448" spans="1:6" x14ac:dyDescent="0.25">
      <c r="A448" s="3">
        <f t="shared" si="70"/>
        <v>4386</v>
      </c>
      <c r="B448" s="3">
        <f t="shared" si="69"/>
        <v>4393</v>
      </c>
      <c r="C448" s="6">
        <v>8</v>
      </c>
      <c r="D448" s="21" t="s">
        <v>39</v>
      </c>
      <c r="E448" s="37" t="s">
        <v>318</v>
      </c>
      <c r="F448" s="38" t="s">
        <v>318</v>
      </c>
    </row>
    <row r="449" spans="1:6" ht="17.25" customHeight="1" x14ac:dyDescent="0.25">
      <c r="A449" s="3">
        <f t="shared" si="70"/>
        <v>4394</v>
      </c>
      <c r="B449" s="3">
        <f t="shared" si="69"/>
        <v>4413</v>
      </c>
      <c r="C449" s="3">
        <v>20</v>
      </c>
      <c r="D449" s="21" t="s">
        <v>12</v>
      </c>
      <c r="E449" s="75" t="s">
        <v>177</v>
      </c>
      <c r="F449" s="74" t="s">
        <v>230</v>
      </c>
    </row>
    <row r="450" spans="1:6" ht="18.75" customHeight="1" x14ac:dyDescent="0.25">
      <c r="A450" s="3">
        <f t="shared" si="70"/>
        <v>4414</v>
      </c>
      <c r="B450" s="3">
        <f t="shared" si="69"/>
        <v>4428</v>
      </c>
      <c r="C450" s="3">
        <v>15</v>
      </c>
      <c r="D450" s="21" t="s">
        <v>13</v>
      </c>
      <c r="E450" s="75"/>
      <c r="F450" s="74"/>
    </row>
    <row r="451" spans="1:6" ht="17.25" customHeight="1" x14ac:dyDescent="0.25">
      <c r="A451" s="3">
        <f t="shared" si="70"/>
        <v>4429</v>
      </c>
      <c r="B451" s="3">
        <f t="shared" si="69"/>
        <v>4429</v>
      </c>
      <c r="C451" s="3">
        <v>1</v>
      </c>
      <c r="D451" s="21" t="s">
        <v>186</v>
      </c>
      <c r="E451" s="75"/>
      <c r="F451" s="74"/>
    </row>
    <row r="452" spans="1:6" x14ac:dyDescent="0.25">
      <c r="A452" s="3">
        <f t="shared" si="70"/>
        <v>4430</v>
      </c>
      <c r="B452" s="3">
        <f t="shared" si="69"/>
        <v>4473</v>
      </c>
      <c r="C452" s="3">
        <v>44</v>
      </c>
      <c r="D452" s="21" t="s">
        <v>39</v>
      </c>
      <c r="E452" s="41" t="s">
        <v>318</v>
      </c>
      <c r="F452" s="39" t="s">
        <v>318</v>
      </c>
    </row>
    <row r="453" spans="1:6" ht="114.75" x14ac:dyDescent="0.25">
      <c r="A453" s="3">
        <f t="shared" si="70"/>
        <v>4474</v>
      </c>
      <c r="B453" s="3">
        <f t="shared" si="69"/>
        <v>4479</v>
      </c>
      <c r="C453" s="3">
        <v>6</v>
      </c>
      <c r="D453" s="21" t="s">
        <v>111</v>
      </c>
      <c r="E453" s="39" t="s">
        <v>388</v>
      </c>
      <c r="F453" s="33" t="s">
        <v>494</v>
      </c>
    </row>
    <row r="454" spans="1:6" ht="127.5" x14ac:dyDescent="0.25">
      <c r="A454" s="3">
        <f t="shared" si="70"/>
        <v>4480</v>
      </c>
      <c r="B454" s="3">
        <f t="shared" si="69"/>
        <v>4509</v>
      </c>
      <c r="C454" s="3">
        <v>30</v>
      </c>
      <c r="D454" s="21" t="s">
        <v>14</v>
      </c>
      <c r="E454" s="39" t="s">
        <v>495</v>
      </c>
      <c r="F454" s="33" t="s">
        <v>496</v>
      </c>
    </row>
    <row r="455" spans="1:6" s="49" customFormat="1" ht="51" x14ac:dyDescent="0.25">
      <c r="A455" s="3">
        <f t="shared" si="70"/>
        <v>4510</v>
      </c>
      <c r="B455" s="3">
        <f t="shared" si="69"/>
        <v>4529</v>
      </c>
      <c r="C455" s="3">
        <v>20</v>
      </c>
      <c r="D455" s="21" t="s">
        <v>84</v>
      </c>
      <c r="E455" s="36" t="s">
        <v>221</v>
      </c>
      <c r="F455" s="38" t="s">
        <v>230</v>
      </c>
    </row>
    <row r="456" spans="1:6" s="49" customFormat="1" ht="38.25" x14ac:dyDescent="0.25">
      <c r="A456" s="3">
        <f t="shared" si="70"/>
        <v>4530</v>
      </c>
      <c r="B456" s="3">
        <f t="shared" si="69"/>
        <v>4535</v>
      </c>
      <c r="C456" s="3">
        <v>6</v>
      </c>
      <c r="D456" s="21" t="s">
        <v>85</v>
      </c>
      <c r="E456" s="36" t="s">
        <v>86</v>
      </c>
      <c r="F456" s="38" t="s">
        <v>211</v>
      </c>
    </row>
    <row r="457" spans="1:6" s="49" customFormat="1" ht="25.5" x14ac:dyDescent="0.25">
      <c r="A457" s="3">
        <f t="shared" si="70"/>
        <v>4536</v>
      </c>
      <c r="B457" s="3">
        <f t="shared" si="69"/>
        <v>4536</v>
      </c>
      <c r="C457" s="3">
        <v>1</v>
      </c>
      <c r="D457" s="21" t="s">
        <v>220</v>
      </c>
      <c r="E457" s="36" t="s">
        <v>209</v>
      </c>
      <c r="F457" s="38" t="s">
        <v>208</v>
      </c>
    </row>
    <row r="458" spans="1:6" s="49" customFormat="1" ht="15" x14ac:dyDescent="0.25">
      <c r="A458" s="3">
        <f t="shared" si="70"/>
        <v>4537</v>
      </c>
      <c r="B458" s="3">
        <f t="shared" si="69"/>
        <v>4573</v>
      </c>
      <c r="C458" s="3">
        <v>37</v>
      </c>
      <c r="D458" s="21" t="s">
        <v>39</v>
      </c>
      <c r="E458" s="36"/>
      <c r="F458" s="38"/>
    </row>
    <row r="459" spans="1:6" s="49" customFormat="1" ht="15" x14ac:dyDescent="0.25">
      <c r="A459" s="3" t="s">
        <v>318</v>
      </c>
      <c r="B459" s="3" t="s">
        <v>318</v>
      </c>
      <c r="C459" s="3"/>
      <c r="D459" s="22" t="s">
        <v>232</v>
      </c>
      <c r="E459" s="36"/>
      <c r="F459" s="38"/>
    </row>
    <row r="460" spans="1:6" s="49" customFormat="1" ht="15" customHeight="1" x14ac:dyDescent="0.25">
      <c r="A460" s="3">
        <f>A458+C458</f>
        <v>4574</v>
      </c>
      <c r="B460" s="3">
        <f t="shared" ref="B460:B474" si="71">A460+C460-1</f>
        <v>4574</v>
      </c>
      <c r="C460" s="3">
        <v>1</v>
      </c>
      <c r="D460" s="21" t="s">
        <v>94</v>
      </c>
      <c r="E460" s="73" t="s">
        <v>87</v>
      </c>
      <c r="F460" s="73" t="s">
        <v>255</v>
      </c>
    </row>
    <row r="461" spans="1:6" s="49" customFormat="1" ht="15" x14ac:dyDescent="0.25">
      <c r="A461" s="3">
        <f t="shared" ref="A461:A474" si="72">A460+C460</f>
        <v>4575</v>
      </c>
      <c r="B461" s="3">
        <f t="shared" si="71"/>
        <v>4575</v>
      </c>
      <c r="C461" s="3">
        <v>1</v>
      </c>
      <c r="D461" s="21" t="s">
        <v>95</v>
      </c>
      <c r="E461" s="73"/>
      <c r="F461" s="73"/>
    </row>
    <row r="462" spans="1:6" s="49" customFormat="1" ht="15" x14ac:dyDescent="0.25">
      <c r="A462" s="3">
        <f t="shared" si="72"/>
        <v>4576</v>
      </c>
      <c r="B462" s="3">
        <f t="shared" si="71"/>
        <v>4576</v>
      </c>
      <c r="C462" s="3">
        <v>1</v>
      </c>
      <c r="D462" s="13" t="s">
        <v>39</v>
      </c>
      <c r="E462" s="73"/>
      <c r="F462" s="73"/>
    </row>
    <row r="463" spans="1:6" s="49" customFormat="1" ht="15" x14ac:dyDescent="0.25">
      <c r="A463" s="3">
        <f t="shared" si="72"/>
        <v>4577</v>
      </c>
      <c r="B463" s="3">
        <f t="shared" si="71"/>
        <v>4577</v>
      </c>
      <c r="C463" s="3">
        <v>1</v>
      </c>
      <c r="D463" s="21" t="s">
        <v>96</v>
      </c>
      <c r="E463" s="73"/>
      <c r="F463" s="73"/>
    </row>
    <row r="464" spans="1:6" s="49" customFormat="1" ht="15" x14ac:dyDescent="0.25">
      <c r="A464" s="3">
        <f t="shared" si="72"/>
        <v>4578</v>
      </c>
      <c r="B464" s="3">
        <f t="shared" si="71"/>
        <v>4578</v>
      </c>
      <c r="C464" s="3">
        <v>1</v>
      </c>
      <c r="D464" s="21" t="s">
        <v>97</v>
      </c>
      <c r="E464" s="73"/>
      <c r="F464" s="73"/>
    </row>
    <row r="465" spans="1:6" s="49" customFormat="1" ht="15" x14ac:dyDescent="0.25">
      <c r="A465" s="3">
        <f t="shared" si="72"/>
        <v>4579</v>
      </c>
      <c r="B465" s="3">
        <f t="shared" si="71"/>
        <v>4579</v>
      </c>
      <c r="C465" s="3">
        <v>1</v>
      </c>
      <c r="D465" s="21" t="s">
        <v>98</v>
      </c>
      <c r="E465" s="73"/>
      <c r="F465" s="73"/>
    </row>
    <row r="466" spans="1:6" s="49" customFormat="1" ht="15" x14ac:dyDescent="0.25">
      <c r="A466" s="3">
        <f t="shared" si="72"/>
        <v>4580</v>
      </c>
      <c r="B466" s="3">
        <f t="shared" si="71"/>
        <v>4580</v>
      </c>
      <c r="C466" s="3">
        <v>1</v>
      </c>
      <c r="D466" s="21" t="s">
        <v>187</v>
      </c>
      <c r="E466" s="73"/>
      <c r="F466" s="73"/>
    </row>
    <row r="467" spans="1:6" s="49" customFormat="1" ht="15" x14ac:dyDescent="0.25">
      <c r="A467" s="3">
        <f t="shared" si="72"/>
        <v>4581</v>
      </c>
      <c r="B467" s="3">
        <f t="shared" si="71"/>
        <v>4581</v>
      </c>
      <c r="C467" s="3">
        <v>1</v>
      </c>
      <c r="D467" s="21" t="s">
        <v>212</v>
      </c>
      <c r="E467" s="73"/>
      <c r="F467" s="73"/>
    </row>
    <row r="468" spans="1:6" s="49" customFormat="1" ht="15" x14ac:dyDescent="0.25">
      <c r="A468" s="3">
        <f t="shared" si="72"/>
        <v>4582</v>
      </c>
      <c r="B468" s="3">
        <f t="shared" si="71"/>
        <v>4582</v>
      </c>
      <c r="C468" s="3">
        <v>1</v>
      </c>
      <c r="D468" s="21" t="s">
        <v>99</v>
      </c>
      <c r="E468" s="73"/>
      <c r="F468" s="73"/>
    </row>
    <row r="469" spans="1:6" s="49" customFormat="1" ht="15" x14ac:dyDescent="0.25">
      <c r="A469" s="3">
        <f t="shared" si="72"/>
        <v>4583</v>
      </c>
      <c r="B469" s="3">
        <f t="shared" si="71"/>
        <v>4583</v>
      </c>
      <c r="C469" s="3">
        <v>1</v>
      </c>
      <c r="D469" s="21" t="s">
        <v>100</v>
      </c>
      <c r="E469" s="73"/>
      <c r="F469" s="73"/>
    </row>
    <row r="470" spans="1:6" s="49" customFormat="1" ht="15" x14ac:dyDescent="0.25">
      <c r="A470" s="3">
        <f t="shared" si="72"/>
        <v>4584</v>
      </c>
      <c r="B470" s="3">
        <f t="shared" si="71"/>
        <v>4584</v>
      </c>
      <c r="C470" s="3">
        <v>1</v>
      </c>
      <c r="D470" s="21" t="s">
        <v>101</v>
      </c>
      <c r="E470" s="73"/>
      <c r="F470" s="73"/>
    </row>
    <row r="471" spans="1:6" s="49" customFormat="1" ht="15" x14ac:dyDescent="0.25">
      <c r="A471" s="3">
        <f t="shared" si="72"/>
        <v>4585</v>
      </c>
      <c r="B471" s="3">
        <f t="shared" si="71"/>
        <v>4585</v>
      </c>
      <c r="C471" s="3">
        <v>1</v>
      </c>
      <c r="D471" s="21" t="s">
        <v>102</v>
      </c>
      <c r="E471" s="73"/>
      <c r="F471" s="73"/>
    </row>
    <row r="472" spans="1:6" s="49" customFormat="1" ht="15" x14ac:dyDescent="0.25">
      <c r="A472" s="3">
        <f t="shared" si="72"/>
        <v>4586</v>
      </c>
      <c r="B472" s="3">
        <f t="shared" si="71"/>
        <v>4586</v>
      </c>
      <c r="C472" s="3">
        <v>1</v>
      </c>
      <c r="D472" s="21" t="s">
        <v>103</v>
      </c>
      <c r="E472" s="73"/>
      <c r="F472" s="73"/>
    </row>
    <row r="473" spans="1:6" s="49" customFormat="1" ht="15" x14ac:dyDescent="0.25">
      <c r="A473" s="3">
        <f t="shared" si="72"/>
        <v>4587</v>
      </c>
      <c r="B473" s="3">
        <f t="shared" si="71"/>
        <v>4587</v>
      </c>
      <c r="C473" s="3">
        <v>1</v>
      </c>
      <c r="D473" s="21" t="s">
        <v>104</v>
      </c>
      <c r="E473" s="73"/>
      <c r="F473" s="73"/>
    </row>
    <row r="474" spans="1:6" s="49" customFormat="1" ht="15" x14ac:dyDescent="0.25">
      <c r="A474" s="3">
        <f t="shared" si="72"/>
        <v>4588</v>
      </c>
      <c r="B474" s="3">
        <f t="shared" si="71"/>
        <v>4607</v>
      </c>
      <c r="C474" s="3">
        <v>20</v>
      </c>
      <c r="D474" s="21" t="s">
        <v>39</v>
      </c>
      <c r="E474" s="36"/>
      <c r="F474" s="38"/>
    </row>
    <row r="475" spans="1:6" s="49" customFormat="1" ht="25.5" x14ac:dyDescent="0.25">
      <c r="A475" s="3"/>
      <c r="B475" s="3"/>
      <c r="C475" s="3"/>
      <c r="D475" s="22" t="s">
        <v>399</v>
      </c>
      <c r="E475" s="36"/>
      <c r="F475" s="38"/>
    </row>
    <row r="476" spans="1:6" s="49" customFormat="1" ht="63.75" x14ac:dyDescent="0.25">
      <c r="A476" s="3">
        <f>A474+C474</f>
        <v>4608</v>
      </c>
      <c r="B476" s="3">
        <f t="shared" ref="B476:B483" si="73">A476+C476-1</f>
        <v>4610</v>
      </c>
      <c r="C476" s="3">
        <v>3</v>
      </c>
      <c r="D476" s="21" t="s">
        <v>15</v>
      </c>
      <c r="E476" s="38" t="s">
        <v>64</v>
      </c>
      <c r="F476" s="33" t="s">
        <v>390</v>
      </c>
    </row>
    <row r="477" spans="1:6" s="49" customFormat="1" ht="63.75" x14ac:dyDescent="0.25">
      <c r="A477" s="3">
        <f t="shared" ref="A477:A483" si="74">A476+C476</f>
        <v>4611</v>
      </c>
      <c r="B477" s="3">
        <f t="shared" si="73"/>
        <v>4613</v>
      </c>
      <c r="C477" s="3">
        <v>3</v>
      </c>
      <c r="D477" s="21" t="s">
        <v>16</v>
      </c>
      <c r="E477" s="38" t="s">
        <v>64</v>
      </c>
      <c r="F477" s="33" t="s">
        <v>345</v>
      </c>
    </row>
    <row r="478" spans="1:6" s="49" customFormat="1" ht="89.25" x14ac:dyDescent="0.25">
      <c r="A478" s="3">
        <f t="shared" si="74"/>
        <v>4614</v>
      </c>
      <c r="B478" s="3">
        <f t="shared" si="73"/>
        <v>4616</v>
      </c>
      <c r="C478" s="3">
        <v>3</v>
      </c>
      <c r="D478" s="21" t="s">
        <v>108</v>
      </c>
      <c r="E478" s="38" t="s">
        <v>64</v>
      </c>
      <c r="F478" s="12" t="s">
        <v>199</v>
      </c>
    </row>
    <row r="479" spans="1:6" s="49" customFormat="1" ht="76.5" x14ac:dyDescent="0.25">
      <c r="A479" s="3">
        <f t="shared" si="74"/>
        <v>4617</v>
      </c>
      <c r="B479" s="3">
        <f t="shared" si="73"/>
        <v>4619</v>
      </c>
      <c r="C479" s="3">
        <v>3</v>
      </c>
      <c r="D479" s="21" t="s">
        <v>109</v>
      </c>
      <c r="E479" s="33" t="s">
        <v>69</v>
      </c>
      <c r="F479" s="33" t="s">
        <v>346</v>
      </c>
    </row>
    <row r="480" spans="1:6" s="49" customFormat="1" ht="76.5" x14ac:dyDescent="0.25">
      <c r="A480" s="3">
        <f t="shared" si="74"/>
        <v>4620</v>
      </c>
      <c r="B480" s="3">
        <f t="shared" si="73"/>
        <v>4622</v>
      </c>
      <c r="C480" s="3">
        <v>3</v>
      </c>
      <c r="D480" s="21" t="s">
        <v>21</v>
      </c>
      <c r="E480" s="39" t="s">
        <v>351</v>
      </c>
      <c r="F480" s="34" t="s">
        <v>426</v>
      </c>
    </row>
    <row r="481" spans="1:6" s="49" customFormat="1" ht="89.25" x14ac:dyDescent="0.25">
      <c r="A481" s="3">
        <f t="shared" si="74"/>
        <v>4623</v>
      </c>
      <c r="B481" s="3">
        <f t="shared" si="73"/>
        <v>4625</v>
      </c>
      <c r="C481" s="5">
        <v>3</v>
      </c>
      <c r="D481" s="21" t="s">
        <v>88</v>
      </c>
      <c r="E481" s="39" t="s">
        <v>309</v>
      </c>
      <c r="F481" s="54" t="s">
        <v>418</v>
      </c>
    </row>
    <row r="482" spans="1:6" s="49" customFormat="1" ht="89.25" x14ac:dyDescent="0.25">
      <c r="A482" s="3">
        <f t="shared" si="74"/>
        <v>4626</v>
      </c>
      <c r="B482" s="3">
        <f t="shared" si="73"/>
        <v>4628</v>
      </c>
      <c r="C482" s="3">
        <v>3</v>
      </c>
      <c r="D482" s="21" t="s">
        <v>92</v>
      </c>
      <c r="E482" s="39" t="s">
        <v>309</v>
      </c>
      <c r="F482" s="54" t="s">
        <v>419</v>
      </c>
    </row>
    <row r="483" spans="1:6" s="49" customFormat="1" ht="15" x14ac:dyDescent="0.25">
      <c r="A483" s="3">
        <f t="shared" si="74"/>
        <v>4629</v>
      </c>
      <c r="B483" s="3">
        <f t="shared" si="73"/>
        <v>4648</v>
      </c>
      <c r="C483" s="6">
        <v>20</v>
      </c>
      <c r="D483" s="21" t="s">
        <v>39</v>
      </c>
      <c r="E483" s="39"/>
      <c r="F483" s="54"/>
    </row>
    <row r="484" spans="1:6" s="49" customFormat="1" ht="15" x14ac:dyDescent="0.25">
      <c r="A484" s="3" t="s">
        <v>318</v>
      </c>
      <c r="B484" s="3"/>
      <c r="C484" s="3"/>
      <c r="D484" s="22" t="s">
        <v>516</v>
      </c>
      <c r="E484" s="39"/>
      <c r="F484" s="33"/>
    </row>
    <row r="485" spans="1:6" s="49" customFormat="1" ht="38.25" x14ac:dyDescent="0.25">
      <c r="A485" s="3">
        <f>A483+C483</f>
        <v>4649</v>
      </c>
      <c r="B485" s="3">
        <f t="shared" ref="B485:B500" si="75">A485+C485-1</f>
        <v>4650</v>
      </c>
      <c r="C485" s="3">
        <v>2</v>
      </c>
      <c r="D485" s="21" t="s">
        <v>119</v>
      </c>
      <c r="E485" s="39" t="s">
        <v>68</v>
      </c>
      <c r="F485" s="33" t="s">
        <v>155</v>
      </c>
    </row>
    <row r="486" spans="1:6" s="49" customFormat="1" ht="76.5" x14ac:dyDescent="0.25">
      <c r="A486" s="3">
        <f t="shared" ref="A486:A500" si="76">A485+C485</f>
        <v>4651</v>
      </c>
      <c r="B486" s="3">
        <f t="shared" si="75"/>
        <v>4653</v>
      </c>
      <c r="C486" s="3">
        <v>3</v>
      </c>
      <c r="D486" s="21" t="s">
        <v>128</v>
      </c>
      <c r="E486" s="39" t="s">
        <v>69</v>
      </c>
      <c r="F486" s="33" t="s">
        <v>400</v>
      </c>
    </row>
    <row r="487" spans="1:6" s="49" customFormat="1" ht="102" x14ac:dyDescent="0.25">
      <c r="A487" s="3">
        <f t="shared" si="76"/>
        <v>4654</v>
      </c>
      <c r="B487" s="3">
        <f t="shared" si="75"/>
        <v>4654</v>
      </c>
      <c r="C487" s="3">
        <v>1</v>
      </c>
      <c r="D487" s="21" t="s">
        <v>313</v>
      </c>
      <c r="E487" s="53" t="s">
        <v>273</v>
      </c>
      <c r="F487" s="33" t="s">
        <v>401</v>
      </c>
    </row>
    <row r="488" spans="1:6" s="49" customFormat="1" ht="38.25" x14ac:dyDescent="0.25">
      <c r="A488" s="3">
        <f t="shared" si="76"/>
        <v>4655</v>
      </c>
      <c r="B488" s="3">
        <f t="shared" si="75"/>
        <v>4656</v>
      </c>
      <c r="C488" s="3">
        <v>2</v>
      </c>
      <c r="D488" s="21" t="s">
        <v>120</v>
      </c>
      <c r="E488" s="39" t="s">
        <v>68</v>
      </c>
      <c r="F488" s="33" t="s">
        <v>157</v>
      </c>
    </row>
    <row r="489" spans="1:6" s="49" customFormat="1" ht="76.5" x14ac:dyDescent="0.25">
      <c r="A489" s="3">
        <f t="shared" si="76"/>
        <v>4657</v>
      </c>
      <c r="B489" s="3">
        <f t="shared" si="75"/>
        <v>4659</v>
      </c>
      <c r="C489" s="3">
        <v>3</v>
      </c>
      <c r="D489" s="21" t="s">
        <v>129</v>
      </c>
      <c r="E489" s="39" t="s">
        <v>69</v>
      </c>
      <c r="F489" s="33" t="s">
        <v>402</v>
      </c>
    </row>
    <row r="490" spans="1:6" s="49" customFormat="1" ht="102" x14ac:dyDescent="0.25">
      <c r="A490" s="3">
        <f t="shared" si="76"/>
        <v>4660</v>
      </c>
      <c r="B490" s="3">
        <f t="shared" si="75"/>
        <v>4660</v>
      </c>
      <c r="C490" s="3">
        <v>1</v>
      </c>
      <c r="D490" s="21" t="s">
        <v>314</v>
      </c>
      <c r="E490" s="53" t="s">
        <v>273</v>
      </c>
      <c r="F490" s="33" t="s">
        <v>403</v>
      </c>
    </row>
    <row r="491" spans="1:6" s="49" customFormat="1" ht="51" x14ac:dyDescent="0.25">
      <c r="A491" s="3">
        <f t="shared" si="76"/>
        <v>4661</v>
      </c>
      <c r="B491" s="3">
        <f t="shared" si="75"/>
        <v>4662</v>
      </c>
      <c r="C491" s="3">
        <v>2</v>
      </c>
      <c r="D491" s="21" t="s">
        <v>121</v>
      </c>
      <c r="E491" s="39" t="s">
        <v>68</v>
      </c>
      <c r="F491" s="33" t="s">
        <v>159</v>
      </c>
    </row>
    <row r="492" spans="1:6" s="49" customFormat="1" ht="76.5" x14ac:dyDescent="0.25">
      <c r="A492" s="3">
        <f t="shared" si="76"/>
        <v>4663</v>
      </c>
      <c r="B492" s="3">
        <f t="shared" si="75"/>
        <v>4665</v>
      </c>
      <c r="C492" s="3">
        <v>3</v>
      </c>
      <c r="D492" s="21" t="s">
        <v>130</v>
      </c>
      <c r="E492" s="39" t="s">
        <v>69</v>
      </c>
      <c r="F492" s="33" t="s">
        <v>404</v>
      </c>
    </row>
    <row r="493" spans="1:6" s="49" customFormat="1" ht="102" x14ac:dyDescent="0.25">
      <c r="A493" s="3">
        <f t="shared" si="76"/>
        <v>4666</v>
      </c>
      <c r="B493" s="3">
        <f t="shared" si="75"/>
        <v>4666</v>
      </c>
      <c r="C493" s="3">
        <v>1</v>
      </c>
      <c r="D493" s="21" t="s">
        <v>315</v>
      </c>
      <c r="E493" s="53" t="s">
        <v>273</v>
      </c>
      <c r="F493" s="33" t="s">
        <v>405</v>
      </c>
    </row>
    <row r="494" spans="1:6" s="49" customFormat="1" ht="38.25" x14ac:dyDescent="0.25">
      <c r="A494" s="3">
        <f t="shared" si="76"/>
        <v>4667</v>
      </c>
      <c r="B494" s="3">
        <f t="shared" si="75"/>
        <v>4668</v>
      </c>
      <c r="C494" s="3">
        <v>2</v>
      </c>
      <c r="D494" s="21" t="s">
        <v>122</v>
      </c>
      <c r="E494" s="39" t="s">
        <v>68</v>
      </c>
      <c r="F494" s="33" t="s">
        <v>161</v>
      </c>
    </row>
    <row r="495" spans="1:6" s="49" customFormat="1" ht="63.75" x14ac:dyDescent="0.25">
      <c r="A495" s="3">
        <f t="shared" si="76"/>
        <v>4669</v>
      </c>
      <c r="B495" s="3">
        <f t="shared" si="75"/>
        <v>4671</v>
      </c>
      <c r="C495" s="3">
        <v>3</v>
      </c>
      <c r="D495" s="21" t="s">
        <v>131</v>
      </c>
      <c r="E495" s="39" t="s">
        <v>69</v>
      </c>
      <c r="F495" s="33" t="s">
        <v>406</v>
      </c>
    </row>
    <row r="496" spans="1:6" s="49" customFormat="1" ht="76.5" x14ac:dyDescent="0.25">
      <c r="A496" s="3">
        <f t="shared" si="76"/>
        <v>4672</v>
      </c>
      <c r="B496" s="3">
        <f t="shared" si="75"/>
        <v>4672</v>
      </c>
      <c r="C496" s="3">
        <v>1</v>
      </c>
      <c r="D496" s="21" t="s">
        <v>316</v>
      </c>
      <c r="E496" s="53" t="s">
        <v>273</v>
      </c>
      <c r="F496" s="33" t="s">
        <v>407</v>
      </c>
    </row>
    <row r="497" spans="1:6" s="49" customFormat="1" ht="38.25" x14ac:dyDescent="0.25">
      <c r="A497" s="3">
        <f t="shared" si="76"/>
        <v>4673</v>
      </c>
      <c r="B497" s="3">
        <f t="shared" si="75"/>
        <v>4674</v>
      </c>
      <c r="C497" s="3">
        <v>2</v>
      </c>
      <c r="D497" s="21" t="s">
        <v>123</v>
      </c>
      <c r="E497" s="39" t="s">
        <v>68</v>
      </c>
      <c r="F497" s="33" t="s">
        <v>163</v>
      </c>
    </row>
    <row r="498" spans="1:6" s="49" customFormat="1" ht="63.75" x14ac:dyDescent="0.25">
      <c r="A498" s="3">
        <f t="shared" si="76"/>
        <v>4675</v>
      </c>
      <c r="B498" s="3">
        <f t="shared" si="75"/>
        <v>4677</v>
      </c>
      <c r="C498" s="3">
        <v>3</v>
      </c>
      <c r="D498" s="21" t="s">
        <v>132</v>
      </c>
      <c r="E498" s="39" t="s">
        <v>69</v>
      </c>
      <c r="F498" s="33" t="s">
        <v>408</v>
      </c>
    </row>
    <row r="499" spans="1:6" s="49" customFormat="1" ht="76.5" x14ac:dyDescent="0.25">
      <c r="A499" s="3">
        <f t="shared" si="76"/>
        <v>4678</v>
      </c>
      <c r="B499" s="3">
        <f t="shared" si="75"/>
        <v>4678</v>
      </c>
      <c r="C499" s="3">
        <v>1</v>
      </c>
      <c r="D499" s="21" t="s">
        <v>317</v>
      </c>
      <c r="E499" s="53" t="s">
        <v>273</v>
      </c>
      <c r="F499" s="33" t="s">
        <v>409</v>
      </c>
    </row>
    <row r="500" spans="1:6" s="49" customFormat="1" ht="15" x14ac:dyDescent="0.25">
      <c r="A500" s="3">
        <f t="shared" si="76"/>
        <v>4679</v>
      </c>
      <c r="B500" s="3">
        <f t="shared" si="75"/>
        <v>4683</v>
      </c>
      <c r="C500" s="5">
        <v>5</v>
      </c>
      <c r="D500" s="21" t="s">
        <v>39</v>
      </c>
      <c r="E500" s="36"/>
      <c r="F500" s="38"/>
    </row>
    <row r="501" spans="1:6" s="49" customFormat="1" ht="15" x14ac:dyDescent="0.25">
      <c r="A501" s="3"/>
      <c r="B501" s="3"/>
      <c r="C501" s="3"/>
      <c r="D501" s="22" t="s">
        <v>420</v>
      </c>
      <c r="E501" s="36"/>
      <c r="F501" s="38"/>
    </row>
    <row r="502" spans="1:6" s="49" customFormat="1" ht="25.5" x14ac:dyDescent="0.25">
      <c r="A502" s="3">
        <f>A500+C500</f>
        <v>4684</v>
      </c>
      <c r="B502" s="3">
        <f t="shared" ref="B502:B509" si="77">A502+C502-1</f>
        <v>4685</v>
      </c>
      <c r="C502" s="5">
        <v>2</v>
      </c>
      <c r="D502" s="13" t="s">
        <v>245</v>
      </c>
      <c r="E502" s="36" t="s">
        <v>70</v>
      </c>
      <c r="F502" s="38" t="s">
        <v>114</v>
      </c>
    </row>
    <row r="503" spans="1:6" s="49" customFormat="1" ht="63.75" x14ac:dyDescent="0.25">
      <c r="A503" s="3">
        <f t="shared" ref="A503:A509" si="78">A502+C502</f>
        <v>4686</v>
      </c>
      <c r="B503" s="3">
        <f t="shared" si="77"/>
        <v>4686</v>
      </c>
      <c r="C503" s="3">
        <v>1</v>
      </c>
      <c r="D503" s="21" t="s">
        <v>17</v>
      </c>
      <c r="E503" s="36" t="s">
        <v>93</v>
      </c>
      <c r="F503" s="38" t="s">
        <v>256</v>
      </c>
    </row>
    <row r="504" spans="1:6" s="49" customFormat="1" ht="38.25" x14ac:dyDescent="0.25">
      <c r="A504" s="3">
        <f t="shared" si="78"/>
        <v>4687</v>
      </c>
      <c r="B504" s="3">
        <f t="shared" si="77"/>
        <v>4687</v>
      </c>
      <c r="C504" s="3">
        <v>1</v>
      </c>
      <c r="D504" s="21" t="s">
        <v>18</v>
      </c>
      <c r="E504" s="36" t="s">
        <v>65</v>
      </c>
      <c r="F504" s="38" t="s">
        <v>180</v>
      </c>
    </row>
    <row r="505" spans="1:6" s="49" customFormat="1" ht="38.25" x14ac:dyDescent="0.25">
      <c r="A505" s="3">
        <f t="shared" si="78"/>
        <v>4688</v>
      </c>
      <c r="B505" s="3">
        <f t="shared" si="77"/>
        <v>4688</v>
      </c>
      <c r="C505" s="3">
        <v>1</v>
      </c>
      <c r="D505" s="21" t="s">
        <v>90</v>
      </c>
      <c r="E505" s="36" t="s">
        <v>178</v>
      </c>
      <c r="F505" s="38" t="s">
        <v>179</v>
      </c>
    </row>
    <row r="506" spans="1:6" s="49" customFormat="1" ht="51" x14ac:dyDescent="0.25">
      <c r="A506" s="3">
        <f t="shared" si="78"/>
        <v>4689</v>
      </c>
      <c r="B506" s="3">
        <f t="shared" si="77"/>
        <v>4689</v>
      </c>
      <c r="C506" s="3">
        <v>1</v>
      </c>
      <c r="D506" s="21" t="s">
        <v>19</v>
      </c>
      <c r="E506" s="36" t="s">
        <v>66</v>
      </c>
      <c r="F506" s="38" t="s">
        <v>181</v>
      </c>
    </row>
    <row r="507" spans="1:6" s="49" customFormat="1" ht="176.25" customHeight="1" x14ac:dyDescent="0.25">
      <c r="A507" s="3">
        <f t="shared" si="78"/>
        <v>4690</v>
      </c>
      <c r="B507" s="3">
        <f t="shared" si="77"/>
        <v>4690</v>
      </c>
      <c r="C507" s="3">
        <v>1</v>
      </c>
      <c r="D507" s="21" t="s">
        <v>23</v>
      </c>
      <c r="E507" s="36" t="s">
        <v>63</v>
      </c>
      <c r="F507" s="38" t="s">
        <v>237</v>
      </c>
    </row>
    <row r="508" spans="1:6" s="49" customFormat="1" ht="63.75" x14ac:dyDescent="0.25">
      <c r="A508" s="3">
        <f t="shared" si="78"/>
        <v>4691</v>
      </c>
      <c r="B508" s="3">
        <f t="shared" si="77"/>
        <v>4691</v>
      </c>
      <c r="C508" s="3">
        <v>1</v>
      </c>
      <c r="D508" s="21" t="s">
        <v>20</v>
      </c>
      <c r="E508" s="36" t="s">
        <v>62</v>
      </c>
      <c r="F508" s="38" t="s">
        <v>434</v>
      </c>
    </row>
    <row r="509" spans="1:6" s="49" customFormat="1" ht="15" x14ac:dyDescent="0.25">
      <c r="A509" s="3">
        <f t="shared" si="78"/>
        <v>4692</v>
      </c>
      <c r="B509" s="3">
        <f t="shared" si="77"/>
        <v>5047</v>
      </c>
      <c r="C509" s="3">
        <v>356</v>
      </c>
      <c r="D509" s="21" t="s">
        <v>39</v>
      </c>
      <c r="E509" s="37" t="s">
        <v>318</v>
      </c>
      <c r="F509" s="38" t="s">
        <v>318</v>
      </c>
    </row>
    <row r="510" spans="1:6" x14ac:dyDescent="0.25">
      <c r="A510" s="3" t="s">
        <v>318</v>
      </c>
      <c r="B510" s="3" t="s">
        <v>318</v>
      </c>
      <c r="C510" s="3"/>
      <c r="D510" s="22" t="s">
        <v>259</v>
      </c>
      <c r="E510" s="36"/>
    </row>
    <row r="511" spans="1:6" ht="25.5" x14ac:dyDescent="0.25">
      <c r="A511" s="3">
        <f>A509+C509</f>
        <v>5048</v>
      </c>
      <c r="B511" s="3">
        <f t="shared" ref="B511:B523" si="79">A511+C511-1</f>
        <v>5048</v>
      </c>
      <c r="C511" s="3">
        <v>1</v>
      </c>
      <c r="D511" s="21" t="s">
        <v>24</v>
      </c>
      <c r="E511" s="36" t="s">
        <v>38</v>
      </c>
    </row>
    <row r="512" spans="1:6" ht="191.25" x14ac:dyDescent="0.25">
      <c r="A512" s="3">
        <f t="shared" ref="A512:A523" si="80">A511+C511</f>
        <v>5049</v>
      </c>
      <c r="B512" s="3">
        <f t="shared" si="79"/>
        <v>5056</v>
      </c>
      <c r="C512" s="6">
        <v>8</v>
      </c>
      <c r="D512" s="9" t="s">
        <v>11</v>
      </c>
      <c r="E512" s="39" t="s">
        <v>497</v>
      </c>
      <c r="F512" s="33" t="s">
        <v>441</v>
      </c>
    </row>
    <row r="513" spans="1:6" x14ac:dyDescent="0.25">
      <c r="A513" s="3">
        <f t="shared" si="80"/>
        <v>5057</v>
      </c>
      <c r="B513" s="3">
        <f t="shared" si="79"/>
        <v>5064</v>
      </c>
      <c r="C513" s="6">
        <v>8</v>
      </c>
      <c r="D513" s="9" t="s">
        <v>39</v>
      </c>
      <c r="E513" s="39" t="s">
        <v>318</v>
      </c>
      <c r="F513" s="33" t="s">
        <v>318</v>
      </c>
    </row>
    <row r="514" spans="1:6" x14ac:dyDescent="0.25">
      <c r="A514" s="3">
        <f t="shared" si="80"/>
        <v>5065</v>
      </c>
      <c r="B514" s="3">
        <f t="shared" si="79"/>
        <v>5084</v>
      </c>
      <c r="C514" s="6">
        <v>20</v>
      </c>
      <c r="D514" s="9" t="s">
        <v>12</v>
      </c>
      <c r="E514" s="81" t="s">
        <v>177</v>
      </c>
      <c r="F514" s="80" t="s">
        <v>230</v>
      </c>
    </row>
    <row r="515" spans="1:6" x14ac:dyDescent="0.25">
      <c r="A515" s="3">
        <f t="shared" si="80"/>
        <v>5085</v>
      </c>
      <c r="B515" s="3">
        <f t="shared" si="79"/>
        <v>5099</v>
      </c>
      <c r="C515" s="6">
        <v>15</v>
      </c>
      <c r="D515" s="9" t="s">
        <v>13</v>
      </c>
      <c r="E515" s="81"/>
      <c r="F515" s="80"/>
    </row>
    <row r="516" spans="1:6" x14ac:dyDescent="0.25">
      <c r="A516" s="3">
        <f t="shared" si="80"/>
        <v>5100</v>
      </c>
      <c r="B516" s="3">
        <f t="shared" si="79"/>
        <v>5100</v>
      </c>
      <c r="C516" s="6">
        <v>1</v>
      </c>
      <c r="D516" s="9" t="s">
        <v>186</v>
      </c>
      <c r="E516" s="81"/>
      <c r="F516" s="80"/>
    </row>
    <row r="517" spans="1:6" ht="13.15" customHeight="1" x14ac:dyDescent="0.25">
      <c r="A517" s="3">
        <f t="shared" si="80"/>
        <v>5101</v>
      </c>
      <c r="B517" s="3">
        <f t="shared" si="79"/>
        <v>5144</v>
      </c>
      <c r="C517" s="6">
        <v>44</v>
      </c>
      <c r="D517" s="9" t="s">
        <v>39</v>
      </c>
      <c r="E517" s="32" t="s">
        <v>318</v>
      </c>
      <c r="F517" s="39" t="s">
        <v>318</v>
      </c>
    </row>
    <row r="518" spans="1:6" ht="63.75" x14ac:dyDescent="0.25">
      <c r="A518" s="3">
        <f t="shared" si="80"/>
        <v>5145</v>
      </c>
      <c r="B518" s="3">
        <f t="shared" si="79"/>
        <v>5150</v>
      </c>
      <c r="C518" s="6">
        <v>6</v>
      </c>
      <c r="D518" s="9" t="s">
        <v>111</v>
      </c>
      <c r="E518" s="39" t="s">
        <v>303</v>
      </c>
      <c r="F518" s="33" t="s">
        <v>498</v>
      </c>
    </row>
    <row r="519" spans="1:6" ht="102" x14ac:dyDescent="0.25">
      <c r="A519" s="3">
        <f t="shared" si="80"/>
        <v>5151</v>
      </c>
      <c r="B519" s="3">
        <f t="shared" si="79"/>
        <v>5180</v>
      </c>
      <c r="C519" s="6">
        <v>30</v>
      </c>
      <c r="D519" s="9" t="s">
        <v>14</v>
      </c>
      <c r="E519" s="68" t="s">
        <v>499</v>
      </c>
      <c r="F519" s="33" t="s">
        <v>500</v>
      </c>
    </row>
    <row r="520" spans="1:6" ht="51" x14ac:dyDescent="0.25">
      <c r="A520" s="3">
        <f t="shared" si="80"/>
        <v>5181</v>
      </c>
      <c r="B520" s="3">
        <f t="shared" si="79"/>
        <v>5200</v>
      </c>
      <c r="C520" s="3">
        <v>20</v>
      </c>
      <c r="D520" s="21" t="s">
        <v>84</v>
      </c>
      <c r="E520" s="36" t="s">
        <v>221</v>
      </c>
      <c r="F520" s="38" t="s">
        <v>230</v>
      </c>
    </row>
    <row r="521" spans="1:6" ht="38.25" x14ac:dyDescent="0.25">
      <c r="A521" s="3">
        <f t="shared" si="80"/>
        <v>5201</v>
      </c>
      <c r="B521" s="3">
        <f t="shared" si="79"/>
        <v>5206</v>
      </c>
      <c r="C521" s="3">
        <v>6</v>
      </c>
      <c r="D521" s="21" t="s">
        <v>85</v>
      </c>
      <c r="E521" s="36" t="s">
        <v>86</v>
      </c>
      <c r="F521" s="38" t="s">
        <v>211</v>
      </c>
    </row>
    <row r="522" spans="1:6" ht="25.5" x14ac:dyDescent="0.25">
      <c r="A522" s="3">
        <f t="shared" si="80"/>
        <v>5207</v>
      </c>
      <c r="B522" s="3">
        <f t="shared" si="79"/>
        <v>5207</v>
      </c>
      <c r="C522" s="3">
        <v>1</v>
      </c>
      <c r="D522" s="21" t="s">
        <v>260</v>
      </c>
      <c r="E522" s="36" t="s">
        <v>209</v>
      </c>
      <c r="F522" s="38" t="s">
        <v>208</v>
      </c>
    </row>
    <row r="523" spans="1:6" x14ac:dyDescent="0.25">
      <c r="A523" s="3">
        <f t="shared" si="80"/>
        <v>5208</v>
      </c>
      <c r="B523" s="3">
        <f t="shared" si="79"/>
        <v>5244</v>
      </c>
      <c r="C523" s="5">
        <v>37</v>
      </c>
      <c r="D523" s="21" t="s">
        <v>39</v>
      </c>
      <c r="E523" s="36"/>
    </row>
    <row r="524" spans="1:6" x14ac:dyDescent="0.25">
      <c r="A524" s="3" t="s">
        <v>318</v>
      </c>
      <c r="B524" s="3"/>
      <c r="C524" s="3"/>
      <c r="D524" s="22" t="s">
        <v>232</v>
      </c>
      <c r="E524" s="36"/>
    </row>
    <row r="525" spans="1:6" x14ac:dyDescent="0.25">
      <c r="A525" s="3">
        <f>A523+C523</f>
        <v>5245</v>
      </c>
      <c r="B525" s="3">
        <f t="shared" ref="B525:B539" si="81">A525+C525-1</f>
        <v>5245</v>
      </c>
      <c r="C525" s="3">
        <v>1</v>
      </c>
      <c r="D525" s="21" t="s">
        <v>94</v>
      </c>
      <c r="E525" s="73" t="s">
        <v>87</v>
      </c>
      <c r="F525" s="73" t="s">
        <v>261</v>
      </c>
    </row>
    <row r="526" spans="1:6" x14ac:dyDescent="0.25">
      <c r="A526" s="3">
        <f t="shared" ref="A526:A539" si="82">A525+C525</f>
        <v>5246</v>
      </c>
      <c r="B526" s="3">
        <f t="shared" si="81"/>
        <v>5246</v>
      </c>
      <c r="C526" s="3">
        <v>1</v>
      </c>
      <c r="D526" s="21" t="s">
        <v>95</v>
      </c>
      <c r="E526" s="73"/>
      <c r="F526" s="73"/>
    </row>
    <row r="527" spans="1:6" x14ac:dyDescent="0.25">
      <c r="A527" s="3">
        <f t="shared" si="82"/>
        <v>5247</v>
      </c>
      <c r="B527" s="3">
        <f t="shared" si="81"/>
        <v>5247</v>
      </c>
      <c r="C527" s="3">
        <v>1</v>
      </c>
      <c r="D527" s="13" t="s">
        <v>39</v>
      </c>
      <c r="E527" s="73"/>
      <c r="F527" s="73"/>
    </row>
    <row r="528" spans="1:6" x14ac:dyDescent="0.25">
      <c r="A528" s="3">
        <f t="shared" si="82"/>
        <v>5248</v>
      </c>
      <c r="B528" s="3">
        <f t="shared" si="81"/>
        <v>5248</v>
      </c>
      <c r="C528" s="3">
        <v>1</v>
      </c>
      <c r="D528" s="21" t="s">
        <v>96</v>
      </c>
      <c r="E528" s="73"/>
      <c r="F528" s="73"/>
    </row>
    <row r="529" spans="1:6" x14ac:dyDescent="0.25">
      <c r="A529" s="3">
        <f t="shared" si="82"/>
        <v>5249</v>
      </c>
      <c r="B529" s="3">
        <f t="shared" si="81"/>
        <v>5249</v>
      </c>
      <c r="C529" s="3">
        <v>1</v>
      </c>
      <c r="D529" s="21" t="s">
        <v>97</v>
      </c>
      <c r="E529" s="73"/>
      <c r="F529" s="73"/>
    </row>
    <row r="530" spans="1:6" x14ac:dyDescent="0.25">
      <c r="A530" s="3">
        <f t="shared" si="82"/>
        <v>5250</v>
      </c>
      <c r="B530" s="3">
        <f t="shared" si="81"/>
        <v>5250</v>
      </c>
      <c r="C530" s="3">
        <v>1</v>
      </c>
      <c r="D530" s="21" t="s">
        <v>98</v>
      </c>
      <c r="E530" s="73"/>
      <c r="F530" s="73"/>
    </row>
    <row r="531" spans="1:6" x14ac:dyDescent="0.25">
      <c r="A531" s="3">
        <f t="shared" si="82"/>
        <v>5251</v>
      </c>
      <c r="B531" s="3">
        <f t="shared" si="81"/>
        <v>5251</v>
      </c>
      <c r="C531" s="3">
        <v>1</v>
      </c>
      <c r="D531" s="21" t="s">
        <v>187</v>
      </c>
      <c r="E531" s="73"/>
      <c r="F531" s="73"/>
    </row>
    <row r="532" spans="1:6" x14ac:dyDescent="0.25">
      <c r="A532" s="3">
        <f t="shared" si="82"/>
        <v>5252</v>
      </c>
      <c r="B532" s="3">
        <f t="shared" si="81"/>
        <v>5252</v>
      </c>
      <c r="C532" s="3">
        <v>1</v>
      </c>
      <c r="D532" s="21" t="s">
        <v>212</v>
      </c>
      <c r="E532" s="73"/>
      <c r="F532" s="73"/>
    </row>
    <row r="533" spans="1:6" x14ac:dyDescent="0.25">
      <c r="A533" s="3">
        <f t="shared" si="82"/>
        <v>5253</v>
      </c>
      <c r="B533" s="3">
        <f t="shared" si="81"/>
        <v>5253</v>
      </c>
      <c r="C533" s="3">
        <v>1</v>
      </c>
      <c r="D533" s="21" t="s">
        <v>99</v>
      </c>
      <c r="E533" s="73"/>
      <c r="F533" s="73"/>
    </row>
    <row r="534" spans="1:6" x14ac:dyDescent="0.25">
      <c r="A534" s="3">
        <f t="shared" si="82"/>
        <v>5254</v>
      </c>
      <c r="B534" s="3">
        <f t="shared" si="81"/>
        <v>5254</v>
      </c>
      <c r="C534" s="3">
        <v>1</v>
      </c>
      <c r="D534" s="21" t="s">
        <v>100</v>
      </c>
      <c r="E534" s="73"/>
      <c r="F534" s="73"/>
    </row>
    <row r="535" spans="1:6" x14ac:dyDescent="0.25">
      <c r="A535" s="3">
        <f t="shared" si="82"/>
        <v>5255</v>
      </c>
      <c r="B535" s="3">
        <f t="shared" si="81"/>
        <v>5255</v>
      </c>
      <c r="C535" s="3">
        <v>1</v>
      </c>
      <c r="D535" s="21" t="s">
        <v>101</v>
      </c>
      <c r="E535" s="73"/>
      <c r="F535" s="73"/>
    </row>
    <row r="536" spans="1:6" x14ac:dyDescent="0.25">
      <c r="A536" s="3">
        <f t="shared" si="82"/>
        <v>5256</v>
      </c>
      <c r="B536" s="3">
        <f t="shared" si="81"/>
        <v>5256</v>
      </c>
      <c r="C536" s="3">
        <v>1</v>
      </c>
      <c r="D536" s="21" t="s">
        <v>102</v>
      </c>
      <c r="E536" s="73"/>
      <c r="F536" s="73"/>
    </row>
    <row r="537" spans="1:6" x14ac:dyDescent="0.25">
      <c r="A537" s="3">
        <f t="shared" si="82"/>
        <v>5257</v>
      </c>
      <c r="B537" s="3">
        <f t="shared" si="81"/>
        <v>5257</v>
      </c>
      <c r="C537" s="3">
        <v>1</v>
      </c>
      <c r="D537" s="21" t="s">
        <v>103</v>
      </c>
      <c r="E537" s="73"/>
      <c r="F537" s="73"/>
    </row>
    <row r="538" spans="1:6" x14ac:dyDescent="0.25">
      <c r="A538" s="3">
        <f t="shared" si="82"/>
        <v>5258</v>
      </c>
      <c r="B538" s="3">
        <f t="shared" si="81"/>
        <v>5258</v>
      </c>
      <c r="C538" s="3">
        <v>1</v>
      </c>
      <c r="D538" s="21" t="s">
        <v>104</v>
      </c>
      <c r="E538" s="73"/>
      <c r="F538" s="73"/>
    </row>
    <row r="539" spans="1:6" x14ac:dyDescent="0.25">
      <c r="A539" s="3">
        <f t="shared" si="82"/>
        <v>5259</v>
      </c>
      <c r="B539" s="3">
        <f t="shared" si="81"/>
        <v>5278</v>
      </c>
      <c r="C539" s="3">
        <v>20</v>
      </c>
      <c r="D539" s="21" t="s">
        <v>39</v>
      </c>
      <c r="E539" s="36"/>
    </row>
    <row r="540" spans="1:6" x14ac:dyDescent="0.25">
      <c r="A540" s="3"/>
      <c r="B540" s="3"/>
      <c r="C540" s="3"/>
      <c r="D540" s="22" t="s">
        <v>262</v>
      </c>
      <c r="E540" s="36"/>
    </row>
    <row r="541" spans="1:6" ht="63.75" x14ac:dyDescent="0.25">
      <c r="A541" s="3">
        <f>A539+C539</f>
        <v>5279</v>
      </c>
      <c r="B541" s="3">
        <f t="shared" ref="B541:B548" si="83">A541+C541-1</f>
        <v>5281</v>
      </c>
      <c r="C541" s="3">
        <v>3</v>
      </c>
      <c r="D541" s="21" t="s">
        <v>15</v>
      </c>
      <c r="E541" s="38" t="s">
        <v>64</v>
      </c>
      <c r="F541" s="38" t="s">
        <v>410</v>
      </c>
    </row>
    <row r="542" spans="1:6" ht="63.75" x14ac:dyDescent="0.25">
      <c r="A542" s="3">
        <f t="shared" ref="A542:A548" si="84">A541+C541</f>
        <v>5282</v>
      </c>
      <c r="B542" s="3">
        <f t="shared" si="83"/>
        <v>5284</v>
      </c>
      <c r="C542" s="3">
        <v>3</v>
      </c>
      <c r="D542" s="21" t="s">
        <v>16</v>
      </c>
      <c r="E542" s="38" t="s">
        <v>64</v>
      </c>
      <c r="F542" s="38" t="s">
        <v>411</v>
      </c>
    </row>
    <row r="543" spans="1:6" ht="89.25" x14ac:dyDescent="0.25">
      <c r="A543" s="3">
        <f t="shared" si="84"/>
        <v>5285</v>
      </c>
      <c r="B543" s="3">
        <f t="shared" si="83"/>
        <v>5287</v>
      </c>
      <c r="C543" s="3">
        <v>3</v>
      </c>
      <c r="D543" s="21" t="s">
        <v>108</v>
      </c>
      <c r="E543" s="38" t="s">
        <v>64</v>
      </c>
      <c r="F543" s="12" t="s">
        <v>263</v>
      </c>
    </row>
    <row r="544" spans="1:6" ht="76.5" x14ac:dyDescent="0.25">
      <c r="A544" s="3">
        <f t="shared" si="84"/>
        <v>5288</v>
      </c>
      <c r="B544" s="3">
        <f t="shared" si="83"/>
        <v>5290</v>
      </c>
      <c r="C544" s="3">
        <v>3</v>
      </c>
      <c r="D544" s="21" t="s">
        <v>109</v>
      </c>
      <c r="E544" s="38" t="s">
        <v>69</v>
      </c>
      <c r="F544" s="38" t="s">
        <v>346</v>
      </c>
    </row>
    <row r="545" spans="1:6" ht="63.75" x14ac:dyDescent="0.25">
      <c r="A545" s="3">
        <f t="shared" si="84"/>
        <v>5291</v>
      </c>
      <c r="B545" s="3">
        <f t="shared" si="83"/>
        <v>5293</v>
      </c>
      <c r="C545" s="3">
        <v>3</v>
      </c>
      <c r="D545" s="21" t="s">
        <v>21</v>
      </c>
      <c r="E545" s="36" t="s">
        <v>311</v>
      </c>
      <c r="F545" s="12" t="s">
        <v>427</v>
      </c>
    </row>
    <row r="546" spans="1:6" ht="89.25" x14ac:dyDescent="0.25">
      <c r="A546" s="3">
        <f t="shared" si="84"/>
        <v>5294</v>
      </c>
      <c r="B546" s="3">
        <f t="shared" si="83"/>
        <v>5296</v>
      </c>
      <c r="C546" s="3">
        <v>3</v>
      </c>
      <c r="D546" s="21" t="s">
        <v>88</v>
      </c>
      <c r="E546" s="36" t="s">
        <v>309</v>
      </c>
      <c r="F546" s="40" t="s">
        <v>264</v>
      </c>
    </row>
    <row r="547" spans="1:6" ht="76.5" x14ac:dyDescent="0.25">
      <c r="A547" s="3">
        <f t="shared" si="84"/>
        <v>5297</v>
      </c>
      <c r="B547" s="3">
        <f t="shared" si="83"/>
        <v>5299</v>
      </c>
      <c r="C547" s="3">
        <v>3</v>
      </c>
      <c r="D547" s="21" t="s">
        <v>92</v>
      </c>
      <c r="E547" s="36" t="s">
        <v>312</v>
      </c>
      <c r="F547" s="40" t="s">
        <v>265</v>
      </c>
    </row>
    <row r="548" spans="1:6" x14ac:dyDescent="0.25">
      <c r="A548" s="3">
        <f t="shared" si="84"/>
        <v>5300</v>
      </c>
      <c r="B548" s="3">
        <f t="shared" si="83"/>
        <v>5319</v>
      </c>
      <c r="C548" s="3">
        <v>20</v>
      </c>
      <c r="D548" s="21" t="s">
        <v>39</v>
      </c>
      <c r="E548" s="36"/>
      <c r="F548" s="40"/>
    </row>
    <row r="549" spans="1:6" ht="30.6" customHeight="1" x14ac:dyDescent="0.25">
      <c r="A549" s="3" t="s">
        <v>318</v>
      </c>
      <c r="B549" s="55"/>
      <c r="C549" s="55"/>
      <c r="D549" s="22" t="s">
        <v>463</v>
      </c>
      <c r="E549" s="56"/>
      <c r="F549" s="57"/>
    </row>
    <row r="550" spans="1:6" ht="63.75" x14ac:dyDescent="0.25">
      <c r="A550" s="3">
        <f>A548+C548</f>
        <v>5320</v>
      </c>
      <c r="B550" s="59">
        <f t="shared" ref="B550:B565" si="85">A550+C550-1</f>
        <v>5323</v>
      </c>
      <c r="C550" s="58">
        <v>4</v>
      </c>
      <c r="D550" s="45" t="s">
        <v>284</v>
      </c>
      <c r="E550" s="46" t="s">
        <v>362</v>
      </c>
      <c r="F550" s="33" t="s">
        <v>501</v>
      </c>
    </row>
    <row r="551" spans="1:6" ht="76.5" x14ac:dyDescent="0.25">
      <c r="A551" s="58">
        <f t="shared" ref="A551:A565" si="86">A550+C550</f>
        <v>5324</v>
      </c>
      <c r="B551" s="59">
        <f t="shared" si="85"/>
        <v>5324</v>
      </c>
      <c r="C551" s="58">
        <v>1</v>
      </c>
      <c r="D551" s="45" t="s">
        <v>285</v>
      </c>
      <c r="E551" s="46" t="s">
        <v>273</v>
      </c>
      <c r="F551" s="33" t="s">
        <v>366</v>
      </c>
    </row>
    <row r="552" spans="1:6" ht="63.75" x14ac:dyDescent="0.25">
      <c r="A552" s="58">
        <f t="shared" si="86"/>
        <v>5325</v>
      </c>
      <c r="B552" s="59">
        <f t="shared" si="85"/>
        <v>5327</v>
      </c>
      <c r="C552" s="58">
        <v>3</v>
      </c>
      <c r="D552" s="45" t="s">
        <v>286</v>
      </c>
      <c r="E552" s="46" t="s">
        <v>69</v>
      </c>
      <c r="F552" s="33" t="s">
        <v>502</v>
      </c>
    </row>
    <row r="553" spans="1:6" ht="63.75" x14ac:dyDescent="0.25">
      <c r="A553" s="58">
        <f t="shared" si="86"/>
        <v>5328</v>
      </c>
      <c r="B553" s="59">
        <f t="shared" si="85"/>
        <v>5331</v>
      </c>
      <c r="C553" s="58">
        <v>4</v>
      </c>
      <c r="D553" s="45" t="s">
        <v>287</v>
      </c>
      <c r="E553" s="46" t="s">
        <v>362</v>
      </c>
      <c r="F553" s="33" t="s">
        <v>503</v>
      </c>
    </row>
    <row r="554" spans="1:6" ht="76.5" x14ac:dyDescent="0.25">
      <c r="A554" s="58">
        <f t="shared" si="86"/>
        <v>5332</v>
      </c>
      <c r="B554" s="59">
        <f t="shared" si="85"/>
        <v>5332</v>
      </c>
      <c r="C554" s="58">
        <v>1</v>
      </c>
      <c r="D554" s="45" t="s">
        <v>288</v>
      </c>
      <c r="E554" s="46" t="s">
        <v>273</v>
      </c>
      <c r="F554" s="33" t="s">
        <v>367</v>
      </c>
    </row>
    <row r="555" spans="1:6" ht="63.75" x14ac:dyDescent="0.25">
      <c r="A555" s="58">
        <f t="shared" si="86"/>
        <v>5333</v>
      </c>
      <c r="B555" s="59">
        <f t="shared" si="85"/>
        <v>5335</v>
      </c>
      <c r="C555" s="58">
        <v>3</v>
      </c>
      <c r="D555" s="45" t="s">
        <v>289</v>
      </c>
      <c r="E555" s="46" t="s">
        <v>69</v>
      </c>
      <c r="F555" s="33" t="s">
        <v>504</v>
      </c>
    </row>
    <row r="556" spans="1:6" ht="51" x14ac:dyDescent="0.25">
      <c r="A556" s="58">
        <f t="shared" si="86"/>
        <v>5336</v>
      </c>
      <c r="B556" s="59">
        <f t="shared" si="85"/>
        <v>5339</v>
      </c>
      <c r="C556" s="58">
        <v>4</v>
      </c>
      <c r="D556" s="45" t="s">
        <v>290</v>
      </c>
      <c r="E556" s="46" t="s">
        <v>362</v>
      </c>
      <c r="F556" s="33" t="s">
        <v>514</v>
      </c>
    </row>
    <row r="557" spans="1:6" ht="76.5" x14ac:dyDescent="0.25">
      <c r="A557" s="58">
        <f t="shared" si="86"/>
        <v>5340</v>
      </c>
      <c r="B557" s="59">
        <f t="shared" si="85"/>
        <v>5340</v>
      </c>
      <c r="C557" s="58">
        <v>1</v>
      </c>
      <c r="D557" s="45" t="s">
        <v>291</v>
      </c>
      <c r="E557" s="46" t="s">
        <v>273</v>
      </c>
      <c r="F557" s="33" t="s">
        <v>412</v>
      </c>
    </row>
    <row r="558" spans="1:6" ht="63.75" x14ac:dyDescent="0.25">
      <c r="A558" s="58">
        <f t="shared" si="86"/>
        <v>5341</v>
      </c>
      <c r="B558" s="59">
        <f t="shared" si="85"/>
        <v>5343</v>
      </c>
      <c r="C558" s="58">
        <v>3</v>
      </c>
      <c r="D558" s="45" t="s">
        <v>292</v>
      </c>
      <c r="E558" s="46" t="s">
        <v>69</v>
      </c>
      <c r="F558" s="33" t="s">
        <v>505</v>
      </c>
    </row>
    <row r="559" spans="1:6" ht="63.75" x14ac:dyDescent="0.25">
      <c r="A559" s="58">
        <f t="shared" si="86"/>
        <v>5344</v>
      </c>
      <c r="B559" s="59">
        <f t="shared" si="85"/>
        <v>5347</v>
      </c>
      <c r="C559" s="58">
        <v>4</v>
      </c>
      <c r="D559" s="45" t="s">
        <v>293</v>
      </c>
      <c r="E559" s="46" t="s">
        <v>362</v>
      </c>
      <c r="F559" s="33" t="s">
        <v>506</v>
      </c>
    </row>
    <row r="560" spans="1:6" ht="89.25" x14ac:dyDescent="0.25">
      <c r="A560" s="58">
        <f t="shared" si="86"/>
        <v>5348</v>
      </c>
      <c r="B560" s="59">
        <f t="shared" si="85"/>
        <v>5348</v>
      </c>
      <c r="C560" s="58">
        <v>1</v>
      </c>
      <c r="D560" s="45" t="s">
        <v>294</v>
      </c>
      <c r="E560" s="46" t="s">
        <v>273</v>
      </c>
      <c r="F560" s="33" t="s">
        <v>413</v>
      </c>
    </row>
    <row r="561" spans="1:6" ht="63.75" x14ac:dyDescent="0.25">
      <c r="A561" s="58">
        <f t="shared" si="86"/>
        <v>5349</v>
      </c>
      <c r="B561" s="59">
        <f t="shared" si="85"/>
        <v>5351</v>
      </c>
      <c r="C561" s="58">
        <v>3</v>
      </c>
      <c r="D561" s="45" t="s">
        <v>295</v>
      </c>
      <c r="E561" s="46" t="s">
        <v>69</v>
      </c>
      <c r="F561" s="33" t="s">
        <v>507</v>
      </c>
    </row>
    <row r="562" spans="1:6" ht="63.75" x14ac:dyDescent="0.25">
      <c r="A562" s="58">
        <f t="shared" si="86"/>
        <v>5352</v>
      </c>
      <c r="B562" s="59">
        <f t="shared" si="85"/>
        <v>5355</v>
      </c>
      <c r="C562" s="58">
        <v>4</v>
      </c>
      <c r="D562" s="45" t="s">
        <v>296</v>
      </c>
      <c r="E562" s="46" t="s">
        <v>362</v>
      </c>
      <c r="F562" s="33" t="s">
        <v>508</v>
      </c>
    </row>
    <row r="563" spans="1:6" ht="102" x14ac:dyDescent="0.25">
      <c r="A563" s="58">
        <f t="shared" si="86"/>
        <v>5356</v>
      </c>
      <c r="B563" s="59">
        <f t="shared" si="85"/>
        <v>5356</v>
      </c>
      <c r="C563" s="58">
        <v>1</v>
      </c>
      <c r="D563" s="45" t="s">
        <v>297</v>
      </c>
      <c r="E563" s="46" t="s">
        <v>273</v>
      </c>
      <c r="F563" s="33" t="s">
        <v>414</v>
      </c>
    </row>
    <row r="564" spans="1:6" ht="76.5" x14ac:dyDescent="0.25">
      <c r="A564" s="58">
        <f t="shared" si="86"/>
        <v>5357</v>
      </c>
      <c r="B564" s="59">
        <f t="shared" si="85"/>
        <v>5359</v>
      </c>
      <c r="C564" s="58">
        <v>3</v>
      </c>
      <c r="D564" s="45" t="s">
        <v>298</v>
      </c>
      <c r="E564" s="46" t="s">
        <v>69</v>
      </c>
      <c r="F564" s="33" t="s">
        <v>509</v>
      </c>
    </row>
    <row r="565" spans="1:6" x14ac:dyDescent="0.25">
      <c r="A565" s="58">
        <f t="shared" si="86"/>
        <v>5360</v>
      </c>
      <c r="B565" s="59">
        <f t="shared" si="85"/>
        <v>5379</v>
      </c>
      <c r="C565" s="58">
        <v>20</v>
      </c>
      <c r="D565" s="45" t="s">
        <v>39</v>
      </c>
      <c r="E565" s="44"/>
      <c r="F565" s="33"/>
    </row>
    <row r="566" spans="1:6" x14ac:dyDescent="0.25">
      <c r="A566" s="58"/>
      <c r="B566" s="58"/>
      <c r="C566" s="58"/>
      <c r="D566" s="22" t="s">
        <v>515</v>
      </c>
      <c r="E566" s="44"/>
      <c r="F566" s="33"/>
    </row>
    <row r="567" spans="1:6" ht="51" x14ac:dyDescent="0.25">
      <c r="A567" s="58">
        <f>A565+C565</f>
        <v>5380</v>
      </c>
      <c r="B567" s="59">
        <f t="shared" ref="B567:B573" si="87">A567+C567-1</f>
        <v>5383</v>
      </c>
      <c r="C567" s="58">
        <v>4</v>
      </c>
      <c r="D567" s="45" t="s">
        <v>117</v>
      </c>
      <c r="E567" s="46" t="s">
        <v>362</v>
      </c>
      <c r="F567" s="33" t="s">
        <v>510</v>
      </c>
    </row>
    <row r="568" spans="1:6" ht="76.5" x14ac:dyDescent="0.25">
      <c r="A568" s="58">
        <f t="shared" ref="A568:A573" si="88">A567+C567</f>
        <v>5384</v>
      </c>
      <c r="B568" s="59">
        <f t="shared" si="87"/>
        <v>5384</v>
      </c>
      <c r="C568" s="58">
        <v>1</v>
      </c>
      <c r="D568" s="45" t="s">
        <v>299</v>
      </c>
      <c r="E568" s="46" t="s">
        <v>273</v>
      </c>
      <c r="F568" s="33" t="s">
        <v>415</v>
      </c>
    </row>
    <row r="569" spans="1:6" ht="63.75" x14ac:dyDescent="0.25">
      <c r="A569" s="58">
        <f t="shared" si="88"/>
        <v>5385</v>
      </c>
      <c r="B569" s="59">
        <f t="shared" si="87"/>
        <v>5387</v>
      </c>
      <c r="C569" s="58">
        <v>3</v>
      </c>
      <c r="D569" s="45" t="s">
        <v>126</v>
      </c>
      <c r="E569" s="46" t="s">
        <v>69</v>
      </c>
      <c r="F569" s="33" t="s">
        <v>511</v>
      </c>
    </row>
    <row r="570" spans="1:6" ht="51" x14ac:dyDescent="0.25">
      <c r="A570" s="58">
        <f t="shared" si="88"/>
        <v>5388</v>
      </c>
      <c r="B570" s="59">
        <f t="shared" si="87"/>
        <v>5391</v>
      </c>
      <c r="C570" s="58">
        <v>4</v>
      </c>
      <c r="D570" s="45" t="s">
        <v>300</v>
      </c>
      <c r="E570" s="46" t="s">
        <v>362</v>
      </c>
      <c r="F570" s="33" t="s">
        <v>512</v>
      </c>
    </row>
    <row r="571" spans="1:6" ht="76.5" x14ac:dyDescent="0.25">
      <c r="A571" s="58">
        <f t="shared" si="88"/>
        <v>5392</v>
      </c>
      <c r="B571" s="60">
        <f t="shared" si="87"/>
        <v>5392</v>
      </c>
      <c r="C571" s="58">
        <v>1</v>
      </c>
      <c r="D571" s="61" t="s">
        <v>301</v>
      </c>
      <c r="E571" s="46" t="s">
        <v>273</v>
      </c>
      <c r="F571" s="33" t="s">
        <v>389</v>
      </c>
    </row>
    <row r="572" spans="1:6" ht="63.75" x14ac:dyDescent="0.25">
      <c r="A572" s="58">
        <f t="shared" si="88"/>
        <v>5393</v>
      </c>
      <c r="B572" s="59">
        <f t="shared" si="87"/>
        <v>5395</v>
      </c>
      <c r="C572" s="58">
        <v>3</v>
      </c>
      <c r="D572" s="45" t="s">
        <v>302</v>
      </c>
      <c r="E572" s="46" t="s">
        <v>69</v>
      </c>
      <c r="F572" s="33" t="s">
        <v>513</v>
      </c>
    </row>
    <row r="573" spans="1:6" x14ac:dyDescent="0.25">
      <c r="A573" s="58">
        <f t="shared" si="88"/>
        <v>5396</v>
      </c>
      <c r="B573" s="59">
        <f t="shared" si="87"/>
        <v>5415</v>
      </c>
      <c r="C573" s="58">
        <v>20</v>
      </c>
      <c r="D573" s="45" t="s">
        <v>39</v>
      </c>
      <c r="E573" s="52"/>
    </row>
    <row r="574" spans="1:6" x14ac:dyDescent="0.25">
      <c r="A574" s="43"/>
      <c r="B574" s="62"/>
      <c r="C574" s="3"/>
      <c r="D574" s="22" t="s">
        <v>266</v>
      </c>
      <c r="E574" s="37"/>
    </row>
    <row r="575" spans="1:6" ht="25.5" x14ac:dyDescent="0.25">
      <c r="A575" s="6">
        <f>A573+C573</f>
        <v>5416</v>
      </c>
      <c r="B575" s="30">
        <f t="shared" ref="B575:B583" si="89">A575+C575-1</f>
        <v>5417</v>
      </c>
      <c r="C575" s="5">
        <v>2</v>
      </c>
      <c r="D575" s="13" t="s">
        <v>267</v>
      </c>
      <c r="E575" s="37" t="s">
        <v>70</v>
      </c>
      <c r="F575" s="38" t="s">
        <v>114</v>
      </c>
    </row>
    <row r="576" spans="1:6" ht="63.75" x14ac:dyDescent="0.25">
      <c r="A576" s="3">
        <f t="shared" ref="A576:A583" si="90">A575+C575</f>
        <v>5418</v>
      </c>
      <c r="B576" s="3">
        <f t="shared" si="89"/>
        <v>5418</v>
      </c>
      <c r="C576" s="3">
        <v>1</v>
      </c>
      <c r="D576" s="21" t="s">
        <v>17</v>
      </c>
      <c r="E576" s="37" t="s">
        <v>93</v>
      </c>
      <c r="F576" s="38" t="s">
        <v>256</v>
      </c>
    </row>
    <row r="577" spans="1:6" ht="38.25" x14ac:dyDescent="0.25">
      <c r="A577" s="3">
        <f t="shared" si="90"/>
        <v>5419</v>
      </c>
      <c r="B577" s="3">
        <f t="shared" si="89"/>
        <v>5419</v>
      </c>
      <c r="C577" s="3">
        <v>1</v>
      </c>
      <c r="D577" s="21" t="s">
        <v>18</v>
      </c>
      <c r="E577" s="37" t="s">
        <v>65</v>
      </c>
      <c r="F577" s="38" t="s">
        <v>180</v>
      </c>
    </row>
    <row r="578" spans="1:6" ht="38.25" x14ac:dyDescent="0.25">
      <c r="A578" s="3">
        <f t="shared" si="90"/>
        <v>5420</v>
      </c>
      <c r="B578" s="3">
        <f t="shared" si="89"/>
        <v>5420</v>
      </c>
      <c r="C578" s="3">
        <v>1</v>
      </c>
      <c r="D578" s="21" t="s">
        <v>90</v>
      </c>
      <c r="E578" s="37" t="s">
        <v>178</v>
      </c>
      <c r="F578" s="38" t="s">
        <v>179</v>
      </c>
    </row>
    <row r="579" spans="1:6" ht="51" x14ac:dyDescent="0.25">
      <c r="A579" s="3">
        <f t="shared" si="90"/>
        <v>5421</v>
      </c>
      <c r="B579" s="3">
        <f t="shared" si="89"/>
        <v>5421</v>
      </c>
      <c r="C579" s="3">
        <v>1</v>
      </c>
      <c r="D579" s="21" t="s">
        <v>19</v>
      </c>
      <c r="E579" s="37" t="s">
        <v>66</v>
      </c>
      <c r="F579" s="38" t="s">
        <v>181</v>
      </c>
    </row>
    <row r="580" spans="1:6" ht="76.5" x14ac:dyDescent="0.25">
      <c r="A580" s="3">
        <f t="shared" si="90"/>
        <v>5422</v>
      </c>
      <c r="B580" s="3">
        <f t="shared" si="89"/>
        <v>5422</v>
      </c>
      <c r="C580" s="3">
        <v>1</v>
      </c>
      <c r="D580" s="21" t="s">
        <v>23</v>
      </c>
      <c r="E580" s="37" t="s">
        <v>63</v>
      </c>
      <c r="F580" s="38" t="s">
        <v>237</v>
      </c>
    </row>
    <row r="581" spans="1:6" ht="63.75" x14ac:dyDescent="0.25">
      <c r="A581" s="3">
        <f t="shared" si="90"/>
        <v>5423</v>
      </c>
      <c r="B581" s="3">
        <f t="shared" si="89"/>
        <v>5423</v>
      </c>
      <c r="C581" s="3">
        <v>1</v>
      </c>
      <c r="D581" s="21" t="s">
        <v>20</v>
      </c>
      <c r="E581" s="37" t="s">
        <v>62</v>
      </c>
      <c r="F581" s="38" t="s">
        <v>434</v>
      </c>
    </row>
    <row r="582" spans="1:6" x14ac:dyDescent="0.25">
      <c r="A582" s="3">
        <f t="shared" si="90"/>
        <v>5424</v>
      </c>
      <c r="B582" s="3">
        <f t="shared" si="89"/>
        <v>5820</v>
      </c>
      <c r="C582" s="3">
        <v>397</v>
      </c>
      <c r="D582" s="21" t="s">
        <v>39</v>
      </c>
      <c r="E582" s="37" t="s">
        <v>318</v>
      </c>
      <c r="F582" s="38" t="s">
        <v>318</v>
      </c>
    </row>
    <row r="583" spans="1:6" x14ac:dyDescent="0.25">
      <c r="A583" s="3">
        <f t="shared" si="90"/>
        <v>5821</v>
      </c>
      <c r="B583" s="3">
        <f t="shared" si="89"/>
        <v>5839</v>
      </c>
      <c r="C583" s="6">
        <v>19</v>
      </c>
      <c r="D583" s="23" t="s">
        <v>270</v>
      </c>
      <c r="E583" s="16" t="s">
        <v>268</v>
      </c>
      <c r="F583" s="38" t="s">
        <v>269</v>
      </c>
    </row>
    <row r="584" spans="1:6" x14ac:dyDescent="0.25">
      <c r="A584" s="6"/>
      <c r="B584" s="6"/>
      <c r="C584" s="6"/>
    </row>
    <row r="585" spans="1:6" x14ac:dyDescent="0.25">
      <c r="B585" s="25">
        <f>B583</f>
        <v>5839</v>
      </c>
    </row>
  </sheetData>
  <mergeCells count="39">
    <mergeCell ref="E288:E301"/>
    <mergeCell ref="E277:E279"/>
    <mergeCell ref="F333:F335"/>
    <mergeCell ref="F277:F279"/>
    <mergeCell ref="E449:E451"/>
    <mergeCell ref="F449:F451"/>
    <mergeCell ref="F525:F538"/>
    <mergeCell ref="F514:F516"/>
    <mergeCell ref="F389:F391"/>
    <mergeCell ref="E400:E413"/>
    <mergeCell ref="F400:F413"/>
    <mergeCell ref="E514:E516"/>
    <mergeCell ref="F460:F473"/>
    <mergeCell ref="E525:E538"/>
    <mergeCell ref="E389:E391"/>
    <mergeCell ref="E460:E473"/>
    <mergeCell ref="A1:E1"/>
    <mergeCell ref="F16:F18"/>
    <mergeCell ref="E55:E57"/>
    <mergeCell ref="F37:F42"/>
    <mergeCell ref="F55:F57"/>
    <mergeCell ref="F21:F23"/>
    <mergeCell ref="F6:F7"/>
    <mergeCell ref="E79:E80"/>
    <mergeCell ref="E67:E78"/>
    <mergeCell ref="E228:E229"/>
    <mergeCell ref="E216:E227"/>
    <mergeCell ref="F344:F357"/>
    <mergeCell ref="E344:E357"/>
    <mergeCell ref="F67:F82"/>
    <mergeCell ref="F131:F133"/>
    <mergeCell ref="F288:F301"/>
    <mergeCell ref="E131:E133"/>
    <mergeCell ref="E205:E207"/>
    <mergeCell ref="E143:E156"/>
    <mergeCell ref="F205:F207"/>
    <mergeCell ref="F216:F231"/>
    <mergeCell ref="F143:F156"/>
    <mergeCell ref="E333:E335"/>
  </mergeCells>
  <printOptions headings="1" gridLines="1"/>
  <pageMargins left="0.25" right="0.25" top="0.75" bottom="0.75" header="0.3" footer="0.3"/>
  <pageSetup paperSize="5" fitToHeight="0" orientation="landscape" r:id="rId1"/>
  <headerFooter>
    <oddFooter>&amp;L&amp;"Arial,Regular"&amp;10R = Registration     I = In-window     P = Post-window     H = History     A = Accountability&amp;C&amp;"Arial,Regular"&amp;10Page &amp;P of &amp;N&amp;RLast Saved Date: 7/9/2018 4:18:26 PM</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3"/>
  <sheetViews>
    <sheetView workbookViewId="0">
      <selection activeCell="B10" sqref="B10"/>
    </sheetView>
  </sheetViews>
  <sheetFormatPr defaultRowHeight="15" x14ac:dyDescent="0.25"/>
  <cols>
    <col min="1" max="1" width="10.7109375" bestFit="1" customWidth="1"/>
    <col min="2" max="2" width="66.5703125" style="29" customWidth="1"/>
    <col min="3" max="3" width="20.28515625" customWidth="1"/>
  </cols>
  <sheetData>
    <row r="1" spans="1:3" x14ac:dyDescent="0.25">
      <c r="A1" s="82" t="s">
        <v>182</v>
      </c>
      <c r="B1" s="82"/>
      <c r="C1" s="82"/>
    </row>
    <row r="2" spans="1:3" ht="25.5" x14ac:dyDescent="0.25">
      <c r="A2" s="18" t="s">
        <v>183</v>
      </c>
      <c r="B2" s="19" t="s">
        <v>184</v>
      </c>
      <c r="C2" s="20" t="s">
        <v>185</v>
      </c>
    </row>
    <row r="3" spans="1:3" x14ac:dyDescent="0.25">
      <c r="A3" s="26">
        <v>43290</v>
      </c>
      <c r="B3" s="28" t="s">
        <v>524</v>
      </c>
      <c r="C3" s="27" t="s">
        <v>258</v>
      </c>
    </row>
  </sheetData>
  <mergeCells count="1">
    <mergeCell ref="A1:C1"/>
  </mergeCells>
  <pageMargins left="0.7" right="0.7" top="0.75" bottom="0.75" header="0.3" footer="0.3"/>
  <pageSetup orientation="portrait" r:id="rId1"/>
  <headerFooter>
    <oddFooter>&amp;RLast Saved Date: 4/25/2018 4:50:44 PM</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I585"/>
  <sheetViews>
    <sheetView topLeftCell="A36" zoomScale="75" zoomScaleNormal="75" zoomScaleSheetLayoutView="100" workbookViewId="0">
      <selection activeCell="F54" sqref="F54"/>
    </sheetView>
  </sheetViews>
  <sheetFormatPr defaultColWidth="9.28515625" defaultRowHeight="12.75" x14ac:dyDescent="0.25"/>
  <cols>
    <col min="1" max="1" width="10.140625" style="25" customWidth="1"/>
    <col min="2" max="4" width="10.42578125" style="25" customWidth="1"/>
    <col min="5" max="5" width="10.140625" style="25" customWidth="1"/>
    <col min="6" max="6" width="40" style="23" customWidth="1"/>
    <col min="7" max="7" width="9.28515625" style="6"/>
    <col min="8" max="16384" width="9.28515625" style="4"/>
  </cols>
  <sheetData>
    <row r="1" spans="1:9" ht="20.25" x14ac:dyDescent="0.3">
      <c r="A1" s="76" t="s">
        <v>443</v>
      </c>
      <c r="B1" s="76"/>
      <c r="C1" s="76"/>
      <c r="D1" s="76"/>
      <c r="E1" s="76"/>
      <c r="F1" s="76"/>
    </row>
    <row r="2" spans="1:9" s="8" customFormat="1" ht="25.5" x14ac:dyDescent="0.2">
      <c r="A2" s="1" t="s">
        <v>304</v>
      </c>
      <c r="B2" s="1" t="s">
        <v>30</v>
      </c>
      <c r="C2" s="1" t="s">
        <v>662</v>
      </c>
      <c r="D2" s="1" t="s">
        <v>663</v>
      </c>
      <c r="E2" s="69" t="s">
        <v>31</v>
      </c>
      <c r="F2" s="24" t="s">
        <v>526</v>
      </c>
      <c r="G2" s="70" t="s">
        <v>664</v>
      </c>
      <c r="H2" s="8" t="s">
        <v>665</v>
      </c>
      <c r="I2" s="8" t="s">
        <v>666</v>
      </c>
    </row>
    <row r="3" spans="1:9" s="8" customFormat="1" x14ac:dyDescent="0.2">
      <c r="A3" s="3">
        <v>1</v>
      </c>
      <c r="B3" s="3">
        <f>A3+E3-1</f>
        <v>4</v>
      </c>
      <c r="C3" s="3">
        <f>A3-1</f>
        <v>0</v>
      </c>
      <c r="D3" s="3">
        <f>B3-1</f>
        <v>3</v>
      </c>
      <c r="E3" s="3">
        <v>4</v>
      </c>
      <c r="F3" s="21" t="s">
        <v>527</v>
      </c>
      <c r="I3" s="8" t="str">
        <f>CONCATENATE(F3," ",C3,"-",D3," A",E3)</f>
        <v>TestDateYear 0-3 A4</v>
      </c>
    </row>
    <row r="4" spans="1:9" x14ac:dyDescent="0.2">
      <c r="A4" s="3">
        <f>A3+E3</f>
        <v>5</v>
      </c>
      <c r="B4" s="3">
        <f>A4+E4-1</f>
        <v>6</v>
      </c>
      <c r="C4" s="3">
        <f t="shared" ref="C4:C67" si="0">A4-1</f>
        <v>4</v>
      </c>
      <c r="D4" s="3">
        <f t="shared" ref="D4:D67" si="1">B4-1</f>
        <v>5</v>
      </c>
      <c r="E4" s="3">
        <v>2</v>
      </c>
      <c r="F4" s="21" t="s">
        <v>528</v>
      </c>
      <c r="G4" s="4"/>
      <c r="I4" s="8" t="str">
        <f t="shared" ref="I4:I65" si="2">CONCATENATE(F4," ",C4,"-",D4," A",E4)</f>
        <v>TestDateMonth 4-5 A2</v>
      </c>
    </row>
    <row r="5" spans="1:9" x14ac:dyDescent="0.2">
      <c r="A5" s="3"/>
      <c r="B5" s="3"/>
      <c r="C5" s="3"/>
      <c r="D5" s="3"/>
      <c r="E5" s="3"/>
      <c r="F5" s="22" t="s">
        <v>702</v>
      </c>
      <c r="G5" s="4"/>
      <c r="I5" s="8"/>
    </row>
    <row r="6" spans="1:9" ht="43.5" customHeight="1" x14ac:dyDescent="0.2">
      <c r="A6" s="3">
        <f>A4+E4</f>
        <v>7</v>
      </c>
      <c r="B6" s="3">
        <f t="shared" ref="B6:B14" si="3">A6+E6-1</f>
        <v>9</v>
      </c>
      <c r="C6" s="3">
        <f t="shared" si="0"/>
        <v>6</v>
      </c>
      <c r="D6" s="3">
        <f t="shared" si="1"/>
        <v>8</v>
      </c>
      <c r="E6" s="3">
        <v>3</v>
      </c>
      <c r="F6" s="21" t="s">
        <v>529</v>
      </c>
      <c r="G6" s="4"/>
      <c r="I6" s="8" t="str">
        <f t="shared" si="2"/>
        <v>DistrictCode 6-8 A3</v>
      </c>
    </row>
    <row r="7" spans="1:9" ht="43.5" customHeight="1" x14ac:dyDescent="0.2">
      <c r="A7" s="3">
        <f t="shared" ref="A7:A14" si="4">A6+E6</f>
        <v>10</v>
      </c>
      <c r="B7" s="3">
        <f t="shared" si="3"/>
        <v>12</v>
      </c>
      <c r="C7" s="3">
        <f t="shared" si="0"/>
        <v>9</v>
      </c>
      <c r="D7" s="3">
        <f t="shared" si="1"/>
        <v>11</v>
      </c>
      <c r="E7" s="3">
        <v>3</v>
      </c>
      <c r="F7" s="21" t="s">
        <v>530</v>
      </c>
      <c r="G7" s="4"/>
      <c r="I7" s="8" t="str">
        <f t="shared" si="2"/>
        <v>SchoolCode 9-11 A3</v>
      </c>
    </row>
    <row r="8" spans="1:9" x14ac:dyDescent="0.2">
      <c r="A8" s="3">
        <f t="shared" si="4"/>
        <v>13</v>
      </c>
      <c r="B8" s="3">
        <f t="shared" si="3"/>
        <v>52</v>
      </c>
      <c r="C8" s="3">
        <f t="shared" si="0"/>
        <v>12</v>
      </c>
      <c r="D8" s="3">
        <f t="shared" si="1"/>
        <v>51</v>
      </c>
      <c r="E8" s="3">
        <v>40</v>
      </c>
      <c r="F8" s="21" t="s">
        <v>531</v>
      </c>
      <c r="G8" s="4"/>
      <c r="I8" s="8" t="str">
        <f t="shared" si="2"/>
        <v>DistrictName 12-51 A40</v>
      </c>
    </row>
    <row r="9" spans="1:9" x14ac:dyDescent="0.2">
      <c r="A9" s="3">
        <f t="shared" si="4"/>
        <v>53</v>
      </c>
      <c r="B9" s="3">
        <f t="shared" si="3"/>
        <v>92</v>
      </c>
      <c r="C9" s="3">
        <f t="shared" si="0"/>
        <v>52</v>
      </c>
      <c r="D9" s="3">
        <f t="shared" si="1"/>
        <v>91</v>
      </c>
      <c r="E9" s="3">
        <v>40</v>
      </c>
      <c r="F9" s="21" t="s">
        <v>532</v>
      </c>
      <c r="G9" s="4"/>
      <c r="I9" s="8" t="str">
        <f t="shared" si="2"/>
        <v>SchoolName 52-91 A40</v>
      </c>
    </row>
    <row r="10" spans="1:9" x14ac:dyDescent="0.2">
      <c r="A10" s="3">
        <f t="shared" si="4"/>
        <v>93</v>
      </c>
      <c r="B10" s="3">
        <f t="shared" si="3"/>
        <v>98</v>
      </c>
      <c r="C10" s="3">
        <f t="shared" si="0"/>
        <v>92</v>
      </c>
      <c r="D10" s="3">
        <f t="shared" si="1"/>
        <v>97</v>
      </c>
      <c r="E10" s="3">
        <v>6</v>
      </c>
      <c r="F10" s="21" t="s">
        <v>533</v>
      </c>
      <c r="G10" s="4"/>
      <c r="I10" s="8" t="str">
        <f t="shared" si="2"/>
        <v>DistrictReportingRolledUpCode 92-97 A6</v>
      </c>
    </row>
    <row r="11" spans="1:9" ht="199.5" customHeight="1" x14ac:dyDescent="0.2">
      <c r="A11" s="3">
        <f t="shared" si="4"/>
        <v>99</v>
      </c>
      <c r="B11" s="3">
        <f t="shared" si="3"/>
        <v>100</v>
      </c>
      <c r="C11" s="3">
        <f t="shared" si="0"/>
        <v>98</v>
      </c>
      <c r="D11" s="3">
        <f t="shared" si="1"/>
        <v>99</v>
      </c>
      <c r="E11" s="3">
        <v>2</v>
      </c>
      <c r="F11" s="21" t="s">
        <v>534</v>
      </c>
      <c r="G11" s="4"/>
      <c r="I11" s="8" t="str">
        <f t="shared" si="2"/>
        <v>SchoolType 98-99 A2</v>
      </c>
    </row>
    <row r="12" spans="1:9" ht="95.25" customHeight="1" x14ac:dyDescent="0.2">
      <c r="A12" s="3">
        <f t="shared" si="4"/>
        <v>101</v>
      </c>
      <c r="B12" s="3">
        <f t="shared" si="3"/>
        <v>101</v>
      </c>
      <c r="C12" s="3">
        <f t="shared" si="0"/>
        <v>100</v>
      </c>
      <c r="D12" s="3">
        <f t="shared" si="1"/>
        <v>100</v>
      </c>
      <c r="E12" s="3">
        <v>1</v>
      </c>
      <c r="F12" s="21" t="s">
        <v>535</v>
      </c>
      <c r="G12" s="4"/>
      <c r="I12" s="8" t="str">
        <f t="shared" si="2"/>
        <v>CharterSchoolType 100-100 A1</v>
      </c>
    </row>
    <row r="13" spans="1:9" x14ac:dyDescent="0.2">
      <c r="A13" s="6">
        <f t="shared" si="4"/>
        <v>102</v>
      </c>
      <c r="B13" s="30">
        <f t="shared" si="3"/>
        <v>102</v>
      </c>
      <c r="C13" s="3">
        <f t="shared" si="0"/>
        <v>101</v>
      </c>
      <c r="D13" s="3">
        <f t="shared" si="1"/>
        <v>101</v>
      </c>
      <c r="E13" s="6">
        <v>1</v>
      </c>
      <c r="F13" s="31" t="s">
        <v>536</v>
      </c>
      <c r="G13" s="4"/>
      <c r="I13" s="8" t="str">
        <f t="shared" si="2"/>
        <v>RolluptoState 101-101 A1</v>
      </c>
    </row>
    <row r="14" spans="1:9" x14ac:dyDescent="0.2">
      <c r="A14" s="3">
        <f t="shared" si="4"/>
        <v>103</v>
      </c>
      <c r="B14" s="3">
        <f t="shared" si="3"/>
        <v>117</v>
      </c>
      <c r="C14" s="3">
        <f t="shared" si="0"/>
        <v>102</v>
      </c>
      <c r="D14" s="3">
        <f t="shared" si="1"/>
        <v>116</v>
      </c>
      <c r="E14" s="3">
        <v>15</v>
      </c>
      <c r="F14" s="21" t="str">
        <f>CONCATENATE(H14,G14)</f>
        <v>FILLER1</v>
      </c>
      <c r="G14" s="6">
        <v>1</v>
      </c>
      <c r="H14" s="4" t="s">
        <v>39</v>
      </c>
      <c r="I14" s="8" t="str">
        <f t="shared" si="2"/>
        <v>FILLER1 102-116 A15</v>
      </c>
    </row>
    <row r="15" spans="1:9" x14ac:dyDescent="0.2">
      <c r="A15" s="3"/>
      <c r="B15" s="3"/>
      <c r="C15" s="3"/>
      <c r="D15" s="3"/>
      <c r="E15" s="7"/>
      <c r="F15" s="22" t="s">
        <v>667</v>
      </c>
      <c r="G15" s="4"/>
      <c r="I15" s="8"/>
    </row>
    <row r="16" spans="1:9" ht="55.5" customHeight="1" x14ac:dyDescent="0.2">
      <c r="A16" s="3">
        <f>A14+E14</f>
        <v>118</v>
      </c>
      <c r="B16" s="3">
        <f t="shared" ref="B16:B50" si="5">A16+E16-1</f>
        <v>137</v>
      </c>
      <c r="C16" s="3">
        <f t="shared" si="0"/>
        <v>117</v>
      </c>
      <c r="D16" s="3">
        <f t="shared" si="1"/>
        <v>136</v>
      </c>
      <c r="E16" s="3">
        <v>20</v>
      </c>
      <c r="F16" s="21" t="s">
        <v>537</v>
      </c>
      <c r="G16" s="4"/>
      <c r="I16" s="8" t="str">
        <f t="shared" si="2"/>
        <v>StudentLastName 117-136 A20</v>
      </c>
    </row>
    <row r="17" spans="1:9" ht="56.25" customHeight="1" x14ac:dyDescent="0.2">
      <c r="A17" s="3">
        <f t="shared" ref="A17:A50" si="6">A16+E16</f>
        <v>138</v>
      </c>
      <c r="B17" s="3">
        <f t="shared" si="5"/>
        <v>152</v>
      </c>
      <c r="C17" s="3">
        <f t="shared" si="0"/>
        <v>137</v>
      </c>
      <c r="D17" s="3">
        <f t="shared" si="1"/>
        <v>151</v>
      </c>
      <c r="E17" s="3">
        <v>15</v>
      </c>
      <c r="F17" s="21" t="s">
        <v>538</v>
      </c>
      <c r="G17" s="4"/>
      <c r="I17" s="8" t="str">
        <f t="shared" si="2"/>
        <v>StudentFirstName 137-151 A15</v>
      </c>
    </row>
    <row r="18" spans="1:9" ht="56.25" customHeight="1" x14ac:dyDescent="0.2">
      <c r="A18" s="3">
        <f t="shared" si="6"/>
        <v>153</v>
      </c>
      <c r="B18" s="3">
        <f t="shared" si="5"/>
        <v>153</v>
      </c>
      <c r="C18" s="3">
        <f t="shared" si="0"/>
        <v>152</v>
      </c>
      <c r="D18" s="3">
        <f t="shared" si="1"/>
        <v>152</v>
      </c>
      <c r="E18" s="3">
        <v>1</v>
      </c>
      <c r="F18" s="21" t="s">
        <v>539</v>
      </c>
      <c r="G18" s="4"/>
      <c r="I18" s="8" t="str">
        <f t="shared" si="2"/>
        <v>StudentMiddleInitial 152-152 A1</v>
      </c>
    </row>
    <row r="19" spans="1:9" x14ac:dyDescent="0.2">
      <c r="A19" s="3">
        <f t="shared" si="6"/>
        <v>154</v>
      </c>
      <c r="B19" s="3">
        <f t="shared" si="5"/>
        <v>163</v>
      </c>
      <c r="C19" s="3">
        <f t="shared" si="0"/>
        <v>153</v>
      </c>
      <c r="D19" s="3">
        <f t="shared" si="1"/>
        <v>162</v>
      </c>
      <c r="E19" s="3">
        <v>10</v>
      </c>
      <c r="F19" s="9" t="s">
        <v>42</v>
      </c>
      <c r="G19" s="4"/>
      <c r="I19" s="8" t="str">
        <f t="shared" si="2"/>
        <v>LASID 153-162 A10</v>
      </c>
    </row>
    <row r="20" spans="1:9" x14ac:dyDescent="0.2">
      <c r="A20" s="3">
        <f t="shared" si="6"/>
        <v>164</v>
      </c>
      <c r="B20" s="3">
        <f t="shared" si="5"/>
        <v>169</v>
      </c>
      <c r="C20" s="3">
        <f t="shared" si="0"/>
        <v>163</v>
      </c>
      <c r="D20" s="3">
        <f t="shared" si="1"/>
        <v>168</v>
      </c>
      <c r="E20" s="3">
        <v>6</v>
      </c>
      <c r="F20" s="21" t="str">
        <f>CONCATENATE(H20,G20)</f>
        <v>FILLER2</v>
      </c>
      <c r="G20" s="6">
        <v>2</v>
      </c>
      <c r="H20" s="4" t="s">
        <v>39</v>
      </c>
      <c r="I20" s="8" t="str">
        <f t="shared" si="2"/>
        <v>FILLER2 163-168 A6</v>
      </c>
    </row>
    <row r="21" spans="1:9" ht="61.5" customHeight="1" x14ac:dyDescent="0.2">
      <c r="A21" s="3">
        <f t="shared" si="6"/>
        <v>170</v>
      </c>
      <c r="B21" s="3">
        <f t="shared" si="5"/>
        <v>171</v>
      </c>
      <c r="C21" s="3">
        <f t="shared" si="0"/>
        <v>169</v>
      </c>
      <c r="D21" s="3">
        <f t="shared" si="1"/>
        <v>170</v>
      </c>
      <c r="E21" s="3">
        <v>2</v>
      </c>
      <c r="F21" s="13" t="s">
        <v>540</v>
      </c>
      <c r="G21" s="4"/>
      <c r="I21" s="8" t="str">
        <f t="shared" si="2"/>
        <v>DOBMonth 169-170 A2</v>
      </c>
    </row>
    <row r="22" spans="1:9" ht="60" customHeight="1" x14ac:dyDescent="0.2">
      <c r="A22" s="3">
        <f t="shared" si="6"/>
        <v>172</v>
      </c>
      <c r="B22" s="3">
        <f t="shared" si="5"/>
        <v>173</v>
      </c>
      <c r="C22" s="3">
        <f t="shared" si="0"/>
        <v>171</v>
      </c>
      <c r="D22" s="3">
        <f t="shared" si="1"/>
        <v>172</v>
      </c>
      <c r="E22" s="3">
        <v>2</v>
      </c>
      <c r="F22" s="13" t="s">
        <v>541</v>
      </c>
      <c r="G22" s="4"/>
      <c r="I22" s="8" t="str">
        <f t="shared" si="2"/>
        <v>DOBDay 171-172 A2</v>
      </c>
    </row>
    <row r="23" spans="1:9" ht="60" customHeight="1" x14ac:dyDescent="0.2">
      <c r="A23" s="3">
        <f t="shared" si="6"/>
        <v>174</v>
      </c>
      <c r="B23" s="3">
        <f t="shared" si="5"/>
        <v>177</v>
      </c>
      <c r="C23" s="3">
        <f t="shared" si="0"/>
        <v>173</v>
      </c>
      <c r="D23" s="3">
        <f t="shared" si="1"/>
        <v>176</v>
      </c>
      <c r="E23" s="3">
        <v>4</v>
      </c>
      <c r="F23" s="21" t="s">
        <v>542</v>
      </c>
      <c r="G23" s="4"/>
      <c r="I23" s="8" t="str">
        <f t="shared" si="2"/>
        <v>DOBYear 173-176 A4</v>
      </c>
    </row>
    <row r="24" spans="1:9" ht="108" customHeight="1" x14ac:dyDescent="0.2">
      <c r="A24" s="3">
        <f t="shared" si="6"/>
        <v>178</v>
      </c>
      <c r="B24" s="3">
        <f t="shared" si="5"/>
        <v>179</v>
      </c>
      <c r="C24" s="3">
        <f t="shared" si="0"/>
        <v>177</v>
      </c>
      <c r="D24" s="3">
        <f t="shared" si="1"/>
        <v>178</v>
      </c>
      <c r="E24" s="3">
        <v>2</v>
      </c>
      <c r="F24" s="21" t="s">
        <v>543</v>
      </c>
      <c r="G24" s="4"/>
      <c r="I24" s="8" t="str">
        <f t="shared" si="2"/>
        <v>ReportingGrade 177-178 A2</v>
      </c>
    </row>
    <row r="25" spans="1:9" x14ac:dyDescent="0.2">
      <c r="A25" s="3">
        <f t="shared" si="6"/>
        <v>180</v>
      </c>
      <c r="B25" s="3">
        <f t="shared" si="5"/>
        <v>191</v>
      </c>
      <c r="C25" s="3">
        <f t="shared" si="0"/>
        <v>179</v>
      </c>
      <c r="D25" s="3">
        <f t="shared" si="1"/>
        <v>190</v>
      </c>
      <c r="E25" s="3">
        <v>12</v>
      </c>
      <c r="F25" s="21" t="str">
        <f>CONCATENATE(H25,G25)</f>
        <v>FILLER3</v>
      </c>
      <c r="G25" s="6">
        <v>3</v>
      </c>
      <c r="H25" s="4" t="s">
        <v>39</v>
      </c>
      <c r="I25" s="8" t="str">
        <f t="shared" si="2"/>
        <v>FILLER3 179-190 A12</v>
      </c>
    </row>
    <row r="26" spans="1:9" x14ac:dyDescent="0.2">
      <c r="A26" s="3">
        <f t="shared" si="6"/>
        <v>192</v>
      </c>
      <c r="B26" s="3">
        <f t="shared" si="5"/>
        <v>192</v>
      </c>
      <c r="C26" s="3">
        <f t="shared" si="0"/>
        <v>191</v>
      </c>
      <c r="D26" s="3">
        <f t="shared" si="1"/>
        <v>191</v>
      </c>
      <c r="E26" s="3">
        <v>1</v>
      </c>
      <c r="F26" s="21" t="s">
        <v>544</v>
      </c>
      <c r="G26" s="4"/>
      <c r="I26" s="8" t="str">
        <f t="shared" si="2"/>
        <v>ReportingGender 191-191 A1</v>
      </c>
    </row>
    <row r="27" spans="1:9" x14ac:dyDescent="0.2">
      <c r="A27" s="3">
        <f t="shared" si="6"/>
        <v>193</v>
      </c>
      <c r="B27" s="3">
        <f t="shared" si="5"/>
        <v>193</v>
      </c>
      <c r="C27" s="3">
        <f t="shared" si="0"/>
        <v>192</v>
      </c>
      <c r="D27" s="3">
        <f t="shared" si="1"/>
        <v>192</v>
      </c>
      <c r="E27" s="3">
        <v>1</v>
      </c>
      <c r="F27" s="21" t="s">
        <v>545</v>
      </c>
      <c r="G27" s="4"/>
      <c r="I27" s="8" t="str">
        <f t="shared" si="2"/>
        <v>EconomicallyDisadvantagedStatus 192-192 A1</v>
      </c>
    </row>
    <row r="28" spans="1:9" x14ac:dyDescent="0.2">
      <c r="A28" s="3">
        <f t="shared" si="6"/>
        <v>194</v>
      </c>
      <c r="B28" s="3">
        <f t="shared" si="5"/>
        <v>194</v>
      </c>
      <c r="C28" s="3">
        <f t="shared" si="0"/>
        <v>193</v>
      </c>
      <c r="D28" s="3">
        <f t="shared" si="1"/>
        <v>193</v>
      </c>
      <c r="E28" s="3">
        <v>1</v>
      </c>
      <c r="F28" s="13" t="s">
        <v>546</v>
      </c>
      <c r="G28" s="4"/>
      <c r="I28" s="8" t="str">
        <f t="shared" si="2"/>
        <v>ReportingMigrantStatus 193-193 A1</v>
      </c>
    </row>
    <row r="29" spans="1:9" x14ac:dyDescent="0.2">
      <c r="A29" s="3">
        <f t="shared" si="6"/>
        <v>195</v>
      </c>
      <c r="B29" s="3">
        <f t="shared" si="5"/>
        <v>195</v>
      </c>
      <c r="C29" s="3">
        <f t="shared" si="0"/>
        <v>194</v>
      </c>
      <c r="D29" s="3">
        <f t="shared" si="1"/>
        <v>194</v>
      </c>
      <c r="E29" s="3">
        <v>1</v>
      </c>
      <c r="F29" s="13" t="s">
        <v>547</v>
      </c>
      <c r="G29" s="4"/>
      <c r="I29" s="8" t="str">
        <f t="shared" si="2"/>
        <v>ReportingEducationClassification 194-194 A1</v>
      </c>
    </row>
    <row r="30" spans="1:9" x14ac:dyDescent="0.2">
      <c r="A30" s="3">
        <f t="shared" si="6"/>
        <v>196</v>
      </c>
      <c r="B30" s="3">
        <f t="shared" si="5"/>
        <v>196</v>
      </c>
      <c r="C30" s="3">
        <f t="shared" si="0"/>
        <v>195</v>
      </c>
      <c r="D30" s="3">
        <f t="shared" si="1"/>
        <v>195</v>
      </c>
      <c r="E30" s="3">
        <v>1</v>
      </c>
      <c r="F30" s="21" t="str">
        <f>CONCATENATE(H30,G30)</f>
        <v>FILLER4</v>
      </c>
      <c r="G30" s="6">
        <v>4</v>
      </c>
      <c r="H30" s="4" t="s">
        <v>39</v>
      </c>
      <c r="I30" s="8" t="str">
        <f t="shared" si="2"/>
        <v>FILLER4 195-195 A1</v>
      </c>
    </row>
    <row r="31" spans="1:9" x14ac:dyDescent="0.2">
      <c r="A31" s="3">
        <f t="shared" si="6"/>
        <v>197</v>
      </c>
      <c r="B31" s="3">
        <f t="shared" si="5"/>
        <v>198</v>
      </c>
      <c r="C31" s="3">
        <f t="shared" si="0"/>
        <v>196</v>
      </c>
      <c r="D31" s="3">
        <f t="shared" si="1"/>
        <v>197</v>
      </c>
      <c r="E31" s="3">
        <v>2</v>
      </c>
      <c r="F31" s="13" t="s">
        <v>548</v>
      </c>
      <c r="G31" s="4"/>
      <c r="I31" s="8" t="str">
        <f t="shared" si="2"/>
        <v>ReportingLEPStatus 196-197 A2</v>
      </c>
    </row>
    <row r="32" spans="1:9" x14ac:dyDescent="0.2">
      <c r="A32" s="3">
        <f t="shared" si="6"/>
        <v>199</v>
      </c>
      <c r="B32" s="3">
        <f t="shared" si="5"/>
        <v>200</v>
      </c>
      <c r="C32" s="3">
        <f t="shared" si="0"/>
        <v>198</v>
      </c>
      <c r="D32" s="3">
        <f t="shared" si="1"/>
        <v>199</v>
      </c>
      <c r="E32" s="3">
        <v>2</v>
      </c>
      <c r="F32" s="21" t="str">
        <f>CONCATENATE(H32,G32)</f>
        <v>FILLER5</v>
      </c>
      <c r="G32" s="6">
        <v>5</v>
      </c>
      <c r="H32" s="4" t="s">
        <v>39</v>
      </c>
      <c r="I32" s="8" t="str">
        <f t="shared" si="2"/>
        <v>FILLER5 198-199 A2</v>
      </c>
    </row>
    <row r="33" spans="1:9" x14ac:dyDescent="0.2">
      <c r="A33" s="3">
        <f t="shared" si="6"/>
        <v>201</v>
      </c>
      <c r="B33" s="3">
        <f t="shared" si="5"/>
        <v>201</v>
      </c>
      <c r="C33" s="3">
        <f t="shared" si="0"/>
        <v>200</v>
      </c>
      <c r="D33" s="3">
        <f t="shared" si="1"/>
        <v>200</v>
      </c>
      <c r="E33" s="3">
        <v>1</v>
      </c>
      <c r="F33" s="13" t="s">
        <v>549</v>
      </c>
      <c r="G33" s="4"/>
      <c r="I33" s="8" t="str">
        <f t="shared" si="2"/>
        <v>ReportingSection504Code 200-200 A1</v>
      </c>
    </row>
    <row r="34" spans="1:9" x14ac:dyDescent="0.2">
      <c r="A34" s="3">
        <f t="shared" si="6"/>
        <v>202</v>
      </c>
      <c r="B34" s="3">
        <f t="shared" si="5"/>
        <v>202</v>
      </c>
      <c r="C34" s="3">
        <f t="shared" si="0"/>
        <v>201</v>
      </c>
      <c r="D34" s="3">
        <f t="shared" si="1"/>
        <v>201</v>
      </c>
      <c r="E34" s="3">
        <v>1</v>
      </c>
      <c r="F34" s="21" t="str">
        <f>CONCATENATE(H34,G34)</f>
        <v>FILLER6</v>
      </c>
      <c r="G34" s="6">
        <v>6</v>
      </c>
      <c r="H34" s="4" t="s">
        <v>39</v>
      </c>
      <c r="I34" s="8" t="str">
        <f t="shared" si="2"/>
        <v>FILLER6 201-201 A1</v>
      </c>
    </row>
    <row r="35" spans="1:9" ht="320.45" customHeight="1" x14ac:dyDescent="0.2">
      <c r="A35" s="3">
        <f t="shared" si="6"/>
        <v>203</v>
      </c>
      <c r="B35" s="3">
        <f t="shared" si="5"/>
        <v>204</v>
      </c>
      <c r="C35" s="3">
        <f t="shared" si="0"/>
        <v>202</v>
      </c>
      <c r="D35" s="3">
        <f t="shared" si="1"/>
        <v>203</v>
      </c>
      <c r="E35" s="3">
        <v>2</v>
      </c>
      <c r="F35" s="13" t="s">
        <v>550</v>
      </c>
      <c r="G35" s="4"/>
      <c r="I35" s="8" t="str">
        <f t="shared" si="2"/>
        <v>ReportingExceptionalityCategory 202-203 A2</v>
      </c>
    </row>
    <row r="36" spans="1:9" ht="21" customHeight="1" x14ac:dyDescent="0.2">
      <c r="A36" s="3">
        <f t="shared" si="6"/>
        <v>205</v>
      </c>
      <c r="B36" s="3">
        <f t="shared" si="5"/>
        <v>206</v>
      </c>
      <c r="C36" s="3">
        <f t="shared" si="0"/>
        <v>204</v>
      </c>
      <c r="D36" s="3">
        <f t="shared" si="1"/>
        <v>205</v>
      </c>
      <c r="E36" s="3">
        <v>2</v>
      </c>
      <c r="F36" s="21" t="str">
        <f>CONCATENATE(H36,G36)</f>
        <v>FILLER7</v>
      </c>
      <c r="G36" s="6">
        <v>7</v>
      </c>
      <c r="H36" s="4" t="s">
        <v>39</v>
      </c>
      <c r="I36" s="8" t="str">
        <f t="shared" si="2"/>
        <v>FILLER7 204-205 A2</v>
      </c>
    </row>
    <row r="37" spans="1:9" ht="25.5" customHeight="1" x14ac:dyDescent="0.2">
      <c r="A37" s="3">
        <f t="shared" si="6"/>
        <v>207</v>
      </c>
      <c r="B37" s="3">
        <f t="shared" si="5"/>
        <v>207</v>
      </c>
      <c r="C37" s="3">
        <f t="shared" si="0"/>
        <v>206</v>
      </c>
      <c r="D37" s="3">
        <f t="shared" si="1"/>
        <v>206</v>
      </c>
      <c r="E37" s="3">
        <v>1</v>
      </c>
      <c r="F37" s="21" t="s">
        <v>6</v>
      </c>
      <c r="G37" s="4"/>
      <c r="I37" s="8" t="str">
        <f t="shared" si="2"/>
        <v>Hispanic 206-206 A1</v>
      </c>
    </row>
    <row r="38" spans="1:9" x14ac:dyDescent="0.2">
      <c r="A38" s="3">
        <f t="shared" si="6"/>
        <v>208</v>
      </c>
      <c r="B38" s="3">
        <f t="shared" si="5"/>
        <v>208</v>
      </c>
      <c r="C38" s="3">
        <f t="shared" si="0"/>
        <v>207</v>
      </c>
      <c r="D38" s="3">
        <f t="shared" si="1"/>
        <v>207</v>
      </c>
      <c r="E38" s="3">
        <v>1</v>
      </c>
      <c r="F38" s="21" t="s">
        <v>551</v>
      </c>
      <c r="G38" s="4"/>
      <c r="I38" s="8" t="str">
        <f t="shared" si="2"/>
        <v>AmericanIndianorAlaskaNative 207-207 A1</v>
      </c>
    </row>
    <row r="39" spans="1:9" x14ac:dyDescent="0.2">
      <c r="A39" s="3">
        <f t="shared" si="6"/>
        <v>209</v>
      </c>
      <c r="B39" s="3">
        <f t="shared" si="5"/>
        <v>209</v>
      </c>
      <c r="C39" s="3">
        <f t="shared" si="0"/>
        <v>208</v>
      </c>
      <c r="D39" s="3">
        <f t="shared" si="1"/>
        <v>208</v>
      </c>
      <c r="E39" s="3">
        <v>1</v>
      </c>
      <c r="F39" s="21" t="s">
        <v>7</v>
      </c>
      <c r="G39" s="4"/>
      <c r="I39" s="8" t="str">
        <f t="shared" si="2"/>
        <v>Asian 208-208 A1</v>
      </c>
    </row>
    <row r="40" spans="1:9" x14ac:dyDescent="0.2">
      <c r="A40" s="3">
        <f t="shared" si="6"/>
        <v>210</v>
      </c>
      <c r="B40" s="3">
        <f t="shared" si="5"/>
        <v>210</v>
      </c>
      <c r="C40" s="3">
        <f t="shared" si="0"/>
        <v>209</v>
      </c>
      <c r="D40" s="3">
        <f t="shared" si="1"/>
        <v>209</v>
      </c>
      <c r="E40" s="3">
        <v>1</v>
      </c>
      <c r="F40" s="21" t="s">
        <v>8</v>
      </c>
      <c r="G40" s="4"/>
      <c r="I40" s="8" t="str">
        <f t="shared" si="2"/>
        <v>Black 209-209 A1</v>
      </c>
    </row>
    <row r="41" spans="1:9" x14ac:dyDescent="0.2">
      <c r="A41" s="3">
        <f t="shared" si="6"/>
        <v>211</v>
      </c>
      <c r="B41" s="3">
        <f t="shared" si="5"/>
        <v>211</v>
      </c>
      <c r="C41" s="3">
        <f t="shared" si="0"/>
        <v>210</v>
      </c>
      <c r="D41" s="3">
        <f t="shared" si="1"/>
        <v>210</v>
      </c>
      <c r="E41" s="3">
        <v>1</v>
      </c>
      <c r="F41" s="21" t="s">
        <v>552</v>
      </c>
      <c r="G41" s="4"/>
      <c r="I41" s="8" t="str">
        <f t="shared" si="2"/>
        <v>NativeHawaiianorotherPacificIslander 210-210 A1</v>
      </c>
    </row>
    <row r="42" spans="1:9" x14ac:dyDescent="0.2">
      <c r="A42" s="3">
        <f t="shared" si="6"/>
        <v>212</v>
      </c>
      <c r="B42" s="3">
        <f t="shared" si="5"/>
        <v>212</v>
      </c>
      <c r="C42" s="3">
        <f t="shared" si="0"/>
        <v>211</v>
      </c>
      <c r="D42" s="3">
        <f t="shared" si="1"/>
        <v>211</v>
      </c>
      <c r="E42" s="3">
        <v>1</v>
      </c>
      <c r="F42" s="21" t="s">
        <v>10</v>
      </c>
      <c r="G42" s="4"/>
      <c r="I42" s="8" t="str">
        <f t="shared" si="2"/>
        <v>White 211-211 A1</v>
      </c>
    </row>
    <row r="43" spans="1:9" x14ac:dyDescent="0.2">
      <c r="A43" s="3">
        <f t="shared" si="6"/>
        <v>213</v>
      </c>
      <c r="B43" s="3">
        <f t="shared" si="5"/>
        <v>213</v>
      </c>
      <c r="C43" s="3">
        <f t="shared" si="0"/>
        <v>212</v>
      </c>
      <c r="D43" s="3">
        <f t="shared" si="1"/>
        <v>212</v>
      </c>
      <c r="E43" s="3">
        <v>1</v>
      </c>
      <c r="F43" s="13" t="s">
        <v>553</v>
      </c>
      <c r="G43" s="4"/>
      <c r="I43" s="8" t="str">
        <f t="shared" si="2"/>
        <v>SummarizedEthnicityRace 212-212 A1</v>
      </c>
    </row>
    <row r="44" spans="1:9" x14ac:dyDescent="0.2">
      <c r="A44" s="3">
        <f t="shared" si="6"/>
        <v>214</v>
      </c>
      <c r="B44" s="3">
        <f t="shared" si="5"/>
        <v>214</v>
      </c>
      <c r="C44" s="3">
        <f t="shared" si="0"/>
        <v>213</v>
      </c>
      <c r="D44" s="3">
        <f t="shared" si="1"/>
        <v>213</v>
      </c>
      <c r="E44" s="3">
        <v>1</v>
      </c>
      <c r="F44" s="13" t="s">
        <v>701</v>
      </c>
      <c r="G44" s="4"/>
      <c r="I44" s="8" t="str">
        <f t="shared" si="2"/>
        <v>ReportingHomelessMcKinneyVentoFlag 213-213 A1</v>
      </c>
    </row>
    <row r="45" spans="1:9" x14ac:dyDescent="0.2">
      <c r="A45" s="3">
        <f t="shared" si="6"/>
        <v>215</v>
      </c>
      <c r="B45" s="3">
        <f t="shared" si="5"/>
        <v>215</v>
      </c>
      <c r="C45" s="3">
        <f t="shared" si="0"/>
        <v>214</v>
      </c>
      <c r="D45" s="3">
        <f t="shared" si="1"/>
        <v>214</v>
      </c>
      <c r="E45" s="3">
        <v>1</v>
      </c>
      <c r="F45" s="21" t="s">
        <v>703</v>
      </c>
      <c r="G45" s="4"/>
      <c r="I45" s="8" t="str">
        <f t="shared" si="2"/>
        <v>CareerDiplomaPathwayTrack 214-214 A1</v>
      </c>
    </row>
    <row r="46" spans="1:9" x14ac:dyDescent="0.2">
      <c r="A46" s="3">
        <f t="shared" si="6"/>
        <v>216</v>
      </c>
      <c r="B46" s="3">
        <f t="shared" si="5"/>
        <v>216</v>
      </c>
      <c r="C46" s="3">
        <f t="shared" si="0"/>
        <v>215</v>
      </c>
      <c r="D46" s="3">
        <f t="shared" si="1"/>
        <v>215</v>
      </c>
      <c r="E46" s="3">
        <v>1</v>
      </c>
      <c r="F46" s="13" t="s">
        <v>554</v>
      </c>
      <c r="G46" s="4"/>
      <c r="I46" s="8" t="str">
        <f t="shared" si="2"/>
        <v>ScholarshipStudentFlag 215-215 A1</v>
      </c>
    </row>
    <row r="47" spans="1:9" x14ac:dyDescent="0.2">
      <c r="A47" s="3">
        <f t="shared" si="6"/>
        <v>217</v>
      </c>
      <c r="B47" s="3">
        <f t="shared" si="5"/>
        <v>222</v>
      </c>
      <c r="C47" s="3">
        <f t="shared" si="0"/>
        <v>216</v>
      </c>
      <c r="D47" s="3">
        <f t="shared" si="1"/>
        <v>221</v>
      </c>
      <c r="E47" s="3">
        <v>6</v>
      </c>
      <c r="F47" s="13" t="s">
        <v>555</v>
      </c>
      <c r="G47" s="4"/>
      <c r="I47" s="8" t="str">
        <f t="shared" si="2"/>
        <v>PrecodeSiteCode 216-221 A6</v>
      </c>
    </row>
    <row r="48" spans="1:9" ht="25.5" x14ac:dyDescent="0.2">
      <c r="A48" s="3">
        <f t="shared" si="6"/>
        <v>223</v>
      </c>
      <c r="B48" s="3">
        <f t="shared" si="5"/>
        <v>223</v>
      </c>
      <c r="C48" s="3">
        <f t="shared" si="0"/>
        <v>222</v>
      </c>
      <c r="D48" s="3">
        <f t="shared" si="1"/>
        <v>222</v>
      </c>
      <c r="E48" s="3">
        <v>1</v>
      </c>
      <c r="F48" s="9" t="s">
        <v>556</v>
      </c>
      <c r="G48" s="4"/>
      <c r="I48" s="8" t="str">
        <f t="shared" si="2"/>
        <v>MilitaryAffiliated
 222-222 A1</v>
      </c>
    </row>
    <row r="49" spans="1:9" x14ac:dyDescent="0.2">
      <c r="A49" s="3">
        <f t="shared" si="6"/>
        <v>224</v>
      </c>
      <c r="B49" s="3">
        <f t="shared" si="5"/>
        <v>224</v>
      </c>
      <c r="C49" s="3">
        <f t="shared" si="0"/>
        <v>223</v>
      </c>
      <c r="D49" s="3">
        <f t="shared" si="1"/>
        <v>223</v>
      </c>
      <c r="E49" s="3">
        <v>1</v>
      </c>
      <c r="F49" s="9" t="s">
        <v>557</v>
      </c>
      <c r="G49" s="4"/>
      <c r="I49" s="8" t="str">
        <f t="shared" si="2"/>
        <v>FosterCare 223-223 A1</v>
      </c>
    </row>
    <row r="50" spans="1:9" x14ac:dyDescent="0.2">
      <c r="A50" s="3">
        <f t="shared" si="6"/>
        <v>225</v>
      </c>
      <c r="B50" s="3">
        <f t="shared" si="5"/>
        <v>233</v>
      </c>
      <c r="C50" s="3">
        <f t="shared" si="0"/>
        <v>224</v>
      </c>
      <c r="D50" s="3">
        <f t="shared" si="1"/>
        <v>232</v>
      </c>
      <c r="E50" s="5">
        <v>9</v>
      </c>
      <c r="F50" s="21" t="str">
        <f>CONCATENATE(H50,G50)</f>
        <v>FILLER8</v>
      </c>
      <c r="G50" s="6">
        <v>8</v>
      </c>
      <c r="H50" s="4" t="s">
        <v>39</v>
      </c>
      <c r="I50" s="8" t="str">
        <f t="shared" si="2"/>
        <v>FILLER8 224-232 A9</v>
      </c>
    </row>
    <row r="51" spans="1:9" x14ac:dyDescent="0.2">
      <c r="A51" s="3"/>
      <c r="B51" s="3"/>
      <c r="C51" s="3"/>
      <c r="D51" s="3"/>
      <c r="E51" s="7"/>
      <c r="F51" s="65" t="s">
        <v>558</v>
      </c>
      <c r="G51" s="4"/>
      <c r="I51" s="8"/>
    </row>
    <row r="52" spans="1:9" x14ac:dyDescent="0.2">
      <c r="A52" s="3">
        <f>A50+E50</f>
        <v>234</v>
      </c>
      <c r="B52" s="3">
        <f t="shared" ref="B52:B65" si="7">A52+E52-1</f>
        <v>234</v>
      </c>
      <c r="C52" s="3">
        <f t="shared" si="0"/>
        <v>233</v>
      </c>
      <c r="D52" s="3">
        <f t="shared" si="1"/>
        <v>233</v>
      </c>
      <c r="E52" s="3">
        <v>1</v>
      </c>
      <c r="F52" s="9" t="s">
        <v>559</v>
      </c>
      <c r="G52" s="4"/>
      <c r="I52" s="8" t="str">
        <f>CONCATENATE(F52,"_ALG ",C52,"-",D52," A",E52)</f>
        <v>AdminErrorAdministration_ALG 233-233 A1</v>
      </c>
    </row>
    <row r="53" spans="1:9" x14ac:dyDescent="0.2">
      <c r="A53" s="3">
        <f t="shared" ref="A53:A65" si="8">A52+E52</f>
        <v>235</v>
      </c>
      <c r="B53" s="3">
        <f t="shared" si="7"/>
        <v>242</v>
      </c>
      <c r="C53" s="3">
        <f t="shared" si="0"/>
        <v>234</v>
      </c>
      <c r="D53" s="3">
        <f t="shared" si="1"/>
        <v>241</v>
      </c>
      <c r="E53" s="6">
        <v>8</v>
      </c>
      <c r="F53" s="9" t="s">
        <v>11</v>
      </c>
      <c r="G53" s="4"/>
      <c r="I53" s="8" t="str">
        <f>CONCATENATE(F53,"_ALG ",C53,"-",D53," A",E53)</f>
        <v>Content_ALG 234-241 A8</v>
      </c>
    </row>
    <row r="54" spans="1:9" x14ac:dyDescent="0.2">
      <c r="A54" s="3">
        <f t="shared" si="8"/>
        <v>243</v>
      </c>
      <c r="B54" s="3">
        <f t="shared" si="7"/>
        <v>250</v>
      </c>
      <c r="C54" s="3">
        <f t="shared" si="0"/>
        <v>242</v>
      </c>
      <c r="D54" s="3">
        <f t="shared" si="1"/>
        <v>249</v>
      </c>
      <c r="E54" s="5">
        <v>8</v>
      </c>
      <c r="F54" s="21" t="str">
        <f>CONCATENATE(H54,G54)</f>
        <v>FILLER9</v>
      </c>
      <c r="G54" s="6">
        <v>9</v>
      </c>
      <c r="H54" s="4" t="s">
        <v>39</v>
      </c>
      <c r="I54" s="8" t="str">
        <f t="shared" si="2"/>
        <v>FILLER9 242-249 A8</v>
      </c>
    </row>
    <row r="55" spans="1:9" ht="17.25" customHeight="1" x14ac:dyDescent="0.2">
      <c r="A55" s="3">
        <f t="shared" si="8"/>
        <v>251</v>
      </c>
      <c r="B55" s="3">
        <f t="shared" si="7"/>
        <v>270</v>
      </c>
      <c r="C55" s="3">
        <f t="shared" si="0"/>
        <v>250</v>
      </c>
      <c r="D55" s="3">
        <f t="shared" si="1"/>
        <v>269</v>
      </c>
      <c r="E55" s="3">
        <v>20</v>
      </c>
      <c r="F55" s="21" t="s">
        <v>560</v>
      </c>
      <c r="G55" s="4"/>
      <c r="I55" s="8" t="str">
        <f t="shared" ref="I55:I57" si="9">CONCATENATE(F55,"_ALG ",C55,"-",D55," A",E55)</f>
        <v>TeacherLastName_ALG 250-269 A20</v>
      </c>
    </row>
    <row r="56" spans="1:9" ht="19.5" customHeight="1" x14ac:dyDescent="0.2">
      <c r="A56" s="3">
        <f t="shared" si="8"/>
        <v>271</v>
      </c>
      <c r="B56" s="3">
        <f t="shared" si="7"/>
        <v>285</v>
      </c>
      <c r="C56" s="3">
        <f t="shared" si="0"/>
        <v>270</v>
      </c>
      <c r="D56" s="3">
        <f t="shared" si="1"/>
        <v>284</v>
      </c>
      <c r="E56" s="3">
        <v>15</v>
      </c>
      <c r="F56" s="21" t="s">
        <v>561</v>
      </c>
      <c r="G56" s="4"/>
      <c r="I56" s="8" t="str">
        <f t="shared" si="9"/>
        <v>TeacherFirstName_ALG 270-284 A15</v>
      </c>
    </row>
    <row r="57" spans="1:9" ht="20.25" customHeight="1" x14ac:dyDescent="0.2">
      <c r="A57" s="3">
        <f t="shared" si="8"/>
        <v>286</v>
      </c>
      <c r="B57" s="3">
        <f t="shared" si="7"/>
        <v>286</v>
      </c>
      <c r="C57" s="3">
        <f t="shared" si="0"/>
        <v>285</v>
      </c>
      <c r="D57" s="3">
        <f t="shared" si="1"/>
        <v>285</v>
      </c>
      <c r="E57" s="3">
        <v>1</v>
      </c>
      <c r="F57" s="21" t="s">
        <v>562</v>
      </c>
      <c r="G57" s="4"/>
      <c r="I57" s="8" t="str">
        <f t="shared" si="9"/>
        <v>TeacherMiddleInitial_ALG 285-285 A1</v>
      </c>
    </row>
    <row r="58" spans="1:9" ht="13.15" customHeight="1" x14ac:dyDescent="0.2">
      <c r="A58" s="3">
        <f t="shared" si="8"/>
        <v>287</v>
      </c>
      <c r="B58" s="3">
        <f t="shared" si="7"/>
        <v>330</v>
      </c>
      <c r="C58" s="3">
        <f t="shared" si="0"/>
        <v>286</v>
      </c>
      <c r="D58" s="3">
        <f t="shared" si="1"/>
        <v>329</v>
      </c>
      <c r="E58" s="3">
        <v>44</v>
      </c>
      <c r="F58" s="21" t="str">
        <f>CONCATENATE(H58,G58)</f>
        <v>FILLER10</v>
      </c>
      <c r="G58" s="6">
        <v>10</v>
      </c>
      <c r="H58" s="4" t="s">
        <v>39</v>
      </c>
      <c r="I58" s="8" t="str">
        <f t="shared" si="2"/>
        <v>FILLER10 286-329 A44</v>
      </c>
    </row>
    <row r="59" spans="1:9" x14ac:dyDescent="0.2">
      <c r="A59" s="3">
        <f t="shared" si="8"/>
        <v>331</v>
      </c>
      <c r="B59" s="3">
        <f t="shared" si="7"/>
        <v>336</v>
      </c>
      <c r="C59" s="3">
        <f t="shared" si="0"/>
        <v>330</v>
      </c>
      <c r="D59" s="3">
        <f t="shared" si="1"/>
        <v>335</v>
      </c>
      <c r="E59" s="3">
        <v>6</v>
      </c>
      <c r="F59" s="21" t="s">
        <v>563</v>
      </c>
      <c r="G59" s="4"/>
      <c r="I59" s="8" t="str">
        <f t="shared" ref="I59:I63" si="10">CONCATENATE(F59,"_ALG ",C59,"-",D59," A",E59)</f>
        <v>CourseCode_ALG 330-335 A6</v>
      </c>
    </row>
    <row r="60" spans="1:9" ht="93.75" customHeight="1" x14ac:dyDescent="0.2">
      <c r="A60" s="3">
        <f t="shared" si="8"/>
        <v>337</v>
      </c>
      <c r="B60" s="3">
        <f t="shared" si="7"/>
        <v>366</v>
      </c>
      <c r="C60" s="3">
        <f t="shared" si="0"/>
        <v>336</v>
      </c>
      <c r="D60" s="3">
        <f t="shared" si="1"/>
        <v>365</v>
      </c>
      <c r="E60" s="3">
        <v>30</v>
      </c>
      <c r="F60" s="21" t="s">
        <v>564</v>
      </c>
      <c r="G60" s="4"/>
      <c r="I60" s="8" t="str">
        <f t="shared" si="10"/>
        <v>CourseName_ALG 336-365 A30</v>
      </c>
    </row>
    <row r="61" spans="1:9" x14ac:dyDescent="0.2">
      <c r="A61" s="3">
        <f t="shared" si="8"/>
        <v>367</v>
      </c>
      <c r="B61" s="3">
        <f t="shared" si="7"/>
        <v>386</v>
      </c>
      <c r="C61" s="3">
        <f t="shared" si="0"/>
        <v>366</v>
      </c>
      <c r="D61" s="3">
        <f t="shared" si="1"/>
        <v>385</v>
      </c>
      <c r="E61" s="3">
        <v>20</v>
      </c>
      <c r="F61" s="21" t="s">
        <v>565</v>
      </c>
      <c r="G61" s="4"/>
      <c r="I61" s="8" t="str">
        <f t="shared" si="10"/>
        <v>ClassSection_ALG 366-385 A20</v>
      </c>
    </row>
    <row r="62" spans="1:9" x14ac:dyDescent="0.2">
      <c r="A62" s="3">
        <f t="shared" si="8"/>
        <v>387</v>
      </c>
      <c r="B62" s="3">
        <f t="shared" si="7"/>
        <v>392</v>
      </c>
      <c r="C62" s="3">
        <f t="shared" si="0"/>
        <v>386</v>
      </c>
      <c r="D62" s="3">
        <f t="shared" si="1"/>
        <v>391</v>
      </c>
      <c r="E62" s="3">
        <v>6</v>
      </c>
      <c r="F62" s="21" t="s">
        <v>566</v>
      </c>
      <c r="G62" s="4"/>
      <c r="I62" s="8" t="str">
        <f t="shared" si="10"/>
        <v>TestingSiteCode_ALG 386-391 A6</v>
      </c>
    </row>
    <row r="63" spans="1:9" x14ac:dyDescent="0.2">
      <c r="A63" s="3">
        <f t="shared" si="8"/>
        <v>393</v>
      </c>
      <c r="B63" s="3">
        <f t="shared" si="7"/>
        <v>393</v>
      </c>
      <c r="C63" s="3">
        <f t="shared" si="0"/>
        <v>392</v>
      </c>
      <c r="D63" s="3">
        <f t="shared" si="1"/>
        <v>392</v>
      </c>
      <c r="E63" s="3">
        <v>1</v>
      </c>
      <c r="F63" s="21" t="s">
        <v>567</v>
      </c>
      <c r="G63" s="4"/>
      <c r="I63" s="8" t="str">
        <f t="shared" si="10"/>
        <v>AlgebraIEnrollFlag_ALG 392-392 A1</v>
      </c>
    </row>
    <row r="64" spans="1:9" x14ac:dyDescent="0.2">
      <c r="A64" s="3">
        <f t="shared" si="8"/>
        <v>394</v>
      </c>
      <c r="B64" s="3">
        <f t="shared" si="7"/>
        <v>394</v>
      </c>
      <c r="C64" s="3">
        <f t="shared" si="0"/>
        <v>393</v>
      </c>
      <c r="D64" s="3">
        <f t="shared" si="1"/>
        <v>393</v>
      </c>
      <c r="E64" s="3">
        <v>1</v>
      </c>
      <c r="F64" s="21" t="s">
        <v>694</v>
      </c>
      <c r="G64" s="4"/>
      <c r="I64" s="8" t="str">
        <f>CONCATENATE(F64,"_ALG ",C64,"-",D64," A",E64)</f>
        <v>AlgebraIFlag_ALG 393-393 A1</v>
      </c>
    </row>
    <row r="65" spans="1:9" x14ac:dyDescent="0.2">
      <c r="A65" s="3">
        <f t="shared" si="8"/>
        <v>395</v>
      </c>
      <c r="B65" s="3">
        <f t="shared" si="7"/>
        <v>431</v>
      </c>
      <c r="C65" s="3">
        <f t="shared" si="0"/>
        <v>394</v>
      </c>
      <c r="D65" s="3">
        <f t="shared" si="1"/>
        <v>430</v>
      </c>
      <c r="E65" s="5">
        <v>37</v>
      </c>
      <c r="F65" s="21" t="str">
        <f>CONCATENATE(H65,G65)</f>
        <v>FILLER11</v>
      </c>
      <c r="G65" s="6">
        <v>11</v>
      </c>
      <c r="H65" s="4" t="s">
        <v>39</v>
      </c>
      <c r="I65" s="8" t="str">
        <f t="shared" si="2"/>
        <v>FILLER11 394-430 A37</v>
      </c>
    </row>
    <row r="66" spans="1:9" x14ac:dyDescent="0.2">
      <c r="A66" s="3"/>
      <c r="B66" s="3"/>
      <c r="C66" s="3"/>
      <c r="D66" s="3"/>
      <c r="E66" s="3"/>
      <c r="F66" s="22" t="s">
        <v>668</v>
      </c>
      <c r="G66" s="4"/>
      <c r="I66" s="8"/>
    </row>
    <row r="67" spans="1:9" ht="12.75" customHeight="1" x14ac:dyDescent="0.2">
      <c r="A67" s="3">
        <f>A65+E65</f>
        <v>432</v>
      </c>
      <c r="B67" s="3">
        <f t="shared" ref="B67:B83" si="11">A67+E67-1</f>
        <v>432</v>
      </c>
      <c r="C67" s="3">
        <f t="shared" si="0"/>
        <v>431</v>
      </c>
      <c r="D67" s="3">
        <f t="shared" si="1"/>
        <v>431</v>
      </c>
      <c r="E67" s="6">
        <v>1</v>
      </c>
      <c r="F67" s="9" t="s">
        <v>525</v>
      </c>
      <c r="G67" s="4"/>
      <c r="I67" s="8" t="str">
        <f>CONCATENATE(F67,"_ALG ",C67,"-",D67," A",E67)</f>
        <v>TexttoSpeech_ALG 431-431 A1</v>
      </c>
    </row>
    <row r="68" spans="1:9" x14ac:dyDescent="0.2">
      <c r="A68" s="3">
        <f t="shared" ref="A68:A83" si="12">A67+E67</f>
        <v>433</v>
      </c>
      <c r="B68" s="3">
        <f t="shared" si="11"/>
        <v>433</v>
      </c>
      <c r="C68" s="3">
        <f t="shared" ref="C68:C131" si="13">A68-1</f>
        <v>432</v>
      </c>
      <c r="D68" s="3">
        <f t="shared" ref="D68:D131" si="14">B68-1</f>
        <v>432</v>
      </c>
      <c r="E68" s="6">
        <v>1</v>
      </c>
      <c r="F68" s="9" t="s">
        <v>568</v>
      </c>
      <c r="G68" s="4"/>
      <c r="I68" s="8" t="str">
        <f>CONCATENATE(F68,"_ALG ",C68,"-",D68," A",E68)</f>
        <v>SpanishTest_ALG 432-432 A1</v>
      </c>
    </row>
    <row r="69" spans="1:9" x14ac:dyDescent="0.2">
      <c r="A69" s="3">
        <f t="shared" si="12"/>
        <v>434</v>
      </c>
      <c r="B69" s="3">
        <f t="shared" si="11"/>
        <v>434</v>
      </c>
      <c r="C69" s="3">
        <f t="shared" si="13"/>
        <v>433</v>
      </c>
      <c r="D69" s="3">
        <f t="shared" si="14"/>
        <v>433</v>
      </c>
      <c r="E69" s="6">
        <v>1</v>
      </c>
      <c r="F69" s="21" t="str">
        <f>CONCATENATE(H69,G69)</f>
        <v>FILLER12</v>
      </c>
      <c r="G69" s="6">
        <v>12</v>
      </c>
      <c r="H69" s="4" t="s">
        <v>39</v>
      </c>
      <c r="I69" s="8" t="str">
        <f t="shared" ref="I69:I130" si="15">CONCATENATE(F69," ",C69,"-",D69," A",E69)</f>
        <v>FILLER12 433-433 A1</v>
      </c>
    </row>
    <row r="70" spans="1:9" x14ac:dyDescent="0.2">
      <c r="A70" s="3">
        <f t="shared" si="12"/>
        <v>435</v>
      </c>
      <c r="B70" s="3">
        <f t="shared" si="11"/>
        <v>435</v>
      </c>
      <c r="C70" s="3">
        <f t="shared" si="13"/>
        <v>434</v>
      </c>
      <c r="D70" s="3">
        <f t="shared" si="14"/>
        <v>434</v>
      </c>
      <c r="E70" s="6">
        <v>1</v>
      </c>
      <c r="F70" s="9" t="s">
        <v>96</v>
      </c>
      <c r="G70" s="4"/>
      <c r="I70" s="8" t="str">
        <f t="shared" ref="I70:I82" si="16">CONCATENATE(F70,"_ALG ",C70,"-",D70," A",E70)</f>
        <v>Braille_ALG 434-434 A1</v>
      </c>
    </row>
    <row r="71" spans="1:9" x14ac:dyDescent="0.2">
      <c r="A71" s="3">
        <f t="shared" si="12"/>
        <v>436</v>
      </c>
      <c r="B71" s="3">
        <f t="shared" si="11"/>
        <v>436</v>
      </c>
      <c r="C71" s="3">
        <f t="shared" si="13"/>
        <v>435</v>
      </c>
      <c r="D71" s="3">
        <f t="shared" si="14"/>
        <v>435</v>
      </c>
      <c r="E71" s="6">
        <v>1</v>
      </c>
      <c r="F71" s="9" t="s">
        <v>569</v>
      </c>
      <c r="G71" s="4"/>
      <c r="I71" s="8" t="str">
        <f t="shared" si="16"/>
        <v>AccommodatedPaper_ALG 435-435 A1</v>
      </c>
    </row>
    <row r="72" spans="1:9" x14ac:dyDescent="0.2">
      <c r="A72" s="3">
        <f t="shared" si="12"/>
        <v>437</v>
      </c>
      <c r="B72" s="3">
        <f t="shared" si="11"/>
        <v>437</v>
      </c>
      <c r="C72" s="3">
        <f t="shared" si="13"/>
        <v>436</v>
      </c>
      <c r="D72" s="3">
        <f t="shared" si="14"/>
        <v>436</v>
      </c>
      <c r="E72" s="6">
        <v>1</v>
      </c>
      <c r="F72" s="9" t="s">
        <v>570</v>
      </c>
      <c r="G72" s="4"/>
      <c r="I72" s="8" t="str">
        <f t="shared" si="16"/>
        <v>HumanReadAloud_ALG 436-436 A1</v>
      </c>
    </row>
    <row r="73" spans="1:9" x14ac:dyDescent="0.2">
      <c r="A73" s="3">
        <f t="shared" si="12"/>
        <v>438</v>
      </c>
      <c r="B73" s="3">
        <f t="shared" si="11"/>
        <v>438</v>
      </c>
      <c r="C73" s="3">
        <f t="shared" si="13"/>
        <v>437</v>
      </c>
      <c r="D73" s="3">
        <f t="shared" si="14"/>
        <v>437</v>
      </c>
      <c r="E73" s="6">
        <v>1</v>
      </c>
      <c r="F73" s="9" t="s">
        <v>571</v>
      </c>
      <c r="G73" s="4"/>
      <c r="I73" s="8" t="str">
        <f t="shared" si="16"/>
        <v>NativeLanguageWordtoWordDictionary_ALG 437-437 A1</v>
      </c>
    </row>
    <row r="74" spans="1:9" x14ac:dyDescent="0.2">
      <c r="A74" s="3">
        <f t="shared" si="12"/>
        <v>439</v>
      </c>
      <c r="B74" s="3">
        <f t="shared" si="11"/>
        <v>439</v>
      </c>
      <c r="C74" s="3">
        <f t="shared" si="13"/>
        <v>438</v>
      </c>
      <c r="D74" s="3">
        <f t="shared" si="14"/>
        <v>438</v>
      </c>
      <c r="E74" s="6">
        <v>1</v>
      </c>
      <c r="F74" s="9" t="s">
        <v>572</v>
      </c>
      <c r="G74" s="4"/>
      <c r="I74" s="8" t="str">
        <f t="shared" si="16"/>
        <v>DirectionsinNativeLanguage_ALG 438-438 A1</v>
      </c>
    </row>
    <row r="75" spans="1:9" x14ac:dyDescent="0.2">
      <c r="A75" s="3">
        <f t="shared" si="12"/>
        <v>440</v>
      </c>
      <c r="B75" s="3">
        <f t="shared" si="11"/>
        <v>440</v>
      </c>
      <c r="C75" s="3">
        <f t="shared" si="13"/>
        <v>439</v>
      </c>
      <c r="D75" s="3">
        <f t="shared" si="14"/>
        <v>439</v>
      </c>
      <c r="E75" s="6">
        <v>1</v>
      </c>
      <c r="F75" s="9" t="s">
        <v>573</v>
      </c>
      <c r="G75" s="4"/>
      <c r="I75" s="8" t="str">
        <f t="shared" si="16"/>
        <v>CommunicationAssistance_ALG 439-439 A1</v>
      </c>
    </row>
    <row r="76" spans="1:9" x14ac:dyDescent="0.2">
      <c r="A76" s="3">
        <f t="shared" si="12"/>
        <v>441</v>
      </c>
      <c r="B76" s="3">
        <f t="shared" si="11"/>
        <v>441</v>
      </c>
      <c r="C76" s="3">
        <f t="shared" si="13"/>
        <v>440</v>
      </c>
      <c r="D76" s="3">
        <f t="shared" si="14"/>
        <v>440</v>
      </c>
      <c r="E76" s="6">
        <v>1</v>
      </c>
      <c r="F76" s="9" t="s">
        <v>574</v>
      </c>
      <c r="G76" s="4"/>
      <c r="I76" s="8" t="str">
        <f t="shared" si="16"/>
        <v>TransferredAnswers_ALG 440-440 A1</v>
      </c>
    </row>
    <row r="77" spans="1:9" x14ac:dyDescent="0.2">
      <c r="A77" s="3">
        <f t="shared" si="12"/>
        <v>442</v>
      </c>
      <c r="B77" s="3">
        <f t="shared" si="11"/>
        <v>442</v>
      </c>
      <c r="C77" s="3">
        <f t="shared" si="13"/>
        <v>441</v>
      </c>
      <c r="D77" s="3">
        <f t="shared" si="14"/>
        <v>441</v>
      </c>
      <c r="E77" s="6">
        <v>1</v>
      </c>
      <c r="F77" s="9" t="s">
        <v>575</v>
      </c>
      <c r="G77" s="4"/>
      <c r="I77" s="8" t="str">
        <f t="shared" si="16"/>
        <v>AnswersRecorded_ALG 441-441 A1</v>
      </c>
    </row>
    <row r="78" spans="1:9" x14ac:dyDescent="0.2">
      <c r="A78" s="3">
        <f t="shared" si="12"/>
        <v>443</v>
      </c>
      <c r="B78" s="3">
        <f t="shared" si="11"/>
        <v>443</v>
      </c>
      <c r="C78" s="3">
        <f t="shared" si="13"/>
        <v>442</v>
      </c>
      <c r="D78" s="3">
        <f t="shared" si="14"/>
        <v>442</v>
      </c>
      <c r="E78" s="6">
        <v>1</v>
      </c>
      <c r="F78" s="9" t="s">
        <v>102</v>
      </c>
      <c r="G78" s="4"/>
      <c r="I78" s="8" t="str">
        <f t="shared" si="16"/>
        <v>Calculator_ALG 442-442 A1</v>
      </c>
    </row>
    <row r="79" spans="1:9" x14ac:dyDescent="0.2">
      <c r="A79" s="3">
        <f t="shared" si="12"/>
        <v>444</v>
      </c>
      <c r="B79" s="3">
        <f t="shared" si="11"/>
        <v>444</v>
      </c>
      <c r="C79" s="3">
        <f t="shared" si="13"/>
        <v>443</v>
      </c>
      <c r="D79" s="3">
        <f t="shared" si="14"/>
        <v>443</v>
      </c>
      <c r="E79" s="6">
        <v>1</v>
      </c>
      <c r="F79" s="9" t="s">
        <v>576</v>
      </c>
      <c r="G79" s="4"/>
      <c r="I79" s="8" t="str">
        <f t="shared" si="16"/>
        <v>ScientificCalculator_ALG 443-443 A1</v>
      </c>
    </row>
    <row r="80" spans="1:9" x14ac:dyDescent="0.2">
      <c r="A80" s="3">
        <f t="shared" si="12"/>
        <v>445</v>
      </c>
      <c r="B80" s="3">
        <f t="shared" si="11"/>
        <v>445</v>
      </c>
      <c r="C80" s="3">
        <f t="shared" si="13"/>
        <v>444</v>
      </c>
      <c r="D80" s="3">
        <f t="shared" si="14"/>
        <v>444</v>
      </c>
      <c r="E80" s="6">
        <v>1</v>
      </c>
      <c r="F80" s="9" t="s">
        <v>577</v>
      </c>
      <c r="G80" s="4"/>
      <c r="I80" s="8" t="str">
        <f t="shared" si="16"/>
        <v>GraphingCalculator_ALG 444-444 A1</v>
      </c>
    </row>
    <row r="81" spans="1:9" x14ac:dyDescent="0.2">
      <c r="A81" s="3">
        <f t="shared" si="12"/>
        <v>446</v>
      </c>
      <c r="B81" s="3">
        <f t="shared" si="11"/>
        <v>446</v>
      </c>
      <c r="C81" s="3">
        <f t="shared" si="13"/>
        <v>445</v>
      </c>
      <c r="D81" s="3">
        <f t="shared" si="14"/>
        <v>445</v>
      </c>
      <c r="E81" s="6">
        <v>1</v>
      </c>
      <c r="F81" s="9" t="s">
        <v>578</v>
      </c>
      <c r="G81" s="4"/>
      <c r="I81" s="8" t="str">
        <f t="shared" si="16"/>
        <v>ExtendedTime_ALG 445-445 A1</v>
      </c>
    </row>
    <row r="82" spans="1:9" x14ac:dyDescent="0.2">
      <c r="A82" s="3">
        <f t="shared" si="12"/>
        <v>447</v>
      </c>
      <c r="B82" s="3">
        <f t="shared" si="11"/>
        <v>447</v>
      </c>
      <c r="C82" s="3">
        <f t="shared" si="13"/>
        <v>446</v>
      </c>
      <c r="D82" s="3">
        <f t="shared" si="14"/>
        <v>446</v>
      </c>
      <c r="E82" s="6">
        <v>1</v>
      </c>
      <c r="F82" s="9" t="s">
        <v>579</v>
      </c>
      <c r="G82" s="4"/>
      <c r="I82" s="8" t="str">
        <f t="shared" si="16"/>
        <v>IndividualorSmallGroupAdministration_ALG 446-446 A1</v>
      </c>
    </row>
    <row r="83" spans="1:9" x14ac:dyDescent="0.2">
      <c r="A83" s="3">
        <f t="shared" si="12"/>
        <v>448</v>
      </c>
      <c r="B83" s="3">
        <f t="shared" si="11"/>
        <v>465</v>
      </c>
      <c r="C83" s="3">
        <f t="shared" si="13"/>
        <v>447</v>
      </c>
      <c r="D83" s="3">
        <f t="shared" si="14"/>
        <v>464</v>
      </c>
      <c r="E83" s="6">
        <v>18</v>
      </c>
      <c r="F83" s="21" t="str">
        <f>CONCATENATE(H83,G83)</f>
        <v>FILLER13</v>
      </c>
      <c r="G83" s="6">
        <v>13</v>
      </c>
      <c r="H83" s="4" t="s">
        <v>39</v>
      </c>
      <c r="I83" s="8" t="str">
        <f t="shared" si="15"/>
        <v>FILLER13 447-464 A18</v>
      </c>
    </row>
    <row r="84" spans="1:9" x14ac:dyDescent="0.2">
      <c r="A84" s="3"/>
      <c r="B84" s="3"/>
      <c r="C84" s="3"/>
      <c r="D84" s="3"/>
      <c r="E84" s="3"/>
      <c r="F84" s="22" t="s">
        <v>669</v>
      </c>
      <c r="G84" s="4"/>
      <c r="I84" s="8"/>
    </row>
    <row r="85" spans="1:9" x14ac:dyDescent="0.2">
      <c r="A85" s="3">
        <f>A83+E83</f>
        <v>466</v>
      </c>
      <c r="B85" s="3">
        <f t="shared" ref="B85:B92" si="17">A85+E85-1</f>
        <v>468</v>
      </c>
      <c r="C85" s="3">
        <f t="shared" si="13"/>
        <v>465</v>
      </c>
      <c r="D85" s="3">
        <f t="shared" si="14"/>
        <v>467</v>
      </c>
      <c r="E85" s="3">
        <v>3</v>
      </c>
      <c r="F85" s="21" t="s">
        <v>580</v>
      </c>
      <c r="G85" s="4"/>
      <c r="I85" s="8" t="str">
        <f>CONCATENATE(F85,"_ALG ",C85,"-",D85," A",E85)</f>
        <v>TotalMCScore_ALG 465-467 A3</v>
      </c>
    </row>
    <row r="86" spans="1:9" x14ac:dyDescent="0.2">
      <c r="A86" s="3">
        <f t="shared" ref="A86:A92" si="18">A85+E85</f>
        <v>469</v>
      </c>
      <c r="B86" s="3">
        <f t="shared" si="17"/>
        <v>471</v>
      </c>
      <c r="C86" s="3">
        <f t="shared" si="13"/>
        <v>468</v>
      </c>
      <c r="D86" s="3">
        <f t="shared" si="14"/>
        <v>470</v>
      </c>
      <c r="E86" s="3">
        <v>3</v>
      </c>
      <c r="F86" s="21" t="s">
        <v>581</v>
      </c>
      <c r="G86" s="4"/>
      <c r="I86" s="8" t="str">
        <f t="shared" ref="I86:I90" si="19">CONCATENATE(F86,"_ALG ",C86,"-",D86," A",E86)</f>
        <v>TotalCRScore_ALG 468-470 A3</v>
      </c>
    </row>
    <row r="87" spans="1:9" ht="95.25" customHeight="1" x14ac:dyDescent="0.2">
      <c r="A87" s="3">
        <f t="shared" si="18"/>
        <v>472</v>
      </c>
      <c r="B87" s="3">
        <f t="shared" si="17"/>
        <v>474</v>
      </c>
      <c r="C87" s="3">
        <f t="shared" si="13"/>
        <v>471</v>
      </c>
      <c r="D87" s="3">
        <f t="shared" si="14"/>
        <v>473</v>
      </c>
      <c r="E87" s="3">
        <v>3</v>
      </c>
      <c r="F87" s="21" t="s">
        <v>582</v>
      </c>
      <c r="G87" s="4"/>
      <c r="I87" s="8" t="str">
        <f t="shared" si="19"/>
        <v>TotalRawScore_ALG 471-473 A3</v>
      </c>
    </row>
    <row r="88" spans="1:9" x14ac:dyDescent="0.2">
      <c r="A88" s="3">
        <f t="shared" si="18"/>
        <v>475</v>
      </c>
      <c r="B88" s="3">
        <f t="shared" si="17"/>
        <v>477</v>
      </c>
      <c r="C88" s="3">
        <f t="shared" si="13"/>
        <v>474</v>
      </c>
      <c r="D88" s="3">
        <f t="shared" si="14"/>
        <v>476</v>
      </c>
      <c r="E88" s="3">
        <v>3</v>
      </c>
      <c r="F88" s="21" t="s">
        <v>583</v>
      </c>
      <c r="G88" s="4"/>
      <c r="I88" s="8" t="str">
        <f t="shared" si="19"/>
        <v>TotalPercentCorrect_ALG 474-476 A3</v>
      </c>
    </row>
    <row r="89" spans="1:9" x14ac:dyDescent="0.2">
      <c r="A89" s="3">
        <f t="shared" si="18"/>
        <v>478</v>
      </c>
      <c r="B89" s="3">
        <f t="shared" si="17"/>
        <v>480</v>
      </c>
      <c r="C89" s="3">
        <f t="shared" si="13"/>
        <v>477</v>
      </c>
      <c r="D89" s="3">
        <f t="shared" si="14"/>
        <v>479</v>
      </c>
      <c r="E89" s="3">
        <v>3</v>
      </c>
      <c r="F89" s="21" t="s">
        <v>584</v>
      </c>
      <c r="G89" s="4"/>
      <c r="I89" s="8" t="str">
        <f t="shared" si="19"/>
        <v>ScaleScore_ALG 477-479 A3</v>
      </c>
    </row>
    <row r="90" spans="1:9" x14ac:dyDescent="0.2">
      <c r="A90" s="3">
        <f t="shared" si="18"/>
        <v>481</v>
      </c>
      <c r="B90" s="3">
        <f t="shared" si="17"/>
        <v>483</v>
      </c>
      <c r="C90" s="3">
        <f t="shared" si="13"/>
        <v>480</v>
      </c>
      <c r="D90" s="3">
        <f t="shared" si="14"/>
        <v>482</v>
      </c>
      <c r="E90" s="5">
        <v>3</v>
      </c>
      <c r="F90" s="21" t="s">
        <v>585</v>
      </c>
      <c r="G90" s="4"/>
      <c r="I90" s="8" t="str">
        <f t="shared" si="19"/>
        <v>AssessmentAchievementLevel_ALG 480-482 A3</v>
      </c>
    </row>
    <row r="91" spans="1:9" x14ac:dyDescent="0.2">
      <c r="A91" s="3">
        <f t="shared" si="18"/>
        <v>484</v>
      </c>
      <c r="B91" s="3">
        <f t="shared" si="17"/>
        <v>486</v>
      </c>
      <c r="C91" s="3">
        <f t="shared" si="13"/>
        <v>483</v>
      </c>
      <c r="D91" s="3">
        <f t="shared" si="14"/>
        <v>485</v>
      </c>
      <c r="E91" s="3">
        <v>3</v>
      </c>
      <c r="F91" s="21" t="s">
        <v>586</v>
      </c>
      <c r="G91" s="4"/>
      <c r="I91" s="8" t="str">
        <f>CONCATENATE(F91,"_ALG ",C91,"-",D91," A",E91)</f>
        <v>AccountabilityAchievementLevel_ALG 483-485 A3</v>
      </c>
    </row>
    <row r="92" spans="1:9" ht="13.9" customHeight="1" x14ac:dyDescent="0.2">
      <c r="A92" s="3">
        <f t="shared" si="18"/>
        <v>487</v>
      </c>
      <c r="B92" s="3">
        <f t="shared" si="17"/>
        <v>506</v>
      </c>
      <c r="C92" s="3">
        <f t="shared" si="13"/>
        <v>486</v>
      </c>
      <c r="D92" s="3">
        <f t="shared" si="14"/>
        <v>505</v>
      </c>
      <c r="E92" s="5">
        <v>20</v>
      </c>
      <c r="F92" s="21" t="str">
        <f>CONCATENATE(H92,G92)</f>
        <v>FILLER14</v>
      </c>
      <c r="G92" s="6">
        <v>14</v>
      </c>
      <c r="H92" s="4" t="s">
        <v>39</v>
      </c>
      <c r="I92" s="8" t="str">
        <f t="shared" si="15"/>
        <v>FILLER14 486-505 A20</v>
      </c>
    </row>
    <row r="93" spans="1:9" x14ac:dyDescent="0.2">
      <c r="A93" s="3" t="s">
        <v>318</v>
      </c>
      <c r="B93" s="5"/>
      <c r="C93" s="3"/>
      <c r="D93" s="3"/>
      <c r="E93" s="5"/>
      <c r="F93" s="22" t="s">
        <v>670</v>
      </c>
      <c r="G93" s="4"/>
      <c r="I93" s="8"/>
    </row>
    <row r="94" spans="1:9" s="47" customFormat="1" x14ac:dyDescent="0.2">
      <c r="A94" s="3">
        <f>A92+E92</f>
        <v>507</v>
      </c>
      <c r="B94" s="30">
        <f t="shared" ref="B94:B106" si="20">A94+E94-1</f>
        <v>510</v>
      </c>
      <c r="C94" s="3">
        <f t="shared" si="13"/>
        <v>506</v>
      </c>
      <c r="D94" s="3">
        <f t="shared" si="14"/>
        <v>509</v>
      </c>
      <c r="E94" s="5">
        <v>4</v>
      </c>
      <c r="F94" s="45" t="s">
        <v>587</v>
      </c>
      <c r="I94" s="8" t="str">
        <f>CONCATENATE(F94,"_ALG ",C94,"-",D94," A",E94)</f>
        <v>MajorContentRawScore_ALG 506-509 A4</v>
      </c>
    </row>
    <row r="95" spans="1:9" s="47" customFormat="1" x14ac:dyDescent="0.2">
      <c r="A95" s="5">
        <f t="shared" ref="A95:A106" si="21">A94+E94</f>
        <v>511</v>
      </c>
      <c r="B95" s="30">
        <f t="shared" si="20"/>
        <v>511</v>
      </c>
      <c r="C95" s="3">
        <f t="shared" si="13"/>
        <v>510</v>
      </c>
      <c r="D95" s="3">
        <f t="shared" si="14"/>
        <v>510</v>
      </c>
      <c r="E95" s="5">
        <v>1</v>
      </c>
      <c r="F95" s="45" t="s">
        <v>588</v>
      </c>
      <c r="I95" s="8" t="str">
        <f t="shared" ref="I95:I105" si="22">CONCATENATE(F95,"_ALG ",C95,"-",D95," A",E95)</f>
        <v>MajorContentRating_ALG 510-510 A1</v>
      </c>
    </row>
    <row r="96" spans="1:9" s="47" customFormat="1" x14ac:dyDescent="0.2">
      <c r="A96" s="5">
        <f t="shared" si="21"/>
        <v>512</v>
      </c>
      <c r="B96" s="30">
        <f t="shared" si="20"/>
        <v>514</v>
      </c>
      <c r="C96" s="3">
        <f t="shared" si="13"/>
        <v>511</v>
      </c>
      <c r="D96" s="3">
        <f t="shared" si="14"/>
        <v>513</v>
      </c>
      <c r="E96" s="5">
        <v>3</v>
      </c>
      <c r="F96" s="45" t="s">
        <v>589</v>
      </c>
      <c r="I96" s="8" t="str">
        <f t="shared" si="22"/>
        <v>MajorContentPercentCorrect_ALG 511-513 A3</v>
      </c>
    </row>
    <row r="97" spans="1:9" s="47" customFormat="1" x14ac:dyDescent="0.2">
      <c r="A97" s="5">
        <f t="shared" si="21"/>
        <v>515</v>
      </c>
      <c r="B97" s="30">
        <f t="shared" si="20"/>
        <v>518</v>
      </c>
      <c r="C97" s="3">
        <f t="shared" si="13"/>
        <v>514</v>
      </c>
      <c r="D97" s="3">
        <f t="shared" si="14"/>
        <v>517</v>
      </c>
      <c r="E97" s="5">
        <v>4</v>
      </c>
      <c r="F97" s="45" t="s">
        <v>710</v>
      </c>
      <c r="I97" s="8" t="str">
        <f t="shared" si="22"/>
        <v>AdditionalSupportingContentRawScore_ALG 514-517 A4</v>
      </c>
    </row>
    <row r="98" spans="1:9" s="47" customFormat="1" x14ac:dyDescent="0.2">
      <c r="A98" s="5">
        <f t="shared" si="21"/>
        <v>519</v>
      </c>
      <c r="B98" s="30">
        <f t="shared" si="20"/>
        <v>519</v>
      </c>
      <c r="C98" s="3">
        <f t="shared" si="13"/>
        <v>518</v>
      </c>
      <c r="D98" s="3">
        <f t="shared" si="14"/>
        <v>518</v>
      </c>
      <c r="E98" s="5">
        <v>1</v>
      </c>
      <c r="F98" s="45" t="s">
        <v>711</v>
      </c>
      <c r="I98" s="8" t="str">
        <f t="shared" si="22"/>
        <v>AdditionalSupportingContentRating_ALG 518-518 A1</v>
      </c>
    </row>
    <row r="99" spans="1:9" s="47" customFormat="1" x14ac:dyDescent="0.2">
      <c r="A99" s="5">
        <f t="shared" si="21"/>
        <v>520</v>
      </c>
      <c r="B99" s="30">
        <f t="shared" si="20"/>
        <v>522</v>
      </c>
      <c r="C99" s="3">
        <f t="shared" si="13"/>
        <v>519</v>
      </c>
      <c r="D99" s="3">
        <f t="shared" si="14"/>
        <v>521</v>
      </c>
      <c r="E99" s="5">
        <v>3</v>
      </c>
      <c r="F99" s="45" t="s">
        <v>712</v>
      </c>
      <c r="I99" s="8" t="str">
        <f t="shared" si="22"/>
        <v>AdditionalSupportingContentPercentCorrect_ALG 519-521 A3</v>
      </c>
    </row>
    <row r="100" spans="1:9" s="47" customFormat="1" x14ac:dyDescent="0.2">
      <c r="A100" s="5">
        <f t="shared" si="21"/>
        <v>523</v>
      </c>
      <c r="B100" s="30">
        <f t="shared" si="20"/>
        <v>526</v>
      </c>
      <c r="C100" s="3">
        <f t="shared" si="13"/>
        <v>522</v>
      </c>
      <c r="D100" s="3">
        <f t="shared" si="14"/>
        <v>525</v>
      </c>
      <c r="E100" s="5">
        <v>4</v>
      </c>
      <c r="F100" s="45" t="s">
        <v>590</v>
      </c>
      <c r="I100" s="8" t="str">
        <f t="shared" si="22"/>
        <v>ExpressingMathematicalReasoningRawScore_ALG 522-525 A4</v>
      </c>
    </row>
    <row r="101" spans="1:9" s="47" customFormat="1" x14ac:dyDescent="0.2">
      <c r="A101" s="5">
        <f t="shared" si="21"/>
        <v>527</v>
      </c>
      <c r="B101" s="30">
        <f t="shared" si="20"/>
        <v>527</v>
      </c>
      <c r="C101" s="3">
        <f t="shared" si="13"/>
        <v>526</v>
      </c>
      <c r="D101" s="3">
        <f t="shared" si="14"/>
        <v>526</v>
      </c>
      <c r="E101" s="5">
        <v>1</v>
      </c>
      <c r="F101" s="45" t="s">
        <v>591</v>
      </c>
      <c r="I101" s="8" t="str">
        <f t="shared" si="22"/>
        <v>ExpressingMathematicalReasoningRating_ALG 526-526 A1</v>
      </c>
    </row>
    <row r="102" spans="1:9" s="47" customFormat="1" ht="25.5" x14ac:dyDescent="0.2">
      <c r="A102" s="5">
        <f t="shared" si="21"/>
        <v>528</v>
      </c>
      <c r="B102" s="30">
        <f t="shared" si="20"/>
        <v>530</v>
      </c>
      <c r="C102" s="3">
        <f t="shared" si="13"/>
        <v>527</v>
      </c>
      <c r="D102" s="3">
        <f t="shared" si="14"/>
        <v>529</v>
      </c>
      <c r="E102" s="5">
        <v>3</v>
      </c>
      <c r="F102" s="45" t="s">
        <v>592</v>
      </c>
      <c r="I102" s="8" t="str">
        <f t="shared" si="22"/>
        <v>ExpressingMathematicalReasoningPercentCorrect_ALG 527-529 A3</v>
      </c>
    </row>
    <row r="103" spans="1:9" s="47" customFormat="1" x14ac:dyDescent="0.2">
      <c r="A103" s="5">
        <f t="shared" si="21"/>
        <v>531</v>
      </c>
      <c r="B103" s="30">
        <f t="shared" si="20"/>
        <v>534</v>
      </c>
      <c r="C103" s="3">
        <f t="shared" si="13"/>
        <v>530</v>
      </c>
      <c r="D103" s="3">
        <f t="shared" si="14"/>
        <v>533</v>
      </c>
      <c r="E103" s="5">
        <v>4</v>
      </c>
      <c r="F103" s="45" t="s">
        <v>713</v>
      </c>
      <c r="I103" s="8" t="str">
        <f t="shared" si="22"/>
        <v>ModelingApplicationRawScore_ALG 530-533 A4</v>
      </c>
    </row>
    <row r="104" spans="1:9" s="47" customFormat="1" x14ac:dyDescent="0.2">
      <c r="A104" s="5">
        <f t="shared" si="21"/>
        <v>535</v>
      </c>
      <c r="B104" s="30">
        <f t="shared" si="20"/>
        <v>535</v>
      </c>
      <c r="C104" s="3">
        <f t="shared" si="13"/>
        <v>534</v>
      </c>
      <c r="D104" s="3">
        <f t="shared" si="14"/>
        <v>534</v>
      </c>
      <c r="E104" s="5">
        <v>1</v>
      </c>
      <c r="F104" s="45" t="s">
        <v>714</v>
      </c>
      <c r="I104" s="8" t="str">
        <f t="shared" si="22"/>
        <v>ModelingApplicationRating_ALG 534-534 A1</v>
      </c>
    </row>
    <row r="105" spans="1:9" s="47" customFormat="1" ht="65.25" customHeight="1" x14ac:dyDescent="0.2">
      <c r="A105" s="5">
        <f t="shared" si="21"/>
        <v>536</v>
      </c>
      <c r="B105" s="30">
        <f t="shared" si="20"/>
        <v>538</v>
      </c>
      <c r="C105" s="3">
        <f t="shared" si="13"/>
        <v>535</v>
      </c>
      <c r="D105" s="3">
        <f t="shared" si="14"/>
        <v>537</v>
      </c>
      <c r="E105" s="5">
        <v>3</v>
      </c>
      <c r="F105" s="45" t="s">
        <v>715</v>
      </c>
      <c r="I105" s="8" t="str">
        <f t="shared" si="22"/>
        <v>ModelingApplicationPercentCorrect_ALG 535-537 A3</v>
      </c>
    </row>
    <row r="106" spans="1:9" s="47" customFormat="1" ht="16.899999999999999" customHeight="1" x14ac:dyDescent="0.2">
      <c r="A106" s="5">
        <f t="shared" si="21"/>
        <v>539</v>
      </c>
      <c r="B106" s="30">
        <f t="shared" si="20"/>
        <v>540</v>
      </c>
      <c r="C106" s="3">
        <f t="shared" si="13"/>
        <v>538</v>
      </c>
      <c r="D106" s="3">
        <f t="shared" si="14"/>
        <v>539</v>
      </c>
      <c r="E106" s="5">
        <v>2</v>
      </c>
      <c r="F106" s="21" t="str">
        <f>CONCATENATE(H106,G106)</f>
        <v>FILLER15</v>
      </c>
      <c r="G106" s="70">
        <v>15</v>
      </c>
      <c r="H106" s="4" t="s">
        <v>39</v>
      </c>
      <c r="I106" s="8" t="str">
        <f t="shared" si="15"/>
        <v>FILLER15 538-539 A2</v>
      </c>
    </row>
    <row r="107" spans="1:9" s="47" customFormat="1" ht="19.149999999999999" customHeight="1" x14ac:dyDescent="0.2">
      <c r="A107" s="5"/>
      <c r="B107" s="30" t="s">
        <v>318</v>
      </c>
      <c r="C107" s="3"/>
      <c r="D107" s="3"/>
      <c r="E107" s="5"/>
      <c r="F107" s="48" t="s">
        <v>671</v>
      </c>
      <c r="I107" s="8"/>
    </row>
    <row r="108" spans="1:9" s="47" customFormat="1" ht="99.6" customHeight="1" x14ac:dyDescent="0.2">
      <c r="A108" s="5">
        <f>A106+E106</f>
        <v>541</v>
      </c>
      <c r="B108" s="30">
        <f t="shared" ref="B108:B117" si="23">A108+E108-1</f>
        <v>544</v>
      </c>
      <c r="C108" s="3">
        <f t="shared" si="13"/>
        <v>540</v>
      </c>
      <c r="D108" s="3">
        <f t="shared" si="14"/>
        <v>543</v>
      </c>
      <c r="E108" s="5">
        <v>4</v>
      </c>
      <c r="F108" s="45" t="s">
        <v>593</v>
      </c>
      <c r="I108" s="8" t="str">
        <f>CONCATENATE(F108,"_ALG ",C108,"-",D108," A",E108)</f>
        <v>InterpretingFunctionsRawScore_ALG 540-543 A4</v>
      </c>
    </row>
    <row r="109" spans="1:9" s="47" customFormat="1" ht="102" customHeight="1" x14ac:dyDescent="0.2">
      <c r="A109" s="5">
        <f t="shared" ref="A109:A117" si="24">A108+E108</f>
        <v>545</v>
      </c>
      <c r="B109" s="30">
        <f t="shared" si="23"/>
        <v>545</v>
      </c>
      <c r="C109" s="3">
        <f t="shared" si="13"/>
        <v>544</v>
      </c>
      <c r="D109" s="3">
        <f t="shared" si="14"/>
        <v>544</v>
      </c>
      <c r="E109" s="5">
        <v>1</v>
      </c>
      <c r="F109" s="45" t="s">
        <v>594</v>
      </c>
      <c r="I109" s="8" t="str">
        <f t="shared" ref="I109:I116" si="25">CONCATENATE(F109,"_ALG ",C109,"-",D109," A",E109)</f>
        <v>InterpretingFunctionsRating_ALG 544-544 A1</v>
      </c>
    </row>
    <row r="110" spans="1:9" s="47" customFormat="1" ht="76.900000000000006" customHeight="1" x14ac:dyDescent="0.2">
      <c r="A110" s="5">
        <f t="shared" si="24"/>
        <v>546</v>
      </c>
      <c r="B110" s="30">
        <f t="shared" si="23"/>
        <v>548</v>
      </c>
      <c r="C110" s="3">
        <f t="shared" si="13"/>
        <v>545</v>
      </c>
      <c r="D110" s="3">
        <f t="shared" si="14"/>
        <v>547</v>
      </c>
      <c r="E110" s="5">
        <v>3</v>
      </c>
      <c r="F110" s="45" t="s">
        <v>595</v>
      </c>
      <c r="I110" s="8" t="str">
        <f t="shared" si="25"/>
        <v>InterpretingFunctionsPercentCorrect_ALG 545-547 A3</v>
      </c>
    </row>
    <row r="111" spans="1:9" s="47" customFormat="1" ht="93" customHeight="1" x14ac:dyDescent="0.2">
      <c r="A111" s="5">
        <f t="shared" si="24"/>
        <v>549</v>
      </c>
      <c r="B111" s="30">
        <f t="shared" si="23"/>
        <v>552</v>
      </c>
      <c r="C111" s="3">
        <f t="shared" si="13"/>
        <v>548</v>
      </c>
      <c r="D111" s="3">
        <f t="shared" si="14"/>
        <v>551</v>
      </c>
      <c r="E111" s="5">
        <v>4</v>
      </c>
      <c r="F111" s="45" t="s">
        <v>596</v>
      </c>
      <c r="I111" s="8" t="str">
        <f t="shared" si="25"/>
        <v>SolvingAlgebraicallyRawScore_ALG 548-551 A4</v>
      </c>
    </row>
    <row r="112" spans="1:9" s="47" customFormat="1" ht="84" customHeight="1" x14ac:dyDescent="0.2">
      <c r="A112" s="5">
        <f t="shared" si="24"/>
        <v>553</v>
      </c>
      <c r="B112" s="30">
        <f t="shared" si="23"/>
        <v>553</v>
      </c>
      <c r="C112" s="3">
        <f t="shared" si="13"/>
        <v>552</v>
      </c>
      <c r="D112" s="3">
        <f t="shared" si="14"/>
        <v>552</v>
      </c>
      <c r="E112" s="5">
        <v>1</v>
      </c>
      <c r="F112" s="45" t="s">
        <v>597</v>
      </c>
      <c r="I112" s="8" t="str">
        <f t="shared" si="25"/>
        <v>SolvingAlgebraicallyRating_ALG 552-552 A1</v>
      </c>
    </row>
    <row r="113" spans="1:9" s="47" customFormat="1" ht="98.45" customHeight="1" x14ac:dyDescent="0.2">
      <c r="A113" s="5">
        <f t="shared" si="24"/>
        <v>554</v>
      </c>
      <c r="B113" s="30">
        <f t="shared" si="23"/>
        <v>556</v>
      </c>
      <c r="C113" s="3">
        <f t="shared" si="13"/>
        <v>553</v>
      </c>
      <c r="D113" s="3">
        <f t="shared" si="14"/>
        <v>555</v>
      </c>
      <c r="E113" s="5">
        <v>3</v>
      </c>
      <c r="F113" s="45" t="s">
        <v>598</v>
      </c>
      <c r="I113" s="8" t="str">
        <f t="shared" si="25"/>
        <v>SolvingAlgebraicallyPercentCorrect_ALG 553-555 A3</v>
      </c>
    </row>
    <row r="114" spans="1:9" s="47" customFormat="1" ht="85.9" customHeight="1" x14ac:dyDescent="0.2">
      <c r="A114" s="5">
        <f t="shared" si="24"/>
        <v>557</v>
      </c>
      <c r="B114" s="30">
        <f t="shared" si="23"/>
        <v>560</v>
      </c>
      <c r="C114" s="3">
        <f t="shared" si="13"/>
        <v>556</v>
      </c>
      <c r="D114" s="3">
        <f t="shared" si="14"/>
        <v>559</v>
      </c>
      <c r="E114" s="5">
        <v>4</v>
      </c>
      <c r="F114" s="45" t="s">
        <v>704</v>
      </c>
      <c r="I114" s="8" t="str">
        <f t="shared" si="25"/>
        <v>SolvingGraphicallyRateofChangeRawScore_ALG 556-559 A4</v>
      </c>
    </row>
    <row r="115" spans="1:9" s="47" customFormat="1" ht="90.6" customHeight="1" x14ac:dyDescent="0.2">
      <c r="A115" s="5">
        <f t="shared" si="24"/>
        <v>561</v>
      </c>
      <c r="B115" s="30">
        <f t="shared" si="23"/>
        <v>561</v>
      </c>
      <c r="C115" s="3">
        <f t="shared" si="13"/>
        <v>560</v>
      </c>
      <c r="D115" s="3">
        <f t="shared" si="14"/>
        <v>560</v>
      </c>
      <c r="E115" s="5">
        <v>1</v>
      </c>
      <c r="F115" s="45" t="s">
        <v>705</v>
      </c>
      <c r="I115" s="8" t="str">
        <f t="shared" si="25"/>
        <v>SolvingGraphicallyRateofChangeRating_ALG 560-560 A1</v>
      </c>
    </row>
    <row r="116" spans="1:9" s="47" customFormat="1" ht="72" customHeight="1" x14ac:dyDescent="0.2">
      <c r="A116" s="5">
        <f t="shared" si="24"/>
        <v>562</v>
      </c>
      <c r="B116" s="30">
        <f t="shared" si="23"/>
        <v>564</v>
      </c>
      <c r="C116" s="3">
        <f t="shared" si="13"/>
        <v>561</v>
      </c>
      <c r="D116" s="3">
        <f t="shared" si="14"/>
        <v>563</v>
      </c>
      <c r="E116" s="5">
        <v>3</v>
      </c>
      <c r="F116" s="45" t="s">
        <v>706</v>
      </c>
      <c r="I116" s="8" t="str">
        <f t="shared" si="25"/>
        <v>SolvingGraphicallyRateofChangePercentCorrect_ALG 561-563 A3</v>
      </c>
    </row>
    <row r="117" spans="1:9" x14ac:dyDescent="0.2">
      <c r="A117" s="5">
        <f t="shared" si="24"/>
        <v>565</v>
      </c>
      <c r="B117" s="5">
        <f t="shared" si="23"/>
        <v>566</v>
      </c>
      <c r="C117" s="3">
        <f t="shared" si="13"/>
        <v>564</v>
      </c>
      <c r="D117" s="3">
        <f t="shared" si="14"/>
        <v>565</v>
      </c>
      <c r="E117" s="5">
        <v>2</v>
      </c>
      <c r="F117" s="21" t="str">
        <f>CONCATENATE(H117,G117)</f>
        <v>FILLER16</v>
      </c>
      <c r="G117" s="6">
        <v>16</v>
      </c>
      <c r="H117" s="4" t="s">
        <v>39</v>
      </c>
      <c r="I117" s="8" t="str">
        <f t="shared" si="15"/>
        <v>FILLER16 564-565 A2</v>
      </c>
    </row>
    <row r="118" spans="1:9" x14ac:dyDescent="0.2">
      <c r="A118" s="3"/>
      <c r="B118" s="3"/>
      <c r="C118" s="3"/>
      <c r="D118" s="3"/>
      <c r="E118" s="3"/>
      <c r="F118" s="22" t="s">
        <v>672</v>
      </c>
      <c r="G118" s="4"/>
      <c r="I118" s="8"/>
    </row>
    <row r="119" spans="1:9" ht="71.25" customHeight="1" x14ac:dyDescent="0.2">
      <c r="A119" s="3">
        <f>A117+E117</f>
        <v>567</v>
      </c>
      <c r="B119" s="3">
        <f t="shared" ref="B119:B126" si="26">A119+E119-1</f>
        <v>568</v>
      </c>
      <c r="C119" s="3">
        <f t="shared" si="13"/>
        <v>566</v>
      </c>
      <c r="D119" s="3">
        <f t="shared" si="14"/>
        <v>567</v>
      </c>
      <c r="E119" s="5">
        <v>2</v>
      </c>
      <c r="F119" s="13" t="s">
        <v>599</v>
      </c>
      <c r="G119" s="4"/>
      <c r="I119" s="8" t="str">
        <f>CONCATENATE(F119,"_ALG ",C119,"-",D119," A",E119)</f>
        <v>AccountabilityCodeAlgebraI_ALG 566-567 A2</v>
      </c>
    </row>
    <row r="120" spans="1:9" x14ac:dyDescent="0.2">
      <c r="A120" s="3">
        <f t="shared" ref="A120:A126" si="27">A119+E119</f>
        <v>569</v>
      </c>
      <c r="B120" s="3">
        <f t="shared" si="26"/>
        <v>569</v>
      </c>
      <c r="C120" s="3">
        <f t="shared" si="13"/>
        <v>568</v>
      </c>
      <c r="D120" s="3">
        <f t="shared" si="14"/>
        <v>568</v>
      </c>
      <c r="E120" s="3">
        <v>1</v>
      </c>
      <c r="F120" s="21" t="s">
        <v>600</v>
      </c>
      <c r="G120" s="4"/>
      <c r="I120" s="8" t="str">
        <f t="shared" ref="I120:I125" si="28">CONCATENATE(F120,"_ALG ",C120,"-",D120," A",E120)</f>
        <v>Reportablestatus_ALG 568-568 A1</v>
      </c>
    </row>
    <row r="121" spans="1:9" x14ac:dyDescent="0.2">
      <c r="A121" s="3">
        <f t="shared" si="27"/>
        <v>570</v>
      </c>
      <c r="B121" s="3">
        <f t="shared" si="26"/>
        <v>570</v>
      </c>
      <c r="C121" s="3">
        <f t="shared" si="13"/>
        <v>569</v>
      </c>
      <c r="D121" s="3">
        <f t="shared" si="14"/>
        <v>569</v>
      </c>
      <c r="E121" s="3">
        <v>1</v>
      </c>
      <c r="F121" s="21" t="s">
        <v>601</v>
      </c>
      <c r="G121" s="4"/>
      <c r="I121" s="8" t="str">
        <f t="shared" si="28"/>
        <v>TestValidAttempt_ALG 569-569 A1</v>
      </c>
    </row>
    <row r="122" spans="1:9" x14ac:dyDescent="0.2">
      <c r="A122" s="3">
        <f t="shared" si="27"/>
        <v>571</v>
      </c>
      <c r="B122" s="3">
        <f t="shared" si="26"/>
        <v>571</v>
      </c>
      <c r="C122" s="3">
        <f t="shared" si="13"/>
        <v>570</v>
      </c>
      <c r="D122" s="3">
        <f t="shared" si="14"/>
        <v>570</v>
      </c>
      <c r="E122" s="3">
        <v>1</v>
      </c>
      <c r="F122" s="21" t="s">
        <v>602</v>
      </c>
      <c r="G122" s="4"/>
      <c r="I122" s="8" t="str">
        <f t="shared" si="28"/>
        <v>TestLaunchFlag_ALG 570-570 A1</v>
      </c>
    </row>
    <row r="123" spans="1:9" x14ac:dyDescent="0.2">
      <c r="A123" s="3">
        <f t="shared" si="27"/>
        <v>572</v>
      </c>
      <c r="B123" s="3">
        <f t="shared" si="26"/>
        <v>572</v>
      </c>
      <c r="C123" s="3">
        <f t="shared" si="13"/>
        <v>571</v>
      </c>
      <c r="D123" s="3">
        <f t="shared" si="14"/>
        <v>571</v>
      </c>
      <c r="E123" s="3">
        <v>1</v>
      </c>
      <c r="F123" s="21" t="s">
        <v>603</v>
      </c>
      <c r="G123" s="4"/>
      <c r="I123" s="8" t="str">
        <f t="shared" si="28"/>
        <v>VoidFlag_ALG 571-571 A1</v>
      </c>
    </row>
    <row r="124" spans="1:9" ht="172.5" customHeight="1" x14ac:dyDescent="0.2">
      <c r="A124" s="3">
        <f t="shared" si="27"/>
        <v>573</v>
      </c>
      <c r="B124" s="3">
        <f t="shared" si="26"/>
        <v>573</v>
      </c>
      <c r="C124" s="3">
        <f t="shared" si="13"/>
        <v>572</v>
      </c>
      <c r="D124" s="3">
        <f t="shared" si="14"/>
        <v>572</v>
      </c>
      <c r="E124" s="3">
        <v>1</v>
      </c>
      <c r="F124" s="21" t="s">
        <v>604</v>
      </c>
      <c r="G124" s="4"/>
      <c r="I124" s="8" t="str">
        <f t="shared" si="28"/>
        <v>RetestFlag_ALG 572-572 A1</v>
      </c>
    </row>
    <row r="125" spans="1:9" x14ac:dyDescent="0.2">
      <c r="A125" s="3">
        <f t="shared" si="27"/>
        <v>574</v>
      </c>
      <c r="B125" s="3">
        <f t="shared" si="26"/>
        <v>574</v>
      </c>
      <c r="C125" s="3">
        <f t="shared" si="13"/>
        <v>573</v>
      </c>
      <c r="D125" s="3">
        <f t="shared" si="14"/>
        <v>573</v>
      </c>
      <c r="E125" s="3">
        <v>1</v>
      </c>
      <c r="F125" s="21" t="s">
        <v>605</v>
      </c>
      <c r="G125" s="4"/>
      <c r="I125" s="8" t="str">
        <f t="shared" si="28"/>
        <v>EligibleFlag_ALG 573-573 A1</v>
      </c>
    </row>
    <row r="126" spans="1:9" x14ac:dyDescent="0.2">
      <c r="A126" s="3">
        <f t="shared" si="27"/>
        <v>575</v>
      </c>
      <c r="B126" s="3">
        <f t="shared" si="26"/>
        <v>928</v>
      </c>
      <c r="C126" s="3">
        <f t="shared" si="13"/>
        <v>574</v>
      </c>
      <c r="D126" s="3">
        <f t="shared" si="14"/>
        <v>927</v>
      </c>
      <c r="E126" s="5">
        <v>354</v>
      </c>
      <c r="F126" s="21" t="str">
        <f>CONCATENATE(H126,G126)</f>
        <v>FILLER17</v>
      </c>
      <c r="G126" s="6">
        <v>17</v>
      </c>
      <c r="H126" s="4" t="s">
        <v>39</v>
      </c>
      <c r="I126" s="8" t="str">
        <f t="shared" si="15"/>
        <v>FILLER17 574-927 A354</v>
      </c>
    </row>
    <row r="127" spans="1:9" x14ac:dyDescent="0.2">
      <c r="A127" s="3"/>
      <c r="B127" s="3"/>
      <c r="C127" s="3"/>
      <c r="D127" s="3"/>
      <c r="E127" s="3"/>
      <c r="F127" s="22" t="s">
        <v>673</v>
      </c>
      <c r="G127" s="4"/>
      <c r="I127" s="8"/>
    </row>
    <row r="128" spans="1:9" x14ac:dyDescent="0.2">
      <c r="A128" s="3">
        <f>A126+E126</f>
        <v>929</v>
      </c>
      <c r="B128" s="3">
        <f t="shared" ref="B128:B141" si="29">A128+E128-1</f>
        <v>929</v>
      </c>
      <c r="C128" s="3">
        <f t="shared" si="13"/>
        <v>928</v>
      </c>
      <c r="D128" s="3">
        <f t="shared" si="14"/>
        <v>928</v>
      </c>
      <c r="E128" s="3">
        <v>1</v>
      </c>
      <c r="F128" s="21" t="s">
        <v>559</v>
      </c>
      <c r="G128" s="4"/>
      <c r="I128" s="8" t="str">
        <f>CONCATENATE(F128,"_EN2 ",C128,"-",D128," A",E128)</f>
        <v>AdminErrorAdministration_EN2 928-928 A1</v>
      </c>
    </row>
    <row r="129" spans="1:9" x14ac:dyDescent="0.2">
      <c r="A129" s="3">
        <f t="shared" ref="A129:A141" si="30">A128+E128</f>
        <v>930</v>
      </c>
      <c r="B129" s="3">
        <f t="shared" si="29"/>
        <v>937</v>
      </c>
      <c r="C129" s="3">
        <f t="shared" si="13"/>
        <v>929</v>
      </c>
      <c r="D129" s="3">
        <f t="shared" si="14"/>
        <v>936</v>
      </c>
      <c r="E129" s="6">
        <v>8</v>
      </c>
      <c r="F129" s="9" t="s">
        <v>11</v>
      </c>
      <c r="G129" s="4"/>
      <c r="I129" s="8" t="str">
        <f>CONCATENATE(F129,"_EN2 ",C129,"-",D129," A",E129)</f>
        <v>Content_EN2 929-936 A8</v>
      </c>
    </row>
    <row r="130" spans="1:9" x14ac:dyDescent="0.2">
      <c r="A130" s="3">
        <f t="shared" si="30"/>
        <v>938</v>
      </c>
      <c r="B130" s="3">
        <f t="shared" si="29"/>
        <v>945</v>
      </c>
      <c r="C130" s="3">
        <f t="shared" si="13"/>
        <v>937</v>
      </c>
      <c r="D130" s="3">
        <f t="shared" si="14"/>
        <v>944</v>
      </c>
      <c r="E130" s="5">
        <v>8</v>
      </c>
      <c r="F130" s="21" t="str">
        <f>CONCATENATE(H130,G130)</f>
        <v>FILLER18</v>
      </c>
      <c r="G130" s="6">
        <v>18</v>
      </c>
      <c r="H130" s="4" t="s">
        <v>39</v>
      </c>
      <c r="I130" s="8" t="str">
        <f t="shared" si="15"/>
        <v>FILLER18 937-944 A8</v>
      </c>
    </row>
    <row r="131" spans="1:9" ht="30" customHeight="1" x14ac:dyDescent="0.2">
      <c r="A131" s="3">
        <f t="shared" si="30"/>
        <v>946</v>
      </c>
      <c r="B131" s="3">
        <f t="shared" si="29"/>
        <v>965</v>
      </c>
      <c r="C131" s="3">
        <f t="shared" si="13"/>
        <v>945</v>
      </c>
      <c r="D131" s="3">
        <f t="shared" si="14"/>
        <v>964</v>
      </c>
      <c r="E131" s="3">
        <v>20</v>
      </c>
      <c r="F131" s="21" t="s">
        <v>560</v>
      </c>
      <c r="G131" s="4"/>
      <c r="I131" s="8" t="str">
        <f t="shared" ref="I131:I133" si="31">CONCATENATE(F131,"_EN2 ",C131,"-",D131," A",E131)</f>
        <v>TeacherLastName_EN2 945-964 A20</v>
      </c>
    </row>
    <row r="132" spans="1:9" ht="18" customHeight="1" x14ac:dyDescent="0.2">
      <c r="A132" s="3">
        <f t="shared" si="30"/>
        <v>966</v>
      </c>
      <c r="B132" s="3">
        <f t="shared" si="29"/>
        <v>980</v>
      </c>
      <c r="C132" s="3">
        <f t="shared" ref="C132:C195" si="32">A132-1</f>
        <v>965</v>
      </c>
      <c r="D132" s="3">
        <f t="shared" ref="D132:D195" si="33">B132-1</f>
        <v>979</v>
      </c>
      <c r="E132" s="3">
        <v>15</v>
      </c>
      <c r="F132" s="21" t="s">
        <v>561</v>
      </c>
      <c r="G132" s="4"/>
      <c r="I132" s="8" t="str">
        <f t="shared" si="31"/>
        <v>TeacherFirstName_EN2 965-979 A15</v>
      </c>
    </row>
    <row r="133" spans="1:9" x14ac:dyDescent="0.2">
      <c r="A133" s="3">
        <f t="shared" si="30"/>
        <v>981</v>
      </c>
      <c r="B133" s="3">
        <f t="shared" si="29"/>
        <v>981</v>
      </c>
      <c r="C133" s="3">
        <f t="shared" si="32"/>
        <v>980</v>
      </c>
      <c r="D133" s="3">
        <f t="shared" si="33"/>
        <v>980</v>
      </c>
      <c r="E133" s="3">
        <v>1</v>
      </c>
      <c r="F133" s="21" t="s">
        <v>562</v>
      </c>
      <c r="G133" s="4"/>
      <c r="I133" s="8" t="str">
        <f t="shared" si="31"/>
        <v>TeacherMiddleInitial_EN2 980-980 A1</v>
      </c>
    </row>
    <row r="134" spans="1:9" ht="38.25" customHeight="1" x14ac:dyDescent="0.2">
      <c r="A134" s="3">
        <f t="shared" si="30"/>
        <v>982</v>
      </c>
      <c r="B134" s="3">
        <f t="shared" si="29"/>
        <v>1025</v>
      </c>
      <c r="C134" s="3">
        <f t="shared" si="32"/>
        <v>981</v>
      </c>
      <c r="D134" s="3">
        <f t="shared" si="33"/>
        <v>1024</v>
      </c>
      <c r="E134" s="3">
        <v>44</v>
      </c>
      <c r="F134" s="21" t="str">
        <f>CONCATENATE(H134,G134)</f>
        <v>FILLER19</v>
      </c>
      <c r="G134" s="6">
        <v>19</v>
      </c>
      <c r="H134" s="4" t="s">
        <v>39</v>
      </c>
      <c r="I134" s="8" t="str">
        <f t="shared" ref="I134:I191" si="34">CONCATENATE(F134," ",C134,"-",D134," A",E134)</f>
        <v>FILLER19 981-1024 A44</v>
      </c>
    </row>
    <row r="135" spans="1:9" x14ac:dyDescent="0.2">
      <c r="A135" s="3">
        <f t="shared" si="30"/>
        <v>1026</v>
      </c>
      <c r="B135" s="3">
        <f t="shared" si="29"/>
        <v>1031</v>
      </c>
      <c r="C135" s="3">
        <f t="shared" si="32"/>
        <v>1025</v>
      </c>
      <c r="D135" s="3">
        <f t="shared" si="33"/>
        <v>1030</v>
      </c>
      <c r="E135" s="3">
        <v>6</v>
      </c>
      <c r="F135" s="21" t="s">
        <v>563</v>
      </c>
      <c r="G135" s="4"/>
      <c r="I135" s="8" t="str">
        <f t="shared" ref="I135:I140" si="35">CONCATENATE(F135,"_EN2 ",C135,"-",D135," A",E135)</f>
        <v>CourseCode_EN2 1025-1030 A6</v>
      </c>
    </row>
    <row r="136" spans="1:9" x14ac:dyDescent="0.2">
      <c r="A136" s="3">
        <f t="shared" si="30"/>
        <v>1032</v>
      </c>
      <c r="B136" s="3">
        <f t="shared" si="29"/>
        <v>1061</v>
      </c>
      <c r="C136" s="3">
        <f t="shared" si="32"/>
        <v>1031</v>
      </c>
      <c r="D136" s="3">
        <f t="shared" si="33"/>
        <v>1060</v>
      </c>
      <c r="E136" s="3">
        <v>30</v>
      </c>
      <c r="F136" s="21" t="s">
        <v>564</v>
      </c>
      <c r="G136" s="4"/>
      <c r="I136" s="8" t="str">
        <f t="shared" si="35"/>
        <v>CourseName_EN2 1031-1060 A30</v>
      </c>
    </row>
    <row r="137" spans="1:9" x14ac:dyDescent="0.2">
      <c r="A137" s="3">
        <f t="shared" si="30"/>
        <v>1062</v>
      </c>
      <c r="B137" s="3">
        <f t="shared" si="29"/>
        <v>1081</v>
      </c>
      <c r="C137" s="3">
        <f t="shared" si="32"/>
        <v>1061</v>
      </c>
      <c r="D137" s="3">
        <f t="shared" si="33"/>
        <v>1080</v>
      </c>
      <c r="E137" s="3">
        <v>20</v>
      </c>
      <c r="F137" s="21" t="s">
        <v>565</v>
      </c>
      <c r="G137" s="4"/>
      <c r="I137" s="8" t="str">
        <f t="shared" si="35"/>
        <v>ClassSection_EN2 1061-1080 A20</v>
      </c>
    </row>
    <row r="138" spans="1:9" s="49" customFormat="1" ht="15" x14ac:dyDescent="0.25">
      <c r="A138" s="3">
        <f t="shared" si="30"/>
        <v>1082</v>
      </c>
      <c r="B138" s="3">
        <f t="shared" si="29"/>
        <v>1087</v>
      </c>
      <c r="C138" s="3">
        <f t="shared" si="32"/>
        <v>1081</v>
      </c>
      <c r="D138" s="3">
        <f t="shared" si="33"/>
        <v>1086</v>
      </c>
      <c r="E138" s="3">
        <v>6</v>
      </c>
      <c r="F138" s="21" t="s">
        <v>566</v>
      </c>
      <c r="I138" s="8" t="str">
        <f t="shared" si="35"/>
        <v>TestingSiteCode_EN2 1081-1086 A6</v>
      </c>
    </row>
    <row r="139" spans="1:9" s="50" customFormat="1" ht="15" x14ac:dyDescent="0.25">
      <c r="A139" s="5">
        <f t="shared" si="30"/>
        <v>1088</v>
      </c>
      <c r="B139" s="5">
        <f t="shared" si="29"/>
        <v>1088</v>
      </c>
      <c r="C139" s="3">
        <f t="shared" si="32"/>
        <v>1087</v>
      </c>
      <c r="D139" s="3">
        <f t="shared" si="33"/>
        <v>1087</v>
      </c>
      <c r="E139" s="5">
        <v>1</v>
      </c>
      <c r="F139" s="13" t="s">
        <v>606</v>
      </c>
      <c r="I139" s="8" t="str">
        <f t="shared" si="35"/>
        <v>EnglishIIEnrollFlag_EN2 1087-1087 A1</v>
      </c>
    </row>
    <row r="140" spans="1:9" s="50" customFormat="1" ht="15" x14ac:dyDescent="0.25">
      <c r="A140" s="5">
        <f t="shared" si="30"/>
        <v>1089</v>
      </c>
      <c r="B140" s="5">
        <f t="shared" si="29"/>
        <v>1089</v>
      </c>
      <c r="C140" s="3">
        <f t="shared" si="32"/>
        <v>1088</v>
      </c>
      <c r="D140" s="3">
        <f t="shared" si="33"/>
        <v>1088</v>
      </c>
      <c r="E140" s="5">
        <v>1</v>
      </c>
      <c r="F140" s="13" t="s">
        <v>607</v>
      </c>
      <c r="I140" s="8" t="str">
        <f t="shared" si="35"/>
        <v>EnglishIICohortFlag_EN2 1088-1088 A1</v>
      </c>
    </row>
    <row r="141" spans="1:9" x14ac:dyDescent="0.2">
      <c r="A141" s="5">
        <f t="shared" si="30"/>
        <v>1090</v>
      </c>
      <c r="B141" s="5">
        <f t="shared" si="29"/>
        <v>1126</v>
      </c>
      <c r="C141" s="3">
        <f t="shared" si="32"/>
        <v>1089</v>
      </c>
      <c r="D141" s="3">
        <f t="shared" si="33"/>
        <v>1125</v>
      </c>
      <c r="E141" s="6">
        <v>37</v>
      </c>
      <c r="F141" s="21" t="str">
        <f>CONCATENATE(H141,G141)</f>
        <v>FILLER20</v>
      </c>
      <c r="G141" s="6">
        <v>20</v>
      </c>
      <c r="H141" s="4" t="s">
        <v>39</v>
      </c>
      <c r="I141" s="8" t="str">
        <f t="shared" si="34"/>
        <v>FILLER20 1089-1125 A37</v>
      </c>
    </row>
    <row r="142" spans="1:9" s="49" customFormat="1" ht="15" x14ac:dyDescent="0.25">
      <c r="A142" s="5" t="s">
        <v>318</v>
      </c>
      <c r="B142" s="3"/>
      <c r="C142" s="3"/>
      <c r="D142" s="3"/>
      <c r="E142" s="3"/>
      <c r="F142" s="22" t="s">
        <v>668</v>
      </c>
      <c r="I142" s="8"/>
    </row>
    <row r="143" spans="1:9" s="49" customFormat="1" ht="15" customHeight="1" x14ac:dyDescent="0.25">
      <c r="A143" s="5">
        <f>A141+E141</f>
        <v>1127</v>
      </c>
      <c r="B143" s="3">
        <f t="shared" ref="B143:B157" si="36">A143+E143-1</f>
        <v>1127</v>
      </c>
      <c r="C143" s="3">
        <f t="shared" si="32"/>
        <v>1126</v>
      </c>
      <c r="D143" s="3">
        <f t="shared" si="33"/>
        <v>1126</v>
      </c>
      <c r="E143" s="3">
        <v>1</v>
      </c>
      <c r="F143" s="21" t="s">
        <v>525</v>
      </c>
      <c r="I143" s="8" t="str">
        <f>CONCATENATE(F143,"_EN2 ",C143,"-",D143," A",E143)</f>
        <v>TexttoSpeech_EN2 1126-1126 A1</v>
      </c>
    </row>
    <row r="144" spans="1:9" s="49" customFormat="1" ht="15" x14ac:dyDescent="0.25">
      <c r="A144" s="3">
        <f t="shared" ref="A144:A157" si="37">A143+E143</f>
        <v>1128</v>
      </c>
      <c r="B144" s="3">
        <f t="shared" si="36"/>
        <v>1128</v>
      </c>
      <c r="C144" s="3">
        <f t="shared" si="32"/>
        <v>1127</v>
      </c>
      <c r="D144" s="3">
        <f t="shared" si="33"/>
        <v>1127</v>
      </c>
      <c r="E144" s="3">
        <v>1</v>
      </c>
      <c r="F144" s="21" t="s">
        <v>568</v>
      </c>
      <c r="I144" s="8" t="str">
        <f>CONCATENATE(F144,"_EN2 ",C144,"-",D144," A",E144)</f>
        <v>SpanishTest_EN2 1127-1127 A1</v>
      </c>
    </row>
    <row r="145" spans="1:9" s="49" customFormat="1" ht="15" x14ac:dyDescent="0.25">
      <c r="A145" s="3">
        <f t="shared" si="37"/>
        <v>1129</v>
      </c>
      <c r="B145" s="3">
        <f t="shared" si="36"/>
        <v>1129</v>
      </c>
      <c r="C145" s="3">
        <f t="shared" si="32"/>
        <v>1128</v>
      </c>
      <c r="D145" s="3">
        <f t="shared" si="33"/>
        <v>1128</v>
      </c>
      <c r="E145" s="3">
        <v>1</v>
      </c>
      <c r="F145" s="21" t="str">
        <f>CONCATENATE(H145,G145)</f>
        <v>FILLER21</v>
      </c>
      <c r="G145" s="6">
        <v>21</v>
      </c>
      <c r="H145" s="4" t="s">
        <v>39</v>
      </c>
      <c r="I145" s="8" t="str">
        <f t="shared" si="34"/>
        <v>FILLER21 1128-1128 A1</v>
      </c>
    </row>
    <row r="146" spans="1:9" s="49" customFormat="1" ht="15" x14ac:dyDescent="0.25">
      <c r="A146" s="3">
        <f t="shared" si="37"/>
        <v>1130</v>
      </c>
      <c r="B146" s="3">
        <f t="shared" si="36"/>
        <v>1130</v>
      </c>
      <c r="C146" s="3">
        <f t="shared" si="32"/>
        <v>1129</v>
      </c>
      <c r="D146" s="3">
        <f t="shared" si="33"/>
        <v>1129</v>
      </c>
      <c r="E146" s="3">
        <v>1</v>
      </c>
      <c r="F146" s="21" t="s">
        <v>96</v>
      </c>
      <c r="I146" s="8" t="str">
        <f t="shared" ref="I146:I156" si="38">CONCATENATE(F146,"_EN2 ",C146,"-",D146," A",E146)</f>
        <v>Braille_EN2 1129-1129 A1</v>
      </c>
    </row>
    <row r="147" spans="1:9" s="49" customFormat="1" ht="15" x14ac:dyDescent="0.25">
      <c r="A147" s="3">
        <f t="shared" si="37"/>
        <v>1131</v>
      </c>
      <c r="B147" s="3">
        <f t="shared" si="36"/>
        <v>1131</v>
      </c>
      <c r="C147" s="3">
        <f t="shared" si="32"/>
        <v>1130</v>
      </c>
      <c r="D147" s="3">
        <f t="shared" si="33"/>
        <v>1130</v>
      </c>
      <c r="E147" s="3">
        <v>1</v>
      </c>
      <c r="F147" s="21" t="s">
        <v>569</v>
      </c>
      <c r="I147" s="8" t="str">
        <f t="shared" si="38"/>
        <v>AccommodatedPaper_EN2 1130-1130 A1</v>
      </c>
    </row>
    <row r="148" spans="1:9" s="49" customFormat="1" ht="15" x14ac:dyDescent="0.25">
      <c r="A148" s="3">
        <f t="shared" si="37"/>
        <v>1132</v>
      </c>
      <c r="B148" s="3">
        <f t="shared" si="36"/>
        <v>1132</v>
      </c>
      <c r="C148" s="3">
        <f t="shared" si="32"/>
        <v>1131</v>
      </c>
      <c r="D148" s="3">
        <f t="shared" si="33"/>
        <v>1131</v>
      </c>
      <c r="E148" s="3">
        <v>1</v>
      </c>
      <c r="F148" s="21" t="s">
        <v>570</v>
      </c>
      <c r="I148" s="8" t="str">
        <f t="shared" si="38"/>
        <v>HumanReadAloud_EN2 1131-1131 A1</v>
      </c>
    </row>
    <row r="149" spans="1:9" s="49" customFormat="1" ht="15" x14ac:dyDescent="0.25">
      <c r="A149" s="3">
        <f t="shared" si="37"/>
        <v>1133</v>
      </c>
      <c r="B149" s="3">
        <f t="shared" si="36"/>
        <v>1133</v>
      </c>
      <c r="C149" s="3">
        <f t="shared" si="32"/>
        <v>1132</v>
      </c>
      <c r="D149" s="3">
        <f t="shared" si="33"/>
        <v>1132</v>
      </c>
      <c r="E149" s="3">
        <v>1</v>
      </c>
      <c r="F149" s="21" t="s">
        <v>571</v>
      </c>
      <c r="I149" s="8" t="str">
        <f t="shared" si="38"/>
        <v>NativeLanguageWordtoWordDictionary_EN2 1132-1132 A1</v>
      </c>
    </row>
    <row r="150" spans="1:9" s="49" customFormat="1" ht="15" x14ac:dyDescent="0.25">
      <c r="A150" s="3">
        <f t="shared" si="37"/>
        <v>1134</v>
      </c>
      <c r="B150" s="3">
        <f t="shared" si="36"/>
        <v>1134</v>
      </c>
      <c r="C150" s="3">
        <f t="shared" si="32"/>
        <v>1133</v>
      </c>
      <c r="D150" s="3">
        <f t="shared" si="33"/>
        <v>1133</v>
      </c>
      <c r="E150" s="3">
        <v>1</v>
      </c>
      <c r="F150" s="21" t="s">
        <v>572</v>
      </c>
      <c r="I150" s="8" t="str">
        <f t="shared" si="38"/>
        <v>DirectionsinNativeLanguage_EN2 1133-1133 A1</v>
      </c>
    </row>
    <row r="151" spans="1:9" s="49" customFormat="1" ht="15" x14ac:dyDescent="0.25">
      <c r="A151" s="3">
        <f t="shared" si="37"/>
        <v>1135</v>
      </c>
      <c r="B151" s="3">
        <f t="shared" si="36"/>
        <v>1135</v>
      </c>
      <c r="C151" s="3">
        <f t="shared" si="32"/>
        <v>1134</v>
      </c>
      <c r="D151" s="3">
        <f t="shared" si="33"/>
        <v>1134</v>
      </c>
      <c r="E151" s="3">
        <v>1</v>
      </c>
      <c r="F151" s="21" t="s">
        <v>573</v>
      </c>
      <c r="I151" s="8" t="str">
        <f t="shared" si="38"/>
        <v>CommunicationAssistance_EN2 1134-1134 A1</v>
      </c>
    </row>
    <row r="152" spans="1:9" s="49" customFormat="1" ht="15" x14ac:dyDescent="0.25">
      <c r="A152" s="3">
        <f t="shared" si="37"/>
        <v>1136</v>
      </c>
      <c r="B152" s="3">
        <f t="shared" si="36"/>
        <v>1136</v>
      </c>
      <c r="C152" s="3">
        <f t="shared" si="32"/>
        <v>1135</v>
      </c>
      <c r="D152" s="3">
        <f t="shared" si="33"/>
        <v>1135</v>
      </c>
      <c r="E152" s="3">
        <v>1</v>
      </c>
      <c r="F152" s="21" t="s">
        <v>574</v>
      </c>
      <c r="I152" s="8" t="str">
        <f t="shared" si="38"/>
        <v>TransferredAnswers_EN2 1135-1135 A1</v>
      </c>
    </row>
    <row r="153" spans="1:9" s="49" customFormat="1" ht="15" x14ac:dyDescent="0.25">
      <c r="A153" s="3">
        <f t="shared" si="37"/>
        <v>1137</v>
      </c>
      <c r="B153" s="3">
        <f t="shared" si="36"/>
        <v>1137</v>
      </c>
      <c r="C153" s="3">
        <f t="shared" si="32"/>
        <v>1136</v>
      </c>
      <c r="D153" s="3">
        <f t="shared" si="33"/>
        <v>1136</v>
      </c>
      <c r="E153" s="3">
        <v>1</v>
      </c>
      <c r="F153" s="21" t="s">
        <v>575</v>
      </c>
      <c r="I153" s="8" t="str">
        <f t="shared" si="38"/>
        <v>AnswersRecorded_EN2 1136-1136 A1</v>
      </c>
    </row>
    <row r="154" spans="1:9" s="49" customFormat="1" ht="15" x14ac:dyDescent="0.25">
      <c r="A154" s="3">
        <f t="shared" si="37"/>
        <v>1138</v>
      </c>
      <c r="B154" s="3">
        <f t="shared" si="36"/>
        <v>1138</v>
      </c>
      <c r="C154" s="3">
        <f t="shared" si="32"/>
        <v>1137</v>
      </c>
      <c r="D154" s="3">
        <f t="shared" si="33"/>
        <v>1137</v>
      </c>
      <c r="E154" s="3">
        <v>1</v>
      </c>
      <c r="F154" s="21" t="s">
        <v>102</v>
      </c>
      <c r="I154" s="8" t="str">
        <f t="shared" si="38"/>
        <v>Calculator_EN2 1137-1137 A1</v>
      </c>
    </row>
    <row r="155" spans="1:9" s="49" customFormat="1" ht="15" x14ac:dyDescent="0.25">
      <c r="A155" s="3">
        <f t="shared" si="37"/>
        <v>1139</v>
      </c>
      <c r="B155" s="3">
        <f t="shared" si="36"/>
        <v>1139</v>
      </c>
      <c r="C155" s="3">
        <f t="shared" si="32"/>
        <v>1138</v>
      </c>
      <c r="D155" s="3">
        <f t="shared" si="33"/>
        <v>1138</v>
      </c>
      <c r="E155" s="3">
        <v>1</v>
      </c>
      <c r="F155" s="21" t="s">
        <v>578</v>
      </c>
      <c r="I155" s="8" t="str">
        <f t="shared" si="38"/>
        <v>ExtendedTime_EN2 1138-1138 A1</v>
      </c>
    </row>
    <row r="156" spans="1:9" s="49" customFormat="1" ht="15" x14ac:dyDescent="0.25">
      <c r="A156" s="3">
        <f t="shared" si="37"/>
        <v>1140</v>
      </c>
      <c r="B156" s="3">
        <f t="shared" si="36"/>
        <v>1140</v>
      </c>
      <c r="C156" s="3">
        <f t="shared" si="32"/>
        <v>1139</v>
      </c>
      <c r="D156" s="3">
        <f t="shared" si="33"/>
        <v>1139</v>
      </c>
      <c r="E156" s="3">
        <v>1</v>
      </c>
      <c r="F156" s="21" t="s">
        <v>579</v>
      </c>
      <c r="I156" s="8" t="str">
        <f t="shared" si="38"/>
        <v>IndividualorSmallGroupAdministration_EN2 1139-1139 A1</v>
      </c>
    </row>
    <row r="157" spans="1:9" s="49" customFormat="1" ht="15" x14ac:dyDescent="0.25">
      <c r="A157" s="3">
        <f t="shared" si="37"/>
        <v>1141</v>
      </c>
      <c r="B157" s="3">
        <f t="shared" si="36"/>
        <v>1160</v>
      </c>
      <c r="C157" s="3">
        <f t="shared" si="32"/>
        <v>1140</v>
      </c>
      <c r="D157" s="3">
        <f t="shared" si="33"/>
        <v>1159</v>
      </c>
      <c r="E157" s="3">
        <v>20</v>
      </c>
      <c r="F157" s="21" t="str">
        <f>CONCATENATE(H157,G157)</f>
        <v>FILLER22</v>
      </c>
      <c r="G157" s="6">
        <v>22</v>
      </c>
      <c r="H157" s="4" t="s">
        <v>39</v>
      </c>
      <c r="I157" s="8" t="str">
        <f t="shared" si="34"/>
        <v>FILLER22 1140-1159 A20</v>
      </c>
    </row>
    <row r="158" spans="1:9" s="49" customFormat="1" ht="15" x14ac:dyDescent="0.25">
      <c r="A158" s="3"/>
      <c r="B158" s="3"/>
      <c r="C158" s="3"/>
      <c r="D158" s="3"/>
      <c r="E158" s="3"/>
      <c r="F158" s="22" t="s">
        <v>674</v>
      </c>
      <c r="I158" s="8"/>
    </row>
    <row r="159" spans="1:9" s="49" customFormat="1" ht="15" x14ac:dyDescent="0.25">
      <c r="A159" s="3">
        <f>A157+E157</f>
        <v>1161</v>
      </c>
      <c r="B159" s="3">
        <f t="shared" ref="B159:B166" si="39">A159+E159-1</f>
        <v>1163</v>
      </c>
      <c r="C159" s="3">
        <f t="shared" si="32"/>
        <v>1160</v>
      </c>
      <c r="D159" s="3">
        <f t="shared" si="33"/>
        <v>1162</v>
      </c>
      <c r="E159" s="3">
        <v>3</v>
      </c>
      <c r="F159" s="21" t="s">
        <v>580</v>
      </c>
      <c r="I159" s="8" t="str">
        <f>CONCATENATE(F159,"_EN2 ",C159,"-",D159," A",E159)</f>
        <v>TotalMCScore_EN2 1160-1162 A3</v>
      </c>
    </row>
    <row r="160" spans="1:9" s="49" customFormat="1" ht="15" x14ac:dyDescent="0.25">
      <c r="A160" s="3">
        <f t="shared" ref="A160:A166" si="40">A159+E159</f>
        <v>1164</v>
      </c>
      <c r="B160" s="3">
        <f t="shared" si="39"/>
        <v>1166</v>
      </c>
      <c r="C160" s="3">
        <f t="shared" si="32"/>
        <v>1163</v>
      </c>
      <c r="D160" s="3">
        <f t="shared" si="33"/>
        <v>1165</v>
      </c>
      <c r="E160" s="3">
        <v>3</v>
      </c>
      <c r="F160" s="21" t="s">
        <v>581</v>
      </c>
      <c r="I160" s="8" t="str">
        <f t="shared" ref="I160:I165" si="41">CONCATENATE(F160,"_EN2 ",C160,"-",D160," A",E160)</f>
        <v>TotalCRScore_EN2 1163-1165 A3</v>
      </c>
    </row>
    <row r="161" spans="1:9" s="49" customFormat="1" ht="15" x14ac:dyDescent="0.25">
      <c r="A161" s="3">
        <f t="shared" si="40"/>
        <v>1167</v>
      </c>
      <c r="B161" s="3">
        <f t="shared" si="39"/>
        <v>1169</v>
      </c>
      <c r="C161" s="3">
        <f t="shared" si="32"/>
        <v>1166</v>
      </c>
      <c r="D161" s="3">
        <f t="shared" si="33"/>
        <v>1168</v>
      </c>
      <c r="E161" s="3">
        <v>3</v>
      </c>
      <c r="F161" s="21" t="s">
        <v>582</v>
      </c>
      <c r="I161" s="8" t="str">
        <f t="shared" si="41"/>
        <v>TotalRawScore_EN2 1166-1168 A3</v>
      </c>
    </row>
    <row r="162" spans="1:9" s="49" customFormat="1" ht="15" x14ac:dyDescent="0.25">
      <c r="A162" s="3">
        <f t="shared" si="40"/>
        <v>1170</v>
      </c>
      <c r="B162" s="3">
        <f t="shared" si="39"/>
        <v>1172</v>
      </c>
      <c r="C162" s="3">
        <f t="shared" si="32"/>
        <v>1169</v>
      </c>
      <c r="D162" s="3">
        <f t="shared" si="33"/>
        <v>1171</v>
      </c>
      <c r="E162" s="3">
        <v>3</v>
      </c>
      <c r="F162" s="21" t="s">
        <v>583</v>
      </c>
      <c r="I162" s="8" t="str">
        <f t="shared" si="41"/>
        <v>TotalPercentCorrect_EN2 1169-1171 A3</v>
      </c>
    </row>
    <row r="163" spans="1:9" s="49" customFormat="1" ht="15" x14ac:dyDescent="0.25">
      <c r="A163" s="3">
        <f t="shared" si="40"/>
        <v>1173</v>
      </c>
      <c r="B163" s="3">
        <f t="shared" si="39"/>
        <v>1175</v>
      </c>
      <c r="C163" s="3">
        <f t="shared" si="32"/>
        <v>1172</v>
      </c>
      <c r="D163" s="3">
        <f t="shared" si="33"/>
        <v>1174</v>
      </c>
      <c r="E163" s="5">
        <v>3</v>
      </c>
      <c r="F163" s="13" t="s">
        <v>584</v>
      </c>
      <c r="I163" s="8" t="str">
        <f t="shared" si="41"/>
        <v>ScaleScore_EN2 1172-1174 A3</v>
      </c>
    </row>
    <row r="164" spans="1:9" s="49" customFormat="1" ht="15" x14ac:dyDescent="0.25">
      <c r="A164" s="3">
        <f t="shared" si="40"/>
        <v>1176</v>
      </c>
      <c r="B164" s="3">
        <f t="shared" si="39"/>
        <v>1178</v>
      </c>
      <c r="C164" s="3">
        <f t="shared" si="32"/>
        <v>1175</v>
      </c>
      <c r="D164" s="3">
        <f t="shared" si="33"/>
        <v>1177</v>
      </c>
      <c r="E164" s="5">
        <v>3</v>
      </c>
      <c r="F164" s="13" t="s">
        <v>585</v>
      </c>
      <c r="I164" s="8" t="str">
        <f t="shared" si="41"/>
        <v>AssessmentAchievementLevel_EN2 1175-1177 A3</v>
      </c>
    </row>
    <row r="165" spans="1:9" s="49" customFormat="1" ht="15" x14ac:dyDescent="0.25">
      <c r="A165" s="3">
        <f t="shared" si="40"/>
        <v>1179</v>
      </c>
      <c r="B165" s="3">
        <f t="shared" si="39"/>
        <v>1181</v>
      </c>
      <c r="C165" s="3">
        <f t="shared" si="32"/>
        <v>1178</v>
      </c>
      <c r="D165" s="3">
        <f t="shared" si="33"/>
        <v>1180</v>
      </c>
      <c r="E165" s="5">
        <v>3</v>
      </c>
      <c r="F165" s="13" t="s">
        <v>586</v>
      </c>
      <c r="I165" s="8" t="str">
        <f t="shared" si="41"/>
        <v>AccountabilityAchievementLevel_EN2 1178-1180 A3</v>
      </c>
    </row>
    <row r="166" spans="1:9" s="49" customFormat="1" ht="15" x14ac:dyDescent="0.25">
      <c r="A166" s="3">
        <f t="shared" si="40"/>
        <v>1182</v>
      </c>
      <c r="B166" s="3">
        <f t="shared" si="39"/>
        <v>1201</v>
      </c>
      <c r="C166" s="3">
        <f t="shared" si="32"/>
        <v>1181</v>
      </c>
      <c r="D166" s="3">
        <f t="shared" si="33"/>
        <v>1200</v>
      </c>
      <c r="E166" s="5">
        <v>20</v>
      </c>
      <c r="F166" s="21" t="str">
        <f>CONCATENATE(H166,G166)</f>
        <v>FILLER23</v>
      </c>
      <c r="G166" s="6">
        <v>23</v>
      </c>
      <c r="H166" s="4" t="s">
        <v>39</v>
      </c>
      <c r="I166" s="8" t="str">
        <f t="shared" si="34"/>
        <v>FILLER23 1181-1200 A20</v>
      </c>
    </row>
    <row r="167" spans="1:9" s="50" customFormat="1" ht="39" customHeight="1" x14ac:dyDescent="0.25">
      <c r="A167" s="3"/>
      <c r="B167" s="5"/>
      <c r="C167" s="3"/>
      <c r="D167" s="3"/>
      <c r="E167" s="5"/>
      <c r="F167" s="22" t="s">
        <v>675</v>
      </c>
      <c r="I167" s="8"/>
    </row>
    <row r="168" spans="1:9" s="50" customFormat="1" ht="15" x14ac:dyDescent="0.25">
      <c r="A168" s="3">
        <f>A166+E166</f>
        <v>1202</v>
      </c>
      <c r="B168" s="30">
        <f t="shared" ref="B168:B183" si="42">A168+E168-1</f>
        <v>1205</v>
      </c>
      <c r="C168" s="3">
        <f t="shared" si="32"/>
        <v>1201</v>
      </c>
      <c r="D168" s="3">
        <f t="shared" si="33"/>
        <v>1204</v>
      </c>
      <c r="E168" s="5">
        <v>4</v>
      </c>
      <c r="F168" s="45" t="s">
        <v>608</v>
      </c>
      <c r="I168" s="8" t="str">
        <f>CONCATENATE(F168,"_EN2 ",C168,"-",D168," A",E168)</f>
        <v>ReadingLiteraryTextRawScore_EN2 1201-1204 A4</v>
      </c>
    </row>
    <row r="169" spans="1:9" s="50" customFormat="1" ht="15" x14ac:dyDescent="0.25">
      <c r="A169" s="5">
        <f t="shared" ref="A169:A183" si="43">A168+E168</f>
        <v>1206</v>
      </c>
      <c r="B169" s="30">
        <f t="shared" si="42"/>
        <v>1206</v>
      </c>
      <c r="C169" s="3">
        <f t="shared" si="32"/>
        <v>1205</v>
      </c>
      <c r="D169" s="3">
        <f t="shared" si="33"/>
        <v>1205</v>
      </c>
      <c r="E169" s="5">
        <v>1</v>
      </c>
      <c r="F169" s="45" t="s">
        <v>609</v>
      </c>
      <c r="I169" s="8" t="str">
        <f t="shared" ref="I169:I182" si="44">CONCATENATE(F169,"_EN2 ",C169,"-",D169," A",E169)</f>
        <v>ReadingLiteraryTextRating_EN2 1205-1205 A1</v>
      </c>
    </row>
    <row r="170" spans="1:9" s="50" customFormat="1" ht="15" x14ac:dyDescent="0.25">
      <c r="A170" s="5">
        <f t="shared" si="43"/>
        <v>1207</v>
      </c>
      <c r="B170" s="30">
        <f t="shared" si="42"/>
        <v>1209</v>
      </c>
      <c r="C170" s="3">
        <f t="shared" si="32"/>
        <v>1206</v>
      </c>
      <c r="D170" s="3">
        <f t="shared" si="33"/>
        <v>1208</v>
      </c>
      <c r="E170" s="5">
        <v>3</v>
      </c>
      <c r="F170" s="45" t="s">
        <v>610</v>
      </c>
      <c r="I170" s="8" t="str">
        <f t="shared" si="44"/>
        <v>ReadingLiteraryTextPercentCorrect_EN2 1206-1208 A3</v>
      </c>
    </row>
    <row r="171" spans="1:9" s="50" customFormat="1" ht="15" x14ac:dyDescent="0.25">
      <c r="A171" s="5">
        <f t="shared" si="43"/>
        <v>1210</v>
      </c>
      <c r="B171" s="30">
        <f t="shared" si="42"/>
        <v>1213</v>
      </c>
      <c r="C171" s="3">
        <f t="shared" si="32"/>
        <v>1209</v>
      </c>
      <c r="D171" s="3">
        <f t="shared" si="33"/>
        <v>1212</v>
      </c>
      <c r="E171" s="5">
        <v>4</v>
      </c>
      <c r="F171" s="45" t="s">
        <v>611</v>
      </c>
      <c r="I171" s="8" t="str">
        <f t="shared" si="44"/>
        <v>ReadingInformationalTextRawScore_EN2 1209-1212 A4</v>
      </c>
    </row>
    <row r="172" spans="1:9" s="50" customFormat="1" ht="15" x14ac:dyDescent="0.25">
      <c r="A172" s="5">
        <f t="shared" si="43"/>
        <v>1214</v>
      </c>
      <c r="B172" s="30">
        <f t="shared" si="42"/>
        <v>1214</v>
      </c>
      <c r="C172" s="3">
        <f t="shared" si="32"/>
        <v>1213</v>
      </c>
      <c r="D172" s="3">
        <f t="shared" si="33"/>
        <v>1213</v>
      </c>
      <c r="E172" s="5">
        <v>1</v>
      </c>
      <c r="F172" s="45" t="s">
        <v>612</v>
      </c>
      <c r="I172" s="8" t="str">
        <f t="shared" si="44"/>
        <v>ReadingInformationalTextRating_EN2 1213-1213 A1</v>
      </c>
    </row>
    <row r="173" spans="1:9" s="50" customFormat="1" ht="15" x14ac:dyDescent="0.25">
      <c r="A173" s="5">
        <f t="shared" si="43"/>
        <v>1215</v>
      </c>
      <c r="B173" s="30">
        <f t="shared" si="42"/>
        <v>1217</v>
      </c>
      <c r="C173" s="3">
        <f t="shared" si="32"/>
        <v>1214</v>
      </c>
      <c r="D173" s="3">
        <f t="shared" si="33"/>
        <v>1216</v>
      </c>
      <c r="E173" s="5">
        <v>3</v>
      </c>
      <c r="F173" s="45" t="s">
        <v>613</v>
      </c>
      <c r="I173" s="8" t="str">
        <f t="shared" si="44"/>
        <v>ReadingInformationalTextPercentCorrect_EN2 1214-1216 A3</v>
      </c>
    </row>
    <row r="174" spans="1:9" s="50" customFormat="1" ht="15" x14ac:dyDescent="0.25">
      <c r="A174" s="5">
        <f t="shared" si="43"/>
        <v>1218</v>
      </c>
      <c r="B174" s="30">
        <f t="shared" si="42"/>
        <v>1221</v>
      </c>
      <c r="C174" s="3">
        <f t="shared" si="32"/>
        <v>1217</v>
      </c>
      <c r="D174" s="3">
        <f t="shared" si="33"/>
        <v>1220</v>
      </c>
      <c r="E174" s="5">
        <v>4</v>
      </c>
      <c r="F174" s="45" t="s">
        <v>614</v>
      </c>
      <c r="I174" s="8" t="str">
        <f t="shared" si="44"/>
        <v>ReadingVocabularyRawScore_EN2 1217-1220 A4</v>
      </c>
    </row>
    <row r="175" spans="1:9" s="50" customFormat="1" ht="15" x14ac:dyDescent="0.25">
      <c r="A175" s="5">
        <f t="shared" si="43"/>
        <v>1222</v>
      </c>
      <c r="B175" s="30">
        <f t="shared" si="42"/>
        <v>1222</v>
      </c>
      <c r="C175" s="3">
        <f t="shared" si="32"/>
        <v>1221</v>
      </c>
      <c r="D175" s="3">
        <f t="shared" si="33"/>
        <v>1221</v>
      </c>
      <c r="E175" s="5">
        <v>1</v>
      </c>
      <c r="F175" s="45" t="s">
        <v>615</v>
      </c>
      <c r="I175" s="8" t="str">
        <f t="shared" si="44"/>
        <v>ReadingVocabularyRating_EN2 1221-1221 A1</v>
      </c>
    </row>
    <row r="176" spans="1:9" s="50" customFormat="1" ht="15" x14ac:dyDescent="0.25">
      <c r="A176" s="5">
        <f t="shared" si="43"/>
        <v>1223</v>
      </c>
      <c r="B176" s="30">
        <f t="shared" si="42"/>
        <v>1225</v>
      </c>
      <c r="C176" s="3">
        <f t="shared" si="32"/>
        <v>1222</v>
      </c>
      <c r="D176" s="3">
        <f t="shared" si="33"/>
        <v>1224</v>
      </c>
      <c r="E176" s="5">
        <v>3</v>
      </c>
      <c r="F176" s="45" t="s">
        <v>616</v>
      </c>
      <c r="I176" s="8" t="str">
        <f t="shared" si="44"/>
        <v>ReadingVocabularyPercentCorrect_EN2 1222-1224 A3</v>
      </c>
    </row>
    <row r="177" spans="1:9" s="50" customFormat="1" ht="15" x14ac:dyDescent="0.25">
      <c r="A177" s="5">
        <f t="shared" si="43"/>
        <v>1226</v>
      </c>
      <c r="B177" s="30">
        <f t="shared" si="42"/>
        <v>1229</v>
      </c>
      <c r="C177" s="3">
        <f t="shared" si="32"/>
        <v>1225</v>
      </c>
      <c r="D177" s="3">
        <f t="shared" si="33"/>
        <v>1228</v>
      </c>
      <c r="E177" s="5">
        <v>4</v>
      </c>
      <c r="F177" s="45" t="s">
        <v>617</v>
      </c>
      <c r="I177" s="8" t="str">
        <f t="shared" si="44"/>
        <v>WrittenExpressionRawScore_EN2 1225-1228 A4</v>
      </c>
    </row>
    <row r="178" spans="1:9" s="50" customFormat="1" ht="15" x14ac:dyDescent="0.25">
      <c r="A178" s="5">
        <f t="shared" si="43"/>
        <v>1230</v>
      </c>
      <c r="B178" s="30">
        <f t="shared" si="42"/>
        <v>1230</v>
      </c>
      <c r="C178" s="3">
        <f t="shared" si="32"/>
        <v>1229</v>
      </c>
      <c r="D178" s="3">
        <f t="shared" si="33"/>
        <v>1229</v>
      </c>
      <c r="E178" s="5">
        <v>1</v>
      </c>
      <c r="F178" s="45" t="s">
        <v>618</v>
      </c>
      <c r="I178" s="8" t="str">
        <f t="shared" si="44"/>
        <v>WrittenExpressionRating_EN2 1229-1229 A1</v>
      </c>
    </row>
    <row r="179" spans="1:9" s="50" customFormat="1" ht="15" x14ac:dyDescent="0.25">
      <c r="A179" s="5">
        <f t="shared" si="43"/>
        <v>1231</v>
      </c>
      <c r="B179" s="30">
        <f t="shared" si="42"/>
        <v>1233</v>
      </c>
      <c r="C179" s="3">
        <f t="shared" si="32"/>
        <v>1230</v>
      </c>
      <c r="D179" s="3">
        <f t="shared" si="33"/>
        <v>1232</v>
      </c>
      <c r="E179" s="5">
        <v>3</v>
      </c>
      <c r="F179" s="45" t="s">
        <v>619</v>
      </c>
      <c r="I179" s="8" t="str">
        <f t="shared" si="44"/>
        <v>WrittenExpressionPercentCorrect_EN2 1230-1232 A3</v>
      </c>
    </row>
    <row r="180" spans="1:9" s="50" customFormat="1" ht="25.5" x14ac:dyDescent="0.25">
      <c r="A180" s="5">
        <f t="shared" si="43"/>
        <v>1234</v>
      </c>
      <c r="B180" s="30">
        <f t="shared" si="42"/>
        <v>1237</v>
      </c>
      <c r="C180" s="3">
        <f t="shared" si="32"/>
        <v>1233</v>
      </c>
      <c r="D180" s="3">
        <f t="shared" si="33"/>
        <v>1236</v>
      </c>
      <c r="E180" s="5">
        <v>4</v>
      </c>
      <c r="F180" s="45" t="s">
        <v>716</v>
      </c>
      <c r="I180" s="8" t="str">
        <f t="shared" si="44"/>
        <v>KnowledgeUseofLanguageConventionsRawScore_EN2 1233-1236 A4</v>
      </c>
    </row>
    <row r="181" spans="1:9" s="50" customFormat="1" ht="94.15" customHeight="1" x14ac:dyDescent="0.25">
      <c r="A181" s="5">
        <f t="shared" si="43"/>
        <v>1238</v>
      </c>
      <c r="B181" s="30">
        <f t="shared" si="42"/>
        <v>1238</v>
      </c>
      <c r="C181" s="3">
        <f t="shared" si="32"/>
        <v>1237</v>
      </c>
      <c r="D181" s="3">
        <f t="shared" si="33"/>
        <v>1237</v>
      </c>
      <c r="E181" s="5">
        <v>1</v>
      </c>
      <c r="F181" s="45" t="s">
        <v>717</v>
      </c>
      <c r="I181" s="8" t="str">
        <f t="shared" si="44"/>
        <v>KnowledgeUseofLanguageConventionsRating_EN2 1237-1237 A1</v>
      </c>
    </row>
    <row r="182" spans="1:9" s="50" customFormat="1" ht="78" customHeight="1" x14ac:dyDescent="0.25">
      <c r="A182" s="5">
        <f t="shared" si="43"/>
        <v>1239</v>
      </c>
      <c r="B182" s="30">
        <f t="shared" si="42"/>
        <v>1241</v>
      </c>
      <c r="C182" s="3">
        <f t="shared" si="32"/>
        <v>1238</v>
      </c>
      <c r="D182" s="3">
        <f t="shared" si="33"/>
        <v>1240</v>
      </c>
      <c r="E182" s="5">
        <v>3</v>
      </c>
      <c r="F182" s="45" t="s">
        <v>718</v>
      </c>
      <c r="I182" s="8" t="str">
        <f t="shared" si="44"/>
        <v>KnowledgeUseofLanguageConventionsPercentCorrect_EN2 1238-1240 A3</v>
      </c>
    </row>
    <row r="183" spans="1:9" s="50" customFormat="1" ht="18" customHeight="1" x14ac:dyDescent="0.25">
      <c r="A183" s="5">
        <f t="shared" si="43"/>
        <v>1242</v>
      </c>
      <c r="B183" s="30">
        <f t="shared" si="42"/>
        <v>1261</v>
      </c>
      <c r="C183" s="3">
        <f t="shared" si="32"/>
        <v>1241</v>
      </c>
      <c r="D183" s="3">
        <f t="shared" si="33"/>
        <v>1260</v>
      </c>
      <c r="E183" s="5">
        <v>20</v>
      </c>
      <c r="F183" s="21" t="str">
        <f>CONCATENATE(H183,G183)</f>
        <v>FILLER24</v>
      </c>
      <c r="G183" s="70">
        <v>24</v>
      </c>
      <c r="H183" s="4" t="s">
        <v>39</v>
      </c>
      <c r="I183" s="8" t="str">
        <f t="shared" si="34"/>
        <v>FILLER24 1241-1260 A20</v>
      </c>
    </row>
    <row r="184" spans="1:9" s="50" customFormat="1" ht="15" x14ac:dyDescent="0.25">
      <c r="A184" s="5"/>
      <c r="B184" s="5"/>
      <c r="C184" s="3"/>
      <c r="D184" s="3"/>
      <c r="E184" s="5"/>
      <c r="F184" s="22" t="s">
        <v>670</v>
      </c>
      <c r="I184" s="8"/>
    </row>
    <row r="185" spans="1:9" s="50" customFormat="1" ht="15" x14ac:dyDescent="0.25">
      <c r="A185" s="5">
        <f>A183+E183</f>
        <v>1262</v>
      </c>
      <c r="B185" s="30">
        <f t="shared" ref="B185:B191" si="45">A185+E185-1</f>
        <v>1265</v>
      </c>
      <c r="C185" s="3">
        <f t="shared" si="32"/>
        <v>1261</v>
      </c>
      <c r="D185" s="3">
        <f t="shared" si="33"/>
        <v>1264</v>
      </c>
      <c r="E185" s="5">
        <v>4</v>
      </c>
      <c r="F185" s="45" t="s">
        <v>620</v>
      </c>
      <c r="I185" s="8" t="str">
        <f>CONCATENATE(F185,"_EN2 ",C185,"-",D185," A",E185)</f>
        <v>ReadingRawScore_EN2 1261-1264 A4</v>
      </c>
    </row>
    <row r="186" spans="1:9" s="50" customFormat="1" ht="15" x14ac:dyDescent="0.25">
      <c r="A186" s="5">
        <f t="shared" ref="A186:A191" si="46">A185+E185</f>
        <v>1266</v>
      </c>
      <c r="B186" s="30">
        <f t="shared" si="45"/>
        <v>1266</v>
      </c>
      <c r="C186" s="3">
        <f t="shared" si="32"/>
        <v>1265</v>
      </c>
      <c r="D186" s="3">
        <f t="shared" si="33"/>
        <v>1265</v>
      </c>
      <c r="E186" s="5">
        <v>1</v>
      </c>
      <c r="F186" s="45" t="s">
        <v>621</v>
      </c>
      <c r="I186" s="8" t="str">
        <f t="shared" ref="I186:I190" si="47">CONCATENATE(F186,"_EN2 ",C186,"-",D186," A",E186)</f>
        <v>ReadingRating_EN2 1265-1265 A1</v>
      </c>
    </row>
    <row r="187" spans="1:9" s="50" customFormat="1" ht="15" x14ac:dyDescent="0.25">
      <c r="A187" s="5">
        <f t="shared" si="46"/>
        <v>1267</v>
      </c>
      <c r="B187" s="30">
        <f t="shared" si="45"/>
        <v>1269</v>
      </c>
      <c r="C187" s="3">
        <f t="shared" si="32"/>
        <v>1266</v>
      </c>
      <c r="D187" s="3">
        <f t="shared" si="33"/>
        <v>1268</v>
      </c>
      <c r="E187" s="5">
        <v>3</v>
      </c>
      <c r="F187" s="45" t="s">
        <v>622</v>
      </c>
      <c r="I187" s="8" t="str">
        <f t="shared" si="47"/>
        <v>ReadingPercentCorrect_EN2 1266-1268 A3</v>
      </c>
    </row>
    <row r="188" spans="1:9" s="50" customFormat="1" ht="15" x14ac:dyDescent="0.25">
      <c r="A188" s="5">
        <f t="shared" si="46"/>
        <v>1270</v>
      </c>
      <c r="B188" s="30">
        <f t="shared" si="45"/>
        <v>1273</v>
      </c>
      <c r="C188" s="3">
        <f t="shared" si="32"/>
        <v>1269</v>
      </c>
      <c r="D188" s="3">
        <f t="shared" si="33"/>
        <v>1272</v>
      </c>
      <c r="E188" s="5">
        <v>4</v>
      </c>
      <c r="F188" s="45" t="s">
        <v>623</v>
      </c>
      <c r="I188" s="8" t="str">
        <f t="shared" si="47"/>
        <v>WritingRawScore_EN2 1269-1272 A4</v>
      </c>
    </row>
    <row r="189" spans="1:9" s="50" customFormat="1" ht="15" x14ac:dyDescent="0.25">
      <c r="A189" s="5">
        <f t="shared" si="46"/>
        <v>1274</v>
      </c>
      <c r="B189" s="30">
        <f t="shared" si="45"/>
        <v>1274</v>
      </c>
      <c r="C189" s="3">
        <f t="shared" si="32"/>
        <v>1273</v>
      </c>
      <c r="D189" s="3">
        <f t="shared" si="33"/>
        <v>1273</v>
      </c>
      <c r="E189" s="5">
        <v>1</v>
      </c>
      <c r="F189" s="45" t="s">
        <v>624</v>
      </c>
      <c r="I189" s="8" t="str">
        <f t="shared" si="47"/>
        <v>WritingRating_EN2 1273-1273 A1</v>
      </c>
    </row>
    <row r="190" spans="1:9" s="50" customFormat="1" ht="15" x14ac:dyDescent="0.25">
      <c r="A190" s="5">
        <f t="shared" si="46"/>
        <v>1275</v>
      </c>
      <c r="B190" s="30">
        <f t="shared" si="45"/>
        <v>1277</v>
      </c>
      <c r="C190" s="3">
        <f t="shared" si="32"/>
        <v>1274</v>
      </c>
      <c r="D190" s="3">
        <f t="shared" si="33"/>
        <v>1276</v>
      </c>
      <c r="E190" s="5">
        <v>3</v>
      </c>
      <c r="F190" s="45" t="s">
        <v>625</v>
      </c>
      <c r="I190" s="8" t="str">
        <f t="shared" si="47"/>
        <v>WritingPercentCorrect_EN2 1274-1276 A3</v>
      </c>
    </row>
    <row r="191" spans="1:9" s="50" customFormat="1" ht="15" x14ac:dyDescent="0.25">
      <c r="A191" s="5">
        <f t="shared" si="46"/>
        <v>1278</v>
      </c>
      <c r="B191" s="30">
        <f t="shared" si="45"/>
        <v>1287</v>
      </c>
      <c r="C191" s="3">
        <f t="shared" si="32"/>
        <v>1277</v>
      </c>
      <c r="D191" s="3">
        <f t="shared" si="33"/>
        <v>1286</v>
      </c>
      <c r="E191" s="5">
        <v>10</v>
      </c>
      <c r="F191" s="21" t="str">
        <f>CONCATENATE(H191,G191)</f>
        <v>FILLER25</v>
      </c>
      <c r="G191" s="70">
        <v>25</v>
      </c>
      <c r="H191" s="4" t="s">
        <v>39</v>
      </c>
      <c r="I191" s="8" t="str">
        <f t="shared" si="34"/>
        <v>FILLER25 1277-1286 A10</v>
      </c>
    </row>
    <row r="192" spans="1:9" s="49" customFormat="1" ht="15" x14ac:dyDescent="0.25">
      <c r="A192" s="3"/>
      <c r="B192" s="3"/>
      <c r="C192" s="3"/>
      <c r="D192" s="3"/>
      <c r="E192" s="3"/>
      <c r="F192" s="22" t="s">
        <v>676</v>
      </c>
      <c r="I192" s="8"/>
    </row>
    <row r="193" spans="1:9" s="49" customFormat="1" ht="15" x14ac:dyDescent="0.25">
      <c r="A193" s="3">
        <f>A191+E191</f>
        <v>1288</v>
      </c>
      <c r="B193" s="3">
        <f t="shared" ref="B193:B200" si="48">A193+E193-1</f>
        <v>1289</v>
      </c>
      <c r="C193" s="3">
        <f t="shared" si="32"/>
        <v>1287</v>
      </c>
      <c r="D193" s="3">
        <f t="shared" si="33"/>
        <v>1288</v>
      </c>
      <c r="E193" s="5">
        <v>2</v>
      </c>
      <c r="F193" s="13" t="s">
        <v>626</v>
      </c>
      <c r="I193" s="8" t="str">
        <f>CONCATENATE(F193,"_EN2 ",C193,"-",D193," A",E193)</f>
        <v>AccountabilityCodeEnglishII_EN2 1287-1288 A2</v>
      </c>
    </row>
    <row r="194" spans="1:9" s="49" customFormat="1" ht="15" x14ac:dyDescent="0.25">
      <c r="A194" s="3">
        <f t="shared" ref="A194:A200" si="49">A193+E193</f>
        <v>1290</v>
      </c>
      <c r="B194" s="3">
        <f t="shared" si="48"/>
        <v>1290</v>
      </c>
      <c r="C194" s="3">
        <f t="shared" si="32"/>
        <v>1289</v>
      </c>
      <c r="D194" s="3">
        <f t="shared" si="33"/>
        <v>1289</v>
      </c>
      <c r="E194" s="3">
        <v>1</v>
      </c>
      <c r="F194" s="21" t="s">
        <v>600</v>
      </c>
      <c r="I194" s="8" t="str">
        <f t="shared" ref="I194:I199" si="50">CONCATENATE(F194,"_EN2 ",C194,"-",D194," A",E194)</f>
        <v>Reportablestatus_EN2 1289-1289 A1</v>
      </c>
    </row>
    <row r="195" spans="1:9" s="49" customFormat="1" ht="15" x14ac:dyDescent="0.25">
      <c r="A195" s="3">
        <f t="shared" si="49"/>
        <v>1291</v>
      </c>
      <c r="B195" s="3">
        <f t="shared" si="48"/>
        <v>1291</v>
      </c>
      <c r="C195" s="3">
        <f t="shared" si="32"/>
        <v>1290</v>
      </c>
      <c r="D195" s="3">
        <f t="shared" si="33"/>
        <v>1290</v>
      </c>
      <c r="E195" s="3">
        <v>1</v>
      </c>
      <c r="F195" s="21" t="s">
        <v>601</v>
      </c>
      <c r="I195" s="8" t="str">
        <f t="shared" si="50"/>
        <v>TestValidAttempt_EN2 1290-1290 A1</v>
      </c>
    </row>
    <row r="196" spans="1:9" s="49" customFormat="1" ht="15" x14ac:dyDescent="0.25">
      <c r="A196" s="3">
        <f t="shared" si="49"/>
        <v>1292</v>
      </c>
      <c r="B196" s="3">
        <f t="shared" si="48"/>
        <v>1292</v>
      </c>
      <c r="C196" s="3">
        <f t="shared" ref="C196:C259" si="51">A196-1</f>
        <v>1291</v>
      </c>
      <c r="D196" s="3">
        <f t="shared" ref="D196:D259" si="52">B196-1</f>
        <v>1291</v>
      </c>
      <c r="E196" s="3">
        <v>1</v>
      </c>
      <c r="F196" s="21" t="s">
        <v>602</v>
      </c>
      <c r="I196" s="8" t="str">
        <f t="shared" si="50"/>
        <v>TestLaunchFlag_EN2 1291-1291 A1</v>
      </c>
    </row>
    <row r="197" spans="1:9" s="49" customFormat="1" ht="15" x14ac:dyDescent="0.25">
      <c r="A197" s="3">
        <f t="shared" si="49"/>
        <v>1293</v>
      </c>
      <c r="B197" s="3">
        <f t="shared" si="48"/>
        <v>1293</v>
      </c>
      <c r="C197" s="3">
        <f t="shared" si="51"/>
        <v>1292</v>
      </c>
      <c r="D197" s="3">
        <f t="shared" si="52"/>
        <v>1292</v>
      </c>
      <c r="E197" s="3">
        <v>1</v>
      </c>
      <c r="F197" s="21" t="s">
        <v>603</v>
      </c>
      <c r="I197" s="8" t="str">
        <f t="shared" si="50"/>
        <v>VoidFlag_EN2 1292-1292 A1</v>
      </c>
    </row>
    <row r="198" spans="1:9" s="49" customFormat="1" ht="171.75" customHeight="1" x14ac:dyDescent="0.25">
      <c r="A198" s="3">
        <f t="shared" si="49"/>
        <v>1294</v>
      </c>
      <c r="B198" s="3">
        <f t="shared" si="48"/>
        <v>1294</v>
      </c>
      <c r="C198" s="3">
        <f t="shared" si="51"/>
        <v>1293</v>
      </c>
      <c r="D198" s="3">
        <f t="shared" si="52"/>
        <v>1293</v>
      </c>
      <c r="E198" s="3">
        <v>1</v>
      </c>
      <c r="F198" s="21" t="s">
        <v>604</v>
      </c>
      <c r="I198" s="8" t="str">
        <f t="shared" si="50"/>
        <v>RetestFlag_EN2 1293-1293 A1</v>
      </c>
    </row>
    <row r="199" spans="1:9" s="49" customFormat="1" ht="15" x14ac:dyDescent="0.25">
      <c r="A199" s="3">
        <f t="shared" si="49"/>
        <v>1295</v>
      </c>
      <c r="B199" s="3">
        <f t="shared" si="48"/>
        <v>1295</v>
      </c>
      <c r="C199" s="3">
        <f t="shared" si="51"/>
        <v>1294</v>
      </c>
      <c r="D199" s="3">
        <f t="shared" si="52"/>
        <v>1294</v>
      </c>
      <c r="E199" s="3">
        <v>1</v>
      </c>
      <c r="F199" s="21" t="s">
        <v>605</v>
      </c>
      <c r="I199" s="8" t="str">
        <f t="shared" si="50"/>
        <v>EligibleFlag_EN2 1294-1294 A1</v>
      </c>
    </row>
    <row r="200" spans="1:9" s="49" customFormat="1" ht="15" x14ac:dyDescent="0.25">
      <c r="A200" s="3">
        <f t="shared" si="49"/>
        <v>1296</v>
      </c>
      <c r="B200" s="3">
        <f t="shared" si="48"/>
        <v>1657</v>
      </c>
      <c r="C200" s="3">
        <f t="shared" si="51"/>
        <v>1295</v>
      </c>
      <c r="D200" s="3">
        <f t="shared" si="52"/>
        <v>1656</v>
      </c>
      <c r="E200" s="3">
        <v>362</v>
      </c>
      <c r="F200" s="21" t="str">
        <f>CONCATENATE(H200,G200)</f>
        <v>FILLER26</v>
      </c>
      <c r="G200" s="6">
        <v>26</v>
      </c>
      <c r="H200" s="4" t="s">
        <v>39</v>
      </c>
      <c r="I200" s="8" t="str">
        <f t="shared" ref="I200:I255" si="53">CONCATENATE(F200," ",C200,"-",D200," A",E200)</f>
        <v>FILLER26 1295-1656 A362</v>
      </c>
    </row>
    <row r="201" spans="1:9" x14ac:dyDescent="0.2">
      <c r="A201" s="3" t="s">
        <v>318</v>
      </c>
      <c r="B201" s="3" t="s">
        <v>318</v>
      </c>
      <c r="C201" s="3"/>
      <c r="D201" s="3"/>
      <c r="E201" s="7"/>
      <c r="F201" s="22" t="s">
        <v>677</v>
      </c>
      <c r="G201" s="4"/>
      <c r="I201" s="8"/>
    </row>
    <row r="202" spans="1:9" x14ac:dyDescent="0.2">
      <c r="A202" s="3">
        <f>A200+E200</f>
        <v>1658</v>
      </c>
      <c r="B202" s="3">
        <f t="shared" ref="B202:B214" si="54">A202+E202-1</f>
        <v>1658</v>
      </c>
      <c r="C202" s="3">
        <f t="shared" si="51"/>
        <v>1657</v>
      </c>
      <c r="D202" s="3">
        <f t="shared" si="52"/>
        <v>1657</v>
      </c>
      <c r="E202" s="3">
        <v>1</v>
      </c>
      <c r="F202" s="21" t="s">
        <v>559</v>
      </c>
      <c r="G202" s="4"/>
      <c r="I202" s="8" t="str">
        <f>CONCATENATE(F202,"_GEO ",C202,"-",D202," A",E202)</f>
        <v>AdminErrorAdministration_GEO 1657-1657 A1</v>
      </c>
    </row>
    <row r="203" spans="1:9" x14ac:dyDescent="0.2">
      <c r="A203" s="3">
        <f t="shared" ref="A203:A214" si="55">A202+E202</f>
        <v>1659</v>
      </c>
      <c r="B203" s="3">
        <f t="shared" si="54"/>
        <v>1666</v>
      </c>
      <c r="C203" s="3">
        <f t="shared" si="51"/>
        <v>1658</v>
      </c>
      <c r="D203" s="3">
        <f t="shared" si="52"/>
        <v>1665</v>
      </c>
      <c r="E203" s="5">
        <v>8</v>
      </c>
      <c r="F203" s="13" t="s">
        <v>11</v>
      </c>
      <c r="G203" s="4"/>
      <c r="I203" s="8" t="str">
        <f>CONCATENATE(F203,"_GEO ",C203,"-",D203," A",E203)</f>
        <v>Content_GEO 1658-1665 A8</v>
      </c>
    </row>
    <row r="204" spans="1:9" x14ac:dyDescent="0.2">
      <c r="A204" s="3">
        <f t="shared" si="55"/>
        <v>1667</v>
      </c>
      <c r="B204" s="3">
        <f t="shared" si="54"/>
        <v>1674</v>
      </c>
      <c r="C204" s="3">
        <f t="shared" si="51"/>
        <v>1666</v>
      </c>
      <c r="D204" s="3">
        <f t="shared" si="52"/>
        <v>1673</v>
      </c>
      <c r="E204" s="6">
        <v>8</v>
      </c>
      <c r="F204" s="21" t="str">
        <f>CONCATENATE(H204,G204)</f>
        <v>FILLER27</v>
      </c>
      <c r="G204" s="6">
        <v>27</v>
      </c>
      <c r="H204" s="4" t="s">
        <v>39</v>
      </c>
      <c r="I204" s="8" t="str">
        <f t="shared" si="53"/>
        <v>FILLER27 1666-1673 A8</v>
      </c>
    </row>
    <row r="205" spans="1:9" ht="18" customHeight="1" x14ac:dyDescent="0.2">
      <c r="A205" s="3">
        <f t="shared" si="55"/>
        <v>1675</v>
      </c>
      <c r="B205" s="3">
        <f t="shared" si="54"/>
        <v>1694</v>
      </c>
      <c r="C205" s="3">
        <f t="shared" si="51"/>
        <v>1674</v>
      </c>
      <c r="D205" s="3">
        <f t="shared" si="52"/>
        <v>1693</v>
      </c>
      <c r="E205" s="3">
        <v>20</v>
      </c>
      <c r="F205" s="21" t="s">
        <v>560</v>
      </c>
      <c r="G205" s="4"/>
      <c r="I205" s="8" t="str">
        <f t="shared" ref="I205:I207" si="56">CONCATENATE(F205,"_GEO ",C205,"-",D205," A",E205)</f>
        <v>TeacherLastName_GEO 1674-1693 A20</v>
      </c>
    </row>
    <row r="206" spans="1:9" ht="18.75" customHeight="1" x14ac:dyDescent="0.2">
      <c r="A206" s="3">
        <f t="shared" si="55"/>
        <v>1695</v>
      </c>
      <c r="B206" s="3">
        <f t="shared" si="54"/>
        <v>1709</v>
      </c>
      <c r="C206" s="3">
        <f t="shared" si="51"/>
        <v>1694</v>
      </c>
      <c r="D206" s="3">
        <f t="shared" si="52"/>
        <v>1708</v>
      </c>
      <c r="E206" s="3">
        <v>15</v>
      </c>
      <c r="F206" s="21" t="s">
        <v>561</v>
      </c>
      <c r="G206" s="4"/>
      <c r="I206" s="8" t="str">
        <f t="shared" si="56"/>
        <v>TeacherFirstName_GEO 1694-1708 A15</v>
      </c>
    </row>
    <row r="207" spans="1:9" ht="17.25" customHeight="1" x14ac:dyDescent="0.2">
      <c r="A207" s="3">
        <f t="shared" si="55"/>
        <v>1710</v>
      </c>
      <c r="B207" s="3">
        <f t="shared" si="54"/>
        <v>1710</v>
      </c>
      <c r="C207" s="3">
        <f t="shared" si="51"/>
        <v>1709</v>
      </c>
      <c r="D207" s="3">
        <f t="shared" si="52"/>
        <v>1709</v>
      </c>
      <c r="E207" s="3">
        <v>1</v>
      </c>
      <c r="F207" s="21" t="s">
        <v>562</v>
      </c>
      <c r="G207" s="4"/>
      <c r="I207" s="8" t="str">
        <f t="shared" si="56"/>
        <v>TeacherMiddleInitial_GEO 1709-1709 A1</v>
      </c>
    </row>
    <row r="208" spans="1:9" ht="38.25" customHeight="1" x14ac:dyDescent="0.2">
      <c r="A208" s="3">
        <f t="shared" si="55"/>
        <v>1711</v>
      </c>
      <c r="B208" s="3">
        <f t="shared" si="54"/>
        <v>1754</v>
      </c>
      <c r="C208" s="3">
        <f t="shared" si="51"/>
        <v>1710</v>
      </c>
      <c r="D208" s="3">
        <f t="shared" si="52"/>
        <v>1753</v>
      </c>
      <c r="E208" s="3">
        <v>44</v>
      </c>
      <c r="F208" s="21" t="str">
        <f>CONCATENATE(H208,G208)</f>
        <v>FILLER28</v>
      </c>
      <c r="G208" s="6">
        <v>28</v>
      </c>
      <c r="H208" s="4" t="s">
        <v>39</v>
      </c>
      <c r="I208" s="8" t="str">
        <f t="shared" si="53"/>
        <v>FILLER28 1710-1753 A44</v>
      </c>
    </row>
    <row r="209" spans="1:9" x14ac:dyDescent="0.2">
      <c r="A209" s="3">
        <f t="shared" si="55"/>
        <v>1755</v>
      </c>
      <c r="B209" s="3">
        <f t="shared" si="54"/>
        <v>1760</v>
      </c>
      <c r="C209" s="3">
        <f t="shared" si="51"/>
        <v>1754</v>
      </c>
      <c r="D209" s="3">
        <f t="shared" si="52"/>
        <v>1759</v>
      </c>
      <c r="E209" s="3">
        <v>6</v>
      </c>
      <c r="F209" s="21" t="s">
        <v>563</v>
      </c>
      <c r="G209" s="4"/>
      <c r="I209" s="8" t="str">
        <f t="shared" ref="I209:I213" si="57">CONCATENATE(F209,"_GEO ",C209,"-",D209," A",E209)</f>
        <v>CourseCode_GEO 1754-1759 A6</v>
      </c>
    </row>
    <row r="210" spans="1:9" x14ac:dyDescent="0.2">
      <c r="A210" s="3">
        <f t="shared" si="55"/>
        <v>1761</v>
      </c>
      <c r="B210" s="3">
        <f t="shared" si="54"/>
        <v>1790</v>
      </c>
      <c r="C210" s="3">
        <f t="shared" si="51"/>
        <v>1760</v>
      </c>
      <c r="D210" s="3">
        <f t="shared" si="52"/>
        <v>1789</v>
      </c>
      <c r="E210" s="3">
        <v>30</v>
      </c>
      <c r="F210" s="21" t="s">
        <v>564</v>
      </c>
      <c r="G210" s="4"/>
      <c r="I210" s="8" t="str">
        <f t="shared" si="57"/>
        <v>CourseName_GEO 1760-1789 A30</v>
      </c>
    </row>
    <row r="211" spans="1:9" x14ac:dyDescent="0.2">
      <c r="A211" s="3">
        <f t="shared" si="55"/>
        <v>1791</v>
      </c>
      <c r="B211" s="3">
        <f t="shared" si="54"/>
        <v>1810</v>
      </c>
      <c r="C211" s="3">
        <f t="shared" si="51"/>
        <v>1790</v>
      </c>
      <c r="D211" s="3">
        <f t="shared" si="52"/>
        <v>1809</v>
      </c>
      <c r="E211" s="3">
        <v>20</v>
      </c>
      <c r="F211" s="21" t="s">
        <v>565</v>
      </c>
      <c r="G211" s="4"/>
      <c r="I211" s="8" t="str">
        <f t="shared" si="57"/>
        <v>ClassSection_GEO 1790-1809 A20</v>
      </c>
    </row>
    <row r="212" spans="1:9" x14ac:dyDescent="0.2">
      <c r="A212" s="3">
        <f t="shared" si="55"/>
        <v>1811</v>
      </c>
      <c r="B212" s="3">
        <f t="shared" si="54"/>
        <v>1816</v>
      </c>
      <c r="C212" s="3">
        <f t="shared" si="51"/>
        <v>1810</v>
      </c>
      <c r="D212" s="3">
        <f t="shared" si="52"/>
        <v>1815</v>
      </c>
      <c r="E212" s="3">
        <v>6</v>
      </c>
      <c r="F212" s="21" t="s">
        <v>566</v>
      </c>
      <c r="G212" s="4"/>
      <c r="I212" s="8" t="str">
        <f t="shared" si="57"/>
        <v>TestingSiteCode_GEO 1810-1815 A6</v>
      </c>
    </row>
    <row r="213" spans="1:9" x14ac:dyDescent="0.2">
      <c r="A213" s="3">
        <f t="shared" si="55"/>
        <v>1817</v>
      </c>
      <c r="B213" s="3">
        <f t="shared" si="54"/>
        <v>1817</v>
      </c>
      <c r="C213" s="3">
        <f t="shared" si="51"/>
        <v>1816</v>
      </c>
      <c r="D213" s="3">
        <f t="shared" si="52"/>
        <v>1816</v>
      </c>
      <c r="E213" s="3">
        <v>1</v>
      </c>
      <c r="F213" s="21" t="s">
        <v>627</v>
      </c>
      <c r="G213" s="4"/>
      <c r="I213" s="8" t="str">
        <f t="shared" si="57"/>
        <v>GeometryEnrollFlag_GEO 1816-1816 A1</v>
      </c>
    </row>
    <row r="214" spans="1:9" x14ac:dyDescent="0.2">
      <c r="A214" s="3">
        <f t="shared" si="55"/>
        <v>1818</v>
      </c>
      <c r="B214" s="3">
        <f t="shared" si="54"/>
        <v>1854</v>
      </c>
      <c r="C214" s="3">
        <f t="shared" si="51"/>
        <v>1817</v>
      </c>
      <c r="D214" s="3">
        <f t="shared" si="52"/>
        <v>1853</v>
      </c>
      <c r="E214" s="5">
        <v>37</v>
      </c>
      <c r="F214" s="21" t="str">
        <f>CONCATENATE(H214,G214)</f>
        <v>FILLER29</v>
      </c>
      <c r="G214" s="6">
        <v>29</v>
      </c>
      <c r="H214" s="4" t="s">
        <v>39</v>
      </c>
      <c r="I214" s="8" t="str">
        <f t="shared" si="53"/>
        <v>FILLER29 1817-1853 A37</v>
      </c>
    </row>
    <row r="215" spans="1:9" s="49" customFormat="1" ht="15" x14ac:dyDescent="0.25">
      <c r="A215" s="3"/>
      <c r="B215" s="3"/>
      <c r="C215" s="3"/>
      <c r="D215" s="3"/>
      <c r="E215" s="5"/>
      <c r="F215" s="22" t="s">
        <v>668</v>
      </c>
      <c r="I215" s="8"/>
    </row>
    <row r="216" spans="1:9" s="49" customFormat="1" ht="15" customHeight="1" x14ac:dyDescent="0.25">
      <c r="A216" s="3">
        <f>A214+E214</f>
        <v>1855</v>
      </c>
      <c r="B216" s="3">
        <f t="shared" ref="B216:B232" si="58">A216+E216-1</f>
        <v>1855</v>
      </c>
      <c r="C216" s="3">
        <f t="shared" si="51"/>
        <v>1854</v>
      </c>
      <c r="D216" s="3">
        <f t="shared" si="52"/>
        <v>1854</v>
      </c>
      <c r="E216" s="5">
        <v>1</v>
      </c>
      <c r="F216" s="21" t="s">
        <v>525</v>
      </c>
      <c r="I216" s="8" t="str">
        <f>CONCATENATE(F216,"_GEO ",C216,"-",D216," A",E216)</f>
        <v>TexttoSpeech_GEO 1854-1854 A1</v>
      </c>
    </row>
    <row r="217" spans="1:9" s="49" customFormat="1" ht="15" x14ac:dyDescent="0.25">
      <c r="A217" s="3">
        <f t="shared" ref="A217:A232" si="59">A216+E216</f>
        <v>1856</v>
      </c>
      <c r="B217" s="3">
        <f t="shared" si="58"/>
        <v>1856</v>
      </c>
      <c r="C217" s="3">
        <f t="shared" si="51"/>
        <v>1855</v>
      </c>
      <c r="D217" s="3">
        <f t="shared" si="52"/>
        <v>1855</v>
      </c>
      <c r="E217" s="5">
        <v>1</v>
      </c>
      <c r="F217" s="21" t="s">
        <v>568</v>
      </c>
      <c r="I217" s="8" t="str">
        <f>CONCATENATE(F217,"_GEO ",C217,"-",D217," A",E217)</f>
        <v>SpanishTest_GEO 1855-1855 A1</v>
      </c>
    </row>
    <row r="218" spans="1:9" s="49" customFormat="1" ht="15" x14ac:dyDescent="0.25">
      <c r="A218" s="3">
        <f t="shared" si="59"/>
        <v>1857</v>
      </c>
      <c r="B218" s="3">
        <f t="shared" si="58"/>
        <v>1857</v>
      </c>
      <c r="C218" s="3">
        <f t="shared" si="51"/>
        <v>1856</v>
      </c>
      <c r="D218" s="3">
        <f t="shared" si="52"/>
        <v>1856</v>
      </c>
      <c r="E218" s="5">
        <v>1</v>
      </c>
      <c r="F218" s="21" t="str">
        <f>CONCATENATE(H218,G218)</f>
        <v>FILLER30</v>
      </c>
      <c r="G218" s="6">
        <v>30</v>
      </c>
      <c r="H218" s="4" t="s">
        <v>39</v>
      </c>
      <c r="I218" s="8" t="str">
        <f t="shared" si="53"/>
        <v>FILLER30 1856-1856 A1</v>
      </c>
    </row>
    <row r="219" spans="1:9" s="49" customFormat="1" ht="15" x14ac:dyDescent="0.25">
      <c r="A219" s="3">
        <f t="shared" si="59"/>
        <v>1858</v>
      </c>
      <c r="B219" s="3">
        <f t="shared" si="58"/>
        <v>1858</v>
      </c>
      <c r="C219" s="3">
        <f t="shared" si="51"/>
        <v>1857</v>
      </c>
      <c r="D219" s="3">
        <f t="shared" si="52"/>
        <v>1857</v>
      </c>
      <c r="E219" s="5">
        <v>1</v>
      </c>
      <c r="F219" s="21" t="s">
        <v>96</v>
      </c>
      <c r="I219" s="8" t="str">
        <f t="shared" ref="I219:I231" si="60">CONCATENATE(F219,"_GEO ",C219,"-",D219," A",E219)</f>
        <v>Braille_GEO 1857-1857 A1</v>
      </c>
    </row>
    <row r="220" spans="1:9" s="49" customFormat="1" ht="15" x14ac:dyDescent="0.25">
      <c r="A220" s="3">
        <f t="shared" si="59"/>
        <v>1859</v>
      </c>
      <c r="B220" s="3">
        <f t="shared" si="58"/>
        <v>1859</v>
      </c>
      <c r="C220" s="3">
        <f t="shared" si="51"/>
        <v>1858</v>
      </c>
      <c r="D220" s="3">
        <f t="shared" si="52"/>
        <v>1858</v>
      </c>
      <c r="E220" s="5">
        <v>1</v>
      </c>
      <c r="F220" s="21" t="s">
        <v>569</v>
      </c>
      <c r="I220" s="8" t="str">
        <f t="shared" si="60"/>
        <v>AccommodatedPaper_GEO 1858-1858 A1</v>
      </c>
    </row>
    <row r="221" spans="1:9" s="49" customFormat="1" ht="15" x14ac:dyDescent="0.25">
      <c r="A221" s="3">
        <f t="shared" si="59"/>
        <v>1860</v>
      </c>
      <c r="B221" s="3">
        <f t="shared" si="58"/>
        <v>1860</v>
      </c>
      <c r="C221" s="3">
        <f t="shared" si="51"/>
        <v>1859</v>
      </c>
      <c r="D221" s="3">
        <f t="shared" si="52"/>
        <v>1859</v>
      </c>
      <c r="E221" s="5">
        <v>1</v>
      </c>
      <c r="F221" s="21" t="s">
        <v>570</v>
      </c>
      <c r="I221" s="8" t="str">
        <f t="shared" si="60"/>
        <v>HumanReadAloud_GEO 1859-1859 A1</v>
      </c>
    </row>
    <row r="222" spans="1:9" s="49" customFormat="1" ht="15" x14ac:dyDescent="0.25">
      <c r="A222" s="3">
        <f t="shared" si="59"/>
        <v>1861</v>
      </c>
      <c r="B222" s="3">
        <f t="shared" si="58"/>
        <v>1861</v>
      </c>
      <c r="C222" s="3">
        <f t="shared" si="51"/>
        <v>1860</v>
      </c>
      <c r="D222" s="3">
        <f t="shared" si="52"/>
        <v>1860</v>
      </c>
      <c r="E222" s="5">
        <v>1</v>
      </c>
      <c r="F222" s="21" t="s">
        <v>571</v>
      </c>
      <c r="I222" s="8" t="str">
        <f t="shared" si="60"/>
        <v>NativeLanguageWordtoWordDictionary_GEO 1860-1860 A1</v>
      </c>
    </row>
    <row r="223" spans="1:9" s="49" customFormat="1" ht="15" x14ac:dyDescent="0.25">
      <c r="A223" s="3">
        <f t="shared" si="59"/>
        <v>1862</v>
      </c>
      <c r="B223" s="3">
        <f t="shared" si="58"/>
        <v>1862</v>
      </c>
      <c r="C223" s="3">
        <f t="shared" si="51"/>
        <v>1861</v>
      </c>
      <c r="D223" s="3">
        <f t="shared" si="52"/>
        <v>1861</v>
      </c>
      <c r="E223" s="5">
        <v>1</v>
      </c>
      <c r="F223" s="21" t="s">
        <v>572</v>
      </c>
      <c r="I223" s="8" t="str">
        <f t="shared" si="60"/>
        <v>DirectionsinNativeLanguage_GEO 1861-1861 A1</v>
      </c>
    </row>
    <row r="224" spans="1:9" s="49" customFormat="1" ht="15" x14ac:dyDescent="0.25">
      <c r="A224" s="3">
        <f t="shared" si="59"/>
        <v>1863</v>
      </c>
      <c r="B224" s="3">
        <f t="shared" si="58"/>
        <v>1863</v>
      </c>
      <c r="C224" s="3">
        <f t="shared" si="51"/>
        <v>1862</v>
      </c>
      <c r="D224" s="3">
        <f t="shared" si="52"/>
        <v>1862</v>
      </c>
      <c r="E224" s="5">
        <v>1</v>
      </c>
      <c r="F224" s="21" t="s">
        <v>573</v>
      </c>
      <c r="I224" s="8" t="str">
        <f t="shared" si="60"/>
        <v>CommunicationAssistance_GEO 1862-1862 A1</v>
      </c>
    </row>
    <row r="225" spans="1:9" s="49" customFormat="1" ht="15" x14ac:dyDescent="0.25">
      <c r="A225" s="3">
        <f t="shared" si="59"/>
        <v>1864</v>
      </c>
      <c r="B225" s="3">
        <f t="shared" si="58"/>
        <v>1864</v>
      </c>
      <c r="C225" s="3">
        <f t="shared" si="51"/>
        <v>1863</v>
      </c>
      <c r="D225" s="3">
        <f t="shared" si="52"/>
        <v>1863</v>
      </c>
      <c r="E225" s="5">
        <v>1</v>
      </c>
      <c r="F225" s="21" t="s">
        <v>574</v>
      </c>
      <c r="I225" s="8" t="str">
        <f t="shared" si="60"/>
        <v>TransferredAnswers_GEO 1863-1863 A1</v>
      </c>
    </row>
    <row r="226" spans="1:9" s="49" customFormat="1" ht="15" x14ac:dyDescent="0.25">
      <c r="A226" s="3">
        <f t="shared" si="59"/>
        <v>1865</v>
      </c>
      <c r="B226" s="3">
        <f t="shared" si="58"/>
        <v>1865</v>
      </c>
      <c r="C226" s="3">
        <f t="shared" si="51"/>
        <v>1864</v>
      </c>
      <c r="D226" s="3">
        <f t="shared" si="52"/>
        <v>1864</v>
      </c>
      <c r="E226" s="5">
        <v>1</v>
      </c>
      <c r="F226" s="21" t="s">
        <v>575</v>
      </c>
      <c r="I226" s="8" t="str">
        <f t="shared" si="60"/>
        <v>AnswersRecorded_GEO 1864-1864 A1</v>
      </c>
    </row>
    <row r="227" spans="1:9" s="49" customFormat="1" ht="15" x14ac:dyDescent="0.25">
      <c r="A227" s="3">
        <f t="shared" si="59"/>
        <v>1866</v>
      </c>
      <c r="B227" s="3">
        <f t="shared" si="58"/>
        <v>1866</v>
      </c>
      <c r="C227" s="3">
        <f t="shared" si="51"/>
        <v>1865</v>
      </c>
      <c r="D227" s="3">
        <f t="shared" si="52"/>
        <v>1865</v>
      </c>
      <c r="E227" s="5">
        <v>1</v>
      </c>
      <c r="F227" s="21" t="s">
        <v>102</v>
      </c>
      <c r="I227" s="8" t="str">
        <f t="shared" si="60"/>
        <v>Calculator_GEO 1865-1865 A1</v>
      </c>
    </row>
    <row r="228" spans="1:9" s="49" customFormat="1" ht="15" x14ac:dyDescent="0.25">
      <c r="A228" s="3">
        <f t="shared" si="59"/>
        <v>1867</v>
      </c>
      <c r="B228" s="3">
        <f t="shared" si="58"/>
        <v>1867</v>
      </c>
      <c r="C228" s="3">
        <f t="shared" si="51"/>
        <v>1866</v>
      </c>
      <c r="D228" s="3">
        <f t="shared" si="52"/>
        <v>1866</v>
      </c>
      <c r="E228" s="5">
        <v>1</v>
      </c>
      <c r="F228" s="21" t="s">
        <v>576</v>
      </c>
      <c r="I228" s="8" t="str">
        <f t="shared" si="60"/>
        <v>ScientificCalculator_GEO 1866-1866 A1</v>
      </c>
    </row>
    <row r="229" spans="1:9" s="49" customFormat="1" ht="15" x14ac:dyDescent="0.25">
      <c r="A229" s="3">
        <f t="shared" si="59"/>
        <v>1868</v>
      </c>
      <c r="B229" s="3">
        <f t="shared" si="58"/>
        <v>1868</v>
      </c>
      <c r="C229" s="3">
        <f t="shared" si="51"/>
        <v>1867</v>
      </c>
      <c r="D229" s="3">
        <f t="shared" si="52"/>
        <v>1867</v>
      </c>
      <c r="E229" s="5">
        <v>1</v>
      </c>
      <c r="F229" s="21" t="s">
        <v>577</v>
      </c>
      <c r="I229" s="8" t="str">
        <f t="shared" si="60"/>
        <v>GraphingCalculator_GEO 1867-1867 A1</v>
      </c>
    </row>
    <row r="230" spans="1:9" s="49" customFormat="1" ht="15" x14ac:dyDescent="0.25">
      <c r="A230" s="3">
        <f t="shared" si="59"/>
        <v>1869</v>
      </c>
      <c r="B230" s="3">
        <f t="shared" si="58"/>
        <v>1869</v>
      </c>
      <c r="C230" s="3">
        <f t="shared" si="51"/>
        <v>1868</v>
      </c>
      <c r="D230" s="3">
        <f t="shared" si="52"/>
        <v>1868</v>
      </c>
      <c r="E230" s="5">
        <v>1</v>
      </c>
      <c r="F230" s="21" t="s">
        <v>578</v>
      </c>
      <c r="I230" s="8" t="str">
        <f t="shared" si="60"/>
        <v>ExtendedTime_GEO 1868-1868 A1</v>
      </c>
    </row>
    <row r="231" spans="1:9" s="49" customFormat="1" ht="15" x14ac:dyDescent="0.25">
      <c r="A231" s="3">
        <f t="shared" si="59"/>
        <v>1870</v>
      </c>
      <c r="B231" s="3">
        <f t="shared" si="58"/>
        <v>1870</v>
      </c>
      <c r="C231" s="3">
        <f t="shared" si="51"/>
        <v>1869</v>
      </c>
      <c r="D231" s="3">
        <f t="shared" si="52"/>
        <v>1869</v>
      </c>
      <c r="E231" s="5">
        <v>1</v>
      </c>
      <c r="F231" s="21" t="s">
        <v>579</v>
      </c>
      <c r="I231" s="8" t="str">
        <f t="shared" si="60"/>
        <v>IndividualorSmallGroupAdministration_GEO 1869-1869 A1</v>
      </c>
    </row>
    <row r="232" spans="1:9" s="49" customFormat="1" ht="15" x14ac:dyDescent="0.25">
      <c r="A232" s="3">
        <f t="shared" si="59"/>
        <v>1871</v>
      </c>
      <c r="B232" s="3">
        <f t="shared" si="58"/>
        <v>1888</v>
      </c>
      <c r="C232" s="3">
        <f t="shared" si="51"/>
        <v>1870</v>
      </c>
      <c r="D232" s="3">
        <f t="shared" si="52"/>
        <v>1887</v>
      </c>
      <c r="E232" s="5">
        <v>18</v>
      </c>
      <c r="F232" s="21" t="str">
        <f>CONCATENATE(H232,G232)</f>
        <v>FILLER31</v>
      </c>
      <c r="G232" s="70">
        <v>31</v>
      </c>
      <c r="H232" s="4" t="s">
        <v>39</v>
      </c>
      <c r="I232" s="8" t="str">
        <f t="shared" si="53"/>
        <v>FILLER31 1870-1887 A18</v>
      </c>
    </row>
    <row r="233" spans="1:9" s="49" customFormat="1" ht="15" x14ac:dyDescent="0.25">
      <c r="A233" s="3"/>
      <c r="B233" s="3"/>
      <c r="C233" s="3"/>
      <c r="D233" s="3"/>
      <c r="E233" s="5"/>
      <c r="F233" s="22" t="s">
        <v>678</v>
      </c>
      <c r="I233" s="8"/>
    </row>
    <row r="234" spans="1:9" s="49" customFormat="1" ht="15" x14ac:dyDescent="0.25">
      <c r="A234" s="3">
        <f>A232+E232</f>
        <v>1889</v>
      </c>
      <c r="B234" s="3">
        <f t="shared" ref="B234:B241" si="61">A234+E234-1</f>
        <v>1891</v>
      </c>
      <c r="C234" s="3">
        <f t="shared" si="51"/>
        <v>1888</v>
      </c>
      <c r="D234" s="3">
        <f t="shared" si="52"/>
        <v>1890</v>
      </c>
      <c r="E234" s="3">
        <v>3</v>
      </c>
      <c r="F234" s="21" t="s">
        <v>580</v>
      </c>
      <c r="I234" s="8" t="str">
        <f>CONCATENATE(F234,"_GEO ",C234,"-",D234," A",E234)</f>
        <v>TotalMCScore_GEO 1888-1890 A3</v>
      </c>
    </row>
    <row r="235" spans="1:9" s="49" customFormat="1" ht="15" x14ac:dyDescent="0.25">
      <c r="A235" s="3">
        <f t="shared" ref="A235:A241" si="62">A234+E234</f>
        <v>1892</v>
      </c>
      <c r="B235" s="3">
        <f t="shared" si="61"/>
        <v>1894</v>
      </c>
      <c r="C235" s="3">
        <f t="shared" si="51"/>
        <v>1891</v>
      </c>
      <c r="D235" s="3">
        <f t="shared" si="52"/>
        <v>1893</v>
      </c>
      <c r="E235" s="3">
        <v>3</v>
      </c>
      <c r="F235" s="21" t="s">
        <v>581</v>
      </c>
      <c r="I235" s="8" t="str">
        <f t="shared" ref="I235:I240" si="63">CONCATENATE(F235,"_GEO ",C235,"-",D235," A",E235)</f>
        <v>TotalCRScore_GEO 1891-1893 A3</v>
      </c>
    </row>
    <row r="236" spans="1:9" s="49" customFormat="1" ht="15" x14ac:dyDescent="0.25">
      <c r="A236" s="3">
        <f t="shared" si="62"/>
        <v>1895</v>
      </c>
      <c r="B236" s="3">
        <f t="shared" si="61"/>
        <v>1897</v>
      </c>
      <c r="C236" s="3">
        <f t="shared" si="51"/>
        <v>1894</v>
      </c>
      <c r="D236" s="3">
        <f t="shared" si="52"/>
        <v>1896</v>
      </c>
      <c r="E236" s="3">
        <v>3</v>
      </c>
      <c r="F236" s="21" t="s">
        <v>582</v>
      </c>
      <c r="I236" s="8" t="str">
        <f t="shared" si="63"/>
        <v>TotalRawScore_GEO 1894-1896 A3</v>
      </c>
    </row>
    <row r="237" spans="1:9" s="49" customFormat="1" ht="15" x14ac:dyDescent="0.25">
      <c r="A237" s="3">
        <f t="shared" si="62"/>
        <v>1898</v>
      </c>
      <c r="B237" s="3">
        <f t="shared" si="61"/>
        <v>1900</v>
      </c>
      <c r="C237" s="3">
        <f t="shared" si="51"/>
        <v>1897</v>
      </c>
      <c r="D237" s="3">
        <f t="shared" si="52"/>
        <v>1899</v>
      </c>
      <c r="E237" s="3">
        <v>3</v>
      </c>
      <c r="F237" s="21" t="s">
        <v>628</v>
      </c>
      <c r="I237" s="8" t="str">
        <f t="shared" si="63"/>
        <v>TotalPercentcorrect_GEO 1897-1899 A3</v>
      </c>
    </row>
    <row r="238" spans="1:9" s="49" customFormat="1" ht="15" x14ac:dyDescent="0.25">
      <c r="A238" s="3">
        <f t="shared" si="62"/>
        <v>1901</v>
      </c>
      <c r="B238" s="3">
        <f t="shared" si="61"/>
        <v>1903</v>
      </c>
      <c r="C238" s="3">
        <f t="shared" si="51"/>
        <v>1900</v>
      </c>
      <c r="D238" s="3">
        <f t="shared" si="52"/>
        <v>1902</v>
      </c>
      <c r="E238" s="3">
        <v>3</v>
      </c>
      <c r="F238" s="21" t="s">
        <v>584</v>
      </c>
      <c r="I238" s="8" t="str">
        <f t="shared" si="63"/>
        <v>ScaleScore_GEO 1900-1902 A3</v>
      </c>
    </row>
    <row r="239" spans="1:9" s="49" customFormat="1" ht="15" x14ac:dyDescent="0.25">
      <c r="A239" s="3">
        <f t="shared" si="62"/>
        <v>1904</v>
      </c>
      <c r="B239" s="3">
        <f t="shared" si="61"/>
        <v>1906</v>
      </c>
      <c r="C239" s="3">
        <f t="shared" si="51"/>
        <v>1903</v>
      </c>
      <c r="D239" s="3">
        <f t="shared" si="52"/>
        <v>1905</v>
      </c>
      <c r="E239" s="6">
        <v>3</v>
      </c>
      <c r="F239" s="21" t="s">
        <v>585</v>
      </c>
      <c r="I239" s="8" t="str">
        <f t="shared" si="63"/>
        <v>AssessmentAchievementLevel_GEO 1903-1905 A3</v>
      </c>
    </row>
    <row r="240" spans="1:9" s="49" customFormat="1" ht="15" x14ac:dyDescent="0.25">
      <c r="A240" s="3">
        <f t="shared" si="62"/>
        <v>1907</v>
      </c>
      <c r="B240" s="3">
        <f t="shared" si="61"/>
        <v>1909</v>
      </c>
      <c r="C240" s="3">
        <f t="shared" si="51"/>
        <v>1906</v>
      </c>
      <c r="D240" s="3">
        <f t="shared" si="52"/>
        <v>1908</v>
      </c>
      <c r="E240" s="3">
        <v>3</v>
      </c>
      <c r="F240" s="21" t="s">
        <v>586</v>
      </c>
      <c r="I240" s="8" t="str">
        <f t="shared" si="63"/>
        <v>AccountabilityAchievementLevel_GEO 1906-1908 A3</v>
      </c>
    </row>
    <row r="241" spans="1:9" s="49" customFormat="1" ht="15" x14ac:dyDescent="0.25">
      <c r="A241" s="3">
        <f t="shared" si="62"/>
        <v>1910</v>
      </c>
      <c r="B241" s="3">
        <f t="shared" si="61"/>
        <v>1929</v>
      </c>
      <c r="C241" s="3">
        <f t="shared" si="51"/>
        <v>1909</v>
      </c>
      <c r="D241" s="3">
        <f t="shared" si="52"/>
        <v>1928</v>
      </c>
      <c r="E241" s="6">
        <v>20</v>
      </c>
      <c r="F241" s="21" t="str">
        <f>CONCATENATE(H241,G241)</f>
        <v>FILLER32</v>
      </c>
      <c r="G241" s="70">
        <v>32</v>
      </c>
      <c r="H241" s="4" t="s">
        <v>39</v>
      </c>
      <c r="I241" s="8" t="str">
        <f t="shared" si="53"/>
        <v>FILLER32 1909-1928 A20</v>
      </c>
    </row>
    <row r="242" spans="1:9" s="49" customFormat="1" ht="28.15" customHeight="1" x14ac:dyDescent="0.25">
      <c r="A242" s="3"/>
      <c r="B242" s="3"/>
      <c r="C242" s="3"/>
      <c r="D242" s="3"/>
      <c r="E242" s="3"/>
      <c r="F242" s="22" t="s">
        <v>670</v>
      </c>
      <c r="I242" s="8"/>
    </row>
    <row r="243" spans="1:9" s="49" customFormat="1" ht="15" x14ac:dyDescent="0.25">
      <c r="A243" s="3">
        <f>A241+E241</f>
        <v>1930</v>
      </c>
      <c r="B243" s="30">
        <f t="shared" ref="B243:B255" si="64">A243+E243-1</f>
        <v>1933</v>
      </c>
      <c r="C243" s="3">
        <f t="shared" si="51"/>
        <v>1929</v>
      </c>
      <c r="D243" s="3">
        <f t="shared" si="52"/>
        <v>1932</v>
      </c>
      <c r="E243" s="6">
        <v>4</v>
      </c>
      <c r="F243" s="45" t="s">
        <v>587</v>
      </c>
      <c r="I243" s="8" t="str">
        <f>CONCATENATE(F243,"_GEO ",C243,"-",D243," A",E243)</f>
        <v>MajorContentRawScore_GEO 1929-1932 A4</v>
      </c>
    </row>
    <row r="244" spans="1:9" s="49" customFormat="1" ht="15" x14ac:dyDescent="0.25">
      <c r="A244" s="6">
        <f t="shared" ref="A244:A255" si="65">A243+E243</f>
        <v>1934</v>
      </c>
      <c r="B244" s="30">
        <f t="shared" si="64"/>
        <v>1934</v>
      </c>
      <c r="C244" s="3">
        <f t="shared" si="51"/>
        <v>1933</v>
      </c>
      <c r="D244" s="3">
        <f t="shared" si="52"/>
        <v>1933</v>
      </c>
      <c r="E244" s="6">
        <v>1</v>
      </c>
      <c r="F244" s="45" t="s">
        <v>588</v>
      </c>
      <c r="I244" s="8" t="str">
        <f t="shared" ref="I244:I254" si="66">CONCATENATE(F244,"_GEO ",C244,"-",D244," A",E244)</f>
        <v>MajorContentRating_GEO 1933-1933 A1</v>
      </c>
    </row>
    <row r="245" spans="1:9" s="49" customFormat="1" ht="15" x14ac:dyDescent="0.25">
      <c r="A245" s="6">
        <f t="shared" si="65"/>
        <v>1935</v>
      </c>
      <c r="B245" s="30">
        <f t="shared" si="64"/>
        <v>1937</v>
      </c>
      <c r="C245" s="3">
        <f t="shared" si="51"/>
        <v>1934</v>
      </c>
      <c r="D245" s="3">
        <f t="shared" si="52"/>
        <v>1936</v>
      </c>
      <c r="E245" s="6">
        <v>3</v>
      </c>
      <c r="F245" s="45" t="s">
        <v>589</v>
      </c>
      <c r="I245" s="8" t="str">
        <f t="shared" si="66"/>
        <v>MajorContentPercentCorrect_GEO 1934-1936 A3</v>
      </c>
    </row>
    <row r="246" spans="1:9" s="49" customFormat="1" ht="15" x14ac:dyDescent="0.25">
      <c r="A246" s="6">
        <f t="shared" si="65"/>
        <v>1938</v>
      </c>
      <c r="B246" s="30">
        <f t="shared" si="64"/>
        <v>1941</v>
      </c>
      <c r="C246" s="3">
        <f t="shared" si="51"/>
        <v>1937</v>
      </c>
      <c r="D246" s="3">
        <f t="shared" si="52"/>
        <v>1940</v>
      </c>
      <c r="E246" s="6">
        <v>4</v>
      </c>
      <c r="F246" s="45" t="s">
        <v>710</v>
      </c>
      <c r="I246" s="8" t="str">
        <f t="shared" si="66"/>
        <v>AdditionalSupportingContentRawScore_GEO 1937-1940 A4</v>
      </c>
    </row>
    <row r="247" spans="1:9" s="49" customFormat="1" ht="15" x14ac:dyDescent="0.25">
      <c r="A247" s="6">
        <f t="shared" si="65"/>
        <v>1942</v>
      </c>
      <c r="B247" s="30">
        <f t="shared" si="64"/>
        <v>1942</v>
      </c>
      <c r="C247" s="3">
        <f t="shared" si="51"/>
        <v>1941</v>
      </c>
      <c r="D247" s="3">
        <f t="shared" si="52"/>
        <v>1941</v>
      </c>
      <c r="E247" s="6">
        <v>1</v>
      </c>
      <c r="F247" s="45" t="s">
        <v>711</v>
      </c>
      <c r="I247" s="8" t="str">
        <f t="shared" si="66"/>
        <v>AdditionalSupportingContentRating_GEO 1941-1941 A1</v>
      </c>
    </row>
    <row r="248" spans="1:9" s="49" customFormat="1" ht="15" x14ac:dyDescent="0.25">
      <c r="A248" s="6">
        <f t="shared" si="65"/>
        <v>1943</v>
      </c>
      <c r="B248" s="30">
        <f t="shared" si="64"/>
        <v>1945</v>
      </c>
      <c r="C248" s="3">
        <f t="shared" si="51"/>
        <v>1942</v>
      </c>
      <c r="D248" s="3">
        <f t="shared" si="52"/>
        <v>1944</v>
      </c>
      <c r="E248" s="6">
        <v>3</v>
      </c>
      <c r="F248" s="45" t="s">
        <v>712</v>
      </c>
      <c r="I248" s="8" t="str">
        <f t="shared" si="66"/>
        <v>AdditionalSupportingContentPercentCorrect_GEO 1942-1944 A3</v>
      </c>
    </row>
    <row r="249" spans="1:9" s="49" customFormat="1" ht="15" x14ac:dyDescent="0.25">
      <c r="A249" s="6">
        <f t="shared" si="65"/>
        <v>1946</v>
      </c>
      <c r="B249" s="30">
        <f t="shared" si="64"/>
        <v>1949</v>
      </c>
      <c r="C249" s="3">
        <f t="shared" si="51"/>
        <v>1945</v>
      </c>
      <c r="D249" s="3">
        <f t="shared" si="52"/>
        <v>1948</v>
      </c>
      <c r="E249" s="6">
        <v>4</v>
      </c>
      <c r="F249" s="45" t="s">
        <v>590</v>
      </c>
      <c r="I249" s="8" t="str">
        <f t="shared" si="66"/>
        <v>ExpressingMathematicalReasoningRawScore_GEO 1945-1948 A4</v>
      </c>
    </row>
    <row r="250" spans="1:9" s="49" customFormat="1" ht="15" x14ac:dyDescent="0.25">
      <c r="A250" s="6">
        <f t="shared" si="65"/>
        <v>1950</v>
      </c>
      <c r="B250" s="30">
        <f t="shared" si="64"/>
        <v>1950</v>
      </c>
      <c r="C250" s="3">
        <f t="shared" si="51"/>
        <v>1949</v>
      </c>
      <c r="D250" s="3">
        <f t="shared" si="52"/>
        <v>1949</v>
      </c>
      <c r="E250" s="6">
        <v>1</v>
      </c>
      <c r="F250" s="45" t="s">
        <v>591</v>
      </c>
      <c r="I250" s="8" t="str">
        <f t="shared" si="66"/>
        <v>ExpressingMathematicalReasoningRating_GEO 1949-1949 A1</v>
      </c>
    </row>
    <row r="251" spans="1:9" s="49" customFormat="1" ht="25.5" x14ac:dyDescent="0.25">
      <c r="A251" s="6">
        <f t="shared" si="65"/>
        <v>1951</v>
      </c>
      <c r="B251" s="30">
        <f t="shared" si="64"/>
        <v>1953</v>
      </c>
      <c r="C251" s="3">
        <f t="shared" si="51"/>
        <v>1950</v>
      </c>
      <c r="D251" s="3">
        <f t="shared" si="52"/>
        <v>1952</v>
      </c>
      <c r="E251" s="6">
        <v>3</v>
      </c>
      <c r="F251" s="45" t="s">
        <v>592</v>
      </c>
      <c r="I251" s="8" t="str">
        <f t="shared" si="66"/>
        <v>ExpressingMathematicalReasoningPercentCorrect_GEO 1950-1952 A3</v>
      </c>
    </row>
    <row r="252" spans="1:9" s="49" customFormat="1" ht="15" x14ac:dyDescent="0.25">
      <c r="A252" s="6">
        <f t="shared" si="65"/>
        <v>1954</v>
      </c>
      <c r="B252" s="30">
        <f t="shared" si="64"/>
        <v>1957</v>
      </c>
      <c r="C252" s="3">
        <f t="shared" si="51"/>
        <v>1953</v>
      </c>
      <c r="D252" s="3">
        <f t="shared" si="52"/>
        <v>1956</v>
      </c>
      <c r="E252" s="6">
        <v>4</v>
      </c>
      <c r="F252" s="45" t="s">
        <v>713</v>
      </c>
      <c r="I252" s="8" t="str">
        <f t="shared" si="66"/>
        <v>ModelingApplicationRawScore_GEO 1953-1956 A4</v>
      </c>
    </row>
    <row r="253" spans="1:9" s="49" customFormat="1" ht="15" x14ac:dyDescent="0.25">
      <c r="A253" s="6">
        <f t="shared" si="65"/>
        <v>1958</v>
      </c>
      <c r="B253" s="30">
        <f t="shared" si="64"/>
        <v>1958</v>
      </c>
      <c r="C253" s="3">
        <f t="shared" si="51"/>
        <v>1957</v>
      </c>
      <c r="D253" s="3">
        <f t="shared" si="52"/>
        <v>1957</v>
      </c>
      <c r="E253" s="6">
        <v>1</v>
      </c>
      <c r="F253" s="45" t="s">
        <v>714</v>
      </c>
      <c r="I253" s="8" t="str">
        <f t="shared" si="66"/>
        <v>ModelingApplicationRating_GEO 1957-1957 A1</v>
      </c>
    </row>
    <row r="254" spans="1:9" s="49" customFormat="1" ht="15" x14ac:dyDescent="0.25">
      <c r="A254" s="6">
        <f t="shared" si="65"/>
        <v>1959</v>
      </c>
      <c r="B254" s="30">
        <f t="shared" si="64"/>
        <v>1961</v>
      </c>
      <c r="C254" s="3">
        <f t="shared" si="51"/>
        <v>1958</v>
      </c>
      <c r="D254" s="3">
        <f t="shared" si="52"/>
        <v>1960</v>
      </c>
      <c r="E254" s="6">
        <v>3</v>
      </c>
      <c r="F254" s="45" t="s">
        <v>715</v>
      </c>
      <c r="I254" s="8" t="str">
        <f t="shared" si="66"/>
        <v>ModelingApplicationPercentCorrect_GEO 1958-1960 A3</v>
      </c>
    </row>
    <row r="255" spans="1:9" s="49" customFormat="1" ht="15" x14ac:dyDescent="0.25">
      <c r="A255" s="6">
        <f t="shared" si="65"/>
        <v>1962</v>
      </c>
      <c r="B255" s="30">
        <f t="shared" si="64"/>
        <v>1962</v>
      </c>
      <c r="C255" s="3">
        <f t="shared" si="51"/>
        <v>1961</v>
      </c>
      <c r="D255" s="3">
        <f t="shared" si="52"/>
        <v>1961</v>
      </c>
      <c r="E255" s="5">
        <v>1</v>
      </c>
      <c r="F255" s="21" t="str">
        <f>CONCATENATE(H255,G255)</f>
        <v>FILLER33</v>
      </c>
      <c r="G255" s="70">
        <v>33</v>
      </c>
      <c r="H255" s="4" t="s">
        <v>39</v>
      </c>
      <c r="I255" s="8" t="str">
        <f t="shared" si="53"/>
        <v>FILLER33 1961-1961 A1</v>
      </c>
    </row>
    <row r="256" spans="1:9" s="47" customFormat="1" ht="22.9" customHeight="1" x14ac:dyDescent="0.2">
      <c r="A256" s="6"/>
      <c r="B256" s="30" t="s">
        <v>318</v>
      </c>
      <c r="C256" s="3"/>
      <c r="D256" s="3"/>
      <c r="E256" s="6"/>
      <c r="F256" s="48" t="s">
        <v>671</v>
      </c>
      <c r="I256" s="8"/>
    </row>
    <row r="257" spans="1:9" s="47" customFormat="1" ht="99.6" customHeight="1" x14ac:dyDescent="0.2">
      <c r="A257" s="6">
        <f>A255+E255</f>
        <v>1963</v>
      </c>
      <c r="B257" s="30">
        <f t="shared" ref="B257:B263" si="67">A257+E257-1</f>
        <v>1966</v>
      </c>
      <c r="C257" s="3">
        <f t="shared" si="51"/>
        <v>1962</v>
      </c>
      <c r="D257" s="3">
        <f t="shared" si="52"/>
        <v>1965</v>
      </c>
      <c r="E257" s="6">
        <v>4</v>
      </c>
      <c r="F257" s="45" t="s">
        <v>707</v>
      </c>
      <c r="I257" s="8" t="str">
        <f>CONCATENATE(F257,"_GEO ",C257,"-",D257," A",E257)</f>
        <v>CongruenceTransformationsSimilarityRawScore_GEO 1962-1965 A4</v>
      </c>
    </row>
    <row r="258" spans="1:9" s="47" customFormat="1" ht="102" customHeight="1" x14ac:dyDescent="0.2">
      <c r="A258" s="6">
        <f t="shared" ref="A258:A263" si="68">A257+E257</f>
        <v>1967</v>
      </c>
      <c r="B258" s="30">
        <f t="shared" si="67"/>
        <v>1967</v>
      </c>
      <c r="C258" s="3">
        <f t="shared" si="51"/>
        <v>1966</v>
      </c>
      <c r="D258" s="3">
        <f t="shared" si="52"/>
        <v>1966</v>
      </c>
      <c r="E258" s="6">
        <v>1</v>
      </c>
      <c r="F258" s="45" t="s">
        <v>708</v>
      </c>
      <c r="I258" s="8" t="str">
        <f t="shared" ref="I258:I262" si="69">CONCATENATE(F258,"_GEO ",C258,"-",D258," A",E258)</f>
        <v>CongruenceTransformationsSimilarityRating_GEO 1966-1966 A1</v>
      </c>
    </row>
    <row r="259" spans="1:9" s="47" customFormat="1" ht="76.900000000000006" customHeight="1" x14ac:dyDescent="0.2">
      <c r="A259" s="6">
        <f t="shared" si="68"/>
        <v>1968</v>
      </c>
      <c r="B259" s="30">
        <f t="shared" si="67"/>
        <v>1970</v>
      </c>
      <c r="C259" s="3">
        <f t="shared" si="51"/>
        <v>1967</v>
      </c>
      <c r="D259" s="3">
        <f t="shared" si="52"/>
        <v>1969</v>
      </c>
      <c r="E259" s="6">
        <v>3</v>
      </c>
      <c r="F259" s="45" t="s">
        <v>709</v>
      </c>
      <c r="I259" s="8" t="str">
        <f t="shared" si="69"/>
        <v>CongruenceTransformationsSimilarityPercentCorrect_GEO 1967-1969 A3</v>
      </c>
    </row>
    <row r="260" spans="1:9" s="47" customFormat="1" ht="33.6" customHeight="1" x14ac:dyDescent="0.2">
      <c r="A260" s="6">
        <f t="shared" si="68"/>
        <v>1971</v>
      </c>
      <c r="B260" s="30">
        <f t="shared" si="67"/>
        <v>1974</v>
      </c>
      <c r="C260" s="3">
        <f t="shared" ref="C260:C323" si="70">A260-1</f>
        <v>1970</v>
      </c>
      <c r="D260" s="3">
        <f t="shared" ref="D260:D323" si="71">B260-1</f>
        <v>1973</v>
      </c>
      <c r="E260" s="6">
        <v>4</v>
      </c>
      <c r="F260" s="45" t="s">
        <v>719</v>
      </c>
      <c r="I260" s="8" t="str">
        <f t="shared" si="69"/>
        <v>SimilarityinTrigonometryModelingApplyingRawScore_GEO 1970-1973 A4</v>
      </c>
    </row>
    <row r="261" spans="1:9" s="47" customFormat="1" ht="37.15" customHeight="1" x14ac:dyDescent="0.2">
      <c r="A261" s="6">
        <f t="shared" si="68"/>
        <v>1975</v>
      </c>
      <c r="B261" s="30">
        <f t="shared" si="67"/>
        <v>1975</v>
      </c>
      <c r="C261" s="3">
        <f t="shared" si="70"/>
        <v>1974</v>
      </c>
      <c r="D261" s="3">
        <f t="shared" si="71"/>
        <v>1974</v>
      </c>
      <c r="E261" s="6">
        <v>1</v>
      </c>
      <c r="F261" s="45" t="s">
        <v>720</v>
      </c>
      <c r="I261" s="8" t="str">
        <f t="shared" si="69"/>
        <v>SimilarityinTrigonometryModelingApplyingRating_GEO 1974-1974 A1</v>
      </c>
    </row>
    <row r="262" spans="1:9" s="47" customFormat="1" ht="47.45" customHeight="1" x14ac:dyDescent="0.2">
      <c r="A262" s="6">
        <f t="shared" si="68"/>
        <v>1976</v>
      </c>
      <c r="B262" s="30">
        <f t="shared" si="67"/>
        <v>1978</v>
      </c>
      <c r="C262" s="3">
        <f t="shared" si="70"/>
        <v>1975</v>
      </c>
      <c r="D262" s="3">
        <f t="shared" si="71"/>
        <v>1977</v>
      </c>
      <c r="E262" s="6">
        <v>3</v>
      </c>
      <c r="F262" s="45" t="s">
        <v>721</v>
      </c>
      <c r="I262" s="8" t="str">
        <f t="shared" si="69"/>
        <v>SimilarityinTrigonometryModelingApplyingPercentCorrect_GEO 1975-1977 A3</v>
      </c>
    </row>
    <row r="263" spans="1:9" s="49" customFormat="1" ht="15" x14ac:dyDescent="0.25">
      <c r="A263" s="6">
        <f t="shared" si="68"/>
        <v>1979</v>
      </c>
      <c r="B263" s="3">
        <f t="shared" si="67"/>
        <v>1979</v>
      </c>
      <c r="C263" s="3">
        <f t="shared" si="70"/>
        <v>1978</v>
      </c>
      <c r="D263" s="3">
        <f t="shared" si="71"/>
        <v>1978</v>
      </c>
      <c r="E263" s="35">
        <v>1</v>
      </c>
      <c r="F263" s="21" t="str">
        <f>CONCATENATE(H263,G263)</f>
        <v>FILLER34</v>
      </c>
      <c r="G263" s="70">
        <v>34</v>
      </c>
      <c r="H263" s="4" t="s">
        <v>39</v>
      </c>
      <c r="I263" s="8" t="str">
        <f t="shared" ref="I263:I319" si="72">CONCATENATE(F263," ",C263,"-",D263," A",E263)</f>
        <v>FILLER34 1978-1978 A1</v>
      </c>
    </row>
    <row r="264" spans="1:9" s="49" customFormat="1" ht="15" x14ac:dyDescent="0.25">
      <c r="A264" s="3"/>
      <c r="B264" s="3"/>
      <c r="C264" s="3"/>
      <c r="D264" s="3"/>
      <c r="E264" s="3"/>
      <c r="F264" s="22" t="s">
        <v>679</v>
      </c>
      <c r="I264" s="8"/>
    </row>
    <row r="265" spans="1:9" s="49" customFormat="1" ht="15" x14ac:dyDescent="0.25">
      <c r="A265" s="3">
        <f>A263+E263</f>
        <v>1980</v>
      </c>
      <c r="B265" s="3">
        <f t="shared" ref="B265:B272" si="73">A265+E265-1</f>
        <v>1981</v>
      </c>
      <c r="C265" s="3">
        <f t="shared" si="70"/>
        <v>1979</v>
      </c>
      <c r="D265" s="3">
        <f t="shared" si="71"/>
        <v>1980</v>
      </c>
      <c r="E265" s="5">
        <v>2</v>
      </c>
      <c r="F265" s="13" t="s">
        <v>629</v>
      </c>
      <c r="I265" s="8" t="str">
        <f>CONCATENATE(F265,"_GEO ",C265,"-",D265," A",E265)</f>
        <v>AccountabilityCodeGeometry_GEO 1979-1980 A2</v>
      </c>
    </row>
    <row r="266" spans="1:9" s="49" customFormat="1" ht="15" x14ac:dyDescent="0.25">
      <c r="A266" s="3">
        <f t="shared" ref="A266:A272" si="74">A265+E265</f>
        <v>1982</v>
      </c>
      <c r="B266" s="3">
        <f t="shared" si="73"/>
        <v>1982</v>
      </c>
      <c r="C266" s="3">
        <f t="shared" si="70"/>
        <v>1981</v>
      </c>
      <c r="D266" s="3">
        <f t="shared" si="71"/>
        <v>1981</v>
      </c>
      <c r="E266" s="3">
        <v>1</v>
      </c>
      <c r="F266" s="21" t="s">
        <v>600</v>
      </c>
      <c r="I266" s="8" t="str">
        <f t="shared" ref="I266:I271" si="75">CONCATENATE(F266,"_GEO ",C266,"-",D266," A",E266)</f>
        <v>Reportablestatus_GEO 1981-1981 A1</v>
      </c>
    </row>
    <row r="267" spans="1:9" s="49" customFormat="1" ht="15" x14ac:dyDescent="0.25">
      <c r="A267" s="3">
        <f t="shared" si="74"/>
        <v>1983</v>
      </c>
      <c r="B267" s="3">
        <f t="shared" si="73"/>
        <v>1983</v>
      </c>
      <c r="C267" s="3">
        <f t="shared" si="70"/>
        <v>1982</v>
      </c>
      <c r="D267" s="3">
        <f t="shared" si="71"/>
        <v>1982</v>
      </c>
      <c r="E267" s="3">
        <v>1</v>
      </c>
      <c r="F267" s="21" t="s">
        <v>601</v>
      </c>
      <c r="I267" s="8" t="str">
        <f t="shared" si="75"/>
        <v>TestValidAttempt_GEO 1982-1982 A1</v>
      </c>
    </row>
    <row r="268" spans="1:9" s="49" customFormat="1" ht="15" x14ac:dyDescent="0.25">
      <c r="A268" s="3">
        <f t="shared" si="74"/>
        <v>1984</v>
      </c>
      <c r="B268" s="3">
        <f t="shared" si="73"/>
        <v>1984</v>
      </c>
      <c r="C268" s="3">
        <f t="shared" si="70"/>
        <v>1983</v>
      </c>
      <c r="D268" s="3">
        <f t="shared" si="71"/>
        <v>1983</v>
      </c>
      <c r="E268" s="3">
        <v>1</v>
      </c>
      <c r="F268" s="21" t="s">
        <v>602</v>
      </c>
      <c r="I268" s="8" t="str">
        <f t="shared" si="75"/>
        <v>TestLaunchFlag_GEO 1983-1983 A1</v>
      </c>
    </row>
    <row r="269" spans="1:9" s="49" customFormat="1" ht="15" x14ac:dyDescent="0.25">
      <c r="A269" s="3">
        <f t="shared" si="74"/>
        <v>1985</v>
      </c>
      <c r="B269" s="3">
        <f t="shared" si="73"/>
        <v>1985</v>
      </c>
      <c r="C269" s="3">
        <f t="shared" si="70"/>
        <v>1984</v>
      </c>
      <c r="D269" s="3">
        <f t="shared" si="71"/>
        <v>1984</v>
      </c>
      <c r="E269" s="3">
        <v>1</v>
      </c>
      <c r="F269" s="21" t="s">
        <v>603</v>
      </c>
      <c r="I269" s="8" t="str">
        <f t="shared" si="75"/>
        <v>VoidFlag_GEO 1984-1984 A1</v>
      </c>
    </row>
    <row r="270" spans="1:9" s="49" customFormat="1" ht="177" customHeight="1" x14ac:dyDescent="0.25">
      <c r="A270" s="3">
        <f t="shared" si="74"/>
        <v>1986</v>
      </c>
      <c r="B270" s="3">
        <f t="shared" si="73"/>
        <v>1986</v>
      </c>
      <c r="C270" s="3">
        <f t="shared" si="70"/>
        <v>1985</v>
      </c>
      <c r="D270" s="3">
        <f t="shared" si="71"/>
        <v>1985</v>
      </c>
      <c r="E270" s="3">
        <v>1</v>
      </c>
      <c r="F270" s="21" t="s">
        <v>604</v>
      </c>
      <c r="I270" s="8" t="str">
        <f t="shared" si="75"/>
        <v>RetestFlag_GEO 1985-1985 A1</v>
      </c>
    </row>
    <row r="271" spans="1:9" s="49" customFormat="1" ht="15" x14ac:dyDescent="0.25">
      <c r="A271" s="3">
        <f t="shared" si="74"/>
        <v>1987</v>
      </c>
      <c r="B271" s="3">
        <f t="shared" si="73"/>
        <v>1987</v>
      </c>
      <c r="C271" s="3">
        <f t="shared" si="70"/>
        <v>1986</v>
      </c>
      <c r="D271" s="3">
        <f t="shared" si="71"/>
        <v>1986</v>
      </c>
      <c r="E271" s="3">
        <v>1</v>
      </c>
      <c r="F271" s="21" t="s">
        <v>605</v>
      </c>
      <c r="I271" s="8" t="str">
        <f t="shared" si="75"/>
        <v>EligibleFlag_GEO 1986-1986 A1</v>
      </c>
    </row>
    <row r="272" spans="1:9" s="49" customFormat="1" ht="15" x14ac:dyDescent="0.25">
      <c r="A272" s="3">
        <f t="shared" si="74"/>
        <v>1988</v>
      </c>
      <c r="B272" s="3">
        <f t="shared" si="73"/>
        <v>2341</v>
      </c>
      <c r="C272" s="3">
        <f t="shared" si="70"/>
        <v>1987</v>
      </c>
      <c r="D272" s="3">
        <f t="shared" si="71"/>
        <v>2340</v>
      </c>
      <c r="E272" s="3">
        <v>354</v>
      </c>
      <c r="F272" s="21" t="str">
        <f>CONCATENATE(H272,G272)</f>
        <v>FILLER35</v>
      </c>
      <c r="G272" s="70">
        <v>35</v>
      </c>
      <c r="H272" s="4" t="s">
        <v>39</v>
      </c>
      <c r="I272" s="8" t="str">
        <f t="shared" si="72"/>
        <v>FILLER35 1987-2340 A354</v>
      </c>
    </row>
    <row r="273" spans="1:9" x14ac:dyDescent="0.2">
      <c r="A273" s="3"/>
      <c r="B273" s="3"/>
      <c r="C273" s="3"/>
      <c r="D273" s="3"/>
      <c r="E273" s="7"/>
      <c r="F273" s="22" t="s">
        <v>680</v>
      </c>
      <c r="G273" s="4"/>
      <c r="I273" s="8"/>
    </row>
    <row r="274" spans="1:9" x14ac:dyDescent="0.2">
      <c r="A274" s="3">
        <f>A272+E272</f>
        <v>2342</v>
      </c>
      <c r="B274" s="3">
        <f t="shared" ref="B274:B286" si="76">A274+E274-1</f>
        <v>2342</v>
      </c>
      <c r="C274" s="3">
        <f t="shared" si="70"/>
        <v>2341</v>
      </c>
      <c r="D274" s="3">
        <f t="shared" si="71"/>
        <v>2341</v>
      </c>
      <c r="E274" s="3">
        <v>1</v>
      </c>
      <c r="F274" s="21" t="s">
        <v>559</v>
      </c>
      <c r="G274" s="4"/>
      <c r="I274" s="8" t="str">
        <f>CONCATENATE(F274,"_BIO ",C274,"-",D274," A",E274)</f>
        <v>AdminErrorAdministration_BIO 2341-2341 A1</v>
      </c>
    </row>
    <row r="275" spans="1:9" x14ac:dyDescent="0.2">
      <c r="A275" s="3">
        <f t="shared" ref="A275:A302" si="77">A274+E274</f>
        <v>2343</v>
      </c>
      <c r="B275" s="3">
        <f t="shared" si="76"/>
        <v>2350</v>
      </c>
      <c r="C275" s="3">
        <f t="shared" si="70"/>
        <v>2342</v>
      </c>
      <c r="D275" s="3">
        <f t="shared" si="71"/>
        <v>2349</v>
      </c>
      <c r="E275" s="6">
        <v>8</v>
      </c>
      <c r="F275" s="21" t="s">
        <v>11</v>
      </c>
      <c r="G275" s="4"/>
      <c r="I275" s="8" t="str">
        <f>CONCATENATE(F275,"_BIO ",C275,"-",D275," A",E275)</f>
        <v>Content_BIO 2342-2349 A8</v>
      </c>
    </row>
    <row r="276" spans="1:9" x14ac:dyDescent="0.2">
      <c r="A276" s="3">
        <f t="shared" si="77"/>
        <v>2351</v>
      </c>
      <c r="B276" s="3">
        <f t="shared" si="76"/>
        <v>2358</v>
      </c>
      <c r="C276" s="3">
        <f t="shared" si="70"/>
        <v>2350</v>
      </c>
      <c r="D276" s="3">
        <f t="shared" si="71"/>
        <v>2357</v>
      </c>
      <c r="E276" s="6">
        <v>8</v>
      </c>
      <c r="F276" s="21" t="str">
        <f>CONCATENATE(H276,G276)</f>
        <v>FILLER36</v>
      </c>
      <c r="G276" s="6">
        <v>36</v>
      </c>
      <c r="H276" s="4" t="s">
        <v>39</v>
      </c>
      <c r="I276" s="8" t="str">
        <f t="shared" si="72"/>
        <v>FILLER36 2350-2357 A8</v>
      </c>
    </row>
    <row r="277" spans="1:9" s="49" customFormat="1" ht="18.75" customHeight="1" x14ac:dyDescent="0.25">
      <c r="A277" s="3">
        <f t="shared" si="77"/>
        <v>2359</v>
      </c>
      <c r="B277" s="3">
        <f t="shared" si="76"/>
        <v>2378</v>
      </c>
      <c r="C277" s="3">
        <f t="shared" si="70"/>
        <v>2358</v>
      </c>
      <c r="D277" s="3">
        <f t="shared" si="71"/>
        <v>2377</v>
      </c>
      <c r="E277" s="3">
        <v>20</v>
      </c>
      <c r="F277" s="21" t="s">
        <v>560</v>
      </c>
      <c r="I277" s="8" t="str">
        <f t="shared" ref="I277:I279" si="78">CONCATENATE(F277,"_BIO ",C277,"-",D277," A",E277)</f>
        <v>TeacherLastName_BIO 2358-2377 A20</v>
      </c>
    </row>
    <row r="278" spans="1:9" s="49" customFormat="1" ht="18.75" customHeight="1" x14ac:dyDescent="0.25">
      <c r="A278" s="3">
        <f t="shared" si="77"/>
        <v>2379</v>
      </c>
      <c r="B278" s="3">
        <f t="shared" si="76"/>
        <v>2393</v>
      </c>
      <c r="C278" s="3">
        <f t="shared" si="70"/>
        <v>2378</v>
      </c>
      <c r="D278" s="3">
        <f t="shared" si="71"/>
        <v>2392</v>
      </c>
      <c r="E278" s="3">
        <v>15</v>
      </c>
      <c r="F278" s="21" t="s">
        <v>561</v>
      </c>
      <c r="I278" s="8" t="str">
        <f t="shared" si="78"/>
        <v>TeacherFirstName_BIO 2378-2392 A15</v>
      </c>
    </row>
    <row r="279" spans="1:9" s="49" customFormat="1" ht="21.75" customHeight="1" x14ac:dyDescent="0.25">
      <c r="A279" s="3">
        <f t="shared" si="77"/>
        <v>2394</v>
      </c>
      <c r="B279" s="3">
        <f t="shared" si="76"/>
        <v>2394</v>
      </c>
      <c r="C279" s="3">
        <f t="shared" si="70"/>
        <v>2393</v>
      </c>
      <c r="D279" s="3">
        <f t="shared" si="71"/>
        <v>2393</v>
      </c>
      <c r="E279" s="3">
        <v>1</v>
      </c>
      <c r="F279" s="21" t="s">
        <v>562</v>
      </c>
      <c r="I279" s="8" t="str">
        <f t="shared" si="78"/>
        <v>TeacherMiddleInitial_BIO 2393-2393 A1</v>
      </c>
    </row>
    <row r="280" spans="1:9" s="49" customFormat="1" ht="39.6" customHeight="1" x14ac:dyDescent="0.25">
      <c r="A280" s="3">
        <f t="shared" si="77"/>
        <v>2395</v>
      </c>
      <c r="B280" s="3">
        <f t="shared" si="76"/>
        <v>2438</v>
      </c>
      <c r="C280" s="3">
        <f t="shared" si="70"/>
        <v>2394</v>
      </c>
      <c r="D280" s="3">
        <f t="shared" si="71"/>
        <v>2437</v>
      </c>
      <c r="E280" s="3">
        <v>44</v>
      </c>
      <c r="F280" s="21" t="str">
        <f>CONCATENATE(H280,G280)</f>
        <v>FILLER37</v>
      </c>
      <c r="G280" s="70">
        <v>37</v>
      </c>
      <c r="H280" s="4" t="s">
        <v>39</v>
      </c>
      <c r="I280" s="8" t="str">
        <f t="shared" si="72"/>
        <v>FILLER37 2394-2437 A44</v>
      </c>
    </row>
    <row r="281" spans="1:9" s="49" customFormat="1" ht="15" x14ac:dyDescent="0.25">
      <c r="A281" s="3">
        <f t="shared" si="77"/>
        <v>2439</v>
      </c>
      <c r="B281" s="3">
        <f t="shared" si="76"/>
        <v>2444</v>
      </c>
      <c r="C281" s="3">
        <f t="shared" si="70"/>
        <v>2438</v>
      </c>
      <c r="D281" s="3">
        <f t="shared" si="71"/>
        <v>2443</v>
      </c>
      <c r="E281" s="3">
        <v>6</v>
      </c>
      <c r="F281" s="21" t="s">
        <v>563</v>
      </c>
      <c r="I281" s="8" t="str">
        <f t="shared" ref="I281:I285" si="79">CONCATENATE(F281,"_BIO ",C281,"-",D281," A",E281)</f>
        <v>CourseCode_BIO 2438-2443 A6</v>
      </c>
    </row>
    <row r="282" spans="1:9" x14ac:dyDescent="0.2">
      <c r="A282" s="3">
        <f t="shared" si="77"/>
        <v>2445</v>
      </c>
      <c r="B282" s="3">
        <f t="shared" si="76"/>
        <v>2474</v>
      </c>
      <c r="C282" s="3">
        <f t="shared" si="70"/>
        <v>2444</v>
      </c>
      <c r="D282" s="3">
        <f t="shared" si="71"/>
        <v>2473</v>
      </c>
      <c r="E282" s="6">
        <v>30</v>
      </c>
      <c r="F282" s="9" t="s">
        <v>564</v>
      </c>
      <c r="G282" s="4"/>
      <c r="I282" s="8" t="str">
        <f t="shared" si="79"/>
        <v>CourseName_BIO 2444-2473 A30</v>
      </c>
    </row>
    <row r="283" spans="1:9" s="49" customFormat="1" ht="15" x14ac:dyDescent="0.25">
      <c r="A283" s="3">
        <f t="shared" si="77"/>
        <v>2475</v>
      </c>
      <c r="B283" s="3">
        <f t="shared" si="76"/>
        <v>2494</v>
      </c>
      <c r="C283" s="3">
        <f t="shared" si="70"/>
        <v>2474</v>
      </c>
      <c r="D283" s="3">
        <f t="shared" si="71"/>
        <v>2493</v>
      </c>
      <c r="E283" s="6">
        <v>20</v>
      </c>
      <c r="F283" s="9" t="s">
        <v>565</v>
      </c>
      <c r="I283" s="8" t="str">
        <f t="shared" si="79"/>
        <v>ClassSection_BIO 2474-2493 A20</v>
      </c>
    </row>
    <row r="284" spans="1:9" s="49" customFormat="1" ht="15" x14ac:dyDescent="0.25">
      <c r="A284" s="3">
        <f t="shared" si="77"/>
        <v>2495</v>
      </c>
      <c r="B284" s="3">
        <f t="shared" si="76"/>
        <v>2500</v>
      </c>
      <c r="C284" s="3">
        <f t="shared" si="70"/>
        <v>2494</v>
      </c>
      <c r="D284" s="3">
        <f t="shared" si="71"/>
        <v>2499</v>
      </c>
      <c r="E284" s="6">
        <v>6</v>
      </c>
      <c r="F284" s="9" t="s">
        <v>566</v>
      </c>
      <c r="I284" s="8" t="str">
        <f t="shared" si="79"/>
        <v>TestingSiteCode_BIO 2494-2499 A6</v>
      </c>
    </row>
    <row r="285" spans="1:9" s="49" customFormat="1" ht="15" x14ac:dyDescent="0.25">
      <c r="A285" s="3">
        <f t="shared" si="77"/>
        <v>2501</v>
      </c>
      <c r="B285" s="3">
        <f t="shared" si="76"/>
        <v>2501</v>
      </c>
      <c r="C285" s="3">
        <f t="shared" si="70"/>
        <v>2500</v>
      </c>
      <c r="D285" s="3">
        <f t="shared" si="71"/>
        <v>2500</v>
      </c>
      <c r="E285" s="6">
        <v>1</v>
      </c>
      <c r="F285" s="9" t="s">
        <v>630</v>
      </c>
      <c r="I285" s="8" t="str">
        <f t="shared" si="79"/>
        <v>BiologyEnrollFlag_BIO 2500-2500 A1</v>
      </c>
    </row>
    <row r="286" spans="1:9" s="49" customFormat="1" ht="15" x14ac:dyDescent="0.25">
      <c r="A286" s="3">
        <f t="shared" si="77"/>
        <v>2502</v>
      </c>
      <c r="B286" s="3">
        <f t="shared" si="76"/>
        <v>2538</v>
      </c>
      <c r="C286" s="3">
        <f t="shared" si="70"/>
        <v>2501</v>
      </c>
      <c r="D286" s="3">
        <f t="shared" si="71"/>
        <v>2537</v>
      </c>
      <c r="E286" s="6">
        <v>37</v>
      </c>
      <c r="F286" s="21" t="str">
        <f>CONCATENATE(H286,G286)</f>
        <v>FILLER38</v>
      </c>
      <c r="G286" s="70">
        <v>38</v>
      </c>
      <c r="H286" s="4" t="s">
        <v>39</v>
      </c>
      <c r="I286" s="8" t="str">
        <f t="shared" si="72"/>
        <v>FILLER38 2501-2537 A37</v>
      </c>
    </row>
    <row r="287" spans="1:9" s="49" customFormat="1" ht="15" x14ac:dyDescent="0.25">
      <c r="A287" s="3">
        <f t="shared" si="77"/>
        <v>2539</v>
      </c>
      <c r="B287" s="3"/>
      <c r="C287" s="3"/>
      <c r="D287" s="3"/>
      <c r="E287" s="3"/>
      <c r="F287" s="22" t="s">
        <v>668</v>
      </c>
      <c r="I287" s="8"/>
    </row>
    <row r="288" spans="1:9" s="49" customFormat="1" ht="15" customHeight="1" x14ac:dyDescent="0.25">
      <c r="A288" s="3">
        <f t="shared" si="77"/>
        <v>2539</v>
      </c>
      <c r="B288" s="3">
        <f t="shared" ref="B288:B302" si="80">A288+E288-1</f>
        <v>2539</v>
      </c>
      <c r="C288" s="3">
        <f t="shared" si="70"/>
        <v>2538</v>
      </c>
      <c r="D288" s="3">
        <f t="shared" si="71"/>
        <v>2538</v>
      </c>
      <c r="E288" s="3">
        <v>1</v>
      </c>
      <c r="F288" s="21" t="s">
        <v>525</v>
      </c>
      <c r="I288" s="8" t="str">
        <f>CONCATENATE(F288,"_BIO ",C288,"-",D288," A",E288)</f>
        <v>TexttoSpeech_BIO 2538-2538 A1</v>
      </c>
    </row>
    <row r="289" spans="1:9" s="49" customFormat="1" ht="15" x14ac:dyDescent="0.25">
      <c r="A289" s="3">
        <f t="shared" si="77"/>
        <v>2540</v>
      </c>
      <c r="B289" s="3">
        <f t="shared" si="80"/>
        <v>2540</v>
      </c>
      <c r="C289" s="3">
        <f t="shared" si="70"/>
        <v>2539</v>
      </c>
      <c r="D289" s="3">
        <f t="shared" si="71"/>
        <v>2539</v>
      </c>
      <c r="E289" s="3">
        <v>1</v>
      </c>
      <c r="F289" s="21" t="s">
        <v>568</v>
      </c>
      <c r="I289" s="8" t="str">
        <f>CONCATENATE(F289,"_BIO ",C289,"-",D289," A",E289)</f>
        <v>SpanishTest_BIO 2539-2539 A1</v>
      </c>
    </row>
    <row r="290" spans="1:9" s="49" customFormat="1" ht="15" x14ac:dyDescent="0.25">
      <c r="A290" s="3">
        <f t="shared" si="77"/>
        <v>2541</v>
      </c>
      <c r="B290" s="3">
        <f t="shared" si="80"/>
        <v>2541</v>
      </c>
      <c r="C290" s="3">
        <f t="shared" si="70"/>
        <v>2540</v>
      </c>
      <c r="D290" s="3">
        <f t="shared" si="71"/>
        <v>2540</v>
      </c>
      <c r="E290" s="3">
        <v>1</v>
      </c>
      <c r="F290" s="21" t="str">
        <f>CONCATENATE(H290,G290)</f>
        <v>FILLER39</v>
      </c>
      <c r="G290" s="70">
        <v>39</v>
      </c>
      <c r="H290" s="4" t="s">
        <v>39</v>
      </c>
      <c r="I290" s="8" t="str">
        <f t="shared" si="72"/>
        <v>FILLER39 2540-2540 A1</v>
      </c>
    </row>
    <row r="291" spans="1:9" s="49" customFormat="1" ht="15" x14ac:dyDescent="0.25">
      <c r="A291" s="3">
        <f t="shared" si="77"/>
        <v>2542</v>
      </c>
      <c r="B291" s="3">
        <f t="shared" si="80"/>
        <v>2542</v>
      </c>
      <c r="C291" s="3">
        <f t="shared" si="70"/>
        <v>2541</v>
      </c>
      <c r="D291" s="3">
        <f t="shared" si="71"/>
        <v>2541</v>
      </c>
      <c r="E291" s="3">
        <v>1</v>
      </c>
      <c r="F291" s="21" t="s">
        <v>96</v>
      </c>
      <c r="I291" s="8" t="str">
        <f t="shared" ref="I291:I301" si="81">CONCATENATE(F291,"_BIO ",C291,"-",D291," A",E291)</f>
        <v>Braille_BIO 2541-2541 A1</v>
      </c>
    </row>
    <row r="292" spans="1:9" s="49" customFormat="1" ht="15" x14ac:dyDescent="0.25">
      <c r="A292" s="3">
        <f t="shared" si="77"/>
        <v>2543</v>
      </c>
      <c r="B292" s="3">
        <f t="shared" si="80"/>
        <v>2543</v>
      </c>
      <c r="C292" s="3">
        <f t="shared" si="70"/>
        <v>2542</v>
      </c>
      <c r="D292" s="3">
        <f t="shared" si="71"/>
        <v>2542</v>
      </c>
      <c r="E292" s="3">
        <v>1</v>
      </c>
      <c r="F292" s="21" t="s">
        <v>569</v>
      </c>
      <c r="I292" s="8" t="str">
        <f t="shared" si="81"/>
        <v>AccommodatedPaper_BIO 2542-2542 A1</v>
      </c>
    </row>
    <row r="293" spans="1:9" s="49" customFormat="1" ht="15" x14ac:dyDescent="0.25">
      <c r="A293" s="3">
        <f t="shared" si="77"/>
        <v>2544</v>
      </c>
      <c r="B293" s="3">
        <f t="shared" si="80"/>
        <v>2544</v>
      </c>
      <c r="C293" s="3">
        <f t="shared" si="70"/>
        <v>2543</v>
      </c>
      <c r="D293" s="3">
        <f t="shared" si="71"/>
        <v>2543</v>
      </c>
      <c r="E293" s="3">
        <v>1</v>
      </c>
      <c r="F293" s="21" t="s">
        <v>570</v>
      </c>
      <c r="I293" s="8" t="str">
        <f t="shared" si="81"/>
        <v>HumanReadAloud_BIO 2543-2543 A1</v>
      </c>
    </row>
    <row r="294" spans="1:9" s="49" customFormat="1" ht="15" x14ac:dyDescent="0.25">
      <c r="A294" s="3">
        <f t="shared" si="77"/>
        <v>2545</v>
      </c>
      <c r="B294" s="3">
        <f t="shared" si="80"/>
        <v>2545</v>
      </c>
      <c r="C294" s="3">
        <f t="shared" si="70"/>
        <v>2544</v>
      </c>
      <c r="D294" s="3">
        <f t="shared" si="71"/>
        <v>2544</v>
      </c>
      <c r="E294" s="3">
        <v>1</v>
      </c>
      <c r="F294" s="21" t="s">
        <v>571</v>
      </c>
      <c r="I294" s="8" t="str">
        <f t="shared" si="81"/>
        <v>NativeLanguageWordtoWordDictionary_BIO 2544-2544 A1</v>
      </c>
    </row>
    <row r="295" spans="1:9" s="49" customFormat="1" ht="15" x14ac:dyDescent="0.25">
      <c r="A295" s="3">
        <f t="shared" si="77"/>
        <v>2546</v>
      </c>
      <c r="B295" s="3">
        <f t="shared" si="80"/>
        <v>2546</v>
      </c>
      <c r="C295" s="3">
        <f t="shared" si="70"/>
        <v>2545</v>
      </c>
      <c r="D295" s="3">
        <f t="shared" si="71"/>
        <v>2545</v>
      </c>
      <c r="E295" s="3">
        <v>1</v>
      </c>
      <c r="F295" s="21" t="s">
        <v>572</v>
      </c>
      <c r="I295" s="8" t="str">
        <f t="shared" si="81"/>
        <v>DirectionsinNativeLanguage_BIO 2545-2545 A1</v>
      </c>
    </row>
    <row r="296" spans="1:9" s="49" customFormat="1" ht="15" x14ac:dyDescent="0.25">
      <c r="A296" s="3">
        <f t="shared" si="77"/>
        <v>2547</v>
      </c>
      <c r="B296" s="3">
        <f t="shared" si="80"/>
        <v>2547</v>
      </c>
      <c r="C296" s="3">
        <f t="shared" si="70"/>
        <v>2546</v>
      </c>
      <c r="D296" s="3">
        <f t="shared" si="71"/>
        <v>2546</v>
      </c>
      <c r="E296" s="3">
        <v>1</v>
      </c>
      <c r="F296" s="21" t="s">
        <v>573</v>
      </c>
      <c r="I296" s="8" t="str">
        <f t="shared" si="81"/>
        <v>CommunicationAssistance_BIO 2546-2546 A1</v>
      </c>
    </row>
    <row r="297" spans="1:9" s="49" customFormat="1" ht="15" x14ac:dyDescent="0.25">
      <c r="A297" s="3">
        <f t="shared" si="77"/>
        <v>2548</v>
      </c>
      <c r="B297" s="3">
        <f t="shared" si="80"/>
        <v>2548</v>
      </c>
      <c r="C297" s="3">
        <f t="shared" si="70"/>
        <v>2547</v>
      </c>
      <c r="D297" s="3">
        <f t="shared" si="71"/>
        <v>2547</v>
      </c>
      <c r="E297" s="3">
        <v>1</v>
      </c>
      <c r="F297" s="21" t="s">
        <v>574</v>
      </c>
      <c r="I297" s="8" t="str">
        <f t="shared" si="81"/>
        <v>TransferredAnswers_BIO 2547-2547 A1</v>
      </c>
    </row>
    <row r="298" spans="1:9" s="49" customFormat="1" ht="15" x14ac:dyDescent="0.25">
      <c r="A298" s="3">
        <f t="shared" si="77"/>
        <v>2549</v>
      </c>
      <c r="B298" s="3">
        <f t="shared" si="80"/>
        <v>2549</v>
      </c>
      <c r="C298" s="3">
        <f t="shared" si="70"/>
        <v>2548</v>
      </c>
      <c r="D298" s="3">
        <f t="shared" si="71"/>
        <v>2548</v>
      </c>
      <c r="E298" s="3">
        <v>1</v>
      </c>
      <c r="F298" s="21" t="s">
        <v>575</v>
      </c>
      <c r="I298" s="8" t="str">
        <f t="shared" si="81"/>
        <v>AnswersRecorded_BIO 2548-2548 A1</v>
      </c>
    </row>
    <row r="299" spans="1:9" s="49" customFormat="1" ht="15" x14ac:dyDescent="0.25">
      <c r="A299" s="3">
        <f t="shared" si="77"/>
        <v>2550</v>
      </c>
      <c r="B299" s="3">
        <f t="shared" si="80"/>
        <v>2550</v>
      </c>
      <c r="C299" s="3">
        <f t="shared" si="70"/>
        <v>2549</v>
      </c>
      <c r="D299" s="3">
        <f t="shared" si="71"/>
        <v>2549</v>
      </c>
      <c r="E299" s="3">
        <v>1</v>
      </c>
      <c r="F299" s="21" t="s">
        <v>102</v>
      </c>
      <c r="I299" s="8" t="str">
        <f t="shared" si="81"/>
        <v>Calculator_BIO 2549-2549 A1</v>
      </c>
    </row>
    <row r="300" spans="1:9" s="49" customFormat="1" ht="15" x14ac:dyDescent="0.25">
      <c r="A300" s="3">
        <f t="shared" si="77"/>
        <v>2551</v>
      </c>
      <c r="B300" s="3">
        <f t="shared" si="80"/>
        <v>2551</v>
      </c>
      <c r="C300" s="3">
        <f t="shared" si="70"/>
        <v>2550</v>
      </c>
      <c r="D300" s="3">
        <f t="shared" si="71"/>
        <v>2550</v>
      </c>
      <c r="E300" s="3">
        <v>1</v>
      </c>
      <c r="F300" s="21" t="s">
        <v>578</v>
      </c>
      <c r="I300" s="8" t="str">
        <f t="shared" si="81"/>
        <v>ExtendedTime_BIO 2550-2550 A1</v>
      </c>
    </row>
    <row r="301" spans="1:9" s="49" customFormat="1" ht="15" x14ac:dyDescent="0.25">
      <c r="A301" s="3">
        <f t="shared" si="77"/>
        <v>2552</v>
      </c>
      <c r="B301" s="3">
        <f t="shared" si="80"/>
        <v>2552</v>
      </c>
      <c r="C301" s="3">
        <f t="shared" si="70"/>
        <v>2551</v>
      </c>
      <c r="D301" s="3">
        <f t="shared" si="71"/>
        <v>2551</v>
      </c>
      <c r="E301" s="3">
        <v>1</v>
      </c>
      <c r="F301" s="21" t="s">
        <v>579</v>
      </c>
      <c r="I301" s="8" t="str">
        <f t="shared" si="81"/>
        <v>IndividualorSmallGroupAdministration_BIO 2551-2551 A1</v>
      </c>
    </row>
    <row r="302" spans="1:9" s="49" customFormat="1" ht="15" x14ac:dyDescent="0.25">
      <c r="A302" s="3">
        <f t="shared" si="77"/>
        <v>2553</v>
      </c>
      <c r="B302" s="3">
        <f t="shared" si="80"/>
        <v>2572</v>
      </c>
      <c r="C302" s="3">
        <f t="shared" si="70"/>
        <v>2552</v>
      </c>
      <c r="D302" s="3">
        <f t="shared" si="71"/>
        <v>2571</v>
      </c>
      <c r="E302" s="3">
        <v>20</v>
      </c>
      <c r="F302" s="21" t="str">
        <f>CONCATENATE(H302,G302)</f>
        <v>FILLER40</v>
      </c>
      <c r="G302" s="70">
        <v>40</v>
      </c>
      <c r="H302" s="4" t="s">
        <v>39</v>
      </c>
      <c r="I302" s="8" t="str">
        <f t="shared" si="72"/>
        <v>FILLER40 2552-2571 A20</v>
      </c>
    </row>
    <row r="303" spans="1:9" s="49" customFormat="1" ht="15" x14ac:dyDescent="0.25">
      <c r="A303" s="3"/>
      <c r="B303" s="3"/>
      <c r="C303" s="3"/>
      <c r="D303" s="3"/>
      <c r="E303" s="3"/>
      <c r="F303" s="22" t="s">
        <v>681</v>
      </c>
      <c r="I303" s="8"/>
    </row>
    <row r="304" spans="1:9" s="49" customFormat="1" ht="15" x14ac:dyDescent="0.25">
      <c r="A304" s="3">
        <f>A302+E302</f>
        <v>2573</v>
      </c>
      <c r="B304" s="3">
        <f t="shared" ref="B304:B311" si="82">A304+E304-1</f>
        <v>2575</v>
      </c>
      <c r="C304" s="3">
        <f t="shared" si="70"/>
        <v>2572</v>
      </c>
      <c r="D304" s="3">
        <f t="shared" si="71"/>
        <v>2574</v>
      </c>
      <c r="E304" s="3">
        <v>3</v>
      </c>
      <c r="F304" s="21" t="s">
        <v>580</v>
      </c>
      <c r="I304" s="8" t="str">
        <f>CONCATENATE(F304,"_BIO ",C304,"-",D304," A",E304)</f>
        <v>TotalMCScore_BIO 2572-2574 A3</v>
      </c>
    </row>
    <row r="305" spans="1:9" s="49" customFormat="1" ht="15" x14ac:dyDescent="0.25">
      <c r="A305" s="3">
        <f t="shared" ref="A305:A311" si="83">A304+E304</f>
        <v>2576</v>
      </c>
      <c r="B305" s="3">
        <f t="shared" si="82"/>
        <v>2578</v>
      </c>
      <c r="C305" s="3">
        <f t="shared" si="70"/>
        <v>2575</v>
      </c>
      <c r="D305" s="3">
        <f t="shared" si="71"/>
        <v>2577</v>
      </c>
      <c r="E305" s="3">
        <v>3</v>
      </c>
      <c r="F305" s="21" t="s">
        <v>581</v>
      </c>
      <c r="I305" s="8" t="str">
        <f t="shared" ref="I305:I310" si="84">CONCATENATE(F305,"_BIO ",C305,"-",D305," A",E305)</f>
        <v>TotalCRScore_BIO 2575-2577 A3</v>
      </c>
    </row>
    <row r="306" spans="1:9" s="49" customFormat="1" ht="15" x14ac:dyDescent="0.25">
      <c r="A306" s="3">
        <f t="shared" si="83"/>
        <v>2579</v>
      </c>
      <c r="B306" s="3">
        <f t="shared" si="82"/>
        <v>2581</v>
      </c>
      <c r="C306" s="3">
        <f t="shared" si="70"/>
        <v>2578</v>
      </c>
      <c r="D306" s="3">
        <f t="shared" si="71"/>
        <v>2580</v>
      </c>
      <c r="E306" s="3">
        <v>3</v>
      </c>
      <c r="F306" s="21" t="s">
        <v>582</v>
      </c>
      <c r="I306" s="8" t="str">
        <f t="shared" si="84"/>
        <v>TotalRawScore_BIO 2578-2580 A3</v>
      </c>
    </row>
    <row r="307" spans="1:9" s="49" customFormat="1" ht="15" x14ac:dyDescent="0.25">
      <c r="A307" s="3">
        <f t="shared" si="83"/>
        <v>2582</v>
      </c>
      <c r="B307" s="3">
        <f t="shared" si="82"/>
        <v>2584</v>
      </c>
      <c r="C307" s="3">
        <f t="shared" si="70"/>
        <v>2581</v>
      </c>
      <c r="D307" s="3">
        <f t="shared" si="71"/>
        <v>2583</v>
      </c>
      <c r="E307" s="3">
        <v>3</v>
      </c>
      <c r="F307" s="21" t="s">
        <v>628</v>
      </c>
      <c r="I307" s="8" t="str">
        <f t="shared" si="84"/>
        <v>TotalPercentcorrect_BIO 2581-2583 A3</v>
      </c>
    </row>
    <row r="308" spans="1:9" s="49" customFormat="1" ht="15" x14ac:dyDescent="0.25">
      <c r="A308" s="3">
        <f t="shared" si="83"/>
        <v>2585</v>
      </c>
      <c r="B308" s="3">
        <f t="shared" si="82"/>
        <v>2587</v>
      </c>
      <c r="C308" s="3">
        <f t="shared" si="70"/>
        <v>2584</v>
      </c>
      <c r="D308" s="3">
        <f t="shared" si="71"/>
        <v>2586</v>
      </c>
      <c r="E308" s="3">
        <v>3</v>
      </c>
      <c r="F308" s="21" t="s">
        <v>584</v>
      </c>
      <c r="I308" s="8" t="str">
        <f t="shared" si="84"/>
        <v>ScaleScore_BIO 2584-2586 A3</v>
      </c>
    </row>
    <row r="309" spans="1:9" s="49" customFormat="1" ht="15" x14ac:dyDescent="0.25">
      <c r="A309" s="3">
        <f t="shared" si="83"/>
        <v>2588</v>
      </c>
      <c r="B309" s="3">
        <f t="shared" si="82"/>
        <v>2589</v>
      </c>
      <c r="C309" s="3">
        <f t="shared" si="70"/>
        <v>2587</v>
      </c>
      <c r="D309" s="3">
        <f t="shared" si="71"/>
        <v>2588</v>
      </c>
      <c r="E309" s="5">
        <v>2</v>
      </c>
      <c r="F309" s="21" t="s">
        <v>585</v>
      </c>
      <c r="I309" s="8" t="str">
        <f t="shared" si="84"/>
        <v>AssessmentAchievementLevel_BIO 2587-2588 A2</v>
      </c>
    </row>
    <row r="310" spans="1:9" s="49" customFormat="1" ht="15" x14ac:dyDescent="0.25">
      <c r="A310" s="3">
        <f t="shared" si="83"/>
        <v>2590</v>
      </c>
      <c r="B310" s="3">
        <f t="shared" si="82"/>
        <v>2592</v>
      </c>
      <c r="C310" s="3">
        <f t="shared" si="70"/>
        <v>2589</v>
      </c>
      <c r="D310" s="3">
        <f t="shared" si="71"/>
        <v>2591</v>
      </c>
      <c r="E310" s="3">
        <v>3</v>
      </c>
      <c r="F310" s="21" t="s">
        <v>586</v>
      </c>
      <c r="I310" s="8" t="str">
        <f t="shared" si="84"/>
        <v>AccountabilityAchievementLevel_BIO 2589-2591 A3</v>
      </c>
    </row>
    <row r="311" spans="1:9" s="49" customFormat="1" ht="15" x14ac:dyDescent="0.25">
      <c r="A311" s="3">
        <f t="shared" si="83"/>
        <v>2593</v>
      </c>
      <c r="B311" s="3">
        <f t="shared" si="82"/>
        <v>2613</v>
      </c>
      <c r="C311" s="3">
        <f t="shared" si="70"/>
        <v>2592</v>
      </c>
      <c r="D311" s="3">
        <f t="shared" si="71"/>
        <v>2612</v>
      </c>
      <c r="E311" s="5">
        <v>21</v>
      </c>
      <c r="F311" s="21" t="str">
        <f>CONCATENATE(H311,G311)</f>
        <v>FILLER41</v>
      </c>
      <c r="G311" s="70">
        <v>41</v>
      </c>
      <c r="H311" s="4" t="s">
        <v>39</v>
      </c>
      <c r="I311" s="8" t="str">
        <f t="shared" si="72"/>
        <v>FILLER41 2592-2612 A21</v>
      </c>
    </row>
    <row r="312" spans="1:9" s="49" customFormat="1" ht="15" x14ac:dyDescent="0.25">
      <c r="A312" s="3" t="s">
        <v>318</v>
      </c>
      <c r="B312" s="3"/>
      <c r="C312" s="3"/>
      <c r="D312" s="3"/>
      <c r="E312" s="3"/>
      <c r="F312" s="22" t="s">
        <v>682</v>
      </c>
      <c r="I312" s="8"/>
    </row>
    <row r="313" spans="1:9" s="49" customFormat="1" ht="15" x14ac:dyDescent="0.25">
      <c r="A313" s="3">
        <f>A311+E311</f>
        <v>2614</v>
      </c>
      <c r="B313" s="3">
        <f t="shared" ref="B313:B319" si="85">A313+E313-1</f>
        <v>2615</v>
      </c>
      <c r="C313" s="3">
        <f t="shared" si="70"/>
        <v>2613</v>
      </c>
      <c r="D313" s="3">
        <f t="shared" si="71"/>
        <v>2614</v>
      </c>
      <c r="E313" s="3">
        <v>2</v>
      </c>
      <c r="F313" s="21" t="s">
        <v>631</v>
      </c>
      <c r="I313" s="8" t="str">
        <f>CONCATENATE(F313,"_BIO ",C313,"-",D313," A",E313)</f>
        <v>ScienceasInquiryRawScore_BIO 2613-2614 A2</v>
      </c>
    </row>
    <row r="314" spans="1:9" s="49" customFormat="1" ht="15" x14ac:dyDescent="0.25">
      <c r="A314" s="3">
        <f t="shared" ref="A314:A319" si="86">A313+E313</f>
        <v>2616</v>
      </c>
      <c r="B314" s="3">
        <f t="shared" si="85"/>
        <v>2618</v>
      </c>
      <c r="C314" s="3">
        <f t="shared" si="70"/>
        <v>2615</v>
      </c>
      <c r="D314" s="3">
        <f t="shared" si="71"/>
        <v>2617</v>
      </c>
      <c r="E314" s="3">
        <v>3</v>
      </c>
      <c r="F314" s="21" t="s">
        <v>632</v>
      </c>
      <c r="I314" s="8" t="str">
        <f t="shared" ref="I314:I318" si="87">CONCATENATE(F314,"_BIO ",C314,"-",D314," A",E314)</f>
        <v>ScienceasInquiryPercentCorrect_BIO 2615-2617 A3</v>
      </c>
    </row>
    <row r="315" spans="1:9" s="49" customFormat="1" ht="15" x14ac:dyDescent="0.25">
      <c r="A315" s="3">
        <f t="shared" si="86"/>
        <v>2619</v>
      </c>
      <c r="B315" s="3">
        <f t="shared" si="85"/>
        <v>2620</v>
      </c>
      <c r="C315" s="3">
        <f t="shared" si="70"/>
        <v>2618</v>
      </c>
      <c r="D315" s="3">
        <f t="shared" si="71"/>
        <v>2619</v>
      </c>
      <c r="E315" s="3">
        <v>2</v>
      </c>
      <c r="F315" s="21" t="s">
        <v>633</v>
      </c>
      <c r="I315" s="8" t="str">
        <f t="shared" si="87"/>
        <v>LifeScienceRawScore_BIO 2618-2619 A2</v>
      </c>
    </row>
    <row r="316" spans="1:9" s="49" customFormat="1" ht="15" x14ac:dyDescent="0.25">
      <c r="A316" s="3">
        <f t="shared" si="86"/>
        <v>2621</v>
      </c>
      <c r="B316" s="3">
        <f t="shared" si="85"/>
        <v>2623</v>
      </c>
      <c r="C316" s="3">
        <f t="shared" si="70"/>
        <v>2620</v>
      </c>
      <c r="D316" s="3">
        <f t="shared" si="71"/>
        <v>2622</v>
      </c>
      <c r="E316" s="3">
        <v>3</v>
      </c>
      <c r="F316" s="21" t="s">
        <v>634</v>
      </c>
      <c r="I316" s="8" t="str">
        <f t="shared" si="87"/>
        <v>LifeSciencePercentCorrect_BIO 2620-2622 A3</v>
      </c>
    </row>
    <row r="317" spans="1:9" s="49" customFormat="1" ht="15" x14ac:dyDescent="0.25">
      <c r="A317" s="3">
        <f t="shared" si="86"/>
        <v>2624</v>
      </c>
      <c r="B317" s="3">
        <f t="shared" si="85"/>
        <v>2625</v>
      </c>
      <c r="C317" s="3">
        <f t="shared" si="70"/>
        <v>2623</v>
      </c>
      <c r="D317" s="3">
        <f t="shared" si="71"/>
        <v>2624</v>
      </c>
      <c r="E317" s="3">
        <v>2</v>
      </c>
      <c r="F317" s="21" t="s">
        <v>635</v>
      </c>
      <c r="I317" s="8" t="str">
        <f t="shared" si="87"/>
        <v>EarthandSpaceScienceRawScore_BIO 2623-2624 A2</v>
      </c>
    </row>
    <row r="318" spans="1:9" s="49" customFormat="1" ht="15" x14ac:dyDescent="0.25">
      <c r="A318" s="3">
        <f t="shared" si="86"/>
        <v>2626</v>
      </c>
      <c r="B318" s="3">
        <f t="shared" si="85"/>
        <v>2628</v>
      </c>
      <c r="C318" s="3">
        <f t="shared" si="70"/>
        <v>2625</v>
      </c>
      <c r="D318" s="3">
        <f t="shared" si="71"/>
        <v>2627</v>
      </c>
      <c r="E318" s="3">
        <v>3</v>
      </c>
      <c r="F318" s="21" t="s">
        <v>636</v>
      </c>
      <c r="I318" s="8" t="str">
        <f t="shared" si="87"/>
        <v>EarthandSpaceSciencePercentCorrect_BIO 2625-2627 A3</v>
      </c>
    </row>
    <row r="319" spans="1:9" s="49" customFormat="1" ht="15" x14ac:dyDescent="0.25">
      <c r="A319" s="3">
        <f t="shared" si="86"/>
        <v>2629</v>
      </c>
      <c r="B319" s="3">
        <f t="shared" si="85"/>
        <v>2648</v>
      </c>
      <c r="C319" s="3">
        <f t="shared" si="70"/>
        <v>2628</v>
      </c>
      <c r="D319" s="3">
        <f t="shared" si="71"/>
        <v>2647</v>
      </c>
      <c r="E319" s="3">
        <v>20</v>
      </c>
      <c r="F319" s="21" t="str">
        <f>CONCATENATE(H319,G319)</f>
        <v>FILLER42</v>
      </c>
      <c r="G319" s="70">
        <v>42</v>
      </c>
      <c r="H319" s="4" t="s">
        <v>39</v>
      </c>
      <c r="I319" s="8" t="str">
        <f t="shared" si="72"/>
        <v>FILLER42 2628-2647 A20</v>
      </c>
    </row>
    <row r="320" spans="1:9" s="49" customFormat="1" ht="15" x14ac:dyDescent="0.25">
      <c r="A320" s="3"/>
      <c r="B320" s="3"/>
      <c r="C320" s="3"/>
      <c r="D320" s="3"/>
      <c r="E320" s="3"/>
      <c r="F320" s="22" t="s">
        <v>683</v>
      </c>
      <c r="I320" s="8"/>
    </row>
    <row r="321" spans="1:9" s="49" customFormat="1" ht="15" x14ac:dyDescent="0.25">
      <c r="A321" s="3">
        <f>A319+E319</f>
        <v>2649</v>
      </c>
      <c r="B321" s="3">
        <f t="shared" ref="B321:B328" si="88">A321+E321-1</f>
        <v>2650</v>
      </c>
      <c r="C321" s="3">
        <f t="shared" si="70"/>
        <v>2648</v>
      </c>
      <c r="D321" s="3">
        <f t="shared" si="71"/>
        <v>2649</v>
      </c>
      <c r="E321" s="5">
        <v>2</v>
      </c>
      <c r="F321" s="13" t="s">
        <v>637</v>
      </c>
      <c r="I321" s="8" t="str">
        <f>CONCATENATE(F321,"_BIO ",C321,"-",D321," A",E321)</f>
        <v>AccountabilityCodeBiology_BIO 2648-2649 A2</v>
      </c>
    </row>
    <row r="322" spans="1:9" s="49" customFormat="1" ht="15" x14ac:dyDescent="0.25">
      <c r="A322" s="3">
        <f t="shared" ref="A322:A328" si="89">A321+E321</f>
        <v>2651</v>
      </c>
      <c r="B322" s="3">
        <f t="shared" si="88"/>
        <v>2651</v>
      </c>
      <c r="C322" s="3">
        <f t="shared" si="70"/>
        <v>2650</v>
      </c>
      <c r="D322" s="3">
        <f t="shared" si="71"/>
        <v>2650</v>
      </c>
      <c r="E322" s="3">
        <v>1</v>
      </c>
      <c r="F322" s="21" t="s">
        <v>600</v>
      </c>
      <c r="I322" s="8" t="str">
        <f t="shared" ref="I322:I327" si="90">CONCATENATE(F322,"_BIO ",C322,"-",D322," A",E322)</f>
        <v>Reportablestatus_BIO 2650-2650 A1</v>
      </c>
    </row>
    <row r="323" spans="1:9" s="49" customFormat="1" ht="15" x14ac:dyDescent="0.25">
      <c r="A323" s="3">
        <f t="shared" si="89"/>
        <v>2652</v>
      </c>
      <c r="B323" s="3">
        <f t="shared" si="88"/>
        <v>2652</v>
      </c>
      <c r="C323" s="3">
        <f t="shared" si="70"/>
        <v>2651</v>
      </c>
      <c r="D323" s="3">
        <f t="shared" si="71"/>
        <v>2651</v>
      </c>
      <c r="E323" s="3">
        <v>1</v>
      </c>
      <c r="F323" s="21" t="s">
        <v>601</v>
      </c>
      <c r="I323" s="8" t="str">
        <f t="shared" si="90"/>
        <v>TestValidAttempt_BIO 2651-2651 A1</v>
      </c>
    </row>
    <row r="324" spans="1:9" s="49" customFormat="1" ht="15" x14ac:dyDescent="0.25">
      <c r="A324" s="3">
        <f t="shared" si="89"/>
        <v>2653</v>
      </c>
      <c r="B324" s="3">
        <f t="shared" si="88"/>
        <v>2653</v>
      </c>
      <c r="C324" s="3">
        <f t="shared" ref="C324:C387" si="91">A324-1</f>
        <v>2652</v>
      </c>
      <c r="D324" s="3">
        <f t="shared" ref="D324:D387" si="92">B324-1</f>
        <v>2652</v>
      </c>
      <c r="E324" s="3">
        <v>1</v>
      </c>
      <c r="F324" s="21" t="s">
        <v>602</v>
      </c>
      <c r="I324" s="8" t="str">
        <f t="shared" si="90"/>
        <v>TestLaunchFlag_BIO 2652-2652 A1</v>
      </c>
    </row>
    <row r="325" spans="1:9" s="49" customFormat="1" ht="15" x14ac:dyDescent="0.25">
      <c r="A325" s="3">
        <f t="shared" si="89"/>
        <v>2654</v>
      </c>
      <c r="B325" s="3">
        <f t="shared" si="88"/>
        <v>2654</v>
      </c>
      <c r="C325" s="3">
        <f t="shared" si="91"/>
        <v>2653</v>
      </c>
      <c r="D325" s="3">
        <f t="shared" si="92"/>
        <v>2653</v>
      </c>
      <c r="E325" s="3">
        <v>1</v>
      </c>
      <c r="F325" s="21" t="s">
        <v>603</v>
      </c>
      <c r="I325" s="8" t="str">
        <f t="shared" si="90"/>
        <v>VoidFlag_BIO 2653-2653 A1</v>
      </c>
    </row>
    <row r="326" spans="1:9" s="49" customFormat="1" ht="169.5" customHeight="1" x14ac:dyDescent="0.25">
      <c r="A326" s="3">
        <f t="shared" si="89"/>
        <v>2655</v>
      </c>
      <c r="B326" s="3">
        <f t="shared" si="88"/>
        <v>2655</v>
      </c>
      <c r="C326" s="3">
        <f t="shared" si="91"/>
        <v>2654</v>
      </c>
      <c r="D326" s="3">
        <f t="shared" si="92"/>
        <v>2654</v>
      </c>
      <c r="E326" s="3">
        <v>1</v>
      </c>
      <c r="F326" s="21" t="s">
        <v>604</v>
      </c>
      <c r="I326" s="8" t="str">
        <f t="shared" si="90"/>
        <v>RetestFlag_BIO 2654-2654 A1</v>
      </c>
    </row>
    <row r="327" spans="1:9" s="49" customFormat="1" ht="15" x14ac:dyDescent="0.25">
      <c r="A327" s="3">
        <f t="shared" si="89"/>
        <v>2656</v>
      </c>
      <c r="B327" s="3">
        <f t="shared" si="88"/>
        <v>2656</v>
      </c>
      <c r="C327" s="3">
        <f t="shared" si="91"/>
        <v>2655</v>
      </c>
      <c r="D327" s="3">
        <f t="shared" si="92"/>
        <v>2655</v>
      </c>
      <c r="E327" s="3">
        <v>1</v>
      </c>
      <c r="F327" s="21" t="s">
        <v>605</v>
      </c>
      <c r="I327" s="8" t="str">
        <f t="shared" si="90"/>
        <v>EligibleFlag_BIO 2655-2655 A1</v>
      </c>
    </row>
    <row r="328" spans="1:9" s="49" customFormat="1" ht="15" x14ac:dyDescent="0.25">
      <c r="A328" s="3">
        <f t="shared" si="89"/>
        <v>2657</v>
      </c>
      <c r="B328" s="3">
        <f t="shared" si="88"/>
        <v>3018</v>
      </c>
      <c r="C328" s="3">
        <f t="shared" si="91"/>
        <v>2656</v>
      </c>
      <c r="D328" s="3">
        <f t="shared" si="92"/>
        <v>3017</v>
      </c>
      <c r="E328" s="3">
        <v>362</v>
      </c>
      <c r="F328" s="21" t="str">
        <f>CONCATENATE(H328,G328)</f>
        <v>FILLER43</v>
      </c>
      <c r="G328" s="70">
        <v>43</v>
      </c>
      <c r="H328" s="4" t="s">
        <v>39</v>
      </c>
      <c r="I328" s="8" t="str">
        <f t="shared" ref="I328:I384" si="93">CONCATENATE(F328," ",C328,"-",D328," A",E328)</f>
        <v>FILLER43 2656-3017 A362</v>
      </c>
    </row>
    <row r="329" spans="1:9" x14ac:dyDescent="0.2">
      <c r="A329" s="3" t="s">
        <v>318</v>
      </c>
      <c r="B329" s="3"/>
      <c r="C329" s="3"/>
      <c r="D329" s="3"/>
      <c r="E329" s="3"/>
      <c r="F329" s="22" t="s">
        <v>684</v>
      </c>
      <c r="G329" s="4"/>
      <c r="I329" s="8"/>
    </row>
    <row r="330" spans="1:9" x14ac:dyDescent="0.2">
      <c r="A330" s="3">
        <f>A328+E328</f>
        <v>3019</v>
      </c>
      <c r="B330" s="3">
        <f t="shared" ref="B330:B342" si="94">A330+E330-1</f>
        <v>3019</v>
      </c>
      <c r="C330" s="3">
        <f t="shared" si="91"/>
        <v>3018</v>
      </c>
      <c r="D330" s="3">
        <f t="shared" si="92"/>
        <v>3018</v>
      </c>
      <c r="E330" s="3">
        <v>1</v>
      </c>
      <c r="F330" s="21" t="s">
        <v>559</v>
      </c>
      <c r="G330" s="4"/>
      <c r="I330" s="8" t="str">
        <f>CONCATENATE(F330,"_EN3 ",C330,"-",D330," A",E330)</f>
        <v>AdminErrorAdministration_EN3 3018-3018 A1</v>
      </c>
    </row>
    <row r="331" spans="1:9" x14ac:dyDescent="0.2">
      <c r="A331" s="3">
        <f t="shared" ref="A331:A342" si="95">A330+E330</f>
        <v>3020</v>
      </c>
      <c r="B331" s="3">
        <f t="shared" si="94"/>
        <v>3027</v>
      </c>
      <c r="C331" s="3">
        <f t="shared" si="91"/>
        <v>3019</v>
      </c>
      <c r="D331" s="3">
        <f t="shared" si="92"/>
        <v>3026</v>
      </c>
      <c r="E331" s="6">
        <v>8</v>
      </c>
      <c r="F331" s="9" t="s">
        <v>11</v>
      </c>
      <c r="G331" s="4"/>
      <c r="I331" s="8" t="str">
        <f>CONCATENATE(F331,"_EN3 ",C331,"-",D331," A",E331)</f>
        <v>Content_EN3 3019-3026 A8</v>
      </c>
    </row>
    <row r="332" spans="1:9" x14ac:dyDescent="0.2">
      <c r="A332" s="3">
        <f t="shared" si="95"/>
        <v>3028</v>
      </c>
      <c r="B332" s="3">
        <f t="shared" si="94"/>
        <v>3035</v>
      </c>
      <c r="C332" s="3">
        <f t="shared" si="91"/>
        <v>3027</v>
      </c>
      <c r="D332" s="3">
        <f t="shared" si="92"/>
        <v>3034</v>
      </c>
      <c r="E332" s="6">
        <v>8</v>
      </c>
      <c r="F332" s="21" t="str">
        <f>CONCATENATE(H332,G332)</f>
        <v>FILLER44</v>
      </c>
      <c r="G332" s="6">
        <v>44</v>
      </c>
      <c r="H332" s="4" t="s">
        <v>39</v>
      </c>
      <c r="I332" s="8" t="str">
        <f t="shared" si="93"/>
        <v>FILLER44 3027-3034 A8</v>
      </c>
    </row>
    <row r="333" spans="1:9" ht="17.25" customHeight="1" x14ac:dyDescent="0.2">
      <c r="A333" s="3">
        <f t="shared" si="95"/>
        <v>3036</v>
      </c>
      <c r="B333" s="3">
        <f t="shared" si="94"/>
        <v>3055</v>
      </c>
      <c r="C333" s="3">
        <f t="shared" si="91"/>
        <v>3035</v>
      </c>
      <c r="D333" s="3">
        <f t="shared" si="92"/>
        <v>3054</v>
      </c>
      <c r="E333" s="3">
        <v>20</v>
      </c>
      <c r="F333" s="21" t="s">
        <v>560</v>
      </c>
      <c r="G333" s="4"/>
      <c r="I333" s="8" t="str">
        <f t="shared" ref="I333:I335" si="96">CONCATENATE(F333,"_EN3 ",C333,"-",D333," A",E333)</f>
        <v>TeacherLastName_EN3 3035-3054 A20</v>
      </c>
    </row>
    <row r="334" spans="1:9" ht="17.25" customHeight="1" x14ac:dyDescent="0.2">
      <c r="A334" s="3">
        <f t="shared" si="95"/>
        <v>3056</v>
      </c>
      <c r="B334" s="3">
        <f t="shared" si="94"/>
        <v>3070</v>
      </c>
      <c r="C334" s="3">
        <f t="shared" si="91"/>
        <v>3055</v>
      </c>
      <c r="D334" s="3">
        <f t="shared" si="92"/>
        <v>3069</v>
      </c>
      <c r="E334" s="3">
        <v>15</v>
      </c>
      <c r="F334" s="21" t="s">
        <v>561</v>
      </c>
      <c r="G334" s="4"/>
      <c r="I334" s="8" t="str">
        <f t="shared" si="96"/>
        <v>TeacherFirstName_EN3 3055-3069 A15</v>
      </c>
    </row>
    <row r="335" spans="1:9" ht="17.25" customHeight="1" x14ac:dyDescent="0.2">
      <c r="A335" s="3">
        <f t="shared" si="95"/>
        <v>3071</v>
      </c>
      <c r="B335" s="3">
        <f t="shared" si="94"/>
        <v>3071</v>
      </c>
      <c r="C335" s="3">
        <f t="shared" si="91"/>
        <v>3070</v>
      </c>
      <c r="D335" s="3">
        <f t="shared" si="92"/>
        <v>3070</v>
      </c>
      <c r="E335" s="3">
        <v>1</v>
      </c>
      <c r="F335" s="21" t="s">
        <v>562</v>
      </c>
      <c r="G335" s="4"/>
      <c r="I335" s="8" t="str">
        <f t="shared" si="96"/>
        <v>TeacherMiddleInitial_EN3 3070-3070 A1</v>
      </c>
    </row>
    <row r="336" spans="1:9" ht="39" customHeight="1" x14ac:dyDescent="0.2">
      <c r="A336" s="3">
        <f t="shared" si="95"/>
        <v>3072</v>
      </c>
      <c r="B336" s="3">
        <f t="shared" si="94"/>
        <v>3115</v>
      </c>
      <c r="C336" s="3">
        <f t="shared" si="91"/>
        <v>3071</v>
      </c>
      <c r="D336" s="3">
        <f t="shared" si="92"/>
        <v>3114</v>
      </c>
      <c r="E336" s="3">
        <v>44</v>
      </c>
      <c r="F336" s="21" t="str">
        <f>CONCATENATE(H336,G336)</f>
        <v>FILLER45</v>
      </c>
      <c r="G336" s="6">
        <v>45</v>
      </c>
      <c r="H336" s="4" t="s">
        <v>39</v>
      </c>
      <c r="I336" s="8" t="str">
        <f t="shared" si="93"/>
        <v>FILLER45 3071-3114 A44</v>
      </c>
    </row>
    <row r="337" spans="1:9" ht="221.45" customHeight="1" x14ac:dyDescent="0.2">
      <c r="A337" s="3">
        <f t="shared" si="95"/>
        <v>3116</v>
      </c>
      <c r="B337" s="3">
        <f t="shared" si="94"/>
        <v>3121</v>
      </c>
      <c r="C337" s="3">
        <f t="shared" si="91"/>
        <v>3115</v>
      </c>
      <c r="D337" s="3">
        <f t="shared" si="92"/>
        <v>3120</v>
      </c>
      <c r="E337" s="3">
        <v>6</v>
      </c>
      <c r="F337" s="21" t="s">
        <v>563</v>
      </c>
      <c r="G337" s="4"/>
      <c r="I337" s="8" t="str">
        <f t="shared" ref="I337:I341" si="97">CONCATENATE(F337,"_EN3 ",C337,"-",D337," A",E337)</f>
        <v>CourseCode_EN3 3115-3120 A6</v>
      </c>
    </row>
    <row r="338" spans="1:9" ht="232.15" customHeight="1" x14ac:dyDescent="0.2">
      <c r="A338" s="3">
        <f t="shared" si="95"/>
        <v>3122</v>
      </c>
      <c r="B338" s="3">
        <f t="shared" si="94"/>
        <v>3151</v>
      </c>
      <c r="C338" s="3">
        <f t="shared" si="91"/>
        <v>3121</v>
      </c>
      <c r="D338" s="3">
        <f t="shared" si="92"/>
        <v>3150</v>
      </c>
      <c r="E338" s="3">
        <v>30</v>
      </c>
      <c r="F338" s="21" t="s">
        <v>564</v>
      </c>
      <c r="G338" s="4"/>
      <c r="I338" s="8" t="str">
        <f t="shared" si="97"/>
        <v>CourseName_EN3 3121-3150 A30</v>
      </c>
    </row>
    <row r="339" spans="1:9" s="49" customFormat="1" ht="15" x14ac:dyDescent="0.25">
      <c r="A339" s="3">
        <f t="shared" si="95"/>
        <v>3152</v>
      </c>
      <c r="B339" s="3">
        <f t="shared" si="94"/>
        <v>3171</v>
      </c>
      <c r="C339" s="3">
        <f t="shared" si="91"/>
        <v>3151</v>
      </c>
      <c r="D339" s="3">
        <f t="shared" si="92"/>
        <v>3170</v>
      </c>
      <c r="E339" s="3">
        <v>20</v>
      </c>
      <c r="F339" s="21" t="s">
        <v>565</v>
      </c>
      <c r="I339" s="8" t="str">
        <f t="shared" si="97"/>
        <v>ClassSection_EN3 3151-3170 A20</v>
      </c>
    </row>
    <row r="340" spans="1:9" s="49" customFormat="1" ht="15" x14ac:dyDescent="0.25">
      <c r="A340" s="3">
        <f t="shared" si="95"/>
        <v>3172</v>
      </c>
      <c r="B340" s="3">
        <f t="shared" si="94"/>
        <v>3177</v>
      </c>
      <c r="C340" s="3">
        <f t="shared" si="91"/>
        <v>3171</v>
      </c>
      <c r="D340" s="3">
        <f t="shared" si="92"/>
        <v>3176</v>
      </c>
      <c r="E340" s="3">
        <v>6</v>
      </c>
      <c r="F340" s="21" t="s">
        <v>566</v>
      </c>
      <c r="I340" s="8" t="str">
        <f t="shared" si="97"/>
        <v>TestingSiteCode_EN3 3171-3176 A6</v>
      </c>
    </row>
    <row r="341" spans="1:9" s="49" customFormat="1" ht="15" x14ac:dyDescent="0.25">
      <c r="A341" s="3">
        <f t="shared" si="95"/>
        <v>3178</v>
      </c>
      <c r="B341" s="3">
        <f t="shared" si="94"/>
        <v>3178</v>
      </c>
      <c r="C341" s="3">
        <f t="shared" si="91"/>
        <v>3177</v>
      </c>
      <c r="D341" s="3">
        <f t="shared" si="92"/>
        <v>3177</v>
      </c>
      <c r="E341" s="3">
        <v>1</v>
      </c>
      <c r="F341" s="21" t="s">
        <v>638</v>
      </c>
      <c r="I341" s="8" t="str">
        <f t="shared" si="97"/>
        <v>EnglishIIIEnrollFlag_EN3 3177-3177 A1</v>
      </c>
    </row>
    <row r="342" spans="1:9" s="49" customFormat="1" ht="15" x14ac:dyDescent="0.25">
      <c r="A342" s="3">
        <f t="shared" si="95"/>
        <v>3179</v>
      </c>
      <c r="B342" s="3">
        <f t="shared" si="94"/>
        <v>3215</v>
      </c>
      <c r="C342" s="3">
        <f t="shared" si="91"/>
        <v>3178</v>
      </c>
      <c r="D342" s="3">
        <f t="shared" si="92"/>
        <v>3214</v>
      </c>
      <c r="E342" s="3">
        <v>37</v>
      </c>
      <c r="F342" s="21" t="str">
        <f>CONCATENATE(H342,G342)</f>
        <v>FILLER46</v>
      </c>
      <c r="G342" s="70">
        <v>46</v>
      </c>
      <c r="H342" s="4" t="s">
        <v>39</v>
      </c>
      <c r="I342" s="8" t="str">
        <f t="shared" si="93"/>
        <v>FILLER46 3178-3214 A37</v>
      </c>
    </row>
    <row r="343" spans="1:9" s="49" customFormat="1" ht="15" x14ac:dyDescent="0.25">
      <c r="A343" s="3" t="s">
        <v>318</v>
      </c>
      <c r="B343" s="3"/>
      <c r="C343" s="3"/>
      <c r="D343" s="3"/>
      <c r="E343" s="3"/>
      <c r="F343" s="22" t="s">
        <v>668</v>
      </c>
      <c r="I343" s="8"/>
    </row>
    <row r="344" spans="1:9" s="49" customFormat="1" ht="15" customHeight="1" x14ac:dyDescent="0.25">
      <c r="A344" s="3">
        <f>A342+E342</f>
        <v>3216</v>
      </c>
      <c r="B344" s="3">
        <f t="shared" ref="B344:B358" si="98">A344+E344-1</f>
        <v>3216</v>
      </c>
      <c r="C344" s="3">
        <f t="shared" si="91"/>
        <v>3215</v>
      </c>
      <c r="D344" s="3">
        <f t="shared" si="92"/>
        <v>3215</v>
      </c>
      <c r="E344" s="3">
        <v>1</v>
      </c>
      <c r="F344" s="21" t="s">
        <v>525</v>
      </c>
      <c r="I344" s="8" t="str">
        <f>CONCATENATE(F344,"_EN3 ",C344,"-",D344," A",E344)</f>
        <v>TexttoSpeech_EN3 3215-3215 A1</v>
      </c>
    </row>
    <row r="345" spans="1:9" s="49" customFormat="1" ht="15" x14ac:dyDescent="0.25">
      <c r="A345" s="3">
        <f t="shared" ref="A345:A358" si="99">A344+E344</f>
        <v>3217</v>
      </c>
      <c r="B345" s="3">
        <f t="shared" si="98"/>
        <v>3217</v>
      </c>
      <c r="C345" s="3">
        <f t="shared" si="91"/>
        <v>3216</v>
      </c>
      <c r="D345" s="3">
        <f t="shared" si="92"/>
        <v>3216</v>
      </c>
      <c r="E345" s="3">
        <v>1</v>
      </c>
      <c r="F345" s="21" t="s">
        <v>568</v>
      </c>
      <c r="I345" s="8" t="str">
        <f>CONCATENATE(F345,"_EN3 ",C345,"-",D345," A",E345)</f>
        <v>SpanishTest_EN3 3216-3216 A1</v>
      </c>
    </row>
    <row r="346" spans="1:9" s="49" customFormat="1" ht="15" x14ac:dyDescent="0.25">
      <c r="A346" s="3">
        <f t="shared" si="99"/>
        <v>3218</v>
      </c>
      <c r="B346" s="3">
        <f t="shared" si="98"/>
        <v>3218</v>
      </c>
      <c r="C346" s="3">
        <f t="shared" si="91"/>
        <v>3217</v>
      </c>
      <c r="D346" s="3">
        <f t="shared" si="92"/>
        <v>3217</v>
      </c>
      <c r="E346" s="3">
        <v>1</v>
      </c>
      <c r="F346" s="21" t="str">
        <f>CONCATENATE(H346,G346)</f>
        <v>FILLER47</v>
      </c>
      <c r="G346" s="70">
        <v>47</v>
      </c>
      <c r="H346" s="4" t="s">
        <v>39</v>
      </c>
      <c r="I346" s="8" t="str">
        <f t="shared" si="93"/>
        <v>FILLER47 3217-3217 A1</v>
      </c>
    </row>
    <row r="347" spans="1:9" s="49" customFormat="1" ht="15" x14ac:dyDescent="0.25">
      <c r="A347" s="3">
        <f t="shared" si="99"/>
        <v>3219</v>
      </c>
      <c r="B347" s="3">
        <f t="shared" si="98"/>
        <v>3219</v>
      </c>
      <c r="C347" s="3">
        <f t="shared" si="91"/>
        <v>3218</v>
      </c>
      <c r="D347" s="3">
        <f t="shared" si="92"/>
        <v>3218</v>
      </c>
      <c r="E347" s="3">
        <v>1</v>
      </c>
      <c r="F347" s="21" t="s">
        <v>96</v>
      </c>
      <c r="I347" s="8" t="str">
        <f t="shared" ref="I347:I357" si="100">CONCATENATE(F347,"_EN3 ",C347,"-",D347," A",E347)</f>
        <v>Braille_EN3 3218-3218 A1</v>
      </c>
    </row>
    <row r="348" spans="1:9" s="49" customFormat="1" ht="15" x14ac:dyDescent="0.25">
      <c r="A348" s="3">
        <f t="shared" si="99"/>
        <v>3220</v>
      </c>
      <c r="B348" s="3">
        <f t="shared" si="98"/>
        <v>3220</v>
      </c>
      <c r="C348" s="3">
        <f t="shared" si="91"/>
        <v>3219</v>
      </c>
      <c r="D348" s="3">
        <f t="shared" si="92"/>
        <v>3219</v>
      </c>
      <c r="E348" s="3">
        <v>1</v>
      </c>
      <c r="F348" s="21" t="s">
        <v>569</v>
      </c>
      <c r="I348" s="8" t="str">
        <f t="shared" si="100"/>
        <v>AccommodatedPaper_EN3 3219-3219 A1</v>
      </c>
    </row>
    <row r="349" spans="1:9" s="49" customFormat="1" ht="15" x14ac:dyDescent="0.25">
      <c r="A349" s="3">
        <f t="shared" si="99"/>
        <v>3221</v>
      </c>
      <c r="B349" s="3">
        <f t="shared" si="98"/>
        <v>3221</v>
      </c>
      <c r="C349" s="3">
        <f t="shared" si="91"/>
        <v>3220</v>
      </c>
      <c r="D349" s="3">
        <f t="shared" si="92"/>
        <v>3220</v>
      </c>
      <c r="E349" s="3">
        <v>1</v>
      </c>
      <c r="F349" s="21" t="s">
        <v>570</v>
      </c>
      <c r="I349" s="8" t="str">
        <f t="shared" si="100"/>
        <v>HumanReadAloud_EN3 3220-3220 A1</v>
      </c>
    </row>
    <row r="350" spans="1:9" s="49" customFormat="1" ht="15" x14ac:dyDescent="0.25">
      <c r="A350" s="3">
        <f t="shared" si="99"/>
        <v>3222</v>
      </c>
      <c r="B350" s="3">
        <f t="shared" si="98"/>
        <v>3222</v>
      </c>
      <c r="C350" s="3">
        <f t="shared" si="91"/>
        <v>3221</v>
      </c>
      <c r="D350" s="3">
        <f t="shared" si="92"/>
        <v>3221</v>
      </c>
      <c r="E350" s="3">
        <v>1</v>
      </c>
      <c r="F350" s="21" t="s">
        <v>571</v>
      </c>
      <c r="I350" s="8" t="str">
        <f t="shared" si="100"/>
        <v>NativeLanguageWordtoWordDictionary_EN3 3221-3221 A1</v>
      </c>
    </row>
    <row r="351" spans="1:9" s="49" customFormat="1" ht="15" x14ac:dyDescent="0.25">
      <c r="A351" s="3">
        <f t="shared" si="99"/>
        <v>3223</v>
      </c>
      <c r="B351" s="3">
        <f t="shared" si="98"/>
        <v>3223</v>
      </c>
      <c r="C351" s="3">
        <f t="shared" si="91"/>
        <v>3222</v>
      </c>
      <c r="D351" s="3">
        <f t="shared" si="92"/>
        <v>3222</v>
      </c>
      <c r="E351" s="3">
        <v>1</v>
      </c>
      <c r="F351" s="21" t="s">
        <v>572</v>
      </c>
      <c r="I351" s="8" t="str">
        <f t="shared" si="100"/>
        <v>DirectionsinNativeLanguage_EN3 3222-3222 A1</v>
      </c>
    </row>
    <row r="352" spans="1:9" s="49" customFormat="1" ht="15" x14ac:dyDescent="0.25">
      <c r="A352" s="3">
        <f t="shared" si="99"/>
        <v>3224</v>
      </c>
      <c r="B352" s="3">
        <f t="shared" si="98"/>
        <v>3224</v>
      </c>
      <c r="C352" s="3">
        <f t="shared" si="91"/>
        <v>3223</v>
      </c>
      <c r="D352" s="3">
        <f t="shared" si="92"/>
        <v>3223</v>
      </c>
      <c r="E352" s="3">
        <v>1</v>
      </c>
      <c r="F352" s="21" t="s">
        <v>573</v>
      </c>
      <c r="I352" s="8" t="str">
        <f t="shared" si="100"/>
        <v>CommunicationAssistance_EN3 3223-3223 A1</v>
      </c>
    </row>
    <row r="353" spans="1:9" s="49" customFormat="1" ht="15" x14ac:dyDescent="0.25">
      <c r="A353" s="3">
        <f t="shared" si="99"/>
        <v>3225</v>
      </c>
      <c r="B353" s="3">
        <f t="shared" si="98"/>
        <v>3225</v>
      </c>
      <c r="C353" s="3">
        <f t="shared" si="91"/>
        <v>3224</v>
      </c>
      <c r="D353" s="3">
        <f t="shared" si="92"/>
        <v>3224</v>
      </c>
      <c r="E353" s="3">
        <v>1</v>
      </c>
      <c r="F353" s="21" t="s">
        <v>574</v>
      </c>
      <c r="I353" s="8" t="str">
        <f t="shared" si="100"/>
        <v>TransferredAnswers_EN3 3224-3224 A1</v>
      </c>
    </row>
    <row r="354" spans="1:9" s="49" customFormat="1" ht="15" x14ac:dyDescent="0.25">
      <c r="A354" s="3">
        <f t="shared" si="99"/>
        <v>3226</v>
      </c>
      <c r="B354" s="3">
        <f t="shared" si="98"/>
        <v>3226</v>
      </c>
      <c r="C354" s="3">
        <f t="shared" si="91"/>
        <v>3225</v>
      </c>
      <c r="D354" s="3">
        <f t="shared" si="92"/>
        <v>3225</v>
      </c>
      <c r="E354" s="3">
        <v>1</v>
      </c>
      <c r="F354" s="21" t="s">
        <v>575</v>
      </c>
      <c r="I354" s="8" t="str">
        <f t="shared" si="100"/>
        <v>AnswersRecorded_EN3 3225-3225 A1</v>
      </c>
    </row>
    <row r="355" spans="1:9" s="49" customFormat="1" ht="15" x14ac:dyDescent="0.25">
      <c r="A355" s="3">
        <f t="shared" si="99"/>
        <v>3227</v>
      </c>
      <c r="B355" s="3">
        <f t="shared" si="98"/>
        <v>3227</v>
      </c>
      <c r="C355" s="3">
        <f t="shared" si="91"/>
        <v>3226</v>
      </c>
      <c r="D355" s="3">
        <f t="shared" si="92"/>
        <v>3226</v>
      </c>
      <c r="E355" s="3">
        <v>1</v>
      </c>
      <c r="F355" s="21" t="s">
        <v>102</v>
      </c>
      <c r="I355" s="8" t="str">
        <f t="shared" si="100"/>
        <v>Calculator_EN3 3226-3226 A1</v>
      </c>
    </row>
    <row r="356" spans="1:9" s="49" customFormat="1" ht="15" x14ac:dyDescent="0.25">
      <c r="A356" s="3">
        <f t="shared" si="99"/>
        <v>3228</v>
      </c>
      <c r="B356" s="3">
        <f t="shared" si="98"/>
        <v>3228</v>
      </c>
      <c r="C356" s="3">
        <f t="shared" si="91"/>
        <v>3227</v>
      </c>
      <c r="D356" s="3">
        <f t="shared" si="92"/>
        <v>3227</v>
      </c>
      <c r="E356" s="3">
        <v>1</v>
      </c>
      <c r="F356" s="21" t="s">
        <v>578</v>
      </c>
      <c r="I356" s="8" t="str">
        <f t="shared" si="100"/>
        <v>ExtendedTime_EN3 3227-3227 A1</v>
      </c>
    </row>
    <row r="357" spans="1:9" s="49" customFormat="1" ht="15" x14ac:dyDescent="0.25">
      <c r="A357" s="3">
        <f t="shared" si="99"/>
        <v>3229</v>
      </c>
      <c r="B357" s="3">
        <f t="shared" si="98"/>
        <v>3229</v>
      </c>
      <c r="C357" s="3">
        <f t="shared" si="91"/>
        <v>3228</v>
      </c>
      <c r="D357" s="3">
        <f t="shared" si="92"/>
        <v>3228</v>
      </c>
      <c r="E357" s="3">
        <v>1</v>
      </c>
      <c r="F357" s="21" t="s">
        <v>579</v>
      </c>
      <c r="I357" s="8" t="str">
        <f t="shared" si="100"/>
        <v>IndividualorSmallGroupAdministration_EN3 3228-3228 A1</v>
      </c>
    </row>
    <row r="358" spans="1:9" s="49" customFormat="1" ht="15" x14ac:dyDescent="0.25">
      <c r="A358" s="3">
        <f t="shared" si="99"/>
        <v>3230</v>
      </c>
      <c r="B358" s="3">
        <f t="shared" si="98"/>
        <v>3249</v>
      </c>
      <c r="C358" s="3">
        <f t="shared" si="91"/>
        <v>3229</v>
      </c>
      <c r="D358" s="3">
        <f t="shared" si="92"/>
        <v>3248</v>
      </c>
      <c r="E358" s="3">
        <v>20</v>
      </c>
      <c r="F358" s="21" t="str">
        <f>CONCATENATE(H358,G358)</f>
        <v>FILLER48</v>
      </c>
      <c r="G358" s="70">
        <v>48</v>
      </c>
      <c r="H358" s="4" t="s">
        <v>39</v>
      </c>
      <c r="I358" s="8" t="str">
        <f t="shared" si="93"/>
        <v>FILLER48 3229-3248 A20</v>
      </c>
    </row>
    <row r="359" spans="1:9" s="49" customFormat="1" ht="15" x14ac:dyDescent="0.25">
      <c r="A359" s="3"/>
      <c r="B359" s="3"/>
      <c r="C359" s="3"/>
      <c r="D359" s="3"/>
      <c r="E359" s="3"/>
      <c r="F359" s="22" t="s">
        <v>685</v>
      </c>
      <c r="I359" s="8"/>
    </row>
    <row r="360" spans="1:9" s="49" customFormat="1" ht="15" x14ac:dyDescent="0.25">
      <c r="A360" s="3">
        <f>A358+E358</f>
        <v>3250</v>
      </c>
      <c r="B360" s="3">
        <f t="shared" ref="B360:B367" si="101">A360+E360-1</f>
        <v>3252</v>
      </c>
      <c r="C360" s="3">
        <f t="shared" si="91"/>
        <v>3249</v>
      </c>
      <c r="D360" s="3">
        <f t="shared" si="92"/>
        <v>3251</v>
      </c>
      <c r="E360" s="3">
        <v>3</v>
      </c>
      <c r="F360" s="21" t="s">
        <v>580</v>
      </c>
      <c r="I360" s="8" t="str">
        <f>CONCATENATE(F360,"_EN3 ",C360,"-",D360," A",E360)</f>
        <v>TotalMCScore_EN3 3249-3251 A3</v>
      </c>
    </row>
    <row r="361" spans="1:9" s="49" customFormat="1" ht="15" x14ac:dyDescent="0.25">
      <c r="A361" s="3">
        <f t="shared" ref="A361:A367" si="102">A360+E360</f>
        <v>3253</v>
      </c>
      <c r="B361" s="3">
        <f t="shared" si="101"/>
        <v>3255</v>
      </c>
      <c r="C361" s="3">
        <f t="shared" si="91"/>
        <v>3252</v>
      </c>
      <c r="D361" s="3">
        <f t="shared" si="92"/>
        <v>3254</v>
      </c>
      <c r="E361" s="3">
        <v>3</v>
      </c>
      <c r="F361" s="21" t="s">
        <v>581</v>
      </c>
      <c r="I361" s="8" t="str">
        <f t="shared" ref="I361:I366" si="103">CONCATENATE(F361,"_EN3 ",C361,"-",D361," A",E361)</f>
        <v>TotalCRScore_EN3 3252-3254 A3</v>
      </c>
    </row>
    <row r="362" spans="1:9" s="49" customFormat="1" ht="15" x14ac:dyDescent="0.25">
      <c r="A362" s="3">
        <f t="shared" si="102"/>
        <v>3256</v>
      </c>
      <c r="B362" s="3">
        <f t="shared" si="101"/>
        <v>3258</v>
      </c>
      <c r="C362" s="3">
        <f t="shared" si="91"/>
        <v>3255</v>
      </c>
      <c r="D362" s="3">
        <f t="shared" si="92"/>
        <v>3257</v>
      </c>
      <c r="E362" s="3">
        <v>3</v>
      </c>
      <c r="F362" s="21" t="s">
        <v>582</v>
      </c>
      <c r="I362" s="8" t="str">
        <f t="shared" si="103"/>
        <v>TotalRawScore_EN3 3255-3257 A3</v>
      </c>
    </row>
    <row r="363" spans="1:9" s="49" customFormat="1" ht="15" x14ac:dyDescent="0.25">
      <c r="A363" s="3">
        <f t="shared" si="102"/>
        <v>3259</v>
      </c>
      <c r="B363" s="3">
        <f t="shared" si="101"/>
        <v>3261</v>
      </c>
      <c r="C363" s="3">
        <f t="shared" si="91"/>
        <v>3258</v>
      </c>
      <c r="D363" s="3">
        <f t="shared" si="92"/>
        <v>3260</v>
      </c>
      <c r="E363" s="3">
        <v>3</v>
      </c>
      <c r="F363" s="21" t="s">
        <v>628</v>
      </c>
      <c r="I363" s="8" t="str">
        <f t="shared" si="103"/>
        <v>TotalPercentcorrect_EN3 3258-3260 A3</v>
      </c>
    </row>
    <row r="364" spans="1:9" s="49" customFormat="1" ht="15" x14ac:dyDescent="0.25">
      <c r="A364" s="3">
        <f t="shared" si="102"/>
        <v>3262</v>
      </c>
      <c r="B364" s="3">
        <f t="shared" si="101"/>
        <v>3264</v>
      </c>
      <c r="C364" s="3">
        <f t="shared" si="91"/>
        <v>3261</v>
      </c>
      <c r="D364" s="3">
        <f t="shared" si="92"/>
        <v>3263</v>
      </c>
      <c r="E364" s="3">
        <v>3</v>
      </c>
      <c r="F364" s="21" t="s">
        <v>584</v>
      </c>
      <c r="I364" s="8" t="str">
        <f t="shared" si="103"/>
        <v>ScaleScore_EN3 3261-3263 A3</v>
      </c>
    </row>
    <row r="365" spans="1:9" s="49" customFormat="1" ht="15" x14ac:dyDescent="0.25">
      <c r="A365" s="3">
        <f t="shared" si="102"/>
        <v>3265</v>
      </c>
      <c r="B365" s="3">
        <f t="shared" si="101"/>
        <v>3266</v>
      </c>
      <c r="C365" s="3">
        <f t="shared" si="91"/>
        <v>3264</v>
      </c>
      <c r="D365" s="3">
        <f t="shared" si="92"/>
        <v>3265</v>
      </c>
      <c r="E365" s="5">
        <v>2</v>
      </c>
      <c r="F365" s="21" t="s">
        <v>585</v>
      </c>
      <c r="I365" s="8" t="str">
        <f t="shared" si="103"/>
        <v>AssessmentAchievementLevel_EN3 3264-3265 A2</v>
      </c>
    </row>
    <row r="366" spans="1:9" s="49" customFormat="1" ht="15" x14ac:dyDescent="0.25">
      <c r="A366" s="3">
        <f t="shared" si="102"/>
        <v>3267</v>
      </c>
      <c r="B366" s="3">
        <f t="shared" si="101"/>
        <v>3269</v>
      </c>
      <c r="C366" s="3">
        <f t="shared" si="91"/>
        <v>3266</v>
      </c>
      <c r="D366" s="3">
        <f t="shared" si="92"/>
        <v>3268</v>
      </c>
      <c r="E366" s="3">
        <v>3</v>
      </c>
      <c r="F366" s="21" t="s">
        <v>586</v>
      </c>
      <c r="I366" s="8" t="str">
        <f t="shared" si="103"/>
        <v>AccountabilityAchievementLevel_EN3 3266-3268 A3</v>
      </c>
    </row>
    <row r="367" spans="1:9" s="49" customFormat="1" ht="15" x14ac:dyDescent="0.25">
      <c r="A367" s="3">
        <f t="shared" si="102"/>
        <v>3270</v>
      </c>
      <c r="B367" s="3">
        <f t="shared" si="101"/>
        <v>3290</v>
      </c>
      <c r="C367" s="3">
        <f t="shared" si="91"/>
        <v>3269</v>
      </c>
      <c r="D367" s="3">
        <f t="shared" si="92"/>
        <v>3289</v>
      </c>
      <c r="E367" s="5">
        <v>21</v>
      </c>
      <c r="F367" s="21" t="str">
        <f>CONCATENATE(H367,G367)</f>
        <v>FILLER49</v>
      </c>
      <c r="G367" s="70">
        <v>49</v>
      </c>
      <c r="H367" s="4" t="s">
        <v>39</v>
      </c>
      <c r="I367" s="8" t="str">
        <f t="shared" si="93"/>
        <v>FILLER49 3269-3289 A21</v>
      </c>
    </row>
    <row r="368" spans="1:9" s="49" customFormat="1" ht="15" x14ac:dyDescent="0.25">
      <c r="A368" s="3" t="s">
        <v>318</v>
      </c>
      <c r="B368" s="3"/>
      <c r="C368" s="3"/>
      <c r="D368" s="3"/>
      <c r="E368" s="3"/>
      <c r="F368" s="22" t="s">
        <v>682</v>
      </c>
      <c r="I368" s="8"/>
    </row>
    <row r="369" spans="1:9" s="49" customFormat="1" ht="15" x14ac:dyDescent="0.25">
      <c r="A369" s="3">
        <f>A367+E367</f>
        <v>3291</v>
      </c>
      <c r="B369" s="3">
        <f t="shared" ref="B369:B375" si="104">A369+E369-1</f>
        <v>3292</v>
      </c>
      <c r="C369" s="3">
        <f t="shared" si="91"/>
        <v>3290</v>
      </c>
      <c r="D369" s="3">
        <f t="shared" si="92"/>
        <v>3291</v>
      </c>
      <c r="E369" s="3">
        <v>2</v>
      </c>
      <c r="F369" s="21" t="s">
        <v>639</v>
      </c>
      <c r="I369" s="8" t="str">
        <f>CONCATENATE(F369,"_EN3 ",C369,"-",D369," A",E369)</f>
        <v>WritingandLanguageConventionsRawScore_EN3 3290-3291 A2</v>
      </c>
    </row>
    <row r="370" spans="1:9" s="49" customFormat="1" ht="25.5" x14ac:dyDescent="0.25">
      <c r="A370" s="3">
        <f t="shared" ref="A370:A375" si="105">A369+E369</f>
        <v>3293</v>
      </c>
      <c r="B370" s="3">
        <f t="shared" si="104"/>
        <v>3295</v>
      </c>
      <c r="C370" s="3">
        <f t="shared" si="91"/>
        <v>3292</v>
      </c>
      <c r="D370" s="3">
        <f t="shared" si="92"/>
        <v>3294</v>
      </c>
      <c r="E370" s="3">
        <v>3</v>
      </c>
      <c r="F370" s="21" t="s">
        <v>640</v>
      </c>
      <c r="I370" s="8" t="str">
        <f t="shared" ref="I370:I374" si="106">CONCATENATE(F370,"_EN3 ",C370,"-",D370," A",E370)</f>
        <v>WritingandLanguageConventionsPercentCorrect_EN3 3292-3294 A3</v>
      </c>
    </row>
    <row r="371" spans="1:9" s="49" customFormat="1" ht="15" x14ac:dyDescent="0.25">
      <c r="A371" s="3">
        <f t="shared" si="105"/>
        <v>3296</v>
      </c>
      <c r="B371" s="3">
        <f t="shared" si="104"/>
        <v>3297</v>
      </c>
      <c r="C371" s="3">
        <f t="shared" si="91"/>
        <v>3295</v>
      </c>
      <c r="D371" s="3">
        <f t="shared" si="92"/>
        <v>3296</v>
      </c>
      <c r="E371" s="3">
        <v>2</v>
      </c>
      <c r="F371" s="21" t="s">
        <v>620</v>
      </c>
      <c r="I371" s="8" t="str">
        <f t="shared" si="106"/>
        <v>ReadingRawScore_EN3 3295-3296 A2</v>
      </c>
    </row>
    <row r="372" spans="1:9" s="49" customFormat="1" ht="15" x14ac:dyDescent="0.25">
      <c r="A372" s="3">
        <f t="shared" si="105"/>
        <v>3298</v>
      </c>
      <c r="B372" s="3">
        <f t="shared" si="104"/>
        <v>3300</v>
      </c>
      <c r="C372" s="3">
        <f t="shared" si="91"/>
        <v>3297</v>
      </c>
      <c r="D372" s="3">
        <f t="shared" si="92"/>
        <v>3299</v>
      </c>
      <c r="E372" s="3">
        <v>3</v>
      </c>
      <c r="F372" s="21" t="s">
        <v>622</v>
      </c>
      <c r="I372" s="8" t="str">
        <f t="shared" si="106"/>
        <v>ReadingPercentCorrect_EN3 3297-3299 A3</v>
      </c>
    </row>
    <row r="373" spans="1:9" s="49" customFormat="1" ht="15" x14ac:dyDescent="0.25">
      <c r="A373" s="3">
        <f t="shared" si="105"/>
        <v>3301</v>
      </c>
      <c r="B373" s="3">
        <f t="shared" si="104"/>
        <v>3302</v>
      </c>
      <c r="C373" s="3">
        <f t="shared" si="91"/>
        <v>3300</v>
      </c>
      <c r="D373" s="3">
        <f t="shared" si="92"/>
        <v>3301</v>
      </c>
      <c r="E373" s="3">
        <v>2</v>
      </c>
      <c r="F373" s="21" t="s">
        <v>641</v>
      </c>
      <c r="I373" s="8" t="str">
        <f t="shared" si="106"/>
        <v>ResearchRawScore_EN3 3300-3301 A2</v>
      </c>
    </row>
    <row r="374" spans="1:9" s="49" customFormat="1" ht="15" x14ac:dyDescent="0.25">
      <c r="A374" s="3">
        <f t="shared" si="105"/>
        <v>3303</v>
      </c>
      <c r="B374" s="3">
        <f t="shared" si="104"/>
        <v>3305</v>
      </c>
      <c r="C374" s="3">
        <f t="shared" si="91"/>
        <v>3302</v>
      </c>
      <c r="D374" s="3">
        <f t="shared" si="92"/>
        <v>3304</v>
      </c>
      <c r="E374" s="3">
        <v>3</v>
      </c>
      <c r="F374" s="21" t="s">
        <v>642</v>
      </c>
      <c r="I374" s="8" t="str">
        <f t="shared" si="106"/>
        <v>ResearchPercentCorrect_EN3 3302-3304 A3</v>
      </c>
    </row>
    <row r="375" spans="1:9" s="49" customFormat="1" ht="15" x14ac:dyDescent="0.25">
      <c r="A375" s="3">
        <f t="shared" si="105"/>
        <v>3306</v>
      </c>
      <c r="B375" s="3">
        <f t="shared" si="104"/>
        <v>3325</v>
      </c>
      <c r="C375" s="3">
        <f t="shared" si="91"/>
        <v>3305</v>
      </c>
      <c r="D375" s="3">
        <f t="shared" si="92"/>
        <v>3324</v>
      </c>
      <c r="E375" s="3">
        <v>20</v>
      </c>
      <c r="F375" s="21" t="str">
        <f>CONCATENATE(H375,G375)</f>
        <v>FILLER50</v>
      </c>
      <c r="G375" s="70">
        <v>50</v>
      </c>
      <c r="H375" s="4" t="s">
        <v>39</v>
      </c>
      <c r="I375" s="8" t="str">
        <f t="shared" si="93"/>
        <v>FILLER50 3305-3324 A20</v>
      </c>
    </row>
    <row r="376" spans="1:9" s="49" customFormat="1" ht="15" x14ac:dyDescent="0.25">
      <c r="A376" s="3"/>
      <c r="B376" s="3"/>
      <c r="C376" s="3"/>
      <c r="D376" s="3"/>
      <c r="E376" s="3"/>
      <c r="F376" s="22" t="s">
        <v>686</v>
      </c>
      <c r="I376" s="8"/>
    </row>
    <row r="377" spans="1:9" s="49" customFormat="1" ht="15" x14ac:dyDescent="0.25">
      <c r="A377" s="3">
        <f>A375+E375</f>
        <v>3326</v>
      </c>
      <c r="B377" s="3">
        <f t="shared" ref="B377:B384" si="107">A377+E377-1</f>
        <v>3327</v>
      </c>
      <c r="C377" s="3">
        <f t="shared" si="91"/>
        <v>3325</v>
      </c>
      <c r="D377" s="3">
        <f t="shared" si="92"/>
        <v>3326</v>
      </c>
      <c r="E377" s="5">
        <v>2</v>
      </c>
      <c r="F377" s="13" t="s">
        <v>643</v>
      </c>
      <c r="I377" s="8" t="str">
        <f>CONCATENATE(F377,"_EN3 ",C377,"-",D377," A",E377)</f>
        <v>AccountabilityCodeEnglishIII_EN3 3325-3326 A2</v>
      </c>
    </row>
    <row r="378" spans="1:9" s="49" customFormat="1" ht="15" x14ac:dyDescent="0.25">
      <c r="A378" s="3">
        <f t="shared" ref="A378:A384" si="108">A377+E377</f>
        <v>3328</v>
      </c>
      <c r="B378" s="3">
        <f t="shared" si="107"/>
        <v>3328</v>
      </c>
      <c r="C378" s="3">
        <f t="shared" si="91"/>
        <v>3327</v>
      </c>
      <c r="D378" s="3">
        <f t="shared" si="92"/>
        <v>3327</v>
      </c>
      <c r="E378" s="3">
        <v>1</v>
      </c>
      <c r="F378" s="21" t="s">
        <v>600</v>
      </c>
      <c r="I378" s="8" t="str">
        <f t="shared" ref="I378:I383" si="109">CONCATENATE(F378,"_EN3 ",C378,"-",D378," A",E378)</f>
        <v>Reportablestatus_EN3 3327-3327 A1</v>
      </c>
    </row>
    <row r="379" spans="1:9" s="49" customFormat="1" ht="15" x14ac:dyDescent="0.25">
      <c r="A379" s="3">
        <f t="shared" si="108"/>
        <v>3329</v>
      </c>
      <c r="B379" s="3">
        <f t="shared" si="107"/>
        <v>3329</v>
      </c>
      <c r="C379" s="3">
        <f t="shared" si="91"/>
        <v>3328</v>
      </c>
      <c r="D379" s="3">
        <f t="shared" si="92"/>
        <v>3328</v>
      </c>
      <c r="E379" s="3">
        <v>1</v>
      </c>
      <c r="F379" s="21" t="s">
        <v>601</v>
      </c>
      <c r="I379" s="8" t="str">
        <f t="shared" si="109"/>
        <v>TestValidAttempt_EN3 3328-3328 A1</v>
      </c>
    </row>
    <row r="380" spans="1:9" s="49" customFormat="1" ht="60" customHeight="1" x14ac:dyDescent="0.25">
      <c r="A380" s="3">
        <f t="shared" si="108"/>
        <v>3330</v>
      </c>
      <c r="B380" s="3">
        <f t="shared" si="107"/>
        <v>3330</v>
      </c>
      <c r="C380" s="3">
        <f t="shared" si="91"/>
        <v>3329</v>
      </c>
      <c r="D380" s="3">
        <f t="shared" si="92"/>
        <v>3329</v>
      </c>
      <c r="E380" s="3">
        <v>1</v>
      </c>
      <c r="F380" s="21" t="s">
        <v>602</v>
      </c>
      <c r="I380" s="8" t="str">
        <f t="shared" si="109"/>
        <v>TestLaunchFlag_EN3 3329-3329 A1</v>
      </c>
    </row>
    <row r="381" spans="1:9" s="49" customFormat="1" ht="15" x14ac:dyDescent="0.25">
      <c r="A381" s="3">
        <f t="shared" si="108"/>
        <v>3331</v>
      </c>
      <c r="B381" s="3">
        <f t="shared" si="107"/>
        <v>3331</v>
      </c>
      <c r="C381" s="3">
        <f t="shared" si="91"/>
        <v>3330</v>
      </c>
      <c r="D381" s="3">
        <f t="shared" si="92"/>
        <v>3330</v>
      </c>
      <c r="E381" s="3">
        <v>1</v>
      </c>
      <c r="F381" s="21" t="s">
        <v>603</v>
      </c>
      <c r="I381" s="8" t="str">
        <f t="shared" si="109"/>
        <v>VoidFlag_EN3 3330-3330 A1</v>
      </c>
    </row>
    <row r="382" spans="1:9" s="49" customFormat="1" ht="184.5" customHeight="1" x14ac:dyDescent="0.25">
      <c r="A382" s="3">
        <f t="shared" si="108"/>
        <v>3332</v>
      </c>
      <c r="B382" s="3">
        <f t="shared" si="107"/>
        <v>3332</v>
      </c>
      <c r="C382" s="3">
        <f t="shared" si="91"/>
        <v>3331</v>
      </c>
      <c r="D382" s="3">
        <f t="shared" si="92"/>
        <v>3331</v>
      </c>
      <c r="E382" s="3">
        <v>1</v>
      </c>
      <c r="F382" s="21" t="s">
        <v>604</v>
      </c>
      <c r="I382" s="8" t="str">
        <f t="shared" si="109"/>
        <v>RetestFlag_EN3 3331-3331 A1</v>
      </c>
    </row>
    <row r="383" spans="1:9" s="49" customFormat="1" ht="15" x14ac:dyDescent="0.25">
      <c r="A383" s="3">
        <f t="shared" si="108"/>
        <v>3333</v>
      </c>
      <c r="B383" s="3">
        <f t="shared" si="107"/>
        <v>3333</v>
      </c>
      <c r="C383" s="3">
        <f t="shared" si="91"/>
        <v>3332</v>
      </c>
      <c r="D383" s="3">
        <f t="shared" si="92"/>
        <v>3332</v>
      </c>
      <c r="E383" s="3">
        <v>1</v>
      </c>
      <c r="F383" s="21" t="s">
        <v>605</v>
      </c>
      <c r="I383" s="8" t="str">
        <f t="shared" si="109"/>
        <v>EligibleFlag_EN3 3332-3332 A1</v>
      </c>
    </row>
    <row r="384" spans="1:9" s="49" customFormat="1" ht="15" x14ac:dyDescent="0.25">
      <c r="A384" s="3">
        <f t="shared" si="108"/>
        <v>3334</v>
      </c>
      <c r="B384" s="3">
        <f t="shared" si="107"/>
        <v>3695</v>
      </c>
      <c r="C384" s="3">
        <f t="shared" si="91"/>
        <v>3333</v>
      </c>
      <c r="D384" s="3">
        <f t="shared" si="92"/>
        <v>3694</v>
      </c>
      <c r="E384" s="3">
        <v>362</v>
      </c>
      <c r="F384" s="21" t="str">
        <f>CONCATENATE(H384,G384)</f>
        <v>FILLER51</v>
      </c>
      <c r="G384" s="70">
        <v>51</v>
      </c>
      <c r="H384" s="4" t="s">
        <v>39</v>
      </c>
      <c r="I384" s="8" t="str">
        <f t="shared" si="93"/>
        <v>FILLER51 3333-3694 A362</v>
      </c>
    </row>
    <row r="385" spans="1:9" x14ac:dyDescent="0.2">
      <c r="A385" s="3" t="s">
        <v>318</v>
      </c>
      <c r="B385" s="3"/>
      <c r="C385" s="3"/>
      <c r="D385" s="3"/>
      <c r="E385" s="7"/>
      <c r="F385" s="22" t="s">
        <v>687</v>
      </c>
      <c r="G385" s="4"/>
      <c r="I385" s="8"/>
    </row>
    <row r="386" spans="1:9" x14ac:dyDescent="0.2">
      <c r="A386" s="3">
        <f>A384+E384</f>
        <v>3696</v>
      </c>
      <c r="B386" s="3">
        <f t="shared" ref="B386:B398" si="110">A386+E386-1</f>
        <v>3696</v>
      </c>
      <c r="C386" s="3">
        <f t="shared" si="91"/>
        <v>3695</v>
      </c>
      <c r="D386" s="3">
        <f t="shared" si="92"/>
        <v>3695</v>
      </c>
      <c r="E386" s="3">
        <v>1</v>
      </c>
      <c r="F386" s="21" t="s">
        <v>559</v>
      </c>
      <c r="G386" s="4"/>
      <c r="I386" s="8" t="str">
        <f>CONCATENATE(F386,"_USH ",C386,"-",D386," A",E386)</f>
        <v>AdminErrorAdministration_USH 3695-3695 A1</v>
      </c>
    </row>
    <row r="387" spans="1:9" x14ac:dyDescent="0.2">
      <c r="A387" s="3">
        <f t="shared" ref="A387:A398" si="111">A386+E386</f>
        <v>3697</v>
      </c>
      <c r="B387" s="3">
        <f t="shared" si="110"/>
        <v>3704</v>
      </c>
      <c r="C387" s="3">
        <f t="shared" si="91"/>
        <v>3696</v>
      </c>
      <c r="D387" s="3">
        <f t="shared" si="92"/>
        <v>3703</v>
      </c>
      <c r="E387" s="6">
        <v>8</v>
      </c>
      <c r="F387" s="9" t="s">
        <v>11</v>
      </c>
      <c r="G387" s="4"/>
      <c r="I387" s="8" t="str">
        <f>CONCATENATE(F387,"_USH ",C387,"-",D387," A",E387)</f>
        <v>Content_USH 3696-3703 A8</v>
      </c>
    </row>
    <row r="388" spans="1:9" x14ac:dyDescent="0.2">
      <c r="A388" s="3">
        <f t="shared" si="111"/>
        <v>3705</v>
      </c>
      <c r="B388" s="3">
        <f t="shared" si="110"/>
        <v>3712</v>
      </c>
      <c r="C388" s="3">
        <f t="shared" ref="C388:C451" si="112">A388-1</f>
        <v>3704</v>
      </c>
      <c r="D388" s="3">
        <f t="shared" ref="D388:D451" si="113">B388-1</f>
        <v>3711</v>
      </c>
      <c r="E388" s="35">
        <v>8</v>
      </c>
      <c r="F388" s="21" t="str">
        <f>CONCATENATE(H388,G388)</f>
        <v>FILLER52</v>
      </c>
      <c r="G388" s="6">
        <v>52</v>
      </c>
      <c r="H388" s="4" t="s">
        <v>39</v>
      </c>
      <c r="I388" s="8" t="str">
        <f t="shared" ref="I388:I448" si="114">CONCATENATE(F388," ",C388,"-",D388," A",E388)</f>
        <v>FILLER52 3704-3711 A8</v>
      </c>
    </row>
    <row r="389" spans="1:9" ht="17.25" customHeight="1" x14ac:dyDescent="0.2">
      <c r="A389" s="3">
        <f t="shared" si="111"/>
        <v>3713</v>
      </c>
      <c r="B389" s="3">
        <f t="shared" si="110"/>
        <v>3732</v>
      </c>
      <c r="C389" s="3">
        <f t="shared" si="112"/>
        <v>3712</v>
      </c>
      <c r="D389" s="3">
        <f t="shared" si="113"/>
        <v>3731</v>
      </c>
      <c r="E389" s="3">
        <v>20</v>
      </c>
      <c r="F389" s="21" t="s">
        <v>560</v>
      </c>
      <c r="G389" s="4"/>
      <c r="I389" s="8" t="str">
        <f t="shared" ref="I389:I391" si="115">CONCATENATE(F389,"_USH ",C389,"-",D389," A",E389)</f>
        <v>TeacherLastName_USH 3712-3731 A20</v>
      </c>
    </row>
    <row r="390" spans="1:9" ht="18.75" customHeight="1" x14ac:dyDescent="0.2">
      <c r="A390" s="3">
        <f t="shared" si="111"/>
        <v>3733</v>
      </c>
      <c r="B390" s="3">
        <f t="shared" si="110"/>
        <v>3747</v>
      </c>
      <c r="C390" s="3">
        <f t="shared" si="112"/>
        <v>3732</v>
      </c>
      <c r="D390" s="3">
        <f t="shared" si="113"/>
        <v>3746</v>
      </c>
      <c r="E390" s="3">
        <v>15</v>
      </c>
      <c r="F390" s="21" t="s">
        <v>561</v>
      </c>
      <c r="G390" s="4"/>
      <c r="I390" s="8" t="str">
        <f t="shared" si="115"/>
        <v>TeacherFirstName_USH 3732-3746 A15</v>
      </c>
    </row>
    <row r="391" spans="1:9" ht="17.25" customHeight="1" x14ac:dyDescent="0.2">
      <c r="A391" s="3">
        <f t="shared" si="111"/>
        <v>3748</v>
      </c>
      <c r="B391" s="3">
        <f t="shared" si="110"/>
        <v>3748</v>
      </c>
      <c r="C391" s="3">
        <f t="shared" si="112"/>
        <v>3747</v>
      </c>
      <c r="D391" s="3">
        <f t="shared" si="113"/>
        <v>3747</v>
      </c>
      <c r="E391" s="3">
        <v>1</v>
      </c>
      <c r="F391" s="21" t="s">
        <v>562</v>
      </c>
      <c r="G391" s="4"/>
      <c r="I391" s="8" t="str">
        <f t="shared" si="115"/>
        <v>TeacherMiddleInitial_USH 3747-3747 A1</v>
      </c>
    </row>
    <row r="392" spans="1:9" ht="39.6" customHeight="1" x14ac:dyDescent="0.2">
      <c r="A392" s="3">
        <f t="shared" si="111"/>
        <v>3749</v>
      </c>
      <c r="B392" s="3">
        <f t="shared" si="110"/>
        <v>3792</v>
      </c>
      <c r="C392" s="3">
        <f t="shared" si="112"/>
        <v>3748</v>
      </c>
      <c r="D392" s="3">
        <f t="shared" si="113"/>
        <v>3791</v>
      </c>
      <c r="E392" s="3">
        <v>44</v>
      </c>
      <c r="F392" s="21" t="str">
        <f>CONCATENATE(H392,G392)</f>
        <v>FILLER53</v>
      </c>
      <c r="G392" s="6">
        <v>53</v>
      </c>
      <c r="H392" s="4" t="s">
        <v>39</v>
      </c>
      <c r="I392" s="8" t="str">
        <f t="shared" si="114"/>
        <v>FILLER53 3748-3791 A44</v>
      </c>
    </row>
    <row r="393" spans="1:9" x14ac:dyDescent="0.2">
      <c r="A393" s="3">
        <f t="shared" si="111"/>
        <v>3793</v>
      </c>
      <c r="B393" s="3">
        <f t="shared" si="110"/>
        <v>3798</v>
      </c>
      <c r="C393" s="3">
        <f t="shared" si="112"/>
        <v>3792</v>
      </c>
      <c r="D393" s="3">
        <f t="shared" si="113"/>
        <v>3797</v>
      </c>
      <c r="E393" s="3">
        <v>6</v>
      </c>
      <c r="F393" s="21" t="s">
        <v>563</v>
      </c>
      <c r="G393" s="4"/>
      <c r="I393" s="8" t="str">
        <f t="shared" ref="I393:I397" si="116">CONCATENATE(F393,"_USH ",C393,"-",D393," A",E393)</f>
        <v>CourseCode_USH 3792-3797 A6</v>
      </c>
    </row>
    <row r="394" spans="1:9" x14ac:dyDescent="0.2">
      <c r="A394" s="3">
        <f t="shared" si="111"/>
        <v>3799</v>
      </c>
      <c r="B394" s="3">
        <f t="shared" si="110"/>
        <v>3828</v>
      </c>
      <c r="C394" s="3">
        <f t="shared" si="112"/>
        <v>3798</v>
      </c>
      <c r="D394" s="3">
        <f t="shared" si="113"/>
        <v>3827</v>
      </c>
      <c r="E394" s="3">
        <v>30</v>
      </c>
      <c r="F394" s="21" t="s">
        <v>564</v>
      </c>
      <c r="G394" s="4"/>
      <c r="I394" s="8" t="str">
        <f t="shared" si="116"/>
        <v>CourseName_USH 3798-3827 A30</v>
      </c>
    </row>
    <row r="395" spans="1:9" s="49" customFormat="1" ht="15" x14ac:dyDescent="0.25">
      <c r="A395" s="3">
        <f t="shared" si="111"/>
        <v>3829</v>
      </c>
      <c r="B395" s="3">
        <f t="shared" si="110"/>
        <v>3848</v>
      </c>
      <c r="C395" s="3">
        <f t="shared" si="112"/>
        <v>3828</v>
      </c>
      <c r="D395" s="3">
        <f t="shared" si="113"/>
        <v>3847</v>
      </c>
      <c r="E395" s="3">
        <v>20</v>
      </c>
      <c r="F395" s="21" t="s">
        <v>565</v>
      </c>
      <c r="I395" s="8" t="str">
        <f t="shared" si="116"/>
        <v>ClassSection_USH 3828-3847 A20</v>
      </c>
    </row>
    <row r="396" spans="1:9" s="49" customFormat="1" ht="15" x14ac:dyDescent="0.25">
      <c r="A396" s="3">
        <f t="shared" si="111"/>
        <v>3849</v>
      </c>
      <c r="B396" s="3">
        <f t="shared" si="110"/>
        <v>3854</v>
      </c>
      <c r="C396" s="3">
        <f t="shared" si="112"/>
        <v>3848</v>
      </c>
      <c r="D396" s="3">
        <f t="shared" si="113"/>
        <v>3853</v>
      </c>
      <c r="E396" s="3">
        <v>6</v>
      </c>
      <c r="F396" s="21" t="s">
        <v>566</v>
      </c>
      <c r="I396" s="8" t="str">
        <f t="shared" si="116"/>
        <v>TestingSiteCode_USH 3848-3853 A6</v>
      </c>
    </row>
    <row r="397" spans="1:9" s="49" customFormat="1" ht="15" x14ac:dyDescent="0.25">
      <c r="A397" s="3">
        <f t="shared" si="111"/>
        <v>3855</v>
      </c>
      <c r="B397" s="3">
        <f t="shared" si="110"/>
        <v>3855</v>
      </c>
      <c r="C397" s="3">
        <f t="shared" si="112"/>
        <v>3854</v>
      </c>
      <c r="D397" s="3">
        <f t="shared" si="113"/>
        <v>3854</v>
      </c>
      <c r="E397" s="3">
        <v>1</v>
      </c>
      <c r="F397" s="21" t="s">
        <v>695</v>
      </c>
      <c r="I397" s="8" t="str">
        <f t="shared" si="116"/>
        <v>USHistoryEnrollFlag_USH 3854-3854 A1</v>
      </c>
    </row>
    <row r="398" spans="1:9" s="49" customFormat="1" ht="15" x14ac:dyDescent="0.25">
      <c r="A398" s="3">
        <f t="shared" si="111"/>
        <v>3856</v>
      </c>
      <c r="B398" s="3">
        <f t="shared" si="110"/>
        <v>3892</v>
      </c>
      <c r="C398" s="3">
        <f t="shared" si="112"/>
        <v>3855</v>
      </c>
      <c r="D398" s="3">
        <f t="shared" si="113"/>
        <v>3891</v>
      </c>
      <c r="E398" s="6">
        <v>37</v>
      </c>
      <c r="F398" s="21" t="str">
        <f>CONCATENATE(H398,G398)</f>
        <v>FILLER54</v>
      </c>
      <c r="G398" s="70">
        <v>54</v>
      </c>
      <c r="H398" s="4" t="s">
        <v>39</v>
      </c>
      <c r="I398" s="8" t="str">
        <f t="shared" si="114"/>
        <v>FILLER54 3855-3891 A37</v>
      </c>
    </row>
    <row r="399" spans="1:9" s="49" customFormat="1" ht="15" x14ac:dyDescent="0.25">
      <c r="A399" s="3" t="s">
        <v>318</v>
      </c>
      <c r="B399" s="3"/>
      <c r="C399" s="3"/>
      <c r="D399" s="3"/>
      <c r="E399" s="3"/>
      <c r="F399" s="22" t="s">
        <v>668</v>
      </c>
      <c r="I399" s="8"/>
    </row>
    <row r="400" spans="1:9" s="49" customFormat="1" ht="15" customHeight="1" x14ac:dyDescent="0.25">
      <c r="A400" s="3">
        <f>A398+E398</f>
        <v>3893</v>
      </c>
      <c r="B400" s="3">
        <f t="shared" ref="B400:B414" si="117">A400+E400-1</f>
        <v>3893</v>
      </c>
      <c r="C400" s="3">
        <f t="shared" si="112"/>
        <v>3892</v>
      </c>
      <c r="D400" s="3">
        <f t="shared" si="113"/>
        <v>3892</v>
      </c>
      <c r="E400" s="3">
        <v>1</v>
      </c>
      <c r="F400" s="21" t="s">
        <v>525</v>
      </c>
      <c r="I400" s="8" t="str">
        <f>CONCATENATE(F400,"_USH ",C400,"-",D400," A",E400)</f>
        <v>TexttoSpeech_USH 3892-3892 A1</v>
      </c>
    </row>
    <row r="401" spans="1:9" s="49" customFormat="1" ht="15" x14ac:dyDescent="0.25">
      <c r="A401" s="3">
        <f t="shared" ref="A401:A414" si="118">A400+E400</f>
        <v>3894</v>
      </c>
      <c r="B401" s="3">
        <f t="shared" si="117"/>
        <v>3894</v>
      </c>
      <c r="C401" s="3">
        <f t="shared" si="112"/>
        <v>3893</v>
      </c>
      <c r="D401" s="3">
        <f t="shared" si="113"/>
        <v>3893</v>
      </c>
      <c r="E401" s="3">
        <v>1</v>
      </c>
      <c r="F401" s="21" t="s">
        <v>568</v>
      </c>
      <c r="I401" s="8" t="str">
        <f>CONCATENATE(F401,"_USH ",C401,"-",D401," A",E401)</f>
        <v>SpanishTest_USH 3893-3893 A1</v>
      </c>
    </row>
    <row r="402" spans="1:9" s="49" customFormat="1" ht="15" x14ac:dyDescent="0.25">
      <c r="A402" s="3">
        <f t="shared" si="118"/>
        <v>3895</v>
      </c>
      <c r="B402" s="3">
        <f t="shared" si="117"/>
        <v>3895</v>
      </c>
      <c r="C402" s="3">
        <f t="shared" si="112"/>
        <v>3894</v>
      </c>
      <c r="D402" s="3">
        <f t="shared" si="113"/>
        <v>3894</v>
      </c>
      <c r="E402" s="3">
        <v>1</v>
      </c>
      <c r="F402" s="21" t="str">
        <f>CONCATENATE(H402,G402)</f>
        <v>FILLER55</v>
      </c>
      <c r="G402" s="70">
        <v>55</v>
      </c>
      <c r="H402" s="4" t="s">
        <v>39</v>
      </c>
      <c r="I402" s="8" t="str">
        <f t="shared" si="114"/>
        <v>FILLER55 3894-3894 A1</v>
      </c>
    </row>
    <row r="403" spans="1:9" s="49" customFormat="1" ht="15" x14ac:dyDescent="0.25">
      <c r="A403" s="3">
        <f t="shared" si="118"/>
        <v>3896</v>
      </c>
      <c r="B403" s="3">
        <f t="shared" si="117"/>
        <v>3896</v>
      </c>
      <c r="C403" s="3">
        <f t="shared" si="112"/>
        <v>3895</v>
      </c>
      <c r="D403" s="3">
        <f t="shared" si="113"/>
        <v>3895</v>
      </c>
      <c r="E403" s="3">
        <v>1</v>
      </c>
      <c r="F403" s="21" t="s">
        <v>96</v>
      </c>
      <c r="I403" s="8" t="str">
        <f t="shared" ref="I403:I413" si="119">CONCATENATE(F403,"_USH ",C403,"-",D403," A",E403)</f>
        <v>Braille_USH 3895-3895 A1</v>
      </c>
    </row>
    <row r="404" spans="1:9" s="49" customFormat="1" ht="15" x14ac:dyDescent="0.25">
      <c r="A404" s="3">
        <f t="shared" si="118"/>
        <v>3897</v>
      </c>
      <c r="B404" s="3">
        <f t="shared" si="117"/>
        <v>3897</v>
      </c>
      <c r="C404" s="3">
        <f t="shared" si="112"/>
        <v>3896</v>
      </c>
      <c r="D404" s="3">
        <f t="shared" si="113"/>
        <v>3896</v>
      </c>
      <c r="E404" s="3">
        <v>1</v>
      </c>
      <c r="F404" s="21" t="s">
        <v>569</v>
      </c>
      <c r="I404" s="8" t="str">
        <f t="shared" si="119"/>
        <v>AccommodatedPaper_USH 3896-3896 A1</v>
      </c>
    </row>
    <row r="405" spans="1:9" s="49" customFormat="1" ht="15" x14ac:dyDescent="0.25">
      <c r="A405" s="3">
        <f t="shared" si="118"/>
        <v>3898</v>
      </c>
      <c r="B405" s="3">
        <f t="shared" si="117"/>
        <v>3898</v>
      </c>
      <c r="C405" s="3">
        <f t="shared" si="112"/>
        <v>3897</v>
      </c>
      <c r="D405" s="3">
        <f t="shared" si="113"/>
        <v>3897</v>
      </c>
      <c r="E405" s="3">
        <v>1</v>
      </c>
      <c r="F405" s="21" t="s">
        <v>570</v>
      </c>
      <c r="I405" s="8" t="str">
        <f t="shared" si="119"/>
        <v>HumanReadAloud_USH 3897-3897 A1</v>
      </c>
    </row>
    <row r="406" spans="1:9" s="49" customFormat="1" ht="15" x14ac:dyDescent="0.25">
      <c r="A406" s="3">
        <f t="shared" si="118"/>
        <v>3899</v>
      </c>
      <c r="B406" s="3">
        <f t="shared" si="117"/>
        <v>3899</v>
      </c>
      <c r="C406" s="3">
        <f t="shared" si="112"/>
        <v>3898</v>
      </c>
      <c r="D406" s="3">
        <f t="shared" si="113"/>
        <v>3898</v>
      </c>
      <c r="E406" s="3">
        <v>1</v>
      </c>
      <c r="F406" s="21" t="s">
        <v>571</v>
      </c>
      <c r="I406" s="8" t="str">
        <f t="shared" si="119"/>
        <v>NativeLanguageWordtoWordDictionary_USH 3898-3898 A1</v>
      </c>
    </row>
    <row r="407" spans="1:9" s="49" customFormat="1" ht="15" x14ac:dyDescent="0.25">
      <c r="A407" s="3">
        <f t="shared" si="118"/>
        <v>3900</v>
      </c>
      <c r="B407" s="3">
        <f t="shared" si="117"/>
        <v>3900</v>
      </c>
      <c r="C407" s="3">
        <f t="shared" si="112"/>
        <v>3899</v>
      </c>
      <c r="D407" s="3">
        <f t="shared" si="113"/>
        <v>3899</v>
      </c>
      <c r="E407" s="3">
        <v>1</v>
      </c>
      <c r="F407" s="21" t="s">
        <v>572</v>
      </c>
      <c r="I407" s="8" t="str">
        <f t="shared" si="119"/>
        <v>DirectionsinNativeLanguage_USH 3899-3899 A1</v>
      </c>
    </row>
    <row r="408" spans="1:9" s="49" customFormat="1" ht="15" x14ac:dyDescent="0.25">
      <c r="A408" s="3">
        <f t="shared" si="118"/>
        <v>3901</v>
      </c>
      <c r="B408" s="3">
        <f t="shared" si="117"/>
        <v>3901</v>
      </c>
      <c r="C408" s="3">
        <f t="shared" si="112"/>
        <v>3900</v>
      </c>
      <c r="D408" s="3">
        <f t="shared" si="113"/>
        <v>3900</v>
      </c>
      <c r="E408" s="3">
        <v>1</v>
      </c>
      <c r="F408" s="21" t="s">
        <v>573</v>
      </c>
      <c r="I408" s="8" t="str">
        <f t="shared" si="119"/>
        <v>CommunicationAssistance_USH 3900-3900 A1</v>
      </c>
    </row>
    <row r="409" spans="1:9" s="49" customFormat="1" ht="15" x14ac:dyDescent="0.25">
      <c r="A409" s="3">
        <f t="shared" si="118"/>
        <v>3902</v>
      </c>
      <c r="B409" s="3">
        <f t="shared" si="117"/>
        <v>3902</v>
      </c>
      <c r="C409" s="3">
        <f t="shared" si="112"/>
        <v>3901</v>
      </c>
      <c r="D409" s="3">
        <f t="shared" si="113"/>
        <v>3901</v>
      </c>
      <c r="E409" s="3">
        <v>1</v>
      </c>
      <c r="F409" s="21" t="s">
        <v>574</v>
      </c>
      <c r="I409" s="8" t="str">
        <f t="shared" si="119"/>
        <v>TransferredAnswers_USH 3901-3901 A1</v>
      </c>
    </row>
    <row r="410" spans="1:9" s="49" customFormat="1" ht="15" x14ac:dyDescent="0.25">
      <c r="A410" s="3">
        <f t="shared" si="118"/>
        <v>3903</v>
      </c>
      <c r="B410" s="3">
        <f t="shared" si="117"/>
        <v>3903</v>
      </c>
      <c r="C410" s="3">
        <f t="shared" si="112"/>
        <v>3902</v>
      </c>
      <c r="D410" s="3">
        <f t="shared" si="113"/>
        <v>3902</v>
      </c>
      <c r="E410" s="3">
        <v>1</v>
      </c>
      <c r="F410" s="21" t="s">
        <v>575</v>
      </c>
      <c r="I410" s="8" t="str">
        <f t="shared" si="119"/>
        <v>AnswersRecorded_USH 3902-3902 A1</v>
      </c>
    </row>
    <row r="411" spans="1:9" s="49" customFormat="1" ht="15" x14ac:dyDescent="0.25">
      <c r="A411" s="3">
        <f t="shared" si="118"/>
        <v>3904</v>
      </c>
      <c r="B411" s="3">
        <f t="shared" si="117"/>
        <v>3904</v>
      </c>
      <c r="C411" s="3">
        <f t="shared" si="112"/>
        <v>3903</v>
      </c>
      <c r="D411" s="3">
        <f t="shared" si="113"/>
        <v>3903</v>
      </c>
      <c r="E411" s="3">
        <v>1</v>
      </c>
      <c r="F411" s="21" t="s">
        <v>102</v>
      </c>
      <c r="I411" s="8" t="str">
        <f t="shared" si="119"/>
        <v>Calculator_USH 3903-3903 A1</v>
      </c>
    </row>
    <row r="412" spans="1:9" s="49" customFormat="1" ht="15" x14ac:dyDescent="0.25">
      <c r="A412" s="3">
        <f t="shared" si="118"/>
        <v>3905</v>
      </c>
      <c r="B412" s="3">
        <f t="shared" si="117"/>
        <v>3905</v>
      </c>
      <c r="C412" s="3">
        <f t="shared" si="112"/>
        <v>3904</v>
      </c>
      <c r="D412" s="3">
        <f t="shared" si="113"/>
        <v>3904</v>
      </c>
      <c r="E412" s="3">
        <v>1</v>
      </c>
      <c r="F412" s="21" t="s">
        <v>578</v>
      </c>
      <c r="I412" s="8" t="str">
        <f t="shared" si="119"/>
        <v>ExtendedTime_USH 3904-3904 A1</v>
      </c>
    </row>
    <row r="413" spans="1:9" s="49" customFormat="1" ht="15" x14ac:dyDescent="0.25">
      <c r="A413" s="3">
        <f t="shared" si="118"/>
        <v>3906</v>
      </c>
      <c r="B413" s="3">
        <f t="shared" si="117"/>
        <v>3906</v>
      </c>
      <c r="C413" s="3">
        <f t="shared" si="112"/>
        <v>3905</v>
      </c>
      <c r="D413" s="3">
        <f t="shared" si="113"/>
        <v>3905</v>
      </c>
      <c r="E413" s="3">
        <v>1</v>
      </c>
      <c r="F413" s="21" t="s">
        <v>579</v>
      </c>
      <c r="I413" s="8" t="str">
        <f t="shared" si="119"/>
        <v>IndividualorSmallGroupAdministration_USH 3905-3905 A1</v>
      </c>
    </row>
    <row r="414" spans="1:9" s="49" customFormat="1" ht="15" x14ac:dyDescent="0.25">
      <c r="A414" s="3">
        <f t="shared" si="118"/>
        <v>3907</v>
      </c>
      <c r="B414" s="3">
        <f t="shared" si="117"/>
        <v>3926</v>
      </c>
      <c r="C414" s="3">
        <f t="shared" si="112"/>
        <v>3906</v>
      </c>
      <c r="D414" s="3">
        <f t="shared" si="113"/>
        <v>3925</v>
      </c>
      <c r="E414" s="3">
        <v>20</v>
      </c>
      <c r="F414" s="21" t="str">
        <f>CONCATENATE(H414,G414)</f>
        <v>FILLER56</v>
      </c>
      <c r="G414" s="70">
        <v>56</v>
      </c>
      <c r="H414" s="4" t="s">
        <v>39</v>
      </c>
      <c r="I414" s="8" t="str">
        <f t="shared" si="114"/>
        <v>FILLER56 3906-3925 A20</v>
      </c>
    </row>
    <row r="415" spans="1:9" s="49" customFormat="1" ht="15" x14ac:dyDescent="0.25">
      <c r="A415" s="3"/>
      <c r="B415" s="3"/>
      <c r="C415" s="3"/>
      <c r="D415" s="3"/>
      <c r="E415" s="3"/>
      <c r="F415" s="22" t="s">
        <v>696</v>
      </c>
      <c r="I415" s="8"/>
    </row>
    <row r="416" spans="1:9" s="49" customFormat="1" ht="15" x14ac:dyDescent="0.25">
      <c r="A416" s="3">
        <f>A414+E414</f>
        <v>3927</v>
      </c>
      <c r="B416" s="3">
        <f t="shared" ref="B416:B423" si="120">A416+E416-1</f>
        <v>3929</v>
      </c>
      <c r="C416" s="3">
        <f t="shared" si="112"/>
        <v>3926</v>
      </c>
      <c r="D416" s="3">
        <f t="shared" si="113"/>
        <v>3928</v>
      </c>
      <c r="E416" s="3">
        <v>3</v>
      </c>
      <c r="F416" s="21" t="s">
        <v>580</v>
      </c>
      <c r="I416" s="8" t="str">
        <f>CONCATENATE(F416,"_USH ",C416,"-",D416," A",E416)</f>
        <v>TotalMCScore_USH 3926-3928 A3</v>
      </c>
    </row>
    <row r="417" spans="1:9" s="49" customFormat="1" ht="15" x14ac:dyDescent="0.25">
      <c r="A417" s="3">
        <f t="shared" ref="A417:A423" si="121">A416+E416</f>
        <v>3930</v>
      </c>
      <c r="B417" s="3">
        <f t="shared" si="120"/>
        <v>3932</v>
      </c>
      <c r="C417" s="3">
        <f t="shared" si="112"/>
        <v>3929</v>
      </c>
      <c r="D417" s="3">
        <f t="shared" si="113"/>
        <v>3931</v>
      </c>
      <c r="E417" s="3">
        <v>3</v>
      </c>
      <c r="F417" s="21" t="s">
        <v>581</v>
      </c>
      <c r="I417" s="8" t="str">
        <f t="shared" ref="I417:I422" si="122">CONCATENATE(F417,"_USH ",C417,"-",D417," A",E417)</f>
        <v>TotalCRScore_USH 3929-3931 A3</v>
      </c>
    </row>
    <row r="418" spans="1:9" s="49" customFormat="1" ht="15" x14ac:dyDescent="0.25">
      <c r="A418" s="3">
        <f t="shared" si="121"/>
        <v>3933</v>
      </c>
      <c r="B418" s="3">
        <f t="shared" si="120"/>
        <v>3935</v>
      </c>
      <c r="C418" s="3">
        <f t="shared" si="112"/>
        <v>3932</v>
      </c>
      <c r="D418" s="3">
        <f t="shared" si="113"/>
        <v>3934</v>
      </c>
      <c r="E418" s="3">
        <v>3</v>
      </c>
      <c r="F418" s="21" t="s">
        <v>582</v>
      </c>
      <c r="I418" s="8" t="str">
        <f t="shared" si="122"/>
        <v>TotalRawScore_USH 3932-3934 A3</v>
      </c>
    </row>
    <row r="419" spans="1:9" s="49" customFormat="1" ht="15" x14ac:dyDescent="0.25">
      <c r="A419" s="3">
        <f t="shared" si="121"/>
        <v>3936</v>
      </c>
      <c r="B419" s="3">
        <f t="shared" si="120"/>
        <v>3938</v>
      </c>
      <c r="C419" s="3">
        <f t="shared" si="112"/>
        <v>3935</v>
      </c>
      <c r="D419" s="3">
        <f t="shared" si="113"/>
        <v>3937</v>
      </c>
      <c r="E419" s="3">
        <v>3</v>
      </c>
      <c r="F419" s="21" t="s">
        <v>628</v>
      </c>
      <c r="I419" s="8" t="str">
        <f t="shared" si="122"/>
        <v>TotalPercentcorrect_USH 3935-3937 A3</v>
      </c>
    </row>
    <row r="420" spans="1:9" s="49" customFormat="1" ht="15" x14ac:dyDescent="0.25">
      <c r="A420" s="3">
        <f t="shared" si="121"/>
        <v>3939</v>
      </c>
      <c r="B420" s="3">
        <f t="shared" si="120"/>
        <v>3941</v>
      </c>
      <c r="C420" s="3">
        <f t="shared" si="112"/>
        <v>3938</v>
      </c>
      <c r="D420" s="3">
        <f t="shared" si="113"/>
        <v>3940</v>
      </c>
      <c r="E420" s="3">
        <v>3</v>
      </c>
      <c r="F420" s="21" t="s">
        <v>584</v>
      </c>
      <c r="I420" s="8" t="str">
        <f t="shared" si="122"/>
        <v>ScaleScore_USH 3938-3940 A3</v>
      </c>
    </row>
    <row r="421" spans="1:9" s="49" customFormat="1" ht="15" x14ac:dyDescent="0.25">
      <c r="A421" s="3">
        <f t="shared" si="121"/>
        <v>3942</v>
      </c>
      <c r="B421" s="3">
        <f t="shared" si="120"/>
        <v>3943</v>
      </c>
      <c r="C421" s="3">
        <f t="shared" si="112"/>
        <v>3941</v>
      </c>
      <c r="D421" s="3">
        <f t="shared" si="113"/>
        <v>3942</v>
      </c>
      <c r="E421" s="5">
        <v>2</v>
      </c>
      <c r="F421" s="21" t="s">
        <v>585</v>
      </c>
      <c r="I421" s="8" t="str">
        <f t="shared" si="122"/>
        <v>AssessmentAchievementLevel_USH 3941-3942 A2</v>
      </c>
    </row>
    <row r="422" spans="1:9" s="49" customFormat="1" ht="15" x14ac:dyDescent="0.25">
      <c r="A422" s="3">
        <f t="shared" si="121"/>
        <v>3944</v>
      </c>
      <c r="B422" s="3">
        <f t="shared" si="120"/>
        <v>3946</v>
      </c>
      <c r="C422" s="3">
        <f t="shared" si="112"/>
        <v>3943</v>
      </c>
      <c r="D422" s="3">
        <f t="shared" si="113"/>
        <v>3945</v>
      </c>
      <c r="E422" s="3">
        <v>3</v>
      </c>
      <c r="F422" s="21" t="s">
        <v>586</v>
      </c>
      <c r="I422" s="8" t="str">
        <f t="shared" si="122"/>
        <v>AccountabilityAchievementLevel_USH 3943-3945 A3</v>
      </c>
    </row>
    <row r="423" spans="1:9" s="49" customFormat="1" ht="15" x14ac:dyDescent="0.25">
      <c r="A423" s="3">
        <f t="shared" si="121"/>
        <v>3947</v>
      </c>
      <c r="B423" s="3">
        <f t="shared" si="120"/>
        <v>3967</v>
      </c>
      <c r="C423" s="3">
        <f t="shared" si="112"/>
        <v>3946</v>
      </c>
      <c r="D423" s="3">
        <f t="shared" si="113"/>
        <v>3966</v>
      </c>
      <c r="E423" s="5">
        <v>21</v>
      </c>
      <c r="F423" s="21" t="str">
        <f>CONCATENATE(H423,G423)</f>
        <v>FILLER57</v>
      </c>
      <c r="G423" s="70">
        <v>57</v>
      </c>
      <c r="H423" s="4" t="s">
        <v>39</v>
      </c>
      <c r="I423" s="8" t="str">
        <f t="shared" si="114"/>
        <v>FILLER57 3946-3966 A21</v>
      </c>
    </row>
    <row r="424" spans="1:9" s="49" customFormat="1" ht="15" x14ac:dyDescent="0.25">
      <c r="A424" s="3" t="s">
        <v>318</v>
      </c>
      <c r="B424" s="3"/>
      <c r="C424" s="3"/>
      <c r="D424" s="3"/>
      <c r="E424" s="3"/>
      <c r="F424" s="22" t="s">
        <v>688</v>
      </c>
      <c r="I424" s="8"/>
    </row>
    <row r="425" spans="1:9" s="49" customFormat="1" ht="25.5" x14ac:dyDescent="0.25">
      <c r="A425" s="3">
        <f>A423+E423</f>
        <v>3968</v>
      </c>
      <c r="B425" s="3">
        <f t="shared" ref="B425:B435" si="123">A425+E425-1</f>
        <v>3969</v>
      </c>
      <c r="C425" s="3">
        <f t="shared" si="112"/>
        <v>3967</v>
      </c>
      <c r="D425" s="3">
        <f t="shared" si="113"/>
        <v>3968</v>
      </c>
      <c r="E425" s="3">
        <v>2</v>
      </c>
      <c r="F425" s="21" t="s">
        <v>644</v>
      </c>
      <c r="I425" s="8" t="str">
        <f>CONCATENATE(F425,"_USH ",C425,"-",D425," A",E425)</f>
        <v>WesternExpansiontoProgressivismStandard2RawScore_USH 3967-3968 A2</v>
      </c>
    </row>
    <row r="426" spans="1:9" s="49" customFormat="1" ht="25.5" x14ac:dyDescent="0.25">
      <c r="A426" s="3">
        <f t="shared" ref="A426:A435" si="124">A425+E425</f>
        <v>3970</v>
      </c>
      <c r="B426" s="3">
        <f t="shared" si="123"/>
        <v>3972</v>
      </c>
      <c r="C426" s="3">
        <f t="shared" si="112"/>
        <v>3969</v>
      </c>
      <c r="D426" s="3">
        <f t="shared" si="113"/>
        <v>3971</v>
      </c>
      <c r="E426" s="3">
        <v>3</v>
      </c>
      <c r="F426" s="21" t="s">
        <v>645</v>
      </c>
      <c r="I426" s="8" t="str">
        <f t="shared" ref="I426:I434" si="125">CONCATENATE(F426,"_USH ",C426,"-",D426," A",E426)</f>
        <v>WesternExpansiontoProgressivismStandard2PercentCorrect_USH 3969-3971 A3</v>
      </c>
    </row>
    <row r="427" spans="1:9" s="49" customFormat="1" ht="25.5" x14ac:dyDescent="0.25">
      <c r="A427" s="3">
        <f t="shared" si="124"/>
        <v>3973</v>
      </c>
      <c r="B427" s="3">
        <f t="shared" si="123"/>
        <v>3974</v>
      </c>
      <c r="C427" s="3">
        <f t="shared" si="112"/>
        <v>3972</v>
      </c>
      <c r="D427" s="3">
        <f t="shared" si="113"/>
        <v>3973</v>
      </c>
      <c r="E427" s="3">
        <v>2</v>
      </c>
      <c r="F427" s="21" t="s">
        <v>646</v>
      </c>
      <c r="I427" s="8" t="str">
        <f t="shared" si="125"/>
        <v>IsolationismthroughtheGreatWarStandard3RawScore_USH 3972-3973 A2</v>
      </c>
    </row>
    <row r="428" spans="1:9" s="49" customFormat="1" ht="25.5" x14ac:dyDescent="0.25">
      <c r="A428" s="3">
        <f t="shared" si="124"/>
        <v>3975</v>
      </c>
      <c r="B428" s="3">
        <f t="shared" si="123"/>
        <v>3977</v>
      </c>
      <c r="C428" s="3">
        <f t="shared" si="112"/>
        <v>3974</v>
      </c>
      <c r="D428" s="3">
        <f t="shared" si="113"/>
        <v>3976</v>
      </c>
      <c r="E428" s="3">
        <v>3</v>
      </c>
      <c r="F428" s="21" t="s">
        <v>647</v>
      </c>
      <c r="I428" s="8" t="str">
        <f t="shared" si="125"/>
        <v>IsolationismthroughtheGreatWarStandard3PercentCorrect_USH 3974-3976 A3</v>
      </c>
    </row>
    <row r="429" spans="1:9" s="49" customFormat="1" ht="25.5" x14ac:dyDescent="0.25">
      <c r="A429" s="3">
        <f t="shared" si="124"/>
        <v>3978</v>
      </c>
      <c r="B429" s="3">
        <f t="shared" si="123"/>
        <v>3979</v>
      </c>
      <c r="C429" s="3">
        <f t="shared" si="112"/>
        <v>3977</v>
      </c>
      <c r="D429" s="3">
        <f t="shared" si="113"/>
        <v>3978</v>
      </c>
      <c r="E429" s="3">
        <v>2</v>
      </c>
      <c r="F429" s="21" t="s">
        <v>648</v>
      </c>
      <c r="I429" s="8" t="str">
        <f t="shared" si="125"/>
        <v>BecomingaWorldPowerthroughWorldWarIIStandard4RawScore_USH 3977-3978 A2</v>
      </c>
    </row>
    <row r="430" spans="1:9" s="49" customFormat="1" ht="25.5" x14ac:dyDescent="0.25">
      <c r="A430" s="3">
        <f t="shared" si="124"/>
        <v>3980</v>
      </c>
      <c r="B430" s="3">
        <f t="shared" si="123"/>
        <v>3982</v>
      </c>
      <c r="C430" s="3">
        <f t="shared" si="112"/>
        <v>3979</v>
      </c>
      <c r="D430" s="3">
        <f t="shared" si="113"/>
        <v>3981</v>
      </c>
      <c r="E430" s="3">
        <v>3</v>
      </c>
      <c r="F430" s="21" t="s">
        <v>649</v>
      </c>
      <c r="I430" s="8" t="str">
        <f t="shared" si="125"/>
        <v>BecomingaWorldPowerthroughWorldWarIIStandard4PercentCorrect_USH 3979-3981 A3</v>
      </c>
    </row>
    <row r="431" spans="1:9" s="49" customFormat="1" ht="15" x14ac:dyDescent="0.25">
      <c r="A431" s="3">
        <f t="shared" si="124"/>
        <v>3983</v>
      </c>
      <c r="B431" s="3">
        <f t="shared" si="123"/>
        <v>3984</v>
      </c>
      <c r="C431" s="3">
        <f t="shared" si="112"/>
        <v>3982</v>
      </c>
      <c r="D431" s="3">
        <f t="shared" si="113"/>
        <v>3983</v>
      </c>
      <c r="E431" s="3">
        <v>2</v>
      </c>
      <c r="F431" s="21" t="s">
        <v>650</v>
      </c>
      <c r="I431" s="8" t="str">
        <f t="shared" si="125"/>
        <v>ColdWarEraStandard5RawScore_USH 3982-3983 A2</v>
      </c>
    </row>
    <row r="432" spans="1:9" s="49" customFormat="1" ht="15" x14ac:dyDescent="0.25">
      <c r="A432" s="3">
        <f t="shared" si="124"/>
        <v>3985</v>
      </c>
      <c r="B432" s="3">
        <f t="shared" si="123"/>
        <v>3987</v>
      </c>
      <c r="C432" s="3">
        <f t="shared" si="112"/>
        <v>3984</v>
      </c>
      <c r="D432" s="3">
        <f t="shared" si="113"/>
        <v>3986</v>
      </c>
      <c r="E432" s="3">
        <v>3</v>
      </c>
      <c r="F432" s="21" t="s">
        <v>651</v>
      </c>
      <c r="I432" s="8" t="str">
        <f t="shared" si="125"/>
        <v>ColdWarEraStandard5PercentCorrect_USH 3984-3986 A3</v>
      </c>
    </row>
    <row r="433" spans="1:9" s="49" customFormat="1" ht="15" x14ac:dyDescent="0.25">
      <c r="A433" s="3">
        <f t="shared" si="124"/>
        <v>3988</v>
      </c>
      <c r="B433" s="3">
        <f t="shared" si="123"/>
        <v>3989</v>
      </c>
      <c r="C433" s="3">
        <f t="shared" si="112"/>
        <v>3987</v>
      </c>
      <c r="D433" s="3">
        <f t="shared" si="113"/>
        <v>3988</v>
      </c>
      <c r="E433" s="3">
        <v>2</v>
      </c>
      <c r="F433" s="21" t="s">
        <v>652</v>
      </c>
      <c r="I433" s="8" t="str">
        <f t="shared" si="125"/>
        <v>TheModernAgeStandard6RawScore_USH 3987-3988 A2</v>
      </c>
    </row>
    <row r="434" spans="1:9" s="49" customFormat="1" ht="15" x14ac:dyDescent="0.25">
      <c r="A434" s="3">
        <f t="shared" si="124"/>
        <v>3990</v>
      </c>
      <c r="B434" s="3">
        <f t="shared" si="123"/>
        <v>3992</v>
      </c>
      <c r="C434" s="3">
        <f t="shared" si="112"/>
        <v>3989</v>
      </c>
      <c r="D434" s="3">
        <f t="shared" si="113"/>
        <v>3991</v>
      </c>
      <c r="E434" s="3">
        <v>3</v>
      </c>
      <c r="F434" s="21" t="s">
        <v>653</v>
      </c>
      <c r="I434" s="8" t="str">
        <f t="shared" si="125"/>
        <v>TheModernAgeStandard6PercentCorrect_USH 3989-3991 A3</v>
      </c>
    </row>
    <row r="435" spans="1:9" s="49" customFormat="1" ht="15" x14ac:dyDescent="0.25">
      <c r="A435" s="3">
        <f t="shared" si="124"/>
        <v>3993</v>
      </c>
      <c r="B435" s="3">
        <f t="shared" si="123"/>
        <v>4002</v>
      </c>
      <c r="C435" s="3">
        <f t="shared" si="112"/>
        <v>3992</v>
      </c>
      <c r="D435" s="3">
        <f t="shared" si="113"/>
        <v>4001</v>
      </c>
      <c r="E435" s="5">
        <v>10</v>
      </c>
      <c r="F435" s="21" t="str">
        <f>CONCATENATE(H435,G435)</f>
        <v>FILLER58</v>
      </c>
      <c r="G435" s="70">
        <v>58</v>
      </c>
      <c r="H435" s="4" t="s">
        <v>39</v>
      </c>
      <c r="I435" s="8" t="str">
        <f t="shared" si="114"/>
        <v>FILLER58 3992-4001 A10</v>
      </c>
    </row>
    <row r="436" spans="1:9" s="49" customFormat="1" ht="15" x14ac:dyDescent="0.25">
      <c r="A436" s="3"/>
      <c r="B436" s="3"/>
      <c r="C436" s="3"/>
      <c r="D436" s="3"/>
      <c r="E436" s="3"/>
      <c r="F436" s="22" t="s">
        <v>697</v>
      </c>
      <c r="I436" s="8"/>
    </row>
    <row r="437" spans="1:9" s="49" customFormat="1" ht="15" x14ac:dyDescent="0.25">
      <c r="A437" s="3">
        <f>A435+E435</f>
        <v>4003</v>
      </c>
      <c r="B437" s="3">
        <f t="shared" ref="B437:B444" si="126">A437+E437-1</f>
        <v>4004</v>
      </c>
      <c r="C437" s="3">
        <f t="shared" si="112"/>
        <v>4002</v>
      </c>
      <c r="D437" s="3">
        <f t="shared" si="113"/>
        <v>4003</v>
      </c>
      <c r="E437" s="5">
        <v>2</v>
      </c>
      <c r="F437" s="13" t="s">
        <v>698</v>
      </c>
      <c r="I437" s="8" t="str">
        <f>CONCATENATE(F437,"_USH ",C437,"-",D437," A",E437)</f>
        <v>AccountabilityCodeUSHistory_USH 4002-4003 A2</v>
      </c>
    </row>
    <row r="438" spans="1:9" s="49" customFormat="1" ht="15" x14ac:dyDescent="0.25">
      <c r="A438" s="3">
        <f t="shared" ref="A438:A444" si="127">A437+E437</f>
        <v>4005</v>
      </c>
      <c r="B438" s="3">
        <f t="shared" si="126"/>
        <v>4005</v>
      </c>
      <c r="C438" s="3">
        <f t="shared" si="112"/>
        <v>4004</v>
      </c>
      <c r="D438" s="3">
        <f t="shared" si="113"/>
        <v>4004</v>
      </c>
      <c r="E438" s="3">
        <v>1</v>
      </c>
      <c r="F438" s="21" t="s">
        <v>600</v>
      </c>
      <c r="I438" s="8" t="str">
        <f t="shared" ref="I438:I443" si="128">CONCATENATE(F438,"_USH ",C438,"-",D438," A",E438)</f>
        <v>Reportablestatus_USH 4004-4004 A1</v>
      </c>
    </row>
    <row r="439" spans="1:9" s="49" customFormat="1" ht="15" x14ac:dyDescent="0.25">
      <c r="A439" s="3">
        <f t="shared" si="127"/>
        <v>4006</v>
      </c>
      <c r="B439" s="3">
        <f t="shared" si="126"/>
        <v>4006</v>
      </c>
      <c r="C439" s="3">
        <f t="shared" si="112"/>
        <v>4005</v>
      </c>
      <c r="D439" s="3">
        <f t="shared" si="113"/>
        <v>4005</v>
      </c>
      <c r="E439" s="3">
        <v>1</v>
      </c>
      <c r="F439" s="21" t="s">
        <v>601</v>
      </c>
      <c r="I439" s="8" t="str">
        <f t="shared" si="128"/>
        <v>TestValidAttempt_USH 4005-4005 A1</v>
      </c>
    </row>
    <row r="440" spans="1:9" s="49" customFormat="1" ht="15" x14ac:dyDescent="0.25">
      <c r="A440" s="3">
        <f t="shared" si="127"/>
        <v>4007</v>
      </c>
      <c r="B440" s="3">
        <f t="shared" si="126"/>
        <v>4007</v>
      </c>
      <c r="C440" s="3">
        <f t="shared" si="112"/>
        <v>4006</v>
      </c>
      <c r="D440" s="3">
        <f t="shared" si="113"/>
        <v>4006</v>
      </c>
      <c r="E440" s="3">
        <v>1</v>
      </c>
      <c r="F440" s="21" t="s">
        <v>602</v>
      </c>
      <c r="I440" s="8" t="str">
        <f t="shared" si="128"/>
        <v>TestLaunchFlag_USH 4006-4006 A1</v>
      </c>
    </row>
    <row r="441" spans="1:9" s="49" customFormat="1" ht="15" x14ac:dyDescent="0.25">
      <c r="A441" s="3">
        <f t="shared" si="127"/>
        <v>4008</v>
      </c>
      <c r="B441" s="3">
        <f t="shared" si="126"/>
        <v>4008</v>
      </c>
      <c r="C441" s="3">
        <f t="shared" si="112"/>
        <v>4007</v>
      </c>
      <c r="D441" s="3">
        <f t="shared" si="113"/>
        <v>4007</v>
      </c>
      <c r="E441" s="3">
        <v>1</v>
      </c>
      <c r="F441" s="21" t="s">
        <v>603</v>
      </c>
      <c r="I441" s="8" t="str">
        <f t="shared" si="128"/>
        <v>VoidFlag_USH 4007-4007 A1</v>
      </c>
    </row>
    <row r="442" spans="1:9" s="49" customFormat="1" ht="176.25" customHeight="1" x14ac:dyDescent="0.25">
      <c r="A442" s="3">
        <f t="shared" si="127"/>
        <v>4009</v>
      </c>
      <c r="B442" s="3">
        <f t="shared" si="126"/>
        <v>4009</v>
      </c>
      <c r="C442" s="3">
        <f t="shared" si="112"/>
        <v>4008</v>
      </c>
      <c r="D442" s="3">
        <f t="shared" si="113"/>
        <v>4008</v>
      </c>
      <c r="E442" s="3">
        <v>1</v>
      </c>
      <c r="F442" s="21" t="s">
        <v>604</v>
      </c>
      <c r="I442" s="8" t="str">
        <f t="shared" si="128"/>
        <v>RetestFlag_USH 4008-4008 A1</v>
      </c>
    </row>
    <row r="443" spans="1:9" s="49" customFormat="1" ht="15" x14ac:dyDescent="0.25">
      <c r="A443" s="3">
        <f t="shared" si="127"/>
        <v>4010</v>
      </c>
      <c r="B443" s="3">
        <f t="shared" si="126"/>
        <v>4010</v>
      </c>
      <c r="C443" s="3">
        <f t="shared" si="112"/>
        <v>4009</v>
      </c>
      <c r="D443" s="3">
        <f t="shared" si="113"/>
        <v>4009</v>
      </c>
      <c r="E443" s="3">
        <v>1</v>
      </c>
      <c r="F443" s="21" t="s">
        <v>605</v>
      </c>
      <c r="I443" s="8" t="str">
        <f t="shared" si="128"/>
        <v>EligibleFlag_USH 4009-4009 A1</v>
      </c>
    </row>
    <row r="444" spans="1:9" s="49" customFormat="1" ht="15" x14ac:dyDescent="0.25">
      <c r="A444" s="3">
        <f t="shared" si="127"/>
        <v>4011</v>
      </c>
      <c r="B444" s="3">
        <f t="shared" si="126"/>
        <v>4376</v>
      </c>
      <c r="C444" s="3">
        <f t="shared" si="112"/>
        <v>4010</v>
      </c>
      <c r="D444" s="3">
        <f t="shared" si="113"/>
        <v>4375</v>
      </c>
      <c r="E444" s="3">
        <v>366</v>
      </c>
      <c r="F444" s="21" t="str">
        <f>CONCATENATE(H444,G444)</f>
        <v>FILLER59</v>
      </c>
      <c r="G444" s="70">
        <v>59</v>
      </c>
      <c r="H444" s="4" t="s">
        <v>39</v>
      </c>
      <c r="I444" s="8" t="str">
        <f t="shared" si="114"/>
        <v>FILLER59 4010-4375 A366</v>
      </c>
    </row>
    <row r="445" spans="1:9" x14ac:dyDescent="0.2">
      <c r="A445" s="3" t="s">
        <v>318</v>
      </c>
      <c r="B445" s="3" t="s">
        <v>318</v>
      </c>
      <c r="C445" s="3"/>
      <c r="D445" s="3"/>
      <c r="E445" s="7"/>
      <c r="F445" s="22" t="s">
        <v>689</v>
      </c>
      <c r="G445" s="4"/>
      <c r="I445" s="8"/>
    </row>
    <row r="446" spans="1:9" x14ac:dyDescent="0.2">
      <c r="A446" s="3">
        <f>A444+E444</f>
        <v>4377</v>
      </c>
      <c r="B446" s="3">
        <f t="shared" ref="B446:B458" si="129">A446+E446-1</f>
        <v>4377</v>
      </c>
      <c r="C446" s="3">
        <f t="shared" si="112"/>
        <v>4376</v>
      </c>
      <c r="D446" s="3">
        <f t="shared" si="113"/>
        <v>4376</v>
      </c>
      <c r="E446" s="3">
        <v>1</v>
      </c>
      <c r="F446" s="21" t="s">
        <v>559</v>
      </c>
      <c r="G446" s="4"/>
      <c r="I446" s="8" t="str">
        <f>CONCATENATE(F446,"_USL ",C446,"-",D446," A",E446)</f>
        <v>AdminErrorAdministration_USL 4376-4376 A1</v>
      </c>
    </row>
    <row r="447" spans="1:9" x14ac:dyDescent="0.2">
      <c r="A447" s="3">
        <f t="shared" ref="A447:A458" si="130">A446+E446</f>
        <v>4378</v>
      </c>
      <c r="B447" s="3">
        <f t="shared" si="129"/>
        <v>4385</v>
      </c>
      <c r="C447" s="3">
        <f t="shared" si="112"/>
        <v>4377</v>
      </c>
      <c r="D447" s="3">
        <f t="shared" si="113"/>
        <v>4384</v>
      </c>
      <c r="E447" s="6">
        <v>8</v>
      </c>
      <c r="F447" s="21" t="s">
        <v>11</v>
      </c>
      <c r="G447" s="4"/>
      <c r="I447" s="8" t="str">
        <f>CONCATENATE(F447,"_USL ",C447,"-",D447," A",E447)</f>
        <v>Content_USL 4377-4384 A8</v>
      </c>
    </row>
    <row r="448" spans="1:9" x14ac:dyDescent="0.2">
      <c r="A448" s="3">
        <f t="shared" si="130"/>
        <v>4386</v>
      </c>
      <c r="B448" s="3">
        <f t="shared" si="129"/>
        <v>4393</v>
      </c>
      <c r="C448" s="3">
        <f t="shared" si="112"/>
        <v>4385</v>
      </c>
      <c r="D448" s="3">
        <f t="shared" si="113"/>
        <v>4392</v>
      </c>
      <c r="E448" s="6">
        <v>8</v>
      </c>
      <c r="F448" s="21" t="str">
        <f>CONCATENATE(H448,G448)</f>
        <v>FILLER60</v>
      </c>
      <c r="G448" s="6">
        <v>60</v>
      </c>
      <c r="H448" s="4" t="s">
        <v>39</v>
      </c>
      <c r="I448" s="8" t="str">
        <f t="shared" si="114"/>
        <v>FILLER60 4385-4392 A8</v>
      </c>
    </row>
    <row r="449" spans="1:9" ht="17.25" customHeight="1" x14ac:dyDescent="0.2">
      <c r="A449" s="3">
        <f t="shared" si="130"/>
        <v>4394</v>
      </c>
      <c r="B449" s="3">
        <f t="shared" si="129"/>
        <v>4413</v>
      </c>
      <c r="C449" s="3">
        <f t="shared" si="112"/>
        <v>4393</v>
      </c>
      <c r="D449" s="3">
        <f t="shared" si="113"/>
        <v>4412</v>
      </c>
      <c r="E449" s="3">
        <v>20</v>
      </c>
      <c r="F449" s="21" t="s">
        <v>560</v>
      </c>
      <c r="G449" s="4"/>
      <c r="I449" s="8" t="str">
        <f t="shared" ref="I449:I451" si="131">CONCATENATE(F449,"_USL ",C449,"-",D449," A",E449)</f>
        <v>TeacherLastName_USL 4393-4412 A20</v>
      </c>
    </row>
    <row r="450" spans="1:9" ht="18.75" customHeight="1" x14ac:dyDescent="0.2">
      <c r="A450" s="3">
        <f t="shared" si="130"/>
        <v>4414</v>
      </c>
      <c r="B450" s="3">
        <f t="shared" si="129"/>
        <v>4428</v>
      </c>
      <c r="C450" s="3">
        <f t="shared" si="112"/>
        <v>4413</v>
      </c>
      <c r="D450" s="3">
        <f t="shared" si="113"/>
        <v>4427</v>
      </c>
      <c r="E450" s="3">
        <v>15</v>
      </c>
      <c r="F450" s="21" t="s">
        <v>561</v>
      </c>
      <c r="G450" s="4"/>
      <c r="I450" s="8" t="str">
        <f t="shared" si="131"/>
        <v>TeacherFirstName_USL 4413-4427 A15</v>
      </c>
    </row>
    <row r="451" spans="1:9" ht="17.25" customHeight="1" x14ac:dyDescent="0.2">
      <c r="A451" s="3">
        <f t="shared" si="130"/>
        <v>4429</v>
      </c>
      <c r="B451" s="3">
        <f t="shared" si="129"/>
        <v>4429</v>
      </c>
      <c r="C451" s="3">
        <f t="shared" si="112"/>
        <v>4428</v>
      </c>
      <c r="D451" s="3">
        <f t="shared" si="113"/>
        <v>4428</v>
      </c>
      <c r="E451" s="3">
        <v>1</v>
      </c>
      <c r="F451" s="21" t="s">
        <v>562</v>
      </c>
      <c r="G451" s="4"/>
      <c r="I451" s="8" t="str">
        <f t="shared" si="131"/>
        <v>TeacherMiddleInitial_USL 4428-4428 A1</v>
      </c>
    </row>
    <row r="452" spans="1:9" x14ac:dyDescent="0.2">
      <c r="A452" s="3">
        <f t="shared" si="130"/>
        <v>4430</v>
      </c>
      <c r="B452" s="3">
        <f t="shared" si="129"/>
        <v>4473</v>
      </c>
      <c r="C452" s="3">
        <f t="shared" ref="C452:C515" si="132">A452-1</f>
        <v>4429</v>
      </c>
      <c r="D452" s="3">
        <f t="shared" ref="D452:D515" si="133">B452-1</f>
        <v>4472</v>
      </c>
      <c r="E452" s="3">
        <v>44</v>
      </c>
      <c r="F452" s="21" t="str">
        <f>CONCATENATE(H452,G452)</f>
        <v>FILLER61</v>
      </c>
      <c r="G452" s="6">
        <v>61</v>
      </c>
      <c r="H452" s="4" t="s">
        <v>39</v>
      </c>
      <c r="I452" s="8" t="str">
        <f t="shared" ref="I452:I513" si="134">CONCATENATE(F452," ",C452,"-",D452," A",E452)</f>
        <v>FILLER61 4429-4472 A44</v>
      </c>
    </row>
    <row r="453" spans="1:9" x14ac:dyDescent="0.2">
      <c r="A453" s="3">
        <f t="shared" si="130"/>
        <v>4474</v>
      </c>
      <c r="B453" s="3">
        <f t="shared" si="129"/>
        <v>4479</v>
      </c>
      <c r="C453" s="3">
        <f t="shared" si="132"/>
        <v>4473</v>
      </c>
      <c r="D453" s="3">
        <f t="shared" si="133"/>
        <v>4478</v>
      </c>
      <c r="E453" s="3">
        <v>6</v>
      </c>
      <c r="F453" s="21" t="s">
        <v>563</v>
      </c>
      <c r="G453" s="4"/>
      <c r="I453" s="8" t="str">
        <f t="shared" ref="I453:I457" si="135">CONCATENATE(F453,"_USL ",C453,"-",D453," A",E453)</f>
        <v>CourseCode_USL 4473-4478 A6</v>
      </c>
    </row>
    <row r="454" spans="1:9" x14ac:dyDescent="0.2">
      <c r="A454" s="3">
        <f t="shared" si="130"/>
        <v>4480</v>
      </c>
      <c r="B454" s="3">
        <f t="shared" si="129"/>
        <v>4509</v>
      </c>
      <c r="C454" s="3">
        <f t="shared" si="132"/>
        <v>4479</v>
      </c>
      <c r="D454" s="3">
        <f t="shared" si="133"/>
        <v>4508</v>
      </c>
      <c r="E454" s="3">
        <v>30</v>
      </c>
      <c r="F454" s="21" t="s">
        <v>564</v>
      </c>
      <c r="G454" s="4"/>
      <c r="I454" s="8" t="str">
        <f t="shared" si="135"/>
        <v>CourseName_USL 4479-4508 A30</v>
      </c>
    </row>
    <row r="455" spans="1:9" s="49" customFormat="1" ht="15" x14ac:dyDescent="0.25">
      <c r="A455" s="3">
        <f t="shared" si="130"/>
        <v>4510</v>
      </c>
      <c r="B455" s="3">
        <f t="shared" si="129"/>
        <v>4529</v>
      </c>
      <c r="C455" s="3">
        <f t="shared" si="132"/>
        <v>4509</v>
      </c>
      <c r="D455" s="3">
        <f t="shared" si="133"/>
        <v>4528</v>
      </c>
      <c r="E455" s="3">
        <v>20</v>
      </c>
      <c r="F455" s="21" t="s">
        <v>565</v>
      </c>
      <c r="I455" s="8" t="str">
        <f t="shared" si="135"/>
        <v>ClassSection_USL 4509-4528 A20</v>
      </c>
    </row>
    <row r="456" spans="1:9" s="49" customFormat="1" ht="15" x14ac:dyDescent="0.25">
      <c r="A456" s="3">
        <f t="shared" si="130"/>
        <v>4530</v>
      </c>
      <c r="B456" s="3">
        <f t="shared" si="129"/>
        <v>4535</v>
      </c>
      <c r="C456" s="3">
        <f t="shared" si="132"/>
        <v>4529</v>
      </c>
      <c r="D456" s="3">
        <f t="shared" si="133"/>
        <v>4534</v>
      </c>
      <c r="E456" s="3">
        <v>6</v>
      </c>
      <c r="F456" s="21" t="s">
        <v>566</v>
      </c>
      <c r="I456" s="8" t="str">
        <f t="shared" si="135"/>
        <v>TestingSiteCode_USL 4529-4534 A6</v>
      </c>
    </row>
    <row r="457" spans="1:9" s="49" customFormat="1" ht="15" x14ac:dyDescent="0.25">
      <c r="A457" s="3">
        <f t="shared" si="130"/>
        <v>4536</v>
      </c>
      <c r="B457" s="3">
        <f t="shared" si="129"/>
        <v>4536</v>
      </c>
      <c r="C457" s="3">
        <f t="shared" si="132"/>
        <v>4535</v>
      </c>
      <c r="D457" s="3">
        <f t="shared" si="133"/>
        <v>4535</v>
      </c>
      <c r="E457" s="3">
        <v>1</v>
      </c>
      <c r="F457" s="21" t="s">
        <v>695</v>
      </c>
      <c r="I457" s="8" t="str">
        <f t="shared" si="135"/>
        <v>USHistoryEnrollFlag_USL 4535-4535 A1</v>
      </c>
    </row>
    <row r="458" spans="1:9" s="49" customFormat="1" ht="15" x14ac:dyDescent="0.25">
      <c r="A458" s="3">
        <f t="shared" si="130"/>
        <v>4537</v>
      </c>
      <c r="B458" s="3">
        <f t="shared" si="129"/>
        <v>4573</v>
      </c>
      <c r="C458" s="3">
        <f t="shared" si="132"/>
        <v>4536</v>
      </c>
      <c r="D458" s="3">
        <f t="shared" si="133"/>
        <v>4572</v>
      </c>
      <c r="E458" s="3">
        <v>37</v>
      </c>
      <c r="F458" s="21" t="str">
        <f>CONCATENATE(H458,G458)</f>
        <v>FILLER62</v>
      </c>
      <c r="G458" s="70">
        <v>62</v>
      </c>
      <c r="H458" s="4" t="s">
        <v>39</v>
      </c>
      <c r="I458" s="8" t="str">
        <f t="shared" si="134"/>
        <v>FILLER62 4536-4572 A37</v>
      </c>
    </row>
    <row r="459" spans="1:9" s="49" customFormat="1" ht="15" x14ac:dyDescent="0.25">
      <c r="A459" s="3" t="s">
        <v>318</v>
      </c>
      <c r="B459" s="3" t="s">
        <v>318</v>
      </c>
      <c r="C459" s="3"/>
      <c r="D459" s="3"/>
      <c r="E459" s="3"/>
      <c r="F459" s="22" t="s">
        <v>668</v>
      </c>
      <c r="I459" s="8"/>
    </row>
    <row r="460" spans="1:9" s="49" customFormat="1" ht="15" customHeight="1" x14ac:dyDescent="0.25">
      <c r="A460" s="3">
        <f>A458+E458</f>
        <v>4574</v>
      </c>
      <c r="B460" s="3">
        <f t="shared" ref="B460:B474" si="136">A460+E460-1</f>
        <v>4574</v>
      </c>
      <c r="C460" s="3">
        <f t="shared" si="132"/>
        <v>4573</v>
      </c>
      <c r="D460" s="3">
        <f t="shared" si="133"/>
        <v>4573</v>
      </c>
      <c r="E460" s="3">
        <v>1</v>
      </c>
      <c r="F460" s="21" t="s">
        <v>525</v>
      </c>
      <c r="I460" s="8" t="str">
        <f>CONCATENATE(F460,"_USL ",C460,"-",D460," A",E460)</f>
        <v>TexttoSpeech_USL 4573-4573 A1</v>
      </c>
    </row>
    <row r="461" spans="1:9" s="49" customFormat="1" ht="15" x14ac:dyDescent="0.25">
      <c r="A461" s="3">
        <f t="shared" ref="A461:A474" si="137">A460+E460</f>
        <v>4575</v>
      </c>
      <c r="B461" s="3">
        <f t="shared" si="136"/>
        <v>4575</v>
      </c>
      <c r="C461" s="3">
        <f t="shared" si="132"/>
        <v>4574</v>
      </c>
      <c r="D461" s="3">
        <f t="shared" si="133"/>
        <v>4574</v>
      </c>
      <c r="E461" s="3">
        <v>1</v>
      </c>
      <c r="F461" s="21" t="s">
        <v>568</v>
      </c>
      <c r="I461" s="8" t="str">
        <f>CONCATENATE(F461,"_USL ",C461,"-",D461," A",E461)</f>
        <v>SpanishTest_USL 4574-4574 A1</v>
      </c>
    </row>
    <row r="462" spans="1:9" s="49" customFormat="1" ht="15" x14ac:dyDescent="0.25">
      <c r="A462" s="3">
        <f t="shared" si="137"/>
        <v>4576</v>
      </c>
      <c r="B462" s="3">
        <f t="shared" si="136"/>
        <v>4576</v>
      </c>
      <c r="C462" s="3">
        <f t="shared" si="132"/>
        <v>4575</v>
      </c>
      <c r="D462" s="3">
        <f t="shared" si="133"/>
        <v>4575</v>
      </c>
      <c r="E462" s="3">
        <v>1</v>
      </c>
      <c r="F462" s="21" t="str">
        <f>CONCATENATE(H462,G462)</f>
        <v>FILLER63</v>
      </c>
      <c r="G462" s="70">
        <v>63</v>
      </c>
      <c r="H462" s="4" t="s">
        <v>39</v>
      </c>
      <c r="I462" s="8" t="str">
        <f t="shared" si="134"/>
        <v>FILLER63 4575-4575 A1</v>
      </c>
    </row>
    <row r="463" spans="1:9" s="49" customFormat="1" ht="15" x14ac:dyDescent="0.25">
      <c r="A463" s="3">
        <f t="shared" si="137"/>
        <v>4577</v>
      </c>
      <c r="B463" s="3">
        <f t="shared" si="136"/>
        <v>4577</v>
      </c>
      <c r="C463" s="3">
        <f t="shared" si="132"/>
        <v>4576</v>
      </c>
      <c r="D463" s="3">
        <f t="shared" si="133"/>
        <v>4576</v>
      </c>
      <c r="E463" s="3">
        <v>1</v>
      </c>
      <c r="F463" s="21" t="s">
        <v>96</v>
      </c>
      <c r="I463" s="8" t="str">
        <f t="shared" ref="I463:I473" si="138">CONCATENATE(F463,"_USL ",C463,"-",D463," A",E463)</f>
        <v>Braille_USL 4576-4576 A1</v>
      </c>
    </row>
    <row r="464" spans="1:9" s="49" customFormat="1" ht="15" x14ac:dyDescent="0.25">
      <c r="A464" s="3">
        <f t="shared" si="137"/>
        <v>4578</v>
      </c>
      <c r="B464" s="3">
        <f t="shared" si="136"/>
        <v>4578</v>
      </c>
      <c r="C464" s="3">
        <f t="shared" si="132"/>
        <v>4577</v>
      </c>
      <c r="D464" s="3">
        <f t="shared" si="133"/>
        <v>4577</v>
      </c>
      <c r="E464" s="3">
        <v>1</v>
      </c>
      <c r="F464" s="21" t="s">
        <v>569</v>
      </c>
      <c r="I464" s="8" t="str">
        <f t="shared" si="138"/>
        <v>AccommodatedPaper_USL 4577-4577 A1</v>
      </c>
    </row>
    <row r="465" spans="1:9" s="49" customFormat="1" ht="15" x14ac:dyDescent="0.25">
      <c r="A465" s="3">
        <f t="shared" si="137"/>
        <v>4579</v>
      </c>
      <c r="B465" s="3">
        <f t="shared" si="136"/>
        <v>4579</v>
      </c>
      <c r="C465" s="3">
        <f t="shared" si="132"/>
        <v>4578</v>
      </c>
      <c r="D465" s="3">
        <f t="shared" si="133"/>
        <v>4578</v>
      </c>
      <c r="E465" s="3">
        <v>1</v>
      </c>
      <c r="F465" s="21" t="s">
        <v>570</v>
      </c>
      <c r="I465" s="8" t="str">
        <f t="shared" si="138"/>
        <v>HumanReadAloud_USL 4578-4578 A1</v>
      </c>
    </row>
    <row r="466" spans="1:9" s="49" customFormat="1" ht="15" x14ac:dyDescent="0.25">
      <c r="A466" s="3">
        <f t="shared" si="137"/>
        <v>4580</v>
      </c>
      <c r="B466" s="3">
        <f t="shared" si="136"/>
        <v>4580</v>
      </c>
      <c r="C466" s="3">
        <f t="shared" si="132"/>
        <v>4579</v>
      </c>
      <c r="D466" s="3">
        <f t="shared" si="133"/>
        <v>4579</v>
      </c>
      <c r="E466" s="3">
        <v>1</v>
      </c>
      <c r="F466" s="21" t="s">
        <v>571</v>
      </c>
      <c r="I466" s="8" t="str">
        <f t="shared" si="138"/>
        <v>NativeLanguageWordtoWordDictionary_USL 4579-4579 A1</v>
      </c>
    </row>
    <row r="467" spans="1:9" s="49" customFormat="1" ht="15" x14ac:dyDescent="0.25">
      <c r="A467" s="3">
        <f t="shared" si="137"/>
        <v>4581</v>
      </c>
      <c r="B467" s="3">
        <f t="shared" si="136"/>
        <v>4581</v>
      </c>
      <c r="C467" s="3">
        <f t="shared" si="132"/>
        <v>4580</v>
      </c>
      <c r="D467" s="3">
        <f t="shared" si="133"/>
        <v>4580</v>
      </c>
      <c r="E467" s="3">
        <v>1</v>
      </c>
      <c r="F467" s="21" t="s">
        <v>572</v>
      </c>
      <c r="I467" s="8" t="str">
        <f t="shared" si="138"/>
        <v>DirectionsinNativeLanguage_USL 4580-4580 A1</v>
      </c>
    </row>
    <row r="468" spans="1:9" s="49" customFormat="1" ht="15" x14ac:dyDescent="0.25">
      <c r="A468" s="3">
        <f t="shared" si="137"/>
        <v>4582</v>
      </c>
      <c r="B468" s="3">
        <f t="shared" si="136"/>
        <v>4582</v>
      </c>
      <c r="C468" s="3">
        <f t="shared" si="132"/>
        <v>4581</v>
      </c>
      <c r="D468" s="3">
        <f t="shared" si="133"/>
        <v>4581</v>
      </c>
      <c r="E468" s="3">
        <v>1</v>
      </c>
      <c r="F468" s="21" t="s">
        <v>573</v>
      </c>
      <c r="I468" s="8" t="str">
        <f t="shared" si="138"/>
        <v>CommunicationAssistance_USL 4581-4581 A1</v>
      </c>
    </row>
    <row r="469" spans="1:9" s="49" customFormat="1" ht="15" x14ac:dyDescent="0.25">
      <c r="A469" s="3">
        <f t="shared" si="137"/>
        <v>4583</v>
      </c>
      <c r="B469" s="3">
        <f t="shared" si="136"/>
        <v>4583</v>
      </c>
      <c r="C469" s="3">
        <f t="shared" si="132"/>
        <v>4582</v>
      </c>
      <c r="D469" s="3">
        <f t="shared" si="133"/>
        <v>4582</v>
      </c>
      <c r="E469" s="3">
        <v>1</v>
      </c>
      <c r="F469" s="21" t="s">
        <v>574</v>
      </c>
      <c r="I469" s="8" t="str">
        <f t="shared" si="138"/>
        <v>TransferredAnswers_USL 4582-4582 A1</v>
      </c>
    </row>
    <row r="470" spans="1:9" s="49" customFormat="1" ht="15" x14ac:dyDescent="0.25">
      <c r="A470" s="3">
        <f t="shared" si="137"/>
        <v>4584</v>
      </c>
      <c r="B470" s="3">
        <f t="shared" si="136"/>
        <v>4584</v>
      </c>
      <c r="C470" s="3">
        <f t="shared" si="132"/>
        <v>4583</v>
      </c>
      <c r="D470" s="3">
        <f t="shared" si="133"/>
        <v>4583</v>
      </c>
      <c r="E470" s="3">
        <v>1</v>
      </c>
      <c r="F470" s="21" t="s">
        <v>575</v>
      </c>
      <c r="I470" s="8" t="str">
        <f t="shared" si="138"/>
        <v>AnswersRecorded_USL 4583-4583 A1</v>
      </c>
    </row>
    <row r="471" spans="1:9" s="49" customFormat="1" ht="15" x14ac:dyDescent="0.25">
      <c r="A471" s="3">
        <f t="shared" si="137"/>
        <v>4585</v>
      </c>
      <c r="B471" s="3">
        <f t="shared" si="136"/>
        <v>4585</v>
      </c>
      <c r="C471" s="3">
        <f t="shared" si="132"/>
        <v>4584</v>
      </c>
      <c r="D471" s="3">
        <f t="shared" si="133"/>
        <v>4584</v>
      </c>
      <c r="E471" s="3">
        <v>1</v>
      </c>
      <c r="F471" s="21" t="s">
        <v>102</v>
      </c>
      <c r="I471" s="8" t="str">
        <f t="shared" si="138"/>
        <v>Calculator_USL 4584-4584 A1</v>
      </c>
    </row>
    <row r="472" spans="1:9" s="49" customFormat="1" ht="15" x14ac:dyDescent="0.25">
      <c r="A472" s="3">
        <f t="shared" si="137"/>
        <v>4586</v>
      </c>
      <c r="B472" s="3">
        <f t="shared" si="136"/>
        <v>4586</v>
      </c>
      <c r="C472" s="3">
        <f t="shared" si="132"/>
        <v>4585</v>
      </c>
      <c r="D472" s="3">
        <f t="shared" si="133"/>
        <v>4585</v>
      </c>
      <c r="E472" s="3">
        <v>1</v>
      </c>
      <c r="F472" s="21" t="s">
        <v>578</v>
      </c>
      <c r="I472" s="8" t="str">
        <f t="shared" si="138"/>
        <v>ExtendedTime_USL 4585-4585 A1</v>
      </c>
    </row>
    <row r="473" spans="1:9" s="49" customFormat="1" ht="15" x14ac:dyDescent="0.25">
      <c r="A473" s="3">
        <f t="shared" si="137"/>
        <v>4587</v>
      </c>
      <c r="B473" s="3">
        <f t="shared" si="136"/>
        <v>4587</v>
      </c>
      <c r="C473" s="3">
        <f t="shared" si="132"/>
        <v>4586</v>
      </c>
      <c r="D473" s="3">
        <f t="shared" si="133"/>
        <v>4586</v>
      </c>
      <c r="E473" s="3">
        <v>1</v>
      </c>
      <c r="F473" s="21" t="s">
        <v>579</v>
      </c>
      <c r="I473" s="8" t="str">
        <f t="shared" si="138"/>
        <v>IndividualorSmallGroupAdministration_USL 4586-4586 A1</v>
      </c>
    </row>
    <row r="474" spans="1:9" s="49" customFormat="1" ht="15" x14ac:dyDescent="0.25">
      <c r="A474" s="3">
        <f t="shared" si="137"/>
        <v>4588</v>
      </c>
      <c r="B474" s="3">
        <f t="shared" si="136"/>
        <v>4607</v>
      </c>
      <c r="C474" s="3">
        <f t="shared" si="132"/>
        <v>4587</v>
      </c>
      <c r="D474" s="3">
        <f t="shared" si="133"/>
        <v>4606</v>
      </c>
      <c r="E474" s="3">
        <v>20</v>
      </c>
      <c r="F474" s="21" t="str">
        <f>CONCATENATE(H474,G474)</f>
        <v>FILLER64</v>
      </c>
      <c r="G474" s="70">
        <v>64</v>
      </c>
      <c r="H474" s="4" t="s">
        <v>39</v>
      </c>
      <c r="I474" s="8" t="str">
        <f t="shared" si="134"/>
        <v>FILLER64 4587-4606 A20</v>
      </c>
    </row>
    <row r="475" spans="1:9" s="49" customFormat="1" ht="25.5" x14ac:dyDescent="0.25">
      <c r="A475" s="3"/>
      <c r="B475" s="3"/>
      <c r="C475" s="3"/>
      <c r="D475" s="3"/>
      <c r="E475" s="3"/>
      <c r="F475" s="22" t="s">
        <v>699</v>
      </c>
      <c r="I475" s="8"/>
    </row>
    <row r="476" spans="1:9" s="49" customFormat="1" ht="15" x14ac:dyDescent="0.25">
      <c r="A476" s="3">
        <f>A474+E474</f>
        <v>4608</v>
      </c>
      <c r="B476" s="3">
        <f t="shared" ref="B476:B483" si="139">A476+E476-1</f>
        <v>4610</v>
      </c>
      <c r="C476" s="3">
        <f t="shared" si="132"/>
        <v>4607</v>
      </c>
      <c r="D476" s="3">
        <f t="shared" si="133"/>
        <v>4609</v>
      </c>
      <c r="E476" s="3">
        <v>3</v>
      </c>
      <c r="F476" s="21" t="s">
        <v>580</v>
      </c>
      <c r="I476" s="8" t="str">
        <f>CONCATENATE(F476,"_USL ",C476,"-",D476," A",E476)</f>
        <v>TotalMCScore_USL 4607-4609 A3</v>
      </c>
    </row>
    <row r="477" spans="1:9" s="49" customFormat="1" ht="15" x14ac:dyDescent="0.25">
      <c r="A477" s="3">
        <f t="shared" ref="A477:A483" si="140">A476+E476</f>
        <v>4611</v>
      </c>
      <c r="B477" s="3">
        <f t="shared" si="139"/>
        <v>4613</v>
      </c>
      <c r="C477" s="3">
        <f t="shared" si="132"/>
        <v>4610</v>
      </c>
      <c r="D477" s="3">
        <f t="shared" si="133"/>
        <v>4612</v>
      </c>
      <c r="E477" s="3">
        <v>3</v>
      </c>
      <c r="F477" s="21" t="s">
        <v>581</v>
      </c>
      <c r="I477" s="8" t="str">
        <f t="shared" ref="I477:I482" si="141">CONCATENATE(F477,"_USL ",C477,"-",D477," A",E477)</f>
        <v>TotalCRScore_USL 4610-4612 A3</v>
      </c>
    </row>
    <row r="478" spans="1:9" s="49" customFormat="1" ht="15" x14ac:dyDescent="0.25">
      <c r="A478" s="3">
        <f t="shared" si="140"/>
        <v>4614</v>
      </c>
      <c r="B478" s="3">
        <f t="shared" si="139"/>
        <v>4616</v>
      </c>
      <c r="C478" s="3">
        <f t="shared" si="132"/>
        <v>4613</v>
      </c>
      <c r="D478" s="3">
        <f t="shared" si="133"/>
        <v>4615</v>
      </c>
      <c r="E478" s="3">
        <v>3</v>
      </c>
      <c r="F478" s="21" t="s">
        <v>582</v>
      </c>
      <c r="I478" s="8" t="str">
        <f t="shared" si="141"/>
        <v>TotalRawScore_USL 4613-4615 A3</v>
      </c>
    </row>
    <row r="479" spans="1:9" s="49" customFormat="1" ht="15" x14ac:dyDescent="0.25">
      <c r="A479" s="3">
        <f t="shared" si="140"/>
        <v>4617</v>
      </c>
      <c r="B479" s="3">
        <f t="shared" si="139"/>
        <v>4619</v>
      </c>
      <c r="C479" s="3">
        <f t="shared" si="132"/>
        <v>4616</v>
      </c>
      <c r="D479" s="3">
        <f t="shared" si="133"/>
        <v>4618</v>
      </c>
      <c r="E479" s="3">
        <v>3</v>
      </c>
      <c r="F479" s="21" t="s">
        <v>628</v>
      </c>
      <c r="I479" s="8" t="str">
        <f t="shared" si="141"/>
        <v>TotalPercentcorrect_USL 4616-4618 A3</v>
      </c>
    </row>
    <row r="480" spans="1:9" s="49" customFormat="1" ht="15" x14ac:dyDescent="0.25">
      <c r="A480" s="3">
        <f t="shared" si="140"/>
        <v>4620</v>
      </c>
      <c r="B480" s="3">
        <f t="shared" si="139"/>
        <v>4622</v>
      </c>
      <c r="C480" s="3">
        <f t="shared" si="132"/>
        <v>4619</v>
      </c>
      <c r="D480" s="3">
        <f t="shared" si="133"/>
        <v>4621</v>
      </c>
      <c r="E480" s="3">
        <v>3</v>
      </c>
      <c r="F480" s="21" t="s">
        <v>584</v>
      </c>
      <c r="I480" s="8" t="str">
        <f t="shared" si="141"/>
        <v>ScaleScore_USL 4619-4621 A3</v>
      </c>
    </row>
    <row r="481" spans="1:9" s="49" customFormat="1" ht="15" x14ac:dyDescent="0.25">
      <c r="A481" s="3">
        <f t="shared" si="140"/>
        <v>4623</v>
      </c>
      <c r="B481" s="3">
        <f t="shared" si="139"/>
        <v>4625</v>
      </c>
      <c r="C481" s="3">
        <f t="shared" si="132"/>
        <v>4622</v>
      </c>
      <c r="D481" s="3">
        <f t="shared" si="133"/>
        <v>4624</v>
      </c>
      <c r="E481" s="5">
        <v>3</v>
      </c>
      <c r="F481" s="21" t="s">
        <v>585</v>
      </c>
      <c r="I481" s="8" t="str">
        <f t="shared" si="141"/>
        <v>AssessmentAchievementLevel_USL 4622-4624 A3</v>
      </c>
    </row>
    <row r="482" spans="1:9" s="49" customFormat="1" ht="15" x14ac:dyDescent="0.25">
      <c r="A482" s="3">
        <f t="shared" si="140"/>
        <v>4626</v>
      </c>
      <c r="B482" s="3">
        <f t="shared" si="139"/>
        <v>4628</v>
      </c>
      <c r="C482" s="3">
        <f t="shared" si="132"/>
        <v>4625</v>
      </c>
      <c r="D482" s="3">
        <f t="shared" si="133"/>
        <v>4627</v>
      </c>
      <c r="E482" s="3">
        <v>3</v>
      </c>
      <c r="F482" s="21" t="s">
        <v>586</v>
      </c>
      <c r="I482" s="8" t="str">
        <f t="shared" si="141"/>
        <v>AccountabilityAchievementLevel_USL 4625-4627 A3</v>
      </c>
    </row>
    <row r="483" spans="1:9" s="49" customFormat="1" ht="15" x14ac:dyDescent="0.25">
      <c r="A483" s="3">
        <f t="shared" si="140"/>
        <v>4629</v>
      </c>
      <c r="B483" s="3">
        <f t="shared" si="139"/>
        <v>4648</v>
      </c>
      <c r="C483" s="3">
        <f t="shared" si="132"/>
        <v>4628</v>
      </c>
      <c r="D483" s="3">
        <f t="shared" si="133"/>
        <v>4647</v>
      </c>
      <c r="E483" s="6">
        <v>20</v>
      </c>
      <c r="F483" s="21" t="str">
        <f>CONCATENATE(H483,G483)</f>
        <v>FILLER65</v>
      </c>
      <c r="G483" s="70">
        <v>65</v>
      </c>
      <c r="H483" s="4" t="s">
        <v>39</v>
      </c>
      <c r="I483" s="8" t="str">
        <f t="shared" si="134"/>
        <v>FILLER65 4628-4647 A20</v>
      </c>
    </row>
    <row r="484" spans="1:9" s="49" customFormat="1" ht="15" x14ac:dyDescent="0.25">
      <c r="A484" s="3" t="s">
        <v>318</v>
      </c>
      <c r="B484" s="3"/>
      <c r="C484" s="3"/>
      <c r="D484" s="3"/>
      <c r="E484" s="3"/>
      <c r="F484" s="22" t="s">
        <v>690</v>
      </c>
      <c r="I484" s="8"/>
    </row>
    <row r="485" spans="1:9" s="49" customFormat="1" ht="25.5" x14ac:dyDescent="0.25">
      <c r="A485" s="3">
        <f>A483+E483</f>
        <v>4649</v>
      </c>
      <c r="B485" s="3">
        <f t="shared" ref="B485:B500" si="142">A485+E485-1</f>
        <v>4650</v>
      </c>
      <c r="C485" s="3">
        <f t="shared" si="132"/>
        <v>4648</v>
      </c>
      <c r="D485" s="3">
        <f t="shared" si="133"/>
        <v>4649</v>
      </c>
      <c r="E485" s="3">
        <v>2</v>
      </c>
      <c r="F485" s="21" t="s">
        <v>644</v>
      </c>
      <c r="I485" s="8" t="str">
        <f>CONCATENATE(F485,"_USL ",C485,"-",D485," A",E485)</f>
        <v>WesternExpansiontoProgressivismStandard2RawScore_USL 4648-4649 A2</v>
      </c>
    </row>
    <row r="486" spans="1:9" s="49" customFormat="1" ht="25.5" x14ac:dyDescent="0.25">
      <c r="A486" s="3">
        <f t="shared" ref="A486:A500" si="143">A485+E485</f>
        <v>4651</v>
      </c>
      <c r="B486" s="3">
        <f t="shared" si="142"/>
        <v>4653</v>
      </c>
      <c r="C486" s="3">
        <f t="shared" si="132"/>
        <v>4650</v>
      </c>
      <c r="D486" s="3">
        <f t="shared" si="133"/>
        <v>4652</v>
      </c>
      <c r="E486" s="3">
        <v>3</v>
      </c>
      <c r="F486" s="21" t="s">
        <v>645</v>
      </c>
      <c r="I486" s="8" t="str">
        <f t="shared" ref="I486:I499" si="144">CONCATENATE(F486,"_USL ",C486,"-",D486," A",E486)</f>
        <v>WesternExpansiontoProgressivismStandard2PercentCorrect_USL 4650-4652 A3</v>
      </c>
    </row>
    <row r="487" spans="1:9" s="49" customFormat="1" ht="25.5" x14ac:dyDescent="0.25">
      <c r="A487" s="3">
        <f t="shared" si="143"/>
        <v>4654</v>
      </c>
      <c r="B487" s="3">
        <f t="shared" si="142"/>
        <v>4654</v>
      </c>
      <c r="C487" s="3">
        <f t="shared" si="132"/>
        <v>4653</v>
      </c>
      <c r="D487" s="3">
        <f t="shared" si="133"/>
        <v>4653</v>
      </c>
      <c r="E487" s="3">
        <v>1</v>
      </c>
      <c r="F487" s="21" t="s">
        <v>654</v>
      </c>
      <c r="I487" s="8" t="str">
        <f t="shared" si="144"/>
        <v>WesternExpansiontoProgressivismStandard2Rating_USL 4653-4653 A1</v>
      </c>
    </row>
    <row r="488" spans="1:9" s="49" customFormat="1" ht="25.5" x14ac:dyDescent="0.25">
      <c r="A488" s="3">
        <f t="shared" si="143"/>
        <v>4655</v>
      </c>
      <c r="B488" s="3">
        <f t="shared" si="142"/>
        <v>4656</v>
      </c>
      <c r="C488" s="3">
        <f t="shared" si="132"/>
        <v>4654</v>
      </c>
      <c r="D488" s="3">
        <f t="shared" si="133"/>
        <v>4655</v>
      </c>
      <c r="E488" s="3">
        <v>2</v>
      </c>
      <c r="F488" s="21" t="s">
        <v>646</v>
      </c>
      <c r="I488" s="8" t="str">
        <f t="shared" si="144"/>
        <v>IsolationismthroughtheGreatWarStandard3RawScore_USL 4654-4655 A2</v>
      </c>
    </row>
    <row r="489" spans="1:9" s="49" customFormat="1" ht="25.5" x14ac:dyDescent="0.25">
      <c r="A489" s="3">
        <f t="shared" si="143"/>
        <v>4657</v>
      </c>
      <c r="B489" s="3">
        <f t="shared" si="142"/>
        <v>4659</v>
      </c>
      <c r="C489" s="3">
        <f t="shared" si="132"/>
        <v>4656</v>
      </c>
      <c r="D489" s="3">
        <f t="shared" si="133"/>
        <v>4658</v>
      </c>
      <c r="E489" s="3">
        <v>3</v>
      </c>
      <c r="F489" s="21" t="s">
        <v>647</v>
      </c>
      <c r="I489" s="8" t="str">
        <f t="shared" si="144"/>
        <v>IsolationismthroughtheGreatWarStandard3PercentCorrect_USL 4656-4658 A3</v>
      </c>
    </row>
    <row r="490" spans="1:9" s="49" customFormat="1" ht="25.5" x14ac:dyDescent="0.25">
      <c r="A490" s="3">
        <f t="shared" si="143"/>
        <v>4660</v>
      </c>
      <c r="B490" s="3">
        <f t="shared" si="142"/>
        <v>4660</v>
      </c>
      <c r="C490" s="3">
        <f t="shared" si="132"/>
        <v>4659</v>
      </c>
      <c r="D490" s="3">
        <f t="shared" si="133"/>
        <v>4659</v>
      </c>
      <c r="E490" s="3">
        <v>1</v>
      </c>
      <c r="F490" s="21" t="s">
        <v>655</v>
      </c>
      <c r="I490" s="8" t="str">
        <f t="shared" si="144"/>
        <v>IsolationismthroughtheGreatWarStandard3Rating_USL 4659-4659 A1</v>
      </c>
    </row>
    <row r="491" spans="1:9" s="49" customFormat="1" ht="25.5" x14ac:dyDescent="0.25">
      <c r="A491" s="3">
        <f t="shared" si="143"/>
        <v>4661</v>
      </c>
      <c r="B491" s="3">
        <f t="shared" si="142"/>
        <v>4662</v>
      </c>
      <c r="C491" s="3">
        <f t="shared" si="132"/>
        <v>4660</v>
      </c>
      <c r="D491" s="3">
        <f t="shared" si="133"/>
        <v>4661</v>
      </c>
      <c r="E491" s="3">
        <v>2</v>
      </c>
      <c r="F491" s="21" t="s">
        <v>648</v>
      </c>
      <c r="I491" s="8" t="str">
        <f t="shared" si="144"/>
        <v>BecomingaWorldPowerthroughWorldWarIIStandard4RawScore_USL 4660-4661 A2</v>
      </c>
    </row>
    <row r="492" spans="1:9" s="49" customFormat="1" ht="25.5" x14ac:dyDescent="0.25">
      <c r="A492" s="3">
        <f t="shared" si="143"/>
        <v>4663</v>
      </c>
      <c r="B492" s="3">
        <f t="shared" si="142"/>
        <v>4665</v>
      </c>
      <c r="C492" s="3">
        <f t="shared" si="132"/>
        <v>4662</v>
      </c>
      <c r="D492" s="3">
        <f t="shared" si="133"/>
        <v>4664</v>
      </c>
      <c r="E492" s="3">
        <v>3</v>
      </c>
      <c r="F492" s="21" t="s">
        <v>649</v>
      </c>
      <c r="I492" s="8" t="str">
        <f t="shared" si="144"/>
        <v>BecomingaWorldPowerthroughWorldWarIIStandard4PercentCorrect_USL 4662-4664 A3</v>
      </c>
    </row>
    <row r="493" spans="1:9" s="49" customFormat="1" ht="25.5" x14ac:dyDescent="0.25">
      <c r="A493" s="3">
        <f t="shared" si="143"/>
        <v>4666</v>
      </c>
      <c r="B493" s="3">
        <f t="shared" si="142"/>
        <v>4666</v>
      </c>
      <c r="C493" s="3">
        <f t="shared" si="132"/>
        <v>4665</v>
      </c>
      <c r="D493" s="3">
        <f t="shared" si="133"/>
        <v>4665</v>
      </c>
      <c r="E493" s="3">
        <v>1</v>
      </c>
      <c r="F493" s="21" t="s">
        <v>656</v>
      </c>
      <c r="I493" s="8" t="str">
        <f t="shared" si="144"/>
        <v>BecomingaWorldPowerthroughWorldWarIIStandard4Rating_USL 4665-4665 A1</v>
      </c>
    </row>
    <row r="494" spans="1:9" s="49" customFormat="1" ht="15" x14ac:dyDescent="0.25">
      <c r="A494" s="3">
        <f t="shared" si="143"/>
        <v>4667</v>
      </c>
      <c r="B494" s="3">
        <f t="shared" si="142"/>
        <v>4668</v>
      </c>
      <c r="C494" s="3">
        <f t="shared" si="132"/>
        <v>4666</v>
      </c>
      <c r="D494" s="3">
        <f t="shared" si="133"/>
        <v>4667</v>
      </c>
      <c r="E494" s="3">
        <v>2</v>
      </c>
      <c r="F494" s="21" t="s">
        <v>650</v>
      </c>
      <c r="I494" s="8" t="str">
        <f t="shared" si="144"/>
        <v>ColdWarEraStandard5RawScore_USL 4666-4667 A2</v>
      </c>
    </row>
    <row r="495" spans="1:9" s="49" customFormat="1" ht="15" x14ac:dyDescent="0.25">
      <c r="A495" s="3">
        <f t="shared" si="143"/>
        <v>4669</v>
      </c>
      <c r="B495" s="3">
        <f t="shared" si="142"/>
        <v>4671</v>
      </c>
      <c r="C495" s="3">
        <f t="shared" si="132"/>
        <v>4668</v>
      </c>
      <c r="D495" s="3">
        <f t="shared" si="133"/>
        <v>4670</v>
      </c>
      <c r="E495" s="3">
        <v>3</v>
      </c>
      <c r="F495" s="21" t="s">
        <v>651</v>
      </c>
      <c r="I495" s="8" t="str">
        <f t="shared" si="144"/>
        <v>ColdWarEraStandard5PercentCorrect_USL 4668-4670 A3</v>
      </c>
    </row>
    <row r="496" spans="1:9" s="49" customFormat="1" ht="15" x14ac:dyDescent="0.25">
      <c r="A496" s="3">
        <f t="shared" si="143"/>
        <v>4672</v>
      </c>
      <c r="B496" s="3">
        <f t="shared" si="142"/>
        <v>4672</v>
      </c>
      <c r="C496" s="3">
        <f t="shared" si="132"/>
        <v>4671</v>
      </c>
      <c r="D496" s="3">
        <f t="shared" si="133"/>
        <v>4671</v>
      </c>
      <c r="E496" s="3">
        <v>1</v>
      </c>
      <c r="F496" s="21" t="s">
        <v>657</v>
      </c>
      <c r="I496" s="8" t="str">
        <f t="shared" si="144"/>
        <v>ColdWarEraStandard5Rating_USL 4671-4671 A1</v>
      </c>
    </row>
    <row r="497" spans="1:9" s="49" customFormat="1" ht="15" x14ac:dyDescent="0.25">
      <c r="A497" s="3">
        <f t="shared" si="143"/>
        <v>4673</v>
      </c>
      <c r="B497" s="3">
        <f t="shared" si="142"/>
        <v>4674</v>
      </c>
      <c r="C497" s="3">
        <f t="shared" si="132"/>
        <v>4672</v>
      </c>
      <c r="D497" s="3">
        <f t="shared" si="133"/>
        <v>4673</v>
      </c>
      <c r="E497" s="3">
        <v>2</v>
      </c>
      <c r="F497" s="21" t="s">
        <v>652</v>
      </c>
      <c r="I497" s="8" t="str">
        <f t="shared" si="144"/>
        <v>TheModernAgeStandard6RawScore_USL 4672-4673 A2</v>
      </c>
    </row>
    <row r="498" spans="1:9" s="49" customFormat="1" ht="15" x14ac:dyDescent="0.25">
      <c r="A498" s="3">
        <f t="shared" si="143"/>
        <v>4675</v>
      </c>
      <c r="B498" s="3">
        <f t="shared" si="142"/>
        <v>4677</v>
      </c>
      <c r="C498" s="3">
        <f t="shared" si="132"/>
        <v>4674</v>
      </c>
      <c r="D498" s="3">
        <f t="shared" si="133"/>
        <v>4676</v>
      </c>
      <c r="E498" s="3">
        <v>3</v>
      </c>
      <c r="F498" s="21" t="s">
        <v>653</v>
      </c>
      <c r="I498" s="8" t="str">
        <f t="shared" si="144"/>
        <v>TheModernAgeStandard6PercentCorrect_USL 4674-4676 A3</v>
      </c>
    </row>
    <row r="499" spans="1:9" s="49" customFormat="1" ht="15" x14ac:dyDescent="0.25">
      <c r="A499" s="3">
        <f t="shared" si="143"/>
        <v>4678</v>
      </c>
      <c r="B499" s="3">
        <f t="shared" si="142"/>
        <v>4678</v>
      </c>
      <c r="C499" s="3">
        <f t="shared" si="132"/>
        <v>4677</v>
      </c>
      <c r="D499" s="3">
        <f t="shared" si="133"/>
        <v>4677</v>
      </c>
      <c r="E499" s="3">
        <v>1</v>
      </c>
      <c r="F499" s="21" t="s">
        <v>658</v>
      </c>
      <c r="I499" s="8" t="str">
        <f t="shared" si="144"/>
        <v>TheModernAgeStandard6Rating_USL 4677-4677 A1</v>
      </c>
    </row>
    <row r="500" spans="1:9" s="49" customFormat="1" ht="15" x14ac:dyDescent="0.25">
      <c r="A500" s="3">
        <f t="shared" si="143"/>
        <v>4679</v>
      </c>
      <c r="B500" s="3">
        <f t="shared" si="142"/>
        <v>4683</v>
      </c>
      <c r="C500" s="3">
        <f t="shared" si="132"/>
        <v>4678</v>
      </c>
      <c r="D500" s="3">
        <f t="shared" si="133"/>
        <v>4682</v>
      </c>
      <c r="E500" s="5">
        <v>5</v>
      </c>
      <c r="F500" s="21" t="str">
        <f>CONCATENATE(H500,G500)</f>
        <v>FILLER66</v>
      </c>
      <c r="G500" s="70">
        <v>66</v>
      </c>
      <c r="H500" s="4" t="s">
        <v>39</v>
      </c>
      <c r="I500" s="8" t="str">
        <f t="shared" si="134"/>
        <v>FILLER66 4678-4682 A5</v>
      </c>
    </row>
    <row r="501" spans="1:9" s="49" customFormat="1" ht="15" x14ac:dyDescent="0.25">
      <c r="A501" s="3"/>
      <c r="B501" s="3"/>
      <c r="C501" s="3"/>
      <c r="D501" s="3"/>
      <c r="E501" s="3"/>
      <c r="F501" s="22" t="s">
        <v>700</v>
      </c>
      <c r="I501" s="8"/>
    </row>
    <row r="502" spans="1:9" s="49" customFormat="1" ht="15" x14ac:dyDescent="0.25">
      <c r="A502" s="3">
        <f>A500+E500</f>
        <v>4684</v>
      </c>
      <c r="B502" s="3">
        <f t="shared" ref="B502:B509" si="145">A502+E502-1</f>
        <v>4685</v>
      </c>
      <c r="C502" s="3">
        <f t="shared" si="132"/>
        <v>4683</v>
      </c>
      <c r="D502" s="3">
        <f t="shared" si="133"/>
        <v>4684</v>
      </c>
      <c r="E502" s="5">
        <v>2</v>
      </c>
      <c r="F502" s="13" t="s">
        <v>698</v>
      </c>
      <c r="I502" s="8" t="str">
        <f>CONCATENATE(F502,"_USL ",C502,"-",D502," A",E502)</f>
        <v>AccountabilityCodeUSHistory_USL 4683-4684 A2</v>
      </c>
    </row>
    <row r="503" spans="1:9" s="49" customFormat="1" ht="15" x14ac:dyDescent="0.25">
      <c r="A503" s="3">
        <f t="shared" ref="A503:A509" si="146">A502+E502</f>
        <v>4686</v>
      </c>
      <c r="B503" s="3">
        <f t="shared" si="145"/>
        <v>4686</v>
      </c>
      <c r="C503" s="3">
        <f t="shared" si="132"/>
        <v>4685</v>
      </c>
      <c r="D503" s="3">
        <f t="shared" si="133"/>
        <v>4685</v>
      </c>
      <c r="E503" s="3">
        <v>1</v>
      </c>
      <c r="F503" s="21" t="s">
        <v>600</v>
      </c>
      <c r="I503" s="8" t="str">
        <f t="shared" ref="I503:I508" si="147">CONCATENATE(F503,"_USL ",C503,"-",D503," A",E503)</f>
        <v>Reportablestatus_USL 4685-4685 A1</v>
      </c>
    </row>
    <row r="504" spans="1:9" s="49" customFormat="1" ht="15" x14ac:dyDescent="0.25">
      <c r="A504" s="3">
        <f t="shared" si="146"/>
        <v>4687</v>
      </c>
      <c r="B504" s="3">
        <f t="shared" si="145"/>
        <v>4687</v>
      </c>
      <c r="C504" s="3">
        <f t="shared" si="132"/>
        <v>4686</v>
      </c>
      <c r="D504" s="3">
        <f t="shared" si="133"/>
        <v>4686</v>
      </c>
      <c r="E504" s="3">
        <v>1</v>
      </c>
      <c r="F504" s="21" t="s">
        <v>601</v>
      </c>
      <c r="I504" s="8" t="str">
        <f t="shared" si="147"/>
        <v>TestValidAttempt_USL 4686-4686 A1</v>
      </c>
    </row>
    <row r="505" spans="1:9" s="49" customFormat="1" ht="15" x14ac:dyDescent="0.25">
      <c r="A505" s="3">
        <f t="shared" si="146"/>
        <v>4688</v>
      </c>
      <c r="B505" s="3">
        <f t="shared" si="145"/>
        <v>4688</v>
      </c>
      <c r="C505" s="3">
        <f t="shared" si="132"/>
        <v>4687</v>
      </c>
      <c r="D505" s="3">
        <f t="shared" si="133"/>
        <v>4687</v>
      </c>
      <c r="E505" s="3">
        <v>1</v>
      </c>
      <c r="F505" s="21" t="s">
        <v>602</v>
      </c>
      <c r="I505" s="8" t="str">
        <f t="shared" si="147"/>
        <v>TestLaunchFlag_USL 4687-4687 A1</v>
      </c>
    </row>
    <row r="506" spans="1:9" s="49" customFormat="1" ht="15" x14ac:dyDescent="0.25">
      <c r="A506" s="3">
        <f t="shared" si="146"/>
        <v>4689</v>
      </c>
      <c r="B506" s="3">
        <f t="shared" si="145"/>
        <v>4689</v>
      </c>
      <c r="C506" s="3">
        <f t="shared" si="132"/>
        <v>4688</v>
      </c>
      <c r="D506" s="3">
        <f t="shared" si="133"/>
        <v>4688</v>
      </c>
      <c r="E506" s="3">
        <v>1</v>
      </c>
      <c r="F506" s="21" t="s">
        <v>603</v>
      </c>
      <c r="I506" s="8" t="str">
        <f t="shared" si="147"/>
        <v>VoidFlag_USL 4688-4688 A1</v>
      </c>
    </row>
    <row r="507" spans="1:9" s="49" customFormat="1" ht="176.25" customHeight="1" x14ac:dyDescent="0.25">
      <c r="A507" s="3">
        <f t="shared" si="146"/>
        <v>4690</v>
      </c>
      <c r="B507" s="3">
        <f t="shared" si="145"/>
        <v>4690</v>
      </c>
      <c r="C507" s="3">
        <f t="shared" si="132"/>
        <v>4689</v>
      </c>
      <c r="D507" s="3">
        <f t="shared" si="133"/>
        <v>4689</v>
      </c>
      <c r="E507" s="3">
        <v>1</v>
      </c>
      <c r="F507" s="21" t="s">
        <v>604</v>
      </c>
      <c r="I507" s="8" t="str">
        <f t="shared" si="147"/>
        <v>RetestFlag_USL 4689-4689 A1</v>
      </c>
    </row>
    <row r="508" spans="1:9" s="49" customFormat="1" ht="15" x14ac:dyDescent="0.25">
      <c r="A508" s="3">
        <f t="shared" si="146"/>
        <v>4691</v>
      </c>
      <c r="B508" s="3">
        <f t="shared" si="145"/>
        <v>4691</v>
      </c>
      <c r="C508" s="3">
        <f t="shared" si="132"/>
        <v>4690</v>
      </c>
      <c r="D508" s="3">
        <f t="shared" si="133"/>
        <v>4690</v>
      </c>
      <c r="E508" s="3">
        <v>1</v>
      </c>
      <c r="F508" s="21" t="s">
        <v>605</v>
      </c>
      <c r="I508" s="8" t="str">
        <f t="shared" si="147"/>
        <v>EligibleFlag_USL 4690-4690 A1</v>
      </c>
    </row>
    <row r="509" spans="1:9" s="49" customFormat="1" ht="15" x14ac:dyDescent="0.25">
      <c r="A509" s="3">
        <f t="shared" si="146"/>
        <v>4692</v>
      </c>
      <c r="B509" s="3">
        <f t="shared" si="145"/>
        <v>5047</v>
      </c>
      <c r="C509" s="3">
        <f t="shared" si="132"/>
        <v>4691</v>
      </c>
      <c r="D509" s="3">
        <f t="shared" si="133"/>
        <v>5046</v>
      </c>
      <c r="E509" s="3">
        <v>356</v>
      </c>
      <c r="F509" s="21" t="str">
        <f>CONCATENATE(H509,G509)</f>
        <v>FILLER67</v>
      </c>
      <c r="G509" s="70">
        <v>67</v>
      </c>
      <c r="H509" s="4" t="s">
        <v>39</v>
      </c>
      <c r="I509" s="8" t="str">
        <f t="shared" si="134"/>
        <v>FILLER67 4691-5046 A356</v>
      </c>
    </row>
    <row r="510" spans="1:9" x14ac:dyDescent="0.2">
      <c r="A510" s="3" t="s">
        <v>318</v>
      </c>
      <c r="B510" s="3" t="s">
        <v>318</v>
      </c>
      <c r="C510" s="3"/>
      <c r="D510" s="3"/>
      <c r="E510" s="3"/>
      <c r="F510" s="22" t="s">
        <v>691</v>
      </c>
      <c r="G510" s="4"/>
      <c r="I510" s="8"/>
    </row>
    <row r="511" spans="1:9" x14ac:dyDescent="0.2">
      <c r="A511" s="3">
        <f>A509+E509</f>
        <v>5048</v>
      </c>
      <c r="B511" s="3">
        <f t="shared" ref="B511:B523" si="148">A511+E511-1</f>
        <v>5048</v>
      </c>
      <c r="C511" s="3">
        <f t="shared" si="132"/>
        <v>5047</v>
      </c>
      <c r="D511" s="3">
        <f t="shared" si="133"/>
        <v>5047</v>
      </c>
      <c r="E511" s="3">
        <v>1</v>
      </c>
      <c r="F511" s="21" t="s">
        <v>559</v>
      </c>
      <c r="G511" s="4"/>
      <c r="I511" s="8" t="str">
        <f>CONCATENATE(F511,"_EN1 ",C511,"-",D511," A",E511)</f>
        <v>AdminErrorAdministration_EN1 5047-5047 A1</v>
      </c>
    </row>
    <row r="512" spans="1:9" x14ac:dyDescent="0.2">
      <c r="A512" s="3">
        <f t="shared" ref="A512:A523" si="149">A511+E511</f>
        <v>5049</v>
      </c>
      <c r="B512" s="3">
        <f t="shared" si="148"/>
        <v>5056</v>
      </c>
      <c r="C512" s="3">
        <f t="shared" si="132"/>
        <v>5048</v>
      </c>
      <c r="D512" s="3">
        <f t="shared" si="133"/>
        <v>5055</v>
      </c>
      <c r="E512" s="6">
        <v>8</v>
      </c>
      <c r="F512" s="9" t="s">
        <v>11</v>
      </c>
      <c r="G512" s="4"/>
      <c r="I512" s="8" t="str">
        <f>CONCATENATE(F512,"_EN1 ",C512,"-",D512," A",E512)</f>
        <v>Content_EN1 5048-5055 A8</v>
      </c>
    </row>
    <row r="513" spans="1:9" x14ac:dyDescent="0.2">
      <c r="A513" s="3">
        <f t="shared" si="149"/>
        <v>5057</v>
      </c>
      <c r="B513" s="3">
        <f t="shared" si="148"/>
        <v>5064</v>
      </c>
      <c r="C513" s="3">
        <f t="shared" si="132"/>
        <v>5056</v>
      </c>
      <c r="D513" s="3">
        <f t="shared" si="133"/>
        <v>5063</v>
      </c>
      <c r="E513" s="6">
        <v>8</v>
      </c>
      <c r="F513" s="21" t="str">
        <f>CONCATENATE(H513,G513)</f>
        <v>FILLER68</v>
      </c>
      <c r="G513" s="6">
        <v>68</v>
      </c>
      <c r="H513" s="4" t="s">
        <v>39</v>
      </c>
      <c r="I513" s="8" t="str">
        <f t="shared" si="134"/>
        <v>FILLER68 5056-5063 A8</v>
      </c>
    </row>
    <row r="514" spans="1:9" ht="12.75" customHeight="1" x14ac:dyDescent="0.2">
      <c r="A514" s="3">
        <f t="shared" si="149"/>
        <v>5065</v>
      </c>
      <c r="B514" s="3">
        <f t="shared" si="148"/>
        <v>5084</v>
      </c>
      <c r="C514" s="3">
        <f t="shared" si="132"/>
        <v>5064</v>
      </c>
      <c r="D514" s="3">
        <f t="shared" si="133"/>
        <v>5083</v>
      </c>
      <c r="E514" s="6">
        <v>20</v>
      </c>
      <c r="F514" s="9" t="s">
        <v>560</v>
      </c>
      <c r="G514" s="4"/>
      <c r="I514" s="8" t="str">
        <f t="shared" ref="I514:I516" si="150">CONCATENATE(F514,"_EN1 ",C514,"-",D514," A",E514)</f>
        <v>TeacherLastName_EN1 5064-5083 A20</v>
      </c>
    </row>
    <row r="515" spans="1:9" x14ac:dyDescent="0.2">
      <c r="A515" s="3">
        <f t="shared" si="149"/>
        <v>5085</v>
      </c>
      <c r="B515" s="3">
        <f t="shared" si="148"/>
        <v>5099</v>
      </c>
      <c r="C515" s="3">
        <f t="shared" si="132"/>
        <v>5084</v>
      </c>
      <c r="D515" s="3">
        <f t="shared" si="133"/>
        <v>5098</v>
      </c>
      <c r="E515" s="6">
        <v>15</v>
      </c>
      <c r="F515" s="9" t="s">
        <v>561</v>
      </c>
      <c r="G515" s="4"/>
      <c r="I515" s="8" t="str">
        <f t="shared" si="150"/>
        <v>TeacherFirstName_EN1 5084-5098 A15</v>
      </c>
    </row>
    <row r="516" spans="1:9" x14ac:dyDescent="0.2">
      <c r="A516" s="3">
        <f t="shared" si="149"/>
        <v>5100</v>
      </c>
      <c r="B516" s="3">
        <f t="shared" si="148"/>
        <v>5100</v>
      </c>
      <c r="C516" s="3">
        <f t="shared" ref="C516:C579" si="151">A516-1</f>
        <v>5099</v>
      </c>
      <c r="D516" s="3">
        <f t="shared" ref="D516:D579" si="152">B516-1</f>
        <v>5099</v>
      </c>
      <c r="E516" s="6">
        <v>1</v>
      </c>
      <c r="F516" s="9" t="s">
        <v>562</v>
      </c>
      <c r="G516" s="4"/>
      <c r="I516" s="8" t="str">
        <f t="shared" si="150"/>
        <v>TeacherMiddleInitial_EN1 5099-5099 A1</v>
      </c>
    </row>
    <row r="517" spans="1:9" ht="13.15" customHeight="1" x14ac:dyDescent="0.2">
      <c r="A517" s="3">
        <f t="shared" si="149"/>
        <v>5101</v>
      </c>
      <c r="B517" s="3">
        <f t="shared" si="148"/>
        <v>5144</v>
      </c>
      <c r="C517" s="3">
        <f t="shared" si="151"/>
        <v>5100</v>
      </c>
      <c r="D517" s="3">
        <f t="shared" si="152"/>
        <v>5143</v>
      </c>
      <c r="E517" s="6">
        <v>44</v>
      </c>
      <c r="F517" s="21" t="str">
        <f>CONCATENATE(H517,G517)</f>
        <v>FILLER69</v>
      </c>
      <c r="G517" s="6">
        <v>69</v>
      </c>
      <c r="H517" s="4" t="s">
        <v>39</v>
      </c>
      <c r="I517" s="8" t="str">
        <f t="shared" ref="I517:I573" si="153">CONCATENATE(F517," ",C517,"-",D517," A",E517)</f>
        <v>FILLER69 5100-5143 A44</v>
      </c>
    </row>
    <row r="518" spans="1:9" x14ac:dyDescent="0.2">
      <c r="A518" s="3">
        <f t="shared" si="149"/>
        <v>5145</v>
      </c>
      <c r="B518" s="3">
        <f t="shared" si="148"/>
        <v>5150</v>
      </c>
      <c r="C518" s="3">
        <f t="shared" si="151"/>
        <v>5144</v>
      </c>
      <c r="D518" s="3">
        <f t="shared" si="152"/>
        <v>5149</v>
      </c>
      <c r="E518" s="6">
        <v>6</v>
      </c>
      <c r="F518" s="9" t="s">
        <v>563</v>
      </c>
      <c r="G518" s="4"/>
      <c r="I518" s="8" t="str">
        <f t="shared" ref="I518:I522" si="154">CONCATENATE(F518,"_EN1 ",C518,"-",D518," A",E518)</f>
        <v>CourseCode_EN1 5144-5149 A6</v>
      </c>
    </row>
    <row r="519" spans="1:9" x14ac:dyDescent="0.2">
      <c r="A519" s="3">
        <f t="shared" si="149"/>
        <v>5151</v>
      </c>
      <c r="B519" s="3">
        <f t="shared" si="148"/>
        <v>5180</v>
      </c>
      <c r="C519" s="3">
        <f t="shared" si="151"/>
        <v>5150</v>
      </c>
      <c r="D519" s="3">
        <f t="shared" si="152"/>
        <v>5179</v>
      </c>
      <c r="E519" s="6">
        <v>30</v>
      </c>
      <c r="F519" s="9" t="s">
        <v>564</v>
      </c>
      <c r="G519" s="4"/>
      <c r="I519" s="8" t="str">
        <f t="shared" si="154"/>
        <v>CourseName_EN1 5150-5179 A30</v>
      </c>
    </row>
    <row r="520" spans="1:9" x14ac:dyDescent="0.2">
      <c r="A520" s="3">
        <f t="shared" si="149"/>
        <v>5181</v>
      </c>
      <c r="B520" s="3">
        <f t="shared" si="148"/>
        <v>5200</v>
      </c>
      <c r="C520" s="3">
        <f t="shared" si="151"/>
        <v>5180</v>
      </c>
      <c r="D520" s="3">
        <f t="shared" si="152"/>
        <v>5199</v>
      </c>
      <c r="E520" s="3">
        <v>20</v>
      </c>
      <c r="F520" s="21" t="s">
        <v>565</v>
      </c>
      <c r="G520" s="4"/>
      <c r="I520" s="8" t="str">
        <f t="shared" si="154"/>
        <v>ClassSection_EN1 5180-5199 A20</v>
      </c>
    </row>
    <row r="521" spans="1:9" x14ac:dyDescent="0.2">
      <c r="A521" s="3">
        <f t="shared" si="149"/>
        <v>5201</v>
      </c>
      <c r="B521" s="3">
        <f t="shared" si="148"/>
        <v>5206</v>
      </c>
      <c r="C521" s="3">
        <f t="shared" si="151"/>
        <v>5200</v>
      </c>
      <c r="D521" s="3">
        <f t="shared" si="152"/>
        <v>5205</v>
      </c>
      <c r="E521" s="3">
        <v>6</v>
      </c>
      <c r="F521" s="21" t="s">
        <v>566</v>
      </c>
      <c r="G521" s="4"/>
      <c r="I521" s="8" t="str">
        <f t="shared" si="154"/>
        <v>TestingSiteCode_EN1 5200-5205 A6</v>
      </c>
    </row>
    <row r="522" spans="1:9" x14ac:dyDescent="0.2">
      <c r="A522" s="3">
        <f t="shared" si="149"/>
        <v>5207</v>
      </c>
      <c r="B522" s="3">
        <f t="shared" si="148"/>
        <v>5207</v>
      </c>
      <c r="C522" s="3">
        <f t="shared" si="151"/>
        <v>5206</v>
      </c>
      <c r="D522" s="3">
        <f t="shared" si="152"/>
        <v>5206</v>
      </c>
      <c r="E522" s="3">
        <v>1</v>
      </c>
      <c r="F522" s="21" t="s">
        <v>659</v>
      </c>
      <c r="G522" s="4"/>
      <c r="I522" s="8" t="str">
        <f t="shared" si="154"/>
        <v>EnglishIEnrollFlag_EN1 5206-5206 A1</v>
      </c>
    </row>
    <row r="523" spans="1:9" x14ac:dyDescent="0.2">
      <c r="A523" s="3">
        <f t="shared" si="149"/>
        <v>5208</v>
      </c>
      <c r="B523" s="3">
        <f t="shared" si="148"/>
        <v>5244</v>
      </c>
      <c r="C523" s="3">
        <f t="shared" si="151"/>
        <v>5207</v>
      </c>
      <c r="D523" s="3">
        <f t="shared" si="152"/>
        <v>5243</v>
      </c>
      <c r="E523" s="5">
        <v>37</v>
      </c>
      <c r="F523" s="21" t="str">
        <f>CONCATENATE(H523,G523)</f>
        <v>FILLER70</v>
      </c>
      <c r="G523" s="6">
        <v>70</v>
      </c>
      <c r="H523" s="4" t="s">
        <v>39</v>
      </c>
      <c r="I523" s="8" t="str">
        <f t="shared" si="153"/>
        <v>FILLER70 5207-5243 A37</v>
      </c>
    </row>
    <row r="524" spans="1:9" x14ac:dyDescent="0.2">
      <c r="A524" s="3" t="s">
        <v>318</v>
      </c>
      <c r="B524" s="3"/>
      <c r="C524" s="3"/>
      <c r="D524" s="3"/>
      <c r="E524" s="3"/>
      <c r="F524" s="22" t="s">
        <v>668</v>
      </c>
      <c r="G524" s="4"/>
      <c r="I524" s="8"/>
    </row>
    <row r="525" spans="1:9" ht="12.75" customHeight="1" x14ac:dyDescent="0.2">
      <c r="A525" s="3">
        <f>A523+E523</f>
        <v>5245</v>
      </c>
      <c r="B525" s="3">
        <f t="shared" ref="B525:B539" si="155">A525+E525-1</f>
        <v>5245</v>
      </c>
      <c r="C525" s="3">
        <f t="shared" si="151"/>
        <v>5244</v>
      </c>
      <c r="D525" s="3">
        <f t="shared" si="152"/>
        <v>5244</v>
      </c>
      <c r="E525" s="3">
        <v>1</v>
      </c>
      <c r="F525" s="21" t="s">
        <v>525</v>
      </c>
      <c r="G525" s="4"/>
      <c r="I525" s="8" t="str">
        <f>CONCATENATE(F525,"_EN1 ",C525,"-",D525," A",E525)</f>
        <v>TexttoSpeech_EN1 5244-5244 A1</v>
      </c>
    </row>
    <row r="526" spans="1:9" x14ac:dyDescent="0.2">
      <c r="A526" s="3">
        <f t="shared" ref="A526:A539" si="156">A525+E525</f>
        <v>5246</v>
      </c>
      <c r="B526" s="3">
        <f t="shared" si="155"/>
        <v>5246</v>
      </c>
      <c r="C526" s="3">
        <f t="shared" si="151"/>
        <v>5245</v>
      </c>
      <c r="D526" s="3">
        <f t="shared" si="152"/>
        <v>5245</v>
      </c>
      <c r="E526" s="3">
        <v>1</v>
      </c>
      <c r="F526" s="21" t="s">
        <v>568</v>
      </c>
      <c r="G526" s="4"/>
      <c r="I526" s="8" t="str">
        <f>CONCATENATE(F526,"_EN1 ",C526,"-",D526," A",E526)</f>
        <v>SpanishTest_EN1 5245-5245 A1</v>
      </c>
    </row>
    <row r="527" spans="1:9" x14ac:dyDescent="0.2">
      <c r="A527" s="3">
        <f t="shared" si="156"/>
        <v>5247</v>
      </c>
      <c r="B527" s="3">
        <f t="shared" si="155"/>
        <v>5247</v>
      </c>
      <c r="C527" s="3">
        <f t="shared" si="151"/>
        <v>5246</v>
      </c>
      <c r="D527" s="3">
        <f t="shared" si="152"/>
        <v>5246</v>
      </c>
      <c r="E527" s="3">
        <v>1</v>
      </c>
      <c r="F527" s="21" t="str">
        <f>CONCATENATE(H527,G527)</f>
        <v>FILLER71</v>
      </c>
      <c r="G527" s="6">
        <v>71</v>
      </c>
      <c r="H527" s="4" t="s">
        <v>39</v>
      </c>
      <c r="I527" s="8" t="str">
        <f t="shared" si="153"/>
        <v>FILLER71 5246-5246 A1</v>
      </c>
    </row>
    <row r="528" spans="1:9" x14ac:dyDescent="0.2">
      <c r="A528" s="3">
        <f t="shared" si="156"/>
        <v>5248</v>
      </c>
      <c r="B528" s="3">
        <f t="shared" si="155"/>
        <v>5248</v>
      </c>
      <c r="C528" s="3">
        <f t="shared" si="151"/>
        <v>5247</v>
      </c>
      <c r="D528" s="3">
        <f t="shared" si="152"/>
        <v>5247</v>
      </c>
      <c r="E528" s="3">
        <v>1</v>
      </c>
      <c r="F528" s="21" t="s">
        <v>96</v>
      </c>
      <c r="G528" s="4"/>
      <c r="I528" s="8" t="str">
        <f t="shared" ref="I528:I538" si="157">CONCATENATE(F528,"_EN1 ",C528,"-",D528," A",E528)</f>
        <v>Braille_EN1 5247-5247 A1</v>
      </c>
    </row>
    <row r="529" spans="1:9" x14ac:dyDescent="0.2">
      <c r="A529" s="3">
        <f t="shared" si="156"/>
        <v>5249</v>
      </c>
      <c r="B529" s="3">
        <f t="shared" si="155"/>
        <v>5249</v>
      </c>
      <c r="C529" s="3">
        <f t="shared" si="151"/>
        <v>5248</v>
      </c>
      <c r="D529" s="3">
        <f t="shared" si="152"/>
        <v>5248</v>
      </c>
      <c r="E529" s="3">
        <v>1</v>
      </c>
      <c r="F529" s="21" t="s">
        <v>569</v>
      </c>
      <c r="G529" s="4"/>
      <c r="I529" s="8" t="str">
        <f t="shared" si="157"/>
        <v>AccommodatedPaper_EN1 5248-5248 A1</v>
      </c>
    </row>
    <row r="530" spans="1:9" x14ac:dyDescent="0.2">
      <c r="A530" s="3">
        <f t="shared" si="156"/>
        <v>5250</v>
      </c>
      <c r="B530" s="3">
        <f t="shared" si="155"/>
        <v>5250</v>
      </c>
      <c r="C530" s="3">
        <f t="shared" si="151"/>
        <v>5249</v>
      </c>
      <c r="D530" s="3">
        <f t="shared" si="152"/>
        <v>5249</v>
      </c>
      <c r="E530" s="3">
        <v>1</v>
      </c>
      <c r="F530" s="21" t="s">
        <v>570</v>
      </c>
      <c r="G530" s="4"/>
      <c r="I530" s="8" t="str">
        <f t="shared" si="157"/>
        <v>HumanReadAloud_EN1 5249-5249 A1</v>
      </c>
    </row>
    <row r="531" spans="1:9" x14ac:dyDescent="0.2">
      <c r="A531" s="3">
        <f t="shared" si="156"/>
        <v>5251</v>
      </c>
      <c r="B531" s="3">
        <f t="shared" si="155"/>
        <v>5251</v>
      </c>
      <c r="C531" s="3">
        <f t="shared" si="151"/>
        <v>5250</v>
      </c>
      <c r="D531" s="3">
        <f t="shared" si="152"/>
        <v>5250</v>
      </c>
      <c r="E531" s="3">
        <v>1</v>
      </c>
      <c r="F531" s="21" t="s">
        <v>571</v>
      </c>
      <c r="G531" s="4"/>
      <c r="I531" s="8" t="str">
        <f t="shared" si="157"/>
        <v>NativeLanguageWordtoWordDictionary_EN1 5250-5250 A1</v>
      </c>
    </row>
    <row r="532" spans="1:9" x14ac:dyDescent="0.2">
      <c r="A532" s="3">
        <f t="shared" si="156"/>
        <v>5252</v>
      </c>
      <c r="B532" s="3">
        <f t="shared" si="155"/>
        <v>5252</v>
      </c>
      <c r="C532" s="3">
        <f t="shared" si="151"/>
        <v>5251</v>
      </c>
      <c r="D532" s="3">
        <f t="shared" si="152"/>
        <v>5251</v>
      </c>
      <c r="E532" s="3">
        <v>1</v>
      </c>
      <c r="F532" s="21" t="s">
        <v>572</v>
      </c>
      <c r="G532" s="4"/>
      <c r="I532" s="8" t="str">
        <f t="shared" si="157"/>
        <v>DirectionsinNativeLanguage_EN1 5251-5251 A1</v>
      </c>
    </row>
    <row r="533" spans="1:9" x14ac:dyDescent="0.2">
      <c r="A533" s="3">
        <f t="shared" si="156"/>
        <v>5253</v>
      </c>
      <c r="B533" s="3">
        <f t="shared" si="155"/>
        <v>5253</v>
      </c>
      <c r="C533" s="3">
        <f t="shared" si="151"/>
        <v>5252</v>
      </c>
      <c r="D533" s="3">
        <f t="shared" si="152"/>
        <v>5252</v>
      </c>
      <c r="E533" s="3">
        <v>1</v>
      </c>
      <c r="F533" s="21" t="s">
        <v>573</v>
      </c>
      <c r="G533" s="4"/>
      <c r="I533" s="8" t="str">
        <f t="shared" si="157"/>
        <v>CommunicationAssistance_EN1 5252-5252 A1</v>
      </c>
    </row>
    <row r="534" spans="1:9" x14ac:dyDescent="0.2">
      <c r="A534" s="3">
        <f t="shared" si="156"/>
        <v>5254</v>
      </c>
      <c r="B534" s="3">
        <f t="shared" si="155"/>
        <v>5254</v>
      </c>
      <c r="C534" s="3">
        <f t="shared" si="151"/>
        <v>5253</v>
      </c>
      <c r="D534" s="3">
        <f t="shared" si="152"/>
        <v>5253</v>
      </c>
      <c r="E534" s="3">
        <v>1</v>
      </c>
      <c r="F534" s="21" t="s">
        <v>574</v>
      </c>
      <c r="G534" s="4"/>
      <c r="I534" s="8" t="str">
        <f t="shared" si="157"/>
        <v>TransferredAnswers_EN1 5253-5253 A1</v>
      </c>
    </row>
    <row r="535" spans="1:9" x14ac:dyDescent="0.2">
      <c r="A535" s="3">
        <f t="shared" si="156"/>
        <v>5255</v>
      </c>
      <c r="B535" s="3">
        <f t="shared" si="155"/>
        <v>5255</v>
      </c>
      <c r="C535" s="3">
        <f t="shared" si="151"/>
        <v>5254</v>
      </c>
      <c r="D535" s="3">
        <f t="shared" si="152"/>
        <v>5254</v>
      </c>
      <c r="E535" s="3">
        <v>1</v>
      </c>
      <c r="F535" s="21" t="s">
        <v>575</v>
      </c>
      <c r="G535" s="4"/>
      <c r="I535" s="8" t="str">
        <f t="shared" si="157"/>
        <v>AnswersRecorded_EN1 5254-5254 A1</v>
      </c>
    </row>
    <row r="536" spans="1:9" x14ac:dyDescent="0.2">
      <c r="A536" s="3">
        <f t="shared" si="156"/>
        <v>5256</v>
      </c>
      <c r="B536" s="3">
        <f t="shared" si="155"/>
        <v>5256</v>
      </c>
      <c r="C536" s="3">
        <f t="shared" si="151"/>
        <v>5255</v>
      </c>
      <c r="D536" s="3">
        <f t="shared" si="152"/>
        <v>5255</v>
      </c>
      <c r="E536" s="3">
        <v>1</v>
      </c>
      <c r="F536" s="21" t="s">
        <v>102</v>
      </c>
      <c r="G536" s="4"/>
      <c r="I536" s="8" t="str">
        <f t="shared" si="157"/>
        <v>Calculator_EN1 5255-5255 A1</v>
      </c>
    </row>
    <row r="537" spans="1:9" x14ac:dyDescent="0.2">
      <c r="A537" s="3">
        <f t="shared" si="156"/>
        <v>5257</v>
      </c>
      <c r="B537" s="3">
        <f t="shared" si="155"/>
        <v>5257</v>
      </c>
      <c r="C537" s="3">
        <f t="shared" si="151"/>
        <v>5256</v>
      </c>
      <c r="D537" s="3">
        <f t="shared" si="152"/>
        <v>5256</v>
      </c>
      <c r="E537" s="3">
        <v>1</v>
      </c>
      <c r="F537" s="21" t="s">
        <v>578</v>
      </c>
      <c r="G537" s="4"/>
      <c r="I537" s="8" t="str">
        <f t="shared" si="157"/>
        <v>ExtendedTime_EN1 5256-5256 A1</v>
      </c>
    </row>
    <row r="538" spans="1:9" x14ac:dyDescent="0.2">
      <c r="A538" s="3">
        <f t="shared" si="156"/>
        <v>5258</v>
      </c>
      <c r="B538" s="3">
        <f t="shared" si="155"/>
        <v>5258</v>
      </c>
      <c r="C538" s="3">
        <f t="shared" si="151"/>
        <v>5257</v>
      </c>
      <c r="D538" s="3">
        <f t="shared" si="152"/>
        <v>5257</v>
      </c>
      <c r="E538" s="3">
        <v>1</v>
      </c>
      <c r="F538" s="21" t="s">
        <v>579</v>
      </c>
      <c r="G538" s="4"/>
      <c r="I538" s="8" t="str">
        <f t="shared" si="157"/>
        <v>IndividualorSmallGroupAdministration_EN1 5257-5257 A1</v>
      </c>
    </row>
    <row r="539" spans="1:9" x14ac:dyDescent="0.2">
      <c r="A539" s="3">
        <f t="shared" si="156"/>
        <v>5259</v>
      </c>
      <c r="B539" s="3">
        <f t="shared" si="155"/>
        <v>5278</v>
      </c>
      <c r="C539" s="3">
        <f t="shared" si="151"/>
        <v>5258</v>
      </c>
      <c r="D539" s="3">
        <f t="shared" si="152"/>
        <v>5277</v>
      </c>
      <c r="E539" s="3">
        <v>20</v>
      </c>
      <c r="F539" s="21" t="str">
        <f>CONCATENATE(H539,G539)</f>
        <v>FILLER72</v>
      </c>
      <c r="G539" s="6">
        <v>72</v>
      </c>
      <c r="H539" s="4" t="s">
        <v>39</v>
      </c>
      <c r="I539" s="8" t="str">
        <f t="shared" si="153"/>
        <v>FILLER72 5258-5277 A20</v>
      </c>
    </row>
    <row r="540" spans="1:9" x14ac:dyDescent="0.2">
      <c r="A540" s="3"/>
      <c r="B540" s="3"/>
      <c r="C540" s="3"/>
      <c r="D540" s="3"/>
      <c r="E540" s="3"/>
      <c r="F540" s="22" t="s">
        <v>692</v>
      </c>
      <c r="G540" s="4"/>
      <c r="I540" s="8"/>
    </row>
    <row r="541" spans="1:9" x14ac:dyDescent="0.2">
      <c r="A541" s="3">
        <f>A539+E539</f>
        <v>5279</v>
      </c>
      <c r="B541" s="3">
        <f t="shared" ref="B541:B548" si="158">A541+E541-1</f>
        <v>5281</v>
      </c>
      <c r="C541" s="3">
        <f t="shared" si="151"/>
        <v>5278</v>
      </c>
      <c r="D541" s="3">
        <f t="shared" si="152"/>
        <v>5280</v>
      </c>
      <c r="E541" s="3">
        <v>3</v>
      </c>
      <c r="F541" s="21" t="s">
        <v>580</v>
      </c>
      <c r="G541" s="4"/>
      <c r="I541" s="8" t="str">
        <f>CONCATENATE(F541,"_EN1 ",C541,"-",D541," A",E541)</f>
        <v>TotalMCScore_EN1 5278-5280 A3</v>
      </c>
    </row>
    <row r="542" spans="1:9" x14ac:dyDescent="0.2">
      <c r="A542" s="3">
        <f t="shared" ref="A542:A548" si="159">A541+E541</f>
        <v>5282</v>
      </c>
      <c r="B542" s="3">
        <f t="shared" si="158"/>
        <v>5284</v>
      </c>
      <c r="C542" s="3">
        <f t="shared" si="151"/>
        <v>5281</v>
      </c>
      <c r="D542" s="3">
        <f t="shared" si="152"/>
        <v>5283</v>
      </c>
      <c r="E542" s="3">
        <v>3</v>
      </c>
      <c r="F542" s="21" t="s">
        <v>581</v>
      </c>
      <c r="G542" s="4"/>
      <c r="I542" s="8" t="str">
        <f t="shared" ref="I542:I547" si="160">CONCATENATE(F542,"_EN1 ",C542,"-",D542," A",E542)</f>
        <v>TotalCRScore_EN1 5281-5283 A3</v>
      </c>
    </row>
    <row r="543" spans="1:9" x14ac:dyDescent="0.2">
      <c r="A543" s="3">
        <f t="shared" si="159"/>
        <v>5285</v>
      </c>
      <c r="B543" s="3">
        <f t="shared" si="158"/>
        <v>5287</v>
      </c>
      <c r="C543" s="3">
        <f t="shared" si="151"/>
        <v>5284</v>
      </c>
      <c r="D543" s="3">
        <f t="shared" si="152"/>
        <v>5286</v>
      </c>
      <c r="E543" s="3">
        <v>3</v>
      </c>
      <c r="F543" s="21" t="s">
        <v>582</v>
      </c>
      <c r="G543" s="4"/>
      <c r="I543" s="8" t="str">
        <f t="shared" si="160"/>
        <v>TotalRawScore_EN1 5284-5286 A3</v>
      </c>
    </row>
    <row r="544" spans="1:9" x14ac:dyDescent="0.2">
      <c r="A544" s="3">
        <f t="shared" si="159"/>
        <v>5288</v>
      </c>
      <c r="B544" s="3">
        <f t="shared" si="158"/>
        <v>5290</v>
      </c>
      <c r="C544" s="3">
        <f t="shared" si="151"/>
        <v>5287</v>
      </c>
      <c r="D544" s="3">
        <f t="shared" si="152"/>
        <v>5289</v>
      </c>
      <c r="E544" s="3">
        <v>3</v>
      </c>
      <c r="F544" s="21" t="s">
        <v>628</v>
      </c>
      <c r="G544" s="4"/>
      <c r="I544" s="8" t="str">
        <f t="shared" si="160"/>
        <v>TotalPercentcorrect_EN1 5287-5289 A3</v>
      </c>
    </row>
    <row r="545" spans="1:9" x14ac:dyDescent="0.2">
      <c r="A545" s="3">
        <f t="shared" si="159"/>
        <v>5291</v>
      </c>
      <c r="B545" s="3">
        <f t="shared" si="158"/>
        <v>5293</v>
      </c>
      <c r="C545" s="3">
        <f t="shared" si="151"/>
        <v>5290</v>
      </c>
      <c r="D545" s="3">
        <f t="shared" si="152"/>
        <v>5292</v>
      </c>
      <c r="E545" s="3">
        <v>3</v>
      </c>
      <c r="F545" s="21" t="s">
        <v>584</v>
      </c>
      <c r="G545" s="4"/>
      <c r="I545" s="8" t="str">
        <f t="shared" si="160"/>
        <v>ScaleScore_EN1 5290-5292 A3</v>
      </c>
    </row>
    <row r="546" spans="1:9" x14ac:dyDescent="0.2">
      <c r="A546" s="3">
        <f t="shared" si="159"/>
        <v>5294</v>
      </c>
      <c r="B546" s="3">
        <f t="shared" si="158"/>
        <v>5296</v>
      </c>
      <c r="C546" s="3">
        <f t="shared" si="151"/>
        <v>5293</v>
      </c>
      <c r="D546" s="3">
        <f t="shared" si="152"/>
        <v>5295</v>
      </c>
      <c r="E546" s="3">
        <v>3</v>
      </c>
      <c r="F546" s="21" t="s">
        <v>585</v>
      </c>
      <c r="G546" s="4"/>
      <c r="I546" s="8" t="str">
        <f t="shared" si="160"/>
        <v>AssessmentAchievementLevel_EN1 5293-5295 A3</v>
      </c>
    </row>
    <row r="547" spans="1:9" x14ac:dyDescent="0.2">
      <c r="A547" s="3">
        <f t="shared" si="159"/>
        <v>5297</v>
      </c>
      <c r="B547" s="3">
        <f t="shared" si="158"/>
        <v>5299</v>
      </c>
      <c r="C547" s="3">
        <f t="shared" si="151"/>
        <v>5296</v>
      </c>
      <c r="D547" s="3">
        <f t="shared" si="152"/>
        <v>5298</v>
      </c>
      <c r="E547" s="3">
        <v>3</v>
      </c>
      <c r="F547" s="21" t="s">
        <v>586</v>
      </c>
      <c r="G547" s="4"/>
      <c r="I547" s="8" t="str">
        <f t="shared" si="160"/>
        <v>AccountabilityAchievementLevel_EN1 5296-5298 A3</v>
      </c>
    </row>
    <row r="548" spans="1:9" x14ac:dyDescent="0.2">
      <c r="A548" s="3">
        <f t="shared" si="159"/>
        <v>5300</v>
      </c>
      <c r="B548" s="3">
        <f t="shared" si="158"/>
        <v>5319</v>
      </c>
      <c r="C548" s="3">
        <f t="shared" si="151"/>
        <v>5299</v>
      </c>
      <c r="D548" s="3">
        <f t="shared" si="152"/>
        <v>5318</v>
      </c>
      <c r="E548" s="3">
        <v>20</v>
      </c>
      <c r="F548" s="21" t="str">
        <f>CONCATENATE(H548,G548)</f>
        <v>FILLER73</v>
      </c>
      <c r="G548" s="6">
        <v>73</v>
      </c>
      <c r="H548" s="4" t="s">
        <v>39</v>
      </c>
      <c r="I548" s="8" t="str">
        <f t="shared" si="153"/>
        <v>FILLER73 5299-5318 A20</v>
      </c>
    </row>
    <row r="549" spans="1:9" ht="30.6" customHeight="1" x14ac:dyDescent="0.2">
      <c r="A549" s="3" t="s">
        <v>318</v>
      </c>
      <c r="B549" s="55"/>
      <c r="C549" s="3"/>
      <c r="D549" s="3"/>
      <c r="E549" s="55"/>
      <c r="F549" s="22" t="s">
        <v>675</v>
      </c>
      <c r="G549" s="4"/>
      <c r="I549" s="8"/>
    </row>
    <row r="550" spans="1:9" x14ac:dyDescent="0.2">
      <c r="A550" s="3">
        <f>A548+E548</f>
        <v>5320</v>
      </c>
      <c r="B550" s="59">
        <f t="shared" ref="B550:B565" si="161">A550+E550-1</f>
        <v>5323</v>
      </c>
      <c r="C550" s="3">
        <f t="shared" si="151"/>
        <v>5319</v>
      </c>
      <c r="D550" s="3">
        <f t="shared" si="152"/>
        <v>5322</v>
      </c>
      <c r="E550" s="58">
        <v>4</v>
      </c>
      <c r="F550" s="45" t="s">
        <v>608</v>
      </c>
      <c r="G550" s="4"/>
      <c r="I550" s="8" t="str">
        <f>CONCATENATE(F550,"_EN1 ",C550,"-",D550," A",E550)</f>
        <v>ReadingLiteraryTextRawScore_EN1 5319-5322 A4</v>
      </c>
    </row>
    <row r="551" spans="1:9" x14ac:dyDescent="0.2">
      <c r="A551" s="58">
        <f t="shared" ref="A551:A565" si="162">A550+E550</f>
        <v>5324</v>
      </c>
      <c r="B551" s="59">
        <f t="shared" si="161"/>
        <v>5324</v>
      </c>
      <c r="C551" s="3">
        <f t="shared" si="151"/>
        <v>5323</v>
      </c>
      <c r="D551" s="3">
        <f t="shared" si="152"/>
        <v>5323</v>
      </c>
      <c r="E551" s="58">
        <v>1</v>
      </c>
      <c r="F551" s="45" t="s">
        <v>609</v>
      </c>
      <c r="G551" s="4"/>
      <c r="I551" s="8" t="str">
        <f t="shared" ref="I551:I564" si="163">CONCATENATE(F551,"_EN1 ",C551,"-",D551," A",E551)</f>
        <v>ReadingLiteraryTextRating_EN1 5323-5323 A1</v>
      </c>
    </row>
    <row r="552" spans="1:9" x14ac:dyDescent="0.2">
      <c r="A552" s="58">
        <f t="shared" si="162"/>
        <v>5325</v>
      </c>
      <c r="B552" s="59">
        <f t="shared" si="161"/>
        <v>5327</v>
      </c>
      <c r="C552" s="3">
        <f t="shared" si="151"/>
        <v>5324</v>
      </c>
      <c r="D552" s="3">
        <f t="shared" si="152"/>
        <v>5326</v>
      </c>
      <c r="E552" s="58">
        <v>3</v>
      </c>
      <c r="F552" s="45" t="s">
        <v>610</v>
      </c>
      <c r="G552" s="4"/>
      <c r="I552" s="8" t="str">
        <f t="shared" si="163"/>
        <v>ReadingLiteraryTextPercentCorrect_EN1 5324-5326 A3</v>
      </c>
    </row>
    <row r="553" spans="1:9" x14ac:dyDescent="0.2">
      <c r="A553" s="58">
        <f t="shared" si="162"/>
        <v>5328</v>
      </c>
      <c r="B553" s="59">
        <f t="shared" si="161"/>
        <v>5331</v>
      </c>
      <c r="C553" s="3">
        <f t="shared" si="151"/>
        <v>5327</v>
      </c>
      <c r="D553" s="3">
        <f t="shared" si="152"/>
        <v>5330</v>
      </c>
      <c r="E553" s="58">
        <v>4</v>
      </c>
      <c r="F553" s="45" t="s">
        <v>611</v>
      </c>
      <c r="G553" s="4"/>
      <c r="I553" s="8" t="str">
        <f t="shared" si="163"/>
        <v>ReadingInformationalTextRawScore_EN1 5327-5330 A4</v>
      </c>
    </row>
    <row r="554" spans="1:9" x14ac:dyDescent="0.2">
      <c r="A554" s="58">
        <f t="shared" si="162"/>
        <v>5332</v>
      </c>
      <c r="B554" s="59">
        <f t="shared" si="161"/>
        <v>5332</v>
      </c>
      <c r="C554" s="3">
        <f t="shared" si="151"/>
        <v>5331</v>
      </c>
      <c r="D554" s="3">
        <f t="shared" si="152"/>
        <v>5331</v>
      </c>
      <c r="E554" s="58">
        <v>1</v>
      </c>
      <c r="F554" s="45" t="s">
        <v>612</v>
      </c>
      <c r="G554" s="4"/>
      <c r="I554" s="8" t="str">
        <f t="shared" si="163"/>
        <v>ReadingInformationalTextRating_EN1 5331-5331 A1</v>
      </c>
    </row>
    <row r="555" spans="1:9" x14ac:dyDescent="0.2">
      <c r="A555" s="58">
        <f t="shared" si="162"/>
        <v>5333</v>
      </c>
      <c r="B555" s="59">
        <f t="shared" si="161"/>
        <v>5335</v>
      </c>
      <c r="C555" s="3">
        <f t="shared" si="151"/>
        <v>5332</v>
      </c>
      <c r="D555" s="3">
        <f t="shared" si="152"/>
        <v>5334</v>
      </c>
      <c r="E555" s="58">
        <v>3</v>
      </c>
      <c r="F555" s="45" t="s">
        <v>613</v>
      </c>
      <c r="G555" s="4"/>
      <c r="I555" s="8" t="str">
        <f t="shared" si="163"/>
        <v>ReadingInformationalTextPercentCorrect_EN1 5332-5334 A3</v>
      </c>
    </row>
    <row r="556" spans="1:9" x14ac:dyDescent="0.2">
      <c r="A556" s="58">
        <f t="shared" si="162"/>
        <v>5336</v>
      </c>
      <c r="B556" s="59">
        <f t="shared" si="161"/>
        <v>5339</v>
      </c>
      <c r="C556" s="3">
        <f t="shared" si="151"/>
        <v>5335</v>
      </c>
      <c r="D556" s="3">
        <f t="shared" si="152"/>
        <v>5338</v>
      </c>
      <c r="E556" s="58">
        <v>4</v>
      </c>
      <c r="F556" s="45" t="s">
        <v>614</v>
      </c>
      <c r="G556" s="4"/>
      <c r="I556" s="8" t="str">
        <f t="shared" si="163"/>
        <v>ReadingVocabularyRawScore_EN1 5335-5338 A4</v>
      </c>
    </row>
    <row r="557" spans="1:9" x14ac:dyDescent="0.2">
      <c r="A557" s="58">
        <f t="shared" si="162"/>
        <v>5340</v>
      </c>
      <c r="B557" s="59">
        <f t="shared" si="161"/>
        <v>5340</v>
      </c>
      <c r="C557" s="3">
        <f t="shared" si="151"/>
        <v>5339</v>
      </c>
      <c r="D557" s="3">
        <f t="shared" si="152"/>
        <v>5339</v>
      </c>
      <c r="E557" s="58">
        <v>1</v>
      </c>
      <c r="F557" s="45" t="s">
        <v>615</v>
      </c>
      <c r="G557" s="4"/>
      <c r="I557" s="8" t="str">
        <f t="shared" si="163"/>
        <v>ReadingVocabularyRating_EN1 5339-5339 A1</v>
      </c>
    </row>
    <row r="558" spans="1:9" x14ac:dyDescent="0.2">
      <c r="A558" s="58">
        <f t="shared" si="162"/>
        <v>5341</v>
      </c>
      <c r="B558" s="59">
        <f t="shared" si="161"/>
        <v>5343</v>
      </c>
      <c r="C558" s="3">
        <f t="shared" si="151"/>
        <v>5340</v>
      </c>
      <c r="D558" s="3">
        <f t="shared" si="152"/>
        <v>5342</v>
      </c>
      <c r="E558" s="58">
        <v>3</v>
      </c>
      <c r="F558" s="45" t="s">
        <v>616</v>
      </c>
      <c r="G558" s="4"/>
      <c r="I558" s="8" t="str">
        <f t="shared" si="163"/>
        <v>ReadingVocabularyPercentCorrect_EN1 5340-5342 A3</v>
      </c>
    </row>
    <row r="559" spans="1:9" x14ac:dyDescent="0.2">
      <c r="A559" s="58">
        <f t="shared" si="162"/>
        <v>5344</v>
      </c>
      <c r="B559" s="59">
        <f t="shared" si="161"/>
        <v>5347</v>
      </c>
      <c r="C559" s="3">
        <f t="shared" si="151"/>
        <v>5343</v>
      </c>
      <c r="D559" s="3">
        <f t="shared" si="152"/>
        <v>5346</v>
      </c>
      <c r="E559" s="58">
        <v>4</v>
      </c>
      <c r="F559" s="45" t="s">
        <v>617</v>
      </c>
      <c r="G559" s="4"/>
      <c r="I559" s="8" t="str">
        <f t="shared" si="163"/>
        <v>WrittenExpressionRawScore_EN1 5343-5346 A4</v>
      </c>
    </row>
    <row r="560" spans="1:9" x14ac:dyDescent="0.2">
      <c r="A560" s="58">
        <f t="shared" si="162"/>
        <v>5348</v>
      </c>
      <c r="B560" s="59">
        <f t="shared" si="161"/>
        <v>5348</v>
      </c>
      <c r="C560" s="3">
        <f t="shared" si="151"/>
        <v>5347</v>
      </c>
      <c r="D560" s="3">
        <f t="shared" si="152"/>
        <v>5347</v>
      </c>
      <c r="E560" s="58">
        <v>1</v>
      </c>
      <c r="F560" s="45" t="s">
        <v>618</v>
      </c>
      <c r="G560" s="4"/>
      <c r="I560" s="8" t="str">
        <f t="shared" si="163"/>
        <v>WrittenExpressionRating_EN1 5347-5347 A1</v>
      </c>
    </row>
    <row r="561" spans="1:9" x14ac:dyDescent="0.2">
      <c r="A561" s="58">
        <f t="shared" si="162"/>
        <v>5349</v>
      </c>
      <c r="B561" s="59">
        <f t="shared" si="161"/>
        <v>5351</v>
      </c>
      <c r="C561" s="3">
        <f t="shared" si="151"/>
        <v>5348</v>
      </c>
      <c r="D561" s="3">
        <f t="shared" si="152"/>
        <v>5350</v>
      </c>
      <c r="E561" s="58">
        <v>3</v>
      </c>
      <c r="F561" s="45" t="s">
        <v>619</v>
      </c>
      <c r="G561" s="4"/>
      <c r="I561" s="8" t="str">
        <f t="shared" si="163"/>
        <v>WrittenExpressionPercentCorrect_EN1 5348-5350 A3</v>
      </c>
    </row>
    <row r="562" spans="1:9" ht="25.5" x14ac:dyDescent="0.2">
      <c r="A562" s="58">
        <f t="shared" si="162"/>
        <v>5352</v>
      </c>
      <c r="B562" s="59">
        <f t="shared" si="161"/>
        <v>5355</v>
      </c>
      <c r="C562" s="3">
        <f t="shared" si="151"/>
        <v>5351</v>
      </c>
      <c r="D562" s="3">
        <f t="shared" si="152"/>
        <v>5354</v>
      </c>
      <c r="E562" s="58">
        <v>4</v>
      </c>
      <c r="F562" s="45" t="s">
        <v>716</v>
      </c>
      <c r="G562" s="4"/>
      <c r="I562" s="8" t="str">
        <f t="shared" si="163"/>
        <v>KnowledgeUseofLanguageConventionsRawScore_EN1 5351-5354 A4</v>
      </c>
    </row>
    <row r="563" spans="1:9" x14ac:dyDescent="0.2">
      <c r="A563" s="58">
        <f t="shared" si="162"/>
        <v>5356</v>
      </c>
      <c r="B563" s="59">
        <f t="shared" si="161"/>
        <v>5356</v>
      </c>
      <c r="C563" s="3">
        <f t="shared" si="151"/>
        <v>5355</v>
      </c>
      <c r="D563" s="3">
        <f t="shared" si="152"/>
        <v>5355</v>
      </c>
      <c r="E563" s="58">
        <v>1</v>
      </c>
      <c r="F563" s="45" t="s">
        <v>717</v>
      </c>
      <c r="G563" s="4"/>
      <c r="I563" s="8" t="str">
        <f t="shared" si="163"/>
        <v>KnowledgeUseofLanguageConventionsRating_EN1 5355-5355 A1</v>
      </c>
    </row>
    <row r="564" spans="1:9" ht="25.5" x14ac:dyDescent="0.2">
      <c r="A564" s="58">
        <f t="shared" si="162"/>
        <v>5357</v>
      </c>
      <c r="B564" s="59">
        <f t="shared" si="161"/>
        <v>5359</v>
      </c>
      <c r="C564" s="3">
        <f t="shared" si="151"/>
        <v>5356</v>
      </c>
      <c r="D564" s="3">
        <f t="shared" si="152"/>
        <v>5358</v>
      </c>
      <c r="E564" s="58">
        <v>3</v>
      </c>
      <c r="F564" s="45" t="s">
        <v>718</v>
      </c>
      <c r="G564" s="4"/>
      <c r="I564" s="8" t="str">
        <f t="shared" si="163"/>
        <v>KnowledgeUseofLanguageConventionsPercentCorrect_EN1 5356-5358 A3</v>
      </c>
    </row>
    <row r="565" spans="1:9" x14ac:dyDescent="0.2">
      <c r="A565" s="58">
        <f t="shared" si="162"/>
        <v>5360</v>
      </c>
      <c r="B565" s="59">
        <f t="shared" si="161"/>
        <v>5379</v>
      </c>
      <c r="C565" s="3">
        <f t="shared" si="151"/>
        <v>5359</v>
      </c>
      <c r="D565" s="3">
        <f t="shared" si="152"/>
        <v>5378</v>
      </c>
      <c r="E565" s="58">
        <v>20</v>
      </c>
      <c r="F565" s="21" t="str">
        <f>CONCATENATE(H565,G565)</f>
        <v>FILLER74</v>
      </c>
      <c r="G565" s="6">
        <v>74</v>
      </c>
      <c r="H565" s="4" t="s">
        <v>39</v>
      </c>
      <c r="I565" s="8" t="str">
        <f t="shared" si="153"/>
        <v>FILLER74 5359-5378 A20</v>
      </c>
    </row>
    <row r="566" spans="1:9" x14ac:dyDescent="0.2">
      <c r="A566" s="58"/>
      <c r="B566" s="58"/>
      <c r="C566" s="3"/>
      <c r="D566" s="3"/>
      <c r="E566" s="58"/>
      <c r="F566" s="22" t="s">
        <v>670</v>
      </c>
      <c r="G566" s="4"/>
      <c r="I566" s="8"/>
    </row>
    <row r="567" spans="1:9" x14ac:dyDescent="0.2">
      <c r="A567" s="58">
        <f>A565+E565</f>
        <v>5380</v>
      </c>
      <c r="B567" s="59">
        <f t="shared" ref="B567:B573" si="164">A567+E567-1</f>
        <v>5383</v>
      </c>
      <c r="C567" s="3">
        <f t="shared" si="151"/>
        <v>5379</v>
      </c>
      <c r="D567" s="3">
        <f t="shared" si="152"/>
        <v>5382</v>
      </c>
      <c r="E567" s="58">
        <v>4</v>
      </c>
      <c r="F567" s="45" t="s">
        <v>620</v>
      </c>
      <c r="G567" s="4"/>
      <c r="I567" s="8" t="str">
        <f>CONCATENATE(F567,"_EN1 ",C567,"-",D567," A",E567)</f>
        <v>ReadingRawScore_EN1 5379-5382 A4</v>
      </c>
    </row>
    <row r="568" spans="1:9" x14ac:dyDescent="0.2">
      <c r="A568" s="58">
        <f t="shared" ref="A568:A573" si="165">A567+E567</f>
        <v>5384</v>
      </c>
      <c r="B568" s="59">
        <f t="shared" si="164"/>
        <v>5384</v>
      </c>
      <c r="C568" s="3">
        <f t="shared" si="151"/>
        <v>5383</v>
      </c>
      <c r="D568" s="3">
        <f t="shared" si="152"/>
        <v>5383</v>
      </c>
      <c r="E568" s="58">
        <v>1</v>
      </c>
      <c r="F568" s="45" t="s">
        <v>621</v>
      </c>
      <c r="G568" s="4"/>
      <c r="I568" s="8" t="str">
        <f t="shared" ref="I568:I572" si="166">CONCATENATE(F568,"_EN1 ",C568,"-",D568," A",E568)</f>
        <v>ReadingRating_EN1 5383-5383 A1</v>
      </c>
    </row>
    <row r="569" spans="1:9" x14ac:dyDescent="0.2">
      <c r="A569" s="58">
        <f t="shared" si="165"/>
        <v>5385</v>
      </c>
      <c r="B569" s="59">
        <f t="shared" si="164"/>
        <v>5387</v>
      </c>
      <c r="C569" s="3">
        <f t="shared" si="151"/>
        <v>5384</v>
      </c>
      <c r="D569" s="3">
        <f t="shared" si="152"/>
        <v>5386</v>
      </c>
      <c r="E569" s="58">
        <v>3</v>
      </c>
      <c r="F569" s="45" t="s">
        <v>622</v>
      </c>
      <c r="G569" s="4"/>
      <c r="I569" s="8" t="str">
        <f t="shared" si="166"/>
        <v>ReadingPercentCorrect_EN1 5384-5386 A3</v>
      </c>
    </row>
    <row r="570" spans="1:9" x14ac:dyDescent="0.2">
      <c r="A570" s="58">
        <f t="shared" si="165"/>
        <v>5388</v>
      </c>
      <c r="B570" s="59">
        <f t="shared" si="164"/>
        <v>5391</v>
      </c>
      <c r="C570" s="3">
        <f t="shared" si="151"/>
        <v>5387</v>
      </c>
      <c r="D570" s="3">
        <f t="shared" si="152"/>
        <v>5390</v>
      </c>
      <c r="E570" s="58">
        <v>4</v>
      </c>
      <c r="F570" s="45" t="s">
        <v>623</v>
      </c>
      <c r="G570" s="4"/>
      <c r="I570" s="8" t="str">
        <f t="shared" si="166"/>
        <v>WritingRawScore_EN1 5387-5390 A4</v>
      </c>
    </row>
    <row r="571" spans="1:9" x14ac:dyDescent="0.2">
      <c r="A571" s="58">
        <f t="shared" si="165"/>
        <v>5392</v>
      </c>
      <c r="B571" s="60">
        <f t="shared" si="164"/>
        <v>5392</v>
      </c>
      <c r="C571" s="3">
        <f t="shared" si="151"/>
        <v>5391</v>
      </c>
      <c r="D571" s="3">
        <f t="shared" si="152"/>
        <v>5391</v>
      </c>
      <c r="E571" s="58">
        <v>1</v>
      </c>
      <c r="F571" s="61" t="s">
        <v>624</v>
      </c>
      <c r="G571" s="4"/>
      <c r="I571" s="8" t="str">
        <f t="shared" si="166"/>
        <v>WritingRating_EN1 5391-5391 A1</v>
      </c>
    </row>
    <row r="572" spans="1:9" x14ac:dyDescent="0.2">
      <c r="A572" s="58">
        <f t="shared" si="165"/>
        <v>5393</v>
      </c>
      <c r="B572" s="59">
        <f t="shared" si="164"/>
        <v>5395</v>
      </c>
      <c r="C572" s="3">
        <f t="shared" si="151"/>
        <v>5392</v>
      </c>
      <c r="D572" s="3">
        <f t="shared" si="152"/>
        <v>5394</v>
      </c>
      <c r="E572" s="58">
        <v>3</v>
      </c>
      <c r="F572" s="45" t="s">
        <v>625</v>
      </c>
      <c r="G572" s="4"/>
      <c r="I572" s="8" t="str">
        <f t="shared" si="166"/>
        <v>WritingPercentCorrect_EN1 5392-5394 A3</v>
      </c>
    </row>
    <row r="573" spans="1:9" x14ac:dyDescent="0.2">
      <c r="A573" s="58">
        <f t="shared" si="165"/>
        <v>5396</v>
      </c>
      <c r="B573" s="59">
        <f t="shared" si="164"/>
        <v>5415</v>
      </c>
      <c r="C573" s="3">
        <f t="shared" si="151"/>
        <v>5395</v>
      </c>
      <c r="D573" s="3">
        <f t="shared" si="152"/>
        <v>5414</v>
      </c>
      <c r="E573" s="58">
        <v>20</v>
      </c>
      <c r="F573" s="21" t="str">
        <f>CONCATENATE(H573,G573)</f>
        <v>FILLER75</v>
      </c>
      <c r="G573" s="6">
        <v>75</v>
      </c>
      <c r="H573" s="4" t="s">
        <v>39</v>
      </c>
      <c r="I573" s="8" t="str">
        <f t="shared" si="153"/>
        <v>FILLER75 5395-5414 A20</v>
      </c>
    </row>
    <row r="574" spans="1:9" x14ac:dyDescent="0.2">
      <c r="A574" s="43"/>
      <c r="B574" s="62"/>
      <c r="C574" s="3"/>
      <c r="D574" s="3"/>
      <c r="E574" s="3"/>
      <c r="F574" s="22" t="s">
        <v>693</v>
      </c>
      <c r="G574" s="4"/>
      <c r="I574" s="8"/>
    </row>
    <row r="575" spans="1:9" x14ac:dyDescent="0.2">
      <c r="A575" s="6">
        <f>A573+E573</f>
        <v>5416</v>
      </c>
      <c r="B575" s="30">
        <f t="shared" ref="B575:B583" si="167">A575+E575-1</f>
        <v>5417</v>
      </c>
      <c r="C575" s="3">
        <f t="shared" si="151"/>
        <v>5415</v>
      </c>
      <c r="D575" s="3">
        <f t="shared" si="152"/>
        <v>5416</v>
      </c>
      <c r="E575" s="5">
        <v>2</v>
      </c>
      <c r="F575" s="13" t="s">
        <v>660</v>
      </c>
      <c r="G575" s="4"/>
      <c r="I575" s="8" t="str">
        <f>CONCATENATE(F575,"_EN1 ",C575,"-",D575," A",E575)</f>
        <v>AccountabilityCodeEnglishI_EN1 5415-5416 A2</v>
      </c>
    </row>
    <row r="576" spans="1:9" x14ac:dyDescent="0.2">
      <c r="A576" s="3">
        <f t="shared" ref="A576:A583" si="168">A575+E575</f>
        <v>5418</v>
      </c>
      <c r="B576" s="3">
        <f t="shared" si="167"/>
        <v>5418</v>
      </c>
      <c r="C576" s="3">
        <f t="shared" si="151"/>
        <v>5417</v>
      </c>
      <c r="D576" s="3">
        <f t="shared" si="152"/>
        <v>5417</v>
      </c>
      <c r="E576" s="3">
        <v>1</v>
      </c>
      <c r="F576" s="21" t="s">
        <v>600</v>
      </c>
      <c r="G576" s="4"/>
      <c r="I576" s="8" t="str">
        <f t="shared" ref="I576:I581" si="169">CONCATENATE(F576,"_EN1 ",C576,"-",D576," A",E576)</f>
        <v>Reportablestatus_EN1 5417-5417 A1</v>
      </c>
    </row>
    <row r="577" spans="1:9" x14ac:dyDescent="0.2">
      <c r="A577" s="3">
        <f t="shared" si="168"/>
        <v>5419</v>
      </c>
      <c r="B577" s="3">
        <f t="shared" si="167"/>
        <v>5419</v>
      </c>
      <c r="C577" s="3">
        <f t="shared" si="151"/>
        <v>5418</v>
      </c>
      <c r="D577" s="3">
        <f t="shared" si="152"/>
        <v>5418</v>
      </c>
      <c r="E577" s="3">
        <v>1</v>
      </c>
      <c r="F577" s="21" t="s">
        <v>601</v>
      </c>
      <c r="G577" s="4"/>
      <c r="I577" s="8" t="str">
        <f t="shared" si="169"/>
        <v>TestValidAttempt_EN1 5418-5418 A1</v>
      </c>
    </row>
    <row r="578" spans="1:9" x14ac:dyDescent="0.2">
      <c r="A578" s="3">
        <f t="shared" si="168"/>
        <v>5420</v>
      </c>
      <c r="B578" s="3">
        <f t="shared" si="167"/>
        <v>5420</v>
      </c>
      <c r="C578" s="3">
        <f t="shared" si="151"/>
        <v>5419</v>
      </c>
      <c r="D578" s="3">
        <f t="shared" si="152"/>
        <v>5419</v>
      </c>
      <c r="E578" s="3">
        <v>1</v>
      </c>
      <c r="F578" s="21" t="s">
        <v>602</v>
      </c>
      <c r="G578" s="4"/>
      <c r="I578" s="8" t="str">
        <f t="shared" si="169"/>
        <v>TestLaunchFlag_EN1 5419-5419 A1</v>
      </c>
    </row>
    <row r="579" spans="1:9" x14ac:dyDescent="0.2">
      <c r="A579" s="3">
        <f t="shared" si="168"/>
        <v>5421</v>
      </c>
      <c r="B579" s="3">
        <f t="shared" si="167"/>
        <v>5421</v>
      </c>
      <c r="C579" s="3">
        <f t="shared" si="151"/>
        <v>5420</v>
      </c>
      <c r="D579" s="3">
        <f t="shared" si="152"/>
        <v>5420</v>
      </c>
      <c r="E579" s="3">
        <v>1</v>
      </c>
      <c r="F579" s="21" t="s">
        <v>603</v>
      </c>
      <c r="G579" s="4"/>
      <c r="I579" s="8" t="str">
        <f t="shared" si="169"/>
        <v>VoidFlag_EN1 5420-5420 A1</v>
      </c>
    </row>
    <row r="580" spans="1:9" x14ac:dyDescent="0.2">
      <c r="A580" s="3">
        <f t="shared" si="168"/>
        <v>5422</v>
      </c>
      <c r="B580" s="3">
        <f t="shared" si="167"/>
        <v>5422</v>
      </c>
      <c r="C580" s="3">
        <f t="shared" ref="C580:C583" si="170">A580-1</f>
        <v>5421</v>
      </c>
      <c r="D580" s="3">
        <f t="shared" ref="D580:D583" si="171">B580-1</f>
        <v>5421</v>
      </c>
      <c r="E580" s="3">
        <v>1</v>
      </c>
      <c r="F580" s="21" t="s">
        <v>604</v>
      </c>
      <c r="G580" s="4"/>
      <c r="I580" s="8" t="str">
        <f t="shared" si="169"/>
        <v>RetestFlag_EN1 5421-5421 A1</v>
      </c>
    </row>
    <row r="581" spans="1:9" x14ac:dyDescent="0.2">
      <c r="A581" s="3">
        <f t="shared" si="168"/>
        <v>5423</v>
      </c>
      <c r="B581" s="3">
        <f t="shared" si="167"/>
        <v>5423</v>
      </c>
      <c r="C581" s="3">
        <f t="shared" si="170"/>
        <v>5422</v>
      </c>
      <c r="D581" s="3">
        <f t="shared" si="171"/>
        <v>5422</v>
      </c>
      <c r="E581" s="3">
        <v>1</v>
      </c>
      <c r="F581" s="21" t="s">
        <v>605</v>
      </c>
      <c r="G581" s="4"/>
      <c r="I581" s="8" t="str">
        <f t="shared" si="169"/>
        <v>EligibleFlag_EN1 5422-5422 A1</v>
      </c>
    </row>
    <row r="582" spans="1:9" x14ac:dyDescent="0.2">
      <c r="A582" s="3">
        <f t="shared" si="168"/>
        <v>5424</v>
      </c>
      <c r="B582" s="3">
        <f t="shared" si="167"/>
        <v>5820</v>
      </c>
      <c r="C582" s="3">
        <f t="shared" si="170"/>
        <v>5423</v>
      </c>
      <c r="D582" s="3">
        <f t="shared" si="171"/>
        <v>5819</v>
      </c>
      <c r="E582" s="3">
        <v>397</v>
      </c>
      <c r="F582" s="21" t="str">
        <f>CONCATENATE(H582,G582)</f>
        <v>FILLER76</v>
      </c>
      <c r="G582" s="6">
        <v>76</v>
      </c>
      <c r="H582" s="4" t="s">
        <v>39</v>
      </c>
      <c r="I582" s="8" t="str">
        <f t="shared" ref="I582" si="172">CONCATENATE(F582," ",C582,"-",D582," A",E582)</f>
        <v>FILLER76 5423-5819 A397</v>
      </c>
    </row>
    <row r="583" spans="1:9" x14ac:dyDescent="0.2">
      <c r="A583" s="3">
        <f t="shared" si="168"/>
        <v>5821</v>
      </c>
      <c r="B583" s="3">
        <f t="shared" si="167"/>
        <v>5839</v>
      </c>
      <c r="C583" s="3">
        <f t="shared" si="170"/>
        <v>5820</v>
      </c>
      <c r="D583" s="3">
        <f t="shared" si="171"/>
        <v>5838</v>
      </c>
      <c r="E583" s="6">
        <v>19</v>
      </c>
      <c r="F583" s="23" t="s">
        <v>661</v>
      </c>
      <c r="G583" s="4"/>
      <c r="I583" s="8" t="str">
        <f>CONCATENATE(F583,"_EN1 ",C583,"-",D583," A",E583)</f>
        <v>DateandTimeStamp_EN1 5820-5838 A19</v>
      </c>
    </row>
    <row r="584" spans="1:9" x14ac:dyDescent="0.25">
      <c r="A584" s="6"/>
      <c r="B584" s="6"/>
      <c r="C584" s="6"/>
      <c r="D584" s="6"/>
      <c r="E584" s="6"/>
    </row>
    <row r="585" spans="1:9" x14ac:dyDescent="0.25">
      <c r="B585" s="25">
        <f>B583</f>
        <v>5839</v>
      </c>
    </row>
  </sheetData>
  <autoFilter ref="A2:H583"/>
  <mergeCells count="1">
    <mergeCell ref="A1:F1"/>
  </mergeCells>
  <printOptions headings="1" gridLines="1"/>
  <pageMargins left="0.25" right="0.25" top="0.75" bottom="0.75" header="0.3" footer="0.3"/>
  <pageSetup paperSize="5" fitToHeight="0" orientation="landscape" r:id="rId1"/>
  <headerFooter>
    <oddFooter>&amp;L&amp;"Arial,Regular"&amp;10R = Registration     I = In-window     P = Post-window     H = History     A = Accountability&amp;C&amp;"Arial,Regular"&amp;10Page &amp;P of &amp;N&amp;RLast Saved Date: 7/9/2018 4:18:26 PM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File Format</vt:lpstr>
      <vt:lpstr>Revision Log</vt:lpstr>
      <vt:lpstr>spss load syntax</vt:lpstr>
      <vt:lpstr>'File Format'!Print_Titles</vt:lpstr>
      <vt:lpstr>'spss load syntax'!Print_Titles</vt:lpstr>
    </vt:vector>
  </TitlesOfParts>
  <Company>PMC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EOC Combined Score File Layout</dc:title>
  <dc:creator>dmurray@pacificmetrics.com</dc:creator>
  <cp:lastModifiedBy>Maria Knox</cp:lastModifiedBy>
  <cp:lastPrinted>2017-11-21T15:50:49Z</cp:lastPrinted>
  <dcterms:created xsi:type="dcterms:W3CDTF">2010-08-16T22:46:58Z</dcterms:created>
  <dcterms:modified xsi:type="dcterms:W3CDTF">2019-02-04T20:50:57Z</dcterms:modified>
</cp:coreProperties>
</file>