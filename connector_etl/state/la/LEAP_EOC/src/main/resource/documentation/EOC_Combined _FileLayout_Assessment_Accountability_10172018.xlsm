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showInkAnnotation="0" codeName="ThisWorkbook" defaultThemeVersion="124226"/>
  <mc:AlternateContent xmlns:mc="http://schemas.openxmlformats.org/markup-compatibility/2006">
    <mc:Choice Requires="x15">
      <x15ac:absPath xmlns:x15ac="http://schemas.microsoft.com/office/spreadsheetml/2010/11/ac" url="I:\My Drive\EIS\EIS Requirements Documentation\Louisiana\EOC Spring\"/>
    </mc:Choice>
  </mc:AlternateContent>
  <bookViews>
    <workbookView xWindow="0" yWindow="0" windowWidth="18276" windowHeight="7512"/>
  </bookViews>
  <sheets>
    <sheet name="File Format" sheetId="1" r:id="rId1"/>
    <sheet name="Revision Log" sheetId="5" r:id="rId2"/>
  </sheets>
  <definedNames>
    <definedName name="_xlnm._FilterDatabase" localSheetId="0" hidden="1">'File Format'!$A$2:$I$924</definedName>
    <definedName name="_xlnm.Print_Titles" localSheetId="0">'File Format'!$1:$2</definedName>
  </definedNames>
  <calcPr calcId="171027"/>
</workbook>
</file>

<file path=xl/calcChain.xml><?xml version="1.0" encoding="utf-8"?>
<calcChain xmlns="http://schemas.openxmlformats.org/spreadsheetml/2006/main">
  <c r="D824" i="1" l="1"/>
  <c r="D4" i="1" l="1"/>
  <c r="D6" i="1" s="1"/>
  <c r="E3" i="1"/>
  <c r="E4" i="1" l="1"/>
  <c r="E6" i="1" l="1"/>
  <c r="D7" i="1"/>
  <c r="E7" i="1" l="1"/>
  <c r="D8" i="1"/>
  <c r="E8" i="1" l="1"/>
  <c r="D9" i="1"/>
  <c r="D10" i="1" s="1"/>
  <c r="D11" i="1" s="1"/>
  <c r="D12" i="1" s="1"/>
  <c r="D13" i="1" s="1"/>
  <c r="E13" i="1" l="1"/>
  <c r="D14" i="1"/>
  <c r="E9" i="1"/>
  <c r="E11" i="1" l="1"/>
  <c r="E12" i="1" l="1"/>
  <c r="D16" i="1" l="1"/>
  <c r="E14" i="1"/>
  <c r="E16" i="1" l="1"/>
  <c r="D17" i="1"/>
  <c r="E17" i="1" l="1"/>
  <c r="D18" i="1"/>
  <c r="D19" i="1" s="1"/>
  <c r="E18" i="1" l="1"/>
  <c r="D20" i="1" l="1"/>
  <c r="E19" i="1"/>
  <c r="E20" i="1" l="1"/>
  <c r="D21" i="1"/>
  <c r="D22" i="1" l="1"/>
  <c r="E21" i="1"/>
  <c r="E22" i="1" l="1"/>
  <c r="D23" i="1"/>
  <c r="D24" i="1" l="1"/>
  <c r="D25" i="1" s="1"/>
  <c r="E23" i="1"/>
  <c r="E25" i="1" l="1"/>
  <c r="D26" i="1"/>
  <c r="E24" i="1"/>
  <c r="E26" i="1" l="1"/>
  <c r="D27" i="1"/>
  <c r="D28" i="1" s="1"/>
  <c r="E27" i="1" l="1"/>
  <c r="D29" i="1"/>
  <c r="E28" i="1"/>
  <c r="E29" i="1" l="1"/>
  <c r="D30" i="1"/>
  <c r="D31" i="1" s="1"/>
  <c r="E31" i="1" l="1"/>
  <c r="D32" i="1"/>
  <c r="D33" i="1" s="1"/>
  <c r="E30" i="1"/>
  <c r="D34" i="1" l="1"/>
  <c r="D35" i="1" s="1"/>
  <c r="E33" i="1"/>
  <c r="E32" i="1"/>
  <c r="E35" i="1" l="1"/>
  <c r="D36" i="1"/>
  <c r="D37" i="1" s="1"/>
  <c r="E34" i="1"/>
  <c r="E37" i="1" l="1"/>
  <c r="D38" i="1"/>
  <c r="E36" i="1"/>
  <c r="D39" i="1" l="1"/>
  <c r="E38" i="1"/>
  <c r="E39" i="1" l="1"/>
  <c r="D40" i="1"/>
  <c r="D41" i="1" l="1"/>
  <c r="E40" i="1"/>
  <c r="D42" i="1" l="1"/>
  <c r="E41" i="1"/>
  <c r="E42" i="1" l="1"/>
  <c r="D43" i="1"/>
  <c r="D44" i="1" s="1"/>
  <c r="D45" i="1" s="1"/>
  <c r="E43" i="1" l="1"/>
  <c r="E45" i="1" l="1"/>
  <c r="D46" i="1"/>
  <c r="D47" i="1" s="1"/>
  <c r="D48" i="1" s="1"/>
  <c r="D49" i="1" s="1"/>
  <c r="D50" i="1" l="1"/>
  <c r="E49" i="1"/>
  <c r="E48" i="1"/>
  <c r="E46" i="1"/>
  <c r="D51" i="1" l="1"/>
  <c r="D53" i="1" s="1"/>
  <c r="E50" i="1"/>
  <c r="E44" i="1"/>
  <c r="D54" i="1" l="1"/>
  <c r="D55" i="1" s="1"/>
  <c r="E53" i="1"/>
  <c r="E47" i="1"/>
  <c r="E51" i="1" l="1"/>
  <c r="E10" i="1" l="1"/>
  <c r="E54" i="1" l="1"/>
  <c r="D56" i="1" l="1"/>
  <c r="E55" i="1"/>
  <c r="D57" i="1" l="1"/>
  <c r="E56" i="1"/>
  <c r="E57" i="1" l="1"/>
  <c r="D58" i="1"/>
  <c r="D59" i="1" s="1"/>
  <c r="D60" i="1" l="1"/>
  <c r="E59" i="1"/>
  <c r="E58" i="1"/>
  <c r="D61" i="1" l="1"/>
  <c r="E60" i="1"/>
  <c r="E61" i="1" l="1"/>
  <c r="D62" i="1"/>
  <c r="D63" i="1" s="1"/>
  <c r="D64" i="1" l="1"/>
  <c r="E63" i="1"/>
  <c r="E62" i="1"/>
  <c r="D65" i="1" l="1"/>
  <c r="D66" i="1" s="1"/>
  <c r="D67" i="1" s="1"/>
  <c r="D68" i="1" s="1"/>
  <c r="E64" i="1"/>
  <c r="E68" i="1" l="1"/>
  <c r="D69" i="1"/>
  <c r="E67" i="1"/>
  <c r="E66" i="1"/>
  <c r="E65" i="1"/>
  <c r="D71" i="1" l="1"/>
  <c r="E69" i="1"/>
  <c r="E71" i="1" l="1"/>
  <c r="D72" i="1"/>
  <c r="D73" i="1" l="1"/>
  <c r="E72" i="1"/>
  <c r="D74" i="1" l="1"/>
  <c r="E73" i="1"/>
  <c r="D75" i="1" l="1"/>
  <c r="E74" i="1"/>
  <c r="E75" i="1" l="1"/>
  <c r="D78" i="1"/>
  <c r="E78" i="1" l="1"/>
  <c r="D79" i="1"/>
  <c r="D80" i="1" l="1"/>
  <c r="E79" i="1"/>
  <c r="D81" i="1" l="1"/>
  <c r="E80" i="1"/>
  <c r="D82" i="1" l="1"/>
  <c r="E81" i="1"/>
  <c r="E82" i="1" l="1"/>
  <c r="D83" i="1"/>
  <c r="D84" i="1" l="1"/>
  <c r="E83" i="1"/>
  <c r="D85" i="1" l="1"/>
  <c r="E84" i="1"/>
  <c r="D86" i="1" l="1"/>
  <c r="E85" i="1"/>
  <c r="D87" i="1" l="1"/>
  <c r="E86" i="1"/>
  <c r="E87" i="1" l="1"/>
  <c r="D88" i="1"/>
  <c r="D89" i="1" s="1"/>
  <c r="D90" i="1" s="1"/>
  <c r="E89" i="1" l="1"/>
  <c r="E88" i="1"/>
  <c r="D91" i="1" l="1"/>
  <c r="E90" i="1"/>
  <c r="D93" i="1" l="1"/>
  <c r="E91" i="1"/>
  <c r="D94" i="1" l="1"/>
  <c r="E93" i="1"/>
  <c r="E94" i="1" l="1"/>
  <c r="D95" i="1"/>
  <c r="E95" i="1" l="1"/>
  <c r="D96" i="1"/>
  <c r="D97" i="1" l="1"/>
  <c r="E96" i="1"/>
  <c r="D98" i="1" l="1"/>
  <c r="E97" i="1"/>
  <c r="D99" i="1" l="1"/>
  <c r="E98" i="1"/>
  <c r="E99" i="1" l="1"/>
  <c r="D100" i="1"/>
  <c r="D101" i="1" l="1"/>
  <c r="E100" i="1"/>
  <c r="D102" i="1" l="1"/>
  <c r="E101" i="1"/>
  <c r="E102" i="1" l="1"/>
  <c r="D103" i="1"/>
  <c r="E103" i="1" l="1"/>
  <c r="D104" i="1"/>
  <c r="D105" i="1" l="1"/>
  <c r="E104" i="1"/>
  <c r="E105" i="1" l="1"/>
  <c r="D106" i="1"/>
  <c r="E106" i="1" l="1"/>
  <c r="D107" i="1"/>
  <c r="E107" i="1" l="1"/>
  <c r="D108" i="1"/>
  <c r="E108" i="1" l="1"/>
  <c r="D109" i="1"/>
  <c r="D111" i="1" l="1"/>
  <c r="E109" i="1"/>
  <c r="E111" i="1" l="1"/>
  <c r="D112" i="1"/>
  <c r="D113" i="1" l="1"/>
  <c r="E112" i="1"/>
  <c r="D114" i="1" l="1"/>
  <c r="E113" i="1"/>
  <c r="E114" i="1" l="1"/>
  <c r="D115" i="1"/>
  <c r="D116" i="1" l="1"/>
  <c r="E115" i="1"/>
  <c r="D117" i="1" l="1"/>
  <c r="E116" i="1"/>
  <c r="D118" i="1" l="1"/>
  <c r="E117" i="1"/>
  <c r="D120" i="1" l="1"/>
  <c r="E118" i="1"/>
  <c r="D121" i="1" l="1"/>
  <c r="E120" i="1"/>
  <c r="D124" i="1" l="1"/>
  <c r="E121" i="1"/>
  <c r="D125" i="1" l="1"/>
  <c r="E124" i="1"/>
  <c r="D126" i="1" l="1"/>
  <c r="E125" i="1"/>
  <c r="E126" i="1" l="1"/>
  <c r="D127" i="1"/>
  <c r="E127" i="1" l="1"/>
  <c r="D128" i="1"/>
  <c r="D129" i="1" l="1"/>
  <c r="E128" i="1"/>
  <c r="D130" i="1" l="1"/>
  <c r="E129" i="1"/>
  <c r="D131" i="1" l="1"/>
  <c r="E130" i="1"/>
  <c r="D132" i="1" l="1"/>
  <c r="E131" i="1"/>
  <c r="D133" i="1" l="1"/>
  <c r="E132" i="1"/>
  <c r="D134" i="1" l="1"/>
  <c r="E133" i="1"/>
  <c r="E134" i="1" l="1"/>
  <c r="D135" i="1"/>
  <c r="E135" i="1" l="1"/>
  <c r="D136" i="1"/>
  <c r="D138" i="1" l="1"/>
  <c r="E136" i="1"/>
  <c r="E138" i="1" l="1"/>
  <c r="D139" i="1"/>
  <c r="D140" i="1" l="1"/>
  <c r="E139" i="1"/>
  <c r="D141" i="1" l="1"/>
  <c r="E140" i="1"/>
  <c r="E141" i="1" l="1"/>
  <c r="D142" i="1"/>
  <c r="D143" i="1" l="1"/>
  <c r="E142" i="1"/>
  <c r="D144" i="1" l="1"/>
  <c r="E143" i="1"/>
  <c r="D145" i="1" l="1"/>
  <c r="E144" i="1"/>
  <c r="D146" i="1" l="1"/>
  <c r="E145" i="1"/>
  <c r="D147" i="1" l="1"/>
  <c r="E146" i="1"/>
  <c r="E147" i="1" l="1"/>
  <c r="D149" i="1"/>
  <c r="D150" i="1" l="1"/>
  <c r="E149" i="1"/>
  <c r="D151" i="1" l="1"/>
  <c r="E150" i="1"/>
  <c r="D152" i="1" l="1"/>
  <c r="E151" i="1"/>
  <c r="E152" i="1" l="1"/>
  <c r="D153" i="1"/>
  <c r="E153" i="1" l="1"/>
  <c r="D154" i="1"/>
  <c r="D155" i="1" l="1"/>
  <c r="E154" i="1"/>
  <c r="D156" i="1" l="1"/>
  <c r="E155" i="1"/>
  <c r="E156" i="1" l="1"/>
  <c r="D157" i="1"/>
  <c r="E157" i="1" l="1"/>
  <c r="D159" i="1"/>
  <c r="D160" i="1" l="1"/>
  <c r="E159" i="1"/>
  <c r="D161" i="1" l="1"/>
  <c r="E160" i="1"/>
  <c r="D162" i="1" l="1"/>
  <c r="E161" i="1"/>
  <c r="D164" i="1" l="1"/>
  <c r="E162" i="1"/>
  <c r="D165" i="1" l="1"/>
  <c r="E164" i="1"/>
  <c r="D166" i="1" l="1"/>
  <c r="E165" i="1"/>
  <c r="D167" i="1" l="1"/>
  <c r="E166" i="1"/>
  <c r="D168" i="1" l="1"/>
  <c r="E167" i="1"/>
  <c r="D169" i="1" l="1"/>
  <c r="E168" i="1"/>
  <c r="D170" i="1" l="1"/>
  <c r="E169" i="1"/>
  <c r="D171" i="1" l="1"/>
  <c r="E170" i="1"/>
  <c r="D173" i="1" l="1"/>
  <c r="E171" i="1"/>
  <c r="D174" i="1" l="1"/>
  <c r="E173" i="1"/>
  <c r="D175" i="1" l="1"/>
  <c r="E174" i="1"/>
  <c r="E175" i="1" l="1"/>
  <c r="D176" i="1"/>
  <c r="D177" i="1" l="1"/>
  <c r="E176" i="1"/>
  <c r="E177" i="1" l="1"/>
  <c r="D178" i="1"/>
  <c r="E178" i="1" l="1"/>
  <c r="D179" i="1"/>
  <c r="D180" i="1" l="1"/>
  <c r="E179" i="1"/>
  <c r="E180" i="1" l="1"/>
  <c r="D181" i="1"/>
  <c r="E181" i="1" l="1"/>
  <c r="D182" i="1"/>
  <c r="E182" i="1" l="1"/>
  <c r="D183" i="1"/>
  <c r="E183" i="1" l="1"/>
  <c r="D184" i="1"/>
  <c r="E184" i="1" l="1"/>
  <c r="D185" i="1"/>
  <c r="D186" i="1" l="1"/>
  <c r="E185" i="1"/>
  <c r="D187" i="1" l="1"/>
  <c r="E186" i="1"/>
  <c r="D188" i="1" l="1"/>
  <c r="E187" i="1"/>
  <c r="E188" i="1" l="1"/>
  <c r="D189" i="1"/>
  <c r="E189" i="1" s="1"/>
  <c r="D191" i="1"/>
  <c r="E191" i="1" l="1"/>
  <c r="D192" i="1"/>
  <c r="E192" i="1" l="1"/>
  <c r="D193" i="1"/>
  <c r="D194" i="1" l="1"/>
  <c r="E193" i="1"/>
  <c r="E194" i="1" l="1"/>
  <c r="D197" i="1"/>
  <c r="D198" i="1" l="1"/>
  <c r="E197" i="1"/>
  <c r="E198" i="1" l="1"/>
  <c r="D199" i="1"/>
  <c r="E199" i="1" l="1"/>
  <c r="D200" i="1"/>
  <c r="E200" i="1" l="1"/>
  <c r="D201" i="1"/>
  <c r="D202" i="1" l="1"/>
  <c r="E201" i="1"/>
  <c r="E202" i="1" l="1"/>
  <c r="D203" i="1"/>
  <c r="D204" i="1" l="1"/>
  <c r="E203" i="1"/>
  <c r="E204" i="1" l="1"/>
  <c r="D205" i="1"/>
  <c r="D206" i="1" l="1"/>
  <c r="E205" i="1"/>
  <c r="E206" i="1" l="1"/>
  <c r="D207" i="1"/>
  <c r="D208" i="1" l="1"/>
  <c r="E207" i="1"/>
  <c r="E208" i="1" l="1"/>
  <c r="D209" i="1"/>
  <c r="D210" i="1" l="1"/>
  <c r="E209" i="1"/>
  <c r="E210" i="1" l="1"/>
  <c r="D212" i="1"/>
  <c r="E212" i="1" l="1"/>
  <c r="D213" i="1"/>
  <c r="D214" i="1" l="1"/>
  <c r="E213" i="1"/>
  <c r="E214" i="1" l="1"/>
  <c r="D215" i="1"/>
  <c r="E215" i="1" l="1"/>
  <c r="D216" i="1"/>
  <c r="E216" i="1" l="1"/>
  <c r="D217" i="1"/>
  <c r="E217" i="1" l="1"/>
  <c r="D218" i="1"/>
  <c r="D219" i="1" l="1"/>
  <c r="E218" i="1"/>
  <c r="E219" i="1" l="1"/>
  <c r="D220" i="1"/>
  <c r="D221" i="1" l="1"/>
  <c r="E220" i="1"/>
  <c r="E221" i="1" l="1"/>
  <c r="D222" i="1"/>
  <c r="D223" i="1" l="1"/>
  <c r="E222" i="1"/>
  <c r="D224" i="1" l="1"/>
  <c r="E223" i="1"/>
  <c r="D225" i="1" l="1"/>
  <c r="E224" i="1"/>
  <c r="E225" i="1" l="1"/>
  <c r="D226" i="1"/>
  <c r="E226" i="1" l="1"/>
  <c r="D228" i="1"/>
  <c r="E228" i="1" l="1"/>
  <c r="D229" i="1"/>
  <c r="D230" i="1" l="1"/>
  <c r="E229" i="1"/>
  <c r="E230" i="1" l="1"/>
  <c r="D231" i="1"/>
  <c r="E231" i="1" l="1"/>
  <c r="D232" i="1"/>
  <c r="E232" i="1" l="1"/>
  <c r="D233" i="1"/>
  <c r="D234" i="1" l="1"/>
  <c r="E233" i="1"/>
  <c r="D235" i="1" l="1"/>
  <c r="E234" i="1"/>
  <c r="D237" i="1" l="1"/>
  <c r="E235" i="1"/>
  <c r="D238" i="1" l="1"/>
  <c r="E237" i="1"/>
  <c r="D240" i="1" l="1"/>
  <c r="E238" i="1"/>
  <c r="D241" i="1" l="1"/>
  <c r="E240" i="1"/>
  <c r="D242" i="1" l="1"/>
  <c r="E241" i="1"/>
  <c r="D243" i="1" l="1"/>
  <c r="E242" i="1"/>
  <c r="E243" i="1" l="1"/>
  <c r="D244" i="1"/>
  <c r="E244" i="1" l="1"/>
  <c r="D245" i="1"/>
  <c r="E245" i="1" l="1"/>
  <c r="D246" i="1"/>
  <c r="E246" i="1" l="1"/>
  <c r="D247" i="1"/>
  <c r="E247" i="1" l="1"/>
  <c r="D248" i="1"/>
  <c r="E248" i="1" l="1"/>
  <c r="D249" i="1"/>
  <c r="D250" i="1" l="1"/>
  <c r="E249" i="1"/>
  <c r="E250" i="1" l="1"/>
  <c r="D251" i="1"/>
  <c r="E251" i="1" l="1"/>
  <c r="D252" i="1"/>
  <c r="E252" i="1" l="1"/>
  <c r="D253" i="1"/>
  <c r="E253" i="1" l="1"/>
  <c r="D254" i="1"/>
  <c r="D255" i="1" l="1"/>
  <c r="E254" i="1"/>
  <c r="E255" i="1" l="1"/>
  <c r="D257" i="1"/>
  <c r="E257" i="1" l="1"/>
  <c r="D258" i="1"/>
  <c r="E258" i="1" l="1"/>
  <c r="D259" i="1"/>
  <c r="D260" i="1" l="1"/>
  <c r="E259" i="1"/>
  <c r="D261" i="1" l="1"/>
  <c r="E260" i="1"/>
  <c r="E261" i="1" l="1"/>
  <c r="D262" i="1"/>
  <c r="D263" i="1" l="1"/>
  <c r="E262" i="1"/>
  <c r="D265" i="1" l="1"/>
  <c r="E263" i="1"/>
  <c r="E265" i="1" l="1"/>
  <c r="D266" i="1"/>
  <c r="E266" i="1" l="1"/>
  <c r="D267" i="1"/>
  <c r="E267" i="1" l="1"/>
  <c r="D268" i="1"/>
  <c r="D269" i="1" l="1"/>
  <c r="E268" i="1"/>
  <c r="E269" i="1" l="1"/>
  <c r="D270" i="1"/>
  <c r="D271" i="1" l="1"/>
  <c r="E270" i="1"/>
  <c r="D272" i="1" l="1"/>
  <c r="E271" i="1"/>
  <c r="D273" i="1" l="1"/>
  <c r="E272" i="1"/>
  <c r="D275" i="1" l="1"/>
  <c r="E273" i="1"/>
  <c r="D276" i="1" l="1"/>
  <c r="E275" i="1"/>
  <c r="D277" i="1" l="1"/>
  <c r="E276" i="1"/>
  <c r="D278" i="1" l="1"/>
  <c r="E277" i="1"/>
  <c r="E278" i="1" l="1"/>
  <c r="D280" i="1"/>
  <c r="D281" i="1" l="1"/>
  <c r="E280" i="1"/>
  <c r="D282" i="1" l="1"/>
  <c r="E281" i="1"/>
  <c r="E282" i="1" l="1"/>
  <c r="D283" i="1"/>
  <c r="D284" i="1" l="1"/>
  <c r="E283" i="1"/>
  <c r="D285" i="1" l="1"/>
  <c r="E284" i="1"/>
  <c r="E285" i="1" l="1"/>
  <c r="D286" i="1"/>
  <c r="D287" i="1" l="1"/>
  <c r="E286" i="1"/>
  <c r="D289" i="1" l="1"/>
  <c r="E287" i="1"/>
  <c r="D290" i="1" l="1"/>
  <c r="E289" i="1"/>
  <c r="E290" i="1" l="1"/>
  <c r="D291" i="1"/>
  <c r="E291" i="1" l="1"/>
  <c r="D292" i="1"/>
  <c r="E292" i="1" l="1"/>
  <c r="D293" i="1"/>
  <c r="E293" i="1" l="1"/>
  <c r="D294" i="1"/>
  <c r="E294" i="1" l="1"/>
  <c r="D295" i="1"/>
  <c r="E295" i="1" l="1"/>
  <c r="D296" i="1"/>
  <c r="E296" i="1" l="1"/>
  <c r="D297" i="1"/>
  <c r="E297" i="1" l="1"/>
  <c r="D298" i="1"/>
  <c r="D299" i="1" l="1"/>
  <c r="E298" i="1"/>
  <c r="E299" i="1" l="1"/>
  <c r="D300" i="1"/>
  <c r="E300" i="1" l="1"/>
  <c r="D301" i="1"/>
  <c r="E301" i="1" l="1"/>
  <c r="D302" i="1"/>
  <c r="E302" i="1" l="1"/>
  <c r="D303" i="1"/>
  <c r="D304" i="1" l="1"/>
  <c r="E303" i="1"/>
  <c r="E304" i="1" l="1"/>
  <c r="D306" i="1"/>
  <c r="E306" i="1" l="1"/>
  <c r="D307" i="1"/>
  <c r="D308" i="1" l="1"/>
  <c r="E307" i="1"/>
  <c r="D309" i="1" l="1"/>
  <c r="E308" i="1"/>
  <c r="D310" i="1" l="1"/>
  <c r="E309" i="1"/>
  <c r="E310" i="1" l="1"/>
  <c r="D313" i="1"/>
  <c r="E313" i="1" l="1"/>
  <c r="D314" i="1"/>
  <c r="E314" i="1" l="1"/>
  <c r="D315" i="1"/>
  <c r="E315" i="1" l="1"/>
  <c r="D316" i="1"/>
  <c r="E316" i="1" l="1"/>
  <c r="D317" i="1"/>
  <c r="E317" i="1" l="1"/>
  <c r="D318" i="1"/>
  <c r="E318" i="1" l="1"/>
  <c r="D319" i="1"/>
  <c r="E319" i="1" l="1"/>
  <c r="D320" i="1"/>
  <c r="D321" i="1" l="1"/>
  <c r="E320" i="1"/>
  <c r="D322" i="1" l="1"/>
  <c r="E321" i="1"/>
  <c r="D323" i="1" l="1"/>
  <c r="E322" i="1"/>
  <c r="E323" i="1" l="1"/>
  <c r="D324" i="1"/>
  <c r="E324" i="1" l="1"/>
  <c r="D325" i="1"/>
  <c r="E325" i="1" l="1"/>
  <c r="D326" i="1"/>
  <c r="E326" i="1" l="1"/>
  <c r="D328" i="1"/>
  <c r="E328" i="1" l="1"/>
  <c r="D329" i="1"/>
  <c r="E329" i="1" l="1"/>
  <c r="D330" i="1"/>
  <c r="E330" i="1" l="1"/>
  <c r="D331" i="1"/>
  <c r="D332" i="1" l="1"/>
  <c r="E331" i="1"/>
  <c r="E332" i="1" l="1"/>
  <c r="D333" i="1"/>
  <c r="E333" i="1" l="1"/>
  <c r="D334" i="1"/>
  <c r="E334" i="1" l="1"/>
  <c r="D335" i="1"/>
  <c r="E335" i="1" l="1"/>
  <c r="D336" i="1"/>
  <c r="E336" i="1" l="1"/>
  <c r="D337" i="1"/>
  <c r="E337" i="1" l="1"/>
  <c r="D338" i="1"/>
  <c r="E338" i="1" l="1"/>
  <c r="D339" i="1"/>
  <c r="D340" i="1" s="1"/>
  <c r="D341" i="1" l="1"/>
  <c r="D342" i="1" s="1"/>
  <c r="E340" i="1"/>
  <c r="E339" i="1"/>
  <c r="D343" i="1" l="1"/>
  <c r="D344" i="1" s="1"/>
  <c r="E342" i="1"/>
  <c r="E341" i="1"/>
  <c r="E343" i="1" l="1"/>
  <c r="E344" i="1"/>
  <c r="D346" i="1"/>
  <c r="E346" i="1" l="1"/>
  <c r="D347" i="1"/>
  <c r="E347" i="1" l="1"/>
  <c r="D348" i="1"/>
  <c r="E348" i="1" l="1"/>
  <c r="D349" i="1"/>
  <c r="E349" i="1" l="1"/>
  <c r="D350" i="1"/>
  <c r="E350" i="1" l="1"/>
  <c r="D351" i="1"/>
  <c r="E351" i="1" l="1"/>
  <c r="D352" i="1"/>
  <c r="D353" i="1" l="1"/>
  <c r="E352" i="1"/>
  <c r="D355" i="1" l="1"/>
  <c r="E353" i="1"/>
  <c r="D356" i="1" l="1"/>
  <c r="E355" i="1"/>
  <c r="D358" i="1" l="1"/>
  <c r="E356" i="1"/>
  <c r="D359" i="1" l="1"/>
  <c r="E358" i="1"/>
  <c r="D360" i="1" l="1"/>
  <c r="E359" i="1"/>
  <c r="E360" i="1" l="1"/>
  <c r="D361" i="1"/>
  <c r="D362" i="1" l="1"/>
  <c r="E361" i="1"/>
  <c r="E362" i="1" l="1"/>
  <c r="D363" i="1"/>
  <c r="D364" i="1" l="1"/>
  <c r="E363" i="1"/>
  <c r="E364" i="1" l="1"/>
  <c r="D365" i="1"/>
  <c r="D366" i="1" l="1"/>
  <c r="E365" i="1"/>
  <c r="D367" i="1" l="1"/>
  <c r="E366" i="1"/>
  <c r="E367" i="1" l="1"/>
  <c r="D368" i="1"/>
  <c r="D369" i="1" l="1"/>
  <c r="E368" i="1"/>
  <c r="D370" i="1" l="1"/>
  <c r="E369" i="1"/>
  <c r="D372" i="1" l="1"/>
  <c r="E370" i="1"/>
  <c r="D373" i="1" l="1"/>
  <c r="E372" i="1"/>
  <c r="E373" i="1" l="1"/>
  <c r="D374" i="1"/>
  <c r="E374" i="1" l="1"/>
  <c r="D375" i="1"/>
  <c r="D376" i="1" l="1"/>
  <c r="E375" i="1"/>
  <c r="E376" i="1" l="1"/>
  <c r="D377" i="1"/>
  <c r="E377" i="1" l="1"/>
  <c r="D378" i="1"/>
  <c r="D380" i="1" l="1"/>
  <c r="E378" i="1"/>
  <c r="E380" i="1" l="1"/>
  <c r="D381" i="1"/>
  <c r="E381" i="1" l="1"/>
  <c r="D382" i="1"/>
  <c r="E382" i="1" l="1"/>
  <c r="D383" i="1"/>
  <c r="E383" i="1" l="1"/>
  <c r="D384" i="1"/>
  <c r="E384" i="1" l="1"/>
  <c r="D385" i="1"/>
  <c r="D386" i="1" l="1"/>
  <c r="E385" i="1"/>
  <c r="D387" i="1" l="1"/>
  <c r="E386" i="1"/>
  <c r="E387" i="1" l="1"/>
  <c r="D388" i="1"/>
  <c r="D390" i="1" l="1"/>
  <c r="E388" i="1"/>
  <c r="E390" i="1" l="1"/>
  <c r="D391" i="1"/>
  <c r="E391" i="1" l="1"/>
  <c r="D392" i="1"/>
  <c r="D393" i="1" l="1"/>
  <c r="E392" i="1"/>
  <c r="D395" i="1" l="1"/>
  <c r="E393" i="1"/>
  <c r="E395" i="1" l="1"/>
  <c r="D396" i="1"/>
  <c r="E396" i="1" l="1"/>
  <c r="D397" i="1"/>
  <c r="E397" i="1" l="1"/>
  <c r="D398" i="1"/>
  <c r="D399" i="1" l="1"/>
  <c r="E398" i="1"/>
  <c r="D400" i="1" l="1"/>
  <c r="E399" i="1"/>
  <c r="D401" i="1" l="1"/>
  <c r="E400" i="1"/>
  <c r="D402" i="1" l="1"/>
  <c r="E401" i="1"/>
  <c r="D404" i="1" l="1"/>
  <c r="E402" i="1"/>
  <c r="D405" i="1" l="1"/>
  <c r="E404" i="1"/>
  <c r="D406" i="1" l="1"/>
  <c r="E405" i="1"/>
  <c r="D407" i="1" l="1"/>
  <c r="E406" i="1"/>
  <c r="D408" i="1" l="1"/>
  <c r="E407" i="1"/>
  <c r="D409" i="1" l="1"/>
  <c r="E408" i="1"/>
  <c r="D410" i="1" l="1"/>
  <c r="E409" i="1"/>
  <c r="D411" i="1" l="1"/>
  <c r="E410" i="1"/>
  <c r="D412" i="1" l="1"/>
  <c r="E411" i="1"/>
  <c r="D413" i="1" l="1"/>
  <c r="E412" i="1"/>
  <c r="D414" i="1" l="1"/>
  <c r="E413" i="1"/>
  <c r="D415" i="1" l="1"/>
  <c r="E414" i="1"/>
  <c r="D416" i="1" l="1"/>
  <c r="E415" i="1"/>
  <c r="D417" i="1" l="1"/>
  <c r="E416" i="1"/>
  <c r="D418" i="1" l="1"/>
  <c r="E417" i="1"/>
  <c r="D419" i="1" l="1"/>
  <c r="E418" i="1"/>
  <c r="D421" i="1" l="1"/>
  <c r="E419" i="1"/>
  <c r="D422" i="1" l="1"/>
  <c r="E421" i="1"/>
  <c r="D423" i="1" l="1"/>
  <c r="E422" i="1"/>
  <c r="D424" i="1" l="1"/>
  <c r="E423" i="1"/>
  <c r="D427" i="1" l="1"/>
  <c r="E424" i="1"/>
  <c r="D428" i="1" l="1"/>
  <c r="E427" i="1"/>
  <c r="D429" i="1" l="1"/>
  <c r="E428" i="1"/>
  <c r="D430" i="1" l="1"/>
  <c r="E429" i="1"/>
  <c r="D431" i="1" l="1"/>
  <c r="E430" i="1"/>
  <c r="D432" i="1" l="1"/>
  <c r="E431" i="1"/>
  <c r="D433" i="1" l="1"/>
  <c r="E432" i="1"/>
  <c r="D434" i="1" l="1"/>
  <c r="E433" i="1"/>
  <c r="D435" i="1" l="1"/>
  <c r="E434" i="1"/>
  <c r="D436" i="1" l="1"/>
  <c r="E435" i="1"/>
  <c r="D437" i="1" l="1"/>
  <c r="E436" i="1"/>
  <c r="D438" i="1" l="1"/>
  <c r="E437" i="1"/>
  <c r="E438" i="1" l="1"/>
  <c r="D439" i="1"/>
  <c r="D440" i="1" l="1"/>
  <c r="E439" i="1"/>
  <c r="D442" i="1" l="1"/>
  <c r="E440" i="1"/>
  <c r="E442" i="1" l="1"/>
  <c r="D443" i="1"/>
  <c r="D444" i="1" l="1"/>
  <c r="E443" i="1"/>
  <c r="D445" i="1" l="1"/>
  <c r="E444" i="1"/>
  <c r="D446" i="1" l="1"/>
  <c r="E445" i="1"/>
  <c r="D447" i="1" l="1"/>
  <c r="E446" i="1"/>
  <c r="D448" i="1" l="1"/>
  <c r="E447" i="1"/>
  <c r="D449" i="1" l="1"/>
  <c r="E448" i="1"/>
  <c r="D450" i="1" l="1"/>
  <c r="E449" i="1"/>
  <c r="D451" i="1" l="1"/>
  <c r="E450" i="1"/>
  <c r="D452" i="1" l="1"/>
  <c r="E451" i="1"/>
  <c r="D453" i="1" l="1"/>
  <c r="E452" i="1"/>
  <c r="D454" i="1" l="1"/>
  <c r="E453" i="1"/>
  <c r="D455" i="1" l="1"/>
  <c r="E454" i="1"/>
  <c r="D456" i="1" l="1"/>
  <c r="E455" i="1"/>
  <c r="E456" i="1" l="1"/>
  <c r="D458" i="1"/>
  <c r="D459" i="1" l="1"/>
  <c r="E458" i="1"/>
  <c r="D460" i="1" l="1"/>
  <c r="E459" i="1"/>
  <c r="D461" i="1" l="1"/>
  <c r="E460" i="1"/>
  <c r="D462" i="1" l="1"/>
  <c r="E461" i="1"/>
  <c r="D463" i="1" l="1"/>
  <c r="E462" i="1"/>
  <c r="D464" i="1" l="1"/>
  <c r="E463" i="1"/>
  <c r="D465" i="1" l="1"/>
  <c r="E464" i="1"/>
  <c r="E465" i="1" l="1"/>
  <c r="D467" i="1"/>
  <c r="D468" i="1" l="1"/>
  <c r="E467" i="1"/>
  <c r="D470" i="1" l="1"/>
  <c r="E468" i="1"/>
  <c r="D471" i="1" l="1"/>
  <c r="E470" i="1"/>
  <c r="D472" i="1" l="1"/>
  <c r="E471" i="1"/>
  <c r="D473" i="1" l="1"/>
  <c r="E472" i="1"/>
  <c r="D474" i="1" l="1"/>
  <c r="E473" i="1"/>
  <c r="D475" i="1" l="1"/>
  <c r="E474" i="1"/>
  <c r="D476" i="1" l="1"/>
  <c r="E475" i="1"/>
  <c r="D478" i="1" l="1"/>
  <c r="E476" i="1"/>
  <c r="D479" i="1" l="1"/>
  <c r="E478" i="1"/>
  <c r="D480" i="1" l="1"/>
  <c r="E479" i="1"/>
  <c r="D481" i="1" l="1"/>
  <c r="E480" i="1"/>
  <c r="D482" i="1" l="1"/>
  <c r="E481" i="1"/>
  <c r="E482" i="1" l="1"/>
  <c r="D483" i="1"/>
  <c r="D484" i="1" l="1"/>
  <c r="E483" i="1"/>
  <c r="D485" i="1" l="1"/>
  <c r="E484" i="1"/>
  <c r="E485" i="1" l="1"/>
  <c r="D486" i="1"/>
  <c r="E486" i="1" l="1"/>
  <c r="D488" i="1"/>
  <c r="D489" i="1" l="1"/>
  <c r="E488" i="1"/>
  <c r="E489" i="1" l="1"/>
  <c r="D490" i="1"/>
  <c r="E490" i="1" l="1"/>
  <c r="D491" i="1"/>
  <c r="D493" i="1" l="1"/>
  <c r="E491" i="1"/>
  <c r="D494" i="1" l="1"/>
  <c r="E493" i="1"/>
  <c r="D495" i="1" l="1"/>
  <c r="E494" i="1"/>
  <c r="D496" i="1" l="1"/>
  <c r="E495" i="1"/>
  <c r="E496" i="1" l="1"/>
  <c r="D497" i="1"/>
  <c r="D498" i="1" l="1"/>
  <c r="E497" i="1"/>
  <c r="D499" i="1" l="1"/>
  <c r="E498" i="1"/>
  <c r="D500" i="1" l="1"/>
  <c r="E499" i="1"/>
  <c r="E500" i="1" l="1"/>
  <c r="D502" i="1"/>
  <c r="D503" i="1" l="1"/>
  <c r="E502" i="1"/>
  <c r="D504" i="1" l="1"/>
  <c r="E503" i="1"/>
  <c r="D505" i="1" l="1"/>
  <c r="E504" i="1"/>
  <c r="D506" i="1" l="1"/>
  <c r="E505" i="1"/>
  <c r="D507" i="1" l="1"/>
  <c r="E506" i="1"/>
  <c r="D508" i="1" l="1"/>
  <c r="E507" i="1"/>
  <c r="D509" i="1" l="1"/>
  <c r="E508" i="1"/>
  <c r="D510" i="1" l="1"/>
  <c r="E509" i="1"/>
  <c r="D511" i="1" l="1"/>
  <c r="E510" i="1"/>
  <c r="D512" i="1" l="1"/>
  <c r="E511" i="1"/>
  <c r="D513" i="1" l="1"/>
  <c r="E512" i="1"/>
  <c r="E513" i="1" l="1"/>
  <c r="D514" i="1"/>
  <c r="E514" i="1" l="1"/>
  <c r="D515" i="1"/>
  <c r="E515" i="1" l="1"/>
  <c r="D516" i="1"/>
  <c r="D517" i="1" l="1"/>
  <c r="E516" i="1"/>
  <c r="E517" i="1" l="1"/>
  <c r="D519" i="1"/>
  <c r="E519" i="1" l="1"/>
  <c r="D520" i="1"/>
  <c r="D521" i="1" l="1"/>
  <c r="D525" i="1" s="1"/>
  <c r="E520" i="1"/>
  <c r="D522" i="1" l="1"/>
  <c r="E521" i="1"/>
  <c r="E522" i="1" l="1"/>
  <c r="D526" i="1" l="1"/>
  <c r="E525" i="1"/>
  <c r="D527" i="1" l="1"/>
  <c r="E526" i="1"/>
  <c r="D528" i="1" l="1"/>
  <c r="E527" i="1"/>
  <c r="D529" i="1" l="1"/>
  <c r="E528" i="1"/>
  <c r="D530" i="1" l="1"/>
  <c r="E529" i="1"/>
  <c r="D531" i="1" l="1"/>
  <c r="E530" i="1"/>
  <c r="E531" i="1" l="1"/>
  <c r="D532" i="1"/>
  <c r="E532" i="1" l="1"/>
  <c r="D533" i="1"/>
  <c r="E533" i="1" l="1"/>
  <c r="D534" i="1"/>
  <c r="E534" i="1" l="1"/>
  <c r="D535" i="1"/>
  <c r="E535" i="1" l="1"/>
  <c r="D536" i="1"/>
  <c r="E536" i="1" l="1"/>
  <c r="D537" i="1"/>
  <c r="E537" i="1" l="1"/>
  <c r="D538" i="1"/>
  <c r="E538" i="1" l="1"/>
  <c r="D540" i="1"/>
  <c r="E540" i="1" l="1"/>
  <c r="D541" i="1"/>
  <c r="E541" i="1" l="1"/>
  <c r="D542" i="1"/>
  <c r="E542" i="1" l="1"/>
  <c r="D543" i="1"/>
  <c r="E543" i="1" l="1"/>
  <c r="D544" i="1"/>
  <c r="E544" i="1" l="1"/>
  <c r="D545" i="1"/>
  <c r="E545" i="1" l="1"/>
  <c r="D546" i="1"/>
  <c r="E546" i="1" l="1"/>
  <c r="D547" i="1"/>
  <c r="E547" i="1" l="1"/>
  <c r="D548" i="1"/>
  <c r="E548" i="1" l="1"/>
  <c r="D549" i="1"/>
  <c r="E549" i="1" l="1"/>
  <c r="D550" i="1"/>
  <c r="E550" i="1" l="1"/>
  <c r="D551" i="1"/>
  <c r="E551" i="1" l="1"/>
  <c r="D552" i="1"/>
  <c r="D553" i="1" l="1"/>
  <c r="E552" i="1"/>
  <c r="D554" i="1" l="1"/>
  <c r="E553" i="1"/>
  <c r="E554" i="1" l="1"/>
  <c r="D556" i="1"/>
  <c r="E556" i="1" l="1"/>
  <c r="D557" i="1"/>
  <c r="E557" i="1" l="1"/>
  <c r="D558" i="1"/>
  <c r="E558" i="1" l="1"/>
  <c r="D559" i="1"/>
  <c r="E559" i="1" l="1"/>
  <c r="D560" i="1"/>
  <c r="E560" i="1" l="1"/>
  <c r="D561" i="1"/>
  <c r="E561" i="1" l="1"/>
  <c r="D562" i="1"/>
  <c r="E562" i="1" l="1"/>
  <c r="D563" i="1"/>
  <c r="E563" i="1" l="1"/>
  <c r="D565" i="1"/>
  <c r="E565" i="1" l="1"/>
  <c r="D566" i="1"/>
  <c r="E566" i="1" l="1"/>
  <c r="D568" i="1"/>
  <c r="E568" i="1" l="1"/>
  <c r="D569" i="1"/>
  <c r="E569" i="1" l="1"/>
  <c r="D570" i="1"/>
  <c r="E570" i="1" l="1"/>
  <c r="D571" i="1"/>
  <c r="E571" i="1" l="1"/>
  <c r="D572" i="1"/>
  <c r="E572" i="1" l="1"/>
  <c r="D573" i="1"/>
  <c r="E573" i="1" l="1"/>
  <c r="D574" i="1"/>
  <c r="E574" i="1" l="1"/>
  <c r="D576" i="1"/>
  <c r="E576" i="1" l="1"/>
  <c r="D577" i="1"/>
  <c r="E577" i="1" l="1"/>
  <c r="D578" i="1"/>
  <c r="E578" i="1" l="1"/>
  <c r="D579" i="1"/>
  <c r="E579" i="1" l="1"/>
  <c r="D580" i="1"/>
  <c r="E580" i="1" l="1"/>
  <c r="D581" i="1"/>
  <c r="E581" i="1" l="1"/>
  <c r="D582" i="1"/>
  <c r="E582" i="1" l="1"/>
  <c r="D583" i="1"/>
  <c r="E583" i="1" l="1"/>
  <c r="D584" i="1"/>
  <c r="D586" i="1" l="1"/>
  <c r="E584" i="1"/>
  <c r="D587" i="1" l="1"/>
  <c r="E586" i="1"/>
  <c r="D588" i="1" l="1"/>
  <c r="E587" i="1"/>
  <c r="E588" i="1" l="1"/>
  <c r="D589" i="1"/>
  <c r="E589" i="1" l="1"/>
  <c r="D591" i="1"/>
  <c r="D592" i="1" l="1"/>
  <c r="E591" i="1"/>
  <c r="D593" i="1" l="1"/>
  <c r="E592" i="1"/>
  <c r="D594" i="1" l="1"/>
  <c r="E593" i="1"/>
  <c r="D595" i="1" l="1"/>
  <c r="E594" i="1"/>
  <c r="D596" i="1" l="1"/>
  <c r="E595" i="1"/>
  <c r="E596" i="1" l="1"/>
  <c r="D597" i="1"/>
  <c r="D598" i="1" l="1"/>
  <c r="E597" i="1"/>
  <c r="E598" i="1" l="1"/>
  <c r="D600" i="1"/>
  <c r="D601" i="1" l="1"/>
  <c r="E600" i="1"/>
  <c r="E601" i="1" l="1"/>
  <c r="D602" i="1"/>
  <c r="E602" i="1" l="1"/>
  <c r="D603" i="1"/>
  <c r="E603" i="1" l="1"/>
  <c r="D604" i="1"/>
  <c r="E604" i="1" l="1"/>
  <c r="D605" i="1"/>
  <c r="D606" i="1" l="1"/>
  <c r="E605" i="1"/>
  <c r="E606" i="1" l="1"/>
  <c r="D607" i="1"/>
  <c r="E607" i="1" l="1"/>
  <c r="D608" i="1"/>
  <c r="E608" i="1" l="1"/>
  <c r="D609" i="1"/>
  <c r="E609" i="1" l="1"/>
  <c r="D610" i="1"/>
  <c r="E610" i="1" l="1"/>
  <c r="D611" i="1"/>
  <c r="E611" i="1" l="1"/>
  <c r="D612" i="1"/>
  <c r="D613" i="1" l="1"/>
  <c r="E612" i="1"/>
  <c r="E613" i="1" l="1"/>
  <c r="D614" i="1"/>
  <c r="D615" i="1" l="1"/>
  <c r="E614" i="1"/>
  <c r="E615" i="1" l="1"/>
  <c r="D617" i="1"/>
  <c r="E617" i="1" l="1"/>
  <c r="D618" i="1"/>
  <c r="E618" i="1" l="1"/>
  <c r="D619" i="1"/>
  <c r="D620" i="1" l="1"/>
  <c r="E619" i="1"/>
  <c r="D621" i="1" l="1"/>
  <c r="E620" i="1"/>
  <c r="E621" i="1" l="1"/>
  <c r="D624" i="1"/>
  <c r="D625" i="1" l="1"/>
  <c r="E624" i="1"/>
  <c r="D626" i="1" l="1"/>
  <c r="E625" i="1"/>
  <c r="D627" i="1" l="1"/>
  <c r="E626" i="1"/>
  <c r="D628" i="1" l="1"/>
  <c r="E627" i="1"/>
  <c r="D629" i="1" l="1"/>
  <c r="E628" i="1"/>
  <c r="D630" i="1" l="1"/>
  <c r="E629" i="1"/>
  <c r="D631" i="1" l="1"/>
  <c r="E630" i="1"/>
  <c r="E631" i="1" l="1"/>
  <c r="D632" i="1"/>
  <c r="D633" i="1" l="1"/>
  <c r="E632" i="1"/>
  <c r="D634" i="1" l="1"/>
  <c r="E633" i="1"/>
  <c r="D635" i="1" l="1"/>
  <c r="E634" i="1"/>
  <c r="D636" i="1" l="1"/>
  <c r="E635" i="1"/>
  <c r="E636" i="1" l="1"/>
  <c r="D637" i="1"/>
  <c r="D639" i="1" l="1"/>
  <c r="E637" i="1"/>
  <c r="D640" i="1" l="1"/>
  <c r="E639" i="1"/>
  <c r="D641" i="1" l="1"/>
  <c r="E640" i="1"/>
  <c r="D642" i="1" l="1"/>
  <c r="E641" i="1"/>
  <c r="D643" i="1" l="1"/>
  <c r="E642" i="1"/>
  <c r="D644" i="1" l="1"/>
  <c r="E643" i="1"/>
  <c r="D645" i="1" l="1"/>
  <c r="E644" i="1"/>
  <c r="D646" i="1" l="1"/>
  <c r="E645" i="1"/>
  <c r="D647" i="1" l="1"/>
  <c r="E646" i="1"/>
  <c r="D648" i="1" l="1"/>
  <c r="E647" i="1"/>
  <c r="D649" i="1" l="1"/>
  <c r="E648" i="1"/>
  <c r="D650" i="1" l="1"/>
  <c r="E649" i="1"/>
  <c r="D651" i="1" l="1"/>
  <c r="E650" i="1"/>
  <c r="D652" i="1" l="1"/>
  <c r="E651" i="1"/>
  <c r="D653" i="1" l="1"/>
  <c r="E652" i="1"/>
  <c r="D655" i="1" l="1"/>
  <c r="E653" i="1"/>
  <c r="D656" i="1" l="1"/>
  <c r="E655" i="1"/>
  <c r="E656" i="1" l="1"/>
  <c r="D657" i="1"/>
  <c r="D658" i="1" l="1"/>
  <c r="E657" i="1"/>
  <c r="D659" i="1" l="1"/>
  <c r="E658" i="1"/>
  <c r="D660" i="1" l="1"/>
  <c r="E659" i="1"/>
  <c r="E660" i="1" l="1"/>
  <c r="D661" i="1"/>
  <c r="D662" i="1" l="1"/>
  <c r="E661" i="1"/>
  <c r="D664" i="1" l="1"/>
  <c r="E662" i="1"/>
  <c r="E664" i="1" l="1"/>
  <c r="D665" i="1"/>
  <c r="E665" i="1" l="1"/>
  <c r="D667" i="1"/>
  <c r="E667" i="1" l="1"/>
  <c r="D668" i="1"/>
  <c r="E668" i="1" l="1"/>
  <c r="D669" i="1"/>
  <c r="E669" i="1" l="1"/>
  <c r="D670" i="1"/>
  <c r="E670" i="1" l="1"/>
  <c r="D671" i="1"/>
  <c r="E671" i="1" l="1"/>
  <c r="D672" i="1"/>
  <c r="D673" i="1" l="1"/>
  <c r="E672" i="1"/>
  <c r="E673" i="1" l="1"/>
  <c r="D674" i="1"/>
  <c r="E674" i="1" l="1"/>
  <c r="D675" i="1"/>
  <c r="E675" i="1" l="1"/>
  <c r="D676" i="1"/>
  <c r="E676" i="1" l="1"/>
  <c r="D677" i="1"/>
  <c r="E677" i="1" l="1"/>
  <c r="D679" i="1"/>
  <c r="E679" i="1" l="1"/>
  <c r="D680" i="1"/>
  <c r="D681" i="1" l="1"/>
  <c r="E680" i="1"/>
  <c r="E681" i="1" l="1"/>
  <c r="D682" i="1"/>
  <c r="D683" i="1" l="1"/>
  <c r="E682" i="1"/>
  <c r="E683" i="1" l="1"/>
  <c r="D684" i="1"/>
  <c r="E684" i="1" l="1"/>
  <c r="D685" i="1"/>
  <c r="E685" i="1" l="1"/>
  <c r="D686" i="1"/>
  <c r="E686" i="1" l="1"/>
  <c r="D687" i="1"/>
  <c r="E687" i="1" l="1"/>
  <c r="D689" i="1"/>
  <c r="E689" i="1" l="1"/>
  <c r="D690" i="1"/>
  <c r="D691" i="1" l="1"/>
  <c r="E690" i="1"/>
  <c r="E691" i="1" l="1"/>
  <c r="D692" i="1"/>
  <c r="E692" i="1" l="1"/>
  <c r="D694" i="1"/>
  <c r="E694" i="1" l="1"/>
  <c r="D695" i="1"/>
  <c r="E695" i="1" l="1"/>
  <c r="D696" i="1"/>
  <c r="E696" i="1" l="1"/>
  <c r="D697" i="1"/>
  <c r="E697" i="1" l="1"/>
  <c r="D698" i="1"/>
  <c r="E698" i="1" l="1"/>
  <c r="D699" i="1"/>
  <c r="E699" i="1" l="1"/>
  <c r="D700" i="1"/>
  <c r="E700" i="1" l="1"/>
  <c r="D701" i="1"/>
  <c r="D703" i="1" l="1"/>
  <c r="E701" i="1"/>
  <c r="D704" i="1" l="1"/>
  <c r="E703" i="1"/>
  <c r="D705" i="1" l="1"/>
  <c r="E704" i="1"/>
  <c r="E705" i="1" l="1"/>
  <c r="D706" i="1"/>
  <c r="D707" i="1" l="1"/>
  <c r="E706" i="1"/>
  <c r="D708" i="1" l="1"/>
  <c r="E707" i="1"/>
  <c r="E708" i="1" l="1"/>
  <c r="D709" i="1"/>
  <c r="D710" i="1" l="1"/>
  <c r="E709" i="1"/>
  <c r="E710" i="1" l="1"/>
  <c r="D711" i="1"/>
  <c r="E711" i="1" l="1"/>
  <c r="D712" i="1"/>
  <c r="E712" i="1" l="1"/>
  <c r="D713" i="1"/>
  <c r="E713" i="1" l="1"/>
  <c r="D714" i="1"/>
  <c r="D715" i="1" l="1"/>
  <c r="E714" i="1"/>
  <c r="E715" i="1" l="1"/>
  <c r="D716" i="1"/>
  <c r="D717" i="1" l="1"/>
  <c r="E716" i="1"/>
  <c r="D718" i="1" l="1"/>
  <c r="E717" i="1"/>
  <c r="D720" i="1" l="1"/>
  <c r="E718" i="1"/>
  <c r="E720" i="1" l="1"/>
  <c r="D721" i="1"/>
  <c r="D722" i="1" l="1"/>
  <c r="E721" i="1"/>
  <c r="D723" i="1" l="1"/>
  <c r="E722" i="1"/>
  <c r="D724" i="1" l="1"/>
  <c r="D727" i="1"/>
  <c r="E723" i="1"/>
  <c r="E724" i="1" l="1"/>
  <c r="D728" i="1" l="1"/>
  <c r="E727" i="1"/>
  <c r="E728" i="1" l="1"/>
  <c r="D729" i="1"/>
  <c r="D730" i="1" l="1"/>
  <c r="E729" i="1"/>
  <c r="D731" i="1" l="1"/>
  <c r="E730" i="1"/>
  <c r="D732" i="1" l="1"/>
  <c r="E731" i="1"/>
  <c r="D733" i="1" l="1"/>
  <c r="E732" i="1"/>
  <c r="E733" i="1" l="1"/>
  <c r="D734" i="1"/>
  <c r="E734" i="1" l="1"/>
  <c r="D735" i="1"/>
  <c r="E735" i="1" l="1"/>
  <c r="D736" i="1"/>
  <c r="E736" i="1" l="1"/>
  <c r="D737" i="1"/>
  <c r="E737" i="1" l="1"/>
  <c r="D738" i="1"/>
  <c r="D739" i="1" l="1"/>
  <c r="E738" i="1"/>
  <c r="D740" i="1" l="1"/>
  <c r="E739" i="1"/>
  <c r="D742" i="1" l="1"/>
  <c r="E740" i="1"/>
  <c r="D743" i="1" l="1"/>
  <c r="E742" i="1"/>
  <c r="D744" i="1" l="1"/>
  <c r="E743" i="1"/>
  <c r="D745" i="1" l="1"/>
  <c r="E744" i="1"/>
  <c r="D746" i="1" l="1"/>
  <c r="E745" i="1"/>
  <c r="E746" i="1" l="1"/>
  <c r="D747" i="1"/>
  <c r="E747" i="1" l="1"/>
  <c r="D748" i="1"/>
  <c r="D749" i="1" l="1"/>
  <c r="E748" i="1"/>
  <c r="E749" i="1" l="1"/>
  <c r="D750" i="1"/>
  <c r="D751" i="1" l="1"/>
  <c r="E750" i="1"/>
  <c r="E751" i="1" l="1"/>
  <c r="D752" i="1"/>
  <c r="D753" i="1" l="1"/>
  <c r="E752" i="1"/>
  <c r="D754" i="1" l="1"/>
  <c r="E753" i="1"/>
  <c r="E754" i="1" l="1"/>
  <c r="D755" i="1"/>
  <c r="E755" i="1" l="1"/>
  <c r="D756" i="1"/>
  <c r="E756" i="1" l="1"/>
  <c r="D758" i="1"/>
  <c r="D759" i="1" l="1"/>
  <c r="E758" i="1"/>
  <c r="D760" i="1" l="1"/>
  <c r="E759" i="1"/>
  <c r="D761" i="1" l="1"/>
  <c r="E760" i="1"/>
  <c r="D762" i="1" l="1"/>
  <c r="E761" i="1"/>
  <c r="E762" i="1" l="1"/>
  <c r="D763" i="1"/>
  <c r="E763" i="1" l="1"/>
  <c r="D764" i="1"/>
  <c r="D765" i="1" l="1"/>
  <c r="E764" i="1"/>
  <c r="D767" i="1" l="1"/>
  <c r="E765" i="1"/>
  <c r="E767" i="1" l="1"/>
  <c r="D768" i="1"/>
  <c r="E768" i="1" l="1"/>
  <c r="D770" i="1"/>
  <c r="E770" i="1" l="1"/>
  <c r="D771" i="1"/>
  <c r="D772" i="1" l="1"/>
  <c r="E771" i="1"/>
  <c r="D773" i="1" l="1"/>
  <c r="E772" i="1"/>
  <c r="E773" i="1" l="1"/>
  <c r="D774" i="1"/>
  <c r="E774" i="1" l="1"/>
  <c r="D775" i="1"/>
  <c r="D776" i="1" l="1"/>
  <c r="E775" i="1"/>
  <c r="E776" i="1" l="1"/>
  <c r="D777" i="1"/>
  <c r="D778" i="1" l="1"/>
  <c r="E777" i="1"/>
  <c r="D779" i="1" l="1"/>
  <c r="E778" i="1"/>
  <c r="E779" i="1" l="1"/>
  <c r="D780" i="1"/>
  <c r="E780" i="1" l="1"/>
  <c r="D781" i="1"/>
  <c r="E781" i="1" l="1"/>
  <c r="D782" i="1"/>
  <c r="E782" i="1" l="1"/>
  <c r="D783" i="1"/>
  <c r="D784" i="1" l="1"/>
  <c r="E783" i="1"/>
  <c r="D785" i="1" l="1"/>
  <c r="E784" i="1"/>
  <c r="E785" i="1" l="1"/>
  <c r="D787" i="1"/>
  <c r="E787" i="1" l="1"/>
  <c r="D788" i="1"/>
  <c r="D789" i="1" l="1"/>
  <c r="E788" i="1"/>
  <c r="E789" i="1" l="1"/>
  <c r="D790" i="1"/>
  <c r="D791" i="1" l="1"/>
  <c r="E790" i="1"/>
  <c r="D792" i="1" l="1"/>
  <c r="E791" i="1"/>
  <c r="E792" i="1" l="1"/>
  <c r="D793" i="1"/>
  <c r="E793" i="1" l="1"/>
  <c r="D794" i="1"/>
  <c r="D795" i="1" l="1"/>
  <c r="E794" i="1"/>
  <c r="D797" i="1" l="1"/>
  <c r="E795" i="1"/>
  <c r="E797" i="1" l="1"/>
  <c r="D798" i="1"/>
  <c r="E798" i="1" l="1"/>
  <c r="D799" i="1"/>
  <c r="E799" i="1" l="1"/>
  <c r="D800" i="1"/>
  <c r="D802" i="1" l="1"/>
  <c r="E800" i="1"/>
  <c r="E802" i="1" l="1"/>
  <c r="D803" i="1"/>
  <c r="E803" i="1" l="1"/>
  <c r="D804" i="1"/>
  <c r="D805" i="1" l="1"/>
  <c r="E804" i="1"/>
  <c r="D806" i="1" l="1"/>
  <c r="E805" i="1"/>
  <c r="E806" i="1" l="1"/>
  <c r="D807" i="1"/>
  <c r="D809" i="1" l="1"/>
  <c r="E807" i="1"/>
  <c r="D810" i="1" l="1"/>
  <c r="E809" i="1"/>
  <c r="E810" i="1" l="1"/>
  <c r="D811" i="1"/>
  <c r="E811" i="1" l="1"/>
  <c r="D812" i="1"/>
  <c r="E812" i="1" l="1"/>
  <c r="D813" i="1"/>
  <c r="E813" i="1" l="1"/>
  <c r="D814" i="1"/>
  <c r="E814" i="1" l="1"/>
  <c r="D815" i="1"/>
  <c r="D816" i="1" l="1"/>
  <c r="E815" i="1"/>
  <c r="E816" i="1" l="1"/>
  <c r="D817" i="1"/>
  <c r="E817" i="1" l="1"/>
  <c r="D818" i="1"/>
  <c r="E818" i="1" l="1"/>
  <c r="D819" i="1"/>
  <c r="E819" i="1" l="1"/>
  <c r="D820" i="1"/>
  <c r="E820" i="1" l="1"/>
  <c r="D821" i="1"/>
  <c r="E821" i="1" l="1"/>
  <c r="D822" i="1"/>
  <c r="D823" i="1" l="1"/>
  <c r="E822" i="1"/>
  <c r="E823" i="1" l="1"/>
  <c r="D826" i="1" l="1"/>
  <c r="E824" i="1"/>
  <c r="E826" i="1" l="1"/>
  <c r="D827" i="1"/>
  <c r="E827" i="1" l="1"/>
  <c r="D828" i="1"/>
  <c r="E828" i="1" l="1"/>
  <c r="D829" i="1"/>
  <c r="E829" i="1" l="1"/>
  <c r="D832" i="1"/>
  <c r="E832" i="1" l="1"/>
  <c r="D833" i="1"/>
  <c r="D834" i="1" l="1"/>
  <c r="E833" i="1"/>
  <c r="E834" i="1" l="1"/>
  <c r="D835" i="1"/>
  <c r="E835" i="1" l="1"/>
  <c r="D836" i="1"/>
  <c r="E836" i="1" l="1"/>
  <c r="D837" i="1"/>
  <c r="D838" i="1" l="1"/>
  <c r="E837" i="1"/>
  <c r="D839" i="1" l="1"/>
  <c r="E838" i="1"/>
  <c r="D840" i="1" l="1"/>
  <c r="E839" i="1"/>
  <c r="E840" i="1" l="1"/>
  <c r="D841" i="1"/>
  <c r="D842" i="1" l="1"/>
  <c r="E841" i="1"/>
  <c r="E842" i="1" l="1"/>
  <c r="D843" i="1"/>
  <c r="D844" i="1" l="1"/>
  <c r="E843" i="1"/>
  <c r="E844" i="1" l="1"/>
  <c r="D845" i="1"/>
  <c r="D847" i="1" l="1"/>
  <c r="E845" i="1"/>
  <c r="E847" i="1" l="1"/>
  <c r="D848" i="1"/>
  <c r="D849" i="1" l="1"/>
  <c r="E848" i="1"/>
  <c r="E849" i="1" l="1"/>
  <c r="D850" i="1"/>
  <c r="D851" i="1" l="1"/>
  <c r="E850" i="1"/>
  <c r="E851" i="1" l="1"/>
  <c r="D852" i="1"/>
  <c r="D853" i="1" l="1"/>
  <c r="E852" i="1"/>
  <c r="D854" i="1" l="1"/>
  <c r="E853" i="1"/>
  <c r="E854" i="1" l="1"/>
  <c r="D855" i="1"/>
  <c r="D856" i="1" l="1"/>
  <c r="E855" i="1"/>
  <c r="E856" i="1" l="1"/>
  <c r="D857" i="1"/>
  <c r="D858" i="1" l="1"/>
  <c r="E857" i="1"/>
  <c r="D859" i="1" l="1"/>
  <c r="E858" i="1"/>
  <c r="D860" i="1" l="1"/>
  <c r="E859" i="1"/>
  <c r="D861" i="1" l="1"/>
  <c r="E860" i="1"/>
  <c r="E861" i="1" l="1"/>
  <c r="D863" i="1"/>
  <c r="E863" i="1" l="1"/>
  <c r="D864" i="1"/>
  <c r="E864" i="1" l="1"/>
  <c r="D865" i="1"/>
  <c r="D866" i="1" l="1"/>
  <c r="E865" i="1"/>
  <c r="E866" i="1" l="1"/>
  <c r="D867" i="1"/>
  <c r="D868" i="1" l="1"/>
  <c r="E867" i="1"/>
  <c r="D869" i="1" l="1"/>
  <c r="E868" i="1"/>
  <c r="D870" i="1" l="1"/>
  <c r="E869" i="1"/>
  <c r="D872" i="1" l="1"/>
  <c r="E870" i="1"/>
  <c r="D873" i="1" l="1"/>
  <c r="E872" i="1"/>
  <c r="E873" i="1" l="1"/>
  <c r="D875" i="1"/>
  <c r="D876" i="1" l="1"/>
  <c r="E875" i="1"/>
  <c r="D877" i="1" l="1"/>
  <c r="E876" i="1"/>
  <c r="E877" i="1" l="1"/>
  <c r="D878" i="1"/>
  <c r="D879" i="1" l="1"/>
  <c r="E878" i="1"/>
  <c r="D880" i="1" l="1"/>
  <c r="E879" i="1"/>
  <c r="D881" i="1" l="1"/>
  <c r="E880" i="1"/>
  <c r="D882" i="1" l="1"/>
  <c r="E881" i="1"/>
  <c r="D883" i="1" l="1"/>
  <c r="E882" i="1"/>
  <c r="D884" i="1" l="1"/>
  <c r="E883" i="1"/>
  <c r="D885" i="1" l="1"/>
  <c r="E884" i="1"/>
  <c r="E885" i="1" l="1"/>
  <c r="D886" i="1"/>
  <c r="E886" i="1" l="1"/>
  <c r="D887" i="1"/>
  <c r="D888" i="1" l="1"/>
  <c r="E887" i="1"/>
  <c r="D889" i="1" l="1"/>
  <c r="E888" i="1"/>
  <c r="D890" i="1" l="1"/>
  <c r="E889" i="1"/>
  <c r="D892" i="1" l="1"/>
  <c r="E890" i="1"/>
  <c r="D893" i="1" l="1"/>
  <c r="E892" i="1"/>
  <c r="E893" i="1" l="1"/>
  <c r="D894" i="1"/>
  <c r="D895" i="1" l="1"/>
  <c r="E894" i="1"/>
  <c r="D896" i="1" l="1"/>
  <c r="E895" i="1"/>
  <c r="E896" i="1" l="1"/>
  <c r="D897" i="1"/>
  <c r="D898" i="1" l="1"/>
  <c r="E897" i="1"/>
  <c r="E898" i="1" l="1"/>
  <c r="D900" i="1"/>
  <c r="D901" i="1" l="1"/>
  <c r="E900" i="1"/>
  <c r="E901" i="1" l="1"/>
  <c r="D902" i="1"/>
  <c r="E902" i="1" l="1"/>
  <c r="D903" i="1"/>
  <c r="E903" i="1" l="1"/>
  <c r="D904" i="1"/>
  <c r="E904" i="1" l="1"/>
  <c r="D905" i="1"/>
  <c r="D906" i="1" l="1"/>
  <c r="E905" i="1"/>
  <c r="D907" i="1" l="1"/>
  <c r="E906" i="1"/>
  <c r="D908" i="1" l="1"/>
  <c r="E907" i="1"/>
  <c r="D910" i="1" l="1"/>
  <c r="E908" i="1"/>
  <c r="D911" i="1" l="1"/>
  <c r="E910" i="1"/>
  <c r="D912" i="1" l="1"/>
  <c r="E911" i="1"/>
  <c r="D913" i="1" l="1"/>
  <c r="E912" i="1"/>
  <c r="D915" i="1" l="1"/>
  <c r="E913" i="1"/>
  <c r="D916" i="1" l="1"/>
  <c r="E915" i="1"/>
  <c r="D917" i="1" l="1"/>
  <c r="E916" i="1"/>
  <c r="D918" i="1" l="1"/>
  <c r="E917" i="1"/>
  <c r="E918" i="1" l="1"/>
  <c r="D919" i="1"/>
  <c r="D920" i="1" l="1"/>
  <c r="E919" i="1"/>
  <c r="D921" i="1" l="1"/>
  <c r="E920" i="1"/>
  <c r="D922" i="1" l="1"/>
  <c r="E921" i="1"/>
  <c r="E922" i="1" l="1"/>
  <c r="D923" i="1"/>
  <c r="D924" i="1" l="1"/>
  <c r="E923" i="1"/>
  <c r="D925" i="1" l="1"/>
  <c r="E925" i="1" s="1"/>
  <c r="E927" i="1" s="1"/>
  <c r="E924" i="1"/>
</calcChain>
</file>

<file path=xl/sharedStrings.xml><?xml version="1.0" encoding="utf-8"?>
<sst xmlns="http://schemas.openxmlformats.org/spreadsheetml/2006/main" count="4271" uniqueCount="724">
  <si>
    <t>Y</t>
  </si>
  <si>
    <t>District Code</t>
  </si>
  <si>
    <t>School Code</t>
  </si>
  <si>
    <t>District Name</t>
  </si>
  <si>
    <t>School Name</t>
  </si>
  <si>
    <t>School Type</t>
  </si>
  <si>
    <t>N</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</si>
  <si>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</si>
  <si>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</si>
  <si>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</si>
  <si>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</si>
  <si>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</si>
  <si>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</si>
  <si>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</si>
  <si>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</si>
  <si>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</si>
  <si>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</si>
  <si>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</si>
  <si>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</si>
  <si>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</si>
  <si>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</si>
  <si>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</si>
  <si>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</si>
  <si>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</si>
  <si>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</si>
  <si>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</si>
  <si>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</si>
  <si>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</si>
  <si>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</si>
  <si>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</si>
  <si>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</si>
  <si>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</si>
  <si>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</si>
  <si>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</si>
  <si>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</si>
  <si>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</si>
  <si>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</si>
  <si>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</si>
  <si>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</si>
  <si>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</si>
  <si>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</si>
  <si>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</si>
  <si>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</si>
  <si>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 xml:space="preserve">Include in LDE Staff &amp; Contractors file </t>
  </si>
  <si>
    <t>Include in Researcher file</t>
  </si>
  <si>
    <t>Field Use</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</si>
  <si>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</si>
  <si>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</si>
  <si>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</si>
  <si>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</si>
  <si>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</si>
  <si>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</si>
  <si>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</si>
  <si>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</si>
  <si>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</si>
  <si>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</si>
  <si>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</si>
  <si>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</si>
  <si>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</si>
  <si>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</si>
  <si>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</si>
  <si>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</si>
  <si>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</si>
  <si>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</si>
  <si>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</si>
  <si>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</si>
  <si>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</si>
  <si>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</si>
  <si>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</si>
  <si>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</si>
  <si>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</si>
  <si>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</si>
  <si>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</si>
  <si>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</si>
  <si>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</si>
  <si>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</si>
  <si>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</si>
  <si>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</si>
  <si>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</si>
  <si>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</si>
  <si>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</si>
  <si>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</si>
  <si>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</si>
  <si>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</si>
  <si>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</si>
  <si>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</si>
  <si>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</si>
  <si>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</si>
  <si>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</si>
  <si>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</si>
  <si>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</si>
  <si>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</si>
  <si>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</si>
  <si>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</si>
  <si>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BIOLOGY</t>
  </si>
  <si>
    <t>TEST DETAILS - ENGLISH III</t>
  </si>
  <si>
    <t>P, H</t>
  </si>
  <si>
    <t>R, I, P, H</t>
  </si>
  <si>
    <t>I, P, H</t>
  </si>
  <si>
    <t>I, P</t>
  </si>
  <si>
    <t>06 = Grade 6
07 = Grade 7
08 = Grade 8
T9 = Transitional Grade 9
09 = Grade 9
10 = Grade 10
11 = Grade 11
12 = Grade 12</t>
  </si>
  <si>
    <t>Record Length:</t>
  </si>
  <si>
    <t>Y = Session Completed
N = Session Started but not completed
Blank = Session Not Started</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</si>
  <si>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</si>
  <si>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</si>
  <si>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</si>
  <si>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</si>
  <si>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</si>
  <si>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</si>
  <si>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</si>
  <si>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</si>
  <si>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</si>
  <si>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</si>
  <si>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</si>
  <si>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</si>
  <si>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</si>
  <si>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</si>
  <si>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</si>
  <si>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</si>
  <si>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</si>
  <si>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</si>
  <si>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</si>
  <si>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</si>
  <si>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</si>
  <si>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</si>
  <si>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</si>
  <si>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</si>
  <si>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</si>
  <si>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</si>
  <si>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</si>
  <si>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</si>
  <si>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</si>
  <si>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</si>
  <si>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</si>
  <si>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</si>
  <si>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</si>
  <si>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</si>
  <si>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</si>
  <si>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As valued on the Enroll File.
Blank for students not on the Enroll File.</t>
  </si>
  <si>
    <t>ALGEBRA I SCORING INFORMATION</t>
  </si>
  <si>
    <t>Content Standard Information</t>
  </si>
  <si>
    <t>ALGEBRA I ACCOMMODATIONS</t>
  </si>
  <si>
    <t>Total Raw Score</t>
  </si>
  <si>
    <t>Total Percent correct</t>
  </si>
  <si>
    <t>Precode Education Classification</t>
  </si>
  <si>
    <t>Precode LEP Status</t>
  </si>
  <si>
    <t>Precode Section 504 Code</t>
  </si>
  <si>
    <t>Precode Site Code</t>
  </si>
  <si>
    <t>Course Code</t>
  </si>
  <si>
    <t>Test Administrator Number</t>
  </si>
  <si>
    <t>100-899 = School Level
900-999 = District Level
Blank</t>
  </si>
  <si>
    <t>TEST DETAILS - ALGEBRA I</t>
  </si>
  <si>
    <t>Reporting Flags</t>
  </si>
  <si>
    <t xml:space="preserve">Refer to the Accountability Codes for Testing document for valid values. </t>
  </si>
  <si>
    <t>ENGLISH II ACCOMMODATIONS</t>
  </si>
  <si>
    <t>ENGLISH II SCORING INFORMATION</t>
  </si>
  <si>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Processing Rules - Reporting document.</t>
    </r>
  </si>
  <si>
    <t>Writing and Language Conventions Raw Score</t>
  </si>
  <si>
    <t>Reading Raw Score</t>
  </si>
  <si>
    <t>Research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</si>
  <si>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</si>
  <si>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</si>
  <si>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</si>
  <si>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</si>
  <si>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</si>
  <si>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</si>
  <si>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Writing and Language Conventions Percent Correct</t>
  </si>
  <si>
    <t>Reading Percent Correct</t>
  </si>
  <si>
    <t>Research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</si>
  <si>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</si>
  <si>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</si>
  <si>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</si>
  <si>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</si>
  <si>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</si>
  <si>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</si>
  <si>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</si>
  <si>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</si>
  <si>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</si>
  <si>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</si>
  <si>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</si>
  <si>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</si>
  <si>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GEOMETRY ACCOMMODATIONS</t>
  </si>
  <si>
    <t>GEOMETRY SCORING INFORMATION</t>
  </si>
  <si>
    <t>BIOLOGY ACCOMMODATIONS</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</si>
  <si>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</si>
  <si>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</si>
  <si>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</si>
  <si>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</si>
  <si>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</si>
  <si>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</si>
  <si>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</si>
  <si>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</si>
  <si>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</si>
  <si>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</si>
  <si>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</si>
  <si>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</si>
  <si>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</si>
  <si>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ENGLISH III ACCOMMODATIONS</t>
  </si>
  <si>
    <t>ENGLISH III SCORING INFORMATION</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</si>
  <si>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</si>
  <si>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</si>
  <si>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</si>
  <si>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</si>
  <si>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</si>
  <si>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</si>
  <si>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</si>
  <si>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</si>
  <si>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</si>
  <si>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</si>
  <si>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R, I, P</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</si>
  <si>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</si>
  <si>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</si>
  <si>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</si>
  <si>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</si>
  <si>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</si>
  <si>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</si>
  <si>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</si>
  <si>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</si>
  <si>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</si>
  <si>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</si>
  <si>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</si>
  <si>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01 = Not LEP
02 = LEP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</si>
  <si>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</si>
  <si>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</si>
  <si>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</si>
  <si>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</si>
  <si>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</si>
  <si>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</si>
  <si>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</si>
  <si>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</si>
  <si>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</si>
  <si>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</si>
  <si>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</si>
  <si>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</si>
  <si>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</si>
  <si>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</si>
  <si>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</si>
  <si>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</si>
  <si>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</si>
  <si>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</si>
  <si>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</si>
  <si>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</si>
  <si>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</si>
  <si>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</si>
  <si>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EOC LDESTD File Layout - Final File_Assessment and Accountability Staff</t>
  </si>
  <si>
    <t>Teacher Middle Initial</t>
  </si>
  <si>
    <t>Test Administrator Middle Initial</t>
  </si>
  <si>
    <t>Native Language Word-to-Word Dictionary</t>
  </si>
  <si>
    <t>SEM Values</t>
  </si>
  <si>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</si>
  <si>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</si>
  <si>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</si>
  <si>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</si>
  <si>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</si>
  <si>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</si>
  <si>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</si>
  <si>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</si>
  <si>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</si>
  <si>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</si>
  <si>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</si>
  <si>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</si>
  <si>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U.S. History.
Refer to the </t>
    </r>
    <r>
      <rPr>
        <b/>
        <u/>
        <sz val="10"/>
        <rFont val="Arial"/>
        <family val="2"/>
      </rPr>
      <t>Resulting LDESTD Values by Subjec</t>
    </r>
    <r>
      <rPr>
        <sz val="10"/>
        <rFont val="Arial"/>
        <family val="2"/>
      </rPr>
      <t>t section within the EOC Processing Rules - Scoring document for the logic used to set the Assessment Achievement Level  value.</t>
    </r>
  </si>
  <si>
    <r>
      <t xml:space="preserve">Accountability achievement level for U.S. History.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</si>
  <si>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</si>
  <si>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</si>
  <si>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</si>
  <si>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</si>
  <si>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</si>
  <si>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</si>
  <si>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</si>
  <si>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</si>
  <si>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</si>
  <si>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</si>
  <si>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</si>
  <si>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t>Directions in Native Language</t>
  </si>
  <si>
    <t>English II Enroll Flag</t>
  </si>
  <si>
    <t>English II CohortFlag</t>
  </si>
  <si>
    <t>Y = Included in Cohort File 
N = Not on Cohort File</t>
  </si>
  <si>
    <t>Algebra I CohortFlag</t>
  </si>
  <si>
    <t>Geometry Enroll Flag</t>
  </si>
  <si>
    <t>Biology Enroll Flag</t>
  </si>
  <si>
    <t>English III Enroll Flag</t>
  </si>
  <si>
    <t>U.S. History Enroll Flag</t>
  </si>
  <si>
    <t>Switched the Test Date-Year and Test Date-Month fields so the Year comes before the Month.</t>
  </si>
  <si>
    <t>Added a reference to the Common Louisiana Processing Rules - Reporting document for the District Reporting Code.</t>
  </si>
  <si>
    <t>Switched the DOB-Month and DOB-Day fields so the Month comes before the Day.</t>
  </si>
  <si>
    <t>Added the rules for when the Scholarship Student Flag is "Y" to the Description/Comments column.</t>
  </si>
  <si>
    <t>Updated the length of the Teacher Last Name, Teacher First Name, Test Administrator Last Name, Test Administrator First Name for each subject to match the length from the enroll file and the upload files.</t>
  </si>
  <si>
    <t>Added a &lt;Subject&gt; Enroll Flag for each subject. This will be "Y" when the student is on the enroll file for the subject.</t>
  </si>
  <si>
    <t>Added an Algebra I and English II Cohort Flag. This will be "Y" when a student is on the cohort file for the subject.</t>
  </si>
  <si>
    <t>Added the Directions in Native Languange accommodation to the precode and eDirect accommodation sections for each subject. This accommodation was previously missing.</t>
  </si>
  <si>
    <t>Switched the Highest Previous History-Year and Highest Previous History-Month fields for each subject so the Year comes before the Month.</t>
  </si>
  <si>
    <t>Highest Previous Assessment Achievement Level</t>
  </si>
  <si>
    <t>E = Excellent
G = Good
F = Fair
NI = Needs Improvement
Blank</t>
  </si>
  <si>
    <t>Clarified the Session Completed business rules to note that Y, N, and Blank are valid in window, but Y and Blank are the only valid values in files produced after the testing window is closed.</t>
  </si>
  <si>
    <t>Clarified the Content business rules to note that this will be set for all students that are in a test session or were in the enroll file for the subject.</t>
  </si>
  <si>
    <t>Updated the Assessment Achievement Levels to be E, G, F, and NI instead of the 3 character values.</t>
  </si>
  <si>
    <t>Updated the business rules for the Retest Flag to note that this field will be set for all students in a test session, on the enroll file, or on the cohort file for a subject. Also updated the achievement levels to be E, G, F, and NI.</t>
  </si>
  <si>
    <t>Updated the Eligible Flag logic and added a reference to the Eligible Flag By Subject section of the processing rules.</t>
  </si>
  <si>
    <t>Updated the Highest Previous Achievement Level Values to be E, G, F, and NI.</t>
  </si>
  <si>
    <t>Added the Subject Name to the Accountability Code Field Names.</t>
  </si>
  <si>
    <t>A-Z, 0-9, - in each position
Blank</t>
  </si>
  <si>
    <t>Added "-" as a possible value for the Class Section</t>
  </si>
  <si>
    <t>Updated the business rules for the cohort flag. Field will be "Y" when the student was on the cohort file.</t>
  </si>
  <si>
    <t>Removed the rules for the Retest Flag and left the reference to the Processing Rules to avoid confusion.</t>
  </si>
  <si>
    <t>Updated the Class Roster Flag to be a Test Session / Class Roster Flag. It will be set to "Y" when a student is in a Test Session for the subject.</t>
  </si>
  <si>
    <t>Updated any demographic column name that contained "eDIRECT" to replace "eDIRECT" with "Reporting".</t>
  </si>
  <si>
    <t xml:space="preserve">Updated the Include in Staff and Contractor and Reseacher fields to be "Y" for the Reporting Directions Read Aloud in Native Language. </t>
  </si>
  <si>
    <t>LDOE Sign-off for EOC Winter 2016.</t>
  </si>
  <si>
    <t>Meiqin Zhang</t>
  </si>
  <si>
    <t>Unique number generated at the time the student record is converted into the DRC Student File.  (Starts over each administration.)
Blank for In-window files.</t>
  </si>
  <si>
    <t>Updated the business rules for a number of fields to clarify that they should be populated for any student that is in a test session or is on the enroll file.</t>
  </si>
  <si>
    <r>
      <t>District Reporting</t>
    </r>
    <r>
      <rPr>
        <sz val="10"/>
        <rFont val="Arial"/>
        <family val="2"/>
      </rPr>
      <t xml:space="preserve"> Rolled Up</t>
    </r>
    <r>
      <rPr>
        <sz val="10"/>
        <color rgb="FF000000"/>
        <rFont val="Arial"/>
        <family val="2"/>
      </rPr>
      <t xml:space="preserve"> Code</t>
    </r>
  </si>
  <si>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</si>
  <si>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</si>
  <si>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</si>
  <si>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</si>
  <si>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</si>
  <si>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</si>
  <si>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</si>
  <si>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</si>
  <si>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</si>
  <si>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</si>
  <si>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</si>
  <si>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</si>
  <si>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</si>
  <si>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</si>
  <si>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</si>
  <si>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</si>
  <si>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</si>
  <si>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Test Session / Class Roster Flag</t>
  </si>
  <si>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Processing Rules - Reporting document.</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</si>
  <si>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</si>
  <si>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</si>
  <si>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</si>
  <si>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</si>
  <si>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</si>
  <si>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</si>
  <si>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</si>
  <si>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</si>
  <si>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</si>
  <si>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</si>
  <si>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</si>
  <si>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</si>
  <si>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Created for Spring 2017</t>
  </si>
  <si>
    <t>Jenny Amundson</t>
  </si>
  <si>
    <t>Added student full first and last name to the end of the file</t>
  </si>
  <si>
    <t>Full Student First Name</t>
  </si>
  <si>
    <t>Full Student Last Name</t>
  </si>
  <si>
    <t>Changed Form to use form letter instead of form number</t>
  </si>
  <si>
    <t>Changed Spanish Human Read Aloud to Spanish Text to Speech</t>
  </si>
  <si>
    <t>Added "P" as possible value for Rescore Flags</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</si>
  <si>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t>
    </r>
  </si>
  <si>
    <t>Rollup to State</t>
  </si>
  <si>
    <t>Student's scores were summarized in the State totals.
As valued on the Master File.</t>
  </si>
  <si>
    <t>R, I, P, H, C</t>
  </si>
  <si>
    <t>I, P, H, C</t>
  </si>
  <si>
    <t>As valued in eDIRECT.
Spanish Test and Calculator are not applicable to English II and will always be "N".</t>
  </si>
  <si>
    <t>As valued in eDIRECT.
Spanish Test and Calculator are not applicable to Biology and will always be "N".</t>
  </si>
  <si>
    <t>As valued in eDIRECT.
Spanish Test and Calculator are not applicable to English III and will always be "N".</t>
  </si>
  <si>
    <t>As valued in eDIRECT.
Spanish Test and Calculator are not applicable to U.S. History and will always be "N".</t>
  </si>
  <si>
    <t>Session 0 Completed</t>
  </si>
  <si>
    <t>Session 0 will be blank when the form does not have a session 0 or when the form has a session 0 and the session has not been started.</t>
  </si>
  <si>
    <t>Field Test Item Responses</t>
  </si>
  <si>
    <t>Updated the Content fields to be 5 positions to add NFT and AE to the value. The Admin Error field was moved up and the FILLER field above the Admin Error was reduced by 3 bytes.</t>
  </si>
  <si>
    <t>Split the Response String fields into an Operational String and a Field Test String.</t>
  </si>
  <si>
    <t>A-Z, 1-9 in any position
Blank</t>
  </si>
  <si>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</si>
  <si>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Spanish Text to Speech</t>
  </si>
  <si>
    <t>Operational Item Responses</t>
  </si>
  <si>
    <t>R = Rescore Complete
P = Rescore in Progress
Blank = No Rescore</t>
  </si>
  <si>
    <r>
      <t xml:space="preserve">Refer to the </t>
    </r>
    <r>
      <rPr>
        <b/>
        <u/>
        <sz val="10"/>
        <rFont val="Arial"/>
        <family val="2"/>
      </rPr>
      <t>Rescore Flag by Subject</t>
    </r>
    <r>
      <rPr>
        <sz val="10"/>
        <rFont val="Arial"/>
        <family val="2"/>
      </rPr>
      <t xml:space="preserve"> section within the EOC Processing Rules - Scoring document for the logic to set this field.</t>
    </r>
  </si>
  <si>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</si>
  <si>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</si>
  <si>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</si>
  <si>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Evelyn Ballen</t>
  </si>
  <si>
    <t>TEST DETAILS - ENGLISH I</t>
  </si>
  <si>
    <t>English I Enroll Flag</t>
  </si>
  <si>
    <t>English I ACCOMMODATIONS</t>
  </si>
  <si>
    <t>As valued in eDIRECT.
Spanish Test and Calculator are not applicable to English I and will always be "N".</t>
  </si>
  <si>
    <t>English I SCORING INFORMATION</t>
  </si>
  <si>
    <t>Total raw score for English I.
Field Test items are not included in raw score totals.
Refer to the Resulting LDESTD Values by Subject section within the EOC Processing Rules - Scoring document for the logic used to set the Raw Score value.</t>
  </si>
  <si>
    <t>Assessment achievement level for English I.
Refer to the Resulting LDESTD Values by Subject section within the EOC Processing Rules - Scoring document for the logic used to set the Assessment Achievement Level  value.</t>
  </si>
  <si>
    <t>Accountability achievement level for English I.
Refer to the Resulting LDESTD Values by Subject section within the EOC Processing Rules - Scoring document for the logic used to set the Assessment Achievement Level  value.</t>
  </si>
  <si>
    <t>Testing Flags - English I</t>
  </si>
  <si>
    <t>Accountability Code - English I</t>
  </si>
  <si>
    <t>Added fields for English I (positions 4317 - 4993)</t>
  </si>
  <si>
    <t>Document created for Fall 2017.</t>
  </si>
  <si>
    <t xml:space="preserve">Added new Possible Values (UNS, APP, BAS, MAS ADV) to all occurences of Assessment Achievement Level fields to match LEAP_FileLaout Assessment_Accountability </t>
  </si>
  <si>
    <t xml:space="preserve">Changed field Length from 2 to 3 for all occurences of Assessment Achievement Level fields to accommodate new Possible Values (UNS, APP, BAS, MAS ADV) </t>
  </si>
  <si>
    <t xml:space="preserve">Updated all occurences of Filler fields below Accountability Achievement Level field to be 14 bytes to counterbalance the length increase (1 byte) of the Assessment Achievement Level field </t>
  </si>
  <si>
    <t>Format: "YYYY-MM-DD HH:MM:SS"</t>
  </si>
  <si>
    <t>Date the file was generated</t>
  </si>
  <si>
    <t>Date and Time Stamp</t>
  </si>
  <si>
    <t>Added Date and Time Stamp field (position 5029 - 5047 )</t>
  </si>
  <si>
    <t>Test Administrator associated with the student's test session.
Blank when a student is not in a test session for the subject.
Test Administrator Middle Initial will be blank because this is not data that DRC captures to report.</t>
  </si>
  <si>
    <t xml:space="preserve">Added Description/Comments for all occurrences of "Administrator Middle Initial" field (starting porsitions 385, 1003, 1581, 2363, 3040) </t>
  </si>
  <si>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</si>
  <si>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</si>
  <si>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Updated Description/Comments for all "Operational Item Responses" and "Field  Item Responses" fields</t>
  </si>
  <si>
    <t>Updated Possible Values for "Course Name" within all applicable subjects</t>
  </si>
  <si>
    <t>Major Content Raw Score</t>
  </si>
  <si>
    <t>Major Content Rating</t>
  </si>
  <si>
    <t>1 = Weak Performance
2 = Moderate Performance
3 = Strong Performance
Blank</t>
  </si>
  <si>
    <t>Major Content Percent Correct</t>
  </si>
  <si>
    <t>Additional &amp; Supporting Content Raw Score</t>
  </si>
  <si>
    <t>Additional &amp; Supporting Content Rating</t>
  </si>
  <si>
    <t>Additional &amp; Supporting Content Percent Correct</t>
  </si>
  <si>
    <t>Expressing Mathematical Reasoning Raw Score</t>
  </si>
  <si>
    <t>Expressing Mathematical Reasoning Rating</t>
  </si>
  <si>
    <t>Expressing Mathematical Reasoning Percent Correct</t>
  </si>
  <si>
    <t>Modeling &amp; Application Raw Score</t>
  </si>
  <si>
    <t>Modeling &amp; Application Rating</t>
  </si>
  <si>
    <t>Modeling &amp; Application Percent Correct</t>
  </si>
  <si>
    <t>Reading Literary Text Raw Score</t>
  </si>
  <si>
    <t>Reading Literary Text Rating</t>
  </si>
  <si>
    <t>Reading Literary Text Percent Correct</t>
  </si>
  <si>
    <t>Reading Informational Text Raw Score</t>
  </si>
  <si>
    <t>Reading Informational Text Rating</t>
  </si>
  <si>
    <t>Reading Informational Text Percent Correct</t>
  </si>
  <si>
    <t>Reading Vocabulary Raw Score</t>
  </si>
  <si>
    <t>Reading Vocabulary Rating</t>
  </si>
  <si>
    <t>Reading Vocabulary Percent Correct</t>
  </si>
  <si>
    <t>Written Expression Raw Score</t>
  </si>
  <si>
    <t>Written Expression Rating</t>
  </si>
  <si>
    <t>Written Expression Percent Correct</t>
  </si>
  <si>
    <t>Knowledge &amp; Use of Language Conventions Raw Score</t>
  </si>
  <si>
    <t>Knowledge &amp; Use of Language Conventions Rating</t>
  </si>
  <si>
    <t>Knowledge &amp; Use of Language Conventions Percent Correct</t>
  </si>
  <si>
    <t xml:space="preserve">Reading Rating </t>
  </si>
  <si>
    <t>Writing Raw Score</t>
  </si>
  <si>
    <t>Writing Rating</t>
  </si>
  <si>
    <t>Writing Percent Correct</t>
  </si>
  <si>
    <t>Replaced Content Standard Information section with Subclaim Scoring Information for Algebra I and Geometry.
Replaced Content Standard Information section with Subclaim Scoring Information and Claim Scoring Information for English I and English II.</t>
  </si>
  <si>
    <t>120331
120411
120521</t>
  </si>
  <si>
    <t>Starting Location</t>
  </si>
  <si>
    <t xml:space="preserve">Military Affiliated
</t>
  </si>
  <si>
    <t>Foster Care</t>
  </si>
  <si>
    <t>Added Military Affiliated and Foster Care fields, each one character in length.</t>
  </si>
  <si>
    <r>
      <t>E = Excellent
G= Good
F= Fair
NI = Needs Improvement</t>
    </r>
    <r>
      <rPr>
        <sz val="10"/>
        <color rgb="FF000000"/>
        <rFont val="Arial"/>
        <family val="2"/>
      </rPr>
      <t xml:space="preserve">
Blank</t>
    </r>
  </si>
  <si>
    <r>
      <t xml:space="preserve">EXC = Excellent
GOO = Good
FAI = Fair
NIP = Needs Improvement
</t>
    </r>
    <r>
      <rPr>
        <sz val="10"/>
        <color rgb="FF000000"/>
        <rFont val="Arial"/>
        <family val="2"/>
      </rPr>
      <t>Blank</t>
    </r>
  </si>
  <si>
    <t xml:space="preserve">
UNS = Unsatisfactory
APP = Approaching Basic
BAS = Basic
MAS = Mastery
ADV = Advanced
Blank</t>
  </si>
  <si>
    <t>Added UNS, APP, BAS, MAS ADV Assessment Achievement Level fields for Algebra, Geometry, US History, English 1, English 2</t>
  </si>
  <si>
    <t>Striking through 4-level Assessment Achievement level values for Algebra, English II, Geometry because they will be 5-level only in Fall 2017</t>
  </si>
  <si>
    <r>
      <t xml:space="preserve">E = Excellent
G= Good
F= Fair
NI = Needs Improvement
</t>
    </r>
    <r>
      <rPr>
        <sz val="10"/>
        <color rgb="FF000000"/>
        <rFont val="Arial"/>
        <family val="2"/>
      </rPr>
      <t>Blank</t>
    </r>
  </si>
  <si>
    <t xml:space="preserve">Blank when Scale Score is blank.
</t>
  </si>
  <si>
    <t>650-850 
Blank</t>
  </si>
  <si>
    <r>
      <rPr>
        <sz val="10"/>
        <rFont val="Arial"/>
        <family val="2"/>
      </rPr>
      <t>UNS = Unsatisfactory
APP = Approaching Basic
BAS = Basic
MAS = Mastery
ADV = Advanced</t>
    </r>
    <r>
      <rPr>
        <sz val="10"/>
        <color rgb="FF000000"/>
        <rFont val="Arial"/>
        <family val="2"/>
      </rPr>
      <t xml:space="preserve">
Blank</t>
    </r>
  </si>
  <si>
    <t>Removed NFT values from "Content" for each subject</t>
  </si>
  <si>
    <t>Updated values for "Scale Score", "SEM High" and "SEM Low" to align with the assessment achievement levels within each subject.</t>
  </si>
  <si>
    <t>Western Expansion to Progressivism - Standard 2 - Rating</t>
  </si>
  <si>
    <t>Isolationism through the Great War - Standard 3 - Rating</t>
  </si>
  <si>
    <t>Becoming a World Power through World War II - Standard 4 - Rating</t>
  </si>
  <si>
    <t>Cold War Era - Standard 5 - Rating</t>
  </si>
  <si>
    <t>The Modern Age - Standard 6 - Rating</t>
  </si>
  <si>
    <t>Added rating fields to US History under "Content Standard Information/Reporting Category" section</t>
  </si>
  <si>
    <t xml:space="preserve"> </t>
  </si>
  <si>
    <t>Updated logic description for Rating fields for Al1, E1, E2, GM, US History</t>
  </si>
  <si>
    <t>Removed word "Text" from the descciption for Major Content Rating fileds.</t>
  </si>
  <si>
    <t>Updated descriptions for claim and sublaim fields to match field names</t>
  </si>
  <si>
    <r>
      <t xml:space="preserve">600-800 </t>
    </r>
    <r>
      <rPr>
        <sz val="10"/>
        <color rgb="FF000000"/>
        <rFont val="Arial"/>
        <family val="2"/>
      </rPr>
      <t xml:space="preserve">
Blank</t>
    </r>
  </si>
  <si>
    <r>
      <t>EXC = Excellent
GOO = Good
FAI = Fair
NIP = Needs Improvement</t>
    </r>
    <r>
      <rPr>
        <sz val="10"/>
        <color rgb="FF000000"/>
        <rFont val="Arial"/>
        <family val="2"/>
      </rPr>
      <t xml:space="preserve">
Blank</t>
    </r>
  </si>
  <si>
    <t xml:space="preserve">
Blank when Scale Score is blank.</t>
  </si>
  <si>
    <t>Split US History fields into US History (EOC) and US Histort (LEAP 2025)</t>
  </si>
  <si>
    <t>Incorporated LDOE feedback into Description for the following fields:
Expressing Mathematical Reasoning Raw Score
Modeling &amp; Application Raw Score
Reading Vocabulary Rating
Western Expansion to Progressivism - Standard 2 - Percent Correct
Isolationism through the Great War - Standard 3 - Percent Correct
Becoming a World Power through World War II - Standard 4 - Percent Correct
Cold War Era - Standard 5 - Percent Correct
The Modern Age - Standard 6 - Percent Correct</t>
  </si>
  <si>
    <t>Interpreting Functions Percent Correct</t>
  </si>
  <si>
    <t>Interpreting Functions Raw Score</t>
  </si>
  <si>
    <t>Interpreting Functions Rating</t>
  </si>
  <si>
    <t>Solving Algebraically Raw Score</t>
  </si>
  <si>
    <t>Solving Algebraically Rating</t>
  </si>
  <si>
    <t>Solving Graphically/Rate of Change Raw Score</t>
  </si>
  <si>
    <t>Rating associated with the Algebra I Interpreting Functions Raw Score.
Blank when Algebra I Interpreting Functions Raw Score is blank.
"1" when student has not attempted any item within all submitted sessions.</t>
  </si>
  <si>
    <t>Percent correct for the Algebra I Solving Algebraically subcategory. This is calculated by dividing the total points earned by the total points possible for the subcategory.
Blank when Solving Algebraically Raw Score is blank.</t>
  </si>
  <si>
    <t>Solving Algebraically Percent Correct</t>
  </si>
  <si>
    <t>Solving Graphically/Rate of Change Percent Correct</t>
  </si>
  <si>
    <t>Solving Graphically/Rate of Change Rating</t>
  </si>
  <si>
    <t>Congruence Transformations/Similarity Raw Score</t>
  </si>
  <si>
    <r>
      <t xml:space="preserve">Total points earned for the Geometry Congruence Transformations/Similarity Raw Score subcategory.
Blank when subcategory is not assessed (zero points possible), or when the Raw Score Total for </t>
    </r>
    <r>
      <rPr>
        <sz val="10"/>
        <rFont val="Arial"/>
        <family val="2"/>
      </rPr>
      <t>Geometry</t>
    </r>
    <r>
      <rPr>
        <sz val="10"/>
        <color rgb="FFFF0000"/>
        <rFont val="Arial"/>
        <family val="2"/>
      </rPr>
      <t xml:space="preserve"> </t>
    </r>
    <r>
      <rPr>
        <sz val="10"/>
        <color theme="1"/>
        <rFont val="Arial"/>
        <family val="2"/>
      </rPr>
      <t>is blank.</t>
    </r>
  </si>
  <si>
    <t>Congruence Transformations/Similarity Rating</t>
  </si>
  <si>
    <t>Rating associated with the Congruence Transformations/Similarity subcategory Raw Score.
Blank when Congruence Transformations/Similarity subcategory Raw Score is blank.
"1" when student has not attempted any item within all submitted sessions.</t>
  </si>
  <si>
    <t>Subcategory Information</t>
  </si>
  <si>
    <t>Rating associated with the Algebra I Solving Graphically/Rate of Change Raw Score.
Blank when Algebra I Solving Graphically/Rate of Change Raw Score is blank.
"1" when student has not attempted any item within all submitted sessions.</t>
  </si>
  <si>
    <t xml:space="preserve">Added Subcategory Information for Algebra I and Geometry </t>
  </si>
  <si>
    <t>Similarity in Trigonometry/Modeling &amp; Applying Rating</t>
  </si>
  <si>
    <t>Similarity in Trigonometry/Modeling &amp; Applying  Raw Score</t>
  </si>
  <si>
    <t>Similarity in Trigonometry/Modeling &amp; Applying Percent Correct</t>
  </si>
  <si>
    <t>Total points earned for the Geometry Similarity in Trigonometry/Modeling &amp; Applying subcategory.
Blank when subcategory is not assessed (zero points possible), or when the Raw Score Total for Geometry is blank.</t>
  </si>
  <si>
    <t>Rating associated with the Similarity in Trigonometry/Modeling &amp; Applying Raw Score.
Blank when Similarity in Trigonometry/Modeling &amp; Applying Raw Score is blank.
"1" when student has not attempted any item within all submitted sessions.</t>
  </si>
  <si>
    <t>Percent correct for the Geometry Similarity in Trigonometry/Modeling &amp; Applying subcategory. This is calculated by dividing the total points earned by the total points possible for the subcategory.
Blank when Similarity in Trigonometry/Modeling &amp; Applying Raw Score is blank.</t>
  </si>
  <si>
    <t>Incorporated LDOE feedback from 10/18/2017
Corrected description for "Solving Algebraically Rating" field
Corrected field name for "Congruence Transformations/Similarity Percent Correct"</t>
  </si>
  <si>
    <t>Session 4 Completed</t>
  </si>
  <si>
    <t>Added Session 4 Completed field to Algebra I and Geometry</t>
  </si>
  <si>
    <t>LDOE Sign-off for Fall 2017</t>
  </si>
  <si>
    <t>Qi Li</t>
  </si>
  <si>
    <t>Per internal SQA request, added formatting clarification to the Description for  Total MC Score, Total CR Score, Total Percent Correct. Re: Smart 66393</t>
  </si>
  <si>
    <t>Replaced raw score values of 00.0-99.5 with 0-99 for all affected subjects</t>
  </si>
  <si>
    <t xml:space="preserve">Rule updates for all Operational Item Responses and Field Item Responses fields:
Changed Item Responses string length from 3 to 4 
Changed item contsructed response representation from 0.0-4.0 to 0.00-99.0 </t>
  </si>
  <si>
    <t>Increased length of USL Operational Response String field to be 220 to accommodate data that is being tested for the bluedots. 
Removed Filler fields  in position 4728 and 5038.</t>
  </si>
  <si>
    <t xml:space="preserve">Added macro to display correct "Last Saved Date:" </t>
  </si>
  <si>
    <r>
      <t xml:space="preserve">Y = Military Affiliated
N = Not Military Affiliated
</t>
    </r>
    <r>
      <rPr>
        <sz val="10"/>
        <color rgb="FFFF0000"/>
        <rFont val="Arial"/>
        <family val="2"/>
      </rPr>
      <t>blank</t>
    </r>
  </si>
  <si>
    <r>
      <t xml:space="preserve">Y = Foster Care
N = Not in Foster Care
</t>
    </r>
    <r>
      <rPr>
        <sz val="10"/>
        <color rgb="FFFF0000"/>
        <rFont val="Arial"/>
        <family val="2"/>
      </rPr>
      <t>blank</t>
    </r>
  </si>
  <si>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</si>
  <si>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r>
      <t xml:space="preserve">Each Item uses </t>
    </r>
    <r>
      <rPr>
        <sz val="10"/>
        <rFont val="Arial"/>
        <family val="2"/>
      </rPr>
      <t xml:space="preserve">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t>
    </r>
    <r>
      <rPr>
        <strike/>
        <sz val="10"/>
        <rFont val="Arial"/>
        <family val="2"/>
      </rPr>
      <t xml:space="preserve"> </t>
    </r>
    <r>
      <rPr>
        <sz val="10"/>
        <rFont val="Arial"/>
        <family val="2"/>
      </rPr>
      <t xml:space="preserve">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</si>
  <si>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Total points earned for operational MC items for U.S. History.
Blank when Total Raw Score is blank.
Field value is right justified with leading spaces.  </t>
  </si>
  <si>
    <t xml:space="preserve">Total points earned for operational CR items for U.S. History.
Blank when Total Raw Score is blank.
Field value is right justified with leading spaces. </t>
  </si>
  <si>
    <t xml:space="preserve">Total Percent Correct. This is calculated by dividing the Total Raw Score by the total operational points possible.
Blank when raw score is blank.
Field value is right justified with leading spaces. </t>
  </si>
  <si>
    <t xml:space="preserve">Test Administrator associated with the student's test session.
Blank when a student is not in a test session for the subject.
Test Administrator Middle Initial will be blank because this is not data that DRC captures to report </t>
  </si>
  <si>
    <t>160321
160338
160380
160340
160331
160362
Blank</t>
  </si>
  <si>
    <t xml:space="preserve">Total points earned for operational MC items for Algebra I.
Blank when Total Raw Score is blank.
Field value is right justified with leading spaces. </t>
  </si>
  <si>
    <t xml:space="preserve">Total points earned for operational CR items for Algebra I.
Blank when Total Raw Score is blank.
Field value is right justified with leading spaces. 
</t>
  </si>
  <si>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</si>
  <si>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t xml:space="preserve">
650-850
Blank</t>
  </si>
  <si>
    <t xml:space="preserve">
650-850 
Blank</t>
  </si>
  <si>
    <r>
      <rPr>
        <strike/>
        <sz val="10"/>
        <rFont val="Arial"/>
        <family val="2"/>
      </rPr>
      <t>00.0-99.5</t>
    </r>
    <r>
      <rPr>
        <sz val="10"/>
        <rFont val="Arial"/>
        <family val="2"/>
      </rPr>
      <t xml:space="preserve">
0-99
Blank</t>
    </r>
  </si>
  <si>
    <t>Rating associated with the Algebra I Major Content Raw Score.
Blank when Algebra I Major Content Raw Score is blank.
"1" when student has not attempted any item within all submitted sessions.</t>
  </si>
  <si>
    <t>Rating associated with the Algebra I Additional &amp; Supporting Content Raw Score.
Blank when Additional &amp; Supporting Content Raw Score is blank.
"1" when student has not attempted any item within all submitted sessions.</t>
  </si>
  <si>
    <t>Rating associated with the Algebra I Expressing Mathematical Reasoning Raw Score.
Blank when Expressing Mathematical Reasoning Raw Score is blank.
 "1" when student has not attempted any item within all submitted sessions.</t>
  </si>
  <si>
    <t>Rating associated with the Algebra I Modeling &amp; Application Raw Score.
Blank when Algebra I Modeling &amp; Application Raw Score is blank.
"1" when student has not attempted any item within all submitted sessions.</t>
  </si>
  <si>
    <t>Total points earned for the Algebra I Interpreting Functions Raw Score subcategory.
Blank when subcategory is not assessed (zero points possible), or when the Raw Score Total for Algebra I is blank.</t>
  </si>
  <si>
    <t>Total points earned for the Algebra I Solving Algebraically Raw Score subcategory.
Blank when subcategory is not assessed (zero points possible), or when the Raw Score Total for Algebra I is blank.</t>
  </si>
  <si>
    <t>Rating associated with the Algebra I Solving Algebraically Raw Score.
Blank when Algebra I Solving Algebraically Raw Score is blank.
"1" when student has not attempted any item within all submitted sessions.</t>
  </si>
  <si>
    <t>Total points earned for the Algebra I Solving Graphically/Rate of Change Raw Score subcategory.
Blank when subcategory is not assessed (zero points possible), or when the Raw Score Total for Algebra I is blank.</t>
  </si>
  <si>
    <t xml:space="preserve">
0-99
Blank</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</si>
  <si>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</si>
  <si>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Operational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</si>
  <si>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</si>
  <si>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t xml:space="preserve">120332
120412 
120519 </t>
  </si>
  <si>
    <t xml:space="preserve">Total points earned for operational MC items for English II.
Blank when Total Raw Score is blank.
Field value is right justified with leading spaces. </t>
  </si>
  <si>
    <t xml:space="preserve">Total points earned for operational CR items for English II.
Blank when Total Raw Score is blank.
Field value is right justified with leading spaces. </t>
  </si>
  <si>
    <t xml:space="preserve">
650-650
Blank</t>
  </si>
  <si>
    <t>Rating associated with the Reading Literary Text Raw Score.
Blank when Reading Literary Text Raw Score is blank.
"1" when student has not attempted any item within all submitted sessions.</t>
  </si>
  <si>
    <t>Rating associated with the Reading Informational Text Raw Score.
Blank when Reading Informational Text Raw Score is blank.
"1" when student has not attempted any item within all submitted sessions.</t>
  </si>
  <si>
    <t>Rating associated with the English II Written Expression Raw Score.
Blank when Written Expression Raw Score is blank.
"1" when student has not attempted any item within all submitted sessions.</t>
  </si>
  <si>
    <t>Rating associated with the English II Knowledge &amp; Use of Language Conventions Raw Score.
Blank when Knowledge &amp; Use of Language Conventions Raw Score is blank.
"1" when student has not attempted any item within all submitted sessions.</t>
  </si>
  <si>
    <t>Rating associated with the English II Reading Raw Score.
Blank when Reading  Raw Score is blank.
"1" when student has not attempted any item within all submitted sessions.</t>
  </si>
  <si>
    <t>Rating associated with the English II Writing Raw Score.
Blank when Writing Raw Score is blank.
"1" when student has not attempted any item within all submitted sessions.</t>
  </si>
  <si>
    <t>Rating associated with the English II Reading Vocabulary Raw Score.
Blank when Reading Vocabulary Raw Score is blank.
"1" when student has not attempted any item within all submitted sessions.</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</si>
  <si>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</si>
  <si>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Test Administrator associated with the student's test session.
Blank when a student is not in a test session for the subject.
Test Administrator Middle Initial will be blank because this is not data that DRC captures to report.  </t>
  </si>
  <si>
    <t>160323
160332
160341
160363 
Blank</t>
  </si>
  <si>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</si>
  <si>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t xml:space="preserve">Total points earned for operational MC items for Geometry.
Blank when Total Raw Score is blank.
Field value is right justified with leading spaces. </t>
  </si>
  <si>
    <t xml:space="preserve">Total points earned for operational CR items for Geometry.
Blank when Total Raw Score is blank.
Field value is right justified with leading spaces. </t>
  </si>
  <si>
    <r>
      <t xml:space="preserve">Total raw score for Geometry.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</si>
  <si>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t xml:space="preserve">
UNS = Unsatisfactory
APP = Approaching Basic
BAS = Basic
MAS = Mastery
ADV = Advanced
Blank
</t>
  </si>
  <si>
    <r>
      <t xml:space="preserve">Test Administrator associated with the student's test session.
Blank when a student is not in a test session for the subject.
Test Administrator Middle Initial will be blank because this is not data that DRC captures to report </t>
    </r>
    <r>
      <rPr>
        <b/>
        <sz val="10"/>
        <color theme="1"/>
        <rFont val="Arial"/>
        <family val="2"/>
      </rPr>
      <t xml:space="preserve"> </t>
    </r>
    <r>
      <rPr>
        <sz val="10"/>
        <color theme="1"/>
        <rFont val="Arial"/>
        <family val="2"/>
      </rPr>
      <t xml:space="preserve">
</t>
    </r>
  </si>
  <si>
    <t>150301
150321
150322
150502 
150503 
Blank</t>
  </si>
  <si>
    <t xml:space="preserve">Total points earned for operational MC items for Biology.
Blank when Total Raw Score is blank.
Field value is right justified with leading spaces. </t>
  </si>
  <si>
    <t xml:space="preserve">Total points earned for operational CR items for Biology.
Blank when Total Raw Score is blank.
Field value is right justified with leading spaces. </t>
  </si>
  <si>
    <r>
      <t xml:space="preserve">Total raw score for Biology.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</si>
  <si>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120333
120329
120325
120403
120327
120341
120404
120601
120602
120603
120604
120605
120338
120413</t>
    </r>
    <r>
      <rPr>
        <b/>
        <sz val="10"/>
        <color theme="1"/>
        <rFont val="Arial"/>
        <family val="2"/>
      </rPr>
      <t xml:space="preserve"> </t>
    </r>
  </si>
  <si>
    <t xml:space="preserve">Total points earned for operational MC items for English III.
Blank when Total Raw Score is blank.
Field value is right justified with leading spaces. </t>
  </si>
  <si>
    <t xml:space="preserve">Total points earned for operational CR items for English III.
Blank when Total Raw Score is blank.
Field value is right justified with leading spaces. </t>
  </si>
  <si>
    <r>
      <t xml:space="preserve">Total raw score for English III.
Field Test items are not included in raw score totals.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Raw Score value.</t>
    </r>
  </si>
  <si>
    <r>
      <t xml:space="preserve">Test Administrator associated with the student's test session.
Blank when a student is not in a test session for the subject.
Test Administrator Middle Initial will be blank because this is not data that DRC captures to report </t>
    </r>
    <r>
      <rPr>
        <sz val="10"/>
        <rFont val="Arial"/>
        <family val="2"/>
      </rPr>
      <t/>
    </r>
  </si>
  <si>
    <t>220403
220406
220404
220405
220407
220408
220409
220613 
Blank</t>
  </si>
  <si>
    <t>Rating associated with the Writing Raw Score.
Blank when Writing Raw Score is blank.
"1" when student has not attempted any item within all submitted sessions.</t>
  </si>
  <si>
    <t xml:space="preserve">Total points earned for operational MC items for U.S. History.
Blank when Total Raw Score is blank.
Field value is right justified with leading spaces. </t>
  </si>
  <si>
    <r>
      <t>U.S. HISTORY (EOC)</t>
    </r>
    <r>
      <rPr>
        <b/>
        <sz val="10"/>
        <rFont val="Arial"/>
        <family val="2"/>
      </rPr>
      <t xml:space="preserve"> </t>
    </r>
    <r>
      <rPr>
        <b/>
        <sz val="10"/>
        <color rgb="FF0000FF"/>
        <rFont val="Arial"/>
        <family val="2"/>
      </rPr>
      <t>SCORING INFORMATION</t>
    </r>
  </si>
  <si>
    <t>Testing Flags - U.S. History (EOC)</t>
  </si>
  <si>
    <t>Rating associated with the Major Content Raw Score.
Blank when Major Content Raw Raw Score is blank.
"1" when student has not attempted any item within all submitted sessions.</t>
  </si>
  <si>
    <t>Rating associated with the Additional &amp; Supporting Content Raw Score.
Blank when Additional &amp; Supporting Content Raw Score is blank.
"1" when student has not attempted any item within all submitted sessions.</t>
  </si>
  <si>
    <t>Rating associated with the Expressing Mathematical Reasoning Raw Score.
Blank when Expressing Mathematical Reasoning Raw Score is blank.
"1" when student has not attempted any item within all submitted sessions.</t>
  </si>
  <si>
    <t>Congruence Transformations/Similarity Percent Correct</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</si>
  <si>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</si>
  <si>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 xml:space="preserve">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  </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</si>
  <si>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</si>
  <si>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Field Test Item Response String.
When a constructed response item is scored on more than one dimension, there will be one position for each dimension containing the number of points assigned to each dimension within the item response string.
An MC item will be a '-' if the session is submitted but the item is unattempted. It will be blank if the session is not submitted.</t>
  </si>
  <si>
    <r>
      <t xml:space="preserve">Each Item uses </t>
    </r>
    <r>
      <rPr>
        <sz val="10"/>
        <rFont val="Arial"/>
        <family val="2"/>
      </rPr>
      <t xml:space="preserve">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t>
    </r>
    <r>
      <rPr>
        <sz val="10"/>
        <rFont val="Arial"/>
        <family val="2"/>
      </rPr>
      <t xml:space="preserve">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</si>
  <si>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t>TEST DETAILS - US HISTORY (EOC)</t>
  </si>
  <si>
    <t>U.S. HISTORY (EOC) ACCOMMODATIONS</t>
  </si>
  <si>
    <t>TEST DETAILS - US HISTORY (LEAP 2025)</t>
  </si>
  <si>
    <t>U.S. HISTORY (LEAP 2025) ACCOMMODATIONS</t>
  </si>
  <si>
    <t>U.S. HISTORY (LEAP 2025) SCORING INFORMATION</t>
  </si>
  <si>
    <t xml:space="preserve"> 
650-850
Blank</t>
  </si>
  <si>
    <t>Percent Correct for Western Expansion to Progressivism. This is calculated by dividing the total points earned by the total points possible for the standard.
Blank when the Western Expansion to Progressivism Raw Score is blank.</t>
  </si>
  <si>
    <t>Rating associated with the Western Expansion to Progressivism Raw Score.
Blank when Western Expansion to Progressivism Raw Score is blank.
"1" when student has not attempted any item within all submitted sessions.</t>
  </si>
  <si>
    <t>Percent Correct for Isolationism through the Great War. This is calculated by dividing the total points earned by the total points possible for the standard.
Blank when the Isolationism through the Great War  Raw Score is blank.</t>
  </si>
  <si>
    <t>Rating associated with the Isolationism through the Great War Score.
Blank when Isolationism through the Great War Raw Score is blank.
"1" when student has not attempted any item within all submitted sessions.</t>
  </si>
  <si>
    <t>Percent Correct for Becoming a World Power through World War II. This is calculated by dividing the total points earned by the total points possible for the standard.
Blank when the Becoming a World Power through World War II Raw Score is blank.</t>
  </si>
  <si>
    <t>Rating associated with the Becoming a World Power through World War II Score.
Blank when Becoming a World Power through World War II is blank.
"1" when student has not attempted any item within all submitted sessions.</t>
  </si>
  <si>
    <t>Percent Correct for Cold War Era. This is calculated by dividing the total points earned by the total points possible for the standard.
Blank when the Cold War Era Raw Score is blank.</t>
  </si>
  <si>
    <t>Rating associated with the Cold War Era Score.
Blank when Cold War Era  is blank.
"1" when student has not attempted any item within all submitted sessions.</t>
  </si>
  <si>
    <t>Percent Correct for The Modern Age. This is calculated by dividing the total points earned by the total points possible for the standard.
Blank when the The Modern Age Raw Score is blank.</t>
  </si>
  <si>
    <t>Rating associated with the The Modern Age Score.
Blank when The Modern Age is blank.
"1" when student has not attempted any item within all submitted sessions.</t>
  </si>
  <si>
    <t xml:space="preserve">Total points earned for operational MC items for English I.
Blank when Total Raw Score is blank.
Field value is right justified with leading spaces. </t>
  </si>
  <si>
    <t xml:space="preserve">Total points earned for operational CR items for English I.
Blank when Total Raw Score is blank.
Field value is right justified with leading spaces. </t>
  </si>
  <si>
    <t>Rating associated with the Reading Vocabulary Raw Score.
Blank when Reading Vocabulary Raw Score is blank.
"1" when student has not attempted any item within all submitted sessions.</t>
  </si>
  <si>
    <t xml:space="preserve">Rating associated with the Written Expression Raw Score.
Blank when Written Expression Raw Score is blank.
"1" when student has not attempted any item within all submitted sessions.
</t>
  </si>
  <si>
    <t>Rating associated with the Knowledge &amp; Use of Language Conventions Raw Score.
Blank when Knowledge &amp; Use of Language Conventions Rating Raw Score is blank.
"1" when student has not attempted any item within all submitted sessions.</t>
  </si>
  <si>
    <t>Rating associated with the Reading Raw Score.
Blank when Reading Raw Score is blank.
"1" when student has not attempted any item within all submitted sessions.</t>
  </si>
  <si>
    <t>Document created for Spring 2018.</t>
  </si>
  <si>
    <t xml:space="preserve">As flagged on the Enroll File. 
Blank for students in the NPS Assess Group.
</t>
  </si>
  <si>
    <t xml:space="preserve">As flagged on the Enroll File. 
Blank for students in the NPS Assess Group.
</t>
  </si>
  <si>
    <r>
      <t xml:space="preserve">USE 
USEAE 
</t>
    </r>
    <r>
      <rPr>
        <sz val="10"/>
        <color rgb="FFFF0000"/>
        <rFont val="Arial"/>
        <family val="2"/>
      </rPr>
      <t>USENFT</t>
    </r>
    <r>
      <rPr>
        <sz val="10"/>
        <color theme="1"/>
        <rFont val="Arial"/>
        <family val="2"/>
      </rPr>
      <t xml:space="preserve">
Blank</t>
    </r>
  </si>
  <si>
    <r>
      <t xml:space="preserve">BL
BLAE
</t>
    </r>
    <r>
      <rPr>
        <sz val="10"/>
        <color rgb="FFFF0000"/>
        <rFont val="Arial"/>
        <family val="2"/>
      </rPr>
      <t>BLNFT</t>
    </r>
    <r>
      <rPr>
        <sz val="10"/>
        <rFont val="Arial"/>
        <family val="2"/>
      </rPr>
      <t xml:space="preserve">
Blank</t>
    </r>
  </si>
  <si>
    <r>
      <t xml:space="preserve">E3
E3AE
</t>
    </r>
    <r>
      <rPr>
        <sz val="10"/>
        <color rgb="FFFF0000"/>
        <rFont val="Arial"/>
        <family val="2"/>
      </rPr>
      <t>E3NFT</t>
    </r>
    <r>
      <rPr>
        <sz val="10"/>
        <rFont val="Arial"/>
        <family val="2"/>
      </rPr>
      <t xml:space="preserve">
Blank</t>
    </r>
  </si>
  <si>
    <r>
      <t xml:space="preserve">Assessment achievement level for U.S. History.
Refer to the </t>
    </r>
    <r>
      <rPr>
        <b/>
        <u/>
        <sz val="10"/>
        <color theme="1"/>
        <rFont val="Arial"/>
        <family val="2"/>
      </rPr>
      <t>Resulting LDESTD Values by Subjec</t>
    </r>
    <r>
      <rPr>
        <sz val="10"/>
        <color theme="1"/>
        <rFont val="Arial"/>
        <family val="2"/>
      </rPr>
      <t>t section within the EOC Processing Rules - Scoring document for the logic used to set the Assessment Achievement Level  value.</t>
    </r>
  </si>
  <si>
    <r>
      <t xml:space="preserve">Accountability achievement level for U.S. History.
Refer to the </t>
    </r>
    <r>
      <rPr>
        <b/>
        <u/>
        <sz val="10"/>
        <color theme="1"/>
        <rFont val="Arial"/>
        <family val="2"/>
      </rPr>
      <t>Resulting LDESTD Values by Subject</t>
    </r>
    <r>
      <rPr>
        <sz val="10"/>
        <color theme="1"/>
        <rFont val="Arial"/>
        <family val="2"/>
      </rPr>
      <t xml:space="preserve"> section within the EOC Processing Rules - Scoring document for the logic used to set the Assessment Achievement Level  value.</t>
    </r>
  </si>
  <si>
    <t>E = Excellent
G = Good
F = Fair
NI = Needs Improvement
UNS = Unsatisfactory
APP = Approaching Basic
BAS = Basic
MAS = Mastery
ADV = Advanced
Blank</t>
  </si>
  <si>
    <t>600-800
650-850
Blank</t>
  </si>
  <si>
    <t>Testing Flags - U.S. History (LEAP 2025)</t>
  </si>
  <si>
    <t>Scale score for Algebra I.
Refer to the Resulting LDESTD Values by Subject section within the EOC Processing Rules - Scoring document for the logic used to set the Raw Score value.</t>
  </si>
  <si>
    <t>Scale score for English II.
Refer to the Resulting LDESTD Values by Subject section within the EOC Processing Rules - Scoring document for the logic used to set the Scale Score value.</t>
  </si>
  <si>
    <t>Scale score for Geometry.
Refer to the Resulting LDESTD Values by Subject section within the EOC Processing Rules - Scoring document for the logic used to set the Scale Score value.</t>
  </si>
  <si>
    <t>Scale score for Biology.
Refer to the Resulting LDESTD Values by Subject section within the EOC Processing Rules - Scoring document for the logic used to set the Scale Score value.</t>
  </si>
  <si>
    <t>Scale score for English III.
Refer to the Resulting LDESTD Values by Subject section within the EOC Processing Rules - Scoring document for the logic used to set the Scale Score value.</t>
  </si>
  <si>
    <t>Scale score for U.S. History.
Refer to the Resulting LDESTD Values by Subject section within the EOC Processing Rules - Scoring document for the logic used to set the Scale Score value.</t>
  </si>
  <si>
    <t>Scale score for English I.
Refer to the Resulting LDESTD Values by Subject section within the EOC Processing Rules - Scoring document for the logic used to set the Scale Score value.</t>
  </si>
  <si>
    <r>
      <t xml:space="preserve">E = Excellent
G = Good
F = Fair
NI = Needs Improvement
</t>
    </r>
    <r>
      <rPr>
        <sz val="10"/>
        <color rgb="FFFF0000"/>
        <rFont val="Arial"/>
        <family val="2"/>
      </rPr>
      <t>UNS = Unsatisfactory
APP = Approaching Basic
BAS = Basic
MAS = Mastery
ADV = Advanced</t>
    </r>
    <r>
      <rPr>
        <sz val="10"/>
        <color rgb="FF000000"/>
        <rFont val="Arial"/>
        <family val="2"/>
      </rPr>
      <t xml:space="preserve">
Blank</t>
    </r>
  </si>
  <si>
    <r>
      <t xml:space="preserve">600-800
</t>
    </r>
    <r>
      <rPr>
        <sz val="10"/>
        <color rgb="FFFF0000"/>
        <rFont val="Arial"/>
        <family val="2"/>
      </rPr>
      <t>650-850</t>
    </r>
    <r>
      <rPr>
        <sz val="10"/>
        <color rgb="FF000000"/>
        <rFont val="Arial"/>
        <family val="2"/>
      </rPr>
      <t xml:space="preserve">
Blank</t>
    </r>
  </si>
  <si>
    <t xml:space="preserve">Removed English II Cohort flag for English II, added English I Cohort flag for English I. 
Added possible values for NFT and AE NFT  to the Content field for all impacted subjects.
Increased length of all Content field from 5 to 8, all Form fields from 6 to 8.
</t>
  </si>
  <si>
    <t>Rating associated with the Modeling &amp; Application Raw Score.
Blank when Modeling &amp; Application Raw Score is blank.
"1" when student has not attempted any item within all submitted sessions.</t>
  </si>
  <si>
    <t xml:space="preserve">Added 5-level values to Highest Previous Assessment Achievement Level fields for 5-level subjects.
Added 5-level scale score range Highest Previous Scale Score for 5-level subjects.
Added Scientific Calculator and Graphing Tool to the Reporting accommodations for Algebra I and Geometry. Changed Filler length following accommodations from 20 to 18 char. </t>
  </si>
  <si>
    <t>EOC Spring 2018</t>
  </si>
  <si>
    <r>
      <t xml:space="preserve">GM
GMAE
</t>
    </r>
    <r>
      <rPr>
        <sz val="10"/>
        <color rgb="FFFF0000"/>
        <rFont val="Arial"/>
        <family val="2"/>
      </rPr>
      <t>GMNFT
GMNFTAE</t>
    </r>
    <r>
      <rPr>
        <sz val="10"/>
        <rFont val="Arial"/>
        <family val="2"/>
      </rPr>
      <t xml:space="preserve">
Blank</t>
    </r>
  </si>
  <si>
    <r>
      <t xml:space="preserve">
USL
USLAE
</t>
    </r>
    <r>
      <rPr>
        <sz val="10"/>
        <color rgb="FFFF0000"/>
        <rFont val="Arial"/>
        <family val="2"/>
      </rPr>
      <t>USLNFT
USLNFTAE</t>
    </r>
    <r>
      <rPr>
        <sz val="10"/>
        <color theme="1"/>
        <rFont val="Arial"/>
        <family val="2"/>
      </rPr>
      <t xml:space="preserve">
Blank</t>
    </r>
  </si>
  <si>
    <r>
      <t xml:space="preserve">AL
ALAE
</t>
    </r>
    <r>
      <rPr>
        <sz val="10"/>
        <color rgb="FFFF0000"/>
        <rFont val="Arial"/>
        <family val="2"/>
      </rPr>
      <t>ALNFT
ALNFTAE</t>
    </r>
    <r>
      <rPr>
        <sz val="10"/>
        <rFont val="Arial"/>
        <family val="2"/>
      </rPr>
      <t xml:space="preserve">
Blank</t>
    </r>
  </si>
  <si>
    <t>AL (for Algebra I) indicates a student was put into a test session for the regular form or was in the enroll file for the subject.
ALAE indicates a student was put into a test session for the AE form for the subject.
ALNFT indicates a student was put into a test session for the NFT form for the subject. 
ALNFTAE indicates a student was put into a test session for the AE NFT form for the subject. 
Blank when a student is not in a test session or was not in the enroll file for the subject.</t>
  </si>
  <si>
    <r>
      <t xml:space="preserve">E2
E2AE
</t>
    </r>
    <r>
      <rPr>
        <sz val="10"/>
        <color rgb="FFFF0000"/>
        <rFont val="Arial"/>
        <family val="2"/>
      </rPr>
      <t>E2NFT
E2NFTAE</t>
    </r>
    <r>
      <rPr>
        <sz val="10"/>
        <rFont val="Arial"/>
        <family val="2"/>
      </rPr>
      <t xml:space="preserve">
Blank</t>
    </r>
  </si>
  <si>
    <t>Added clarification to the description of Highest Previous Scale Score field for Algebra I, English I, English II, Geometry, US History (LEAP 2025)</t>
  </si>
  <si>
    <r>
      <t xml:space="preserve">Each Item uses 4 characters of space.
If the item is </t>
    </r>
    <r>
      <rPr>
        <b/>
        <sz val="10"/>
        <rFont val="Arial"/>
        <family val="2"/>
      </rPr>
      <t>multiple choice</t>
    </r>
    <r>
      <rPr>
        <sz val="10"/>
        <rFont val="Arial"/>
        <family val="2"/>
      </rPr>
      <t xml:space="preserve">, the first character of the three is populated with the student's response within the remaining position as filler.
1-4
A
B
C
D
Blank = No Response
If the item </t>
    </r>
    <r>
      <rPr>
        <b/>
        <sz val="10"/>
        <rFont val="Arial"/>
        <family val="2"/>
      </rPr>
      <t>constructed response</t>
    </r>
    <r>
      <rPr>
        <sz val="10"/>
        <rFont val="Arial"/>
        <family val="2"/>
      </rPr>
      <t xml:space="preserve">, the student's score for the constructed response item is represented. 
0.00-99.0
&lt;NonScore Code&gt; = Refer to the </t>
    </r>
    <r>
      <rPr>
        <b/>
        <u/>
        <sz val="10"/>
        <rFont val="Arial"/>
        <family val="2"/>
      </rPr>
      <t>Constructed Response Items</t>
    </r>
    <r>
      <rPr>
        <sz val="10"/>
        <rFont val="Arial"/>
        <family val="2"/>
      </rPr>
      <t xml:space="preserve"> section of the Processing Rules - Scoring document for applicable non-score codes.
"-" = Item not attempted and not sent to handscoring.</t>
    </r>
  </si>
  <si>
    <r>
      <rPr>
        <strike/>
        <sz val="10"/>
        <rFont val="Arial"/>
        <family val="2"/>
      </rPr>
      <t>Y</t>
    </r>
    <r>
      <rPr>
        <sz val="10"/>
        <rFont val="Arial"/>
        <family val="2"/>
      </rPr>
      <t>N</t>
    </r>
  </si>
  <si>
    <t>Scientific Calculator</t>
  </si>
  <si>
    <t>Graphing Calculator</t>
  </si>
  <si>
    <r>
      <t xml:space="preserve">
</t>
    </r>
    <r>
      <rPr>
        <sz val="10"/>
        <color rgb="FFFF0000"/>
        <rFont val="Arial"/>
        <family val="2"/>
      </rPr>
      <t>650-850</t>
    </r>
    <r>
      <rPr>
        <sz val="10"/>
        <color rgb="FF000000"/>
        <rFont val="Arial"/>
        <family val="2"/>
      </rPr>
      <t xml:space="preserve">
Blank</t>
    </r>
  </si>
  <si>
    <r>
      <t xml:space="preserve">
</t>
    </r>
    <r>
      <rPr>
        <sz val="10"/>
        <color rgb="FFFF0000"/>
        <rFont val="Arial"/>
        <family val="2"/>
      </rPr>
      <t>UNS = Unsatisfactory
APP = Approaching Basic
BAS = Basic
MAS = Mastery
ADV = Advanced</t>
    </r>
    <r>
      <rPr>
        <sz val="10"/>
        <color rgb="FF000000"/>
        <rFont val="Arial"/>
        <family val="2"/>
      </rPr>
      <t xml:space="preserve">
Blank</t>
    </r>
  </si>
  <si>
    <r>
      <t xml:space="preserve">Blank when student didn't test during the current administration or when no history is found for the student.
</t>
    </r>
    <r>
      <rPr>
        <sz val="10"/>
        <color rgb="FFFF0000"/>
        <rFont val="Arial"/>
        <family val="2"/>
      </rPr>
      <t xml:space="preserve">
</t>
    </r>
    <r>
      <rPr>
        <sz val="10"/>
        <rFont val="Arial"/>
        <family val="2"/>
      </rPr>
      <t xml:space="preserve">
</t>
    </r>
  </si>
  <si>
    <t>Unstruck thru EnglishIICohort flag, removed EnglishICohort flag.
Change field name from "Graphing Tool" to "Graphing Calculator".
Changed values for "Include in LDE Staff &amp; Contractors file" and "Include in Researcher file" to "N" for Previous Highest fields for each subject.</t>
  </si>
  <si>
    <r>
      <t xml:space="preserve">Percent correct for the English I Reading Informational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Reading Informational Text Raw Score is blank.</t>
    </r>
  </si>
  <si>
    <r>
      <rPr>
        <b/>
        <strike/>
        <sz val="10"/>
        <color rgb="FF0000FF"/>
        <rFont val="Arial"/>
        <family val="2"/>
      </rPr>
      <t>Subclaim</t>
    </r>
    <r>
      <rPr>
        <b/>
        <sz val="10"/>
        <color rgb="FF0000FF"/>
        <rFont val="Arial"/>
        <family val="2"/>
      </rPr>
      <t xml:space="preserve"> </t>
    </r>
    <r>
      <rPr>
        <b/>
        <sz val="10"/>
        <color rgb="FFFF0000"/>
        <rFont val="Arial"/>
        <family val="2"/>
      </rPr>
      <t>Subcategory</t>
    </r>
    <r>
      <rPr>
        <b/>
        <sz val="10"/>
        <color rgb="FF0000FF"/>
        <rFont val="Arial"/>
        <family val="2"/>
      </rPr>
      <t xml:space="preserve"> Scoring Information</t>
    </r>
  </si>
  <si>
    <r>
      <t xml:space="preserve">Total points earned for the English I Reading Vocabulary </t>
    </r>
    <r>
      <rPr>
        <strike/>
        <sz val="10"/>
        <rFont val="Arial"/>
        <family val="2"/>
      </rPr>
      <t xml:space="preserve">subclaim </t>
    </r>
    <r>
      <rPr>
        <sz val="10"/>
        <color rgb="FFFF0000"/>
        <rFont val="Arial"/>
        <family val="2"/>
      </rPr>
      <t>subcategory</t>
    </r>
    <r>
      <rPr>
        <sz val="10"/>
        <rFont val="Arial"/>
        <family val="2"/>
      </rPr>
      <t xml:space="preserve">.
Blank when </t>
    </r>
    <r>
      <rPr>
        <strike/>
        <sz val="10"/>
        <rFont val="Arial"/>
        <family val="2"/>
      </rPr>
      <t>subclaim</t>
    </r>
    <r>
      <rPr>
        <strike/>
        <sz val="10"/>
        <color rgb="FFFF0000"/>
        <rFont val="Arial"/>
        <family val="2"/>
      </rPr>
      <t xml:space="preserve"> </t>
    </r>
    <r>
      <rPr>
        <sz val="10"/>
        <color rgb="FFFF0000"/>
        <rFont val="Arial"/>
        <family val="2"/>
      </rPr>
      <t>subcategory</t>
    </r>
    <r>
      <rPr>
        <sz val="10"/>
        <rFont val="Arial"/>
        <family val="2"/>
      </rPr>
      <t>. is not assessed (zero points possible), or when the Raw Score Total for English I is blank.</t>
    </r>
  </si>
  <si>
    <r>
      <t xml:space="preserve">Total points earned for the English I Written Expression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 xml:space="preserve">subclaim </t>
    </r>
    <r>
      <rPr>
        <sz val="10"/>
        <color rgb="FFFF0000"/>
        <rFont val="Arial"/>
        <family val="2"/>
      </rPr>
      <t>subcategory</t>
    </r>
    <r>
      <rPr>
        <sz val="10"/>
        <rFont val="Arial"/>
        <family val="2"/>
      </rPr>
      <t>. is not assessed (zero points possible), or when the Raw Score Total for English I is blank.</t>
    </r>
  </si>
  <si>
    <r>
      <t xml:space="preserve">Total points earned for the English I Knowledge &amp; Use of Language Conventions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subcategory</t>
    </r>
    <r>
      <rPr>
        <sz val="10"/>
        <rFont val="Arial"/>
        <family val="2"/>
      </rPr>
      <t>. is not assessed (zero points possible), or when the Raw Score Total for English I is blank.</t>
    </r>
  </si>
  <si>
    <r>
      <t xml:space="preserve">Percent correct for the English I Reading </t>
    </r>
    <r>
      <rPr>
        <strike/>
        <sz val="10"/>
        <rFont val="Arial"/>
        <family val="2"/>
      </rPr>
      <t>claim</t>
    </r>
    <r>
      <rPr>
        <sz val="1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claim</t>
    </r>
    <r>
      <rPr>
        <sz val="10"/>
        <rFont val="Arial"/>
        <family val="2"/>
      </rPr>
      <t xml:space="preserve"> </t>
    </r>
    <r>
      <rPr>
        <sz val="10"/>
        <color rgb="FFFF0000"/>
        <rFont val="Arial"/>
        <family val="2"/>
      </rPr>
      <t>category</t>
    </r>
    <r>
      <rPr>
        <sz val="10"/>
        <rFont val="Arial"/>
        <family val="2"/>
      </rPr>
      <t>.
Blank when Reading Raw Score is blank.</t>
    </r>
  </si>
  <si>
    <r>
      <t xml:space="preserve">Total points earned for the English I Reading Informational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is not assessed (zero points possible), or when the Raw Score Total for English I is blank.</t>
    </r>
  </si>
  <si>
    <r>
      <t xml:space="preserve">Total points earned for the English I Reading Literary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subcategory</t>
    </r>
    <r>
      <rPr>
        <sz val="10"/>
        <rFont val="Arial"/>
        <family val="2"/>
      </rPr>
      <t>. is not assessed (zero points possible), or when the Raw Score Total for English I is blank.</t>
    </r>
  </si>
  <si>
    <r>
      <t xml:space="preserve">Percent correct for the English I Reading Vocabulary </t>
    </r>
    <r>
      <rPr>
        <strike/>
        <sz val="10"/>
        <rFont val="Arial"/>
        <family val="2"/>
      </rPr>
      <t>subclaim</t>
    </r>
    <r>
      <rPr>
        <sz val="10"/>
        <rFont val="Arial"/>
        <family val="2"/>
      </rPr>
      <t xml:space="preserve"> subcategory. This is calculated by dividing the total points earned by the total points possible for the</t>
    </r>
    <r>
      <rPr>
        <strike/>
        <sz val="10"/>
        <rFont val="Arial"/>
        <family val="2"/>
      </rPr>
      <t xml:space="preserve"> subclaim</t>
    </r>
    <r>
      <rPr>
        <sz val="10"/>
        <rFont val="Arial"/>
        <family val="2"/>
      </rPr>
      <t xml:space="preserve"> </t>
    </r>
    <r>
      <rPr>
        <sz val="10"/>
        <color rgb="FFFF0000"/>
        <rFont val="Arial"/>
        <family val="2"/>
      </rPr>
      <t>subcategory</t>
    </r>
    <r>
      <rPr>
        <sz val="10"/>
        <rFont val="Arial"/>
        <family val="2"/>
      </rPr>
      <t>.
Blank when Reading Vocabulary Raw Score is blank.</t>
    </r>
  </si>
  <si>
    <r>
      <t xml:space="preserve">Percent correct for the English I Knowledge &amp; Use of Language Conventions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Knowledge &amp; Use of Language Conventions Raw Score is blank.</t>
    </r>
  </si>
  <si>
    <r>
      <t xml:space="preserve">Percent correct for the English I Writing </t>
    </r>
    <r>
      <rPr>
        <strike/>
        <sz val="10"/>
        <rFont val="Arial"/>
        <family val="2"/>
      </rPr>
      <t>claim</t>
    </r>
    <r>
      <rPr>
        <sz val="1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claim</t>
    </r>
    <r>
      <rPr>
        <sz val="10"/>
        <rFont val="Arial"/>
        <family val="2"/>
      </rPr>
      <t xml:space="preserve"> </t>
    </r>
    <r>
      <rPr>
        <sz val="10"/>
        <color rgb="FFFF0000"/>
        <rFont val="Arial"/>
        <family val="2"/>
      </rPr>
      <t>category</t>
    </r>
    <r>
      <rPr>
        <sz val="10"/>
        <rFont val="Arial"/>
        <family val="2"/>
      </rPr>
      <t>.
Blank when Writing Raw Score is blank.</t>
    </r>
  </si>
  <si>
    <r>
      <t xml:space="preserve">Total points earned for the English I Writing </t>
    </r>
    <r>
      <rPr>
        <strike/>
        <sz val="10"/>
        <rFont val="Arial"/>
        <family val="2"/>
      </rPr>
      <t>claim</t>
    </r>
    <r>
      <rPr>
        <sz val="10"/>
        <rFont val="Arial"/>
        <family val="2"/>
      </rPr>
      <t xml:space="preserve"> </t>
    </r>
    <r>
      <rPr>
        <sz val="10"/>
        <color rgb="FFFF0000"/>
        <rFont val="Arial"/>
        <family val="2"/>
      </rPr>
      <t>category</t>
    </r>
    <r>
      <rPr>
        <sz val="10"/>
        <rFont val="Arial"/>
        <family val="2"/>
      </rPr>
      <t xml:space="preserve">.
Blank when </t>
    </r>
    <r>
      <rPr>
        <strike/>
        <sz val="10"/>
        <rFont val="Arial"/>
        <family val="2"/>
      </rPr>
      <t>claim</t>
    </r>
    <r>
      <rPr>
        <sz val="10"/>
        <color rgb="FFFF0000"/>
        <rFont val="Arial"/>
        <family val="2"/>
      </rPr>
      <t xml:space="preserve"> category </t>
    </r>
    <r>
      <rPr>
        <sz val="10"/>
        <rFont val="Arial"/>
        <family val="2"/>
      </rPr>
      <t>is not assessed (zero points possible), or when the Raw Score Total for English I is blank.</t>
    </r>
  </si>
  <si>
    <r>
      <t xml:space="preserve">Total points earned for the English I Reading </t>
    </r>
    <r>
      <rPr>
        <strike/>
        <sz val="10"/>
        <rFont val="Arial"/>
        <family val="2"/>
      </rPr>
      <t>claim</t>
    </r>
    <r>
      <rPr>
        <sz val="10"/>
        <color rgb="FFFF0000"/>
        <rFont val="Arial"/>
        <family val="2"/>
      </rPr>
      <t xml:space="preserve"> category</t>
    </r>
    <r>
      <rPr>
        <sz val="10"/>
        <rFont val="Arial"/>
        <family val="2"/>
      </rPr>
      <t xml:space="preserve">.
Blank when </t>
    </r>
    <r>
      <rPr>
        <strike/>
        <sz val="10"/>
        <rFont val="Arial"/>
        <family val="2"/>
      </rPr>
      <t>claim</t>
    </r>
    <r>
      <rPr>
        <sz val="10"/>
        <rFont val="Arial"/>
        <family val="2"/>
      </rPr>
      <t xml:space="preserve"> </t>
    </r>
    <r>
      <rPr>
        <sz val="10"/>
        <color rgb="FFFF0000"/>
        <rFont val="Arial"/>
        <family val="2"/>
      </rPr>
      <t xml:space="preserve">category </t>
    </r>
    <r>
      <rPr>
        <sz val="10"/>
        <rFont val="Arial"/>
        <family val="2"/>
      </rPr>
      <t>is not assessed (zero points possible), or when the Raw Score Total for English I is blank.</t>
    </r>
  </si>
  <si>
    <r>
      <rPr>
        <b/>
        <strike/>
        <sz val="10"/>
        <color rgb="FF0000FF"/>
        <rFont val="Arial"/>
        <family val="2"/>
      </rPr>
      <t>Claim</t>
    </r>
    <r>
      <rPr>
        <b/>
        <sz val="10"/>
        <color rgb="FFFF0000"/>
        <rFont val="Arial"/>
        <family val="2"/>
      </rPr>
      <t>Category</t>
    </r>
    <r>
      <rPr>
        <b/>
        <sz val="10"/>
        <color rgb="FF0000FF"/>
        <rFont val="Arial"/>
        <family val="2"/>
      </rPr>
      <t xml:space="preserve"> Scoring Information</t>
    </r>
  </si>
  <si>
    <t>Total points earned for the English II Writing claim.
Blank when category is not assessed (zero points possible), or when the Raw Score Total for English II is blank.</t>
  </si>
  <si>
    <t>Total points earned for the Geometry Modeling &amp; Application Raw Score category.
Blank when category is not assessed (zero points possible), or when the Raw Score Total for Geometry is blank.</t>
  </si>
  <si>
    <r>
      <t xml:space="preserve">Total points earned for the Algebra I Major Content </t>
    </r>
    <r>
      <rPr>
        <strike/>
        <sz val="10"/>
        <rFont val="Arial"/>
        <family val="2"/>
      </rPr>
      <t xml:space="preserve">subclaim </t>
    </r>
    <r>
      <rPr>
        <sz val="10"/>
        <color rgb="FFFF0000"/>
        <rFont val="Arial"/>
        <family val="2"/>
      </rPr>
      <t>category</t>
    </r>
    <r>
      <rPr>
        <sz val="10"/>
        <rFont val="Arial"/>
        <family val="2"/>
      </rPr>
      <t>.
Blank when</t>
    </r>
    <r>
      <rPr>
        <strike/>
        <sz val="10"/>
        <rFont val="Arial"/>
        <family val="2"/>
      </rPr>
      <t xml:space="preserve"> subclaim</t>
    </r>
    <r>
      <rPr>
        <sz val="10"/>
        <rFont val="Arial"/>
        <family val="2"/>
      </rPr>
      <t xml:space="preserve"> </t>
    </r>
    <r>
      <rPr>
        <sz val="10"/>
        <color rgb="FFFF0000"/>
        <rFont val="Arial"/>
        <family val="2"/>
      </rPr>
      <t>category</t>
    </r>
    <r>
      <rPr>
        <sz val="10"/>
        <rFont val="Arial"/>
        <family val="2"/>
      </rPr>
      <t xml:space="preserve"> is not assessed (zero points possible), or when the Raw Score Total for Algebra I is blank.
</t>
    </r>
  </si>
  <si>
    <r>
      <t xml:space="preserve">Percent correct for the Algebra I Major Content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subclaim</t>
    </r>
    <r>
      <rPr>
        <strike/>
        <sz val="10"/>
        <color rgb="FFFF0000"/>
        <rFont val="Arial"/>
        <family val="2"/>
      </rPr>
      <t xml:space="preserve"> </t>
    </r>
    <r>
      <rPr>
        <sz val="10"/>
        <color rgb="FFFF0000"/>
        <rFont val="Arial"/>
        <family val="2"/>
      </rPr>
      <t>category</t>
    </r>
    <r>
      <rPr>
        <sz val="10"/>
        <rFont val="Arial"/>
        <family val="2"/>
      </rPr>
      <t>.
Blank when Algebra I Major Content Raw Score is blank.</t>
    </r>
  </si>
  <si>
    <r>
      <t xml:space="preserve">Percent correct for the Algebra I Expressing Mathematical Reasoning </t>
    </r>
    <r>
      <rPr>
        <strike/>
        <sz val="10"/>
        <rFont val="Arial"/>
        <family val="2"/>
      </rPr>
      <t>subclaim</t>
    </r>
    <r>
      <rPr>
        <sz val="10"/>
        <color rgb="FFFF0000"/>
        <rFont val="Arial"/>
        <family val="2"/>
      </rPr>
      <t xml:space="preserve"> category</t>
    </r>
    <r>
      <rPr>
        <sz val="10"/>
        <rFont val="Arial"/>
        <family val="2"/>
      </rPr>
      <t xml:space="preserve">. This is calculated by dividing the total points earned by the total points possible for the </t>
    </r>
    <r>
      <rPr>
        <strike/>
        <sz val="10"/>
        <rFont val="Arial"/>
        <family val="2"/>
      </rPr>
      <t xml:space="preserve">subclaim </t>
    </r>
    <r>
      <rPr>
        <sz val="10"/>
        <color rgb="FFFF0000"/>
        <rFont val="Arial"/>
        <family val="2"/>
      </rPr>
      <t>category</t>
    </r>
    <r>
      <rPr>
        <sz val="10"/>
        <rFont val="Arial"/>
        <family val="2"/>
      </rPr>
      <t>.
Blank when Expressing Mathematical Reasoning Raw Score is blank.</t>
    </r>
  </si>
  <si>
    <r>
      <t xml:space="preserve">Percent correct for the Algebra I Modeling &amp; Application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 xml:space="preserve">subclaim </t>
    </r>
    <r>
      <rPr>
        <sz val="10"/>
        <color rgb="FFFF0000"/>
        <rFont val="Arial"/>
        <family val="2"/>
      </rPr>
      <t>category</t>
    </r>
    <r>
      <rPr>
        <sz val="10"/>
        <rFont val="Arial"/>
        <family val="2"/>
      </rPr>
      <t>.
Blank when Modeling &amp; Application Raw Score is blank.</t>
    </r>
  </si>
  <si>
    <r>
      <rPr>
        <b/>
        <strike/>
        <sz val="10"/>
        <color rgb="FF0000FF"/>
        <rFont val="Arial"/>
        <family val="2"/>
      </rPr>
      <t>Subclaim</t>
    </r>
    <r>
      <rPr>
        <b/>
        <sz val="10"/>
        <color rgb="FF0000FF"/>
        <rFont val="Arial"/>
        <family val="2"/>
      </rPr>
      <t xml:space="preserve"> </t>
    </r>
    <r>
      <rPr>
        <b/>
        <sz val="10"/>
        <color rgb="FFFF0000"/>
        <rFont val="Arial"/>
        <family val="2"/>
      </rPr>
      <t xml:space="preserve">Subcategory </t>
    </r>
    <r>
      <rPr>
        <b/>
        <sz val="10"/>
        <color rgb="FF0000FF"/>
        <rFont val="Arial"/>
        <family val="2"/>
      </rPr>
      <t>Scoring Information</t>
    </r>
  </si>
  <si>
    <r>
      <t xml:space="preserve">Total points earned for the English II Reading Literary Text </t>
    </r>
    <r>
      <rPr>
        <strike/>
        <sz val="10"/>
        <rFont val="Arial"/>
        <family val="2"/>
      </rPr>
      <t>subclaim</t>
    </r>
    <r>
      <rPr>
        <sz val="10"/>
        <color rgb="FFFF0000"/>
        <rFont val="Arial"/>
        <family val="2"/>
      </rPr>
      <t xml:space="preserve"> 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 xml:space="preserve">subcategory </t>
    </r>
    <r>
      <rPr>
        <sz val="10"/>
        <rFont val="Arial"/>
        <family val="2"/>
      </rPr>
      <t>not assessed (zero points possible), or when the Raw Score Total for English II is blank.</t>
    </r>
  </si>
  <si>
    <r>
      <t xml:space="preserve">Percent correct for the English II Reading Literary Text </t>
    </r>
    <r>
      <rPr>
        <strike/>
        <sz val="10"/>
        <rFont val="Arial"/>
        <family val="2"/>
      </rPr>
      <t xml:space="preserve">subclaim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Reading Literary Text Raw Score is blank.</t>
    </r>
  </si>
  <si>
    <r>
      <t xml:space="preserve">Percent correct for the English II Reading Informational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Reading Informational Text Raw Score is blank.</t>
    </r>
  </si>
  <si>
    <r>
      <t xml:space="preserve">Percent correct for the English II Reading Vocabulary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Reading Vocabulary Raw Score is blank.</t>
    </r>
  </si>
  <si>
    <r>
      <t>Percent correct for the English II Written Expression</t>
    </r>
    <r>
      <rPr>
        <strike/>
        <sz val="10"/>
        <rFont val="Arial"/>
        <family val="2"/>
      </rPr>
      <t xml:space="preserve"> 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Written Expression Raw Score is blank.
</t>
    </r>
  </si>
  <si>
    <r>
      <t xml:space="preserve">Percent correct for the English II Knowledge &amp; Use of Language Conventions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 xml:space="preserve">subclaim </t>
    </r>
    <r>
      <rPr>
        <sz val="10"/>
        <color rgb="FFFF0000"/>
        <rFont val="Arial"/>
        <family val="2"/>
      </rPr>
      <t>subcategory</t>
    </r>
    <r>
      <rPr>
        <sz val="10"/>
        <rFont val="Arial"/>
        <family val="2"/>
      </rPr>
      <t>.
Blank when Knowledge &amp; Use of Language Conventions Raw Score is blank.</t>
    </r>
  </si>
  <si>
    <r>
      <rPr>
        <b/>
        <strike/>
        <sz val="10"/>
        <color rgb="FF0000FF"/>
        <rFont val="Arial"/>
        <family val="2"/>
      </rPr>
      <t xml:space="preserve">Claim </t>
    </r>
    <r>
      <rPr>
        <b/>
        <sz val="10"/>
        <color rgb="FFFF0000"/>
        <rFont val="Arial"/>
        <family val="2"/>
      </rPr>
      <t>Category</t>
    </r>
    <r>
      <rPr>
        <b/>
        <sz val="10"/>
        <color rgb="FF0000FF"/>
        <rFont val="Arial"/>
        <family val="2"/>
      </rPr>
      <t xml:space="preserve"> Scoring Information</t>
    </r>
  </si>
  <si>
    <r>
      <t xml:space="preserve">Total points earned for the English II Reading </t>
    </r>
    <r>
      <rPr>
        <strike/>
        <sz val="10"/>
        <rFont val="Arial"/>
        <family val="2"/>
      </rPr>
      <t>claim</t>
    </r>
    <r>
      <rPr>
        <sz val="10"/>
        <rFont val="Arial"/>
        <family val="2"/>
      </rPr>
      <t xml:space="preserve"> </t>
    </r>
    <r>
      <rPr>
        <sz val="10"/>
        <color rgb="FFFF0000"/>
        <rFont val="Arial"/>
        <family val="2"/>
      </rPr>
      <t>category</t>
    </r>
    <r>
      <rPr>
        <sz val="10"/>
        <rFont val="Arial"/>
        <family val="2"/>
      </rPr>
      <t>.
Blank when category is not assessed (zero points possible), or when the Raw Score Total for English II is blank.</t>
    </r>
  </si>
  <si>
    <r>
      <t xml:space="preserve">Percent correct for the English II Reading </t>
    </r>
    <r>
      <rPr>
        <strike/>
        <sz val="10"/>
        <rFont val="Arial"/>
        <family val="2"/>
      </rPr>
      <t>claim</t>
    </r>
    <r>
      <rPr>
        <strike/>
        <sz val="10"/>
        <color rgb="FFFF000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claim</t>
    </r>
    <r>
      <rPr>
        <sz val="10"/>
        <rFont val="Arial"/>
        <family val="2"/>
      </rPr>
      <t xml:space="preserve"> </t>
    </r>
    <r>
      <rPr>
        <sz val="10"/>
        <color rgb="FFFF0000"/>
        <rFont val="Arial"/>
        <family val="2"/>
      </rPr>
      <t>category</t>
    </r>
    <r>
      <rPr>
        <sz val="10"/>
        <rFont val="Arial"/>
        <family val="2"/>
      </rPr>
      <t>.
Blank when Reading Raw Score is blank.</t>
    </r>
  </si>
  <si>
    <r>
      <t>Percent correct for the English II Writing</t>
    </r>
    <r>
      <rPr>
        <strike/>
        <sz val="10"/>
        <rFont val="Arial"/>
        <family val="2"/>
      </rPr>
      <t xml:space="preserve"> claim</t>
    </r>
    <r>
      <rPr>
        <sz val="10"/>
        <rFont val="Arial"/>
        <family val="2"/>
      </rPr>
      <t xml:space="preserve"> </t>
    </r>
    <r>
      <rPr>
        <sz val="10"/>
        <color rgb="FFFF0000"/>
        <rFont val="Arial"/>
        <family val="2"/>
      </rPr>
      <t>category</t>
    </r>
    <r>
      <rPr>
        <sz val="10"/>
        <rFont val="Arial"/>
        <family val="2"/>
      </rPr>
      <t>. This is calculated by dividing the total points earned by the total points possible for the</t>
    </r>
    <r>
      <rPr>
        <strike/>
        <sz val="10"/>
        <rFont val="Arial"/>
        <family val="2"/>
      </rPr>
      <t xml:space="preserve"> claim</t>
    </r>
    <r>
      <rPr>
        <sz val="10"/>
        <rFont val="Arial"/>
        <family val="2"/>
      </rPr>
      <t xml:space="preserve"> </t>
    </r>
    <r>
      <rPr>
        <sz val="10"/>
        <color rgb="FFFF0000"/>
        <rFont val="Arial"/>
        <family val="2"/>
      </rPr>
      <t>category</t>
    </r>
    <r>
      <rPr>
        <sz val="10"/>
        <rFont val="Arial"/>
        <family val="2"/>
      </rPr>
      <t>.
Blank when Writing Raw Score is blank.</t>
    </r>
  </si>
  <si>
    <r>
      <rPr>
        <b/>
        <strike/>
        <sz val="10"/>
        <color rgb="FF0000FF"/>
        <rFont val="Arial"/>
        <family val="2"/>
      </rPr>
      <t>Subclaim</t>
    </r>
    <r>
      <rPr>
        <b/>
        <sz val="10"/>
        <color rgb="FFFF0000"/>
        <rFont val="Arial"/>
        <family val="2"/>
      </rPr>
      <t xml:space="preserve"> Category </t>
    </r>
    <r>
      <rPr>
        <b/>
        <sz val="10"/>
        <color rgb="FF0000FF"/>
        <rFont val="Arial"/>
        <family val="2"/>
      </rPr>
      <t>Scoring Information</t>
    </r>
  </si>
  <si>
    <r>
      <t xml:space="preserve">Percent correct for the Geometry Additional &amp; Supporting Content </t>
    </r>
    <r>
      <rPr>
        <sz val="10"/>
        <color rgb="FFFF0000"/>
        <rFont val="Arial"/>
        <family val="2"/>
      </rPr>
      <t>category</t>
    </r>
    <r>
      <rPr>
        <sz val="10"/>
        <rFont val="Arial"/>
        <family val="2"/>
      </rPr>
      <t>. This is calculated by dividing the total points earned by the total points possible for the</t>
    </r>
    <r>
      <rPr>
        <sz val="10"/>
        <color rgb="FFFF0000"/>
        <rFont val="Arial"/>
        <family val="2"/>
      </rPr>
      <t xml:space="preserve"> category</t>
    </r>
    <r>
      <rPr>
        <sz val="10"/>
        <rFont val="Arial"/>
        <family val="2"/>
      </rPr>
      <t>.
Blank when Additional &amp; Supporting Content Raw Score is blank.</t>
    </r>
  </si>
  <si>
    <r>
      <t xml:space="preserve">Percent correct for the Geometry Expressing Mathematical Reasoning </t>
    </r>
    <r>
      <rPr>
        <sz val="10"/>
        <color rgb="FFFF0000"/>
        <rFont val="Arial"/>
        <family val="2"/>
      </rPr>
      <t>category</t>
    </r>
    <r>
      <rPr>
        <sz val="10"/>
        <color theme="1"/>
        <rFont val="Arial"/>
        <family val="2"/>
      </rPr>
      <t xml:space="preserve">. This is calculated by dividing the total points earned by the total points possible for the </t>
    </r>
    <r>
      <rPr>
        <sz val="10"/>
        <color rgb="FFFF0000"/>
        <rFont val="Arial"/>
        <family val="2"/>
      </rPr>
      <t>category</t>
    </r>
    <r>
      <rPr>
        <sz val="10"/>
        <color theme="1"/>
        <rFont val="Arial"/>
        <family val="2"/>
      </rPr>
      <t>.
Blank when Expressing Mathematical Reasoning Raw Score is blank.</t>
    </r>
  </si>
  <si>
    <r>
      <t>Total points earned for the Geometry Expressing Mathematical Reasoning</t>
    </r>
    <r>
      <rPr>
        <sz val="10"/>
        <color rgb="FFFF0000"/>
        <rFont val="Arial"/>
        <family val="2"/>
      </rPr>
      <t xml:space="preserve"> category</t>
    </r>
    <r>
      <rPr>
        <sz val="10"/>
        <rFont val="Arial"/>
        <family val="2"/>
      </rPr>
      <t xml:space="preserve">.
Blank when </t>
    </r>
    <r>
      <rPr>
        <sz val="10"/>
        <color rgb="FFFF0000"/>
        <rFont val="Arial"/>
        <family val="2"/>
      </rPr>
      <t>category</t>
    </r>
    <r>
      <rPr>
        <sz val="10"/>
        <rFont val="Arial"/>
        <family val="2"/>
      </rPr>
      <t xml:space="preserve"> is not assessed (zero points possible), or when the Raw Score Total for Geometry is blank.</t>
    </r>
  </si>
  <si>
    <r>
      <t xml:space="preserve">Total points earned for the Geometry Additional &amp; Supporting Content </t>
    </r>
    <r>
      <rPr>
        <sz val="10"/>
        <color rgb="FFFF0000"/>
        <rFont val="Arial"/>
        <family val="2"/>
      </rPr>
      <t>category</t>
    </r>
    <r>
      <rPr>
        <sz val="10"/>
        <rFont val="Arial"/>
        <family val="2"/>
      </rPr>
      <t xml:space="preserve">.
Blank when </t>
    </r>
    <r>
      <rPr>
        <sz val="10"/>
        <color rgb="FFFF0000"/>
        <rFont val="Arial"/>
        <family val="2"/>
      </rPr>
      <t>category</t>
    </r>
    <r>
      <rPr>
        <sz val="10"/>
        <rFont val="Arial"/>
        <family val="2"/>
      </rPr>
      <t xml:space="preserve"> is not assessed (zero points possible), or when the Raw Score Total for Geometry is blank.</t>
    </r>
  </si>
  <si>
    <r>
      <t>Total points earned for the Geometry Major Content</t>
    </r>
    <r>
      <rPr>
        <sz val="10"/>
        <color rgb="FFFF0000"/>
        <rFont val="Arial"/>
        <family val="2"/>
      </rPr>
      <t xml:space="preserve"> category</t>
    </r>
    <r>
      <rPr>
        <sz val="10"/>
        <rFont val="Arial"/>
        <family val="2"/>
      </rPr>
      <t xml:space="preserve">.
Blank when </t>
    </r>
    <r>
      <rPr>
        <sz val="10"/>
        <color rgb="FFFF0000"/>
        <rFont val="Arial"/>
        <family val="2"/>
      </rPr>
      <t>category</t>
    </r>
    <r>
      <rPr>
        <sz val="10"/>
        <rFont val="Arial"/>
        <family val="2"/>
      </rPr>
      <t xml:space="preserve"> is not assessed (zero points possible), or when the Raw Score Total for Geometry is blank.</t>
    </r>
  </si>
  <si>
    <r>
      <t xml:space="preserve">Percent correct for the Geometry Major Content </t>
    </r>
    <r>
      <rPr>
        <sz val="10"/>
        <color rgb="FFFF0000"/>
        <rFont val="Arial"/>
        <family val="2"/>
      </rPr>
      <t>category</t>
    </r>
    <r>
      <rPr>
        <sz val="10"/>
        <rFont val="Arial"/>
        <family val="2"/>
      </rPr>
      <t xml:space="preserve">. This is calculated by dividing the total points earned by the total points possible for the </t>
    </r>
    <r>
      <rPr>
        <sz val="10"/>
        <color rgb="FFFF0000"/>
        <rFont val="Arial"/>
        <family val="2"/>
      </rPr>
      <t>category</t>
    </r>
    <r>
      <rPr>
        <sz val="10"/>
        <rFont val="Arial"/>
        <family val="2"/>
      </rPr>
      <t>.
Blank when Major Content Raw Score is blank.</t>
    </r>
  </si>
  <si>
    <r>
      <t xml:space="preserve">Percent correct for the Geometry Modeling &amp; Application </t>
    </r>
    <r>
      <rPr>
        <sz val="10"/>
        <color rgb="FFFF0000"/>
        <rFont val="Arial"/>
        <family val="2"/>
      </rPr>
      <t>category</t>
    </r>
    <r>
      <rPr>
        <sz val="10"/>
        <color theme="1"/>
        <rFont val="Arial"/>
        <family val="2"/>
      </rPr>
      <t xml:space="preserve">. This is calculated by dividing the total points earned by the total points possible for the </t>
    </r>
    <r>
      <rPr>
        <sz val="10"/>
        <color rgb="FFFF0000"/>
        <rFont val="Arial"/>
        <family val="2"/>
      </rPr>
      <t>category</t>
    </r>
    <r>
      <rPr>
        <sz val="10"/>
        <color theme="1"/>
        <rFont val="Arial"/>
        <family val="2"/>
      </rPr>
      <t>.
Blank when Modeling &amp; Application Raw Score is blank.</t>
    </r>
  </si>
  <si>
    <r>
      <t xml:space="preserve">Percent correct for the English I Reading Literary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Reading Literary Text Raw Score is blank.</t>
    </r>
  </si>
  <si>
    <r>
      <t xml:space="preserve">Percent correct for the English I Written Expression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.This is calculated by dividing the total points earned by the total points possible for the </t>
    </r>
    <r>
      <rPr>
        <strike/>
        <sz val="10"/>
        <rFont val="Arial"/>
        <family val="2"/>
      </rPr>
      <t>subclaim</t>
    </r>
    <r>
      <rPr>
        <sz val="10"/>
        <rFont val="Arial"/>
        <family val="2"/>
      </rPr>
      <t xml:space="preserve"> </t>
    </r>
    <r>
      <rPr>
        <sz val="10"/>
        <color rgb="FFFF0000"/>
        <rFont val="Arial"/>
        <family val="2"/>
      </rPr>
      <t>subcategory</t>
    </r>
    <r>
      <rPr>
        <sz val="10"/>
        <rFont val="Arial"/>
        <family val="2"/>
      </rPr>
      <t>.
Blank when Written Expression Raw Score is blank.</t>
    </r>
  </si>
  <si>
    <r>
      <rPr>
        <b/>
        <strike/>
        <sz val="10"/>
        <color rgb="FF0000FF"/>
        <rFont val="Arial"/>
        <family val="2"/>
      </rPr>
      <t>Content Standard Information/</t>
    </r>
    <r>
      <rPr>
        <b/>
        <sz val="10"/>
        <color rgb="FF0000FF"/>
        <rFont val="Arial"/>
        <family val="2"/>
      </rPr>
      <t>Reporting Category</t>
    </r>
  </si>
  <si>
    <r>
      <rPr>
        <b/>
        <strike/>
        <sz val="10"/>
        <color rgb="FF0000FF"/>
        <rFont val="Arial"/>
        <family val="2"/>
      </rPr>
      <t>Content Standard Information</t>
    </r>
    <r>
      <rPr>
        <b/>
        <sz val="10"/>
        <color rgb="FF0000FF"/>
        <rFont val="Arial"/>
        <family val="2"/>
      </rPr>
      <t>Reporting Categories</t>
    </r>
  </si>
  <si>
    <r>
      <rPr>
        <b/>
        <strike/>
        <sz val="10"/>
        <color rgb="FF0000FF"/>
        <rFont val="Arial"/>
        <family val="2"/>
      </rPr>
      <t>Subclaim</t>
    </r>
    <r>
      <rPr>
        <b/>
        <sz val="10"/>
        <color rgb="FF0000FF"/>
        <rFont val="Arial"/>
        <family val="2"/>
      </rPr>
      <t xml:space="preserve"> </t>
    </r>
    <r>
      <rPr>
        <b/>
        <sz val="10"/>
        <color rgb="FFFF0000"/>
        <rFont val="Arial"/>
        <family val="2"/>
      </rPr>
      <t>Category</t>
    </r>
    <r>
      <rPr>
        <b/>
        <sz val="10"/>
        <color rgb="FF0000FF"/>
        <rFont val="Arial"/>
        <family val="2"/>
      </rPr>
      <t xml:space="preserve"> Scoring Information</t>
    </r>
  </si>
  <si>
    <r>
      <t>Total points earned for the Algebra I Additional &amp; Supporting Content</t>
    </r>
    <r>
      <rPr>
        <strike/>
        <sz val="10"/>
        <rFont val="Arial"/>
        <family val="2"/>
      </rPr>
      <t xml:space="preserve"> subclaim</t>
    </r>
    <r>
      <rPr>
        <sz val="10"/>
        <rFont val="Arial"/>
        <family val="2"/>
      </rPr>
      <t xml:space="preserve"> </t>
    </r>
    <r>
      <rPr>
        <sz val="10"/>
        <color rgb="FFFF0000"/>
        <rFont val="Arial"/>
        <family val="2"/>
      </rPr>
      <t>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is not assessed (zero points possible), or when the Raw Score Total for Algebra I is blank.</t>
    </r>
  </si>
  <si>
    <r>
      <t xml:space="preserve">Percent correct for the Algebra I Additional &amp; Supporting Content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This is calculated by dividing the total points earned by the total points possible for the </t>
    </r>
    <r>
      <rPr>
        <strike/>
        <sz val="10"/>
        <rFont val="Arial"/>
        <family val="2"/>
      </rPr>
      <t xml:space="preserve">subclaim </t>
    </r>
    <r>
      <rPr>
        <sz val="10"/>
        <color rgb="FFFF0000"/>
        <rFont val="Arial"/>
        <family val="2"/>
      </rPr>
      <t>category</t>
    </r>
    <r>
      <rPr>
        <sz val="10"/>
        <rFont val="Arial"/>
        <family val="2"/>
      </rPr>
      <t>.
Blank when Additional &amp; Supporting Content Raw Score is blank.</t>
    </r>
  </si>
  <si>
    <r>
      <t xml:space="preserve">Total points earned for the Algebra I Modeling &amp; Application Raw Score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is not assessed (zero points possible), or when the Raw Score Total for Algebra I is blank.</t>
    </r>
  </si>
  <si>
    <r>
      <t xml:space="preserve">Total points earned for the English II Reading Informational Text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 xml:space="preserve">subclaim </t>
    </r>
    <r>
      <rPr>
        <sz val="10"/>
        <color rgb="FFFF0000"/>
        <rFont val="Arial"/>
        <family val="2"/>
      </rPr>
      <t>subcategory</t>
    </r>
    <r>
      <rPr>
        <sz val="10"/>
        <rFont val="Arial"/>
        <family val="2"/>
      </rPr>
      <t xml:space="preserve"> is not assessed (zero points possible), or when the Raw ScoreTotal for English II is blank.</t>
    </r>
  </si>
  <si>
    <r>
      <t xml:space="preserve">Total points earned for the English II Reading Vocabulary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color rgb="FFFF0000"/>
        <rFont val="Arial"/>
        <family val="2"/>
      </rPr>
      <t xml:space="preserve"> subcategory</t>
    </r>
    <r>
      <rPr>
        <sz val="10"/>
        <rFont val="Arial"/>
        <family val="2"/>
      </rPr>
      <t xml:space="preserve"> is not assessed (zero points possible), or when the Raw Score Total for English II is blank.</t>
    </r>
  </si>
  <si>
    <r>
      <t xml:space="preserve">Total points earned for the English II Written Expression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is not assessed (zero points possible), or when the Raw Score Total for English II is blank.</t>
    </r>
  </si>
  <si>
    <r>
      <t xml:space="preserve">Total points earned for the English II Knowledge &amp; Use of Language Conventions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subcategory</t>
    </r>
    <r>
      <rPr>
        <sz val="10"/>
        <rFont val="Arial"/>
        <family val="2"/>
      </rPr>
      <t xml:space="preserve"> is not assessed (zero points possible), or when the Raw Score Total for English II is blank.</t>
    </r>
  </si>
  <si>
    <t>"E" when a student was put into a test session or was in the enroll file for the subject.
Refer to the Eligible Flag By Subject section of the Processing Rules - Scoring document for the logic to set this field.</t>
  </si>
  <si>
    <t>E2 (for English II) indicates a student was put into a test session or was in the enroll file for the subject.
E2AE indicates a student was put into a test session for the AE form for the subject.
E2NFT indicates a student was put into a test session for the NFT form for the subject.
E2NFTAE indicates a student was put into a test session for the AE NFT form for the subject 
Blank when a student is not in a test session or was not in the enroll file for the subject.</t>
  </si>
  <si>
    <t>GM (for Geometry) indicates a student was put into a test session or was in the enroll file for the subject.
GMAE indicates a student was put into a test session for the AE form for the subject.
GMNFT indicates a student was put into a test session for the NFT form for the subject. 
GMNFTAE indicates a student was put into a test session for the  AE NFT form for the subject
Blank when a student is not in a test session or was not in the enroll file for the subject.</t>
  </si>
  <si>
    <t>BL (for Biology) indicates a student was put into a test session or was in the enroll file for the subject.
BLAE indicates a student was put into a test session for the AE form for the subject.
BLNFT indicates a student was put into a test session for the NFT form for the subject. 
Blank when a student is not in a test session or was not in the enroll file for the subject.</t>
  </si>
  <si>
    <t>E3 (for English III) indicates a student was put into a test session or was in the enroll file for the subject.
E3AE indicates a student was put into a test session for the AE form for the subject.
E3NFT indicates a student was put into a test session for the NFT form for the subject. 
Blank when a student is not in a test session or was not in the enroll file for the subject.</t>
  </si>
  <si>
    <t>USE  (for US History) indicates a student was put into a test session or was in the enroll file for the subject.
USEAE indicates a student was put into a test session for the AE form for the subject.
USENFT indicates a student was put into a test session for the NFT form for the subject. 
Blank when a student is not in a test session or was not in the enroll file for the subject.</t>
  </si>
  <si>
    <t>USL (for US History LEAP 2025) indicates a student was put into a test session or was in the enroll file for the subject.
USLAE indicates a student was put into a test session for the AE form for the subject.
USLNFT indicates a student was put into a test session for the NFT form for the subject. 
USLNFTAE indicates a student was put into a test session for the AE NFT form for the subject. 
Blank when a student is not in a test session or was not in the enroll file for the subject.</t>
  </si>
  <si>
    <t>E1 (for English I) indicates a student was put into a test session or was in the enroll file for the subject.
E1AE indicates a student was put into a test session for the AE form for the subject.
E1NFT indicates a student was put into a test session for the NFT form for the subject. 
E1NFTAE indicates a student was put into a test session for the AE NFT form for the subject
Blank when a student is not in a test session or was not in the enroll file for the subject.</t>
  </si>
  <si>
    <t>Updated scoring sections titles and corresponding Description/Comment fields to say "category" and "subcategory" instead of "claim" and "subclaim".
Replaced mispelled "enrolle file" with "enroll file".</t>
  </si>
  <si>
    <r>
      <t xml:space="preserve">E1
E1AE
</t>
    </r>
    <r>
      <rPr>
        <sz val="10"/>
        <color rgb="FFFF0000"/>
        <rFont val="Arial"/>
        <family val="2"/>
      </rPr>
      <t>E1NFT
E1NFTAE</t>
    </r>
    <r>
      <rPr>
        <sz val="10"/>
        <rFont val="Arial"/>
        <family val="2"/>
      </rPr>
      <t xml:space="preserv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</si>
  <si>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Englsih III</t>
    </r>
    <r>
      <rPr>
        <sz val="10"/>
        <color theme="1"/>
        <rFont val="Arial"/>
        <family val="2"/>
      </rPr>
      <t>.
Blank when a student is not in a test session and was not in the enroll file for the subject or if the value is blank in eDIRECT.</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</si>
  <si>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US History (EOC).</t>
    </r>
    <r>
      <rPr>
        <sz val="10"/>
        <color theme="1"/>
        <rFont val="Arial"/>
        <family val="2"/>
      </rPr>
      <t xml:space="preserve">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</si>
  <si>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section of the Processing Rules - Scoring document for course codes applicable to</t>
    </r>
    <r>
      <rPr>
        <sz val="10"/>
        <color rgb="FFFF0000"/>
        <rFont val="Arial"/>
        <family val="2"/>
      </rPr>
      <t xml:space="preserve"> US History (LEAP 2025).</t>
    </r>
    <r>
      <rPr>
        <sz val="10"/>
        <rFont val="Arial"/>
        <family val="2"/>
      </rPr>
      <t xml:space="preserve">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</si>
  <si>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section of the Processing Rules - Scoring document for course codes applicable to </t>
    </r>
    <r>
      <rPr>
        <sz val="10"/>
        <color rgb="FFFF0000"/>
        <rFont val="Arial"/>
        <family val="2"/>
      </rPr>
      <t>English I</t>
    </r>
    <r>
      <rPr>
        <sz val="10"/>
        <rFont val="Arial"/>
        <family val="2"/>
      </rPr>
      <t>.
Blank when a student is not in a test session and was not in the enroll file for the subject or if the value is blank in eDIRECT.</t>
    </r>
  </si>
  <si>
    <r>
      <t xml:space="preserve">Percent correct for the Algebra I Interpreting Functions subcategory. This is calculated by dividing the total points earned by the total points possible for the </t>
    </r>
    <r>
      <rPr>
        <sz val="10"/>
        <color rgb="FFFF0000"/>
        <rFont val="Arial"/>
        <family val="2"/>
      </rPr>
      <t>subcategory</t>
    </r>
    <r>
      <rPr>
        <sz val="10"/>
        <rFont val="Arial"/>
        <family val="2"/>
      </rPr>
      <t>.
Blank when Interpreting Functions Raw Score is blank.</t>
    </r>
  </si>
  <si>
    <r>
      <t>Percent correct for the Algebra I Solving Graphically/Rate of Change subcategory. This is calculated by dividing the total points earned by the total points possible for the</t>
    </r>
    <r>
      <rPr>
        <sz val="10"/>
        <color rgb="FFFF0000"/>
        <rFont val="Arial"/>
        <family val="2"/>
      </rPr>
      <t xml:space="preserve"> subcategory</t>
    </r>
    <r>
      <rPr>
        <sz val="10"/>
        <rFont val="Arial"/>
        <family val="2"/>
      </rPr>
      <t>.
Blank when Solving Graphically/Rate of Change Raw Score is blank.</t>
    </r>
  </si>
  <si>
    <r>
      <t xml:space="preserve">Percent correct for the Congruence Transformations/Similarity   subcategory. This is calculated by dividing the total points earned by the total points possible for the </t>
    </r>
    <r>
      <rPr>
        <sz val="10"/>
        <color rgb="FFFF0000"/>
        <rFont val="Arial"/>
        <family val="2"/>
      </rPr>
      <t>subcategory</t>
    </r>
    <r>
      <rPr>
        <sz val="10"/>
        <rFont val="Arial"/>
        <family val="2"/>
      </rPr>
      <t>.
Blank when Congruence Transformations/Similarity  Raw Score is blank.</t>
    </r>
  </si>
  <si>
    <r>
      <t xml:space="preserve">Total points earned for the Algebra I Expressing Mathematical Reasoning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Blank when </t>
    </r>
    <r>
      <rPr>
        <strike/>
        <sz val="10"/>
        <rFont val="Arial"/>
        <family val="2"/>
      </rPr>
      <t>subclaim</t>
    </r>
    <r>
      <rPr>
        <sz val="10"/>
        <rFont val="Arial"/>
        <family val="2"/>
      </rPr>
      <t xml:space="preserve"> </t>
    </r>
    <r>
      <rPr>
        <sz val="10"/>
        <color rgb="FFFF0000"/>
        <rFont val="Arial"/>
        <family val="2"/>
      </rPr>
      <t>category</t>
    </r>
    <r>
      <rPr>
        <sz val="10"/>
        <rFont val="Arial"/>
        <family val="2"/>
      </rPr>
      <t xml:space="preserve"> is not assessed (zero points possible), or when the Raw Score Total for Algebra I is blank.</t>
    </r>
  </si>
  <si>
    <t xml:space="preserve">Correction in comments in position 3116 to 3121
3122 to 3122, 3793 to 3798, 3799 to 3828, 4474 to 4479, 4480 to 4509, 5145 to 5150, 5151 to 5180, 546 to 548, 562 to 564, 1968 to 1970, 523 to 526.
</t>
  </si>
  <si>
    <t>LDOE Sign-off for Spring 2018</t>
  </si>
  <si>
    <t>Jiasheng Zhang</t>
  </si>
  <si>
    <r>
      <t xml:space="preserve">Blank when no history is found for the student.
</t>
    </r>
    <r>
      <rPr>
        <sz val="10"/>
        <color rgb="FFFF0000"/>
        <rFont val="Arial"/>
        <family val="2"/>
      </rPr>
      <t xml:space="preserve">EOC scale scores and LEAP 2025 HS scale scores are not comparable because the scale score ranges and achievement levels prior to and including Spring 2017 are based on 4-level EOC Assessments. In Fall 2017 and later, they are based on 5-level LEAP 2025 Assessments. </t>
    </r>
  </si>
  <si>
    <r>
      <t xml:space="preserve">Blank when no history is found for the student.
</t>
    </r>
    <r>
      <rPr>
        <sz val="10"/>
        <color rgb="FFFF0000"/>
        <rFont val="Arial"/>
        <family val="2"/>
      </rPr>
      <t xml:space="preserve">Achievement Level values prior to and including Spring 2017 included EXC, GOO, FAI and NIP. Begining in Fall 2017, achievement level values include ADV, MAS, BAS, APP, UNS. 
EOC achievement levels and LEAP 2025 HS achievement levels are not comparable. </t>
    </r>
  </si>
  <si>
    <t>Updated Description/Comment for Algebra, Geometry, English II highest prev scale score and highest prev ach. Level to distinguish between EOC and LEAP 2025 HS .</t>
  </si>
  <si>
    <r>
      <t xml:space="preserve">Blank when student didn't test during the current administration or when no history is found for the student.
</t>
    </r>
    <r>
      <rPr>
        <sz val="10"/>
        <color rgb="FFFF0000"/>
        <rFont val="Arial"/>
        <family val="2"/>
      </rPr>
      <t xml:space="preserve">
EOC scale scores and LEAP 2025 HS scale scores are not comparable because the scale score ranges and achievement levels prior to and including Spring 2017 are based on 4-level EOC Assessments. In Fall 2017 and later, they are based on 5-level LEAP 2025 Assessments. </t>
    </r>
    <r>
      <rPr>
        <sz val="10"/>
        <rFont val="Arial"/>
        <family val="2"/>
      </rPr>
      <t xml:space="preserve">
</t>
    </r>
  </si>
  <si>
    <t>blank</t>
  </si>
  <si>
    <t>Added possible value of blank to Scientific and Graphing calculators for Algebra and Geometry.
Updated possible value value fron  "Not Enrolled in Course" to "Not Enrolled In Course"
Updated course name value 'English III DE Comp 1' to be  'English III DE Comp I'.</t>
  </si>
  <si>
    <r>
      <rPr>
        <strike/>
        <sz val="10"/>
        <rFont val="Arial"/>
        <family val="2"/>
      </rPr>
      <t>Algebra I
Algebra I - Part 2
Algebra I - Middle School
Integrated Mathematics II
Applied Algebra
NOCCA Integrated Math II  
Not Enrolled</t>
    </r>
    <r>
      <rPr>
        <strike/>
        <sz val="10"/>
        <color rgb="FFFF0000"/>
        <rFont val="Arial"/>
        <family val="2"/>
      </rPr>
      <t xml:space="preserve"> In </t>
    </r>
    <r>
      <rPr>
        <strike/>
        <sz val="10"/>
        <rFont val="Arial"/>
        <family val="2"/>
      </rPr>
      <t>Course
Blank</t>
    </r>
  </si>
  <si>
    <r>
      <t xml:space="preserve">English II
NOCCA Integrated English II
LASMSA COMPOSITION AND LITERATURE (EN 210)
Not Enrolled </t>
    </r>
    <r>
      <rPr>
        <strike/>
        <sz val="10"/>
        <color rgb="FFFF0000"/>
        <rFont val="Arial"/>
        <family val="2"/>
      </rPr>
      <t>In</t>
    </r>
    <r>
      <rPr>
        <strike/>
        <sz val="10"/>
        <rFont val="Arial"/>
        <family val="2"/>
      </rPr>
      <t xml:space="preserve"> Course
Blank</t>
    </r>
  </si>
  <si>
    <r>
      <t xml:space="preserve">Refer to the </t>
    </r>
    <r>
      <rPr>
        <b/>
        <u/>
        <sz val="10"/>
        <rFont val="Arial"/>
        <family val="2"/>
      </rPr>
      <t>Course Values</t>
    </r>
    <r>
      <rPr>
        <sz val="10"/>
        <rFont val="Arial"/>
        <family val="2"/>
      </rPr>
      <t xml:space="preserve"> section of the Processing Rules - Scoring document for course names applicable to English II.
Blank when a student is not in a test session and was not in the enroll file for the subject or if the value is blank in eDIRECT.
T</t>
    </r>
    <r>
      <rPr>
        <sz val="10"/>
        <color rgb="FFFF0000"/>
        <rFont val="Arial"/>
        <family val="2"/>
      </rPr>
      <t xml:space="preserve">he Course Name value in LDESTD file will be truncated to fit the field length. </t>
    </r>
  </si>
  <si>
    <r>
      <t xml:space="preserve">Geometry
Applied Geometry
Integrated Math III
NOCCA Integrated Math III 
Not Enrolled </t>
    </r>
    <r>
      <rPr>
        <strike/>
        <sz val="10"/>
        <color rgb="FFFF0000"/>
        <rFont val="Arial"/>
        <family val="2"/>
      </rPr>
      <t>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</si>
  <si>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Geometry.
Blank when a student is not in a test session and was not in the enroll file for the subject or if the value is blank in eDIRECT.
</t>
    </r>
    <r>
      <rPr>
        <sz val="10"/>
        <color rgb="FFFF0000"/>
        <rFont val="Arial"/>
        <family val="2"/>
      </rPr>
      <t>The Course Name value in LDESTD file will be truncated to fit the field length.</t>
    </r>
    <r>
      <rPr>
        <sz val="10"/>
        <color theme="1"/>
        <rFont val="Arial"/>
        <family val="2"/>
      </rPr>
      <t xml:space="preserve"> </t>
    </r>
  </si>
  <si>
    <r>
      <t xml:space="preserve">Refer to the </t>
    </r>
    <r>
      <rPr>
        <b/>
        <u/>
        <sz val="10"/>
        <color theme="1"/>
        <rFont val="Arial"/>
        <family val="2"/>
      </rPr>
      <t>Course Values</t>
    </r>
    <r>
      <rPr>
        <sz val="10"/>
        <color theme="1"/>
        <rFont val="Arial"/>
        <family val="2"/>
      </rPr>
      <t xml:space="preserve"> section of the Processing Rules - Scoring document for course names applicable to Biology.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</si>
  <si>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rPr>
        <strike/>
        <sz val="10"/>
        <color theme="1"/>
        <rFont val="Arial"/>
        <family val="2"/>
      </rPr>
      <t xml:space="preserve">Biology
Biology I DE Gen Bio I
Biology I DE Bio I Sci Mj
NOCCA Integrated Sci II </t>
    </r>
    <r>
      <rPr>
        <b/>
        <strike/>
        <sz val="10"/>
        <color theme="1"/>
        <rFont val="Arial"/>
        <family val="2"/>
      </rPr>
      <t xml:space="preserve"> </t>
    </r>
    <r>
      <rPr>
        <strike/>
        <sz val="10"/>
        <color theme="1"/>
        <rFont val="Arial"/>
        <family val="2"/>
      </rPr>
      <t xml:space="preserve">
NOCCA Integrated Sci III 
Not Enrolled </t>
    </r>
    <r>
      <rPr>
        <strike/>
        <sz val="10"/>
        <color rgb="FFFF0000"/>
        <rFont val="Arial"/>
        <family val="2"/>
      </rPr>
      <t>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</si>
  <si>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Englsih III</t>
    </r>
    <r>
      <rPr>
        <sz val="10"/>
        <color theme="1"/>
        <rFont val="Arial"/>
        <family val="2"/>
      </rPr>
      <t xml:space="preserve">.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</si>
  <si>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t xml:space="preserve">English III
English III GT
English III AP ELA Comp
English III IB Lit
English III IB Lang Lit
English III Honors
English III IB Lit Perf
English III DE Comp </t>
    </r>
    <r>
      <rPr>
        <strike/>
        <sz val="10"/>
        <color rgb="FFFF0000"/>
        <rFont val="Arial"/>
        <family val="2"/>
      </rPr>
      <t>1I</t>
    </r>
    <r>
      <rPr>
        <strike/>
        <sz val="10"/>
        <color theme="1"/>
        <rFont val="Arial"/>
        <family val="2"/>
      </rPr>
      <t xml:space="preserve">
English III DE Comp II
English III DE Amer Lit I
English III DE Amer Lit II
English III DE Am Writers
English III Equivalent-LA Sch for Math Sci and Arts</t>
    </r>
    <r>
      <rPr>
        <b/>
        <strike/>
        <sz val="10"/>
        <color theme="1"/>
        <rFont val="Arial"/>
        <family val="2"/>
      </rPr>
      <t xml:space="preserve"> </t>
    </r>
    <r>
      <rPr>
        <strike/>
        <sz val="10"/>
        <color theme="1"/>
        <rFont val="Arial"/>
        <family val="2"/>
      </rPr>
      <t xml:space="preserve">
NOCCA Integrated English III 
Not Enrolled </t>
    </r>
    <r>
      <rPr>
        <strike/>
        <sz val="10"/>
        <color rgb="FFFF0000"/>
        <rFont val="Arial"/>
        <family val="2"/>
      </rPr>
      <t>In</t>
    </r>
    <r>
      <rPr>
        <strike/>
        <sz val="10"/>
        <color theme="1"/>
        <rFont val="Arial"/>
        <family val="2"/>
      </rPr>
      <t xml:space="preserve"> Course
Blank</t>
    </r>
  </si>
  <si>
    <r>
      <t>US History
US History GT
US History AP
US History IB
US History DE Amr Hist I
US History DE Amr Hist II
US History Honors
NOCCA Integrated World History III 
Not Enrolled</t>
    </r>
    <r>
      <rPr>
        <strike/>
        <sz val="10"/>
        <color rgb="FFFF0000"/>
        <rFont val="Arial"/>
        <family val="2"/>
      </rPr>
      <t xml:space="preserve"> In</t>
    </r>
    <r>
      <rPr>
        <strike/>
        <sz val="10"/>
        <color theme="1"/>
        <rFont val="Arial"/>
        <family val="2"/>
      </rPr>
      <t xml:space="preserve"> Course
Blank</t>
    </r>
  </si>
  <si>
    <r>
      <t xml:space="preserve">Refer to the </t>
    </r>
    <r>
      <rPr>
        <b/>
        <u/>
        <sz val="10"/>
        <color theme="1"/>
        <rFont val="Arial"/>
        <family val="2"/>
      </rPr>
      <t>Course Values</t>
    </r>
    <r>
      <rPr>
        <sz val="10"/>
        <color theme="1"/>
        <rFont val="Arial"/>
        <family val="2"/>
      </rPr>
      <t xml:space="preserve"> section of the Processing Rules - Scoring document for course codes applicable to </t>
    </r>
    <r>
      <rPr>
        <sz val="10"/>
        <color rgb="FFFF0000"/>
        <rFont val="Arial"/>
        <family val="2"/>
      </rPr>
      <t>US History (EOC).</t>
    </r>
    <r>
      <rPr>
        <sz val="10"/>
        <color theme="1"/>
        <rFont val="Arial"/>
        <family val="2"/>
      </rPr>
      <t xml:space="preserve">
Blank when a student is not in a test session and was not in the enroll file for the subject or if the value is blank in eDIRECT.
</t>
    </r>
    <r>
      <rPr>
        <sz val="10"/>
        <color rgb="FFFF0000"/>
        <rFont val="Arial"/>
        <family val="2"/>
      </rPr>
      <t xml:space="preserve">
The Course Name value in LDESTD file will be truncated to fit the field length. </t>
    </r>
  </si>
  <si>
    <r>
      <t xml:space="preserve">US History
US History GT
US History AP
US History IB
US History DE Amr Hist I
US History DE Amr Hist II
US History Honors
NOCCA Integrated World History III 
Not Enrolled </t>
    </r>
    <r>
      <rPr>
        <strike/>
        <sz val="10"/>
        <color rgb="FFFF0000"/>
        <rFont val="Arial"/>
        <family val="2"/>
      </rPr>
      <t>In</t>
    </r>
    <r>
      <rPr>
        <strike/>
        <sz val="10"/>
        <color theme="1"/>
        <rFont val="Arial"/>
        <family val="2"/>
      </rPr>
      <t xml:space="preserve"> Course
Blank</t>
    </r>
  </si>
  <si>
    <r>
      <t xml:space="preserve">Refer to the </t>
    </r>
    <r>
      <rPr>
        <b/>
        <u/>
        <sz val="10"/>
        <rFont val="Arial"/>
        <family val="2"/>
      </rPr>
      <t>Course Values</t>
    </r>
    <r>
      <rPr>
        <sz val="10"/>
        <rFont val="Arial"/>
        <family val="2"/>
      </rPr>
      <t xml:space="preserve"> section of the Processing Rules - Scoring document for course codes applicable to</t>
    </r>
    <r>
      <rPr>
        <sz val="10"/>
        <color rgb="FFFF0000"/>
        <rFont val="Arial"/>
        <family val="2"/>
      </rPr>
      <t xml:space="preserve"> US History (LEAP 2025).</t>
    </r>
    <r>
      <rPr>
        <sz val="10"/>
        <rFont val="Arial"/>
        <family val="2"/>
      </rPr>
      <t xml:space="preserve">
Blank when a student is not in a test session and was not in the enroll file for the subject or if the value is blank in eDIRECT.
</t>
    </r>
    <r>
      <rPr>
        <sz val="10"/>
        <color rgb="FFFF0000"/>
        <rFont val="Arial"/>
        <family val="2"/>
      </rPr>
      <t xml:space="preserve">The Course Name value in LDESTD file will be truncated to fit the field length. </t>
    </r>
  </si>
  <si>
    <r>
      <t xml:space="preserve">Refer to the </t>
    </r>
    <r>
      <rPr>
        <b/>
        <u/>
        <sz val="10"/>
        <rFont val="Arial"/>
        <family val="2"/>
      </rPr>
      <t>Course Values</t>
    </r>
    <r>
      <rPr>
        <sz val="10"/>
        <rFont val="Arial"/>
        <family val="2"/>
      </rPr>
      <t xml:space="preserve"> section of the Processing Rules - Scoring document for course codes applicable to </t>
    </r>
    <r>
      <rPr>
        <sz val="10"/>
        <color rgb="FFFF0000"/>
        <rFont val="Arial"/>
        <family val="2"/>
      </rPr>
      <t>English I</t>
    </r>
    <r>
      <rPr>
        <sz val="10"/>
        <rFont val="Arial"/>
        <family val="2"/>
      </rPr>
      <t xml:space="preserve">.
Blank when a student is not in a test session and was not in the enroll file for the subject or if the value is blank in eDIRECT.
</t>
    </r>
    <r>
      <rPr>
        <sz val="10"/>
        <color rgb="FFFF0000"/>
        <rFont val="Arial"/>
        <family val="2"/>
      </rPr>
      <t>The Course Name value in LDESTD file will be truncated to fit the field length.</t>
    </r>
    <r>
      <rPr>
        <sz val="10"/>
        <rFont val="Arial"/>
        <family val="2"/>
      </rPr>
      <t xml:space="preserve"> </t>
    </r>
  </si>
  <si>
    <r>
      <t xml:space="preserve">English I
English I NOCCA Integrated
LASMSA Intro Write and Lit
Not Enrolled </t>
    </r>
    <r>
      <rPr>
        <strike/>
        <sz val="10"/>
        <color rgb="FFFF0000"/>
        <rFont val="Arial"/>
        <family val="2"/>
      </rPr>
      <t>In</t>
    </r>
    <r>
      <rPr>
        <strike/>
        <sz val="10"/>
        <color rgb="FF000000"/>
        <rFont val="Arial"/>
        <family val="2"/>
      </rPr>
      <t xml:space="preserve"> Course
Blank</t>
    </r>
  </si>
  <si>
    <t>Struck through possible values for Course Name for all subjects. The reference to the possible values is provided in the Description/Comments for the Course Name fields.</t>
  </si>
  <si>
    <r>
      <t xml:space="preserve">Refer to the </t>
    </r>
    <r>
      <rPr>
        <b/>
        <u/>
        <sz val="10"/>
        <rFont val="Arial"/>
        <family val="2"/>
      </rPr>
      <t>Course Values</t>
    </r>
    <r>
      <rPr>
        <sz val="10"/>
        <rFont val="Arial"/>
        <family val="2"/>
      </rPr>
      <t xml:space="preserve"> section of the Processing Rules - Scoring document for course names applicable to Algebra I.
Blank when a student is not in a test session and was not in the enroll file for the subject or if the value is blank in eDIRECT.
</t>
    </r>
    <r>
      <rPr>
        <sz val="10"/>
        <color rgb="FFFF0000"/>
        <rFont val="Arial"/>
        <family val="2"/>
      </rPr>
      <t xml:space="preserve">
The Course Name value in LDESTD file will be truncated to fit the field length</t>
    </r>
    <r>
      <rPr>
        <sz val="10"/>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</si>
</sst>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b/>
      <sz val="11"/>
      <color theme="1"/>
      <name val="Calibri"/>
      <family val="2"/>
      <scheme val="minor"/>
    </font>
    <font>
      <sz val="10"/>
      <color rgb="FFFF0000"/>
      <name val="Arial"/>
      <family val="2"/>
    </font>
    <font>
      <strike/>
      <sz val="10"/>
      <color rgb="FF000000"/>
      <name val="Arial"/>
      <family val="2"/>
    </font>
    <font>
      <strike/>
      <sz val="10"/>
      <name val="Arial"/>
      <family val="2"/>
    </font>
    <font>
      <strike/>
      <sz val="11"/>
      <color theme="1"/>
      <name val="Calibri"/>
      <family val="2"/>
      <scheme val="minor"/>
    </font>
    <font>
      <sz val="11"/>
      <name val="Calibri"/>
      <family val="2"/>
      <scheme val="minor"/>
    </font>
    <font>
      <b/>
      <strike/>
      <sz val="10"/>
      <color rgb="FF0000FF"/>
      <name val="Arial"/>
      <family val="2"/>
    </font>
    <font>
      <strike/>
      <sz val="10"/>
      <color rgb="FFFF0000"/>
      <name val="Arial"/>
      <family val="2"/>
    </font>
    <font>
      <strike/>
      <sz val="10"/>
      <color theme="1"/>
      <name val="Arial"/>
      <family val="2"/>
    </font>
    <font>
      <b/>
      <strike/>
      <sz val="10"/>
      <color theme="1"/>
      <name val="Arial"/>
      <family val="2"/>
    </font>
  </fonts>
  <fills count="5">
    <fill>
      <patternFill patternType="none"/>
    </fill>
    <fill>
      <patternFill patternType="gray125"/>
    </fill>
    <fill>
      <patternFill patternType="solid">
        <fgColor indexed="22"/>
        <bgColor indexed="64"/>
      </patternFill>
    </fill>
    <fill>
      <patternFill patternType="solid">
        <fgColor rgb="FFE8E8E8"/>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1" fillId="0" borderId="0"/>
    <xf numFmtId="0" fontId="1" fillId="0" borderId="0"/>
    <xf numFmtId="0" fontId="1" fillId="0" borderId="0"/>
  </cellStyleXfs>
  <cellXfs count="214">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vertical="center" wrapText="1"/>
    </xf>
    <xf numFmtId="0" fontId="5" fillId="0" borderId="0" xfId="0" applyFont="1" applyFill="1" applyAlignment="1">
      <alignment vertical="center" wrapText="1"/>
    </xf>
    <xf numFmtId="0" fontId="6" fillId="2" borderId="1" xfId="3" applyFont="1" applyFill="1" applyBorder="1" applyAlignment="1" applyProtection="1">
      <alignment horizontal="center" vertical="top" wrapText="1"/>
    </xf>
    <xf numFmtId="0" fontId="13"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49" fontId="7" fillId="0" borderId="0" xfId="0" applyNumberFormat="1" applyFont="1" applyFill="1" applyBorder="1" applyAlignment="1">
      <alignment horizontal="center" vertical="top"/>
    </xf>
    <xf numFmtId="0" fontId="3" fillId="0" borderId="0" xfId="0" applyFont="1" applyFill="1" applyBorder="1" applyAlignment="1">
      <alignment horizontal="center"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center" vertical="top"/>
    </xf>
    <xf numFmtId="14" fontId="0" fillId="0" borderId="1" xfId="0" applyNumberFormat="1" applyBorder="1"/>
    <xf numFmtId="0" fontId="0" fillId="0" borderId="1" xfId="0" applyBorder="1"/>
    <xf numFmtId="0" fontId="0" fillId="0" borderId="1" xfId="0" applyBorder="1" applyAlignment="1">
      <alignment wrapText="1"/>
    </xf>
    <xf numFmtId="0" fontId="0" fillId="0" borderId="0" xfId="0" applyAlignment="1">
      <alignment wrapText="1"/>
    </xf>
    <xf numFmtId="0" fontId="0" fillId="0" borderId="1" xfId="0" applyFill="1" applyBorder="1"/>
    <xf numFmtId="14" fontId="15" fillId="0" borderId="1" xfId="0" applyNumberFormat="1" applyFont="1" applyBorder="1"/>
    <xf numFmtId="0" fontId="15" fillId="0" borderId="1" xfId="0" applyFont="1" applyBorder="1" applyAlignment="1">
      <alignment wrapText="1"/>
    </xf>
    <xf numFmtId="0" fontId="15" fillId="0" borderId="1" xfId="0" applyFont="1" applyFill="1" applyBorder="1"/>
    <xf numFmtId="0" fontId="1" fillId="0" borderId="0" xfId="0" applyFont="1" applyFill="1" applyAlignment="1">
      <alignment vertical="center" wrapText="1"/>
    </xf>
    <xf numFmtId="0" fontId="0" fillId="0" borderId="0" xfId="0" applyFill="1"/>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5" fillId="0" borderId="0" xfId="0" applyFont="1" applyFill="1" applyAlignment="1">
      <alignment horizontal="center" vertical="top"/>
    </xf>
    <xf numFmtId="0" fontId="5" fillId="0" borderId="0" xfId="0" applyFont="1" applyFill="1" applyAlignment="1">
      <alignment horizontal="center"/>
    </xf>
    <xf numFmtId="1" fontId="1" fillId="0" borderId="0" xfId="3" applyNumberFormat="1" applyFont="1" applyFill="1" applyBorder="1" applyAlignment="1">
      <alignment horizontal="center" vertical="top"/>
    </xf>
    <xf numFmtId="0" fontId="5" fillId="0" borderId="0" xfId="0" applyFont="1" applyFill="1" applyAlignment="1">
      <alignment horizontal="right" vertical="top"/>
    </xf>
    <xf numFmtId="0" fontId="1" fillId="0" borderId="0" xfId="3" applyFont="1" applyFill="1" applyBorder="1" applyAlignment="1">
      <alignment vertical="top" wrapText="1"/>
    </xf>
    <xf numFmtId="0" fontId="5" fillId="0" borderId="0" xfId="0" applyFont="1" applyFill="1" applyAlignment="1">
      <alignment vertical="center"/>
    </xf>
    <xf numFmtId="0" fontId="1" fillId="0" borderId="0" xfId="0" applyFont="1" applyFill="1" applyBorder="1" applyAlignment="1">
      <alignment horizontal="center" vertical="top" wrapText="1"/>
    </xf>
    <xf numFmtId="0" fontId="1" fillId="0" borderId="0" xfId="3" applyFont="1" applyFill="1" applyBorder="1" applyAlignment="1">
      <alignment horizontal="left" vertical="center" wrapText="1"/>
    </xf>
    <xf numFmtId="14" fontId="0" fillId="0" borderId="0" xfId="0" applyNumberFormat="1"/>
    <xf numFmtId="0" fontId="0" fillId="0" borderId="3" xfId="0" applyFill="1" applyBorder="1"/>
    <xf numFmtId="0" fontId="15" fillId="0" borderId="0" xfId="0" applyFont="1" applyAlignment="1">
      <alignment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3" applyFont="1" applyFill="1" applyBorder="1" applyAlignment="1">
      <alignment horizontal="left" vertical="center" wrapText="1"/>
    </xf>
    <xf numFmtId="0" fontId="5" fillId="0" borderId="0" xfId="0" applyFont="1" applyFill="1"/>
    <xf numFmtId="0" fontId="19" fillId="0" borderId="0" xfId="0" applyFont="1" applyFill="1"/>
    <xf numFmtId="0" fontId="3" fillId="0" borderId="0" xfId="0" applyFont="1" applyFill="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applyFont="1" applyFill="1" applyBorder="1" applyAlignment="1">
      <alignment horizontal="left" vertical="center" wrapText="1"/>
    </xf>
    <xf numFmtId="14" fontId="15" fillId="0" borderId="0" xfId="0" applyNumberFormat="1" applyFont="1"/>
    <xf numFmtId="0" fontId="15" fillId="0" borderId="3" xfId="0" applyFont="1" applyFill="1" applyBorder="1"/>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1" xfId="0" applyFont="1" applyFill="1" applyBorder="1" applyAlignment="1">
      <alignment horizontal="center" vertical="top"/>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top"/>
    </xf>
    <xf numFmtId="0" fontId="1" fillId="0" borderId="1" xfId="0" applyFont="1" applyFill="1" applyBorder="1" applyAlignment="1">
      <alignment vertical="top" wrapText="1"/>
    </xf>
    <xf numFmtId="0" fontId="1" fillId="0" borderId="1" xfId="0" applyFont="1" applyFill="1" applyBorder="1" applyAlignment="1">
      <alignment vertical="center" wrapText="1"/>
    </xf>
    <xf numFmtId="0" fontId="1" fillId="0" borderId="1" xfId="0" applyFont="1" applyFill="1" applyBorder="1" applyAlignment="1">
      <alignment horizontal="left" vertical="center" wrapText="1"/>
    </xf>
    <xf numFmtId="0" fontId="1" fillId="0" borderId="1" xfId="0" applyFont="1" applyFill="1" applyBorder="1" applyAlignment="1">
      <alignment horizontal="center" vertical="top" wrapText="1"/>
    </xf>
    <xf numFmtId="0" fontId="8" fillId="0" borderId="1" xfId="0" applyFont="1" applyFill="1" applyBorder="1" applyAlignment="1">
      <alignment vertical="top" wrapText="1"/>
    </xf>
    <xf numFmtId="0" fontId="5" fillId="0" borderId="1" xfId="0" applyFont="1" applyFill="1" applyBorder="1" applyAlignment="1">
      <alignment horizontal="center"/>
    </xf>
    <xf numFmtId="1" fontId="1" fillId="0" borderId="1" xfId="3" applyNumberFormat="1" applyFont="1" applyFill="1" applyBorder="1" applyAlignment="1">
      <alignment horizontal="center" vertical="top"/>
    </xf>
    <xf numFmtId="0" fontId="5" fillId="0" borderId="1" xfId="0" applyFont="1" applyFill="1" applyBorder="1" applyAlignment="1">
      <alignment horizontal="center" vertical="top"/>
    </xf>
    <xf numFmtId="0" fontId="1" fillId="0" borderId="1" xfId="4" applyFont="1" applyFill="1" applyBorder="1" applyAlignment="1">
      <alignment vertical="top" wrapText="1"/>
    </xf>
    <xf numFmtId="16" fontId="5" fillId="0" borderId="1" xfId="0" applyNumberFormat="1" applyFont="1" applyFill="1" applyBorder="1" applyAlignment="1">
      <alignment vertical="center" wrapText="1"/>
    </xf>
    <xf numFmtId="16" fontId="1" fillId="0" borderId="1" xfId="0" applyNumberFormat="1" applyFont="1" applyFill="1" applyBorder="1" applyAlignment="1">
      <alignment vertical="center" wrapText="1"/>
    </xf>
    <xf numFmtId="0" fontId="5" fillId="0" borderId="1" xfId="0" applyFont="1" applyFill="1" applyBorder="1" applyAlignment="1">
      <alignment vertical="center" wrapText="1"/>
    </xf>
    <xf numFmtId="0" fontId="3" fillId="0" borderId="1" xfId="0" applyFont="1" applyFill="1" applyBorder="1" applyAlignment="1">
      <alignment vertical="top" wrapText="1"/>
    </xf>
    <xf numFmtId="0" fontId="1" fillId="0" borderId="1" xfId="0" applyFont="1" applyFill="1" applyBorder="1" applyAlignment="1">
      <alignment horizontal="center"/>
    </xf>
    <xf numFmtId="0" fontId="6" fillId="0" borderId="0" xfId="0" applyFont="1" applyFill="1" applyBorder="1" applyAlignment="1">
      <alignment vertical="top" wrapText="1"/>
    </xf>
    <xf numFmtId="0" fontId="5" fillId="0" borderId="1" xfId="0" applyFont="1" applyFill="1" applyBorder="1" applyAlignment="1">
      <alignment horizontal="right" vertical="top"/>
    </xf>
    <xf numFmtId="0" fontId="1" fillId="0" borderId="1" xfId="0" applyFont="1" applyFill="1" applyBorder="1" applyAlignment="1">
      <alignment vertical="center"/>
    </xf>
    <xf numFmtId="0" fontId="1" fillId="0" borderId="1" xfId="0" applyFont="1" applyFill="1" applyBorder="1" applyAlignment="1">
      <alignment horizontal="right" vertical="top"/>
    </xf>
    <xf numFmtId="0" fontId="5" fillId="0" borderId="0" xfId="2" applyFont="1" applyFill="1" applyBorder="1" applyAlignment="1">
      <alignment vertical="center" wrapText="1"/>
    </xf>
    <xf numFmtId="0" fontId="5" fillId="0" borderId="0" xfId="0" applyFont="1" applyFill="1" applyBorder="1" applyAlignment="1">
      <alignment vertical="center" wrapText="1"/>
    </xf>
    <xf numFmtId="0" fontId="5" fillId="0" borderId="1" xfId="0" applyFont="1" applyFill="1" applyBorder="1" applyAlignment="1">
      <alignment horizontal="left" vertical="center" wrapText="1"/>
    </xf>
    <xf numFmtId="0" fontId="5" fillId="0" borderId="1" xfId="0" applyFont="1" applyFill="1" applyBorder="1" applyAlignment="1">
      <alignment horizontal="center" vertical="top" wrapText="1"/>
    </xf>
    <xf numFmtId="0" fontId="5" fillId="0" borderId="1" xfId="0" applyFont="1" applyFill="1" applyBorder="1" applyAlignment="1">
      <alignment vertical="top" wrapText="1"/>
    </xf>
    <xf numFmtId="0" fontId="5" fillId="0" borderId="0" xfId="0" applyFont="1" applyFill="1" applyBorder="1" applyAlignment="1">
      <alignment horizontal="left" vertical="center" wrapText="1"/>
    </xf>
    <xf numFmtId="0" fontId="5" fillId="0" borderId="0" xfId="3" applyFont="1" applyFill="1" applyBorder="1" applyAlignment="1">
      <alignment vertical="center" wrapText="1"/>
    </xf>
    <xf numFmtId="0" fontId="4" fillId="0" borderId="1" xfId="0" applyFont="1" applyFill="1" applyBorder="1" applyAlignment="1">
      <alignment horizontal="center" vertical="top"/>
    </xf>
    <xf numFmtId="0" fontId="5" fillId="0" borderId="1" xfId="0" applyFont="1" applyFill="1" applyBorder="1" applyAlignment="1">
      <alignment vertical="top"/>
    </xf>
    <xf numFmtId="0" fontId="5" fillId="0" borderId="1" xfId="0" applyFont="1" applyFill="1" applyBorder="1" applyAlignment="1">
      <alignment horizontal="left" vertical="center"/>
    </xf>
    <xf numFmtId="0" fontId="1" fillId="0" borderId="1" xfId="3" applyFont="1" applyFill="1" applyBorder="1" applyAlignment="1">
      <alignment horizontal="left" vertical="center" wrapText="1"/>
    </xf>
    <xf numFmtId="0" fontId="3" fillId="0" borderId="1" xfId="0" applyFont="1" applyFill="1" applyBorder="1" applyAlignment="1">
      <alignment horizontal="left" vertical="center" wrapText="1"/>
    </xf>
    <xf numFmtId="0" fontId="5" fillId="0" borderId="1" xfId="0" applyFont="1" applyFill="1" applyBorder="1" applyAlignment="1">
      <alignment horizontal="center" vertical="center"/>
    </xf>
    <xf numFmtId="1" fontId="1" fillId="0" borderId="1" xfId="3" applyNumberFormat="1" applyFont="1" applyFill="1" applyBorder="1" applyAlignment="1">
      <alignment horizontal="center" vertical="center"/>
    </xf>
    <xf numFmtId="1" fontId="1" fillId="0" borderId="1" xfId="3" applyNumberFormat="1" applyFont="1" applyFill="1" applyBorder="1" applyAlignment="1">
      <alignment horizontal="right" vertical="top"/>
    </xf>
    <xf numFmtId="1" fontId="5" fillId="0" borderId="1" xfId="3" applyNumberFormat="1" applyFont="1" applyFill="1" applyBorder="1" applyAlignment="1">
      <alignment horizontal="center" vertical="center"/>
    </xf>
    <xf numFmtId="0" fontId="5" fillId="0" borderId="1" xfId="4" applyFont="1" applyFill="1" applyBorder="1" applyAlignment="1">
      <alignment vertical="top" wrapText="1"/>
    </xf>
    <xf numFmtId="0" fontId="18" fillId="0" borderId="1" xfId="0" applyFont="1" applyFill="1" applyBorder="1" applyAlignment="1">
      <alignment horizontal="center" vertical="top"/>
    </xf>
    <xf numFmtId="0" fontId="17" fillId="0" borderId="1" xfId="0" applyFont="1" applyFill="1" applyBorder="1" applyAlignment="1">
      <alignment horizontal="center" vertical="top" wrapText="1"/>
    </xf>
    <xf numFmtId="0" fontId="17" fillId="0" borderId="1" xfId="0" applyFont="1" applyFill="1" applyBorder="1" applyAlignment="1">
      <alignment horizontal="center" vertical="top"/>
    </xf>
    <xf numFmtId="0" fontId="17" fillId="0" borderId="1" xfId="0" applyFont="1" applyFill="1" applyBorder="1" applyAlignment="1">
      <alignment horizontal="left" vertical="center" wrapText="1"/>
    </xf>
    <xf numFmtId="0" fontId="18" fillId="0" borderId="1" xfId="0" applyFont="1" applyFill="1" applyBorder="1" applyAlignment="1">
      <alignment vertical="center" wrapText="1"/>
    </xf>
    <xf numFmtId="0" fontId="2" fillId="0" borderId="1" xfId="0" applyFont="1" applyFill="1" applyBorder="1" applyAlignment="1">
      <alignment horizontal="center" vertical="top" wrapText="1"/>
    </xf>
    <xf numFmtId="0" fontId="2" fillId="0" borderId="1" xfId="0" applyFont="1" applyFill="1" applyBorder="1" applyAlignment="1">
      <alignment horizontal="left" vertical="center" wrapText="1"/>
    </xf>
    <xf numFmtId="0" fontId="6" fillId="0" borderId="1" xfId="0" applyFont="1" applyFill="1" applyBorder="1" applyAlignment="1">
      <alignment vertical="center" wrapText="1"/>
    </xf>
    <xf numFmtId="0" fontId="1" fillId="0" borderId="1" xfId="0" applyFont="1" applyFill="1" applyBorder="1" applyAlignment="1">
      <alignment vertical="center" wrapText="1"/>
    </xf>
    <xf numFmtId="0" fontId="1" fillId="0" borderId="1" xfId="2" applyFont="1" applyFill="1" applyBorder="1" applyAlignment="1">
      <alignment vertical="center" wrapText="1"/>
    </xf>
    <xf numFmtId="0" fontId="1" fillId="0" borderId="1" xfId="3" applyFont="1" applyFill="1" applyBorder="1" applyAlignment="1">
      <alignment vertical="center" wrapText="1"/>
    </xf>
    <xf numFmtId="0" fontId="8" fillId="0" borderId="1" xfId="4" applyFont="1" applyFill="1" applyBorder="1" applyAlignment="1">
      <alignment vertical="top" wrapText="1"/>
    </xf>
    <xf numFmtId="0" fontId="16" fillId="0" borderId="0" xfId="0" applyFont="1" applyFill="1" applyBorder="1" applyAlignment="1">
      <alignment horizontal="center" vertical="top"/>
    </xf>
    <xf numFmtId="0" fontId="5" fillId="0" borderId="1" xfId="0" applyFont="1" applyFill="1" applyBorder="1" applyAlignment="1">
      <alignment vertical="center"/>
    </xf>
    <xf numFmtId="0" fontId="5" fillId="0" borderId="1" xfId="3" applyFont="1" applyFill="1" applyBorder="1" applyAlignment="1">
      <alignment vertical="center" wrapText="1"/>
    </xf>
    <xf numFmtId="0" fontId="5" fillId="0" borderId="1" xfId="3" applyFont="1" applyFill="1" applyBorder="1" applyAlignment="1">
      <alignment horizontal="left" vertical="center" wrapText="1"/>
    </xf>
    <xf numFmtId="0" fontId="1" fillId="0" borderId="1" xfId="0" applyFont="1" applyFill="1" applyBorder="1" applyAlignment="1">
      <alignmen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49" fontId="10" fillId="3" borderId="0" xfId="0" applyNumberFormat="1" applyFont="1" applyFill="1" applyBorder="1" applyAlignment="1">
      <alignment vertical="center"/>
    </xf>
    <xf numFmtId="49" fontId="3" fillId="3" borderId="1" xfId="0" applyNumberFormat="1" applyFont="1" applyFill="1" applyBorder="1" applyAlignment="1">
      <alignment horizontal="left" vertical="center" wrapText="1"/>
    </xf>
    <xf numFmtId="0" fontId="1" fillId="3" borderId="1" xfId="0" applyFont="1" applyFill="1" applyBorder="1" applyAlignment="1">
      <alignment vertical="center" wrapText="1"/>
    </xf>
    <xf numFmtId="0" fontId="1" fillId="3" borderId="0" xfId="0" applyFont="1" applyFill="1" applyBorder="1" applyAlignment="1">
      <alignment horizontal="left" vertical="center" wrapText="1"/>
    </xf>
    <xf numFmtId="0" fontId="1" fillId="3" borderId="0" xfId="0" applyFont="1" applyFill="1" applyBorder="1" applyAlignment="1">
      <alignment vertical="center" wrapText="1"/>
    </xf>
    <xf numFmtId="0" fontId="16" fillId="3" borderId="0" xfId="0" applyFont="1" applyFill="1" applyBorder="1" applyAlignment="1">
      <alignment horizontal="center" vertical="top"/>
    </xf>
    <xf numFmtId="0" fontId="1" fillId="3" borderId="0" xfId="0" applyFont="1" applyFill="1" applyBorder="1" applyAlignment="1">
      <alignment horizontal="center" vertical="top"/>
    </xf>
    <xf numFmtId="0" fontId="3" fillId="3" borderId="0" xfId="0" applyFont="1" applyFill="1" applyBorder="1" applyAlignment="1">
      <alignment horizontal="center" vertical="top" wrapText="1"/>
    </xf>
    <xf numFmtId="0" fontId="3" fillId="3" borderId="0" xfId="0" applyFont="1" applyFill="1" applyBorder="1" applyAlignment="1">
      <alignment horizontal="center" vertical="top"/>
    </xf>
    <xf numFmtId="0" fontId="3" fillId="3" borderId="0" xfId="0" applyFont="1" applyFill="1" applyBorder="1" applyAlignment="1">
      <alignment vertical="top" wrapText="1"/>
    </xf>
    <xf numFmtId="0" fontId="8" fillId="3" borderId="1" xfId="0" applyFont="1" applyFill="1" applyBorder="1" applyAlignment="1">
      <alignment vertical="top" wrapText="1"/>
    </xf>
    <xf numFmtId="0" fontId="1" fillId="3" borderId="0" xfId="0" applyFont="1" applyFill="1" applyAlignment="1">
      <alignment vertical="center" wrapText="1"/>
    </xf>
    <xf numFmtId="0" fontId="3" fillId="3" borderId="0" xfId="0" applyFont="1" applyFill="1" applyBorder="1" applyAlignment="1">
      <alignment horizontal="left" vertical="center" wrapText="1"/>
    </xf>
    <xf numFmtId="0" fontId="5" fillId="3" borderId="1" xfId="0" applyFont="1" applyFill="1" applyBorder="1" applyAlignment="1">
      <alignment vertical="center" wrapText="1"/>
    </xf>
    <xf numFmtId="0" fontId="3" fillId="3" borderId="1" xfId="0" applyFont="1" applyFill="1" applyBorder="1" applyAlignment="1">
      <alignment horizontal="left" vertical="center" wrapText="1"/>
    </xf>
    <xf numFmtId="0" fontId="5" fillId="3" borderId="0" xfId="0" applyFont="1" applyFill="1" applyBorder="1" applyAlignment="1">
      <alignment vertical="center" wrapText="1"/>
    </xf>
    <xf numFmtId="0" fontId="17" fillId="3" borderId="0" xfId="0" applyFont="1" applyFill="1" applyBorder="1" applyAlignment="1">
      <alignment horizontal="center" vertical="top"/>
    </xf>
    <xf numFmtId="0" fontId="17" fillId="3" borderId="0" xfId="0" applyFont="1" applyFill="1" applyBorder="1" applyAlignment="1">
      <alignment vertical="top" wrapText="1"/>
    </xf>
    <xf numFmtId="0" fontId="5" fillId="3" borderId="1" xfId="0" applyFont="1" applyFill="1" applyBorder="1" applyAlignment="1">
      <alignment horizontal="left" vertical="center" wrapText="1"/>
    </xf>
    <xf numFmtId="0" fontId="8" fillId="3" borderId="0" xfId="0" applyFont="1" applyFill="1" applyBorder="1" applyAlignment="1">
      <alignment vertical="top" wrapText="1"/>
    </xf>
    <xf numFmtId="0" fontId="16" fillId="3" borderId="1" xfId="0" applyFont="1" applyFill="1" applyBorder="1" applyAlignment="1">
      <alignment horizontal="center" vertical="top"/>
    </xf>
    <xf numFmtId="0" fontId="1" fillId="3" borderId="1" xfId="0" applyFont="1" applyFill="1" applyBorder="1" applyAlignment="1">
      <alignment horizontal="center" vertical="top"/>
    </xf>
    <xf numFmtId="0" fontId="3" fillId="3" borderId="1" xfId="0" applyFont="1" applyFill="1" applyBorder="1" applyAlignment="1">
      <alignment horizontal="center" vertical="top" wrapText="1"/>
    </xf>
    <xf numFmtId="0" fontId="17" fillId="3" borderId="1" xfId="0" applyFont="1" applyFill="1" applyBorder="1" applyAlignment="1">
      <alignment horizontal="center" vertical="top"/>
    </xf>
    <xf numFmtId="0" fontId="17" fillId="3" borderId="1" xfId="0" applyFont="1" applyFill="1" applyBorder="1" applyAlignment="1">
      <alignment vertical="top" wrapText="1"/>
    </xf>
    <xf numFmtId="0" fontId="1" fillId="3" borderId="1" xfId="0" applyFont="1" applyFill="1" applyBorder="1" applyAlignment="1">
      <alignment horizontal="left" vertical="center" wrapText="1"/>
    </xf>
    <xf numFmtId="0" fontId="1" fillId="4" borderId="1" xfId="0" applyFont="1" applyFill="1" applyBorder="1" applyAlignment="1">
      <alignment vertical="top" wrapText="1"/>
    </xf>
    <xf numFmtId="0" fontId="1" fillId="0" borderId="0" xfId="0" applyFont="1" applyFill="1" applyBorder="1" applyAlignment="1">
      <alignment vertical="center" wrapText="1"/>
    </xf>
    <xf numFmtId="0" fontId="16" fillId="4" borderId="0" xfId="0" applyFont="1" applyFill="1" applyBorder="1" applyAlignment="1">
      <alignment horizontal="center" vertical="center" wrapText="1"/>
    </xf>
    <xf numFmtId="0" fontId="1" fillId="0" borderId="0" xfId="0" applyFont="1" applyFill="1" applyBorder="1" applyAlignment="1">
      <alignment horizontal="center" vertical="center" wrapText="1"/>
    </xf>
    <xf numFmtId="0" fontId="1" fillId="0" borderId="0" xfId="0" applyFont="1" applyFill="1" applyBorder="1" applyAlignment="1">
      <alignment horizontal="left" vertical="center" wrapText="1"/>
    </xf>
    <xf numFmtId="0" fontId="1" fillId="0" borderId="0" xfId="0" quotePrefix="1" applyFont="1" applyFill="1" applyBorder="1" applyAlignment="1">
      <alignment horizontal="left" vertical="center" wrapText="1"/>
    </xf>
    <xf numFmtId="0" fontId="3"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1" xfId="0" applyFont="1" applyFill="1" applyBorder="1" applyAlignment="1">
      <alignment horizontal="left" vertical="center" wrapText="1"/>
    </xf>
    <xf numFmtId="0" fontId="20" fillId="0" borderId="2" xfId="0" applyFont="1" applyFill="1" applyBorder="1" applyAlignment="1">
      <alignment horizontal="left" vertical="center" wrapText="1"/>
    </xf>
    <xf numFmtId="0" fontId="0" fillId="0" borderId="2" xfId="0" applyBorder="1" applyAlignment="1">
      <alignment vertical="center" wrapText="1"/>
    </xf>
    <xf numFmtId="0" fontId="5" fillId="0" borderId="0" xfId="0" applyFont="1" applyFill="1" applyBorder="1" applyAlignment="1">
      <alignment horizontal="left" vertical="center" wrapText="1"/>
    </xf>
    <xf numFmtId="0" fontId="0" fillId="0" borderId="2" xfId="0" applyFont="1" applyFill="1" applyBorder="1" applyAlignment="1">
      <alignment horizontal="left" vertical="center" wrapText="1"/>
    </xf>
    <xf numFmtId="49" fontId="10" fillId="0" borderId="0" xfId="0" applyNumberFormat="1" applyFont="1" applyFill="1" applyBorder="1" applyAlignment="1">
      <alignment horizontal="left"/>
    </xf>
    <xf numFmtId="0" fontId="1" fillId="0" borderId="0" xfId="3" applyFont="1" applyFill="1" applyBorder="1" applyAlignment="1">
      <alignment horizontal="lef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0" fontId="5" fillId="0" borderId="1" xfId="0" applyFont="1" applyFill="1" applyBorder="1" applyAlignment="1">
      <alignment horizontal="left" vertical="center" wrapText="1"/>
    </xf>
    <xf numFmtId="0" fontId="3" fillId="0" borderId="4"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left" vertical="center" wrapText="1"/>
    </xf>
    <xf numFmtId="0" fontId="0" fillId="0" borderId="1" xfId="0" applyFont="1" applyFill="1" applyBorder="1" applyAlignment="1">
      <alignment horizontal="left" vertical="center" wrapText="1"/>
    </xf>
    <xf numFmtId="0" fontId="0" fillId="0" borderId="5" xfId="0" applyFill="1" applyBorder="1" applyAlignment="1">
      <alignment horizontal="left" vertical="center" wrapText="1"/>
    </xf>
    <xf numFmtId="0" fontId="1" fillId="0" borderId="4" xfId="0" applyFont="1" applyFill="1" applyBorder="1" applyAlignment="1">
      <alignment vertical="center" wrapText="1"/>
    </xf>
    <xf numFmtId="0" fontId="0" fillId="0" borderId="5" xfId="0" applyFill="1" applyBorder="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5" fillId="0" borderId="1" xfId="0" applyFont="1" applyFill="1" applyBorder="1" applyAlignment="1">
      <alignment vertical="center" wrapText="1"/>
    </xf>
    <xf numFmtId="0" fontId="0" fillId="0" borderId="1" xfId="0" applyFont="1" applyFill="1" applyBorder="1" applyAlignment="1">
      <alignment vertical="center" wrapText="1"/>
    </xf>
    <xf numFmtId="0" fontId="3" fillId="0" borderId="1" xfId="0" applyFont="1" applyFill="1" applyBorder="1" applyAlignment="1">
      <alignment horizontal="left" vertical="center" wrapText="1"/>
    </xf>
    <xf numFmtId="0" fontId="1" fillId="0" borderId="1" xfId="0" applyFont="1" applyFill="1" applyBorder="1" applyAlignment="1">
      <alignment vertical="center" wrapText="1"/>
    </xf>
    <xf numFmtId="0" fontId="1" fillId="0" borderId="4" xfId="0" quotePrefix="1" applyFont="1" applyFill="1" applyBorder="1" applyAlignment="1">
      <alignment horizontal="left" vertical="center" wrapText="1"/>
    </xf>
    <xf numFmtId="0" fontId="1" fillId="0" borderId="3" xfId="0" quotePrefix="1" applyFont="1" applyFill="1" applyBorder="1" applyAlignment="1">
      <alignment horizontal="left" vertical="center" wrapText="1"/>
    </xf>
    <xf numFmtId="0" fontId="1" fillId="0" borderId="5" xfId="0" quotePrefix="1" applyFont="1" applyFill="1" applyBorder="1" applyAlignment="1">
      <alignment horizontal="left" vertical="center" wrapText="1"/>
    </xf>
    <xf numFmtId="0" fontId="1" fillId="0" borderId="4" xfId="0" applyFont="1" applyFill="1" applyBorder="1" applyAlignment="1">
      <alignment horizontal="left" vertical="center" wrapText="1"/>
    </xf>
    <xf numFmtId="0" fontId="1" fillId="0" borderId="3" xfId="0" applyFont="1" applyFill="1" applyBorder="1" applyAlignment="1">
      <alignment horizontal="left" vertical="center" wrapText="1"/>
    </xf>
    <xf numFmtId="0" fontId="1" fillId="0" borderId="5" xfId="0" applyFont="1" applyFill="1" applyBorder="1" applyAlignment="1">
      <alignment horizontal="left" vertical="center" wrapText="1"/>
    </xf>
    <xf numFmtId="0" fontId="0" fillId="0" borderId="0" xfId="0" applyFill="1" applyAlignment="1">
      <alignment horizontal="left" vertical="center" wrapText="1"/>
    </xf>
    <xf numFmtId="0" fontId="1" fillId="0" borderId="3" xfId="0" applyFont="1" applyFill="1" applyBorder="1" applyAlignment="1">
      <alignment vertical="center" wrapText="1"/>
    </xf>
    <xf numFmtId="0" fontId="1" fillId="0" borderId="5" xfId="0" applyFont="1" applyFill="1" applyBorder="1" applyAlignment="1">
      <alignment vertical="center" wrapText="1"/>
    </xf>
    <xf numFmtId="0" fontId="0" fillId="0" borderId="0" xfId="0" applyFill="1" applyAlignment="1">
      <alignment vertical="center" wrapText="1"/>
    </xf>
    <xf numFmtId="0" fontId="6" fillId="0" borderId="1" xfId="0" applyFont="1" applyFill="1" applyBorder="1" applyAlignment="1">
      <alignment horizontal="left" vertical="center" wrapText="1"/>
    </xf>
    <xf numFmtId="0" fontId="6" fillId="0" borderId="0" xfId="0" applyFont="1" applyFill="1" applyBorder="1" applyAlignment="1">
      <alignment horizontal="left" vertical="center" wrapText="1"/>
    </xf>
    <xf numFmtId="0" fontId="11" fillId="0" borderId="2" xfId="3" applyFont="1" applyBorder="1" applyAlignment="1" applyProtection="1">
      <alignment horizontal="left" vertical="top" wrapText="1"/>
    </xf>
    <xf numFmtId="0" fontId="18" fillId="4" borderId="1" xfId="0" applyFont="1" applyFill="1" applyBorder="1" applyAlignment="1">
      <alignment horizontal="left" vertical="center" wrapText="1"/>
    </xf>
    <xf numFmtId="0" fontId="1" fillId="4" borderId="0" xfId="0" applyFont="1" applyFill="1" applyBorder="1" applyAlignment="1">
      <alignment vertical="center" wrapText="1"/>
    </xf>
    <xf numFmtId="0" fontId="23" fillId="4" borderId="1" xfId="0" applyFont="1" applyFill="1" applyBorder="1" applyAlignment="1">
      <alignment horizontal="left" vertical="center" wrapText="1"/>
    </xf>
    <xf numFmtId="0" fontId="5" fillId="4" borderId="0" xfId="0" applyFont="1" applyFill="1" applyBorder="1" applyAlignment="1">
      <alignment vertical="center" wrapText="1"/>
    </xf>
    <xf numFmtId="0" fontId="23" fillId="4" borderId="0" xfId="0" applyFont="1" applyFill="1" applyBorder="1" applyAlignment="1">
      <alignment horizontal="left" vertical="center" wrapText="1"/>
    </xf>
    <xf numFmtId="0" fontId="1" fillId="4" borderId="1" xfId="0" applyFont="1" applyFill="1" applyBorder="1" applyAlignment="1">
      <alignment vertical="center" wrapText="1"/>
    </xf>
    <xf numFmtId="0" fontId="17" fillId="4" borderId="1" xfId="0" applyFont="1" applyFill="1" applyBorder="1" applyAlignment="1">
      <alignment horizontal="left" vertical="top" wrapText="1"/>
    </xf>
  </cellXfs>
  <cellStyles count="5">
    <cellStyle name="Normal" xfId="0" builtinId="0"/>
    <cellStyle name="Normal 12" xfId="3"/>
    <cellStyle name="Normal 2" xfId="1"/>
    <cellStyle name="Normal 23" xfId="4"/>
    <cellStyle name="Normal 29" xfId="2"/>
  </cellStyles>
  <dxfs count="0"/>
  <tableStyles count="0" defaultTableStyle="TableStyleMedium9" defaultPivotStyle="PivotStyleLight16"/>
  <colors>
    <mruColors>
      <color rgb="FFE8E8E8"/>
      <color rgb="FF0000FF"/>
      <color rgb="FFFFFF99"/>
      <color rgb="FFFFFF66"/>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927"/>
  <sheetViews>
    <sheetView tabSelected="1" topLeftCell="A54" zoomScale="75" zoomScaleNormal="75" zoomScaleSheetLayoutView="100" workbookViewId="0">
      <selection activeCell="I63" sqref="I63"/>
    </sheetView>
  </sheetViews>
  <sheetFormatPr defaultColWidth="9.33203125" defaultRowHeight="13.2" x14ac:dyDescent="0.3"/>
  <cols>
    <col min="1" max="1" width="17.44140625" style="6" customWidth="1"/>
    <col min="2" max="2" width="17.33203125" style="6" customWidth="1"/>
    <col min="3" max="3" width="11.5546875" style="29" customWidth="1"/>
    <col min="4" max="4" width="10.109375" style="29" customWidth="1"/>
    <col min="5" max="5" width="10.44140625" style="29" customWidth="1"/>
    <col min="6" max="6" width="10.109375" style="29" customWidth="1"/>
    <col min="7" max="7" width="40" style="24" customWidth="1"/>
    <col min="8" max="8" width="34.88671875" style="16" customWidth="1"/>
    <col min="9" max="9" width="57.33203125" style="42" customWidth="1"/>
    <col min="10" max="16384" width="9.33203125" style="4"/>
  </cols>
  <sheetData>
    <row r="1" spans="1:9" ht="21" x14ac:dyDescent="0.4">
      <c r="B1" s="26"/>
      <c r="C1" s="176" t="s">
        <v>244</v>
      </c>
      <c r="D1" s="176"/>
      <c r="E1" s="176"/>
      <c r="F1" s="176"/>
      <c r="G1" s="176"/>
      <c r="H1" s="176"/>
      <c r="I1" s="137" t="s">
        <v>614</v>
      </c>
    </row>
    <row r="2" spans="1:9" s="8" customFormat="1" ht="39.6" x14ac:dyDescent="0.25">
      <c r="A2" s="1" t="s">
        <v>43</v>
      </c>
      <c r="B2" s="1" t="s">
        <v>44</v>
      </c>
      <c r="C2" s="1" t="s">
        <v>45</v>
      </c>
      <c r="D2" s="1" t="s">
        <v>435</v>
      </c>
      <c r="E2" s="1" t="s">
        <v>46</v>
      </c>
      <c r="F2" s="1" t="s">
        <v>47</v>
      </c>
      <c r="G2" s="25" t="s">
        <v>48</v>
      </c>
      <c r="H2" s="1" t="s">
        <v>49</v>
      </c>
      <c r="I2" s="2" t="s">
        <v>50</v>
      </c>
    </row>
    <row r="3" spans="1:9" s="8" customFormat="1" x14ac:dyDescent="0.25">
      <c r="A3" s="3" t="s">
        <v>0</v>
      </c>
      <c r="B3" s="3" t="s">
        <v>0</v>
      </c>
      <c r="C3" s="27" t="s">
        <v>97</v>
      </c>
      <c r="D3" s="3">
        <v>1</v>
      </c>
      <c r="E3" s="3">
        <f>D3+F3-1</f>
        <v>4</v>
      </c>
      <c r="F3" s="3">
        <v>4</v>
      </c>
      <c r="G3" s="22" t="s">
        <v>39</v>
      </c>
      <c r="H3" s="1"/>
      <c r="I3" s="2"/>
    </row>
    <row r="4" spans="1:9" ht="39.6" x14ac:dyDescent="0.3">
      <c r="A4" s="5" t="s">
        <v>0</v>
      </c>
      <c r="B4" s="5" t="s">
        <v>0</v>
      </c>
      <c r="C4" s="27" t="s">
        <v>97</v>
      </c>
      <c r="D4" s="3">
        <f>D3+F3</f>
        <v>5</v>
      </c>
      <c r="E4" s="3">
        <f>D4+F4-1</f>
        <v>6</v>
      </c>
      <c r="F4" s="3">
        <v>2</v>
      </c>
      <c r="G4" s="22" t="s">
        <v>38</v>
      </c>
      <c r="H4" s="40" t="s">
        <v>51</v>
      </c>
    </row>
    <row r="5" spans="1:9" x14ac:dyDescent="0.3">
      <c r="A5" s="5"/>
      <c r="B5" s="5"/>
      <c r="C5" s="27"/>
      <c r="D5" s="3"/>
      <c r="E5" s="3"/>
      <c r="F5" s="3"/>
      <c r="G5" s="23" t="s">
        <v>52</v>
      </c>
      <c r="H5" s="40"/>
    </row>
    <row r="6" spans="1:9" ht="43.5" customHeight="1" x14ac:dyDescent="0.3">
      <c r="A6" s="5" t="s">
        <v>0</v>
      </c>
      <c r="B6" s="5" t="s">
        <v>0</v>
      </c>
      <c r="C6" s="27" t="s">
        <v>97</v>
      </c>
      <c r="D6" s="3">
        <f>D4+F4</f>
        <v>7</v>
      </c>
      <c r="E6" s="3">
        <f t="shared" ref="E6:E14" si="0">D6+F6-1</f>
        <v>9</v>
      </c>
      <c r="F6" s="3">
        <v>3</v>
      </c>
      <c r="G6" s="22" t="s">
        <v>1</v>
      </c>
      <c r="H6" s="40"/>
      <c r="I6" s="178" t="s">
        <v>103</v>
      </c>
    </row>
    <row r="7" spans="1:9" ht="43.5" customHeight="1" x14ac:dyDescent="0.3">
      <c r="A7" s="5" t="s">
        <v>0</v>
      </c>
      <c r="B7" s="5" t="s">
        <v>0</v>
      </c>
      <c r="C7" s="27" t="s">
        <v>97</v>
      </c>
      <c r="D7" s="3">
        <f t="shared" ref="D7:D14" si="1">D6+F6</f>
        <v>10</v>
      </c>
      <c r="E7" s="3">
        <f t="shared" si="0"/>
        <v>12</v>
      </c>
      <c r="F7" s="3">
        <v>3</v>
      </c>
      <c r="G7" s="22" t="s">
        <v>2</v>
      </c>
      <c r="H7" s="40"/>
      <c r="I7" s="179"/>
    </row>
    <row r="8" spans="1:9" x14ac:dyDescent="0.3">
      <c r="A8" s="5" t="s">
        <v>0</v>
      </c>
      <c r="B8" s="5" t="s">
        <v>0</v>
      </c>
      <c r="C8" s="27" t="s">
        <v>97</v>
      </c>
      <c r="D8" s="3">
        <f t="shared" si="1"/>
        <v>13</v>
      </c>
      <c r="E8" s="3">
        <f t="shared" si="0"/>
        <v>52</v>
      </c>
      <c r="F8" s="3">
        <v>40</v>
      </c>
      <c r="G8" s="22" t="s">
        <v>3</v>
      </c>
      <c r="H8" s="40"/>
    </row>
    <row r="9" spans="1:9" x14ac:dyDescent="0.3">
      <c r="A9" s="5" t="s">
        <v>0</v>
      </c>
      <c r="B9" s="5" t="s">
        <v>0</v>
      </c>
      <c r="C9" s="27" t="s">
        <v>97</v>
      </c>
      <c r="D9" s="3">
        <f t="shared" si="1"/>
        <v>53</v>
      </c>
      <c r="E9" s="3">
        <f t="shared" si="0"/>
        <v>92</v>
      </c>
      <c r="F9" s="3">
        <v>40</v>
      </c>
      <c r="G9" s="22" t="s">
        <v>4</v>
      </c>
      <c r="H9" s="40"/>
    </row>
    <row r="10" spans="1:9" ht="52.8" x14ac:dyDescent="0.3">
      <c r="A10" s="5" t="s">
        <v>0</v>
      </c>
      <c r="B10" s="5" t="s">
        <v>0</v>
      </c>
      <c r="C10" s="27" t="s">
        <v>97</v>
      </c>
      <c r="D10" s="3">
        <f t="shared" si="1"/>
        <v>93</v>
      </c>
      <c r="E10" s="3">
        <f t="shared" si="0"/>
        <v>98</v>
      </c>
      <c r="F10" s="3">
        <v>6</v>
      </c>
      <c r="G10" s="22" t="s">
        <v>312</v>
      </c>
      <c r="H10" s="18" t="s">
        <v>77</v>
      </c>
      <c r="I10" s="38" t="s">
        <v>263</v>
      </c>
    </row>
    <row r="11" spans="1:9" ht="199.5" customHeight="1" x14ac:dyDescent="0.3">
      <c r="A11" s="5" t="s">
        <v>0</v>
      </c>
      <c r="B11" s="5" t="s">
        <v>0</v>
      </c>
      <c r="C11" s="27" t="s">
        <v>97</v>
      </c>
      <c r="D11" s="3">
        <f t="shared" si="1"/>
        <v>99</v>
      </c>
      <c r="E11" s="3">
        <f t="shared" si="0"/>
        <v>100</v>
      </c>
      <c r="F11" s="3">
        <v>2</v>
      </c>
      <c r="G11" s="22" t="s">
        <v>5</v>
      </c>
      <c r="H11" s="44" t="s">
        <v>104</v>
      </c>
      <c r="I11" s="44" t="s">
        <v>210</v>
      </c>
    </row>
    <row r="12" spans="1:9" ht="95.25" customHeight="1" x14ac:dyDescent="0.3">
      <c r="A12" s="5" t="s">
        <v>0</v>
      </c>
      <c r="B12" s="5" t="s">
        <v>0</v>
      </c>
      <c r="C12" s="27" t="s">
        <v>97</v>
      </c>
      <c r="D12" s="3">
        <f t="shared" si="1"/>
        <v>101</v>
      </c>
      <c r="E12" s="3">
        <f t="shared" si="0"/>
        <v>101</v>
      </c>
      <c r="F12" s="3">
        <v>1</v>
      </c>
      <c r="G12" s="22" t="s">
        <v>7</v>
      </c>
      <c r="H12" s="40" t="s">
        <v>53</v>
      </c>
      <c r="I12" s="44" t="s">
        <v>214</v>
      </c>
    </row>
    <row r="13" spans="1:9" ht="39.6" x14ac:dyDescent="0.25">
      <c r="A13" s="45" t="s">
        <v>0</v>
      </c>
      <c r="B13" s="45" t="s">
        <v>0</v>
      </c>
      <c r="C13" s="46"/>
      <c r="D13" s="45">
        <f t="shared" si="1"/>
        <v>102</v>
      </c>
      <c r="E13" s="47">
        <f t="shared" si="0"/>
        <v>102</v>
      </c>
      <c r="F13" s="48">
        <v>1</v>
      </c>
      <c r="G13" s="49" t="s">
        <v>353</v>
      </c>
      <c r="H13" s="43" t="s">
        <v>118</v>
      </c>
      <c r="I13" s="43" t="s">
        <v>354</v>
      </c>
    </row>
    <row r="14" spans="1:9" x14ac:dyDescent="0.3">
      <c r="A14" s="5"/>
      <c r="B14" s="5"/>
      <c r="C14" s="27"/>
      <c r="D14" s="3">
        <f t="shared" si="1"/>
        <v>103</v>
      </c>
      <c r="E14" s="3">
        <f t="shared" si="0"/>
        <v>117</v>
      </c>
      <c r="F14" s="3">
        <v>15</v>
      </c>
      <c r="G14" s="22" t="s">
        <v>55</v>
      </c>
      <c r="H14" s="40"/>
    </row>
    <row r="15" spans="1:9" x14ac:dyDescent="0.3">
      <c r="A15" s="5"/>
      <c r="B15" s="5"/>
      <c r="C15" s="6"/>
      <c r="D15" s="3"/>
      <c r="E15" s="3"/>
      <c r="F15" s="7"/>
      <c r="G15" s="23" t="s">
        <v>56</v>
      </c>
      <c r="H15" s="14"/>
    </row>
    <row r="16" spans="1:9" ht="55.5" customHeight="1" x14ac:dyDescent="0.3">
      <c r="A16" s="5" t="s">
        <v>0</v>
      </c>
      <c r="B16" s="5" t="s">
        <v>6</v>
      </c>
      <c r="C16" s="27" t="s">
        <v>355</v>
      </c>
      <c r="D16" s="3">
        <f>D14+F14</f>
        <v>118</v>
      </c>
      <c r="E16" s="3">
        <f t="shared" ref="E16:E51" si="2">D16+F16-1</f>
        <v>137</v>
      </c>
      <c r="F16" s="3">
        <v>20</v>
      </c>
      <c r="G16" s="22" t="s">
        <v>105</v>
      </c>
      <c r="H16" s="40" t="s">
        <v>212</v>
      </c>
      <c r="I16" s="167" t="s">
        <v>57</v>
      </c>
    </row>
    <row r="17" spans="1:9" ht="56.25" customHeight="1" x14ac:dyDescent="0.3">
      <c r="A17" s="5" t="s">
        <v>0</v>
      </c>
      <c r="B17" s="5" t="s">
        <v>6</v>
      </c>
      <c r="C17" s="27" t="s">
        <v>355</v>
      </c>
      <c r="D17" s="3">
        <f t="shared" ref="D17:D51" si="3">D16+F16</f>
        <v>138</v>
      </c>
      <c r="E17" s="3">
        <f t="shared" si="2"/>
        <v>152</v>
      </c>
      <c r="F17" s="3">
        <v>15</v>
      </c>
      <c r="G17" s="22" t="s">
        <v>106</v>
      </c>
      <c r="H17" s="40" t="s">
        <v>212</v>
      </c>
      <c r="I17" s="167"/>
    </row>
    <row r="18" spans="1:9" ht="56.25" customHeight="1" x14ac:dyDescent="0.3">
      <c r="A18" s="5" t="s">
        <v>0</v>
      </c>
      <c r="B18" s="5" t="s">
        <v>6</v>
      </c>
      <c r="C18" s="27" t="s">
        <v>97</v>
      </c>
      <c r="D18" s="3">
        <f t="shared" si="3"/>
        <v>153</v>
      </c>
      <c r="E18" s="3">
        <f t="shared" si="2"/>
        <v>153</v>
      </c>
      <c r="F18" s="3">
        <v>1</v>
      </c>
      <c r="G18" s="22" t="s">
        <v>107</v>
      </c>
      <c r="H18" s="40" t="s">
        <v>213</v>
      </c>
      <c r="I18" s="167"/>
    </row>
    <row r="19" spans="1:9" x14ac:dyDescent="0.3">
      <c r="A19" s="5" t="s">
        <v>0</v>
      </c>
      <c r="B19" s="5" t="s">
        <v>0</v>
      </c>
      <c r="C19" s="27" t="s">
        <v>355</v>
      </c>
      <c r="D19" s="3">
        <f t="shared" si="3"/>
        <v>154</v>
      </c>
      <c r="E19" s="3">
        <f t="shared" si="2"/>
        <v>163</v>
      </c>
      <c r="F19" s="3">
        <v>10</v>
      </c>
      <c r="G19" s="9" t="s">
        <v>58</v>
      </c>
      <c r="H19" s="50" t="s">
        <v>211</v>
      </c>
      <c r="I19" s="42" t="s">
        <v>59</v>
      </c>
    </row>
    <row r="20" spans="1:9" ht="66" x14ac:dyDescent="0.3">
      <c r="A20" s="5" t="s">
        <v>6</v>
      </c>
      <c r="B20" s="5" t="s">
        <v>6</v>
      </c>
      <c r="C20" s="27" t="s">
        <v>96</v>
      </c>
      <c r="D20" s="3">
        <f t="shared" si="3"/>
        <v>164</v>
      </c>
      <c r="E20" s="3">
        <f t="shared" si="2"/>
        <v>169</v>
      </c>
      <c r="F20" s="3">
        <v>6</v>
      </c>
      <c r="G20" s="22" t="s">
        <v>215</v>
      </c>
      <c r="H20" s="44" t="s">
        <v>216</v>
      </c>
      <c r="I20" s="42" t="s">
        <v>310</v>
      </c>
    </row>
    <row r="21" spans="1:9" ht="61.5" customHeight="1" x14ac:dyDescent="0.3">
      <c r="A21" s="5" t="s">
        <v>0</v>
      </c>
      <c r="B21" s="5" t="s">
        <v>0</v>
      </c>
      <c r="C21" s="27" t="s">
        <v>355</v>
      </c>
      <c r="D21" s="3">
        <f t="shared" si="3"/>
        <v>170</v>
      </c>
      <c r="E21" s="3">
        <f t="shared" si="2"/>
        <v>171</v>
      </c>
      <c r="F21" s="3">
        <v>2</v>
      </c>
      <c r="G21" s="13" t="s">
        <v>109</v>
      </c>
      <c r="H21" s="10" t="s">
        <v>60</v>
      </c>
      <c r="I21" s="177" t="s">
        <v>62</v>
      </c>
    </row>
    <row r="22" spans="1:9" ht="60" customHeight="1" x14ac:dyDescent="0.3">
      <c r="A22" s="5" t="s">
        <v>0</v>
      </c>
      <c r="B22" s="5" t="s">
        <v>0</v>
      </c>
      <c r="C22" s="27" t="s">
        <v>355</v>
      </c>
      <c r="D22" s="3">
        <f t="shared" si="3"/>
        <v>172</v>
      </c>
      <c r="E22" s="3">
        <f t="shared" si="2"/>
        <v>173</v>
      </c>
      <c r="F22" s="3">
        <v>2</v>
      </c>
      <c r="G22" s="13" t="s">
        <v>108</v>
      </c>
      <c r="H22" s="10" t="s">
        <v>61</v>
      </c>
      <c r="I22" s="177"/>
    </row>
    <row r="23" spans="1:9" ht="60" customHeight="1" x14ac:dyDescent="0.3">
      <c r="A23" s="5" t="s">
        <v>0</v>
      </c>
      <c r="B23" s="5" t="s">
        <v>0</v>
      </c>
      <c r="C23" s="27" t="s">
        <v>355</v>
      </c>
      <c r="D23" s="3">
        <f t="shared" si="3"/>
        <v>174</v>
      </c>
      <c r="E23" s="3">
        <f t="shared" si="2"/>
        <v>177</v>
      </c>
      <c r="F23" s="3">
        <v>4</v>
      </c>
      <c r="G23" s="22" t="s">
        <v>110</v>
      </c>
      <c r="H23" s="10" t="s">
        <v>63</v>
      </c>
      <c r="I23" s="177"/>
    </row>
    <row r="24" spans="1:9" ht="108" customHeight="1" x14ac:dyDescent="0.3">
      <c r="A24" s="5" t="s">
        <v>0</v>
      </c>
      <c r="B24" s="5" t="s">
        <v>0</v>
      </c>
      <c r="C24" s="27" t="s">
        <v>97</v>
      </c>
      <c r="D24" s="3">
        <f t="shared" si="3"/>
        <v>178</v>
      </c>
      <c r="E24" s="3">
        <f t="shared" si="2"/>
        <v>179</v>
      </c>
      <c r="F24" s="3">
        <v>2</v>
      </c>
      <c r="G24" s="22" t="s">
        <v>111</v>
      </c>
      <c r="H24" s="40" t="s">
        <v>100</v>
      </c>
      <c r="I24" s="42" t="s">
        <v>267</v>
      </c>
    </row>
    <row r="25" spans="1:9" ht="108" customHeight="1" x14ac:dyDescent="0.3">
      <c r="A25" s="5" t="s">
        <v>6</v>
      </c>
      <c r="B25" s="5" t="s">
        <v>6</v>
      </c>
      <c r="C25" s="27" t="s">
        <v>97</v>
      </c>
      <c r="D25" s="3">
        <f t="shared" si="3"/>
        <v>180</v>
      </c>
      <c r="E25" s="3">
        <f t="shared" si="2"/>
        <v>181</v>
      </c>
      <c r="F25" s="3">
        <v>2</v>
      </c>
      <c r="G25" s="22" t="s">
        <v>313</v>
      </c>
      <c r="H25" s="40" t="s">
        <v>314</v>
      </c>
      <c r="I25" s="42" t="s">
        <v>217</v>
      </c>
    </row>
    <row r="26" spans="1:9" x14ac:dyDescent="0.3">
      <c r="A26" s="5"/>
      <c r="B26" s="5"/>
      <c r="C26" s="27"/>
      <c r="D26" s="3">
        <f t="shared" si="3"/>
        <v>182</v>
      </c>
      <c r="E26" s="3">
        <f t="shared" si="2"/>
        <v>191</v>
      </c>
      <c r="F26" s="3">
        <v>10</v>
      </c>
      <c r="G26" s="22" t="s">
        <v>55</v>
      </c>
      <c r="H26" s="40"/>
    </row>
    <row r="27" spans="1:9" ht="52.8" x14ac:dyDescent="0.3">
      <c r="A27" s="5" t="s">
        <v>0</v>
      </c>
      <c r="B27" s="5" t="s">
        <v>0</v>
      </c>
      <c r="C27" s="27" t="s">
        <v>355</v>
      </c>
      <c r="D27" s="3">
        <f t="shared" si="3"/>
        <v>192</v>
      </c>
      <c r="E27" s="3">
        <f t="shared" si="2"/>
        <v>192</v>
      </c>
      <c r="F27" s="3">
        <v>1</v>
      </c>
      <c r="G27" s="22" t="s">
        <v>315</v>
      </c>
      <c r="H27" s="11" t="s">
        <v>218</v>
      </c>
      <c r="I27" s="42" t="s">
        <v>219</v>
      </c>
    </row>
    <row r="28" spans="1:9" ht="39.6" x14ac:dyDescent="0.3">
      <c r="A28" s="5" t="s">
        <v>0</v>
      </c>
      <c r="B28" s="5" t="s">
        <v>0</v>
      </c>
      <c r="C28" s="27" t="s">
        <v>97</v>
      </c>
      <c r="D28" s="3">
        <f t="shared" si="3"/>
        <v>193</v>
      </c>
      <c r="E28" s="3">
        <f t="shared" si="2"/>
        <v>193</v>
      </c>
      <c r="F28" s="3">
        <v>1</v>
      </c>
      <c r="G28" s="22" t="s">
        <v>42</v>
      </c>
      <c r="H28" s="12" t="s">
        <v>264</v>
      </c>
      <c r="I28" s="42" t="s">
        <v>217</v>
      </c>
    </row>
    <row r="29" spans="1:9" ht="52.8" x14ac:dyDescent="0.3">
      <c r="A29" s="5" t="s">
        <v>0</v>
      </c>
      <c r="B29" s="5" t="s">
        <v>0</v>
      </c>
      <c r="C29" s="27" t="s">
        <v>97</v>
      </c>
      <c r="D29" s="3">
        <f t="shared" si="3"/>
        <v>194</v>
      </c>
      <c r="E29" s="3">
        <f t="shared" si="2"/>
        <v>194</v>
      </c>
      <c r="F29" s="3">
        <v>1</v>
      </c>
      <c r="G29" s="13" t="s">
        <v>316</v>
      </c>
      <c r="H29" s="12" t="s">
        <v>265</v>
      </c>
      <c r="I29" s="42" t="s">
        <v>219</v>
      </c>
    </row>
    <row r="30" spans="1:9" ht="39.6" x14ac:dyDescent="0.3">
      <c r="A30" s="5" t="s">
        <v>0</v>
      </c>
      <c r="B30" s="5" t="s">
        <v>0</v>
      </c>
      <c r="C30" s="27" t="s">
        <v>355</v>
      </c>
      <c r="D30" s="3">
        <f t="shared" si="3"/>
        <v>195</v>
      </c>
      <c r="E30" s="3">
        <f t="shared" si="2"/>
        <v>195</v>
      </c>
      <c r="F30" s="3">
        <v>1</v>
      </c>
      <c r="G30" s="13" t="s">
        <v>317</v>
      </c>
      <c r="H30" s="12" t="s">
        <v>64</v>
      </c>
      <c r="I30" s="42" t="s">
        <v>137</v>
      </c>
    </row>
    <row r="31" spans="1:9" ht="52.8" x14ac:dyDescent="0.3">
      <c r="A31" s="5" t="s">
        <v>6</v>
      </c>
      <c r="B31" s="5" t="s">
        <v>6</v>
      </c>
      <c r="C31" s="27" t="s">
        <v>97</v>
      </c>
      <c r="D31" s="3">
        <f t="shared" si="3"/>
        <v>196</v>
      </c>
      <c r="E31" s="3">
        <f t="shared" si="2"/>
        <v>196</v>
      </c>
      <c r="F31" s="3">
        <v>1</v>
      </c>
      <c r="G31" s="22" t="s">
        <v>144</v>
      </c>
      <c r="H31" s="12" t="s">
        <v>223</v>
      </c>
      <c r="I31" s="42" t="s">
        <v>217</v>
      </c>
    </row>
    <row r="32" spans="1:9" ht="26.4" x14ac:dyDescent="0.3">
      <c r="A32" s="5" t="s">
        <v>0</v>
      </c>
      <c r="B32" s="5" t="s">
        <v>0</v>
      </c>
      <c r="C32" s="27" t="s">
        <v>97</v>
      </c>
      <c r="D32" s="3">
        <f t="shared" si="3"/>
        <v>197</v>
      </c>
      <c r="E32" s="3">
        <f t="shared" si="2"/>
        <v>198</v>
      </c>
      <c r="F32" s="3">
        <v>2</v>
      </c>
      <c r="G32" s="13" t="s">
        <v>318</v>
      </c>
      <c r="H32" s="40" t="s">
        <v>65</v>
      </c>
      <c r="I32" s="42" t="s">
        <v>137</v>
      </c>
    </row>
    <row r="33" spans="1:9" ht="39.6" x14ac:dyDescent="0.3">
      <c r="A33" s="5" t="s">
        <v>6</v>
      </c>
      <c r="B33" s="5" t="s">
        <v>6</v>
      </c>
      <c r="C33" s="27" t="s">
        <v>97</v>
      </c>
      <c r="D33" s="3">
        <f t="shared" si="3"/>
        <v>199</v>
      </c>
      <c r="E33" s="3">
        <f t="shared" si="2"/>
        <v>200</v>
      </c>
      <c r="F33" s="3">
        <v>2</v>
      </c>
      <c r="G33" s="22" t="s">
        <v>145</v>
      </c>
      <c r="H33" s="40" t="s">
        <v>221</v>
      </c>
      <c r="I33" s="42" t="s">
        <v>217</v>
      </c>
    </row>
    <row r="34" spans="1:9" ht="26.4" x14ac:dyDescent="0.3">
      <c r="A34" s="5" t="s">
        <v>0</v>
      </c>
      <c r="B34" s="5" t="s">
        <v>0</v>
      </c>
      <c r="C34" s="27" t="s">
        <v>97</v>
      </c>
      <c r="D34" s="3">
        <f t="shared" si="3"/>
        <v>201</v>
      </c>
      <c r="E34" s="3">
        <f t="shared" si="2"/>
        <v>201</v>
      </c>
      <c r="F34" s="3">
        <v>1</v>
      </c>
      <c r="G34" s="13" t="s">
        <v>319</v>
      </c>
      <c r="H34" s="12" t="s">
        <v>66</v>
      </c>
      <c r="I34" s="42" t="s">
        <v>137</v>
      </c>
    </row>
    <row r="35" spans="1:9" ht="39.6" x14ac:dyDescent="0.3">
      <c r="A35" s="5" t="s">
        <v>6</v>
      </c>
      <c r="B35" s="5" t="s">
        <v>6</v>
      </c>
      <c r="C35" s="27" t="s">
        <v>97</v>
      </c>
      <c r="D35" s="3">
        <f t="shared" si="3"/>
        <v>202</v>
      </c>
      <c r="E35" s="3">
        <f t="shared" si="2"/>
        <v>202</v>
      </c>
      <c r="F35" s="3">
        <v>1</v>
      </c>
      <c r="G35" s="13" t="s">
        <v>146</v>
      </c>
      <c r="H35" s="12" t="s">
        <v>220</v>
      </c>
      <c r="I35" s="42" t="s">
        <v>217</v>
      </c>
    </row>
    <row r="36" spans="1:9" ht="141.75" customHeight="1" x14ac:dyDescent="0.3">
      <c r="A36" s="5" t="s">
        <v>0</v>
      </c>
      <c r="B36" s="5" t="s">
        <v>0</v>
      </c>
      <c r="C36" s="27" t="s">
        <v>97</v>
      </c>
      <c r="D36" s="3">
        <f t="shared" si="3"/>
        <v>203</v>
      </c>
      <c r="E36" s="3">
        <f t="shared" si="2"/>
        <v>204</v>
      </c>
      <c r="F36" s="3">
        <v>2</v>
      </c>
      <c r="G36" s="13" t="s">
        <v>320</v>
      </c>
      <c r="H36" s="169" t="s">
        <v>67</v>
      </c>
      <c r="I36" s="42" t="s">
        <v>137</v>
      </c>
    </row>
    <row r="37" spans="1:9" ht="141" customHeight="1" x14ac:dyDescent="0.3">
      <c r="A37" s="5" t="s">
        <v>6</v>
      </c>
      <c r="B37" s="5" t="s">
        <v>6</v>
      </c>
      <c r="C37" s="27" t="s">
        <v>97</v>
      </c>
      <c r="D37" s="3">
        <f t="shared" si="3"/>
        <v>205</v>
      </c>
      <c r="E37" s="3">
        <f t="shared" si="2"/>
        <v>206</v>
      </c>
      <c r="F37" s="3">
        <v>2</v>
      </c>
      <c r="G37" s="22" t="s">
        <v>266</v>
      </c>
      <c r="H37" s="169"/>
      <c r="I37" s="42" t="s">
        <v>222</v>
      </c>
    </row>
    <row r="38" spans="1:9" ht="26.4" x14ac:dyDescent="0.3">
      <c r="A38" s="5" t="s">
        <v>0</v>
      </c>
      <c r="B38" s="5" t="s">
        <v>6</v>
      </c>
      <c r="C38" s="27" t="s">
        <v>355</v>
      </c>
      <c r="D38" s="3">
        <f t="shared" si="3"/>
        <v>207</v>
      </c>
      <c r="E38" s="3">
        <f t="shared" si="2"/>
        <v>207</v>
      </c>
      <c r="F38" s="3">
        <v>1</v>
      </c>
      <c r="G38" s="22" t="s">
        <v>8</v>
      </c>
      <c r="H38" s="12" t="s">
        <v>68</v>
      </c>
      <c r="I38" s="177" t="s">
        <v>219</v>
      </c>
    </row>
    <row r="39" spans="1:9" ht="39.6" x14ac:dyDescent="0.3">
      <c r="A39" s="5" t="s">
        <v>0</v>
      </c>
      <c r="B39" s="5" t="s">
        <v>6</v>
      </c>
      <c r="C39" s="27" t="s">
        <v>97</v>
      </c>
      <c r="D39" s="3">
        <f t="shared" si="3"/>
        <v>208</v>
      </c>
      <c r="E39" s="3">
        <f t="shared" si="2"/>
        <v>208</v>
      </c>
      <c r="F39" s="3">
        <v>1</v>
      </c>
      <c r="G39" s="22" t="s">
        <v>40</v>
      </c>
      <c r="H39" s="12" t="s">
        <v>69</v>
      </c>
      <c r="I39" s="177"/>
    </row>
    <row r="40" spans="1:9" ht="26.4" x14ac:dyDescent="0.3">
      <c r="A40" s="5" t="s">
        <v>0</v>
      </c>
      <c r="B40" s="5" t="s">
        <v>6</v>
      </c>
      <c r="C40" s="27" t="s">
        <v>355</v>
      </c>
      <c r="D40" s="3">
        <f t="shared" si="3"/>
        <v>209</v>
      </c>
      <c r="E40" s="3">
        <f t="shared" si="2"/>
        <v>209</v>
      </c>
      <c r="F40" s="3">
        <v>1</v>
      </c>
      <c r="G40" s="22" t="s">
        <v>9</v>
      </c>
      <c r="H40" s="12" t="s">
        <v>70</v>
      </c>
      <c r="I40" s="177"/>
    </row>
    <row r="41" spans="1:9" ht="26.4" x14ac:dyDescent="0.3">
      <c r="A41" s="5" t="s">
        <v>0</v>
      </c>
      <c r="B41" s="5" t="s">
        <v>6</v>
      </c>
      <c r="C41" s="27" t="s">
        <v>355</v>
      </c>
      <c r="D41" s="3">
        <f t="shared" si="3"/>
        <v>210</v>
      </c>
      <c r="E41" s="3">
        <f t="shared" si="2"/>
        <v>210</v>
      </c>
      <c r="F41" s="3">
        <v>1</v>
      </c>
      <c r="G41" s="22" t="s">
        <v>10</v>
      </c>
      <c r="H41" s="12" t="s">
        <v>71</v>
      </c>
      <c r="I41" s="177"/>
    </row>
    <row r="42" spans="1:9" ht="52.8" x14ac:dyDescent="0.3">
      <c r="A42" s="5" t="s">
        <v>0</v>
      </c>
      <c r="B42" s="5" t="s">
        <v>6</v>
      </c>
      <c r="C42" s="27" t="s">
        <v>355</v>
      </c>
      <c r="D42" s="3">
        <f t="shared" si="3"/>
        <v>211</v>
      </c>
      <c r="E42" s="3">
        <f t="shared" si="2"/>
        <v>211</v>
      </c>
      <c r="F42" s="3">
        <v>1</v>
      </c>
      <c r="G42" s="22" t="s">
        <v>11</v>
      </c>
      <c r="H42" s="12" t="s">
        <v>73</v>
      </c>
      <c r="I42" s="177"/>
    </row>
    <row r="43" spans="1:9" ht="26.4" x14ac:dyDescent="0.3">
      <c r="A43" s="5" t="s">
        <v>0</v>
      </c>
      <c r="B43" s="5" t="s">
        <v>6</v>
      </c>
      <c r="C43" s="27" t="s">
        <v>355</v>
      </c>
      <c r="D43" s="3">
        <f t="shared" si="3"/>
        <v>212</v>
      </c>
      <c r="E43" s="3">
        <f t="shared" si="2"/>
        <v>212</v>
      </c>
      <c r="F43" s="3">
        <v>1</v>
      </c>
      <c r="G43" s="22" t="s">
        <v>12</v>
      </c>
      <c r="H43" s="12" t="s">
        <v>72</v>
      </c>
      <c r="I43" s="177"/>
    </row>
    <row r="44" spans="1:9" ht="105.6" x14ac:dyDescent="0.3">
      <c r="A44" s="5" t="s">
        <v>0</v>
      </c>
      <c r="B44" s="5" t="s">
        <v>0</v>
      </c>
      <c r="C44" s="27" t="s">
        <v>355</v>
      </c>
      <c r="D44" s="3">
        <f t="shared" si="3"/>
        <v>213</v>
      </c>
      <c r="E44" s="3">
        <f t="shared" si="2"/>
        <v>213</v>
      </c>
      <c r="F44" s="3">
        <v>1</v>
      </c>
      <c r="G44" s="13" t="s">
        <v>272</v>
      </c>
      <c r="H44" s="42" t="s">
        <v>75</v>
      </c>
      <c r="I44" s="42" t="s">
        <v>76</v>
      </c>
    </row>
    <row r="45" spans="1:9" ht="52.8" x14ac:dyDescent="0.3">
      <c r="A45" s="5" t="s">
        <v>0</v>
      </c>
      <c r="B45" s="5" t="s">
        <v>0</v>
      </c>
      <c r="C45" s="27" t="s">
        <v>97</v>
      </c>
      <c r="D45" s="3">
        <f t="shared" si="3"/>
        <v>214</v>
      </c>
      <c r="E45" s="3">
        <f t="shared" si="2"/>
        <v>214</v>
      </c>
      <c r="F45" s="3">
        <v>1</v>
      </c>
      <c r="G45" s="13" t="s">
        <v>321</v>
      </c>
      <c r="H45" s="12" t="s">
        <v>74</v>
      </c>
      <c r="I45" s="42" t="s">
        <v>219</v>
      </c>
    </row>
    <row r="46" spans="1:9" ht="39.6" x14ac:dyDescent="0.3">
      <c r="A46" s="5" t="s">
        <v>0</v>
      </c>
      <c r="B46" s="5" t="s">
        <v>0</v>
      </c>
      <c r="C46" s="27" t="s">
        <v>97</v>
      </c>
      <c r="D46" s="3">
        <f t="shared" si="3"/>
        <v>215</v>
      </c>
      <c r="E46" s="3">
        <f t="shared" si="2"/>
        <v>215</v>
      </c>
      <c r="F46" s="3">
        <v>1</v>
      </c>
      <c r="G46" s="22" t="s">
        <v>31</v>
      </c>
      <c r="H46" s="40" t="s">
        <v>224</v>
      </c>
      <c r="I46" s="42" t="s">
        <v>225</v>
      </c>
    </row>
    <row r="47" spans="1:9" ht="26.4" x14ac:dyDescent="0.3">
      <c r="A47" s="5" t="s">
        <v>0</v>
      </c>
      <c r="B47" s="5" t="s">
        <v>0</v>
      </c>
      <c r="C47" s="27" t="s">
        <v>97</v>
      </c>
      <c r="D47" s="3">
        <f t="shared" si="3"/>
        <v>216</v>
      </c>
      <c r="E47" s="3">
        <f t="shared" si="2"/>
        <v>216</v>
      </c>
      <c r="F47" s="3">
        <v>1</v>
      </c>
      <c r="G47" s="13" t="s">
        <v>41</v>
      </c>
      <c r="H47" s="15" t="s">
        <v>226</v>
      </c>
      <c r="I47" s="42" t="s">
        <v>268</v>
      </c>
    </row>
    <row r="48" spans="1:9" ht="39.6" x14ac:dyDescent="0.3">
      <c r="A48" s="5" t="s">
        <v>0</v>
      </c>
      <c r="B48" s="5" t="s">
        <v>0</v>
      </c>
      <c r="C48" s="27" t="s">
        <v>97</v>
      </c>
      <c r="D48" s="3">
        <f t="shared" si="3"/>
        <v>217</v>
      </c>
      <c r="E48" s="3">
        <f t="shared" si="2"/>
        <v>222</v>
      </c>
      <c r="F48" s="3">
        <v>6</v>
      </c>
      <c r="G48" s="13" t="s">
        <v>147</v>
      </c>
      <c r="H48" s="15" t="s">
        <v>115</v>
      </c>
      <c r="I48" s="42" t="s">
        <v>227</v>
      </c>
    </row>
    <row r="49" spans="1:9" ht="52.8" x14ac:dyDescent="0.3">
      <c r="A49" s="78" t="s">
        <v>0</v>
      </c>
      <c r="B49" s="78" t="s">
        <v>0</v>
      </c>
      <c r="C49" s="79" t="s">
        <v>97</v>
      </c>
      <c r="D49" s="80">
        <f t="shared" si="3"/>
        <v>223</v>
      </c>
      <c r="E49" s="80">
        <f t="shared" si="2"/>
        <v>223</v>
      </c>
      <c r="F49" s="80">
        <v>1</v>
      </c>
      <c r="G49" s="81" t="s">
        <v>436</v>
      </c>
      <c r="H49" s="138" t="s">
        <v>499</v>
      </c>
      <c r="I49" s="139" t="s">
        <v>593</v>
      </c>
    </row>
    <row r="50" spans="1:9" ht="66" x14ac:dyDescent="0.3">
      <c r="A50" s="78" t="s">
        <v>0</v>
      </c>
      <c r="B50" s="78" t="s">
        <v>0</v>
      </c>
      <c r="C50" s="79" t="s">
        <v>97</v>
      </c>
      <c r="D50" s="80">
        <f t="shared" si="3"/>
        <v>224</v>
      </c>
      <c r="E50" s="80">
        <f t="shared" si="2"/>
        <v>224</v>
      </c>
      <c r="F50" s="80">
        <v>1</v>
      </c>
      <c r="G50" s="81" t="s">
        <v>437</v>
      </c>
      <c r="H50" s="138" t="s">
        <v>500</v>
      </c>
      <c r="I50" s="139" t="s">
        <v>592</v>
      </c>
    </row>
    <row r="51" spans="1:9" x14ac:dyDescent="0.3">
      <c r="A51" s="5"/>
      <c r="B51" s="5"/>
      <c r="C51" s="27"/>
      <c r="D51" s="3">
        <f t="shared" si="3"/>
        <v>225</v>
      </c>
      <c r="E51" s="3">
        <f t="shared" si="2"/>
        <v>233</v>
      </c>
      <c r="F51" s="5">
        <v>9</v>
      </c>
      <c r="G51" s="22" t="s">
        <v>55</v>
      </c>
      <c r="H51" s="40"/>
      <c r="I51" s="77"/>
    </row>
    <row r="52" spans="1:9" x14ac:dyDescent="0.3">
      <c r="A52" s="5"/>
      <c r="B52" s="5"/>
      <c r="C52" s="6"/>
      <c r="D52" s="3"/>
      <c r="E52" s="3"/>
      <c r="F52" s="7"/>
      <c r="G52" s="23" t="s">
        <v>151</v>
      </c>
      <c r="H52" s="14"/>
      <c r="I52" s="17"/>
    </row>
    <row r="53" spans="1:9" ht="26.4" x14ac:dyDescent="0.3">
      <c r="A53" s="5" t="s">
        <v>0</v>
      </c>
      <c r="B53" s="5" t="s">
        <v>0</v>
      </c>
      <c r="C53" s="27" t="s">
        <v>97</v>
      </c>
      <c r="D53" s="3">
        <f>D51+F51</f>
        <v>234</v>
      </c>
      <c r="E53" s="3">
        <f t="shared" ref="E53:E69" si="4">D53+F53-1</f>
        <v>234</v>
      </c>
      <c r="F53" s="3">
        <v>1</v>
      </c>
      <c r="G53" s="22" t="s">
        <v>37</v>
      </c>
      <c r="H53" s="40" t="s">
        <v>54</v>
      </c>
    </row>
    <row r="54" spans="1:9" ht="184.8" x14ac:dyDescent="0.3">
      <c r="A54" s="5" t="s">
        <v>0</v>
      </c>
      <c r="B54" s="5" t="s">
        <v>0</v>
      </c>
      <c r="C54" s="27" t="s">
        <v>97</v>
      </c>
      <c r="D54" s="3">
        <f t="shared" ref="D54:D69" si="5">D53+F53</f>
        <v>235</v>
      </c>
      <c r="E54" s="3">
        <f t="shared" si="4"/>
        <v>242</v>
      </c>
      <c r="F54" s="142">
        <v>8</v>
      </c>
      <c r="G54" s="22" t="s">
        <v>13</v>
      </c>
      <c r="H54" s="140" t="s">
        <v>617</v>
      </c>
      <c r="I54" s="141" t="s">
        <v>618</v>
      </c>
    </row>
    <row r="55" spans="1:9" ht="52.8" x14ac:dyDescent="0.3">
      <c r="A55" s="5" t="s">
        <v>6</v>
      </c>
      <c r="B55" s="5" t="s">
        <v>6</v>
      </c>
      <c r="C55" s="27" t="s">
        <v>97</v>
      </c>
      <c r="D55" s="3">
        <f t="shared" si="5"/>
        <v>243</v>
      </c>
      <c r="E55" s="3">
        <f t="shared" si="4"/>
        <v>250</v>
      </c>
      <c r="F55" s="142">
        <v>8</v>
      </c>
      <c r="G55" s="22" t="s">
        <v>14</v>
      </c>
      <c r="H55" s="41" t="s">
        <v>366</v>
      </c>
      <c r="I55" s="42" t="s">
        <v>367</v>
      </c>
    </row>
    <row r="56" spans="1:9" ht="17.25" customHeight="1" x14ac:dyDescent="0.3">
      <c r="A56" s="5" t="s">
        <v>0</v>
      </c>
      <c r="B56" s="5" t="s">
        <v>6</v>
      </c>
      <c r="C56" s="27" t="s">
        <v>97</v>
      </c>
      <c r="D56" s="3">
        <f t="shared" si="5"/>
        <v>251</v>
      </c>
      <c r="E56" s="3">
        <f t="shared" si="4"/>
        <v>270</v>
      </c>
      <c r="F56" s="3">
        <v>20</v>
      </c>
      <c r="G56" s="22" t="s">
        <v>15</v>
      </c>
      <c r="H56" s="169" t="s">
        <v>228</v>
      </c>
      <c r="I56" s="170" t="s">
        <v>322</v>
      </c>
    </row>
    <row r="57" spans="1:9" ht="19.5" customHeight="1" x14ac:dyDescent="0.3">
      <c r="A57" s="5" t="s">
        <v>0</v>
      </c>
      <c r="B57" s="5" t="s">
        <v>6</v>
      </c>
      <c r="C57" s="27" t="s">
        <v>97</v>
      </c>
      <c r="D57" s="3">
        <f t="shared" si="5"/>
        <v>271</v>
      </c>
      <c r="E57" s="3">
        <f t="shared" si="4"/>
        <v>285</v>
      </c>
      <c r="F57" s="3">
        <v>15</v>
      </c>
      <c r="G57" s="22" t="s">
        <v>16</v>
      </c>
      <c r="H57" s="169"/>
      <c r="I57" s="170"/>
    </row>
    <row r="58" spans="1:9" ht="20.25" customHeight="1" x14ac:dyDescent="0.3">
      <c r="A58" s="5" t="s">
        <v>0</v>
      </c>
      <c r="B58" s="5" t="s">
        <v>6</v>
      </c>
      <c r="C58" s="27" t="s">
        <v>97</v>
      </c>
      <c r="D58" s="3">
        <f t="shared" si="5"/>
        <v>286</v>
      </c>
      <c r="E58" s="3">
        <f t="shared" si="4"/>
        <v>286</v>
      </c>
      <c r="F58" s="3">
        <v>1</v>
      </c>
      <c r="G58" s="22" t="s">
        <v>245</v>
      </c>
      <c r="H58" s="169"/>
      <c r="I58" s="170"/>
    </row>
    <row r="59" spans="1:9" ht="39.6" x14ac:dyDescent="0.3">
      <c r="A59" s="5"/>
      <c r="B59" s="5"/>
      <c r="C59" s="27" t="s">
        <v>209</v>
      </c>
      <c r="D59" s="3">
        <f t="shared" si="5"/>
        <v>287</v>
      </c>
      <c r="E59" s="3">
        <f t="shared" si="4"/>
        <v>289</v>
      </c>
      <c r="F59" s="3">
        <v>3</v>
      </c>
      <c r="G59" s="22" t="s">
        <v>149</v>
      </c>
      <c r="H59" s="44" t="s">
        <v>150</v>
      </c>
      <c r="I59" s="171" t="s">
        <v>506</v>
      </c>
    </row>
    <row r="60" spans="1:9" ht="25.5" customHeight="1" x14ac:dyDescent="0.3">
      <c r="A60" s="5" t="s">
        <v>6</v>
      </c>
      <c r="B60" s="5" t="s">
        <v>6</v>
      </c>
      <c r="C60" s="27" t="s">
        <v>97</v>
      </c>
      <c r="D60" s="3">
        <f t="shared" si="5"/>
        <v>290</v>
      </c>
      <c r="E60" s="3">
        <f t="shared" si="4"/>
        <v>309</v>
      </c>
      <c r="F60" s="3">
        <v>20</v>
      </c>
      <c r="G60" s="22" t="s">
        <v>17</v>
      </c>
      <c r="H60" s="169" t="s">
        <v>228</v>
      </c>
      <c r="I60" s="171"/>
    </row>
    <row r="61" spans="1:9" x14ac:dyDescent="0.3">
      <c r="A61" s="5" t="s">
        <v>6</v>
      </c>
      <c r="B61" s="5" t="s">
        <v>6</v>
      </c>
      <c r="C61" s="27" t="s">
        <v>97</v>
      </c>
      <c r="D61" s="3">
        <f t="shared" si="5"/>
        <v>310</v>
      </c>
      <c r="E61" s="3">
        <f t="shared" si="4"/>
        <v>329</v>
      </c>
      <c r="F61" s="3">
        <v>20</v>
      </c>
      <c r="G61" s="22" t="s">
        <v>18</v>
      </c>
      <c r="H61" s="169"/>
      <c r="I61" s="171"/>
    </row>
    <row r="62" spans="1:9" x14ac:dyDescent="0.3">
      <c r="A62" s="5" t="s">
        <v>6</v>
      </c>
      <c r="B62" s="5" t="s">
        <v>6</v>
      </c>
      <c r="C62" s="27" t="s">
        <v>97</v>
      </c>
      <c r="D62" s="3">
        <f t="shared" si="5"/>
        <v>330</v>
      </c>
      <c r="E62" s="3">
        <f t="shared" si="4"/>
        <v>330</v>
      </c>
      <c r="F62" s="3">
        <v>1</v>
      </c>
      <c r="G62" s="22" t="s">
        <v>246</v>
      </c>
      <c r="H62" s="169"/>
      <c r="I62" s="171"/>
    </row>
    <row r="63" spans="1:9" ht="92.4" x14ac:dyDescent="0.3">
      <c r="A63" s="5" t="s">
        <v>0</v>
      </c>
      <c r="B63" s="5" t="s">
        <v>0</v>
      </c>
      <c r="C63" s="27" t="s">
        <v>97</v>
      </c>
      <c r="D63" s="3">
        <f t="shared" si="5"/>
        <v>331</v>
      </c>
      <c r="E63" s="3">
        <f t="shared" si="4"/>
        <v>336</v>
      </c>
      <c r="F63" s="3">
        <v>6</v>
      </c>
      <c r="G63" s="22" t="s">
        <v>148</v>
      </c>
      <c r="H63" s="83" t="s">
        <v>507</v>
      </c>
      <c r="I63" s="42" t="s">
        <v>323</v>
      </c>
    </row>
    <row r="64" spans="1:9" ht="93.75" customHeight="1" x14ac:dyDescent="0.3">
      <c r="A64" s="5" t="s">
        <v>0</v>
      </c>
      <c r="B64" s="5" t="s">
        <v>0</v>
      </c>
      <c r="C64" s="27" t="s">
        <v>97</v>
      </c>
      <c r="D64" s="3">
        <f t="shared" si="5"/>
        <v>337</v>
      </c>
      <c r="E64" s="3">
        <f t="shared" si="4"/>
        <v>366</v>
      </c>
      <c r="F64" s="3">
        <v>30</v>
      </c>
      <c r="G64" s="22" t="s">
        <v>19</v>
      </c>
      <c r="H64" s="207" t="s">
        <v>707</v>
      </c>
      <c r="I64" s="208" t="s">
        <v>723</v>
      </c>
    </row>
    <row r="65" spans="1:9" ht="52.8" x14ac:dyDescent="0.3">
      <c r="A65" s="5" t="s">
        <v>0</v>
      </c>
      <c r="B65" s="5" t="s">
        <v>0</v>
      </c>
      <c r="C65" s="27" t="s">
        <v>97</v>
      </c>
      <c r="D65" s="3">
        <f t="shared" si="5"/>
        <v>367</v>
      </c>
      <c r="E65" s="3">
        <f t="shared" si="4"/>
        <v>386</v>
      </c>
      <c r="F65" s="3">
        <v>20</v>
      </c>
      <c r="G65" s="22" t="s">
        <v>112</v>
      </c>
      <c r="H65" s="40" t="s">
        <v>301</v>
      </c>
      <c r="I65" s="42" t="s">
        <v>322</v>
      </c>
    </row>
    <row r="66" spans="1:9" ht="39.6" x14ac:dyDescent="0.3">
      <c r="A66" s="5" t="s">
        <v>0</v>
      </c>
      <c r="B66" s="5" t="s">
        <v>0</v>
      </c>
      <c r="C66" s="27" t="s">
        <v>98</v>
      </c>
      <c r="D66" s="3">
        <f t="shared" si="5"/>
        <v>387</v>
      </c>
      <c r="E66" s="3">
        <f t="shared" si="4"/>
        <v>392</v>
      </c>
      <c r="F66" s="3">
        <v>6</v>
      </c>
      <c r="G66" s="22" t="s">
        <v>114</v>
      </c>
      <c r="H66" s="40" t="s">
        <v>115</v>
      </c>
      <c r="I66" s="42" t="s">
        <v>273</v>
      </c>
    </row>
    <row r="67" spans="1:9" ht="26.4" x14ac:dyDescent="0.3">
      <c r="A67" s="5" t="s">
        <v>0</v>
      </c>
      <c r="B67" s="5" t="s">
        <v>0</v>
      </c>
      <c r="C67" s="27" t="s">
        <v>209</v>
      </c>
      <c r="D67" s="3">
        <f t="shared" si="5"/>
        <v>393</v>
      </c>
      <c r="E67" s="3">
        <f t="shared" si="4"/>
        <v>393</v>
      </c>
      <c r="F67" s="3">
        <v>1</v>
      </c>
      <c r="G67" s="22" t="s">
        <v>269</v>
      </c>
      <c r="H67" s="40" t="s">
        <v>271</v>
      </c>
      <c r="I67" s="42" t="s">
        <v>270</v>
      </c>
    </row>
    <row r="68" spans="1:9" ht="26.4" x14ac:dyDescent="0.3">
      <c r="A68" s="5" t="s">
        <v>0</v>
      </c>
      <c r="B68" s="5" t="s">
        <v>0</v>
      </c>
      <c r="C68" s="27" t="s">
        <v>209</v>
      </c>
      <c r="D68" s="3">
        <f t="shared" si="5"/>
        <v>394</v>
      </c>
      <c r="E68" s="3">
        <f t="shared" si="4"/>
        <v>394</v>
      </c>
      <c r="F68" s="3">
        <v>1</v>
      </c>
      <c r="G68" s="22" t="s">
        <v>278</v>
      </c>
      <c r="H68" s="40" t="s">
        <v>277</v>
      </c>
      <c r="I68" s="42" t="s">
        <v>332</v>
      </c>
    </row>
    <row r="69" spans="1:9" x14ac:dyDescent="0.3">
      <c r="A69" s="5"/>
      <c r="B69" s="5"/>
      <c r="C69" s="27"/>
      <c r="D69" s="3">
        <f t="shared" si="5"/>
        <v>395</v>
      </c>
      <c r="E69" s="3">
        <f t="shared" si="4"/>
        <v>409</v>
      </c>
      <c r="F69" s="142">
        <v>15</v>
      </c>
      <c r="G69" s="22" t="s">
        <v>55</v>
      </c>
      <c r="H69" s="40"/>
    </row>
    <row r="70" spans="1:9" x14ac:dyDescent="0.3">
      <c r="A70" s="5"/>
      <c r="B70" s="5"/>
      <c r="C70" s="6"/>
      <c r="D70" s="3"/>
      <c r="E70" s="3"/>
      <c r="F70" s="7"/>
      <c r="G70" s="23" t="s">
        <v>20</v>
      </c>
      <c r="H70" s="14"/>
      <c r="I70" s="17"/>
    </row>
    <row r="71" spans="1:9" ht="39.6" x14ac:dyDescent="0.3">
      <c r="A71" s="5" t="s">
        <v>6</v>
      </c>
      <c r="B71" s="5" t="s">
        <v>6</v>
      </c>
      <c r="C71" s="27" t="s">
        <v>98</v>
      </c>
      <c r="D71" s="3">
        <f>D69+F69</f>
        <v>410</v>
      </c>
      <c r="E71" s="3">
        <f>D71+F71-1</f>
        <v>410</v>
      </c>
      <c r="F71" s="3">
        <v>1</v>
      </c>
      <c r="G71" s="22" t="s">
        <v>21</v>
      </c>
      <c r="H71" s="40" t="s">
        <v>102</v>
      </c>
      <c r="I71" s="168"/>
    </row>
    <row r="72" spans="1:9" ht="39.6" x14ac:dyDescent="0.3">
      <c r="A72" s="5" t="s">
        <v>6</v>
      </c>
      <c r="B72" s="5" t="s">
        <v>6</v>
      </c>
      <c r="C72" s="27" t="s">
        <v>98</v>
      </c>
      <c r="D72" s="3">
        <f>D71+F71</f>
        <v>411</v>
      </c>
      <c r="E72" s="3">
        <f>D72+F72-1</f>
        <v>411</v>
      </c>
      <c r="F72" s="3">
        <v>1</v>
      </c>
      <c r="G72" s="22" t="s">
        <v>22</v>
      </c>
      <c r="H72" s="40" t="s">
        <v>102</v>
      </c>
      <c r="I72" s="167"/>
    </row>
    <row r="73" spans="1:9" ht="39.6" x14ac:dyDescent="0.3">
      <c r="A73" s="5" t="s">
        <v>6</v>
      </c>
      <c r="B73" s="5" t="s">
        <v>6</v>
      </c>
      <c r="C73" s="27" t="s">
        <v>98</v>
      </c>
      <c r="D73" s="3">
        <f>D72+F72</f>
        <v>412</v>
      </c>
      <c r="E73" s="3">
        <f>D73+F73-1</f>
        <v>412</v>
      </c>
      <c r="F73" s="3">
        <v>1</v>
      </c>
      <c r="G73" s="22" t="s">
        <v>23</v>
      </c>
      <c r="H73" s="40" t="s">
        <v>102</v>
      </c>
      <c r="I73" s="167"/>
    </row>
    <row r="74" spans="1:9" ht="39.6" x14ac:dyDescent="0.3">
      <c r="A74" s="78" t="s">
        <v>6</v>
      </c>
      <c r="B74" s="78" t="s">
        <v>6</v>
      </c>
      <c r="C74" s="84" t="s">
        <v>98</v>
      </c>
      <c r="D74" s="78">
        <f>D73+F73</f>
        <v>413</v>
      </c>
      <c r="E74" s="78">
        <f>D74+F74-1</f>
        <v>413</v>
      </c>
      <c r="F74" s="78">
        <v>1</v>
      </c>
      <c r="G74" s="81" t="s">
        <v>490</v>
      </c>
      <c r="H74" s="83" t="s">
        <v>102</v>
      </c>
      <c r="I74" s="70"/>
    </row>
    <row r="75" spans="1:9" x14ac:dyDescent="0.3">
      <c r="A75" s="5"/>
      <c r="B75" s="5"/>
      <c r="C75" s="51"/>
      <c r="D75" s="78">
        <f>D74+F74</f>
        <v>414</v>
      </c>
      <c r="E75" s="78">
        <f>D75+F75-1</f>
        <v>417</v>
      </c>
      <c r="F75" s="78">
        <v>4</v>
      </c>
      <c r="G75" s="13" t="s">
        <v>55</v>
      </c>
      <c r="H75" s="74"/>
    </row>
    <row r="76" spans="1:9" x14ac:dyDescent="0.3">
      <c r="A76" s="5"/>
      <c r="B76" s="5"/>
      <c r="C76" s="27"/>
      <c r="D76" s="3"/>
      <c r="E76" s="3"/>
      <c r="F76" s="3"/>
      <c r="G76" s="23" t="s">
        <v>141</v>
      </c>
      <c r="H76" s="40"/>
    </row>
    <row r="77" spans="1:9" x14ac:dyDescent="0.3">
      <c r="A77" s="5"/>
      <c r="B77" s="5"/>
      <c r="C77" s="27"/>
      <c r="D77" s="3"/>
      <c r="E77" s="3"/>
      <c r="F77" s="3"/>
      <c r="G77" s="23" t="s">
        <v>113</v>
      </c>
      <c r="H77" s="40"/>
    </row>
    <row r="78" spans="1:9" ht="12.75" customHeight="1" x14ac:dyDescent="0.3">
      <c r="A78" s="5" t="s">
        <v>6</v>
      </c>
      <c r="B78" s="5" t="s">
        <v>6</v>
      </c>
      <c r="C78" s="27" t="s">
        <v>97</v>
      </c>
      <c r="D78" s="3">
        <f>D75+F75</f>
        <v>418</v>
      </c>
      <c r="E78" s="3">
        <f t="shared" ref="E78:E91" si="6">D78+F78-1</f>
        <v>418</v>
      </c>
      <c r="F78" s="3">
        <v>1</v>
      </c>
      <c r="G78" s="22" t="s">
        <v>126</v>
      </c>
      <c r="H78" s="167" t="s">
        <v>229</v>
      </c>
      <c r="I78" s="167" t="s">
        <v>138</v>
      </c>
    </row>
    <row r="79" spans="1:9" x14ac:dyDescent="0.3">
      <c r="A79" s="5" t="s">
        <v>6</v>
      </c>
      <c r="B79" s="5" t="s">
        <v>6</v>
      </c>
      <c r="C79" s="27" t="s">
        <v>97</v>
      </c>
      <c r="D79" s="3">
        <f t="shared" ref="D79:D91" si="7">D78+F78</f>
        <v>419</v>
      </c>
      <c r="E79" s="3">
        <f t="shared" si="6"/>
        <v>419</v>
      </c>
      <c r="F79" s="3">
        <v>1</v>
      </c>
      <c r="G79" s="22" t="s">
        <v>127</v>
      </c>
      <c r="H79" s="167"/>
      <c r="I79" s="167"/>
    </row>
    <row r="80" spans="1:9" x14ac:dyDescent="0.3">
      <c r="A80" s="5" t="s">
        <v>6</v>
      </c>
      <c r="B80" s="5" t="s">
        <v>6</v>
      </c>
      <c r="C80" s="27" t="s">
        <v>97</v>
      </c>
      <c r="D80" s="3">
        <f t="shared" si="7"/>
        <v>420</v>
      </c>
      <c r="E80" s="3">
        <f t="shared" si="6"/>
        <v>420</v>
      </c>
      <c r="F80" s="3">
        <v>1</v>
      </c>
      <c r="G80" s="13" t="s">
        <v>368</v>
      </c>
      <c r="H80" s="167"/>
      <c r="I80" s="167"/>
    </row>
    <row r="81" spans="1:9" x14ac:dyDescent="0.3">
      <c r="A81" s="5" t="s">
        <v>6</v>
      </c>
      <c r="B81" s="5" t="s">
        <v>6</v>
      </c>
      <c r="C81" s="27" t="s">
        <v>97</v>
      </c>
      <c r="D81" s="3">
        <f t="shared" si="7"/>
        <v>421</v>
      </c>
      <c r="E81" s="3">
        <f t="shared" si="6"/>
        <v>421</v>
      </c>
      <c r="F81" s="3">
        <v>1</v>
      </c>
      <c r="G81" s="22" t="s">
        <v>128</v>
      </c>
      <c r="H81" s="167"/>
      <c r="I81" s="167"/>
    </row>
    <row r="82" spans="1:9" x14ac:dyDescent="0.3">
      <c r="A82" s="5" t="s">
        <v>6</v>
      </c>
      <c r="B82" s="5" t="s">
        <v>6</v>
      </c>
      <c r="C82" s="27" t="s">
        <v>97</v>
      </c>
      <c r="D82" s="3">
        <f t="shared" si="7"/>
        <v>422</v>
      </c>
      <c r="E82" s="3">
        <f t="shared" si="6"/>
        <v>422</v>
      </c>
      <c r="F82" s="3">
        <v>1</v>
      </c>
      <c r="G82" s="22" t="s">
        <v>129</v>
      </c>
      <c r="H82" s="167"/>
      <c r="I82" s="167"/>
    </row>
    <row r="83" spans="1:9" x14ac:dyDescent="0.3">
      <c r="A83" s="5" t="s">
        <v>6</v>
      </c>
      <c r="B83" s="5" t="s">
        <v>6</v>
      </c>
      <c r="C83" s="27" t="s">
        <v>97</v>
      </c>
      <c r="D83" s="3">
        <f t="shared" si="7"/>
        <v>423</v>
      </c>
      <c r="E83" s="3">
        <f t="shared" si="6"/>
        <v>423</v>
      </c>
      <c r="F83" s="3">
        <v>1</v>
      </c>
      <c r="G83" s="22" t="s">
        <v>130</v>
      </c>
      <c r="H83" s="167"/>
      <c r="I83" s="167"/>
    </row>
    <row r="84" spans="1:9" x14ac:dyDescent="0.3">
      <c r="A84" s="5" t="s">
        <v>6</v>
      </c>
      <c r="B84" s="5" t="s">
        <v>6</v>
      </c>
      <c r="C84" s="27" t="s">
        <v>97</v>
      </c>
      <c r="D84" s="3">
        <f t="shared" si="7"/>
        <v>424</v>
      </c>
      <c r="E84" s="3">
        <f t="shared" si="6"/>
        <v>424</v>
      </c>
      <c r="F84" s="3">
        <v>1</v>
      </c>
      <c r="G84" s="22" t="s">
        <v>247</v>
      </c>
      <c r="H84" s="167"/>
      <c r="I84" s="167"/>
    </row>
    <row r="85" spans="1:9" x14ac:dyDescent="0.3">
      <c r="A85" s="5" t="s">
        <v>6</v>
      </c>
      <c r="B85" s="5" t="s">
        <v>6</v>
      </c>
      <c r="C85" s="27" t="s">
        <v>97</v>
      </c>
      <c r="D85" s="3">
        <f t="shared" si="7"/>
        <v>425</v>
      </c>
      <c r="E85" s="3">
        <f t="shared" si="6"/>
        <v>425</v>
      </c>
      <c r="F85" s="3">
        <v>1</v>
      </c>
      <c r="G85" s="22" t="s">
        <v>274</v>
      </c>
      <c r="H85" s="167"/>
      <c r="I85" s="167"/>
    </row>
    <row r="86" spans="1:9" x14ac:dyDescent="0.3">
      <c r="A86" s="5" t="s">
        <v>6</v>
      </c>
      <c r="B86" s="5" t="s">
        <v>6</v>
      </c>
      <c r="C86" s="27" t="s">
        <v>97</v>
      </c>
      <c r="D86" s="3">
        <f t="shared" si="7"/>
        <v>426</v>
      </c>
      <c r="E86" s="3">
        <f t="shared" si="6"/>
        <v>426</v>
      </c>
      <c r="F86" s="3">
        <v>1</v>
      </c>
      <c r="G86" s="22" t="s">
        <v>131</v>
      </c>
      <c r="H86" s="167"/>
      <c r="I86" s="167"/>
    </row>
    <row r="87" spans="1:9" x14ac:dyDescent="0.3">
      <c r="A87" s="5" t="s">
        <v>6</v>
      </c>
      <c r="B87" s="5" t="s">
        <v>6</v>
      </c>
      <c r="C87" s="27" t="s">
        <v>97</v>
      </c>
      <c r="D87" s="3">
        <f t="shared" si="7"/>
        <v>427</v>
      </c>
      <c r="E87" s="3">
        <f t="shared" si="6"/>
        <v>427</v>
      </c>
      <c r="F87" s="3">
        <v>1</v>
      </c>
      <c r="G87" s="22" t="s">
        <v>132</v>
      </c>
      <c r="H87" s="167"/>
      <c r="I87" s="167"/>
    </row>
    <row r="88" spans="1:9" x14ac:dyDescent="0.3">
      <c r="A88" s="5" t="s">
        <v>6</v>
      </c>
      <c r="B88" s="5" t="s">
        <v>6</v>
      </c>
      <c r="C88" s="27" t="s">
        <v>97</v>
      </c>
      <c r="D88" s="3">
        <f t="shared" si="7"/>
        <v>428</v>
      </c>
      <c r="E88" s="3">
        <f t="shared" si="6"/>
        <v>428</v>
      </c>
      <c r="F88" s="3">
        <v>1</v>
      </c>
      <c r="G88" s="22" t="s">
        <v>133</v>
      </c>
      <c r="H88" s="167"/>
      <c r="I88" s="167"/>
    </row>
    <row r="89" spans="1:9" x14ac:dyDescent="0.3">
      <c r="A89" s="5" t="s">
        <v>6</v>
      </c>
      <c r="B89" s="5" t="s">
        <v>6</v>
      </c>
      <c r="C89" s="27" t="s">
        <v>97</v>
      </c>
      <c r="D89" s="3">
        <f t="shared" si="7"/>
        <v>429</v>
      </c>
      <c r="E89" s="3">
        <f t="shared" si="6"/>
        <v>429</v>
      </c>
      <c r="F89" s="3">
        <v>1</v>
      </c>
      <c r="G89" s="22" t="s">
        <v>134</v>
      </c>
      <c r="H89" s="167"/>
      <c r="I89" s="167"/>
    </row>
    <row r="90" spans="1:9" x14ac:dyDescent="0.3">
      <c r="A90" s="5" t="s">
        <v>6</v>
      </c>
      <c r="B90" s="5" t="s">
        <v>6</v>
      </c>
      <c r="C90" s="27" t="s">
        <v>97</v>
      </c>
      <c r="D90" s="3">
        <f t="shared" si="7"/>
        <v>430</v>
      </c>
      <c r="E90" s="3">
        <f t="shared" si="6"/>
        <v>430</v>
      </c>
      <c r="F90" s="3">
        <v>1</v>
      </c>
      <c r="G90" s="22" t="s">
        <v>135</v>
      </c>
      <c r="H90" s="167"/>
      <c r="I90" s="167"/>
    </row>
    <row r="91" spans="1:9" x14ac:dyDescent="0.3">
      <c r="A91" s="5" t="s">
        <v>6</v>
      </c>
      <c r="B91" s="5" t="s">
        <v>6</v>
      </c>
      <c r="C91" s="27" t="s">
        <v>97</v>
      </c>
      <c r="D91" s="3">
        <f t="shared" si="7"/>
        <v>431</v>
      </c>
      <c r="E91" s="3">
        <f t="shared" si="6"/>
        <v>431</v>
      </c>
      <c r="F91" s="3">
        <v>1</v>
      </c>
      <c r="G91" s="22" t="s">
        <v>136</v>
      </c>
      <c r="H91" s="167"/>
      <c r="I91" s="167"/>
    </row>
    <row r="92" spans="1:9" x14ac:dyDescent="0.3">
      <c r="A92" s="5"/>
      <c r="B92" s="5"/>
      <c r="C92" s="27"/>
      <c r="D92" s="3"/>
      <c r="E92" s="3"/>
      <c r="F92" s="3"/>
      <c r="G92" s="23" t="s">
        <v>324</v>
      </c>
      <c r="H92" s="40"/>
    </row>
    <row r="93" spans="1:9" ht="12.75" customHeight="1" x14ac:dyDescent="0.3">
      <c r="A93" s="5" t="s">
        <v>0</v>
      </c>
      <c r="B93" s="5" t="s">
        <v>0</v>
      </c>
      <c r="C93" s="27" t="s">
        <v>97</v>
      </c>
      <c r="D93" s="3">
        <f>D91+F91</f>
        <v>432</v>
      </c>
      <c r="E93" s="3">
        <f t="shared" ref="E93:E109" si="8">D93+F93-1</f>
        <v>432</v>
      </c>
      <c r="F93" s="3">
        <v>1</v>
      </c>
      <c r="G93" s="22" t="s">
        <v>126</v>
      </c>
      <c r="H93" s="166" t="s">
        <v>118</v>
      </c>
      <c r="I93" s="167" t="s">
        <v>373</v>
      </c>
    </row>
    <row r="94" spans="1:9" x14ac:dyDescent="0.3">
      <c r="A94" s="5" t="s">
        <v>0</v>
      </c>
      <c r="B94" s="5" t="s">
        <v>0</v>
      </c>
      <c r="C94" s="27" t="s">
        <v>97</v>
      </c>
      <c r="D94" s="3">
        <f t="shared" ref="D94:D109" si="9">D93+F93</f>
        <v>433</v>
      </c>
      <c r="E94" s="3">
        <f t="shared" si="8"/>
        <v>433</v>
      </c>
      <c r="F94" s="3">
        <v>1</v>
      </c>
      <c r="G94" s="22" t="s">
        <v>127</v>
      </c>
      <c r="H94" s="166"/>
      <c r="I94" s="167"/>
    </row>
    <row r="95" spans="1:9" x14ac:dyDescent="0.3">
      <c r="A95" s="5" t="s">
        <v>0</v>
      </c>
      <c r="B95" s="5" t="s">
        <v>0</v>
      </c>
      <c r="C95" s="27" t="s">
        <v>97</v>
      </c>
      <c r="D95" s="3">
        <f t="shared" si="9"/>
        <v>434</v>
      </c>
      <c r="E95" s="3">
        <f t="shared" si="8"/>
        <v>434</v>
      </c>
      <c r="F95" s="3">
        <v>1</v>
      </c>
      <c r="G95" s="13" t="s">
        <v>55</v>
      </c>
      <c r="H95" s="166"/>
      <c r="I95" s="167"/>
    </row>
    <row r="96" spans="1:9" x14ac:dyDescent="0.3">
      <c r="A96" s="5" t="s">
        <v>0</v>
      </c>
      <c r="B96" s="5" t="s">
        <v>0</v>
      </c>
      <c r="C96" s="27" t="s">
        <v>97</v>
      </c>
      <c r="D96" s="3">
        <f t="shared" si="9"/>
        <v>435</v>
      </c>
      <c r="E96" s="3">
        <f t="shared" si="8"/>
        <v>435</v>
      </c>
      <c r="F96" s="3">
        <v>1</v>
      </c>
      <c r="G96" s="22" t="s">
        <v>128</v>
      </c>
      <c r="H96" s="166"/>
      <c r="I96" s="167"/>
    </row>
    <row r="97" spans="1:9" x14ac:dyDescent="0.3">
      <c r="A97" s="5" t="s">
        <v>0</v>
      </c>
      <c r="B97" s="5" t="s">
        <v>0</v>
      </c>
      <c r="C97" s="27" t="s">
        <v>97</v>
      </c>
      <c r="D97" s="3">
        <f t="shared" si="9"/>
        <v>436</v>
      </c>
      <c r="E97" s="3">
        <f t="shared" si="8"/>
        <v>436</v>
      </c>
      <c r="F97" s="3">
        <v>1</v>
      </c>
      <c r="G97" s="22" t="s">
        <v>129</v>
      </c>
      <c r="H97" s="166"/>
      <c r="I97" s="167"/>
    </row>
    <row r="98" spans="1:9" x14ac:dyDescent="0.3">
      <c r="A98" s="5" t="s">
        <v>0</v>
      </c>
      <c r="B98" s="5" t="s">
        <v>0</v>
      </c>
      <c r="C98" s="27" t="s">
        <v>97</v>
      </c>
      <c r="D98" s="3">
        <f t="shared" si="9"/>
        <v>437</v>
      </c>
      <c r="E98" s="3">
        <f t="shared" si="8"/>
        <v>437</v>
      </c>
      <c r="F98" s="3">
        <v>1</v>
      </c>
      <c r="G98" s="22" t="s">
        <v>130</v>
      </c>
      <c r="H98" s="166"/>
      <c r="I98" s="167"/>
    </row>
    <row r="99" spans="1:9" x14ac:dyDescent="0.3">
      <c r="A99" s="5" t="s">
        <v>0</v>
      </c>
      <c r="B99" s="5" t="s">
        <v>0</v>
      </c>
      <c r="C99" s="27" t="s">
        <v>97</v>
      </c>
      <c r="D99" s="3">
        <f t="shared" si="9"/>
        <v>438</v>
      </c>
      <c r="E99" s="3">
        <f t="shared" si="8"/>
        <v>438</v>
      </c>
      <c r="F99" s="3">
        <v>1</v>
      </c>
      <c r="G99" s="22" t="s">
        <v>247</v>
      </c>
      <c r="H99" s="166"/>
      <c r="I99" s="167"/>
    </row>
    <row r="100" spans="1:9" x14ac:dyDescent="0.3">
      <c r="A100" s="5" t="s">
        <v>0</v>
      </c>
      <c r="B100" s="5" t="s">
        <v>0</v>
      </c>
      <c r="C100" s="27" t="s">
        <v>97</v>
      </c>
      <c r="D100" s="3">
        <f t="shared" si="9"/>
        <v>439</v>
      </c>
      <c r="E100" s="3">
        <f t="shared" si="8"/>
        <v>439</v>
      </c>
      <c r="F100" s="3">
        <v>1</v>
      </c>
      <c r="G100" s="22" t="s">
        <v>274</v>
      </c>
      <c r="H100" s="166"/>
      <c r="I100" s="167"/>
    </row>
    <row r="101" spans="1:9" x14ac:dyDescent="0.3">
      <c r="A101" s="5" t="s">
        <v>0</v>
      </c>
      <c r="B101" s="5" t="s">
        <v>0</v>
      </c>
      <c r="C101" s="27" t="s">
        <v>97</v>
      </c>
      <c r="D101" s="3">
        <f t="shared" si="9"/>
        <v>440</v>
      </c>
      <c r="E101" s="3">
        <f t="shared" si="8"/>
        <v>440</v>
      </c>
      <c r="F101" s="3">
        <v>1</v>
      </c>
      <c r="G101" s="22" t="s">
        <v>131</v>
      </c>
      <c r="H101" s="166"/>
      <c r="I101" s="167"/>
    </row>
    <row r="102" spans="1:9" x14ac:dyDescent="0.3">
      <c r="A102" s="5" t="s">
        <v>0</v>
      </c>
      <c r="B102" s="5" t="s">
        <v>0</v>
      </c>
      <c r="C102" s="27" t="s">
        <v>97</v>
      </c>
      <c r="D102" s="3">
        <f t="shared" si="9"/>
        <v>441</v>
      </c>
      <c r="E102" s="3">
        <f t="shared" si="8"/>
        <v>441</v>
      </c>
      <c r="F102" s="3">
        <v>1</v>
      </c>
      <c r="G102" s="22" t="s">
        <v>132</v>
      </c>
      <c r="H102" s="166"/>
      <c r="I102" s="167"/>
    </row>
    <row r="103" spans="1:9" x14ac:dyDescent="0.3">
      <c r="A103" s="5" t="s">
        <v>0</v>
      </c>
      <c r="B103" s="5" t="s">
        <v>0</v>
      </c>
      <c r="C103" s="27" t="s">
        <v>97</v>
      </c>
      <c r="D103" s="3">
        <f t="shared" si="9"/>
        <v>442</v>
      </c>
      <c r="E103" s="3">
        <f t="shared" si="8"/>
        <v>442</v>
      </c>
      <c r="F103" s="3">
        <v>1</v>
      </c>
      <c r="G103" s="22" t="s">
        <v>133</v>
      </c>
      <c r="H103" s="166"/>
      <c r="I103" s="167"/>
    </row>
    <row r="104" spans="1:9" x14ac:dyDescent="0.3">
      <c r="A104" s="5" t="s">
        <v>0</v>
      </c>
      <c r="B104" s="5" t="s">
        <v>0</v>
      </c>
      <c r="C104" s="27" t="s">
        <v>97</v>
      </c>
      <c r="D104" s="3">
        <f t="shared" si="9"/>
        <v>443</v>
      </c>
      <c r="E104" s="3">
        <f t="shared" si="8"/>
        <v>443</v>
      </c>
      <c r="F104" s="3">
        <v>1</v>
      </c>
      <c r="G104" s="22" t="s">
        <v>134</v>
      </c>
      <c r="H104" s="166"/>
      <c r="I104" s="167"/>
    </row>
    <row r="105" spans="1:9" x14ac:dyDescent="0.3">
      <c r="A105" s="143" t="s">
        <v>0</v>
      </c>
      <c r="B105" s="143" t="s">
        <v>0</v>
      </c>
      <c r="C105" s="144" t="s">
        <v>97</v>
      </c>
      <c r="D105" s="145">
        <f t="shared" si="9"/>
        <v>444</v>
      </c>
      <c r="E105" s="145">
        <f t="shared" si="8"/>
        <v>444</v>
      </c>
      <c r="F105" s="145">
        <v>1</v>
      </c>
      <c r="G105" s="146" t="s">
        <v>623</v>
      </c>
      <c r="H105" s="165" t="s">
        <v>705</v>
      </c>
      <c r="I105" s="167"/>
    </row>
    <row r="106" spans="1:9" x14ac:dyDescent="0.3">
      <c r="A106" s="143" t="s">
        <v>0</v>
      </c>
      <c r="B106" s="143" t="s">
        <v>0</v>
      </c>
      <c r="C106" s="144" t="s">
        <v>97</v>
      </c>
      <c r="D106" s="145">
        <f t="shared" si="9"/>
        <v>445</v>
      </c>
      <c r="E106" s="145">
        <f t="shared" si="8"/>
        <v>445</v>
      </c>
      <c r="F106" s="145">
        <v>1</v>
      </c>
      <c r="G106" s="146" t="s">
        <v>624</v>
      </c>
      <c r="H106" s="165"/>
      <c r="I106" s="167"/>
    </row>
    <row r="107" spans="1:9" x14ac:dyDescent="0.3">
      <c r="A107" s="5" t="s">
        <v>0</v>
      </c>
      <c r="B107" s="5" t="s">
        <v>0</v>
      </c>
      <c r="C107" s="27" t="s">
        <v>97</v>
      </c>
      <c r="D107" s="3">
        <f t="shared" si="9"/>
        <v>446</v>
      </c>
      <c r="E107" s="3">
        <f t="shared" si="8"/>
        <v>446</v>
      </c>
      <c r="F107" s="3">
        <v>1</v>
      </c>
      <c r="G107" s="22" t="s">
        <v>135</v>
      </c>
      <c r="H107" s="164"/>
      <c r="I107" s="167"/>
    </row>
    <row r="108" spans="1:9" x14ac:dyDescent="0.3">
      <c r="A108" s="5" t="s">
        <v>0</v>
      </c>
      <c r="B108" s="5" t="s">
        <v>0</v>
      </c>
      <c r="C108" s="27" t="s">
        <v>97</v>
      </c>
      <c r="D108" s="3">
        <f t="shared" si="9"/>
        <v>447</v>
      </c>
      <c r="E108" s="3">
        <f t="shared" si="8"/>
        <v>447</v>
      </c>
      <c r="F108" s="3">
        <v>1</v>
      </c>
      <c r="G108" s="22" t="s">
        <v>136</v>
      </c>
      <c r="H108" s="164"/>
      <c r="I108" s="167"/>
    </row>
    <row r="109" spans="1:9" x14ac:dyDescent="0.3">
      <c r="A109" s="5"/>
      <c r="B109" s="5"/>
      <c r="C109" s="27"/>
      <c r="D109" s="3">
        <f t="shared" si="9"/>
        <v>448</v>
      </c>
      <c r="E109" s="3">
        <f t="shared" si="8"/>
        <v>465</v>
      </c>
      <c r="F109" s="142">
        <v>18</v>
      </c>
      <c r="G109" s="22" t="s">
        <v>55</v>
      </c>
      <c r="H109" s="40"/>
    </row>
    <row r="110" spans="1:9" x14ac:dyDescent="0.3">
      <c r="A110" s="5"/>
      <c r="B110" s="5"/>
      <c r="C110" s="3"/>
      <c r="D110" s="3"/>
      <c r="E110" s="3"/>
      <c r="F110" s="3"/>
      <c r="G110" s="23" t="s">
        <v>139</v>
      </c>
      <c r="H110" s="40"/>
    </row>
    <row r="111" spans="1:9" ht="66" x14ac:dyDescent="0.3">
      <c r="A111" s="5" t="s">
        <v>0</v>
      </c>
      <c r="B111" s="5" t="s">
        <v>0</v>
      </c>
      <c r="C111" s="27" t="s">
        <v>98</v>
      </c>
      <c r="D111" s="3">
        <f>D109+F109</f>
        <v>466</v>
      </c>
      <c r="E111" s="3">
        <f t="shared" ref="E111:E118" si="10">D111+F111-1</f>
        <v>468</v>
      </c>
      <c r="F111" s="3">
        <v>3</v>
      </c>
      <c r="G111" s="22" t="s">
        <v>24</v>
      </c>
      <c r="H111" s="42" t="s">
        <v>80</v>
      </c>
      <c r="I111" s="75" t="s">
        <v>508</v>
      </c>
    </row>
    <row r="112" spans="1:9" ht="79.2" x14ac:dyDescent="0.3">
      <c r="A112" s="5" t="s">
        <v>0</v>
      </c>
      <c r="B112" s="5" t="s">
        <v>0</v>
      </c>
      <c r="C112" s="27" t="s">
        <v>98</v>
      </c>
      <c r="D112" s="3">
        <f t="shared" ref="D112:D118" si="11">D111+F111</f>
        <v>469</v>
      </c>
      <c r="E112" s="3">
        <f t="shared" si="10"/>
        <v>471</v>
      </c>
      <c r="F112" s="3">
        <v>3</v>
      </c>
      <c r="G112" s="22" t="s">
        <v>25</v>
      </c>
      <c r="H112" s="42" t="s">
        <v>80</v>
      </c>
      <c r="I112" s="75" t="s">
        <v>509</v>
      </c>
    </row>
    <row r="113" spans="1:9" ht="95.25" customHeight="1" x14ac:dyDescent="0.3">
      <c r="A113" s="5" t="s">
        <v>0</v>
      </c>
      <c r="B113" s="5" t="s">
        <v>0</v>
      </c>
      <c r="C113" s="27" t="s">
        <v>98</v>
      </c>
      <c r="D113" s="3">
        <f t="shared" si="11"/>
        <v>472</v>
      </c>
      <c r="E113" s="3">
        <f t="shared" si="10"/>
        <v>474</v>
      </c>
      <c r="F113" s="3">
        <v>3</v>
      </c>
      <c r="G113" s="22" t="s">
        <v>142</v>
      </c>
      <c r="H113" s="42" t="s">
        <v>80</v>
      </c>
      <c r="I113" s="12" t="s">
        <v>510</v>
      </c>
    </row>
    <row r="114" spans="1:9" ht="79.2" x14ac:dyDescent="0.3">
      <c r="A114" s="5" t="s">
        <v>0</v>
      </c>
      <c r="B114" s="5" t="s">
        <v>0</v>
      </c>
      <c r="C114" s="27" t="s">
        <v>98</v>
      </c>
      <c r="D114" s="3">
        <f t="shared" si="11"/>
        <v>475</v>
      </c>
      <c r="E114" s="3">
        <f t="shared" si="10"/>
        <v>477</v>
      </c>
      <c r="F114" s="3">
        <v>3</v>
      </c>
      <c r="G114" s="22" t="s">
        <v>165</v>
      </c>
      <c r="H114" s="42" t="s">
        <v>85</v>
      </c>
      <c r="I114" s="75" t="s">
        <v>505</v>
      </c>
    </row>
    <row r="115" spans="1:9" ht="66" x14ac:dyDescent="0.3">
      <c r="A115" s="5" t="s">
        <v>0</v>
      </c>
      <c r="B115" s="5" t="s">
        <v>0</v>
      </c>
      <c r="C115" s="27" t="s">
        <v>98</v>
      </c>
      <c r="D115" s="3">
        <f t="shared" si="11"/>
        <v>478</v>
      </c>
      <c r="E115" s="3">
        <f t="shared" si="10"/>
        <v>480</v>
      </c>
      <c r="F115" s="3">
        <v>3</v>
      </c>
      <c r="G115" s="22" t="s">
        <v>30</v>
      </c>
      <c r="H115" s="74" t="s">
        <v>511</v>
      </c>
      <c r="I115" s="12" t="s">
        <v>602</v>
      </c>
    </row>
    <row r="116" spans="1:9" ht="92.4" x14ac:dyDescent="0.3">
      <c r="A116" s="5" t="s">
        <v>0</v>
      </c>
      <c r="B116" s="5" t="s">
        <v>0</v>
      </c>
      <c r="C116" s="27" t="s">
        <v>98</v>
      </c>
      <c r="D116" s="3">
        <f t="shared" si="11"/>
        <v>481</v>
      </c>
      <c r="E116" s="3">
        <f t="shared" si="10"/>
        <v>483</v>
      </c>
      <c r="F116" s="78">
        <v>3</v>
      </c>
      <c r="G116" s="22" t="s">
        <v>120</v>
      </c>
      <c r="H116" s="83" t="s">
        <v>441</v>
      </c>
      <c r="I116" s="43" t="s">
        <v>249</v>
      </c>
    </row>
    <row r="117" spans="1:9" ht="92.4" x14ac:dyDescent="0.3">
      <c r="A117" s="5" t="s">
        <v>0</v>
      </c>
      <c r="B117" s="5" t="s">
        <v>0</v>
      </c>
      <c r="C117" s="27" t="s">
        <v>356</v>
      </c>
      <c r="D117" s="3">
        <f t="shared" si="11"/>
        <v>484</v>
      </c>
      <c r="E117" s="3">
        <f t="shared" si="10"/>
        <v>486</v>
      </c>
      <c r="F117" s="3">
        <v>3</v>
      </c>
      <c r="G117" s="22" t="s">
        <v>124</v>
      </c>
      <c r="H117" s="74" t="s">
        <v>441</v>
      </c>
      <c r="I117" s="43" t="s">
        <v>250</v>
      </c>
    </row>
    <row r="118" spans="1:9" x14ac:dyDescent="0.3">
      <c r="A118" s="5"/>
      <c r="B118" s="5"/>
      <c r="C118" s="27"/>
      <c r="D118" s="3">
        <f t="shared" si="11"/>
        <v>487</v>
      </c>
      <c r="E118" s="3">
        <f t="shared" si="10"/>
        <v>500</v>
      </c>
      <c r="F118" s="5">
        <v>14</v>
      </c>
      <c r="G118" s="22" t="s">
        <v>55</v>
      </c>
      <c r="H118" s="40"/>
      <c r="I118" s="43"/>
    </row>
    <row r="119" spans="1:9" x14ac:dyDescent="0.3">
      <c r="A119" s="5"/>
      <c r="B119" s="5"/>
      <c r="C119" s="27"/>
      <c r="D119" s="3"/>
      <c r="E119" s="3"/>
      <c r="F119" s="3"/>
      <c r="G119" s="23" t="s">
        <v>248</v>
      </c>
      <c r="H119" s="40"/>
      <c r="I119" s="43"/>
    </row>
    <row r="120" spans="1:9" x14ac:dyDescent="0.3">
      <c r="A120" s="5" t="s">
        <v>6</v>
      </c>
      <c r="B120" s="5" t="s">
        <v>6</v>
      </c>
      <c r="C120" s="27" t="s">
        <v>98</v>
      </c>
      <c r="D120" s="3">
        <f>D118+F118</f>
        <v>501</v>
      </c>
      <c r="E120" s="3">
        <f>D120+F120-1</f>
        <v>503</v>
      </c>
      <c r="F120" s="3">
        <v>3</v>
      </c>
      <c r="G120" s="22" t="s">
        <v>230</v>
      </c>
      <c r="H120" s="167" t="s">
        <v>512</v>
      </c>
      <c r="I120" s="170" t="s">
        <v>232</v>
      </c>
    </row>
    <row r="121" spans="1:9" ht="21.6" customHeight="1" x14ac:dyDescent="0.3">
      <c r="A121" s="5" t="s">
        <v>6</v>
      </c>
      <c r="B121" s="5" t="s">
        <v>6</v>
      </c>
      <c r="C121" s="27" t="s">
        <v>98</v>
      </c>
      <c r="D121" s="3">
        <f>D120+F120</f>
        <v>504</v>
      </c>
      <c r="E121" s="3">
        <f>D121+F121-1</f>
        <v>506</v>
      </c>
      <c r="F121" s="3">
        <v>3</v>
      </c>
      <c r="G121" s="22" t="s">
        <v>231</v>
      </c>
      <c r="H121" s="172"/>
      <c r="I121" s="173"/>
    </row>
    <row r="122" spans="1:9" x14ac:dyDescent="0.3">
      <c r="A122" s="5"/>
      <c r="B122" s="5"/>
      <c r="C122" s="27"/>
      <c r="D122" s="3"/>
      <c r="E122" s="3"/>
      <c r="F122" s="3"/>
      <c r="G122" s="22"/>
      <c r="H122" s="57"/>
      <c r="I122" s="56"/>
    </row>
    <row r="123" spans="1:9" x14ac:dyDescent="0.3">
      <c r="A123" s="78" t="s">
        <v>456</v>
      </c>
      <c r="B123" s="78"/>
      <c r="C123" s="84"/>
      <c r="D123" s="78"/>
      <c r="E123" s="78"/>
      <c r="F123" s="78"/>
      <c r="G123" s="147" t="s">
        <v>672</v>
      </c>
      <c r="H123" s="83"/>
      <c r="I123" s="82"/>
    </row>
    <row r="124" spans="1:9" s="62" customFormat="1" ht="79.2" x14ac:dyDescent="0.25">
      <c r="A124" s="94" t="s">
        <v>0</v>
      </c>
      <c r="B124" s="94" t="s">
        <v>0</v>
      </c>
      <c r="C124" s="84" t="s">
        <v>98</v>
      </c>
      <c r="D124" s="78">
        <f>D121+F121</f>
        <v>507</v>
      </c>
      <c r="E124" s="87">
        <f t="shared" ref="E124:E146" si="12">D124+F124-1</f>
        <v>510</v>
      </c>
      <c r="F124" s="78">
        <v>4</v>
      </c>
      <c r="G124" s="89" t="s">
        <v>401</v>
      </c>
      <c r="H124" s="91" t="s">
        <v>522</v>
      </c>
      <c r="I124" s="139" t="s">
        <v>645</v>
      </c>
    </row>
    <row r="125" spans="1:9" s="62" customFormat="1" ht="79.2" x14ac:dyDescent="0.25">
      <c r="A125" s="94" t="s">
        <v>0</v>
      </c>
      <c r="B125" s="94" t="s">
        <v>0</v>
      </c>
      <c r="C125" s="84" t="s">
        <v>98</v>
      </c>
      <c r="D125" s="78">
        <f t="shared" ref="D125" si="13">D124+F124</f>
        <v>511</v>
      </c>
      <c r="E125" s="87">
        <f t="shared" si="12"/>
        <v>511</v>
      </c>
      <c r="F125" s="78">
        <v>1</v>
      </c>
      <c r="G125" s="89" t="s">
        <v>402</v>
      </c>
      <c r="H125" s="91" t="s">
        <v>403</v>
      </c>
      <c r="I125" s="82" t="s">
        <v>514</v>
      </c>
    </row>
    <row r="126" spans="1:9" s="62" customFormat="1" ht="66" x14ac:dyDescent="0.25">
      <c r="A126" s="94" t="s">
        <v>0</v>
      </c>
      <c r="B126" s="94" t="s">
        <v>0</v>
      </c>
      <c r="C126" s="84" t="s">
        <v>98</v>
      </c>
      <c r="D126" s="78">
        <f>D125+F125</f>
        <v>512</v>
      </c>
      <c r="E126" s="87">
        <f t="shared" si="12"/>
        <v>514</v>
      </c>
      <c r="F126" s="78">
        <v>3</v>
      </c>
      <c r="G126" s="89" t="s">
        <v>404</v>
      </c>
      <c r="H126" s="91" t="s">
        <v>85</v>
      </c>
      <c r="I126" s="139" t="s">
        <v>646</v>
      </c>
    </row>
    <row r="127" spans="1:9" s="62" customFormat="1" ht="66" x14ac:dyDescent="0.25">
      <c r="A127" s="94" t="s">
        <v>0</v>
      </c>
      <c r="B127" s="94" t="s">
        <v>0</v>
      </c>
      <c r="C127" s="84" t="s">
        <v>98</v>
      </c>
      <c r="D127" s="78">
        <f>D126+F126</f>
        <v>515</v>
      </c>
      <c r="E127" s="87">
        <f t="shared" si="12"/>
        <v>518</v>
      </c>
      <c r="F127" s="78">
        <v>4</v>
      </c>
      <c r="G127" s="89" t="s">
        <v>405</v>
      </c>
      <c r="H127" s="91" t="s">
        <v>522</v>
      </c>
      <c r="I127" s="139" t="s">
        <v>673</v>
      </c>
    </row>
    <row r="128" spans="1:9" s="62" customFormat="1" ht="92.4" x14ac:dyDescent="0.25">
      <c r="A128" s="94" t="s">
        <v>0</v>
      </c>
      <c r="B128" s="94" t="s">
        <v>0</v>
      </c>
      <c r="C128" s="84" t="s">
        <v>98</v>
      </c>
      <c r="D128" s="78">
        <f t="shared" ref="D128:D136" si="14">D127+F127</f>
        <v>519</v>
      </c>
      <c r="E128" s="87">
        <f t="shared" si="12"/>
        <v>519</v>
      </c>
      <c r="F128" s="78">
        <v>1</v>
      </c>
      <c r="G128" s="89" t="s">
        <v>406</v>
      </c>
      <c r="H128" s="91" t="s">
        <v>403</v>
      </c>
      <c r="I128" s="82" t="s">
        <v>515</v>
      </c>
    </row>
    <row r="129" spans="1:9" s="62" customFormat="1" ht="66" x14ac:dyDescent="0.25">
      <c r="A129" s="94" t="s">
        <v>0</v>
      </c>
      <c r="B129" s="94" t="s">
        <v>0</v>
      </c>
      <c r="C129" s="84" t="s">
        <v>98</v>
      </c>
      <c r="D129" s="78">
        <f>D128+F128</f>
        <v>520</v>
      </c>
      <c r="E129" s="87">
        <f t="shared" si="12"/>
        <v>522</v>
      </c>
      <c r="F129" s="78">
        <v>3</v>
      </c>
      <c r="G129" s="89" t="s">
        <v>407</v>
      </c>
      <c r="H129" s="91" t="s">
        <v>85</v>
      </c>
      <c r="I129" s="139" t="s">
        <v>674</v>
      </c>
    </row>
    <row r="130" spans="1:9" s="62" customFormat="1" ht="66" x14ac:dyDescent="0.25">
      <c r="A130" s="94" t="s">
        <v>0</v>
      </c>
      <c r="B130" s="94" t="s">
        <v>0</v>
      </c>
      <c r="C130" s="84" t="s">
        <v>98</v>
      </c>
      <c r="D130" s="78">
        <f>D129+F129</f>
        <v>523</v>
      </c>
      <c r="E130" s="87">
        <f t="shared" si="12"/>
        <v>526</v>
      </c>
      <c r="F130" s="78">
        <v>4</v>
      </c>
      <c r="G130" s="89" t="s">
        <v>408</v>
      </c>
      <c r="H130" s="91" t="s">
        <v>522</v>
      </c>
      <c r="I130" s="139" t="s">
        <v>697</v>
      </c>
    </row>
    <row r="131" spans="1:9" s="62" customFormat="1" ht="105.6" x14ac:dyDescent="0.25">
      <c r="A131" s="94" t="s">
        <v>0</v>
      </c>
      <c r="B131" s="94" t="s">
        <v>0</v>
      </c>
      <c r="C131" s="84" t="s">
        <v>98</v>
      </c>
      <c r="D131" s="78">
        <f t="shared" si="14"/>
        <v>527</v>
      </c>
      <c r="E131" s="87">
        <f t="shared" si="12"/>
        <v>527</v>
      </c>
      <c r="F131" s="78">
        <v>1</v>
      </c>
      <c r="G131" s="89" t="s">
        <v>409</v>
      </c>
      <c r="H131" s="91" t="s">
        <v>403</v>
      </c>
      <c r="I131" s="82" t="s">
        <v>516</v>
      </c>
    </row>
    <row r="132" spans="1:9" s="62" customFormat="1" ht="79.2" x14ac:dyDescent="0.25">
      <c r="A132" s="94" t="s">
        <v>0</v>
      </c>
      <c r="B132" s="94" t="s">
        <v>0</v>
      </c>
      <c r="C132" s="84" t="s">
        <v>98</v>
      </c>
      <c r="D132" s="78">
        <f>D131+F131</f>
        <v>528</v>
      </c>
      <c r="E132" s="87">
        <f t="shared" si="12"/>
        <v>530</v>
      </c>
      <c r="F132" s="78">
        <v>3</v>
      </c>
      <c r="G132" s="89" t="s">
        <v>410</v>
      </c>
      <c r="H132" s="91" t="s">
        <v>85</v>
      </c>
      <c r="I132" s="139" t="s">
        <v>647</v>
      </c>
    </row>
    <row r="133" spans="1:9" s="62" customFormat="1" ht="66" x14ac:dyDescent="0.25">
      <c r="A133" s="94" t="s">
        <v>0</v>
      </c>
      <c r="B133" s="94" t="s">
        <v>0</v>
      </c>
      <c r="C133" s="84" t="s">
        <v>98</v>
      </c>
      <c r="D133" s="78">
        <f>D132+F132</f>
        <v>531</v>
      </c>
      <c r="E133" s="87">
        <f t="shared" si="12"/>
        <v>534</v>
      </c>
      <c r="F133" s="78">
        <v>4</v>
      </c>
      <c r="G133" s="89" t="s">
        <v>411</v>
      </c>
      <c r="H133" s="91" t="s">
        <v>522</v>
      </c>
      <c r="I133" s="139" t="s">
        <v>675</v>
      </c>
    </row>
    <row r="134" spans="1:9" s="62" customFormat="1" ht="92.4" x14ac:dyDescent="0.25">
      <c r="A134" s="94" t="s">
        <v>0</v>
      </c>
      <c r="B134" s="94" t="s">
        <v>0</v>
      </c>
      <c r="C134" s="84" t="s">
        <v>98</v>
      </c>
      <c r="D134" s="78">
        <f t="shared" si="14"/>
        <v>535</v>
      </c>
      <c r="E134" s="87">
        <f t="shared" si="12"/>
        <v>535</v>
      </c>
      <c r="F134" s="78">
        <v>1</v>
      </c>
      <c r="G134" s="89" t="s">
        <v>412</v>
      </c>
      <c r="H134" s="91" t="s">
        <v>403</v>
      </c>
      <c r="I134" s="82" t="s">
        <v>517</v>
      </c>
    </row>
    <row r="135" spans="1:9" s="62" customFormat="1" ht="65.25" customHeight="1" x14ac:dyDescent="0.25">
      <c r="A135" s="94" t="s">
        <v>0</v>
      </c>
      <c r="B135" s="94" t="s">
        <v>0</v>
      </c>
      <c r="C135" s="84" t="s">
        <v>98</v>
      </c>
      <c r="D135" s="78">
        <f t="shared" si="14"/>
        <v>536</v>
      </c>
      <c r="E135" s="87">
        <f t="shared" si="12"/>
        <v>538</v>
      </c>
      <c r="F135" s="78">
        <v>3</v>
      </c>
      <c r="G135" s="89" t="s">
        <v>413</v>
      </c>
      <c r="H135" s="91" t="s">
        <v>85</v>
      </c>
      <c r="I135" s="139" t="s">
        <v>648</v>
      </c>
    </row>
    <row r="136" spans="1:9" s="62" customFormat="1" ht="16.95" customHeight="1" x14ac:dyDescent="0.25">
      <c r="A136" s="94"/>
      <c r="B136" s="94"/>
      <c r="C136" s="84"/>
      <c r="D136" s="78">
        <f t="shared" si="14"/>
        <v>539</v>
      </c>
      <c r="E136" s="87">
        <f t="shared" si="12"/>
        <v>540</v>
      </c>
      <c r="F136" s="78">
        <v>2</v>
      </c>
      <c r="G136" s="89" t="s">
        <v>55</v>
      </c>
      <c r="H136" s="91"/>
      <c r="I136" s="82"/>
    </row>
    <row r="137" spans="1:9" s="62" customFormat="1" ht="19.2" customHeight="1" x14ac:dyDescent="0.25">
      <c r="A137" s="94"/>
      <c r="B137" s="94"/>
      <c r="C137" s="84"/>
      <c r="D137" s="78"/>
      <c r="E137" s="87" t="s">
        <v>456</v>
      </c>
      <c r="F137" s="78"/>
      <c r="G137" s="127" t="s">
        <v>480</v>
      </c>
      <c r="H137" s="91"/>
      <c r="I137" s="82"/>
    </row>
    <row r="138" spans="1:9" s="62" customFormat="1" ht="99.6" customHeight="1" x14ac:dyDescent="0.25">
      <c r="A138" s="94" t="s">
        <v>0</v>
      </c>
      <c r="B138" s="94" t="s">
        <v>0</v>
      </c>
      <c r="C138" s="84" t="s">
        <v>98</v>
      </c>
      <c r="D138" s="78">
        <f>D136+F136</f>
        <v>541</v>
      </c>
      <c r="E138" s="87">
        <f t="shared" si="12"/>
        <v>544</v>
      </c>
      <c r="F138" s="78">
        <v>4</v>
      </c>
      <c r="G138" s="89" t="s">
        <v>466</v>
      </c>
      <c r="H138" s="91" t="s">
        <v>522</v>
      </c>
      <c r="I138" s="82" t="s">
        <v>518</v>
      </c>
    </row>
    <row r="139" spans="1:9" s="62" customFormat="1" ht="102" customHeight="1" x14ac:dyDescent="0.25">
      <c r="A139" s="94" t="s">
        <v>0</v>
      </c>
      <c r="B139" s="94" t="s">
        <v>0</v>
      </c>
      <c r="C139" s="84" t="s">
        <v>98</v>
      </c>
      <c r="D139" s="78">
        <f t="shared" ref="D139:D147" si="15">D138+F138</f>
        <v>545</v>
      </c>
      <c r="E139" s="87">
        <f t="shared" si="12"/>
        <v>545</v>
      </c>
      <c r="F139" s="78">
        <v>1</v>
      </c>
      <c r="G139" s="89" t="s">
        <v>467</v>
      </c>
      <c r="H139" s="91" t="s">
        <v>403</v>
      </c>
      <c r="I139" s="82" t="s">
        <v>471</v>
      </c>
    </row>
    <row r="140" spans="1:9" s="62" customFormat="1" ht="76.95" customHeight="1" x14ac:dyDescent="0.25">
      <c r="A140" s="94" t="s">
        <v>0</v>
      </c>
      <c r="B140" s="94" t="s">
        <v>0</v>
      </c>
      <c r="C140" s="84" t="s">
        <v>98</v>
      </c>
      <c r="D140" s="78">
        <f t="shared" si="15"/>
        <v>546</v>
      </c>
      <c r="E140" s="87">
        <f t="shared" si="12"/>
        <v>548</v>
      </c>
      <c r="F140" s="78">
        <v>3</v>
      </c>
      <c r="G140" s="89" t="s">
        <v>465</v>
      </c>
      <c r="H140" s="91" t="s">
        <v>85</v>
      </c>
      <c r="I140" s="139" t="s">
        <v>694</v>
      </c>
    </row>
    <row r="141" spans="1:9" s="62" customFormat="1" ht="93" customHeight="1" x14ac:dyDescent="0.25">
      <c r="A141" s="94" t="s">
        <v>0</v>
      </c>
      <c r="B141" s="94" t="s">
        <v>0</v>
      </c>
      <c r="C141" s="84" t="s">
        <v>98</v>
      </c>
      <c r="D141" s="78">
        <f t="shared" si="15"/>
        <v>549</v>
      </c>
      <c r="E141" s="87">
        <f t="shared" si="12"/>
        <v>552</v>
      </c>
      <c r="F141" s="78">
        <v>4</v>
      </c>
      <c r="G141" s="89" t="s">
        <v>468</v>
      </c>
      <c r="H141" s="91" t="s">
        <v>522</v>
      </c>
      <c r="I141" s="82" t="s">
        <v>519</v>
      </c>
    </row>
    <row r="142" spans="1:9" s="62" customFormat="1" ht="84" customHeight="1" x14ac:dyDescent="0.25">
      <c r="A142" s="94" t="s">
        <v>0</v>
      </c>
      <c r="B142" s="94" t="s">
        <v>0</v>
      </c>
      <c r="C142" s="84" t="s">
        <v>98</v>
      </c>
      <c r="D142" s="78">
        <f t="shared" si="15"/>
        <v>553</v>
      </c>
      <c r="E142" s="87">
        <f t="shared" si="12"/>
        <v>553</v>
      </c>
      <c r="F142" s="78">
        <v>1</v>
      </c>
      <c r="G142" s="89" t="s">
        <v>469</v>
      </c>
      <c r="H142" s="91" t="s">
        <v>403</v>
      </c>
      <c r="I142" s="82" t="s">
        <v>520</v>
      </c>
    </row>
    <row r="143" spans="1:9" s="62" customFormat="1" ht="98.4" customHeight="1" x14ac:dyDescent="0.25">
      <c r="A143" s="94" t="s">
        <v>0</v>
      </c>
      <c r="B143" s="94" t="s">
        <v>0</v>
      </c>
      <c r="C143" s="84" t="s">
        <v>98</v>
      </c>
      <c r="D143" s="78">
        <f t="shared" si="15"/>
        <v>554</v>
      </c>
      <c r="E143" s="87">
        <f t="shared" si="12"/>
        <v>556</v>
      </c>
      <c r="F143" s="78">
        <v>3</v>
      </c>
      <c r="G143" s="89" t="s">
        <v>473</v>
      </c>
      <c r="H143" s="91" t="s">
        <v>85</v>
      </c>
      <c r="I143" s="82" t="s">
        <v>472</v>
      </c>
    </row>
    <row r="144" spans="1:9" s="62" customFormat="1" ht="85.95" customHeight="1" x14ac:dyDescent="0.25">
      <c r="A144" s="94" t="s">
        <v>0</v>
      </c>
      <c r="B144" s="94" t="s">
        <v>0</v>
      </c>
      <c r="C144" s="84" t="s">
        <v>98</v>
      </c>
      <c r="D144" s="78">
        <f t="shared" si="15"/>
        <v>557</v>
      </c>
      <c r="E144" s="87">
        <f t="shared" si="12"/>
        <v>560</v>
      </c>
      <c r="F144" s="78">
        <v>4</v>
      </c>
      <c r="G144" s="89" t="s">
        <v>470</v>
      </c>
      <c r="H144" s="91" t="s">
        <v>513</v>
      </c>
      <c r="I144" s="82" t="s">
        <v>521</v>
      </c>
    </row>
    <row r="145" spans="1:9" s="62" customFormat="1" ht="90.6" customHeight="1" x14ac:dyDescent="0.25">
      <c r="A145" s="94" t="s">
        <v>0</v>
      </c>
      <c r="B145" s="94" t="s">
        <v>0</v>
      </c>
      <c r="C145" s="84" t="s">
        <v>98</v>
      </c>
      <c r="D145" s="78">
        <f t="shared" si="15"/>
        <v>561</v>
      </c>
      <c r="E145" s="87">
        <f t="shared" si="12"/>
        <v>561</v>
      </c>
      <c r="F145" s="78">
        <v>1</v>
      </c>
      <c r="G145" s="89" t="s">
        <v>475</v>
      </c>
      <c r="H145" s="91" t="s">
        <v>403</v>
      </c>
      <c r="I145" s="82" t="s">
        <v>481</v>
      </c>
    </row>
    <row r="146" spans="1:9" s="62" customFormat="1" ht="72" customHeight="1" x14ac:dyDescent="0.25">
      <c r="A146" s="94" t="s">
        <v>0</v>
      </c>
      <c r="B146" s="94" t="s">
        <v>0</v>
      </c>
      <c r="C146" s="84" t="s">
        <v>98</v>
      </c>
      <c r="D146" s="78">
        <f t="shared" si="15"/>
        <v>562</v>
      </c>
      <c r="E146" s="87">
        <f t="shared" si="12"/>
        <v>564</v>
      </c>
      <c r="F146" s="78">
        <v>3</v>
      </c>
      <c r="G146" s="89" t="s">
        <v>474</v>
      </c>
      <c r="H146" s="91" t="s">
        <v>85</v>
      </c>
      <c r="I146" s="139" t="s">
        <v>695</v>
      </c>
    </row>
    <row r="147" spans="1:9" x14ac:dyDescent="0.3">
      <c r="A147" s="78"/>
      <c r="B147" s="78"/>
      <c r="C147" s="84"/>
      <c r="D147" s="78">
        <f t="shared" si="15"/>
        <v>565</v>
      </c>
      <c r="E147" s="78">
        <f>D147+F147-1</f>
        <v>566</v>
      </c>
      <c r="F147" s="78">
        <v>2</v>
      </c>
      <c r="G147" s="81" t="s">
        <v>55</v>
      </c>
      <c r="H147" s="83"/>
      <c r="I147" s="75"/>
    </row>
    <row r="148" spans="1:9" x14ac:dyDescent="0.3">
      <c r="A148" s="5"/>
      <c r="B148" s="5"/>
      <c r="C148" s="27"/>
      <c r="D148" s="3"/>
      <c r="E148" s="3"/>
      <c r="F148" s="3"/>
      <c r="G148" s="23" t="s">
        <v>326</v>
      </c>
      <c r="H148" s="40"/>
    </row>
    <row r="149" spans="1:9" ht="71.25" customHeight="1" x14ac:dyDescent="0.3">
      <c r="A149" s="5" t="s">
        <v>0</v>
      </c>
      <c r="B149" s="5" t="s">
        <v>0</v>
      </c>
      <c r="C149" s="27" t="s">
        <v>356</v>
      </c>
      <c r="D149" s="3">
        <f>D147+F147</f>
        <v>567</v>
      </c>
      <c r="E149" s="3">
        <f t="shared" ref="E149:E157" si="16">D149+F149-1</f>
        <v>568</v>
      </c>
      <c r="F149" s="5">
        <v>2</v>
      </c>
      <c r="G149" s="13" t="s">
        <v>325</v>
      </c>
      <c r="H149" s="40" t="s">
        <v>92</v>
      </c>
      <c r="I149" s="42" t="s">
        <v>153</v>
      </c>
    </row>
    <row r="150" spans="1:9" ht="66" x14ac:dyDescent="0.3">
      <c r="A150" s="5" t="s">
        <v>0</v>
      </c>
      <c r="B150" s="5" t="s">
        <v>0</v>
      </c>
      <c r="C150" s="27" t="s">
        <v>98</v>
      </c>
      <c r="D150" s="3">
        <f t="shared" ref="D150:D157" si="17">D149+F149</f>
        <v>569</v>
      </c>
      <c r="E150" s="3">
        <f t="shared" si="16"/>
        <v>569</v>
      </c>
      <c r="F150" s="3">
        <v>1</v>
      </c>
      <c r="G150" s="22" t="s">
        <v>26</v>
      </c>
      <c r="H150" s="40" t="s">
        <v>125</v>
      </c>
      <c r="I150" s="42" t="s">
        <v>372</v>
      </c>
    </row>
    <row r="151" spans="1:9" ht="39.6" x14ac:dyDescent="0.3">
      <c r="A151" s="5" t="s">
        <v>0</v>
      </c>
      <c r="B151" s="5" t="s">
        <v>0</v>
      </c>
      <c r="C151" s="27" t="s">
        <v>98</v>
      </c>
      <c r="D151" s="3">
        <f t="shared" si="17"/>
        <v>570</v>
      </c>
      <c r="E151" s="3">
        <f t="shared" si="16"/>
        <v>570</v>
      </c>
      <c r="F151" s="3">
        <v>1</v>
      </c>
      <c r="G151" s="22" t="s">
        <v>27</v>
      </c>
      <c r="H151" s="40" t="s">
        <v>81</v>
      </c>
      <c r="I151" s="42" t="s">
        <v>328</v>
      </c>
    </row>
    <row r="152" spans="1:9" ht="39.6" x14ac:dyDescent="0.3">
      <c r="A152" s="5" t="s">
        <v>0</v>
      </c>
      <c r="B152" s="5" t="s">
        <v>0</v>
      </c>
      <c r="C152" s="27" t="s">
        <v>99</v>
      </c>
      <c r="D152" s="3">
        <f t="shared" si="17"/>
        <v>571</v>
      </c>
      <c r="E152" s="3">
        <f t="shared" si="16"/>
        <v>571</v>
      </c>
      <c r="F152" s="3">
        <v>1</v>
      </c>
      <c r="G152" s="22" t="s">
        <v>122</v>
      </c>
      <c r="H152" s="40" t="s">
        <v>233</v>
      </c>
      <c r="I152" s="42" t="s">
        <v>234</v>
      </c>
    </row>
    <row r="153" spans="1:9" ht="52.8" x14ac:dyDescent="0.3">
      <c r="A153" s="5" t="s">
        <v>0</v>
      </c>
      <c r="B153" s="5" t="s">
        <v>0</v>
      </c>
      <c r="C153" s="27" t="s">
        <v>98</v>
      </c>
      <c r="D153" s="3">
        <f t="shared" si="17"/>
        <v>572</v>
      </c>
      <c r="E153" s="3">
        <f t="shared" si="16"/>
        <v>572</v>
      </c>
      <c r="F153" s="3">
        <v>1</v>
      </c>
      <c r="G153" s="22" t="s">
        <v>28</v>
      </c>
      <c r="H153" s="40" t="s">
        <v>82</v>
      </c>
      <c r="I153" s="42" t="s">
        <v>327</v>
      </c>
    </row>
    <row r="154" spans="1:9" ht="172.5" customHeight="1" x14ac:dyDescent="0.3">
      <c r="A154" s="5" t="s">
        <v>0</v>
      </c>
      <c r="B154" s="5" t="s">
        <v>0</v>
      </c>
      <c r="C154" s="27" t="s">
        <v>96</v>
      </c>
      <c r="D154" s="3">
        <f t="shared" si="17"/>
        <v>573</v>
      </c>
      <c r="E154" s="3">
        <f t="shared" si="16"/>
        <v>573</v>
      </c>
      <c r="F154" s="3">
        <v>1</v>
      </c>
      <c r="G154" s="22" t="s">
        <v>32</v>
      </c>
      <c r="H154" s="40" t="s">
        <v>79</v>
      </c>
      <c r="I154" s="42" t="s">
        <v>329</v>
      </c>
    </row>
    <row r="155" spans="1:9" ht="66" x14ac:dyDescent="0.3">
      <c r="A155" s="5" t="s">
        <v>0</v>
      </c>
      <c r="B155" s="5" t="s">
        <v>0</v>
      </c>
      <c r="C155" s="27" t="s">
        <v>96</v>
      </c>
      <c r="D155" s="3">
        <f t="shared" si="17"/>
        <v>574</v>
      </c>
      <c r="E155" s="3">
        <f t="shared" si="16"/>
        <v>574</v>
      </c>
      <c r="F155" s="3">
        <v>1</v>
      </c>
      <c r="G155" s="22" t="s">
        <v>29</v>
      </c>
      <c r="H155" s="40" t="s">
        <v>78</v>
      </c>
      <c r="I155" s="42" t="s">
        <v>680</v>
      </c>
    </row>
    <row r="156" spans="1:9" ht="39.6" x14ac:dyDescent="0.3">
      <c r="A156" s="5" t="s">
        <v>6</v>
      </c>
      <c r="B156" s="5" t="s">
        <v>6</v>
      </c>
      <c r="C156" s="27" t="s">
        <v>99</v>
      </c>
      <c r="D156" s="3">
        <f t="shared" si="17"/>
        <v>575</v>
      </c>
      <c r="E156" s="3">
        <f t="shared" si="16"/>
        <v>575</v>
      </c>
      <c r="F156" s="3">
        <v>1</v>
      </c>
      <c r="G156" s="22" t="s">
        <v>119</v>
      </c>
      <c r="H156" s="41" t="s">
        <v>370</v>
      </c>
      <c r="I156" s="42" t="s">
        <v>371</v>
      </c>
    </row>
    <row r="157" spans="1:9" x14ac:dyDescent="0.3">
      <c r="A157" s="5"/>
      <c r="B157" s="5"/>
      <c r="C157" s="28"/>
      <c r="D157" s="3">
        <f t="shared" si="17"/>
        <v>576</v>
      </c>
      <c r="E157" s="3">
        <f t="shared" si="16"/>
        <v>577</v>
      </c>
      <c r="F157" s="5">
        <v>2</v>
      </c>
      <c r="G157" s="9" t="s">
        <v>55</v>
      </c>
      <c r="H157" s="40"/>
    </row>
    <row r="158" spans="1:9" x14ac:dyDescent="0.3">
      <c r="A158" s="5"/>
      <c r="B158" s="5"/>
      <c r="C158" s="28"/>
      <c r="D158" s="3"/>
      <c r="E158" s="3"/>
      <c r="F158" s="6"/>
      <c r="G158" s="23" t="s">
        <v>152</v>
      </c>
      <c r="H158" s="40"/>
    </row>
    <row r="159" spans="1:9" ht="92.4" x14ac:dyDescent="0.3">
      <c r="A159" s="5" t="s">
        <v>6</v>
      </c>
      <c r="B159" s="5" t="s">
        <v>6</v>
      </c>
      <c r="C159" s="28" t="s">
        <v>99</v>
      </c>
      <c r="D159" s="3">
        <f>D157+F157</f>
        <v>578</v>
      </c>
      <c r="E159" s="3">
        <f>D159+F159-1</f>
        <v>578</v>
      </c>
      <c r="F159" s="6">
        <v>1</v>
      </c>
      <c r="G159" s="13" t="s">
        <v>330</v>
      </c>
      <c r="H159" s="43" t="s">
        <v>118</v>
      </c>
      <c r="I159" s="42" t="s">
        <v>331</v>
      </c>
    </row>
    <row r="160" spans="1:9" ht="84.75" customHeight="1" x14ac:dyDescent="0.3">
      <c r="A160" s="5" t="s">
        <v>6</v>
      </c>
      <c r="B160" s="5" t="s">
        <v>6</v>
      </c>
      <c r="C160" s="28" t="s">
        <v>99</v>
      </c>
      <c r="D160" s="3">
        <f>D159+F159</f>
        <v>579</v>
      </c>
      <c r="E160" s="3">
        <f>D160+F160-1</f>
        <v>579</v>
      </c>
      <c r="F160" s="6">
        <v>1</v>
      </c>
      <c r="G160" s="9" t="s">
        <v>116</v>
      </c>
      <c r="H160" s="43" t="s">
        <v>118</v>
      </c>
      <c r="I160" s="42" t="s">
        <v>156</v>
      </c>
    </row>
    <row r="161" spans="1:9" ht="77.25" customHeight="1" x14ac:dyDescent="0.3">
      <c r="A161" s="5" t="s">
        <v>6</v>
      </c>
      <c r="B161" s="5" t="s">
        <v>6</v>
      </c>
      <c r="C161" s="28" t="s">
        <v>99</v>
      </c>
      <c r="D161" s="3">
        <f>D160+F160</f>
        <v>580</v>
      </c>
      <c r="E161" s="3">
        <f>D161+F161-1</f>
        <v>580</v>
      </c>
      <c r="F161" s="6">
        <v>1</v>
      </c>
      <c r="G161" s="9" t="s">
        <v>117</v>
      </c>
      <c r="H161" s="43" t="s">
        <v>118</v>
      </c>
      <c r="I161" s="42" t="s">
        <v>237</v>
      </c>
    </row>
    <row r="162" spans="1:9" x14ac:dyDescent="0.3">
      <c r="A162" s="5"/>
      <c r="B162" s="5"/>
      <c r="C162" s="28"/>
      <c r="D162" s="3">
        <f>D161+F161</f>
        <v>581</v>
      </c>
      <c r="E162" s="3">
        <f>D162+F162-1</f>
        <v>590</v>
      </c>
      <c r="F162" s="6">
        <v>10</v>
      </c>
      <c r="G162" s="9" t="s">
        <v>55</v>
      </c>
      <c r="H162" s="43"/>
    </row>
    <row r="163" spans="1:9" x14ac:dyDescent="0.3">
      <c r="A163" s="5"/>
      <c r="B163" s="5"/>
      <c r="C163" s="27"/>
      <c r="D163" s="3"/>
      <c r="E163" s="3"/>
      <c r="F163" s="3"/>
      <c r="G163" s="23" t="s">
        <v>36</v>
      </c>
      <c r="H163" s="40"/>
    </row>
    <row r="164" spans="1:9" ht="26.4" x14ac:dyDescent="0.3">
      <c r="A164" s="143" t="s">
        <v>622</v>
      </c>
      <c r="B164" s="143" t="s">
        <v>622</v>
      </c>
      <c r="C164" s="3" t="s">
        <v>96</v>
      </c>
      <c r="D164" s="3">
        <f>D162+F162</f>
        <v>591</v>
      </c>
      <c r="E164" s="3">
        <f>D164+F164-1</f>
        <v>594</v>
      </c>
      <c r="F164" s="3">
        <v>4</v>
      </c>
      <c r="G164" s="22" t="s">
        <v>34</v>
      </c>
      <c r="H164" s="40" t="s">
        <v>88</v>
      </c>
      <c r="I164" s="167" t="s">
        <v>87</v>
      </c>
    </row>
    <row r="165" spans="1:9" ht="52.8" x14ac:dyDescent="0.3">
      <c r="A165" s="143" t="s">
        <v>622</v>
      </c>
      <c r="B165" s="143" t="s">
        <v>622</v>
      </c>
      <c r="C165" s="3" t="s">
        <v>96</v>
      </c>
      <c r="D165" s="3">
        <f t="shared" ref="D165:D169" si="18">D164+F164</f>
        <v>595</v>
      </c>
      <c r="E165" s="3">
        <f t="shared" ref="E165:E185" si="19">D165+F165-1</f>
        <v>596</v>
      </c>
      <c r="F165" s="3">
        <v>2</v>
      </c>
      <c r="G165" s="22" t="s">
        <v>33</v>
      </c>
      <c r="H165" s="40" t="s">
        <v>86</v>
      </c>
      <c r="I165" s="167"/>
    </row>
    <row r="166" spans="1:9" ht="86.4" customHeight="1" x14ac:dyDescent="0.3">
      <c r="A166" s="143" t="s">
        <v>622</v>
      </c>
      <c r="B166" s="143" t="s">
        <v>622</v>
      </c>
      <c r="C166" s="3" t="s">
        <v>96</v>
      </c>
      <c r="D166" s="3">
        <f t="shared" si="18"/>
        <v>597</v>
      </c>
      <c r="E166" s="3">
        <f t="shared" si="19"/>
        <v>599</v>
      </c>
      <c r="F166" s="3">
        <v>3</v>
      </c>
      <c r="G166" s="22" t="s">
        <v>35</v>
      </c>
      <c r="H166" s="149" t="s">
        <v>610</v>
      </c>
      <c r="I166" s="163" t="s">
        <v>701</v>
      </c>
    </row>
    <row r="167" spans="1:9" ht="145.19999999999999" x14ac:dyDescent="0.3">
      <c r="A167" s="143" t="s">
        <v>622</v>
      </c>
      <c r="B167" s="143" t="s">
        <v>622</v>
      </c>
      <c r="C167" s="3" t="s">
        <v>96</v>
      </c>
      <c r="D167" s="3">
        <f t="shared" si="18"/>
        <v>600</v>
      </c>
      <c r="E167" s="3">
        <f t="shared" si="19"/>
        <v>602</v>
      </c>
      <c r="F167" s="3">
        <v>3</v>
      </c>
      <c r="G167" s="22" t="s">
        <v>292</v>
      </c>
      <c r="H167" s="149" t="s">
        <v>609</v>
      </c>
      <c r="I167" s="163" t="s">
        <v>702</v>
      </c>
    </row>
    <row r="168" spans="1:9" x14ac:dyDescent="0.3">
      <c r="A168" s="5"/>
      <c r="B168" s="5"/>
      <c r="C168" s="27"/>
      <c r="D168" s="3">
        <f t="shared" si="18"/>
        <v>603</v>
      </c>
      <c r="E168" s="3">
        <f>D168+F168-1</f>
        <v>612</v>
      </c>
      <c r="F168" s="3">
        <v>10</v>
      </c>
      <c r="G168" s="22" t="s">
        <v>55</v>
      </c>
      <c r="H168" s="40"/>
    </row>
    <row r="169" spans="1:9" ht="186.75" customHeight="1" x14ac:dyDescent="0.3">
      <c r="A169" s="5" t="s">
        <v>6</v>
      </c>
      <c r="B169" s="5" t="s">
        <v>6</v>
      </c>
      <c r="C169" s="27" t="s">
        <v>98</v>
      </c>
      <c r="D169" s="3">
        <f t="shared" si="18"/>
        <v>613</v>
      </c>
      <c r="E169" s="5">
        <f>D169+F169-1</f>
        <v>812</v>
      </c>
      <c r="F169" s="5">
        <v>200</v>
      </c>
      <c r="G169" s="13" t="s">
        <v>369</v>
      </c>
      <c r="H169" s="167" t="s">
        <v>523</v>
      </c>
      <c r="I169" s="82" t="s">
        <v>524</v>
      </c>
    </row>
    <row r="170" spans="1:9" ht="189.75" customHeight="1" x14ac:dyDescent="0.3">
      <c r="A170" s="5" t="s">
        <v>6</v>
      </c>
      <c r="B170" s="5" t="s">
        <v>6</v>
      </c>
      <c r="C170" s="51" t="s">
        <v>98</v>
      </c>
      <c r="D170" s="5">
        <f t="shared" ref="D170" si="20">D169+F169</f>
        <v>813</v>
      </c>
      <c r="E170" s="5">
        <f>D170+F170-1</f>
        <v>912</v>
      </c>
      <c r="F170" s="5">
        <v>100</v>
      </c>
      <c r="G170" s="13" t="s">
        <v>363</v>
      </c>
      <c r="H170" s="167"/>
      <c r="I170" s="82" t="s">
        <v>525</v>
      </c>
    </row>
    <row r="171" spans="1:9" x14ac:dyDescent="0.3">
      <c r="A171" s="5"/>
      <c r="B171" s="5"/>
      <c r="C171" s="27"/>
      <c r="D171" s="3">
        <f>D170+F170</f>
        <v>913</v>
      </c>
      <c r="E171" s="3">
        <f>D171+F171-1</f>
        <v>928</v>
      </c>
      <c r="F171" s="3">
        <v>16</v>
      </c>
      <c r="G171" s="22" t="s">
        <v>55</v>
      </c>
      <c r="H171" s="40"/>
    </row>
    <row r="172" spans="1:9" x14ac:dyDescent="0.3">
      <c r="A172" s="5"/>
      <c r="B172" s="5"/>
      <c r="C172" s="27"/>
      <c r="D172" s="3"/>
      <c r="E172" s="3"/>
      <c r="F172" s="3"/>
      <c r="G172" s="23" t="s">
        <v>93</v>
      </c>
      <c r="H172" s="40"/>
    </row>
    <row r="173" spans="1:9" ht="26.4" x14ac:dyDescent="0.3">
      <c r="A173" s="5" t="s">
        <v>0</v>
      </c>
      <c r="B173" s="5" t="s">
        <v>0</v>
      </c>
      <c r="C173" s="27" t="s">
        <v>97</v>
      </c>
      <c r="D173" s="3">
        <f>D171+F171</f>
        <v>929</v>
      </c>
      <c r="E173" s="3">
        <f>D173+F173-1</f>
        <v>929</v>
      </c>
      <c r="F173" s="3">
        <v>1</v>
      </c>
      <c r="G173" s="22" t="s">
        <v>37</v>
      </c>
      <c r="H173" s="40" t="s">
        <v>54</v>
      </c>
    </row>
    <row r="174" spans="1:9" ht="198" x14ac:dyDescent="0.3">
      <c r="A174" s="5" t="s">
        <v>0</v>
      </c>
      <c r="B174" s="5" t="s">
        <v>0</v>
      </c>
      <c r="C174" s="27" t="s">
        <v>97</v>
      </c>
      <c r="D174" s="3">
        <f>D173+F173</f>
        <v>930</v>
      </c>
      <c r="E174" s="3">
        <f t="shared" si="19"/>
        <v>937</v>
      </c>
      <c r="F174" s="142">
        <v>8</v>
      </c>
      <c r="G174" s="22" t="s">
        <v>13</v>
      </c>
      <c r="H174" s="140" t="s">
        <v>619</v>
      </c>
      <c r="I174" s="141" t="s">
        <v>681</v>
      </c>
    </row>
    <row r="175" spans="1:9" ht="52.8" x14ac:dyDescent="0.3">
      <c r="A175" s="5" t="s">
        <v>6</v>
      </c>
      <c r="B175" s="5" t="s">
        <v>6</v>
      </c>
      <c r="C175" s="27" t="s">
        <v>97</v>
      </c>
      <c r="D175" s="3">
        <f>D174+F174</f>
        <v>938</v>
      </c>
      <c r="E175" s="3">
        <f t="shared" si="19"/>
        <v>945</v>
      </c>
      <c r="F175" s="142">
        <v>8</v>
      </c>
      <c r="G175" s="22" t="s">
        <v>14</v>
      </c>
      <c r="H175" s="41" t="s">
        <v>366</v>
      </c>
      <c r="I175" s="42" t="s">
        <v>374</v>
      </c>
    </row>
    <row r="176" spans="1:9" ht="30" customHeight="1" x14ac:dyDescent="0.3">
      <c r="A176" s="5" t="s">
        <v>0</v>
      </c>
      <c r="B176" s="5" t="s">
        <v>6</v>
      </c>
      <c r="C176" s="27" t="s">
        <v>97</v>
      </c>
      <c r="D176" s="3">
        <f t="shared" ref="D176:D181" si="21">D175+F175</f>
        <v>946</v>
      </c>
      <c r="E176" s="3">
        <f t="shared" si="19"/>
        <v>965</v>
      </c>
      <c r="F176" s="3">
        <v>20</v>
      </c>
      <c r="G176" s="22" t="s">
        <v>15</v>
      </c>
      <c r="H176" s="169" t="s">
        <v>228</v>
      </c>
      <c r="I176" s="170" t="s">
        <v>322</v>
      </c>
    </row>
    <row r="177" spans="1:9" ht="18" customHeight="1" x14ac:dyDescent="0.3">
      <c r="A177" s="5" t="s">
        <v>0</v>
      </c>
      <c r="B177" s="5" t="s">
        <v>6</v>
      </c>
      <c r="C177" s="27" t="s">
        <v>97</v>
      </c>
      <c r="D177" s="3">
        <f t="shared" si="21"/>
        <v>966</v>
      </c>
      <c r="E177" s="3">
        <f t="shared" si="19"/>
        <v>980</v>
      </c>
      <c r="F177" s="3">
        <v>15</v>
      </c>
      <c r="G177" s="22" t="s">
        <v>16</v>
      </c>
      <c r="H177" s="169"/>
      <c r="I177" s="170"/>
    </row>
    <row r="178" spans="1:9" x14ac:dyDescent="0.3">
      <c r="A178" s="5" t="s">
        <v>0</v>
      </c>
      <c r="B178" s="5" t="s">
        <v>6</v>
      </c>
      <c r="C178" s="27" t="s">
        <v>97</v>
      </c>
      <c r="D178" s="3">
        <f t="shared" si="21"/>
        <v>981</v>
      </c>
      <c r="E178" s="3">
        <f t="shared" si="19"/>
        <v>981</v>
      </c>
      <c r="F178" s="3">
        <v>1</v>
      </c>
      <c r="G178" s="22" t="s">
        <v>245</v>
      </c>
      <c r="H178" s="169"/>
      <c r="I178" s="170"/>
    </row>
    <row r="179" spans="1:9" ht="38.25" customHeight="1" x14ac:dyDescent="0.3">
      <c r="A179" s="5" t="s">
        <v>6</v>
      </c>
      <c r="B179" s="5" t="s">
        <v>6</v>
      </c>
      <c r="C179" s="27" t="s">
        <v>97</v>
      </c>
      <c r="D179" s="3">
        <f>D178+F178</f>
        <v>982</v>
      </c>
      <c r="E179" s="3">
        <f>D179+F179-1</f>
        <v>984</v>
      </c>
      <c r="F179" s="3">
        <v>3</v>
      </c>
      <c r="G179" s="22" t="s">
        <v>149</v>
      </c>
      <c r="H179" s="44" t="s">
        <v>150</v>
      </c>
      <c r="I179" s="171" t="s">
        <v>506</v>
      </c>
    </row>
    <row r="180" spans="1:9" ht="38.25" customHeight="1" x14ac:dyDescent="0.3">
      <c r="A180" s="5" t="s">
        <v>6</v>
      </c>
      <c r="B180" s="5" t="s">
        <v>6</v>
      </c>
      <c r="C180" s="27" t="s">
        <v>97</v>
      </c>
      <c r="D180" s="3">
        <f>D179+F179</f>
        <v>985</v>
      </c>
      <c r="E180" s="3">
        <f t="shared" si="19"/>
        <v>1004</v>
      </c>
      <c r="F180" s="3">
        <v>20</v>
      </c>
      <c r="G180" s="22" t="s">
        <v>17</v>
      </c>
      <c r="H180" s="169" t="s">
        <v>228</v>
      </c>
      <c r="I180" s="171"/>
    </row>
    <row r="181" spans="1:9" ht="38.25" customHeight="1" x14ac:dyDescent="0.3">
      <c r="A181" s="5" t="s">
        <v>6</v>
      </c>
      <c r="B181" s="5" t="s">
        <v>6</v>
      </c>
      <c r="C181" s="27" t="s">
        <v>97</v>
      </c>
      <c r="D181" s="3">
        <f t="shared" si="21"/>
        <v>1005</v>
      </c>
      <c r="E181" s="3">
        <f t="shared" si="19"/>
        <v>1024</v>
      </c>
      <c r="F181" s="3">
        <v>20</v>
      </c>
      <c r="G181" s="22" t="s">
        <v>18</v>
      </c>
      <c r="H181" s="169"/>
      <c r="I181" s="171"/>
    </row>
    <row r="182" spans="1:9" x14ac:dyDescent="0.3">
      <c r="A182" s="5" t="s">
        <v>6</v>
      </c>
      <c r="B182" s="5" t="s">
        <v>6</v>
      </c>
      <c r="C182" s="27" t="s">
        <v>97</v>
      </c>
      <c r="D182" s="3">
        <f t="shared" ref="D182:D189" si="22">D181+F181</f>
        <v>1025</v>
      </c>
      <c r="E182" s="3">
        <f t="shared" si="19"/>
        <v>1025</v>
      </c>
      <c r="F182" s="3">
        <v>1</v>
      </c>
      <c r="G182" s="22" t="s">
        <v>246</v>
      </c>
      <c r="H182" s="169"/>
      <c r="I182" s="171"/>
    </row>
    <row r="183" spans="1:9" ht="66" x14ac:dyDescent="0.3">
      <c r="A183" s="5" t="s">
        <v>0</v>
      </c>
      <c r="B183" s="5" t="s">
        <v>0</v>
      </c>
      <c r="C183" s="27" t="s">
        <v>97</v>
      </c>
      <c r="D183" s="3">
        <f t="shared" si="22"/>
        <v>1026</v>
      </c>
      <c r="E183" s="3">
        <f>D183+F183-1</f>
        <v>1031</v>
      </c>
      <c r="F183" s="3">
        <v>6</v>
      </c>
      <c r="G183" s="22" t="s">
        <v>148</v>
      </c>
      <c r="H183" s="83" t="s">
        <v>526</v>
      </c>
      <c r="I183" s="42" t="s">
        <v>323</v>
      </c>
    </row>
    <row r="184" spans="1:9" ht="105.6" x14ac:dyDescent="0.3">
      <c r="A184" s="5" t="s">
        <v>0</v>
      </c>
      <c r="B184" s="5" t="s">
        <v>0</v>
      </c>
      <c r="C184" s="27" t="s">
        <v>97</v>
      </c>
      <c r="D184" s="3">
        <f t="shared" si="22"/>
        <v>1032</v>
      </c>
      <c r="E184" s="3">
        <f t="shared" si="19"/>
        <v>1061</v>
      </c>
      <c r="F184" s="3">
        <v>30</v>
      </c>
      <c r="G184" s="22" t="s">
        <v>19</v>
      </c>
      <c r="H184" s="207" t="s">
        <v>708</v>
      </c>
      <c r="I184" s="208" t="s">
        <v>709</v>
      </c>
    </row>
    <row r="185" spans="1:9" ht="52.8" x14ac:dyDescent="0.3">
      <c r="A185" s="5" t="s">
        <v>0</v>
      </c>
      <c r="B185" s="5" t="s">
        <v>0</v>
      </c>
      <c r="C185" s="27" t="s">
        <v>97</v>
      </c>
      <c r="D185" s="3">
        <f t="shared" si="22"/>
        <v>1062</v>
      </c>
      <c r="E185" s="3">
        <f t="shared" si="19"/>
        <v>1081</v>
      </c>
      <c r="F185" s="3">
        <v>20</v>
      </c>
      <c r="G185" s="22" t="s">
        <v>112</v>
      </c>
      <c r="H185" s="40" t="s">
        <v>301</v>
      </c>
      <c r="I185" s="42" t="s">
        <v>322</v>
      </c>
    </row>
    <row r="186" spans="1:9" s="39" customFormat="1" ht="39.6" x14ac:dyDescent="0.3">
      <c r="A186" s="5" t="s">
        <v>0</v>
      </c>
      <c r="B186" s="5" t="s">
        <v>0</v>
      </c>
      <c r="C186" s="27" t="s">
        <v>98</v>
      </c>
      <c r="D186" s="3">
        <f t="shared" si="22"/>
        <v>1082</v>
      </c>
      <c r="E186" s="3">
        <f>D186+F186-1</f>
        <v>1087</v>
      </c>
      <c r="F186" s="3">
        <v>6</v>
      </c>
      <c r="G186" s="22" t="s">
        <v>114</v>
      </c>
      <c r="H186" s="40" t="s">
        <v>115</v>
      </c>
      <c r="I186" s="42" t="s">
        <v>273</v>
      </c>
    </row>
    <row r="187" spans="1:9" s="63" customFormat="1" ht="26.4" x14ac:dyDescent="0.3">
      <c r="A187" s="5" t="s">
        <v>0</v>
      </c>
      <c r="B187" s="5" t="s">
        <v>0</v>
      </c>
      <c r="C187" s="51" t="s">
        <v>209</v>
      </c>
      <c r="D187" s="5">
        <f t="shared" si="22"/>
        <v>1088</v>
      </c>
      <c r="E187" s="5">
        <f>D187+F187-1</f>
        <v>1088</v>
      </c>
      <c r="F187" s="5">
        <v>1</v>
      </c>
      <c r="G187" s="13" t="s">
        <v>275</v>
      </c>
      <c r="H187" s="135" t="s">
        <v>271</v>
      </c>
      <c r="I187" s="136" t="s">
        <v>270</v>
      </c>
    </row>
    <row r="188" spans="1:9" s="63" customFormat="1" ht="26.4" x14ac:dyDescent="0.3">
      <c r="A188" s="5" t="s">
        <v>0</v>
      </c>
      <c r="B188" s="5" t="s">
        <v>0</v>
      </c>
      <c r="C188" s="51" t="s">
        <v>209</v>
      </c>
      <c r="D188" s="5">
        <f t="shared" si="22"/>
        <v>1089</v>
      </c>
      <c r="E188" s="5">
        <f>D188+F188-1</f>
        <v>1089</v>
      </c>
      <c r="F188" s="5">
        <v>1</v>
      </c>
      <c r="G188" s="13" t="s">
        <v>276</v>
      </c>
      <c r="H188" s="133" t="s">
        <v>277</v>
      </c>
      <c r="I188" s="134" t="s">
        <v>332</v>
      </c>
    </row>
    <row r="189" spans="1:9" x14ac:dyDescent="0.3">
      <c r="A189" s="5"/>
      <c r="B189" s="5"/>
      <c r="C189" s="27"/>
      <c r="D189" s="143">
        <f t="shared" si="22"/>
        <v>1090</v>
      </c>
      <c r="E189" s="143">
        <f>D189+F189-1</f>
        <v>1104</v>
      </c>
      <c r="F189" s="142">
        <v>15</v>
      </c>
      <c r="G189" s="22" t="s">
        <v>55</v>
      </c>
      <c r="H189" s="40"/>
    </row>
    <row r="190" spans="1:9" s="39" customFormat="1" ht="14.4" x14ac:dyDescent="0.3">
      <c r="A190" s="5"/>
      <c r="B190" s="5"/>
      <c r="C190" s="6"/>
      <c r="D190" s="3"/>
      <c r="E190" s="3"/>
      <c r="F190" s="7"/>
      <c r="G190" s="23" t="s">
        <v>20</v>
      </c>
      <c r="H190" s="14"/>
      <c r="I190" s="17"/>
    </row>
    <row r="191" spans="1:9" s="39" customFormat="1" ht="39.6" x14ac:dyDescent="0.3">
      <c r="A191" s="5" t="s">
        <v>6</v>
      </c>
      <c r="B191" s="5" t="s">
        <v>6</v>
      </c>
      <c r="C191" s="27" t="s">
        <v>98</v>
      </c>
      <c r="D191" s="3">
        <f>D189+F189</f>
        <v>1105</v>
      </c>
      <c r="E191" s="3">
        <f>D191+F191-1</f>
        <v>1105</v>
      </c>
      <c r="F191" s="3">
        <v>1</v>
      </c>
      <c r="G191" s="22" t="s">
        <v>21</v>
      </c>
      <c r="H191" s="40" t="s">
        <v>102</v>
      </c>
      <c r="I191" s="168"/>
    </row>
    <row r="192" spans="1:9" s="39" customFormat="1" ht="39.6" x14ac:dyDescent="0.3">
      <c r="A192" s="5" t="s">
        <v>6</v>
      </c>
      <c r="B192" s="5" t="s">
        <v>6</v>
      </c>
      <c r="C192" s="27" t="s">
        <v>98</v>
      </c>
      <c r="D192" s="3">
        <f>D191+F191</f>
        <v>1106</v>
      </c>
      <c r="E192" s="3">
        <f>D192+F192-1</f>
        <v>1106</v>
      </c>
      <c r="F192" s="3">
        <v>1</v>
      </c>
      <c r="G192" s="22" t="s">
        <v>22</v>
      </c>
      <c r="H192" s="40" t="s">
        <v>102</v>
      </c>
      <c r="I192" s="167"/>
    </row>
    <row r="193" spans="1:9" s="39" customFormat="1" ht="39.6" x14ac:dyDescent="0.3">
      <c r="A193" s="5" t="s">
        <v>6</v>
      </c>
      <c r="B193" s="5" t="s">
        <v>6</v>
      </c>
      <c r="C193" s="27" t="s">
        <v>98</v>
      </c>
      <c r="D193" s="3">
        <f>D192+F192</f>
        <v>1107</v>
      </c>
      <c r="E193" s="3">
        <f>D193+F193-1</f>
        <v>1107</v>
      </c>
      <c r="F193" s="3">
        <v>1</v>
      </c>
      <c r="G193" s="22" t="s">
        <v>23</v>
      </c>
      <c r="H193" s="40" t="s">
        <v>102</v>
      </c>
      <c r="I193" s="167"/>
    </row>
    <row r="194" spans="1:9" s="39" customFormat="1" ht="14.4" x14ac:dyDescent="0.3">
      <c r="A194" s="5"/>
      <c r="B194" s="5"/>
      <c r="C194" s="27"/>
      <c r="D194" s="3">
        <f>D193+F193</f>
        <v>1108</v>
      </c>
      <c r="E194" s="3">
        <f>D194+F194-1</f>
        <v>1112</v>
      </c>
      <c r="F194" s="3">
        <v>5</v>
      </c>
      <c r="G194" s="22" t="s">
        <v>55</v>
      </c>
      <c r="H194" s="40"/>
      <c r="I194" s="42"/>
    </row>
    <row r="195" spans="1:9" s="39" customFormat="1" ht="14.4" x14ac:dyDescent="0.3">
      <c r="A195" s="5"/>
      <c r="B195" s="5"/>
      <c r="C195" s="27"/>
      <c r="D195" s="3"/>
      <c r="E195" s="3"/>
      <c r="F195" s="3"/>
      <c r="G195" s="23" t="s">
        <v>154</v>
      </c>
      <c r="H195" s="40"/>
      <c r="I195" s="42"/>
    </row>
    <row r="196" spans="1:9" s="39" customFormat="1" ht="14.4" x14ac:dyDescent="0.3">
      <c r="A196" s="5"/>
      <c r="B196" s="5"/>
      <c r="C196" s="27"/>
      <c r="D196" s="3"/>
      <c r="E196" s="3"/>
      <c r="F196" s="3"/>
      <c r="G196" s="23" t="s">
        <v>113</v>
      </c>
      <c r="H196" s="40"/>
      <c r="I196" s="42"/>
    </row>
    <row r="197" spans="1:9" s="39" customFormat="1" ht="15" customHeight="1" x14ac:dyDescent="0.3">
      <c r="A197" s="5" t="s">
        <v>6</v>
      </c>
      <c r="B197" s="5" t="s">
        <v>6</v>
      </c>
      <c r="C197" s="27" t="s">
        <v>97</v>
      </c>
      <c r="D197" s="3">
        <f>D194+F194</f>
        <v>1113</v>
      </c>
      <c r="E197" s="3">
        <f>D197+F197-1</f>
        <v>1113</v>
      </c>
      <c r="F197" s="3">
        <v>1</v>
      </c>
      <c r="G197" s="22" t="s">
        <v>126</v>
      </c>
      <c r="H197" s="167" t="s">
        <v>229</v>
      </c>
      <c r="I197" s="167" t="s">
        <v>138</v>
      </c>
    </row>
    <row r="198" spans="1:9" s="39" customFormat="1" ht="14.4" x14ac:dyDescent="0.3">
      <c r="A198" s="5" t="s">
        <v>6</v>
      </c>
      <c r="B198" s="5" t="s">
        <v>6</v>
      </c>
      <c r="C198" s="27" t="s">
        <v>97</v>
      </c>
      <c r="D198" s="3">
        <f>D197+F197</f>
        <v>1114</v>
      </c>
      <c r="E198" s="3">
        <f>D198+F198-1</f>
        <v>1114</v>
      </c>
      <c r="F198" s="3">
        <v>1</v>
      </c>
      <c r="G198" s="22" t="s">
        <v>127</v>
      </c>
      <c r="H198" s="167"/>
      <c r="I198" s="167"/>
    </row>
    <row r="199" spans="1:9" s="39" customFormat="1" ht="14.4" x14ac:dyDescent="0.3">
      <c r="A199" s="5" t="s">
        <v>6</v>
      </c>
      <c r="B199" s="5" t="s">
        <v>6</v>
      </c>
      <c r="C199" s="27" t="s">
        <v>97</v>
      </c>
      <c r="D199" s="3">
        <f t="shared" ref="D199:D210" si="23">D198+F198</f>
        <v>1115</v>
      </c>
      <c r="E199" s="3">
        <f t="shared" ref="E199:E210" si="24">D199+F199-1</f>
        <v>1115</v>
      </c>
      <c r="F199" s="3">
        <v>1</v>
      </c>
      <c r="G199" s="13" t="s">
        <v>368</v>
      </c>
      <c r="H199" s="167"/>
      <c r="I199" s="167"/>
    </row>
    <row r="200" spans="1:9" s="39" customFormat="1" ht="14.4" x14ac:dyDescent="0.3">
      <c r="A200" s="5" t="s">
        <v>6</v>
      </c>
      <c r="B200" s="5" t="s">
        <v>6</v>
      </c>
      <c r="C200" s="27" t="s">
        <v>97</v>
      </c>
      <c r="D200" s="3">
        <f t="shared" si="23"/>
        <v>1116</v>
      </c>
      <c r="E200" s="3">
        <f t="shared" si="24"/>
        <v>1116</v>
      </c>
      <c r="F200" s="3">
        <v>1</v>
      </c>
      <c r="G200" s="22" t="s">
        <v>128</v>
      </c>
      <c r="H200" s="167"/>
      <c r="I200" s="167"/>
    </row>
    <row r="201" spans="1:9" s="39" customFormat="1" ht="14.4" x14ac:dyDescent="0.3">
      <c r="A201" s="5" t="s">
        <v>6</v>
      </c>
      <c r="B201" s="5" t="s">
        <v>6</v>
      </c>
      <c r="C201" s="27" t="s">
        <v>97</v>
      </c>
      <c r="D201" s="3">
        <f t="shared" si="23"/>
        <v>1117</v>
      </c>
      <c r="E201" s="3">
        <f t="shared" si="24"/>
        <v>1117</v>
      </c>
      <c r="F201" s="3">
        <v>1</v>
      </c>
      <c r="G201" s="22" t="s">
        <v>129</v>
      </c>
      <c r="H201" s="167"/>
      <c r="I201" s="167"/>
    </row>
    <row r="202" spans="1:9" s="39" customFormat="1" ht="14.4" x14ac:dyDescent="0.3">
      <c r="A202" s="5" t="s">
        <v>6</v>
      </c>
      <c r="B202" s="5" t="s">
        <v>6</v>
      </c>
      <c r="C202" s="27" t="s">
        <v>97</v>
      </c>
      <c r="D202" s="3">
        <f t="shared" si="23"/>
        <v>1118</v>
      </c>
      <c r="E202" s="3">
        <f t="shared" si="24"/>
        <v>1118</v>
      </c>
      <c r="F202" s="3">
        <v>1</v>
      </c>
      <c r="G202" s="22" t="s">
        <v>130</v>
      </c>
      <c r="H202" s="167"/>
      <c r="I202" s="167"/>
    </row>
    <row r="203" spans="1:9" s="39" customFormat="1" ht="14.4" x14ac:dyDescent="0.3">
      <c r="A203" s="5" t="s">
        <v>6</v>
      </c>
      <c r="B203" s="5" t="s">
        <v>6</v>
      </c>
      <c r="C203" s="27" t="s">
        <v>97</v>
      </c>
      <c r="D203" s="3">
        <f t="shared" si="23"/>
        <v>1119</v>
      </c>
      <c r="E203" s="3">
        <f t="shared" si="24"/>
        <v>1119</v>
      </c>
      <c r="F203" s="3">
        <v>1</v>
      </c>
      <c r="G203" s="22" t="s">
        <v>247</v>
      </c>
      <c r="H203" s="167"/>
      <c r="I203" s="167"/>
    </row>
    <row r="204" spans="1:9" s="39" customFormat="1" ht="14.4" x14ac:dyDescent="0.3">
      <c r="A204" s="5" t="s">
        <v>6</v>
      </c>
      <c r="B204" s="5" t="s">
        <v>6</v>
      </c>
      <c r="C204" s="27" t="s">
        <v>97</v>
      </c>
      <c r="D204" s="3">
        <f>D203+F203</f>
        <v>1120</v>
      </c>
      <c r="E204" s="3">
        <f>D204+F204-1</f>
        <v>1120</v>
      </c>
      <c r="F204" s="3">
        <v>1</v>
      </c>
      <c r="G204" s="22" t="s">
        <v>274</v>
      </c>
      <c r="H204" s="167"/>
      <c r="I204" s="167"/>
    </row>
    <row r="205" spans="1:9" s="39" customFormat="1" ht="14.4" x14ac:dyDescent="0.3">
      <c r="A205" s="5" t="s">
        <v>6</v>
      </c>
      <c r="B205" s="5" t="s">
        <v>6</v>
      </c>
      <c r="C205" s="27" t="s">
        <v>97</v>
      </c>
      <c r="D205" s="3">
        <f>D204+F204</f>
        <v>1121</v>
      </c>
      <c r="E205" s="3">
        <f t="shared" si="24"/>
        <v>1121</v>
      </c>
      <c r="F205" s="3">
        <v>1</v>
      </c>
      <c r="G205" s="22" t="s">
        <v>131</v>
      </c>
      <c r="H205" s="167"/>
      <c r="I205" s="167"/>
    </row>
    <row r="206" spans="1:9" s="39" customFormat="1" ht="14.4" x14ac:dyDescent="0.3">
      <c r="A206" s="5" t="s">
        <v>6</v>
      </c>
      <c r="B206" s="5" t="s">
        <v>6</v>
      </c>
      <c r="C206" s="27" t="s">
        <v>97</v>
      </c>
      <c r="D206" s="3">
        <f t="shared" si="23"/>
        <v>1122</v>
      </c>
      <c r="E206" s="3">
        <f t="shared" si="24"/>
        <v>1122</v>
      </c>
      <c r="F206" s="3">
        <v>1</v>
      </c>
      <c r="G206" s="22" t="s">
        <v>132</v>
      </c>
      <c r="H206" s="167"/>
      <c r="I206" s="167"/>
    </row>
    <row r="207" spans="1:9" s="39" customFormat="1" ht="14.4" x14ac:dyDescent="0.3">
      <c r="A207" s="5" t="s">
        <v>6</v>
      </c>
      <c r="B207" s="5" t="s">
        <v>6</v>
      </c>
      <c r="C207" s="27" t="s">
        <v>97</v>
      </c>
      <c r="D207" s="3">
        <f t="shared" si="23"/>
        <v>1123</v>
      </c>
      <c r="E207" s="3">
        <f t="shared" si="24"/>
        <v>1123</v>
      </c>
      <c r="F207" s="3">
        <v>1</v>
      </c>
      <c r="G207" s="22" t="s">
        <v>133</v>
      </c>
      <c r="H207" s="167"/>
      <c r="I207" s="167"/>
    </row>
    <row r="208" spans="1:9" s="39" customFormat="1" ht="14.4" x14ac:dyDescent="0.3">
      <c r="A208" s="5" t="s">
        <v>6</v>
      </c>
      <c r="B208" s="5" t="s">
        <v>6</v>
      </c>
      <c r="C208" s="27" t="s">
        <v>97</v>
      </c>
      <c r="D208" s="3">
        <f t="shared" si="23"/>
        <v>1124</v>
      </c>
      <c r="E208" s="3">
        <f t="shared" si="24"/>
        <v>1124</v>
      </c>
      <c r="F208" s="3">
        <v>1</v>
      </c>
      <c r="G208" s="22" t="s">
        <v>134</v>
      </c>
      <c r="H208" s="167"/>
      <c r="I208" s="167"/>
    </row>
    <row r="209" spans="1:9" s="39" customFormat="1" ht="14.4" x14ac:dyDescent="0.3">
      <c r="A209" s="5" t="s">
        <v>6</v>
      </c>
      <c r="B209" s="5" t="s">
        <v>6</v>
      </c>
      <c r="C209" s="27" t="s">
        <v>97</v>
      </c>
      <c r="D209" s="3">
        <f t="shared" si="23"/>
        <v>1125</v>
      </c>
      <c r="E209" s="3">
        <f t="shared" si="24"/>
        <v>1125</v>
      </c>
      <c r="F209" s="3">
        <v>1</v>
      </c>
      <c r="G209" s="22" t="s">
        <v>135</v>
      </c>
      <c r="H209" s="167"/>
      <c r="I209" s="167"/>
    </row>
    <row r="210" spans="1:9" s="39" customFormat="1" ht="14.4" x14ac:dyDescent="0.3">
      <c r="A210" s="5" t="s">
        <v>6</v>
      </c>
      <c r="B210" s="5" t="s">
        <v>6</v>
      </c>
      <c r="C210" s="27" t="s">
        <v>97</v>
      </c>
      <c r="D210" s="3">
        <f t="shared" si="23"/>
        <v>1126</v>
      </c>
      <c r="E210" s="3">
        <f t="shared" si="24"/>
        <v>1126</v>
      </c>
      <c r="F210" s="3">
        <v>1</v>
      </c>
      <c r="G210" s="22" t="s">
        <v>136</v>
      </c>
      <c r="H210" s="167"/>
      <c r="I210" s="167"/>
    </row>
    <row r="211" spans="1:9" s="39" customFormat="1" ht="14.4" x14ac:dyDescent="0.3">
      <c r="A211" s="5"/>
      <c r="B211" s="5"/>
      <c r="C211" s="27"/>
      <c r="D211" s="3"/>
      <c r="E211" s="3"/>
      <c r="F211" s="3"/>
      <c r="G211" s="23" t="s">
        <v>324</v>
      </c>
      <c r="H211" s="40"/>
      <c r="I211" s="42"/>
    </row>
    <row r="212" spans="1:9" s="39" customFormat="1" ht="15" customHeight="1" x14ac:dyDescent="0.3">
      <c r="A212" s="5" t="s">
        <v>0</v>
      </c>
      <c r="B212" s="5" t="s">
        <v>0</v>
      </c>
      <c r="C212" s="27" t="s">
        <v>97</v>
      </c>
      <c r="D212" s="3">
        <f>D210+F210</f>
        <v>1127</v>
      </c>
      <c r="E212" s="3">
        <f>D212+F212-1</f>
        <v>1127</v>
      </c>
      <c r="F212" s="3">
        <v>1</v>
      </c>
      <c r="G212" s="22" t="s">
        <v>126</v>
      </c>
      <c r="H212" s="167" t="s">
        <v>118</v>
      </c>
      <c r="I212" s="167" t="s">
        <v>357</v>
      </c>
    </row>
    <row r="213" spans="1:9" s="39" customFormat="1" ht="14.4" x14ac:dyDescent="0.3">
      <c r="A213" s="5" t="s">
        <v>0</v>
      </c>
      <c r="B213" s="5" t="s">
        <v>0</v>
      </c>
      <c r="C213" s="27" t="s">
        <v>97</v>
      </c>
      <c r="D213" s="3">
        <f>D212+F212</f>
        <v>1128</v>
      </c>
      <c r="E213" s="3">
        <f>D213+F213-1</f>
        <v>1128</v>
      </c>
      <c r="F213" s="3">
        <v>1</v>
      </c>
      <c r="G213" s="22" t="s">
        <v>127</v>
      </c>
      <c r="H213" s="167"/>
      <c r="I213" s="167"/>
    </row>
    <row r="214" spans="1:9" s="39" customFormat="1" ht="14.4" x14ac:dyDescent="0.3">
      <c r="A214" s="5" t="s">
        <v>0</v>
      </c>
      <c r="B214" s="5" t="s">
        <v>0</v>
      </c>
      <c r="C214" s="27" t="s">
        <v>97</v>
      </c>
      <c r="D214" s="3">
        <f t="shared" ref="D214:D225" si="25">D213+F213</f>
        <v>1129</v>
      </c>
      <c r="E214" s="3">
        <f t="shared" ref="E214:E225" si="26">D214+F214-1</f>
        <v>1129</v>
      </c>
      <c r="F214" s="3">
        <v>1</v>
      </c>
      <c r="G214" s="13" t="s">
        <v>55</v>
      </c>
      <c r="H214" s="167"/>
      <c r="I214" s="167"/>
    </row>
    <row r="215" spans="1:9" s="39" customFormat="1" ht="14.4" x14ac:dyDescent="0.3">
      <c r="A215" s="5" t="s">
        <v>0</v>
      </c>
      <c r="B215" s="5" t="s">
        <v>0</v>
      </c>
      <c r="C215" s="27" t="s">
        <v>97</v>
      </c>
      <c r="D215" s="3">
        <f t="shared" si="25"/>
        <v>1130</v>
      </c>
      <c r="E215" s="3">
        <f t="shared" si="26"/>
        <v>1130</v>
      </c>
      <c r="F215" s="3">
        <v>1</v>
      </c>
      <c r="G215" s="22" t="s">
        <v>128</v>
      </c>
      <c r="H215" s="167"/>
      <c r="I215" s="167"/>
    </row>
    <row r="216" spans="1:9" s="39" customFormat="1" ht="14.4" x14ac:dyDescent="0.3">
      <c r="A216" s="5" t="s">
        <v>0</v>
      </c>
      <c r="B216" s="5" t="s">
        <v>0</v>
      </c>
      <c r="C216" s="27" t="s">
        <v>97</v>
      </c>
      <c r="D216" s="3">
        <f t="shared" si="25"/>
        <v>1131</v>
      </c>
      <c r="E216" s="3">
        <f t="shared" si="26"/>
        <v>1131</v>
      </c>
      <c r="F216" s="3">
        <v>1</v>
      </c>
      <c r="G216" s="22" t="s">
        <v>129</v>
      </c>
      <c r="H216" s="167"/>
      <c r="I216" s="167"/>
    </row>
    <row r="217" spans="1:9" s="39" customFormat="1" ht="14.4" x14ac:dyDescent="0.3">
      <c r="A217" s="5" t="s">
        <v>0</v>
      </c>
      <c r="B217" s="5" t="s">
        <v>0</v>
      </c>
      <c r="C217" s="27" t="s">
        <v>97</v>
      </c>
      <c r="D217" s="3">
        <f t="shared" si="25"/>
        <v>1132</v>
      </c>
      <c r="E217" s="3">
        <f t="shared" si="26"/>
        <v>1132</v>
      </c>
      <c r="F217" s="3">
        <v>1</v>
      </c>
      <c r="G217" s="22" t="s">
        <v>130</v>
      </c>
      <c r="H217" s="167"/>
      <c r="I217" s="167"/>
    </row>
    <row r="218" spans="1:9" s="39" customFormat="1" ht="14.4" x14ac:dyDescent="0.3">
      <c r="A218" s="5" t="s">
        <v>0</v>
      </c>
      <c r="B218" s="5" t="s">
        <v>0</v>
      </c>
      <c r="C218" s="27" t="s">
        <v>97</v>
      </c>
      <c r="D218" s="3">
        <f t="shared" si="25"/>
        <v>1133</v>
      </c>
      <c r="E218" s="3">
        <f t="shared" si="26"/>
        <v>1133</v>
      </c>
      <c r="F218" s="3">
        <v>1</v>
      </c>
      <c r="G218" s="22" t="s">
        <v>247</v>
      </c>
      <c r="H218" s="167"/>
      <c r="I218" s="167"/>
    </row>
    <row r="219" spans="1:9" s="39" customFormat="1" ht="14.4" x14ac:dyDescent="0.3">
      <c r="A219" s="5" t="s">
        <v>0</v>
      </c>
      <c r="B219" s="5" t="s">
        <v>0</v>
      </c>
      <c r="C219" s="27" t="s">
        <v>97</v>
      </c>
      <c r="D219" s="3">
        <f t="shared" si="25"/>
        <v>1134</v>
      </c>
      <c r="E219" s="3">
        <f t="shared" si="26"/>
        <v>1134</v>
      </c>
      <c r="F219" s="3">
        <v>1</v>
      </c>
      <c r="G219" s="22" t="s">
        <v>274</v>
      </c>
      <c r="H219" s="167"/>
      <c r="I219" s="167"/>
    </row>
    <row r="220" spans="1:9" s="39" customFormat="1" ht="14.4" x14ac:dyDescent="0.3">
      <c r="A220" s="5" t="s">
        <v>0</v>
      </c>
      <c r="B220" s="5" t="s">
        <v>0</v>
      </c>
      <c r="C220" s="27" t="s">
        <v>97</v>
      </c>
      <c r="D220" s="3">
        <f>D219+F219</f>
        <v>1135</v>
      </c>
      <c r="E220" s="3">
        <f t="shared" si="26"/>
        <v>1135</v>
      </c>
      <c r="F220" s="3">
        <v>1</v>
      </c>
      <c r="G220" s="22" t="s">
        <v>131</v>
      </c>
      <c r="H220" s="167"/>
      <c r="I220" s="167"/>
    </row>
    <row r="221" spans="1:9" s="39" customFormat="1" ht="14.4" x14ac:dyDescent="0.3">
      <c r="A221" s="5" t="s">
        <v>0</v>
      </c>
      <c r="B221" s="5" t="s">
        <v>0</v>
      </c>
      <c r="C221" s="27" t="s">
        <v>97</v>
      </c>
      <c r="D221" s="3">
        <f t="shared" si="25"/>
        <v>1136</v>
      </c>
      <c r="E221" s="3">
        <f t="shared" si="26"/>
        <v>1136</v>
      </c>
      <c r="F221" s="3">
        <v>1</v>
      </c>
      <c r="G221" s="22" t="s">
        <v>132</v>
      </c>
      <c r="H221" s="167"/>
      <c r="I221" s="167"/>
    </row>
    <row r="222" spans="1:9" s="39" customFormat="1" ht="14.4" x14ac:dyDescent="0.3">
      <c r="A222" s="5" t="s">
        <v>0</v>
      </c>
      <c r="B222" s="5" t="s">
        <v>0</v>
      </c>
      <c r="C222" s="27" t="s">
        <v>97</v>
      </c>
      <c r="D222" s="3">
        <f t="shared" si="25"/>
        <v>1137</v>
      </c>
      <c r="E222" s="3">
        <f t="shared" si="26"/>
        <v>1137</v>
      </c>
      <c r="F222" s="3">
        <v>1</v>
      </c>
      <c r="G222" s="22" t="s">
        <v>133</v>
      </c>
      <c r="H222" s="167"/>
      <c r="I222" s="167"/>
    </row>
    <row r="223" spans="1:9" s="39" customFormat="1" ht="14.4" x14ac:dyDescent="0.3">
      <c r="A223" s="5" t="s">
        <v>0</v>
      </c>
      <c r="B223" s="5" t="s">
        <v>0</v>
      </c>
      <c r="C223" s="27" t="s">
        <v>97</v>
      </c>
      <c r="D223" s="3">
        <f t="shared" si="25"/>
        <v>1138</v>
      </c>
      <c r="E223" s="3">
        <f t="shared" si="26"/>
        <v>1138</v>
      </c>
      <c r="F223" s="3">
        <v>1</v>
      </c>
      <c r="G223" s="22" t="s">
        <v>134</v>
      </c>
      <c r="H223" s="167"/>
      <c r="I223" s="167"/>
    </row>
    <row r="224" spans="1:9" s="39" customFormat="1" ht="14.4" x14ac:dyDescent="0.3">
      <c r="A224" s="5" t="s">
        <v>0</v>
      </c>
      <c r="B224" s="5" t="s">
        <v>0</v>
      </c>
      <c r="C224" s="27" t="s">
        <v>97</v>
      </c>
      <c r="D224" s="3">
        <f t="shared" si="25"/>
        <v>1139</v>
      </c>
      <c r="E224" s="3">
        <f t="shared" si="26"/>
        <v>1139</v>
      </c>
      <c r="F224" s="3">
        <v>1</v>
      </c>
      <c r="G224" s="22" t="s">
        <v>135</v>
      </c>
      <c r="H224" s="167"/>
      <c r="I224" s="167"/>
    </row>
    <row r="225" spans="1:9" s="39" customFormat="1" ht="14.4" x14ac:dyDescent="0.3">
      <c r="A225" s="5" t="s">
        <v>0</v>
      </c>
      <c r="B225" s="5" t="s">
        <v>0</v>
      </c>
      <c r="C225" s="27" t="s">
        <v>97</v>
      </c>
      <c r="D225" s="3">
        <f t="shared" si="25"/>
        <v>1140</v>
      </c>
      <c r="E225" s="3">
        <f t="shared" si="26"/>
        <v>1140</v>
      </c>
      <c r="F225" s="3">
        <v>1</v>
      </c>
      <c r="G225" s="22" t="s">
        <v>136</v>
      </c>
      <c r="H225" s="167"/>
      <c r="I225" s="167"/>
    </row>
    <row r="226" spans="1:9" s="39" customFormat="1" ht="14.4" x14ac:dyDescent="0.3">
      <c r="A226" s="5"/>
      <c r="B226" s="5"/>
      <c r="C226" s="27"/>
      <c r="D226" s="3">
        <f>D225+F225</f>
        <v>1141</v>
      </c>
      <c r="E226" s="3">
        <f>D226+F226-1</f>
        <v>1160</v>
      </c>
      <c r="F226" s="3">
        <v>20</v>
      </c>
      <c r="G226" s="22" t="s">
        <v>55</v>
      </c>
      <c r="H226" s="40"/>
      <c r="I226" s="42"/>
    </row>
    <row r="227" spans="1:9" s="39" customFormat="1" ht="14.4" x14ac:dyDescent="0.3">
      <c r="A227" s="5"/>
      <c r="B227" s="5"/>
      <c r="C227" s="3"/>
      <c r="D227" s="3"/>
      <c r="E227" s="3"/>
      <c r="F227" s="3"/>
      <c r="G227" s="23" t="s">
        <v>155</v>
      </c>
      <c r="H227" s="40"/>
      <c r="I227" s="42"/>
    </row>
    <row r="228" spans="1:9" s="39" customFormat="1" ht="66" x14ac:dyDescent="0.3">
      <c r="A228" s="5" t="s">
        <v>0</v>
      </c>
      <c r="B228" s="5" t="s">
        <v>0</v>
      </c>
      <c r="C228" s="27" t="s">
        <v>98</v>
      </c>
      <c r="D228" s="3">
        <f>D226+F226</f>
        <v>1161</v>
      </c>
      <c r="E228" s="3">
        <f t="shared" ref="E228:E235" si="27">D228+F228-1</f>
        <v>1163</v>
      </c>
      <c r="F228" s="3">
        <v>3</v>
      </c>
      <c r="G228" s="22" t="s">
        <v>24</v>
      </c>
      <c r="H228" s="42" t="s">
        <v>80</v>
      </c>
      <c r="I228" s="75" t="s">
        <v>527</v>
      </c>
    </row>
    <row r="229" spans="1:9" s="39" customFormat="1" ht="66" x14ac:dyDescent="0.3">
      <c r="A229" s="5" t="s">
        <v>0</v>
      </c>
      <c r="B229" s="5" t="s">
        <v>0</v>
      </c>
      <c r="C229" s="27" t="s">
        <v>98</v>
      </c>
      <c r="D229" s="3">
        <f t="shared" ref="D229:D235" si="28">D228+F228</f>
        <v>1164</v>
      </c>
      <c r="E229" s="3">
        <f t="shared" si="27"/>
        <v>1166</v>
      </c>
      <c r="F229" s="3">
        <v>3</v>
      </c>
      <c r="G229" s="22" t="s">
        <v>25</v>
      </c>
      <c r="H229" s="42" t="s">
        <v>80</v>
      </c>
      <c r="I229" s="75" t="s">
        <v>528</v>
      </c>
    </row>
    <row r="230" spans="1:9" s="39" customFormat="1" ht="92.4" x14ac:dyDescent="0.3">
      <c r="A230" s="5" t="s">
        <v>0</v>
      </c>
      <c r="B230" s="5" t="s">
        <v>0</v>
      </c>
      <c r="C230" s="27" t="s">
        <v>98</v>
      </c>
      <c r="D230" s="3">
        <f t="shared" si="28"/>
        <v>1167</v>
      </c>
      <c r="E230" s="3">
        <f t="shared" si="27"/>
        <v>1169</v>
      </c>
      <c r="F230" s="3">
        <v>3</v>
      </c>
      <c r="G230" s="22" t="s">
        <v>142</v>
      </c>
      <c r="H230" s="42" t="s">
        <v>80</v>
      </c>
      <c r="I230" s="12" t="s">
        <v>251</v>
      </c>
    </row>
    <row r="231" spans="1:9" s="39" customFormat="1" ht="79.2" x14ac:dyDescent="0.3">
      <c r="A231" s="5" t="s">
        <v>0</v>
      </c>
      <c r="B231" s="5" t="s">
        <v>0</v>
      </c>
      <c r="C231" s="27" t="s">
        <v>98</v>
      </c>
      <c r="D231" s="3">
        <f t="shared" si="28"/>
        <v>1170</v>
      </c>
      <c r="E231" s="3">
        <f t="shared" si="27"/>
        <v>1172</v>
      </c>
      <c r="F231" s="3">
        <v>3</v>
      </c>
      <c r="G231" s="22" t="s">
        <v>165</v>
      </c>
      <c r="H231" s="42" t="s">
        <v>85</v>
      </c>
      <c r="I231" s="75" t="s">
        <v>505</v>
      </c>
    </row>
    <row r="232" spans="1:9" s="39" customFormat="1" ht="66" x14ac:dyDescent="0.3">
      <c r="A232" s="5" t="s">
        <v>0</v>
      </c>
      <c r="B232" s="5" t="s">
        <v>0</v>
      </c>
      <c r="C232" s="27" t="s">
        <v>98</v>
      </c>
      <c r="D232" s="3">
        <f t="shared" si="28"/>
        <v>1173</v>
      </c>
      <c r="E232" s="3">
        <f t="shared" si="27"/>
        <v>1175</v>
      </c>
      <c r="F232" s="5">
        <v>3</v>
      </c>
      <c r="G232" s="13" t="s">
        <v>30</v>
      </c>
      <c r="H232" s="74" t="s">
        <v>512</v>
      </c>
      <c r="I232" s="12" t="s">
        <v>603</v>
      </c>
    </row>
    <row r="233" spans="1:9" s="39" customFormat="1" ht="92.4" x14ac:dyDescent="0.3">
      <c r="A233" s="5" t="s">
        <v>0</v>
      </c>
      <c r="B233" s="5" t="s">
        <v>0</v>
      </c>
      <c r="C233" s="27" t="s">
        <v>98</v>
      </c>
      <c r="D233" s="3">
        <f t="shared" si="28"/>
        <v>1176</v>
      </c>
      <c r="E233" s="3">
        <f t="shared" si="27"/>
        <v>1178</v>
      </c>
      <c r="F233" s="5">
        <v>3</v>
      </c>
      <c r="G233" s="13" t="s">
        <v>120</v>
      </c>
      <c r="H233" s="74" t="s">
        <v>441</v>
      </c>
      <c r="I233" s="43" t="s">
        <v>252</v>
      </c>
    </row>
    <row r="234" spans="1:9" s="39" customFormat="1" ht="92.4" x14ac:dyDescent="0.3">
      <c r="A234" s="5" t="s">
        <v>0</v>
      </c>
      <c r="B234" s="5" t="s">
        <v>0</v>
      </c>
      <c r="C234" s="27" t="s">
        <v>356</v>
      </c>
      <c r="D234" s="3">
        <f t="shared" si="28"/>
        <v>1179</v>
      </c>
      <c r="E234" s="3">
        <f t="shared" si="27"/>
        <v>1181</v>
      </c>
      <c r="F234" s="5">
        <v>3</v>
      </c>
      <c r="G234" s="13" t="s">
        <v>124</v>
      </c>
      <c r="H234" s="74" t="s">
        <v>441</v>
      </c>
      <c r="I234" s="43" t="s">
        <v>253</v>
      </c>
    </row>
    <row r="235" spans="1:9" s="39" customFormat="1" ht="14.4" x14ac:dyDescent="0.3">
      <c r="A235" s="5"/>
      <c r="B235" s="5"/>
      <c r="C235" s="27"/>
      <c r="D235" s="3">
        <f t="shared" si="28"/>
        <v>1182</v>
      </c>
      <c r="E235" s="3">
        <f t="shared" si="27"/>
        <v>1195</v>
      </c>
      <c r="F235" s="5">
        <v>14</v>
      </c>
      <c r="G235" s="13" t="s">
        <v>55</v>
      </c>
      <c r="H235" s="74"/>
      <c r="I235" s="43"/>
    </row>
    <row r="236" spans="1:9" s="39" customFormat="1" ht="14.4" x14ac:dyDescent="0.3">
      <c r="A236" s="5"/>
      <c r="B236" s="5"/>
      <c r="C236" s="27"/>
      <c r="D236" s="3"/>
      <c r="E236" s="3"/>
      <c r="F236" s="5"/>
      <c r="G236" s="95" t="s">
        <v>248</v>
      </c>
      <c r="H236" s="74"/>
      <c r="I236" s="43"/>
    </row>
    <row r="237" spans="1:9" s="39" customFormat="1" ht="14.4" x14ac:dyDescent="0.3">
      <c r="A237" s="5" t="s">
        <v>6</v>
      </c>
      <c r="B237" s="5" t="s">
        <v>6</v>
      </c>
      <c r="C237" s="27" t="s">
        <v>98</v>
      </c>
      <c r="D237" s="3">
        <f>D235+F235</f>
        <v>1196</v>
      </c>
      <c r="E237" s="3">
        <f>D237+F237-1</f>
        <v>1198</v>
      </c>
      <c r="F237" s="5">
        <v>3</v>
      </c>
      <c r="G237" s="13" t="s">
        <v>230</v>
      </c>
      <c r="H237" s="167" t="s">
        <v>529</v>
      </c>
      <c r="I237" s="170" t="s">
        <v>445</v>
      </c>
    </row>
    <row r="238" spans="1:9" s="39" customFormat="1" ht="40.200000000000003" customHeight="1" x14ac:dyDescent="0.3">
      <c r="A238" s="5" t="s">
        <v>6</v>
      </c>
      <c r="B238" s="5" t="s">
        <v>6</v>
      </c>
      <c r="C238" s="27" t="s">
        <v>98</v>
      </c>
      <c r="D238" s="3">
        <f>D237+F237</f>
        <v>1199</v>
      </c>
      <c r="E238" s="3">
        <f>D238+F238-1</f>
        <v>1201</v>
      </c>
      <c r="F238" s="5">
        <v>3</v>
      </c>
      <c r="G238" s="13" t="s">
        <v>231</v>
      </c>
      <c r="H238" s="172"/>
      <c r="I238" s="173"/>
    </row>
    <row r="239" spans="1:9" s="63" customFormat="1" ht="39" customHeight="1" x14ac:dyDescent="0.3">
      <c r="A239" s="94"/>
      <c r="B239" s="94"/>
      <c r="C239" s="94"/>
      <c r="D239" s="78"/>
      <c r="E239" s="78"/>
      <c r="F239" s="98"/>
      <c r="G239" s="147" t="s">
        <v>649</v>
      </c>
      <c r="H239" s="97"/>
      <c r="I239" s="82"/>
    </row>
    <row r="240" spans="1:9" s="63" customFormat="1" ht="66" x14ac:dyDescent="0.3">
      <c r="A240" s="94" t="s">
        <v>0</v>
      </c>
      <c r="B240" s="94" t="s">
        <v>0</v>
      </c>
      <c r="C240" s="84" t="s">
        <v>98</v>
      </c>
      <c r="D240" s="78">
        <f>D238+F238</f>
        <v>1202</v>
      </c>
      <c r="E240" s="87">
        <f t="shared" ref="E240:E255" si="29">D240+F240-1</f>
        <v>1205</v>
      </c>
      <c r="F240" s="98">
        <v>4</v>
      </c>
      <c r="G240" s="89" t="s">
        <v>414</v>
      </c>
      <c r="H240" s="91" t="s">
        <v>522</v>
      </c>
      <c r="I240" s="139" t="s">
        <v>650</v>
      </c>
    </row>
    <row r="241" spans="1:9" s="63" customFormat="1" ht="79.2" x14ac:dyDescent="0.3">
      <c r="A241" s="94" t="s">
        <v>0</v>
      </c>
      <c r="B241" s="94" t="s">
        <v>0</v>
      </c>
      <c r="C241" s="84" t="s">
        <v>98</v>
      </c>
      <c r="D241" s="78">
        <f t="shared" ref="D241:D242" si="30">D240+F240</f>
        <v>1206</v>
      </c>
      <c r="E241" s="87">
        <f t="shared" si="29"/>
        <v>1206</v>
      </c>
      <c r="F241" s="98">
        <v>1</v>
      </c>
      <c r="G241" s="89" t="s">
        <v>415</v>
      </c>
      <c r="H241" s="91" t="s">
        <v>403</v>
      </c>
      <c r="I241" s="82" t="s">
        <v>530</v>
      </c>
    </row>
    <row r="242" spans="1:9" s="63" customFormat="1" ht="66" x14ac:dyDescent="0.3">
      <c r="A242" s="94" t="s">
        <v>0</v>
      </c>
      <c r="B242" s="94" t="s">
        <v>0</v>
      </c>
      <c r="C242" s="84" t="s">
        <v>98</v>
      </c>
      <c r="D242" s="78">
        <f t="shared" si="30"/>
        <v>1207</v>
      </c>
      <c r="E242" s="87">
        <f t="shared" si="29"/>
        <v>1209</v>
      </c>
      <c r="F242" s="98">
        <v>3</v>
      </c>
      <c r="G242" s="89" t="s">
        <v>416</v>
      </c>
      <c r="H242" s="91" t="s">
        <v>85</v>
      </c>
      <c r="I242" s="148" t="s">
        <v>651</v>
      </c>
    </row>
    <row r="243" spans="1:9" s="63" customFormat="1" ht="66" x14ac:dyDescent="0.3">
      <c r="A243" s="94" t="s">
        <v>0</v>
      </c>
      <c r="B243" s="94" t="s">
        <v>0</v>
      </c>
      <c r="C243" s="84" t="s">
        <v>98</v>
      </c>
      <c r="D243" s="78">
        <f>D242+F242</f>
        <v>1210</v>
      </c>
      <c r="E243" s="87">
        <f t="shared" si="29"/>
        <v>1213</v>
      </c>
      <c r="F243" s="98">
        <v>4</v>
      </c>
      <c r="G243" s="89" t="s">
        <v>417</v>
      </c>
      <c r="H243" s="91" t="s">
        <v>522</v>
      </c>
      <c r="I243" s="139" t="s">
        <v>676</v>
      </c>
    </row>
    <row r="244" spans="1:9" s="63" customFormat="1" ht="79.2" x14ac:dyDescent="0.3">
      <c r="A244" s="94" t="s">
        <v>0</v>
      </c>
      <c r="B244" s="94" t="s">
        <v>0</v>
      </c>
      <c r="C244" s="84" t="s">
        <v>98</v>
      </c>
      <c r="D244" s="78">
        <f t="shared" ref="D244:D253" si="31">D243+F243</f>
        <v>1214</v>
      </c>
      <c r="E244" s="87">
        <f t="shared" si="29"/>
        <v>1214</v>
      </c>
      <c r="F244" s="98">
        <v>1</v>
      </c>
      <c r="G244" s="89" t="s">
        <v>418</v>
      </c>
      <c r="H244" s="91" t="s">
        <v>403</v>
      </c>
      <c r="I244" s="82" t="s">
        <v>531</v>
      </c>
    </row>
    <row r="245" spans="1:9" s="63" customFormat="1" ht="66" x14ac:dyDescent="0.3">
      <c r="A245" s="94" t="s">
        <v>0</v>
      </c>
      <c r="B245" s="94" t="s">
        <v>0</v>
      </c>
      <c r="C245" s="84" t="s">
        <v>98</v>
      </c>
      <c r="D245" s="78">
        <f>D244+F244</f>
        <v>1215</v>
      </c>
      <c r="E245" s="87">
        <f t="shared" si="29"/>
        <v>1217</v>
      </c>
      <c r="F245" s="98">
        <v>3</v>
      </c>
      <c r="G245" s="89" t="s">
        <v>419</v>
      </c>
      <c r="H245" s="91" t="s">
        <v>85</v>
      </c>
      <c r="I245" s="139" t="s">
        <v>652</v>
      </c>
    </row>
    <row r="246" spans="1:9" s="63" customFormat="1" ht="66" x14ac:dyDescent="0.3">
      <c r="A246" s="94" t="s">
        <v>0</v>
      </c>
      <c r="B246" s="94" t="s">
        <v>0</v>
      </c>
      <c r="C246" s="84" t="s">
        <v>98</v>
      </c>
      <c r="D246" s="78">
        <f>D245+F245</f>
        <v>1218</v>
      </c>
      <c r="E246" s="87">
        <f t="shared" si="29"/>
        <v>1221</v>
      </c>
      <c r="F246" s="98">
        <v>4</v>
      </c>
      <c r="G246" s="89" t="s">
        <v>420</v>
      </c>
      <c r="H246" s="91" t="s">
        <v>513</v>
      </c>
      <c r="I246" s="139" t="s">
        <v>677</v>
      </c>
    </row>
    <row r="247" spans="1:9" s="63" customFormat="1" ht="92.4" x14ac:dyDescent="0.3">
      <c r="A247" s="94" t="s">
        <v>0</v>
      </c>
      <c r="B247" s="94" t="s">
        <v>0</v>
      </c>
      <c r="C247" s="84" t="s">
        <v>98</v>
      </c>
      <c r="D247" s="78">
        <f t="shared" si="31"/>
        <v>1222</v>
      </c>
      <c r="E247" s="87">
        <f t="shared" si="29"/>
        <v>1222</v>
      </c>
      <c r="F247" s="98">
        <v>1</v>
      </c>
      <c r="G247" s="89" t="s">
        <v>421</v>
      </c>
      <c r="H247" s="91" t="s">
        <v>403</v>
      </c>
      <c r="I247" s="82" t="s">
        <v>536</v>
      </c>
    </row>
    <row r="248" spans="1:9" s="63" customFormat="1" ht="66" x14ac:dyDescent="0.3">
      <c r="A248" s="94" t="s">
        <v>0</v>
      </c>
      <c r="B248" s="94" t="s">
        <v>0</v>
      </c>
      <c r="C248" s="84" t="s">
        <v>98</v>
      </c>
      <c r="D248" s="78">
        <f>D247+F247</f>
        <v>1223</v>
      </c>
      <c r="E248" s="87">
        <f t="shared" si="29"/>
        <v>1225</v>
      </c>
      <c r="F248" s="98">
        <v>3</v>
      </c>
      <c r="G248" s="89" t="s">
        <v>422</v>
      </c>
      <c r="H248" s="91" t="s">
        <v>85</v>
      </c>
      <c r="I248" s="139" t="s">
        <v>653</v>
      </c>
    </row>
    <row r="249" spans="1:9" s="63" customFormat="1" ht="66" x14ac:dyDescent="0.3">
      <c r="A249" s="94" t="s">
        <v>0</v>
      </c>
      <c r="B249" s="94" t="s">
        <v>0</v>
      </c>
      <c r="C249" s="84" t="s">
        <v>98</v>
      </c>
      <c r="D249" s="78">
        <f>D248+F248</f>
        <v>1226</v>
      </c>
      <c r="E249" s="87">
        <f t="shared" si="29"/>
        <v>1229</v>
      </c>
      <c r="F249" s="98">
        <v>4</v>
      </c>
      <c r="G249" s="89" t="s">
        <v>423</v>
      </c>
      <c r="H249" s="91" t="s">
        <v>513</v>
      </c>
      <c r="I249" s="139" t="s">
        <v>678</v>
      </c>
    </row>
    <row r="250" spans="1:9" s="63" customFormat="1" ht="79.2" x14ac:dyDescent="0.3">
      <c r="A250" s="94" t="s">
        <v>0</v>
      </c>
      <c r="B250" s="94" t="s">
        <v>0</v>
      </c>
      <c r="C250" s="84" t="s">
        <v>98</v>
      </c>
      <c r="D250" s="78">
        <f t="shared" si="31"/>
        <v>1230</v>
      </c>
      <c r="E250" s="87">
        <f t="shared" si="29"/>
        <v>1230</v>
      </c>
      <c r="F250" s="98">
        <v>1</v>
      </c>
      <c r="G250" s="89" t="s">
        <v>424</v>
      </c>
      <c r="H250" s="91" t="s">
        <v>403</v>
      </c>
      <c r="I250" s="82" t="s">
        <v>532</v>
      </c>
    </row>
    <row r="251" spans="1:9" s="63" customFormat="1" ht="79.2" x14ac:dyDescent="0.3">
      <c r="A251" s="94" t="s">
        <v>0</v>
      </c>
      <c r="B251" s="94" t="s">
        <v>0</v>
      </c>
      <c r="C251" s="84" t="s">
        <v>98</v>
      </c>
      <c r="D251" s="78">
        <f>D250+F250</f>
        <v>1231</v>
      </c>
      <c r="E251" s="87">
        <f t="shared" si="29"/>
        <v>1233</v>
      </c>
      <c r="F251" s="98">
        <v>3</v>
      </c>
      <c r="G251" s="89" t="s">
        <v>425</v>
      </c>
      <c r="H251" s="91" t="s">
        <v>85</v>
      </c>
      <c r="I251" s="139" t="s">
        <v>654</v>
      </c>
    </row>
    <row r="252" spans="1:9" s="63" customFormat="1" ht="66" x14ac:dyDescent="0.3">
      <c r="A252" s="94" t="s">
        <v>0</v>
      </c>
      <c r="B252" s="94" t="s">
        <v>0</v>
      </c>
      <c r="C252" s="84" t="s">
        <v>98</v>
      </c>
      <c r="D252" s="78">
        <f>D251+F251</f>
        <v>1234</v>
      </c>
      <c r="E252" s="87">
        <f t="shared" si="29"/>
        <v>1237</v>
      </c>
      <c r="F252" s="98">
        <v>4</v>
      </c>
      <c r="G252" s="89" t="s">
        <v>426</v>
      </c>
      <c r="H252" s="91" t="s">
        <v>522</v>
      </c>
      <c r="I252" s="139" t="s">
        <v>679</v>
      </c>
    </row>
    <row r="253" spans="1:9" s="63" customFormat="1" ht="94.2" customHeight="1" x14ac:dyDescent="0.3">
      <c r="A253" s="94" t="s">
        <v>0</v>
      </c>
      <c r="B253" s="94" t="s">
        <v>0</v>
      </c>
      <c r="C253" s="84" t="s">
        <v>98</v>
      </c>
      <c r="D253" s="78">
        <f t="shared" si="31"/>
        <v>1238</v>
      </c>
      <c r="E253" s="87">
        <f t="shared" si="29"/>
        <v>1238</v>
      </c>
      <c r="F253" s="98">
        <v>1</v>
      </c>
      <c r="G253" s="89" t="s">
        <v>427</v>
      </c>
      <c r="H253" s="91" t="s">
        <v>403</v>
      </c>
      <c r="I253" s="82" t="s">
        <v>533</v>
      </c>
    </row>
    <row r="254" spans="1:9" s="63" customFormat="1" ht="78" customHeight="1" x14ac:dyDescent="0.3">
      <c r="A254" s="94" t="s">
        <v>0</v>
      </c>
      <c r="B254" s="94" t="s">
        <v>0</v>
      </c>
      <c r="C254" s="84" t="s">
        <v>98</v>
      </c>
      <c r="D254" s="78">
        <f>D253+F253</f>
        <v>1239</v>
      </c>
      <c r="E254" s="87">
        <f t="shared" si="29"/>
        <v>1241</v>
      </c>
      <c r="F254" s="98">
        <v>3</v>
      </c>
      <c r="G254" s="89" t="s">
        <v>428</v>
      </c>
      <c r="H254" s="91" t="s">
        <v>85</v>
      </c>
      <c r="I254" s="139" t="s">
        <v>655</v>
      </c>
    </row>
    <row r="255" spans="1:9" s="63" customFormat="1" ht="18" customHeight="1" x14ac:dyDescent="0.3">
      <c r="A255" s="94"/>
      <c r="B255" s="94"/>
      <c r="C255" s="84" t="s">
        <v>98</v>
      </c>
      <c r="D255" s="78">
        <f>D254+F254</f>
        <v>1242</v>
      </c>
      <c r="E255" s="87">
        <f t="shared" si="29"/>
        <v>1261</v>
      </c>
      <c r="F255" s="98">
        <v>20</v>
      </c>
      <c r="G255" s="89" t="s">
        <v>55</v>
      </c>
      <c r="H255" s="97"/>
      <c r="I255" s="82"/>
    </row>
    <row r="256" spans="1:9" s="63" customFormat="1" ht="14.4" x14ac:dyDescent="0.3">
      <c r="A256" s="94"/>
      <c r="B256" s="94"/>
      <c r="C256" s="84"/>
      <c r="D256" s="78"/>
      <c r="E256" s="78"/>
      <c r="F256" s="98"/>
      <c r="G256" s="147" t="s">
        <v>656</v>
      </c>
      <c r="H256" s="97"/>
      <c r="I256" s="82"/>
    </row>
    <row r="257" spans="1:9" s="63" customFormat="1" ht="52.8" x14ac:dyDescent="0.3">
      <c r="A257" s="94" t="s">
        <v>0</v>
      </c>
      <c r="B257" s="94" t="s">
        <v>0</v>
      </c>
      <c r="C257" s="84" t="s">
        <v>98</v>
      </c>
      <c r="D257" s="78">
        <f>D255+F255</f>
        <v>1262</v>
      </c>
      <c r="E257" s="87">
        <f t="shared" ref="E257:E263" si="32">D257+F257-1</f>
        <v>1265</v>
      </c>
      <c r="F257" s="98">
        <v>4</v>
      </c>
      <c r="G257" s="89" t="s">
        <v>158</v>
      </c>
      <c r="H257" s="91" t="s">
        <v>513</v>
      </c>
      <c r="I257" s="139" t="s">
        <v>657</v>
      </c>
    </row>
    <row r="258" spans="1:9" s="63" customFormat="1" ht="79.2" x14ac:dyDescent="0.3">
      <c r="A258" s="94" t="s">
        <v>0</v>
      </c>
      <c r="B258" s="94" t="s">
        <v>0</v>
      </c>
      <c r="C258" s="84" t="s">
        <v>98</v>
      </c>
      <c r="D258" s="78">
        <f t="shared" ref="D258" si="33">D257+F257</f>
        <v>1266</v>
      </c>
      <c r="E258" s="87">
        <f t="shared" si="32"/>
        <v>1266</v>
      </c>
      <c r="F258" s="98">
        <v>1</v>
      </c>
      <c r="G258" s="89" t="s">
        <v>429</v>
      </c>
      <c r="H258" s="91" t="s">
        <v>403</v>
      </c>
      <c r="I258" s="82" t="s">
        <v>534</v>
      </c>
    </row>
    <row r="259" spans="1:9" s="63" customFormat="1" ht="66" x14ac:dyDescent="0.3">
      <c r="A259" s="94" t="s">
        <v>0</v>
      </c>
      <c r="B259" s="94" t="s">
        <v>0</v>
      </c>
      <c r="C259" s="84" t="s">
        <v>98</v>
      </c>
      <c r="D259" s="78">
        <f>D258+F258</f>
        <v>1267</v>
      </c>
      <c r="E259" s="87">
        <f t="shared" si="32"/>
        <v>1269</v>
      </c>
      <c r="F259" s="98">
        <v>3</v>
      </c>
      <c r="G259" s="89" t="s">
        <v>167</v>
      </c>
      <c r="H259" s="91" t="s">
        <v>85</v>
      </c>
      <c r="I259" s="139" t="s">
        <v>658</v>
      </c>
    </row>
    <row r="260" spans="1:9" s="63" customFormat="1" ht="52.8" x14ac:dyDescent="0.3">
      <c r="A260" s="94" t="s">
        <v>0</v>
      </c>
      <c r="B260" s="94" t="s">
        <v>0</v>
      </c>
      <c r="C260" s="84" t="s">
        <v>98</v>
      </c>
      <c r="D260" s="78">
        <f>D259+F259</f>
        <v>1270</v>
      </c>
      <c r="E260" s="87">
        <f t="shared" si="32"/>
        <v>1273</v>
      </c>
      <c r="F260" s="98">
        <v>4</v>
      </c>
      <c r="G260" s="89" t="s">
        <v>430</v>
      </c>
      <c r="H260" s="91" t="s">
        <v>522</v>
      </c>
      <c r="I260" s="82" t="s">
        <v>643</v>
      </c>
    </row>
    <row r="261" spans="1:9" s="63" customFormat="1" ht="79.2" x14ac:dyDescent="0.3">
      <c r="A261" s="94" t="s">
        <v>0</v>
      </c>
      <c r="B261" s="94" t="s">
        <v>0</v>
      </c>
      <c r="C261" s="84" t="s">
        <v>98</v>
      </c>
      <c r="D261" s="78">
        <f t="shared" ref="D261" si="34">D260+F260</f>
        <v>1274</v>
      </c>
      <c r="E261" s="87">
        <f t="shared" si="32"/>
        <v>1274</v>
      </c>
      <c r="F261" s="98">
        <v>1</v>
      </c>
      <c r="G261" s="89" t="s">
        <v>431</v>
      </c>
      <c r="H261" s="91" t="s">
        <v>403</v>
      </c>
      <c r="I261" s="82" t="s">
        <v>535</v>
      </c>
    </row>
    <row r="262" spans="1:9" s="63" customFormat="1" ht="66" x14ac:dyDescent="0.3">
      <c r="A262" s="94" t="s">
        <v>0</v>
      </c>
      <c r="B262" s="94" t="s">
        <v>0</v>
      </c>
      <c r="C262" s="84" t="s">
        <v>98</v>
      </c>
      <c r="D262" s="78">
        <f>D261+F261</f>
        <v>1275</v>
      </c>
      <c r="E262" s="87">
        <f t="shared" si="32"/>
        <v>1277</v>
      </c>
      <c r="F262" s="98">
        <v>3</v>
      </c>
      <c r="G262" s="89" t="s">
        <v>432</v>
      </c>
      <c r="H262" s="91" t="s">
        <v>85</v>
      </c>
      <c r="I262" s="139" t="s">
        <v>659</v>
      </c>
    </row>
    <row r="263" spans="1:9" s="63" customFormat="1" ht="14.4" x14ac:dyDescent="0.3">
      <c r="A263" s="94"/>
      <c r="B263" s="94"/>
      <c r="C263" s="94"/>
      <c r="D263" s="78">
        <f>D262+F262</f>
        <v>1278</v>
      </c>
      <c r="E263" s="87">
        <f t="shared" si="32"/>
        <v>1287</v>
      </c>
      <c r="F263" s="98">
        <v>10</v>
      </c>
      <c r="G263" s="89" t="s">
        <v>55</v>
      </c>
      <c r="H263" s="97"/>
      <c r="I263" s="82"/>
    </row>
    <row r="264" spans="1:9" s="39" customFormat="1" ht="14.4" x14ac:dyDescent="0.3">
      <c r="A264" s="5"/>
      <c r="B264" s="5"/>
      <c r="C264" s="27"/>
      <c r="D264" s="3"/>
      <c r="E264" s="3"/>
      <c r="F264" s="3"/>
      <c r="G264" s="23" t="s">
        <v>334</v>
      </c>
      <c r="H264" s="58"/>
      <c r="I264" s="60"/>
    </row>
    <row r="265" spans="1:9" s="39" customFormat="1" ht="26.4" x14ac:dyDescent="0.3">
      <c r="A265" s="5" t="s">
        <v>0</v>
      </c>
      <c r="B265" s="5" t="s">
        <v>0</v>
      </c>
      <c r="C265" s="27" t="s">
        <v>356</v>
      </c>
      <c r="D265" s="3">
        <f>D263+F263</f>
        <v>1288</v>
      </c>
      <c r="E265" s="3">
        <f t="shared" ref="E265:E273" si="35">D265+F265-1</f>
        <v>1289</v>
      </c>
      <c r="F265" s="5">
        <v>2</v>
      </c>
      <c r="G265" s="13" t="s">
        <v>333</v>
      </c>
      <c r="H265" s="58" t="s">
        <v>92</v>
      </c>
      <c r="I265" s="60" t="s">
        <v>153</v>
      </c>
    </row>
    <row r="266" spans="1:9" s="39" customFormat="1" ht="66" x14ac:dyDescent="0.3">
      <c r="A266" s="5" t="s">
        <v>0</v>
      </c>
      <c r="B266" s="5" t="s">
        <v>0</v>
      </c>
      <c r="C266" s="27" t="s">
        <v>98</v>
      </c>
      <c r="D266" s="3">
        <f t="shared" ref="D266:D273" si="36">D265+F265</f>
        <v>1290</v>
      </c>
      <c r="E266" s="3">
        <f t="shared" si="35"/>
        <v>1290</v>
      </c>
      <c r="F266" s="3">
        <v>1</v>
      </c>
      <c r="G266" s="22" t="s">
        <v>26</v>
      </c>
      <c r="H266" s="58" t="s">
        <v>125</v>
      </c>
      <c r="I266" s="60" t="s">
        <v>372</v>
      </c>
    </row>
    <row r="267" spans="1:9" s="39" customFormat="1" ht="39.6" x14ac:dyDescent="0.3">
      <c r="A267" s="5" t="s">
        <v>0</v>
      </c>
      <c r="B267" s="5" t="s">
        <v>0</v>
      </c>
      <c r="C267" s="27" t="s">
        <v>98</v>
      </c>
      <c r="D267" s="3">
        <f t="shared" si="36"/>
        <v>1291</v>
      </c>
      <c r="E267" s="3">
        <f t="shared" si="35"/>
        <v>1291</v>
      </c>
      <c r="F267" s="3">
        <v>1</v>
      </c>
      <c r="G267" s="22" t="s">
        <v>27</v>
      </c>
      <c r="H267" s="58" t="s">
        <v>81</v>
      </c>
      <c r="I267" s="60" t="s">
        <v>235</v>
      </c>
    </row>
    <row r="268" spans="1:9" s="39" customFormat="1" ht="39.6" x14ac:dyDescent="0.3">
      <c r="A268" s="5" t="s">
        <v>0</v>
      </c>
      <c r="B268" s="5" t="s">
        <v>0</v>
      </c>
      <c r="C268" s="27" t="s">
        <v>98</v>
      </c>
      <c r="D268" s="3">
        <f t="shared" si="36"/>
        <v>1292</v>
      </c>
      <c r="E268" s="3">
        <f t="shared" si="35"/>
        <v>1292</v>
      </c>
      <c r="F268" s="3">
        <v>1</v>
      </c>
      <c r="G268" s="22" t="s">
        <v>122</v>
      </c>
      <c r="H268" s="58" t="s">
        <v>233</v>
      </c>
      <c r="I268" s="60" t="s">
        <v>234</v>
      </c>
    </row>
    <row r="269" spans="1:9" s="39" customFormat="1" ht="52.8" x14ac:dyDescent="0.3">
      <c r="A269" s="5" t="s">
        <v>0</v>
      </c>
      <c r="B269" s="5" t="s">
        <v>0</v>
      </c>
      <c r="C269" s="27" t="s">
        <v>98</v>
      </c>
      <c r="D269" s="3">
        <f t="shared" si="36"/>
        <v>1293</v>
      </c>
      <c r="E269" s="3">
        <f t="shared" si="35"/>
        <v>1293</v>
      </c>
      <c r="F269" s="3">
        <v>1</v>
      </c>
      <c r="G269" s="22" t="s">
        <v>28</v>
      </c>
      <c r="H269" s="58" t="s">
        <v>82</v>
      </c>
      <c r="I269" s="60" t="s">
        <v>236</v>
      </c>
    </row>
    <row r="270" spans="1:9" s="39" customFormat="1" ht="171.75" customHeight="1" x14ac:dyDescent="0.3">
      <c r="A270" s="5" t="s">
        <v>0</v>
      </c>
      <c r="B270" s="5" t="s">
        <v>0</v>
      </c>
      <c r="C270" s="27" t="s">
        <v>96</v>
      </c>
      <c r="D270" s="3">
        <f t="shared" si="36"/>
        <v>1294</v>
      </c>
      <c r="E270" s="3">
        <f t="shared" si="35"/>
        <v>1294</v>
      </c>
      <c r="F270" s="3">
        <v>1</v>
      </c>
      <c r="G270" s="22" t="s">
        <v>32</v>
      </c>
      <c r="H270" s="58" t="s">
        <v>79</v>
      </c>
      <c r="I270" s="60" t="s">
        <v>329</v>
      </c>
    </row>
    <row r="271" spans="1:9" s="39" customFormat="1" ht="66" x14ac:dyDescent="0.3">
      <c r="A271" s="5" t="s">
        <v>0</v>
      </c>
      <c r="B271" s="5" t="s">
        <v>0</v>
      </c>
      <c r="C271" s="27" t="s">
        <v>96</v>
      </c>
      <c r="D271" s="3">
        <f t="shared" si="36"/>
        <v>1295</v>
      </c>
      <c r="E271" s="3">
        <f t="shared" si="35"/>
        <v>1295</v>
      </c>
      <c r="F271" s="3">
        <v>1</v>
      </c>
      <c r="G271" s="22" t="s">
        <v>29</v>
      </c>
      <c r="H271" s="58" t="s">
        <v>78</v>
      </c>
      <c r="I271" s="60" t="s">
        <v>680</v>
      </c>
    </row>
    <row r="272" spans="1:9" s="39" customFormat="1" ht="39.6" x14ac:dyDescent="0.3">
      <c r="A272" s="5" t="s">
        <v>6</v>
      </c>
      <c r="B272" s="5" t="s">
        <v>6</v>
      </c>
      <c r="C272" s="27" t="s">
        <v>98</v>
      </c>
      <c r="D272" s="3">
        <f t="shared" si="36"/>
        <v>1296</v>
      </c>
      <c r="E272" s="3">
        <f t="shared" si="35"/>
        <v>1296</v>
      </c>
      <c r="F272" s="3">
        <v>1</v>
      </c>
      <c r="G272" s="22" t="s">
        <v>119</v>
      </c>
      <c r="H272" s="59" t="s">
        <v>370</v>
      </c>
      <c r="I272" s="60" t="s">
        <v>371</v>
      </c>
    </row>
    <row r="273" spans="1:9" s="39" customFormat="1" ht="14.4" x14ac:dyDescent="0.3">
      <c r="A273" s="5"/>
      <c r="B273" s="5"/>
      <c r="C273" s="28"/>
      <c r="D273" s="3">
        <f t="shared" si="36"/>
        <v>1297</v>
      </c>
      <c r="E273" s="3">
        <f t="shared" si="35"/>
        <v>1306</v>
      </c>
      <c r="F273" s="6">
        <v>10</v>
      </c>
      <c r="G273" s="9" t="s">
        <v>55</v>
      </c>
      <c r="H273" s="58"/>
      <c r="I273" s="60"/>
    </row>
    <row r="274" spans="1:9" s="39" customFormat="1" ht="14.4" x14ac:dyDescent="0.3">
      <c r="A274" s="5"/>
      <c r="B274" s="5"/>
      <c r="C274" s="28"/>
      <c r="D274" s="3"/>
      <c r="E274" s="3"/>
      <c r="F274" s="6"/>
      <c r="G274" s="23" t="s">
        <v>152</v>
      </c>
      <c r="H274" s="58"/>
      <c r="I274" s="60"/>
    </row>
    <row r="275" spans="1:9" s="39" customFormat="1" ht="92.4" x14ac:dyDescent="0.3">
      <c r="A275" s="5" t="s">
        <v>6</v>
      </c>
      <c r="B275" s="5" t="s">
        <v>6</v>
      </c>
      <c r="C275" s="28" t="s">
        <v>99</v>
      </c>
      <c r="D275" s="3">
        <f>D273+F273</f>
        <v>1307</v>
      </c>
      <c r="E275" s="3">
        <f>D275+F275-1</f>
        <v>1307</v>
      </c>
      <c r="F275" s="6">
        <v>1</v>
      </c>
      <c r="G275" s="13" t="s">
        <v>330</v>
      </c>
      <c r="H275" s="61" t="s">
        <v>118</v>
      </c>
      <c r="I275" s="60" t="s">
        <v>331</v>
      </c>
    </row>
    <row r="276" spans="1:9" s="39" customFormat="1" ht="66" x14ac:dyDescent="0.3">
      <c r="A276" s="5" t="s">
        <v>6</v>
      </c>
      <c r="B276" s="5" t="s">
        <v>6</v>
      </c>
      <c r="C276" s="28" t="s">
        <v>99</v>
      </c>
      <c r="D276" s="3">
        <f>D275+F275</f>
        <v>1308</v>
      </c>
      <c r="E276" s="3">
        <f>D276+F276-1</f>
        <v>1308</v>
      </c>
      <c r="F276" s="6">
        <v>1</v>
      </c>
      <c r="G276" s="9" t="s">
        <v>116</v>
      </c>
      <c r="H276" s="61" t="s">
        <v>118</v>
      </c>
      <c r="I276" s="60" t="s">
        <v>156</v>
      </c>
    </row>
    <row r="277" spans="1:9" s="39" customFormat="1" ht="66" x14ac:dyDescent="0.3">
      <c r="A277" s="5" t="s">
        <v>6</v>
      </c>
      <c r="B277" s="5" t="s">
        <v>6</v>
      </c>
      <c r="C277" s="28" t="s">
        <v>99</v>
      </c>
      <c r="D277" s="3">
        <f>D276+F276</f>
        <v>1309</v>
      </c>
      <c r="E277" s="3">
        <f>D277+F277-1</f>
        <v>1309</v>
      </c>
      <c r="F277" s="6">
        <v>1</v>
      </c>
      <c r="G277" s="9" t="s">
        <v>117</v>
      </c>
      <c r="H277" s="61" t="s">
        <v>118</v>
      </c>
      <c r="I277" s="60" t="s">
        <v>237</v>
      </c>
    </row>
    <row r="278" spans="1:9" s="39" customFormat="1" ht="14.4" x14ac:dyDescent="0.3">
      <c r="A278" s="5"/>
      <c r="B278" s="5"/>
      <c r="C278" s="28"/>
      <c r="D278" s="3">
        <f>D277+F277</f>
        <v>1310</v>
      </c>
      <c r="E278" s="3">
        <f>D278+F278-1</f>
        <v>1319</v>
      </c>
      <c r="F278" s="6">
        <v>10</v>
      </c>
      <c r="G278" s="9" t="s">
        <v>55</v>
      </c>
      <c r="H278" s="61"/>
      <c r="I278" s="60"/>
    </row>
    <row r="279" spans="1:9" s="39" customFormat="1" ht="14.4" x14ac:dyDescent="0.3">
      <c r="A279" s="5"/>
      <c r="B279" s="5"/>
      <c r="C279" s="27"/>
      <c r="D279" s="3"/>
      <c r="E279" s="3"/>
      <c r="F279" s="3"/>
      <c r="G279" s="23" t="s">
        <v>36</v>
      </c>
      <c r="H279" s="58"/>
      <c r="I279" s="60"/>
    </row>
    <row r="280" spans="1:9" s="39" customFormat="1" ht="26.4" customHeight="1" x14ac:dyDescent="0.3">
      <c r="A280" s="143" t="s">
        <v>622</v>
      </c>
      <c r="B280" s="143" t="s">
        <v>622</v>
      </c>
      <c r="C280" s="3" t="s">
        <v>96</v>
      </c>
      <c r="D280" s="3">
        <f>D278+F278</f>
        <v>1320</v>
      </c>
      <c r="E280" s="3">
        <f t="shared" ref="E280:E287" si="37">D280+F280-1</f>
        <v>1323</v>
      </c>
      <c r="F280" s="3">
        <v>4</v>
      </c>
      <c r="G280" s="22" t="s">
        <v>34</v>
      </c>
      <c r="H280" s="58" t="s">
        <v>88</v>
      </c>
      <c r="I280" s="167" t="s">
        <v>87</v>
      </c>
    </row>
    <row r="281" spans="1:9" s="39" customFormat="1" ht="52.8" x14ac:dyDescent="0.3">
      <c r="A281" s="143" t="s">
        <v>622</v>
      </c>
      <c r="B281" s="143" t="s">
        <v>622</v>
      </c>
      <c r="C281" s="3" t="s">
        <v>96</v>
      </c>
      <c r="D281" s="3">
        <f t="shared" ref="D281:D285" si="38">D280+F280</f>
        <v>1324</v>
      </c>
      <c r="E281" s="3">
        <f t="shared" si="37"/>
        <v>1325</v>
      </c>
      <c r="F281" s="3">
        <v>2</v>
      </c>
      <c r="G281" s="22" t="s">
        <v>33</v>
      </c>
      <c r="H281" s="58" t="s">
        <v>86</v>
      </c>
      <c r="I281" s="167"/>
    </row>
    <row r="282" spans="1:9" s="39" customFormat="1" ht="84" customHeight="1" x14ac:dyDescent="0.3">
      <c r="A282" s="143" t="s">
        <v>622</v>
      </c>
      <c r="B282" s="143" t="s">
        <v>622</v>
      </c>
      <c r="C282" s="3" t="s">
        <v>96</v>
      </c>
      <c r="D282" s="3">
        <f t="shared" si="38"/>
        <v>1326</v>
      </c>
      <c r="E282" s="3">
        <f t="shared" si="37"/>
        <v>1328</v>
      </c>
      <c r="F282" s="3">
        <v>3</v>
      </c>
      <c r="G282" s="22" t="s">
        <v>35</v>
      </c>
      <c r="H282" s="149" t="s">
        <v>610</v>
      </c>
      <c r="I282" s="163" t="s">
        <v>701</v>
      </c>
    </row>
    <row r="283" spans="1:9" s="39" customFormat="1" ht="145.19999999999999" x14ac:dyDescent="0.3">
      <c r="A283" s="143" t="s">
        <v>622</v>
      </c>
      <c r="B283" s="143" t="s">
        <v>622</v>
      </c>
      <c r="C283" s="3" t="s">
        <v>96</v>
      </c>
      <c r="D283" s="3">
        <f t="shared" si="38"/>
        <v>1329</v>
      </c>
      <c r="E283" s="3">
        <f t="shared" si="37"/>
        <v>1331</v>
      </c>
      <c r="F283" s="3">
        <v>3</v>
      </c>
      <c r="G283" s="22" t="s">
        <v>292</v>
      </c>
      <c r="H283" s="149" t="s">
        <v>609</v>
      </c>
      <c r="I283" s="163" t="s">
        <v>702</v>
      </c>
    </row>
    <row r="284" spans="1:9" s="39" customFormat="1" ht="14.4" x14ac:dyDescent="0.3">
      <c r="A284" s="5"/>
      <c r="B284" s="5"/>
      <c r="C284" s="27"/>
      <c r="D284" s="3">
        <f t="shared" si="38"/>
        <v>1332</v>
      </c>
      <c r="E284" s="3">
        <f t="shared" si="37"/>
        <v>1341</v>
      </c>
      <c r="F284" s="3">
        <v>10</v>
      </c>
      <c r="G284" s="22" t="s">
        <v>55</v>
      </c>
      <c r="H284" s="40"/>
      <c r="I284" s="42"/>
    </row>
    <row r="285" spans="1:9" s="39" customFormat="1" ht="189.75" customHeight="1" x14ac:dyDescent="0.3">
      <c r="A285" s="5" t="s">
        <v>6</v>
      </c>
      <c r="B285" s="5" t="s">
        <v>6</v>
      </c>
      <c r="C285" s="27" t="s">
        <v>99</v>
      </c>
      <c r="D285" s="3">
        <f t="shared" si="38"/>
        <v>1342</v>
      </c>
      <c r="E285" s="5">
        <f t="shared" si="37"/>
        <v>1541</v>
      </c>
      <c r="F285" s="5">
        <v>200</v>
      </c>
      <c r="G285" s="13" t="s">
        <v>369</v>
      </c>
      <c r="H285" s="167" t="s">
        <v>537</v>
      </c>
      <c r="I285" s="82" t="s">
        <v>397</v>
      </c>
    </row>
    <row r="286" spans="1:9" s="39" customFormat="1" ht="189.75" customHeight="1" x14ac:dyDescent="0.3">
      <c r="A286" s="5" t="s">
        <v>6</v>
      </c>
      <c r="B286" s="5" t="s">
        <v>6</v>
      </c>
      <c r="C286" s="27" t="s">
        <v>98</v>
      </c>
      <c r="D286" s="3">
        <f t="shared" ref="D286" si="39">D285+F285</f>
        <v>1542</v>
      </c>
      <c r="E286" s="3">
        <f t="shared" ref="E286" si="40">D286+F286-1</f>
        <v>1641</v>
      </c>
      <c r="F286" s="3">
        <v>100</v>
      </c>
      <c r="G286" s="13" t="s">
        <v>363</v>
      </c>
      <c r="H286" s="167"/>
      <c r="I286" s="82" t="s">
        <v>398</v>
      </c>
    </row>
    <row r="287" spans="1:9" s="39" customFormat="1" ht="14.4" x14ac:dyDescent="0.3">
      <c r="A287" s="5"/>
      <c r="B287" s="5"/>
      <c r="C287" s="27"/>
      <c r="D287" s="3">
        <f>D286+F286</f>
        <v>1642</v>
      </c>
      <c r="E287" s="3">
        <f t="shared" si="37"/>
        <v>1657</v>
      </c>
      <c r="F287" s="3">
        <v>16</v>
      </c>
      <c r="G287" s="22" t="s">
        <v>55</v>
      </c>
      <c r="H287" s="40"/>
      <c r="I287" s="42"/>
    </row>
    <row r="288" spans="1:9" x14ac:dyDescent="0.3">
      <c r="A288" s="5"/>
      <c r="B288" s="5"/>
      <c r="C288" s="6"/>
      <c r="D288" s="3"/>
      <c r="E288" s="3"/>
      <c r="F288" s="7"/>
      <c r="G288" s="23" t="s">
        <v>180</v>
      </c>
      <c r="H288" s="14"/>
      <c r="I288" s="17"/>
    </row>
    <row r="289" spans="1:9" ht="26.4" x14ac:dyDescent="0.3">
      <c r="A289" s="5" t="s">
        <v>0</v>
      </c>
      <c r="B289" s="5" t="s">
        <v>0</v>
      </c>
      <c r="C289" s="27" t="s">
        <v>97</v>
      </c>
      <c r="D289" s="3">
        <f>D287+F287</f>
        <v>1658</v>
      </c>
      <c r="E289" s="3">
        <f>D289+F289-1</f>
        <v>1658</v>
      </c>
      <c r="F289" s="3">
        <v>1</v>
      </c>
      <c r="G289" s="22" t="s">
        <v>37</v>
      </c>
      <c r="H289" s="40" t="s">
        <v>54</v>
      </c>
    </row>
    <row r="290" spans="1:9" ht="184.8" x14ac:dyDescent="0.3">
      <c r="A290" s="5" t="s">
        <v>0</v>
      </c>
      <c r="B290" s="5" t="s">
        <v>0</v>
      </c>
      <c r="C290" s="27" t="s">
        <v>97</v>
      </c>
      <c r="D290" s="3">
        <f>D289+F289</f>
        <v>1659</v>
      </c>
      <c r="E290" s="3">
        <f t="shared" ref="E290:E304" si="41">D290+F290-1</f>
        <v>1666</v>
      </c>
      <c r="F290" s="142">
        <v>8</v>
      </c>
      <c r="G290" s="22" t="s">
        <v>13</v>
      </c>
      <c r="H290" s="140" t="s">
        <v>615</v>
      </c>
      <c r="I290" s="141" t="s">
        <v>682</v>
      </c>
    </row>
    <row r="291" spans="1:9" ht="52.8" x14ac:dyDescent="0.3">
      <c r="A291" s="5" t="s">
        <v>6</v>
      </c>
      <c r="B291" s="5" t="s">
        <v>6</v>
      </c>
      <c r="C291" s="27" t="s">
        <v>97</v>
      </c>
      <c r="D291" s="3">
        <f>D290+F290</f>
        <v>1667</v>
      </c>
      <c r="E291" s="3">
        <f t="shared" si="41"/>
        <v>1674</v>
      </c>
      <c r="F291" s="142">
        <v>8</v>
      </c>
      <c r="G291" s="22" t="s">
        <v>14</v>
      </c>
      <c r="H291" s="41" t="s">
        <v>366</v>
      </c>
      <c r="I291" s="42" t="s">
        <v>367</v>
      </c>
    </row>
    <row r="292" spans="1:9" ht="18" customHeight="1" x14ac:dyDescent="0.3">
      <c r="A292" s="5" t="s">
        <v>0</v>
      </c>
      <c r="B292" s="5" t="s">
        <v>6</v>
      </c>
      <c r="C292" s="27" t="s">
        <v>97</v>
      </c>
      <c r="D292" s="3">
        <f t="shared" ref="D292:D297" si="42">D291+F291</f>
        <v>1675</v>
      </c>
      <c r="E292" s="3">
        <f t="shared" si="41"/>
        <v>1694</v>
      </c>
      <c r="F292" s="3">
        <v>20</v>
      </c>
      <c r="G292" s="22" t="s">
        <v>15</v>
      </c>
      <c r="H292" s="169" t="s">
        <v>228</v>
      </c>
      <c r="I292" s="170" t="s">
        <v>322</v>
      </c>
    </row>
    <row r="293" spans="1:9" ht="18.75" customHeight="1" x14ac:dyDescent="0.3">
      <c r="A293" s="5" t="s">
        <v>0</v>
      </c>
      <c r="B293" s="5" t="s">
        <v>6</v>
      </c>
      <c r="C293" s="27" t="s">
        <v>97</v>
      </c>
      <c r="D293" s="3">
        <f t="shared" si="42"/>
        <v>1695</v>
      </c>
      <c r="E293" s="3">
        <f t="shared" si="41"/>
        <v>1709</v>
      </c>
      <c r="F293" s="3">
        <v>15</v>
      </c>
      <c r="G293" s="22" t="s">
        <v>16</v>
      </c>
      <c r="H293" s="169"/>
      <c r="I293" s="170"/>
    </row>
    <row r="294" spans="1:9" ht="17.25" customHeight="1" x14ac:dyDescent="0.3">
      <c r="A294" s="5" t="s">
        <v>0</v>
      </c>
      <c r="B294" s="5" t="s">
        <v>6</v>
      </c>
      <c r="C294" s="27" t="s">
        <v>97</v>
      </c>
      <c r="D294" s="3">
        <f t="shared" si="42"/>
        <v>1710</v>
      </c>
      <c r="E294" s="3">
        <f t="shared" si="41"/>
        <v>1710</v>
      </c>
      <c r="F294" s="3">
        <v>1</v>
      </c>
      <c r="G294" s="22" t="s">
        <v>245</v>
      </c>
      <c r="H294" s="169"/>
      <c r="I294" s="170"/>
    </row>
    <row r="295" spans="1:9" ht="38.25" customHeight="1" x14ac:dyDescent="0.3">
      <c r="A295" s="5" t="s">
        <v>6</v>
      </c>
      <c r="B295" s="5" t="s">
        <v>6</v>
      </c>
      <c r="C295" s="27" t="s">
        <v>97</v>
      </c>
      <c r="D295" s="3">
        <f>D294+F294</f>
        <v>1711</v>
      </c>
      <c r="E295" s="3">
        <f>D295+F295-1</f>
        <v>1713</v>
      </c>
      <c r="F295" s="3">
        <v>3</v>
      </c>
      <c r="G295" s="22" t="s">
        <v>149</v>
      </c>
      <c r="H295" s="99" t="s">
        <v>150</v>
      </c>
      <c r="I295" s="180" t="s">
        <v>538</v>
      </c>
    </row>
    <row r="296" spans="1:9" x14ac:dyDescent="0.3">
      <c r="A296" s="5" t="s">
        <v>6</v>
      </c>
      <c r="B296" s="5" t="s">
        <v>6</v>
      </c>
      <c r="C296" s="27" t="s">
        <v>97</v>
      </c>
      <c r="D296" s="3">
        <f>D295+F295</f>
        <v>1714</v>
      </c>
      <c r="E296" s="3">
        <f t="shared" si="41"/>
        <v>1733</v>
      </c>
      <c r="F296" s="3">
        <v>20</v>
      </c>
      <c r="G296" s="22" t="s">
        <v>17</v>
      </c>
      <c r="H296" s="174" t="s">
        <v>228</v>
      </c>
      <c r="I296" s="180"/>
    </row>
    <row r="297" spans="1:9" x14ac:dyDescent="0.3">
      <c r="A297" s="5" t="s">
        <v>6</v>
      </c>
      <c r="B297" s="5" t="s">
        <v>6</v>
      </c>
      <c r="C297" s="27" t="s">
        <v>97</v>
      </c>
      <c r="D297" s="3">
        <f t="shared" si="42"/>
        <v>1734</v>
      </c>
      <c r="E297" s="3">
        <f t="shared" si="41"/>
        <v>1753</v>
      </c>
      <c r="F297" s="3">
        <v>20</v>
      </c>
      <c r="G297" s="22" t="s">
        <v>18</v>
      </c>
      <c r="H297" s="174"/>
      <c r="I297" s="180"/>
    </row>
    <row r="298" spans="1:9" x14ac:dyDescent="0.3">
      <c r="A298" s="5" t="s">
        <v>6</v>
      </c>
      <c r="B298" s="5" t="s">
        <v>6</v>
      </c>
      <c r="C298" s="27" t="s">
        <v>97</v>
      </c>
      <c r="D298" s="3">
        <f t="shared" ref="D298:D304" si="43">D297+F297</f>
        <v>1754</v>
      </c>
      <c r="E298" s="3">
        <f t="shared" si="41"/>
        <v>1754</v>
      </c>
      <c r="F298" s="3">
        <v>1</v>
      </c>
      <c r="G298" s="22" t="s">
        <v>246</v>
      </c>
      <c r="H298" s="174"/>
      <c r="I298" s="180"/>
    </row>
    <row r="299" spans="1:9" ht="66" x14ac:dyDescent="0.3">
      <c r="A299" s="5" t="s">
        <v>0</v>
      </c>
      <c r="B299" s="5" t="s">
        <v>0</v>
      </c>
      <c r="C299" s="27" t="s">
        <v>209</v>
      </c>
      <c r="D299" s="3">
        <f t="shared" si="43"/>
        <v>1755</v>
      </c>
      <c r="E299" s="3">
        <f>D299+F299-1</f>
        <v>1760</v>
      </c>
      <c r="F299" s="3">
        <v>6</v>
      </c>
      <c r="G299" s="22" t="s">
        <v>148</v>
      </c>
      <c r="H299" s="101" t="s">
        <v>539</v>
      </c>
      <c r="I299" s="100" t="s">
        <v>540</v>
      </c>
    </row>
    <row r="300" spans="1:9" ht="105.6" x14ac:dyDescent="0.3">
      <c r="A300" s="5" t="s">
        <v>0</v>
      </c>
      <c r="B300" s="5" t="s">
        <v>0</v>
      </c>
      <c r="C300" s="27" t="s">
        <v>97</v>
      </c>
      <c r="D300" s="3">
        <f t="shared" si="43"/>
        <v>1761</v>
      </c>
      <c r="E300" s="3">
        <f t="shared" si="41"/>
        <v>1790</v>
      </c>
      <c r="F300" s="3">
        <v>30</v>
      </c>
      <c r="G300" s="22" t="s">
        <v>19</v>
      </c>
      <c r="H300" s="209" t="s">
        <v>710</v>
      </c>
      <c r="I300" s="210" t="s">
        <v>711</v>
      </c>
    </row>
    <row r="301" spans="1:9" ht="52.8" x14ac:dyDescent="0.3">
      <c r="A301" s="5" t="s">
        <v>0</v>
      </c>
      <c r="B301" s="5" t="s">
        <v>0</v>
      </c>
      <c r="C301" s="27" t="s">
        <v>97</v>
      </c>
      <c r="D301" s="3">
        <f t="shared" si="43"/>
        <v>1791</v>
      </c>
      <c r="E301" s="3">
        <f t="shared" si="41"/>
        <v>1810</v>
      </c>
      <c r="F301" s="3">
        <v>20</v>
      </c>
      <c r="G301" s="22" t="s">
        <v>112</v>
      </c>
      <c r="H301" s="40" t="s">
        <v>301</v>
      </c>
      <c r="I301" s="42" t="s">
        <v>322</v>
      </c>
    </row>
    <row r="302" spans="1:9" ht="39.6" x14ac:dyDescent="0.3">
      <c r="A302" s="5" t="s">
        <v>0</v>
      </c>
      <c r="B302" s="5" t="s">
        <v>0</v>
      </c>
      <c r="C302" s="27" t="s">
        <v>209</v>
      </c>
      <c r="D302" s="3">
        <f t="shared" si="43"/>
        <v>1811</v>
      </c>
      <c r="E302" s="3">
        <f>D302+F302-1</f>
        <v>1816</v>
      </c>
      <c r="F302" s="3">
        <v>6</v>
      </c>
      <c r="G302" s="22" t="s">
        <v>114</v>
      </c>
      <c r="H302" s="40" t="s">
        <v>115</v>
      </c>
      <c r="I302" s="42" t="s">
        <v>273</v>
      </c>
    </row>
    <row r="303" spans="1:9" ht="26.4" x14ac:dyDescent="0.3">
      <c r="A303" s="5" t="s">
        <v>0</v>
      </c>
      <c r="B303" s="5" t="s">
        <v>0</v>
      </c>
      <c r="C303" s="27" t="s">
        <v>209</v>
      </c>
      <c r="D303" s="3">
        <f t="shared" si="43"/>
        <v>1817</v>
      </c>
      <c r="E303" s="3">
        <f>D303+F303-1</f>
        <v>1817</v>
      </c>
      <c r="F303" s="3">
        <v>1</v>
      </c>
      <c r="G303" s="22" t="s">
        <v>279</v>
      </c>
      <c r="H303" s="40" t="s">
        <v>271</v>
      </c>
      <c r="I303" s="42" t="s">
        <v>270</v>
      </c>
    </row>
    <row r="304" spans="1:9" x14ac:dyDescent="0.3">
      <c r="A304" s="5"/>
      <c r="B304" s="5"/>
      <c r="C304" s="27"/>
      <c r="D304" s="3">
        <f t="shared" si="43"/>
        <v>1818</v>
      </c>
      <c r="E304" s="3">
        <f t="shared" si="41"/>
        <v>1832</v>
      </c>
      <c r="F304" s="142">
        <v>15</v>
      </c>
      <c r="G304" s="22" t="s">
        <v>55</v>
      </c>
      <c r="H304" s="40"/>
    </row>
    <row r="305" spans="1:9" s="39" customFormat="1" ht="14.4" x14ac:dyDescent="0.3">
      <c r="A305" s="5"/>
      <c r="B305" s="5"/>
      <c r="C305" s="6"/>
      <c r="D305" s="3"/>
      <c r="E305" s="3"/>
      <c r="F305" s="7"/>
      <c r="G305" s="23" t="s">
        <v>20</v>
      </c>
      <c r="H305" s="14"/>
      <c r="I305" s="17"/>
    </row>
    <row r="306" spans="1:9" s="39" customFormat="1" ht="39.6" x14ac:dyDescent="0.3">
      <c r="A306" s="5" t="s">
        <v>6</v>
      </c>
      <c r="B306" s="5" t="s">
        <v>6</v>
      </c>
      <c r="C306" s="27" t="s">
        <v>98</v>
      </c>
      <c r="D306" s="3">
        <f>D304+F304</f>
        <v>1833</v>
      </c>
      <c r="E306" s="3">
        <f>D306+F306-1</f>
        <v>1833</v>
      </c>
      <c r="F306" s="3">
        <v>1</v>
      </c>
      <c r="G306" s="22" t="s">
        <v>21</v>
      </c>
      <c r="H306" s="40" t="s">
        <v>102</v>
      </c>
      <c r="I306" s="168"/>
    </row>
    <row r="307" spans="1:9" s="39" customFormat="1" ht="39.6" x14ac:dyDescent="0.3">
      <c r="A307" s="5" t="s">
        <v>6</v>
      </c>
      <c r="B307" s="5" t="s">
        <v>6</v>
      </c>
      <c r="C307" s="27" t="s">
        <v>98</v>
      </c>
      <c r="D307" s="3">
        <f>D306+F306</f>
        <v>1834</v>
      </c>
      <c r="E307" s="3">
        <f>D307+F307-1</f>
        <v>1834</v>
      </c>
      <c r="F307" s="3">
        <v>1</v>
      </c>
      <c r="G307" s="22" t="s">
        <v>22</v>
      </c>
      <c r="H307" s="40" t="s">
        <v>102</v>
      </c>
      <c r="I307" s="167"/>
    </row>
    <row r="308" spans="1:9" s="39" customFormat="1" ht="39.6" x14ac:dyDescent="0.3">
      <c r="A308" s="5" t="s">
        <v>6</v>
      </c>
      <c r="B308" s="5" t="s">
        <v>6</v>
      </c>
      <c r="C308" s="27" t="s">
        <v>98</v>
      </c>
      <c r="D308" s="3">
        <f>D307+F307</f>
        <v>1835</v>
      </c>
      <c r="E308" s="3">
        <f>D308+F308-1</f>
        <v>1835</v>
      </c>
      <c r="F308" s="3">
        <v>1</v>
      </c>
      <c r="G308" s="22" t="s">
        <v>23</v>
      </c>
      <c r="H308" s="40" t="s">
        <v>102</v>
      </c>
      <c r="I308" s="167"/>
    </row>
    <row r="309" spans="1:9" s="39" customFormat="1" ht="39.6" x14ac:dyDescent="0.3">
      <c r="A309" s="88" t="s">
        <v>6</v>
      </c>
      <c r="B309" s="88" t="s">
        <v>6</v>
      </c>
      <c r="C309" s="102" t="s">
        <v>98</v>
      </c>
      <c r="D309" s="88">
        <f>D308+F308</f>
        <v>1836</v>
      </c>
      <c r="E309" s="88">
        <f>D309+F309-1</f>
        <v>1836</v>
      </c>
      <c r="F309" s="88">
        <v>1</v>
      </c>
      <c r="G309" s="103" t="s">
        <v>490</v>
      </c>
      <c r="H309" s="101" t="s">
        <v>102</v>
      </c>
      <c r="I309" s="70"/>
    </row>
    <row r="310" spans="1:9" s="39" customFormat="1" ht="14.4" x14ac:dyDescent="0.3">
      <c r="A310" s="6"/>
      <c r="B310" s="6"/>
      <c r="C310" s="28"/>
      <c r="D310" s="88">
        <f>D309+F309</f>
        <v>1837</v>
      </c>
      <c r="E310" s="88">
        <f>D310+F310-1</f>
        <v>1840</v>
      </c>
      <c r="F310" s="88">
        <v>4</v>
      </c>
      <c r="G310" s="9" t="s">
        <v>55</v>
      </c>
      <c r="H310" s="104"/>
      <c r="I310" s="42"/>
    </row>
    <row r="311" spans="1:9" s="39" customFormat="1" ht="14.4" x14ac:dyDescent="0.3">
      <c r="A311" s="5"/>
      <c r="B311" s="5"/>
      <c r="C311" s="27"/>
      <c r="D311" s="3"/>
      <c r="E311" s="3"/>
      <c r="F311" s="3"/>
      <c r="G311" s="23" t="s">
        <v>181</v>
      </c>
      <c r="H311" s="40"/>
      <c r="I311" s="42"/>
    </row>
    <row r="312" spans="1:9" s="39" customFormat="1" ht="14.4" x14ac:dyDescent="0.3">
      <c r="A312" s="5"/>
      <c r="B312" s="5"/>
      <c r="C312" s="27"/>
      <c r="D312" s="3"/>
      <c r="E312" s="3"/>
      <c r="F312" s="3"/>
      <c r="G312" s="23" t="s">
        <v>113</v>
      </c>
      <c r="H312" s="40"/>
      <c r="I312" s="42"/>
    </row>
    <row r="313" spans="1:9" s="39" customFormat="1" ht="15" customHeight="1" x14ac:dyDescent="0.3">
      <c r="A313" s="5" t="s">
        <v>6</v>
      </c>
      <c r="B313" s="5" t="s">
        <v>6</v>
      </c>
      <c r="C313" s="27" t="s">
        <v>99</v>
      </c>
      <c r="D313" s="3">
        <f>D310+F310</f>
        <v>1841</v>
      </c>
      <c r="E313" s="3">
        <f>D313+F313-1</f>
        <v>1841</v>
      </c>
      <c r="F313" s="3">
        <v>1</v>
      </c>
      <c r="G313" s="22" t="s">
        <v>126</v>
      </c>
      <c r="H313" s="167" t="s">
        <v>229</v>
      </c>
      <c r="I313" s="167" t="s">
        <v>138</v>
      </c>
    </row>
    <row r="314" spans="1:9" s="39" customFormat="1" ht="14.4" x14ac:dyDescent="0.3">
      <c r="A314" s="5" t="s">
        <v>6</v>
      </c>
      <c r="B314" s="5" t="s">
        <v>6</v>
      </c>
      <c r="C314" s="27" t="s">
        <v>99</v>
      </c>
      <c r="D314" s="3">
        <f>D313+F313</f>
        <v>1842</v>
      </c>
      <c r="E314" s="3">
        <f>D314+F314-1</f>
        <v>1842</v>
      </c>
      <c r="F314" s="3">
        <v>1</v>
      </c>
      <c r="G314" s="22" t="s">
        <v>127</v>
      </c>
      <c r="H314" s="167"/>
      <c r="I314" s="167"/>
    </row>
    <row r="315" spans="1:9" s="39" customFormat="1" ht="14.4" x14ac:dyDescent="0.3">
      <c r="A315" s="5" t="s">
        <v>6</v>
      </c>
      <c r="B315" s="5" t="s">
        <v>6</v>
      </c>
      <c r="C315" s="27" t="s">
        <v>99</v>
      </c>
      <c r="D315" s="3">
        <f t="shared" ref="D315:D326" si="44">D314+F314</f>
        <v>1843</v>
      </c>
      <c r="E315" s="3">
        <f t="shared" ref="E315:E326" si="45">D315+F315-1</f>
        <v>1843</v>
      </c>
      <c r="F315" s="3">
        <v>1</v>
      </c>
      <c r="G315" s="13" t="s">
        <v>368</v>
      </c>
      <c r="H315" s="167"/>
      <c r="I315" s="167"/>
    </row>
    <row r="316" spans="1:9" s="39" customFormat="1" ht="14.4" x14ac:dyDescent="0.3">
      <c r="A316" s="5" t="s">
        <v>6</v>
      </c>
      <c r="B316" s="5" t="s">
        <v>6</v>
      </c>
      <c r="C316" s="27" t="s">
        <v>99</v>
      </c>
      <c r="D316" s="3">
        <f t="shared" si="44"/>
        <v>1844</v>
      </c>
      <c r="E316" s="3">
        <f t="shared" si="45"/>
        <v>1844</v>
      </c>
      <c r="F316" s="3">
        <v>1</v>
      </c>
      <c r="G316" s="22" t="s">
        <v>128</v>
      </c>
      <c r="H316" s="167"/>
      <c r="I316" s="167"/>
    </row>
    <row r="317" spans="1:9" s="39" customFormat="1" ht="14.4" x14ac:dyDescent="0.3">
      <c r="A317" s="5" t="s">
        <v>6</v>
      </c>
      <c r="B317" s="5" t="s">
        <v>6</v>
      </c>
      <c r="C317" s="27" t="s">
        <v>99</v>
      </c>
      <c r="D317" s="3">
        <f t="shared" si="44"/>
        <v>1845</v>
      </c>
      <c r="E317" s="3">
        <f t="shared" si="45"/>
        <v>1845</v>
      </c>
      <c r="F317" s="3">
        <v>1</v>
      </c>
      <c r="G317" s="22" t="s">
        <v>129</v>
      </c>
      <c r="H317" s="167"/>
      <c r="I317" s="167"/>
    </row>
    <row r="318" spans="1:9" s="39" customFormat="1" ht="14.4" x14ac:dyDescent="0.3">
      <c r="A318" s="5" t="s">
        <v>6</v>
      </c>
      <c r="B318" s="5" t="s">
        <v>6</v>
      </c>
      <c r="C318" s="27" t="s">
        <v>99</v>
      </c>
      <c r="D318" s="3">
        <f t="shared" si="44"/>
        <v>1846</v>
      </c>
      <c r="E318" s="3">
        <f t="shared" si="45"/>
        <v>1846</v>
      </c>
      <c r="F318" s="3">
        <v>1</v>
      </c>
      <c r="G318" s="22" t="s">
        <v>130</v>
      </c>
      <c r="H318" s="167"/>
      <c r="I318" s="167"/>
    </row>
    <row r="319" spans="1:9" s="39" customFormat="1" ht="14.4" x14ac:dyDescent="0.3">
      <c r="A319" s="5" t="s">
        <v>6</v>
      </c>
      <c r="B319" s="5" t="s">
        <v>6</v>
      </c>
      <c r="C319" s="27" t="s">
        <v>99</v>
      </c>
      <c r="D319" s="3">
        <f t="shared" si="44"/>
        <v>1847</v>
      </c>
      <c r="E319" s="3">
        <f t="shared" si="45"/>
        <v>1847</v>
      </c>
      <c r="F319" s="3">
        <v>1</v>
      </c>
      <c r="G319" s="22" t="s">
        <v>247</v>
      </c>
      <c r="H319" s="167"/>
      <c r="I319" s="167"/>
    </row>
    <row r="320" spans="1:9" s="39" customFormat="1" ht="14.4" x14ac:dyDescent="0.3">
      <c r="A320" s="5" t="s">
        <v>6</v>
      </c>
      <c r="B320" s="5" t="s">
        <v>6</v>
      </c>
      <c r="C320" s="27" t="s">
        <v>97</v>
      </c>
      <c r="D320" s="3">
        <f t="shared" si="44"/>
        <v>1848</v>
      </c>
      <c r="E320" s="3">
        <f t="shared" si="45"/>
        <v>1848</v>
      </c>
      <c r="F320" s="3">
        <v>1</v>
      </c>
      <c r="G320" s="22" t="s">
        <v>274</v>
      </c>
      <c r="H320" s="167"/>
      <c r="I320" s="167"/>
    </row>
    <row r="321" spans="1:9" s="39" customFormat="1" ht="14.4" x14ac:dyDescent="0.3">
      <c r="A321" s="5" t="s">
        <v>6</v>
      </c>
      <c r="B321" s="5" t="s">
        <v>6</v>
      </c>
      <c r="C321" s="27" t="s">
        <v>99</v>
      </c>
      <c r="D321" s="3">
        <f>D320+F320</f>
        <v>1849</v>
      </c>
      <c r="E321" s="3">
        <f t="shared" si="45"/>
        <v>1849</v>
      </c>
      <c r="F321" s="3">
        <v>1</v>
      </c>
      <c r="G321" s="22" t="s">
        <v>131</v>
      </c>
      <c r="H321" s="167"/>
      <c r="I321" s="167"/>
    </row>
    <row r="322" spans="1:9" s="39" customFormat="1" ht="14.4" x14ac:dyDescent="0.3">
      <c r="A322" s="5" t="s">
        <v>6</v>
      </c>
      <c r="B322" s="5" t="s">
        <v>6</v>
      </c>
      <c r="C322" s="27" t="s">
        <v>99</v>
      </c>
      <c r="D322" s="3">
        <f t="shared" si="44"/>
        <v>1850</v>
      </c>
      <c r="E322" s="3">
        <f t="shared" si="45"/>
        <v>1850</v>
      </c>
      <c r="F322" s="3">
        <v>1</v>
      </c>
      <c r="G322" s="22" t="s">
        <v>132</v>
      </c>
      <c r="H322" s="167"/>
      <c r="I322" s="167"/>
    </row>
    <row r="323" spans="1:9" s="39" customFormat="1" ht="14.4" x14ac:dyDescent="0.3">
      <c r="A323" s="5" t="s">
        <v>6</v>
      </c>
      <c r="B323" s="5" t="s">
        <v>6</v>
      </c>
      <c r="C323" s="27" t="s">
        <v>99</v>
      </c>
      <c r="D323" s="3">
        <f t="shared" si="44"/>
        <v>1851</v>
      </c>
      <c r="E323" s="3">
        <f t="shared" si="45"/>
        <v>1851</v>
      </c>
      <c r="F323" s="3">
        <v>1</v>
      </c>
      <c r="G323" s="22" t="s">
        <v>133</v>
      </c>
      <c r="H323" s="167"/>
      <c r="I323" s="167"/>
    </row>
    <row r="324" spans="1:9" s="39" customFormat="1" ht="14.4" x14ac:dyDescent="0.3">
      <c r="A324" s="5" t="s">
        <v>6</v>
      </c>
      <c r="B324" s="5" t="s">
        <v>6</v>
      </c>
      <c r="C324" s="27" t="s">
        <v>99</v>
      </c>
      <c r="D324" s="3">
        <f t="shared" si="44"/>
        <v>1852</v>
      </c>
      <c r="E324" s="3">
        <f t="shared" si="45"/>
        <v>1852</v>
      </c>
      <c r="F324" s="3">
        <v>1</v>
      </c>
      <c r="G324" s="22" t="s">
        <v>134</v>
      </c>
      <c r="H324" s="167"/>
      <c r="I324" s="167"/>
    </row>
    <row r="325" spans="1:9" s="39" customFormat="1" ht="14.4" x14ac:dyDescent="0.3">
      <c r="A325" s="5" t="s">
        <v>6</v>
      </c>
      <c r="B325" s="5" t="s">
        <v>6</v>
      </c>
      <c r="C325" s="27" t="s">
        <v>99</v>
      </c>
      <c r="D325" s="3">
        <f t="shared" si="44"/>
        <v>1853</v>
      </c>
      <c r="E325" s="3">
        <f t="shared" si="45"/>
        <v>1853</v>
      </c>
      <c r="F325" s="3">
        <v>1</v>
      </c>
      <c r="G325" s="22" t="s">
        <v>135</v>
      </c>
      <c r="H325" s="167"/>
      <c r="I325" s="167"/>
    </row>
    <row r="326" spans="1:9" s="39" customFormat="1" ht="14.4" x14ac:dyDescent="0.3">
      <c r="A326" s="5" t="s">
        <v>6</v>
      </c>
      <c r="B326" s="5" t="s">
        <v>6</v>
      </c>
      <c r="C326" s="27" t="s">
        <v>99</v>
      </c>
      <c r="D326" s="3">
        <f t="shared" si="44"/>
        <v>1854</v>
      </c>
      <c r="E326" s="3">
        <f t="shared" si="45"/>
        <v>1854</v>
      </c>
      <c r="F326" s="3">
        <v>1</v>
      </c>
      <c r="G326" s="22" t="s">
        <v>136</v>
      </c>
      <c r="H326" s="167"/>
      <c r="I326" s="167"/>
    </row>
    <row r="327" spans="1:9" s="39" customFormat="1" ht="14.4" x14ac:dyDescent="0.3">
      <c r="A327" s="5"/>
      <c r="B327" s="5"/>
      <c r="C327" s="27"/>
      <c r="D327" s="3"/>
      <c r="E327" s="3"/>
      <c r="F327" s="3"/>
      <c r="G327" s="23" t="s">
        <v>335</v>
      </c>
      <c r="H327" s="42"/>
      <c r="I327" s="42"/>
    </row>
    <row r="328" spans="1:9" s="39" customFormat="1" ht="15" customHeight="1" x14ac:dyDescent="0.3">
      <c r="A328" s="5" t="s">
        <v>0</v>
      </c>
      <c r="B328" s="5" t="s">
        <v>0</v>
      </c>
      <c r="C328" s="27" t="s">
        <v>98</v>
      </c>
      <c r="D328" s="3">
        <f>D326+F326</f>
        <v>1855</v>
      </c>
      <c r="E328" s="3">
        <f>D328+F328-1</f>
        <v>1855</v>
      </c>
      <c r="F328" s="3">
        <v>1</v>
      </c>
      <c r="G328" s="22" t="s">
        <v>126</v>
      </c>
      <c r="H328" s="166" t="s">
        <v>118</v>
      </c>
      <c r="I328" s="167" t="s">
        <v>373</v>
      </c>
    </row>
    <row r="329" spans="1:9" s="39" customFormat="1" ht="14.4" x14ac:dyDescent="0.3">
      <c r="A329" s="5" t="s">
        <v>0</v>
      </c>
      <c r="B329" s="5" t="s">
        <v>0</v>
      </c>
      <c r="C329" s="27" t="s">
        <v>98</v>
      </c>
      <c r="D329" s="3">
        <f>D328+F328</f>
        <v>1856</v>
      </c>
      <c r="E329" s="3">
        <f>D329+F329-1</f>
        <v>1856</v>
      </c>
      <c r="F329" s="3">
        <v>1</v>
      </c>
      <c r="G329" s="22" t="s">
        <v>127</v>
      </c>
      <c r="H329" s="166"/>
      <c r="I329" s="167"/>
    </row>
    <row r="330" spans="1:9" s="39" customFormat="1" ht="14.4" x14ac:dyDescent="0.3">
      <c r="A330" s="5" t="s">
        <v>0</v>
      </c>
      <c r="B330" s="5" t="s">
        <v>0</v>
      </c>
      <c r="C330" s="27" t="s">
        <v>98</v>
      </c>
      <c r="D330" s="3">
        <f t="shared" ref="D330:D344" si="46">D329+F329</f>
        <v>1857</v>
      </c>
      <c r="E330" s="3">
        <f t="shared" ref="E330:E344" si="47">D330+F330-1</f>
        <v>1857</v>
      </c>
      <c r="F330" s="3">
        <v>1</v>
      </c>
      <c r="G330" s="13" t="s">
        <v>55</v>
      </c>
      <c r="H330" s="166"/>
      <c r="I330" s="167"/>
    </row>
    <row r="331" spans="1:9" s="39" customFormat="1" ht="14.4" x14ac:dyDescent="0.3">
      <c r="A331" s="5" t="s">
        <v>0</v>
      </c>
      <c r="B331" s="5" t="s">
        <v>0</v>
      </c>
      <c r="C331" s="27" t="s">
        <v>98</v>
      </c>
      <c r="D331" s="3">
        <f t="shared" si="46"/>
        <v>1858</v>
      </c>
      <c r="E331" s="3">
        <f t="shared" si="47"/>
        <v>1858</v>
      </c>
      <c r="F331" s="3">
        <v>1</v>
      </c>
      <c r="G331" s="22" t="s">
        <v>128</v>
      </c>
      <c r="H331" s="166"/>
      <c r="I331" s="167"/>
    </row>
    <row r="332" spans="1:9" s="39" customFormat="1" ht="14.4" x14ac:dyDescent="0.3">
      <c r="A332" s="5" t="s">
        <v>0</v>
      </c>
      <c r="B332" s="5" t="s">
        <v>0</v>
      </c>
      <c r="C332" s="27" t="s">
        <v>98</v>
      </c>
      <c r="D332" s="3">
        <f t="shared" si="46"/>
        <v>1859</v>
      </c>
      <c r="E332" s="3">
        <f t="shared" si="47"/>
        <v>1859</v>
      </c>
      <c r="F332" s="3">
        <v>1</v>
      </c>
      <c r="G332" s="22" t="s">
        <v>129</v>
      </c>
      <c r="H332" s="166"/>
      <c r="I332" s="167"/>
    </row>
    <row r="333" spans="1:9" s="39" customFormat="1" ht="14.4" x14ac:dyDescent="0.3">
      <c r="A333" s="5" t="s">
        <v>0</v>
      </c>
      <c r="B333" s="5" t="s">
        <v>0</v>
      </c>
      <c r="C333" s="27" t="s">
        <v>98</v>
      </c>
      <c r="D333" s="3">
        <f t="shared" si="46"/>
        <v>1860</v>
      </c>
      <c r="E333" s="3">
        <f t="shared" si="47"/>
        <v>1860</v>
      </c>
      <c r="F333" s="3">
        <v>1</v>
      </c>
      <c r="G333" s="22" t="s">
        <v>130</v>
      </c>
      <c r="H333" s="166"/>
      <c r="I333" s="167"/>
    </row>
    <row r="334" spans="1:9" s="39" customFormat="1" ht="14.4" x14ac:dyDescent="0.3">
      <c r="A334" s="5" t="s">
        <v>0</v>
      </c>
      <c r="B334" s="5" t="s">
        <v>0</v>
      </c>
      <c r="C334" s="27" t="s">
        <v>98</v>
      </c>
      <c r="D334" s="3">
        <f t="shared" si="46"/>
        <v>1861</v>
      </c>
      <c r="E334" s="3">
        <f t="shared" si="47"/>
        <v>1861</v>
      </c>
      <c r="F334" s="3">
        <v>1</v>
      </c>
      <c r="G334" s="22" t="s">
        <v>247</v>
      </c>
      <c r="H334" s="166"/>
      <c r="I334" s="167"/>
    </row>
    <row r="335" spans="1:9" s="39" customFormat="1" ht="14.4" x14ac:dyDescent="0.3">
      <c r="A335" s="5" t="s">
        <v>0</v>
      </c>
      <c r="B335" s="5" t="s">
        <v>0</v>
      </c>
      <c r="C335" s="27" t="s">
        <v>97</v>
      </c>
      <c r="D335" s="3">
        <f t="shared" si="46"/>
        <v>1862</v>
      </c>
      <c r="E335" s="3">
        <f t="shared" si="47"/>
        <v>1862</v>
      </c>
      <c r="F335" s="3">
        <v>1</v>
      </c>
      <c r="G335" s="22" t="s">
        <v>274</v>
      </c>
      <c r="H335" s="166"/>
      <c r="I335" s="167"/>
    </row>
    <row r="336" spans="1:9" s="39" customFormat="1" ht="14.4" x14ac:dyDescent="0.3">
      <c r="A336" s="5" t="s">
        <v>0</v>
      </c>
      <c r="B336" s="5" t="s">
        <v>0</v>
      </c>
      <c r="C336" s="27" t="s">
        <v>98</v>
      </c>
      <c r="D336" s="3">
        <f>D335+F335</f>
        <v>1863</v>
      </c>
      <c r="E336" s="3">
        <f t="shared" si="47"/>
        <v>1863</v>
      </c>
      <c r="F336" s="3">
        <v>1</v>
      </c>
      <c r="G336" s="22" t="s">
        <v>131</v>
      </c>
      <c r="H336" s="166"/>
      <c r="I336" s="167"/>
    </row>
    <row r="337" spans="1:9" s="39" customFormat="1" ht="14.4" x14ac:dyDescent="0.3">
      <c r="A337" s="5" t="s">
        <v>0</v>
      </c>
      <c r="B337" s="5" t="s">
        <v>0</v>
      </c>
      <c r="C337" s="27" t="s">
        <v>98</v>
      </c>
      <c r="D337" s="3">
        <f t="shared" si="46"/>
        <v>1864</v>
      </c>
      <c r="E337" s="3">
        <f t="shared" si="47"/>
        <v>1864</v>
      </c>
      <c r="F337" s="3">
        <v>1</v>
      </c>
      <c r="G337" s="22" t="s">
        <v>132</v>
      </c>
      <c r="H337" s="166"/>
      <c r="I337" s="167"/>
    </row>
    <row r="338" spans="1:9" s="39" customFormat="1" ht="14.4" x14ac:dyDescent="0.3">
      <c r="A338" s="5" t="s">
        <v>0</v>
      </c>
      <c r="B338" s="5" t="s">
        <v>0</v>
      </c>
      <c r="C338" s="27" t="s">
        <v>98</v>
      </c>
      <c r="D338" s="3">
        <f t="shared" si="46"/>
        <v>1865</v>
      </c>
      <c r="E338" s="3">
        <f t="shared" si="47"/>
        <v>1865</v>
      </c>
      <c r="F338" s="3">
        <v>1</v>
      </c>
      <c r="G338" s="22" t="s">
        <v>133</v>
      </c>
      <c r="H338" s="166"/>
      <c r="I338" s="167"/>
    </row>
    <row r="339" spans="1:9" s="39" customFormat="1" ht="14.4" x14ac:dyDescent="0.3">
      <c r="A339" s="5" t="s">
        <v>0</v>
      </c>
      <c r="B339" s="5" t="s">
        <v>0</v>
      </c>
      <c r="C339" s="27" t="s">
        <v>98</v>
      </c>
      <c r="D339" s="3">
        <f t="shared" si="46"/>
        <v>1866</v>
      </c>
      <c r="E339" s="3">
        <f t="shared" si="47"/>
        <v>1866</v>
      </c>
      <c r="F339" s="3">
        <v>1</v>
      </c>
      <c r="G339" s="22" t="s">
        <v>134</v>
      </c>
      <c r="H339" s="166"/>
      <c r="I339" s="167"/>
    </row>
    <row r="340" spans="1:9" s="39" customFormat="1" ht="14.4" x14ac:dyDescent="0.3">
      <c r="A340" s="143" t="s">
        <v>0</v>
      </c>
      <c r="B340" s="143" t="s">
        <v>0</v>
      </c>
      <c r="C340" s="144" t="s">
        <v>97</v>
      </c>
      <c r="D340" s="145">
        <f t="shared" si="46"/>
        <v>1867</v>
      </c>
      <c r="E340" s="145">
        <f t="shared" si="47"/>
        <v>1867</v>
      </c>
      <c r="F340" s="145">
        <v>1</v>
      </c>
      <c r="G340" s="146" t="s">
        <v>623</v>
      </c>
      <c r="H340" s="165" t="s">
        <v>705</v>
      </c>
      <c r="I340" s="167"/>
    </row>
    <row r="341" spans="1:9" s="39" customFormat="1" ht="14.4" x14ac:dyDescent="0.3">
      <c r="A341" s="143" t="s">
        <v>0</v>
      </c>
      <c r="B341" s="143" t="s">
        <v>0</v>
      </c>
      <c r="C341" s="144" t="s">
        <v>97</v>
      </c>
      <c r="D341" s="145">
        <f t="shared" si="46"/>
        <v>1868</v>
      </c>
      <c r="E341" s="145">
        <f t="shared" si="47"/>
        <v>1868</v>
      </c>
      <c r="F341" s="145">
        <v>1</v>
      </c>
      <c r="G341" s="146" t="s">
        <v>624</v>
      </c>
      <c r="H341" s="165"/>
      <c r="I341" s="167"/>
    </row>
    <row r="342" spans="1:9" s="39" customFormat="1" ht="14.4" x14ac:dyDescent="0.3">
      <c r="A342" s="5" t="s">
        <v>0</v>
      </c>
      <c r="B342" s="5" t="s">
        <v>0</v>
      </c>
      <c r="C342" s="27" t="s">
        <v>98</v>
      </c>
      <c r="D342" s="3">
        <f t="shared" si="46"/>
        <v>1869</v>
      </c>
      <c r="E342" s="3">
        <f t="shared" si="47"/>
        <v>1869</v>
      </c>
      <c r="F342" s="3">
        <v>1</v>
      </c>
      <c r="G342" s="22" t="s">
        <v>135</v>
      </c>
      <c r="H342" s="164"/>
      <c r="I342" s="167"/>
    </row>
    <row r="343" spans="1:9" s="39" customFormat="1" ht="14.4" x14ac:dyDescent="0.3">
      <c r="A343" s="5" t="s">
        <v>0</v>
      </c>
      <c r="B343" s="5" t="s">
        <v>0</v>
      </c>
      <c r="C343" s="27" t="s">
        <v>98</v>
      </c>
      <c r="D343" s="3">
        <f t="shared" si="46"/>
        <v>1870</v>
      </c>
      <c r="E343" s="3">
        <f t="shared" si="47"/>
        <v>1870</v>
      </c>
      <c r="F343" s="3">
        <v>1</v>
      </c>
      <c r="G343" s="22" t="s">
        <v>136</v>
      </c>
      <c r="H343" s="164"/>
      <c r="I343" s="167"/>
    </row>
    <row r="344" spans="1:9" s="39" customFormat="1" ht="14.4" x14ac:dyDescent="0.3">
      <c r="A344" s="5"/>
      <c r="B344" s="5"/>
      <c r="C344" s="27"/>
      <c r="D344" s="3">
        <f t="shared" si="46"/>
        <v>1871</v>
      </c>
      <c r="E344" s="3">
        <f t="shared" si="47"/>
        <v>1888</v>
      </c>
      <c r="F344" s="142">
        <v>18</v>
      </c>
      <c r="G344" s="22" t="s">
        <v>55</v>
      </c>
      <c r="H344" s="40"/>
      <c r="I344" s="42"/>
    </row>
    <row r="345" spans="1:9" s="39" customFormat="1" ht="14.4" x14ac:dyDescent="0.3">
      <c r="A345" s="5"/>
      <c r="B345" s="5"/>
      <c r="C345" s="3"/>
      <c r="D345" s="3"/>
      <c r="E345" s="3"/>
      <c r="F345" s="3"/>
      <c r="G345" s="23" t="s">
        <v>182</v>
      </c>
      <c r="H345" s="40"/>
      <c r="I345" s="42"/>
    </row>
    <row r="346" spans="1:9" s="39" customFormat="1" ht="66" x14ac:dyDescent="0.3">
      <c r="A346" s="5" t="s">
        <v>0</v>
      </c>
      <c r="B346" s="5" t="s">
        <v>0</v>
      </c>
      <c r="C346" s="27" t="s">
        <v>98</v>
      </c>
      <c r="D346" s="3">
        <f>D344+F344</f>
        <v>1889</v>
      </c>
      <c r="E346" s="3">
        <f t="shared" ref="E346:E353" si="48">D346+F346-1</f>
        <v>1891</v>
      </c>
      <c r="F346" s="3">
        <v>3</v>
      </c>
      <c r="G346" s="22" t="s">
        <v>24</v>
      </c>
      <c r="H346" s="42" t="s">
        <v>80</v>
      </c>
      <c r="I346" s="100" t="s">
        <v>541</v>
      </c>
    </row>
    <row r="347" spans="1:9" s="39" customFormat="1" ht="66" x14ac:dyDescent="0.3">
      <c r="A347" s="5" t="s">
        <v>0</v>
      </c>
      <c r="B347" s="5" t="s">
        <v>0</v>
      </c>
      <c r="C347" s="27" t="s">
        <v>98</v>
      </c>
      <c r="D347" s="3">
        <f t="shared" ref="D347:D353" si="49">D346+F346</f>
        <v>1892</v>
      </c>
      <c r="E347" s="3">
        <f t="shared" si="48"/>
        <v>1894</v>
      </c>
      <c r="F347" s="3">
        <v>3</v>
      </c>
      <c r="G347" s="22" t="s">
        <v>25</v>
      </c>
      <c r="H347" s="42" t="s">
        <v>80</v>
      </c>
      <c r="I347" s="100" t="s">
        <v>542</v>
      </c>
    </row>
    <row r="348" spans="1:9" s="39" customFormat="1" ht="92.4" x14ac:dyDescent="0.3">
      <c r="A348" s="5" t="s">
        <v>0</v>
      </c>
      <c r="B348" s="5" t="s">
        <v>0</v>
      </c>
      <c r="C348" s="27" t="s">
        <v>98</v>
      </c>
      <c r="D348" s="3">
        <f t="shared" si="49"/>
        <v>1895</v>
      </c>
      <c r="E348" s="3">
        <f t="shared" si="48"/>
        <v>1897</v>
      </c>
      <c r="F348" s="3">
        <v>3</v>
      </c>
      <c r="G348" s="22" t="s">
        <v>142</v>
      </c>
      <c r="H348" s="42" t="s">
        <v>80</v>
      </c>
      <c r="I348" s="105" t="s">
        <v>543</v>
      </c>
    </row>
    <row r="349" spans="1:9" s="39" customFormat="1" ht="79.2" x14ac:dyDescent="0.3">
      <c r="A349" s="5" t="s">
        <v>0</v>
      </c>
      <c r="B349" s="5" t="s">
        <v>0</v>
      </c>
      <c r="C349" s="27" t="s">
        <v>98</v>
      </c>
      <c r="D349" s="3">
        <f t="shared" si="49"/>
        <v>1898</v>
      </c>
      <c r="E349" s="3">
        <f t="shared" si="48"/>
        <v>1900</v>
      </c>
      <c r="F349" s="3">
        <v>3</v>
      </c>
      <c r="G349" s="22" t="s">
        <v>143</v>
      </c>
      <c r="H349" s="42" t="s">
        <v>85</v>
      </c>
      <c r="I349" s="100" t="s">
        <v>505</v>
      </c>
    </row>
    <row r="350" spans="1:9" s="39" customFormat="1" ht="66" x14ac:dyDescent="0.3">
      <c r="A350" s="5" t="s">
        <v>0</v>
      </c>
      <c r="B350" s="5" t="s">
        <v>0</v>
      </c>
      <c r="C350" s="27" t="s">
        <v>98</v>
      </c>
      <c r="D350" s="3">
        <f t="shared" si="49"/>
        <v>1901</v>
      </c>
      <c r="E350" s="3">
        <f t="shared" si="48"/>
        <v>1903</v>
      </c>
      <c r="F350" s="3">
        <v>3</v>
      </c>
      <c r="G350" s="22" t="s">
        <v>30</v>
      </c>
      <c r="H350" s="104" t="s">
        <v>512</v>
      </c>
      <c r="I350" s="12" t="s">
        <v>604</v>
      </c>
    </row>
    <row r="351" spans="1:9" s="39" customFormat="1" ht="105.6" x14ac:dyDescent="0.3">
      <c r="A351" s="5" t="s">
        <v>0</v>
      </c>
      <c r="B351" s="5" t="s">
        <v>0</v>
      </c>
      <c r="C351" s="27" t="s">
        <v>98</v>
      </c>
      <c r="D351" s="3">
        <f t="shared" si="49"/>
        <v>1904</v>
      </c>
      <c r="E351" s="3">
        <f t="shared" si="48"/>
        <v>1906</v>
      </c>
      <c r="F351" s="88">
        <v>3</v>
      </c>
      <c r="G351" s="22" t="s">
        <v>120</v>
      </c>
      <c r="H351" s="101" t="s">
        <v>544</v>
      </c>
      <c r="I351" s="52" t="s">
        <v>254</v>
      </c>
    </row>
    <row r="352" spans="1:9" s="39" customFormat="1" ht="92.4" x14ac:dyDescent="0.3">
      <c r="A352" s="5" t="s">
        <v>0</v>
      </c>
      <c r="B352" s="5" t="s">
        <v>0</v>
      </c>
      <c r="C352" s="27" t="s">
        <v>356</v>
      </c>
      <c r="D352" s="3">
        <f t="shared" si="49"/>
        <v>1907</v>
      </c>
      <c r="E352" s="3">
        <f t="shared" si="48"/>
        <v>1909</v>
      </c>
      <c r="F352" s="3">
        <v>3</v>
      </c>
      <c r="G352" s="22" t="s">
        <v>124</v>
      </c>
      <c r="H352" s="101" t="s">
        <v>441</v>
      </c>
      <c r="I352" s="43" t="s">
        <v>255</v>
      </c>
    </row>
    <row r="353" spans="1:9" s="39" customFormat="1" ht="14.4" x14ac:dyDescent="0.3">
      <c r="A353" s="5"/>
      <c r="B353" s="5"/>
      <c r="C353" s="27"/>
      <c r="D353" s="3">
        <f t="shared" si="49"/>
        <v>1910</v>
      </c>
      <c r="E353" s="3">
        <f t="shared" si="48"/>
        <v>1923</v>
      </c>
      <c r="F353" s="88">
        <v>14</v>
      </c>
      <c r="G353" s="22" t="s">
        <v>55</v>
      </c>
      <c r="H353" s="40"/>
      <c r="I353" s="43"/>
    </row>
    <row r="354" spans="1:9" s="39" customFormat="1" ht="14.4" x14ac:dyDescent="0.3">
      <c r="A354" s="5"/>
      <c r="B354" s="5"/>
      <c r="C354" s="27"/>
      <c r="D354" s="3"/>
      <c r="E354" s="3"/>
      <c r="F354" s="3"/>
      <c r="G354" s="23" t="s">
        <v>248</v>
      </c>
      <c r="H354" s="40"/>
      <c r="I354" s="43"/>
    </row>
    <row r="355" spans="1:9" s="39" customFormat="1" ht="14.4" x14ac:dyDescent="0.3">
      <c r="A355" s="5" t="s">
        <v>6</v>
      </c>
      <c r="B355" s="5" t="s">
        <v>6</v>
      </c>
      <c r="C355" s="27" t="s">
        <v>98</v>
      </c>
      <c r="D355" s="3">
        <f>D353+F353</f>
        <v>1924</v>
      </c>
      <c r="E355" s="3">
        <f>D355+F355-1</f>
        <v>1926</v>
      </c>
      <c r="F355" s="3">
        <v>3</v>
      </c>
      <c r="G355" s="22" t="s">
        <v>230</v>
      </c>
      <c r="H355" s="174" t="s">
        <v>512</v>
      </c>
      <c r="I355" s="170" t="s">
        <v>232</v>
      </c>
    </row>
    <row r="356" spans="1:9" s="39" customFormat="1" ht="25.2" customHeight="1" x14ac:dyDescent="0.3">
      <c r="A356" s="5" t="s">
        <v>6</v>
      </c>
      <c r="B356" s="5" t="s">
        <v>6</v>
      </c>
      <c r="C356" s="27" t="s">
        <v>98</v>
      </c>
      <c r="D356" s="3">
        <f>D355+F355</f>
        <v>1927</v>
      </c>
      <c r="E356" s="3">
        <f>D356+F356-1</f>
        <v>1929</v>
      </c>
      <c r="F356" s="3">
        <v>3</v>
      </c>
      <c r="G356" s="22" t="s">
        <v>231</v>
      </c>
      <c r="H356" s="175"/>
      <c r="I356" s="173"/>
    </row>
    <row r="357" spans="1:9" s="39" customFormat="1" ht="28.2" customHeight="1" x14ac:dyDescent="0.3">
      <c r="A357" s="78"/>
      <c r="B357" s="78"/>
      <c r="C357" s="79"/>
      <c r="D357" s="80"/>
      <c r="E357" s="80"/>
      <c r="F357" s="80"/>
      <c r="G357" s="147" t="s">
        <v>660</v>
      </c>
      <c r="H357" s="110"/>
      <c r="I357" s="124"/>
    </row>
    <row r="358" spans="1:9" s="39" customFormat="1" ht="52.8" x14ac:dyDescent="0.3">
      <c r="A358" s="86" t="s">
        <v>0</v>
      </c>
      <c r="B358" s="86" t="s">
        <v>0</v>
      </c>
      <c r="C358" s="79" t="s">
        <v>98</v>
      </c>
      <c r="D358" s="80">
        <f>D356+F356</f>
        <v>1930</v>
      </c>
      <c r="E358" s="87">
        <f t="shared" ref="E358:E370" si="50">D358+F358-1</f>
        <v>1933</v>
      </c>
      <c r="F358" s="88">
        <v>4</v>
      </c>
      <c r="G358" s="89" t="s">
        <v>401</v>
      </c>
      <c r="H358" s="91" t="s">
        <v>522</v>
      </c>
      <c r="I358" s="139" t="s">
        <v>665</v>
      </c>
    </row>
    <row r="359" spans="1:9" s="39" customFormat="1" ht="79.2" x14ac:dyDescent="0.3">
      <c r="A359" s="86" t="s">
        <v>0</v>
      </c>
      <c r="B359" s="86" t="s">
        <v>0</v>
      </c>
      <c r="C359" s="79" t="s">
        <v>98</v>
      </c>
      <c r="D359" s="88">
        <f t="shared" ref="D359" si="51">D358+F358</f>
        <v>1934</v>
      </c>
      <c r="E359" s="87">
        <f t="shared" si="50"/>
        <v>1934</v>
      </c>
      <c r="F359" s="88">
        <v>1</v>
      </c>
      <c r="G359" s="89" t="s">
        <v>402</v>
      </c>
      <c r="H359" s="91" t="s">
        <v>403</v>
      </c>
      <c r="I359" s="124" t="s">
        <v>560</v>
      </c>
    </row>
    <row r="360" spans="1:9" s="39" customFormat="1" ht="66" x14ac:dyDescent="0.3">
      <c r="A360" s="86" t="s">
        <v>0</v>
      </c>
      <c r="B360" s="86" t="s">
        <v>0</v>
      </c>
      <c r="C360" s="79" t="s">
        <v>98</v>
      </c>
      <c r="D360" s="88">
        <f>D359+F359</f>
        <v>1935</v>
      </c>
      <c r="E360" s="87">
        <f t="shared" si="50"/>
        <v>1937</v>
      </c>
      <c r="F360" s="88">
        <v>3</v>
      </c>
      <c r="G360" s="89" t="s">
        <v>404</v>
      </c>
      <c r="H360" s="91" t="s">
        <v>85</v>
      </c>
      <c r="I360" s="139" t="s">
        <v>666</v>
      </c>
    </row>
    <row r="361" spans="1:9" s="39" customFormat="1" ht="66" x14ac:dyDescent="0.3">
      <c r="A361" s="86" t="s">
        <v>0</v>
      </c>
      <c r="B361" s="86" t="s">
        <v>0</v>
      </c>
      <c r="C361" s="79" t="s">
        <v>98</v>
      </c>
      <c r="D361" s="88">
        <f>D360+F360</f>
        <v>1938</v>
      </c>
      <c r="E361" s="87">
        <f t="shared" si="50"/>
        <v>1941</v>
      </c>
      <c r="F361" s="88">
        <v>4</v>
      </c>
      <c r="G361" s="89" t="s">
        <v>405</v>
      </c>
      <c r="H361" s="91" t="s">
        <v>522</v>
      </c>
      <c r="I361" s="139" t="s">
        <v>664</v>
      </c>
    </row>
    <row r="362" spans="1:9" s="39" customFormat="1" ht="92.4" x14ac:dyDescent="0.3">
      <c r="A362" s="86" t="s">
        <v>0</v>
      </c>
      <c r="B362" s="86" t="s">
        <v>0</v>
      </c>
      <c r="C362" s="79" t="s">
        <v>98</v>
      </c>
      <c r="D362" s="88">
        <f t="shared" ref="D362" si="52">D361+F361</f>
        <v>1942</v>
      </c>
      <c r="E362" s="87">
        <f t="shared" si="50"/>
        <v>1942</v>
      </c>
      <c r="F362" s="88">
        <v>1</v>
      </c>
      <c r="G362" s="89" t="s">
        <v>406</v>
      </c>
      <c r="H362" s="91" t="s">
        <v>403</v>
      </c>
      <c r="I362" s="124" t="s">
        <v>561</v>
      </c>
    </row>
    <row r="363" spans="1:9" s="39" customFormat="1" ht="66" x14ac:dyDescent="0.3">
      <c r="A363" s="86" t="s">
        <v>0</v>
      </c>
      <c r="B363" s="86" t="s">
        <v>0</v>
      </c>
      <c r="C363" s="79" t="s">
        <v>98</v>
      </c>
      <c r="D363" s="88">
        <f>D362+F362</f>
        <v>1943</v>
      </c>
      <c r="E363" s="87">
        <f t="shared" si="50"/>
        <v>1945</v>
      </c>
      <c r="F363" s="88">
        <v>3</v>
      </c>
      <c r="G363" s="89" t="s">
        <v>407</v>
      </c>
      <c r="H363" s="91" t="s">
        <v>85</v>
      </c>
      <c r="I363" s="139" t="s">
        <v>661</v>
      </c>
    </row>
    <row r="364" spans="1:9" s="39" customFormat="1" ht="66" x14ac:dyDescent="0.3">
      <c r="A364" s="86" t="s">
        <v>0</v>
      </c>
      <c r="B364" s="86" t="s">
        <v>0</v>
      </c>
      <c r="C364" s="79" t="s">
        <v>98</v>
      </c>
      <c r="D364" s="88">
        <f>D363+F363</f>
        <v>1946</v>
      </c>
      <c r="E364" s="87">
        <f t="shared" si="50"/>
        <v>1949</v>
      </c>
      <c r="F364" s="88">
        <v>4</v>
      </c>
      <c r="G364" s="89" t="s">
        <v>408</v>
      </c>
      <c r="H364" s="91" t="s">
        <v>522</v>
      </c>
      <c r="I364" s="139" t="s">
        <v>663</v>
      </c>
    </row>
    <row r="365" spans="1:9" s="39" customFormat="1" ht="105.6" x14ac:dyDescent="0.3">
      <c r="A365" s="86" t="s">
        <v>0</v>
      </c>
      <c r="B365" s="86" t="s">
        <v>0</v>
      </c>
      <c r="C365" s="79" t="s">
        <v>98</v>
      </c>
      <c r="D365" s="88">
        <f t="shared" ref="D365" si="53">D364+F364</f>
        <v>1950</v>
      </c>
      <c r="E365" s="87">
        <f t="shared" si="50"/>
        <v>1950</v>
      </c>
      <c r="F365" s="88">
        <v>1</v>
      </c>
      <c r="G365" s="89" t="s">
        <v>409</v>
      </c>
      <c r="H365" s="91" t="s">
        <v>403</v>
      </c>
      <c r="I365" s="124" t="s">
        <v>562</v>
      </c>
    </row>
    <row r="366" spans="1:9" s="39" customFormat="1" ht="79.2" x14ac:dyDescent="0.3">
      <c r="A366" s="86" t="s">
        <v>0</v>
      </c>
      <c r="B366" s="86" t="s">
        <v>0</v>
      </c>
      <c r="C366" s="79" t="s">
        <v>98</v>
      </c>
      <c r="D366" s="88">
        <f>D365+F365</f>
        <v>1951</v>
      </c>
      <c r="E366" s="87">
        <f t="shared" si="50"/>
        <v>1953</v>
      </c>
      <c r="F366" s="88">
        <v>3</v>
      </c>
      <c r="G366" s="89" t="s">
        <v>410</v>
      </c>
      <c r="H366" s="90" t="s">
        <v>85</v>
      </c>
      <c r="I366" s="150" t="s">
        <v>662</v>
      </c>
    </row>
    <row r="367" spans="1:9" s="39" customFormat="1" ht="66" x14ac:dyDescent="0.3">
      <c r="A367" s="86" t="s">
        <v>0</v>
      </c>
      <c r="B367" s="86" t="s">
        <v>0</v>
      </c>
      <c r="C367" s="79" t="s">
        <v>98</v>
      </c>
      <c r="D367" s="88">
        <f>D366+F366</f>
        <v>1954</v>
      </c>
      <c r="E367" s="87">
        <f t="shared" si="50"/>
        <v>1957</v>
      </c>
      <c r="F367" s="88">
        <v>4</v>
      </c>
      <c r="G367" s="89" t="s">
        <v>411</v>
      </c>
      <c r="H367" s="91" t="s">
        <v>522</v>
      </c>
      <c r="I367" s="92" t="s">
        <v>644</v>
      </c>
    </row>
    <row r="368" spans="1:9" s="39" customFormat="1" ht="79.2" x14ac:dyDescent="0.3">
      <c r="A368" s="86" t="s">
        <v>0</v>
      </c>
      <c r="B368" s="86" t="s">
        <v>0</v>
      </c>
      <c r="C368" s="79" t="s">
        <v>98</v>
      </c>
      <c r="D368" s="88">
        <f t="shared" ref="D368" si="54">D367+F367</f>
        <v>1958</v>
      </c>
      <c r="E368" s="87">
        <f t="shared" si="50"/>
        <v>1958</v>
      </c>
      <c r="F368" s="88">
        <v>1</v>
      </c>
      <c r="G368" s="89" t="s">
        <v>412</v>
      </c>
      <c r="H368" s="91" t="s">
        <v>403</v>
      </c>
      <c r="I368" s="132" t="s">
        <v>612</v>
      </c>
    </row>
    <row r="369" spans="1:9" s="39" customFormat="1" ht="66" x14ac:dyDescent="0.3">
      <c r="A369" s="86" t="s">
        <v>0</v>
      </c>
      <c r="B369" s="86" t="s">
        <v>0</v>
      </c>
      <c r="C369" s="79" t="s">
        <v>98</v>
      </c>
      <c r="D369" s="88">
        <f>D368+F368</f>
        <v>1959</v>
      </c>
      <c r="E369" s="87">
        <f t="shared" si="50"/>
        <v>1961</v>
      </c>
      <c r="F369" s="88">
        <v>3</v>
      </c>
      <c r="G369" s="89" t="s">
        <v>413</v>
      </c>
      <c r="H369" s="90" t="s">
        <v>85</v>
      </c>
      <c r="I369" s="150" t="s">
        <v>667</v>
      </c>
    </row>
    <row r="370" spans="1:9" s="39" customFormat="1" ht="14.4" x14ac:dyDescent="0.3">
      <c r="A370" s="86"/>
      <c r="B370" s="86"/>
      <c r="C370" s="79"/>
      <c r="D370" s="88">
        <f>D369+F369</f>
        <v>1962</v>
      </c>
      <c r="E370" s="87">
        <f t="shared" si="50"/>
        <v>1962</v>
      </c>
      <c r="F370" s="78">
        <v>1</v>
      </c>
      <c r="G370" s="89" t="s">
        <v>55</v>
      </c>
      <c r="H370" s="90"/>
      <c r="I370" s="92"/>
    </row>
    <row r="371" spans="1:9" s="62" customFormat="1" ht="22.95" customHeight="1" x14ac:dyDescent="0.25">
      <c r="A371" s="86"/>
      <c r="B371" s="86"/>
      <c r="C371" s="79"/>
      <c r="D371" s="88"/>
      <c r="E371" s="87" t="s">
        <v>456</v>
      </c>
      <c r="F371" s="88"/>
      <c r="G371" s="127" t="s">
        <v>480</v>
      </c>
      <c r="H371" s="90"/>
      <c r="I371" s="92"/>
    </row>
    <row r="372" spans="1:9" s="62" customFormat="1" ht="99.6" customHeight="1" x14ac:dyDescent="0.25">
      <c r="A372" s="86" t="s">
        <v>0</v>
      </c>
      <c r="B372" s="86" t="s">
        <v>0</v>
      </c>
      <c r="C372" s="79" t="s">
        <v>98</v>
      </c>
      <c r="D372" s="88">
        <f>D370+F370</f>
        <v>1963</v>
      </c>
      <c r="E372" s="87">
        <f t="shared" ref="E372:E377" si="55">D372+F372-1</f>
        <v>1966</v>
      </c>
      <c r="F372" s="88">
        <v>4</v>
      </c>
      <c r="G372" s="89" t="s">
        <v>476</v>
      </c>
      <c r="H372" s="91" t="s">
        <v>522</v>
      </c>
      <c r="I372" s="92" t="s">
        <v>477</v>
      </c>
    </row>
    <row r="373" spans="1:9" s="62" customFormat="1" ht="102" customHeight="1" x14ac:dyDescent="0.25">
      <c r="A373" s="86" t="s">
        <v>0</v>
      </c>
      <c r="B373" s="86" t="s">
        <v>0</v>
      </c>
      <c r="C373" s="79" t="s">
        <v>98</v>
      </c>
      <c r="D373" s="88">
        <f t="shared" ref="D373:D378" si="56">D372+F372</f>
        <v>1967</v>
      </c>
      <c r="E373" s="87">
        <f t="shared" si="55"/>
        <v>1967</v>
      </c>
      <c r="F373" s="88">
        <v>1</v>
      </c>
      <c r="G373" s="89" t="s">
        <v>478</v>
      </c>
      <c r="H373" s="90" t="s">
        <v>403</v>
      </c>
      <c r="I373" s="124" t="s">
        <v>479</v>
      </c>
    </row>
    <row r="374" spans="1:9" s="62" customFormat="1" ht="76.95" customHeight="1" x14ac:dyDescent="0.25">
      <c r="A374" s="86" t="s">
        <v>0</v>
      </c>
      <c r="B374" s="86" t="s">
        <v>0</v>
      </c>
      <c r="C374" s="79" t="s">
        <v>98</v>
      </c>
      <c r="D374" s="88">
        <f t="shared" si="56"/>
        <v>1968</v>
      </c>
      <c r="E374" s="87">
        <f t="shared" si="55"/>
        <v>1970</v>
      </c>
      <c r="F374" s="88">
        <v>3</v>
      </c>
      <c r="G374" s="89" t="s">
        <v>563</v>
      </c>
      <c r="H374" s="91" t="s">
        <v>85</v>
      </c>
      <c r="I374" s="139" t="s">
        <v>696</v>
      </c>
    </row>
    <row r="375" spans="1:9" s="62" customFormat="1" ht="33.6" customHeight="1" x14ac:dyDescent="0.25">
      <c r="A375" s="86" t="s">
        <v>0</v>
      </c>
      <c r="B375" s="86" t="s">
        <v>0</v>
      </c>
      <c r="C375" s="79" t="s">
        <v>98</v>
      </c>
      <c r="D375" s="88">
        <f t="shared" si="56"/>
        <v>1971</v>
      </c>
      <c r="E375" s="87">
        <f t="shared" si="55"/>
        <v>1974</v>
      </c>
      <c r="F375" s="88">
        <v>4</v>
      </c>
      <c r="G375" s="89" t="s">
        <v>484</v>
      </c>
      <c r="H375" s="91" t="s">
        <v>522</v>
      </c>
      <c r="I375" s="124" t="s">
        <v>486</v>
      </c>
    </row>
    <row r="376" spans="1:9" s="62" customFormat="1" ht="37.200000000000003" customHeight="1" x14ac:dyDescent="0.25">
      <c r="A376" s="86" t="s">
        <v>0</v>
      </c>
      <c r="B376" s="86" t="s">
        <v>0</v>
      </c>
      <c r="C376" s="79" t="s">
        <v>98</v>
      </c>
      <c r="D376" s="88">
        <f t="shared" si="56"/>
        <v>1975</v>
      </c>
      <c r="E376" s="87">
        <f t="shared" si="55"/>
        <v>1975</v>
      </c>
      <c r="F376" s="88">
        <v>1</v>
      </c>
      <c r="G376" s="89" t="s">
        <v>483</v>
      </c>
      <c r="H376" s="91" t="s">
        <v>403</v>
      </c>
      <c r="I376" s="124" t="s">
        <v>487</v>
      </c>
    </row>
    <row r="377" spans="1:9" s="62" customFormat="1" ht="47.4" customHeight="1" x14ac:dyDescent="0.25">
      <c r="A377" s="86" t="s">
        <v>0</v>
      </c>
      <c r="B377" s="86" t="s">
        <v>0</v>
      </c>
      <c r="C377" s="79" t="s">
        <v>98</v>
      </c>
      <c r="D377" s="88">
        <f t="shared" si="56"/>
        <v>1976</v>
      </c>
      <c r="E377" s="87">
        <f t="shared" si="55"/>
        <v>1978</v>
      </c>
      <c r="F377" s="88">
        <v>3</v>
      </c>
      <c r="G377" s="89" t="s">
        <v>485</v>
      </c>
      <c r="H377" s="90" t="s">
        <v>85</v>
      </c>
      <c r="I377" s="92" t="s">
        <v>488</v>
      </c>
    </row>
    <row r="378" spans="1:9" s="39" customFormat="1" ht="14.4" x14ac:dyDescent="0.3">
      <c r="A378" s="5"/>
      <c r="B378" s="5"/>
      <c r="C378" s="27"/>
      <c r="D378" s="88">
        <f t="shared" si="56"/>
        <v>1979</v>
      </c>
      <c r="E378" s="3">
        <f>D378+F378-1</f>
        <v>1979</v>
      </c>
      <c r="F378" s="128">
        <v>1</v>
      </c>
      <c r="G378" s="22" t="s">
        <v>55</v>
      </c>
      <c r="H378" s="76"/>
      <c r="I378" s="77"/>
    </row>
    <row r="379" spans="1:9" s="39" customFormat="1" ht="14.4" x14ac:dyDescent="0.3">
      <c r="A379" s="5"/>
      <c r="B379" s="5"/>
      <c r="C379" s="27"/>
      <c r="D379" s="3"/>
      <c r="E379" s="3"/>
      <c r="F379" s="3"/>
      <c r="G379" s="23" t="s">
        <v>336</v>
      </c>
      <c r="H379" s="68"/>
      <c r="I379" s="69"/>
    </row>
    <row r="380" spans="1:9" s="39" customFormat="1" ht="26.4" x14ac:dyDescent="0.3">
      <c r="A380" s="5" t="s">
        <v>0</v>
      </c>
      <c r="B380" s="5" t="s">
        <v>0</v>
      </c>
      <c r="C380" s="27" t="s">
        <v>356</v>
      </c>
      <c r="D380" s="3">
        <f>D378+F378</f>
        <v>1980</v>
      </c>
      <c r="E380" s="3">
        <f t="shared" ref="E380:E388" si="57">D380+F380-1</f>
        <v>1981</v>
      </c>
      <c r="F380" s="5">
        <v>2</v>
      </c>
      <c r="G380" s="13" t="s">
        <v>343</v>
      </c>
      <c r="H380" s="40" t="s">
        <v>92</v>
      </c>
      <c r="I380" s="42" t="s">
        <v>153</v>
      </c>
    </row>
    <row r="381" spans="1:9" s="39" customFormat="1" ht="66" x14ac:dyDescent="0.3">
      <c r="A381" s="5" t="s">
        <v>0</v>
      </c>
      <c r="B381" s="5" t="s">
        <v>0</v>
      </c>
      <c r="C381" s="27" t="s">
        <v>98</v>
      </c>
      <c r="D381" s="3">
        <f t="shared" ref="D381:D388" si="58">D380+F380</f>
        <v>1982</v>
      </c>
      <c r="E381" s="3">
        <f t="shared" si="57"/>
        <v>1982</v>
      </c>
      <c r="F381" s="3">
        <v>1</v>
      </c>
      <c r="G381" s="22" t="s">
        <v>26</v>
      </c>
      <c r="H381" s="40" t="s">
        <v>125</v>
      </c>
      <c r="I381" s="42" t="s">
        <v>372</v>
      </c>
    </row>
    <row r="382" spans="1:9" s="39" customFormat="1" ht="39.6" x14ac:dyDescent="0.3">
      <c r="A382" s="5" t="s">
        <v>0</v>
      </c>
      <c r="B382" s="5" t="s">
        <v>0</v>
      </c>
      <c r="C382" s="27" t="s">
        <v>98</v>
      </c>
      <c r="D382" s="3">
        <f t="shared" si="58"/>
        <v>1983</v>
      </c>
      <c r="E382" s="3">
        <f t="shared" si="57"/>
        <v>1983</v>
      </c>
      <c r="F382" s="3">
        <v>1</v>
      </c>
      <c r="G382" s="22" t="s">
        <v>27</v>
      </c>
      <c r="H382" s="40" t="s">
        <v>81</v>
      </c>
      <c r="I382" s="42" t="s">
        <v>121</v>
      </c>
    </row>
    <row r="383" spans="1:9" s="39" customFormat="1" ht="39.6" x14ac:dyDescent="0.3">
      <c r="A383" s="5" t="s">
        <v>0</v>
      </c>
      <c r="B383" s="5" t="s">
        <v>0</v>
      </c>
      <c r="C383" s="27" t="s">
        <v>99</v>
      </c>
      <c r="D383" s="3">
        <f t="shared" si="58"/>
        <v>1984</v>
      </c>
      <c r="E383" s="3">
        <f t="shared" si="57"/>
        <v>1984</v>
      </c>
      <c r="F383" s="3">
        <v>1</v>
      </c>
      <c r="G383" s="22" t="s">
        <v>122</v>
      </c>
      <c r="H383" s="40" t="s">
        <v>233</v>
      </c>
      <c r="I383" s="42" t="s">
        <v>234</v>
      </c>
    </row>
    <row r="384" spans="1:9" s="39" customFormat="1" ht="52.8" x14ac:dyDescent="0.3">
      <c r="A384" s="5" t="s">
        <v>0</v>
      </c>
      <c r="B384" s="5" t="s">
        <v>0</v>
      </c>
      <c r="C384" s="27" t="s">
        <v>98</v>
      </c>
      <c r="D384" s="3">
        <f t="shared" si="58"/>
        <v>1985</v>
      </c>
      <c r="E384" s="3">
        <f t="shared" si="57"/>
        <v>1985</v>
      </c>
      <c r="F384" s="3">
        <v>1</v>
      </c>
      <c r="G384" s="22" t="s">
        <v>28</v>
      </c>
      <c r="H384" s="40" t="s">
        <v>82</v>
      </c>
      <c r="I384" s="42" t="s">
        <v>236</v>
      </c>
    </row>
    <row r="385" spans="1:9" s="39" customFormat="1" ht="177" customHeight="1" x14ac:dyDescent="0.3">
      <c r="A385" s="5" t="s">
        <v>0</v>
      </c>
      <c r="B385" s="5" t="s">
        <v>0</v>
      </c>
      <c r="C385" s="27" t="s">
        <v>98</v>
      </c>
      <c r="D385" s="3">
        <f t="shared" si="58"/>
        <v>1986</v>
      </c>
      <c r="E385" s="3">
        <f t="shared" si="57"/>
        <v>1986</v>
      </c>
      <c r="F385" s="3">
        <v>1</v>
      </c>
      <c r="G385" s="22" t="s">
        <v>32</v>
      </c>
      <c r="H385" s="40" t="s">
        <v>79</v>
      </c>
      <c r="I385" s="42" t="s">
        <v>329</v>
      </c>
    </row>
    <row r="386" spans="1:9" s="39" customFormat="1" ht="66" x14ac:dyDescent="0.3">
      <c r="A386" s="5" t="s">
        <v>0</v>
      </c>
      <c r="B386" s="5" t="s">
        <v>0</v>
      </c>
      <c r="C386" s="27" t="s">
        <v>98</v>
      </c>
      <c r="D386" s="3">
        <f t="shared" si="58"/>
        <v>1987</v>
      </c>
      <c r="E386" s="3">
        <f t="shared" si="57"/>
        <v>1987</v>
      </c>
      <c r="F386" s="3">
        <v>1</v>
      </c>
      <c r="G386" s="22" t="s">
        <v>29</v>
      </c>
      <c r="H386" s="40" t="s">
        <v>78</v>
      </c>
      <c r="I386" s="42" t="s">
        <v>680</v>
      </c>
    </row>
    <row r="387" spans="1:9" s="39" customFormat="1" ht="39.6" x14ac:dyDescent="0.3">
      <c r="A387" s="5" t="s">
        <v>6</v>
      </c>
      <c r="B387" s="5" t="s">
        <v>6</v>
      </c>
      <c r="C387" s="27" t="s">
        <v>99</v>
      </c>
      <c r="D387" s="3">
        <f t="shared" si="58"/>
        <v>1988</v>
      </c>
      <c r="E387" s="3">
        <f t="shared" si="57"/>
        <v>1988</v>
      </c>
      <c r="F387" s="3">
        <v>1</v>
      </c>
      <c r="G387" s="22" t="s">
        <v>119</v>
      </c>
      <c r="H387" s="41" t="s">
        <v>370</v>
      </c>
      <c r="I387" s="42" t="s">
        <v>371</v>
      </c>
    </row>
    <row r="388" spans="1:9" s="39" customFormat="1" ht="14.4" x14ac:dyDescent="0.3">
      <c r="A388" s="5"/>
      <c r="B388" s="5"/>
      <c r="C388" s="28"/>
      <c r="D388" s="3">
        <f t="shared" si="58"/>
        <v>1989</v>
      </c>
      <c r="E388" s="3">
        <f t="shared" si="57"/>
        <v>1990</v>
      </c>
      <c r="F388" s="6">
        <v>2</v>
      </c>
      <c r="G388" s="9" t="s">
        <v>55</v>
      </c>
      <c r="H388" s="40"/>
      <c r="I388" s="42"/>
    </row>
    <row r="389" spans="1:9" s="39" customFormat="1" ht="14.4" x14ac:dyDescent="0.3">
      <c r="A389" s="5"/>
      <c r="B389" s="5"/>
      <c r="C389" s="28"/>
      <c r="D389" s="3"/>
      <c r="E389" s="3"/>
      <c r="F389" s="6"/>
      <c r="G389" s="23" t="s">
        <v>152</v>
      </c>
      <c r="H389" s="40"/>
      <c r="I389" s="42"/>
    </row>
    <row r="390" spans="1:9" s="39" customFormat="1" ht="92.4" x14ac:dyDescent="0.3">
      <c r="A390" s="5" t="s">
        <v>6</v>
      </c>
      <c r="B390" s="5" t="s">
        <v>6</v>
      </c>
      <c r="C390" s="28" t="s">
        <v>99</v>
      </c>
      <c r="D390" s="3">
        <f>D388+F388</f>
        <v>1991</v>
      </c>
      <c r="E390" s="3">
        <f>D390+F390-1</f>
        <v>1991</v>
      </c>
      <c r="F390" s="6">
        <v>1</v>
      </c>
      <c r="G390" s="13" t="s">
        <v>330</v>
      </c>
      <c r="H390" s="43" t="s">
        <v>118</v>
      </c>
      <c r="I390" s="42" t="s">
        <v>331</v>
      </c>
    </row>
    <row r="391" spans="1:9" s="39" customFormat="1" ht="66" x14ac:dyDescent="0.3">
      <c r="A391" s="5" t="s">
        <v>6</v>
      </c>
      <c r="B391" s="5" t="s">
        <v>6</v>
      </c>
      <c r="C391" s="28" t="s">
        <v>99</v>
      </c>
      <c r="D391" s="3">
        <f>D390+F390</f>
        <v>1992</v>
      </c>
      <c r="E391" s="3">
        <f>D391+F391-1</f>
        <v>1992</v>
      </c>
      <c r="F391" s="6">
        <v>1</v>
      </c>
      <c r="G391" s="9" t="s">
        <v>116</v>
      </c>
      <c r="H391" s="43" t="s">
        <v>118</v>
      </c>
      <c r="I391" s="42" t="s">
        <v>156</v>
      </c>
    </row>
    <row r="392" spans="1:9" s="39" customFormat="1" ht="66" x14ac:dyDescent="0.3">
      <c r="A392" s="5" t="s">
        <v>6</v>
      </c>
      <c r="B392" s="5" t="s">
        <v>6</v>
      </c>
      <c r="C392" s="28" t="s">
        <v>99</v>
      </c>
      <c r="D392" s="3">
        <f>D391+F391</f>
        <v>1993</v>
      </c>
      <c r="E392" s="3">
        <f>D392+F392-1</f>
        <v>1993</v>
      </c>
      <c r="F392" s="6">
        <v>1</v>
      </c>
      <c r="G392" s="9" t="s">
        <v>117</v>
      </c>
      <c r="H392" s="43" t="s">
        <v>118</v>
      </c>
      <c r="I392" s="42" t="s">
        <v>237</v>
      </c>
    </row>
    <row r="393" spans="1:9" s="39" customFormat="1" ht="14.4" x14ac:dyDescent="0.3">
      <c r="A393" s="5"/>
      <c r="B393" s="5"/>
      <c r="C393" s="28"/>
      <c r="D393" s="3">
        <f>D392+F392</f>
        <v>1994</v>
      </c>
      <c r="E393" s="3">
        <f>D393+F393-1</f>
        <v>2003</v>
      </c>
      <c r="F393" s="6">
        <v>10</v>
      </c>
      <c r="G393" s="9" t="s">
        <v>55</v>
      </c>
      <c r="H393" s="43"/>
      <c r="I393" s="42"/>
    </row>
    <row r="394" spans="1:9" s="39" customFormat="1" ht="14.4" x14ac:dyDescent="0.3">
      <c r="A394" s="5"/>
      <c r="B394" s="5"/>
      <c r="C394" s="27"/>
      <c r="D394" s="3"/>
      <c r="E394" s="3"/>
      <c r="F394" s="3"/>
      <c r="G394" s="23" t="s">
        <v>36</v>
      </c>
      <c r="H394" s="40"/>
      <c r="I394" s="42"/>
    </row>
    <row r="395" spans="1:9" s="39" customFormat="1" ht="26.4" x14ac:dyDescent="0.3">
      <c r="A395" s="143" t="s">
        <v>622</v>
      </c>
      <c r="B395" s="143" t="s">
        <v>622</v>
      </c>
      <c r="C395" s="3" t="s">
        <v>96</v>
      </c>
      <c r="D395" s="3">
        <f>D393+F393</f>
        <v>2004</v>
      </c>
      <c r="E395" s="3">
        <f t="shared" ref="E395:E402" si="59">D395+F395-1</f>
        <v>2007</v>
      </c>
      <c r="F395" s="3">
        <v>4</v>
      </c>
      <c r="G395" s="22" t="s">
        <v>34</v>
      </c>
      <c r="H395" s="40" t="s">
        <v>88</v>
      </c>
      <c r="I395" s="167" t="s">
        <v>87</v>
      </c>
    </row>
    <row r="396" spans="1:9" s="39" customFormat="1" ht="52.8" x14ac:dyDescent="0.3">
      <c r="A396" s="143" t="s">
        <v>622</v>
      </c>
      <c r="B396" s="143" t="s">
        <v>622</v>
      </c>
      <c r="C396" s="3" t="s">
        <v>96</v>
      </c>
      <c r="D396" s="3">
        <f t="shared" ref="D396:D400" si="60">D395+F395</f>
        <v>2008</v>
      </c>
      <c r="E396" s="3">
        <f t="shared" si="59"/>
        <v>2009</v>
      </c>
      <c r="F396" s="3">
        <v>2</v>
      </c>
      <c r="G396" s="22" t="s">
        <v>33</v>
      </c>
      <c r="H396" s="40" t="s">
        <v>86</v>
      </c>
      <c r="I396" s="167"/>
    </row>
    <row r="397" spans="1:9" s="39" customFormat="1" ht="86.4" customHeight="1" x14ac:dyDescent="0.3">
      <c r="A397" s="143" t="s">
        <v>622</v>
      </c>
      <c r="B397" s="143" t="s">
        <v>622</v>
      </c>
      <c r="C397" s="3" t="s">
        <v>96</v>
      </c>
      <c r="D397" s="3">
        <f t="shared" si="60"/>
        <v>2010</v>
      </c>
      <c r="E397" s="3">
        <f t="shared" si="59"/>
        <v>2012</v>
      </c>
      <c r="F397" s="3">
        <v>3</v>
      </c>
      <c r="G397" s="93" t="s">
        <v>35</v>
      </c>
      <c r="H397" s="151" t="s">
        <v>600</v>
      </c>
      <c r="I397" s="163" t="s">
        <v>701</v>
      </c>
    </row>
    <row r="398" spans="1:9" s="39" customFormat="1" ht="145.19999999999999" x14ac:dyDescent="0.3">
      <c r="A398" s="143" t="s">
        <v>622</v>
      </c>
      <c r="B398" s="143" t="s">
        <v>622</v>
      </c>
      <c r="C398" s="3" t="s">
        <v>96</v>
      </c>
      <c r="D398" s="3">
        <f t="shared" si="60"/>
        <v>2013</v>
      </c>
      <c r="E398" s="3">
        <f t="shared" si="59"/>
        <v>2015</v>
      </c>
      <c r="F398" s="3">
        <v>3</v>
      </c>
      <c r="G398" s="93" t="s">
        <v>292</v>
      </c>
      <c r="H398" s="151" t="s">
        <v>599</v>
      </c>
      <c r="I398" s="163" t="s">
        <v>702</v>
      </c>
    </row>
    <row r="399" spans="1:9" s="39" customFormat="1" ht="14.4" x14ac:dyDescent="0.3">
      <c r="A399" s="5"/>
      <c r="B399" s="5"/>
      <c r="C399" s="27"/>
      <c r="D399" s="3">
        <f t="shared" si="60"/>
        <v>2016</v>
      </c>
      <c r="E399" s="3">
        <f t="shared" si="59"/>
        <v>2025</v>
      </c>
      <c r="F399" s="3">
        <v>10</v>
      </c>
      <c r="G399" s="22" t="s">
        <v>55</v>
      </c>
      <c r="H399" s="40"/>
      <c r="I399" s="42"/>
    </row>
    <row r="400" spans="1:9" s="39" customFormat="1" ht="188.25" customHeight="1" x14ac:dyDescent="0.3">
      <c r="A400" s="5" t="s">
        <v>6</v>
      </c>
      <c r="B400" s="5" t="s">
        <v>6</v>
      </c>
      <c r="C400" s="27" t="s">
        <v>99</v>
      </c>
      <c r="D400" s="3">
        <f t="shared" si="60"/>
        <v>2026</v>
      </c>
      <c r="E400" s="5">
        <f t="shared" si="59"/>
        <v>2225</v>
      </c>
      <c r="F400" s="5">
        <v>200</v>
      </c>
      <c r="G400" s="13" t="s">
        <v>369</v>
      </c>
      <c r="H400" s="167" t="s">
        <v>564</v>
      </c>
      <c r="I400" s="124" t="s">
        <v>397</v>
      </c>
    </row>
    <row r="401" spans="1:9" s="39" customFormat="1" ht="187.5" customHeight="1" x14ac:dyDescent="0.3">
      <c r="A401" s="5" t="s">
        <v>6</v>
      </c>
      <c r="B401" s="5" t="s">
        <v>6</v>
      </c>
      <c r="C401" s="27" t="s">
        <v>98</v>
      </c>
      <c r="D401" s="3">
        <f t="shared" ref="D401" si="61">D400+F400</f>
        <v>2226</v>
      </c>
      <c r="E401" s="3">
        <f t="shared" ref="E401" si="62">D401+F401-1</f>
        <v>2325</v>
      </c>
      <c r="F401" s="3">
        <v>100</v>
      </c>
      <c r="G401" s="13" t="s">
        <v>363</v>
      </c>
      <c r="H401" s="167"/>
      <c r="I401" s="124" t="s">
        <v>565</v>
      </c>
    </row>
    <row r="402" spans="1:9" s="39" customFormat="1" ht="14.4" x14ac:dyDescent="0.3">
      <c r="A402" s="5"/>
      <c r="B402" s="5"/>
      <c r="C402" s="27"/>
      <c r="D402" s="3">
        <f>D401+F401</f>
        <v>2326</v>
      </c>
      <c r="E402" s="3">
        <f t="shared" si="59"/>
        <v>2341</v>
      </c>
      <c r="F402" s="3">
        <v>16</v>
      </c>
      <c r="G402" s="22" t="s">
        <v>55</v>
      </c>
      <c r="H402" s="40"/>
      <c r="I402" s="42"/>
    </row>
    <row r="403" spans="1:9" x14ac:dyDescent="0.3">
      <c r="A403" s="5"/>
      <c r="B403" s="5"/>
      <c r="C403" s="6"/>
      <c r="D403" s="3"/>
      <c r="E403" s="3"/>
      <c r="F403" s="7"/>
      <c r="G403" s="23" t="s">
        <v>94</v>
      </c>
      <c r="H403" s="14"/>
      <c r="I403" s="17"/>
    </row>
    <row r="404" spans="1:9" ht="26.4" x14ac:dyDescent="0.3">
      <c r="A404" s="5" t="s">
        <v>0</v>
      </c>
      <c r="B404" s="5" t="s">
        <v>0</v>
      </c>
      <c r="C404" s="27" t="s">
        <v>97</v>
      </c>
      <c r="D404" s="3">
        <f>D402+F402</f>
        <v>2342</v>
      </c>
      <c r="E404" s="3">
        <f>D404+F404-1</f>
        <v>2342</v>
      </c>
      <c r="F404" s="3">
        <v>1</v>
      </c>
      <c r="G404" s="22" t="s">
        <v>37</v>
      </c>
      <c r="H404" s="40" t="s">
        <v>54</v>
      </c>
    </row>
    <row r="405" spans="1:9" ht="145.19999999999999" x14ac:dyDescent="0.3">
      <c r="A405" s="5" t="s">
        <v>0</v>
      </c>
      <c r="B405" s="5" t="s">
        <v>0</v>
      </c>
      <c r="C405" s="27" t="s">
        <v>97</v>
      </c>
      <c r="D405" s="3">
        <f>D404+F404</f>
        <v>2343</v>
      </c>
      <c r="E405" s="3">
        <f t="shared" ref="E405:E419" si="63">D405+F405-1</f>
        <v>2350</v>
      </c>
      <c r="F405" s="142">
        <v>8</v>
      </c>
      <c r="G405" s="22" t="s">
        <v>13</v>
      </c>
      <c r="H405" s="140" t="s">
        <v>595</v>
      </c>
      <c r="I405" s="141" t="s">
        <v>683</v>
      </c>
    </row>
    <row r="406" spans="1:9" ht="52.8" x14ac:dyDescent="0.3">
      <c r="A406" s="5" t="s">
        <v>6</v>
      </c>
      <c r="B406" s="5" t="s">
        <v>6</v>
      </c>
      <c r="C406" s="27" t="s">
        <v>97</v>
      </c>
      <c r="D406" s="3">
        <f>D405+F405</f>
        <v>2351</v>
      </c>
      <c r="E406" s="3">
        <f t="shared" si="63"/>
        <v>2358</v>
      </c>
      <c r="F406" s="142">
        <v>8</v>
      </c>
      <c r="G406" s="22" t="s">
        <v>14</v>
      </c>
      <c r="H406" s="41" t="s">
        <v>366</v>
      </c>
      <c r="I406" s="42" t="s">
        <v>367</v>
      </c>
    </row>
    <row r="407" spans="1:9" s="39" customFormat="1" ht="18.75" customHeight="1" x14ac:dyDescent="0.3">
      <c r="A407" s="5" t="s">
        <v>0</v>
      </c>
      <c r="B407" s="5" t="s">
        <v>6</v>
      </c>
      <c r="C407" s="27" t="s">
        <v>97</v>
      </c>
      <c r="D407" s="3">
        <f t="shared" ref="D407:D412" si="64">D406+F406</f>
        <v>2359</v>
      </c>
      <c r="E407" s="3">
        <f t="shared" si="63"/>
        <v>2378</v>
      </c>
      <c r="F407" s="3">
        <v>20</v>
      </c>
      <c r="G407" s="22" t="s">
        <v>15</v>
      </c>
      <c r="H407" s="169" t="s">
        <v>228</v>
      </c>
      <c r="I407" s="170" t="s">
        <v>322</v>
      </c>
    </row>
    <row r="408" spans="1:9" s="39" customFormat="1" ht="18.75" customHeight="1" x14ac:dyDescent="0.3">
      <c r="A408" s="5" t="s">
        <v>0</v>
      </c>
      <c r="B408" s="5" t="s">
        <v>6</v>
      </c>
      <c r="C408" s="27" t="s">
        <v>97</v>
      </c>
      <c r="D408" s="3">
        <f t="shared" si="64"/>
        <v>2379</v>
      </c>
      <c r="E408" s="3">
        <f t="shared" si="63"/>
        <v>2393</v>
      </c>
      <c r="F408" s="3">
        <v>15</v>
      </c>
      <c r="G408" s="22" t="s">
        <v>16</v>
      </c>
      <c r="H408" s="169"/>
      <c r="I408" s="170"/>
    </row>
    <row r="409" spans="1:9" s="39" customFormat="1" ht="21.75" customHeight="1" x14ac:dyDescent="0.3">
      <c r="A409" s="5" t="s">
        <v>0</v>
      </c>
      <c r="B409" s="5" t="s">
        <v>6</v>
      </c>
      <c r="C409" s="27" t="s">
        <v>97</v>
      </c>
      <c r="D409" s="3">
        <f t="shared" si="64"/>
        <v>2394</v>
      </c>
      <c r="E409" s="3">
        <f t="shared" si="63"/>
        <v>2394</v>
      </c>
      <c r="F409" s="3">
        <v>1</v>
      </c>
      <c r="G409" s="22" t="s">
        <v>245</v>
      </c>
      <c r="H409" s="169"/>
      <c r="I409" s="170"/>
    </row>
    <row r="410" spans="1:9" s="39" customFormat="1" ht="39.6" x14ac:dyDescent="0.3">
      <c r="A410" s="5" t="s">
        <v>6</v>
      </c>
      <c r="B410" s="5" t="s">
        <v>6</v>
      </c>
      <c r="C410" s="27" t="s">
        <v>97</v>
      </c>
      <c r="D410" s="3">
        <f t="shared" si="64"/>
        <v>2395</v>
      </c>
      <c r="E410" s="3">
        <f t="shared" si="63"/>
        <v>2397</v>
      </c>
      <c r="F410" s="3">
        <v>3</v>
      </c>
      <c r="G410" s="22" t="s">
        <v>149</v>
      </c>
      <c r="H410" s="99" t="s">
        <v>150</v>
      </c>
      <c r="I410" s="174" t="s">
        <v>545</v>
      </c>
    </row>
    <row r="411" spans="1:9" s="39" customFormat="1" ht="14.4" x14ac:dyDescent="0.3">
      <c r="A411" s="5" t="s">
        <v>6</v>
      </c>
      <c r="B411" s="5" t="s">
        <v>6</v>
      </c>
      <c r="C411" s="27" t="s">
        <v>97</v>
      </c>
      <c r="D411" s="3">
        <f>D410+F410</f>
        <v>2398</v>
      </c>
      <c r="E411" s="3">
        <f t="shared" si="63"/>
        <v>2417</v>
      </c>
      <c r="F411" s="3">
        <v>20</v>
      </c>
      <c r="G411" s="22" t="s">
        <v>17</v>
      </c>
      <c r="H411" s="174" t="s">
        <v>228</v>
      </c>
      <c r="I411" s="174"/>
    </row>
    <row r="412" spans="1:9" s="39" customFormat="1" ht="14.4" x14ac:dyDescent="0.3">
      <c r="A412" s="5" t="s">
        <v>6</v>
      </c>
      <c r="B412" s="5" t="s">
        <v>6</v>
      </c>
      <c r="C412" s="27" t="s">
        <v>97</v>
      </c>
      <c r="D412" s="3">
        <f t="shared" si="64"/>
        <v>2418</v>
      </c>
      <c r="E412" s="3">
        <f t="shared" si="63"/>
        <v>2437</v>
      </c>
      <c r="F412" s="3">
        <v>20</v>
      </c>
      <c r="G412" s="22" t="s">
        <v>18</v>
      </c>
      <c r="H412" s="174"/>
      <c r="I412" s="174"/>
    </row>
    <row r="413" spans="1:9" s="39" customFormat="1" ht="14.4" x14ac:dyDescent="0.3">
      <c r="A413" s="5" t="s">
        <v>6</v>
      </c>
      <c r="B413" s="5" t="s">
        <v>6</v>
      </c>
      <c r="C413" s="27" t="s">
        <v>97</v>
      </c>
      <c r="D413" s="3">
        <f t="shared" ref="D413:D419" si="65">D412+F412</f>
        <v>2438</v>
      </c>
      <c r="E413" s="3">
        <f t="shared" si="63"/>
        <v>2438</v>
      </c>
      <c r="F413" s="3">
        <v>1</v>
      </c>
      <c r="G413" s="22" t="s">
        <v>246</v>
      </c>
      <c r="H413" s="174"/>
      <c r="I413" s="174"/>
    </row>
    <row r="414" spans="1:9" s="39" customFormat="1" ht="79.2" x14ac:dyDescent="0.3">
      <c r="A414" s="5" t="s">
        <v>0</v>
      </c>
      <c r="B414" s="5" t="s">
        <v>0</v>
      </c>
      <c r="C414" s="27" t="s">
        <v>209</v>
      </c>
      <c r="D414" s="3">
        <f t="shared" si="65"/>
        <v>2439</v>
      </c>
      <c r="E414" s="3">
        <f>D414+F414-1</f>
        <v>2444</v>
      </c>
      <c r="F414" s="3">
        <v>6</v>
      </c>
      <c r="G414" s="22" t="s">
        <v>148</v>
      </c>
      <c r="H414" s="104" t="s">
        <v>546</v>
      </c>
      <c r="I414" s="100" t="s">
        <v>540</v>
      </c>
    </row>
    <row r="415" spans="1:9" ht="105.6" x14ac:dyDescent="0.3">
      <c r="A415" s="5" t="s">
        <v>0</v>
      </c>
      <c r="B415" s="5" t="s">
        <v>0</v>
      </c>
      <c r="C415" s="27" t="s">
        <v>97</v>
      </c>
      <c r="D415" s="3">
        <f t="shared" si="65"/>
        <v>2445</v>
      </c>
      <c r="E415" s="3">
        <f t="shared" si="63"/>
        <v>2474</v>
      </c>
      <c r="F415" s="3">
        <v>30</v>
      </c>
      <c r="G415" s="22" t="s">
        <v>19</v>
      </c>
      <c r="H415" s="211" t="s">
        <v>713</v>
      </c>
      <c r="I415" s="210" t="s">
        <v>712</v>
      </c>
    </row>
    <row r="416" spans="1:9" s="39" customFormat="1" ht="52.8" x14ac:dyDescent="0.3">
      <c r="A416" s="5" t="s">
        <v>0</v>
      </c>
      <c r="B416" s="5" t="s">
        <v>0</v>
      </c>
      <c r="C416" s="27" t="s">
        <v>97</v>
      </c>
      <c r="D416" s="3">
        <f t="shared" si="65"/>
        <v>2475</v>
      </c>
      <c r="E416" s="3">
        <f t="shared" si="63"/>
        <v>2494</v>
      </c>
      <c r="F416" s="3">
        <v>20</v>
      </c>
      <c r="G416" s="22" t="s">
        <v>112</v>
      </c>
      <c r="H416" s="40" t="s">
        <v>301</v>
      </c>
      <c r="I416" s="42" t="s">
        <v>322</v>
      </c>
    </row>
    <row r="417" spans="1:9" s="39" customFormat="1" ht="39.6" x14ac:dyDescent="0.3">
      <c r="A417" s="5" t="s">
        <v>0</v>
      </c>
      <c r="B417" s="5" t="s">
        <v>0</v>
      </c>
      <c r="C417" s="27" t="s">
        <v>209</v>
      </c>
      <c r="D417" s="3">
        <f t="shared" si="65"/>
        <v>2495</v>
      </c>
      <c r="E417" s="3">
        <f>D417+F417-1</f>
        <v>2500</v>
      </c>
      <c r="F417" s="3">
        <v>6</v>
      </c>
      <c r="G417" s="22" t="s">
        <v>114</v>
      </c>
      <c r="H417" s="40" t="s">
        <v>115</v>
      </c>
      <c r="I417" s="42" t="s">
        <v>273</v>
      </c>
    </row>
    <row r="418" spans="1:9" s="39" customFormat="1" ht="26.4" x14ac:dyDescent="0.3">
      <c r="A418" s="5" t="s">
        <v>0</v>
      </c>
      <c r="B418" s="5" t="s">
        <v>0</v>
      </c>
      <c r="C418" s="27" t="s">
        <v>209</v>
      </c>
      <c r="D418" s="3">
        <f t="shared" si="65"/>
        <v>2501</v>
      </c>
      <c r="E418" s="3">
        <f>D418+F418-1</f>
        <v>2501</v>
      </c>
      <c r="F418" s="3">
        <v>1</v>
      </c>
      <c r="G418" s="22" t="s">
        <v>280</v>
      </c>
      <c r="H418" s="40" t="s">
        <v>271</v>
      </c>
      <c r="I418" s="42" t="s">
        <v>270</v>
      </c>
    </row>
    <row r="419" spans="1:9" s="39" customFormat="1" ht="14.4" x14ac:dyDescent="0.3">
      <c r="A419" s="5"/>
      <c r="B419" s="5"/>
      <c r="C419" s="29"/>
      <c r="D419" s="3">
        <f t="shared" si="65"/>
        <v>2502</v>
      </c>
      <c r="E419" s="3">
        <f t="shared" si="63"/>
        <v>2516</v>
      </c>
      <c r="F419" s="142">
        <v>15</v>
      </c>
      <c r="G419" s="22" t="s">
        <v>55</v>
      </c>
      <c r="H419" s="40"/>
      <c r="I419" s="42"/>
    </row>
    <row r="420" spans="1:9" s="39" customFormat="1" ht="14.4" x14ac:dyDescent="0.3">
      <c r="A420" s="5"/>
      <c r="B420" s="5"/>
      <c r="C420" s="6"/>
      <c r="D420" s="3"/>
      <c r="E420" s="3"/>
      <c r="F420" s="7"/>
      <c r="G420" s="23" t="s">
        <v>20</v>
      </c>
      <c r="H420" s="14"/>
      <c r="I420" s="17"/>
    </row>
    <row r="421" spans="1:9" s="39" customFormat="1" ht="39.6" x14ac:dyDescent="0.3">
      <c r="A421" s="5" t="s">
        <v>6</v>
      </c>
      <c r="B421" s="5" t="s">
        <v>6</v>
      </c>
      <c r="C421" s="27" t="s">
        <v>98</v>
      </c>
      <c r="D421" s="3">
        <f>D419+F419</f>
        <v>2517</v>
      </c>
      <c r="E421" s="3">
        <f>D421+F421-1</f>
        <v>2517</v>
      </c>
      <c r="F421" s="3">
        <v>1</v>
      </c>
      <c r="G421" s="22" t="s">
        <v>21</v>
      </c>
      <c r="H421" s="40" t="s">
        <v>102</v>
      </c>
      <c r="I421" s="168"/>
    </row>
    <row r="422" spans="1:9" s="39" customFormat="1" ht="39.6" x14ac:dyDescent="0.3">
      <c r="A422" s="5" t="s">
        <v>6</v>
      </c>
      <c r="B422" s="5" t="s">
        <v>6</v>
      </c>
      <c r="C422" s="27" t="s">
        <v>98</v>
      </c>
      <c r="D422" s="3">
        <f>D421+F421</f>
        <v>2518</v>
      </c>
      <c r="E422" s="3">
        <f>D422+F422-1</f>
        <v>2518</v>
      </c>
      <c r="F422" s="3">
        <v>1</v>
      </c>
      <c r="G422" s="22" t="s">
        <v>22</v>
      </c>
      <c r="H422" s="40" t="s">
        <v>102</v>
      </c>
      <c r="I422" s="167"/>
    </row>
    <row r="423" spans="1:9" s="39" customFormat="1" ht="39.6" x14ac:dyDescent="0.3">
      <c r="A423" s="5" t="s">
        <v>6</v>
      </c>
      <c r="B423" s="5" t="s">
        <v>6</v>
      </c>
      <c r="C423" s="27" t="s">
        <v>98</v>
      </c>
      <c r="D423" s="3">
        <f>D422+F422</f>
        <v>2519</v>
      </c>
      <c r="E423" s="3">
        <f>D423+F423-1</f>
        <v>2519</v>
      </c>
      <c r="F423" s="3">
        <v>1</v>
      </c>
      <c r="G423" s="22" t="s">
        <v>23</v>
      </c>
      <c r="H423" s="40" t="s">
        <v>102</v>
      </c>
      <c r="I423" s="167"/>
    </row>
    <row r="424" spans="1:9" s="39" customFormat="1" ht="14.4" x14ac:dyDescent="0.3">
      <c r="A424" s="5"/>
      <c r="B424" s="5"/>
      <c r="C424" s="27"/>
      <c r="D424" s="3">
        <f>D423+F423</f>
        <v>2520</v>
      </c>
      <c r="E424" s="3">
        <f>D424+F424-1</f>
        <v>2524</v>
      </c>
      <c r="F424" s="3">
        <v>5</v>
      </c>
      <c r="G424" s="22" t="s">
        <v>55</v>
      </c>
      <c r="H424" s="40"/>
      <c r="I424" s="42"/>
    </row>
    <row r="425" spans="1:9" s="39" customFormat="1" ht="14.4" x14ac:dyDescent="0.3">
      <c r="A425" s="5"/>
      <c r="B425" s="5"/>
      <c r="C425" s="27"/>
      <c r="D425" s="3"/>
      <c r="E425" s="3"/>
      <c r="F425" s="3"/>
      <c r="G425" s="23" t="s">
        <v>183</v>
      </c>
      <c r="H425" s="40"/>
      <c r="I425" s="42"/>
    </row>
    <row r="426" spans="1:9" s="39" customFormat="1" ht="14.4" x14ac:dyDescent="0.3">
      <c r="A426" s="5"/>
      <c r="B426" s="5"/>
      <c r="C426" s="27"/>
      <c r="D426" s="3"/>
      <c r="E426" s="3"/>
      <c r="F426" s="3"/>
      <c r="G426" s="23" t="s">
        <v>113</v>
      </c>
      <c r="H426" s="40"/>
      <c r="I426" s="42"/>
    </row>
    <row r="427" spans="1:9" s="39" customFormat="1" ht="15" customHeight="1" x14ac:dyDescent="0.3">
      <c r="A427" s="5" t="s">
        <v>6</v>
      </c>
      <c r="B427" s="5" t="s">
        <v>6</v>
      </c>
      <c r="C427" s="27" t="s">
        <v>209</v>
      </c>
      <c r="D427" s="3">
        <f>D424+F424</f>
        <v>2525</v>
      </c>
      <c r="E427" s="3">
        <f>D427+F427-1</f>
        <v>2525</v>
      </c>
      <c r="F427" s="3">
        <v>1</v>
      </c>
      <c r="G427" s="22" t="s">
        <v>126</v>
      </c>
      <c r="H427" s="167" t="s">
        <v>229</v>
      </c>
      <c r="I427" s="167" t="s">
        <v>138</v>
      </c>
    </row>
    <row r="428" spans="1:9" s="39" customFormat="1" ht="14.4" x14ac:dyDescent="0.3">
      <c r="A428" s="5" t="s">
        <v>6</v>
      </c>
      <c r="B428" s="5" t="s">
        <v>6</v>
      </c>
      <c r="C428" s="27" t="s">
        <v>209</v>
      </c>
      <c r="D428" s="3">
        <f>D427+F427</f>
        <v>2526</v>
      </c>
      <c r="E428" s="3">
        <f>D428+F428-1</f>
        <v>2526</v>
      </c>
      <c r="F428" s="3">
        <v>1</v>
      </c>
      <c r="G428" s="22" t="s">
        <v>127</v>
      </c>
      <c r="H428" s="167"/>
      <c r="I428" s="167"/>
    </row>
    <row r="429" spans="1:9" s="39" customFormat="1" ht="14.4" x14ac:dyDescent="0.3">
      <c r="A429" s="5" t="s">
        <v>6</v>
      </c>
      <c r="B429" s="5" t="s">
        <v>6</v>
      </c>
      <c r="C429" s="27" t="s">
        <v>209</v>
      </c>
      <c r="D429" s="3">
        <f t="shared" ref="D429:D440" si="66">D428+F428</f>
        <v>2527</v>
      </c>
      <c r="E429" s="3">
        <f t="shared" ref="E429:E440" si="67">D429+F429-1</f>
        <v>2527</v>
      </c>
      <c r="F429" s="3">
        <v>1</v>
      </c>
      <c r="G429" s="13" t="s">
        <v>368</v>
      </c>
      <c r="H429" s="167"/>
      <c r="I429" s="167"/>
    </row>
    <row r="430" spans="1:9" s="39" customFormat="1" ht="14.4" x14ac:dyDescent="0.3">
      <c r="A430" s="5" t="s">
        <v>6</v>
      </c>
      <c r="B430" s="5" t="s">
        <v>6</v>
      </c>
      <c r="C430" s="27" t="s">
        <v>209</v>
      </c>
      <c r="D430" s="3">
        <f t="shared" si="66"/>
        <v>2528</v>
      </c>
      <c r="E430" s="3">
        <f t="shared" si="67"/>
        <v>2528</v>
      </c>
      <c r="F430" s="3">
        <v>1</v>
      </c>
      <c r="G430" s="22" t="s">
        <v>128</v>
      </c>
      <c r="H430" s="167"/>
      <c r="I430" s="167"/>
    </row>
    <row r="431" spans="1:9" s="39" customFormat="1" ht="14.4" x14ac:dyDescent="0.3">
      <c r="A431" s="5" t="s">
        <v>6</v>
      </c>
      <c r="B431" s="5" t="s">
        <v>6</v>
      </c>
      <c r="C431" s="27" t="s">
        <v>209</v>
      </c>
      <c r="D431" s="3">
        <f t="shared" si="66"/>
        <v>2529</v>
      </c>
      <c r="E431" s="3">
        <f t="shared" si="67"/>
        <v>2529</v>
      </c>
      <c r="F431" s="3">
        <v>1</v>
      </c>
      <c r="G431" s="22" t="s">
        <v>129</v>
      </c>
      <c r="H431" s="167"/>
      <c r="I431" s="167"/>
    </row>
    <row r="432" spans="1:9" s="39" customFormat="1" ht="14.4" x14ac:dyDescent="0.3">
      <c r="A432" s="5" t="s">
        <v>6</v>
      </c>
      <c r="B432" s="5" t="s">
        <v>6</v>
      </c>
      <c r="C432" s="27" t="s">
        <v>209</v>
      </c>
      <c r="D432" s="3">
        <f t="shared" si="66"/>
        <v>2530</v>
      </c>
      <c r="E432" s="3">
        <f t="shared" si="67"/>
        <v>2530</v>
      </c>
      <c r="F432" s="3">
        <v>1</v>
      </c>
      <c r="G432" s="22" t="s">
        <v>130</v>
      </c>
      <c r="H432" s="167"/>
      <c r="I432" s="167"/>
    </row>
    <row r="433" spans="1:9" s="39" customFormat="1" ht="14.4" x14ac:dyDescent="0.3">
      <c r="A433" s="5" t="s">
        <v>6</v>
      </c>
      <c r="B433" s="5" t="s">
        <v>6</v>
      </c>
      <c r="C433" s="27" t="s">
        <v>209</v>
      </c>
      <c r="D433" s="3">
        <f t="shared" si="66"/>
        <v>2531</v>
      </c>
      <c r="E433" s="3">
        <f t="shared" si="67"/>
        <v>2531</v>
      </c>
      <c r="F433" s="3">
        <v>1</v>
      </c>
      <c r="G433" s="22" t="s">
        <v>247</v>
      </c>
      <c r="H433" s="167"/>
      <c r="I433" s="167"/>
    </row>
    <row r="434" spans="1:9" s="39" customFormat="1" ht="14.4" x14ac:dyDescent="0.3">
      <c r="A434" s="5" t="s">
        <v>6</v>
      </c>
      <c r="B434" s="5" t="s">
        <v>6</v>
      </c>
      <c r="C434" s="27" t="s">
        <v>97</v>
      </c>
      <c r="D434" s="3">
        <f t="shared" si="66"/>
        <v>2532</v>
      </c>
      <c r="E434" s="3">
        <f t="shared" si="67"/>
        <v>2532</v>
      </c>
      <c r="F434" s="3">
        <v>1</v>
      </c>
      <c r="G434" s="22" t="s">
        <v>274</v>
      </c>
      <c r="H434" s="167"/>
      <c r="I434" s="167"/>
    </row>
    <row r="435" spans="1:9" s="39" customFormat="1" ht="14.4" x14ac:dyDescent="0.3">
      <c r="A435" s="5" t="s">
        <v>6</v>
      </c>
      <c r="B435" s="5" t="s">
        <v>6</v>
      </c>
      <c r="C435" s="27" t="s">
        <v>209</v>
      </c>
      <c r="D435" s="3">
        <f>D434+F434</f>
        <v>2533</v>
      </c>
      <c r="E435" s="3">
        <f t="shared" si="67"/>
        <v>2533</v>
      </c>
      <c r="F435" s="3">
        <v>1</v>
      </c>
      <c r="G435" s="22" t="s">
        <v>131</v>
      </c>
      <c r="H435" s="167"/>
      <c r="I435" s="167"/>
    </row>
    <row r="436" spans="1:9" s="39" customFormat="1" ht="14.4" x14ac:dyDescent="0.3">
      <c r="A436" s="5" t="s">
        <v>6</v>
      </c>
      <c r="B436" s="5" t="s">
        <v>6</v>
      </c>
      <c r="C436" s="27" t="s">
        <v>209</v>
      </c>
      <c r="D436" s="3">
        <f t="shared" si="66"/>
        <v>2534</v>
      </c>
      <c r="E436" s="3">
        <f t="shared" si="67"/>
        <v>2534</v>
      </c>
      <c r="F436" s="3">
        <v>1</v>
      </c>
      <c r="G436" s="22" t="s">
        <v>132</v>
      </c>
      <c r="H436" s="167"/>
      <c r="I436" s="167"/>
    </row>
    <row r="437" spans="1:9" s="39" customFormat="1" ht="14.4" x14ac:dyDescent="0.3">
      <c r="A437" s="5" t="s">
        <v>6</v>
      </c>
      <c r="B437" s="5" t="s">
        <v>6</v>
      </c>
      <c r="C437" s="27" t="s">
        <v>209</v>
      </c>
      <c r="D437" s="3">
        <f t="shared" si="66"/>
        <v>2535</v>
      </c>
      <c r="E437" s="3">
        <f t="shared" si="67"/>
        <v>2535</v>
      </c>
      <c r="F437" s="3">
        <v>1</v>
      </c>
      <c r="G437" s="22" t="s">
        <v>133</v>
      </c>
      <c r="H437" s="167"/>
      <c r="I437" s="167"/>
    </row>
    <row r="438" spans="1:9" s="39" customFormat="1" ht="14.4" x14ac:dyDescent="0.3">
      <c r="A438" s="5" t="s">
        <v>6</v>
      </c>
      <c r="B438" s="5" t="s">
        <v>6</v>
      </c>
      <c r="C438" s="27" t="s">
        <v>209</v>
      </c>
      <c r="D438" s="3">
        <f t="shared" si="66"/>
        <v>2536</v>
      </c>
      <c r="E438" s="3">
        <f t="shared" si="67"/>
        <v>2536</v>
      </c>
      <c r="F438" s="3">
        <v>1</v>
      </c>
      <c r="G438" s="22" t="s">
        <v>134</v>
      </c>
      <c r="H438" s="167"/>
      <c r="I438" s="167"/>
    </row>
    <row r="439" spans="1:9" s="39" customFormat="1" ht="14.4" x14ac:dyDescent="0.3">
      <c r="A439" s="5" t="s">
        <v>6</v>
      </c>
      <c r="B439" s="5" t="s">
        <v>6</v>
      </c>
      <c r="C439" s="27" t="s">
        <v>209</v>
      </c>
      <c r="D439" s="3">
        <f t="shared" si="66"/>
        <v>2537</v>
      </c>
      <c r="E439" s="3">
        <f t="shared" si="67"/>
        <v>2537</v>
      </c>
      <c r="F439" s="3">
        <v>1</v>
      </c>
      <c r="G439" s="22" t="s">
        <v>135</v>
      </c>
      <c r="H439" s="167"/>
      <c r="I439" s="167"/>
    </row>
    <row r="440" spans="1:9" s="39" customFormat="1" ht="14.4" x14ac:dyDescent="0.3">
      <c r="A440" s="5" t="s">
        <v>6</v>
      </c>
      <c r="B440" s="5" t="s">
        <v>6</v>
      </c>
      <c r="C440" s="27" t="s">
        <v>209</v>
      </c>
      <c r="D440" s="3">
        <f t="shared" si="66"/>
        <v>2538</v>
      </c>
      <c r="E440" s="3">
        <f t="shared" si="67"/>
        <v>2538</v>
      </c>
      <c r="F440" s="3">
        <v>1</v>
      </c>
      <c r="G440" s="22" t="s">
        <v>136</v>
      </c>
      <c r="H440" s="167"/>
      <c r="I440" s="167"/>
    </row>
    <row r="441" spans="1:9" s="39" customFormat="1" ht="14.4" x14ac:dyDescent="0.3">
      <c r="A441" s="5"/>
      <c r="B441" s="5"/>
      <c r="C441" s="27"/>
      <c r="D441" s="3"/>
      <c r="E441" s="3"/>
      <c r="F441" s="3"/>
      <c r="G441" s="23" t="s">
        <v>324</v>
      </c>
      <c r="H441" s="40"/>
      <c r="I441" s="42"/>
    </row>
    <row r="442" spans="1:9" s="39" customFormat="1" ht="15" customHeight="1" x14ac:dyDescent="0.3">
      <c r="A442" s="5" t="s">
        <v>0</v>
      </c>
      <c r="B442" s="5" t="s">
        <v>0</v>
      </c>
      <c r="C442" s="27" t="s">
        <v>97</v>
      </c>
      <c r="D442" s="3">
        <f>D440+F440</f>
        <v>2539</v>
      </c>
      <c r="E442" s="3">
        <f>D442+F442-1</f>
        <v>2539</v>
      </c>
      <c r="F442" s="3">
        <v>1</v>
      </c>
      <c r="G442" s="22" t="s">
        <v>126</v>
      </c>
      <c r="H442" s="167" t="s">
        <v>118</v>
      </c>
      <c r="I442" s="167" t="s">
        <v>358</v>
      </c>
    </row>
    <row r="443" spans="1:9" s="39" customFormat="1" ht="14.4" x14ac:dyDescent="0.3">
      <c r="A443" s="5" t="s">
        <v>0</v>
      </c>
      <c r="B443" s="5" t="s">
        <v>0</v>
      </c>
      <c r="C443" s="27" t="s">
        <v>97</v>
      </c>
      <c r="D443" s="3">
        <f>D442+F442</f>
        <v>2540</v>
      </c>
      <c r="E443" s="3">
        <f>D443+F443-1</f>
        <v>2540</v>
      </c>
      <c r="F443" s="3">
        <v>1</v>
      </c>
      <c r="G443" s="22" t="s">
        <v>127</v>
      </c>
      <c r="H443" s="167"/>
      <c r="I443" s="167"/>
    </row>
    <row r="444" spans="1:9" s="39" customFormat="1" ht="14.4" x14ac:dyDescent="0.3">
      <c r="A444" s="5" t="s">
        <v>0</v>
      </c>
      <c r="B444" s="5" t="s">
        <v>0</v>
      </c>
      <c r="C444" s="27" t="s">
        <v>97</v>
      </c>
      <c r="D444" s="3">
        <f t="shared" ref="D444:D456" si="68">D443+F443</f>
        <v>2541</v>
      </c>
      <c r="E444" s="3">
        <f t="shared" ref="E444:E456" si="69">D444+F444-1</f>
        <v>2541</v>
      </c>
      <c r="F444" s="3">
        <v>1</v>
      </c>
      <c r="G444" s="13" t="s">
        <v>55</v>
      </c>
      <c r="H444" s="167"/>
      <c r="I444" s="167"/>
    </row>
    <row r="445" spans="1:9" s="39" customFormat="1" ht="14.4" x14ac:dyDescent="0.3">
      <c r="A445" s="5" t="s">
        <v>0</v>
      </c>
      <c r="B445" s="5" t="s">
        <v>0</v>
      </c>
      <c r="C445" s="27" t="s">
        <v>97</v>
      </c>
      <c r="D445" s="3">
        <f t="shared" si="68"/>
        <v>2542</v>
      </c>
      <c r="E445" s="3">
        <f t="shared" si="69"/>
        <v>2542</v>
      </c>
      <c r="F445" s="3">
        <v>1</v>
      </c>
      <c r="G445" s="22" t="s">
        <v>128</v>
      </c>
      <c r="H445" s="167"/>
      <c r="I445" s="167"/>
    </row>
    <row r="446" spans="1:9" s="39" customFormat="1" ht="14.4" x14ac:dyDescent="0.3">
      <c r="A446" s="5" t="s">
        <v>0</v>
      </c>
      <c r="B446" s="5" t="s">
        <v>0</v>
      </c>
      <c r="C446" s="27" t="s">
        <v>97</v>
      </c>
      <c r="D446" s="3">
        <f t="shared" si="68"/>
        <v>2543</v>
      </c>
      <c r="E446" s="3">
        <f t="shared" si="69"/>
        <v>2543</v>
      </c>
      <c r="F446" s="3">
        <v>1</v>
      </c>
      <c r="G446" s="22" t="s">
        <v>129</v>
      </c>
      <c r="H446" s="167"/>
      <c r="I446" s="167"/>
    </row>
    <row r="447" spans="1:9" s="39" customFormat="1" ht="14.4" x14ac:dyDescent="0.3">
      <c r="A447" s="5" t="s">
        <v>0</v>
      </c>
      <c r="B447" s="5" t="s">
        <v>0</v>
      </c>
      <c r="C447" s="27" t="s">
        <v>97</v>
      </c>
      <c r="D447" s="3">
        <f t="shared" si="68"/>
        <v>2544</v>
      </c>
      <c r="E447" s="3">
        <f t="shared" si="69"/>
        <v>2544</v>
      </c>
      <c r="F447" s="3">
        <v>1</v>
      </c>
      <c r="G447" s="22" t="s">
        <v>130</v>
      </c>
      <c r="H447" s="167"/>
      <c r="I447" s="167"/>
    </row>
    <row r="448" spans="1:9" s="39" customFormat="1" ht="14.4" x14ac:dyDescent="0.3">
      <c r="A448" s="5" t="s">
        <v>0</v>
      </c>
      <c r="B448" s="5" t="s">
        <v>0</v>
      </c>
      <c r="C448" s="27" t="s">
        <v>97</v>
      </c>
      <c r="D448" s="3">
        <f t="shared" si="68"/>
        <v>2545</v>
      </c>
      <c r="E448" s="3">
        <f t="shared" si="69"/>
        <v>2545</v>
      </c>
      <c r="F448" s="3">
        <v>1</v>
      </c>
      <c r="G448" s="22" t="s">
        <v>247</v>
      </c>
      <c r="H448" s="167"/>
      <c r="I448" s="167"/>
    </row>
    <row r="449" spans="1:9" s="39" customFormat="1" ht="14.4" x14ac:dyDescent="0.3">
      <c r="A449" s="5" t="s">
        <v>0</v>
      </c>
      <c r="B449" s="5" t="s">
        <v>0</v>
      </c>
      <c r="C449" s="27" t="s">
        <v>97</v>
      </c>
      <c r="D449" s="3">
        <f t="shared" si="68"/>
        <v>2546</v>
      </c>
      <c r="E449" s="3">
        <f t="shared" si="69"/>
        <v>2546</v>
      </c>
      <c r="F449" s="3">
        <v>1</v>
      </c>
      <c r="G449" s="22" t="s">
        <v>274</v>
      </c>
      <c r="H449" s="167"/>
      <c r="I449" s="167"/>
    </row>
    <row r="450" spans="1:9" s="39" customFormat="1" ht="14.4" x14ac:dyDescent="0.3">
      <c r="A450" s="5" t="s">
        <v>0</v>
      </c>
      <c r="B450" s="5" t="s">
        <v>0</v>
      </c>
      <c r="C450" s="27" t="s">
        <v>97</v>
      </c>
      <c r="D450" s="3">
        <f>D449+F449</f>
        <v>2547</v>
      </c>
      <c r="E450" s="3">
        <f t="shared" si="69"/>
        <v>2547</v>
      </c>
      <c r="F450" s="3">
        <v>1</v>
      </c>
      <c r="G450" s="22" t="s">
        <v>131</v>
      </c>
      <c r="H450" s="167"/>
      <c r="I450" s="167"/>
    </row>
    <row r="451" spans="1:9" s="39" customFormat="1" ht="14.4" x14ac:dyDescent="0.3">
      <c r="A451" s="5" t="s">
        <v>0</v>
      </c>
      <c r="B451" s="5" t="s">
        <v>0</v>
      </c>
      <c r="C451" s="27" t="s">
        <v>97</v>
      </c>
      <c r="D451" s="3">
        <f t="shared" si="68"/>
        <v>2548</v>
      </c>
      <c r="E451" s="3">
        <f t="shared" si="69"/>
        <v>2548</v>
      </c>
      <c r="F451" s="3">
        <v>1</v>
      </c>
      <c r="G451" s="22" t="s">
        <v>132</v>
      </c>
      <c r="H451" s="167"/>
      <c r="I451" s="167"/>
    </row>
    <row r="452" spans="1:9" s="39" customFormat="1" ht="14.4" x14ac:dyDescent="0.3">
      <c r="A452" s="5" t="s">
        <v>0</v>
      </c>
      <c r="B452" s="5" t="s">
        <v>0</v>
      </c>
      <c r="C452" s="27" t="s">
        <v>97</v>
      </c>
      <c r="D452" s="3">
        <f t="shared" si="68"/>
        <v>2549</v>
      </c>
      <c r="E452" s="3">
        <f t="shared" si="69"/>
        <v>2549</v>
      </c>
      <c r="F452" s="3">
        <v>1</v>
      </c>
      <c r="G452" s="22" t="s">
        <v>133</v>
      </c>
      <c r="H452" s="167"/>
      <c r="I452" s="167"/>
    </row>
    <row r="453" spans="1:9" s="39" customFormat="1" ht="14.4" x14ac:dyDescent="0.3">
      <c r="A453" s="5" t="s">
        <v>0</v>
      </c>
      <c r="B453" s="5" t="s">
        <v>0</v>
      </c>
      <c r="C453" s="27" t="s">
        <v>97</v>
      </c>
      <c r="D453" s="3">
        <f t="shared" si="68"/>
        <v>2550</v>
      </c>
      <c r="E453" s="3">
        <f t="shared" si="69"/>
        <v>2550</v>
      </c>
      <c r="F453" s="3">
        <v>1</v>
      </c>
      <c r="G453" s="22" t="s">
        <v>134</v>
      </c>
      <c r="H453" s="167"/>
      <c r="I453" s="167"/>
    </row>
    <row r="454" spans="1:9" s="39" customFormat="1" ht="14.4" x14ac:dyDescent="0.3">
      <c r="A454" s="5" t="s">
        <v>0</v>
      </c>
      <c r="B454" s="5" t="s">
        <v>0</v>
      </c>
      <c r="C454" s="27" t="s">
        <v>97</v>
      </c>
      <c r="D454" s="3">
        <f t="shared" si="68"/>
        <v>2551</v>
      </c>
      <c r="E454" s="3">
        <f t="shared" si="69"/>
        <v>2551</v>
      </c>
      <c r="F454" s="3">
        <v>1</v>
      </c>
      <c r="G454" s="22" t="s">
        <v>135</v>
      </c>
      <c r="H454" s="167"/>
      <c r="I454" s="167"/>
    </row>
    <row r="455" spans="1:9" s="39" customFormat="1" ht="14.4" x14ac:dyDescent="0.3">
      <c r="A455" s="5" t="s">
        <v>0</v>
      </c>
      <c r="B455" s="5" t="s">
        <v>0</v>
      </c>
      <c r="C455" s="27" t="s">
        <v>97</v>
      </c>
      <c r="D455" s="3">
        <f t="shared" si="68"/>
        <v>2552</v>
      </c>
      <c r="E455" s="3">
        <f t="shared" si="69"/>
        <v>2552</v>
      </c>
      <c r="F455" s="3">
        <v>1</v>
      </c>
      <c r="G455" s="22" t="s">
        <v>136</v>
      </c>
      <c r="H455" s="167"/>
      <c r="I455" s="167"/>
    </row>
    <row r="456" spans="1:9" s="39" customFormat="1" ht="14.4" x14ac:dyDescent="0.3">
      <c r="A456" s="5" t="s">
        <v>0</v>
      </c>
      <c r="B456" s="5" t="s">
        <v>0</v>
      </c>
      <c r="C456" s="27" t="s">
        <v>97</v>
      </c>
      <c r="D456" s="3">
        <f t="shared" si="68"/>
        <v>2553</v>
      </c>
      <c r="E456" s="3">
        <f t="shared" si="69"/>
        <v>2572</v>
      </c>
      <c r="F456" s="3">
        <v>20</v>
      </c>
      <c r="G456" s="22" t="s">
        <v>55</v>
      </c>
      <c r="H456" s="40"/>
      <c r="I456" s="42"/>
    </row>
    <row r="457" spans="1:9" s="39" customFormat="1" ht="14.4" x14ac:dyDescent="0.3">
      <c r="A457" s="5"/>
      <c r="B457" s="5"/>
      <c r="C457" s="3"/>
      <c r="D457" s="3"/>
      <c r="E457" s="3"/>
      <c r="F457" s="3"/>
      <c r="G457" s="23" t="s">
        <v>184</v>
      </c>
      <c r="H457" s="40"/>
      <c r="I457" s="42"/>
    </row>
    <row r="458" spans="1:9" s="39" customFormat="1" ht="66" x14ac:dyDescent="0.3">
      <c r="A458" s="5" t="s">
        <v>0</v>
      </c>
      <c r="B458" s="5" t="s">
        <v>0</v>
      </c>
      <c r="C458" s="27" t="s">
        <v>98</v>
      </c>
      <c r="D458" s="3">
        <f>D456+F456</f>
        <v>2573</v>
      </c>
      <c r="E458" s="3">
        <f t="shared" ref="E458:E465" si="70">D458+F458-1</f>
        <v>2575</v>
      </c>
      <c r="F458" s="3">
        <v>3</v>
      </c>
      <c r="G458" s="22" t="s">
        <v>24</v>
      </c>
      <c r="H458" s="42" t="s">
        <v>80</v>
      </c>
      <c r="I458" s="100" t="s">
        <v>547</v>
      </c>
    </row>
    <row r="459" spans="1:9" s="39" customFormat="1" ht="66" x14ac:dyDescent="0.3">
      <c r="A459" s="5" t="s">
        <v>0</v>
      </c>
      <c r="B459" s="5" t="s">
        <v>0</v>
      </c>
      <c r="C459" s="27" t="s">
        <v>98</v>
      </c>
      <c r="D459" s="3">
        <f t="shared" ref="D459:D465" si="71">D458+F458</f>
        <v>2576</v>
      </c>
      <c r="E459" s="3">
        <f t="shared" si="70"/>
        <v>2578</v>
      </c>
      <c r="F459" s="3">
        <v>3</v>
      </c>
      <c r="G459" s="22" t="s">
        <v>25</v>
      </c>
      <c r="H459" s="42" t="s">
        <v>80</v>
      </c>
      <c r="I459" s="100" t="s">
        <v>548</v>
      </c>
    </row>
    <row r="460" spans="1:9" s="39" customFormat="1" ht="92.4" x14ac:dyDescent="0.3">
      <c r="A460" s="5" t="s">
        <v>0</v>
      </c>
      <c r="B460" s="5" t="s">
        <v>0</v>
      </c>
      <c r="C460" s="27" t="s">
        <v>98</v>
      </c>
      <c r="D460" s="3">
        <f t="shared" si="71"/>
        <v>2579</v>
      </c>
      <c r="E460" s="3">
        <f t="shared" si="70"/>
        <v>2581</v>
      </c>
      <c r="F460" s="3">
        <v>3</v>
      </c>
      <c r="G460" s="22" t="s">
        <v>142</v>
      </c>
      <c r="H460" s="42" t="s">
        <v>80</v>
      </c>
      <c r="I460" s="105" t="s">
        <v>549</v>
      </c>
    </row>
    <row r="461" spans="1:9" s="39" customFormat="1" ht="79.2" x14ac:dyDescent="0.3">
      <c r="A461" s="5" t="s">
        <v>0</v>
      </c>
      <c r="B461" s="5" t="s">
        <v>0</v>
      </c>
      <c r="C461" s="27" t="s">
        <v>98</v>
      </c>
      <c r="D461" s="3">
        <f t="shared" si="71"/>
        <v>2582</v>
      </c>
      <c r="E461" s="3">
        <f t="shared" si="70"/>
        <v>2584</v>
      </c>
      <c r="F461" s="3">
        <v>3</v>
      </c>
      <c r="G461" s="22" t="s">
        <v>143</v>
      </c>
      <c r="H461" s="42" t="s">
        <v>85</v>
      </c>
      <c r="I461" s="100" t="s">
        <v>505</v>
      </c>
    </row>
    <row r="462" spans="1:9" s="39" customFormat="1" ht="66" x14ac:dyDescent="0.3">
      <c r="A462" s="5" t="s">
        <v>0</v>
      </c>
      <c r="B462" s="5" t="s">
        <v>0</v>
      </c>
      <c r="C462" s="27" t="s">
        <v>98</v>
      </c>
      <c r="D462" s="3">
        <f t="shared" si="71"/>
        <v>2585</v>
      </c>
      <c r="E462" s="3">
        <f t="shared" si="70"/>
        <v>2587</v>
      </c>
      <c r="F462" s="3">
        <v>3</v>
      </c>
      <c r="G462" s="22" t="s">
        <v>30</v>
      </c>
      <c r="H462" s="40" t="s">
        <v>83</v>
      </c>
      <c r="I462" s="12" t="s">
        <v>605</v>
      </c>
    </row>
    <row r="463" spans="1:9" s="39" customFormat="1" ht="66" x14ac:dyDescent="0.3">
      <c r="A463" s="5" t="s">
        <v>0</v>
      </c>
      <c r="B463" s="5" t="s">
        <v>0</v>
      </c>
      <c r="C463" s="27" t="s">
        <v>98</v>
      </c>
      <c r="D463" s="3">
        <f t="shared" si="71"/>
        <v>2588</v>
      </c>
      <c r="E463" s="3">
        <f t="shared" si="70"/>
        <v>2589</v>
      </c>
      <c r="F463" s="5">
        <v>2</v>
      </c>
      <c r="G463" s="22" t="s">
        <v>120</v>
      </c>
      <c r="H463" s="65" t="s">
        <v>439</v>
      </c>
      <c r="I463" s="43" t="s">
        <v>256</v>
      </c>
    </row>
    <row r="464" spans="1:9" s="39" customFormat="1" ht="66" x14ac:dyDescent="0.3">
      <c r="A464" s="5" t="s">
        <v>0</v>
      </c>
      <c r="B464" s="5" t="s">
        <v>0</v>
      </c>
      <c r="C464" s="27" t="s">
        <v>356</v>
      </c>
      <c r="D464" s="3">
        <f t="shared" si="71"/>
        <v>2590</v>
      </c>
      <c r="E464" s="3">
        <f t="shared" si="70"/>
        <v>2592</v>
      </c>
      <c r="F464" s="3">
        <v>3</v>
      </c>
      <c r="G464" s="22" t="s">
        <v>124</v>
      </c>
      <c r="H464" s="65" t="s">
        <v>440</v>
      </c>
      <c r="I464" s="43" t="s">
        <v>257</v>
      </c>
    </row>
    <row r="465" spans="1:9" s="39" customFormat="1" ht="14.4" x14ac:dyDescent="0.3">
      <c r="A465" s="5"/>
      <c r="B465" s="5"/>
      <c r="C465" s="27"/>
      <c r="D465" s="3">
        <f t="shared" si="71"/>
        <v>2593</v>
      </c>
      <c r="E465" s="3">
        <f t="shared" si="70"/>
        <v>2607</v>
      </c>
      <c r="F465" s="5">
        <v>15</v>
      </c>
      <c r="G465" s="22" t="s">
        <v>55</v>
      </c>
      <c r="H465" s="40"/>
      <c r="I465" s="43"/>
    </row>
    <row r="466" spans="1:9" s="39" customFormat="1" ht="14.4" x14ac:dyDescent="0.3">
      <c r="A466" s="5"/>
      <c r="B466" s="5"/>
      <c r="C466" s="27"/>
      <c r="D466" s="3"/>
      <c r="E466" s="3"/>
      <c r="F466" s="3"/>
      <c r="G466" s="23" t="s">
        <v>248</v>
      </c>
      <c r="H466" s="40"/>
      <c r="I466" s="43"/>
    </row>
    <row r="467" spans="1:9" s="39" customFormat="1" ht="26.4" x14ac:dyDescent="0.3">
      <c r="A467" s="5" t="s">
        <v>6</v>
      </c>
      <c r="B467" s="5" t="s">
        <v>6</v>
      </c>
      <c r="C467" s="27" t="s">
        <v>98</v>
      </c>
      <c r="D467" s="3">
        <f>D465+F465</f>
        <v>2608</v>
      </c>
      <c r="E467" s="3">
        <f>D467+F467-1</f>
        <v>2610</v>
      </c>
      <c r="F467" s="3">
        <v>3</v>
      </c>
      <c r="G467" s="22" t="s">
        <v>230</v>
      </c>
      <c r="H467" s="40" t="s">
        <v>83</v>
      </c>
      <c r="I467" s="42" t="s">
        <v>232</v>
      </c>
    </row>
    <row r="468" spans="1:9" s="39" customFormat="1" ht="26.4" x14ac:dyDescent="0.3">
      <c r="A468" s="5" t="s">
        <v>6</v>
      </c>
      <c r="B468" s="5" t="s">
        <v>6</v>
      </c>
      <c r="C468" s="27" t="s">
        <v>98</v>
      </c>
      <c r="D468" s="3">
        <f>D467+F467</f>
        <v>2611</v>
      </c>
      <c r="E468" s="3">
        <f>D468+F468-1</f>
        <v>2613</v>
      </c>
      <c r="F468" s="3">
        <v>3</v>
      </c>
      <c r="G468" s="22" t="s">
        <v>231</v>
      </c>
      <c r="H468" s="40" t="s">
        <v>83</v>
      </c>
      <c r="I468" s="42" t="s">
        <v>232</v>
      </c>
    </row>
    <row r="469" spans="1:9" s="39" customFormat="1" ht="14.4" x14ac:dyDescent="0.3">
      <c r="A469" s="5"/>
      <c r="B469" s="5"/>
      <c r="C469" s="27"/>
      <c r="D469" s="3"/>
      <c r="E469" s="3"/>
      <c r="F469" s="3"/>
      <c r="G469" s="23" t="s">
        <v>140</v>
      </c>
      <c r="H469" s="40"/>
      <c r="I469" s="42"/>
    </row>
    <row r="470" spans="1:9" s="39" customFormat="1" ht="39.6" x14ac:dyDescent="0.3">
      <c r="A470" s="5" t="s">
        <v>0</v>
      </c>
      <c r="B470" s="5" t="s">
        <v>0</v>
      </c>
      <c r="C470" s="27" t="s">
        <v>98</v>
      </c>
      <c r="D470" s="3">
        <f>D468+F468</f>
        <v>2614</v>
      </c>
      <c r="E470" s="3">
        <f t="shared" ref="E470:E475" si="72">D470+F470-1</f>
        <v>2615</v>
      </c>
      <c r="F470" s="3">
        <v>2</v>
      </c>
      <c r="G470" s="22" t="s">
        <v>194</v>
      </c>
      <c r="H470" s="40" t="s">
        <v>84</v>
      </c>
      <c r="I470" s="42" t="s">
        <v>185</v>
      </c>
    </row>
    <row r="471" spans="1:9" s="39" customFormat="1" ht="66" x14ac:dyDescent="0.3">
      <c r="A471" s="5" t="s">
        <v>0</v>
      </c>
      <c r="B471" s="5" t="s">
        <v>0</v>
      </c>
      <c r="C471" s="27" t="s">
        <v>98</v>
      </c>
      <c r="D471" s="3">
        <f t="shared" ref="D471:D476" si="73">D470+F470</f>
        <v>2616</v>
      </c>
      <c r="E471" s="3">
        <f t="shared" si="72"/>
        <v>2618</v>
      </c>
      <c r="F471" s="3">
        <v>3</v>
      </c>
      <c r="G471" s="22" t="s">
        <v>191</v>
      </c>
      <c r="H471" s="40" t="s">
        <v>85</v>
      </c>
      <c r="I471" s="42" t="s">
        <v>186</v>
      </c>
    </row>
    <row r="472" spans="1:9" s="39" customFormat="1" ht="39.6" x14ac:dyDescent="0.3">
      <c r="A472" s="5" t="s">
        <v>0</v>
      </c>
      <c r="B472" s="5" t="s">
        <v>0</v>
      </c>
      <c r="C472" s="27" t="s">
        <v>98</v>
      </c>
      <c r="D472" s="3">
        <f t="shared" si="73"/>
        <v>2619</v>
      </c>
      <c r="E472" s="3">
        <f t="shared" si="72"/>
        <v>2620</v>
      </c>
      <c r="F472" s="3">
        <v>2</v>
      </c>
      <c r="G472" s="22" t="s">
        <v>195</v>
      </c>
      <c r="H472" s="40" t="s">
        <v>84</v>
      </c>
      <c r="I472" s="42" t="s">
        <v>187</v>
      </c>
    </row>
    <row r="473" spans="1:9" s="39" customFormat="1" ht="52.8" x14ac:dyDescent="0.3">
      <c r="A473" s="5" t="s">
        <v>0</v>
      </c>
      <c r="B473" s="5" t="s">
        <v>0</v>
      </c>
      <c r="C473" s="27" t="s">
        <v>98</v>
      </c>
      <c r="D473" s="3">
        <f t="shared" si="73"/>
        <v>2621</v>
      </c>
      <c r="E473" s="3">
        <f t="shared" si="72"/>
        <v>2623</v>
      </c>
      <c r="F473" s="3">
        <v>3</v>
      </c>
      <c r="G473" s="22" t="s">
        <v>192</v>
      </c>
      <c r="H473" s="40" t="s">
        <v>85</v>
      </c>
      <c r="I473" s="42" t="s">
        <v>188</v>
      </c>
    </row>
    <row r="474" spans="1:9" s="39" customFormat="1" ht="39.6" x14ac:dyDescent="0.3">
      <c r="A474" s="5" t="s">
        <v>0</v>
      </c>
      <c r="B474" s="5" t="s">
        <v>0</v>
      </c>
      <c r="C474" s="27" t="s">
        <v>98</v>
      </c>
      <c r="D474" s="3">
        <f t="shared" si="73"/>
        <v>2624</v>
      </c>
      <c r="E474" s="3">
        <f t="shared" si="72"/>
        <v>2625</v>
      </c>
      <c r="F474" s="3">
        <v>2</v>
      </c>
      <c r="G474" s="22" t="s">
        <v>196</v>
      </c>
      <c r="H474" s="40" t="s">
        <v>84</v>
      </c>
      <c r="I474" s="42" t="s">
        <v>190</v>
      </c>
    </row>
    <row r="475" spans="1:9" s="39" customFormat="1" ht="66" x14ac:dyDescent="0.3">
      <c r="A475" s="5" t="s">
        <v>0</v>
      </c>
      <c r="B475" s="5" t="s">
        <v>0</v>
      </c>
      <c r="C475" s="27" t="s">
        <v>98</v>
      </c>
      <c r="D475" s="3">
        <f t="shared" si="73"/>
        <v>2626</v>
      </c>
      <c r="E475" s="3">
        <f t="shared" si="72"/>
        <v>2628</v>
      </c>
      <c r="F475" s="3">
        <v>3</v>
      </c>
      <c r="G475" s="22" t="s">
        <v>193</v>
      </c>
      <c r="H475" s="40" t="s">
        <v>85</v>
      </c>
      <c r="I475" s="42" t="s">
        <v>189</v>
      </c>
    </row>
    <row r="476" spans="1:9" s="39" customFormat="1" ht="14.4" x14ac:dyDescent="0.3">
      <c r="A476" s="5"/>
      <c r="B476" s="5"/>
      <c r="C476" s="27"/>
      <c r="D476" s="3">
        <f t="shared" si="73"/>
        <v>2629</v>
      </c>
      <c r="E476" s="3">
        <f>D476+F476-1</f>
        <v>2648</v>
      </c>
      <c r="F476" s="3">
        <v>20</v>
      </c>
      <c r="G476" s="22" t="s">
        <v>55</v>
      </c>
      <c r="H476" s="40"/>
      <c r="I476" s="42"/>
    </row>
    <row r="477" spans="1:9" s="39" customFormat="1" ht="14.4" x14ac:dyDescent="0.3">
      <c r="A477" s="5"/>
      <c r="B477" s="5"/>
      <c r="C477" s="27"/>
      <c r="D477" s="3"/>
      <c r="E477" s="3"/>
      <c r="F477" s="3"/>
      <c r="G477" s="23" t="s">
        <v>337</v>
      </c>
      <c r="H477" s="40"/>
      <c r="I477" s="42"/>
    </row>
    <row r="478" spans="1:9" s="39" customFormat="1" ht="26.4" x14ac:dyDescent="0.3">
      <c r="A478" s="5" t="s">
        <v>0</v>
      </c>
      <c r="B478" s="5" t="s">
        <v>0</v>
      </c>
      <c r="C478" s="27" t="s">
        <v>356</v>
      </c>
      <c r="D478" s="3">
        <f>D476+F476</f>
        <v>2649</v>
      </c>
      <c r="E478" s="3">
        <f t="shared" ref="E478:E486" si="74">D478+F478-1</f>
        <v>2650</v>
      </c>
      <c r="F478" s="5">
        <v>2</v>
      </c>
      <c r="G478" s="13" t="s">
        <v>342</v>
      </c>
      <c r="H478" s="40" t="s">
        <v>92</v>
      </c>
      <c r="I478" s="42" t="s">
        <v>153</v>
      </c>
    </row>
    <row r="479" spans="1:9" s="39" customFormat="1" ht="66" x14ac:dyDescent="0.3">
      <c r="A479" s="5" t="s">
        <v>0</v>
      </c>
      <c r="B479" s="5" t="s">
        <v>0</v>
      </c>
      <c r="C479" s="27" t="s">
        <v>98</v>
      </c>
      <c r="D479" s="3">
        <f t="shared" ref="D479:D486" si="75">D478+F478</f>
        <v>2651</v>
      </c>
      <c r="E479" s="3">
        <f t="shared" si="74"/>
        <v>2651</v>
      </c>
      <c r="F479" s="3">
        <v>1</v>
      </c>
      <c r="G479" s="22" t="s">
        <v>26</v>
      </c>
      <c r="H479" s="40" t="s">
        <v>125</v>
      </c>
      <c r="I479" s="42" t="s">
        <v>372</v>
      </c>
    </row>
    <row r="480" spans="1:9" s="39" customFormat="1" ht="39.6" x14ac:dyDescent="0.3">
      <c r="A480" s="5" t="s">
        <v>0</v>
      </c>
      <c r="B480" s="5" t="s">
        <v>0</v>
      </c>
      <c r="C480" s="27" t="s">
        <v>98</v>
      </c>
      <c r="D480" s="3">
        <f t="shared" si="75"/>
        <v>2652</v>
      </c>
      <c r="E480" s="3">
        <f t="shared" si="74"/>
        <v>2652</v>
      </c>
      <c r="F480" s="3">
        <v>1</v>
      </c>
      <c r="G480" s="22" t="s">
        <v>27</v>
      </c>
      <c r="H480" s="40" t="s">
        <v>81</v>
      </c>
      <c r="I480" s="42" t="s">
        <v>235</v>
      </c>
    </row>
    <row r="481" spans="1:9" s="39" customFormat="1" ht="39.6" x14ac:dyDescent="0.3">
      <c r="A481" s="5" t="s">
        <v>0</v>
      </c>
      <c r="B481" s="5" t="s">
        <v>0</v>
      </c>
      <c r="C481" s="27" t="s">
        <v>99</v>
      </c>
      <c r="D481" s="3">
        <f t="shared" si="75"/>
        <v>2653</v>
      </c>
      <c r="E481" s="3">
        <f t="shared" si="74"/>
        <v>2653</v>
      </c>
      <c r="F481" s="3">
        <v>1</v>
      </c>
      <c r="G481" s="22" t="s">
        <v>122</v>
      </c>
      <c r="H481" s="40" t="s">
        <v>233</v>
      </c>
      <c r="I481" s="42" t="s">
        <v>234</v>
      </c>
    </row>
    <row r="482" spans="1:9" s="39" customFormat="1" ht="52.8" x14ac:dyDescent="0.3">
      <c r="A482" s="5" t="s">
        <v>0</v>
      </c>
      <c r="B482" s="5" t="s">
        <v>0</v>
      </c>
      <c r="C482" s="27" t="s">
        <v>98</v>
      </c>
      <c r="D482" s="3">
        <f t="shared" si="75"/>
        <v>2654</v>
      </c>
      <c r="E482" s="3">
        <f t="shared" si="74"/>
        <v>2654</v>
      </c>
      <c r="F482" s="3">
        <v>1</v>
      </c>
      <c r="G482" s="22" t="s">
        <v>28</v>
      </c>
      <c r="H482" s="40" t="s">
        <v>82</v>
      </c>
      <c r="I482" s="42" t="s">
        <v>236</v>
      </c>
    </row>
    <row r="483" spans="1:9" s="39" customFormat="1" ht="169.5" customHeight="1" x14ac:dyDescent="0.3">
      <c r="A483" s="5" t="s">
        <v>0</v>
      </c>
      <c r="B483" s="5" t="s">
        <v>0</v>
      </c>
      <c r="C483" s="27" t="s">
        <v>96</v>
      </c>
      <c r="D483" s="3">
        <f t="shared" si="75"/>
        <v>2655</v>
      </c>
      <c r="E483" s="3">
        <f t="shared" si="74"/>
        <v>2655</v>
      </c>
      <c r="F483" s="3">
        <v>1</v>
      </c>
      <c r="G483" s="22" t="s">
        <v>32</v>
      </c>
      <c r="H483" s="40" t="s">
        <v>79</v>
      </c>
      <c r="I483" s="42" t="s">
        <v>341</v>
      </c>
    </row>
    <row r="484" spans="1:9" s="39" customFormat="1" ht="66" x14ac:dyDescent="0.3">
      <c r="A484" s="5" t="s">
        <v>0</v>
      </c>
      <c r="B484" s="5" t="s">
        <v>0</v>
      </c>
      <c r="C484" s="27" t="s">
        <v>96</v>
      </c>
      <c r="D484" s="3">
        <f t="shared" si="75"/>
        <v>2656</v>
      </c>
      <c r="E484" s="3">
        <f t="shared" si="74"/>
        <v>2656</v>
      </c>
      <c r="F484" s="3">
        <v>1</v>
      </c>
      <c r="G484" s="22" t="s">
        <v>29</v>
      </c>
      <c r="H484" s="40" t="s">
        <v>78</v>
      </c>
      <c r="I484" s="42" t="s">
        <v>680</v>
      </c>
    </row>
    <row r="485" spans="1:9" s="39" customFormat="1" ht="39.6" x14ac:dyDescent="0.3">
      <c r="A485" s="5" t="s">
        <v>6</v>
      </c>
      <c r="B485" s="5" t="s">
        <v>6</v>
      </c>
      <c r="C485" s="27" t="s">
        <v>99</v>
      </c>
      <c r="D485" s="3">
        <f t="shared" si="75"/>
        <v>2657</v>
      </c>
      <c r="E485" s="3">
        <f t="shared" si="74"/>
        <v>2657</v>
      </c>
      <c r="F485" s="3">
        <v>1</v>
      </c>
      <c r="G485" s="22" t="s">
        <v>119</v>
      </c>
      <c r="H485" s="41" t="s">
        <v>370</v>
      </c>
      <c r="I485" s="42" t="s">
        <v>371</v>
      </c>
    </row>
    <row r="486" spans="1:9" s="39" customFormat="1" ht="14.4" x14ac:dyDescent="0.3">
      <c r="A486" s="5"/>
      <c r="B486" s="5"/>
      <c r="C486" s="28"/>
      <c r="D486" s="3">
        <f t="shared" si="75"/>
        <v>2658</v>
      </c>
      <c r="E486" s="3">
        <f t="shared" si="74"/>
        <v>2667</v>
      </c>
      <c r="F486" s="6">
        <v>10</v>
      </c>
      <c r="G486" s="9" t="s">
        <v>55</v>
      </c>
      <c r="H486" s="40"/>
      <c r="I486" s="42"/>
    </row>
    <row r="487" spans="1:9" s="39" customFormat="1" ht="14.4" x14ac:dyDescent="0.3">
      <c r="A487" s="5"/>
      <c r="B487" s="5"/>
      <c r="C487" s="28"/>
      <c r="D487" s="3"/>
      <c r="E487" s="3"/>
      <c r="F487" s="6"/>
      <c r="G487" s="23" t="s">
        <v>152</v>
      </c>
      <c r="H487" s="40"/>
      <c r="I487" s="42"/>
    </row>
    <row r="488" spans="1:9" s="39" customFormat="1" ht="92.4" x14ac:dyDescent="0.3">
      <c r="A488" s="5" t="s">
        <v>6</v>
      </c>
      <c r="B488" s="5" t="s">
        <v>6</v>
      </c>
      <c r="C488" s="28" t="s">
        <v>99</v>
      </c>
      <c r="D488" s="3">
        <f>D486+F486</f>
        <v>2668</v>
      </c>
      <c r="E488" s="3">
        <f>D488+F488-1</f>
        <v>2668</v>
      </c>
      <c r="F488" s="6">
        <v>1</v>
      </c>
      <c r="G488" s="13" t="s">
        <v>330</v>
      </c>
      <c r="H488" s="43" t="s">
        <v>118</v>
      </c>
      <c r="I488" s="42" t="s">
        <v>331</v>
      </c>
    </row>
    <row r="489" spans="1:9" s="39" customFormat="1" ht="66" x14ac:dyDescent="0.3">
      <c r="A489" s="5" t="s">
        <v>6</v>
      </c>
      <c r="B489" s="5" t="s">
        <v>6</v>
      </c>
      <c r="C489" s="28" t="s">
        <v>99</v>
      </c>
      <c r="D489" s="3">
        <f>D488+F488</f>
        <v>2669</v>
      </c>
      <c r="E489" s="3">
        <f>D489+F489-1</f>
        <v>2669</v>
      </c>
      <c r="F489" s="6">
        <v>1</v>
      </c>
      <c r="G489" s="9" t="s">
        <v>116</v>
      </c>
      <c r="H489" s="43" t="s">
        <v>118</v>
      </c>
      <c r="I489" s="42" t="s">
        <v>156</v>
      </c>
    </row>
    <row r="490" spans="1:9" s="39" customFormat="1" ht="66" x14ac:dyDescent="0.3">
      <c r="A490" s="5" t="s">
        <v>6</v>
      </c>
      <c r="B490" s="5" t="s">
        <v>6</v>
      </c>
      <c r="C490" s="28" t="s">
        <v>99</v>
      </c>
      <c r="D490" s="3">
        <f>D489+F489</f>
        <v>2670</v>
      </c>
      <c r="E490" s="3">
        <f>D490+F490-1</f>
        <v>2670</v>
      </c>
      <c r="F490" s="6">
        <v>1</v>
      </c>
      <c r="G490" s="9" t="s">
        <v>117</v>
      </c>
      <c r="H490" s="43" t="s">
        <v>118</v>
      </c>
      <c r="I490" s="42" t="s">
        <v>237</v>
      </c>
    </row>
    <row r="491" spans="1:9" s="39" customFormat="1" ht="14.4" x14ac:dyDescent="0.3">
      <c r="A491" s="5"/>
      <c r="B491" s="5"/>
      <c r="C491" s="28"/>
      <c r="D491" s="3">
        <f>D490+F490</f>
        <v>2671</v>
      </c>
      <c r="E491" s="3">
        <f>D491+F491-1</f>
        <v>2680</v>
      </c>
      <c r="F491" s="6">
        <v>10</v>
      </c>
      <c r="G491" s="9" t="s">
        <v>55</v>
      </c>
      <c r="H491" s="43"/>
      <c r="I491" s="42"/>
    </row>
    <row r="492" spans="1:9" s="39" customFormat="1" ht="14.4" x14ac:dyDescent="0.3">
      <c r="A492" s="5"/>
      <c r="B492" s="5"/>
      <c r="C492" s="27"/>
      <c r="D492" s="3"/>
      <c r="E492" s="3"/>
      <c r="F492" s="3"/>
      <c r="G492" s="23" t="s">
        <v>36</v>
      </c>
      <c r="H492" s="40"/>
      <c r="I492" s="42"/>
    </row>
    <row r="493" spans="1:9" s="39" customFormat="1" ht="26.4" x14ac:dyDescent="0.3">
      <c r="A493" s="143" t="s">
        <v>622</v>
      </c>
      <c r="B493" s="143" t="s">
        <v>622</v>
      </c>
      <c r="C493" s="3" t="s">
        <v>96</v>
      </c>
      <c r="D493" s="3">
        <f>D491+F491</f>
        <v>2681</v>
      </c>
      <c r="E493" s="3">
        <f t="shared" ref="E493:E500" si="76">D493+F493-1</f>
        <v>2684</v>
      </c>
      <c r="F493" s="3">
        <v>4</v>
      </c>
      <c r="G493" s="22" t="s">
        <v>34</v>
      </c>
      <c r="H493" s="40" t="s">
        <v>88</v>
      </c>
      <c r="I493" s="167" t="s">
        <v>87</v>
      </c>
    </row>
    <row r="494" spans="1:9" s="39" customFormat="1" ht="52.8" x14ac:dyDescent="0.3">
      <c r="A494" s="143" t="s">
        <v>622</v>
      </c>
      <c r="B494" s="143" t="s">
        <v>622</v>
      </c>
      <c r="C494" s="3" t="s">
        <v>96</v>
      </c>
      <c r="D494" s="3">
        <f t="shared" ref="D494:D498" si="77">D493+F493</f>
        <v>2685</v>
      </c>
      <c r="E494" s="3">
        <f t="shared" si="76"/>
        <v>2686</v>
      </c>
      <c r="F494" s="3">
        <v>2</v>
      </c>
      <c r="G494" s="22" t="s">
        <v>33</v>
      </c>
      <c r="H494" s="40" t="s">
        <v>86</v>
      </c>
      <c r="I494" s="167"/>
    </row>
    <row r="495" spans="1:9" s="39" customFormat="1" ht="26.4" x14ac:dyDescent="0.3">
      <c r="A495" s="143" t="s">
        <v>622</v>
      </c>
      <c r="B495" s="143" t="s">
        <v>622</v>
      </c>
      <c r="C495" s="3" t="s">
        <v>96</v>
      </c>
      <c r="D495" s="3">
        <f t="shared" si="77"/>
        <v>2687</v>
      </c>
      <c r="E495" s="3">
        <f t="shared" si="76"/>
        <v>2689</v>
      </c>
      <c r="F495" s="3">
        <v>3</v>
      </c>
      <c r="G495" s="22" t="s">
        <v>35</v>
      </c>
      <c r="H495" s="40" t="s">
        <v>89</v>
      </c>
      <c r="I495" s="42" t="s">
        <v>90</v>
      </c>
    </row>
    <row r="496" spans="1:9" s="39" customFormat="1" ht="66" x14ac:dyDescent="0.3">
      <c r="A496" s="143" t="s">
        <v>622</v>
      </c>
      <c r="B496" s="143" t="s">
        <v>622</v>
      </c>
      <c r="C496" s="3" t="s">
        <v>96</v>
      </c>
      <c r="D496" s="3">
        <f t="shared" si="77"/>
        <v>2690</v>
      </c>
      <c r="E496" s="3">
        <f t="shared" si="76"/>
        <v>2692</v>
      </c>
      <c r="F496" s="3">
        <v>3</v>
      </c>
      <c r="G496" s="22" t="s">
        <v>292</v>
      </c>
      <c r="H496" s="40" t="s">
        <v>293</v>
      </c>
      <c r="I496" s="42" t="s">
        <v>91</v>
      </c>
    </row>
    <row r="497" spans="1:9" s="39" customFormat="1" ht="14.4" x14ac:dyDescent="0.3">
      <c r="A497" s="5"/>
      <c r="B497" s="5"/>
      <c r="C497" s="27"/>
      <c r="D497" s="3">
        <f t="shared" si="77"/>
        <v>2693</v>
      </c>
      <c r="E497" s="3">
        <f t="shared" si="76"/>
        <v>2702</v>
      </c>
      <c r="F497" s="3">
        <v>10</v>
      </c>
      <c r="G497" s="22" t="s">
        <v>55</v>
      </c>
      <c r="H497" s="40"/>
      <c r="I497" s="42"/>
    </row>
    <row r="498" spans="1:9" s="39" customFormat="1" ht="188.25" customHeight="1" x14ac:dyDescent="0.3">
      <c r="A498" s="5" t="s">
        <v>6</v>
      </c>
      <c r="B498" s="5" t="s">
        <v>6</v>
      </c>
      <c r="C498" s="27" t="s">
        <v>99</v>
      </c>
      <c r="D498" s="3">
        <f t="shared" si="77"/>
        <v>2703</v>
      </c>
      <c r="E498" s="5">
        <f t="shared" si="76"/>
        <v>2902</v>
      </c>
      <c r="F498" s="5">
        <v>200</v>
      </c>
      <c r="G498" s="13" t="s">
        <v>369</v>
      </c>
      <c r="H498" s="167" t="s">
        <v>566</v>
      </c>
      <c r="I498" s="124" t="s">
        <v>397</v>
      </c>
    </row>
    <row r="499" spans="1:9" s="39" customFormat="1" ht="188.25" customHeight="1" x14ac:dyDescent="0.3">
      <c r="A499" s="5" t="s">
        <v>6</v>
      </c>
      <c r="B499" s="5" t="s">
        <v>6</v>
      </c>
      <c r="C499" s="27" t="s">
        <v>98</v>
      </c>
      <c r="D499" s="3">
        <f t="shared" ref="D499" si="78">D498+F498</f>
        <v>2903</v>
      </c>
      <c r="E499" s="3">
        <f t="shared" ref="E499" si="79">D499+F499-1</f>
        <v>3002</v>
      </c>
      <c r="F499" s="3">
        <v>100</v>
      </c>
      <c r="G499" s="13" t="s">
        <v>363</v>
      </c>
      <c r="H499" s="167"/>
      <c r="I499" s="124" t="s">
        <v>565</v>
      </c>
    </row>
    <row r="500" spans="1:9" s="39" customFormat="1" ht="14.4" x14ac:dyDescent="0.3">
      <c r="A500" s="5"/>
      <c r="B500" s="5"/>
      <c r="C500" s="27"/>
      <c r="D500" s="3">
        <f>D499+F499</f>
        <v>3003</v>
      </c>
      <c r="E500" s="3">
        <f t="shared" si="76"/>
        <v>3018</v>
      </c>
      <c r="F500" s="3">
        <v>16</v>
      </c>
      <c r="G500" s="22" t="s">
        <v>55</v>
      </c>
      <c r="H500" s="40"/>
      <c r="I500" s="42"/>
    </row>
    <row r="501" spans="1:9" x14ac:dyDescent="0.3">
      <c r="A501" s="5"/>
      <c r="B501" s="5"/>
      <c r="C501" s="6"/>
      <c r="D501" s="3"/>
      <c r="E501" s="3"/>
      <c r="F501" s="3"/>
      <c r="G501" s="23" t="s">
        <v>95</v>
      </c>
      <c r="H501" s="40"/>
    </row>
    <row r="502" spans="1:9" ht="26.4" x14ac:dyDescent="0.3">
      <c r="A502" s="5" t="s">
        <v>0</v>
      </c>
      <c r="B502" s="5" t="s">
        <v>0</v>
      </c>
      <c r="C502" s="27" t="s">
        <v>97</v>
      </c>
      <c r="D502" s="3">
        <f>D500+F500</f>
        <v>3019</v>
      </c>
      <c r="E502" s="3">
        <f>D502+F502-1</f>
        <v>3019</v>
      </c>
      <c r="F502" s="3">
        <v>1</v>
      </c>
      <c r="G502" s="22" t="s">
        <v>37</v>
      </c>
      <c r="H502" s="40" t="s">
        <v>54</v>
      </c>
    </row>
    <row r="503" spans="1:9" ht="145.19999999999999" x14ac:dyDescent="0.3">
      <c r="A503" s="5" t="s">
        <v>0</v>
      </c>
      <c r="B503" s="5" t="s">
        <v>0</v>
      </c>
      <c r="C503" s="27" t="s">
        <v>97</v>
      </c>
      <c r="D503" s="3">
        <f>D502+F502</f>
        <v>3020</v>
      </c>
      <c r="E503" s="3">
        <f t="shared" ref="E503:E517" si="80">D503+F503-1</f>
        <v>3027</v>
      </c>
      <c r="F503" s="142">
        <v>8</v>
      </c>
      <c r="G503" s="22" t="s">
        <v>13</v>
      </c>
      <c r="H503" s="140" t="s">
        <v>596</v>
      </c>
      <c r="I503" s="141" t="s">
        <v>684</v>
      </c>
    </row>
    <row r="504" spans="1:9" ht="52.8" x14ac:dyDescent="0.3">
      <c r="A504" s="5" t="s">
        <v>6</v>
      </c>
      <c r="B504" s="5" t="s">
        <v>6</v>
      </c>
      <c r="C504" s="27" t="s">
        <v>97</v>
      </c>
      <c r="D504" s="3">
        <f>D503+F503</f>
        <v>3028</v>
      </c>
      <c r="E504" s="3">
        <f t="shared" si="80"/>
        <v>3035</v>
      </c>
      <c r="F504" s="142">
        <v>8</v>
      </c>
      <c r="G504" s="22" t="s">
        <v>14</v>
      </c>
      <c r="H504" s="41" t="s">
        <v>366</v>
      </c>
      <c r="I504" s="42" t="s">
        <v>367</v>
      </c>
    </row>
    <row r="505" spans="1:9" ht="17.25" customHeight="1" x14ac:dyDescent="0.3">
      <c r="A505" s="5" t="s">
        <v>0</v>
      </c>
      <c r="B505" s="5" t="s">
        <v>6</v>
      </c>
      <c r="C505" s="27" t="s">
        <v>97</v>
      </c>
      <c r="D505" s="3">
        <f t="shared" ref="D505:D511" si="81">D504+F504</f>
        <v>3036</v>
      </c>
      <c r="E505" s="3">
        <f t="shared" si="80"/>
        <v>3055</v>
      </c>
      <c r="F505" s="3">
        <v>20</v>
      </c>
      <c r="G505" s="22" t="s">
        <v>15</v>
      </c>
      <c r="H505" s="169" t="s">
        <v>228</v>
      </c>
      <c r="I505" s="170" t="s">
        <v>322</v>
      </c>
    </row>
    <row r="506" spans="1:9" ht="17.25" customHeight="1" x14ac:dyDescent="0.3">
      <c r="A506" s="5" t="s">
        <v>0</v>
      </c>
      <c r="B506" s="5" t="s">
        <v>6</v>
      </c>
      <c r="C506" s="27" t="s">
        <v>97</v>
      </c>
      <c r="D506" s="3">
        <f t="shared" si="81"/>
        <v>3056</v>
      </c>
      <c r="E506" s="3">
        <f t="shared" si="80"/>
        <v>3070</v>
      </c>
      <c r="F506" s="3">
        <v>15</v>
      </c>
      <c r="G506" s="22" t="s">
        <v>16</v>
      </c>
      <c r="H506" s="169"/>
      <c r="I506" s="170"/>
    </row>
    <row r="507" spans="1:9" ht="17.25" customHeight="1" x14ac:dyDescent="0.3">
      <c r="A507" s="5" t="s">
        <v>0</v>
      </c>
      <c r="B507" s="5" t="s">
        <v>6</v>
      </c>
      <c r="C507" s="27" t="s">
        <v>97</v>
      </c>
      <c r="D507" s="3">
        <f t="shared" si="81"/>
        <v>3071</v>
      </c>
      <c r="E507" s="3">
        <f t="shared" si="80"/>
        <v>3071</v>
      </c>
      <c r="F507" s="3">
        <v>1</v>
      </c>
      <c r="G507" s="22" t="s">
        <v>245</v>
      </c>
      <c r="H507" s="169"/>
      <c r="I507" s="170"/>
    </row>
    <row r="508" spans="1:9" ht="39" customHeight="1" x14ac:dyDescent="0.3">
      <c r="A508" s="5" t="s">
        <v>6</v>
      </c>
      <c r="B508" s="5" t="s">
        <v>6</v>
      </c>
      <c r="C508" s="27" t="s">
        <v>97</v>
      </c>
      <c r="D508" s="3">
        <f t="shared" si="81"/>
        <v>3072</v>
      </c>
      <c r="E508" s="3">
        <f t="shared" si="80"/>
        <v>3074</v>
      </c>
      <c r="F508" s="3">
        <v>3</v>
      </c>
      <c r="G508" s="22" t="s">
        <v>149</v>
      </c>
      <c r="H508" s="99" t="s">
        <v>150</v>
      </c>
      <c r="I508" s="174" t="s">
        <v>506</v>
      </c>
    </row>
    <row r="509" spans="1:9" x14ac:dyDescent="0.3">
      <c r="A509" s="5" t="s">
        <v>6</v>
      </c>
      <c r="B509" s="5" t="s">
        <v>6</v>
      </c>
      <c r="C509" s="27" t="s">
        <v>97</v>
      </c>
      <c r="D509" s="3">
        <f t="shared" si="81"/>
        <v>3075</v>
      </c>
      <c r="E509" s="3">
        <f t="shared" si="80"/>
        <v>3094</v>
      </c>
      <c r="F509" s="3">
        <v>20</v>
      </c>
      <c r="G509" s="22" t="s">
        <v>17</v>
      </c>
      <c r="H509" s="174" t="s">
        <v>228</v>
      </c>
      <c r="I509" s="174"/>
    </row>
    <row r="510" spans="1:9" x14ac:dyDescent="0.3">
      <c r="A510" s="5" t="s">
        <v>6</v>
      </c>
      <c r="B510" s="5" t="s">
        <v>6</v>
      </c>
      <c r="C510" s="27" t="s">
        <v>97</v>
      </c>
      <c r="D510" s="3">
        <f t="shared" si="81"/>
        <v>3095</v>
      </c>
      <c r="E510" s="3">
        <f t="shared" si="80"/>
        <v>3114</v>
      </c>
      <c r="F510" s="3">
        <v>20</v>
      </c>
      <c r="G510" s="22" t="s">
        <v>18</v>
      </c>
      <c r="H510" s="174"/>
      <c r="I510" s="174"/>
    </row>
    <row r="511" spans="1:9" x14ac:dyDescent="0.3">
      <c r="A511" s="5" t="s">
        <v>0</v>
      </c>
      <c r="B511" s="5" t="s">
        <v>0</v>
      </c>
      <c r="C511" s="27" t="s">
        <v>97</v>
      </c>
      <c r="D511" s="3">
        <f t="shared" si="81"/>
        <v>3115</v>
      </c>
      <c r="E511" s="3">
        <f t="shared" si="80"/>
        <v>3115</v>
      </c>
      <c r="F511" s="3">
        <v>1</v>
      </c>
      <c r="G511" s="22" t="s">
        <v>246</v>
      </c>
      <c r="H511" s="174"/>
      <c r="I511" s="174"/>
    </row>
    <row r="512" spans="1:9" ht="221.4" customHeight="1" x14ac:dyDescent="0.3">
      <c r="A512" s="5" t="s">
        <v>0</v>
      </c>
      <c r="B512" s="5" t="s">
        <v>0</v>
      </c>
      <c r="C512" s="27" t="s">
        <v>209</v>
      </c>
      <c r="D512" s="3">
        <f t="shared" ref="D512:D517" si="82">D511+F511</f>
        <v>3116</v>
      </c>
      <c r="E512" s="3">
        <f>D512+F512-1</f>
        <v>3121</v>
      </c>
      <c r="F512" s="3">
        <v>6</v>
      </c>
      <c r="G512" s="22" t="s">
        <v>148</v>
      </c>
      <c r="H512" s="101" t="s">
        <v>550</v>
      </c>
      <c r="I512" s="152" t="s">
        <v>690</v>
      </c>
    </row>
    <row r="513" spans="1:9" ht="232.2" customHeight="1" x14ac:dyDescent="0.3">
      <c r="A513" s="5" t="s">
        <v>0</v>
      </c>
      <c r="B513" s="5" t="s">
        <v>0</v>
      </c>
      <c r="C513" s="27" t="s">
        <v>97</v>
      </c>
      <c r="D513" s="3">
        <f t="shared" si="82"/>
        <v>3122</v>
      </c>
      <c r="E513" s="3">
        <f t="shared" si="80"/>
        <v>3151</v>
      </c>
      <c r="F513" s="3">
        <v>30</v>
      </c>
      <c r="G513" s="22" t="s">
        <v>19</v>
      </c>
      <c r="H513" s="209" t="s">
        <v>715</v>
      </c>
      <c r="I513" s="210" t="s">
        <v>714</v>
      </c>
    </row>
    <row r="514" spans="1:9" s="39" customFormat="1" ht="52.8" x14ac:dyDescent="0.3">
      <c r="A514" s="5" t="s">
        <v>0</v>
      </c>
      <c r="B514" s="5" t="s">
        <v>0</v>
      </c>
      <c r="C514" s="27" t="s">
        <v>97</v>
      </c>
      <c r="D514" s="3">
        <f t="shared" si="82"/>
        <v>3152</v>
      </c>
      <c r="E514" s="3">
        <f t="shared" si="80"/>
        <v>3171</v>
      </c>
      <c r="F514" s="3">
        <v>20</v>
      </c>
      <c r="G514" s="22" t="s">
        <v>112</v>
      </c>
      <c r="H514" s="40" t="s">
        <v>301</v>
      </c>
      <c r="I514" s="42" t="s">
        <v>322</v>
      </c>
    </row>
    <row r="515" spans="1:9" s="39" customFormat="1" ht="39.6" x14ac:dyDescent="0.3">
      <c r="A515" s="5" t="s">
        <v>0</v>
      </c>
      <c r="B515" s="5" t="s">
        <v>0</v>
      </c>
      <c r="C515" s="27" t="s">
        <v>209</v>
      </c>
      <c r="D515" s="3">
        <f t="shared" si="82"/>
        <v>3172</v>
      </c>
      <c r="E515" s="3">
        <f>D515+F515-1</f>
        <v>3177</v>
      </c>
      <c r="F515" s="3">
        <v>6</v>
      </c>
      <c r="G515" s="22" t="s">
        <v>114</v>
      </c>
      <c r="H515" s="40" t="s">
        <v>115</v>
      </c>
      <c r="I515" s="42" t="s">
        <v>273</v>
      </c>
    </row>
    <row r="516" spans="1:9" s="39" customFormat="1" ht="26.4" x14ac:dyDescent="0.3">
      <c r="A516" s="5" t="s">
        <v>0</v>
      </c>
      <c r="B516" s="5" t="s">
        <v>0</v>
      </c>
      <c r="C516" s="27" t="s">
        <v>209</v>
      </c>
      <c r="D516" s="3">
        <f t="shared" si="82"/>
        <v>3178</v>
      </c>
      <c r="E516" s="3">
        <f>D516+F516-1</f>
        <v>3178</v>
      </c>
      <c r="F516" s="3">
        <v>1</v>
      </c>
      <c r="G516" s="22" t="s">
        <v>281</v>
      </c>
      <c r="H516" s="40" t="s">
        <v>271</v>
      </c>
      <c r="I516" s="42" t="s">
        <v>270</v>
      </c>
    </row>
    <row r="517" spans="1:9" s="39" customFormat="1" ht="14.4" x14ac:dyDescent="0.3">
      <c r="A517" s="5"/>
      <c r="B517" s="5"/>
      <c r="C517" s="27"/>
      <c r="D517" s="3">
        <f t="shared" si="82"/>
        <v>3179</v>
      </c>
      <c r="E517" s="3">
        <f t="shared" si="80"/>
        <v>3198</v>
      </c>
      <c r="F517" s="3">
        <v>20</v>
      </c>
      <c r="G517" s="22" t="s">
        <v>55</v>
      </c>
      <c r="H517" s="40"/>
      <c r="I517" s="42"/>
    </row>
    <row r="518" spans="1:9" s="39" customFormat="1" ht="14.4" x14ac:dyDescent="0.3">
      <c r="A518" s="5"/>
      <c r="B518" s="5"/>
      <c r="C518" s="6"/>
      <c r="D518" s="3"/>
      <c r="E518" s="3"/>
      <c r="F518" s="7"/>
      <c r="G518" s="23" t="s">
        <v>20</v>
      </c>
      <c r="H518" s="14"/>
      <c r="I518" s="17"/>
    </row>
    <row r="519" spans="1:9" s="39" customFormat="1" ht="39.6" x14ac:dyDescent="0.3">
      <c r="A519" s="5" t="s">
        <v>6</v>
      </c>
      <c r="B519" s="5" t="s">
        <v>6</v>
      </c>
      <c r="C519" s="27" t="s">
        <v>98</v>
      </c>
      <c r="D519" s="3">
        <f>D517+F517</f>
        <v>3199</v>
      </c>
      <c r="E519" s="3">
        <f>D519+F519-1</f>
        <v>3199</v>
      </c>
      <c r="F519" s="3">
        <v>1</v>
      </c>
      <c r="G519" s="22" t="s">
        <v>21</v>
      </c>
      <c r="H519" s="40" t="s">
        <v>102</v>
      </c>
      <c r="I519" s="168"/>
    </row>
    <row r="520" spans="1:9" s="39" customFormat="1" ht="39.6" x14ac:dyDescent="0.3">
      <c r="A520" s="5" t="s">
        <v>6</v>
      </c>
      <c r="B520" s="5" t="s">
        <v>6</v>
      </c>
      <c r="C520" s="27" t="s">
        <v>98</v>
      </c>
      <c r="D520" s="3">
        <f>D519+F519</f>
        <v>3200</v>
      </c>
      <c r="E520" s="3">
        <f>D520+F520-1</f>
        <v>3200</v>
      </c>
      <c r="F520" s="3">
        <v>1</v>
      </c>
      <c r="G520" s="22" t="s">
        <v>22</v>
      </c>
      <c r="H520" s="40" t="s">
        <v>102</v>
      </c>
      <c r="I520" s="167"/>
    </row>
    <row r="521" spans="1:9" s="39" customFormat="1" ht="39.6" x14ac:dyDescent="0.3">
      <c r="A521" s="5" t="s">
        <v>6</v>
      </c>
      <c r="B521" s="5" t="s">
        <v>6</v>
      </c>
      <c r="C521" s="27" t="s">
        <v>98</v>
      </c>
      <c r="D521" s="3">
        <f>D520+F520</f>
        <v>3201</v>
      </c>
      <c r="E521" s="3">
        <f>D521+F521-1</f>
        <v>3201</v>
      </c>
      <c r="F521" s="3">
        <v>1</v>
      </c>
      <c r="G521" s="22" t="s">
        <v>23</v>
      </c>
      <c r="H521" s="40" t="s">
        <v>102</v>
      </c>
      <c r="I521" s="167"/>
    </row>
    <row r="522" spans="1:9" s="39" customFormat="1" ht="14.4" x14ac:dyDescent="0.3">
      <c r="A522" s="143"/>
      <c r="B522" s="143"/>
      <c r="C522" s="144"/>
      <c r="D522" s="153">
        <f>D521+F521</f>
        <v>3202</v>
      </c>
      <c r="E522" s="153">
        <f>D522+F522-1</f>
        <v>3206</v>
      </c>
      <c r="F522" s="153">
        <v>5</v>
      </c>
      <c r="G522" s="154" t="s">
        <v>55</v>
      </c>
      <c r="H522" s="149"/>
      <c r="I522" s="42"/>
    </row>
    <row r="523" spans="1:9" s="39" customFormat="1" ht="14.4" x14ac:dyDescent="0.3">
      <c r="A523" s="5"/>
      <c r="B523" s="5"/>
      <c r="C523" s="27"/>
      <c r="D523" s="3"/>
      <c r="E523" s="3"/>
      <c r="F523" s="3"/>
      <c r="G523" s="23" t="s">
        <v>197</v>
      </c>
      <c r="H523" s="40"/>
      <c r="I523" s="42"/>
    </row>
    <row r="524" spans="1:9" s="39" customFormat="1" ht="14.4" x14ac:dyDescent="0.3">
      <c r="A524" s="5"/>
      <c r="B524" s="5"/>
      <c r="C524" s="27"/>
      <c r="D524" s="3"/>
      <c r="E524" s="3"/>
      <c r="F524" s="3"/>
      <c r="G524" s="23" t="s">
        <v>113</v>
      </c>
      <c r="H524" s="40"/>
      <c r="I524" s="42"/>
    </row>
    <row r="525" spans="1:9" s="39" customFormat="1" ht="15" customHeight="1" x14ac:dyDescent="0.3">
      <c r="A525" s="5" t="s">
        <v>6</v>
      </c>
      <c r="B525" s="5" t="s">
        <v>6</v>
      </c>
      <c r="C525" s="27" t="s">
        <v>209</v>
      </c>
      <c r="D525" s="3">
        <f>D521+F521</f>
        <v>3202</v>
      </c>
      <c r="E525" s="3">
        <f>D525+F525-1</f>
        <v>3202</v>
      </c>
      <c r="F525" s="3">
        <v>1</v>
      </c>
      <c r="G525" s="22" t="s">
        <v>126</v>
      </c>
      <c r="H525" s="167" t="s">
        <v>229</v>
      </c>
      <c r="I525" s="167" t="s">
        <v>138</v>
      </c>
    </row>
    <row r="526" spans="1:9" s="39" customFormat="1" ht="14.4" x14ac:dyDescent="0.3">
      <c r="A526" s="5" t="s">
        <v>6</v>
      </c>
      <c r="B526" s="5" t="s">
        <v>6</v>
      </c>
      <c r="C526" s="27" t="s">
        <v>209</v>
      </c>
      <c r="D526" s="3">
        <f>D525+F525</f>
        <v>3203</v>
      </c>
      <c r="E526" s="3">
        <f>D526+F526-1</f>
        <v>3203</v>
      </c>
      <c r="F526" s="3">
        <v>1</v>
      </c>
      <c r="G526" s="22" t="s">
        <v>127</v>
      </c>
      <c r="H526" s="167"/>
      <c r="I526" s="167"/>
    </row>
    <row r="527" spans="1:9" s="39" customFormat="1" ht="14.4" x14ac:dyDescent="0.3">
      <c r="A527" s="5" t="s">
        <v>6</v>
      </c>
      <c r="B527" s="5" t="s">
        <v>6</v>
      </c>
      <c r="C527" s="27" t="s">
        <v>209</v>
      </c>
      <c r="D527" s="3">
        <f t="shared" ref="D527:D538" si="83">D526+F526</f>
        <v>3204</v>
      </c>
      <c r="E527" s="3">
        <f t="shared" ref="E527:E538" si="84">D527+F527-1</f>
        <v>3204</v>
      </c>
      <c r="F527" s="3">
        <v>1</v>
      </c>
      <c r="G527" s="13" t="s">
        <v>368</v>
      </c>
      <c r="H527" s="167"/>
      <c r="I527" s="167"/>
    </row>
    <row r="528" spans="1:9" s="39" customFormat="1" ht="14.4" x14ac:dyDescent="0.3">
      <c r="A528" s="5" t="s">
        <v>6</v>
      </c>
      <c r="B528" s="5" t="s">
        <v>6</v>
      </c>
      <c r="C528" s="27" t="s">
        <v>209</v>
      </c>
      <c r="D528" s="3">
        <f t="shared" si="83"/>
        <v>3205</v>
      </c>
      <c r="E528" s="3">
        <f t="shared" si="84"/>
        <v>3205</v>
      </c>
      <c r="F528" s="3">
        <v>1</v>
      </c>
      <c r="G528" s="22" t="s">
        <v>128</v>
      </c>
      <c r="H528" s="167"/>
      <c r="I528" s="167"/>
    </row>
    <row r="529" spans="1:9" s="39" customFormat="1" ht="14.4" x14ac:dyDescent="0.3">
      <c r="A529" s="5" t="s">
        <v>6</v>
      </c>
      <c r="B529" s="5" t="s">
        <v>6</v>
      </c>
      <c r="C529" s="27" t="s">
        <v>209</v>
      </c>
      <c r="D529" s="3">
        <f t="shared" si="83"/>
        <v>3206</v>
      </c>
      <c r="E529" s="3">
        <f t="shared" si="84"/>
        <v>3206</v>
      </c>
      <c r="F529" s="3">
        <v>1</v>
      </c>
      <c r="G529" s="22" t="s">
        <v>129</v>
      </c>
      <c r="H529" s="167"/>
      <c r="I529" s="167"/>
    </row>
    <row r="530" spans="1:9" s="39" customFormat="1" ht="14.4" x14ac:dyDescent="0.3">
      <c r="A530" s="5" t="s">
        <v>6</v>
      </c>
      <c r="B530" s="5" t="s">
        <v>6</v>
      </c>
      <c r="C530" s="27" t="s">
        <v>209</v>
      </c>
      <c r="D530" s="3">
        <f t="shared" si="83"/>
        <v>3207</v>
      </c>
      <c r="E530" s="3">
        <f t="shared" si="84"/>
        <v>3207</v>
      </c>
      <c r="F530" s="3">
        <v>1</v>
      </c>
      <c r="G530" s="22" t="s">
        <v>130</v>
      </c>
      <c r="H530" s="167"/>
      <c r="I530" s="167"/>
    </row>
    <row r="531" spans="1:9" s="39" customFormat="1" ht="14.4" x14ac:dyDescent="0.3">
      <c r="A531" s="5" t="s">
        <v>6</v>
      </c>
      <c r="B531" s="5" t="s">
        <v>6</v>
      </c>
      <c r="C531" s="27" t="s">
        <v>209</v>
      </c>
      <c r="D531" s="3">
        <f t="shared" si="83"/>
        <v>3208</v>
      </c>
      <c r="E531" s="3">
        <f t="shared" si="84"/>
        <v>3208</v>
      </c>
      <c r="F531" s="3">
        <v>1</v>
      </c>
      <c r="G531" s="22" t="s">
        <v>247</v>
      </c>
      <c r="H531" s="167"/>
      <c r="I531" s="167"/>
    </row>
    <row r="532" spans="1:9" s="39" customFormat="1" ht="14.4" x14ac:dyDescent="0.3">
      <c r="A532" s="5" t="s">
        <v>6</v>
      </c>
      <c r="B532" s="5" t="s">
        <v>6</v>
      </c>
      <c r="C532" s="27" t="s">
        <v>97</v>
      </c>
      <c r="D532" s="3">
        <f t="shared" si="83"/>
        <v>3209</v>
      </c>
      <c r="E532" s="3">
        <f t="shared" si="84"/>
        <v>3209</v>
      </c>
      <c r="F532" s="3">
        <v>1</v>
      </c>
      <c r="G532" s="22" t="s">
        <v>274</v>
      </c>
      <c r="H532" s="167"/>
      <c r="I532" s="167"/>
    </row>
    <row r="533" spans="1:9" s="39" customFormat="1" ht="14.4" x14ac:dyDescent="0.3">
      <c r="A533" s="5" t="s">
        <v>6</v>
      </c>
      <c r="B533" s="5" t="s">
        <v>6</v>
      </c>
      <c r="C533" s="27" t="s">
        <v>209</v>
      </c>
      <c r="D533" s="3">
        <f>D532+F532</f>
        <v>3210</v>
      </c>
      <c r="E533" s="3">
        <f t="shared" si="84"/>
        <v>3210</v>
      </c>
      <c r="F533" s="3">
        <v>1</v>
      </c>
      <c r="G533" s="22" t="s">
        <v>131</v>
      </c>
      <c r="H533" s="167"/>
      <c r="I533" s="167"/>
    </row>
    <row r="534" spans="1:9" s="39" customFormat="1" ht="14.4" x14ac:dyDescent="0.3">
      <c r="A534" s="5" t="s">
        <v>6</v>
      </c>
      <c r="B534" s="5" t="s">
        <v>6</v>
      </c>
      <c r="C534" s="27" t="s">
        <v>209</v>
      </c>
      <c r="D534" s="3">
        <f t="shared" si="83"/>
        <v>3211</v>
      </c>
      <c r="E534" s="3">
        <f t="shared" si="84"/>
        <v>3211</v>
      </c>
      <c r="F534" s="3">
        <v>1</v>
      </c>
      <c r="G534" s="22" t="s">
        <v>132</v>
      </c>
      <c r="H534" s="167"/>
      <c r="I534" s="167"/>
    </row>
    <row r="535" spans="1:9" s="39" customFormat="1" ht="14.4" x14ac:dyDescent="0.3">
      <c r="A535" s="5" t="s">
        <v>6</v>
      </c>
      <c r="B535" s="5" t="s">
        <v>6</v>
      </c>
      <c r="C535" s="27" t="s">
        <v>209</v>
      </c>
      <c r="D535" s="3">
        <f t="shared" si="83"/>
        <v>3212</v>
      </c>
      <c r="E535" s="3">
        <f t="shared" si="84"/>
        <v>3212</v>
      </c>
      <c r="F535" s="3">
        <v>1</v>
      </c>
      <c r="G535" s="22" t="s">
        <v>133</v>
      </c>
      <c r="H535" s="167"/>
      <c r="I535" s="167"/>
    </row>
    <row r="536" spans="1:9" s="39" customFormat="1" ht="14.4" x14ac:dyDescent="0.3">
      <c r="A536" s="5" t="s">
        <v>6</v>
      </c>
      <c r="B536" s="5" t="s">
        <v>6</v>
      </c>
      <c r="C536" s="27" t="s">
        <v>209</v>
      </c>
      <c r="D536" s="3">
        <f t="shared" si="83"/>
        <v>3213</v>
      </c>
      <c r="E536" s="3">
        <f t="shared" si="84"/>
        <v>3213</v>
      </c>
      <c r="F536" s="3">
        <v>1</v>
      </c>
      <c r="G536" s="22" t="s">
        <v>134</v>
      </c>
      <c r="H536" s="167"/>
      <c r="I536" s="167"/>
    </row>
    <row r="537" spans="1:9" s="39" customFormat="1" ht="14.4" x14ac:dyDescent="0.3">
      <c r="A537" s="5" t="s">
        <v>6</v>
      </c>
      <c r="B537" s="5" t="s">
        <v>6</v>
      </c>
      <c r="C537" s="27" t="s">
        <v>209</v>
      </c>
      <c r="D537" s="3">
        <f t="shared" si="83"/>
        <v>3214</v>
      </c>
      <c r="E537" s="3">
        <f t="shared" si="84"/>
        <v>3214</v>
      </c>
      <c r="F537" s="3">
        <v>1</v>
      </c>
      <c r="G537" s="22" t="s">
        <v>135</v>
      </c>
      <c r="H537" s="167"/>
      <c r="I537" s="167"/>
    </row>
    <row r="538" spans="1:9" s="39" customFormat="1" ht="14.4" x14ac:dyDescent="0.3">
      <c r="A538" s="5" t="s">
        <v>6</v>
      </c>
      <c r="B538" s="5" t="s">
        <v>6</v>
      </c>
      <c r="C538" s="27" t="s">
        <v>209</v>
      </c>
      <c r="D538" s="3">
        <f t="shared" si="83"/>
        <v>3215</v>
      </c>
      <c r="E538" s="3">
        <f t="shared" si="84"/>
        <v>3215</v>
      </c>
      <c r="F538" s="3">
        <v>1</v>
      </c>
      <c r="G538" s="22" t="s">
        <v>136</v>
      </c>
      <c r="H538" s="167"/>
      <c r="I538" s="167"/>
    </row>
    <row r="539" spans="1:9" s="39" customFormat="1" ht="14.4" x14ac:dyDescent="0.3">
      <c r="A539" s="5"/>
      <c r="B539" s="5"/>
      <c r="C539" s="27"/>
      <c r="D539" s="3"/>
      <c r="E539" s="3"/>
      <c r="F539" s="3"/>
      <c r="G539" s="23" t="s">
        <v>324</v>
      </c>
      <c r="H539" s="40"/>
      <c r="I539" s="42"/>
    </row>
    <row r="540" spans="1:9" s="39" customFormat="1" ht="15" customHeight="1" x14ac:dyDescent="0.3">
      <c r="A540" s="5" t="s">
        <v>0</v>
      </c>
      <c r="B540" s="5" t="s">
        <v>0</v>
      </c>
      <c r="C540" s="27" t="s">
        <v>209</v>
      </c>
      <c r="D540" s="3">
        <f>D538+F538</f>
        <v>3216</v>
      </c>
      <c r="E540" s="3">
        <f>D540+F540-1</f>
        <v>3216</v>
      </c>
      <c r="F540" s="3">
        <v>1</v>
      </c>
      <c r="G540" s="22" t="s">
        <v>126</v>
      </c>
      <c r="H540" s="167" t="s">
        <v>118</v>
      </c>
      <c r="I540" s="167" t="s">
        <v>359</v>
      </c>
    </row>
    <row r="541" spans="1:9" s="39" customFormat="1" ht="14.4" x14ac:dyDescent="0.3">
      <c r="A541" s="5" t="s">
        <v>0</v>
      </c>
      <c r="B541" s="5" t="s">
        <v>0</v>
      </c>
      <c r="C541" s="27" t="s">
        <v>209</v>
      </c>
      <c r="D541" s="3">
        <f>D540+F540</f>
        <v>3217</v>
      </c>
      <c r="E541" s="3">
        <f>D541+F541-1</f>
        <v>3217</v>
      </c>
      <c r="F541" s="3">
        <v>1</v>
      </c>
      <c r="G541" s="22" t="s">
        <v>127</v>
      </c>
      <c r="H541" s="167"/>
      <c r="I541" s="167"/>
    </row>
    <row r="542" spans="1:9" s="39" customFormat="1" ht="14.4" x14ac:dyDescent="0.3">
      <c r="A542" s="5" t="s">
        <v>0</v>
      </c>
      <c r="B542" s="5" t="s">
        <v>0</v>
      </c>
      <c r="C542" s="27" t="s">
        <v>209</v>
      </c>
      <c r="D542" s="3">
        <f t="shared" ref="D542:D554" si="85">D541+F541</f>
        <v>3218</v>
      </c>
      <c r="E542" s="3">
        <f t="shared" ref="E542:E554" si="86">D542+F542-1</f>
        <v>3218</v>
      </c>
      <c r="F542" s="3">
        <v>1</v>
      </c>
      <c r="G542" s="13" t="s">
        <v>55</v>
      </c>
      <c r="H542" s="167"/>
      <c r="I542" s="167"/>
    </row>
    <row r="543" spans="1:9" s="39" customFormat="1" ht="14.4" x14ac:dyDescent="0.3">
      <c r="A543" s="5" t="s">
        <v>0</v>
      </c>
      <c r="B543" s="5" t="s">
        <v>0</v>
      </c>
      <c r="C543" s="27" t="s">
        <v>209</v>
      </c>
      <c r="D543" s="3">
        <f t="shared" si="85"/>
        <v>3219</v>
      </c>
      <c r="E543" s="3">
        <f t="shared" si="86"/>
        <v>3219</v>
      </c>
      <c r="F543" s="3">
        <v>1</v>
      </c>
      <c r="G543" s="22" t="s">
        <v>128</v>
      </c>
      <c r="H543" s="167"/>
      <c r="I543" s="167"/>
    </row>
    <row r="544" spans="1:9" s="39" customFormat="1" ht="14.4" x14ac:dyDescent="0.3">
      <c r="A544" s="5" t="s">
        <v>0</v>
      </c>
      <c r="B544" s="5" t="s">
        <v>0</v>
      </c>
      <c r="C544" s="27" t="s">
        <v>209</v>
      </c>
      <c r="D544" s="3">
        <f t="shared" si="85"/>
        <v>3220</v>
      </c>
      <c r="E544" s="3">
        <f t="shared" si="86"/>
        <v>3220</v>
      </c>
      <c r="F544" s="3">
        <v>1</v>
      </c>
      <c r="G544" s="22" t="s">
        <v>129</v>
      </c>
      <c r="H544" s="167"/>
      <c r="I544" s="167"/>
    </row>
    <row r="545" spans="1:9" s="39" customFormat="1" ht="14.4" x14ac:dyDescent="0.3">
      <c r="A545" s="5" t="s">
        <v>0</v>
      </c>
      <c r="B545" s="5" t="s">
        <v>0</v>
      </c>
      <c r="C545" s="27" t="s">
        <v>209</v>
      </c>
      <c r="D545" s="3">
        <f t="shared" si="85"/>
        <v>3221</v>
      </c>
      <c r="E545" s="3">
        <f t="shared" si="86"/>
        <v>3221</v>
      </c>
      <c r="F545" s="3">
        <v>1</v>
      </c>
      <c r="G545" s="22" t="s">
        <v>130</v>
      </c>
      <c r="H545" s="167"/>
      <c r="I545" s="167"/>
    </row>
    <row r="546" spans="1:9" s="39" customFormat="1" ht="14.4" x14ac:dyDescent="0.3">
      <c r="A546" s="5" t="s">
        <v>0</v>
      </c>
      <c r="B546" s="5" t="s">
        <v>0</v>
      </c>
      <c r="C546" s="27" t="s">
        <v>209</v>
      </c>
      <c r="D546" s="3">
        <f t="shared" si="85"/>
        <v>3222</v>
      </c>
      <c r="E546" s="3">
        <f t="shared" si="86"/>
        <v>3222</v>
      </c>
      <c r="F546" s="3">
        <v>1</v>
      </c>
      <c r="G546" s="22" t="s">
        <v>247</v>
      </c>
      <c r="H546" s="167"/>
      <c r="I546" s="167"/>
    </row>
    <row r="547" spans="1:9" s="39" customFormat="1" ht="14.4" x14ac:dyDescent="0.3">
      <c r="A547" s="5" t="s">
        <v>0</v>
      </c>
      <c r="B547" s="5" t="s">
        <v>0</v>
      </c>
      <c r="C547" s="27" t="s">
        <v>97</v>
      </c>
      <c r="D547" s="3">
        <f t="shared" si="85"/>
        <v>3223</v>
      </c>
      <c r="E547" s="3">
        <f t="shared" si="86"/>
        <v>3223</v>
      </c>
      <c r="F547" s="3">
        <v>1</v>
      </c>
      <c r="G547" s="22" t="s">
        <v>274</v>
      </c>
      <c r="H547" s="167"/>
      <c r="I547" s="167"/>
    </row>
    <row r="548" spans="1:9" s="39" customFormat="1" ht="14.4" x14ac:dyDescent="0.3">
      <c r="A548" s="5" t="s">
        <v>0</v>
      </c>
      <c r="B548" s="5" t="s">
        <v>0</v>
      </c>
      <c r="C548" s="27" t="s">
        <v>209</v>
      </c>
      <c r="D548" s="3">
        <f>D547+F547</f>
        <v>3224</v>
      </c>
      <c r="E548" s="3">
        <f t="shared" si="86"/>
        <v>3224</v>
      </c>
      <c r="F548" s="3">
        <v>1</v>
      </c>
      <c r="G548" s="22" t="s">
        <v>131</v>
      </c>
      <c r="H548" s="167"/>
      <c r="I548" s="167"/>
    </row>
    <row r="549" spans="1:9" s="39" customFormat="1" ht="14.4" x14ac:dyDescent="0.3">
      <c r="A549" s="5" t="s">
        <v>0</v>
      </c>
      <c r="B549" s="5" t="s">
        <v>0</v>
      </c>
      <c r="C549" s="27" t="s">
        <v>209</v>
      </c>
      <c r="D549" s="3">
        <f t="shared" si="85"/>
        <v>3225</v>
      </c>
      <c r="E549" s="3">
        <f t="shared" si="86"/>
        <v>3225</v>
      </c>
      <c r="F549" s="3">
        <v>1</v>
      </c>
      <c r="G549" s="22" t="s">
        <v>132</v>
      </c>
      <c r="H549" s="167"/>
      <c r="I549" s="167"/>
    </row>
    <row r="550" spans="1:9" s="39" customFormat="1" ht="14.4" x14ac:dyDescent="0.3">
      <c r="A550" s="5" t="s">
        <v>0</v>
      </c>
      <c r="B550" s="5" t="s">
        <v>0</v>
      </c>
      <c r="C550" s="27" t="s">
        <v>209</v>
      </c>
      <c r="D550" s="3">
        <f t="shared" si="85"/>
        <v>3226</v>
      </c>
      <c r="E550" s="3">
        <f t="shared" si="86"/>
        <v>3226</v>
      </c>
      <c r="F550" s="3">
        <v>1</v>
      </c>
      <c r="G550" s="22" t="s">
        <v>133</v>
      </c>
      <c r="H550" s="167"/>
      <c r="I550" s="167"/>
    </row>
    <row r="551" spans="1:9" s="39" customFormat="1" ht="14.4" x14ac:dyDescent="0.3">
      <c r="A551" s="5" t="s">
        <v>0</v>
      </c>
      <c r="B551" s="5" t="s">
        <v>0</v>
      </c>
      <c r="C551" s="27" t="s">
        <v>209</v>
      </c>
      <c r="D551" s="3">
        <f t="shared" si="85"/>
        <v>3227</v>
      </c>
      <c r="E551" s="3">
        <f t="shared" si="86"/>
        <v>3227</v>
      </c>
      <c r="F551" s="3">
        <v>1</v>
      </c>
      <c r="G551" s="22" t="s">
        <v>134</v>
      </c>
      <c r="H551" s="167"/>
      <c r="I551" s="167"/>
    </row>
    <row r="552" spans="1:9" s="39" customFormat="1" ht="14.4" x14ac:dyDescent="0.3">
      <c r="A552" s="5" t="s">
        <v>0</v>
      </c>
      <c r="B552" s="5" t="s">
        <v>0</v>
      </c>
      <c r="C552" s="27" t="s">
        <v>209</v>
      </c>
      <c r="D552" s="3">
        <f t="shared" si="85"/>
        <v>3228</v>
      </c>
      <c r="E552" s="3">
        <f t="shared" si="86"/>
        <v>3228</v>
      </c>
      <c r="F552" s="3">
        <v>1</v>
      </c>
      <c r="G552" s="22" t="s">
        <v>135</v>
      </c>
      <c r="H552" s="167"/>
      <c r="I552" s="167"/>
    </row>
    <row r="553" spans="1:9" s="39" customFormat="1" ht="14.4" x14ac:dyDescent="0.3">
      <c r="A553" s="5" t="s">
        <v>0</v>
      </c>
      <c r="B553" s="5" t="s">
        <v>0</v>
      </c>
      <c r="C553" s="27" t="s">
        <v>209</v>
      </c>
      <c r="D553" s="3">
        <f t="shared" si="85"/>
        <v>3229</v>
      </c>
      <c r="E553" s="3">
        <f t="shared" si="86"/>
        <v>3229</v>
      </c>
      <c r="F553" s="3">
        <v>1</v>
      </c>
      <c r="G553" s="22" t="s">
        <v>136</v>
      </c>
      <c r="H553" s="167"/>
      <c r="I553" s="167"/>
    </row>
    <row r="554" spans="1:9" s="39" customFormat="1" ht="14.4" x14ac:dyDescent="0.3">
      <c r="A554" s="5" t="s">
        <v>0</v>
      </c>
      <c r="B554" s="5" t="s">
        <v>0</v>
      </c>
      <c r="C554" s="27" t="s">
        <v>209</v>
      </c>
      <c r="D554" s="3">
        <f t="shared" si="85"/>
        <v>3230</v>
      </c>
      <c r="E554" s="3">
        <f t="shared" si="86"/>
        <v>3249</v>
      </c>
      <c r="F554" s="3">
        <v>20</v>
      </c>
      <c r="G554" s="22" t="s">
        <v>55</v>
      </c>
      <c r="H554" s="40"/>
      <c r="I554" s="42"/>
    </row>
    <row r="555" spans="1:9" s="39" customFormat="1" ht="14.4" x14ac:dyDescent="0.3">
      <c r="A555" s="5"/>
      <c r="B555" s="5"/>
      <c r="C555" s="3"/>
      <c r="D555" s="3"/>
      <c r="E555" s="3"/>
      <c r="F555" s="3"/>
      <c r="G555" s="23" t="s">
        <v>198</v>
      </c>
      <c r="H555" s="40"/>
      <c r="I555" s="42"/>
    </row>
    <row r="556" spans="1:9" s="39" customFormat="1" ht="66" x14ac:dyDescent="0.3">
      <c r="A556" s="5" t="s">
        <v>0</v>
      </c>
      <c r="B556" s="5" t="s">
        <v>0</v>
      </c>
      <c r="C556" s="27" t="s">
        <v>98</v>
      </c>
      <c r="D556" s="3">
        <f>D554+F554</f>
        <v>3250</v>
      </c>
      <c r="E556" s="3">
        <f t="shared" ref="E556:E563" si="87">D556+F556-1</f>
        <v>3252</v>
      </c>
      <c r="F556" s="3">
        <v>3</v>
      </c>
      <c r="G556" s="22" t="s">
        <v>24</v>
      </c>
      <c r="H556" s="42" t="s">
        <v>80</v>
      </c>
      <c r="I556" s="100" t="s">
        <v>551</v>
      </c>
    </row>
    <row r="557" spans="1:9" s="39" customFormat="1" ht="66" x14ac:dyDescent="0.3">
      <c r="A557" s="5" t="s">
        <v>0</v>
      </c>
      <c r="B557" s="5" t="s">
        <v>0</v>
      </c>
      <c r="C557" s="27" t="s">
        <v>98</v>
      </c>
      <c r="D557" s="3">
        <f t="shared" ref="D557:D563" si="88">D556+F556</f>
        <v>3253</v>
      </c>
      <c r="E557" s="3">
        <f t="shared" si="87"/>
        <v>3255</v>
      </c>
      <c r="F557" s="3">
        <v>3</v>
      </c>
      <c r="G557" s="22" t="s">
        <v>25</v>
      </c>
      <c r="H557" s="42" t="s">
        <v>80</v>
      </c>
      <c r="I557" s="100" t="s">
        <v>552</v>
      </c>
    </row>
    <row r="558" spans="1:9" s="39" customFormat="1" ht="92.4" x14ac:dyDescent="0.3">
      <c r="A558" s="5" t="s">
        <v>0</v>
      </c>
      <c r="B558" s="5" t="s">
        <v>0</v>
      </c>
      <c r="C558" s="27" t="s">
        <v>98</v>
      </c>
      <c r="D558" s="3">
        <f t="shared" si="88"/>
        <v>3256</v>
      </c>
      <c r="E558" s="3">
        <f t="shared" si="87"/>
        <v>3258</v>
      </c>
      <c r="F558" s="3">
        <v>3</v>
      </c>
      <c r="G558" s="22" t="s">
        <v>142</v>
      </c>
      <c r="H558" s="42" t="s">
        <v>80</v>
      </c>
      <c r="I558" s="105" t="s">
        <v>553</v>
      </c>
    </row>
    <row r="559" spans="1:9" s="39" customFormat="1" ht="79.2" x14ac:dyDescent="0.3">
      <c r="A559" s="5" t="s">
        <v>0</v>
      </c>
      <c r="B559" s="5" t="s">
        <v>0</v>
      </c>
      <c r="C559" s="27" t="s">
        <v>98</v>
      </c>
      <c r="D559" s="3">
        <f t="shared" si="88"/>
        <v>3259</v>
      </c>
      <c r="E559" s="3">
        <f t="shared" si="87"/>
        <v>3261</v>
      </c>
      <c r="F559" s="3">
        <v>3</v>
      </c>
      <c r="G559" s="22" t="s">
        <v>143</v>
      </c>
      <c r="H559" s="42" t="s">
        <v>85</v>
      </c>
      <c r="I559" s="100" t="s">
        <v>505</v>
      </c>
    </row>
    <row r="560" spans="1:9" s="39" customFormat="1" ht="66" x14ac:dyDescent="0.3">
      <c r="A560" s="5" t="s">
        <v>0</v>
      </c>
      <c r="B560" s="5" t="s">
        <v>0</v>
      </c>
      <c r="C560" s="27" t="s">
        <v>98</v>
      </c>
      <c r="D560" s="3">
        <f t="shared" si="88"/>
        <v>3262</v>
      </c>
      <c r="E560" s="3">
        <f t="shared" si="87"/>
        <v>3264</v>
      </c>
      <c r="F560" s="3">
        <v>3</v>
      </c>
      <c r="G560" s="22" t="s">
        <v>30</v>
      </c>
      <c r="H560" s="40" t="s">
        <v>83</v>
      </c>
      <c r="I560" s="12" t="s">
        <v>606</v>
      </c>
    </row>
    <row r="561" spans="1:9" s="39" customFormat="1" ht="66" x14ac:dyDescent="0.3">
      <c r="A561" s="5" t="s">
        <v>0</v>
      </c>
      <c r="B561" s="5" t="s">
        <v>0</v>
      </c>
      <c r="C561" s="27" t="s">
        <v>98</v>
      </c>
      <c r="D561" s="3">
        <f t="shared" si="88"/>
        <v>3265</v>
      </c>
      <c r="E561" s="3">
        <f t="shared" si="87"/>
        <v>3266</v>
      </c>
      <c r="F561" s="5">
        <v>2</v>
      </c>
      <c r="G561" s="22" t="s">
        <v>120</v>
      </c>
      <c r="H561" s="64" t="s">
        <v>444</v>
      </c>
      <c r="I561" s="43" t="s">
        <v>258</v>
      </c>
    </row>
    <row r="562" spans="1:9" s="39" customFormat="1" ht="66" x14ac:dyDescent="0.3">
      <c r="A562" s="5" t="s">
        <v>0</v>
      </c>
      <c r="B562" s="5" t="s">
        <v>0</v>
      </c>
      <c r="C562" s="27" t="s">
        <v>356</v>
      </c>
      <c r="D562" s="3">
        <f t="shared" si="88"/>
        <v>3267</v>
      </c>
      <c r="E562" s="3">
        <f t="shared" si="87"/>
        <v>3269</v>
      </c>
      <c r="F562" s="3">
        <v>3</v>
      </c>
      <c r="G562" s="22" t="s">
        <v>124</v>
      </c>
      <c r="H562" s="40" t="s">
        <v>123</v>
      </c>
      <c r="I562" s="43" t="s">
        <v>259</v>
      </c>
    </row>
    <row r="563" spans="1:9" s="39" customFormat="1" ht="14.4" x14ac:dyDescent="0.3">
      <c r="A563" s="5"/>
      <c r="B563" s="5"/>
      <c r="C563" s="27"/>
      <c r="D563" s="3">
        <f t="shared" si="88"/>
        <v>3270</v>
      </c>
      <c r="E563" s="3">
        <f t="shared" si="87"/>
        <v>3284</v>
      </c>
      <c r="F563" s="5">
        <v>15</v>
      </c>
      <c r="G563" s="22" t="s">
        <v>55</v>
      </c>
      <c r="H563" s="40"/>
      <c r="I563" s="43"/>
    </row>
    <row r="564" spans="1:9" s="39" customFormat="1" ht="14.4" x14ac:dyDescent="0.3">
      <c r="A564" s="5"/>
      <c r="B564" s="5"/>
      <c r="C564" s="27"/>
      <c r="D564" s="3"/>
      <c r="E564" s="3"/>
      <c r="F564" s="3"/>
      <c r="G564" s="23" t="s">
        <v>248</v>
      </c>
      <c r="H564" s="40"/>
      <c r="I564" s="43"/>
    </row>
    <row r="565" spans="1:9" s="39" customFormat="1" ht="14.4" x14ac:dyDescent="0.3">
      <c r="A565" s="5" t="s">
        <v>6</v>
      </c>
      <c r="B565" s="5" t="s">
        <v>6</v>
      </c>
      <c r="C565" s="27" t="s">
        <v>98</v>
      </c>
      <c r="D565" s="3">
        <f>D563+F563</f>
        <v>3285</v>
      </c>
      <c r="E565" s="3">
        <f>D565+F565-1</f>
        <v>3287</v>
      </c>
      <c r="F565" s="3">
        <v>3</v>
      </c>
      <c r="G565" s="22" t="s">
        <v>230</v>
      </c>
      <c r="H565" s="169" t="s">
        <v>83</v>
      </c>
      <c r="I565" s="170" t="s">
        <v>232</v>
      </c>
    </row>
    <row r="566" spans="1:9" s="39" customFormat="1" ht="14.4" x14ac:dyDescent="0.3">
      <c r="A566" s="5" t="s">
        <v>6</v>
      </c>
      <c r="B566" s="5" t="s">
        <v>6</v>
      </c>
      <c r="C566" s="27" t="s">
        <v>98</v>
      </c>
      <c r="D566" s="3">
        <f>D565+F565</f>
        <v>3288</v>
      </c>
      <c r="E566" s="3">
        <f>D566+F566-1</f>
        <v>3290</v>
      </c>
      <c r="F566" s="3">
        <v>3</v>
      </c>
      <c r="G566" s="22" t="s">
        <v>231</v>
      </c>
      <c r="H566" s="188"/>
      <c r="I566" s="189"/>
    </row>
    <row r="567" spans="1:9" s="39" customFormat="1" ht="14.4" x14ac:dyDescent="0.3">
      <c r="A567" s="5"/>
      <c r="B567" s="5"/>
      <c r="C567" s="27"/>
      <c r="D567" s="3"/>
      <c r="E567" s="3"/>
      <c r="F567" s="3"/>
      <c r="G567" s="23" t="s">
        <v>140</v>
      </c>
      <c r="H567" s="40"/>
      <c r="I567" s="42"/>
    </row>
    <row r="568" spans="1:9" s="39" customFormat="1" ht="39.6" x14ac:dyDescent="0.3">
      <c r="A568" s="5" t="s">
        <v>0</v>
      </c>
      <c r="B568" s="5" t="s">
        <v>0</v>
      </c>
      <c r="C568" s="27" t="s">
        <v>98</v>
      </c>
      <c r="D568" s="3">
        <f>D566+F566</f>
        <v>3291</v>
      </c>
      <c r="E568" s="3">
        <f t="shared" ref="E568:E573" si="89">D568+F568-1</f>
        <v>3292</v>
      </c>
      <c r="F568" s="3">
        <v>2</v>
      </c>
      <c r="G568" s="22" t="s">
        <v>157</v>
      </c>
      <c r="H568" s="40" t="s">
        <v>84</v>
      </c>
      <c r="I568" s="42" t="s">
        <v>174</v>
      </c>
    </row>
    <row r="569" spans="1:9" s="39" customFormat="1" ht="66" x14ac:dyDescent="0.3">
      <c r="A569" s="5" t="s">
        <v>0</v>
      </c>
      <c r="B569" s="5" t="s">
        <v>0</v>
      </c>
      <c r="C569" s="27" t="s">
        <v>98</v>
      </c>
      <c r="D569" s="3">
        <f t="shared" ref="D569:D574" si="90">D568+F568</f>
        <v>3293</v>
      </c>
      <c r="E569" s="3">
        <f t="shared" si="89"/>
        <v>3295</v>
      </c>
      <c r="F569" s="3">
        <v>3</v>
      </c>
      <c r="G569" s="22" t="s">
        <v>166</v>
      </c>
      <c r="H569" s="40" t="s">
        <v>85</v>
      </c>
      <c r="I569" s="42" t="s">
        <v>175</v>
      </c>
    </row>
    <row r="570" spans="1:9" s="39" customFormat="1" ht="39.6" x14ac:dyDescent="0.3">
      <c r="A570" s="5" t="s">
        <v>0</v>
      </c>
      <c r="B570" s="5" t="s">
        <v>0</v>
      </c>
      <c r="C570" s="27" t="s">
        <v>98</v>
      </c>
      <c r="D570" s="3">
        <f t="shared" si="90"/>
        <v>3296</v>
      </c>
      <c r="E570" s="3">
        <f t="shared" si="89"/>
        <v>3297</v>
      </c>
      <c r="F570" s="3">
        <v>2</v>
      </c>
      <c r="G570" s="22" t="s">
        <v>158</v>
      </c>
      <c r="H570" s="40" t="s">
        <v>84</v>
      </c>
      <c r="I570" s="42" t="s">
        <v>176</v>
      </c>
    </row>
    <row r="571" spans="1:9" s="39" customFormat="1" ht="52.8" x14ac:dyDescent="0.3">
      <c r="A571" s="5" t="s">
        <v>0</v>
      </c>
      <c r="B571" s="5" t="s">
        <v>0</v>
      </c>
      <c r="C571" s="27" t="s">
        <v>98</v>
      </c>
      <c r="D571" s="3">
        <f t="shared" si="90"/>
        <v>3298</v>
      </c>
      <c r="E571" s="3">
        <f t="shared" si="89"/>
        <v>3300</v>
      </c>
      <c r="F571" s="3">
        <v>3</v>
      </c>
      <c r="G571" s="22" t="s">
        <v>167</v>
      </c>
      <c r="H571" s="40" t="s">
        <v>85</v>
      </c>
      <c r="I571" s="42" t="s">
        <v>177</v>
      </c>
    </row>
    <row r="572" spans="1:9" s="39" customFormat="1" ht="39.6" x14ac:dyDescent="0.3">
      <c r="A572" s="5" t="s">
        <v>0</v>
      </c>
      <c r="B572" s="5" t="s">
        <v>0</v>
      </c>
      <c r="C572" s="27" t="s">
        <v>98</v>
      </c>
      <c r="D572" s="3">
        <f t="shared" si="90"/>
        <v>3301</v>
      </c>
      <c r="E572" s="3">
        <f t="shared" si="89"/>
        <v>3302</v>
      </c>
      <c r="F572" s="3">
        <v>2</v>
      </c>
      <c r="G572" s="22" t="s">
        <v>159</v>
      </c>
      <c r="H572" s="40" t="s">
        <v>84</v>
      </c>
      <c r="I572" s="42" t="s">
        <v>178</v>
      </c>
    </row>
    <row r="573" spans="1:9" s="39" customFormat="1" ht="52.8" x14ac:dyDescent="0.3">
      <c r="A573" s="5" t="s">
        <v>0</v>
      </c>
      <c r="B573" s="5" t="s">
        <v>0</v>
      </c>
      <c r="C573" s="27" t="s">
        <v>98</v>
      </c>
      <c r="D573" s="3">
        <f t="shared" si="90"/>
        <v>3303</v>
      </c>
      <c r="E573" s="3">
        <f t="shared" si="89"/>
        <v>3305</v>
      </c>
      <c r="F573" s="3">
        <v>3</v>
      </c>
      <c r="G573" s="22" t="s">
        <v>168</v>
      </c>
      <c r="H573" s="40" t="s">
        <v>85</v>
      </c>
      <c r="I573" s="42" t="s">
        <v>179</v>
      </c>
    </row>
    <row r="574" spans="1:9" s="39" customFormat="1" ht="14.4" x14ac:dyDescent="0.3">
      <c r="A574" s="5"/>
      <c r="B574" s="5"/>
      <c r="C574" s="27"/>
      <c r="D574" s="3">
        <f t="shared" si="90"/>
        <v>3306</v>
      </c>
      <c r="E574" s="3">
        <f>D574+F574-1</f>
        <v>3325</v>
      </c>
      <c r="F574" s="3">
        <v>20</v>
      </c>
      <c r="G574" s="22" t="s">
        <v>55</v>
      </c>
      <c r="H574" s="40"/>
      <c r="I574" s="42"/>
    </row>
    <row r="575" spans="1:9" s="39" customFormat="1" ht="14.4" x14ac:dyDescent="0.3">
      <c r="A575" s="5"/>
      <c r="B575" s="5"/>
      <c r="C575" s="27"/>
      <c r="D575" s="3"/>
      <c r="E575" s="3"/>
      <c r="F575" s="3"/>
      <c r="G575" s="23" t="s">
        <v>338</v>
      </c>
      <c r="H575" s="40"/>
      <c r="I575" s="42"/>
    </row>
    <row r="576" spans="1:9" s="39" customFormat="1" ht="26.4" x14ac:dyDescent="0.3">
      <c r="A576" s="5" t="s">
        <v>0</v>
      </c>
      <c r="B576" s="5" t="s">
        <v>0</v>
      </c>
      <c r="C576" s="27" t="s">
        <v>356</v>
      </c>
      <c r="D576" s="3">
        <f>D574+F574</f>
        <v>3326</v>
      </c>
      <c r="E576" s="3">
        <f t="shared" ref="E576:E584" si="91">D576+F576-1</f>
        <v>3327</v>
      </c>
      <c r="F576" s="5">
        <v>2</v>
      </c>
      <c r="G576" s="13" t="s">
        <v>340</v>
      </c>
      <c r="H576" s="40" t="s">
        <v>92</v>
      </c>
      <c r="I576" s="42" t="s">
        <v>153</v>
      </c>
    </row>
    <row r="577" spans="1:9" s="39" customFormat="1" ht="66" x14ac:dyDescent="0.3">
      <c r="A577" s="5" t="s">
        <v>0</v>
      </c>
      <c r="B577" s="5" t="s">
        <v>0</v>
      </c>
      <c r="C577" s="27" t="s">
        <v>98</v>
      </c>
      <c r="D577" s="3">
        <f t="shared" ref="D577:D582" si="92">D576+F576</f>
        <v>3328</v>
      </c>
      <c r="E577" s="3">
        <f t="shared" si="91"/>
        <v>3328</v>
      </c>
      <c r="F577" s="3">
        <v>1</v>
      </c>
      <c r="G577" s="22" t="s">
        <v>26</v>
      </c>
      <c r="H577" s="40" t="s">
        <v>125</v>
      </c>
      <c r="I577" s="42" t="s">
        <v>372</v>
      </c>
    </row>
    <row r="578" spans="1:9" s="39" customFormat="1" ht="39.6" x14ac:dyDescent="0.3">
      <c r="A578" s="5" t="s">
        <v>0</v>
      </c>
      <c r="B578" s="5" t="s">
        <v>0</v>
      </c>
      <c r="C578" s="27" t="s">
        <v>98</v>
      </c>
      <c r="D578" s="3">
        <f t="shared" si="92"/>
        <v>3329</v>
      </c>
      <c r="E578" s="3">
        <f t="shared" si="91"/>
        <v>3329</v>
      </c>
      <c r="F578" s="3">
        <v>1</v>
      </c>
      <c r="G578" s="22" t="s">
        <v>27</v>
      </c>
      <c r="H578" s="40" t="s">
        <v>81</v>
      </c>
      <c r="I578" s="42" t="s">
        <v>235</v>
      </c>
    </row>
    <row r="579" spans="1:9" s="39" customFormat="1" ht="60" customHeight="1" x14ac:dyDescent="0.3">
      <c r="A579" s="5" t="s">
        <v>6</v>
      </c>
      <c r="B579" s="5" t="s">
        <v>6</v>
      </c>
      <c r="C579" s="27" t="s">
        <v>99</v>
      </c>
      <c r="D579" s="3">
        <f t="shared" si="92"/>
        <v>3330</v>
      </c>
      <c r="E579" s="3">
        <f t="shared" si="91"/>
        <v>3330</v>
      </c>
      <c r="F579" s="3">
        <v>1</v>
      </c>
      <c r="G579" s="22" t="s">
        <v>122</v>
      </c>
      <c r="H579" s="40" t="s">
        <v>233</v>
      </c>
      <c r="I579" s="42" t="s">
        <v>234</v>
      </c>
    </row>
    <row r="580" spans="1:9" s="39" customFormat="1" ht="52.8" x14ac:dyDescent="0.3">
      <c r="A580" s="5" t="s">
        <v>0</v>
      </c>
      <c r="B580" s="5" t="s">
        <v>0</v>
      </c>
      <c r="C580" s="27" t="s">
        <v>98</v>
      </c>
      <c r="D580" s="3">
        <f t="shared" si="92"/>
        <v>3331</v>
      </c>
      <c r="E580" s="3">
        <f t="shared" si="91"/>
        <v>3331</v>
      </c>
      <c r="F580" s="3">
        <v>1</v>
      </c>
      <c r="G580" s="22" t="s">
        <v>28</v>
      </c>
      <c r="H580" s="40" t="s">
        <v>82</v>
      </c>
      <c r="I580" s="42" t="s">
        <v>236</v>
      </c>
    </row>
    <row r="581" spans="1:9" s="39" customFormat="1" ht="184.5" customHeight="1" x14ac:dyDescent="0.3">
      <c r="A581" s="5" t="s">
        <v>0</v>
      </c>
      <c r="B581" s="5" t="s">
        <v>0</v>
      </c>
      <c r="C581" s="27" t="s">
        <v>98</v>
      </c>
      <c r="D581" s="3">
        <f t="shared" si="92"/>
        <v>3332</v>
      </c>
      <c r="E581" s="3">
        <f t="shared" si="91"/>
        <v>3332</v>
      </c>
      <c r="F581" s="3">
        <v>1</v>
      </c>
      <c r="G581" s="22" t="s">
        <v>32</v>
      </c>
      <c r="H581" s="40" t="s">
        <v>79</v>
      </c>
      <c r="I581" s="42" t="s">
        <v>329</v>
      </c>
    </row>
    <row r="582" spans="1:9" s="39" customFormat="1" ht="66" x14ac:dyDescent="0.3">
      <c r="A582" s="5" t="s">
        <v>0</v>
      </c>
      <c r="B582" s="5" t="s">
        <v>0</v>
      </c>
      <c r="C582" s="27" t="s">
        <v>98</v>
      </c>
      <c r="D582" s="3">
        <f t="shared" si="92"/>
        <v>3333</v>
      </c>
      <c r="E582" s="3">
        <f t="shared" si="91"/>
        <v>3333</v>
      </c>
      <c r="F582" s="3">
        <v>1</v>
      </c>
      <c r="G582" s="22" t="s">
        <v>29</v>
      </c>
      <c r="H582" s="40" t="s">
        <v>78</v>
      </c>
      <c r="I582" s="42" t="s">
        <v>680</v>
      </c>
    </row>
    <row r="583" spans="1:9" s="39" customFormat="1" ht="39.6" x14ac:dyDescent="0.3">
      <c r="A583" s="5" t="s">
        <v>6</v>
      </c>
      <c r="B583" s="5" t="s">
        <v>6</v>
      </c>
      <c r="C583" s="27" t="s">
        <v>99</v>
      </c>
      <c r="D583" s="3">
        <f>D582+F582</f>
        <v>3334</v>
      </c>
      <c r="E583" s="3">
        <f t="shared" si="91"/>
        <v>3334</v>
      </c>
      <c r="F583" s="3">
        <v>1</v>
      </c>
      <c r="G583" s="22" t="s">
        <v>119</v>
      </c>
      <c r="H583" s="41" t="s">
        <v>370</v>
      </c>
      <c r="I583" s="42" t="s">
        <v>371</v>
      </c>
    </row>
    <row r="584" spans="1:9" s="39" customFormat="1" ht="14.4" x14ac:dyDescent="0.3">
      <c r="A584" s="5"/>
      <c r="B584" s="5"/>
      <c r="C584" s="28"/>
      <c r="D584" s="3">
        <f>D583+F583</f>
        <v>3335</v>
      </c>
      <c r="E584" s="3">
        <f t="shared" si="91"/>
        <v>3344</v>
      </c>
      <c r="F584" s="6">
        <v>10</v>
      </c>
      <c r="G584" s="9" t="s">
        <v>55</v>
      </c>
      <c r="H584" s="40"/>
      <c r="I584" s="42"/>
    </row>
    <row r="585" spans="1:9" s="39" customFormat="1" ht="14.4" x14ac:dyDescent="0.3">
      <c r="A585" s="5"/>
      <c r="B585" s="5"/>
      <c r="C585" s="28"/>
      <c r="D585" s="3"/>
      <c r="E585" s="3"/>
      <c r="F585" s="6"/>
      <c r="G585" s="23" t="s">
        <v>152</v>
      </c>
      <c r="H585" s="40"/>
      <c r="I585" s="42"/>
    </row>
    <row r="586" spans="1:9" s="39" customFormat="1" ht="92.4" x14ac:dyDescent="0.3">
      <c r="A586" s="5" t="s">
        <v>6</v>
      </c>
      <c r="B586" s="5" t="s">
        <v>6</v>
      </c>
      <c r="C586" s="28" t="s">
        <v>99</v>
      </c>
      <c r="D586" s="3">
        <f>D584+F584</f>
        <v>3345</v>
      </c>
      <c r="E586" s="3">
        <f>D586+F586-1</f>
        <v>3345</v>
      </c>
      <c r="F586" s="6">
        <v>1</v>
      </c>
      <c r="G586" s="13" t="s">
        <v>330</v>
      </c>
      <c r="H586" s="43" t="s">
        <v>118</v>
      </c>
      <c r="I586" s="42" t="s">
        <v>331</v>
      </c>
    </row>
    <row r="587" spans="1:9" s="39" customFormat="1" ht="66" x14ac:dyDescent="0.3">
      <c r="A587" s="5" t="s">
        <v>6</v>
      </c>
      <c r="B587" s="5" t="s">
        <v>6</v>
      </c>
      <c r="C587" s="28" t="s">
        <v>99</v>
      </c>
      <c r="D587" s="3">
        <f>D586+F586</f>
        <v>3346</v>
      </c>
      <c r="E587" s="3">
        <f>D587+F587-1</f>
        <v>3346</v>
      </c>
      <c r="F587" s="6">
        <v>1</v>
      </c>
      <c r="G587" s="9" t="s">
        <v>116</v>
      </c>
      <c r="H587" s="43" t="s">
        <v>118</v>
      </c>
      <c r="I587" s="42" t="s">
        <v>156</v>
      </c>
    </row>
    <row r="588" spans="1:9" s="39" customFormat="1" ht="66" x14ac:dyDescent="0.3">
      <c r="A588" s="5" t="s">
        <v>6</v>
      </c>
      <c r="B588" s="5" t="s">
        <v>6</v>
      </c>
      <c r="C588" s="28" t="s">
        <v>99</v>
      </c>
      <c r="D588" s="3">
        <f>D587+F587</f>
        <v>3347</v>
      </c>
      <c r="E588" s="3">
        <f>D588+F588-1</f>
        <v>3347</v>
      </c>
      <c r="F588" s="6">
        <v>1</v>
      </c>
      <c r="G588" s="9" t="s">
        <v>117</v>
      </c>
      <c r="H588" s="43" t="s">
        <v>118</v>
      </c>
      <c r="I588" s="42" t="s">
        <v>237</v>
      </c>
    </row>
    <row r="589" spans="1:9" s="39" customFormat="1" ht="14.4" x14ac:dyDescent="0.3">
      <c r="A589" s="5"/>
      <c r="B589" s="5"/>
      <c r="C589" s="28"/>
      <c r="D589" s="3">
        <f>D588+F588</f>
        <v>3348</v>
      </c>
      <c r="E589" s="3">
        <f>D589+F589-1</f>
        <v>3357</v>
      </c>
      <c r="F589" s="6">
        <v>10</v>
      </c>
      <c r="G589" s="9" t="s">
        <v>55</v>
      </c>
      <c r="H589" s="43"/>
      <c r="I589" s="42"/>
    </row>
    <row r="590" spans="1:9" s="39" customFormat="1" ht="14.4" x14ac:dyDescent="0.3">
      <c r="A590" s="5"/>
      <c r="B590" s="5"/>
      <c r="C590" s="27"/>
      <c r="D590" s="3"/>
      <c r="E590" s="3"/>
      <c r="F590" s="3"/>
      <c r="G590" s="23" t="s">
        <v>36</v>
      </c>
      <c r="H590" s="40"/>
      <c r="I590" s="42"/>
    </row>
    <row r="591" spans="1:9" s="39" customFormat="1" ht="26.4" x14ac:dyDescent="0.3">
      <c r="A591" s="143" t="s">
        <v>622</v>
      </c>
      <c r="B591" s="143" t="s">
        <v>622</v>
      </c>
      <c r="C591" s="3" t="s">
        <v>96</v>
      </c>
      <c r="D591" s="3">
        <f>D589+F589</f>
        <v>3358</v>
      </c>
      <c r="E591" s="3">
        <f t="shared" ref="E591:E598" si="93">D591+F591-1</f>
        <v>3361</v>
      </c>
      <c r="F591" s="3">
        <v>4</v>
      </c>
      <c r="G591" s="22" t="s">
        <v>34</v>
      </c>
      <c r="H591" s="40" t="s">
        <v>88</v>
      </c>
      <c r="I591" s="167" t="s">
        <v>87</v>
      </c>
    </row>
    <row r="592" spans="1:9" s="39" customFormat="1" ht="52.8" x14ac:dyDescent="0.3">
      <c r="A592" s="143" t="s">
        <v>622</v>
      </c>
      <c r="B592" s="143" t="s">
        <v>622</v>
      </c>
      <c r="C592" s="3" t="s">
        <v>96</v>
      </c>
      <c r="D592" s="3">
        <f t="shared" ref="D592:D596" si="94">D591+F591</f>
        <v>3362</v>
      </c>
      <c r="E592" s="3">
        <f t="shared" si="93"/>
        <v>3363</v>
      </c>
      <c r="F592" s="3">
        <v>2</v>
      </c>
      <c r="G592" s="22" t="s">
        <v>33</v>
      </c>
      <c r="H592" s="40" t="s">
        <v>86</v>
      </c>
      <c r="I592" s="167"/>
    </row>
    <row r="593" spans="1:9" s="39" customFormat="1" ht="26.4" x14ac:dyDescent="0.3">
      <c r="A593" s="143" t="s">
        <v>622</v>
      </c>
      <c r="B593" s="143" t="s">
        <v>622</v>
      </c>
      <c r="C593" s="3" t="s">
        <v>96</v>
      </c>
      <c r="D593" s="3">
        <f t="shared" si="94"/>
        <v>3364</v>
      </c>
      <c r="E593" s="3">
        <f t="shared" si="93"/>
        <v>3366</v>
      </c>
      <c r="F593" s="3">
        <v>3</v>
      </c>
      <c r="G593" s="22" t="s">
        <v>35</v>
      </c>
      <c r="H593" s="40" t="s">
        <v>89</v>
      </c>
      <c r="I593" s="42" t="s">
        <v>90</v>
      </c>
    </row>
    <row r="594" spans="1:9" s="39" customFormat="1" ht="66" x14ac:dyDescent="0.3">
      <c r="A594" s="143" t="s">
        <v>622</v>
      </c>
      <c r="B594" s="143" t="s">
        <v>622</v>
      </c>
      <c r="C594" s="3" t="s">
        <v>96</v>
      </c>
      <c r="D594" s="3">
        <f t="shared" si="94"/>
        <v>3367</v>
      </c>
      <c r="E594" s="3">
        <f t="shared" si="93"/>
        <v>3369</v>
      </c>
      <c r="F594" s="3">
        <v>3</v>
      </c>
      <c r="G594" s="22" t="s">
        <v>292</v>
      </c>
      <c r="H594" s="40" t="s">
        <v>293</v>
      </c>
      <c r="I594" s="42" t="s">
        <v>91</v>
      </c>
    </row>
    <row r="595" spans="1:9" s="39" customFormat="1" ht="14.4" x14ac:dyDescent="0.3">
      <c r="A595" s="5"/>
      <c r="B595" s="5"/>
      <c r="C595" s="27"/>
      <c r="D595" s="3">
        <f t="shared" si="94"/>
        <v>3370</v>
      </c>
      <c r="E595" s="3">
        <f t="shared" si="93"/>
        <v>3379</v>
      </c>
      <c r="F595" s="3">
        <v>10</v>
      </c>
      <c r="G595" s="22" t="s">
        <v>55</v>
      </c>
      <c r="H595" s="40"/>
      <c r="I595" s="42"/>
    </row>
    <row r="596" spans="1:9" s="39" customFormat="1" ht="190.5" customHeight="1" x14ac:dyDescent="0.3">
      <c r="A596" s="5" t="s">
        <v>6</v>
      </c>
      <c r="B596" s="5" t="s">
        <v>6</v>
      </c>
      <c r="C596" s="27" t="s">
        <v>98</v>
      </c>
      <c r="D596" s="3">
        <f t="shared" si="94"/>
        <v>3380</v>
      </c>
      <c r="E596" s="3">
        <f t="shared" si="93"/>
        <v>3579</v>
      </c>
      <c r="F596" s="3">
        <v>200</v>
      </c>
      <c r="G596" s="13" t="s">
        <v>369</v>
      </c>
      <c r="H596" s="167" t="s">
        <v>568</v>
      </c>
      <c r="I596" s="124" t="s">
        <v>501</v>
      </c>
    </row>
    <row r="597" spans="1:9" s="39" customFormat="1" ht="188.25" customHeight="1" x14ac:dyDescent="0.3">
      <c r="A597" s="5" t="s">
        <v>6</v>
      </c>
      <c r="B597" s="5" t="s">
        <v>6</v>
      </c>
      <c r="C597" s="27" t="s">
        <v>98</v>
      </c>
      <c r="D597" s="3">
        <f t="shared" ref="D597" si="95">D596+F596</f>
        <v>3580</v>
      </c>
      <c r="E597" s="3">
        <f t="shared" ref="E597" si="96">D597+F597-1</f>
        <v>3679</v>
      </c>
      <c r="F597" s="3">
        <v>100</v>
      </c>
      <c r="G597" s="13" t="s">
        <v>363</v>
      </c>
      <c r="H597" s="167"/>
      <c r="I597" s="124" t="s">
        <v>567</v>
      </c>
    </row>
    <row r="598" spans="1:9" s="39" customFormat="1" ht="14.4" x14ac:dyDescent="0.3">
      <c r="A598" s="5"/>
      <c r="B598" s="5"/>
      <c r="C598" s="27"/>
      <c r="D598" s="3">
        <f>D597+F597</f>
        <v>3680</v>
      </c>
      <c r="E598" s="3">
        <f t="shared" si="93"/>
        <v>3695</v>
      </c>
      <c r="F598" s="3">
        <v>16</v>
      </c>
      <c r="G598" s="22" t="s">
        <v>55</v>
      </c>
      <c r="H598" s="40"/>
      <c r="I598" s="42"/>
    </row>
    <row r="599" spans="1:9" x14ac:dyDescent="0.3">
      <c r="A599" s="5"/>
      <c r="B599" s="5"/>
      <c r="C599" s="6"/>
      <c r="D599" s="3"/>
      <c r="E599" s="3"/>
      <c r="F599" s="7"/>
      <c r="G599" s="23" t="s">
        <v>569</v>
      </c>
      <c r="H599" s="14"/>
      <c r="I599" s="17"/>
    </row>
    <row r="600" spans="1:9" ht="26.4" x14ac:dyDescent="0.3">
      <c r="A600" s="5" t="s">
        <v>0</v>
      </c>
      <c r="B600" s="5" t="s">
        <v>0</v>
      </c>
      <c r="C600" s="27" t="s">
        <v>97</v>
      </c>
      <c r="D600" s="3">
        <f>D598+F598</f>
        <v>3696</v>
      </c>
      <c r="E600" s="3">
        <f>D600+F600-1</f>
        <v>3696</v>
      </c>
      <c r="F600" s="3">
        <v>1</v>
      </c>
      <c r="G600" s="22" t="s">
        <v>37</v>
      </c>
      <c r="H600" s="40" t="s">
        <v>54</v>
      </c>
    </row>
    <row r="601" spans="1:9" ht="145.19999999999999" x14ac:dyDescent="0.3">
      <c r="A601" s="5" t="s">
        <v>0</v>
      </c>
      <c r="B601" s="5" t="s">
        <v>0</v>
      </c>
      <c r="C601" s="27" t="s">
        <v>97</v>
      </c>
      <c r="D601" s="3">
        <f t="shared" ref="D601:D614" si="97">D600+F600</f>
        <v>3697</v>
      </c>
      <c r="E601" s="3">
        <f t="shared" ref="E601:E615" si="98">D601+F601-1</f>
        <v>3704</v>
      </c>
      <c r="F601" s="142">
        <v>8</v>
      </c>
      <c r="G601" s="22" t="s">
        <v>13</v>
      </c>
      <c r="H601" s="155" t="s">
        <v>594</v>
      </c>
      <c r="I601" s="152" t="s">
        <v>685</v>
      </c>
    </row>
    <row r="602" spans="1:9" ht="52.8" x14ac:dyDescent="0.3">
      <c r="A602" s="5" t="s">
        <v>6</v>
      </c>
      <c r="B602" s="5" t="s">
        <v>6</v>
      </c>
      <c r="C602" s="27" t="s">
        <v>97</v>
      </c>
      <c r="D602" s="3">
        <f t="shared" si="97"/>
        <v>3705</v>
      </c>
      <c r="E602" s="3">
        <f t="shared" si="98"/>
        <v>3712</v>
      </c>
      <c r="F602" s="142">
        <v>8</v>
      </c>
      <c r="G602" s="22" t="s">
        <v>14</v>
      </c>
      <c r="H602" s="41" t="s">
        <v>366</v>
      </c>
      <c r="I602" s="42" t="s">
        <v>367</v>
      </c>
    </row>
    <row r="603" spans="1:9" ht="17.25" customHeight="1" x14ac:dyDescent="0.3">
      <c r="A603" s="5" t="s">
        <v>0</v>
      </c>
      <c r="B603" s="5" t="s">
        <v>6</v>
      </c>
      <c r="C603" s="27" t="s">
        <v>97</v>
      </c>
      <c r="D603" s="3">
        <f t="shared" si="97"/>
        <v>3713</v>
      </c>
      <c r="E603" s="3">
        <f t="shared" si="98"/>
        <v>3732</v>
      </c>
      <c r="F603" s="3">
        <v>20</v>
      </c>
      <c r="G603" s="22" t="s">
        <v>15</v>
      </c>
      <c r="H603" s="169" t="s">
        <v>228</v>
      </c>
      <c r="I603" s="170" t="s">
        <v>322</v>
      </c>
    </row>
    <row r="604" spans="1:9" ht="18.75" customHeight="1" x14ac:dyDescent="0.3">
      <c r="A604" s="5" t="s">
        <v>0</v>
      </c>
      <c r="B604" s="5" t="s">
        <v>6</v>
      </c>
      <c r="C604" s="27" t="s">
        <v>97</v>
      </c>
      <c r="D604" s="3">
        <f t="shared" si="97"/>
        <v>3733</v>
      </c>
      <c r="E604" s="3">
        <f t="shared" si="98"/>
        <v>3747</v>
      </c>
      <c r="F604" s="3">
        <v>15</v>
      </c>
      <c r="G604" s="22" t="s">
        <v>16</v>
      </c>
      <c r="H604" s="169"/>
      <c r="I604" s="170"/>
    </row>
    <row r="605" spans="1:9" ht="17.25" customHeight="1" x14ac:dyDescent="0.3">
      <c r="A605" s="5" t="s">
        <v>0</v>
      </c>
      <c r="B605" s="5" t="s">
        <v>6</v>
      </c>
      <c r="C605" s="27" t="s">
        <v>97</v>
      </c>
      <c r="D605" s="3">
        <f t="shared" si="97"/>
        <v>3748</v>
      </c>
      <c r="E605" s="3">
        <f t="shared" si="98"/>
        <v>3748</v>
      </c>
      <c r="F605" s="3">
        <v>1</v>
      </c>
      <c r="G605" s="22" t="s">
        <v>245</v>
      </c>
      <c r="H605" s="169"/>
      <c r="I605" s="170"/>
    </row>
    <row r="606" spans="1:9" ht="39.6" x14ac:dyDescent="0.3">
      <c r="A606" s="5" t="s">
        <v>6</v>
      </c>
      <c r="B606" s="5" t="s">
        <v>6</v>
      </c>
      <c r="C606" s="27" t="s">
        <v>97</v>
      </c>
      <c r="D606" s="3">
        <f t="shared" si="97"/>
        <v>3749</v>
      </c>
      <c r="E606" s="3">
        <f t="shared" si="98"/>
        <v>3751</v>
      </c>
      <c r="F606" s="3">
        <v>3</v>
      </c>
      <c r="G606" s="22" t="s">
        <v>149</v>
      </c>
      <c r="H606" s="99" t="s">
        <v>150</v>
      </c>
      <c r="I606" s="174" t="s">
        <v>554</v>
      </c>
    </row>
    <row r="607" spans="1:9" x14ac:dyDescent="0.3">
      <c r="A607" s="5" t="s">
        <v>6</v>
      </c>
      <c r="B607" s="5" t="s">
        <v>6</v>
      </c>
      <c r="C607" s="27" t="s">
        <v>97</v>
      </c>
      <c r="D607" s="3">
        <f t="shared" si="97"/>
        <v>3752</v>
      </c>
      <c r="E607" s="3">
        <f t="shared" si="98"/>
        <v>3771</v>
      </c>
      <c r="F607" s="3">
        <v>20</v>
      </c>
      <c r="G607" s="22" t="s">
        <v>17</v>
      </c>
      <c r="H607" s="174" t="s">
        <v>228</v>
      </c>
      <c r="I607" s="174"/>
    </row>
    <row r="608" spans="1:9" x14ac:dyDescent="0.3">
      <c r="A608" s="5" t="s">
        <v>6</v>
      </c>
      <c r="B608" s="5" t="s">
        <v>6</v>
      </c>
      <c r="C608" s="27" t="s">
        <v>97</v>
      </c>
      <c r="D608" s="3">
        <f t="shared" si="97"/>
        <v>3772</v>
      </c>
      <c r="E608" s="3">
        <f t="shared" si="98"/>
        <v>3791</v>
      </c>
      <c r="F608" s="3">
        <v>20</v>
      </c>
      <c r="G608" s="22" t="s">
        <v>18</v>
      </c>
      <c r="H608" s="174"/>
      <c r="I608" s="174"/>
    </row>
    <row r="609" spans="1:9" x14ac:dyDescent="0.3">
      <c r="A609" s="5" t="s">
        <v>0</v>
      </c>
      <c r="B609" s="5" t="s">
        <v>0</v>
      </c>
      <c r="C609" s="27" t="s">
        <v>97</v>
      </c>
      <c r="D609" s="3">
        <f t="shared" si="97"/>
        <v>3792</v>
      </c>
      <c r="E609" s="3">
        <f t="shared" si="98"/>
        <v>3792</v>
      </c>
      <c r="F609" s="3">
        <v>1</v>
      </c>
      <c r="G609" s="22" t="s">
        <v>246</v>
      </c>
      <c r="H609" s="174"/>
      <c r="I609" s="174"/>
    </row>
    <row r="610" spans="1:9" ht="118.8" x14ac:dyDescent="0.3">
      <c r="A610" s="5" t="s">
        <v>0</v>
      </c>
      <c r="B610" s="5" t="s">
        <v>0</v>
      </c>
      <c r="C610" s="27" t="s">
        <v>209</v>
      </c>
      <c r="D610" s="3">
        <f t="shared" si="97"/>
        <v>3793</v>
      </c>
      <c r="E610" s="3">
        <f>D610+F610-1</f>
        <v>3798</v>
      </c>
      <c r="F610" s="3">
        <v>6</v>
      </c>
      <c r="G610" s="22" t="s">
        <v>148</v>
      </c>
      <c r="H610" s="101" t="s">
        <v>555</v>
      </c>
      <c r="I610" s="152" t="s">
        <v>691</v>
      </c>
    </row>
    <row r="611" spans="1:9" ht="132" x14ac:dyDescent="0.3">
      <c r="A611" s="5" t="s">
        <v>0</v>
      </c>
      <c r="B611" s="5" t="s">
        <v>0</v>
      </c>
      <c r="C611" s="27" t="s">
        <v>97</v>
      </c>
      <c r="D611" s="3">
        <f t="shared" si="97"/>
        <v>3799</v>
      </c>
      <c r="E611" s="3">
        <f t="shared" si="98"/>
        <v>3828</v>
      </c>
      <c r="F611" s="3">
        <v>30</v>
      </c>
      <c r="G611" s="22" t="s">
        <v>19</v>
      </c>
      <c r="H611" s="209" t="s">
        <v>716</v>
      </c>
      <c r="I611" s="210" t="s">
        <v>717</v>
      </c>
    </row>
    <row r="612" spans="1:9" s="39" customFormat="1" ht="52.8" x14ac:dyDescent="0.3">
      <c r="A612" s="5" t="s">
        <v>0</v>
      </c>
      <c r="B612" s="5" t="s">
        <v>0</v>
      </c>
      <c r="C612" s="27" t="s">
        <v>97</v>
      </c>
      <c r="D612" s="3">
        <f t="shared" si="97"/>
        <v>3829</v>
      </c>
      <c r="E612" s="3">
        <f t="shared" si="98"/>
        <v>3848</v>
      </c>
      <c r="F612" s="3">
        <v>20</v>
      </c>
      <c r="G612" s="22" t="s">
        <v>112</v>
      </c>
      <c r="H612" s="40" t="s">
        <v>301</v>
      </c>
      <c r="I612" s="42" t="s">
        <v>322</v>
      </c>
    </row>
    <row r="613" spans="1:9" s="39" customFormat="1" ht="39.6" x14ac:dyDescent="0.3">
      <c r="A613" s="5" t="s">
        <v>0</v>
      </c>
      <c r="B613" s="5" t="s">
        <v>0</v>
      </c>
      <c r="C613" s="27" t="s">
        <v>99</v>
      </c>
      <c r="D613" s="3">
        <f t="shared" si="97"/>
        <v>3849</v>
      </c>
      <c r="E613" s="3">
        <f>D613+F613-1</f>
        <v>3854</v>
      </c>
      <c r="F613" s="3">
        <v>6</v>
      </c>
      <c r="G613" s="22" t="s">
        <v>114</v>
      </c>
      <c r="H613" s="40" t="s">
        <v>115</v>
      </c>
      <c r="I613" s="42" t="s">
        <v>273</v>
      </c>
    </row>
    <row r="614" spans="1:9" s="39" customFormat="1" ht="26.4" x14ac:dyDescent="0.3">
      <c r="A614" s="5" t="s">
        <v>0</v>
      </c>
      <c r="B614" s="5" t="s">
        <v>0</v>
      </c>
      <c r="C614" s="27" t="s">
        <v>209</v>
      </c>
      <c r="D614" s="3">
        <f t="shared" si="97"/>
        <v>3855</v>
      </c>
      <c r="E614" s="3">
        <f>D614+F614-1</f>
        <v>3855</v>
      </c>
      <c r="F614" s="3">
        <v>1</v>
      </c>
      <c r="G614" s="22" t="s">
        <v>282</v>
      </c>
      <c r="H614" s="40" t="s">
        <v>271</v>
      </c>
      <c r="I614" s="42" t="s">
        <v>270</v>
      </c>
    </row>
    <row r="615" spans="1:9" s="39" customFormat="1" ht="14.4" x14ac:dyDescent="0.3">
      <c r="A615" s="5"/>
      <c r="B615" s="5"/>
      <c r="C615" s="27"/>
      <c r="D615" s="3">
        <f>D614+F614</f>
        <v>3856</v>
      </c>
      <c r="E615" s="3">
        <f t="shared" si="98"/>
        <v>3869</v>
      </c>
      <c r="F615" s="142">
        <v>14</v>
      </c>
      <c r="G615" s="22" t="s">
        <v>55</v>
      </c>
      <c r="H615" s="40"/>
      <c r="I615" s="42"/>
    </row>
    <row r="616" spans="1:9" s="39" customFormat="1" ht="14.4" x14ac:dyDescent="0.3">
      <c r="A616" s="5"/>
      <c r="B616" s="5"/>
      <c r="C616" s="6"/>
      <c r="D616" s="3"/>
      <c r="E616" s="3"/>
      <c r="F616" s="7"/>
      <c r="G616" s="23" t="s">
        <v>20</v>
      </c>
      <c r="H616" s="14"/>
      <c r="I616" s="17"/>
    </row>
    <row r="617" spans="1:9" s="39" customFormat="1" ht="39.6" x14ac:dyDescent="0.3">
      <c r="A617" s="5" t="s">
        <v>6</v>
      </c>
      <c r="B617" s="5" t="s">
        <v>6</v>
      </c>
      <c r="C617" s="27" t="s">
        <v>98</v>
      </c>
      <c r="D617" s="3">
        <f>D615+F615</f>
        <v>3870</v>
      </c>
      <c r="E617" s="3">
        <f>D617+F617-1</f>
        <v>3870</v>
      </c>
      <c r="F617" s="3">
        <v>1</v>
      </c>
      <c r="G617" s="22" t="s">
        <v>361</v>
      </c>
      <c r="H617" s="40" t="s">
        <v>102</v>
      </c>
      <c r="I617" s="167" t="s">
        <v>362</v>
      </c>
    </row>
    <row r="618" spans="1:9" s="39" customFormat="1" ht="39.6" x14ac:dyDescent="0.3">
      <c r="A618" s="5" t="s">
        <v>6</v>
      </c>
      <c r="B618" s="5" t="s">
        <v>6</v>
      </c>
      <c r="C618" s="27" t="s">
        <v>98</v>
      </c>
      <c r="D618" s="3">
        <f>D617+F617</f>
        <v>3871</v>
      </c>
      <c r="E618" s="3">
        <f>D618+F618-1</f>
        <v>3871</v>
      </c>
      <c r="F618" s="3">
        <v>1</v>
      </c>
      <c r="G618" s="22" t="s">
        <v>21</v>
      </c>
      <c r="H618" s="40" t="s">
        <v>102</v>
      </c>
      <c r="I618" s="205"/>
    </row>
    <row r="619" spans="1:9" s="39" customFormat="1" ht="39.6" x14ac:dyDescent="0.3">
      <c r="A619" s="5" t="s">
        <v>6</v>
      </c>
      <c r="B619" s="5" t="s">
        <v>6</v>
      </c>
      <c r="C619" s="27" t="s">
        <v>98</v>
      </c>
      <c r="D619" s="3">
        <f>D618+F618</f>
        <v>3872</v>
      </c>
      <c r="E619" s="3">
        <f>D619+F619-1</f>
        <v>3872</v>
      </c>
      <c r="F619" s="3">
        <v>1</v>
      </c>
      <c r="G619" s="22" t="s">
        <v>22</v>
      </c>
      <c r="H619" s="40" t="s">
        <v>102</v>
      </c>
      <c r="I619" s="205"/>
    </row>
    <row r="620" spans="1:9" s="39" customFormat="1" ht="39.6" x14ac:dyDescent="0.3">
      <c r="A620" s="5" t="s">
        <v>6</v>
      </c>
      <c r="B620" s="5" t="s">
        <v>6</v>
      </c>
      <c r="C620" s="27" t="s">
        <v>98</v>
      </c>
      <c r="D620" s="3">
        <f>D619+F619</f>
        <v>3873</v>
      </c>
      <c r="E620" s="3">
        <f>D620+F620-1</f>
        <v>3873</v>
      </c>
      <c r="F620" s="3">
        <v>1</v>
      </c>
      <c r="G620" s="22" t="s">
        <v>23</v>
      </c>
      <c r="H620" s="40" t="s">
        <v>102</v>
      </c>
      <c r="I620" s="205"/>
    </row>
    <row r="621" spans="1:9" s="39" customFormat="1" ht="14.4" x14ac:dyDescent="0.3">
      <c r="A621" s="5"/>
      <c r="B621" s="5"/>
      <c r="C621" s="27"/>
      <c r="D621" s="3">
        <f>D620+F620</f>
        <v>3874</v>
      </c>
      <c r="E621" s="3">
        <f>D621+F621-1</f>
        <v>3878</v>
      </c>
      <c r="F621" s="3">
        <v>5</v>
      </c>
      <c r="G621" s="22" t="s">
        <v>55</v>
      </c>
      <c r="H621" s="40"/>
      <c r="I621" s="42"/>
    </row>
    <row r="622" spans="1:9" s="39" customFormat="1" ht="14.4" x14ac:dyDescent="0.3">
      <c r="A622" s="5"/>
      <c r="B622" s="5"/>
      <c r="C622" s="27"/>
      <c r="D622" s="3"/>
      <c r="E622" s="3"/>
      <c r="F622" s="3"/>
      <c r="G622" s="23" t="s">
        <v>570</v>
      </c>
      <c r="H622" s="40"/>
      <c r="I622" s="42"/>
    </row>
    <row r="623" spans="1:9" s="39" customFormat="1" ht="14.4" x14ac:dyDescent="0.3">
      <c r="A623" s="5"/>
      <c r="B623" s="5"/>
      <c r="C623" s="27"/>
      <c r="D623" s="3"/>
      <c r="E623" s="3"/>
      <c r="F623" s="3"/>
      <c r="G623" s="23" t="s">
        <v>113</v>
      </c>
      <c r="H623" s="40"/>
      <c r="I623" s="42"/>
    </row>
    <row r="624" spans="1:9" s="39" customFormat="1" ht="15" customHeight="1" x14ac:dyDescent="0.3">
      <c r="A624" s="5" t="s">
        <v>6</v>
      </c>
      <c r="B624" s="5" t="s">
        <v>6</v>
      </c>
      <c r="C624" s="27" t="s">
        <v>209</v>
      </c>
      <c r="D624" s="3">
        <f>D621+F621</f>
        <v>3879</v>
      </c>
      <c r="E624" s="3">
        <f>D624+F624-1</f>
        <v>3879</v>
      </c>
      <c r="F624" s="3">
        <v>1</v>
      </c>
      <c r="G624" s="22" t="s">
        <v>126</v>
      </c>
      <c r="H624" s="167" t="s">
        <v>229</v>
      </c>
      <c r="I624" s="167" t="s">
        <v>138</v>
      </c>
    </row>
    <row r="625" spans="1:9" s="39" customFormat="1" ht="14.4" x14ac:dyDescent="0.3">
      <c r="A625" s="5" t="s">
        <v>6</v>
      </c>
      <c r="B625" s="5" t="s">
        <v>6</v>
      </c>
      <c r="C625" s="27" t="s">
        <v>209</v>
      </c>
      <c r="D625" s="3">
        <f>D624+F624</f>
        <v>3880</v>
      </c>
      <c r="E625" s="3">
        <f>D625+F625-1</f>
        <v>3880</v>
      </c>
      <c r="F625" s="3">
        <v>1</v>
      </c>
      <c r="G625" s="22" t="s">
        <v>127</v>
      </c>
      <c r="H625" s="167"/>
      <c r="I625" s="167"/>
    </row>
    <row r="626" spans="1:9" s="39" customFormat="1" ht="14.4" x14ac:dyDescent="0.3">
      <c r="A626" s="5" t="s">
        <v>6</v>
      </c>
      <c r="B626" s="5" t="s">
        <v>6</v>
      </c>
      <c r="C626" s="27" t="s">
        <v>209</v>
      </c>
      <c r="D626" s="3">
        <f t="shared" ref="D626:D637" si="99">D625+F625</f>
        <v>3881</v>
      </c>
      <c r="E626" s="3">
        <f t="shared" ref="E626:E637" si="100">D626+F626-1</f>
        <v>3881</v>
      </c>
      <c r="F626" s="3">
        <v>1</v>
      </c>
      <c r="G626" s="13" t="s">
        <v>368</v>
      </c>
      <c r="H626" s="167"/>
      <c r="I626" s="167"/>
    </row>
    <row r="627" spans="1:9" s="39" customFormat="1" ht="14.4" x14ac:dyDescent="0.3">
      <c r="A627" s="5" t="s">
        <v>6</v>
      </c>
      <c r="B627" s="5" t="s">
        <v>6</v>
      </c>
      <c r="C627" s="27" t="s">
        <v>209</v>
      </c>
      <c r="D627" s="3">
        <f t="shared" si="99"/>
        <v>3882</v>
      </c>
      <c r="E627" s="3">
        <f t="shared" si="100"/>
        <v>3882</v>
      </c>
      <c r="F627" s="3">
        <v>1</v>
      </c>
      <c r="G627" s="22" t="s">
        <v>128</v>
      </c>
      <c r="H627" s="167"/>
      <c r="I627" s="167"/>
    </row>
    <row r="628" spans="1:9" s="39" customFormat="1" ht="14.4" x14ac:dyDescent="0.3">
      <c r="A628" s="5" t="s">
        <v>6</v>
      </c>
      <c r="B628" s="5" t="s">
        <v>6</v>
      </c>
      <c r="C628" s="27" t="s">
        <v>209</v>
      </c>
      <c r="D628" s="3">
        <f t="shared" si="99"/>
        <v>3883</v>
      </c>
      <c r="E628" s="3">
        <f t="shared" si="100"/>
        <v>3883</v>
      </c>
      <c r="F628" s="3">
        <v>1</v>
      </c>
      <c r="G628" s="22" t="s">
        <v>129</v>
      </c>
      <c r="H628" s="167"/>
      <c r="I628" s="167"/>
    </row>
    <row r="629" spans="1:9" s="39" customFormat="1" ht="14.4" x14ac:dyDescent="0.3">
      <c r="A629" s="5" t="s">
        <v>6</v>
      </c>
      <c r="B629" s="5" t="s">
        <v>6</v>
      </c>
      <c r="C629" s="27" t="s">
        <v>209</v>
      </c>
      <c r="D629" s="3">
        <f t="shared" si="99"/>
        <v>3884</v>
      </c>
      <c r="E629" s="3">
        <f t="shared" si="100"/>
        <v>3884</v>
      </c>
      <c r="F629" s="3">
        <v>1</v>
      </c>
      <c r="G629" s="22" t="s">
        <v>130</v>
      </c>
      <c r="H629" s="167"/>
      <c r="I629" s="167"/>
    </row>
    <row r="630" spans="1:9" s="39" customFormat="1" ht="14.4" x14ac:dyDescent="0.3">
      <c r="A630" s="5" t="s">
        <v>6</v>
      </c>
      <c r="B630" s="5" t="s">
        <v>6</v>
      </c>
      <c r="C630" s="27" t="s">
        <v>209</v>
      </c>
      <c r="D630" s="3">
        <f t="shared" si="99"/>
        <v>3885</v>
      </c>
      <c r="E630" s="3">
        <f t="shared" si="100"/>
        <v>3885</v>
      </c>
      <c r="F630" s="3">
        <v>1</v>
      </c>
      <c r="G630" s="22" t="s">
        <v>247</v>
      </c>
      <c r="H630" s="167"/>
      <c r="I630" s="167"/>
    </row>
    <row r="631" spans="1:9" s="39" customFormat="1" ht="14.4" x14ac:dyDescent="0.3">
      <c r="A631" s="5" t="s">
        <v>6</v>
      </c>
      <c r="B631" s="5" t="s">
        <v>6</v>
      </c>
      <c r="C631" s="27" t="s">
        <v>97</v>
      </c>
      <c r="D631" s="3">
        <f t="shared" si="99"/>
        <v>3886</v>
      </c>
      <c r="E631" s="3">
        <f t="shared" si="100"/>
        <v>3886</v>
      </c>
      <c r="F631" s="3">
        <v>1</v>
      </c>
      <c r="G631" s="22" t="s">
        <v>274</v>
      </c>
      <c r="H631" s="167"/>
      <c r="I631" s="167"/>
    </row>
    <row r="632" spans="1:9" s="39" customFormat="1" ht="14.4" x14ac:dyDescent="0.3">
      <c r="A632" s="5" t="s">
        <v>6</v>
      </c>
      <c r="B632" s="5" t="s">
        <v>6</v>
      </c>
      <c r="C632" s="27" t="s">
        <v>209</v>
      </c>
      <c r="D632" s="3">
        <f>D631+F631</f>
        <v>3887</v>
      </c>
      <c r="E632" s="3">
        <f t="shared" si="100"/>
        <v>3887</v>
      </c>
      <c r="F632" s="3">
        <v>1</v>
      </c>
      <c r="G632" s="22" t="s">
        <v>131</v>
      </c>
      <c r="H632" s="167"/>
      <c r="I632" s="167"/>
    </row>
    <row r="633" spans="1:9" s="39" customFormat="1" ht="14.4" x14ac:dyDescent="0.3">
      <c r="A633" s="5" t="s">
        <v>6</v>
      </c>
      <c r="B633" s="5" t="s">
        <v>6</v>
      </c>
      <c r="C633" s="27" t="s">
        <v>209</v>
      </c>
      <c r="D633" s="3">
        <f t="shared" si="99"/>
        <v>3888</v>
      </c>
      <c r="E633" s="3">
        <f t="shared" si="100"/>
        <v>3888</v>
      </c>
      <c r="F633" s="3">
        <v>1</v>
      </c>
      <c r="G633" s="22" t="s">
        <v>132</v>
      </c>
      <c r="H633" s="167"/>
      <c r="I633" s="167"/>
    </row>
    <row r="634" spans="1:9" s="39" customFormat="1" ht="14.4" x14ac:dyDescent="0.3">
      <c r="A634" s="5" t="s">
        <v>6</v>
      </c>
      <c r="B634" s="5" t="s">
        <v>6</v>
      </c>
      <c r="C634" s="27" t="s">
        <v>209</v>
      </c>
      <c r="D634" s="3">
        <f t="shared" si="99"/>
        <v>3889</v>
      </c>
      <c r="E634" s="3">
        <f t="shared" si="100"/>
        <v>3889</v>
      </c>
      <c r="F634" s="3">
        <v>1</v>
      </c>
      <c r="G634" s="22" t="s">
        <v>133</v>
      </c>
      <c r="H634" s="167"/>
      <c r="I634" s="167"/>
    </row>
    <row r="635" spans="1:9" s="39" customFormat="1" ht="14.4" x14ac:dyDescent="0.3">
      <c r="A635" s="5" t="s">
        <v>6</v>
      </c>
      <c r="B635" s="5" t="s">
        <v>6</v>
      </c>
      <c r="C635" s="27" t="s">
        <v>209</v>
      </c>
      <c r="D635" s="3">
        <f t="shared" si="99"/>
        <v>3890</v>
      </c>
      <c r="E635" s="3">
        <f t="shared" si="100"/>
        <v>3890</v>
      </c>
      <c r="F635" s="3">
        <v>1</v>
      </c>
      <c r="G635" s="22" t="s">
        <v>134</v>
      </c>
      <c r="H635" s="167"/>
      <c r="I635" s="167"/>
    </row>
    <row r="636" spans="1:9" s="39" customFormat="1" ht="14.4" x14ac:dyDescent="0.3">
      <c r="A636" s="5" t="s">
        <v>6</v>
      </c>
      <c r="B636" s="5" t="s">
        <v>6</v>
      </c>
      <c r="C636" s="27" t="s">
        <v>209</v>
      </c>
      <c r="D636" s="3">
        <f t="shared" si="99"/>
        <v>3891</v>
      </c>
      <c r="E636" s="3">
        <f t="shared" si="100"/>
        <v>3891</v>
      </c>
      <c r="F636" s="3">
        <v>1</v>
      </c>
      <c r="G636" s="22" t="s">
        <v>135</v>
      </c>
      <c r="H636" s="167"/>
      <c r="I636" s="167"/>
    </row>
    <row r="637" spans="1:9" s="39" customFormat="1" ht="14.4" x14ac:dyDescent="0.3">
      <c r="A637" s="5" t="s">
        <v>6</v>
      </c>
      <c r="B637" s="5" t="s">
        <v>6</v>
      </c>
      <c r="C637" s="27" t="s">
        <v>209</v>
      </c>
      <c r="D637" s="3">
        <f t="shared" si="99"/>
        <v>3892</v>
      </c>
      <c r="E637" s="3">
        <f t="shared" si="100"/>
        <v>3892</v>
      </c>
      <c r="F637" s="3">
        <v>1</v>
      </c>
      <c r="G637" s="22" t="s">
        <v>136</v>
      </c>
      <c r="H637" s="167"/>
      <c r="I637" s="167"/>
    </row>
    <row r="638" spans="1:9" s="39" customFormat="1" ht="14.4" x14ac:dyDescent="0.3">
      <c r="A638" s="5"/>
      <c r="B638" s="5"/>
      <c r="C638" s="27"/>
      <c r="D638" s="3"/>
      <c r="E638" s="3"/>
      <c r="F638" s="3"/>
      <c r="G638" s="23" t="s">
        <v>324</v>
      </c>
      <c r="H638" s="40"/>
      <c r="I638" s="42"/>
    </row>
    <row r="639" spans="1:9" s="39" customFormat="1" ht="15" customHeight="1" x14ac:dyDescent="0.3">
      <c r="A639" s="5" t="s">
        <v>0</v>
      </c>
      <c r="B639" s="5" t="s">
        <v>0</v>
      </c>
      <c r="C639" s="27" t="s">
        <v>97</v>
      </c>
      <c r="D639" s="3">
        <f>D637+F637</f>
        <v>3893</v>
      </c>
      <c r="E639" s="3">
        <f>D639+F639-1</f>
        <v>3893</v>
      </c>
      <c r="F639" s="3">
        <v>1</v>
      </c>
      <c r="G639" s="22" t="s">
        <v>126</v>
      </c>
      <c r="H639" s="167" t="s">
        <v>118</v>
      </c>
      <c r="I639" s="167" t="s">
        <v>360</v>
      </c>
    </row>
    <row r="640" spans="1:9" s="39" customFormat="1" ht="14.4" x14ac:dyDescent="0.3">
      <c r="A640" s="5" t="s">
        <v>0</v>
      </c>
      <c r="B640" s="5" t="s">
        <v>0</v>
      </c>
      <c r="C640" s="27" t="s">
        <v>97</v>
      </c>
      <c r="D640" s="3">
        <f>D639+F639</f>
        <v>3894</v>
      </c>
      <c r="E640" s="3">
        <f>D640+F640-1</f>
        <v>3894</v>
      </c>
      <c r="F640" s="3">
        <v>1</v>
      </c>
      <c r="G640" s="22" t="s">
        <v>127</v>
      </c>
      <c r="H640" s="167"/>
      <c r="I640" s="167"/>
    </row>
    <row r="641" spans="1:9" s="39" customFormat="1" ht="14.4" x14ac:dyDescent="0.3">
      <c r="A641" s="5" t="s">
        <v>0</v>
      </c>
      <c r="B641" s="5" t="s">
        <v>0</v>
      </c>
      <c r="C641" s="27" t="s">
        <v>97</v>
      </c>
      <c r="D641" s="3">
        <f t="shared" ref="D641:D653" si="101">D640+F640</f>
        <v>3895</v>
      </c>
      <c r="E641" s="3">
        <f t="shared" ref="E641:E653" si="102">D641+F641-1</f>
        <v>3895</v>
      </c>
      <c r="F641" s="3">
        <v>1</v>
      </c>
      <c r="G641" s="13" t="s">
        <v>55</v>
      </c>
      <c r="H641" s="167"/>
      <c r="I641" s="167"/>
    </row>
    <row r="642" spans="1:9" s="39" customFormat="1" ht="14.4" x14ac:dyDescent="0.3">
      <c r="A642" s="5" t="s">
        <v>0</v>
      </c>
      <c r="B642" s="5" t="s">
        <v>0</v>
      </c>
      <c r="C642" s="27" t="s">
        <v>97</v>
      </c>
      <c r="D642" s="3">
        <f t="shared" si="101"/>
        <v>3896</v>
      </c>
      <c r="E642" s="3">
        <f t="shared" si="102"/>
        <v>3896</v>
      </c>
      <c r="F642" s="3">
        <v>1</v>
      </c>
      <c r="G642" s="22" t="s">
        <v>128</v>
      </c>
      <c r="H642" s="167"/>
      <c r="I642" s="167"/>
    </row>
    <row r="643" spans="1:9" s="39" customFormat="1" ht="14.4" x14ac:dyDescent="0.3">
      <c r="A643" s="5" t="s">
        <v>0</v>
      </c>
      <c r="B643" s="5" t="s">
        <v>0</v>
      </c>
      <c r="C643" s="27" t="s">
        <v>97</v>
      </c>
      <c r="D643" s="3">
        <f t="shared" si="101"/>
        <v>3897</v>
      </c>
      <c r="E643" s="3">
        <f t="shared" si="102"/>
        <v>3897</v>
      </c>
      <c r="F643" s="3">
        <v>1</v>
      </c>
      <c r="G643" s="22" t="s">
        <v>129</v>
      </c>
      <c r="H643" s="167"/>
      <c r="I643" s="167"/>
    </row>
    <row r="644" spans="1:9" s="39" customFormat="1" ht="14.4" x14ac:dyDescent="0.3">
      <c r="A644" s="5" t="s">
        <v>0</v>
      </c>
      <c r="B644" s="5" t="s">
        <v>0</v>
      </c>
      <c r="C644" s="27" t="s">
        <v>97</v>
      </c>
      <c r="D644" s="3">
        <f t="shared" si="101"/>
        <v>3898</v>
      </c>
      <c r="E644" s="3">
        <f t="shared" si="102"/>
        <v>3898</v>
      </c>
      <c r="F644" s="3">
        <v>1</v>
      </c>
      <c r="G644" s="22" t="s">
        <v>130</v>
      </c>
      <c r="H644" s="167"/>
      <c r="I644" s="167"/>
    </row>
    <row r="645" spans="1:9" s="39" customFormat="1" ht="14.4" x14ac:dyDescent="0.3">
      <c r="A645" s="5" t="s">
        <v>0</v>
      </c>
      <c r="B645" s="5" t="s">
        <v>0</v>
      </c>
      <c r="C645" s="27" t="s">
        <v>97</v>
      </c>
      <c r="D645" s="3">
        <f t="shared" si="101"/>
        <v>3899</v>
      </c>
      <c r="E645" s="3">
        <f t="shared" si="102"/>
        <v>3899</v>
      </c>
      <c r="F645" s="3">
        <v>1</v>
      </c>
      <c r="G645" s="22" t="s">
        <v>247</v>
      </c>
      <c r="H645" s="167"/>
      <c r="I645" s="167"/>
    </row>
    <row r="646" spans="1:9" s="39" customFormat="1" ht="14.4" x14ac:dyDescent="0.3">
      <c r="A646" s="5" t="s">
        <v>0</v>
      </c>
      <c r="B646" s="5" t="s">
        <v>0</v>
      </c>
      <c r="C646" s="27" t="s">
        <v>97</v>
      </c>
      <c r="D646" s="3">
        <f t="shared" si="101"/>
        <v>3900</v>
      </c>
      <c r="E646" s="3">
        <f t="shared" si="102"/>
        <v>3900</v>
      </c>
      <c r="F646" s="3">
        <v>1</v>
      </c>
      <c r="G646" s="22" t="s">
        <v>274</v>
      </c>
      <c r="H646" s="167"/>
      <c r="I646" s="167"/>
    </row>
    <row r="647" spans="1:9" s="39" customFormat="1" ht="14.4" x14ac:dyDescent="0.3">
      <c r="A647" s="5" t="s">
        <v>0</v>
      </c>
      <c r="B647" s="5" t="s">
        <v>0</v>
      </c>
      <c r="C647" s="27" t="s">
        <v>97</v>
      </c>
      <c r="D647" s="3">
        <f>D646+F646</f>
        <v>3901</v>
      </c>
      <c r="E647" s="3">
        <f t="shared" si="102"/>
        <v>3901</v>
      </c>
      <c r="F647" s="3">
        <v>1</v>
      </c>
      <c r="G647" s="22" t="s">
        <v>131</v>
      </c>
      <c r="H647" s="167"/>
      <c r="I647" s="167"/>
    </row>
    <row r="648" spans="1:9" s="39" customFormat="1" ht="14.4" x14ac:dyDescent="0.3">
      <c r="A648" s="5" t="s">
        <v>0</v>
      </c>
      <c r="B648" s="5" t="s">
        <v>0</v>
      </c>
      <c r="C648" s="27" t="s">
        <v>97</v>
      </c>
      <c r="D648" s="3">
        <f t="shared" si="101"/>
        <v>3902</v>
      </c>
      <c r="E648" s="3">
        <f t="shared" si="102"/>
        <v>3902</v>
      </c>
      <c r="F648" s="3">
        <v>1</v>
      </c>
      <c r="G648" s="22" t="s">
        <v>132</v>
      </c>
      <c r="H648" s="167"/>
      <c r="I648" s="167"/>
    </row>
    <row r="649" spans="1:9" s="39" customFormat="1" ht="14.4" x14ac:dyDescent="0.3">
      <c r="A649" s="5" t="s">
        <v>0</v>
      </c>
      <c r="B649" s="5" t="s">
        <v>0</v>
      </c>
      <c r="C649" s="27" t="s">
        <v>97</v>
      </c>
      <c r="D649" s="3">
        <f t="shared" si="101"/>
        <v>3903</v>
      </c>
      <c r="E649" s="3">
        <f t="shared" si="102"/>
        <v>3903</v>
      </c>
      <c r="F649" s="3">
        <v>1</v>
      </c>
      <c r="G649" s="22" t="s">
        <v>133</v>
      </c>
      <c r="H649" s="167"/>
      <c r="I649" s="167"/>
    </row>
    <row r="650" spans="1:9" s="39" customFormat="1" ht="14.4" x14ac:dyDescent="0.3">
      <c r="A650" s="5" t="s">
        <v>0</v>
      </c>
      <c r="B650" s="5" t="s">
        <v>0</v>
      </c>
      <c r="C650" s="27" t="s">
        <v>97</v>
      </c>
      <c r="D650" s="3">
        <f t="shared" si="101"/>
        <v>3904</v>
      </c>
      <c r="E650" s="3">
        <f t="shared" si="102"/>
        <v>3904</v>
      </c>
      <c r="F650" s="3">
        <v>1</v>
      </c>
      <c r="G650" s="22" t="s">
        <v>134</v>
      </c>
      <c r="H650" s="167"/>
      <c r="I650" s="167"/>
    </row>
    <row r="651" spans="1:9" s="39" customFormat="1" ht="14.4" x14ac:dyDescent="0.3">
      <c r="A651" s="5" t="s">
        <v>0</v>
      </c>
      <c r="B651" s="5" t="s">
        <v>0</v>
      </c>
      <c r="C651" s="27" t="s">
        <v>97</v>
      </c>
      <c r="D651" s="3">
        <f t="shared" si="101"/>
        <v>3905</v>
      </c>
      <c r="E651" s="3">
        <f t="shared" si="102"/>
        <v>3905</v>
      </c>
      <c r="F651" s="3">
        <v>1</v>
      </c>
      <c r="G651" s="22" t="s">
        <v>135</v>
      </c>
      <c r="H651" s="167"/>
      <c r="I651" s="167"/>
    </row>
    <row r="652" spans="1:9" s="39" customFormat="1" ht="14.4" x14ac:dyDescent="0.3">
      <c r="A652" s="5" t="s">
        <v>0</v>
      </c>
      <c r="B652" s="5" t="s">
        <v>0</v>
      </c>
      <c r="C652" s="27" t="s">
        <v>97</v>
      </c>
      <c r="D652" s="3">
        <f t="shared" si="101"/>
        <v>3906</v>
      </c>
      <c r="E652" s="3">
        <f t="shared" si="102"/>
        <v>3906</v>
      </c>
      <c r="F652" s="3">
        <v>1</v>
      </c>
      <c r="G652" s="22" t="s">
        <v>136</v>
      </c>
      <c r="H652" s="167"/>
      <c r="I652" s="167"/>
    </row>
    <row r="653" spans="1:9" s="39" customFormat="1" ht="14.4" x14ac:dyDescent="0.3">
      <c r="A653" s="5"/>
      <c r="B653" s="5"/>
      <c r="C653" s="27"/>
      <c r="D653" s="3">
        <f t="shared" si="101"/>
        <v>3907</v>
      </c>
      <c r="E653" s="3">
        <f t="shared" si="102"/>
        <v>3926</v>
      </c>
      <c r="F653" s="3">
        <v>20</v>
      </c>
      <c r="G653" s="22" t="s">
        <v>55</v>
      </c>
      <c r="H653" s="40"/>
      <c r="I653" s="42"/>
    </row>
    <row r="654" spans="1:9" s="39" customFormat="1" ht="26.4" x14ac:dyDescent="0.3">
      <c r="A654" s="5"/>
      <c r="B654" s="5"/>
      <c r="C654" s="3"/>
      <c r="D654" s="3"/>
      <c r="E654" s="3"/>
      <c r="F654" s="3"/>
      <c r="G654" s="23" t="s">
        <v>558</v>
      </c>
      <c r="H654" s="40"/>
      <c r="I654" s="42"/>
    </row>
    <row r="655" spans="1:9" s="39" customFormat="1" ht="66" x14ac:dyDescent="0.3">
      <c r="A655" s="5" t="s">
        <v>0</v>
      </c>
      <c r="B655" s="5" t="s">
        <v>0</v>
      </c>
      <c r="C655" s="27" t="s">
        <v>98</v>
      </c>
      <c r="D655" s="3">
        <f>D653+F653</f>
        <v>3927</v>
      </c>
      <c r="E655" s="3">
        <f t="shared" ref="E655:E662" si="103">D655+F655-1</f>
        <v>3929</v>
      </c>
      <c r="F655" s="3">
        <v>3</v>
      </c>
      <c r="G655" s="22" t="s">
        <v>24</v>
      </c>
      <c r="H655" s="42" t="s">
        <v>80</v>
      </c>
      <c r="I655" s="75" t="s">
        <v>503</v>
      </c>
    </row>
    <row r="656" spans="1:9" s="39" customFormat="1" ht="66" x14ac:dyDescent="0.3">
      <c r="A656" s="5" t="s">
        <v>0</v>
      </c>
      <c r="B656" s="5" t="s">
        <v>0</v>
      </c>
      <c r="C656" s="27" t="s">
        <v>98</v>
      </c>
      <c r="D656" s="3">
        <f t="shared" ref="D656:D662" si="104">D655+F655</f>
        <v>3930</v>
      </c>
      <c r="E656" s="3">
        <f t="shared" si="103"/>
        <v>3932</v>
      </c>
      <c r="F656" s="3">
        <v>3</v>
      </c>
      <c r="G656" s="22" t="s">
        <v>25</v>
      </c>
      <c r="H656" s="42" t="s">
        <v>80</v>
      </c>
      <c r="I656" s="75" t="s">
        <v>504</v>
      </c>
    </row>
    <row r="657" spans="1:9" s="39" customFormat="1" ht="92.4" x14ac:dyDescent="0.3">
      <c r="A657" s="5" t="s">
        <v>0</v>
      </c>
      <c r="B657" s="5" t="s">
        <v>0</v>
      </c>
      <c r="C657" s="27" t="s">
        <v>98</v>
      </c>
      <c r="D657" s="3">
        <f t="shared" si="104"/>
        <v>3933</v>
      </c>
      <c r="E657" s="3">
        <f t="shared" si="103"/>
        <v>3935</v>
      </c>
      <c r="F657" s="3">
        <v>3</v>
      </c>
      <c r="G657" s="22" t="s">
        <v>142</v>
      </c>
      <c r="H657" s="42" t="s">
        <v>80</v>
      </c>
      <c r="I657" s="12" t="s">
        <v>260</v>
      </c>
    </row>
    <row r="658" spans="1:9" s="39" customFormat="1" ht="79.2" x14ac:dyDescent="0.3">
      <c r="A658" s="5" t="s">
        <v>0</v>
      </c>
      <c r="B658" s="5" t="s">
        <v>0</v>
      </c>
      <c r="C658" s="27" t="s">
        <v>98</v>
      </c>
      <c r="D658" s="3">
        <f t="shared" si="104"/>
        <v>3936</v>
      </c>
      <c r="E658" s="3">
        <f t="shared" si="103"/>
        <v>3938</v>
      </c>
      <c r="F658" s="3">
        <v>3</v>
      </c>
      <c r="G658" s="22" t="s">
        <v>143</v>
      </c>
      <c r="H658" s="42" t="s">
        <v>85</v>
      </c>
      <c r="I658" s="75" t="s">
        <v>505</v>
      </c>
    </row>
    <row r="659" spans="1:9" s="39" customFormat="1" ht="79.2" x14ac:dyDescent="0.3">
      <c r="A659" s="5" t="s">
        <v>0</v>
      </c>
      <c r="B659" s="5" t="s">
        <v>0</v>
      </c>
      <c r="C659" s="27" t="s">
        <v>98</v>
      </c>
      <c r="D659" s="3">
        <f t="shared" si="104"/>
        <v>3939</v>
      </c>
      <c r="E659" s="3">
        <f t="shared" si="103"/>
        <v>3941</v>
      </c>
      <c r="F659" s="3">
        <v>3</v>
      </c>
      <c r="G659" s="22" t="s">
        <v>30</v>
      </c>
      <c r="H659" s="66" t="s">
        <v>460</v>
      </c>
      <c r="I659" s="12" t="s">
        <v>607</v>
      </c>
    </row>
    <row r="660" spans="1:9" s="39" customFormat="1" ht="66" x14ac:dyDescent="0.3">
      <c r="A660" s="5" t="s">
        <v>0</v>
      </c>
      <c r="B660" s="5" t="s">
        <v>0</v>
      </c>
      <c r="C660" s="27" t="s">
        <v>98</v>
      </c>
      <c r="D660" s="3">
        <f t="shared" si="104"/>
        <v>3942</v>
      </c>
      <c r="E660" s="3">
        <f t="shared" si="103"/>
        <v>3943</v>
      </c>
      <c r="F660" s="5">
        <v>2</v>
      </c>
      <c r="G660" s="22" t="s">
        <v>120</v>
      </c>
      <c r="H660" s="65" t="s">
        <v>439</v>
      </c>
      <c r="I660" s="43" t="s">
        <v>261</v>
      </c>
    </row>
    <row r="661" spans="1:9" s="39" customFormat="1" ht="66" x14ac:dyDescent="0.3">
      <c r="A661" s="5" t="s">
        <v>0</v>
      </c>
      <c r="B661" s="5" t="s">
        <v>0</v>
      </c>
      <c r="C661" s="27" t="s">
        <v>356</v>
      </c>
      <c r="D661" s="3">
        <f t="shared" si="104"/>
        <v>3944</v>
      </c>
      <c r="E661" s="3">
        <f t="shared" si="103"/>
        <v>3946</v>
      </c>
      <c r="F661" s="3">
        <v>3</v>
      </c>
      <c r="G661" s="22" t="s">
        <v>124</v>
      </c>
      <c r="H661" s="65" t="s">
        <v>461</v>
      </c>
      <c r="I661" s="43" t="s">
        <v>262</v>
      </c>
    </row>
    <row r="662" spans="1:9" s="39" customFormat="1" ht="14.4" x14ac:dyDescent="0.3">
      <c r="A662" s="5"/>
      <c r="B662" s="5"/>
      <c r="C662" s="27"/>
      <c r="D662" s="3">
        <f t="shared" si="104"/>
        <v>3947</v>
      </c>
      <c r="E662" s="3">
        <f t="shared" si="103"/>
        <v>3961</v>
      </c>
      <c r="F662" s="5">
        <v>15</v>
      </c>
      <c r="G662" s="22" t="s">
        <v>55</v>
      </c>
      <c r="H662" s="40"/>
      <c r="I662" s="43"/>
    </row>
    <row r="663" spans="1:9" s="39" customFormat="1" ht="14.4" x14ac:dyDescent="0.3">
      <c r="A663" s="5"/>
      <c r="B663" s="5"/>
      <c r="C663" s="27"/>
      <c r="D663" s="3"/>
      <c r="E663" s="3"/>
      <c r="F663" s="3"/>
      <c r="G663" s="23" t="s">
        <v>248</v>
      </c>
      <c r="H663" s="40"/>
      <c r="I663" s="43"/>
    </row>
    <row r="664" spans="1:9" s="39" customFormat="1" ht="14.4" x14ac:dyDescent="0.3">
      <c r="A664" s="5" t="s">
        <v>6</v>
      </c>
      <c r="B664" s="5" t="s">
        <v>6</v>
      </c>
      <c r="C664" s="27" t="s">
        <v>98</v>
      </c>
      <c r="D664" s="3">
        <f>D662+F662</f>
        <v>3962</v>
      </c>
      <c r="E664" s="3">
        <f>D664+F664-1</f>
        <v>3964</v>
      </c>
      <c r="F664" s="3">
        <v>3</v>
      </c>
      <c r="G664" s="22" t="s">
        <v>230</v>
      </c>
      <c r="H664" s="169" t="s">
        <v>460</v>
      </c>
      <c r="I664" s="170" t="s">
        <v>462</v>
      </c>
    </row>
    <row r="665" spans="1:9" s="39" customFormat="1" ht="24" customHeight="1" x14ac:dyDescent="0.3">
      <c r="A665" s="5" t="s">
        <v>6</v>
      </c>
      <c r="B665" s="5" t="s">
        <v>6</v>
      </c>
      <c r="C665" s="27" t="s">
        <v>98</v>
      </c>
      <c r="D665" s="3">
        <f>D664+F664</f>
        <v>3965</v>
      </c>
      <c r="E665" s="3">
        <f>D665+F665-1</f>
        <v>3967</v>
      </c>
      <c r="F665" s="3">
        <v>3</v>
      </c>
      <c r="G665" s="22" t="s">
        <v>231</v>
      </c>
      <c r="H665" s="200"/>
      <c r="I665" s="203"/>
    </row>
    <row r="666" spans="1:9" s="39" customFormat="1" ht="26.4" x14ac:dyDescent="0.3">
      <c r="A666" s="5"/>
      <c r="B666" s="5"/>
      <c r="C666" s="27"/>
      <c r="D666" s="3"/>
      <c r="E666" s="3"/>
      <c r="F666" s="3"/>
      <c r="G666" s="156" t="s">
        <v>671</v>
      </c>
      <c r="H666" s="40"/>
      <c r="I666" s="42"/>
    </row>
    <row r="667" spans="1:9" s="39" customFormat="1" ht="39.6" x14ac:dyDescent="0.3">
      <c r="A667" s="5" t="s">
        <v>0</v>
      </c>
      <c r="B667" s="5" t="s">
        <v>0</v>
      </c>
      <c r="C667" s="27" t="s">
        <v>98</v>
      </c>
      <c r="D667" s="3">
        <f>D665+F665</f>
        <v>3968</v>
      </c>
      <c r="E667" s="3">
        <f t="shared" ref="E667:E677" si="105">D667+F667-1</f>
        <v>3969</v>
      </c>
      <c r="F667" s="3">
        <v>2</v>
      </c>
      <c r="G667" s="22" t="s">
        <v>160</v>
      </c>
      <c r="H667" s="40" t="s">
        <v>84</v>
      </c>
      <c r="I667" s="42" t="s">
        <v>199</v>
      </c>
    </row>
    <row r="668" spans="1:9" s="39" customFormat="1" ht="66" x14ac:dyDescent="0.3">
      <c r="A668" s="5" t="s">
        <v>0</v>
      </c>
      <c r="B668" s="5" t="s">
        <v>0</v>
      </c>
      <c r="C668" s="27" t="s">
        <v>98</v>
      </c>
      <c r="D668" s="3">
        <f t="shared" ref="D668:D677" si="106">D667+F667</f>
        <v>3970</v>
      </c>
      <c r="E668" s="3">
        <f t="shared" si="105"/>
        <v>3972</v>
      </c>
      <c r="F668" s="3">
        <v>3</v>
      </c>
      <c r="G668" s="22" t="s">
        <v>169</v>
      </c>
      <c r="H668" s="40" t="s">
        <v>85</v>
      </c>
      <c r="I668" s="42" t="s">
        <v>200</v>
      </c>
    </row>
    <row r="669" spans="1:9" s="39" customFormat="1" ht="39.6" x14ac:dyDescent="0.3">
      <c r="A669" s="5" t="s">
        <v>0</v>
      </c>
      <c r="B669" s="5" t="s">
        <v>0</v>
      </c>
      <c r="C669" s="27" t="s">
        <v>98</v>
      </c>
      <c r="D669" s="3">
        <f t="shared" si="106"/>
        <v>3973</v>
      </c>
      <c r="E669" s="3">
        <f t="shared" si="105"/>
        <v>3974</v>
      </c>
      <c r="F669" s="3">
        <v>2</v>
      </c>
      <c r="G669" s="22" t="s">
        <v>161</v>
      </c>
      <c r="H669" s="40" t="s">
        <v>84</v>
      </c>
      <c r="I669" s="42" t="s">
        <v>201</v>
      </c>
    </row>
    <row r="670" spans="1:9" s="39" customFormat="1" ht="66" x14ac:dyDescent="0.3">
      <c r="A670" s="5" t="s">
        <v>0</v>
      </c>
      <c r="B670" s="5" t="s">
        <v>0</v>
      </c>
      <c r="C670" s="27" t="s">
        <v>98</v>
      </c>
      <c r="D670" s="3">
        <f t="shared" si="106"/>
        <v>3975</v>
      </c>
      <c r="E670" s="3">
        <f t="shared" si="105"/>
        <v>3977</v>
      </c>
      <c r="F670" s="3">
        <v>3</v>
      </c>
      <c r="G670" s="22" t="s">
        <v>170</v>
      </c>
      <c r="H670" s="40" t="s">
        <v>85</v>
      </c>
      <c r="I670" s="42" t="s">
        <v>202</v>
      </c>
    </row>
    <row r="671" spans="1:9" s="39" customFormat="1" ht="52.8" x14ac:dyDescent="0.3">
      <c r="A671" s="5" t="s">
        <v>0</v>
      </c>
      <c r="B671" s="5" t="s">
        <v>0</v>
      </c>
      <c r="C671" s="27" t="s">
        <v>98</v>
      </c>
      <c r="D671" s="3">
        <f t="shared" si="106"/>
        <v>3978</v>
      </c>
      <c r="E671" s="3">
        <f t="shared" si="105"/>
        <v>3979</v>
      </c>
      <c r="F671" s="3">
        <v>2</v>
      </c>
      <c r="G671" s="22" t="s">
        <v>162</v>
      </c>
      <c r="H671" s="40" t="s">
        <v>84</v>
      </c>
      <c r="I671" s="42" t="s">
        <v>203</v>
      </c>
    </row>
    <row r="672" spans="1:9" s="39" customFormat="1" ht="66" x14ac:dyDescent="0.3">
      <c r="A672" s="5" t="s">
        <v>0</v>
      </c>
      <c r="B672" s="5" t="s">
        <v>0</v>
      </c>
      <c r="C672" s="27" t="s">
        <v>98</v>
      </c>
      <c r="D672" s="3">
        <f t="shared" si="106"/>
        <v>3980</v>
      </c>
      <c r="E672" s="3">
        <f t="shared" si="105"/>
        <v>3982</v>
      </c>
      <c r="F672" s="3">
        <v>3</v>
      </c>
      <c r="G672" s="22" t="s">
        <v>171</v>
      </c>
      <c r="H672" s="40" t="s">
        <v>85</v>
      </c>
      <c r="I672" s="42" t="s">
        <v>204</v>
      </c>
    </row>
    <row r="673" spans="1:9" s="39" customFormat="1" ht="39.6" x14ac:dyDescent="0.3">
      <c r="A673" s="5" t="s">
        <v>0</v>
      </c>
      <c r="B673" s="5" t="s">
        <v>0</v>
      </c>
      <c r="C673" s="27" t="s">
        <v>98</v>
      </c>
      <c r="D673" s="3">
        <f t="shared" si="106"/>
        <v>3983</v>
      </c>
      <c r="E673" s="3">
        <f t="shared" si="105"/>
        <v>3984</v>
      </c>
      <c r="F673" s="3">
        <v>2</v>
      </c>
      <c r="G673" s="22" t="s">
        <v>163</v>
      </c>
      <c r="H673" s="40" t="s">
        <v>84</v>
      </c>
      <c r="I673" s="42" t="s">
        <v>205</v>
      </c>
    </row>
    <row r="674" spans="1:9" s="39" customFormat="1" ht="52.8" x14ac:dyDescent="0.3">
      <c r="A674" s="5" t="s">
        <v>0</v>
      </c>
      <c r="B674" s="5" t="s">
        <v>0</v>
      </c>
      <c r="C674" s="27" t="s">
        <v>98</v>
      </c>
      <c r="D674" s="3">
        <f t="shared" si="106"/>
        <v>3985</v>
      </c>
      <c r="E674" s="3">
        <f t="shared" si="105"/>
        <v>3987</v>
      </c>
      <c r="F674" s="3">
        <v>3</v>
      </c>
      <c r="G674" s="22" t="s">
        <v>172</v>
      </c>
      <c r="H674" s="40" t="s">
        <v>85</v>
      </c>
      <c r="I674" s="42" t="s">
        <v>206</v>
      </c>
    </row>
    <row r="675" spans="1:9" s="39" customFormat="1" ht="39.6" x14ac:dyDescent="0.3">
      <c r="A675" s="5" t="s">
        <v>0</v>
      </c>
      <c r="B675" s="5" t="s">
        <v>0</v>
      </c>
      <c r="C675" s="27" t="s">
        <v>98</v>
      </c>
      <c r="D675" s="3">
        <f t="shared" si="106"/>
        <v>3988</v>
      </c>
      <c r="E675" s="3">
        <f t="shared" si="105"/>
        <v>3989</v>
      </c>
      <c r="F675" s="3">
        <v>2</v>
      </c>
      <c r="G675" s="22" t="s">
        <v>164</v>
      </c>
      <c r="H675" s="40" t="s">
        <v>84</v>
      </c>
      <c r="I675" s="42" t="s">
        <v>207</v>
      </c>
    </row>
    <row r="676" spans="1:9" s="39" customFormat="1" ht="52.8" x14ac:dyDescent="0.3">
      <c r="A676" s="5" t="s">
        <v>0</v>
      </c>
      <c r="B676" s="5" t="s">
        <v>0</v>
      </c>
      <c r="C676" s="27" t="s">
        <v>98</v>
      </c>
      <c r="D676" s="3">
        <f t="shared" si="106"/>
        <v>3990</v>
      </c>
      <c r="E676" s="3">
        <f t="shared" si="105"/>
        <v>3992</v>
      </c>
      <c r="F676" s="3">
        <v>3</v>
      </c>
      <c r="G676" s="22" t="s">
        <v>173</v>
      </c>
      <c r="H676" s="40" t="s">
        <v>85</v>
      </c>
      <c r="I676" s="42" t="s">
        <v>208</v>
      </c>
    </row>
    <row r="677" spans="1:9" s="39" customFormat="1" ht="14.4" x14ac:dyDescent="0.3">
      <c r="A677" s="5"/>
      <c r="B677" s="5"/>
      <c r="C677" s="27"/>
      <c r="D677" s="3">
        <f t="shared" si="106"/>
        <v>3993</v>
      </c>
      <c r="E677" s="3">
        <f t="shared" si="105"/>
        <v>4002</v>
      </c>
      <c r="F677" s="5">
        <v>10</v>
      </c>
      <c r="G677" s="22" t="s">
        <v>55</v>
      </c>
      <c r="H677" s="40"/>
      <c r="I677" s="42"/>
    </row>
    <row r="678" spans="1:9" s="39" customFormat="1" ht="14.4" x14ac:dyDescent="0.3">
      <c r="A678" s="5"/>
      <c r="B678" s="5"/>
      <c r="C678" s="27"/>
      <c r="D678" s="3"/>
      <c r="E678" s="3"/>
      <c r="F678" s="3"/>
      <c r="G678" s="23" t="s">
        <v>559</v>
      </c>
      <c r="H678" s="40"/>
      <c r="I678" s="42"/>
    </row>
    <row r="679" spans="1:9" s="39" customFormat="1" ht="26.4" x14ac:dyDescent="0.3">
      <c r="A679" s="5" t="s">
        <v>0</v>
      </c>
      <c r="B679" s="5" t="s">
        <v>0</v>
      </c>
      <c r="C679" s="27" t="s">
        <v>356</v>
      </c>
      <c r="D679" s="3">
        <f>D677+F677</f>
        <v>4003</v>
      </c>
      <c r="E679" s="3">
        <f t="shared" ref="E679:E687" si="107">D679+F679-1</f>
        <v>4004</v>
      </c>
      <c r="F679" s="5">
        <v>2</v>
      </c>
      <c r="G679" s="13" t="s">
        <v>339</v>
      </c>
      <c r="H679" s="40" t="s">
        <v>92</v>
      </c>
      <c r="I679" s="42" t="s">
        <v>153</v>
      </c>
    </row>
    <row r="680" spans="1:9" s="39" customFormat="1" ht="66" x14ac:dyDescent="0.3">
      <c r="A680" s="5" t="s">
        <v>0</v>
      </c>
      <c r="B680" s="5" t="s">
        <v>0</v>
      </c>
      <c r="C680" s="27" t="s">
        <v>98</v>
      </c>
      <c r="D680" s="3">
        <f t="shared" ref="D680:D687" si="108">D679+F679</f>
        <v>4005</v>
      </c>
      <c r="E680" s="3">
        <f t="shared" si="107"/>
        <v>4005</v>
      </c>
      <c r="F680" s="3">
        <v>1</v>
      </c>
      <c r="G680" s="22" t="s">
        <v>26</v>
      </c>
      <c r="H680" s="40" t="s">
        <v>125</v>
      </c>
      <c r="I680" s="42" t="s">
        <v>372</v>
      </c>
    </row>
    <row r="681" spans="1:9" s="39" customFormat="1" ht="39.6" x14ac:dyDescent="0.3">
      <c r="A681" s="5" t="s">
        <v>0</v>
      </c>
      <c r="B681" s="5" t="s">
        <v>0</v>
      </c>
      <c r="C681" s="27" t="s">
        <v>98</v>
      </c>
      <c r="D681" s="3">
        <f t="shared" si="108"/>
        <v>4006</v>
      </c>
      <c r="E681" s="3">
        <f t="shared" si="107"/>
        <v>4006</v>
      </c>
      <c r="F681" s="3">
        <v>1</v>
      </c>
      <c r="G681" s="22" t="s">
        <v>27</v>
      </c>
      <c r="H681" s="40" t="s">
        <v>81</v>
      </c>
      <c r="I681" s="42" t="s">
        <v>235</v>
      </c>
    </row>
    <row r="682" spans="1:9" s="39" customFormat="1" ht="39.6" x14ac:dyDescent="0.3">
      <c r="A682" s="5" t="s">
        <v>0</v>
      </c>
      <c r="B682" s="5" t="s">
        <v>0</v>
      </c>
      <c r="C682" s="27" t="s">
        <v>99</v>
      </c>
      <c r="D682" s="3">
        <f t="shared" si="108"/>
        <v>4007</v>
      </c>
      <c r="E682" s="3">
        <f t="shared" si="107"/>
        <v>4007</v>
      </c>
      <c r="F682" s="3">
        <v>1</v>
      </c>
      <c r="G682" s="22" t="s">
        <v>122</v>
      </c>
      <c r="H682" s="40" t="s">
        <v>233</v>
      </c>
      <c r="I682" s="42" t="s">
        <v>234</v>
      </c>
    </row>
    <row r="683" spans="1:9" s="39" customFormat="1" ht="52.8" x14ac:dyDescent="0.3">
      <c r="A683" s="5" t="s">
        <v>0</v>
      </c>
      <c r="B683" s="5" t="s">
        <v>0</v>
      </c>
      <c r="C683" s="27" t="s">
        <v>98</v>
      </c>
      <c r="D683" s="3">
        <f t="shared" si="108"/>
        <v>4008</v>
      </c>
      <c r="E683" s="3">
        <f t="shared" si="107"/>
        <v>4008</v>
      </c>
      <c r="F683" s="3">
        <v>1</v>
      </c>
      <c r="G683" s="22" t="s">
        <v>28</v>
      </c>
      <c r="H683" s="40" t="s">
        <v>82</v>
      </c>
      <c r="I683" s="42" t="s">
        <v>236</v>
      </c>
    </row>
    <row r="684" spans="1:9" s="39" customFormat="1" ht="176.25" customHeight="1" x14ac:dyDescent="0.3">
      <c r="A684" s="5" t="s">
        <v>0</v>
      </c>
      <c r="B684" s="5" t="s">
        <v>0</v>
      </c>
      <c r="C684" s="27" t="s">
        <v>98</v>
      </c>
      <c r="D684" s="3">
        <f t="shared" si="108"/>
        <v>4009</v>
      </c>
      <c r="E684" s="3">
        <f t="shared" si="107"/>
        <v>4009</v>
      </c>
      <c r="F684" s="3">
        <v>1</v>
      </c>
      <c r="G684" s="22" t="s">
        <v>32</v>
      </c>
      <c r="H684" s="40" t="s">
        <v>79</v>
      </c>
      <c r="I684" s="42" t="s">
        <v>329</v>
      </c>
    </row>
    <row r="685" spans="1:9" s="39" customFormat="1" ht="66" x14ac:dyDescent="0.3">
      <c r="A685" s="5" t="s">
        <v>0</v>
      </c>
      <c r="B685" s="5" t="s">
        <v>0</v>
      </c>
      <c r="C685" s="27" t="s">
        <v>98</v>
      </c>
      <c r="D685" s="3">
        <f t="shared" si="108"/>
        <v>4010</v>
      </c>
      <c r="E685" s="3">
        <f t="shared" si="107"/>
        <v>4010</v>
      </c>
      <c r="F685" s="3">
        <v>1</v>
      </c>
      <c r="G685" s="22" t="s">
        <v>29</v>
      </c>
      <c r="H685" s="40" t="s">
        <v>78</v>
      </c>
      <c r="I685" s="42" t="s">
        <v>680</v>
      </c>
    </row>
    <row r="686" spans="1:9" s="39" customFormat="1" ht="39.6" x14ac:dyDescent="0.3">
      <c r="A686" s="5" t="s">
        <v>6</v>
      </c>
      <c r="B686" s="5" t="s">
        <v>6</v>
      </c>
      <c r="C686" s="27" t="s">
        <v>99</v>
      </c>
      <c r="D686" s="3">
        <f t="shared" si="108"/>
        <v>4011</v>
      </c>
      <c r="E686" s="3">
        <f t="shared" si="107"/>
        <v>4011</v>
      </c>
      <c r="F686" s="3">
        <v>1</v>
      </c>
      <c r="G686" s="22" t="s">
        <v>119</v>
      </c>
      <c r="H686" s="41" t="s">
        <v>370</v>
      </c>
      <c r="I686" s="42" t="s">
        <v>371</v>
      </c>
    </row>
    <row r="687" spans="1:9" s="39" customFormat="1" ht="14.4" x14ac:dyDescent="0.3">
      <c r="A687" s="5"/>
      <c r="B687" s="5"/>
      <c r="C687" s="28"/>
      <c r="D687" s="3">
        <f t="shared" si="108"/>
        <v>4012</v>
      </c>
      <c r="E687" s="3">
        <f t="shared" si="107"/>
        <v>4021</v>
      </c>
      <c r="F687" s="6">
        <v>10</v>
      </c>
      <c r="G687" s="9" t="s">
        <v>55</v>
      </c>
      <c r="H687" s="40"/>
      <c r="I687" s="42"/>
    </row>
    <row r="688" spans="1:9" s="39" customFormat="1" ht="14.4" x14ac:dyDescent="0.3">
      <c r="A688" s="5"/>
      <c r="B688" s="5"/>
      <c r="C688" s="28"/>
      <c r="D688" s="3"/>
      <c r="E688" s="3"/>
      <c r="F688" s="6"/>
      <c r="G688" s="23" t="s">
        <v>152</v>
      </c>
      <c r="H688" s="40"/>
      <c r="I688" s="42"/>
    </row>
    <row r="689" spans="1:9" s="39" customFormat="1" ht="92.4" x14ac:dyDescent="0.3">
      <c r="A689" s="5" t="s">
        <v>6</v>
      </c>
      <c r="B689" s="5" t="s">
        <v>6</v>
      </c>
      <c r="C689" s="28" t="s">
        <v>99</v>
      </c>
      <c r="D689" s="3">
        <f>D687+F687</f>
        <v>4022</v>
      </c>
      <c r="E689" s="3">
        <f>D689+F689-1</f>
        <v>4022</v>
      </c>
      <c r="F689" s="6">
        <v>1</v>
      </c>
      <c r="G689" s="13" t="s">
        <v>330</v>
      </c>
      <c r="H689" s="43" t="s">
        <v>118</v>
      </c>
      <c r="I689" s="42" t="s">
        <v>331</v>
      </c>
    </row>
    <row r="690" spans="1:9" s="39" customFormat="1" ht="66" x14ac:dyDescent="0.3">
      <c r="A690" s="5" t="s">
        <v>6</v>
      </c>
      <c r="B690" s="5" t="s">
        <v>6</v>
      </c>
      <c r="C690" s="28" t="s">
        <v>99</v>
      </c>
      <c r="D690" s="3">
        <f>D689+F689</f>
        <v>4023</v>
      </c>
      <c r="E690" s="3">
        <f>D690+F690-1</f>
        <v>4023</v>
      </c>
      <c r="F690" s="6">
        <v>1</v>
      </c>
      <c r="G690" s="9" t="s">
        <v>116</v>
      </c>
      <c r="H690" s="43" t="s">
        <v>118</v>
      </c>
      <c r="I690" s="42" t="s">
        <v>156</v>
      </c>
    </row>
    <row r="691" spans="1:9" s="39" customFormat="1" ht="66" x14ac:dyDescent="0.3">
      <c r="A691" s="5" t="s">
        <v>6</v>
      </c>
      <c r="B691" s="5" t="s">
        <v>6</v>
      </c>
      <c r="C691" s="28" t="s">
        <v>99</v>
      </c>
      <c r="D691" s="3">
        <f>D690+F690</f>
        <v>4024</v>
      </c>
      <c r="E691" s="3">
        <f>D691+F691-1</f>
        <v>4024</v>
      </c>
      <c r="F691" s="6">
        <v>1</v>
      </c>
      <c r="G691" s="9" t="s">
        <v>117</v>
      </c>
      <c r="H691" s="43" t="s">
        <v>118</v>
      </c>
      <c r="I691" s="42" t="s">
        <v>237</v>
      </c>
    </row>
    <row r="692" spans="1:9" s="39" customFormat="1" ht="14.4" x14ac:dyDescent="0.3">
      <c r="A692" s="5"/>
      <c r="B692" s="5"/>
      <c r="C692" s="28"/>
      <c r="D692" s="3">
        <f>D691+F691</f>
        <v>4025</v>
      </c>
      <c r="E692" s="3">
        <f>D692+F692-1</f>
        <v>4034</v>
      </c>
      <c r="F692" s="6">
        <v>10</v>
      </c>
      <c r="G692" s="9" t="s">
        <v>55</v>
      </c>
      <c r="H692" s="43"/>
      <c r="I692" s="42"/>
    </row>
    <row r="693" spans="1:9" s="39" customFormat="1" ht="14.4" x14ac:dyDescent="0.3">
      <c r="A693" s="5"/>
      <c r="B693" s="5"/>
      <c r="C693" s="27"/>
      <c r="D693" s="3"/>
      <c r="E693" s="3"/>
      <c r="F693" s="3"/>
      <c r="G693" s="23" t="s">
        <v>36</v>
      </c>
      <c r="H693" s="40"/>
      <c r="I693" s="42"/>
    </row>
    <row r="694" spans="1:9" s="39" customFormat="1" ht="26.4" x14ac:dyDescent="0.3">
      <c r="A694" s="143" t="s">
        <v>622</v>
      </c>
      <c r="B694" s="143" t="s">
        <v>622</v>
      </c>
      <c r="C694" s="3" t="s">
        <v>96</v>
      </c>
      <c r="D694" s="3">
        <f>D692+F692</f>
        <v>4035</v>
      </c>
      <c r="E694" s="3">
        <f t="shared" ref="E694:E701" si="109">D694+F694-1</f>
        <v>4038</v>
      </c>
      <c r="F694" s="3">
        <v>4</v>
      </c>
      <c r="G694" s="22" t="s">
        <v>34</v>
      </c>
      <c r="H694" s="40" t="s">
        <v>88</v>
      </c>
      <c r="I694" s="167" t="s">
        <v>87</v>
      </c>
    </row>
    <row r="695" spans="1:9" s="39" customFormat="1" ht="52.8" x14ac:dyDescent="0.3">
      <c r="A695" s="143" t="s">
        <v>622</v>
      </c>
      <c r="B695" s="143" t="s">
        <v>622</v>
      </c>
      <c r="C695" s="3" t="s">
        <v>96</v>
      </c>
      <c r="D695" s="3">
        <f t="shared" ref="D695:D699" si="110">D694+F694</f>
        <v>4039</v>
      </c>
      <c r="E695" s="3">
        <f t="shared" si="109"/>
        <v>4040</v>
      </c>
      <c r="F695" s="3">
        <v>2</v>
      </c>
      <c r="G695" s="22" t="s">
        <v>33</v>
      </c>
      <c r="H695" s="40" t="s">
        <v>86</v>
      </c>
      <c r="I695" s="167"/>
    </row>
    <row r="696" spans="1:9" s="39" customFormat="1" ht="26.4" x14ac:dyDescent="0.3">
      <c r="A696" s="143" t="s">
        <v>622</v>
      </c>
      <c r="B696" s="143" t="s">
        <v>622</v>
      </c>
      <c r="C696" s="3" t="s">
        <v>96</v>
      </c>
      <c r="D696" s="3">
        <f t="shared" si="110"/>
        <v>4041</v>
      </c>
      <c r="E696" s="3">
        <f t="shared" si="109"/>
        <v>4043</v>
      </c>
      <c r="F696" s="3">
        <v>3</v>
      </c>
      <c r="G696" s="22" t="s">
        <v>35</v>
      </c>
      <c r="H696" s="40" t="s">
        <v>89</v>
      </c>
      <c r="I696" s="42" t="s">
        <v>90</v>
      </c>
    </row>
    <row r="697" spans="1:9" s="39" customFormat="1" ht="66" x14ac:dyDescent="0.3">
      <c r="A697" s="143" t="s">
        <v>622</v>
      </c>
      <c r="B697" s="143" t="s">
        <v>622</v>
      </c>
      <c r="C697" s="3" t="s">
        <v>96</v>
      </c>
      <c r="D697" s="3">
        <f t="shared" si="110"/>
        <v>4044</v>
      </c>
      <c r="E697" s="3">
        <f t="shared" si="109"/>
        <v>4046</v>
      </c>
      <c r="F697" s="3">
        <v>3</v>
      </c>
      <c r="G697" s="22" t="s">
        <v>292</v>
      </c>
      <c r="H697" s="40" t="s">
        <v>293</v>
      </c>
      <c r="I697" s="42" t="s">
        <v>91</v>
      </c>
    </row>
    <row r="698" spans="1:9" s="39" customFormat="1" ht="14.4" x14ac:dyDescent="0.3">
      <c r="A698" s="5"/>
      <c r="B698" s="5"/>
      <c r="C698" s="27"/>
      <c r="D698" s="3">
        <f t="shared" si="110"/>
        <v>4047</v>
      </c>
      <c r="E698" s="3">
        <f t="shared" si="109"/>
        <v>4056</v>
      </c>
      <c r="F698" s="3">
        <v>10</v>
      </c>
      <c r="G698" s="22" t="s">
        <v>55</v>
      </c>
      <c r="H698" s="40"/>
      <c r="I698" s="42"/>
    </row>
    <row r="699" spans="1:9" s="39" customFormat="1" ht="191.25" customHeight="1" x14ac:dyDescent="0.3">
      <c r="A699" s="5" t="s">
        <v>6</v>
      </c>
      <c r="B699" s="5" t="s">
        <v>6</v>
      </c>
      <c r="C699" s="27" t="s">
        <v>98</v>
      </c>
      <c r="D699" s="3">
        <f t="shared" si="110"/>
        <v>4057</v>
      </c>
      <c r="E699" s="5">
        <f t="shared" si="109"/>
        <v>4256</v>
      </c>
      <c r="F699" s="5">
        <v>200</v>
      </c>
      <c r="G699" s="13" t="s">
        <v>369</v>
      </c>
      <c r="H699" s="167" t="s">
        <v>502</v>
      </c>
      <c r="I699" s="82" t="s">
        <v>501</v>
      </c>
    </row>
    <row r="700" spans="1:9" s="39" customFormat="1" ht="187.5" customHeight="1" x14ac:dyDescent="0.3">
      <c r="A700" s="5" t="s">
        <v>6</v>
      </c>
      <c r="B700" s="5" t="s">
        <v>6</v>
      </c>
      <c r="C700" s="27" t="s">
        <v>98</v>
      </c>
      <c r="D700" s="3">
        <f t="shared" ref="D700" si="111">D699+F699</f>
        <v>4257</v>
      </c>
      <c r="E700" s="3">
        <f t="shared" ref="E700" si="112">D700+F700-1</f>
        <v>4356</v>
      </c>
      <c r="F700" s="3">
        <v>100</v>
      </c>
      <c r="G700" s="13" t="s">
        <v>363</v>
      </c>
      <c r="H700" s="167"/>
      <c r="I700" s="82" t="s">
        <v>398</v>
      </c>
    </row>
    <row r="701" spans="1:9" s="39" customFormat="1" ht="14.4" x14ac:dyDescent="0.3">
      <c r="A701" s="3"/>
      <c r="B701" s="3"/>
      <c r="C701" s="27"/>
      <c r="D701" s="3">
        <f>D700+F700</f>
        <v>4357</v>
      </c>
      <c r="E701" s="3">
        <f t="shared" si="109"/>
        <v>4376</v>
      </c>
      <c r="F701" s="3">
        <v>20</v>
      </c>
      <c r="G701" s="22" t="s">
        <v>55</v>
      </c>
      <c r="H701" s="66"/>
      <c r="I701" s="67"/>
    </row>
    <row r="702" spans="1:9" x14ac:dyDescent="0.3">
      <c r="A702" s="78"/>
      <c r="B702" s="78"/>
      <c r="C702" s="88"/>
      <c r="D702" s="3" t="s">
        <v>456</v>
      </c>
      <c r="E702" s="80" t="s">
        <v>456</v>
      </c>
      <c r="F702" s="121"/>
      <c r="G702" s="85" t="s">
        <v>571</v>
      </c>
      <c r="H702" s="122"/>
      <c r="I702" s="123"/>
    </row>
    <row r="703" spans="1:9" ht="26.4" x14ac:dyDescent="0.3">
      <c r="A703" s="78" t="s">
        <v>0</v>
      </c>
      <c r="B703" s="78" t="s">
        <v>0</v>
      </c>
      <c r="C703" s="79" t="s">
        <v>97</v>
      </c>
      <c r="D703" s="3">
        <f>D701+F701</f>
        <v>4377</v>
      </c>
      <c r="E703" s="80">
        <f t="shared" ref="E703:E718" si="113">D703+F703-1</f>
        <v>4377</v>
      </c>
      <c r="F703" s="80">
        <v>1</v>
      </c>
      <c r="G703" s="93" t="s">
        <v>37</v>
      </c>
      <c r="H703" s="65" t="s">
        <v>54</v>
      </c>
      <c r="I703" s="82"/>
    </row>
    <row r="704" spans="1:9" ht="184.8" x14ac:dyDescent="0.3">
      <c r="A704" s="78" t="s">
        <v>0</v>
      </c>
      <c r="B704" s="78" t="s">
        <v>0</v>
      </c>
      <c r="C704" s="79" t="s">
        <v>97</v>
      </c>
      <c r="D704" s="80">
        <f t="shared" ref="D704:D718" si="114">D703+F703</f>
        <v>4378</v>
      </c>
      <c r="E704" s="80">
        <f t="shared" si="113"/>
        <v>4385</v>
      </c>
      <c r="F704" s="157">
        <v>8</v>
      </c>
      <c r="G704" s="93" t="s">
        <v>13</v>
      </c>
      <c r="H704" s="155" t="s">
        <v>616</v>
      </c>
      <c r="I704" s="150" t="s">
        <v>686</v>
      </c>
    </row>
    <row r="705" spans="1:9" ht="52.8" x14ac:dyDescent="0.3">
      <c r="A705" s="78" t="s">
        <v>6</v>
      </c>
      <c r="B705" s="78" t="s">
        <v>6</v>
      </c>
      <c r="C705" s="79" t="s">
        <v>97</v>
      </c>
      <c r="D705" s="80">
        <f t="shared" si="114"/>
        <v>4386</v>
      </c>
      <c r="E705" s="80">
        <f t="shared" si="113"/>
        <v>4393</v>
      </c>
      <c r="F705" s="157">
        <v>8</v>
      </c>
      <c r="G705" s="93" t="s">
        <v>14</v>
      </c>
      <c r="H705" s="83" t="s">
        <v>366</v>
      </c>
      <c r="I705" s="82" t="s">
        <v>367</v>
      </c>
    </row>
    <row r="706" spans="1:9" ht="17.25" customHeight="1" x14ac:dyDescent="0.3">
      <c r="A706" s="78" t="s">
        <v>0</v>
      </c>
      <c r="B706" s="78" t="s">
        <v>6</v>
      </c>
      <c r="C706" s="79" t="s">
        <v>97</v>
      </c>
      <c r="D706" s="80">
        <f t="shared" si="114"/>
        <v>4394</v>
      </c>
      <c r="E706" s="80">
        <f t="shared" si="113"/>
        <v>4413</v>
      </c>
      <c r="F706" s="80">
        <v>20</v>
      </c>
      <c r="G706" s="93" t="s">
        <v>15</v>
      </c>
      <c r="H706" s="192" t="s">
        <v>228</v>
      </c>
      <c r="I706" s="193" t="s">
        <v>322</v>
      </c>
    </row>
    <row r="707" spans="1:9" ht="18.75" customHeight="1" x14ac:dyDescent="0.3">
      <c r="A707" s="78" t="s">
        <v>0</v>
      </c>
      <c r="B707" s="78" t="s">
        <v>6</v>
      </c>
      <c r="C707" s="79" t="s">
        <v>97</v>
      </c>
      <c r="D707" s="80">
        <f t="shared" si="114"/>
        <v>4414</v>
      </c>
      <c r="E707" s="80">
        <f t="shared" si="113"/>
        <v>4428</v>
      </c>
      <c r="F707" s="80">
        <v>15</v>
      </c>
      <c r="G707" s="93" t="s">
        <v>16</v>
      </c>
      <c r="H707" s="192"/>
      <c r="I707" s="193"/>
    </row>
    <row r="708" spans="1:9" ht="17.25" customHeight="1" x14ac:dyDescent="0.3">
      <c r="A708" s="78" t="s">
        <v>0</v>
      </c>
      <c r="B708" s="78" t="s">
        <v>6</v>
      </c>
      <c r="C708" s="79" t="s">
        <v>97</v>
      </c>
      <c r="D708" s="80">
        <f t="shared" si="114"/>
        <v>4429</v>
      </c>
      <c r="E708" s="80">
        <f t="shared" si="113"/>
        <v>4429</v>
      </c>
      <c r="F708" s="80">
        <v>1</v>
      </c>
      <c r="G708" s="93" t="s">
        <v>245</v>
      </c>
      <c r="H708" s="192"/>
      <c r="I708" s="193"/>
    </row>
    <row r="709" spans="1:9" ht="39.6" x14ac:dyDescent="0.3">
      <c r="A709" s="78" t="s">
        <v>6</v>
      </c>
      <c r="B709" s="78" t="s">
        <v>6</v>
      </c>
      <c r="C709" s="79" t="s">
        <v>97</v>
      </c>
      <c r="D709" s="80">
        <f t="shared" si="114"/>
        <v>4430</v>
      </c>
      <c r="E709" s="80">
        <f t="shared" si="113"/>
        <v>4432</v>
      </c>
      <c r="F709" s="80">
        <v>3</v>
      </c>
      <c r="G709" s="93" t="s">
        <v>149</v>
      </c>
      <c r="H709" s="125" t="s">
        <v>150</v>
      </c>
      <c r="I709" s="180" t="s">
        <v>554</v>
      </c>
    </row>
    <row r="710" spans="1:9" x14ac:dyDescent="0.3">
      <c r="A710" s="78" t="s">
        <v>6</v>
      </c>
      <c r="B710" s="78" t="s">
        <v>6</v>
      </c>
      <c r="C710" s="79" t="s">
        <v>97</v>
      </c>
      <c r="D710" s="80">
        <f t="shared" si="114"/>
        <v>4433</v>
      </c>
      <c r="E710" s="80">
        <f t="shared" si="113"/>
        <v>4452</v>
      </c>
      <c r="F710" s="80">
        <v>20</v>
      </c>
      <c r="G710" s="93" t="s">
        <v>17</v>
      </c>
      <c r="H710" s="192" t="s">
        <v>228</v>
      </c>
      <c r="I710" s="180"/>
    </row>
    <row r="711" spans="1:9" x14ac:dyDescent="0.3">
      <c r="A711" s="78" t="s">
        <v>6</v>
      </c>
      <c r="B711" s="78" t="s">
        <v>6</v>
      </c>
      <c r="C711" s="79" t="s">
        <v>97</v>
      </c>
      <c r="D711" s="80">
        <f t="shared" si="114"/>
        <v>4453</v>
      </c>
      <c r="E711" s="80">
        <f t="shared" si="113"/>
        <v>4472</v>
      </c>
      <c r="F711" s="80">
        <v>20</v>
      </c>
      <c r="G711" s="93" t="s">
        <v>18</v>
      </c>
      <c r="H711" s="192"/>
      <c r="I711" s="180"/>
    </row>
    <row r="712" spans="1:9" x14ac:dyDescent="0.3">
      <c r="A712" s="78" t="s">
        <v>0</v>
      </c>
      <c r="B712" s="78" t="s">
        <v>0</v>
      </c>
      <c r="C712" s="79" t="s">
        <v>97</v>
      </c>
      <c r="D712" s="80">
        <f t="shared" si="114"/>
        <v>4473</v>
      </c>
      <c r="E712" s="80">
        <f t="shared" si="113"/>
        <v>4473</v>
      </c>
      <c r="F712" s="80">
        <v>1</v>
      </c>
      <c r="G712" s="93" t="s">
        <v>246</v>
      </c>
      <c r="H712" s="192"/>
      <c r="I712" s="180"/>
    </row>
    <row r="713" spans="1:9" ht="118.8" x14ac:dyDescent="0.3">
      <c r="A713" s="78" t="s">
        <v>0</v>
      </c>
      <c r="B713" s="78" t="s">
        <v>0</v>
      </c>
      <c r="C713" s="79" t="s">
        <v>209</v>
      </c>
      <c r="D713" s="80">
        <f t="shared" si="114"/>
        <v>4474</v>
      </c>
      <c r="E713" s="80">
        <f t="shared" si="113"/>
        <v>4479</v>
      </c>
      <c r="F713" s="80">
        <v>6</v>
      </c>
      <c r="G713" s="93" t="s">
        <v>148</v>
      </c>
      <c r="H713" s="101" t="s">
        <v>555</v>
      </c>
      <c r="I713" s="139" t="s">
        <v>692</v>
      </c>
    </row>
    <row r="714" spans="1:9" ht="132" x14ac:dyDescent="0.3">
      <c r="A714" s="78" t="s">
        <v>0</v>
      </c>
      <c r="B714" s="78" t="s">
        <v>0</v>
      </c>
      <c r="C714" s="79" t="s">
        <v>97</v>
      </c>
      <c r="D714" s="80">
        <f t="shared" si="114"/>
        <v>4480</v>
      </c>
      <c r="E714" s="80">
        <f t="shared" si="113"/>
        <v>4509</v>
      </c>
      <c r="F714" s="80">
        <v>30</v>
      </c>
      <c r="G714" s="93" t="s">
        <v>19</v>
      </c>
      <c r="H714" s="209" t="s">
        <v>718</v>
      </c>
      <c r="I714" s="212" t="s">
        <v>719</v>
      </c>
    </row>
    <row r="715" spans="1:9" s="39" customFormat="1" ht="52.8" x14ac:dyDescent="0.3">
      <c r="A715" s="78" t="s">
        <v>0</v>
      </c>
      <c r="B715" s="78" t="s">
        <v>0</v>
      </c>
      <c r="C715" s="79" t="s">
        <v>97</v>
      </c>
      <c r="D715" s="80">
        <f t="shared" si="114"/>
        <v>4510</v>
      </c>
      <c r="E715" s="80">
        <f t="shared" si="113"/>
        <v>4529</v>
      </c>
      <c r="F715" s="80">
        <v>20</v>
      </c>
      <c r="G715" s="93" t="s">
        <v>112</v>
      </c>
      <c r="H715" s="65" t="s">
        <v>301</v>
      </c>
      <c r="I715" s="82" t="s">
        <v>322</v>
      </c>
    </row>
    <row r="716" spans="1:9" s="39" customFormat="1" ht="39.6" x14ac:dyDescent="0.3">
      <c r="A716" s="78" t="s">
        <v>0</v>
      </c>
      <c r="B716" s="78" t="s">
        <v>0</v>
      </c>
      <c r="C716" s="79" t="s">
        <v>99</v>
      </c>
      <c r="D716" s="80">
        <f t="shared" si="114"/>
        <v>4530</v>
      </c>
      <c r="E716" s="80">
        <f t="shared" si="113"/>
        <v>4535</v>
      </c>
      <c r="F716" s="80">
        <v>6</v>
      </c>
      <c r="G716" s="93" t="s">
        <v>114</v>
      </c>
      <c r="H716" s="65" t="s">
        <v>115</v>
      </c>
      <c r="I716" s="82" t="s">
        <v>273</v>
      </c>
    </row>
    <row r="717" spans="1:9" s="39" customFormat="1" ht="26.4" x14ac:dyDescent="0.3">
      <c r="A717" s="78" t="s">
        <v>0</v>
      </c>
      <c r="B717" s="78" t="s">
        <v>0</v>
      </c>
      <c r="C717" s="79" t="s">
        <v>209</v>
      </c>
      <c r="D717" s="80">
        <f t="shared" si="114"/>
        <v>4536</v>
      </c>
      <c r="E717" s="80">
        <f t="shared" si="113"/>
        <v>4536</v>
      </c>
      <c r="F717" s="80">
        <v>1</v>
      </c>
      <c r="G717" s="93" t="s">
        <v>282</v>
      </c>
      <c r="H717" s="65" t="s">
        <v>271</v>
      </c>
      <c r="I717" s="82" t="s">
        <v>270</v>
      </c>
    </row>
    <row r="718" spans="1:9" s="39" customFormat="1" ht="14.4" x14ac:dyDescent="0.3">
      <c r="A718" s="78"/>
      <c r="B718" s="78"/>
      <c r="C718" s="79"/>
      <c r="D718" s="80">
        <f t="shared" si="114"/>
        <v>4537</v>
      </c>
      <c r="E718" s="80">
        <f t="shared" si="113"/>
        <v>4555</v>
      </c>
      <c r="F718" s="80">
        <v>19</v>
      </c>
      <c r="G718" s="93" t="s">
        <v>55</v>
      </c>
      <c r="H718" s="65"/>
      <c r="I718" s="82"/>
    </row>
    <row r="719" spans="1:9" s="39" customFormat="1" ht="14.4" x14ac:dyDescent="0.3">
      <c r="A719" s="78"/>
      <c r="B719" s="78"/>
      <c r="C719" s="88"/>
      <c r="D719" s="80"/>
      <c r="E719" s="80"/>
      <c r="F719" s="121"/>
      <c r="G719" s="85" t="s">
        <v>20</v>
      </c>
      <c r="H719" s="122"/>
      <c r="I719" s="123"/>
    </row>
    <row r="720" spans="1:9" s="39" customFormat="1" ht="39.6" x14ac:dyDescent="0.3">
      <c r="A720" s="78" t="s">
        <v>6</v>
      </c>
      <c r="B720" s="78" t="s">
        <v>6</v>
      </c>
      <c r="C720" s="79" t="s">
        <v>98</v>
      </c>
      <c r="D720" s="80">
        <f>D718+F718</f>
        <v>4556</v>
      </c>
      <c r="E720" s="80">
        <f>D720+F720-1</f>
        <v>4556</v>
      </c>
      <c r="F720" s="80">
        <v>1</v>
      </c>
      <c r="G720" s="93" t="s">
        <v>361</v>
      </c>
      <c r="H720" s="65" t="s">
        <v>102</v>
      </c>
      <c r="I720" s="171" t="s">
        <v>362</v>
      </c>
    </row>
    <row r="721" spans="1:9" s="39" customFormat="1" ht="39.6" x14ac:dyDescent="0.3">
      <c r="A721" s="78" t="s">
        <v>6</v>
      </c>
      <c r="B721" s="78" t="s">
        <v>6</v>
      </c>
      <c r="C721" s="79" t="s">
        <v>98</v>
      </c>
      <c r="D721" s="80">
        <f>D720+F720</f>
        <v>4557</v>
      </c>
      <c r="E721" s="80">
        <f>D721+F721-1</f>
        <v>4557</v>
      </c>
      <c r="F721" s="80">
        <v>1</v>
      </c>
      <c r="G721" s="93" t="s">
        <v>21</v>
      </c>
      <c r="H721" s="65" t="s">
        <v>102</v>
      </c>
      <c r="I721" s="204"/>
    </row>
    <row r="722" spans="1:9" s="39" customFormat="1" ht="39.6" x14ac:dyDescent="0.3">
      <c r="A722" s="78" t="s">
        <v>6</v>
      </c>
      <c r="B722" s="78" t="s">
        <v>6</v>
      </c>
      <c r="C722" s="79" t="s">
        <v>98</v>
      </c>
      <c r="D722" s="80">
        <f>D721+F721</f>
        <v>4558</v>
      </c>
      <c r="E722" s="80">
        <f>D722+F722-1</f>
        <v>4558</v>
      </c>
      <c r="F722" s="80">
        <v>1</v>
      </c>
      <c r="G722" s="93" t="s">
        <v>22</v>
      </c>
      <c r="H722" s="65" t="s">
        <v>102</v>
      </c>
      <c r="I722" s="204"/>
    </row>
    <row r="723" spans="1:9" s="39" customFormat="1" ht="39.6" x14ac:dyDescent="0.3">
      <c r="A723" s="78" t="s">
        <v>6</v>
      </c>
      <c r="B723" s="78" t="s">
        <v>6</v>
      </c>
      <c r="C723" s="79" t="s">
        <v>98</v>
      </c>
      <c r="D723" s="80">
        <f>D722+F722</f>
        <v>4559</v>
      </c>
      <c r="E723" s="80">
        <f>D723+F723-1</f>
        <v>4559</v>
      </c>
      <c r="F723" s="80">
        <v>1</v>
      </c>
      <c r="G723" s="93" t="s">
        <v>23</v>
      </c>
      <c r="H723" s="65" t="s">
        <v>102</v>
      </c>
      <c r="I723" s="204"/>
    </row>
    <row r="724" spans="1:9" s="39" customFormat="1" ht="14.4" x14ac:dyDescent="0.3">
      <c r="A724" s="158"/>
      <c r="B724" s="158"/>
      <c r="C724" s="159"/>
      <c r="D724" s="160">
        <f>D723+F723</f>
        <v>4560</v>
      </c>
      <c r="E724" s="160">
        <f>D724+F724-1</f>
        <v>4564</v>
      </c>
      <c r="F724" s="160">
        <v>5</v>
      </c>
      <c r="G724" s="161" t="s">
        <v>55</v>
      </c>
      <c r="H724" s="151"/>
      <c r="I724" s="82"/>
    </row>
    <row r="725" spans="1:9" s="39" customFormat="1" ht="26.4" x14ac:dyDescent="0.3">
      <c r="A725" s="78"/>
      <c r="B725" s="78"/>
      <c r="C725" s="79"/>
      <c r="D725" s="80"/>
      <c r="E725" s="80"/>
      <c r="F725" s="80"/>
      <c r="G725" s="85" t="s">
        <v>572</v>
      </c>
      <c r="H725" s="65"/>
      <c r="I725" s="82"/>
    </row>
    <row r="726" spans="1:9" s="39" customFormat="1" ht="14.4" x14ac:dyDescent="0.3">
      <c r="A726" s="78"/>
      <c r="B726" s="78"/>
      <c r="C726" s="79"/>
      <c r="D726" s="80"/>
      <c r="E726" s="80"/>
      <c r="F726" s="80"/>
      <c r="G726" s="85" t="s">
        <v>113</v>
      </c>
      <c r="H726" s="65"/>
      <c r="I726" s="82"/>
    </row>
    <row r="727" spans="1:9" s="39" customFormat="1" ht="15" customHeight="1" x14ac:dyDescent="0.3">
      <c r="A727" s="78" t="s">
        <v>6</v>
      </c>
      <c r="B727" s="78" t="s">
        <v>6</v>
      </c>
      <c r="C727" s="79" t="s">
        <v>209</v>
      </c>
      <c r="D727" s="80">
        <f>D723+F723</f>
        <v>4560</v>
      </c>
      <c r="E727" s="80">
        <f t="shared" ref="E727:E740" si="115">D727+F727-1</f>
        <v>4560</v>
      </c>
      <c r="F727" s="80">
        <v>1</v>
      </c>
      <c r="G727" s="93" t="s">
        <v>126</v>
      </c>
      <c r="H727" s="171" t="s">
        <v>229</v>
      </c>
      <c r="I727" s="171" t="s">
        <v>138</v>
      </c>
    </row>
    <row r="728" spans="1:9" s="39" customFormat="1" ht="14.4" x14ac:dyDescent="0.3">
      <c r="A728" s="78" t="s">
        <v>6</v>
      </c>
      <c r="B728" s="78" t="s">
        <v>6</v>
      </c>
      <c r="C728" s="79" t="s">
        <v>209</v>
      </c>
      <c r="D728" s="80">
        <f t="shared" ref="D728:D740" si="116">D727+F727</f>
        <v>4561</v>
      </c>
      <c r="E728" s="80">
        <f t="shared" si="115"/>
        <v>4561</v>
      </c>
      <c r="F728" s="80">
        <v>1</v>
      </c>
      <c r="G728" s="93" t="s">
        <v>127</v>
      </c>
      <c r="H728" s="171"/>
      <c r="I728" s="171"/>
    </row>
    <row r="729" spans="1:9" s="39" customFormat="1" ht="14.4" x14ac:dyDescent="0.3">
      <c r="A729" s="78" t="s">
        <v>6</v>
      </c>
      <c r="B729" s="78" t="s">
        <v>6</v>
      </c>
      <c r="C729" s="79" t="s">
        <v>209</v>
      </c>
      <c r="D729" s="80">
        <f t="shared" si="116"/>
        <v>4562</v>
      </c>
      <c r="E729" s="80">
        <f t="shared" si="115"/>
        <v>4562</v>
      </c>
      <c r="F729" s="80">
        <v>1</v>
      </c>
      <c r="G729" s="81" t="s">
        <v>368</v>
      </c>
      <c r="H729" s="171"/>
      <c r="I729" s="171"/>
    </row>
    <row r="730" spans="1:9" s="39" customFormat="1" ht="14.4" x14ac:dyDescent="0.3">
      <c r="A730" s="78" t="s">
        <v>6</v>
      </c>
      <c r="B730" s="78" t="s">
        <v>6</v>
      </c>
      <c r="C730" s="79" t="s">
        <v>209</v>
      </c>
      <c r="D730" s="80">
        <f t="shared" si="116"/>
        <v>4563</v>
      </c>
      <c r="E730" s="80">
        <f t="shared" si="115"/>
        <v>4563</v>
      </c>
      <c r="F730" s="80">
        <v>1</v>
      </c>
      <c r="G730" s="93" t="s">
        <v>128</v>
      </c>
      <c r="H730" s="171"/>
      <c r="I730" s="171"/>
    </row>
    <row r="731" spans="1:9" s="39" customFormat="1" ht="14.4" x14ac:dyDescent="0.3">
      <c r="A731" s="78" t="s">
        <v>6</v>
      </c>
      <c r="B731" s="78" t="s">
        <v>6</v>
      </c>
      <c r="C731" s="79" t="s">
        <v>209</v>
      </c>
      <c r="D731" s="80">
        <f t="shared" si="116"/>
        <v>4564</v>
      </c>
      <c r="E731" s="80">
        <f t="shared" si="115"/>
        <v>4564</v>
      </c>
      <c r="F731" s="80">
        <v>1</v>
      </c>
      <c r="G731" s="93" t="s">
        <v>129</v>
      </c>
      <c r="H731" s="171"/>
      <c r="I731" s="171"/>
    </row>
    <row r="732" spans="1:9" s="39" customFormat="1" ht="14.4" x14ac:dyDescent="0.3">
      <c r="A732" s="78" t="s">
        <v>6</v>
      </c>
      <c r="B732" s="78" t="s">
        <v>6</v>
      </c>
      <c r="C732" s="79" t="s">
        <v>209</v>
      </c>
      <c r="D732" s="80">
        <f t="shared" si="116"/>
        <v>4565</v>
      </c>
      <c r="E732" s="80">
        <f t="shared" si="115"/>
        <v>4565</v>
      </c>
      <c r="F732" s="80">
        <v>1</v>
      </c>
      <c r="G732" s="93" t="s">
        <v>130</v>
      </c>
      <c r="H732" s="171"/>
      <c r="I732" s="171"/>
    </row>
    <row r="733" spans="1:9" s="39" customFormat="1" ht="14.4" x14ac:dyDescent="0.3">
      <c r="A733" s="78" t="s">
        <v>6</v>
      </c>
      <c r="B733" s="78" t="s">
        <v>6</v>
      </c>
      <c r="C733" s="79" t="s">
        <v>209</v>
      </c>
      <c r="D733" s="80">
        <f t="shared" si="116"/>
        <v>4566</v>
      </c>
      <c r="E733" s="80">
        <f t="shared" si="115"/>
        <v>4566</v>
      </c>
      <c r="F733" s="80">
        <v>1</v>
      </c>
      <c r="G733" s="93" t="s">
        <v>247</v>
      </c>
      <c r="H733" s="171"/>
      <c r="I733" s="171"/>
    </row>
    <row r="734" spans="1:9" s="39" customFormat="1" ht="14.4" x14ac:dyDescent="0.3">
      <c r="A734" s="78" t="s">
        <v>6</v>
      </c>
      <c r="B734" s="78" t="s">
        <v>6</v>
      </c>
      <c r="C734" s="79" t="s">
        <v>97</v>
      </c>
      <c r="D734" s="80">
        <f t="shared" si="116"/>
        <v>4567</v>
      </c>
      <c r="E734" s="80">
        <f t="shared" si="115"/>
        <v>4567</v>
      </c>
      <c r="F734" s="80">
        <v>1</v>
      </c>
      <c r="G734" s="93" t="s">
        <v>274</v>
      </c>
      <c r="H734" s="171"/>
      <c r="I734" s="171"/>
    </row>
    <row r="735" spans="1:9" s="39" customFormat="1" ht="14.4" x14ac:dyDescent="0.3">
      <c r="A735" s="78" t="s">
        <v>6</v>
      </c>
      <c r="B735" s="78" t="s">
        <v>6</v>
      </c>
      <c r="C735" s="79" t="s">
        <v>209</v>
      </c>
      <c r="D735" s="80">
        <f t="shared" si="116"/>
        <v>4568</v>
      </c>
      <c r="E735" s="80">
        <f t="shared" si="115"/>
        <v>4568</v>
      </c>
      <c r="F735" s="80">
        <v>1</v>
      </c>
      <c r="G735" s="93" t="s">
        <v>131</v>
      </c>
      <c r="H735" s="171"/>
      <c r="I735" s="171"/>
    </row>
    <row r="736" spans="1:9" s="39" customFormat="1" ht="14.4" x14ac:dyDescent="0.3">
      <c r="A736" s="78" t="s">
        <v>6</v>
      </c>
      <c r="B736" s="78" t="s">
        <v>6</v>
      </c>
      <c r="C736" s="79" t="s">
        <v>209</v>
      </c>
      <c r="D736" s="80">
        <f t="shared" si="116"/>
        <v>4569</v>
      </c>
      <c r="E736" s="80">
        <f t="shared" si="115"/>
        <v>4569</v>
      </c>
      <c r="F736" s="80">
        <v>1</v>
      </c>
      <c r="G736" s="93" t="s">
        <v>132</v>
      </c>
      <c r="H736" s="171"/>
      <c r="I736" s="171"/>
    </row>
    <row r="737" spans="1:9" s="39" customFormat="1" ht="14.4" x14ac:dyDescent="0.3">
      <c r="A737" s="78" t="s">
        <v>6</v>
      </c>
      <c r="B737" s="78" t="s">
        <v>6</v>
      </c>
      <c r="C737" s="79" t="s">
        <v>209</v>
      </c>
      <c r="D737" s="80">
        <f t="shared" si="116"/>
        <v>4570</v>
      </c>
      <c r="E737" s="80">
        <f t="shared" si="115"/>
        <v>4570</v>
      </c>
      <c r="F737" s="80">
        <v>1</v>
      </c>
      <c r="G737" s="93" t="s">
        <v>133</v>
      </c>
      <c r="H737" s="171"/>
      <c r="I737" s="171"/>
    </row>
    <row r="738" spans="1:9" s="39" customFormat="1" ht="14.4" x14ac:dyDescent="0.3">
      <c r="A738" s="78" t="s">
        <v>6</v>
      </c>
      <c r="B738" s="78" t="s">
        <v>6</v>
      </c>
      <c r="C738" s="79" t="s">
        <v>209</v>
      </c>
      <c r="D738" s="80">
        <f t="shared" si="116"/>
        <v>4571</v>
      </c>
      <c r="E738" s="80">
        <f t="shared" si="115"/>
        <v>4571</v>
      </c>
      <c r="F738" s="80">
        <v>1</v>
      </c>
      <c r="G738" s="93" t="s">
        <v>134</v>
      </c>
      <c r="H738" s="171"/>
      <c r="I738" s="171"/>
    </row>
    <row r="739" spans="1:9" s="39" customFormat="1" ht="14.4" x14ac:dyDescent="0.3">
      <c r="A739" s="78" t="s">
        <v>6</v>
      </c>
      <c r="B739" s="78" t="s">
        <v>6</v>
      </c>
      <c r="C739" s="79" t="s">
        <v>209</v>
      </c>
      <c r="D739" s="80">
        <f t="shared" si="116"/>
        <v>4572</v>
      </c>
      <c r="E739" s="80">
        <f t="shared" si="115"/>
        <v>4572</v>
      </c>
      <c r="F739" s="80">
        <v>1</v>
      </c>
      <c r="G739" s="93" t="s">
        <v>135</v>
      </c>
      <c r="H739" s="171"/>
      <c r="I739" s="171"/>
    </row>
    <row r="740" spans="1:9" s="39" customFormat="1" ht="14.4" x14ac:dyDescent="0.3">
      <c r="A740" s="78" t="s">
        <v>6</v>
      </c>
      <c r="B740" s="78" t="s">
        <v>6</v>
      </c>
      <c r="C740" s="79" t="s">
        <v>209</v>
      </c>
      <c r="D740" s="80">
        <f t="shared" si="116"/>
        <v>4573</v>
      </c>
      <c r="E740" s="80">
        <f t="shared" si="115"/>
        <v>4573</v>
      </c>
      <c r="F740" s="80">
        <v>1</v>
      </c>
      <c r="G740" s="93" t="s">
        <v>136</v>
      </c>
      <c r="H740" s="171"/>
      <c r="I740" s="171"/>
    </row>
    <row r="741" spans="1:9" s="39" customFormat="1" ht="14.4" x14ac:dyDescent="0.3">
      <c r="A741" s="78"/>
      <c r="B741" s="78"/>
      <c r="C741" s="79"/>
      <c r="D741" s="80"/>
      <c r="E741" s="80"/>
      <c r="F741" s="80"/>
      <c r="G741" s="85" t="s">
        <v>324</v>
      </c>
      <c r="H741" s="65"/>
      <c r="I741" s="82"/>
    </row>
    <row r="742" spans="1:9" s="39" customFormat="1" ht="15" customHeight="1" x14ac:dyDescent="0.3">
      <c r="A742" s="78" t="s">
        <v>0</v>
      </c>
      <c r="B742" s="78" t="s">
        <v>0</v>
      </c>
      <c r="C742" s="79" t="s">
        <v>97</v>
      </c>
      <c r="D742" s="80">
        <f>D740+F740</f>
        <v>4574</v>
      </c>
      <c r="E742" s="80">
        <f t="shared" ref="E742:E756" si="117">D742+F742-1</f>
        <v>4574</v>
      </c>
      <c r="F742" s="80">
        <v>1</v>
      </c>
      <c r="G742" s="93" t="s">
        <v>126</v>
      </c>
      <c r="H742" s="171" t="s">
        <v>118</v>
      </c>
      <c r="I742" s="171" t="s">
        <v>360</v>
      </c>
    </row>
    <row r="743" spans="1:9" s="39" customFormat="1" ht="14.4" x14ac:dyDescent="0.3">
      <c r="A743" s="78" t="s">
        <v>0</v>
      </c>
      <c r="B743" s="78" t="s">
        <v>0</v>
      </c>
      <c r="C743" s="79" t="s">
        <v>97</v>
      </c>
      <c r="D743" s="80">
        <f t="shared" ref="D743:D756" si="118">D742+F742</f>
        <v>4575</v>
      </c>
      <c r="E743" s="80">
        <f t="shared" si="117"/>
        <v>4575</v>
      </c>
      <c r="F743" s="80">
        <v>1</v>
      </c>
      <c r="G743" s="93" t="s">
        <v>127</v>
      </c>
      <c r="H743" s="171"/>
      <c r="I743" s="171"/>
    </row>
    <row r="744" spans="1:9" s="39" customFormat="1" ht="14.4" x14ac:dyDescent="0.3">
      <c r="A744" s="78" t="s">
        <v>0</v>
      </c>
      <c r="B744" s="78" t="s">
        <v>0</v>
      </c>
      <c r="C744" s="79" t="s">
        <v>97</v>
      </c>
      <c r="D744" s="80">
        <f t="shared" si="118"/>
        <v>4576</v>
      </c>
      <c r="E744" s="80">
        <f t="shared" si="117"/>
        <v>4576</v>
      </c>
      <c r="F744" s="80">
        <v>1</v>
      </c>
      <c r="G744" s="81" t="s">
        <v>55</v>
      </c>
      <c r="H744" s="171"/>
      <c r="I744" s="171"/>
    </row>
    <row r="745" spans="1:9" s="39" customFormat="1" ht="14.4" x14ac:dyDescent="0.3">
      <c r="A745" s="78" t="s">
        <v>0</v>
      </c>
      <c r="B745" s="78" t="s">
        <v>0</v>
      </c>
      <c r="C745" s="79" t="s">
        <v>97</v>
      </c>
      <c r="D745" s="80">
        <f t="shared" si="118"/>
        <v>4577</v>
      </c>
      <c r="E745" s="80">
        <f t="shared" si="117"/>
        <v>4577</v>
      </c>
      <c r="F745" s="80">
        <v>1</v>
      </c>
      <c r="G745" s="93" t="s">
        <v>128</v>
      </c>
      <c r="H745" s="171"/>
      <c r="I745" s="171"/>
    </row>
    <row r="746" spans="1:9" s="39" customFormat="1" ht="14.4" x14ac:dyDescent="0.3">
      <c r="A746" s="78" t="s">
        <v>0</v>
      </c>
      <c r="B746" s="78" t="s">
        <v>0</v>
      </c>
      <c r="C746" s="79" t="s">
        <v>97</v>
      </c>
      <c r="D746" s="80">
        <f t="shared" si="118"/>
        <v>4578</v>
      </c>
      <c r="E746" s="80">
        <f t="shared" si="117"/>
        <v>4578</v>
      </c>
      <c r="F746" s="80">
        <v>1</v>
      </c>
      <c r="G746" s="93" t="s">
        <v>129</v>
      </c>
      <c r="H746" s="171"/>
      <c r="I746" s="171"/>
    </row>
    <row r="747" spans="1:9" s="39" customFormat="1" ht="14.4" x14ac:dyDescent="0.3">
      <c r="A747" s="78" t="s">
        <v>0</v>
      </c>
      <c r="B747" s="78" t="s">
        <v>0</v>
      </c>
      <c r="C747" s="79" t="s">
        <v>97</v>
      </c>
      <c r="D747" s="80">
        <f t="shared" si="118"/>
        <v>4579</v>
      </c>
      <c r="E747" s="80">
        <f t="shared" si="117"/>
        <v>4579</v>
      </c>
      <c r="F747" s="80">
        <v>1</v>
      </c>
      <c r="G747" s="93" t="s">
        <v>130</v>
      </c>
      <c r="H747" s="171"/>
      <c r="I747" s="171"/>
    </row>
    <row r="748" spans="1:9" s="39" customFormat="1" ht="14.4" x14ac:dyDescent="0.3">
      <c r="A748" s="78" t="s">
        <v>0</v>
      </c>
      <c r="B748" s="78" t="s">
        <v>0</v>
      </c>
      <c r="C748" s="79" t="s">
        <v>97</v>
      </c>
      <c r="D748" s="80">
        <f t="shared" si="118"/>
        <v>4580</v>
      </c>
      <c r="E748" s="80">
        <f t="shared" si="117"/>
        <v>4580</v>
      </c>
      <c r="F748" s="80">
        <v>1</v>
      </c>
      <c r="G748" s="93" t="s">
        <v>247</v>
      </c>
      <c r="H748" s="171"/>
      <c r="I748" s="171"/>
    </row>
    <row r="749" spans="1:9" s="39" customFormat="1" ht="14.4" x14ac:dyDescent="0.3">
      <c r="A749" s="78" t="s">
        <v>0</v>
      </c>
      <c r="B749" s="78" t="s">
        <v>0</v>
      </c>
      <c r="C749" s="79" t="s">
        <v>97</v>
      </c>
      <c r="D749" s="80">
        <f t="shared" si="118"/>
        <v>4581</v>
      </c>
      <c r="E749" s="80">
        <f t="shared" si="117"/>
        <v>4581</v>
      </c>
      <c r="F749" s="80">
        <v>1</v>
      </c>
      <c r="G749" s="93" t="s">
        <v>274</v>
      </c>
      <c r="H749" s="171"/>
      <c r="I749" s="171"/>
    </row>
    <row r="750" spans="1:9" s="39" customFormat="1" ht="14.4" x14ac:dyDescent="0.3">
      <c r="A750" s="78" t="s">
        <v>0</v>
      </c>
      <c r="B750" s="78" t="s">
        <v>0</v>
      </c>
      <c r="C750" s="79" t="s">
        <v>97</v>
      </c>
      <c r="D750" s="80">
        <f t="shared" si="118"/>
        <v>4582</v>
      </c>
      <c r="E750" s="80">
        <f t="shared" si="117"/>
        <v>4582</v>
      </c>
      <c r="F750" s="80">
        <v>1</v>
      </c>
      <c r="G750" s="93" t="s">
        <v>131</v>
      </c>
      <c r="H750" s="171"/>
      <c r="I750" s="171"/>
    </row>
    <row r="751" spans="1:9" s="39" customFormat="1" ht="14.4" x14ac:dyDescent="0.3">
      <c r="A751" s="78" t="s">
        <v>0</v>
      </c>
      <c r="B751" s="78" t="s">
        <v>0</v>
      </c>
      <c r="C751" s="79" t="s">
        <v>97</v>
      </c>
      <c r="D751" s="80">
        <f t="shared" si="118"/>
        <v>4583</v>
      </c>
      <c r="E751" s="80">
        <f t="shared" si="117"/>
        <v>4583</v>
      </c>
      <c r="F751" s="80">
        <v>1</v>
      </c>
      <c r="G751" s="93" t="s">
        <v>132</v>
      </c>
      <c r="H751" s="171"/>
      <c r="I751" s="171"/>
    </row>
    <row r="752" spans="1:9" s="39" customFormat="1" ht="14.4" x14ac:dyDescent="0.3">
      <c r="A752" s="78" t="s">
        <v>0</v>
      </c>
      <c r="B752" s="78" t="s">
        <v>0</v>
      </c>
      <c r="C752" s="79" t="s">
        <v>97</v>
      </c>
      <c r="D752" s="80">
        <f t="shared" si="118"/>
        <v>4584</v>
      </c>
      <c r="E752" s="80">
        <f t="shared" si="117"/>
        <v>4584</v>
      </c>
      <c r="F752" s="80">
        <v>1</v>
      </c>
      <c r="G752" s="93" t="s">
        <v>133</v>
      </c>
      <c r="H752" s="171"/>
      <c r="I752" s="171"/>
    </row>
    <row r="753" spans="1:9" s="39" customFormat="1" ht="14.4" x14ac:dyDescent="0.3">
      <c r="A753" s="78" t="s">
        <v>0</v>
      </c>
      <c r="B753" s="78" t="s">
        <v>0</v>
      </c>
      <c r="C753" s="79" t="s">
        <v>97</v>
      </c>
      <c r="D753" s="80">
        <f t="shared" si="118"/>
        <v>4585</v>
      </c>
      <c r="E753" s="80">
        <f t="shared" si="117"/>
        <v>4585</v>
      </c>
      <c r="F753" s="80">
        <v>1</v>
      </c>
      <c r="G753" s="93" t="s">
        <v>134</v>
      </c>
      <c r="H753" s="171"/>
      <c r="I753" s="171"/>
    </row>
    <row r="754" spans="1:9" s="39" customFormat="1" ht="14.4" x14ac:dyDescent="0.3">
      <c r="A754" s="78" t="s">
        <v>0</v>
      </c>
      <c r="B754" s="78" t="s">
        <v>0</v>
      </c>
      <c r="C754" s="79" t="s">
        <v>97</v>
      </c>
      <c r="D754" s="80">
        <f t="shared" si="118"/>
        <v>4586</v>
      </c>
      <c r="E754" s="80">
        <f t="shared" si="117"/>
        <v>4586</v>
      </c>
      <c r="F754" s="80">
        <v>1</v>
      </c>
      <c r="G754" s="93" t="s">
        <v>135</v>
      </c>
      <c r="H754" s="171"/>
      <c r="I754" s="171"/>
    </row>
    <row r="755" spans="1:9" s="39" customFormat="1" ht="14.4" x14ac:dyDescent="0.3">
      <c r="A755" s="78" t="s">
        <v>0</v>
      </c>
      <c r="B755" s="78" t="s">
        <v>0</v>
      </c>
      <c r="C755" s="79" t="s">
        <v>97</v>
      </c>
      <c r="D755" s="80">
        <f t="shared" si="118"/>
        <v>4587</v>
      </c>
      <c r="E755" s="80">
        <f t="shared" si="117"/>
        <v>4587</v>
      </c>
      <c r="F755" s="80">
        <v>1</v>
      </c>
      <c r="G755" s="93" t="s">
        <v>136</v>
      </c>
      <c r="H755" s="171"/>
      <c r="I755" s="171"/>
    </row>
    <row r="756" spans="1:9" s="39" customFormat="1" ht="14.4" x14ac:dyDescent="0.3">
      <c r="A756" s="78"/>
      <c r="B756" s="78"/>
      <c r="C756" s="79"/>
      <c r="D756" s="80">
        <f t="shared" si="118"/>
        <v>4588</v>
      </c>
      <c r="E756" s="80">
        <f t="shared" si="117"/>
        <v>4607</v>
      </c>
      <c r="F756" s="80">
        <v>20</v>
      </c>
      <c r="G756" s="93" t="s">
        <v>55</v>
      </c>
      <c r="H756" s="65"/>
      <c r="I756" s="82"/>
    </row>
    <row r="757" spans="1:9" s="39" customFormat="1" ht="26.4" x14ac:dyDescent="0.3">
      <c r="A757" s="78"/>
      <c r="B757" s="78"/>
      <c r="C757" s="80"/>
      <c r="D757" s="80"/>
      <c r="E757" s="80"/>
      <c r="F757" s="80"/>
      <c r="G757" s="85" t="s">
        <v>573</v>
      </c>
      <c r="H757" s="65"/>
      <c r="I757" s="82"/>
    </row>
    <row r="758" spans="1:9" s="39" customFormat="1" ht="66" x14ac:dyDescent="0.3">
      <c r="A758" s="78" t="s">
        <v>0</v>
      </c>
      <c r="B758" s="78" t="s">
        <v>0</v>
      </c>
      <c r="C758" s="79" t="s">
        <v>98</v>
      </c>
      <c r="D758" s="80">
        <f>D756+F756</f>
        <v>4608</v>
      </c>
      <c r="E758" s="80">
        <f t="shared" ref="E758:E765" si="119">D758+F758-1</f>
        <v>4610</v>
      </c>
      <c r="F758" s="80">
        <v>3</v>
      </c>
      <c r="G758" s="93" t="s">
        <v>24</v>
      </c>
      <c r="H758" s="82" t="s">
        <v>80</v>
      </c>
      <c r="I758" s="92" t="s">
        <v>557</v>
      </c>
    </row>
    <row r="759" spans="1:9" s="39" customFormat="1" ht="66" x14ac:dyDescent="0.3">
      <c r="A759" s="78" t="s">
        <v>0</v>
      </c>
      <c r="B759" s="78" t="s">
        <v>0</v>
      </c>
      <c r="C759" s="79" t="s">
        <v>98</v>
      </c>
      <c r="D759" s="80">
        <f t="shared" ref="D759:D765" si="120">D758+F758</f>
        <v>4611</v>
      </c>
      <c r="E759" s="80">
        <f t="shared" si="119"/>
        <v>4613</v>
      </c>
      <c r="F759" s="80">
        <v>3</v>
      </c>
      <c r="G759" s="93" t="s">
        <v>25</v>
      </c>
      <c r="H759" s="82" t="s">
        <v>80</v>
      </c>
      <c r="I759" s="92" t="s">
        <v>504</v>
      </c>
    </row>
    <row r="760" spans="1:9" s="39" customFormat="1" ht="92.4" x14ac:dyDescent="0.3">
      <c r="A760" s="78" t="s">
        <v>0</v>
      </c>
      <c r="B760" s="78" t="s">
        <v>0</v>
      </c>
      <c r="C760" s="79" t="s">
        <v>98</v>
      </c>
      <c r="D760" s="80">
        <f t="shared" si="120"/>
        <v>4614</v>
      </c>
      <c r="E760" s="80">
        <f t="shared" si="119"/>
        <v>4616</v>
      </c>
      <c r="F760" s="80">
        <v>3</v>
      </c>
      <c r="G760" s="93" t="s">
        <v>142</v>
      </c>
      <c r="H760" s="82" t="s">
        <v>80</v>
      </c>
      <c r="I760" s="126" t="s">
        <v>260</v>
      </c>
    </row>
    <row r="761" spans="1:9" s="39" customFormat="1" ht="79.2" x14ac:dyDescent="0.3">
      <c r="A761" s="78" t="s">
        <v>0</v>
      </c>
      <c r="B761" s="78" t="s">
        <v>0</v>
      </c>
      <c r="C761" s="79" t="s">
        <v>98</v>
      </c>
      <c r="D761" s="80">
        <f t="shared" si="120"/>
        <v>4617</v>
      </c>
      <c r="E761" s="80">
        <f t="shared" si="119"/>
        <v>4619</v>
      </c>
      <c r="F761" s="80">
        <v>3</v>
      </c>
      <c r="G761" s="93" t="s">
        <v>143</v>
      </c>
      <c r="H761" s="92" t="s">
        <v>85</v>
      </c>
      <c r="I761" s="92" t="s">
        <v>505</v>
      </c>
    </row>
    <row r="762" spans="1:9" s="39" customFormat="1" ht="79.2" x14ac:dyDescent="0.3">
      <c r="A762" s="78" t="s">
        <v>0</v>
      </c>
      <c r="B762" s="78" t="s">
        <v>0</v>
      </c>
      <c r="C762" s="79" t="s">
        <v>98</v>
      </c>
      <c r="D762" s="80">
        <f t="shared" si="120"/>
        <v>4620</v>
      </c>
      <c r="E762" s="80">
        <f t="shared" si="119"/>
        <v>4622</v>
      </c>
      <c r="F762" s="80">
        <v>3</v>
      </c>
      <c r="G762" s="93" t="s">
        <v>30</v>
      </c>
      <c r="H762" s="101" t="s">
        <v>511</v>
      </c>
      <c r="I762" s="130" t="s">
        <v>607</v>
      </c>
    </row>
    <row r="763" spans="1:9" s="39" customFormat="1" ht="92.4" x14ac:dyDescent="0.3">
      <c r="A763" s="78" t="s">
        <v>0</v>
      </c>
      <c r="B763" s="78" t="s">
        <v>0</v>
      </c>
      <c r="C763" s="79" t="s">
        <v>98</v>
      </c>
      <c r="D763" s="80">
        <f t="shared" si="120"/>
        <v>4623</v>
      </c>
      <c r="E763" s="80">
        <f t="shared" si="119"/>
        <v>4625</v>
      </c>
      <c r="F763" s="78">
        <v>3</v>
      </c>
      <c r="G763" s="93" t="s">
        <v>120</v>
      </c>
      <c r="H763" s="101" t="s">
        <v>441</v>
      </c>
      <c r="I763" s="131" t="s">
        <v>597</v>
      </c>
    </row>
    <row r="764" spans="1:9" s="39" customFormat="1" ht="92.4" x14ac:dyDescent="0.3">
      <c r="A764" s="78" t="s">
        <v>0</v>
      </c>
      <c r="B764" s="78" t="s">
        <v>0</v>
      </c>
      <c r="C764" s="79" t="s">
        <v>356</v>
      </c>
      <c r="D764" s="80">
        <f t="shared" si="120"/>
        <v>4626</v>
      </c>
      <c r="E764" s="80">
        <f t="shared" si="119"/>
        <v>4628</v>
      </c>
      <c r="F764" s="80">
        <v>3</v>
      </c>
      <c r="G764" s="93" t="s">
        <v>124</v>
      </c>
      <c r="H764" s="101" t="s">
        <v>441</v>
      </c>
      <c r="I764" s="131" t="s">
        <v>598</v>
      </c>
    </row>
    <row r="765" spans="1:9" s="39" customFormat="1" ht="14.4" x14ac:dyDescent="0.3">
      <c r="A765" s="78"/>
      <c r="B765" s="78"/>
      <c r="C765" s="79"/>
      <c r="D765" s="80">
        <f t="shared" si="120"/>
        <v>4629</v>
      </c>
      <c r="E765" s="80">
        <f t="shared" si="119"/>
        <v>4642</v>
      </c>
      <c r="F765" s="88">
        <v>14</v>
      </c>
      <c r="G765" s="93" t="s">
        <v>55</v>
      </c>
      <c r="H765" s="101"/>
      <c r="I765" s="131"/>
    </row>
    <row r="766" spans="1:9" s="39" customFormat="1" ht="14.4" x14ac:dyDescent="0.3">
      <c r="A766" s="78"/>
      <c r="B766" s="78"/>
      <c r="C766" s="79"/>
      <c r="D766" s="80"/>
      <c r="E766" s="80"/>
      <c r="F766" s="80"/>
      <c r="G766" s="85" t="s">
        <v>248</v>
      </c>
      <c r="H766" s="101"/>
      <c r="I766" s="131"/>
    </row>
    <row r="767" spans="1:9" s="39" customFormat="1" ht="14.4" x14ac:dyDescent="0.3">
      <c r="A767" s="78" t="s">
        <v>6</v>
      </c>
      <c r="B767" s="78" t="s">
        <v>6</v>
      </c>
      <c r="C767" s="79" t="s">
        <v>98</v>
      </c>
      <c r="D767" s="80">
        <f>D765+F765</f>
        <v>4643</v>
      </c>
      <c r="E767" s="80">
        <f>D767+F767-1</f>
        <v>4645</v>
      </c>
      <c r="F767" s="80">
        <v>3</v>
      </c>
      <c r="G767" s="93" t="s">
        <v>230</v>
      </c>
      <c r="H767" s="180" t="s">
        <v>574</v>
      </c>
      <c r="I767" s="190" t="s">
        <v>462</v>
      </c>
    </row>
    <row r="768" spans="1:9" s="39" customFormat="1" ht="24" customHeight="1" x14ac:dyDescent="0.3">
      <c r="A768" s="78" t="s">
        <v>6</v>
      </c>
      <c r="B768" s="78" t="s">
        <v>6</v>
      </c>
      <c r="C768" s="79" t="s">
        <v>98</v>
      </c>
      <c r="D768" s="80">
        <f>D767+F767</f>
        <v>4646</v>
      </c>
      <c r="E768" s="80">
        <f>D768+F768-1</f>
        <v>4648</v>
      </c>
      <c r="F768" s="80">
        <v>3</v>
      </c>
      <c r="G768" s="93" t="s">
        <v>231</v>
      </c>
      <c r="H768" s="184"/>
      <c r="I768" s="191"/>
    </row>
    <row r="769" spans="1:9" s="39" customFormat="1" ht="26.4" x14ac:dyDescent="0.3">
      <c r="A769" s="78"/>
      <c r="B769" s="78"/>
      <c r="C769" s="79"/>
      <c r="D769" s="80"/>
      <c r="E769" s="80"/>
      <c r="F769" s="80"/>
      <c r="G769" s="147" t="s">
        <v>670</v>
      </c>
      <c r="H769" s="101"/>
      <c r="I769" s="92"/>
    </row>
    <row r="770" spans="1:9" s="39" customFormat="1" ht="39.6" x14ac:dyDescent="0.3">
      <c r="A770" s="78" t="s">
        <v>0</v>
      </c>
      <c r="B770" s="78" t="s">
        <v>0</v>
      </c>
      <c r="C770" s="79" t="s">
        <v>98</v>
      </c>
      <c r="D770" s="80">
        <f>D768+F768</f>
        <v>4649</v>
      </c>
      <c r="E770" s="80">
        <f t="shared" ref="E770:E785" si="121">D770+F770-1</f>
        <v>4650</v>
      </c>
      <c r="F770" s="80">
        <v>2</v>
      </c>
      <c r="G770" s="93" t="s">
        <v>160</v>
      </c>
      <c r="H770" s="101" t="s">
        <v>84</v>
      </c>
      <c r="I770" s="92" t="s">
        <v>199</v>
      </c>
    </row>
    <row r="771" spans="1:9" s="39" customFormat="1" ht="79.2" x14ac:dyDescent="0.3">
      <c r="A771" s="78" t="s">
        <v>0</v>
      </c>
      <c r="B771" s="78" t="s">
        <v>0</v>
      </c>
      <c r="C771" s="79" t="s">
        <v>98</v>
      </c>
      <c r="D771" s="80">
        <f t="shared" ref="D771:D785" si="122">D770+F770</f>
        <v>4651</v>
      </c>
      <c r="E771" s="80">
        <f t="shared" si="121"/>
        <v>4653</v>
      </c>
      <c r="F771" s="80">
        <v>3</v>
      </c>
      <c r="G771" s="93" t="s">
        <v>169</v>
      </c>
      <c r="H771" s="101" t="s">
        <v>85</v>
      </c>
      <c r="I771" s="92" t="s">
        <v>575</v>
      </c>
    </row>
    <row r="772" spans="1:9" s="39" customFormat="1" ht="105.6" x14ac:dyDescent="0.3">
      <c r="A772" s="78" t="s">
        <v>0</v>
      </c>
      <c r="B772" s="78" t="s">
        <v>0</v>
      </c>
      <c r="C772" s="79" t="s">
        <v>98</v>
      </c>
      <c r="D772" s="80">
        <f t="shared" si="122"/>
        <v>4654</v>
      </c>
      <c r="E772" s="80">
        <f t="shared" si="121"/>
        <v>4654</v>
      </c>
      <c r="F772" s="80">
        <v>1</v>
      </c>
      <c r="G772" s="93" t="s">
        <v>450</v>
      </c>
      <c r="H772" s="90" t="s">
        <v>403</v>
      </c>
      <c r="I772" s="92" t="s">
        <v>576</v>
      </c>
    </row>
    <row r="773" spans="1:9" s="39" customFormat="1" ht="39.6" x14ac:dyDescent="0.3">
      <c r="A773" s="78" t="s">
        <v>0</v>
      </c>
      <c r="B773" s="78" t="s">
        <v>0</v>
      </c>
      <c r="C773" s="79" t="s">
        <v>98</v>
      </c>
      <c r="D773" s="80">
        <f t="shared" si="122"/>
        <v>4655</v>
      </c>
      <c r="E773" s="80">
        <f t="shared" si="121"/>
        <v>4656</v>
      </c>
      <c r="F773" s="80">
        <v>2</v>
      </c>
      <c r="G773" s="93" t="s">
        <v>161</v>
      </c>
      <c r="H773" s="101" t="s">
        <v>84</v>
      </c>
      <c r="I773" s="92" t="s">
        <v>201</v>
      </c>
    </row>
    <row r="774" spans="1:9" s="39" customFormat="1" ht="79.2" x14ac:dyDescent="0.3">
      <c r="A774" s="78" t="s">
        <v>0</v>
      </c>
      <c r="B774" s="78" t="s">
        <v>0</v>
      </c>
      <c r="C774" s="79" t="s">
        <v>98</v>
      </c>
      <c r="D774" s="80">
        <f t="shared" si="122"/>
        <v>4657</v>
      </c>
      <c r="E774" s="80">
        <f t="shared" si="121"/>
        <v>4659</v>
      </c>
      <c r="F774" s="80">
        <v>3</v>
      </c>
      <c r="G774" s="93" t="s">
        <v>170</v>
      </c>
      <c r="H774" s="101" t="s">
        <v>85</v>
      </c>
      <c r="I774" s="92" t="s">
        <v>577</v>
      </c>
    </row>
    <row r="775" spans="1:9" s="39" customFormat="1" ht="92.4" x14ac:dyDescent="0.3">
      <c r="A775" s="78" t="s">
        <v>0</v>
      </c>
      <c r="B775" s="78" t="s">
        <v>0</v>
      </c>
      <c r="C775" s="79" t="s">
        <v>98</v>
      </c>
      <c r="D775" s="80">
        <f t="shared" si="122"/>
        <v>4660</v>
      </c>
      <c r="E775" s="80">
        <f t="shared" si="121"/>
        <v>4660</v>
      </c>
      <c r="F775" s="80">
        <v>1</v>
      </c>
      <c r="G775" s="93" t="s">
        <v>451</v>
      </c>
      <c r="H775" s="90" t="s">
        <v>403</v>
      </c>
      <c r="I775" s="92" t="s">
        <v>578</v>
      </c>
    </row>
    <row r="776" spans="1:9" s="39" customFormat="1" ht="52.8" x14ac:dyDescent="0.3">
      <c r="A776" s="78" t="s">
        <v>0</v>
      </c>
      <c r="B776" s="78" t="s">
        <v>0</v>
      </c>
      <c r="C776" s="79" t="s">
        <v>98</v>
      </c>
      <c r="D776" s="80">
        <f t="shared" si="122"/>
        <v>4661</v>
      </c>
      <c r="E776" s="80">
        <f t="shared" si="121"/>
        <v>4662</v>
      </c>
      <c r="F776" s="80">
        <v>2</v>
      </c>
      <c r="G776" s="93" t="s">
        <v>162</v>
      </c>
      <c r="H776" s="101" t="s">
        <v>84</v>
      </c>
      <c r="I776" s="92" t="s">
        <v>203</v>
      </c>
    </row>
    <row r="777" spans="1:9" s="39" customFormat="1" ht="79.2" x14ac:dyDescent="0.3">
      <c r="A777" s="78" t="s">
        <v>0</v>
      </c>
      <c r="B777" s="78" t="s">
        <v>0</v>
      </c>
      <c r="C777" s="79" t="s">
        <v>98</v>
      </c>
      <c r="D777" s="80">
        <f t="shared" si="122"/>
        <v>4663</v>
      </c>
      <c r="E777" s="80">
        <f t="shared" si="121"/>
        <v>4665</v>
      </c>
      <c r="F777" s="80">
        <v>3</v>
      </c>
      <c r="G777" s="93" t="s">
        <v>171</v>
      </c>
      <c r="H777" s="101" t="s">
        <v>85</v>
      </c>
      <c r="I777" s="92" t="s">
        <v>579</v>
      </c>
    </row>
    <row r="778" spans="1:9" s="39" customFormat="1" ht="105.6" x14ac:dyDescent="0.3">
      <c r="A778" s="78" t="s">
        <v>0</v>
      </c>
      <c r="B778" s="78" t="s">
        <v>0</v>
      </c>
      <c r="C778" s="79" t="s">
        <v>98</v>
      </c>
      <c r="D778" s="80">
        <f t="shared" si="122"/>
        <v>4666</v>
      </c>
      <c r="E778" s="80">
        <f t="shared" si="121"/>
        <v>4666</v>
      </c>
      <c r="F778" s="80">
        <v>1</v>
      </c>
      <c r="G778" s="93" t="s">
        <v>452</v>
      </c>
      <c r="H778" s="90" t="s">
        <v>403</v>
      </c>
      <c r="I778" s="92" t="s">
        <v>580</v>
      </c>
    </row>
    <row r="779" spans="1:9" s="39" customFormat="1" ht="39.6" x14ac:dyDescent="0.3">
      <c r="A779" s="78" t="s">
        <v>0</v>
      </c>
      <c r="B779" s="78" t="s">
        <v>0</v>
      </c>
      <c r="C779" s="79" t="s">
        <v>98</v>
      </c>
      <c r="D779" s="80">
        <f t="shared" si="122"/>
        <v>4667</v>
      </c>
      <c r="E779" s="80">
        <f t="shared" si="121"/>
        <v>4668</v>
      </c>
      <c r="F779" s="80">
        <v>2</v>
      </c>
      <c r="G779" s="93" t="s">
        <v>163</v>
      </c>
      <c r="H779" s="101" t="s">
        <v>84</v>
      </c>
      <c r="I779" s="92" t="s">
        <v>205</v>
      </c>
    </row>
    <row r="780" spans="1:9" s="39" customFormat="1" ht="52.8" x14ac:dyDescent="0.3">
      <c r="A780" s="78" t="s">
        <v>0</v>
      </c>
      <c r="B780" s="78" t="s">
        <v>0</v>
      </c>
      <c r="C780" s="79" t="s">
        <v>98</v>
      </c>
      <c r="D780" s="80">
        <f t="shared" si="122"/>
        <v>4669</v>
      </c>
      <c r="E780" s="80">
        <f t="shared" si="121"/>
        <v>4671</v>
      </c>
      <c r="F780" s="80">
        <v>3</v>
      </c>
      <c r="G780" s="93" t="s">
        <v>172</v>
      </c>
      <c r="H780" s="101" t="s">
        <v>85</v>
      </c>
      <c r="I780" s="92" t="s">
        <v>581</v>
      </c>
    </row>
    <row r="781" spans="1:9" s="39" customFormat="1" ht="79.2" x14ac:dyDescent="0.3">
      <c r="A781" s="78" t="s">
        <v>0</v>
      </c>
      <c r="B781" s="78" t="s">
        <v>0</v>
      </c>
      <c r="C781" s="79" t="s">
        <v>98</v>
      </c>
      <c r="D781" s="80">
        <f t="shared" si="122"/>
        <v>4672</v>
      </c>
      <c r="E781" s="80">
        <f t="shared" si="121"/>
        <v>4672</v>
      </c>
      <c r="F781" s="80">
        <v>1</v>
      </c>
      <c r="G781" s="93" t="s">
        <v>453</v>
      </c>
      <c r="H781" s="90" t="s">
        <v>403</v>
      </c>
      <c r="I781" s="92" t="s">
        <v>582</v>
      </c>
    </row>
    <row r="782" spans="1:9" s="39" customFormat="1" ht="39.6" x14ac:dyDescent="0.3">
      <c r="A782" s="78" t="s">
        <v>0</v>
      </c>
      <c r="B782" s="78" t="s">
        <v>0</v>
      </c>
      <c r="C782" s="79" t="s">
        <v>98</v>
      </c>
      <c r="D782" s="80">
        <f t="shared" si="122"/>
        <v>4673</v>
      </c>
      <c r="E782" s="80">
        <f t="shared" si="121"/>
        <v>4674</v>
      </c>
      <c r="F782" s="80">
        <v>2</v>
      </c>
      <c r="G782" s="93" t="s">
        <v>164</v>
      </c>
      <c r="H782" s="101" t="s">
        <v>84</v>
      </c>
      <c r="I782" s="92" t="s">
        <v>207</v>
      </c>
    </row>
    <row r="783" spans="1:9" s="39" customFormat="1" ht="52.8" x14ac:dyDescent="0.3">
      <c r="A783" s="78" t="s">
        <v>0</v>
      </c>
      <c r="B783" s="78" t="s">
        <v>0</v>
      </c>
      <c r="C783" s="79" t="s">
        <v>98</v>
      </c>
      <c r="D783" s="80">
        <f t="shared" si="122"/>
        <v>4675</v>
      </c>
      <c r="E783" s="80">
        <f t="shared" si="121"/>
        <v>4677</v>
      </c>
      <c r="F783" s="80">
        <v>3</v>
      </c>
      <c r="G783" s="93" t="s">
        <v>173</v>
      </c>
      <c r="H783" s="101" t="s">
        <v>85</v>
      </c>
      <c r="I783" s="92" t="s">
        <v>583</v>
      </c>
    </row>
    <row r="784" spans="1:9" s="39" customFormat="1" ht="79.2" x14ac:dyDescent="0.3">
      <c r="A784" s="78" t="s">
        <v>0</v>
      </c>
      <c r="B784" s="78" t="s">
        <v>0</v>
      </c>
      <c r="C784" s="79" t="s">
        <v>98</v>
      </c>
      <c r="D784" s="80">
        <f t="shared" si="122"/>
        <v>4678</v>
      </c>
      <c r="E784" s="80">
        <f t="shared" si="121"/>
        <v>4678</v>
      </c>
      <c r="F784" s="80">
        <v>1</v>
      </c>
      <c r="G784" s="93" t="s">
        <v>454</v>
      </c>
      <c r="H784" s="90" t="s">
        <v>403</v>
      </c>
      <c r="I784" s="92" t="s">
        <v>584</v>
      </c>
    </row>
    <row r="785" spans="1:9" s="39" customFormat="1" ht="14.4" x14ac:dyDescent="0.3">
      <c r="A785" s="78"/>
      <c r="B785" s="78"/>
      <c r="C785" s="79"/>
      <c r="D785" s="80">
        <f t="shared" si="122"/>
        <v>4679</v>
      </c>
      <c r="E785" s="80">
        <f t="shared" si="121"/>
        <v>4683</v>
      </c>
      <c r="F785" s="78">
        <v>5</v>
      </c>
      <c r="G785" s="93" t="s">
        <v>55</v>
      </c>
      <c r="H785" s="110"/>
      <c r="I785" s="124"/>
    </row>
    <row r="786" spans="1:9" s="39" customFormat="1" ht="14.4" x14ac:dyDescent="0.3">
      <c r="A786" s="78"/>
      <c r="B786" s="78"/>
      <c r="C786" s="79"/>
      <c r="D786" s="80"/>
      <c r="E786" s="80"/>
      <c r="F786" s="80"/>
      <c r="G786" s="85" t="s">
        <v>601</v>
      </c>
      <c r="H786" s="110"/>
      <c r="I786" s="124"/>
    </row>
    <row r="787" spans="1:9" s="39" customFormat="1" ht="26.4" x14ac:dyDescent="0.3">
      <c r="A787" s="78" t="s">
        <v>0</v>
      </c>
      <c r="B787" s="78" t="s">
        <v>0</v>
      </c>
      <c r="C787" s="79" t="s">
        <v>356</v>
      </c>
      <c r="D787" s="80">
        <f>D785+F785</f>
        <v>4684</v>
      </c>
      <c r="E787" s="80">
        <f t="shared" ref="E787:E795" si="123">D787+F787-1</f>
        <v>4685</v>
      </c>
      <c r="F787" s="78">
        <v>2</v>
      </c>
      <c r="G787" s="81" t="s">
        <v>339</v>
      </c>
      <c r="H787" s="110" t="s">
        <v>92</v>
      </c>
      <c r="I787" s="124" t="s">
        <v>153</v>
      </c>
    </row>
    <row r="788" spans="1:9" s="39" customFormat="1" ht="66" x14ac:dyDescent="0.3">
      <c r="A788" s="78" t="s">
        <v>0</v>
      </c>
      <c r="B788" s="78" t="s">
        <v>0</v>
      </c>
      <c r="C788" s="79" t="s">
        <v>98</v>
      </c>
      <c r="D788" s="80">
        <f t="shared" ref="D788:D795" si="124">D787+F787</f>
        <v>4686</v>
      </c>
      <c r="E788" s="80">
        <f t="shared" si="123"/>
        <v>4686</v>
      </c>
      <c r="F788" s="80">
        <v>1</v>
      </c>
      <c r="G788" s="93" t="s">
        <v>26</v>
      </c>
      <c r="H788" s="110" t="s">
        <v>125</v>
      </c>
      <c r="I788" s="124" t="s">
        <v>372</v>
      </c>
    </row>
    <row r="789" spans="1:9" s="39" customFormat="1" ht="39.6" x14ac:dyDescent="0.3">
      <c r="A789" s="78" t="s">
        <v>0</v>
      </c>
      <c r="B789" s="78" t="s">
        <v>0</v>
      </c>
      <c r="C789" s="79" t="s">
        <v>98</v>
      </c>
      <c r="D789" s="80">
        <f t="shared" si="124"/>
        <v>4687</v>
      </c>
      <c r="E789" s="80">
        <f t="shared" si="123"/>
        <v>4687</v>
      </c>
      <c r="F789" s="80">
        <v>1</v>
      </c>
      <c r="G789" s="93" t="s">
        <v>27</v>
      </c>
      <c r="H789" s="110" t="s">
        <v>81</v>
      </c>
      <c r="I789" s="124" t="s">
        <v>235</v>
      </c>
    </row>
    <row r="790" spans="1:9" s="39" customFormat="1" ht="39.6" x14ac:dyDescent="0.3">
      <c r="A790" s="78" t="s">
        <v>0</v>
      </c>
      <c r="B790" s="78" t="s">
        <v>0</v>
      </c>
      <c r="C790" s="79" t="s">
        <v>99</v>
      </c>
      <c r="D790" s="80">
        <f t="shared" si="124"/>
        <v>4688</v>
      </c>
      <c r="E790" s="80">
        <f t="shared" si="123"/>
        <v>4688</v>
      </c>
      <c r="F790" s="80">
        <v>1</v>
      </c>
      <c r="G790" s="93" t="s">
        <v>122</v>
      </c>
      <c r="H790" s="110" t="s">
        <v>233</v>
      </c>
      <c r="I790" s="124" t="s">
        <v>234</v>
      </c>
    </row>
    <row r="791" spans="1:9" s="39" customFormat="1" ht="52.8" x14ac:dyDescent="0.3">
      <c r="A791" s="78" t="s">
        <v>0</v>
      </c>
      <c r="B791" s="78" t="s">
        <v>0</v>
      </c>
      <c r="C791" s="79" t="s">
        <v>98</v>
      </c>
      <c r="D791" s="80">
        <f t="shared" si="124"/>
        <v>4689</v>
      </c>
      <c r="E791" s="80">
        <f t="shared" si="123"/>
        <v>4689</v>
      </c>
      <c r="F791" s="80">
        <v>1</v>
      </c>
      <c r="G791" s="93" t="s">
        <v>28</v>
      </c>
      <c r="H791" s="110" t="s">
        <v>82</v>
      </c>
      <c r="I791" s="124" t="s">
        <v>236</v>
      </c>
    </row>
    <row r="792" spans="1:9" s="39" customFormat="1" ht="176.25" customHeight="1" x14ac:dyDescent="0.3">
      <c r="A792" s="78" t="s">
        <v>0</v>
      </c>
      <c r="B792" s="78" t="s">
        <v>0</v>
      </c>
      <c r="C792" s="79" t="s">
        <v>98</v>
      </c>
      <c r="D792" s="80">
        <f t="shared" si="124"/>
        <v>4690</v>
      </c>
      <c r="E792" s="80">
        <f t="shared" si="123"/>
        <v>4690</v>
      </c>
      <c r="F792" s="80">
        <v>1</v>
      </c>
      <c r="G792" s="93" t="s">
        <v>32</v>
      </c>
      <c r="H792" s="110" t="s">
        <v>79</v>
      </c>
      <c r="I792" s="124" t="s">
        <v>329</v>
      </c>
    </row>
    <row r="793" spans="1:9" s="39" customFormat="1" ht="66" x14ac:dyDescent="0.3">
      <c r="A793" s="78" t="s">
        <v>0</v>
      </c>
      <c r="B793" s="78" t="s">
        <v>0</v>
      </c>
      <c r="C793" s="79" t="s">
        <v>98</v>
      </c>
      <c r="D793" s="80">
        <f t="shared" si="124"/>
        <v>4691</v>
      </c>
      <c r="E793" s="80">
        <f t="shared" si="123"/>
        <v>4691</v>
      </c>
      <c r="F793" s="80">
        <v>1</v>
      </c>
      <c r="G793" s="93" t="s">
        <v>29</v>
      </c>
      <c r="H793" s="110" t="s">
        <v>78</v>
      </c>
      <c r="I793" s="124" t="s">
        <v>680</v>
      </c>
    </row>
    <row r="794" spans="1:9" s="39" customFormat="1" ht="39.6" x14ac:dyDescent="0.3">
      <c r="A794" s="78" t="s">
        <v>6</v>
      </c>
      <c r="B794" s="78" t="s">
        <v>6</v>
      </c>
      <c r="C794" s="79" t="s">
        <v>99</v>
      </c>
      <c r="D794" s="80">
        <f t="shared" si="124"/>
        <v>4692</v>
      </c>
      <c r="E794" s="80">
        <f t="shared" si="123"/>
        <v>4692</v>
      </c>
      <c r="F794" s="80">
        <v>1</v>
      </c>
      <c r="G794" s="93" t="s">
        <v>119</v>
      </c>
      <c r="H794" s="83" t="s">
        <v>370</v>
      </c>
      <c r="I794" s="124" t="s">
        <v>371</v>
      </c>
    </row>
    <row r="795" spans="1:9" s="39" customFormat="1" ht="14.4" x14ac:dyDescent="0.3">
      <c r="A795" s="78"/>
      <c r="B795" s="78"/>
      <c r="C795" s="102"/>
      <c r="D795" s="80">
        <f t="shared" si="124"/>
        <v>4693</v>
      </c>
      <c r="E795" s="80">
        <f t="shared" si="123"/>
        <v>4702</v>
      </c>
      <c r="F795" s="88">
        <v>10</v>
      </c>
      <c r="G795" s="103" t="s">
        <v>55</v>
      </c>
      <c r="H795" s="110"/>
      <c r="I795" s="124"/>
    </row>
    <row r="796" spans="1:9" s="39" customFormat="1" ht="14.4" x14ac:dyDescent="0.3">
      <c r="A796" s="78"/>
      <c r="B796" s="78"/>
      <c r="C796" s="102"/>
      <c r="D796" s="80"/>
      <c r="E796" s="80"/>
      <c r="F796" s="88"/>
      <c r="G796" s="85" t="s">
        <v>152</v>
      </c>
      <c r="H796" s="110"/>
      <c r="I796" s="124"/>
    </row>
    <row r="797" spans="1:9" s="39" customFormat="1" ht="92.4" x14ac:dyDescent="0.3">
      <c r="A797" s="78" t="s">
        <v>6</v>
      </c>
      <c r="B797" s="78" t="s">
        <v>6</v>
      </c>
      <c r="C797" s="102" t="s">
        <v>99</v>
      </c>
      <c r="D797" s="80">
        <f>D795+F795</f>
        <v>4703</v>
      </c>
      <c r="E797" s="80">
        <f>D797+F797-1</f>
        <v>4703</v>
      </c>
      <c r="F797" s="88">
        <v>1</v>
      </c>
      <c r="G797" s="81" t="s">
        <v>330</v>
      </c>
      <c r="H797" s="109" t="s">
        <v>118</v>
      </c>
      <c r="I797" s="124" t="s">
        <v>331</v>
      </c>
    </row>
    <row r="798" spans="1:9" s="39" customFormat="1" ht="66" x14ac:dyDescent="0.3">
      <c r="A798" s="78" t="s">
        <v>6</v>
      </c>
      <c r="B798" s="78" t="s">
        <v>6</v>
      </c>
      <c r="C798" s="102" t="s">
        <v>99</v>
      </c>
      <c r="D798" s="80">
        <f>D797+F797</f>
        <v>4704</v>
      </c>
      <c r="E798" s="80">
        <f>D798+F798-1</f>
        <v>4704</v>
      </c>
      <c r="F798" s="88">
        <v>1</v>
      </c>
      <c r="G798" s="103" t="s">
        <v>116</v>
      </c>
      <c r="H798" s="109" t="s">
        <v>118</v>
      </c>
      <c r="I798" s="124" t="s">
        <v>156</v>
      </c>
    </row>
    <row r="799" spans="1:9" s="39" customFormat="1" ht="66" x14ac:dyDescent="0.3">
      <c r="A799" s="78" t="s">
        <v>6</v>
      </c>
      <c r="B799" s="78" t="s">
        <v>6</v>
      </c>
      <c r="C799" s="102" t="s">
        <v>99</v>
      </c>
      <c r="D799" s="80">
        <f>D798+F798</f>
        <v>4705</v>
      </c>
      <c r="E799" s="80">
        <f>D799+F799-1</f>
        <v>4705</v>
      </c>
      <c r="F799" s="88">
        <v>1</v>
      </c>
      <c r="G799" s="103" t="s">
        <v>117</v>
      </c>
      <c r="H799" s="109" t="s">
        <v>118</v>
      </c>
      <c r="I799" s="124" t="s">
        <v>237</v>
      </c>
    </row>
    <row r="800" spans="1:9" s="39" customFormat="1" ht="14.4" x14ac:dyDescent="0.3">
      <c r="A800" s="78"/>
      <c r="B800" s="78"/>
      <c r="C800" s="102"/>
      <c r="D800" s="80">
        <f>D799+F799</f>
        <v>4706</v>
      </c>
      <c r="E800" s="80">
        <f>D800+F800-1</f>
        <v>4715</v>
      </c>
      <c r="F800" s="88">
        <v>10</v>
      </c>
      <c r="G800" s="103" t="s">
        <v>55</v>
      </c>
      <c r="H800" s="109"/>
      <c r="I800" s="124"/>
    </row>
    <row r="801" spans="1:9" s="39" customFormat="1" ht="14.4" x14ac:dyDescent="0.3">
      <c r="A801" s="78"/>
      <c r="B801" s="78"/>
      <c r="C801" s="79"/>
      <c r="D801" s="80"/>
      <c r="E801" s="80"/>
      <c r="F801" s="80"/>
      <c r="G801" s="85" t="s">
        <v>36</v>
      </c>
      <c r="H801" s="110"/>
      <c r="I801" s="124"/>
    </row>
    <row r="802" spans="1:9" s="39" customFormat="1" ht="26.4" x14ac:dyDescent="0.3">
      <c r="A802" s="143" t="s">
        <v>622</v>
      </c>
      <c r="B802" s="143" t="s">
        <v>622</v>
      </c>
      <c r="C802" s="80" t="s">
        <v>96</v>
      </c>
      <c r="D802" s="80">
        <f>D800+F800</f>
        <v>4716</v>
      </c>
      <c r="E802" s="80">
        <f t="shared" ref="E802:E807" si="125">D802+F802-1</f>
        <v>4719</v>
      </c>
      <c r="F802" s="80">
        <v>4</v>
      </c>
      <c r="G802" s="93" t="s">
        <v>34</v>
      </c>
      <c r="H802" s="110" t="s">
        <v>88</v>
      </c>
      <c r="I802" s="171" t="s">
        <v>87</v>
      </c>
    </row>
    <row r="803" spans="1:9" s="39" customFormat="1" ht="52.8" x14ac:dyDescent="0.3">
      <c r="A803" s="143" t="s">
        <v>622</v>
      </c>
      <c r="B803" s="143" t="s">
        <v>622</v>
      </c>
      <c r="C803" s="80" t="s">
        <v>96</v>
      </c>
      <c r="D803" s="80">
        <f t="shared" ref="D803:D807" si="126">D802+F802</f>
        <v>4720</v>
      </c>
      <c r="E803" s="80">
        <f t="shared" si="125"/>
        <v>4721</v>
      </c>
      <c r="F803" s="80">
        <v>2</v>
      </c>
      <c r="G803" s="93" t="s">
        <v>33</v>
      </c>
      <c r="H803" s="110" t="s">
        <v>86</v>
      </c>
      <c r="I803" s="171"/>
    </row>
    <row r="804" spans="1:9" s="39" customFormat="1" ht="118.8" x14ac:dyDescent="0.3">
      <c r="A804" s="143" t="s">
        <v>622</v>
      </c>
      <c r="B804" s="143" t="s">
        <v>622</v>
      </c>
      <c r="C804" s="80" t="s">
        <v>96</v>
      </c>
      <c r="D804" s="80">
        <f t="shared" si="126"/>
        <v>4722</v>
      </c>
      <c r="E804" s="80">
        <f t="shared" si="125"/>
        <v>4724</v>
      </c>
      <c r="F804" s="80">
        <v>3</v>
      </c>
      <c r="G804" s="93" t="s">
        <v>35</v>
      </c>
      <c r="H804" s="151" t="s">
        <v>610</v>
      </c>
      <c r="I804" s="139" t="s">
        <v>704</v>
      </c>
    </row>
    <row r="805" spans="1:9" s="39" customFormat="1" ht="145.19999999999999" x14ac:dyDescent="0.3">
      <c r="A805" s="143" t="s">
        <v>622</v>
      </c>
      <c r="B805" s="143" t="s">
        <v>622</v>
      </c>
      <c r="C805" s="80" t="s">
        <v>96</v>
      </c>
      <c r="D805" s="80">
        <f t="shared" si="126"/>
        <v>4725</v>
      </c>
      <c r="E805" s="80">
        <f t="shared" si="125"/>
        <v>4727</v>
      </c>
      <c r="F805" s="80">
        <v>3</v>
      </c>
      <c r="G805" s="93" t="s">
        <v>292</v>
      </c>
      <c r="H805" s="151" t="s">
        <v>609</v>
      </c>
      <c r="I805" s="124" t="s">
        <v>91</v>
      </c>
    </row>
    <row r="806" spans="1:9" s="39" customFormat="1" ht="211.8" customHeight="1" x14ac:dyDescent="0.3">
      <c r="A806" s="78" t="s">
        <v>6</v>
      </c>
      <c r="B806" s="78" t="s">
        <v>6</v>
      </c>
      <c r="C806" s="84" t="s">
        <v>98</v>
      </c>
      <c r="D806" s="78">
        <f>D805+F805</f>
        <v>4728</v>
      </c>
      <c r="E806" s="78">
        <f t="shared" si="125"/>
        <v>4947</v>
      </c>
      <c r="F806" s="84">
        <v>220</v>
      </c>
      <c r="G806" s="81" t="s">
        <v>369</v>
      </c>
      <c r="H806" s="171" t="s">
        <v>621</v>
      </c>
      <c r="I806" s="124" t="s">
        <v>501</v>
      </c>
    </row>
    <row r="807" spans="1:9" s="39" customFormat="1" ht="187.5" customHeight="1" x14ac:dyDescent="0.3">
      <c r="A807" s="78" t="s">
        <v>6</v>
      </c>
      <c r="B807" s="78" t="s">
        <v>6</v>
      </c>
      <c r="C807" s="84" t="s">
        <v>98</v>
      </c>
      <c r="D807" s="78">
        <f t="shared" si="126"/>
        <v>4948</v>
      </c>
      <c r="E807" s="78">
        <f t="shared" si="125"/>
        <v>5047</v>
      </c>
      <c r="F807" s="78">
        <v>100</v>
      </c>
      <c r="G807" s="81" t="s">
        <v>363</v>
      </c>
      <c r="H807" s="171"/>
      <c r="I807" s="124" t="s">
        <v>398</v>
      </c>
    </row>
    <row r="808" spans="1:9" x14ac:dyDescent="0.3">
      <c r="A808" s="78"/>
      <c r="B808" s="78"/>
      <c r="C808" s="88"/>
      <c r="D808" s="80" t="s">
        <v>456</v>
      </c>
      <c r="E808" s="80" t="s">
        <v>456</v>
      </c>
      <c r="F808" s="80"/>
      <c r="G808" s="85" t="s">
        <v>376</v>
      </c>
      <c r="H808" s="110"/>
      <c r="I808" s="124"/>
    </row>
    <row r="809" spans="1:9" ht="26.4" x14ac:dyDescent="0.3">
      <c r="A809" s="78" t="s">
        <v>0</v>
      </c>
      <c r="B809" s="78" t="s">
        <v>0</v>
      </c>
      <c r="C809" s="79" t="s">
        <v>97</v>
      </c>
      <c r="D809" s="80">
        <f>D807+F807</f>
        <v>5048</v>
      </c>
      <c r="E809" s="80">
        <f>D809+F809-1</f>
        <v>5048</v>
      </c>
      <c r="F809" s="80">
        <v>1</v>
      </c>
      <c r="G809" s="93" t="s">
        <v>37</v>
      </c>
      <c r="H809" s="110" t="s">
        <v>54</v>
      </c>
      <c r="I809" s="124"/>
    </row>
    <row r="810" spans="1:9" ht="198" x14ac:dyDescent="0.3">
      <c r="A810" s="78" t="s">
        <v>0</v>
      </c>
      <c r="B810" s="78" t="s">
        <v>0</v>
      </c>
      <c r="C810" s="79" t="s">
        <v>97</v>
      </c>
      <c r="D810" s="80">
        <f>D809+F809</f>
        <v>5049</v>
      </c>
      <c r="E810" s="80">
        <f t="shared" ref="E810:E818" si="127">D810+F810-1</f>
        <v>5056</v>
      </c>
      <c r="F810" s="157">
        <v>8</v>
      </c>
      <c r="G810" s="93" t="s">
        <v>13</v>
      </c>
      <c r="H810" s="162" t="s">
        <v>689</v>
      </c>
      <c r="I810" s="139" t="s">
        <v>687</v>
      </c>
    </row>
    <row r="811" spans="1:9" ht="52.8" x14ac:dyDescent="0.3">
      <c r="A811" s="78" t="s">
        <v>6</v>
      </c>
      <c r="B811" s="78" t="s">
        <v>6</v>
      </c>
      <c r="C811" s="79" t="s">
        <v>97</v>
      </c>
      <c r="D811" s="80">
        <f>D810+F810</f>
        <v>5057</v>
      </c>
      <c r="E811" s="80">
        <f t="shared" si="127"/>
        <v>5064</v>
      </c>
      <c r="F811" s="157">
        <v>8</v>
      </c>
      <c r="G811" s="93" t="s">
        <v>14</v>
      </c>
      <c r="H811" s="83" t="s">
        <v>366</v>
      </c>
      <c r="I811" s="124" t="s">
        <v>367</v>
      </c>
    </row>
    <row r="812" spans="1:9" x14ac:dyDescent="0.3">
      <c r="A812" s="78" t="s">
        <v>0</v>
      </c>
      <c r="B812" s="78" t="s">
        <v>6</v>
      </c>
      <c r="C812" s="79" t="s">
        <v>97</v>
      </c>
      <c r="D812" s="80">
        <f t="shared" ref="D812:D824" si="128">D811+F811</f>
        <v>5065</v>
      </c>
      <c r="E812" s="80">
        <f t="shared" si="127"/>
        <v>5084</v>
      </c>
      <c r="F812" s="80">
        <v>20</v>
      </c>
      <c r="G812" s="93" t="s">
        <v>15</v>
      </c>
      <c r="H812" s="181" t="s">
        <v>228</v>
      </c>
      <c r="I812" s="186" t="s">
        <v>322</v>
      </c>
    </row>
    <row r="813" spans="1:9" x14ac:dyDescent="0.3">
      <c r="A813" s="78" t="s">
        <v>0</v>
      </c>
      <c r="B813" s="78" t="s">
        <v>6</v>
      </c>
      <c r="C813" s="79" t="s">
        <v>97</v>
      </c>
      <c r="D813" s="80">
        <f t="shared" si="128"/>
        <v>5085</v>
      </c>
      <c r="E813" s="80">
        <f t="shared" si="127"/>
        <v>5099</v>
      </c>
      <c r="F813" s="80">
        <v>15</v>
      </c>
      <c r="G813" s="93" t="s">
        <v>16</v>
      </c>
      <c r="H813" s="182"/>
      <c r="I813" s="201"/>
    </row>
    <row r="814" spans="1:9" x14ac:dyDescent="0.3">
      <c r="A814" s="78" t="s">
        <v>0</v>
      </c>
      <c r="B814" s="78" t="s">
        <v>6</v>
      </c>
      <c r="C814" s="79" t="s">
        <v>97</v>
      </c>
      <c r="D814" s="80">
        <f t="shared" si="128"/>
        <v>5100</v>
      </c>
      <c r="E814" s="80">
        <f t="shared" si="127"/>
        <v>5100</v>
      </c>
      <c r="F814" s="80">
        <v>1</v>
      </c>
      <c r="G814" s="93" t="s">
        <v>245</v>
      </c>
      <c r="H814" s="183"/>
      <c r="I814" s="202"/>
    </row>
    <row r="815" spans="1:9" ht="39.6" x14ac:dyDescent="0.3">
      <c r="A815" s="78" t="s">
        <v>6</v>
      </c>
      <c r="B815" s="78" t="s">
        <v>6</v>
      </c>
      <c r="C815" s="79" t="s">
        <v>97</v>
      </c>
      <c r="D815" s="80">
        <f t="shared" si="128"/>
        <v>5101</v>
      </c>
      <c r="E815" s="80">
        <f t="shared" si="127"/>
        <v>5103</v>
      </c>
      <c r="F815" s="80">
        <v>3</v>
      </c>
      <c r="G815" s="93" t="s">
        <v>149</v>
      </c>
      <c r="H815" s="125" t="s">
        <v>150</v>
      </c>
      <c r="I815" s="197" t="s">
        <v>395</v>
      </c>
    </row>
    <row r="816" spans="1:9" x14ac:dyDescent="0.3">
      <c r="A816" s="78" t="s">
        <v>6</v>
      </c>
      <c r="B816" s="78" t="s">
        <v>6</v>
      </c>
      <c r="C816" s="79" t="s">
        <v>97</v>
      </c>
      <c r="D816" s="80">
        <f t="shared" si="128"/>
        <v>5104</v>
      </c>
      <c r="E816" s="80">
        <f t="shared" si="127"/>
        <v>5123</v>
      </c>
      <c r="F816" s="80">
        <v>20</v>
      </c>
      <c r="G816" s="93" t="s">
        <v>17</v>
      </c>
      <c r="H816" s="181" t="s">
        <v>228</v>
      </c>
      <c r="I816" s="198"/>
    </row>
    <row r="817" spans="1:9" x14ac:dyDescent="0.3">
      <c r="A817" s="78" t="s">
        <v>6</v>
      </c>
      <c r="B817" s="78" t="s">
        <v>6</v>
      </c>
      <c r="C817" s="79" t="s">
        <v>97</v>
      </c>
      <c r="D817" s="80">
        <f t="shared" si="128"/>
        <v>5124</v>
      </c>
      <c r="E817" s="80">
        <f t="shared" si="127"/>
        <v>5143</v>
      </c>
      <c r="F817" s="80">
        <v>20</v>
      </c>
      <c r="G817" s="93" t="s">
        <v>18</v>
      </c>
      <c r="H817" s="182"/>
      <c r="I817" s="198"/>
    </row>
    <row r="818" spans="1:9" x14ac:dyDescent="0.3">
      <c r="A818" s="78" t="s">
        <v>0</v>
      </c>
      <c r="B818" s="78" t="s">
        <v>0</v>
      </c>
      <c r="C818" s="79" t="s">
        <v>97</v>
      </c>
      <c r="D818" s="80">
        <f t="shared" si="128"/>
        <v>5144</v>
      </c>
      <c r="E818" s="80">
        <f t="shared" si="127"/>
        <v>5144</v>
      </c>
      <c r="F818" s="80">
        <v>1</v>
      </c>
      <c r="G818" s="93" t="s">
        <v>246</v>
      </c>
      <c r="H818" s="183"/>
      <c r="I818" s="199"/>
    </row>
    <row r="819" spans="1:9" ht="66" x14ac:dyDescent="0.3">
      <c r="A819" s="78" t="s">
        <v>0</v>
      </c>
      <c r="B819" s="78" t="s">
        <v>0</v>
      </c>
      <c r="C819" s="79" t="s">
        <v>209</v>
      </c>
      <c r="D819" s="80">
        <f t="shared" si="128"/>
        <v>5145</v>
      </c>
      <c r="E819" s="80">
        <f>D819+F819-1</f>
        <v>5150</v>
      </c>
      <c r="F819" s="80">
        <v>6</v>
      </c>
      <c r="G819" s="93" t="s">
        <v>148</v>
      </c>
      <c r="H819" s="110" t="s">
        <v>434</v>
      </c>
      <c r="I819" s="139" t="s">
        <v>693</v>
      </c>
    </row>
    <row r="820" spans="1:9" ht="105.6" x14ac:dyDescent="0.3">
      <c r="A820" s="78" t="s">
        <v>0</v>
      </c>
      <c r="B820" s="78" t="s">
        <v>0</v>
      </c>
      <c r="C820" s="79" t="s">
        <v>97</v>
      </c>
      <c r="D820" s="80">
        <f t="shared" si="128"/>
        <v>5151</v>
      </c>
      <c r="E820" s="80">
        <f t="shared" ref="E820:E821" si="129">D820+F820-1</f>
        <v>5180</v>
      </c>
      <c r="F820" s="80">
        <v>30</v>
      </c>
      <c r="G820" s="93" t="s">
        <v>19</v>
      </c>
      <c r="H820" s="213" t="s">
        <v>721</v>
      </c>
      <c r="I820" s="212" t="s">
        <v>720</v>
      </c>
    </row>
    <row r="821" spans="1:9" ht="52.8" x14ac:dyDescent="0.3">
      <c r="A821" s="78" t="s">
        <v>0</v>
      </c>
      <c r="B821" s="78" t="s">
        <v>0</v>
      </c>
      <c r="C821" s="79" t="s">
        <v>97</v>
      </c>
      <c r="D821" s="80">
        <f t="shared" si="128"/>
        <v>5181</v>
      </c>
      <c r="E821" s="80">
        <f t="shared" si="129"/>
        <v>5200</v>
      </c>
      <c r="F821" s="80">
        <v>20</v>
      </c>
      <c r="G821" s="93" t="s">
        <v>112</v>
      </c>
      <c r="H821" s="110" t="s">
        <v>301</v>
      </c>
      <c r="I821" s="124" t="s">
        <v>322</v>
      </c>
    </row>
    <row r="822" spans="1:9" ht="39.6" x14ac:dyDescent="0.3">
      <c r="A822" s="78" t="s">
        <v>0</v>
      </c>
      <c r="B822" s="78" t="s">
        <v>0</v>
      </c>
      <c r="C822" s="79" t="s">
        <v>209</v>
      </c>
      <c r="D822" s="80">
        <f t="shared" si="128"/>
        <v>5201</v>
      </c>
      <c r="E822" s="80">
        <f>D822+F822-1</f>
        <v>5206</v>
      </c>
      <c r="F822" s="80">
        <v>6</v>
      </c>
      <c r="G822" s="93" t="s">
        <v>114</v>
      </c>
      <c r="H822" s="110" t="s">
        <v>115</v>
      </c>
      <c r="I822" s="124" t="s">
        <v>273</v>
      </c>
    </row>
    <row r="823" spans="1:9" ht="26.4" x14ac:dyDescent="0.3">
      <c r="A823" s="78" t="s">
        <v>0</v>
      </c>
      <c r="B823" s="78" t="s">
        <v>0</v>
      </c>
      <c r="C823" s="79" t="s">
        <v>209</v>
      </c>
      <c r="D823" s="80">
        <f t="shared" si="128"/>
        <v>5207</v>
      </c>
      <c r="E823" s="80">
        <f>D823+F823-1</f>
        <v>5207</v>
      </c>
      <c r="F823" s="80">
        <v>1</v>
      </c>
      <c r="G823" s="93" t="s">
        <v>377</v>
      </c>
      <c r="H823" s="110" t="s">
        <v>271</v>
      </c>
      <c r="I823" s="124" t="s">
        <v>270</v>
      </c>
    </row>
    <row r="824" spans="1:9" x14ac:dyDescent="0.3">
      <c r="A824" s="78"/>
      <c r="B824" s="78"/>
      <c r="C824" s="79"/>
      <c r="D824" s="80">
        <f t="shared" si="128"/>
        <v>5208</v>
      </c>
      <c r="E824" s="80">
        <f t="shared" ref="E824" si="130">D824+F824-1</f>
        <v>5222</v>
      </c>
      <c r="F824" s="157">
        <v>15</v>
      </c>
      <c r="G824" s="93" t="s">
        <v>55</v>
      </c>
      <c r="H824" s="110"/>
      <c r="I824" s="124"/>
    </row>
    <row r="825" spans="1:9" x14ac:dyDescent="0.3">
      <c r="A825" s="78"/>
      <c r="B825" s="78"/>
      <c r="C825" s="88"/>
      <c r="D825" s="80"/>
      <c r="E825" s="80"/>
      <c r="F825" s="121"/>
      <c r="G825" s="85" t="s">
        <v>20</v>
      </c>
      <c r="H825" s="122"/>
      <c r="I825" s="123"/>
    </row>
    <row r="826" spans="1:9" ht="39.6" x14ac:dyDescent="0.3">
      <c r="A826" s="78" t="s">
        <v>6</v>
      </c>
      <c r="B826" s="78" t="s">
        <v>6</v>
      </c>
      <c r="C826" s="79" t="s">
        <v>98</v>
      </c>
      <c r="D826" s="80">
        <f>D824+F824</f>
        <v>5223</v>
      </c>
      <c r="E826" s="80">
        <f>D826+F826-1</f>
        <v>5223</v>
      </c>
      <c r="F826" s="80">
        <v>1</v>
      </c>
      <c r="G826" s="93" t="s">
        <v>21</v>
      </c>
      <c r="H826" s="110" t="s">
        <v>102</v>
      </c>
      <c r="I826" s="194"/>
    </row>
    <row r="827" spans="1:9" ht="39.6" x14ac:dyDescent="0.3">
      <c r="A827" s="78" t="s">
        <v>6</v>
      </c>
      <c r="B827" s="78" t="s">
        <v>6</v>
      </c>
      <c r="C827" s="79" t="s">
        <v>98</v>
      </c>
      <c r="D827" s="80">
        <f>D826+F826</f>
        <v>5224</v>
      </c>
      <c r="E827" s="80">
        <f>D827+F827-1</f>
        <v>5224</v>
      </c>
      <c r="F827" s="80">
        <v>1</v>
      </c>
      <c r="G827" s="93" t="s">
        <v>22</v>
      </c>
      <c r="H827" s="110" t="s">
        <v>102</v>
      </c>
      <c r="I827" s="195"/>
    </row>
    <row r="828" spans="1:9" ht="39.6" x14ac:dyDescent="0.3">
      <c r="A828" s="78" t="s">
        <v>6</v>
      </c>
      <c r="B828" s="78" t="s">
        <v>6</v>
      </c>
      <c r="C828" s="79" t="s">
        <v>98</v>
      </c>
      <c r="D828" s="80">
        <f>D827+F827</f>
        <v>5225</v>
      </c>
      <c r="E828" s="80">
        <f>D828+F828-1</f>
        <v>5225</v>
      </c>
      <c r="F828" s="80">
        <v>1</v>
      </c>
      <c r="G828" s="93" t="s">
        <v>23</v>
      </c>
      <c r="H828" s="110" t="s">
        <v>102</v>
      </c>
      <c r="I828" s="196"/>
    </row>
    <row r="829" spans="1:9" x14ac:dyDescent="0.3">
      <c r="A829" s="78"/>
      <c r="B829" s="78"/>
      <c r="C829" s="79"/>
      <c r="D829" s="80">
        <f>D828+F828</f>
        <v>5226</v>
      </c>
      <c r="E829" s="80">
        <f>D829+F829-1</f>
        <v>5230</v>
      </c>
      <c r="F829" s="80">
        <v>5</v>
      </c>
      <c r="G829" s="93" t="s">
        <v>55</v>
      </c>
      <c r="H829" s="110"/>
      <c r="I829" s="124"/>
    </row>
    <row r="830" spans="1:9" x14ac:dyDescent="0.3">
      <c r="A830" s="78"/>
      <c r="B830" s="78"/>
      <c r="C830" s="79"/>
      <c r="D830" s="80"/>
      <c r="E830" s="80"/>
      <c r="F830" s="80"/>
      <c r="G830" s="85" t="s">
        <v>378</v>
      </c>
      <c r="H830" s="110"/>
      <c r="I830" s="124"/>
    </row>
    <row r="831" spans="1:9" x14ac:dyDescent="0.3">
      <c r="A831" s="78"/>
      <c r="B831" s="78"/>
      <c r="C831" s="79"/>
      <c r="D831" s="80"/>
      <c r="E831" s="80"/>
      <c r="F831" s="80"/>
      <c r="G831" s="85" t="s">
        <v>113</v>
      </c>
      <c r="H831" s="110"/>
      <c r="I831" s="124"/>
    </row>
    <row r="832" spans="1:9" x14ac:dyDescent="0.3">
      <c r="A832" s="78" t="s">
        <v>6</v>
      </c>
      <c r="B832" s="78" t="s">
        <v>6</v>
      </c>
      <c r="C832" s="79" t="s">
        <v>209</v>
      </c>
      <c r="D832" s="80">
        <f>D829+F829</f>
        <v>5231</v>
      </c>
      <c r="E832" s="80">
        <f>D832+F832-1</f>
        <v>5231</v>
      </c>
      <c r="F832" s="80">
        <v>1</v>
      </c>
      <c r="G832" s="93" t="s">
        <v>126</v>
      </c>
      <c r="H832" s="197" t="s">
        <v>229</v>
      </c>
      <c r="I832" s="197" t="s">
        <v>138</v>
      </c>
    </row>
    <row r="833" spans="1:9" x14ac:dyDescent="0.3">
      <c r="A833" s="78" t="s">
        <v>6</v>
      </c>
      <c r="B833" s="78" t="s">
        <v>6</v>
      </c>
      <c r="C833" s="79" t="s">
        <v>209</v>
      </c>
      <c r="D833" s="80">
        <f>D832+F832</f>
        <v>5232</v>
      </c>
      <c r="E833" s="80">
        <f>D833+F833-1</f>
        <v>5232</v>
      </c>
      <c r="F833" s="80">
        <v>1</v>
      </c>
      <c r="G833" s="93" t="s">
        <v>127</v>
      </c>
      <c r="H833" s="198"/>
      <c r="I833" s="198"/>
    </row>
    <row r="834" spans="1:9" x14ac:dyDescent="0.3">
      <c r="A834" s="78" t="s">
        <v>6</v>
      </c>
      <c r="B834" s="78" t="s">
        <v>6</v>
      </c>
      <c r="C834" s="79" t="s">
        <v>209</v>
      </c>
      <c r="D834" s="80">
        <f t="shared" ref="D834:D839" si="131">D833+F833</f>
        <v>5233</v>
      </c>
      <c r="E834" s="80">
        <f t="shared" ref="E834:E845" si="132">D834+F834-1</f>
        <v>5233</v>
      </c>
      <c r="F834" s="80">
        <v>1</v>
      </c>
      <c r="G834" s="81" t="s">
        <v>368</v>
      </c>
      <c r="H834" s="198"/>
      <c r="I834" s="198"/>
    </row>
    <row r="835" spans="1:9" x14ac:dyDescent="0.3">
      <c r="A835" s="78" t="s">
        <v>6</v>
      </c>
      <c r="B835" s="78" t="s">
        <v>6</v>
      </c>
      <c r="C835" s="79" t="s">
        <v>209</v>
      </c>
      <c r="D835" s="80">
        <f t="shared" si="131"/>
        <v>5234</v>
      </c>
      <c r="E835" s="80">
        <f t="shared" si="132"/>
        <v>5234</v>
      </c>
      <c r="F835" s="80">
        <v>1</v>
      </c>
      <c r="G835" s="93" t="s">
        <v>128</v>
      </c>
      <c r="H835" s="198"/>
      <c r="I835" s="198"/>
    </row>
    <row r="836" spans="1:9" x14ac:dyDescent="0.3">
      <c r="A836" s="78" t="s">
        <v>6</v>
      </c>
      <c r="B836" s="78" t="s">
        <v>6</v>
      </c>
      <c r="C836" s="79" t="s">
        <v>209</v>
      </c>
      <c r="D836" s="80">
        <f t="shared" si="131"/>
        <v>5235</v>
      </c>
      <c r="E836" s="80">
        <f t="shared" si="132"/>
        <v>5235</v>
      </c>
      <c r="F836" s="80">
        <v>1</v>
      </c>
      <c r="G836" s="93" t="s">
        <v>129</v>
      </c>
      <c r="H836" s="198"/>
      <c r="I836" s="198"/>
    </row>
    <row r="837" spans="1:9" x14ac:dyDescent="0.3">
      <c r="A837" s="78" t="s">
        <v>6</v>
      </c>
      <c r="B837" s="78" t="s">
        <v>6</v>
      </c>
      <c r="C837" s="79" t="s">
        <v>209</v>
      </c>
      <c r="D837" s="80">
        <f t="shared" si="131"/>
        <v>5236</v>
      </c>
      <c r="E837" s="80">
        <f t="shared" si="132"/>
        <v>5236</v>
      </c>
      <c r="F837" s="80">
        <v>1</v>
      </c>
      <c r="G837" s="93" t="s">
        <v>130</v>
      </c>
      <c r="H837" s="198"/>
      <c r="I837" s="198"/>
    </row>
    <row r="838" spans="1:9" x14ac:dyDescent="0.3">
      <c r="A838" s="78" t="s">
        <v>6</v>
      </c>
      <c r="B838" s="78" t="s">
        <v>6</v>
      </c>
      <c r="C838" s="79" t="s">
        <v>209</v>
      </c>
      <c r="D838" s="80">
        <f t="shared" si="131"/>
        <v>5237</v>
      </c>
      <c r="E838" s="80">
        <f t="shared" si="132"/>
        <v>5237</v>
      </c>
      <c r="F838" s="80">
        <v>1</v>
      </c>
      <c r="G838" s="93" t="s">
        <v>247</v>
      </c>
      <c r="H838" s="198"/>
      <c r="I838" s="198"/>
    </row>
    <row r="839" spans="1:9" x14ac:dyDescent="0.3">
      <c r="A839" s="78" t="s">
        <v>6</v>
      </c>
      <c r="B839" s="78" t="s">
        <v>6</v>
      </c>
      <c r="C839" s="79" t="s">
        <v>97</v>
      </c>
      <c r="D839" s="80">
        <f t="shared" si="131"/>
        <v>5238</v>
      </c>
      <c r="E839" s="80">
        <f t="shared" si="132"/>
        <v>5238</v>
      </c>
      <c r="F839" s="80">
        <v>1</v>
      </c>
      <c r="G839" s="93" t="s">
        <v>274</v>
      </c>
      <c r="H839" s="198"/>
      <c r="I839" s="198"/>
    </row>
    <row r="840" spans="1:9" x14ac:dyDescent="0.3">
      <c r="A840" s="78" t="s">
        <v>6</v>
      </c>
      <c r="B840" s="78" t="s">
        <v>6</v>
      </c>
      <c r="C840" s="79" t="s">
        <v>209</v>
      </c>
      <c r="D840" s="80">
        <f>D839+F839</f>
        <v>5239</v>
      </c>
      <c r="E840" s="80">
        <f t="shared" si="132"/>
        <v>5239</v>
      </c>
      <c r="F840" s="80">
        <v>1</v>
      </c>
      <c r="G840" s="93" t="s">
        <v>131</v>
      </c>
      <c r="H840" s="198"/>
      <c r="I840" s="198"/>
    </row>
    <row r="841" spans="1:9" x14ac:dyDescent="0.3">
      <c r="A841" s="78" t="s">
        <v>6</v>
      </c>
      <c r="B841" s="78" t="s">
        <v>6</v>
      </c>
      <c r="C841" s="79" t="s">
        <v>209</v>
      </c>
      <c r="D841" s="80">
        <f t="shared" ref="D841:D845" si="133">D840+F840</f>
        <v>5240</v>
      </c>
      <c r="E841" s="80">
        <f t="shared" si="132"/>
        <v>5240</v>
      </c>
      <c r="F841" s="80">
        <v>1</v>
      </c>
      <c r="G841" s="93" t="s">
        <v>132</v>
      </c>
      <c r="H841" s="198"/>
      <c r="I841" s="198"/>
    </row>
    <row r="842" spans="1:9" x14ac:dyDescent="0.3">
      <c r="A842" s="78" t="s">
        <v>6</v>
      </c>
      <c r="B842" s="78" t="s">
        <v>6</v>
      </c>
      <c r="C842" s="79" t="s">
        <v>209</v>
      </c>
      <c r="D842" s="80">
        <f t="shared" si="133"/>
        <v>5241</v>
      </c>
      <c r="E842" s="80">
        <f t="shared" si="132"/>
        <v>5241</v>
      </c>
      <c r="F842" s="80">
        <v>1</v>
      </c>
      <c r="G842" s="93" t="s">
        <v>133</v>
      </c>
      <c r="H842" s="198"/>
      <c r="I842" s="198"/>
    </row>
    <row r="843" spans="1:9" x14ac:dyDescent="0.3">
      <c r="A843" s="78" t="s">
        <v>6</v>
      </c>
      <c r="B843" s="78" t="s">
        <v>6</v>
      </c>
      <c r="C843" s="79" t="s">
        <v>209</v>
      </c>
      <c r="D843" s="80">
        <f t="shared" si="133"/>
        <v>5242</v>
      </c>
      <c r="E843" s="80">
        <f t="shared" si="132"/>
        <v>5242</v>
      </c>
      <c r="F843" s="80">
        <v>1</v>
      </c>
      <c r="G843" s="93" t="s">
        <v>134</v>
      </c>
      <c r="H843" s="198"/>
      <c r="I843" s="198"/>
    </row>
    <row r="844" spans="1:9" x14ac:dyDescent="0.3">
      <c r="A844" s="78" t="s">
        <v>6</v>
      </c>
      <c r="B844" s="78" t="s">
        <v>6</v>
      </c>
      <c r="C844" s="79" t="s">
        <v>209</v>
      </c>
      <c r="D844" s="80">
        <f t="shared" si="133"/>
        <v>5243</v>
      </c>
      <c r="E844" s="80">
        <f t="shared" si="132"/>
        <v>5243</v>
      </c>
      <c r="F844" s="80">
        <v>1</v>
      </c>
      <c r="G844" s="93" t="s">
        <v>135</v>
      </c>
      <c r="H844" s="198"/>
      <c r="I844" s="198"/>
    </row>
    <row r="845" spans="1:9" x14ac:dyDescent="0.3">
      <c r="A845" s="78" t="s">
        <v>6</v>
      </c>
      <c r="B845" s="78" t="s">
        <v>6</v>
      </c>
      <c r="C845" s="79" t="s">
        <v>209</v>
      </c>
      <c r="D845" s="80">
        <f t="shared" si="133"/>
        <v>5244</v>
      </c>
      <c r="E845" s="80">
        <f t="shared" si="132"/>
        <v>5244</v>
      </c>
      <c r="F845" s="80">
        <v>1</v>
      </c>
      <c r="G845" s="93" t="s">
        <v>136</v>
      </c>
      <c r="H845" s="199"/>
      <c r="I845" s="199"/>
    </row>
    <row r="846" spans="1:9" x14ac:dyDescent="0.3">
      <c r="A846" s="78"/>
      <c r="B846" s="78"/>
      <c r="C846" s="79"/>
      <c r="D846" s="80"/>
      <c r="E846" s="80"/>
      <c r="F846" s="80"/>
      <c r="G846" s="85" t="s">
        <v>324</v>
      </c>
      <c r="H846" s="110"/>
      <c r="I846" s="124"/>
    </row>
    <row r="847" spans="1:9" x14ac:dyDescent="0.3">
      <c r="A847" s="78" t="s">
        <v>0</v>
      </c>
      <c r="B847" s="78" t="s">
        <v>0</v>
      </c>
      <c r="C847" s="79" t="s">
        <v>209</v>
      </c>
      <c r="D847" s="80">
        <f>D845+F845</f>
        <v>5245</v>
      </c>
      <c r="E847" s="80">
        <f>D847+F847-1</f>
        <v>5245</v>
      </c>
      <c r="F847" s="80">
        <v>1</v>
      </c>
      <c r="G847" s="93" t="s">
        <v>126</v>
      </c>
      <c r="H847" s="171" t="s">
        <v>118</v>
      </c>
      <c r="I847" s="171" t="s">
        <v>379</v>
      </c>
    </row>
    <row r="848" spans="1:9" x14ac:dyDescent="0.3">
      <c r="A848" s="78" t="s">
        <v>0</v>
      </c>
      <c r="B848" s="78" t="s">
        <v>0</v>
      </c>
      <c r="C848" s="79" t="s">
        <v>209</v>
      </c>
      <c r="D848" s="80">
        <f>D847+F847</f>
        <v>5246</v>
      </c>
      <c r="E848" s="80">
        <f>D848+F848-1</f>
        <v>5246</v>
      </c>
      <c r="F848" s="80">
        <v>1</v>
      </c>
      <c r="G848" s="93" t="s">
        <v>127</v>
      </c>
      <c r="H848" s="171"/>
      <c r="I848" s="171"/>
    </row>
    <row r="849" spans="1:9" x14ac:dyDescent="0.3">
      <c r="A849" s="78" t="s">
        <v>0</v>
      </c>
      <c r="B849" s="78" t="s">
        <v>0</v>
      </c>
      <c r="C849" s="79" t="s">
        <v>209</v>
      </c>
      <c r="D849" s="80">
        <f t="shared" ref="D849:D854" si="134">D848+F848</f>
        <v>5247</v>
      </c>
      <c r="E849" s="80">
        <f t="shared" ref="E849:E861" si="135">D849+F849-1</f>
        <v>5247</v>
      </c>
      <c r="F849" s="80">
        <v>1</v>
      </c>
      <c r="G849" s="81" t="s">
        <v>55</v>
      </c>
      <c r="H849" s="171"/>
      <c r="I849" s="171"/>
    </row>
    <row r="850" spans="1:9" x14ac:dyDescent="0.3">
      <c r="A850" s="78" t="s">
        <v>0</v>
      </c>
      <c r="B850" s="78" t="s">
        <v>0</v>
      </c>
      <c r="C850" s="79" t="s">
        <v>209</v>
      </c>
      <c r="D850" s="80">
        <f t="shared" si="134"/>
        <v>5248</v>
      </c>
      <c r="E850" s="80">
        <f t="shared" si="135"/>
        <v>5248</v>
      </c>
      <c r="F850" s="80">
        <v>1</v>
      </c>
      <c r="G850" s="93" t="s">
        <v>128</v>
      </c>
      <c r="H850" s="171"/>
      <c r="I850" s="171"/>
    </row>
    <row r="851" spans="1:9" x14ac:dyDescent="0.3">
      <c r="A851" s="78" t="s">
        <v>0</v>
      </c>
      <c r="B851" s="78" t="s">
        <v>0</v>
      </c>
      <c r="C851" s="79" t="s">
        <v>209</v>
      </c>
      <c r="D851" s="80">
        <f t="shared" si="134"/>
        <v>5249</v>
      </c>
      <c r="E851" s="80">
        <f t="shared" si="135"/>
        <v>5249</v>
      </c>
      <c r="F851" s="80">
        <v>1</v>
      </c>
      <c r="G851" s="93" t="s">
        <v>129</v>
      </c>
      <c r="H851" s="171"/>
      <c r="I851" s="171"/>
    </row>
    <row r="852" spans="1:9" x14ac:dyDescent="0.3">
      <c r="A852" s="78" t="s">
        <v>0</v>
      </c>
      <c r="B852" s="78" t="s">
        <v>0</v>
      </c>
      <c r="C852" s="79" t="s">
        <v>209</v>
      </c>
      <c r="D852" s="80">
        <f t="shared" si="134"/>
        <v>5250</v>
      </c>
      <c r="E852" s="80">
        <f t="shared" si="135"/>
        <v>5250</v>
      </c>
      <c r="F852" s="80">
        <v>1</v>
      </c>
      <c r="G852" s="93" t="s">
        <v>130</v>
      </c>
      <c r="H852" s="171"/>
      <c r="I852" s="171"/>
    </row>
    <row r="853" spans="1:9" x14ac:dyDescent="0.3">
      <c r="A853" s="78" t="s">
        <v>0</v>
      </c>
      <c r="B853" s="78" t="s">
        <v>0</v>
      </c>
      <c r="C853" s="79" t="s">
        <v>209</v>
      </c>
      <c r="D853" s="80">
        <f t="shared" si="134"/>
        <v>5251</v>
      </c>
      <c r="E853" s="80">
        <f t="shared" si="135"/>
        <v>5251</v>
      </c>
      <c r="F853" s="80">
        <v>1</v>
      </c>
      <c r="G853" s="93" t="s">
        <v>247</v>
      </c>
      <c r="H853" s="171"/>
      <c r="I853" s="171"/>
    </row>
    <row r="854" spans="1:9" x14ac:dyDescent="0.3">
      <c r="A854" s="78" t="s">
        <v>0</v>
      </c>
      <c r="B854" s="78" t="s">
        <v>0</v>
      </c>
      <c r="C854" s="79" t="s">
        <v>97</v>
      </c>
      <c r="D854" s="80">
        <f t="shared" si="134"/>
        <v>5252</v>
      </c>
      <c r="E854" s="80">
        <f t="shared" si="135"/>
        <v>5252</v>
      </c>
      <c r="F854" s="80">
        <v>1</v>
      </c>
      <c r="G854" s="93" t="s">
        <v>274</v>
      </c>
      <c r="H854" s="171"/>
      <c r="I854" s="171"/>
    </row>
    <row r="855" spans="1:9" x14ac:dyDescent="0.3">
      <c r="A855" s="78" t="s">
        <v>0</v>
      </c>
      <c r="B855" s="78" t="s">
        <v>0</v>
      </c>
      <c r="C855" s="79" t="s">
        <v>209</v>
      </c>
      <c r="D855" s="80">
        <f>D854+F854</f>
        <v>5253</v>
      </c>
      <c r="E855" s="80">
        <f t="shared" si="135"/>
        <v>5253</v>
      </c>
      <c r="F855" s="80">
        <v>1</v>
      </c>
      <c r="G855" s="93" t="s">
        <v>131</v>
      </c>
      <c r="H855" s="171"/>
      <c r="I855" s="171"/>
    </row>
    <row r="856" spans="1:9" x14ac:dyDescent="0.3">
      <c r="A856" s="78" t="s">
        <v>0</v>
      </c>
      <c r="B856" s="78" t="s">
        <v>0</v>
      </c>
      <c r="C856" s="79" t="s">
        <v>209</v>
      </c>
      <c r="D856" s="80">
        <f t="shared" ref="D856:D861" si="136">D855+F855</f>
        <v>5254</v>
      </c>
      <c r="E856" s="80">
        <f t="shared" si="135"/>
        <v>5254</v>
      </c>
      <c r="F856" s="80">
        <v>1</v>
      </c>
      <c r="G856" s="93" t="s">
        <v>132</v>
      </c>
      <c r="H856" s="171"/>
      <c r="I856" s="171"/>
    </row>
    <row r="857" spans="1:9" x14ac:dyDescent="0.3">
      <c r="A857" s="78" t="s">
        <v>0</v>
      </c>
      <c r="B857" s="78" t="s">
        <v>0</v>
      </c>
      <c r="C857" s="79" t="s">
        <v>209</v>
      </c>
      <c r="D857" s="80">
        <f t="shared" si="136"/>
        <v>5255</v>
      </c>
      <c r="E857" s="80">
        <f t="shared" si="135"/>
        <v>5255</v>
      </c>
      <c r="F857" s="80">
        <v>1</v>
      </c>
      <c r="G857" s="93" t="s">
        <v>133</v>
      </c>
      <c r="H857" s="171"/>
      <c r="I857" s="171"/>
    </row>
    <row r="858" spans="1:9" x14ac:dyDescent="0.3">
      <c r="A858" s="78" t="s">
        <v>0</v>
      </c>
      <c r="B858" s="78" t="s">
        <v>0</v>
      </c>
      <c r="C858" s="79" t="s">
        <v>209</v>
      </c>
      <c r="D858" s="80">
        <f t="shared" si="136"/>
        <v>5256</v>
      </c>
      <c r="E858" s="80">
        <f t="shared" si="135"/>
        <v>5256</v>
      </c>
      <c r="F858" s="80">
        <v>1</v>
      </c>
      <c r="G858" s="93" t="s">
        <v>134</v>
      </c>
      <c r="H858" s="171"/>
      <c r="I858" s="171"/>
    </row>
    <row r="859" spans="1:9" x14ac:dyDescent="0.3">
      <c r="A859" s="78" t="s">
        <v>0</v>
      </c>
      <c r="B859" s="78" t="s">
        <v>0</v>
      </c>
      <c r="C859" s="79" t="s">
        <v>209</v>
      </c>
      <c r="D859" s="80">
        <f t="shared" si="136"/>
        <v>5257</v>
      </c>
      <c r="E859" s="80">
        <f t="shared" si="135"/>
        <v>5257</v>
      </c>
      <c r="F859" s="80">
        <v>1</v>
      </c>
      <c r="G859" s="93" t="s">
        <v>135</v>
      </c>
      <c r="H859" s="171"/>
      <c r="I859" s="171"/>
    </row>
    <row r="860" spans="1:9" x14ac:dyDescent="0.3">
      <c r="A860" s="78" t="s">
        <v>0</v>
      </c>
      <c r="B860" s="78" t="s">
        <v>0</v>
      </c>
      <c r="C860" s="79" t="s">
        <v>209</v>
      </c>
      <c r="D860" s="80">
        <f t="shared" si="136"/>
        <v>5258</v>
      </c>
      <c r="E860" s="80">
        <f t="shared" si="135"/>
        <v>5258</v>
      </c>
      <c r="F860" s="80">
        <v>1</v>
      </c>
      <c r="G860" s="93" t="s">
        <v>136</v>
      </c>
      <c r="H860" s="171"/>
      <c r="I860" s="171"/>
    </row>
    <row r="861" spans="1:9" x14ac:dyDescent="0.3">
      <c r="A861" s="78" t="s">
        <v>0</v>
      </c>
      <c r="B861" s="78" t="s">
        <v>0</v>
      </c>
      <c r="C861" s="79" t="s">
        <v>209</v>
      </c>
      <c r="D861" s="80">
        <f t="shared" si="136"/>
        <v>5259</v>
      </c>
      <c r="E861" s="80">
        <f t="shared" si="135"/>
        <v>5278</v>
      </c>
      <c r="F861" s="80">
        <v>20</v>
      </c>
      <c r="G861" s="93" t="s">
        <v>55</v>
      </c>
      <c r="H861" s="110"/>
      <c r="I861" s="124"/>
    </row>
    <row r="862" spans="1:9" x14ac:dyDescent="0.3">
      <c r="A862" s="78"/>
      <c r="B862" s="78"/>
      <c r="C862" s="80"/>
      <c r="D862" s="80"/>
      <c r="E862" s="80"/>
      <c r="F862" s="80"/>
      <c r="G862" s="85" t="s">
        <v>380</v>
      </c>
      <c r="H862" s="110"/>
      <c r="I862" s="124"/>
    </row>
    <row r="863" spans="1:9" ht="66" x14ac:dyDescent="0.3">
      <c r="A863" s="78" t="s">
        <v>0</v>
      </c>
      <c r="B863" s="78" t="s">
        <v>0</v>
      </c>
      <c r="C863" s="79" t="s">
        <v>98</v>
      </c>
      <c r="D863" s="80">
        <f>D861+F861</f>
        <v>5279</v>
      </c>
      <c r="E863" s="80">
        <f t="shared" ref="E863:E870" si="137">D863+F863-1</f>
        <v>5281</v>
      </c>
      <c r="F863" s="80">
        <v>3</v>
      </c>
      <c r="G863" s="93" t="s">
        <v>24</v>
      </c>
      <c r="H863" s="124" t="s">
        <v>80</v>
      </c>
      <c r="I863" s="124" t="s">
        <v>585</v>
      </c>
    </row>
    <row r="864" spans="1:9" ht="66" x14ac:dyDescent="0.3">
      <c r="A864" s="78" t="s">
        <v>0</v>
      </c>
      <c r="B864" s="78" t="s">
        <v>0</v>
      </c>
      <c r="C864" s="79" t="s">
        <v>98</v>
      </c>
      <c r="D864" s="80">
        <f t="shared" ref="D864:D870" si="138">D863+F863</f>
        <v>5282</v>
      </c>
      <c r="E864" s="80">
        <f t="shared" si="137"/>
        <v>5284</v>
      </c>
      <c r="F864" s="80">
        <v>3</v>
      </c>
      <c r="G864" s="93" t="s">
        <v>25</v>
      </c>
      <c r="H864" s="124" t="s">
        <v>80</v>
      </c>
      <c r="I864" s="124" t="s">
        <v>586</v>
      </c>
    </row>
    <row r="865" spans="1:9" ht="92.4" x14ac:dyDescent="0.3">
      <c r="A865" s="78" t="s">
        <v>0</v>
      </c>
      <c r="B865" s="78" t="s">
        <v>0</v>
      </c>
      <c r="C865" s="79" t="s">
        <v>98</v>
      </c>
      <c r="D865" s="80">
        <f t="shared" si="138"/>
        <v>5285</v>
      </c>
      <c r="E865" s="80">
        <f t="shared" si="137"/>
        <v>5287</v>
      </c>
      <c r="F865" s="80">
        <v>3</v>
      </c>
      <c r="G865" s="93" t="s">
        <v>142</v>
      </c>
      <c r="H865" s="124" t="s">
        <v>80</v>
      </c>
      <c r="I865" s="126" t="s">
        <v>381</v>
      </c>
    </row>
    <row r="866" spans="1:9" ht="79.2" x14ac:dyDescent="0.3">
      <c r="A866" s="78" t="s">
        <v>0</v>
      </c>
      <c r="B866" s="78" t="s">
        <v>0</v>
      </c>
      <c r="C866" s="79" t="s">
        <v>98</v>
      </c>
      <c r="D866" s="80">
        <f t="shared" si="138"/>
        <v>5288</v>
      </c>
      <c r="E866" s="80">
        <f t="shared" si="137"/>
        <v>5290</v>
      </c>
      <c r="F866" s="80">
        <v>3</v>
      </c>
      <c r="G866" s="93" t="s">
        <v>143</v>
      </c>
      <c r="H866" s="124" t="s">
        <v>85</v>
      </c>
      <c r="I866" s="124" t="s">
        <v>505</v>
      </c>
    </row>
    <row r="867" spans="1:9" ht="66" x14ac:dyDescent="0.3">
      <c r="A867" s="78" t="s">
        <v>0</v>
      </c>
      <c r="B867" s="78" t="s">
        <v>0</v>
      </c>
      <c r="C867" s="79" t="s">
        <v>98</v>
      </c>
      <c r="D867" s="80">
        <f t="shared" si="138"/>
        <v>5291</v>
      </c>
      <c r="E867" s="80">
        <f t="shared" si="137"/>
        <v>5293</v>
      </c>
      <c r="F867" s="80">
        <v>3</v>
      </c>
      <c r="G867" s="93" t="s">
        <v>30</v>
      </c>
      <c r="H867" s="110" t="s">
        <v>446</v>
      </c>
      <c r="I867" s="126" t="s">
        <v>608</v>
      </c>
    </row>
    <row r="868" spans="1:9" ht="92.4" x14ac:dyDescent="0.3">
      <c r="A868" s="78" t="s">
        <v>0</v>
      </c>
      <c r="B868" s="78" t="s">
        <v>0</v>
      </c>
      <c r="C868" s="79" t="s">
        <v>98</v>
      </c>
      <c r="D868" s="80">
        <f t="shared" si="138"/>
        <v>5294</v>
      </c>
      <c r="E868" s="80">
        <f t="shared" si="137"/>
        <v>5296</v>
      </c>
      <c r="F868" s="80">
        <v>3</v>
      </c>
      <c r="G868" s="93" t="s">
        <v>120</v>
      </c>
      <c r="H868" s="65" t="s">
        <v>441</v>
      </c>
      <c r="I868" s="109" t="s">
        <v>382</v>
      </c>
    </row>
    <row r="869" spans="1:9" ht="79.2" x14ac:dyDescent="0.3">
      <c r="A869" s="78" t="s">
        <v>0</v>
      </c>
      <c r="B869" s="78" t="s">
        <v>0</v>
      </c>
      <c r="C869" s="79" t="s">
        <v>356</v>
      </c>
      <c r="D869" s="80">
        <f t="shared" si="138"/>
        <v>5297</v>
      </c>
      <c r="E869" s="80">
        <f t="shared" si="137"/>
        <v>5299</v>
      </c>
      <c r="F869" s="80">
        <v>3</v>
      </c>
      <c r="G869" s="93" t="s">
        <v>124</v>
      </c>
      <c r="H869" s="73" t="s">
        <v>447</v>
      </c>
      <c r="I869" s="109" t="s">
        <v>383</v>
      </c>
    </row>
    <row r="870" spans="1:9" x14ac:dyDescent="0.3">
      <c r="A870" s="78"/>
      <c r="B870" s="78"/>
      <c r="C870" s="79"/>
      <c r="D870" s="80">
        <f t="shared" si="138"/>
        <v>5300</v>
      </c>
      <c r="E870" s="80">
        <f t="shared" si="137"/>
        <v>5313</v>
      </c>
      <c r="F870" s="80">
        <v>14</v>
      </c>
      <c r="G870" s="93" t="s">
        <v>55</v>
      </c>
      <c r="H870" s="65"/>
      <c r="I870" s="109"/>
    </row>
    <row r="871" spans="1:9" x14ac:dyDescent="0.3">
      <c r="A871" s="78"/>
      <c r="B871" s="78"/>
      <c r="C871" s="79"/>
      <c r="D871" s="80"/>
      <c r="E871" s="80"/>
      <c r="F871" s="80"/>
      <c r="G871" s="85" t="s">
        <v>248</v>
      </c>
      <c r="H871" s="65"/>
      <c r="I871" s="109"/>
    </row>
    <row r="872" spans="1:9" x14ac:dyDescent="0.3">
      <c r="A872" s="78" t="s">
        <v>6</v>
      </c>
      <c r="B872" s="78" t="s">
        <v>6</v>
      </c>
      <c r="C872" s="79" t="s">
        <v>98</v>
      </c>
      <c r="D872" s="80">
        <f>D870+F870</f>
        <v>5314</v>
      </c>
      <c r="E872" s="80">
        <f>D872+F872-1</f>
        <v>5316</v>
      </c>
      <c r="F872" s="80">
        <v>3</v>
      </c>
      <c r="G872" s="93" t="s">
        <v>230</v>
      </c>
      <c r="H872" s="181" t="s">
        <v>446</v>
      </c>
      <c r="I872" s="186" t="s">
        <v>232</v>
      </c>
    </row>
    <row r="873" spans="1:9" x14ac:dyDescent="0.3">
      <c r="A873" s="78" t="s">
        <v>6</v>
      </c>
      <c r="B873" s="78" t="s">
        <v>6</v>
      </c>
      <c r="C873" s="79" t="s">
        <v>98</v>
      </c>
      <c r="D873" s="80">
        <f>D872+F872</f>
        <v>5317</v>
      </c>
      <c r="E873" s="80">
        <f>D873+F873-1</f>
        <v>5319</v>
      </c>
      <c r="F873" s="80">
        <v>3</v>
      </c>
      <c r="G873" s="93" t="s">
        <v>231</v>
      </c>
      <c r="H873" s="185"/>
      <c r="I873" s="187"/>
    </row>
    <row r="874" spans="1:9" ht="30.6" customHeight="1" x14ac:dyDescent="0.3">
      <c r="A874" s="116"/>
      <c r="B874" s="116"/>
      <c r="C874" s="117"/>
      <c r="D874" s="118"/>
      <c r="E874" s="118"/>
      <c r="F874" s="118"/>
      <c r="G874" s="147" t="s">
        <v>630</v>
      </c>
      <c r="H874" s="119"/>
      <c r="I874" s="120"/>
    </row>
    <row r="875" spans="1:9" ht="66" x14ac:dyDescent="0.25">
      <c r="A875" s="86" t="s">
        <v>0</v>
      </c>
      <c r="B875" s="86" t="s">
        <v>0</v>
      </c>
      <c r="C875" s="79" t="s">
        <v>98</v>
      </c>
      <c r="D875" s="111">
        <f>D873+F873</f>
        <v>5320</v>
      </c>
      <c r="E875" s="112">
        <f t="shared" ref="E875:E890" si="139">D875+F875-1</f>
        <v>5323</v>
      </c>
      <c r="F875" s="111">
        <v>4</v>
      </c>
      <c r="G875" s="89" t="s">
        <v>414</v>
      </c>
      <c r="H875" s="91" t="s">
        <v>522</v>
      </c>
      <c r="I875" s="139" t="s">
        <v>636</v>
      </c>
    </row>
    <row r="876" spans="1:9" ht="79.2" x14ac:dyDescent="0.25">
      <c r="A876" s="86" t="s">
        <v>0</v>
      </c>
      <c r="B876" s="86" t="s">
        <v>0</v>
      </c>
      <c r="C876" s="79" t="s">
        <v>98</v>
      </c>
      <c r="D876" s="111">
        <f t="shared" ref="D876:D877" si="140">D875+F875</f>
        <v>5324</v>
      </c>
      <c r="E876" s="112">
        <f t="shared" si="139"/>
        <v>5324</v>
      </c>
      <c r="F876" s="111">
        <v>1</v>
      </c>
      <c r="G876" s="89" t="s">
        <v>415</v>
      </c>
      <c r="H876" s="91" t="s">
        <v>403</v>
      </c>
      <c r="I876" s="124" t="s">
        <v>530</v>
      </c>
    </row>
    <row r="877" spans="1:9" ht="66" x14ac:dyDescent="0.25">
      <c r="A877" s="86" t="s">
        <v>0</v>
      </c>
      <c r="B877" s="86" t="s">
        <v>0</v>
      </c>
      <c r="C877" s="79" t="s">
        <v>98</v>
      </c>
      <c r="D877" s="111">
        <f t="shared" si="140"/>
        <v>5325</v>
      </c>
      <c r="E877" s="112">
        <f t="shared" si="139"/>
        <v>5327</v>
      </c>
      <c r="F877" s="111">
        <v>3</v>
      </c>
      <c r="G877" s="89" t="s">
        <v>416</v>
      </c>
      <c r="H877" s="91" t="s">
        <v>85</v>
      </c>
      <c r="I877" s="139" t="s">
        <v>668</v>
      </c>
    </row>
    <row r="878" spans="1:9" ht="66" x14ac:dyDescent="0.25">
      <c r="A878" s="86" t="s">
        <v>0</v>
      </c>
      <c r="B878" s="86" t="s">
        <v>0</v>
      </c>
      <c r="C878" s="79" t="s">
        <v>98</v>
      </c>
      <c r="D878" s="111">
        <f>D877+F877</f>
        <v>5328</v>
      </c>
      <c r="E878" s="112">
        <f t="shared" si="139"/>
        <v>5331</v>
      </c>
      <c r="F878" s="111">
        <v>4</v>
      </c>
      <c r="G878" s="89" t="s">
        <v>417</v>
      </c>
      <c r="H878" s="91" t="s">
        <v>522</v>
      </c>
      <c r="I878" s="139" t="s">
        <v>635</v>
      </c>
    </row>
    <row r="879" spans="1:9" ht="79.2" x14ac:dyDescent="0.25">
      <c r="A879" s="86" t="s">
        <v>0</v>
      </c>
      <c r="B879" s="86" t="s">
        <v>0</v>
      </c>
      <c r="C879" s="79" t="s">
        <v>98</v>
      </c>
      <c r="D879" s="111">
        <f t="shared" ref="D879:D888" si="141">D878+F878</f>
        <v>5332</v>
      </c>
      <c r="E879" s="112">
        <f t="shared" si="139"/>
        <v>5332</v>
      </c>
      <c r="F879" s="111">
        <v>1</v>
      </c>
      <c r="G879" s="89" t="s">
        <v>418</v>
      </c>
      <c r="H879" s="91" t="s">
        <v>403</v>
      </c>
      <c r="I879" s="124" t="s">
        <v>531</v>
      </c>
    </row>
    <row r="880" spans="1:9" ht="66" x14ac:dyDescent="0.25">
      <c r="A880" s="86" t="s">
        <v>0</v>
      </c>
      <c r="B880" s="86" t="s">
        <v>0</v>
      </c>
      <c r="C880" s="79" t="s">
        <v>98</v>
      </c>
      <c r="D880" s="111">
        <f>D879+F879</f>
        <v>5333</v>
      </c>
      <c r="E880" s="112">
        <f t="shared" si="139"/>
        <v>5335</v>
      </c>
      <c r="F880" s="111">
        <v>3</v>
      </c>
      <c r="G880" s="89" t="s">
        <v>419</v>
      </c>
      <c r="H880" s="91" t="s">
        <v>85</v>
      </c>
      <c r="I880" s="139" t="s">
        <v>629</v>
      </c>
    </row>
    <row r="881" spans="1:9" ht="66" x14ac:dyDescent="0.25">
      <c r="A881" s="86" t="s">
        <v>0</v>
      </c>
      <c r="B881" s="86" t="s">
        <v>0</v>
      </c>
      <c r="C881" s="79" t="s">
        <v>98</v>
      </c>
      <c r="D881" s="111">
        <f>D880+F880</f>
        <v>5336</v>
      </c>
      <c r="E881" s="112">
        <f t="shared" si="139"/>
        <v>5339</v>
      </c>
      <c r="F881" s="111">
        <v>4</v>
      </c>
      <c r="G881" s="89" t="s">
        <v>420</v>
      </c>
      <c r="H881" s="91" t="s">
        <v>522</v>
      </c>
      <c r="I881" s="139" t="s">
        <v>631</v>
      </c>
    </row>
    <row r="882" spans="1:9" ht="79.2" x14ac:dyDescent="0.25">
      <c r="A882" s="86" t="s">
        <v>0</v>
      </c>
      <c r="B882" s="86" t="s">
        <v>0</v>
      </c>
      <c r="C882" s="79" t="s">
        <v>98</v>
      </c>
      <c r="D882" s="111">
        <f t="shared" si="141"/>
        <v>5340</v>
      </c>
      <c r="E882" s="112">
        <f t="shared" si="139"/>
        <v>5340</v>
      </c>
      <c r="F882" s="111">
        <v>1</v>
      </c>
      <c r="G882" s="89" t="s">
        <v>421</v>
      </c>
      <c r="H882" s="91" t="s">
        <v>403</v>
      </c>
      <c r="I882" s="124" t="s">
        <v>587</v>
      </c>
    </row>
    <row r="883" spans="1:9" ht="66" x14ac:dyDescent="0.25">
      <c r="A883" s="86" t="s">
        <v>0</v>
      </c>
      <c r="B883" s="86" t="s">
        <v>0</v>
      </c>
      <c r="C883" s="79" t="s">
        <v>98</v>
      </c>
      <c r="D883" s="111">
        <f>D882+F882</f>
        <v>5341</v>
      </c>
      <c r="E883" s="112">
        <f t="shared" si="139"/>
        <v>5343</v>
      </c>
      <c r="F883" s="111">
        <v>3</v>
      </c>
      <c r="G883" s="89" t="s">
        <v>422</v>
      </c>
      <c r="H883" s="91" t="s">
        <v>85</v>
      </c>
      <c r="I883" s="139" t="s">
        <v>637</v>
      </c>
    </row>
    <row r="884" spans="1:9" ht="66" x14ac:dyDescent="0.25">
      <c r="A884" s="86" t="s">
        <v>0</v>
      </c>
      <c r="B884" s="86" t="s">
        <v>0</v>
      </c>
      <c r="C884" s="79" t="s">
        <v>98</v>
      </c>
      <c r="D884" s="111">
        <f>D883+F883</f>
        <v>5344</v>
      </c>
      <c r="E884" s="112">
        <f t="shared" si="139"/>
        <v>5347</v>
      </c>
      <c r="F884" s="111">
        <v>4</v>
      </c>
      <c r="G884" s="89" t="s">
        <v>423</v>
      </c>
      <c r="H884" s="91" t="s">
        <v>522</v>
      </c>
      <c r="I884" s="139" t="s">
        <v>632</v>
      </c>
    </row>
    <row r="885" spans="1:9" ht="92.4" x14ac:dyDescent="0.25">
      <c r="A885" s="86" t="s">
        <v>0</v>
      </c>
      <c r="B885" s="86" t="s">
        <v>0</v>
      </c>
      <c r="C885" s="79" t="s">
        <v>98</v>
      </c>
      <c r="D885" s="111">
        <f t="shared" si="141"/>
        <v>5348</v>
      </c>
      <c r="E885" s="112">
        <f t="shared" si="139"/>
        <v>5348</v>
      </c>
      <c r="F885" s="111">
        <v>1</v>
      </c>
      <c r="G885" s="89" t="s">
        <v>424</v>
      </c>
      <c r="H885" s="91" t="s">
        <v>403</v>
      </c>
      <c r="I885" s="124" t="s">
        <v>588</v>
      </c>
    </row>
    <row r="886" spans="1:9" ht="66" x14ac:dyDescent="0.25">
      <c r="A886" s="86" t="s">
        <v>0</v>
      </c>
      <c r="B886" s="86" t="s">
        <v>0</v>
      </c>
      <c r="C886" s="79" t="s">
        <v>98</v>
      </c>
      <c r="D886" s="111">
        <f>D885+F885</f>
        <v>5349</v>
      </c>
      <c r="E886" s="112">
        <f t="shared" si="139"/>
        <v>5351</v>
      </c>
      <c r="F886" s="111">
        <v>3</v>
      </c>
      <c r="G886" s="89" t="s">
        <v>425</v>
      </c>
      <c r="H886" s="91" t="s">
        <v>85</v>
      </c>
      <c r="I886" s="139" t="s">
        <v>669</v>
      </c>
    </row>
    <row r="887" spans="1:9" ht="66" x14ac:dyDescent="0.25">
      <c r="A887" s="86" t="s">
        <v>0</v>
      </c>
      <c r="B887" s="86" t="s">
        <v>0</v>
      </c>
      <c r="C887" s="79" t="s">
        <v>98</v>
      </c>
      <c r="D887" s="111">
        <f>D886+F886</f>
        <v>5352</v>
      </c>
      <c r="E887" s="112">
        <f t="shared" si="139"/>
        <v>5355</v>
      </c>
      <c r="F887" s="111">
        <v>4</v>
      </c>
      <c r="G887" s="89" t="s">
        <v>426</v>
      </c>
      <c r="H887" s="91" t="s">
        <v>522</v>
      </c>
      <c r="I887" s="139" t="s">
        <v>633</v>
      </c>
    </row>
    <row r="888" spans="1:9" ht="105.6" x14ac:dyDescent="0.25">
      <c r="A888" s="86" t="s">
        <v>0</v>
      </c>
      <c r="B888" s="86" t="s">
        <v>0</v>
      </c>
      <c r="C888" s="79" t="s">
        <v>98</v>
      </c>
      <c r="D888" s="111">
        <f t="shared" si="141"/>
        <v>5356</v>
      </c>
      <c r="E888" s="112">
        <f t="shared" si="139"/>
        <v>5356</v>
      </c>
      <c r="F888" s="111">
        <v>1</v>
      </c>
      <c r="G888" s="89" t="s">
        <v>427</v>
      </c>
      <c r="H888" s="91" t="s">
        <v>403</v>
      </c>
      <c r="I888" s="124" t="s">
        <v>589</v>
      </c>
    </row>
    <row r="889" spans="1:9" ht="92.4" x14ac:dyDescent="0.25">
      <c r="A889" s="86" t="s">
        <v>0</v>
      </c>
      <c r="B889" s="86" t="s">
        <v>0</v>
      </c>
      <c r="C889" s="79" t="s">
        <v>98</v>
      </c>
      <c r="D889" s="111">
        <f>D888+F888</f>
        <v>5357</v>
      </c>
      <c r="E889" s="112">
        <f t="shared" si="139"/>
        <v>5359</v>
      </c>
      <c r="F889" s="111">
        <v>3</v>
      </c>
      <c r="G889" s="89" t="s">
        <v>428</v>
      </c>
      <c r="H889" s="91" t="s">
        <v>85</v>
      </c>
      <c r="I889" s="139" t="s">
        <v>638</v>
      </c>
    </row>
    <row r="890" spans="1:9" x14ac:dyDescent="0.25">
      <c r="A890" s="86"/>
      <c r="B890" s="86"/>
      <c r="C890" s="79" t="s">
        <v>98</v>
      </c>
      <c r="D890" s="111">
        <f>D889+F889</f>
        <v>5360</v>
      </c>
      <c r="E890" s="112">
        <f t="shared" si="139"/>
        <v>5379</v>
      </c>
      <c r="F890" s="111">
        <v>20</v>
      </c>
      <c r="G890" s="89" t="s">
        <v>55</v>
      </c>
      <c r="H890" s="129"/>
      <c r="I890" s="92"/>
    </row>
    <row r="891" spans="1:9" x14ac:dyDescent="0.25">
      <c r="A891" s="86"/>
      <c r="B891" s="86"/>
      <c r="C891" s="79" t="s">
        <v>98</v>
      </c>
      <c r="D891" s="111"/>
      <c r="E891" s="111"/>
      <c r="F891" s="111"/>
      <c r="G891" s="147" t="s">
        <v>642</v>
      </c>
      <c r="H891" s="129"/>
      <c r="I891" s="92"/>
    </row>
    <row r="892" spans="1:9" ht="52.8" x14ac:dyDescent="0.25">
      <c r="A892" s="86" t="s">
        <v>0</v>
      </c>
      <c r="B892" s="86" t="s">
        <v>0</v>
      </c>
      <c r="C892" s="79" t="s">
        <v>98</v>
      </c>
      <c r="D892" s="111">
        <f>D890+F890</f>
        <v>5380</v>
      </c>
      <c r="E892" s="112">
        <f t="shared" ref="E892:E898" si="142">D892+F892-1</f>
        <v>5383</v>
      </c>
      <c r="F892" s="111">
        <v>4</v>
      </c>
      <c r="G892" s="89" t="s">
        <v>158</v>
      </c>
      <c r="H892" s="91" t="s">
        <v>522</v>
      </c>
      <c r="I892" s="139" t="s">
        <v>641</v>
      </c>
    </row>
    <row r="893" spans="1:9" ht="79.2" x14ac:dyDescent="0.25">
      <c r="A893" s="86" t="s">
        <v>0</v>
      </c>
      <c r="B893" s="86" t="s">
        <v>0</v>
      </c>
      <c r="C893" s="79" t="s">
        <v>98</v>
      </c>
      <c r="D893" s="111">
        <f t="shared" ref="D893" si="143">D892+F892</f>
        <v>5384</v>
      </c>
      <c r="E893" s="112">
        <f t="shared" si="142"/>
        <v>5384</v>
      </c>
      <c r="F893" s="111">
        <v>1</v>
      </c>
      <c r="G893" s="89" t="s">
        <v>429</v>
      </c>
      <c r="H893" s="91" t="s">
        <v>403</v>
      </c>
      <c r="I893" s="124" t="s">
        <v>590</v>
      </c>
    </row>
    <row r="894" spans="1:9" ht="66" x14ac:dyDescent="0.25">
      <c r="A894" s="86" t="s">
        <v>0</v>
      </c>
      <c r="B894" s="86" t="s">
        <v>0</v>
      </c>
      <c r="C894" s="79" t="s">
        <v>98</v>
      </c>
      <c r="D894" s="111">
        <f>D893+F893</f>
        <v>5385</v>
      </c>
      <c r="E894" s="112">
        <f t="shared" si="142"/>
        <v>5387</v>
      </c>
      <c r="F894" s="111">
        <v>3</v>
      </c>
      <c r="G894" s="89" t="s">
        <v>167</v>
      </c>
      <c r="H894" s="91" t="s">
        <v>85</v>
      </c>
      <c r="I894" s="139" t="s">
        <v>634</v>
      </c>
    </row>
    <row r="895" spans="1:9" ht="52.8" x14ac:dyDescent="0.25">
      <c r="A895" s="86" t="s">
        <v>0</v>
      </c>
      <c r="B895" s="86" t="s">
        <v>0</v>
      </c>
      <c r="C895" s="79" t="s">
        <v>98</v>
      </c>
      <c r="D895" s="111">
        <f>D894+F894</f>
        <v>5388</v>
      </c>
      <c r="E895" s="112">
        <f t="shared" si="142"/>
        <v>5391</v>
      </c>
      <c r="F895" s="111">
        <v>4</v>
      </c>
      <c r="G895" s="89" t="s">
        <v>430</v>
      </c>
      <c r="H895" s="91" t="s">
        <v>522</v>
      </c>
      <c r="I895" s="139" t="s">
        <v>640</v>
      </c>
    </row>
    <row r="896" spans="1:9" ht="79.2" x14ac:dyDescent="0.25">
      <c r="A896" s="86" t="s">
        <v>0</v>
      </c>
      <c r="B896" s="86" t="s">
        <v>0</v>
      </c>
      <c r="C896" s="102" t="s">
        <v>98</v>
      </c>
      <c r="D896" s="111">
        <f t="shared" ref="D896" si="144">D895+F895</f>
        <v>5392</v>
      </c>
      <c r="E896" s="114">
        <f t="shared" si="142"/>
        <v>5392</v>
      </c>
      <c r="F896" s="111">
        <v>1</v>
      </c>
      <c r="G896" s="115" t="s">
        <v>431</v>
      </c>
      <c r="H896" s="91" t="s">
        <v>403</v>
      </c>
      <c r="I896" s="124" t="s">
        <v>556</v>
      </c>
    </row>
    <row r="897" spans="1:9" ht="66" x14ac:dyDescent="0.25">
      <c r="A897" s="86" t="s">
        <v>0</v>
      </c>
      <c r="B897" s="86" t="s">
        <v>0</v>
      </c>
      <c r="C897" s="79" t="s">
        <v>98</v>
      </c>
      <c r="D897" s="111">
        <f>D896+F896</f>
        <v>5393</v>
      </c>
      <c r="E897" s="112">
        <f t="shared" si="142"/>
        <v>5395</v>
      </c>
      <c r="F897" s="111">
        <v>3</v>
      </c>
      <c r="G897" s="89" t="s">
        <v>432</v>
      </c>
      <c r="H897" s="91" t="s">
        <v>85</v>
      </c>
      <c r="I897" s="139" t="s">
        <v>639</v>
      </c>
    </row>
    <row r="898" spans="1:9" x14ac:dyDescent="0.25">
      <c r="A898" s="86"/>
      <c r="B898" s="86"/>
      <c r="C898" s="86"/>
      <c r="D898" s="111">
        <f>D897+F897</f>
        <v>5396</v>
      </c>
      <c r="E898" s="112">
        <f t="shared" si="142"/>
        <v>5415</v>
      </c>
      <c r="F898" s="111">
        <v>20</v>
      </c>
      <c r="G898" s="89" t="s">
        <v>55</v>
      </c>
      <c r="H898" s="97"/>
      <c r="I898" s="124"/>
    </row>
    <row r="899" spans="1:9" x14ac:dyDescent="0.3">
      <c r="A899" s="78"/>
      <c r="B899" s="78"/>
      <c r="C899" s="79"/>
      <c r="D899" s="96"/>
      <c r="E899" s="113"/>
      <c r="F899" s="80"/>
      <c r="G899" s="85" t="s">
        <v>384</v>
      </c>
      <c r="H899" s="83"/>
      <c r="I899" s="124"/>
    </row>
    <row r="900" spans="1:9" ht="26.4" x14ac:dyDescent="0.3">
      <c r="A900" s="78" t="s">
        <v>0</v>
      </c>
      <c r="B900" s="78" t="s">
        <v>0</v>
      </c>
      <c r="C900" s="79" t="s">
        <v>356</v>
      </c>
      <c r="D900" s="88">
        <f>D898+F898</f>
        <v>5416</v>
      </c>
      <c r="E900" s="87">
        <f>D900+F900-1</f>
        <v>5417</v>
      </c>
      <c r="F900" s="78">
        <v>2</v>
      </c>
      <c r="G900" s="81" t="s">
        <v>385</v>
      </c>
      <c r="H900" s="83" t="s">
        <v>92</v>
      </c>
      <c r="I900" s="124" t="s">
        <v>153</v>
      </c>
    </row>
    <row r="901" spans="1:9" ht="66" x14ac:dyDescent="0.3">
      <c r="A901" s="78" t="s">
        <v>0</v>
      </c>
      <c r="B901" s="78" t="s">
        <v>0</v>
      </c>
      <c r="C901" s="79" t="s">
        <v>98</v>
      </c>
      <c r="D901" s="80">
        <f t="shared" ref="D901:D906" si="145">D900+F900</f>
        <v>5418</v>
      </c>
      <c r="E901" s="80">
        <f t="shared" ref="E901:E908" si="146">D901+F901-1</f>
        <v>5418</v>
      </c>
      <c r="F901" s="80">
        <v>1</v>
      </c>
      <c r="G901" s="93" t="s">
        <v>26</v>
      </c>
      <c r="H901" s="83" t="s">
        <v>125</v>
      </c>
      <c r="I901" s="124" t="s">
        <v>372</v>
      </c>
    </row>
    <row r="902" spans="1:9" ht="39.6" x14ac:dyDescent="0.3">
      <c r="A902" s="78" t="s">
        <v>0</v>
      </c>
      <c r="B902" s="78" t="s">
        <v>0</v>
      </c>
      <c r="C902" s="79" t="s">
        <v>98</v>
      </c>
      <c r="D902" s="80">
        <f t="shared" si="145"/>
        <v>5419</v>
      </c>
      <c r="E902" s="80">
        <f t="shared" si="146"/>
        <v>5419</v>
      </c>
      <c r="F902" s="80">
        <v>1</v>
      </c>
      <c r="G902" s="93" t="s">
        <v>27</v>
      </c>
      <c r="H902" s="83" t="s">
        <v>81</v>
      </c>
      <c r="I902" s="124" t="s">
        <v>235</v>
      </c>
    </row>
    <row r="903" spans="1:9" ht="39.6" x14ac:dyDescent="0.3">
      <c r="A903" s="78" t="s">
        <v>6</v>
      </c>
      <c r="B903" s="78" t="s">
        <v>6</v>
      </c>
      <c r="C903" s="79" t="s">
        <v>99</v>
      </c>
      <c r="D903" s="80">
        <f t="shared" si="145"/>
        <v>5420</v>
      </c>
      <c r="E903" s="80">
        <f t="shared" si="146"/>
        <v>5420</v>
      </c>
      <c r="F903" s="80">
        <v>1</v>
      </c>
      <c r="G903" s="93" t="s">
        <v>122</v>
      </c>
      <c r="H903" s="83" t="s">
        <v>233</v>
      </c>
      <c r="I903" s="124" t="s">
        <v>234</v>
      </c>
    </row>
    <row r="904" spans="1:9" ht="52.8" x14ac:dyDescent="0.3">
      <c r="A904" s="78" t="s">
        <v>0</v>
      </c>
      <c r="B904" s="78" t="s">
        <v>0</v>
      </c>
      <c r="C904" s="79" t="s">
        <v>98</v>
      </c>
      <c r="D904" s="80">
        <f t="shared" si="145"/>
        <v>5421</v>
      </c>
      <c r="E904" s="80">
        <f t="shared" si="146"/>
        <v>5421</v>
      </c>
      <c r="F904" s="80">
        <v>1</v>
      </c>
      <c r="G904" s="93" t="s">
        <v>28</v>
      </c>
      <c r="H904" s="83" t="s">
        <v>82</v>
      </c>
      <c r="I904" s="124" t="s">
        <v>236</v>
      </c>
    </row>
    <row r="905" spans="1:9" ht="79.2" x14ac:dyDescent="0.3">
      <c r="A905" s="78" t="s">
        <v>0</v>
      </c>
      <c r="B905" s="78" t="s">
        <v>0</v>
      </c>
      <c r="C905" s="79" t="s">
        <v>98</v>
      </c>
      <c r="D905" s="80">
        <f t="shared" si="145"/>
        <v>5422</v>
      </c>
      <c r="E905" s="80">
        <f t="shared" si="146"/>
        <v>5422</v>
      </c>
      <c r="F905" s="80">
        <v>1</v>
      </c>
      <c r="G905" s="93" t="s">
        <v>32</v>
      </c>
      <c r="H905" s="83" t="s">
        <v>79</v>
      </c>
      <c r="I905" s="124" t="s">
        <v>329</v>
      </c>
    </row>
    <row r="906" spans="1:9" ht="66" x14ac:dyDescent="0.3">
      <c r="A906" s="78" t="s">
        <v>0</v>
      </c>
      <c r="B906" s="78" t="s">
        <v>0</v>
      </c>
      <c r="C906" s="79" t="s">
        <v>98</v>
      </c>
      <c r="D906" s="80">
        <f t="shared" si="145"/>
        <v>5423</v>
      </c>
      <c r="E906" s="80">
        <f t="shared" si="146"/>
        <v>5423</v>
      </c>
      <c r="F906" s="80">
        <v>1</v>
      </c>
      <c r="G906" s="93" t="s">
        <v>29</v>
      </c>
      <c r="H906" s="83" t="s">
        <v>78</v>
      </c>
      <c r="I906" s="124" t="s">
        <v>680</v>
      </c>
    </row>
    <row r="907" spans="1:9" ht="39.6" x14ac:dyDescent="0.3">
      <c r="A907" s="78" t="s">
        <v>6</v>
      </c>
      <c r="B907" s="78" t="s">
        <v>6</v>
      </c>
      <c r="C907" s="79" t="s">
        <v>99</v>
      </c>
      <c r="D907" s="80">
        <f>D906+F906</f>
        <v>5424</v>
      </c>
      <c r="E907" s="80">
        <f t="shared" si="146"/>
        <v>5424</v>
      </c>
      <c r="F907" s="80">
        <v>1</v>
      </c>
      <c r="G907" s="93" t="s">
        <v>119</v>
      </c>
      <c r="H907" s="83" t="s">
        <v>370</v>
      </c>
      <c r="I907" s="124" t="s">
        <v>371</v>
      </c>
    </row>
    <row r="908" spans="1:9" x14ac:dyDescent="0.3">
      <c r="A908" s="78"/>
      <c r="B908" s="78"/>
      <c r="C908" s="102"/>
      <c r="D908" s="80">
        <f>D907+F907</f>
        <v>5425</v>
      </c>
      <c r="E908" s="80">
        <f t="shared" si="146"/>
        <v>5434</v>
      </c>
      <c r="F908" s="88">
        <v>10</v>
      </c>
      <c r="G908" s="103" t="s">
        <v>55</v>
      </c>
      <c r="H908" s="83"/>
      <c r="I908" s="124"/>
    </row>
    <row r="909" spans="1:9" x14ac:dyDescent="0.3">
      <c r="A909" s="78"/>
      <c r="B909" s="78"/>
      <c r="C909" s="102"/>
      <c r="D909" s="80"/>
      <c r="E909" s="80"/>
      <c r="F909" s="88"/>
      <c r="G909" s="85" t="s">
        <v>152</v>
      </c>
      <c r="H909" s="83"/>
      <c r="I909" s="124"/>
    </row>
    <row r="910" spans="1:9" ht="92.4" x14ac:dyDescent="0.3">
      <c r="A910" s="78" t="s">
        <v>6</v>
      </c>
      <c r="B910" s="78" t="s">
        <v>6</v>
      </c>
      <c r="C910" s="102" t="s">
        <v>99</v>
      </c>
      <c r="D910" s="80">
        <f>D908+F908</f>
        <v>5435</v>
      </c>
      <c r="E910" s="80">
        <f>D910+F910-1</f>
        <v>5435</v>
      </c>
      <c r="F910" s="88">
        <v>1</v>
      </c>
      <c r="G910" s="81" t="s">
        <v>330</v>
      </c>
      <c r="H910" s="109" t="s">
        <v>118</v>
      </c>
      <c r="I910" s="124" t="s">
        <v>331</v>
      </c>
    </row>
    <row r="911" spans="1:9" ht="66" x14ac:dyDescent="0.3">
      <c r="A911" s="78" t="s">
        <v>6</v>
      </c>
      <c r="B911" s="78" t="s">
        <v>6</v>
      </c>
      <c r="C911" s="102" t="s">
        <v>99</v>
      </c>
      <c r="D911" s="80">
        <f>D910+F910</f>
        <v>5436</v>
      </c>
      <c r="E911" s="80">
        <f>D911+F911-1</f>
        <v>5436</v>
      </c>
      <c r="F911" s="88">
        <v>1</v>
      </c>
      <c r="G911" s="103" t="s">
        <v>116</v>
      </c>
      <c r="H911" s="109" t="s">
        <v>118</v>
      </c>
      <c r="I911" s="124" t="s">
        <v>156</v>
      </c>
    </row>
    <row r="912" spans="1:9" ht="66" x14ac:dyDescent="0.3">
      <c r="A912" s="78" t="s">
        <v>6</v>
      </c>
      <c r="B912" s="78" t="s">
        <v>6</v>
      </c>
      <c r="C912" s="102" t="s">
        <v>99</v>
      </c>
      <c r="D912" s="80">
        <f>D911+F911</f>
        <v>5437</v>
      </c>
      <c r="E912" s="80">
        <f>D912+F912-1</f>
        <v>5437</v>
      </c>
      <c r="F912" s="88">
        <v>1</v>
      </c>
      <c r="G912" s="103" t="s">
        <v>117</v>
      </c>
      <c r="H912" s="109" t="s">
        <v>118</v>
      </c>
      <c r="I912" s="124" t="s">
        <v>237</v>
      </c>
    </row>
    <row r="913" spans="1:9" x14ac:dyDescent="0.3">
      <c r="A913" s="78"/>
      <c r="B913" s="78"/>
      <c r="C913" s="102"/>
      <c r="D913" s="80">
        <f>D912+F912</f>
        <v>5438</v>
      </c>
      <c r="E913" s="80">
        <f>D913+F913-1</f>
        <v>5447</v>
      </c>
      <c r="F913" s="88">
        <v>10</v>
      </c>
      <c r="G913" s="103" t="s">
        <v>55</v>
      </c>
      <c r="H913" s="109"/>
      <c r="I913" s="124"/>
    </row>
    <row r="914" spans="1:9" x14ac:dyDescent="0.3">
      <c r="A914" s="78"/>
      <c r="B914" s="78"/>
      <c r="C914" s="79"/>
      <c r="D914" s="80"/>
      <c r="E914" s="80"/>
      <c r="F914" s="80"/>
      <c r="G914" s="85" t="s">
        <v>36</v>
      </c>
      <c r="H914" s="83"/>
      <c r="I914" s="124"/>
    </row>
    <row r="915" spans="1:9" ht="26.4" x14ac:dyDescent="0.3">
      <c r="A915" s="143" t="s">
        <v>622</v>
      </c>
      <c r="B915" s="143" t="s">
        <v>622</v>
      </c>
      <c r="C915" s="80" t="s">
        <v>96</v>
      </c>
      <c r="D915" s="80">
        <f>D913+F913</f>
        <v>5448</v>
      </c>
      <c r="E915" s="80">
        <f t="shared" ref="E915:E925" si="147">D915+F915-1</f>
        <v>5451</v>
      </c>
      <c r="F915" s="80">
        <v>4</v>
      </c>
      <c r="G915" s="93" t="s">
        <v>34</v>
      </c>
      <c r="H915" s="83" t="s">
        <v>88</v>
      </c>
      <c r="I915" s="171" t="s">
        <v>87</v>
      </c>
    </row>
    <row r="916" spans="1:9" ht="52.8" x14ac:dyDescent="0.3">
      <c r="A916" s="143" t="s">
        <v>622</v>
      </c>
      <c r="B916" s="143" t="s">
        <v>622</v>
      </c>
      <c r="C916" s="80" t="s">
        <v>96</v>
      </c>
      <c r="D916" s="80">
        <f t="shared" ref="D916:D921" si="148">D915+F915</f>
        <v>5452</v>
      </c>
      <c r="E916" s="80">
        <f t="shared" si="147"/>
        <v>5453</v>
      </c>
      <c r="F916" s="80">
        <v>2</v>
      </c>
      <c r="G916" s="93" t="s">
        <v>33</v>
      </c>
      <c r="H916" s="83" t="s">
        <v>86</v>
      </c>
      <c r="I916" s="171"/>
    </row>
    <row r="917" spans="1:9" ht="66" x14ac:dyDescent="0.3">
      <c r="A917" s="143" t="s">
        <v>622</v>
      </c>
      <c r="B917" s="143" t="s">
        <v>622</v>
      </c>
      <c r="C917" s="80" t="s">
        <v>96</v>
      </c>
      <c r="D917" s="80">
        <f t="shared" si="148"/>
        <v>5454</v>
      </c>
      <c r="E917" s="80">
        <f t="shared" si="147"/>
        <v>5456</v>
      </c>
      <c r="F917" s="80">
        <v>3</v>
      </c>
      <c r="G917" s="93" t="s">
        <v>35</v>
      </c>
      <c r="H917" s="151" t="s">
        <v>625</v>
      </c>
      <c r="I917" s="139" t="s">
        <v>627</v>
      </c>
    </row>
    <row r="918" spans="1:9" ht="105.6" x14ac:dyDescent="0.3">
      <c r="A918" s="143" t="s">
        <v>622</v>
      </c>
      <c r="B918" s="143" t="s">
        <v>622</v>
      </c>
      <c r="C918" s="80" t="s">
        <v>96</v>
      </c>
      <c r="D918" s="80">
        <f t="shared" si="148"/>
        <v>5457</v>
      </c>
      <c r="E918" s="80">
        <f t="shared" si="147"/>
        <v>5459</v>
      </c>
      <c r="F918" s="80">
        <v>3</v>
      </c>
      <c r="G918" s="93" t="s">
        <v>292</v>
      </c>
      <c r="H918" s="151" t="s">
        <v>626</v>
      </c>
      <c r="I918" s="124" t="s">
        <v>91</v>
      </c>
    </row>
    <row r="919" spans="1:9" x14ac:dyDescent="0.3">
      <c r="A919" s="78"/>
      <c r="B919" s="78"/>
      <c r="C919" s="79"/>
      <c r="D919" s="80">
        <f t="shared" si="148"/>
        <v>5460</v>
      </c>
      <c r="E919" s="80">
        <f t="shared" si="147"/>
        <v>5469</v>
      </c>
      <c r="F919" s="80">
        <v>10</v>
      </c>
      <c r="G919" s="93" t="s">
        <v>55</v>
      </c>
      <c r="H919" s="83"/>
      <c r="I919" s="124"/>
    </row>
    <row r="920" spans="1:9" ht="118.8" x14ac:dyDescent="0.3">
      <c r="A920" s="78" t="s">
        <v>6</v>
      </c>
      <c r="B920" s="78" t="s">
        <v>6</v>
      </c>
      <c r="C920" s="79" t="s">
        <v>98</v>
      </c>
      <c r="D920" s="80">
        <f t="shared" si="148"/>
        <v>5470</v>
      </c>
      <c r="E920" s="80">
        <f t="shared" si="147"/>
        <v>5669</v>
      </c>
      <c r="F920" s="80">
        <v>200</v>
      </c>
      <c r="G920" s="81" t="s">
        <v>369</v>
      </c>
      <c r="H920" s="171" t="s">
        <v>566</v>
      </c>
      <c r="I920" s="124" t="s">
        <v>397</v>
      </c>
    </row>
    <row r="921" spans="1:9" ht="118.8" x14ac:dyDescent="0.3">
      <c r="A921" s="78" t="s">
        <v>6</v>
      </c>
      <c r="B921" s="78" t="s">
        <v>6</v>
      </c>
      <c r="C921" s="79" t="s">
        <v>98</v>
      </c>
      <c r="D921" s="80">
        <f t="shared" si="148"/>
        <v>5670</v>
      </c>
      <c r="E921" s="80">
        <f t="shared" si="147"/>
        <v>5769</v>
      </c>
      <c r="F921" s="80">
        <v>100</v>
      </c>
      <c r="G921" s="81" t="s">
        <v>363</v>
      </c>
      <c r="H921" s="171"/>
      <c r="I921" s="124" t="s">
        <v>398</v>
      </c>
    </row>
    <row r="922" spans="1:9" x14ac:dyDescent="0.3">
      <c r="A922" s="78"/>
      <c r="B922" s="78"/>
      <c r="C922" s="79"/>
      <c r="D922" s="80">
        <f>D921+F921</f>
        <v>5770</v>
      </c>
      <c r="E922" s="80">
        <f t="shared" si="147"/>
        <v>5785</v>
      </c>
      <c r="F922" s="80">
        <v>16</v>
      </c>
      <c r="G922" s="93" t="s">
        <v>55</v>
      </c>
      <c r="H922" s="65"/>
      <c r="I922" s="82"/>
    </row>
    <row r="923" spans="1:9" ht="100.5" customHeight="1" x14ac:dyDescent="0.3">
      <c r="A923" s="6" t="s">
        <v>6</v>
      </c>
      <c r="B923" s="6" t="s">
        <v>6</v>
      </c>
      <c r="D923" s="3">
        <f>D922+F922</f>
        <v>5786</v>
      </c>
      <c r="E923" s="6">
        <f t="shared" si="147"/>
        <v>5800</v>
      </c>
      <c r="F923" s="6">
        <v>15</v>
      </c>
      <c r="G923" s="24" t="s">
        <v>347</v>
      </c>
      <c r="I923" s="170" t="s">
        <v>352</v>
      </c>
    </row>
    <row r="924" spans="1:9" ht="151.80000000000001" customHeight="1" x14ac:dyDescent="0.3">
      <c r="A924" s="6" t="s">
        <v>6</v>
      </c>
      <c r="B924" s="6" t="s">
        <v>6</v>
      </c>
      <c r="D924" s="6">
        <f>D923+F923</f>
        <v>5801</v>
      </c>
      <c r="E924" s="6">
        <f t="shared" si="147"/>
        <v>5820</v>
      </c>
      <c r="F924" s="6">
        <v>20</v>
      </c>
      <c r="G924" s="24" t="s">
        <v>348</v>
      </c>
      <c r="I924" s="170"/>
    </row>
    <row r="925" spans="1:9" x14ac:dyDescent="0.3">
      <c r="A925" s="88" t="s">
        <v>0</v>
      </c>
      <c r="B925" s="88" t="s">
        <v>0</v>
      </c>
      <c r="C925" s="106"/>
      <c r="D925" s="6">
        <f>D924+F924</f>
        <v>5821</v>
      </c>
      <c r="E925" s="88">
        <f t="shared" si="147"/>
        <v>5839</v>
      </c>
      <c r="F925" s="88">
        <v>19</v>
      </c>
      <c r="G925" s="107" t="s">
        <v>393</v>
      </c>
      <c r="H925" s="108" t="s">
        <v>391</v>
      </c>
      <c r="I925" s="82" t="s">
        <v>392</v>
      </c>
    </row>
    <row r="926" spans="1:9" x14ac:dyDescent="0.3">
      <c r="D926" s="6"/>
      <c r="E926" s="6"/>
      <c r="F926" s="6"/>
      <c r="I926" s="75"/>
    </row>
    <row r="927" spans="1:9" x14ac:dyDescent="0.3">
      <c r="C927" s="29" t="s">
        <v>101</v>
      </c>
      <c r="E927" s="29">
        <f>E925</f>
        <v>5839</v>
      </c>
      <c r="I927" s="75"/>
    </row>
  </sheetData>
  <mergeCells count="111">
    <mergeCell ref="I727:I740"/>
    <mergeCell ref="H742:H755"/>
    <mergeCell ref="H180:H182"/>
    <mergeCell ref="H237:H238"/>
    <mergeCell ref="I720:I723"/>
    <mergeCell ref="I212:I225"/>
    <mergeCell ref="I237:I238"/>
    <mergeCell ref="H505:H507"/>
    <mergeCell ref="H427:H440"/>
    <mergeCell ref="H442:H455"/>
    <mergeCell ref="H407:H409"/>
    <mergeCell ref="H411:H413"/>
    <mergeCell ref="H624:H637"/>
    <mergeCell ref="I617:I620"/>
    <mergeCell ref="H596:H597"/>
    <mergeCell ref="H699:H700"/>
    <mergeCell ref="I505:I507"/>
    <mergeCell ref="H169:H170"/>
    <mergeCell ref="H285:H286"/>
    <mergeCell ref="H400:H401"/>
    <mergeCell ref="I407:I409"/>
    <mergeCell ref="I410:I413"/>
    <mergeCell ref="H509:H511"/>
    <mergeCell ref="I525:I538"/>
    <mergeCell ref="H498:H499"/>
    <mergeCell ref="H176:H178"/>
    <mergeCell ref="I872:I873"/>
    <mergeCell ref="H565:H566"/>
    <mergeCell ref="I565:I566"/>
    <mergeCell ref="H607:H609"/>
    <mergeCell ref="I767:I768"/>
    <mergeCell ref="H706:H708"/>
    <mergeCell ref="I706:I708"/>
    <mergeCell ref="I709:I712"/>
    <mergeCell ref="H710:H712"/>
    <mergeCell ref="I847:I860"/>
    <mergeCell ref="I826:I828"/>
    <mergeCell ref="H816:H818"/>
    <mergeCell ref="H832:H845"/>
    <mergeCell ref="I832:I845"/>
    <mergeCell ref="H664:H665"/>
    <mergeCell ref="I591:I592"/>
    <mergeCell ref="I812:I814"/>
    <mergeCell ref="I815:I818"/>
    <mergeCell ref="I603:I605"/>
    <mergeCell ref="I606:I609"/>
    <mergeCell ref="I664:I665"/>
    <mergeCell ref="I802:I803"/>
    <mergeCell ref="H806:H807"/>
    <mergeCell ref="H727:H740"/>
    <mergeCell ref="I923:I924"/>
    <mergeCell ref="H292:H294"/>
    <mergeCell ref="H296:H298"/>
    <mergeCell ref="I313:I326"/>
    <mergeCell ref="H197:H210"/>
    <mergeCell ref="H212:H225"/>
    <mergeCell ref="H313:H326"/>
    <mergeCell ref="I421:I423"/>
    <mergeCell ref="I306:I308"/>
    <mergeCell ref="I292:I294"/>
    <mergeCell ref="I295:I298"/>
    <mergeCell ref="I328:I343"/>
    <mergeCell ref="H639:H652"/>
    <mergeCell ref="I624:I637"/>
    <mergeCell ref="I639:I652"/>
    <mergeCell ref="H920:H921"/>
    <mergeCell ref="H812:H814"/>
    <mergeCell ref="I742:I755"/>
    <mergeCell ref="H767:H768"/>
    <mergeCell ref="H847:H860"/>
    <mergeCell ref="I915:I916"/>
    <mergeCell ref="I694:I695"/>
    <mergeCell ref="I508:I511"/>
    <mergeCell ref="H872:H873"/>
    <mergeCell ref="C1:H1"/>
    <mergeCell ref="I16:I18"/>
    <mergeCell ref="H56:H58"/>
    <mergeCell ref="I59:I62"/>
    <mergeCell ref="H60:H62"/>
    <mergeCell ref="I71:I73"/>
    <mergeCell ref="H78:H91"/>
    <mergeCell ref="I38:I43"/>
    <mergeCell ref="I56:I58"/>
    <mergeCell ref="H36:H37"/>
    <mergeCell ref="I21:I23"/>
    <mergeCell ref="I6:I7"/>
    <mergeCell ref="I78:I91"/>
    <mergeCell ref="H105:H106"/>
    <mergeCell ref="H93:H104"/>
    <mergeCell ref="H340:H341"/>
    <mergeCell ref="H328:H339"/>
    <mergeCell ref="I540:I553"/>
    <mergeCell ref="I519:I521"/>
    <mergeCell ref="H525:H538"/>
    <mergeCell ref="H540:H553"/>
    <mergeCell ref="H603:H605"/>
    <mergeCell ref="I93:I108"/>
    <mergeCell ref="I191:I193"/>
    <mergeCell ref="I176:I178"/>
    <mergeCell ref="I179:I182"/>
    <mergeCell ref="I197:I210"/>
    <mergeCell ref="H120:H121"/>
    <mergeCell ref="I120:I121"/>
    <mergeCell ref="H355:H356"/>
    <mergeCell ref="I355:I356"/>
    <mergeCell ref="I164:I165"/>
    <mergeCell ref="I280:I281"/>
    <mergeCell ref="I395:I396"/>
    <mergeCell ref="I493:I494"/>
    <mergeCell ref="I427:I440"/>
    <mergeCell ref="I442:I455"/>
  </mergeCells>
  <printOptions headings="1" gridLines="1"/>
  <pageMargins left="0.25" right="0.25" top="0.75" bottom="0.75" header="0.3" footer="0.3"/>
  <pageSetup paperSize="5" scale="80" fitToHeight="0" orientation="landscape" r:id="rId1"/>
  <headerFooter>
    <oddFooter>&amp;L&amp;"Arial,Regular"&amp;10R = Registration     I = In-window     P = Post-window     H = History     A = Accountability&amp;C&amp;"Arial,Regular"&amp;10Page &amp;P of &amp;N&amp;RLast Saved Date: 4/26/2018 1:35:51 PM</oddFooter>
  </headerFooter>
  <ignoredErrors>
    <ignoredError sqref="D806"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5"/>
  <sheetViews>
    <sheetView topLeftCell="A70" workbookViewId="0">
      <selection activeCell="B75" sqref="B75"/>
    </sheetView>
  </sheetViews>
  <sheetFormatPr defaultRowHeight="14.4" x14ac:dyDescent="0.3"/>
  <cols>
    <col min="1" max="1" width="10.6640625" bestFit="1" customWidth="1"/>
    <col min="2" max="2" width="66.5546875" style="33" customWidth="1"/>
    <col min="3" max="3" width="20.33203125" customWidth="1"/>
  </cols>
  <sheetData>
    <row r="1" spans="1:3" x14ac:dyDescent="0.3">
      <c r="A1" s="206" t="s">
        <v>238</v>
      </c>
      <c r="B1" s="206"/>
      <c r="C1" s="206"/>
    </row>
    <row r="2" spans="1:3" ht="26.4" x14ac:dyDescent="0.3">
      <c r="A2" s="19" t="s">
        <v>239</v>
      </c>
      <c r="B2" s="20" t="s">
        <v>240</v>
      </c>
      <c r="C2" s="21" t="s">
        <v>241</v>
      </c>
    </row>
    <row r="3" spans="1:3" x14ac:dyDescent="0.3">
      <c r="A3" s="30">
        <v>42624</v>
      </c>
      <c r="B3" s="32" t="s">
        <v>243</v>
      </c>
      <c r="C3" s="31" t="s">
        <v>242</v>
      </c>
    </row>
    <row r="4" spans="1:3" ht="28.8" x14ac:dyDescent="0.3">
      <c r="A4" s="30">
        <v>42633</v>
      </c>
      <c r="B4" s="32" t="s">
        <v>283</v>
      </c>
      <c r="C4" s="31" t="s">
        <v>242</v>
      </c>
    </row>
    <row r="5" spans="1:3" ht="28.8" x14ac:dyDescent="0.3">
      <c r="A5" s="30">
        <v>42633</v>
      </c>
      <c r="B5" s="32" t="s">
        <v>284</v>
      </c>
      <c r="C5" s="31" t="s">
        <v>242</v>
      </c>
    </row>
    <row r="6" spans="1:3" ht="28.8" x14ac:dyDescent="0.3">
      <c r="A6" s="30">
        <v>42633</v>
      </c>
      <c r="B6" s="32" t="s">
        <v>285</v>
      </c>
      <c r="C6" s="31" t="s">
        <v>242</v>
      </c>
    </row>
    <row r="7" spans="1:3" ht="28.8" x14ac:dyDescent="0.3">
      <c r="A7" s="30">
        <v>42633</v>
      </c>
      <c r="B7" s="32" t="s">
        <v>286</v>
      </c>
      <c r="C7" s="31" t="s">
        <v>242</v>
      </c>
    </row>
    <row r="8" spans="1:3" ht="43.2" x14ac:dyDescent="0.3">
      <c r="A8" s="30">
        <v>42633</v>
      </c>
      <c r="B8" s="32" t="s">
        <v>287</v>
      </c>
      <c r="C8" s="31" t="s">
        <v>242</v>
      </c>
    </row>
    <row r="9" spans="1:3" ht="28.8" x14ac:dyDescent="0.3">
      <c r="A9" s="30">
        <v>42633</v>
      </c>
      <c r="B9" s="32" t="s">
        <v>288</v>
      </c>
      <c r="C9" s="31" t="s">
        <v>242</v>
      </c>
    </row>
    <row r="10" spans="1:3" ht="28.8" x14ac:dyDescent="0.3">
      <c r="A10" s="30">
        <v>42633</v>
      </c>
      <c r="B10" s="32" t="s">
        <v>289</v>
      </c>
      <c r="C10" s="31" t="s">
        <v>242</v>
      </c>
    </row>
    <row r="11" spans="1:3" ht="43.2" x14ac:dyDescent="0.3">
      <c r="A11" s="30">
        <v>42633</v>
      </c>
      <c r="B11" s="32" t="s">
        <v>290</v>
      </c>
      <c r="C11" s="31" t="s">
        <v>242</v>
      </c>
    </row>
    <row r="12" spans="1:3" ht="28.8" x14ac:dyDescent="0.3">
      <c r="A12" s="30">
        <v>42633</v>
      </c>
      <c r="B12" s="32" t="s">
        <v>291</v>
      </c>
      <c r="C12" s="31" t="s">
        <v>242</v>
      </c>
    </row>
    <row r="13" spans="1:3" ht="43.2" x14ac:dyDescent="0.3">
      <c r="A13" s="30">
        <v>42641</v>
      </c>
      <c r="B13" s="32" t="s">
        <v>294</v>
      </c>
      <c r="C13" s="31" t="s">
        <v>242</v>
      </c>
    </row>
    <row r="14" spans="1:3" ht="28.8" x14ac:dyDescent="0.3">
      <c r="A14" s="30">
        <v>42641</v>
      </c>
      <c r="B14" s="32" t="s">
        <v>295</v>
      </c>
      <c r="C14" s="31" t="s">
        <v>242</v>
      </c>
    </row>
    <row r="15" spans="1:3" ht="28.8" x14ac:dyDescent="0.3">
      <c r="A15" s="30">
        <v>42641</v>
      </c>
      <c r="B15" s="32" t="s">
        <v>296</v>
      </c>
      <c r="C15" s="31" t="s">
        <v>242</v>
      </c>
    </row>
    <row r="16" spans="1:3" ht="43.2" x14ac:dyDescent="0.3">
      <c r="A16" s="30">
        <v>42641</v>
      </c>
      <c r="B16" s="32" t="s">
        <v>297</v>
      </c>
      <c r="C16" s="31" t="s">
        <v>242</v>
      </c>
    </row>
    <row r="17" spans="1:3" ht="28.8" x14ac:dyDescent="0.3">
      <c r="A17" s="30">
        <v>42641</v>
      </c>
      <c r="B17" s="32" t="s">
        <v>298</v>
      </c>
      <c r="C17" s="31" t="s">
        <v>242</v>
      </c>
    </row>
    <row r="18" spans="1:3" x14ac:dyDescent="0.3">
      <c r="A18" s="30">
        <v>42641</v>
      </c>
      <c r="B18" s="32" t="s">
        <v>299</v>
      </c>
      <c r="C18" s="31" t="s">
        <v>242</v>
      </c>
    </row>
    <row r="19" spans="1:3" x14ac:dyDescent="0.3">
      <c r="A19" s="30">
        <v>42641</v>
      </c>
      <c r="B19" s="32" t="s">
        <v>300</v>
      </c>
      <c r="C19" s="34" t="s">
        <v>242</v>
      </c>
    </row>
    <row r="20" spans="1:3" x14ac:dyDescent="0.3">
      <c r="A20" s="30">
        <v>42650</v>
      </c>
      <c r="B20" s="32" t="s">
        <v>302</v>
      </c>
      <c r="C20" s="34" t="s">
        <v>242</v>
      </c>
    </row>
    <row r="21" spans="1:3" ht="28.8" x14ac:dyDescent="0.3">
      <c r="A21" s="30">
        <v>42650</v>
      </c>
      <c r="B21" s="32" t="s">
        <v>303</v>
      </c>
      <c r="C21" s="34" t="s">
        <v>242</v>
      </c>
    </row>
    <row r="22" spans="1:3" ht="28.8" x14ac:dyDescent="0.3">
      <c r="A22" s="30">
        <v>42650</v>
      </c>
      <c r="B22" s="32" t="s">
        <v>304</v>
      </c>
      <c r="C22" s="34" t="s">
        <v>242</v>
      </c>
    </row>
    <row r="23" spans="1:3" ht="28.8" x14ac:dyDescent="0.3">
      <c r="A23" s="30">
        <v>42650</v>
      </c>
      <c r="B23" s="32" t="s">
        <v>305</v>
      </c>
      <c r="C23" s="34" t="s">
        <v>242</v>
      </c>
    </row>
    <row r="24" spans="1:3" ht="28.8" x14ac:dyDescent="0.3">
      <c r="A24" s="30">
        <v>42653</v>
      </c>
      <c r="B24" s="32" t="s">
        <v>306</v>
      </c>
      <c r="C24" s="34" t="s">
        <v>242</v>
      </c>
    </row>
    <row r="25" spans="1:3" ht="28.8" x14ac:dyDescent="0.3">
      <c r="A25" s="30">
        <v>42653</v>
      </c>
      <c r="B25" s="32" t="s">
        <v>307</v>
      </c>
      <c r="C25" s="34" t="s">
        <v>242</v>
      </c>
    </row>
    <row r="26" spans="1:3" x14ac:dyDescent="0.3">
      <c r="A26" s="35">
        <v>42654</v>
      </c>
      <c r="B26" s="36" t="s">
        <v>308</v>
      </c>
      <c r="C26" s="37" t="s">
        <v>309</v>
      </c>
    </row>
    <row r="27" spans="1:3" ht="28.8" x14ac:dyDescent="0.3">
      <c r="A27" s="30">
        <v>42689</v>
      </c>
      <c r="B27" s="32" t="s">
        <v>311</v>
      </c>
      <c r="C27" s="34" t="s">
        <v>242</v>
      </c>
    </row>
    <row r="28" spans="1:3" x14ac:dyDescent="0.3">
      <c r="A28" s="30">
        <v>42731</v>
      </c>
      <c r="B28" s="32" t="s">
        <v>344</v>
      </c>
      <c r="C28" s="34" t="s">
        <v>345</v>
      </c>
    </row>
    <row r="29" spans="1:3" x14ac:dyDescent="0.3">
      <c r="A29" s="30">
        <v>42765</v>
      </c>
      <c r="B29" s="32" t="s">
        <v>346</v>
      </c>
      <c r="C29" s="34" t="s">
        <v>345</v>
      </c>
    </row>
    <row r="30" spans="1:3" x14ac:dyDescent="0.3">
      <c r="A30" s="30">
        <v>42767</v>
      </c>
      <c r="B30" s="32" t="s">
        <v>349</v>
      </c>
      <c r="C30" s="34" t="s">
        <v>345</v>
      </c>
    </row>
    <row r="31" spans="1:3" x14ac:dyDescent="0.3">
      <c r="A31" s="30">
        <v>42767</v>
      </c>
      <c r="B31" s="32" t="s">
        <v>350</v>
      </c>
      <c r="C31" s="34" t="s">
        <v>345</v>
      </c>
    </row>
    <row r="32" spans="1:3" x14ac:dyDescent="0.3">
      <c r="A32" s="30">
        <v>42767</v>
      </c>
      <c r="B32" s="32" t="s">
        <v>351</v>
      </c>
      <c r="C32" s="34" t="s">
        <v>345</v>
      </c>
    </row>
    <row r="33" spans="1:3" ht="43.2" x14ac:dyDescent="0.3">
      <c r="A33" s="30">
        <v>42846</v>
      </c>
      <c r="B33" s="32" t="s">
        <v>364</v>
      </c>
      <c r="C33" s="34" t="s">
        <v>242</v>
      </c>
    </row>
    <row r="34" spans="1:3" ht="28.8" x14ac:dyDescent="0.3">
      <c r="A34" s="30">
        <v>42846</v>
      </c>
      <c r="B34" s="32" t="s">
        <v>365</v>
      </c>
      <c r="C34" s="34" t="s">
        <v>242</v>
      </c>
    </row>
    <row r="35" spans="1:3" x14ac:dyDescent="0.3">
      <c r="A35" s="53">
        <v>42955</v>
      </c>
      <c r="B35" s="55" t="s">
        <v>387</v>
      </c>
      <c r="C35" s="54" t="s">
        <v>375</v>
      </c>
    </row>
    <row r="36" spans="1:3" x14ac:dyDescent="0.3">
      <c r="A36" s="53">
        <v>42955</v>
      </c>
      <c r="B36" s="33" t="s">
        <v>386</v>
      </c>
      <c r="C36" s="54" t="s">
        <v>375</v>
      </c>
    </row>
    <row r="37" spans="1:3" ht="43.2" x14ac:dyDescent="0.3">
      <c r="A37" s="53">
        <v>42956</v>
      </c>
      <c r="B37" s="33" t="s">
        <v>388</v>
      </c>
      <c r="C37" s="54" t="s">
        <v>375</v>
      </c>
    </row>
    <row r="38" spans="1:3" ht="43.2" x14ac:dyDescent="0.3">
      <c r="A38" s="53">
        <v>42956</v>
      </c>
      <c r="B38" s="33" t="s">
        <v>389</v>
      </c>
      <c r="C38" s="54" t="s">
        <v>375</v>
      </c>
    </row>
    <row r="39" spans="1:3" ht="43.2" x14ac:dyDescent="0.3">
      <c r="A39" s="53">
        <v>42956</v>
      </c>
      <c r="B39" s="33" t="s">
        <v>390</v>
      </c>
      <c r="C39" s="54" t="s">
        <v>375</v>
      </c>
    </row>
    <row r="40" spans="1:3" x14ac:dyDescent="0.3">
      <c r="A40" s="53">
        <v>42961</v>
      </c>
      <c r="B40" s="33" t="s">
        <v>394</v>
      </c>
      <c r="C40" s="54" t="s">
        <v>375</v>
      </c>
    </row>
    <row r="41" spans="1:3" ht="28.8" x14ac:dyDescent="0.3">
      <c r="A41" s="53">
        <v>42961</v>
      </c>
      <c r="B41" s="33" t="s">
        <v>396</v>
      </c>
      <c r="C41" s="54" t="s">
        <v>375</v>
      </c>
    </row>
    <row r="42" spans="1:3" ht="28.8" x14ac:dyDescent="0.3">
      <c r="A42" s="53">
        <v>42962</v>
      </c>
      <c r="B42" s="33" t="s">
        <v>399</v>
      </c>
      <c r="C42" s="54" t="s">
        <v>375</v>
      </c>
    </row>
    <row r="43" spans="1:3" x14ac:dyDescent="0.3">
      <c r="A43" s="53">
        <v>42977</v>
      </c>
      <c r="B43" s="33" t="s">
        <v>400</v>
      </c>
      <c r="C43" s="54" t="s">
        <v>375</v>
      </c>
    </row>
    <row r="44" spans="1:3" ht="57.6" x14ac:dyDescent="0.3">
      <c r="A44" s="53">
        <v>42977</v>
      </c>
      <c r="B44" s="33" t="s">
        <v>433</v>
      </c>
      <c r="C44" s="54" t="s">
        <v>375</v>
      </c>
    </row>
    <row r="45" spans="1:3" x14ac:dyDescent="0.3">
      <c r="A45" s="53">
        <v>42996</v>
      </c>
      <c r="B45" s="33" t="s">
        <v>438</v>
      </c>
      <c r="C45" s="54" t="s">
        <v>375</v>
      </c>
    </row>
    <row r="46" spans="1:3" ht="28.8" x14ac:dyDescent="0.3">
      <c r="A46" s="53">
        <v>42996</v>
      </c>
      <c r="B46" s="33" t="s">
        <v>442</v>
      </c>
      <c r="C46" s="54" t="s">
        <v>375</v>
      </c>
    </row>
    <row r="47" spans="1:3" ht="28.8" x14ac:dyDescent="0.3">
      <c r="A47" s="53">
        <v>42998</v>
      </c>
      <c r="B47" s="33" t="s">
        <v>443</v>
      </c>
      <c r="C47" s="54" t="s">
        <v>375</v>
      </c>
    </row>
    <row r="48" spans="1:3" ht="28.8" x14ac:dyDescent="0.3">
      <c r="A48" s="53">
        <v>43005</v>
      </c>
      <c r="B48" s="33" t="s">
        <v>449</v>
      </c>
      <c r="C48" s="54" t="s">
        <v>375</v>
      </c>
    </row>
    <row r="49" spans="1:3" x14ac:dyDescent="0.3">
      <c r="A49" s="53">
        <v>43005</v>
      </c>
      <c r="B49" s="33" t="s">
        <v>448</v>
      </c>
      <c r="C49" s="54" t="s">
        <v>375</v>
      </c>
    </row>
    <row r="50" spans="1:3" ht="28.8" x14ac:dyDescent="0.3">
      <c r="A50" s="53">
        <v>43005</v>
      </c>
      <c r="B50" s="33" t="s">
        <v>455</v>
      </c>
      <c r="C50" s="54" t="s">
        <v>375</v>
      </c>
    </row>
    <row r="51" spans="1:3" x14ac:dyDescent="0.3">
      <c r="A51" s="53">
        <v>43012</v>
      </c>
      <c r="B51" s="33" t="s">
        <v>457</v>
      </c>
      <c r="C51" s="54" t="s">
        <v>375</v>
      </c>
    </row>
    <row r="52" spans="1:3" x14ac:dyDescent="0.3">
      <c r="A52" s="53">
        <v>43019</v>
      </c>
      <c r="B52" s="33" t="s">
        <v>458</v>
      </c>
      <c r="C52" s="54" t="s">
        <v>375</v>
      </c>
    </row>
    <row r="53" spans="1:3" x14ac:dyDescent="0.3">
      <c r="A53" s="53">
        <v>43020</v>
      </c>
      <c r="B53" s="33" t="s">
        <v>459</v>
      </c>
      <c r="C53" s="54" t="s">
        <v>375</v>
      </c>
    </row>
    <row r="54" spans="1:3" x14ac:dyDescent="0.3">
      <c r="A54" s="53">
        <v>43024</v>
      </c>
      <c r="B54" s="33" t="s">
        <v>463</v>
      </c>
      <c r="C54" s="54" t="s">
        <v>375</v>
      </c>
    </row>
    <row r="55" spans="1:3" ht="129.6" x14ac:dyDescent="0.3">
      <c r="A55" s="53">
        <v>43025</v>
      </c>
      <c r="B55" s="33" t="s">
        <v>464</v>
      </c>
      <c r="C55" s="54" t="s">
        <v>375</v>
      </c>
    </row>
    <row r="56" spans="1:3" x14ac:dyDescent="0.3">
      <c r="A56" s="53">
        <v>43026</v>
      </c>
      <c r="B56" s="33" t="s">
        <v>482</v>
      </c>
      <c r="C56" s="54" t="s">
        <v>375</v>
      </c>
    </row>
    <row r="57" spans="1:3" ht="57.6" x14ac:dyDescent="0.3">
      <c r="A57" s="53">
        <v>43027</v>
      </c>
      <c r="B57" s="33" t="s">
        <v>489</v>
      </c>
      <c r="C57" s="54" t="s">
        <v>375</v>
      </c>
    </row>
    <row r="58" spans="1:3" x14ac:dyDescent="0.3">
      <c r="A58" s="53">
        <v>43027</v>
      </c>
      <c r="B58" s="33" t="s">
        <v>491</v>
      </c>
      <c r="C58" s="54" t="s">
        <v>375</v>
      </c>
    </row>
    <row r="59" spans="1:3" x14ac:dyDescent="0.3">
      <c r="A59" s="71">
        <v>43028</v>
      </c>
      <c r="B59" s="55" t="s">
        <v>492</v>
      </c>
      <c r="C59" s="72" t="s">
        <v>493</v>
      </c>
    </row>
    <row r="60" spans="1:3" ht="28.8" x14ac:dyDescent="0.3">
      <c r="A60" s="53">
        <v>43031</v>
      </c>
      <c r="B60" s="33" t="s">
        <v>494</v>
      </c>
      <c r="C60" s="54" t="s">
        <v>375</v>
      </c>
    </row>
    <row r="61" spans="1:3" x14ac:dyDescent="0.3">
      <c r="A61" s="53">
        <v>43031</v>
      </c>
      <c r="B61" s="33" t="s">
        <v>495</v>
      </c>
      <c r="C61" s="54" t="s">
        <v>375</v>
      </c>
    </row>
    <row r="62" spans="1:3" ht="57.6" x14ac:dyDescent="0.3">
      <c r="A62" s="53">
        <v>43035</v>
      </c>
      <c r="B62" s="33" t="s">
        <v>496</v>
      </c>
      <c r="C62" s="54" t="s">
        <v>375</v>
      </c>
    </row>
    <row r="63" spans="1:3" ht="43.2" x14ac:dyDescent="0.3">
      <c r="A63" s="53">
        <v>43048</v>
      </c>
      <c r="B63" s="33" t="s">
        <v>497</v>
      </c>
      <c r="C63" s="54" t="s">
        <v>375</v>
      </c>
    </row>
    <row r="64" spans="1:3" x14ac:dyDescent="0.3">
      <c r="A64" s="53">
        <v>43060</v>
      </c>
      <c r="B64" s="33" t="s">
        <v>498</v>
      </c>
      <c r="C64" s="54" t="s">
        <v>375</v>
      </c>
    </row>
    <row r="65" spans="1:3" x14ac:dyDescent="0.3">
      <c r="A65" s="53">
        <v>43124</v>
      </c>
      <c r="B65" s="55" t="s">
        <v>591</v>
      </c>
      <c r="C65" s="54" t="s">
        <v>375</v>
      </c>
    </row>
    <row r="66" spans="1:3" ht="86.4" x14ac:dyDescent="0.3">
      <c r="A66" s="53">
        <v>43124</v>
      </c>
      <c r="B66" s="33" t="s">
        <v>611</v>
      </c>
      <c r="C66" s="54" t="s">
        <v>375</v>
      </c>
    </row>
    <row r="67" spans="1:3" ht="100.8" x14ac:dyDescent="0.3">
      <c r="A67" s="53">
        <v>43125</v>
      </c>
      <c r="B67" s="33" t="s">
        <v>613</v>
      </c>
      <c r="C67" s="54" t="s">
        <v>375</v>
      </c>
    </row>
    <row r="68" spans="1:3" ht="28.8" x14ac:dyDescent="0.3">
      <c r="A68" s="53">
        <v>43138</v>
      </c>
      <c r="B68" s="33" t="s">
        <v>620</v>
      </c>
      <c r="C68" s="54" t="s">
        <v>375</v>
      </c>
    </row>
    <row r="69" spans="1:3" ht="57.6" x14ac:dyDescent="0.3">
      <c r="A69" s="53">
        <v>43143</v>
      </c>
      <c r="B69" s="33" t="s">
        <v>628</v>
      </c>
      <c r="C69" s="54" t="s">
        <v>375</v>
      </c>
    </row>
    <row r="70" spans="1:3" ht="43.2" x14ac:dyDescent="0.3">
      <c r="A70" s="53">
        <v>43158</v>
      </c>
      <c r="B70" s="33" t="s">
        <v>688</v>
      </c>
      <c r="C70" s="54" t="s">
        <v>375</v>
      </c>
    </row>
    <row r="71" spans="1:3" ht="57.6" x14ac:dyDescent="0.3">
      <c r="A71" s="53">
        <v>43159</v>
      </c>
      <c r="B71" s="33" t="s">
        <v>698</v>
      </c>
      <c r="C71" s="54" t="s">
        <v>375</v>
      </c>
    </row>
    <row r="72" spans="1:3" x14ac:dyDescent="0.3">
      <c r="A72" s="71">
        <v>43160</v>
      </c>
      <c r="B72" s="55" t="s">
        <v>699</v>
      </c>
      <c r="C72" s="72" t="s">
        <v>700</v>
      </c>
    </row>
    <row r="73" spans="1:3" ht="43.2" x14ac:dyDescent="0.3">
      <c r="A73" s="53">
        <v>43167</v>
      </c>
      <c r="B73" s="33" t="s">
        <v>703</v>
      </c>
      <c r="C73" s="54" t="s">
        <v>375</v>
      </c>
    </row>
    <row r="74" spans="1:3" ht="86.4" x14ac:dyDescent="0.3">
      <c r="A74" s="53">
        <v>43215</v>
      </c>
      <c r="B74" s="33" t="s">
        <v>706</v>
      </c>
      <c r="C74" s="54" t="s">
        <v>375</v>
      </c>
    </row>
    <row r="75" spans="1:3" ht="43.2" x14ac:dyDescent="0.3">
      <c r="A75" s="53">
        <v>42851</v>
      </c>
      <c r="B75" s="33" t="s">
        <v>722</v>
      </c>
      <c r="C75" s="54" t="s">
        <v>375</v>
      </c>
    </row>
  </sheetData>
  <mergeCells count="1">
    <mergeCell ref="A1:C1"/>
  </mergeCells>
  <pageMargins left="0.7" right="0.7" top="0.75" bottom="0.75" header="0.3" footer="0.3"/>
  <pageSetup orientation="portrait" r:id="rId1"/>
  <headerFooter>
    <oddFooter>&amp;RLast Saved Date: 4/25/2018 4:50:44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File Format</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Ballen, Evelyn</cp:lastModifiedBy>
  <cp:lastPrinted>2017-11-21T15:50:49Z</cp:lastPrinted>
  <dcterms:created xsi:type="dcterms:W3CDTF">2010-08-16T22:46:58Z</dcterms:created>
  <dcterms:modified xsi:type="dcterms:W3CDTF">2018-04-26T18:35:51Z</dcterms:modified>
</cp:coreProperties>
</file>