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329" codeName="{7FF41506-D638-49D5-72EF-22EC70B826FC}"/>
  <workbookPr showInkAnnotation="0" codeName="ThisWorkbook" defaultThemeVersion="124226"/>
  <mc:AlternateContent xmlns:mc="http://schemas.openxmlformats.org/markup-compatibility/2006">
    <mc:Choice Requires="x15">
      <x15ac:absPath xmlns:x15ac="http://schemas.microsoft.com/office/spreadsheetml/2010/11/ac" url="P:\LAProd\510603\Documents\"/>
    </mc:Choice>
  </mc:AlternateContent>
  <bookViews>
    <workbookView xWindow="0" yWindow="0" windowWidth="18270" windowHeight="9360"/>
  </bookViews>
  <sheets>
    <sheet name="File Format" sheetId="1" r:id="rId1"/>
    <sheet name="Revision Log" sheetId="5" r:id="rId2"/>
  </sheets>
  <definedNames>
    <definedName name="_xlnm._FilterDatabase" localSheetId="0" hidden="1">'File Format'!$C$2:$H$648</definedName>
    <definedName name="_xlnm.Print_Titles" localSheetId="0">'File Format'!$1:$2</definedName>
  </definedNames>
  <calcPr calcId="171027"/>
</workbook>
</file>

<file path=xl/calcChain.xml><?xml version="1.0" encoding="utf-8"?>
<calcChain xmlns="http://schemas.openxmlformats.org/spreadsheetml/2006/main">
  <c r="C14" i="1" l="1"/>
  <c r="C4" i="1" l="1"/>
  <c r="C6" i="1" s="1"/>
  <c r="D3" i="1"/>
  <c r="D4" i="1" l="1"/>
  <c r="D6" i="1" l="1"/>
  <c r="C7" i="1"/>
  <c r="D7" i="1" l="1"/>
  <c r="C8" i="1"/>
  <c r="D8" i="1" l="1"/>
  <c r="C9" i="1"/>
  <c r="C10" i="1" s="1"/>
  <c r="C11" i="1" s="1"/>
  <c r="C12" i="1" s="1"/>
  <c r="C13" i="1" s="1"/>
  <c r="D13" i="1" l="1"/>
  <c r="D9" i="1"/>
  <c r="D11" i="1" l="1"/>
  <c r="D12" i="1" l="1"/>
  <c r="C16" i="1" l="1"/>
  <c r="D14" i="1"/>
  <c r="D16" i="1" l="1"/>
  <c r="C17" i="1"/>
  <c r="D17" i="1" l="1"/>
  <c r="C18" i="1"/>
  <c r="C19" i="1" s="1"/>
  <c r="D18" i="1" l="1"/>
  <c r="C20" i="1" l="1"/>
  <c r="D19" i="1"/>
  <c r="D20" i="1" l="1"/>
  <c r="C21" i="1"/>
  <c r="C22" i="1" l="1"/>
  <c r="D21" i="1"/>
  <c r="D22" i="1" l="1"/>
  <c r="C23" i="1"/>
  <c r="C24" i="1" l="1"/>
  <c r="C25" i="1" s="1"/>
  <c r="D23" i="1"/>
  <c r="D25" i="1" l="1"/>
  <c r="C26" i="1"/>
  <c r="D24" i="1"/>
  <c r="D26" i="1" l="1"/>
  <c r="C27" i="1"/>
  <c r="C28" i="1" s="1"/>
  <c r="D27" i="1" l="1"/>
  <c r="C29" i="1"/>
  <c r="D28" i="1"/>
  <c r="D29" i="1" l="1"/>
  <c r="C30" i="1"/>
  <c r="C31" i="1" s="1"/>
  <c r="D31" i="1" l="1"/>
  <c r="C32" i="1"/>
  <c r="C33" i="1" s="1"/>
  <c r="D30" i="1"/>
  <c r="C34" i="1" l="1"/>
  <c r="C35" i="1" s="1"/>
  <c r="D33" i="1"/>
  <c r="D32" i="1"/>
  <c r="D35" i="1" l="1"/>
  <c r="C36" i="1"/>
  <c r="C37" i="1" s="1"/>
  <c r="D34" i="1"/>
  <c r="D37" i="1" l="1"/>
  <c r="C38" i="1"/>
  <c r="D36" i="1"/>
  <c r="C39" i="1" l="1"/>
  <c r="D38" i="1"/>
  <c r="D39" i="1" l="1"/>
  <c r="C40" i="1"/>
  <c r="C41" i="1" l="1"/>
  <c r="D40" i="1"/>
  <c r="C42" i="1" l="1"/>
  <c r="D41" i="1"/>
  <c r="D42" i="1" l="1"/>
  <c r="C43" i="1"/>
  <c r="C44" i="1" s="1"/>
  <c r="C45" i="1" s="1"/>
  <c r="D43" i="1" l="1"/>
  <c r="D45" i="1" l="1"/>
  <c r="C46" i="1"/>
  <c r="C47" i="1" s="1"/>
  <c r="C48" i="1" s="1"/>
  <c r="C49" i="1" l="1"/>
  <c r="D48" i="1"/>
  <c r="D46" i="1"/>
  <c r="C51" i="1" l="1"/>
  <c r="D44" i="1"/>
  <c r="C52" i="1" l="1"/>
  <c r="C53" i="1" s="1"/>
  <c r="D51" i="1"/>
  <c r="D47" i="1"/>
  <c r="D49" i="1" l="1"/>
  <c r="D10" i="1" l="1"/>
  <c r="D52" i="1" l="1"/>
  <c r="C54" i="1" l="1"/>
  <c r="D53" i="1"/>
  <c r="C55" i="1" l="1"/>
  <c r="D54" i="1"/>
  <c r="D55" i="1" l="1"/>
  <c r="C56" i="1"/>
  <c r="C57" i="1" s="1"/>
  <c r="C58" i="1" l="1"/>
  <c r="D57" i="1"/>
  <c r="D56" i="1"/>
  <c r="C59" i="1" l="1"/>
  <c r="D58" i="1"/>
  <c r="D59" i="1" l="1"/>
  <c r="C60" i="1"/>
  <c r="C61" i="1" s="1"/>
  <c r="C62" i="1" l="1"/>
  <c r="D61" i="1"/>
  <c r="D60" i="1"/>
  <c r="C63" i="1" l="1"/>
  <c r="C64" i="1" s="1"/>
  <c r="C65" i="1" s="1"/>
  <c r="C66" i="1" s="1"/>
  <c r="D62" i="1"/>
  <c r="D66" i="1" l="1"/>
  <c r="C67" i="1"/>
  <c r="D65" i="1"/>
  <c r="D64" i="1"/>
  <c r="D63" i="1"/>
  <c r="C69" i="1" l="1"/>
  <c r="D67" i="1"/>
  <c r="D69" i="1" l="1"/>
  <c r="C70" i="1"/>
  <c r="C71" i="1" l="1"/>
  <c r="C72" i="1" s="1"/>
  <c r="C75" i="1" s="1"/>
  <c r="D70" i="1"/>
  <c r="D75" i="1" l="1"/>
  <c r="C76" i="1"/>
  <c r="D71" i="1"/>
  <c r="C77" i="1" l="1"/>
  <c r="D76" i="1"/>
  <c r="C78" i="1" l="1"/>
  <c r="D77" i="1"/>
  <c r="D72" i="1"/>
  <c r="C79" i="1" l="1"/>
  <c r="D78" i="1"/>
  <c r="D79" i="1" l="1"/>
  <c r="C80" i="1"/>
  <c r="C81" i="1" l="1"/>
  <c r="C82" i="1" s="1"/>
  <c r="D80" i="1"/>
  <c r="C83" i="1" l="1"/>
  <c r="D82" i="1"/>
  <c r="D81" i="1"/>
  <c r="C84" i="1" l="1"/>
  <c r="D83" i="1"/>
  <c r="D84" i="1" l="1"/>
  <c r="C85" i="1"/>
  <c r="C86" i="1" l="1"/>
  <c r="D85" i="1"/>
  <c r="D86" i="1" l="1"/>
  <c r="C87" i="1"/>
  <c r="D87" i="1" l="1"/>
  <c r="C88" i="1"/>
  <c r="D88" i="1" l="1"/>
  <c r="C90" i="1"/>
  <c r="D90" i="1" l="1"/>
  <c r="C91" i="1"/>
  <c r="C92" i="1" l="1"/>
  <c r="D91" i="1"/>
  <c r="C93" i="1" l="1"/>
  <c r="D92" i="1"/>
  <c r="D93" i="1" l="1"/>
  <c r="C94" i="1"/>
  <c r="D94" i="1" l="1"/>
  <c r="C95" i="1"/>
  <c r="D95" i="1" l="1"/>
  <c r="C96" i="1"/>
  <c r="C97" i="1" s="1"/>
  <c r="D97" i="1" l="1"/>
  <c r="C98" i="1"/>
  <c r="D96" i="1"/>
  <c r="D98" i="1" l="1"/>
  <c r="C99" i="1"/>
  <c r="C100" i="1" l="1"/>
  <c r="D99" i="1"/>
  <c r="C101" i="1" l="1"/>
  <c r="D100" i="1"/>
  <c r="C102" i="1" l="1"/>
  <c r="D101" i="1"/>
  <c r="C103" i="1" l="1"/>
  <c r="D102" i="1"/>
  <c r="C104" i="1" l="1"/>
  <c r="D103" i="1"/>
  <c r="D104" i="1" l="1"/>
  <c r="C106" i="1"/>
  <c r="D106" i="1" l="1"/>
  <c r="C107" i="1"/>
  <c r="C108" i="1" l="1"/>
  <c r="D107" i="1"/>
  <c r="C109" i="1" l="1"/>
  <c r="D108" i="1"/>
  <c r="C110" i="1" l="1"/>
  <c r="D109" i="1"/>
  <c r="C111" i="1" l="1"/>
  <c r="D110" i="1"/>
  <c r="C112" i="1" l="1"/>
  <c r="D111" i="1"/>
  <c r="C113" i="1" l="1"/>
  <c r="C115" i="1" s="1"/>
  <c r="D112" i="1"/>
  <c r="D113" i="1" l="1"/>
  <c r="C116" i="1" l="1"/>
  <c r="D115" i="1"/>
  <c r="D116" i="1" l="1"/>
  <c r="C118" i="1"/>
  <c r="D118" i="1" l="1"/>
  <c r="C119" i="1"/>
  <c r="C120" i="1" l="1"/>
  <c r="D119" i="1"/>
  <c r="D120" i="1" l="1"/>
  <c r="C121" i="1"/>
  <c r="C122" i="1" l="1"/>
  <c r="D121" i="1"/>
  <c r="C123" i="1" l="1"/>
  <c r="D122" i="1"/>
  <c r="C124" i="1" l="1"/>
  <c r="D123" i="1"/>
  <c r="C126" i="1" l="1"/>
  <c r="D124" i="1"/>
  <c r="C127" i="1" l="1"/>
  <c r="D126" i="1"/>
  <c r="C128" i="1" l="1"/>
  <c r="D127" i="1"/>
  <c r="C129" i="1" l="1"/>
  <c r="D128" i="1"/>
  <c r="D129" i="1" l="1"/>
  <c r="C130" i="1"/>
  <c r="D130" i="1" l="1"/>
  <c r="C131" i="1"/>
  <c r="C132" i="1" l="1"/>
  <c r="D131" i="1"/>
  <c r="C133" i="1" l="1"/>
  <c r="D132" i="1"/>
  <c r="D133" i="1" l="1"/>
  <c r="C134" i="1"/>
  <c r="C136" i="1" l="1"/>
  <c r="D134" i="1"/>
  <c r="C137" i="1" l="1"/>
  <c r="D136" i="1"/>
  <c r="C138" i="1" l="1"/>
  <c r="D137" i="1"/>
  <c r="C139" i="1" l="1"/>
  <c r="D138" i="1"/>
  <c r="C141" i="1" l="1"/>
  <c r="C142" i="1" s="1"/>
  <c r="C143" i="1" s="1"/>
  <c r="D139" i="1"/>
  <c r="D142" i="1" l="1"/>
  <c r="D141" i="1" l="1"/>
  <c r="D143" i="1" l="1"/>
  <c r="C144" i="1"/>
  <c r="C145" i="1" l="1"/>
  <c r="D144" i="1"/>
  <c r="C146" i="1" l="1"/>
  <c r="C147" i="1" s="1"/>
  <c r="D145" i="1"/>
  <c r="C148" i="1" l="1"/>
  <c r="C150" i="1" s="1"/>
  <c r="D147" i="1"/>
  <c r="D146" i="1"/>
  <c r="C151" i="1" l="1"/>
  <c r="D150" i="1"/>
  <c r="D148" i="1"/>
  <c r="C152" i="1" l="1"/>
  <c r="D151" i="1"/>
  <c r="D152" i="1" l="1"/>
  <c r="C153" i="1"/>
  <c r="C154" i="1" l="1"/>
  <c r="D153" i="1"/>
  <c r="D154" i="1" l="1"/>
  <c r="C155" i="1"/>
  <c r="C156" i="1" l="1"/>
  <c r="D155" i="1"/>
  <c r="C157" i="1" l="1"/>
  <c r="D156" i="1"/>
  <c r="D157" i="1" l="1"/>
  <c r="C158" i="1"/>
  <c r="D158" i="1" l="1"/>
  <c r="C159" i="1"/>
  <c r="D159" i="1" l="1"/>
  <c r="C160" i="1"/>
  <c r="D160" i="1" l="1"/>
  <c r="C161" i="1"/>
  <c r="D161" i="1" l="1"/>
  <c r="C162" i="1"/>
  <c r="C163" i="1" l="1"/>
  <c r="C164" i="1" s="1"/>
  <c r="C165" i="1" s="1"/>
  <c r="D162" i="1"/>
  <c r="C166" i="1" l="1"/>
  <c r="D165" i="1"/>
  <c r="D164" i="1"/>
  <c r="D163" i="1"/>
  <c r="C168" i="1" l="1"/>
  <c r="D166" i="1"/>
  <c r="D168" i="1" l="1"/>
  <c r="C169" i="1"/>
  <c r="D169" i="1" l="1"/>
  <c r="C170" i="1"/>
  <c r="C171" i="1" l="1"/>
  <c r="D170" i="1"/>
  <c r="C174" i="1" l="1"/>
  <c r="D171" i="1"/>
  <c r="C175" i="1" l="1"/>
  <c r="D174" i="1"/>
  <c r="D175" i="1" l="1"/>
  <c r="C176" i="1"/>
  <c r="D176" i="1" l="1"/>
  <c r="C177" i="1"/>
  <c r="C178" i="1" l="1"/>
  <c r="D177" i="1"/>
  <c r="D178" i="1" l="1"/>
  <c r="C179" i="1"/>
  <c r="C180" i="1" l="1"/>
  <c r="C181" i="1" s="1"/>
  <c r="D179" i="1"/>
  <c r="D181" i="1" l="1"/>
  <c r="C182" i="1"/>
  <c r="D180" i="1"/>
  <c r="C183" i="1" l="1"/>
  <c r="D182" i="1"/>
  <c r="D183" i="1" l="1"/>
  <c r="C184" i="1"/>
  <c r="C185" i="1" l="1"/>
  <c r="D184" i="1"/>
  <c r="D185" i="1" l="1"/>
  <c r="C186" i="1"/>
  <c r="D186" i="1" l="1"/>
  <c r="C187" i="1"/>
  <c r="D187" i="1" l="1"/>
  <c r="C189" i="1"/>
  <c r="D189" i="1" l="1"/>
  <c r="C190" i="1"/>
  <c r="C191" i="1" l="1"/>
  <c r="D190" i="1"/>
  <c r="D191" i="1" l="1"/>
  <c r="C192" i="1"/>
  <c r="C193" i="1" l="1"/>
  <c r="D192" i="1"/>
  <c r="D193" i="1" l="1"/>
  <c r="C194" i="1"/>
  <c r="D194" i="1" l="1"/>
  <c r="C195" i="1"/>
  <c r="C196" i="1" s="1"/>
  <c r="D196" i="1" l="1"/>
  <c r="C197" i="1"/>
  <c r="D195" i="1"/>
  <c r="C198" i="1" l="1"/>
  <c r="D197" i="1"/>
  <c r="D198" i="1" l="1"/>
  <c r="C199" i="1"/>
  <c r="C200" i="1" l="1"/>
  <c r="D199" i="1"/>
  <c r="C201" i="1" l="1"/>
  <c r="D200" i="1"/>
  <c r="C202" i="1" l="1"/>
  <c r="D201" i="1"/>
  <c r="D202" i="1" l="1"/>
  <c r="C203" i="1"/>
  <c r="C205" i="1" l="1"/>
  <c r="D203" i="1"/>
  <c r="D205" i="1" l="1"/>
  <c r="C206" i="1"/>
  <c r="C207" i="1" l="1"/>
  <c r="D206" i="1"/>
  <c r="D207" i="1" l="1"/>
  <c r="C208" i="1"/>
  <c r="D208" i="1" l="1"/>
  <c r="C209" i="1"/>
  <c r="C210" i="1" l="1"/>
  <c r="D209" i="1"/>
  <c r="C211" i="1" l="1"/>
  <c r="D210" i="1"/>
  <c r="C212" i="1" l="1"/>
  <c r="D211" i="1"/>
  <c r="D212" i="1" l="1"/>
  <c r="C214" i="1"/>
  <c r="C215" i="1" s="1"/>
  <c r="D214" i="1" l="1"/>
  <c r="C217" i="1"/>
  <c r="D215" i="1"/>
  <c r="D217" i="1" l="1"/>
  <c r="C218" i="1"/>
  <c r="C219" i="1" l="1"/>
  <c r="D218" i="1"/>
  <c r="C220" i="1" l="1"/>
  <c r="D219" i="1"/>
  <c r="C221" i="1" l="1"/>
  <c r="D220" i="1"/>
  <c r="D221" i="1" l="1"/>
  <c r="C222" i="1"/>
  <c r="C223" i="1" l="1"/>
  <c r="D222" i="1"/>
  <c r="C225" i="1" l="1"/>
  <c r="D223" i="1"/>
  <c r="C226" i="1" l="1"/>
  <c r="D225" i="1"/>
  <c r="C227" i="1" l="1"/>
  <c r="D226" i="1"/>
  <c r="C228" i="1" l="1"/>
  <c r="D227" i="1"/>
  <c r="D228" i="1" l="1"/>
  <c r="C229" i="1"/>
  <c r="D229" i="1" l="1"/>
  <c r="C230" i="1"/>
  <c r="D230" i="1" l="1"/>
  <c r="C231" i="1"/>
  <c r="C232" i="1" l="1"/>
  <c r="D231" i="1"/>
  <c r="D232" i="1" l="1"/>
  <c r="C233" i="1"/>
  <c r="C235" i="1" l="1"/>
  <c r="D233" i="1"/>
  <c r="C236" i="1" l="1"/>
  <c r="D235" i="1"/>
  <c r="C237" i="1" l="1"/>
  <c r="D236" i="1"/>
  <c r="D237" i="1" l="1"/>
  <c r="C238" i="1"/>
  <c r="C240" i="1" s="1"/>
  <c r="C241" i="1" s="1"/>
  <c r="C242" i="1" s="1"/>
  <c r="D238" i="1" l="1"/>
  <c r="D241" i="1" l="1"/>
  <c r="D240" i="1" l="1"/>
  <c r="D242" i="1" l="1"/>
  <c r="C243" i="1"/>
  <c r="D243" i="1" l="1"/>
  <c r="C244" i="1"/>
  <c r="C245" i="1" l="1"/>
  <c r="C246" i="1" s="1"/>
  <c r="D244" i="1"/>
  <c r="D246" i="1" l="1"/>
  <c r="C247" i="1"/>
  <c r="C249" i="1" s="1"/>
  <c r="D245" i="1"/>
  <c r="C250" i="1" l="1"/>
  <c r="D249" i="1"/>
  <c r="D247" i="1"/>
  <c r="C251" i="1" l="1"/>
  <c r="D250" i="1"/>
  <c r="C252" i="1" l="1"/>
  <c r="D251" i="1"/>
  <c r="C253" i="1" l="1"/>
  <c r="D252" i="1"/>
  <c r="C254" i="1" l="1"/>
  <c r="D253" i="1"/>
  <c r="C255" i="1" l="1"/>
  <c r="D254" i="1"/>
  <c r="C256" i="1" l="1"/>
  <c r="D255" i="1"/>
  <c r="C257" i="1" l="1"/>
  <c r="D256" i="1"/>
  <c r="C258" i="1" l="1"/>
  <c r="D257" i="1"/>
  <c r="C259" i="1" l="1"/>
  <c r="D258" i="1"/>
  <c r="D259" i="1" l="1"/>
  <c r="C260" i="1"/>
  <c r="C261" i="1" l="1"/>
  <c r="D260" i="1"/>
  <c r="D261" i="1" l="1"/>
  <c r="C262" i="1"/>
  <c r="C263" i="1" s="1"/>
  <c r="C264" i="1" l="1"/>
  <c r="D263" i="1"/>
  <c r="D262" i="1"/>
  <c r="D264" i="1" l="1"/>
  <c r="C266" i="1"/>
  <c r="D266" i="1" l="1"/>
  <c r="C267" i="1"/>
  <c r="C268" i="1" l="1"/>
  <c r="D267" i="1"/>
  <c r="C269" i="1" l="1"/>
  <c r="D268" i="1"/>
  <c r="C272" i="1" l="1"/>
  <c r="D269" i="1"/>
  <c r="C273" i="1" l="1"/>
  <c r="D272" i="1"/>
  <c r="D273" i="1" l="1"/>
  <c r="C274" i="1"/>
  <c r="C275" i="1" l="1"/>
  <c r="D274" i="1"/>
  <c r="D275" i="1" l="1"/>
  <c r="C276" i="1"/>
  <c r="C277" i="1" l="1"/>
  <c r="D276" i="1"/>
  <c r="D277" i="1" l="1"/>
  <c r="C278" i="1"/>
  <c r="C279" i="1" s="1"/>
  <c r="C280" i="1" l="1"/>
  <c r="D279" i="1"/>
  <c r="D278" i="1"/>
  <c r="D280" i="1" l="1"/>
  <c r="C281" i="1"/>
  <c r="C282" i="1" l="1"/>
  <c r="D281" i="1"/>
  <c r="D282" i="1" l="1"/>
  <c r="C283" i="1"/>
  <c r="D283" i="1" l="1"/>
  <c r="C284" i="1"/>
  <c r="D284" i="1" l="1"/>
  <c r="C285" i="1"/>
  <c r="D285" i="1" l="1"/>
  <c r="C287" i="1"/>
  <c r="D287" i="1" l="1"/>
  <c r="C288" i="1"/>
  <c r="D288" i="1" l="1"/>
  <c r="C289" i="1"/>
  <c r="C290" i="1" l="1"/>
  <c r="D289" i="1"/>
  <c r="C291" i="1" l="1"/>
  <c r="D290" i="1"/>
  <c r="C292" i="1" l="1"/>
  <c r="D291" i="1"/>
  <c r="C293" i="1" l="1"/>
  <c r="C294" i="1" s="1"/>
  <c r="D292" i="1"/>
  <c r="D294" i="1" l="1"/>
  <c r="C295" i="1"/>
  <c r="D293" i="1"/>
  <c r="C296" i="1" l="1"/>
  <c r="D295" i="1"/>
  <c r="D296" i="1" l="1"/>
  <c r="C297" i="1"/>
  <c r="C298" i="1" l="1"/>
  <c r="D297" i="1"/>
  <c r="D298" i="1" l="1"/>
  <c r="C299" i="1"/>
  <c r="D299" i="1" l="1"/>
  <c r="C300" i="1"/>
  <c r="D300" i="1" l="1"/>
  <c r="C301" i="1"/>
  <c r="D301" i="1" l="1"/>
  <c r="C303" i="1"/>
  <c r="C304" i="1" l="1"/>
  <c r="D303" i="1"/>
  <c r="D304" i="1" l="1"/>
  <c r="C305" i="1"/>
  <c r="D305" i="1" l="1"/>
  <c r="C306" i="1"/>
  <c r="C307" i="1" l="1"/>
  <c r="D306" i="1"/>
  <c r="C308" i="1" l="1"/>
  <c r="D307" i="1"/>
  <c r="C309" i="1" l="1"/>
  <c r="D308" i="1"/>
  <c r="D309" i="1" l="1"/>
  <c r="C310" i="1"/>
  <c r="C312" i="1" l="1"/>
  <c r="D310" i="1"/>
  <c r="C313" i="1" l="1"/>
  <c r="D312" i="1"/>
  <c r="C315" i="1" l="1"/>
  <c r="D313" i="1"/>
  <c r="D315" i="1" l="1"/>
  <c r="C316" i="1"/>
  <c r="C317" i="1" l="1"/>
  <c r="D316" i="1"/>
  <c r="C318" i="1" l="1"/>
  <c r="D317" i="1"/>
  <c r="C319" i="1" l="1"/>
  <c r="D318" i="1"/>
  <c r="C320" i="1" l="1"/>
  <c r="D319" i="1"/>
  <c r="D320" i="1" l="1"/>
  <c r="C321" i="1"/>
  <c r="D321" i="1" l="1"/>
  <c r="C322" i="1"/>
  <c r="D322" i="1" l="1"/>
  <c r="C323" i="1"/>
  <c r="C325" i="1" l="1"/>
  <c r="D323" i="1"/>
  <c r="D325" i="1" l="1"/>
  <c r="C326" i="1"/>
  <c r="C327" i="1" l="1"/>
  <c r="D326" i="1"/>
  <c r="C328" i="1" l="1"/>
  <c r="D327" i="1"/>
  <c r="C329" i="1" l="1"/>
  <c r="D328" i="1"/>
  <c r="C330" i="1" l="1"/>
  <c r="D329" i="1"/>
  <c r="C331" i="1" l="1"/>
  <c r="D330" i="1"/>
  <c r="C332" i="1" l="1"/>
  <c r="D331" i="1"/>
  <c r="C333" i="1" l="1"/>
  <c r="D332" i="1"/>
  <c r="C335" i="1" l="1"/>
  <c r="D333" i="1"/>
  <c r="C336" i="1" l="1"/>
  <c r="D335" i="1"/>
  <c r="D336" i="1" l="1"/>
  <c r="C337" i="1"/>
  <c r="D337" i="1" l="1"/>
  <c r="C338" i="1"/>
  <c r="C340" i="1" s="1"/>
  <c r="C341" i="1" s="1"/>
  <c r="C342" i="1" s="1"/>
  <c r="D338" i="1" l="1"/>
  <c r="D341" i="1" l="1"/>
  <c r="D340" i="1" l="1"/>
  <c r="C343" i="1" l="1"/>
  <c r="D342" i="1"/>
  <c r="D343" i="1" l="1"/>
  <c r="C344" i="1"/>
  <c r="C345" i="1" l="1"/>
  <c r="C346" i="1" s="1"/>
  <c r="D344" i="1"/>
  <c r="C347" i="1" l="1"/>
  <c r="C349" i="1" s="1"/>
  <c r="D346" i="1"/>
  <c r="D345" i="1"/>
  <c r="C350" i="1" l="1"/>
  <c r="D349" i="1"/>
  <c r="D347" i="1"/>
  <c r="C351" i="1" l="1"/>
  <c r="D350" i="1"/>
  <c r="C352" i="1" l="1"/>
  <c r="D351" i="1"/>
  <c r="D352" i="1" l="1"/>
  <c r="C353" i="1"/>
  <c r="C354" i="1" l="1"/>
  <c r="C355" i="1" s="1"/>
  <c r="D353" i="1"/>
  <c r="D355" i="1" l="1"/>
  <c r="C356" i="1"/>
  <c r="D354" i="1"/>
  <c r="C357" i="1" l="1"/>
  <c r="D356" i="1"/>
  <c r="C358" i="1" l="1"/>
  <c r="D357" i="1"/>
  <c r="C359" i="1" l="1"/>
  <c r="D358" i="1"/>
  <c r="C360" i="1" l="1"/>
  <c r="D359" i="1"/>
  <c r="C361" i="1" l="1"/>
  <c r="D360" i="1"/>
  <c r="D361" i="1" l="1"/>
  <c r="C362" i="1"/>
  <c r="C363" i="1" s="1"/>
  <c r="D363" i="1" l="1"/>
  <c r="C364" i="1"/>
  <c r="D362" i="1"/>
  <c r="D364" i="1" l="1"/>
  <c r="C366" i="1"/>
  <c r="D366" i="1" l="1"/>
  <c r="C367" i="1"/>
  <c r="D367" i="1" l="1"/>
  <c r="C368" i="1"/>
  <c r="C369" i="1" l="1"/>
  <c r="D368" i="1"/>
  <c r="C372" i="1" l="1"/>
  <c r="D369" i="1"/>
  <c r="D372" i="1" l="1"/>
  <c r="C373" i="1"/>
  <c r="C374" i="1" l="1"/>
  <c r="D373" i="1"/>
  <c r="C375" i="1" l="1"/>
  <c r="D374" i="1"/>
  <c r="C376" i="1" l="1"/>
  <c r="D375" i="1"/>
  <c r="D376" i="1" l="1"/>
  <c r="C377" i="1"/>
  <c r="C378" i="1" l="1"/>
  <c r="C379" i="1" s="1"/>
  <c r="D377" i="1"/>
  <c r="D379" i="1" l="1"/>
  <c r="C380" i="1"/>
  <c r="D378" i="1"/>
  <c r="D380" i="1" l="1"/>
  <c r="C381" i="1"/>
  <c r="C382" i="1" l="1"/>
  <c r="D381" i="1"/>
  <c r="D382" i="1" l="1"/>
  <c r="C383" i="1"/>
  <c r="C384" i="1" l="1"/>
  <c r="D383" i="1"/>
  <c r="C385" i="1" l="1"/>
  <c r="D384" i="1"/>
  <c r="D385" i="1" l="1"/>
  <c r="C387" i="1"/>
  <c r="D387" i="1" l="1"/>
  <c r="C388" i="1"/>
  <c r="D388" i="1" l="1"/>
  <c r="C389" i="1"/>
  <c r="C390" i="1" l="1"/>
  <c r="D389" i="1"/>
  <c r="C391" i="1" l="1"/>
  <c r="D390" i="1"/>
  <c r="D391" i="1" l="1"/>
  <c r="C392" i="1"/>
  <c r="D392" i="1" l="1"/>
  <c r="C393" i="1"/>
  <c r="C394" i="1" s="1"/>
  <c r="D394" i="1" l="1"/>
  <c r="C395" i="1"/>
  <c r="D393" i="1"/>
  <c r="C396" i="1" l="1"/>
  <c r="D395" i="1"/>
  <c r="D396" i="1" l="1"/>
  <c r="C397" i="1"/>
  <c r="C398" i="1" l="1"/>
  <c r="D397" i="1"/>
  <c r="D398" i="1" l="1"/>
  <c r="C399" i="1"/>
  <c r="D399" i="1" l="1"/>
  <c r="C400" i="1"/>
  <c r="C401" i="1" l="1"/>
  <c r="D400" i="1"/>
  <c r="D401" i="1" l="1"/>
  <c r="C403" i="1"/>
  <c r="C404" i="1" l="1"/>
  <c r="D403" i="1"/>
  <c r="D404" i="1" l="1"/>
  <c r="C405" i="1"/>
  <c r="D405" i="1" l="1"/>
  <c r="C406" i="1"/>
  <c r="D406" i="1" l="1"/>
  <c r="C407" i="1"/>
  <c r="D407" i="1" l="1"/>
  <c r="C408" i="1"/>
  <c r="D408" i="1" l="1"/>
  <c r="C409" i="1"/>
  <c r="D409" i="1" l="1"/>
  <c r="C410" i="1"/>
  <c r="C412" i="1" l="1"/>
  <c r="D410" i="1"/>
  <c r="C413" i="1" l="1"/>
  <c r="D412" i="1"/>
  <c r="C415" i="1" l="1"/>
  <c r="D413" i="1"/>
  <c r="D415" i="1" l="1"/>
  <c r="C416" i="1"/>
  <c r="C417" i="1" l="1"/>
  <c r="D416" i="1"/>
  <c r="D417" i="1" l="1"/>
  <c r="C418" i="1"/>
  <c r="D418" i="1" l="1"/>
  <c r="C419" i="1"/>
  <c r="C420" i="1" l="1"/>
  <c r="D419" i="1"/>
  <c r="D420" i="1" l="1"/>
  <c r="C421" i="1"/>
  <c r="D421" i="1" l="1"/>
  <c r="C423" i="1"/>
  <c r="D423" i="1" l="1"/>
  <c r="C424" i="1"/>
  <c r="C425" i="1" l="1"/>
  <c r="D424" i="1"/>
  <c r="C426" i="1" l="1"/>
  <c r="D425" i="1"/>
  <c r="C427" i="1" l="1"/>
  <c r="D426" i="1"/>
  <c r="C428" i="1" l="1"/>
  <c r="D427" i="1"/>
  <c r="C429" i="1" l="1"/>
  <c r="D428" i="1"/>
  <c r="C430" i="1" l="1"/>
  <c r="D429" i="1"/>
  <c r="D430" i="1" l="1"/>
  <c r="C431" i="1"/>
  <c r="C433" i="1" l="1"/>
  <c r="D431" i="1"/>
  <c r="D433" i="1" l="1"/>
  <c r="C434" i="1"/>
  <c r="D434" i="1" l="1"/>
  <c r="C435" i="1"/>
  <c r="D435" i="1" l="1"/>
  <c r="C436" i="1"/>
  <c r="C438" i="1" s="1"/>
  <c r="C439" i="1" s="1"/>
  <c r="C440" i="1" s="1"/>
  <c r="D436" i="1" l="1"/>
  <c r="D439" i="1" l="1"/>
  <c r="D438" i="1" l="1"/>
  <c r="D440" i="1" l="1"/>
  <c r="C441" i="1"/>
  <c r="D441" i="1" l="1"/>
  <c r="C442" i="1"/>
  <c r="D442" i="1" l="1"/>
  <c r="C443" i="1"/>
  <c r="C444" i="1" s="1"/>
  <c r="D444" i="1" l="1"/>
  <c r="C445" i="1"/>
  <c r="C447" i="1" s="1"/>
  <c r="D443" i="1"/>
  <c r="C448" i="1" l="1"/>
  <c r="D447" i="1"/>
  <c r="D445" i="1"/>
  <c r="C449" i="1" l="1"/>
  <c r="D448" i="1"/>
  <c r="C450" i="1" l="1"/>
  <c r="D449" i="1"/>
  <c r="D450" i="1" l="1"/>
  <c r="C451" i="1"/>
  <c r="C452" i="1" l="1"/>
  <c r="D451" i="1"/>
  <c r="C453" i="1" l="1"/>
  <c r="D452" i="1"/>
  <c r="D453" i="1" l="1"/>
  <c r="C454" i="1"/>
  <c r="D454" i="1" l="1"/>
  <c r="C455" i="1"/>
  <c r="D455" i="1" l="1"/>
  <c r="C456" i="1"/>
  <c r="C457" i="1" l="1"/>
  <c r="D456" i="1"/>
  <c r="C458" i="1" l="1"/>
  <c r="D457" i="1"/>
  <c r="C459" i="1" l="1"/>
  <c r="D458" i="1"/>
  <c r="D459" i="1" l="1"/>
  <c r="C460" i="1"/>
  <c r="C461" i="1" s="1"/>
  <c r="D461" i="1" l="1"/>
  <c r="C462" i="1"/>
  <c r="D460" i="1"/>
  <c r="D462" i="1" l="1"/>
  <c r="C464" i="1"/>
  <c r="C465" i="1" l="1"/>
  <c r="D464" i="1"/>
  <c r="C466" i="1" l="1"/>
  <c r="D465" i="1"/>
  <c r="C467" i="1" l="1"/>
  <c r="D466" i="1"/>
  <c r="C470" i="1" l="1"/>
  <c r="D467" i="1"/>
  <c r="D470" i="1" l="1"/>
  <c r="C471" i="1"/>
  <c r="D471" i="1" l="1"/>
  <c r="C472" i="1"/>
  <c r="C473" i="1" l="1"/>
  <c r="D472" i="1"/>
  <c r="C474" i="1" l="1"/>
  <c r="D473" i="1"/>
  <c r="C475" i="1" l="1"/>
  <c r="D474" i="1"/>
  <c r="C476" i="1" l="1"/>
  <c r="C477" i="1" s="1"/>
  <c r="D475" i="1"/>
  <c r="D477" i="1" l="1"/>
  <c r="C478" i="1"/>
  <c r="D476" i="1"/>
  <c r="D478" i="1" l="1"/>
  <c r="C479" i="1"/>
  <c r="C480" i="1" l="1"/>
  <c r="D479" i="1"/>
  <c r="D480" i="1" l="1"/>
  <c r="C481" i="1"/>
  <c r="D481" i="1" l="1"/>
  <c r="C482" i="1"/>
  <c r="C483" i="1" l="1"/>
  <c r="D482" i="1"/>
  <c r="C485" i="1" l="1"/>
  <c r="D483" i="1"/>
  <c r="C486" i="1" l="1"/>
  <c r="D485" i="1"/>
  <c r="D486" i="1" l="1"/>
  <c r="C487" i="1"/>
  <c r="D487" i="1" l="1"/>
  <c r="C488" i="1"/>
  <c r="D488" i="1" l="1"/>
  <c r="C489" i="1"/>
  <c r="C490" i="1" l="1"/>
  <c r="D489" i="1"/>
  <c r="D490" i="1" l="1"/>
  <c r="C491" i="1"/>
  <c r="C492" i="1" s="1"/>
  <c r="D492" i="1" l="1"/>
  <c r="C493" i="1"/>
  <c r="D491" i="1"/>
  <c r="D493" i="1" l="1"/>
  <c r="C494" i="1"/>
  <c r="C495" i="1" l="1"/>
  <c r="D494" i="1"/>
  <c r="D495" i="1" l="1"/>
  <c r="C496" i="1"/>
  <c r="C497" i="1" l="1"/>
  <c r="D496" i="1"/>
  <c r="D497" i="1" l="1"/>
  <c r="C498" i="1"/>
  <c r="D498" i="1" l="1"/>
  <c r="C499" i="1"/>
  <c r="D499" i="1" l="1"/>
  <c r="C501" i="1"/>
  <c r="C502" i="1" l="1"/>
  <c r="D501" i="1"/>
  <c r="C503" i="1" l="1"/>
  <c r="D502" i="1"/>
  <c r="C504" i="1" l="1"/>
  <c r="D503" i="1"/>
  <c r="C505" i="1" l="1"/>
  <c r="D504" i="1"/>
  <c r="C506" i="1" l="1"/>
  <c r="D505" i="1"/>
  <c r="C507" i="1" l="1"/>
  <c r="D506" i="1"/>
  <c r="C508" i="1" l="1"/>
  <c r="D507" i="1"/>
  <c r="C510" i="1" l="1"/>
  <c r="D508" i="1"/>
  <c r="D510" i="1" l="1"/>
  <c r="C511" i="1"/>
  <c r="D511" i="1" l="1"/>
  <c r="C513" i="1"/>
  <c r="D513" i="1" l="1"/>
  <c r="C514" i="1"/>
  <c r="D514" i="1" l="1"/>
  <c r="C515" i="1"/>
  <c r="C516" i="1" l="1"/>
  <c r="D515" i="1"/>
  <c r="C517" i="1" l="1"/>
  <c r="D516" i="1"/>
  <c r="D517" i="1" l="1"/>
  <c r="C518" i="1"/>
  <c r="D518" i="1" l="1"/>
  <c r="C519" i="1"/>
  <c r="D519" i="1" l="1"/>
  <c r="C521" i="1"/>
  <c r="D521" i="1" l="1"/>
  <c r="C522" i="1"/>
  <c r="D522" i="1" l="1"/>
  <c r="C523" i="1"/>
  <c r="D523" i="1" l="1"/>
  <c r="C524" i="1"/>
  <c r="D524" i="1" l="1"/>
  <c r="C525" i="1"/>
  <c r="C526" i="1" l="1"/>
  <c r="D525" i="1"/>
  <c r="C527" i="1" l="1"/>
  <c r="D526" i="1"/>
  <c r="D527" i="1" l="1"/>
  <c r="C528" i="1"/>
  <c r="D528" i="1" l="1"/>
  <c r="C529" i="1"/>
  <c r="C531" i="1" l="1"/>
  <c r="D529" i="1"/>
  <c r="C532" i="1" l="1"/>
  <c r="D531" i="1"/>
  <c r="D532" i="1" l="1"/>
  <c r="C533" i="1"/>
  <c r="D533" i="1" l="1"/>
  <c r="C534" i="1"/>
  <c r="C536" i="1" s="1"/>
  <c r="C537" i="1" s="1"/>
  <c r="C538" i="1" s="1"/>
  <c r="D534" i="1" l="1"/>
  <c r="D537" i="1" l="1"/>
  <c r="D536" i="1" l="1"/>
  <c r="D538" i="1" l="1"/>
  <c r="C539" i="1"/>
  <c r="C540" i="1" l="1"/>
  <c r="D539" i="1"/>
  <c r="C541" i="1" l="1"/>
  <c r="C542" i="1" s="1"/>
  <c r="D540" i="1"/>
  <c r="D542" i="1" l="1"/>
  <c r="C543" i="1"/>
  <c r="C545" i="1" s="1"/>
  <c r="D541" i="1"/>
  <c r="C546" i="1" l="1"/>
  <c r="D545" i="1"/>
  <c r="D543" i="1"/>
  <c r="D546" i="1" l="1"/>
  <c r="C547" i="1"/>
  <c r="D547" i="1" l="1"/>
  <c r="C548" i="1"/>
  <c r="C549" i="1" l="1"/>
  <c r="D548" i="1"/>
  <c r="C550" i="1" l="1"/>
  <c r="D549" i="1"/>
  <c r="C551" i="1" l="1"/>
  <c r="D550" i="1"/>
  <c r="C552" i="1" l="1"/>
  <c r="D551" i="1"/>
  <c r="D552" i="1" l="1"/>
  <c r="C553" i="1"/>
  <c r="C554" i="1" l="1"/>
  <c r="D553" i="1"/>
  <c r="D554" i="1" l="1"/>
  <c r="C555" i="1"/>
  <c r="C556" i="1" l="1"/>
  <c r="D555" i="1"/>
  <c r="D556" i="1" l="1"/>
  <c r="C557" i="1"/>
  <c r="C558" i="1" l="1"/>
  <c r="C559" i="1" s="1"/>
  <c r="C560" i="1" s="1"/>
  <c r="C562" i="1" s="1"/>
  <c r="C563" i="1" s="1"/>
  <c r="D557" i="1"/>
  <c r="D562" i="1" l="1"/>
  <c r="D559" i="1"/>
  <c r="D558" i="1"/>
  <c r="D560" i="1" l="1"/>
  <c r="D563" i="1" l="1"/>
  <c r="C564" i="1"/>
  <c r="C565" i="1" l="1"/>
  <c r="D564" i="1"/>
  <c r="D565" i="1" l="1"/>
  <c r="C566" i="1"/>
  <c r="D566" i="1" l="1"/>
  <c r="C569" i="1"/>
  <c r="C570" i="1" l="1"/>
  <c r="D569" i="1"/>
  <c r="C571" i="1" l="1"/>
  <c r="D570" i="1"/>
  <c r="C572" i="1" l="1"/>
  <c r="D571" i="1"/>
  <c r="D572" i="1" l="1"/>
  <c r="C573" i="1"/>
  <c r="C574" i="1" l="1"/>
  <c r="D573" i="1"/>
  <c r="D574" i="1" l="1"/>
  <c r="C575" i="1"/>
  <c r="C576" i="1" s="1"/>
  <c r="D576" i="1" l="1"/>
  <c r="C577" i="1"/>
  <c r="D575" i="1"/>
  <c r="C578" i="1" l="1"/>
  <c r="D577" i="1"/>
  <c r="C579" i="1" l="1"/>
  <c r="D578" i="1"/>
  <c r="D579" i="1" l="1"/>
  <c r="C580" i="1"/>
  <c r="C581" i="1" l="1"/>
  <c r="D580" i="1"/>
  <c r="D581" i="1" l="1"/>
  <c r="C582" i="1"/>
  <c r="C584" i="1" l="1"/>
  <c r="D582" i="1"/>
  <c r="C585" i="1" l="1"/>
  <c r="D584" i="1"/>
  <c r="C586" i="1" l="1"/>
  <c r="D585" i="1"/>
  <c r="D586" i="1" l="1"/>
  <c r="C587" i="1"/>
  <c r="D587" i="1" l="1"/>
  <c r="C588" i="1"/>
  <c r="D588" i="1" l="1"/>
  <c r="C589" i="1"/>
  <c r="D589" i="1" l="1"/>
  <c r="C590" i="1"/>
  <c r="C591" i="1" s="1"/>
  <c r="D591" i="1" l="1"/>
  <c r="C592" i="1"/>
  <c r="D590" i="1"/>
  <c r="C593" i="1" l="1"/>
  <c r="D592" i="1"/>
  <c r="D593" i="1" l="1"/>
  <c r="C594" i="1"/>
  <c r="C595" i="1" l="1"/>
  <c r="D594" i="1"/>
  <c r="C596" i="1" l="1"/>
  <c r="D595" i="1"/>
  <c r="D596" i="1" l="1"/>
  <c r="C597" i="1"/>
  <c r="C598" i="1" l="1"/>
  <c r="D597" i="1"/>
  <c r="C600" i="1" l="1"/>
  <c r="D598" i="1"/>
  <c r="D600" i="1" l="1"/>
  <c r="C601" i="1"/>
  <c r="D601" i="1" l="1"/>
  <c r="C602" i="1"/>
  <c r="D602" i="1" l="1"/>
  <c r="C603" i="1"/>
  <c r="D603" i="1" l="1"/>
  <c r="C604" i="1"/>
  <c r="D604" i="1" l="1"/>
  <c r="C605" i="1"/>
  <c r="D605" i="1" l="1"/>
  <c r="C606" i="1"/>
  <c r="D606" i="1" l="1"/>
  <c r="C607" i="1"/>
  <c r="C609" i="1" l="1"/>
  <c r="D607" i="1"/>
  <c r="D609" i="1" l="1"/>
  <c r="C610" i="1"/>
  <c r="D610" i="1" l="1"/>
  <c r="C612" i="1"/>
  <c r="C613" i="1" l="1"/>
  <c r="D612" i="1"/>
  <c r="D613" i="1" l="1"/>
  <c r="C614" i="1"/>
  <c r="D614" i="1" l="1"/>
  <c r="C615" i="1"/>
  <c r="C616" i="1" l="1"/>
  <c r="D615" i="1"/>
  <c r="D616" i="1" l="1"/>
  <c r="C617" i="1"/>
  <c r="D617" i="1" l="1"/>
  <c r="C618" i="1"/>
  <c r="D618" i="1" l="1"/>
  <c r="C619" i="1"/>
  <c r="C620" i="1" l="1"/>
  <c r="D619" i="1"/>
  <c r="D620" i="1" l="1"/>
  <c r="C621" i="1"/>
  <c r="D621" i="1" l="1"/>
  <c r="C622" i="1"/>
  <c r="C624" i="1" l="1"/>
  <c r="D622" i="1"/>
  <c r="C625" i="1" l="1"/>
  <c r="D624" i="1"/>
  <c r="C626" i="1" l="1"/>
  <c r="D625" i="1"/>
  <c r="C627" i="1" l="1"/>
  <c r="D626" i="1"/>
  <c r="C628" i="1" l="1"/>
  <c r="D627" i="1"/>
  <c r="C629" i="1" l="1"/>
  <c r="D628" i="1"/>
  <c r="C630" i="1" l="1"/>
  <c r="D629" i="1"/>
  <c r="C631" i="1" l="1"/>
  <c r="D630" i="1"/>
  <c r="D631" i="1" l="1"/>
  <c r="C632" i="1"/>
  <c r="D632" i="1" l="1"/>
  <c r="C634" i="1"/>
  <c r="C635" i="1" l="1"/>
  <c r="D634" i="1"/>
  <c r="D635" i="1" l="1"/>
  <c r="C636" i="1"/>
  <c r="C637" i="1" l="1"/>
  <c r="C639" i="1" s="1"/>
  <c r="C640" i="1" s="1"/>
  <c r="C641" i="1" s="1"/>
  <c r="D636" i="1"/>
  <c r="D637" i="1" l="1"/>
  <c r="D640" i="1" l="1"/>
  <c r="D639" i="1" l="1"/>
  <c r="C642" i="1" l="1"/>
  <c r="D641" i="1"/>
  <c r="C643" i="1" l="1"/>
  <c r="D642" i="1"/>
  <c r="D643" i="1" l="1"/>
  <c r="C644" i="1"/>
  <c r="C645" i="1" s="1"/>
  <c r="C646" i="1" l="1"/>
  <c r="D645" i="1"/>
  <c r="D644" i="1"/>
  <c r="D646" i="1" l="1"/>
  <c r="C647" i="1"/>
  <c r="D647" i="1" l="1"/>
  <c r="C648" i="1"/>
  <c r="D648" i="1" s="1"/>
  <c r="E650" i="1" s="1"/>
</calcChain>
</file>

<file path=xl/sharedStrings.xml><?xml version="1.0" encoding="utf-8"?>
<sst xmlns="http://schemas.openxmlformats.org/spreadsheetml/2006/main" count="2315" uniqueCount="429">
  <si>
    <t>District Code</t>
  </si>
  <si>
    <t>School Code</t>
  </si>
  <si>
    <t>District Name</t>
  </si>
  <si>
    <t>School Name</t>
  </si>
  <si>
    <t>School Type</t>
  </si>
  <si>
    <t>Charter School Type</t>
  </si>
  <si>
    <t>Hispanic</t>
  </si>
  <si>
    <t>Asian</t>
  </si>
  <si>
    <t>Black</t>
  </si>
  <si>
    <t>Native Hawaiian or other Pacific Islander</t>
  </si>
  <si>
    <t>White</t>
  </si>
  <si>
    <t>Content</t>
  </si>
  <si>
    <t>Form</t>
  </si>
  <si>
    <t>Teacher Last Name</t>
  </si>
  <si>
    <t>Teacher First Name</t>
  </si>
  <si>
    <t>Test Administrator Last Name</t>
  </si>
  <si>
    <t>Test Administrator First Name</t>
  </si>
  <si>
    <t>Course Name</t>
  </si>
  <si>
    <t>Sessions Completed</t>
  </si>
  <si>
    <t>Session 1 Completed</t>
  </si>
  <si>
    <t>Session 2 Completed</t>
  </si>
  <si>
    <t>Session 3 Completed</t>
  </si>
  <si>
    <t>Total MC Score</t>
  </si>
  <si>
    <t>Total CR Score</t>
  </si>
  <si>
    <t>Reportable status</t>
  </si>
  <si>
    <t>Test Valid Attempt</t>
  </si>
  <si>
    <t>Void Flag</t>
  </si>
  <si>
    <t>Eligible Flag</t>
  </si>
  <si>
    <t>Scale Score</t>
  </si>
  <si>
    <t>Career Diploma Pathway/Track</t>
  </si>
  <si>
    <t>Retest Flag</t>
  </si>
  <si>
    <t>Administration month of previous highest score</t>
  </si>
  <si>
    <t>Administration year of previous highest score</t>
  </si>
  <si>
    <t>Highest previous scale score</t>
  </si>
  <si>
    <t>History Data</t>
  </si>
  <si>
    <t>Admin Error Administration</t>
  </si>
  <si>
    <t>Test Date-Month</t>
  </si>
  <si>
    <t>Test Date-Year</t>
  </si>
  <si>
    <t>American Indian or Alaska Native</t>
  </si>
  <si>
    <t>Scholarship Student Flag</t>
  </si>
  <si>
    <t>Economically Disadvantaged Status</t>
  </si>
  <si>
    <t>Starting Location</t>
  </si>
  <si>
    <t>Ending Location</t>
  </si>
  <si>
    <t>Length</t>
  </si>
  <si>
    <t>Field Name</t>
  </si>
  <si>
    <t>Possible Values</t>
  </si>
  <si>
    <t>Description/Comments</t>
  </si>
  <si>
    <t>05 = May
06 = June
12 = December</t>
  </si>
  <si>
    <t>DISTRICT/SCHOOL</t>
  </si>
  <si>
    <t>1 = Type 1 Charter
2 = Type 2 Charter
3 = Type 3 Charter
4 = Type 4 Charter
5 = Type 5 Charter
6 = Type 3B Charter
Blank = Not a Charter School</t>
  </si>
  <si>
    <t>Y = Admin Error Form
Blank = Non-Admin Error Form</t>
  </si>
  <si>
    <t>FILLER</t>
  </si>
  <si>
    <t>STUDENT DETAILS</t>
  </si>
  <si>
    <r>
      <t xml:space="preserve">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Only the first 3 characters of the last name and first character of the first name will display for assess groups identified as passing limited PII to LDE.
These fields will be populated with the full values on the audit student level LDESTD file produced for LDE.</t>
    </r>
  </si>
  <si>
    <t>LASID</t>
  </si>
  <si>
    <t>Unique student identification number generated by LDE.</t>
  </si>
  <si>
    <t>01-12
Blank</t>
  </si>
  <si>
    <t>00-31</t>
  </si>
  <si>
    <t>19&lt;YY&gt;-20&lt;YY&gt;
Blank</t>
  </si>
  <si>
    <t>0 = Regular Education
1 = Special Education
2 = Gifted or Talented</t>
  </si>
  <si>
    <t>01 = Not LEP
02 = LEP</t>
  </si>
  <si>
    <t>Y = 504
N = Not 504</t>
  </si>
  <si>
    <t>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17 = Other (Mult Disabilities, Severe Mental Dis.)
Blank = student has no special education category</t>
  </si>
  <si>
    <t>Y = Hispanic or Latino
N = Not Hispanic or Latino</t>
  </si>
  <si>
    <t>Y = American Indian or Alaska Native
N = Not American Indian or Alaska Native</t>
  </si>
  <si>
    <t>Y = Asian
N = Not Asian</t>
  </si>
  <si>
    <t>Y = Black or African American
N = Not Black or African American</t>
  </si>
  <si>
    <t>Y = White
N = Not White</t>
  </si>
  <si>
    <t>Y = Native Hawaiian or Other Pacific 
        Islander
N = Not Native Hawaiian or Other 
      Pacific Islander</t>
  </si>
  <si>
    <t>Y = Homeless
N = Not Homeless</t>
  </si>
  <si>
    <t>1 = Hispanic/Latino
2 = American Indian or Alaska Native
3 = Asian
4 = Black or African American
5 = Native Hawaiian or Other Pacific
       Islander
6 = White
7 = Two or more races</t>
  </si>
  <si>
    <r>
      <t xml:space="preserve">Student's summarized ethnicity/race.
Refer to the </t>
    </r>
    <r>
      <rPr>
        <b/>
        <u/>
        <sz val="10"/>
        <rFont val="Arial"/>
        <family val="2"/>
      </rPr>
      <t>Rules to Determine Demographic Values</t>
    </r>
    <r>
      <rPr>
        <sz val="10"/>
        <rFont val="Arial"/>
        <family val="2"/>
      </rPr>
      <t xml:space="preserve"> section of the Processing Rules - Scoring document for logic to determine this value.</t>
    </r>
  </si>
  <si>
    <t>6-digit school code
3 digit district code
3 character assess group</t>
  </si>
  <si>
    <t xml:space="preserve">E = Eligible Tester
Blank </t>
  </si>
  <si>
    <t>I = Initial Tester
R = Retester
P = Previously Passed
Blank</t>
  </si>
  <si>
    <t>0-999
Blank</t>
  </si>
  <si>
    <t>Y = Valid Attempt
N = No Valid Attempt
Blank</t>
  </si>
  <si>
    <t>1= LDE Void
2 = District Void
3 = Administrative Error (AE) Void
Blank</t>
  </si>
  <si>
    <t>600-800 
Blank</t>
  </si>
  <si>
    <t>0-99
Blank</t>
  </si>
  <si>
    <t>0-100
Blank</t>
  </si>
  <si>
    <t>05 = May
06 = June
12 = December
Blank</t>
  </si>
  <si>
    <t>Note: if student achieves same scale score on two administrations, the date reported will be the latest.
Blank when no history is found for the student.</t>
  </si>
  <si>
    <t>YYYY
Blank</t>
  </si>
  <si>
    <t>600-800
Blank</t>
  </si>
  <si>
    <t>Blank when student didn't test during the current administration or when no history is found for the student.</t>
  </si>
  <si>
    <t>Blank when no history is found for the student.</t>
  </si>
  <si>
    <t>01-99
Blank</t>
  </si>
  <si>
    <t>TEST DETAILS - ENGLISH II</t>
  </si>
  <si>
    <t>TEST DETAILS - BIOLOGY</t>
  </si>
  <si>
    <t>TEST DETAILS - US HISTORY</t>
  </si>
  <si>
    <t>TEST DETAILS - ENGLISH III</t>
  </si>
  <si>
    <t>06 = Grade 6
07 = Grade 7
08 = Grade 8
T9 = Transitional Grade 9
09 = Grade 9
10 = Grade 10
11 = Grade 11
12 = Grade 12</t>
  </si>
  <si>
    <t>Y = Session Completed
N = Session Started but not completed
Blank = Session Not Started</t>
  </si>
  <si>
    <r>
      <t xml:space="preserve">District and school where student is enrolled and where the student is reported to.
Refer to the </t>
    </r>
    <r>
      <rPr>
        <b/>
        <u/>
        <sz val="10"/>
        <rFont val="Arial"/>
        <family val="2"/>
      </rPr>
      <t>Capturing Site Codes</t>
    </r>
    <r>
      <rPr>
        <sz val="10"/>
        <rFont val="Arial"/>
        <family val="2"/>
      </rPr>
      <t xml:space="preserve"> section of the Processing Rules - Scoring document for logic to determine the Reporting Site-Code value.</t>
    </r>
  </si>
  <si>
    <t>01 = LEA
02 = LAB
03 = CHA
04 = TRI
05 = NPB
06 = STA
08 = BSE
09 = OJJ
10 = MAR
12 = RES
13 = NPS
14 = RLA
15 = RNO
16 = JUV
17 = RBR</t>
  </si>
  <si>
    <t>Student Last Name</t>
  </si>
  <si>
    <t>Student First Name</t>
  </si>
  <si>
    <t>Student Middle Initial</t>
  </si>
  <si>
    <t>DOB - Day</t>
  </si>
  <si>
    <t>DOB - Month</t>
  </si>
  <si>
    <t>DOB - Year</t>
  </si>
  <si>
    <t>Reporting Grade</t>
  </si>
  <si>
    <t>Class Section</t>
  </si>
  <si>
    <t>Precoded Accommodations</t>
  </si>
  <si>
    <t>Testing Site Code</t>
  </si>
  <si>
    <t>6 digit site code
Blank</t>
  </si>
  <si>
    <t>Student Report</t>
  </si>
  <si>
    <t>School Roster</t>
  </si>
  <si>
    <t>Y = Yes
N = No</t>
  </si>
  <si>
    <t>Rescore Flag</t>
  </si>
  <si>
    <t>Assessment Achievement Level</t>
  </si>
  <si>
    <t>"N" when attempts zero items.
"Y" when at least one item is attempted
Blank when student not enrolled.</t>
  </si>
  <si>
    <t>Test Launch Flag</t>
  </si>
  <si>
    <t>EXC = Excellent
GOO = Good
FAI = Fair
NIP = Needs Improvement
Blank</t>
  </si>
  <si>
    <t>Accountability Achievement Level</t>
  </si>
  <si>
    <t>N = Not Reportable
P = Pending
R = Reportable
Blank</t>
  </si>
  <si>
    <t>Text-to-Speech</t>
  </si>
  <si>
    <t>Spanish Test</t>
  </si>
  <si>
    <t>Braille</t>
  </si>
  <si>
    <t>Accommodated Paper</t>
  </si>
  <si>
    <t>Human Read Aloud</t>
  </si>
  <si>
    <t>Communication Assistance</t>
  </si>
  <si>
    <t>Transferred Answers</t>
  </si>
  <si>
    <t>Answers Recorded</t>
  </si>
  <si>
    <t>Calculator</t>
  </si>
  <si>
    <t>Extended Time</t>
  </si>
  <si>
    <t>Individual or Small Group Administration</t>
  </si>
  <si>
    <t>As valued in eDIRECT.</t>
  </si>
  <si>
    <t>ALGEBRA I SCORING INFORMATION</t>
  </si>
  <si>
    <t>Content Standard Information</t>
  </si>
  <si>
    <t>ALGEBRA I ACCOMMODATIONS</t>
  </si>
  <si>
    <t>Total Raw Score</t>
  </si>
  <si>
    <t>Total Percent correct</t>
  </si>
  <si>
    <t>Percent Correct for Number &amp; Quantity / Statistics &amp; Probability. This is calculated by dividing the total points earned by the total points possible for the standard.
Blank when the Total Raw Score is blank.</t>
  </si>
  <si>
    <t>Percent Correct for Algebra. This is calculated by dividing the total points earned by the total points possible for the standard.
Blank when the Total Raw Score is blank.</t>
  </si>
  <si>
    <t>Total points earned for Algebra. 
Blank when the Total Raw Score is blank.</t>
  </si>
  <si>
    <t>Total points earned for Functions.
Blank when the Total Raw Score is blank.</t>
  </si>
  <si>
    <t>Percent Correct for Functions. This is calculated by dividing the total points earned by the total points possible for the standard.
Blank when the Total Raw Score is blank.</t>
  </si>
  <si>
    <t>Total points earned for Number &amp; Quantity / Statistics &amp; Probability.
Blank when the Total Raw Score is blank.</t>
  </si>
  <si>
    <t>Total Percent Correct. This is calculated by dividing the Total Raw Score by the total operational points possible.
Blank when raw score is blank.</t>
  </si>
  <si>
    <t>Total points earned for operational MC items for Algebra I.
Blank when Total Raw Score is blank.</t>
  </si>
  <si>
    <t>Total points earned for operational CR items for Algebra I.
Blank when Total Raw Score is blank.</t>
  </si>
  <si>
    <t>Precode Education Classification</t>
  </si>
  <si>
    <t>Precode LEP Status</t>
  </si>
  <si>
    <t>Precode Section 504 Code</t>
  </si>
  <si>
    <t>Precode Site Code</t>
  </si>
  <si>
    <t>Course Code</t>
  </si>
  <si>
    <t>160321
160338
160380
160340
160331
Blank</t>
  </si>
  <si>
    <t>Test Administrator Number</t>
  </si>
  <si>
    <t>100-899 = School Level
900-999 = District Level
Blank</t>
  </si>
  <si>
    <t>TEST DETAILS - ALGEBRA I</t>
  </si>
  <si>
    <t>Reporting Flags</t>
  </si>
  <si>
    <t xml:space="preserve">Refer to the Accountability Codes for Testing document for valid values. </t>
  </si>
  <si>
    <t>ENGLISH II ACCOMMODATIONS</t>
  </si>
  <si>
    <t>ENGLISH II SCORING INFORMATION</t>
  </si>
  <si>
    <t>Total points earned for operational MC items for English II.
Blank when Total Raw Score is blank.</t>
  </si>
  <si>
    <t>Total points earned for operational CR items for English II.
Blank when Total Raw Score is blank.</t>
  </si>
  <si>
    <t>Algebra Raw Score</t>
  </si>
  <si>
    <t>Functions Raw Score</t>
  </si>
  <si>
    <t>Number &amp; Quantity / Statistics &amp; Probability Raw Score</t>
  </si>
  <si>
    <t>Writing and Language Conventions Raw Score</t>
  </si>
  <si>
    <t>Reading Raw Score</t>
  </si>
  <si>
    <t>Research Raw Score</t>
  </si>
  <si>
    <t>Congruence Raw Score</t>
  </si>
  <si>
    <t>Similarity, Right Triangles, &amp; Trigonometry  Raw Score</t>
  </si>
  <si>
    <t>Circles / Expressing Geometric Properties with Equations Raw Score</t>
  </si>
  <si>
    <t>Geometric Measurement &amp; Dimension / Modeling with Geometry Raw Score</t>
  </si>
  <si>
    <t>Western Expansion to Progressivism - Standard 2 - Raw Score</t>
  </si>
  <si>
    <t>Isolationism through the Great War - Standard 3 - Raw Score</t>
  </si>
  <si>
    <t>Becoming a World Power through World War II - Standard 4 - Raw Score</t>
  </si>
  <si>
    <t>Cold War Era - Standard 5 - Raw Score</t>
  </si>
  <si>
    <t>The Modern Age - Standard 6 - Raw Score</t>
  </si>
  <si>
    <t>Total Percent Correct</t>
  </si>
  <si>
    <t>Algebra Percent Correct</t>
  </si>
  <si>
    <t>Functions Percent Correct</t>
  </si>
  <si>
    <t>Number &amp; Quantity / Statistics &amp; Probability Percent Correct</t>
  </si>
  <si>
    <t>Writing and Language Conventions Percent Correct</t>
  </si>
  <si>
    <t>Reading Percent Correct</t>
  </si>
  <si>
    <t>Research Percent Correct</t>
  </si>
  <si>
    <t>Congruence Percent Correct</t>
  </si>
  <si>
    <t>Similarity, Right Triangles, &amp; Trigonometry  Percent Correct</t>
  </si>
  <si>
    <t>Circles / Expressing Geometric Properties with Equations Percent Correct</t>
  </si>
  <si>
    <t>Geometric Measurement &amp; Dimension / Modeling with Geometry Percent Correct</t>
  </si>
  <si>
    <t>Western Expansion to Progressivism - Standard 2 - Percent Correct</t>
  </si>
  <si>
    <t>Isolationism through the Great War - Standard 3 - Percent Correct</t>
  </si>
  <si>
    <t>Becoming a World Power through World War II - Standard 4 - Percent Correct</t>
  </si>
  <si>
    <t>Cold War Era - Standard 5 - Percent Correct</t>
  </si>
  <si>
    <t>The Modern Age - Standard 6 - Percent Correct</t>
  </si>
  <si>
    <t>Total points earned for Writing and Language Conventions. 
Blank when the Total Raw Score is blank.</t>
  </si>
  <si>
    <t>Percent Correct for Writing and Language Conventions. This is calculated by dividing the total points earned by the total points possible for the standard.
Blank when the Total Raw Score is blank.</t>
  </si>
  <si>
    <t>Total points earned for Reading.
Blank when the Total Raw Score is blank.</t>
  </si>
  <si>
    <t>Percent Correct for Reading. This is calculated by dividing the total points earned by the total points possible for the standard.
Blank when the Total Raw Score is blank.</t>
  </si>
  <si>
    <t>Total points earned for Research.
Blank when the Total Raw Score is blank.</t>
  </si>
  <si>
    <t>Percent Correct for Research. This is calculated by dividing the total points earned by the total points possible for the standard.
Blank when the Total Raw Score is blank.</t>
  </si>
  <si>
    <t>TEST DETAILS - GEOMETRY</t>
  </si>
  <si>
    <t>160323
160332
160341
Blank</t>
  </si>
  <si>
    <t>GEOMETRY ACCOMMODATIONS</t>
  </si>
  <si>
    <t>Total points earned for operational MC items for Geometry.
Blank when Total Raw Score is blank.</t>
  </si>
  <si>
    <t>Total points earned for operational CR items for Geometry.
Blank when Total Raw Score is blank.</t>
  </si>
  <si>
    <t>GEOMETRY SCORING INFORMATION</t>
  </si>
  <si>
    <t>Total points earned for Congruence. 
Blank when the Total Raw Score is blank.</t>
  </si>
  <si>
    <t>Percent Correct for Congruence. This is calculated by dividing the total points earned by the total points possible for the standard.
Blank when the Total Raw Score is blank.</t>
  </si>
  <si>
    <t>Total points earned for Similarity, Right Triangles, &amp; Trigonometry  points earned.
Blank when the Total Raw Score is blank.</t>
  </si>
  <si>
    <t>Percent Correct for Similarity, Right Triangles, &amp; Trigonometry  points earned. This is calculated by dividing the total points earned by the total points possible for the standard.
Blank when the Total Raw Score is blank.</t>
  </si>
  <si>
    <t>Percent Correct for Circles / Expressing Geometric Properties with Equations. This is calculated by dividing the total points earned by the total points possible for the standard.
Blank when the Total Raw Score is blank.</t>
  </si>
  <si>
    <t>Total points earned for Circles / Expressing Geometric Properties with Equations.
Blank when the Total Raw Score is blank.</t>
  </si>
  <si>
    <t>Total points earned for Geometric Measurement &amp; Dimension / Modeling with Geometry.
Blank when the Total Raw Score is blank.</t>
  </si>
  <si>
    <t>Percent Correct for Geometric Measurement &amp; Dimension / Modeling with Geometry. This is calculated by dividing the total points earned by the total points possible for the standard.
Blank when the Total Raw Score is blank.</t>
  </si>
  <si>
    <t>150301
150321
150322
Blank</t>
  </si>
  <si>
    <t>BIOLOGY ACCOMMODATIONS</t>
  </si>
  <si>
    <t>Total points earned for operational MC items for Biology.
Blank when Total Raw Score is blank.</t>
  </si>
  <si>
    <t>Total points earned for operational CR items for Biology.
Blank when Total Raw Score is blank.</t>
  </si>
  <si>
    <t>BIOLOGY SCORING INFORMATION</t>
  </si>
  <si>
    <t>Total points earned for Science as Inquiry. 
Blank when the Total Raw Score is blank.</t>
  </si>
  <si>
    <t>Percent Correct for Science as Inquiry. This is calculated by dividing the total points earned by the total points possible for the standard.
Blank when the Total Raw Score is blank.</t>
  </si>
  <si>
    <t>Total points earned for Life Science.
Blank when the Total Raw Score is blank.</t>
  </si>
  <si>
    <t>Percent Correct for Life Science. This is calculated by dividing the total points earned by the total points possible for the standard.
Blank when the Total Raw Score is blank.</t>
  </si>
  <si>
    <t>Percent Correct for Earth and Space Science. This is calculated by dividing the total points earned by the total points possible for the standard.
Blank when the Total Raw Score is blank.</t>
  </si>
  <si>
    <t>Total points earned for Earth and Space Science.
Blank when the Total Raw Score is blank.</t>
  </si>
  <si>
    <t>Science as Inquiry Percent Correct</t>
  </si>
  <si>
    <t>Life Science Percent Correct</t>
  </si>
  <si>
    <t>Earth and Space Science Percent Correct</t>
  </si>
  <si>
    <t>Science as Inquiry Raw Score</t>
  </si>
  <si>
    <t>Life Science Raw Score</t>
  </si>
  <si>
    <t>Earth and Space Science Raw Score</t>
  </si>
  <si>
    <t>120333
120329
120325
120403
120327
120341
120404
120601
120602
120603
120604
120605</t>
  </si>
  <si>
    <t>ENGLISH III ACCOMMODATIONS</t>
  </si>
  <si>
    <t>ENGLISH III SCORING INFORMATION</t>
  </si>
  <si>
    <t>Total points earned for operational MC items for English III.
Blank when Total Raw Score is blank.</t>
  </si>
  <si>
    <t>Total points earned for operational CR items for English III.
Blank when Total Raw Score is blank.</t>
  </si>
  <si>
    <t>220403
220406
220404
220405
220407
220408
220409
Blank</t>
  </si>
  <si>
    <t>U.S. HISTORY ACCOMMODATIONS</t>
  </si>
  <si>
    <t>U.S. HISTORY SCORING INFORMATION</t>
  </si>
  <si>
    <t>Total points earned for operational MC items for U.S. History.
Blank when Total Raw Score is blank.</t>
  </si>
  <si>
    <t>Total points earned for operational CR items for U.S. History.
Blank when Total Raw Score is blank.</t>
  </si>
  <si>
    <t>Total points earned for Western Expansion to Progressivism. 
Blank when the Total Raw Score is blank.</t>
  </si>
  <si>
    <t>Percent Correct for Western Expansion to Progressivism. This is calculated by dividing the total points earned by the total points possible for the standard.
Blank when the Total Raw Score is blank.</t>
  </si>
  <si>
    <t>Total points earned for Isolationism through the Great War.
Blank when the Total Raw Score is blank.</t>
  </si>
  <si>
    <t>Percent Correct for Isolationism through the Great War. This is calculated by dividing the total points earned by the total points possible for the standard.
Blank when the Total Raw Score is blank.</t>
  </si>
  <si>
    <t>Total points earned for Becoming a World Power through World War II.
Blank when the Total Raw Score is blank.</t>
  </si>
  <si>
    <t>Percent Correct for Becoming a World Power through World War II. This is calculated by dividing the total points earned by the total points possible for the standard.
Blank when the Total Raw Score is blank.</t>
  </si>
  <si>
    <t>Total points earned for Cold War Era.
Blank when the Total Raw Score is blank.</t>
  </si>
  <si>
    <t>Percent Correct for Cold War Era. This is calculated by dividing the total points earned by the total points possible for the standard.
Blank when the Total Raw Score is blank.</t>
  </si>
  <si>
    <t>Total points earned for The Modern Age.
Blank when the Total Raw Score is blank.</t>
  </si>
  <si>
    <t>Percent Correct for The Modern Age. This is calculated by dividing the total points earned by the total points possible for the standard.
Blank when the Total Raw Score is blank.</t>
  </si>
  <si>
    <t>The numeric type for the Assess Group Code value from the School Master File for the school the student is being reported to.</t>
  </si>
  <si>
    <t>0-9 in any position</t>
  </si>
  <si>
    <t>A-Z in any position</t>
  </si>
  <si>
    <t>A-Z</t>
  </si>
  <si>
    <t>Charter type as listed in the School Master File.
Blank for 888 and 998 school types.</t>
  </si>
  <si>
    <t>DRC Unique Student ID</t>
  </si>
  <si>
    <t>Numeric value with leading zeros</t>
  </si>
  <si>
    <t>As flagged on the Enroll File. 
Blank for a manually added student.</t>
  </si>
  <si>
    <t>F = Female
M = Male</t>
  </si>
  <si>
    <t>As valued in eDIRECT.
Values are derived from the Enroll file for precoded students or as entered in eDIRECT for manually added students.</t>
  </si>
  <si>
    <t>Y = 504
N = Not 504
Blank</t>
  </si>
  <si>
    <t>01 = Not LEP
02 = LEP
Blank</t>
  </si>
  <si>
    <t>As flagged on the Enroll File. 
Blank for a manually added student or when the value is blank on the enroll file.</t>
  </si>
  <si>
    <t>0 = Regular Education
1 = Special Education
2 = Gifted or Talented
Blank</t>
  </si>
  <si>
    <t>Y = Career Diploma
N = Not Career Diploma
Blank</t>
  </si>
  <si>
    <t>As flagged on the Enroll File.
Blank for a manually added student.</t>
  </si>
  <si>
    <t>Y = Scholarship Student
N = Non-Scholarship Student</t>
  </si>
  <si>
    <t>Site code from the Enroll File. 
Blank for manually added students.</t>
  </si>
  <si>
    <t>A-Z in any position
Blank</t>
  </si>
  <si>
    <t>Y = Yes
N = No
Blank</t>
  </si>
  <si>
    <t>SEM High</t>
  </si>
  <si>
    <t>SEM Low</t>
  </si>
  <si>
    <t>Blank when Scale Score is blank.</t>
  </si>
  <si>
    <t>Y = Test Launched
N = Test Not Launched
Blank</t>
  </si>
  <si>
    <t>"Y" when student launches the test.
"N" when student does not launch the test.
Blank when student is not in a test session.</t>
  </si>
  <si>
    <t>"N" when zero items are attempted.
"Y" when at least one item is attempted.
Blank when student is not enrolled.</t>
  </si>
  <si>
    <t xml:space="preserve">Blank when the student is not voided.
"2" for all voided students in the In-Window files. </t>
  </si>
  <si>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</si>
  <si>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</si>
  <si>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</si>
  <si>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</si>
  <si>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Mallory Johannes</t>
  </si>
  <si>
    <t>Document created for 2016-2017.</t>
  </si>
  <si>
    <t>EOC LDESTD File Layout - Final File_Assessment and Accountability Staff</t>
  </si>
  <si>
    <t>Teacher Middle Initial</t>
  </si>
  <si>
    <t>Test Administrator Middle Initial</t>
  </si>
  <si>
    <t>Native Language Word-to-Word Dictionary</t>
  </si>
  <si>
    <t>SEM Values</t>
  </si>
  <si>
    <t>Student's site district reports should be rolled up/reported to.
Refer to the Common Louisiana Processing Rules - Reporting document for the rules to determine the District Reporting Code.</t>
  </si>
  <si>
    <t xml:space="preserve">1 = Economically Disadvantaged
0 = Not Economically Disadvantaged
Blank </t>
  </si>
  <si>
    <t>Y = Classified as a Migrant Student
N = Not classified as a Migrant Student</t>
  </si>
  <si>
    <t>Precode Exceptionality Category</t>
  </si>
  <si>
    <t>Values are derived from the grade in eDIRECT, or from the Enroll file. For students who updated their grade in eDIRECT, the updated grade level will be populated here.</t>
  </si>
  <si>
    <t>"Y" when school type = '13'.</t>
  </si>
  <si>
    <t>Algebra I
Algebra I - Part 2
Algebra I - Middle School
Integrated Mathematics II
Applied Algebra
Not Enrolled in Course
Blank</t>
  </si>
  <si>
    <t>Algebra I Enroll Flag</t>
  </si>
  <si>
    <t>"Y" when the student was included in the enroll file for the subject.</t>
  </si>
  <si>
    <t>Y = Included in Enroll File 
N = Not on Enroll File</t>
  </si>
  <si>
    <t>Summarized Ethnicity Race</t>
  </si>
  <si>
    <t>District and School where student was tested for this subject.
Blank when a student is not in a test session for the subject.</t>
  </si>
  <si>
    <r>
      <t xml:space="preserve">Each Item uses 3 characters of space.
If the item is </t>
    </r>
    <r>
      <rPr>
        <b/>
        <sz val="10"/>
        <color rgb="FF000000"/>
        <rFont val="Arial"/>
        <family val="2"/>
      </rPr>
      <t>multiple choice</t>
    </r>
    <r>
      <rPr>
        <sz val="10"/>
        <color rgb="FF000000"/>
        <rFont val="Arial"/>
        <family val="2"/>
      </rPr>
      <t xml:space="preserve">, the first character of the three is populated with the student's response within the remaining position as filler.
1-4
A
B
C
D
Blank = No Response
If the item </t>
    </r>
    <r>
      <rPr>
        <b/>
        <sz val="10"/>
        <color rgb="FF000000"/>
        <rFont val="Arial"/>
        <family val="2"/>
      </rPr>
      <t>constructed response</t>
    </r>
    <r>
      <rPr>
        <sz val="10"/>
        <color rgb="FF000000"/>
        <rFont val="Arial"/>
        <family val="2"/>
      </rPr>
      <t xml:space="preserve">, the student's score for the constructed response item is represented. 
0.0 - 4.0
&lt;NonScore Code&gt; = Refer to the </t>
    </r>
    <r>
      <rPr>
        <b/>
        <u/>
        <sz val="10"/>
        <color rgb="FF000000"/>
        <rFont val="Arial"/>
        <family val="2"/>
      </rPr>
      <t>Constructed Response Items</t>
    </r>
    <r>
      <rPr>
        <sz val="10"/>
        <color rgb="FF000000"/>
        <rFont val="Arial"/>
        <family val="2"/>
      </rPr>
      <t xml:space="preserve"> section of the Processing Rules - Scoring document for applicable non-score codes.
"-" = Item not attempted and not sent to handscoring.</t>
    </r>
  </si>
  <si>
    <t>Directions in Native Language</t>
  </si>
  <si>
    <t>English II
English II Retest
Not Enrolled in Course
Blank</t>
  </si>
  <si>
    <t>English II Enroll Flag</t>
  </si>
  <si>
    <t>English II CohortFlag</t>
  </si>
  <si>
    <t>Y = Included in Cohort File 
N = Not on Cohort File</t>
  </si>
  <si>
    <t>Algebra I CohortFlag</t>
  </si>
  <si>
    <t>Geometry
Applied Geometry
Integrated Math III
Not Enrolled in Course
Blank</t>
  </si>
  <si>
    <t>Test Administrator associated with the student's test session.
Blank when a student is not in a test session for the subject.</t>
  </si>
  <si>
    <t>Geometry Enroll Flag</t>
  </si>
  <si>
    <t>Biology
Biology I DE Gen Bio I
Biology I DE Bio I Sci Mj
Not Enrolled in Course
Blank</t>
  </si>
  <si>
    <t>Biology Enroll Flag</t>
  </si>
  <si>
    <t>English III
English III GT
English III AP ELA Comp
English III IB Lit
English III IB Lang Lit
English III Honors
English III IB Lit Perf
English III DE Comp 1
English III DE Comp II
English III DE Amer Lit I
English III DE Amer Lit II
English III DE Am Writers
Not Enrolled in Course
Blank</t>
  </si>
  <si>
    <t>English III Enroll Flag</t>
  </si>
  <si>
    <t>US History
US History GT
US History AP
US History IB
US History DE Amr Hist I
US History DE Amr Hist II
US History Honors
Not Enrolled in Course
Blank</t>
  </si>
  <si>
    <t>U.S. History Enroll Flag</t>
  </si>
  <si>
    <t>E = Excellent
G= Good
F= Fair
NI = Needs Improvement
Blank</t>
  </si>
  <si>
    <r>
      <t xml:space="preserve">"E" when a student was put into a test session or was in the enrolle file for the subject.
Refer to the </t>
    </r>
    <r>
      <rPr>
        <b/>
        <u/>
        <sz val="10"/>
        <rFont val="Arial"/>
        <family val="2"/>
      </rPr>
      <t>Eligible Flag By Subject</t>
    </r>
    <r>
      <rPr>
        <sz val="10"/>
        <rFont val="Arial"/>
        <family val="2"/>
      </rPr>
      <t xml:space="preserve"> section of the Processing Rules - Scoring document for the logic to set this field.</t>
    </r>
  </si>
  <si>
    <t>Highest Previous Assessment Achievement Level</t>
  </si>
  <si>
    <t>E = Excellent
G = Good
F = Fair
NI = Needs Improvement
Blank</t>
  </si>
  <si>
    <t>A-Z, 0-9, - in each position
Blank</t>
  </si>
  <si>
    <t>Unique number generated at the time the student record is converted into the DRC Student File.  (Starts over each administration.)
Blank for In-window files.</t>
  </si>
  <si>
    <r>
      <t>District Reporting</t>
    </r>
    <r>
      <rPr>
        <sz val="10"/>
        <rFont val="Arial"/>
        <family val="2"/>
      </rPr>
      <t xml:space="preserve"> Rolled Up</t>
    </r>
    <r>
      <rPr>
        <sz val="10"/>
        <color rgb="FF000000"/>
        <rFont val="Arial"/>
        <family val="2"/>
      </rPr>
      <t xml:space="preserve"> Code</t>
    </r>
  </si>
  <si>
    <t>Precode Grade</t>
  </si>
  <si>
    <t>07 = Grade 7
08 = Grade 8
T9 = Transitional Grade 9
09 = Grade 9
10 = Grade 10
11 = Grade 11
12 = Grade 12</t>
  </si>
  <si>
    <r>
      <rPr>
        <sz val="10"/>
        <rFont val="Arial"/>
        <family val="2"/>
      </rPr>
      <t>Reporting G</t>
    </r>
    <r>
      <rPr>
        <sz val="10"/>
        <color rgb="FF000000"/>
        <rFont val="Arial"/>
        <family val="2"/>
      </rPr>
      <t>ender</t>
    </r>
  </si>
  <si>
    <t>Reporting Migrant Status</t>
  </si>
  <si>
    <t>Reporting Education Classification</t>
  </si>
  <si>
    <t>Reporting LEP Status</t>
  </si>
  <si>
    <t>Reporting Section 504 Code</t>
  </si>
  <si>
    <t>Reporting Exceptionality Category</t>
  </si>
  <si>
    <t>Reporting Homeless (McKinney-Vento) Flag</t>
  </si>
  <si>
    <t>As valued in eDIRECT. 
Blank when a student is not in a test session and was not in the enroll file for the subject or if the value is blank in eDIRECT.</t>
  </si>
  <si>
    <r>
      <t xml:space="preserve">Refer to the </t>
    </r>
    <r>
      <rPr>
        <b/>
        <u/>
        <sz val="10"/>
        <rFont val="Arial"/>
        <family val="2"/>
      </rPr>
      <t>Course Values</t>
    </r>
    <r>
      <rPr>
        <sz val="10"/>
        <rFont val="Arial"/>
        <family val="2"/>
      </rPr>
      <t xml:space="preserve"> section of the Processing Rules - Scoring document for course codes applicable to Algebra I.
Blank when a student is not in a test session and was not in the enroll file for the subject or if the value is blank in eDIRECT.</t>
    </r>
  </si>
  <si>
    <r>
      <t xml:space="preserve">Refer to the </t>
    </r>
    <r>
      <rPr>
        <b/>
        <u/>
        <sz val="10"/>
        <rFont val="Arial"/>
        <family val="2"/>
      </rPr>
      <t>Course Values</t>
    </r>
    <r>
      <rPr>
        <sz val="10"/>
        <rFont val="Arial"/>
        <family val="2"/>
      </rPr>
      <t xml:space="preserve"> section of the Processing Rules - Scoring document for course names applicable to Algebra I.
Blank when a student is not in a test session and was not in the enroll file for the subject or if the value is blank in eDIRECT.</t>
    </r>
  </si>
  <si>
    <t>Reporting Accommodations</t>
  </si>
  <si>
    <t>Accountability Code - Algebra I</t>
  </si>
  <si>
    <t>Testing Flags - Algebra I</t>
  </si>
  <si>
    <t>Blank when the student is not voided.</t>
  </si>
  <si>
    <t>"N" when zero items are attempted.
"Y" when at least one item is attempted.
Blank for students not in a test session.</t>
  </si>
  <si>
    <t>Test Session / Class Roster Flag</t>
  </si>
  <si>
    <t>"Y" when the student was included in the cohort file for the subject.</t>
  </si>
  <si>
    <t>Accountability Code - English II</t>
  </si>
  <si>
    <t>Testing Flags - English II</t>
  </si>
  <si>
    <r>
      <t>Reporting</t>
    </r>
    <r>
      <rPr>
        <b/>
        <sz val="10"/>
        <color rgb="FFFF0000"/>
        <rFont val="Arial"/>
        <family val="2"/>
      </rPr>
      <t xml:space="preserve"> </t>
    </r>
    <r>
      <rPr>
        <b/>
        <sz val="10"/>
        <color rgb="FF0000FF"/>
        <rFont val="Arial"/>
        <family val="2"/>
      </rPr>
      <t>Accommodations</t>
    </r>
  </si>
  <si>
    <t>Testing Flags - Geometry</t>
  </si>
  <si>
    <t>Testing Flags - Biology</t>
  </si>
  <si>
    <t>Testing Flags - English III</t>
  </si>
  <si>
    <t>Testing Flags - U.S. History</t>
  </si>
  <si>
    <t>Accountability Code - U.S. History</t>
  </si>
  <si>
    <t>Accountability Code - English III</t>
  </si>
  <si>
    <t>Accountability Code - Biology</t>
  </si>
  <si>
    <t>Accountability Code - Geometry</t>
  </si>
  <si>
    <t>Full Student First Name</t>
  </si>
  <si>
    <t>Full Student Last Name</t>
  </si>
  <si>
    <t>Rollup to State</t>
  </si>
  <si>
    <t>Student's scores were summarized in the State totals.
As valued on the Master File.</t>
  </si>
  <si>
    <t>Session 0 Completed</t>
  </si>
  <si>
    <t>Session 0 will be blank when the form does not have a session 0 or when the form has a session 0 and the session has not been started.</t>
  </si>
  <si>
    <t>Field Test Item Responses</t>
  </si>
  <si>
    <t>EOC Combined Fall 2016/Spring 2017</t>
  </si>
  <si>
    <t>AL
ALAE
ALNFT
Blank</t>
  </si>
  <si>
    <t>000001-999999
A-Z, 1-9 in any position
Blank</t>
  </si>
  <si>
    <r>
      <t xml:space="preserve">AL (for Algebra I) indicates a student was put into a test session for the regular form or was in the enroll file for the subject.
</t>
    </r>
    <r>
      <rPr>
        <b/>
        <sz val="10"/>
        <color rgb="FFFF0000"/>
        <rFont val="Arial"/>
        <family val="2"/>
      </rPr>
      <t xml:space="preserve">(Spring Only) </t>
    </r>
    <r>
      <rPr>
        <sz val="10"/>
        <rFont val="Arial"/>
        <family val="2"/>
      </rPr>
      <t xml:space="preserve">ALAE indicates a student was put into a test session for the AE form for the subject.
</t>
    </r>
    <r>
      <rPr>
        <b/>
        <sz val="10"/>
        <color rgb="FFFF0000"/>
        <rFont val="Arial"/>
        <family val="2"/>
      </rPr>
      <t xml:space="preserve">(Spring Only) </t>
    </r>
    <r>
      <rPr>
        <sz val="10"/>
        <rFont val="Arial"/>
        <family val="2"/>
      </rPr>
      <t>ALNFT indicates a student was put into a test session for the NFT form for the subject. 
Blank when a student is not in a test session or was not in the enroll file for the subject.</t>
    </r>
  </si>
  <si>
    <r>
      <rPr>
        <b/>
        <sz val="10"/>
        <color rgb="FFFF0000"/>
        <rFont val="Arial"/>
        <family val="2"/>
      </rPr>
      <t xml:space="preserve">(Fall) </t>
    </r>
    <r>
      <rPr>
        <sz val="10"/>
        <color rgb="FFFF0000"/>
        <rFont val="Arial"/>
        <family val="2"/>
      </rPr>
      <t>6-digit IDEAS Form Number.</t>
    </r>
    <r>
      <rPr>
        <b/>
        <sz val="10"/>
        <rFont val="Arial"/>
        <family val="2"/>
      </rPr>
      <t xml:space="preserve">
</t>
    </r>
    <r>
      <rPr>
        <b/>
        <sz val="10"/>
        <color rgb="FFFF0000"/>
        <rFont val="Arial"/>
        <family val="2"/>
      </rPr>
      <t xml:space="preserve">
(Spring) </t>
    </r>
    <r>
      <rPr>
        <sz val="10"/>
        <rFont val="Arial"/>
        <family val="2"/>
      </rPr>
      <t xml:space="preserve">Refer to the </t>
    </r>
    <r>
      <rPr>
        <b/>
        <u/>
        <sz val="10"/>
        <rFont val="Arial"/>
        <family val="2"/>
      </rPr>
      <t>EOC Processing Rules - Scoring</t>
    </r>
    <r>
      <rPr>
        <sz val="10"/>
        <rFont val="Arial"/>
        <family val="2"/>
      </rPr>
      <t xml:space="preserve"> document in section 2.6.2.2 for the Form letters
Blank when a student is not in a test session for the subject.</t>
    </r>
  </si>
  <si>
    <r>
      <t>Spanish</t>
    </r>
    <r>
      <rPr>
        <sz val="10"/>
        <color rgb="FFFF0000"/>
        <rFont val="Arial"/>
        <family val="2"/>
      </rPr>
      <t xml:space="preserve"> Human Read Aloud / Text to Speech</t>
    </r>
  </si>
  <si>
    <r>
      <t xml:space="preserve">As valued on the Enroll File.
Blank for students not on the Enroll File.
</t>
    </r>
    <r>
      <rPr>
        <sz val="10"/>
        <color rgb="FFFF0000"/>
        <rFont val="Arial"/>
        <family val="2"/>
      </rPr>
      <t>The Spanish Human Read Aloud / Text to Speech will be values with a "Y" for students pre-identified as needing the Spanish Human Read Aloud accommodation in Fall and the Spanish Text to Speech Accommodation in Spring.</t>
    </r>
  </si>
  <si>
    <t>Spanish Human Read Aloud / FILLER</t>
  </si>
  <si>
    <r>
      <t xml:space="preserve">As valued in eDIRECT.
</t>
    </r>
    <r>
      <rPr>
        <b/>
        <sz val="10"/>
        <color rgb="FFFF0000"/>
        <rFont val="Arial"/>
        <family val="2"/>
      </rPr>
      <t xml:space="preserve">(Spring) </t>
    </r>
    <r>
      <rPr>
        <b/>
        <sz val="10"/>
        <rFont val="Arial"/>
        <family val="2"/>
      </rPr>
      <t xml:space="preserve">Note: </t>
    </r>
    <r>
      <rPr>
        <sz val="10"/>
        <rFont val="Arial"/>
        <family val="2"/>
      </rPr>
      <t xml:space="preserve">Students using the Spanish TTS accommodation will have a "Y" for Text-to-Speech and a "Y" for Spanish Test.
</t>
    </r>
    <r>
      <rPr>
        <sz val="10"/>
        <color rgb="FFFF0000"/>
        <rFont val="Arial"/>
        <family val="2"/>
      </rPr>
      <t>The Spanish Human Read Aloud accommodation is applicable to Fall Only. The field will be blank for Spring records.</t>
    </r>
  </si>
  <si>
    <r>
      <t xml:space="preserve">Y = Yes
N = No
</t>
    </r>
    <r>
      <rPr>
        <sz val="10"/>
        <color rgb="FFFF0000"/>
        <rFont val="Arial"/>
        <family val="2"/>
      </rPr>
      <t>Blank</t>
    </r>
  </si>
  <si>
    <t>Y = Rescore (Fall)
R = Rescore Complete (Spring)
P = Rescore in Progress (Spring)
Blank = No Rescore</t>
  </si>
  <si>
    <r>
      <t xml:space="preserve">Refer to the </t>
    </r>
    <r>
      <rPr>
        <b/>
        <u/>
        <sz val="10"/>
        <rFont val="Arial"/>
        <family val="2"/>
      </rPr>
      <t>Rescore Flag by Subject</t>
    </r>
    <r>
      <rPr>
        <sz val="10"/>
        <rFont val="Arial"/>
        <family val="2"/>
      </rPr>
      <t xml:space="preserve"> section within the</t>
    </r>
    <r>
      <rPr>
        <sz val="10"/>
        <color rgb="FFFF0000"/>
        <rFont val="Arial"/>
        <family val="2"/>
      </rPr>
      <t xml:space="preserve"> Fall or Spring</t>
    </r>
    <r>
      <rPr>
        <sz val="10"/>
        <rFont val="Arial"/>
        <family val="2"/>
      </rPr>
      <t xml:space="preserve"> EOC Processing Rules - Scoring document for the logic to set this field </t>
    </r>
    <r>
      <rPr>
        <sz val="10"/>
        <color rgb="FFFF0000"/>
        <rFont val="Arial"/>
        <family val="2"/>
      </rPr>
      <t>for each administration</t>
    </r>
    <r>
      <rPr>
        <sz val="10"/>
        <rFont val="Arial"/>
        <family val="2"/>
      </rPr>
      <t>.</t>
    </r>
  </si>
  <si>
    <r>
      <t xml:space="preserve">Refer to the </t>
    </r>
    <r>
      <rPr>
        <b/>
        <u/>
        <sz val="10"/>
        <rFont val="Arial"/>
        <family val="2"/>
      </rPr>
      <t>Highest History and Retester Flag By Subject</t>
    </r>
    <r>
      <rPr>
        <sz val="10"/>
        <rFont val="Arial"/>
        <family val="2"/>
      </rPr>
      <t xml:space="preserve"> section of the </t>
    </r>
    <r>
      <rPr>
        <sz val="10"/>
        <color rgb="FFFF0000"/>
        <rFont val="Arial"/>
        <family val="2"/>
      </rPr>
      <t>Fall or Spring</t>
    </r>
    <r>
      <rPr>
        <sz val="10"/>
        <rFont val="Arial"/>
        <family val="2"/>
      </rPr>
      <t xml:space="preserve"> Processing Rules - Scoring document for the logic used to set this field </t>
    </r>
    <r>
      <rPr>
        <sz val="10"/>
        <color rgb="FFFF0000"/>
        <rFont val="Arial"/>
        <family val="2"/>
      </rPr>
      <t>for each administration</t>
    </r>
    <r>
      <rPr>
        <sz val="10"/>
        <rFont val="Arial"/>
        <family val="2"/>
      </rPr>
      <t xml:space="preserve">.
Blank for students who are not in a test session and are not in the enroll file or cohort file for the subject. </t>
    </r>
  </si>
  <si>
    <r>
      <t xml:space="preserve">Blank for students not in a test session.
Refer to the </t>
    </r>
    <r>
      <rPr>
        <b/>
        <u/>
        <sz val="10"/>
        <rFont val="Arial"/>
        <family val="2"/>
      </rPr>
      <t>Reportable Status by Subject</t>
    </r>
    <r>
      <rPr>
        <sz val="10"/>
        <rFont val="Arial"/>
        <family val="2"/>
      </rPr>
      <t xml:space="preserve"> section within the </t>
    </r>
    <r>
      <rPr>
        <sz val="10"/>
        <color rgb="FFFF0000"/>
        <rFont val="Arial"/>
        <family val="2"/>
      </rPr>
      <t>Fall or Spring</t>
    </r>
    <r>
      <rPr>
        <sz val="10"/>
        <rFont val="Arial"/>
        <family val="2"/>
      </rPr>
      <t xml:space="preserve"> EOC Processing Rules - Scoring document for the logic to set these values </t>
    </r>
    <r>
      <rPr>
        <sz val="10"/>
        <color rgb="FFFF0000"/>
        <rFont val="Arial"/>
        <family val="2"/>
      </rPr>
      <t>for each administration.</t>
    </r>
  </si>
  <si>
    <r>
      <t xml:space="preserve">Total raw score for Algebra I.
Field Test items are not included in raw score totals.
Refer to the </t>
    </r>
    <r>
      <rPr>
        <b/>
        <u/>
        <sz val="10"/>
        <rFont val="Arial"/>
        <family val="2"/>
      </rPr>
      <t xml:space="preserve">Resulting LDESTD Values by Subject </t>
    </r>
    <r>
      <rPr>
        <sz val="10"/>
        <rFont val="Arial"/>
        <family val="2"/>
      </rPr>
      <t xml:space="preserve">section within the </t>
    </r>
    <r>
      <rPr>
        <sz val="10"/>
        <color rgb="FFFF0000"/>
        <rFont val="Arial"/>
        <family val="2"/>
      </rPr>
      <t xml:space="preserve">Fall or Spring </t>
    </r>
    <r>
      <rPr>
        <sz val="10"/>
        <rFont val="Arial"/>
        <family val="2"/>
      </rPr>
      <t xml:space="preserve">EOC Processing Rules - Scoring document for the logic used to set the Raw Score value </t>
    </r>
    <r>
      <rPr>
        <sz val="10"/>
        <color rgb="FFFF0000"/>
        <rFont val="Arial"/>
        <family val="2"/>
      </rPr>
      <t>for each administration</t>
    </r>
    <r>
      <rPr>
        <sz val="10"/>
        <rFont val="Arial"/>
        <family val="2"/>
      </rPr>
      <t>.</t>
    </r>
  </si>
  <si>
    <r>
      <t xml:space="preserve">Scaled score for Algebra I.
Refer to the </t>
    </r>
    <r>
      <rPr>
        <b/>
        <u/>
        <sz val="10"/>
        <rFont val="Arial"/>
        <family val="2"/>
      </rPr>
      <t>Resulting LDESTD Values by Subject</t>
    </r>
    <r>
      <rPr>
        <sz val="10"/>
        <rFont val="Arial"/>
        <family val="2"/>
      </rPr>
      <t xml:space="preserve"> section within the </t>
    </r>
    <r>
      <rPr>
        <sz val="10"/>
        <color rgb="FFFF0000"/>
        <rFont val="Arial"/>
        <family val="2"/>
      </rPr>
      <t>Fall or Spring</t>
    </r>
    <r>
      <rPr>
        <sz val="10"/>
        <rFont val="Arial"/>
        <family val="2"/>
      </rPr>
      <t xml:space="preserve"> EOC Processing Rules - Scoring document for the logic used to set the Scale Score value </t>
    </r>
    <r>
      <rPr>
        <sz val="10"/>
        <color rgb="FFFF0000"/>
        <rFont val="Arial"/>
        <family val="2"/>
      </rPr>
      <t>for each administration.</t>
    </r>
  </si>
  <si>
    <r>
      <t xml:space="preserve">Assessment achievement level for Algebra I.
Refer to the </t>
    </r>
    <r>
      <rPr>
        <b/>
        <u/>
        <sz val="10"/>
        <rFont val="Arial"/>
        <family val="2"/>
      </rPr>
      <t>Resulting LDESTD Values by Subject</t>
    </r>
    <r>
      <rPr>
        <sz val="10"/>
        <rFont val="Arial"/>
        <family val="2"/>
      </rPr>
      <t xml:space="preserve"> section within the </t>
    </r>
    <r>
      <rPr>
        <sz val="10"/>
        <color rgb="FFFF0000"/>
        <rFont val="Arial"/>
        <family val="2"/>
      </rPr>
      <t>Fall or Spring</t>
    </r>
    <r>
      <rPr>
        <sz val="10"/>
        <rFont val="Arial"/>
        <family val="2"/>
      </rPr>
      <t xml:space="preserve"> EOC Processing Rules - Scoring document for the logic used to set the Assessment Achievement Level value</t>
    </r>
    <r>
      <rPr>
        <sz val="10"/>
        <color rgb="FFFF0000"/>
        <rFont val="Arial"/>
        <family val="2"/>
      </rPr>
      <t xml:space="preserve"> for each administration.</t>
    </r>
  </si>
  <si>
    <r>
      <t xml:space="preserve">Accountability achievement level for Algebra I.
Refer to the </t>
    </r>
    <r>
      <rPr>
        <b/>
        <u/>
        <sz val="10"/>
        <rFont val="Arial"/>
        <family val="2"/>
      </rPr>
      <t>Resulting LDESTD Values by Subject</t>
    </r>
    <r>
      <rPr>
        <sz val="10"/>
        <rFont val="Arial"/>
        <family val="2"/>
      </rPr>
      <t xml:space="preserve"> section within the </t>
    </r>
    <r>
      <rPr>
        <sz val="10"/>
        <color rgb="FFFF0000"/>
        <rFont val="Arial"/>
        <family val="2"/>
      </rPr>
      <t>Fall or Spring</t>
    </r>
    <r>
      <rPr>
        <sz val="10"/>
        <rFont val="Arial"/>
        <family val="2"/>
      </rPr>
      <t xml:space="preserve"> EOC Processing Rules - Scoring document for the logic used to set the Accountability Achievement Level value</t>
    </r>
    <r>
      <rPr>
        <sz val="10"/>
        <color rgb="FFFF0000"/>
        <rFont val="Arial"/>
        <family val="2"/>
      </rPr>
      <t xml:space="preserve"> for each Administration</t>
    </r>
    <r>
      <rPr>
        <sz val="10"/>
        <rFont val="Arial"/>
        <family val="2"/>
      </rPr>
      <t>.</t>
    </r>
  </si>
  <si>
    <r>
      <t xml:space="preserve">"Y" when a student is in a test session for the subject.
If field value = "Y", then student will appear on the Class Roster.
The Class Roster flag will be set to "Y", if the student meets the selection criteria defined within the </t>
    </r>
    <r>
      <rPr>
        <b/>
        <u/>
        <sz val="10"/>
        <rFont val="Arial"/>
        <family val="2"/>
      </rPr>
      <t>Class Roster Report</t>
    </r>
    <r>
      <rPr>
        <sz val="10"/>
        <rFont val="Arial"/>
        <family val="2"/>
      </rPr>
      <t xml:space="preserve"> section of the </t>
    </r>
    <r>
      <rPr>
        <sz val="10"/>
        <color rgb="FFFF0000"/>
        <rFont val="Arial"/>
        <family val="2"/>
      </rPr>
      <t xml:space="preserve">Fall or Spring </t>
    </r>
    <r>
      <rPr>
        <sz val="10"/>
        <rFont val="Arial"/>
        <family val="2"/>
      </rPr>
      <t>Processing Rules - Reporting document.</t>
    </r>
  </si>
  <si>
    <r>
      <t xml:space="preserve">If field value = "Y", then student will appear on the School Roster.
The School Roster flag will be set to "Y", if the student meets the selection criteria defined within the </t>
    </r>
    <r>
      <rPr>
        <b/>
        <u/>
        <sz val="10"/>
        <rFont val="Arial"/>
        <family val="2"/>
      </rPr>
      <t>School Roster Report</t>
    </r>
    <r>
      <rPr>
        <sz val="10"/>
        <rFont val="Arial"/>
        <family val="2"/>
      </rPr>
      <t xml:space="preserve"> section of the </t>
    </r>
    <r>
      <rPr>
        <sz val="10"/>
        <color rgb="FFFF0000"/>
        <rFont val="Arial"/>
        <family val="2"/>
      </rPr>
      <t>Fall or Spring</t>
    </r>
    <r>
      <rPr>
        <sz val="10"/>
        <rFont val="Arial"/>
        <family val="2"/>
      </rPr>
      <t xml:space="preserve"> Processing Rules - Reporting document.</t>
    </r>
  </si>
  <si>
    <r>
      <rPr>
        <b/>
        <sz val="10"/>
        <color rgb="FFFF0000"/>
        <rFont val="Arial"/>
        <family val="2"/>
      </rPr>
      <t xml:space="preserve">(Fall) </t>
    </r>
    <r>
      <rPr>
        <sz val="10"/>
        <color rgb="FFFF0000"/>
        <rFont val="Arial"/>
        <family val="2"/>
      </rPr>
      <t>Operational and Field Test items are included in a single Item Response String. Items will display in test order. If the number of items exceeds the length alloted for the Operational Item Response String, the string will continue into the Field Test field.</t>
    </r>
    <r>
      <rPr>
        <sz val="10"/>
        <rFont val="Arial"/>
        <family val="2"/>
      </rPr>
      <t xml:space="preserve">
</t>
    </r>
    <r>
      <rPr>
        <b/>
        <sz val="10"/>
        <rFont val="Arial"/>
        <family val="2"/>
      </rPr>
      <t xml:space="preserve">
</t>
    </r>
    <r>
      <rPr>
        <b/>
        <sz val="10"/>
        <color rgb="FFFF0000"/>
        <rFont val="Arial"/>
        <family val="2"/>
      </rPr>
      <t>(Spring)</t>
    </r>
    <r>
      <rPr>
        <b/>
        <sz val="10"/>
        <rFont val="Arial"/>
        <family val="2"/>
      </rPr>
      <t xml:space="preserve"> </t>
    </r>
    <r>
      <rPr>
        <sz val="10"/>
        <rFont val="Arial"/>
        <family val="2"/>
      </rPr>
      <t>Operational Item Response String.
When a constructed response item is scored on more than one dimension, there will be one position for each dimension containing the number of points assigned to each dimension within the item response string.</t>
    </r>
  </si>
  <si>
    <t>Operational Item Responses</t>
  </si>
  <si>
    <r>
      <rPr>
        <sz val="10"/>
        <color rgb="FFFF0000"/>
        <rFont val="Arial"/>
        <family val="2"/>
      </rPr>
      <t>Blank for Fall.</t>
    </r>
    <r>
      <rPr>
        <b/>
        <sz val="10"/>
        <rFont val="Arial"/>
        <family val="2"/>
      </rPr>
      <t xml:space="preserve">
</t>
    </r>
    <r>
      <rPr>
        <b/>
        <sz val="10"/>
        <color rgb="FFFF0000"/>
        <rFont val="Arial"/>
        <family val="2"/>
      </rPr>
      <t xml:space="preserve">
(Spring) </t>
    </r>
    <r>
      <rPr>
        <sz val="10"/>
        <rFont val="Arial"/>
        <family val="2"/>
      </rPr>
      <t>Field Test Item Response String.
When a constructed response item is scored on more than one dimension, there will be one position for each dimension containing the number of points assigned to each dimension within the item response string.</t>
    </r>
  </si>
  <si>
    <r>
      <rPr>
        <b/>
        <sz val="10"/>
        <color rgb="FFFF0000"/>
        <rFont val="Arial"/>
        <family val="2"/>
      </rPr>
      <t xml:space="preserve">(Fall) </t>
    </r>
    <r>
      <rPr>
        <sz val="10"/>
        <color rgb="FFFF0000"/>
        <rFont val="Arial"/>
        <family val="2"/>
      </rPr>
      <t xml:space="preserve">"Y" when AL Content = "AL" and Admin Error Administration = "Y". </t>
    </r>
  </si>
  <si>
    <t>E2
E2AE
E2NFT
Blank</t>
  </si>
  <si>
    <r>
      <t xml:space="preserve">E2 (for English II) indicates a student was put into a test session or was in the enrolle file for the subject.
</t>
    </r>
    <r>
      <rPr>
        <b/>
        <sz val="10"/>
        <color rgb="FFFF0000"/>
        <rFont val="Arial"/>
        <family val="2"/>
      </rPr>
      <t xml:space="preserve">(Spring Only) </t>
    </r>
    <r>
      <rPr>
        <sz val="10"/>
        <rFont val="Arial"/>
        <family val="2"/>
      </rPr>
      <t xml:space="preserve">E2AE indicates a student was put into a test session for the AE form for the subject.
</t>
    </r>
    <r>
      <rPr>
        <b/>
        <sz val="10"/>
        <color rgb="FFFF0000"/>
        <rFont val="Arial"/>
        <family val="2"/>
      </rPr>
      <t xml:space="preserve">
(Spring Only)</t>
    </r>
    <r>
      <rPr>
        <b/>
        <sz val="10"/>
        <rFont val="Arial"/>
        <family val="2"/>
      </rPr>
      <t xml:space="preserve"> </t>
    </r>
    <r>
      <rPr>
        <sz val="10"/>
        <rFont val="Arial"/>
        <family val="2"/>
      </rPr>
      <t>E2NFT indicates a student was put into a test session for the NFT form for the subject. 
Blank when a student is not in a test session or was not in the enroll file for the subject.</t>
    </r>
  </si>
  <si>
    <r>
      <t xml:space="preserve">Month, Day, Year of student's birth
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Month and Year will be blank for assess groups identified as passing limited PII to LDE.
These fields will be populated on the audit student level LDESTD file produced for LDE</t>
    </r>
  </si>
  <si>
    <r>
      <rPr>
        <b/>
        <sz val="10"/>
        <color rgb="FFFF0000"/>
        <rFont val="Arial"/>
        <family val="2"/>
      </rPr>
      <t xml:space="preserve">(Fall) </t>
    </r>
    <r>
      <rPr>
        <sz val="10"/>
        <color rgb="FFFF0000"/>
        <rFont val="Arial"/>
        <family val="2"/>
      </rPr>
      <t xml:space="preserve">"Y" when E2 Content = "E2" and Admin Error Administration = "Y". </t>
    </r>
  </si>
  <si>
    <r>
      <t xml:space="preserve">Total raw score for English II.
Field Test items are not included in raw score totals.
Refer to the </t>
    </r>
    <r>
      <rPr>
        <b/>
        <u/>
        <sz val="10"/>
        <rFont val="Arial"/>
        <family val="2"/>
      </rPr>
      <t xml:space="preserve">Resulting LDESTD Values by Subject </t>
    </r>
    <r>
      <rPr>
        <sz val="10"/>
        <rFont val="Arial"/>
        <family val="2"/>
      </rPr>
      <t xml:space="preserve">section within the </t>
    </r>
    <r>
      <rPr>
        <sz val="10"/>
        <color rgb="FFFF0000"/>
        <rFont val="Arial"/>
        <family val="2"/>
      </rPr>
      <t xml:space="preserve">Fall or Spring </t>
    </r>
    <r>
      <rPr>
        <sz val="10"/>
        <rFont val="Arial"/>
        <family val="2"/>
      </rPr>
      <t xml:space="preserve">EOC Processing Rules - Scoring document for the logic used to set the Raw Score value </t>
    </r>
    <r>
      <rPr>
        <sz val="10"/>
        <color rgb="FFFF0000"/>
        <rFont val="Arial"/>
        <family val="2"/>
      </rPr>
      <t>for each administration</t>
    </r>
    <r>
      <rPr>
        <sz val="10"/>
        <rFont val="Arial"/>
        <family val="2"/>
      </rPr>
      <t>.</t>
    </r>
  </si>
  <si>
    <r>
      <t xml:space="preserve">Scaled score for English II.
Refer to the </t>
    </r>
    <r>
      <rPr>
        <b/>
        <u/>
        <sz val="10"/>
        <rFont val="Arial"/>
        <family val="2"/>
      </rPr>
      <t>Resulting LDESTD Values by Subject</t>
    </r>
    <r>
      <rPr>
        <sz val="10"/>
        <rFont val="Arial"/>
        <family val="2"/>
      </rPr>
      <t xml:space="preserve"> section within the </t>
    </r>
    <r>
      <rPr>
        <sz val="10"/>
        <color rgb="FFFF0000"/>
        <rFont val="Arial"/>
        <family val="2"/>
      </rPr>
      <t>Fall or Spring</t>
    </r>
    <r>
      <rPr>
        <sz val="10"/>
        <rFont val="Arial"/>
        <family val="2"/>
      </rPr>
      <t xml:space="preserve"> EOC Processing Rules - Scoring document for the logic used to set the Scale Score value </t>
    </r>
    <r>
      <rPr>
        <sz val="10"/>
        <color rgb="FFFF0000"/>
        <rFont val="Arial"/>
        <family val="2"/>
      </rPr>
      <t>for each administration.</t>
    </r>
  </si>
  <si>
    <r>
      <t xml:space="preserve">Assessment achievement level for English II.
Refer to the </t>
    </r>
    <r>
      <rPr>
        <b/>
        <u/>
        <sz val="10"/>
        <rFont val="Arial"/>
        <family val="2"/>
      </rPr>
      <t>Resulting LDESTD Values by Subject</t>
    </r>
    <r>
      <rPr>
        <sz val="10"/>
        <rFont val="Arial"/>
        <family val="2"/>
      </rPr>
      <t xml:space="preserve"> section within the </t>
    </r>
    <r>
      <rPr>
        <sz val="10"/>
        <color rgb="FFFF0000"/>
        <rFont val="Arial"/>
        <family val="2"/>
      </rPr>
      <t>Fall or Spring</t>
    </r>
    <r>
      <rPr>
        <sz val="10"/>
        <rFont val="Arial"/>
        <family val="2"/>
      </rPr>
      <t xml:space="preserve"> EOC Processing Rules - Scoring document for the logic used to set the Assessment Achievement Level value</t>
    </r>
    <r>
      <rPr>
        <sz val="10"/>
        <color rgb="FFFF0000"/>
        <rFont val="Arial"/>
        <family val="2"/>
      </rPr>
      <t xml:space="preserve"> for each administration.</t>
    </r>
  </si>
  <si>
    <r>
      <t xml:space="preserve">Accountability achievement level for English II.
Refer to the </t>
    </r>
    <r>
      <rPr>
        <b/>
        <u/>
        <sz val="10"/>
        <rFont val="Arial"/>
        <family val="2"/>
      </rPr>
      <t>Resulting LDESTD Values by Subject</t>
    </r>
    <r>
      <rPr>
        <sz val="10"/>
        <rFont val="Arial"/>
        <family val="2"/>
      </rPr>
      <t xml:space="preserve"> section within the </t>
    </r>
    <r>
      <rPr>
        <sz val="10"/>
        <color rgb="FFFF0000"/>
        <rFont val="Arial"/>
        <family val="2"/>
      </rPr>
      <t>Fall or Spring</t>
    </r>
    <r>
      <rPr>
        <sz val="10"/>
        <rFont val="Arial"/>
        <family val="2"/>
      </rPr>
      <t xml:space="preserve"> EOC Processing Rules - Scoring document for the logic used to set the Accountability Achievement Level value</t>
    </r>
    <r>
      <rPr>
        <sz val="10"/>
        <color rgb="FFFF0000"/>
        <rFont val="Arial"/>
        <family val="2"/>
      </rPr>
      <t xml:space="preserve"> for each Administration</t>
    </r>
    <r>
      <rPr>
        <sz val="10"/>
        <rFont val="Arial"/>
        <family val="2"/>
      </rPr>
      <t>.</t>
    </r>
  </si>
  <si>
    <r>
      <t xml:space="preserve">If field value = "Y", then student will appear on the Student Report.
The Student Report flag will be set to "Y", if the student meets the selection criteria defined within the </t>
    </r>
    <r>
      <rPr>
        <b/>
        <u/>
        <sz val="10"/>
        <rFont val="Arial"/>
        <family val="2"/>
      </rPr>
      <t>Student Report</t>
    </r>
    <r>
      <rPr>
        <sz val="10"/>
        <rFont val="Arial"/>
        <family val="2"/>
      </rPr>
      <t xml:space="preserve"> section of the </t>
    </r>
    <r>
      <rPr>
        <sz val="10"/>
        <color rgb="FFFF0000"/>
        <rFont val="Arial"/>
        <family val="2"/>
      </rPr>
      <t>Fall or Spring</t>
    </r>
    <r>
      <rPr>
        <sz val="10"/>
        <rFont val="Arial"/>
        <family val="2"/>
      </rPr>
      <t xml:space="preserve"> Processing Rules - Reporting document.</t>
    </r>
  </si>
  <si>
    <t>GM
GMAE
GMNFT
Blank</t>
  </si>
  <si>
    <r>
      <rPr>
        <b/>
        <sz val="10"/>
        <color rgb="FFFF0000"/>
        <rFont val="Arial"/>
        <family val="2"/>
      </rPr>
      <t xml:space="preserve">(Fall) </t>
    </r>
    <r>
      <rPr>
        <sz val="10"/>
        <color rgb="FFFF0000"/>
        <rFont val="Arial"/>
        <family val="2"/>
      </rPr>
      <t xml:space="preserve">"Y" when GM Content = "GM" and Admin Error Administration = "Y". </t>
    </r>
  </si>
  <si>
    <r>
      <t xml:space="preserve">GM (for Geometry) indicates a student was put into a test session or was in the enrolle file for the subject.
</t>
    </r>
    <r>
      <rPr>
        <b/>
        <sz val="10"/>
        <color rgb="FFFF0000"/>
        <rFont val="Arial"/>
        <family val="2"/>
      </rPr>
      <t>(Spring Only)</t>
    </r>
    <r>
      <rPr>
        <sz val="10"/>
        <rFont val="Arial"/>
        <family val="2"/>
      </rPr>
      <t xml:space="preserve"> GMAE indicates a student was put into a test session for the AE form for the subject.
</t>
    </r>
    <r>
      <rPr>
        <b/>
        <sz val="10"/>
        <color rgb="FFFF0000"/>
        <rFont val="Arial"/>
        <family val="2"/>
      </rPr>
      <t xml:space="preserve">
(Spring Only)</t>
    </r>
    <r>
      <rPr>
        <sz val="10"/>
        <rFont val="Arial"/>
        <family val="2"/>
      </rPr>
      <t xml:space="preserve"> GMNFT indicates a student was put into a test session for the NFT form for the subject. 
Blank when a student is not in a test session or was not in the enroll file for the subject.</t>
    </r>
  </si>
  <si>
    <r>
      <t xml:space="preserve">Total raw score for Geometry.
Field Test items are not included in raw score totals.
Refer to the </t>
    </r>
    <r>
      <rPr>
        <b/>
        <u/>
        <sz val="10"/>
        <rFont val="Arial"/>
        <family val="2"/>
      </rPr>
      <t xml:space="preserve">Resulting LDESTD Values by Subject </t>
    </r>
    <r>
      <rPr>
        <sz val="10"/>
        <rFont val="Arial"/>
        <family val="2"/>
      </rPr>
      <t xml:space="preserve">section within the </t>
    </r>
    <r>
      <rPr>
        <sz val="10"/>
        <color rgb="FFFF0000"/>
        <rFont val="Arial"/>
        <family val="2"/>
      </rPr>
      <t xml:space="preserve">Fall or Spring </t>
    </r>
    <r>
      <rPr>
        <sz val="10"/>
        <rFont val="Arial"/>
        <family val="2"/>
      </rPr>
      <t xml:space="preserve">EOC Processing Rules - Scoring document for the logic used to set the Raw Score value </t>
    </r>
    <r>
      <rPr>
        <sz val="10"/>
        <color rgb="FFFF0000"/>
        <rFont val="Arial"/>
        <family val="2"/>
      </rPr>
      <t>for each administration</t>
    </r>
    <r>
      <rPr>
        <sz val="10"/>
        <rFont val="Arial"/>
        <family val="2"/>
      </rPr>
      <t>.</t>
    </r>
  </si>
  <si>
    <r>
      <t xml:space="preserve">Scaled score for Geometry.
Refer to the </t>
    </r>
    <r>
      <rPr>
        <b/>
        <u/>
        <sz val="10"/>
        <rFont val="Arial"/>
        <family val="2"/>
      </rPr>
      <t>Resulting LDESTD Values by Subject</t>
    </r>
    <r>
      <rPr>
        <sz val="10"/>
        <rFont val="Arial"/>
        <family val="2"/>
      </rPr>
      <t xml:space="preserve"> section within the </t>
    </r>
    <r>
      <rPr>
        <sz val="10"/>
        <color rgb="FFFF0000"/>
        <rFont val="Arial"/>
        <family val="2"/>
      </rPr>
      <t>Fall or Spring</t>
    </r>
    <r>
      <rPr>
        <sz val="10"/>
        <rFont val="Arial"/>
        <family val="2"/>
      </rPr>
      <t xml:space="preserve"> EOC Processing Rules - Scoring document for the logic used to set the Scale Score value </t>
    </r>
    <r>
      <rPr>
        <sz val="10"/>
        <color rgb="FFFF0000"/>
        <rFont val="Arial"/>
        <family val="2"/>
      </rPr>
      <t>for each administration.</t>
    </r>
  </si>
  <si>
    <r>
      <t xml:space="preserve">Assessment achievement level for Geometry.
Refer to the </t>
    </r>
    <r>
      <rPr>
        <b/>
        <u/>
        <sz val="10"/>
        <rFont val="Arial"/>
        <family val="2"/>
      </rPr>
      <t>Resulting LDESTD Values by Subject</t>
    </r>
    <r>
      <rPr>
        <sz val="10"/>
        <rFont val="Arial"/>
        <family val="2"/>
      </rPr>
      <t xml:space="preserve"> section within the </t>
    </r>
    <r>
      <rPr>
        <sz val="10"/>
        <color rgb="FFFF0000"/>
        <rFont val="Arial"/>
        <family val="2"/>
      </rPr>
      <t>Fall or Spring</t>
    </r>
    <r>
      <rPr>
        <sz val="10"/>
        <rFont val="Arial"/>
        <family val="2"/>
      </rPr>
      <t xml:space="preserve"> EOC Processing Rules - Scoring document for the logic used to set the Assessment Achievement Level value</t>
    </r>
    <r>
      <rPr>
        <sz val="10"/>
        <color rgb="FFFF0000"/>
        <rFont val="Arial"/>
        <family val="2"/>
      </rPr>
      <t xml:space="preserve"> for each administration.</t>
    </r>
  </si>
  <si>
    <r>
      <t xml:space="preserve">Accountability achievement level for Geometry.
Refer to the </t>
    </r>
    <r>
      <rPr>
        <b/>
        <u/>
        <sz val="10"/>
        <rFont val="Arial"/>
        <family val="2"/>
      </rPr>
      <t>Resulting LDESTD Values by Subject</t>
    </r>
    <r>
      <rPr>
        <sz val="10"/>
        <rFont val="Arial"/>
        <family val="2"/>
      </rPr>
      <t xml:space="preserve"> section within the </t>
    </r>
    <r>
      <rPr>
        <sz val="10"/>
        <color rgb="FFFF0000"/>
        <rFont val="Arial"/>
        <family val="2"/>
      </rPr>
      <t>Fall or Spring</t>
    </r>
    <r>
      <rPr>
        <sz val="10"/>
        <rFont val="Arial"/>
        <family val="2"/>
      </rPr>
      <t xml:space="preserve"> EOC Processing Rules - Scoring document for the logic used to set the Accountability Achievement Level value</t>
    </r>
    <r>
      <rPr>
        <sz val="10"/>
        <color rgb="FFFF0000"/>
        <rFont val="Arial"/>
        <family val="2"/>
      </rPr>
      <t xml:space="preserve"> for each Administration</t>
    </r>
    <r>
      <rPr>
        <sz val="10"/>
        <rFont val="Arial"/>
        <family val="2"/>
      </rPr>
      <t>.</t>
    </r>
  </si>
  <si>
    <r>
      <t xml:space="preserve">Each Item uses 3 characters of space.
If the item is </t>
    </r>
    <r>
      <rPr>
        <b/>
        <sz val="10"/>
        <rFont val="Arial"/>
        <family val="2"/>
      </rPr>
      <t>multiple choice</t>
    </r>
    <r>
      <rPr>
        <sz val="10"/>
        <rFont val="Arial"/>
        <family val="2"/>
      </rPr>
      <t xml:space="preserve">, the first character of the three is populated with the student's response within the remaining position as filler.
1-4
A
B
C
D
Blank = No Response
If the item </t>
    </r>
    <r>
      <rPr>
        <b/>
        <sz val="10"/>
        <rFont val="Arial"/>
        <family val="2"/>
      </rPr>
      <t>constructed response</t>
    </r>
    <r>
      <rPr>
        <sz val="10"/>
        <rFont val="Arial"/>
        <family val="2"/>
      </rPr>
      <t xml:space="preserve">, the student's score for the constructed response item is represented. 
0.0 - 4.0
&lt;NonScore Code&gt; = Refer to the </t>
    </r>
    <r>
      <rPr>
        <b/>
        <u/>
        <sz val="10"/>
        <rFont val="Arial"/>
        <family val="2"/>
      </rPr>
      <t>Constructed Response Items</t>
    </r>
    <r>
      <rPr>
        <sz val="10"/>
        <rFont val="Arial"/>
        <family val="2"/>
      </rPr>
      <t xml:space="preserve"> section of the Processing Rules - Scoring document for applicable non-score codes.
"-" = Item not attempted and not sent to handscoring.</t>
    </r>
  </si>
  <si>
    <t>BL
BLAE
BLNFT
Blank</t>
  </si>
  <si>
    <r>
      <rPr>
        <b/>
        <sz val="10"/>
        <color rgb="FFFF0000"/>
        <rFont val="Arial"/>
        <family val="2"/>
      </rPr>
      <t xml:space="preserve">(Fall) </t>
    </r>
    <r>
      <rPr>
        <sz val="10"/>
        <color rgb="FFFF0000"/>
        <rFont val="Arial"/>
        <family val="2"/>
      </rPr>
      <t xml:space="preserve">"Y" when BL Content = "BL" and Admin Error Administration = "Y". </t>
    </r>
  </si>
  <si>
    <r>
      <t xml:space="preserve">BL (for Biology) indicates a student was put into a test session or was in the enrolle file for the subject.
</t>
    </r>
    <r>
      <rPr>
        <b/>
        <sz val="10"/>
        <color rgb="FFFF0000"/>
        <rFont val="Arial"/>
        <family val="2"/>
      </rPr>
      <t>(Spring Only)</t>
    </r>
    <r>
      <rPr>
        <sz val="10"/>
        <rFont val="Arial"/>
        <family val="2"/>
      </rPr>
      <t xml:space="preserve"> BLAE indicates a student was put into a test session for the AE form for the subject.
</t>
    </r>
    <r>
      <rPr>
        <b/>
        <sz val="10"/>
        <color rgb="FFFF0000"/>
        <rFont val="Arial"/>
        <family val="2"/>
      </rPr>
      <t xml:space="preserve">(Spring Only) </t>
    </r>
    <r>
      <rPr>
        <sz val="10"/>
        <rFont val="Arial"/>
        <family val="2"/>
      </rPr>
      <t>BLNFT indicates a student was put into a test session for the NFT form for the subject. 
Blank when a student is not in a test session or was not in the enroll file for the subject.</t>
    </r>
  </si>
  <si>
    <t>As valued in eDIRECT.
Spanish Test, Spanish Human Read Aloud / FILLER, and Calculator are not applicable to Biology and will always be "N" or Blank.</t>
  </si>
  <si>
    <t>As valued in eDIRECT.
Spanish Test, Spanish Human Read Aloud / FILLER, and Calculator are not applicable to English II and will always be "N" or Blank.</t>
  </si>
  <si>
    <r>
      <t xml:space="preserve">Total raw score for Biology.
Field Test items are not included in raw score totals.
Refer to the </t>
    </r>
    <r>
      <rPr>
        <b/>
        <u/>
        <sz val="10"/>
        <rFont val="Arial"/>
        <family val="2"/>
      </rPr>
      <t xml:space="preserve">Resulting LDESTD Values by Subject </t>
    </r>
    <r>
      <rPr>
        <sz val="10"/>
        <rFont val="Arial"/>
        <family val="2"/>
      </rPr>
      <t xml:space="preserve">section within the </t>
    </r>
    <r>
      <rPr>
        <sz val="10"/>
        <color rgb="FFFF0000"/>
        <rFont val="Arial"/>
        <family val="2"/>
      </rPr>
      <t xml:space="preserve">Fall or Spring </t>
    </r>
    <r>
      <rPr>
        <sz val="10"/>
        <rFont val="Arial"/>
        <family val="2"/>
      </rPr>
      <t xml:space="preserve">EOC Processing Rules - Scoring document for the logic used to set the Raw Score value </t>
    </r>
    <r>
      <rPr>
        <sz val="10"/>
        <color rgb="FFFF0000"/>
        <rFont val="Arial"/>
        <family val="2"/>
      </rPr>
      <t>for each administration</t>
    </r>
    <r>
      <rPr>
        <sz val="10"/>
        <rFont val="Arial"/>
        <family val="2"/>
      </rPr>
      <t>.</t>
    </r>
  </si>
  <si>
    <r>
      <t xml:space="preserve">Scaled score for Biology.
Refer to the </t>
    </r>
    <r>
      <rPr>
        <b/>
        <u/>
        <sz val="10"/>
        <rFont val="Arial"/>
        <family val="2"/>
      </rPr>
      <t>Resulting LDESTD Values by Subject</t>
    </r>
    <r>
      <rPr>
        <sz val="10"/>
        <rFont val="Arial"/>
        <family val="2"/>
      </rPr>
      <t xml:space="preserve"> section within the </t>
    </r>
    <r>
      <rPr>
        <sz val="10"/>
        <color rgb="FFFF0000"/>
        <rFont val="Arial"/>
        <family val="2"/>
      </rPr>
      <t>Fall or Spring</t>
    </r>
    <r>
      <rPr>
        <sz val="10"/>
        <rFont val="Arial"/>
        <family val="2"/>
      </rPr>
      <t xml:space="preserve"> EOC Processing Rules - Scoring document for the logic used to set the Scale Score value </t>
    </r>
    <r>
      <rPr>
        <sz val="10"/>
        <color rgb="FFFF0000"/>
        <rFont val="Arial"/>
        <family val="2"/>
      </rPr>
      <t>for each administration.</t>
    </r>
  </si>
  <si>
    <r>
      <t xml:space="preserve">Assessment achievement level for Biology.
Refer to the </t>
    </r>
    <r>
      <rPr>
        <b/>
        <u/>
        <sz val="10"/>
        <rFont val="Arial"/>
        <family val="2"/>
      </rPr>
      <t>Resulting LDESTD Values by Subject</t>
    </r>
    <r>
      <rPr>
        <sz val="10"/>
        <rFont val="Arial"/>
        <family val="2"/>
      </rPr>
      <t xml:space="preserve"> section within the </t>
    </r>
    <r>
      <rPr>
        <sz val="10"/>
        <color rgb="FFFF0000"/>
        <rFont val="Arial"/>
        <family val="2"/>
      </rPr>
      <t>Fall or Spring</t>
    </r>
    <r>
      <rPr>
        <sz val="10"/>
        <rFont val="Arial"/>
        <family val="2"/>
      </rPr>
      <t xml:space="preserve"> EOC Processing Rules - Scoring document for the logic used to set the Assessment Achievement Level value</t>
    </r>
    <r>
      <rPr>
        <sz val="10"/>
        <color rgb="FFFF0000"/>
        <rFont val="Arial"/>
        <family val="2"/>
      </rPr>
      <t xml:space="preserve"> for each administration.</t>
    </r>
  </si>
  <si>
    <r>
      <t xml:space="preserve">Accountability achievement level for Biology.
Refer to the </t>
    </r>
    <r>
      <rPr>
        <b/>
        <u/>
        <sz val="10"/>
        <rFont val="Arial"/>
        <family val="2"/>
      </rPr>
      <t>Resulting LDESTD Values by Subject</t>
    </r>
    <r>
      <rPr>
        <sz val="10"/>
        <rFont val="Arial"/>
        <family val="2"/>
      </rPr>
      <t xml:space="preserve"> section within the </t>
    </r>
    <r>
      <rPr>
        <sz val="10"/>
        <color rgb="FFFF0000"/>
        <rFont val="Arial"/>
        <family val="2"/>
      </rPr>
      <t>Fall or Spring</t>
    </r>
    <r>
      <rPr>
        <sz val="10"/>
        <rFont val="Arial"/>
        <family val="2"/>
      </rPr>
      <t xml:space="preserve"> EOC Processing Rules - Scoring document for the logic used to set the Accountability Achievement Level value</t>
    </r>
    <r>
      <rPr>
        <sz val="10"/>
        <color rgb="FFFF0000"/>
        <rFont val="Arial"/>
        <family val="2"/>
      </rPr>
      <t xml:space="preserve"> for each Administration</t>
    </r>
    <r>
      <rPr>
        <sz val="10"/>
        <rFont val="Arial"/>
        <family val="2"/>
      </rPr>
      <t>.</t>
    </r>
  </si>
  <si>
    <t>E3
E3AE
E3NFT
Blank</t>
  </si>
  <si>
    <r>
      <rPr>
        <b/>
        <sz val="10"/>
        <color rgb="FFFF0000"/>
        <rFont val="Arial"/>
        <family val="2"/>
      </rPr>
      <t xml:space="preserve">(Fall) </t>
    </r>
    <r>
      <rPr>
        <sz val="10"/>
        <color rgb="FFFF0000"/>
        <rFont val="Arial"/>
        <family val="2"/>
      </rPr>
      <t xml:space="preserve">"Y" when E3 Content = "E3" and Admin Error Administration = "Y". </t>
    </r>
  </si>
  <si>
    <r>
      <t xml:space="preserve">E3 (for English III) indicates a student was put into a test session or was in the enrolle file for the subject.
</t>
    </r>
    <r>
      <rPr>
        <b/>
        <sz val="10"/>
        <color rgb="FFFF0000"/>
        <rFont val="Arial"/>
        <family val="2"/>
      </rPr>
      <t>(Spring)</t>
    </r>
    <r>
      <rPr>
        <sz val="10"/>
        <rFont val="Arial"/>
        <family val="2"/>
      </rPr>
      <t xml:space="preserve"> E3AE indicates a student was put into a test session for the AE form for the subject.
</t>
    </r>
    <r>
      <rPr>
        <b/>
        <sz val="10"/>
        <color rgb="FFFF0000"/>
        <rFont val="Arial"/>
        <family val="2"/>
      </rPr>
      <t>(Spring)</t>
    </r>
    <r>
      <rPr>
        <sz val="10"/>
        <rFont val="Arial"/>
        <family val="2"/>
      </rPr>
      <t xml:space="preserve"> E3NFT indicates a student was put into a test session for the NFT form for the subject. 
Blank when a student is not in a test session or was not in the enroll file for the subject.</t>
    </r>
  </si>
  <si>
    <t>As valued in eDIRECT.
Spanish Test, Spanish Human Read Aloud / FILLER, and Calculator are not applicable to English III and will always be "N" or Blank.</t>
  </si>
  <si>
    <r>
      <t xml:space="preserve">Total raw score for English III.
Field Test items are not included in raw score totals.
Refer to the </t>
    </r>
    <r>
      <rPr>
        <b/>
        <u/>
        <sz val="10"/>
        <rFont val="Arial"/>
        <family val="2"/>
      </rPr>
      <t xml:space="preserve">Resulting LDESTD Values by Subject </t>
    </r>
    <r>
      <rPr>
        <sz val="10"/>
        <rFont val="Arial"/>
        <family val="2"/>
      </rPr>
      <t xml:space="preserve">section within the </t>
    </r>
    <r>
      <rPr>
        <sz val="10"/>
        <color rgb="FFFF0000"/>
        <rFont val="Arial"/>
        <family val="2"/>
      </rPr>
      <t xml:space="preserve">Fall or Spring </t>
    </r>
    <r>
      <rPr>
        <sz val="10"/>
        <rFont val="Arial"/>
        <family val="2"/>
      </rPr>
      <t xml:space="preserve">EOC Processing Rules - Scoring document for the logic used to set the Raw Score value </t>
    </r>
    <r>
      <rPr>
        <sz val="10"/>
        <color rgb="FFFF0000"/>
        <rFont val="Arial"/>
        <family val="2"/>
      </rPr>
      <t>for each administration</t>
    </r>
    <r>
      <rPr>
        <sz val="10"/>
        <rFont val="Arial"/>
        <family val="2"/>
      </rPr>
      <t>.</t>
    </r>
  </si>
  <si>
    <r>
      <t xml:space="preserve">Scaled score for English III.
Refer to the </t>
    </r>
    <r>
      <rPr>
        <b/>
        <u/>
        <sz val="10"/>
        <rFont val="Arial"/>
        <family val="2"/>
      </rPr>
      <t>Resulting LDESTD Values by Subject</t>
    </r>
    <r>
      <rPr>
        <sz val="10"/>
        <rFont val="Arial"/>
        <family val="2"/>
      </rPr>
      <t xml:space="preserve"> section within the </t>
    </r>
    <r>
      <rPr>
        <sz val="10"/>
        <color rgb="FFFF0000"/>
        <rFont val="Arial"/>
        <family val="2"/>
      </rPr>
      <t>Fall or Spring</t>
    </r>
    <r>
      <rPr>
        <sz val="10"/>
        <rFont val="Arial"/>
        <family val="2"/>
      </rPr>
      <t xml:space="preserve"> EOC Processing Rules - Scoring document for the logic used to set the Scale Score value </t>
    </r>
    <r>
      <rPr>
        <sz val="10"/>
        <color rgb="FFFF0000"/>
        <rFont val="Arial"/>
        <family val="2"/>
      </rPr>
      <t>for each administration.</t>
    </r>
  </si>
  <si>
    <r>
      <t xml:space="preserve">Assessment achievement level for English III.
Refer to the </t>
    </r>
    <r>
      <rPr>
        <b/>
        <u/>
        <sz val="10"/>
        <rFont val="Arial"/>
        <family val="2"/>
      </rPr>
      <t>Resulting LDESTD Values by Subject</t>
    </r>
    <r>
      <rPr>
        <sz val="10"/>
        <rFont val="Arial"/>
        <family val="2"/>
      </rPr>
      <t xml:space="preserve"> section within the </t>
    </r>
    <r>
      <rPr>
        <sz val="10"/>
        <color rgb="FFFF0000"/>
        <rFont val="Arial"/>
        <family val="2"/>
      </rPr>
      <t>Fall or Spring</t>
    </r>
    <r>
      <rPr>
        <sz val="10"/>
        <rFont val="Arial"/>
        <family val="2"/>
      </rPr>
      <t xml:space="preserve"> EOC Processing Rules - Scoring document for the logic used to set the Assessment Achievement Level value</t>
    </r>
    <r>
      <rPr>
        <sz val="10"/>
        <color rgb="FFFF0000"/>
        <rFont val="Arial"/>
        <family val="2"/>
      </rPr>
      <t xml:space="preserve"> for each administration.</t>
    </r>
  </si>
  <si>
    <r>
      <t xml:space="preserve">Accountability achievement level for English III.
Refer to the </t>
    </r>
    <r>
      <rPr>
        <b/>
        <u/>
        <sz val="10"/>
        <rFont val="Arial"/>
        <family val="2"/>
      </rPr>
      <t>Resulting LDESTD Values by Subject</t>
    </r>
    <r>
      <rPr>
        <sz val="10"/>
        <rFont val="Arial"/>
        <family val="2"/>
      </rPr>
      <t xml:space="preserve"> section within the </t>
    </r>
    <r>
      <rPr>
        <sz val="10"/>
        <color rgb="FFFF0000"/>
        <rFont val="Arial"/>
        <family val="2"/>
      </rPr>
      <t>Fall or Spring</t>
    </r>
    <r>
      <rPr>
        <sz val="10"/>
        <rFont val="Arial"/>
        <family val="2"/>
      </rPr>
      <t xml:space="preserve"> EOC Processing Rules - Scoring document for the logic used to set the Accountability Achievement Level value</t>
    </r>
    <r>
      <rPr>
        <sz val="10"/>
        <color rgb="FFFF0000"/>
        <rFont val="Arial"/>
        <family val="2"/>
      </rPr>
      <t xml:space="preserve"> for each Administration</t>
    </r>
    <r>
      <rPr>
        <sz val="10"/>
        <rFont val="Arial"/>
        <family val="2"/>
      </rPr>
      <t>.</t>
    </r>
  </si>
  <si>
    <t>US
USAE
USNFT
Blank</t>
  </si>
  <si>
    <r>
      <rPr>
        <b/>
        <sz val="10"/>
        <color rgb="FFFF0000"/>
        <rFont val="Arial"/>
        <family val="2"/>
      </rPr>
      <t xml:space="preserve">(Fall) </t>
    </r>
    <r>
      <rPr>
        <sz val="10"/>
        <color rgb="FFFF0000"/>
        <rFont val="Arial"/>
        <family val="2"/>
      </rPr>
      <t xml:space="preserve">"Y" when US Content = "US" and Admin Error Administration = "Y". </t>
    </r>
  </si>
  <si>
    <r>
      <t xml:space="preserve">US (for US History) indicates a student was put into a test session or was in the enrolle file for the subject.
</t>
    </r>
    <r>
      <rPr>
        <b/>
        <sz val="10"/>
        <color rgb="FFFF0000"/>
        <rFont val="Arial"/>
        <family val="2"/>
      </rPr>
      <t>(Spring Only)</t>
    </r>
    <r>
      <rPr>
        <sz val="10"/>
        <rFont val="Arial"/>
        <family val="2"/>
      </rPr>
      <t xml:space="preserve"> USAE indicates a student was put into a test session for the AE form for the subject.
</t>
    </r>
    <r>
      <rPr>
        <b/>
        <sz val="10"/>
        <color rgb="FFFF0000"/>
        <rFont val="Arial"/>
        <family val="2"/>
      </rPr>
      <t xml:space="preserve">(Spring Only) </t>
    </r>
    <r>
      <rPr>
        <sz val="10"/>
        <rFont val="Arial"/>
        <family val="2"/>
      </rPr>
      <t>USNFT indicates a student was put into a test session for the NFT form for the subject. 
Blank when a student is not in a test session or was not in the enroll file for the subject.</t>
    </r>
  </si>
  <si>
    <r>
      <t>Y = Session Completed
N = Session Started but not completed
Blank = Session Not Started</t>
    </r>
    <r>
      <rPr>
        <sz val="10"/>
        <color rgb="FFFF0000"/>
        <rFont val="Arial"/>
        <family val="2"/>
      </rPr>
      <t xml:space="preserve"> or for Fall records </t>
    </r>
  </si>
  <si>
    <t>As valued in eDIRECT.
Spanish Test, Spanish Human Read Aloud / FILLER, and Calculator are not applicable to U.S. History and will always be "N" or Blank</t>
  </si>
  <si>
    <r>
      <t xml:space="preserve">Total raw score for U.S. History.
Field Test items are not included in raw score totals.
Refer to the </t>
    </r>
    <r>
      <rPr>
        <b/>
        <u/>
        <sz val="10"/>
        <rFont val="Arial"/>
        <family val="2"/>
      </rPr>
      <t xml:space="preserve">Resulting LDESTD Values by Subject </t>
    </r>
    <r>
      <rPr>
        <sz val="10"/>
        <rFont val="Arial"/>
        <family val="2"/>
      </rPr>
      <t xml:space="preserve">section within the </t>
    </r>
    <r>
      <rPr>
        <sz val="10"/>
        <color rgb="FFFF0000"/>
        <rFont val="Arial"/>
        <family val="2"/>
      </rPr>
      <t xml:space="preserve">Fall or Spring </t>
    </r>
    <r>
      <rPr>
        <sz val="10"/>
        <rFont val="Arial"/>
        <family val="2"/>
      </rPr>
      <t xml:space="preserve">EOC Processing Rules - Scoring document for the logic used to set the Raw Score value </t>
    </r>
    <r>
      <rPr>
        <sz val="10"/>
        <color rgb="FFFF0000"/>
        <rFont val="Arial"/>
        <family val="2"/>
      </rPr>
      <t>for each administration</t>
    </r>
    <r>
      <rPr>
        <sz val="10"/>
        <rFont val="Arial"/>
        <family val="2"/>
      </rPr>
      <t>.</t>
    </r>
  </si>
  <si>
    <r>
      <t xml:space="preserve">Scaled score for U.S. History.
Refer to the </t>
    </r>
    <r>
      <rPr>
        <b/>
        <u/>
        <sz val="10"/>
        <rFont val="Arial"/>
        <family val="2"/>
      </rPr>
      <t>Resulting LDESTD Values by Subject</t>
    </r>
    <r>
      <rPr>
        <sz val="10"/>
        <rFont val="Arial"/>
        <family val="2"/>
      </rPr>
      <t xml:space="preserve"> section within the </t>
    </r>
    <r>
      <rPr>
        <sz val="10"/>
        <color rgb="FFFF0000"/>
        <rFont val="Arial"/>
        <family val="2"/>
      </rPr>
      <t>Fall or Spring</t>
    </r>
    <r>
      <rPr>
        <sz val="10"/>
        <rFont val="Arial"/>
        <family val="2"/>
      </rPr>
      <t xml:space="preserve"> EOC Processing Rules - Scoring document for the logic used to set the Scale Score value </t>
    </r>
    <r>
      <rPr>
        <sz val="10"/>
        <color rgb="FFFF0000"/>
        <rFont val="Arial"/>
        <family val="2"/>
      </rPr>
      <t>for each administration.</t>
    </r>
  </si>
  <si>
    <r>
      <t xml:space="preserve">Assessment achievement level for U.S. History.
Refer to the </t>
    </r>
    <r>
      <rPr>
        <b/>
        <u/>
        <sz val="10"/>
        <rFont val="Arial"/>
        <family val="2"/>
      </rPr>
      <t>Resulting LDESTD Values by Subject</t>
    </r>
    <r>
      <rPr>
        <sz val="10"/>
        <rFont val="Arial"/>
        <family val="2"/>
      </rPr>
      <t xml:space="preserve"> section within the </t>
    </r>
    <r>
      <rPr>
        <sz val="10"/>
        <color rgb="FFFF0000"/>
        <rFont val="Arial"/>
        <family val="2"/>
      </rPr>
      <t>Fall or Spring</t>
    </r>
    <r>
      <rPr>
        <sz val="10"/>
        <rFont val="Arial"/>
        <family val="2"/>
      </rPr>
      <t xml:space="preserve"> EOC Processing Rules - Scoring document for the logic used to set the Assessment Achievement Level value</t>
    </r>
    <r>
      <rPr>
        <sz val="10"/>
        <color rgb="FFFF0000"/>
        <rFont val="Arial"/>
        <family val="2"/>
      </rPr>
      <t xml:space="preserve"> for each administration.</t>
    </r>
  </si>
  <si>
    <r>
      <t xml:space="preserve">Accountability achievement level for U.S. History.
Refer to the </t>
    </r>
    <r>
      <rPr>
        <b/>
        <u/>
        <sz val="10"/>
        <rFont val="Arial"/>
        <family val="2"/>
      </rPr>
      <t>Resulting LDESTD Values by Subject</t>
    </r>
    <r>
      <rPr>
        <sz val="10"/>
        <rFont val="Arial"/>
        <family val="2"/>
      </rPr>
      <t xml:space="preserve"> section within the </t>
    </r>
    <r>
      <rPr>
        <sz val="10"/>
        <color rgb="FFFF0000"/>
        <rFont val="Arial"/>
        <family val="2"/>
      </rPr>
      <t>Fall or Spring</t>
    </r>
    <r>
      <rPr>
        <sz val="10"/>
        <rFont val="Arial"/>
        <family val="2"/>
      </rPr>
      <t xml:space="preserve"> EOC Processing Rules - Scoring document for the logic used to set the Accountability Achievement Level value</t>
    </r>
    <r>
      <rPr>
        <sz val="10"/>
        <color rgb="FFFF0000"/>
        <rFont val="Arial"/>
        <family val="2"/>
      </rPr>
      <t xml:space="preserve"> for each Administration</t>
    </r>
    <r>
      <rPr>
        <sz val="10"/>
        <rFont val="Arial"/>
        <family val="2"/>
      </rPr>
      <t>.</t>
    </r>
  </si>
  <si>
    <t>Total Length:</t>
  </si>
  <si>
    <r>
      <t xml:space="preserve">This is the RAW name provided in the LAP file from eScholar
</t>
    </r>
    <r>
      <rPr>
        <b/>
        <u/>
        <sz val="10"/>
        <rFont val="Arial"/>
        <family val="2"/>
      </rPr>
      <t>For files delivered to LDOE</t>
    </r>
    <r>
      <rPr>
        <sz val="10"/>
        <rFont val="Arial"/>
        <family val="2"/>
      </rPr>
      <t xml:space="preserve">
Refer to the Reporting Summarization and Delivery Table in the Common Louisiana Processing Rules - Reporting document for which assess groups full PII can be passed to LDE and which assess groups limited PII has to be passed to LDE.
Only the first 3 characters of the last name and first character of the first name will display for assess groups identified as passing limited PII to LDE.
These fields will be populated with the full values on the audit student level LDESTD file produced for LDE.
</t>
    </r>
    <r>
      <rPr>
        <b/>
        <u/>
        <sz val="10"/>
        <rFont val="Arial"/>
        <family val="2"/>
      </rPr>
      <t>For files delivered to eScholar</t>
    </r>
    <r>
      <rPr>
        <sz val="10"/>
        <rFont val="Arial"/>
        <family val="2"/>
      </rPr>
      <t xml:space="preserve">
These fields will be populated with the full values on the file produced for eScholar.
</t>
    </r>
    <r>
      <rPr>
        <sz val="10"/>
        <color rgb="FFFF0000"/>
        <rFont val="Arial"/>
        <family val="2"/>
      </rPr>
      <t>Blank for Fall records.</t>
    </r>
  </si>
  <si>
    <t xml:space="preserve">Include in LDE Staff &amp; Contractors file </t>
  </si>
  <si>
    <t>Include in Researcher file</t>
  </si>
  <si>
    <t>Y</t>
  </si>
  <si>
    <t>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</si>
</sst>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1"/>
      <color theme="1"/>
      <name val="Calibri"/>
      <family val="2"/>
      <scheme val="minor"/>
    </font>
    <font>
      <sz val="10"/>
      <name val="Arial"/>
      <family val="2"/>
    </font>
    <font>
      <b/>
      <sz val="10"/>
      <color rgb="FF000000"/>
      <name val="Arial"/>
      <family val="2"/>
    </font>
    <font>
      <sz val="10"/>
      <color rgb="FF000000"/>
      <name val="Arial"/>
      <family val="2"/>
    </font>
    <font>
      <b/>
      <sz val="10"/>
      <color theme="1"/>
      <name val="Arial"/>
      <family val="2"/>
    </font>
    <font>
      <sz val="10"/>
      <color theme="1"/>
      <name val="Arial"/>
      <family val="2"/>
    </font>
    <font>
      <b/>
      <sz val="10"/>
      <name val="Arial"/>
      <family val="2"/>
    </font>
    <font>
      <b/>
      <sz val="10"/>
      <color rgb="FF0000FF"/>
      <name val="Arial"/>
      <family val="2"/>
    </font>
    <font>
      <b/>
      <u/>
      <sz val="10"/>
      <name val="Arial"/>
      <family val="2"/>
    </font>
    <font>
      <b/>
      <u/>
      <sz val="10"/>
      <color rgb="FF000000"/>
      <name val="Arial"/>
      <family val="2"/>
    </font>
    <font>
      <b/>
      <sz val="10"/>
      <color indexed="10"/>
      <name val="Arial"/>
      <family val="2"/>
    </font>
    <font>
      <b/>
      <sz val="8"/>
      <color indexed="10"/>
      <name val="Arial"/>
      <family val="2"/>
    </font>
    <font>
      <b/>
      <sz val="10"/>
      <color indexed="8"/>
      <name val="Arial"/>
      <family val="2"/>
    </font>
    <font>
      <sz val="10"/>
      <color rgb="FFFF0000"/>
      <name val="Arial"/>
      <family val="2"/>
    </font>
    <font>
      <b/>
      <sz val="10"/>
      <color rgb="FFFF0000"/>
      <name val="Arial"/>
      <family val="2"/>
    </font>
    <font>
      <b/>
      <sz val="11"/>
      <color theme="1"/>
      <name val="Calibri"/>
      <family val="2"/>
      <scheme val="minor"/>
    </font>
    <font>
      <sz val="10"/>
      <color theme="1"/>
      <name val="Calibri"/>
      <family val="2"/>
      <scheme val="minor"/>
    </font>
    <font>
      <b/>
      <sz val="14"/>
      <color theme="1"/>
      <name val="Arial"/>
      <family val="2"/>
    </font>
  </fonts>
  <fills count="5">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66"/>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4">
    <xf numFmtId="0" fontId="0" fillId="0" borderId="0"/>
    <xf numFmtId="0" fontId="1" fillId="0" borderId="0"/>
    <xf numFmtId="0" fontId="1" fillId="0" borderId="0"/>
    <xf numFmtId="0" fontId="1" fillId="0" borderId="0"/>
  </cellStyleXfs>
  <cellXfs count="76">
    <xf numFmtId="0" fontId="0" fillId="0" borderId="0" xfId="0"/>
    <xf numFmtId="0" fontId="2" fillId="0" borderId="0" xfId="0" applyFont="1" applyFill="1" applyBorder="1" applyAlignment="1">
      <alignment horizontal="left" wrapText="1"/>
    </xf>
    <xf numFmtId="0" fontId="6" fillId="0" borderId="0" xfId="0" applyFont="1" applyFill="1" applyBorder="1" applyAlignment="1">
      <alignment horizontal="left" wrapText="1"/>
    </xf>
    <xf numFmtId="0" fontId="3" fillId="0" borderId="0" xfId="0" applyFont="1" applyFill="1" applyBorder="1" applyAlignment="1">
      <alignment horizontal="center" vertical="top"/>
    </xf>
    <xf numFmtId="0" fontId="5" fillId="0" borderId="0" xfId="0" applyFont="1" applyFill="1" applyBorder="1" applyAlignment="1">
      <alignment horizontal="left" vertical="top"/>
    </xf>
    <xf numFmtId="0" fontId="1" fillId="0" borderId="0" xfId="0" applyFont="1" applyFill="1" applyBorder="1" applyAlignment="1">
      <alignment horizontal="center" vertical="top"/>
    </xf>
    <xf numFmtId="0" fontId="5" fillId="0" borderId="0" xfId="0" applyFont="1" applyFill="1" applyBorder="1" applyAlignment="1">
      <alignment horizontal="center" vertical="top"/>
    </xf>
    <xf numFmtId="0" fontId="2" fillId="0" borderId="0" xfId="0" applyFont="1" applyFill="1" applyBorder="1" applyAlignment="1">
      <alignment horizontal="center" vertical="top" wrapText="1"/>
    </xf>
    <xf numFmtId="0" fontId="5" fillId="0" borderId="0" xfId="0" applyFont="1" applyFill="1" applyBorder="1" applyAlignment="1">
      <alignment horizontal="left"/>
    </xf>
    <xf numFmtId="0" fontId="5" fillId="0" borderId="0" xfId="0" applyFont="1" applyFill="1" applyBorder="1" applyAlignment="1">
      <alignment vertical="top" wrapText="1"/>
    </xf>
    <xf numFmtId="49" fontId="1" fillId="0" borderId="0" xfId="1" applyNumberFormat="1" applyFont="1" applyFill="1" applyBorder="1" applyAlignment="1">
      <alignment horizontal="left" vertical="center" wrapText="1"/>
    </xf>
    <xf numFmtId="49" fontId="1" fillId="0" borderId="0" xfId="3" applyNumberFormat="1" applyFont="1" applyFill="1" applyBorder="1" applyAlignment="1">
      <alignment horizontal="left" vertical="center" wrapText="1"/>
    </xf>
    <xf numFmtId="0" fontId="1" fillId="0" borderId="0" xfId="3" applyFont="1" applyFill="1" applyBorder="1" applyAlignment="1">
      <alignment vertical="center" wrapText="1"/>
    </xf>
    <xf numFmtId="0" fontId="1" fillId="0" borderId="0" xfId="0" applyFont="1" applyFill="1" applyBorder="1" applyAlignment="1">
      <alignment vertical="top" wrapText="1"/>
    </xf>
    <xf numFmtId="0" fontId="2" fillId="0" borderId="0" xfId="0" applyFont="1" applyFill="1" applyBorder="1" applyAlignment="1">
      <alignment horizontal="left" vertical="center" wrapText="1"/>
    </xf>
    <xf numFmtId="49" fontId="3" fillId="0" borderId="0" xfId="0" applyNumberFormat="1" applyFont="1" applyFill="1" applyBorder="1" applyAlignment="1">
      <alignment horizontal="left" vertical="center" wrapText="1"/>
    </xf>
    <xf numFmtId="0" fontId="5" fillId="0" borderId="0" xfId="0" applyFont="1" applyFill="1" applyBorder="1" applyAlignment="1">
      <alignment horizontal="left" vertical="center"/>
    </xf>
    <xf numFmtId="0" fontId="6" fillId="0" borderId="0" xfId="0" applyFont="1" applyFill="1" applyBorder="1" applyAlignment="1">
      <alignment vertical="center" wrapText="1"/>
    </xf>
    <xf numFmtId="0" fontId="5" fillId="0" borderId="0" xfId="0" applyFont="1" applyFill="1" applyAlignment="1">
      <alignment vertical="center" wrapText="1"/>
    </xf>
    <xf numFmtId="0" fontId="5" fillId="0" borderId="0" xfId="0" applyFont="1" applyAlignment="1">
      <alignment vertical="center"/>
    </xf>
    <xf numFmtId="0" fontId="6" fillId="2" borderId="1" xfId="3" applyFont="1" applyFill="1" applyBorder="1" applyAlignment="1" applyProtection="1">
      <alignment horizontal="center" vertical="top" wrapText="1"/>
    </xf>
    <xf numFmtId="0" fontId="12" fillId="2" borderId="1" xfId="3" applyFont="1" applyFill="1" applyBorder="1" applyAlignment="1" applyProtection="1">
      <alignment vertical="top" wrapText="1"/>
    </xf>
    <xf numFmtId="0" fontId="6" fillId="2" borderId="1" xfId="3" applyFont="1" applyFill="1" applyBorder="1" applyAlignment="1" applyProtection="1">
      <alignment vertical="top" wrapText="1"/>
    </xf>
    <xf numFmtId="0" fontId="3" fillId="0" borderId="0" xfId="0" applyFont="1" applyFill="1" applyBorder="1" applyAlignment="1">
      <alignment vertical="top" wrapText="1"/>
    </xf>
    <xf numFmtId="0" fontId="7" fillId="0" borderId="0" xfId="0" applyFont="1" applyFill="1" applyBorder="1" applyAlignment="1">
      <alignment vertical="top" wrapText="1"/>
    </xf>
    <xf numFmtId="0" fontId="5" fillId="0" borderId="0" xfId="0" applyFont="1" applyFill="1" applyBorder="1" applyAlignment="1">
      <alignment vertical="top"/>
    </xf>
    <xf numFmtId="0" fontId="2" fillId="0" borderId="0" xfId="0" applyFont="1" applyFill="1" applyBorder="1" applyAlignment="1">
      <alignment wrapText="1"/>
    </xf>
    <xf numFmtId="0" fontId="4" fillId="0" borderId="0" xfId="0" applyFont="1" applyFill="1" applyBorder="1" applyAlignment="1">
      <alignment horizontal="center" vertical="top"/>
    </xf>
    <xf numFmtId="14" fontId="0" fillId="0" borderId="1" xfId="0" applyNumberFormat="1" applyBorder="1"/>
    <xf numFmtId="0" fontId="0" fillId="0" borderId="1" xfId="0" applyBorder="1"/>
    <xf numFmtId="0" fontId="0" fillId="0" borderId="1" xfId="0" applyBorder="1" applyAlignment="1">
      <alignment wrapText="1"/>
    </xf>
    <xf numFmtId="0" fontId="0" fillId="0" borderId="0" xfId="0" applyAlignment="1">
      <alignment wrapText="1"/>
    </xf>
    <xf numFmtId="0" fontId="0" fillId="0" borderId="1" xfId="0" applyFill="1" applyBorder="1"/>
    <xf numFmtId="14" fontId="15" fillId="0" borderId="1" xfId="0" applyNumberFormat="1" applyFont="1" applyBorder="1"/>
    <xf numFmtId="0" fontId="15" fillId="0" borderId="1" xfId="0" applyFont="1" applyBorder="1" applyAlignment="1">
      <alignment wrapText="1"/>
    </xf>
    <xf numFmtId="0" fontId="15" fillId="0" borderId="1" xfId="0" applyFont="1" applyFill="1" applyBorder="1"/>
    <xf numFmtId="0" fontId="1" fillId="0" borderId="0" xfId="0" applyFont="1" applyFill="1" applyAlignment="1">
      <alignment vertical="center" wrapText="1"/>
    </xf>
    <xf numFmtId="0" fontId="3" fillId="0" borderId="0" xfId="0" applyFont="1" applyFill="1" applyBorder="1" applyAlignment="1">
      <alignment horizontal="left" vertical="center" wrapText="1"/>
    </xf>
    <xf numFmtId="0" fontId="1" fillId="0" borderId="0" xfId="0" applyFont="1" applyFill="1" applyBorder="1" applyAlignment="1">
      <alignment horizontal="left" vertical="center" wrapText="1"/>
    </xf>
    <xf numFmtId="0" fontId="1" fillId="0" borderId="0" xfId="0" applyFont="1" applyFill="1" applyBorder="1" applyAlignment="1">
      <alignment vertical="center" wrapText="1"/>
    </xf>
    <xf numFmtId="0" fontId="1" fillId="0" borderId="0" xfId="3" applyFont="1" applyFill="1" applyBorder="1" applyAlignment="1">
      <alignment horizontal="left" vertical="center" wrapText="1"/>
    </xf>
    <xf numFmtId="0" fontId="1" fillId="0" borderId="0" xfId="2" applyFont="1" applyFill="1" applyBorder="1" applyAlignment="1">
      <alignment vertical="center" wrapText="1"/>
    </xf>
    <xf numFmtId="0" fontId="3" fillId="4" borderId="0" xfId="0" applyFont="1" applyFill="1" applyBorder="1" applyAlignment="1">
      <alignment horizontal="left" vertical="center" wrapText="1"/>
    </xf>
    <xf numFmtId="0" fontId="1" fillId="4" borderId="0" xfId="0" applyFont="1" applyFill="1" applyBorder="1" applyAlignment="1">
      <alignment vertical="center" wrapText="1"/>
    </xf>
    <xf numFmtId="0" fontId="3" fillId="4" borderId="0" xfId="0" applyFont="1" applyFill="1" applyBorder="1" applyAlignment="1">
      <alignment vertical="top" wrapText="1"/>
    </xf>
    <xf numFmtId="0" fontId="3" fillId="0" borderId="0" xfId="0" applyFont="1" applyFill="1" applyBorder="1" applyAlignment="1">
      <alignment horizontal="left" vertical="center" wrapText="1"/>
    </xf>
    <xf numFmtId="0" fontId="1" fillId="0" borderId="0" xfId="0" applyFont="1" applyFill="1" applyBorder="1" applyAlignment="1">
      <alignment horizontal="left" vertical="center" wrapText="1"/>
    </xf>
    <xf numFmtId="0" fontId="1" fillId="0" borderId="0" xfId="0" applyFont="1" applyFill="1" applyBorder="1" applyAlignment="1">
      <alignment vertical="center" wrapText="1"/>
    </xf>
    <xf numFmtId="0" fontId="1" fillId="0" borderId="0" xfId="2" applyFont="1" applyFill="1" applyBorder="1" applyAlignment="1">
      <alignment vertical="center" wrapText="1"/>
    </xf>
    <xf numFmtId="0" fontId="5" fillId="0" borderId="0" xfId="0" applyFont="1" applyFill="1" applyAlignment="1">
      <alignment horizontal="center" vertical="top"/>
    </xf>
    <xf numFmtId="1" fontId="1" fillId="0" borderId="0" xfId="3" applyNumberFormat="1" applyFont="1" applyFill="1" applyBorder="1" applyAlignment="1">
      <alignment horizontal="center" vertical="top"/>
    </xf>
    <xf numFmtId="0" fontId="5" fillId="0" borderId="0" xfId="0" applyFont="1" applyFill="1" applyAlignment="1">
      <alignment horizontal="right" vertical="top"/>
    </xf>
    <xf numFmtId="0" fontId="1" fillId="0" borderId="0" xfId="3" applyFont="1" applyFill="1" applyBorder="1" applyAlignment="1">
      <alignment vertical="top" wrapText="1"/>
    </xf>
    <xf numFmtId="0" fontId="13" fillId="4" borderId="0" xfId="0" applyFont="1" applyFill="1" applyBorder="1" applyAlignment="1">
      <alignment vertical="center" wrapText="1"/>
    </xf>
    <xf numFmtId="0" fontId="13" fillId="4" borderId="0" xfId="0" applyFont="1" applyFill="1" applyBorder="1" applyAlignment="1">
      <alignment vertical="top" wrapText="1"/>
    </xf>
    <xf numFmtId="0" fontId="1" fillId="4" borderId="0" xfId="0" applyFont="1" applyFill="1" applyBorder="1" applyAlignment="1">
      <alignment horizontal="left" vertical="center" wrapText="1"/>
    </xf>
    <xf numFmtId="0" fontId="1" fillId="4" borderId="0" xfId="3" applyFont="1" applyFill="1" applyBorder="1" applyAlignment="1">
      <alignment vertical="center" wrapText="1"/>
    </xf>
    <xf numFmtId="0" fontId="1" fillId="4" borderId="0" xfId="3" applyFont="1" applyFill="1" applyBorder="1" applyAlignment="1">
      <alignment horizontal="left" vertical="center" wrapText="1"/>
    </xf>
    <xf numFmtId="49" fontId="4" fillId="0" borderId="0" xfId="0" applyNumberFormat="1" applyFont="1" applyFill="1" applyBorder="1" applyAlignment="1"/>
    <xf numFmtId="0" fontId="16" fillId="0" borderId="0" xfId="0" applyFont="1"/>
    <xf numFmtId="0" fontId="16" fillId="0" borderId="0" xfId="0" applyFont="1" applyFill="1"/>
    <xf numFmtId="49" fontId="17" fillId="0" borderId="0" xfId="0" applyNumberFormat="1" applyFont="1" applyFill="1" applyBorder="1" applyAlignment="1"/>
    <xf numFmtId="49" fontId="17" fillId="4" borderId="0" xfId="0" applyNumberFormat="1" applyFont="1" applyFill="1" applyBorder="1" applyAlignment="1">
      <alignment vertical="center"/>
    </xf>
    <xf numFmtId="0" fontId="1" fillId="4" borderId="0" xfId="0" applyFont="1" applyFill="1" applyBorder="1" applyAlignment="1">
      <alignment vertical="center" wrapText="1"/>
    </xf>
    <xf numFmtId="0" fontId="3" fillId="0" borderId="0" xfId="0" applyFont="1" applyFill="1" applyBorder="1" applyAlignment="1">
      <alignment horizontal="left" vertical="center" wrapText="1"/>
    </xf>
    <xf numFmtId="0" fontId="1" fillId="4" borderId="0" xfId="0" applyFont="1" applyFill="1" applyBorder="1" applyAlignment="1">
      <alignment horizontal="left" vertical="center" wrapText="1"/>
    </xf>
    <xf numFmtId="0" fontId="1" fillId="0" borderId="0" xfId="0" applyFont="1" applyFill="1" applyBorder="1" applyAlignment="1">
      <alignment horizontal="left" vertical="center" wrapText="1"/>
    </xf>
    <xf numFmtId="0" fontId="1" fillId="0" borderId="0" xfId="0" quotePrefix="1" applyFont="1" applyFill="1" applyBorder="1" applyAlignment="1">
      <alignment horizontal="left" vertical="center" wrapText="1"/>
    </xf>
    <xf numFmtId="0" fontId="1" fillId="0" borderId="0" xfId="0" applyFont="1" applyFill="1" applyBorder="1" applyAlignment="1">
      <alignment vertical="center" wrapText="1"/>
    </xf>
    <xf numFmtId="0" fontId="1" fillId="0" borderId="0" xfId="3" applyFont="1" applyFill="1" applyBorder="1" applyAlignment="1">
      <alignment horizontal="left" vertical="center" wrapText="1"/>
    </xf>
    <xf numFmtId="49" fontId="1" fillId="0" borderId="0" xfId="2" applyNumberFormat="1" applyFont="1" applyFill="1" applyBorder="1" applyAlignment="1">
      <alignment vertical="center" wrapText="1"/>
    </xf>
    <xf numFmtId="0" fontId="1" fillId="0" borderId="0" xfId="2" applyFont="1" applyFill="1" applyBorder="1" applyAlignment="1">
      <alignment vertical="center" wrapText="1"/>
    </xf>
    <xf numFmtId="0" fontId="6" fillId="0" borderId="0" xfId="0" applyFont="1" applyFill="1" applyBorder="1" applyAlignment="1">
      <alignment horizontal="left" vertical="center" wrapText="1"/>
    </xf>
    <xf numFmtId="0" fontId="4" fillId="0" borderId="0" xfId="0" applyFont="1" applyFill="1" applyBorder="1" applyAlignment="1">
      <alignment horizontal="right" vertical="top"/>
    </xf>
    <xf numFmtId="0" fontId="1" fillId="3" borderId="0" xfId="0" applyFont="1" applyFill="1" applyBorder="1" applyAlignment="1">
      <alignment horizontal="left" vertical="center" wrapText="1"/>
    </xf>
    <xf numFmtId="0" fontId="10" fillId="0" borderId="2" xfId="3" applyFont="1" applyBorder="1" applyAlignment="1" applyProtection="1">
      <alignment horizontal="left" vertical="top" wrapText="1"/>
    </xf>
  </cellXfs>
  <cellStyles count="4">
    <cellStyle name="Normal" xfId="0" builtinId="0"/>
    <cellStyle name="Normal 12" xfId="3"/>
    <cellStyle name="Normal 2" xfId="1"/>
    <cellStyle name="Normal 29" xfId="2"/>
  </cellStyles>
  <dxfs count="0"/>
  <tableStyles count="0" defaultTableStyle="TableStyleMedium9" defaultPivotStyle="PivotStyleLight16"/>
  <colors>
    <mruColors>
      <color rgb="FFFFFF66"/>
      <color rgb="FF0000FF"/>
      <color rgb="FFCC99FF"/>
      <color rgb="FF99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I650"/>
  <sheetViews>
    <sheetView tabSelected="1" zoomScale="80" zoomScaleNormal="80" zoomScaleSheetLayoutView="100" workbookViewId="0"/>
  </sheetViews>
  <sheetFormatPr defaultColWidth="9.28515625" defaultRowHeight="12.75" x14ac:dyDescent="0.25"/>
  <cols>
    <col min="1" max="1" width="14.42578125" style="4" customWidth="1"/>
    <col min="2" max="2" width="16.28515625" style="4" customWidth="1"/>
    <col min="3" max="3" width="10.140625" style="27" customWidth="1"/>
    <col min="4" max="4" width="10.42578125" style="27" customWidth="1"/>
    <col min="5" max="5" width="10.140625" style="27" customWidth="1"/>
    <col min="6" max="6" width="40" style="25" customWidth="1"/>
    <col min="7" max="7" width="34.85546875" style="16" customWidth="1"/>
    <col min="8" max="8" width="57.28515625" style="39" customWidth="1"/>
    <col min="9" max="16384" width="9.28515625" style="4"/>
  </cols>
  <sheetData>
    <row r="1" spans="1:8" ht="18" x14ac:dyDescent="0.25">
      <c r="C1" s="61" t="s">
        <v>279</v>
      </c>
      <c r="D1" s="61"/>
      <c r="E1" s="61"/>
      <c r="F1" s="61"/>
      <c r="G1" s="58"/>
      <c r="H1" s="62" t="s">
        <v>356</v>
      </c>
    </row>
    <row r="2" spans="1:8" s="8" customFormat="1" ht="63.75" x14ac:dyDescent="0.2">
      <c r="A2" s="1" t="s">
        <v>425</v>
      </c>
      <c r="B2" s="1" t="s">
        <v>426</v>
      </c>
      <c r="C2" s="1" t="s">
        <v>41</v>
      </c>
      <c r="D2" s="1" t="s">
        <v>42</v>
      </c>
      <c r="E2" s="1" t="s">
        <v>43</v>
      </c>
      <c r="F2" s="26" t="s">
        <v>44</v>
      </c>
      <c r="G2" s="1" t="s">
        <v>45</v>
      </c>
      <c r="H2" s="2" t="s">
        <v>46</v>
      </c>
    </row>
    <row r="3" spans="1:8" s="8" customFormat="1" x14ac:dyDescent="0.2">
      <c r="A3" s="3" t="s">
        <v>427</v>
      </c>
      <c r="B3" s="3" t="s">
        <v>427</v>
      </c>
      <c r="C3" s="3">
        <v>1</v>
      </c>
      <c r="D3" s="3">
        <f>C3+E3-1</f>
        <v>4</v>
      </c>
      <c r="E3" s="3">
        <v>4</v>
      </c>
      <c r="F3" s="23" t="s">
        <v>37</v>
      </c>
      <c r="G3" s="1"/>
      <c r="H3" s="2"/>
    </row>
    <row r="4" spans="1:8" ht="38.25" x14ac:dyDescent="0.25">
      <c r="A4" s="5" t="s">
        <v>427</v>
      </c>
      <c r="B4" s="5" t="s">
        <v>427</v>
      </c>
      <c r="C4" s="3">
        <f>C3+E3</f>
        <v>5</v>
      </c>
      <c r="D4" s="3">
        <f>C4+E4-1</f>
        <v>6</v>
      </c>
      <c r="E4" s="3">
        <v>2</v>
      </c>
      <c r="F4" s="23" t="s">
        <v>36</v>
      </c>
      <c r="G4" s="37" t="s">
        <v>47</v>
      </c>
    </row>
    <row r="5" spans="1:8" x14ac:dyDescent="0.25">
      <c r="A5" s="5"/>
      <c r="B5" s="5"/>
      <c r="C5" s="3"/>
      <c r="D5" s="3"/>
      <c r="E5" s="3"/>
      <c r="F5" s="24" t="s">
        <v>48</v>
      </c>
      <c r="G5" s="37"/>
    </row>
    <row r="6" spans="1:8" ht="43.5" customHeight="1" x14ac:dyDescent="0.25">
      <c r="A6" s="5" t="s">
        <v>427</v>
      </c>
      <c r="B6" s="5" t="s">
        <v>427</v>
      </c>
      <c r="C6" s="3">
        <f>C4+E4</f>
        <v>7</v>
      </c>
      <c r="D6" s="3">
        <f t="shared" ref="D6:D49" si="0">C6+E6-1</f>
        <v>9</v>
      </c>
      <c r="E6" s="3">
        <v>3</v>
      </c>
      <c r="F6" s="23" t="s">
        <v>0</v>
      </c>
      <c r="G6" s="37"/>
      <c r="H6" s="70" t="s">
        <v>94</v>
      </c>
    </row>
    <row r="7" spans="1:8" ht="43.5" customHeight="1" x14ac:dyDescent="0.25">
      <c r="A7" s="5" t="s">
        <v>427</v>
      </c>
      <c r="B7" s="5" t="s">
        <v>427</v>
      </c>
      <c r="C7" s="3">
        <f t="shared" ref="C7:C12" si="1">C6+E6</f>
        <v>10</v>
      </c>
      <c r="D7" s="3">
        <f t="shared" si="0"/>
        <v>12</v>
      </c>
      <c r="E7" s="3">
        <v>3</v>
      </c>
      <c r="F7" s="23" t="s">
        <v>1</v>
      </c>
      <c r="G7" s="37"/>
      <c r="H7" s="71"/>
    </row>
    <row r="8" spans="1:8" x14ac:dyDescent="0.25">
      <c r="A8" s="5" t="s">
        <v>427</v>
      </c>
      <c r="B8" s="5" t="s">
        <v>427</v>
      </c>
      <c r="C8" s="3">
        <f t="shared" si="1"/>
        <v>13</v>
      </c>
      <c r="D8" s="3">
        <f t="shared" si="0"/>
        <v>52</v>
      </c>
      <c r="E8" s="3">
        <v>40</v>
      </c>
      <c r="F8" s="23" t="s">
        <v>2</v>
      </c>
      <c r="G8" s="37"/>
    </row>
    <row r="9" spans="1:8" x14ac:dyDescent="0.25">
      <c r="A9" s="5" t="s">
        <v>427</v>
      </c>
      <c r="B9" s="5" t="s">
        <v>427</v>
      </c>
      <c r="C9" s="3">
        <f t="shared" si="1"/>
        <v>53</v>
      </c>
      <c r="D9" s="3">
        <f t="shared" si="0"/>
        <v>92</v>
      </c>
      <c r="E9" s="3">
        <v>40</v>
      </c>
      <c r="F9" s="23" t="s">
        <v>3</v>
      </c>
      <c r="G9" s="37"/>
    </row>
    <row r="10" spans="1:8" ht="51" x14ac:dyDescent="0.25">
      <c r="A10" s="5" t="s">
        <v>427</v>
      </c>
      <c r="B10" s="5" t="s">
        <v>427</v>
      </c>
      <c r="C10" s="3">
        <f t="shared" si="1"/>
        <v>93</v>
      </c>
      <c r="D10" s="3">
        <f>C10+E10-1</f>
        <v>98</v>
      </c>
      <c r="E10" s="3">
        <v>6</v>
      </c>
      <c r="F10" s="23" t="s">
        <v>318</v>
      </c>
      <c r="G10" s="18" t="s">
        <v>72</v>
      </c>
      <c r="H10" s="36" t="s">
        <v>284</v>
      </c>
    </row>
    <row r="11" spans="1:8" ht="199.5" customHeight="1" x14ac:dyDescent="0.25">
      <c r="A11" s="5" t="s">
        <v>427</v>
      </c>
      <c r="B11" s="5" t="s">
        <v>427</v>
      </c>
      <c r="C11" s="3">
        <f t="shared" si="1"/>
        <v>99</v>
      </c>
      <c r="D11" s="3">
        <f t="shared" si="0"/>
        <v>100</v>
      </c>
      <c r="E11" s="3">
        <v>2</v>
      </c>
      <c r="F11" s="23" t="s">
        <v>4</v>
      </c>
      <c r="G11" s="41" t="s">
        <v>95</v>
      </c>
      <c r="H11" s="41" t="s">
        <v>246</v>
      </c>
    </row>
    <row r="12" spans="1:8" ht="95.25" customHeight="1" x14ac:dyDescent="0.25">
      <c r="A12" s="5" t="s">
        <v>427</v>
      </c>
      <c r="B12" s="5" t="s">
        <v>427</v>
      </c>
      <c r="C12" s="3">
        <f t="shared" si="1"/>
        <v>101</v>
      </c>
      <c r="D12" s="3">
        <f t="shared" si="0"/>
        <v>101</v>
      </c>
      <c r="E12" s="3">
        <v>1</v>
      </c>
      <c r="F12" s="23" t="s">
        <v>5</v>
      </c>
      <c r="G12" s="37" t="s">
        <v>49</v>
      </c>
      <c r="H12" s="41" t="s">
        <v>250</v>
      </c>
    </row>
    <row r="13" spans="1:8" ht="38.25" x14ac:dyDescent="0.25">
      <c r="A13" s="5" t="s">
        <v>427</v>
      </c>
      <c r="B13" s="5" t="s">
        <v>427</v>
      </c>
      <c r="C13" s="49">
        <f>C12+E12</f>
        <v>102</v>
      </c>
      <c r="D13" s="50">
        <f>C13+E13-1</f>
        <v>102</v>
      </c>
      <c r="E13" s="51">
        <v>1</v>
      </c>
      <c r="F13" s="52" t="s">
        <v>351</v>
      </c>
      <c r="G13" s="40" t="s">
        <v>109</v>
      </c>
      <c r="H13" s="40" t="s">
        <v>352</v>
      </c>
    </row>
    <row r="14" spans="1:8" x14ac:dyDescent="0.25">
      <c r="C14" s="3">
        <f>C13+E13</f>
        <v>103</v>
      </c>
      <c r="D14" s="3">
        <f t="shared" si="0"/>
        <v>117</v>
      </c>
      <c r="E14" s="3">
        <v>15</v>
      </c>
      <c r="F14" s="23" t="s">
        <v>51</v>
      </c>
      <c r="G14" s="37"/>
    </row>
    <row r="15" spans="1:8" x14ac:dyDescent="0.25">
      <c r="C15" s="3"/>
      <c r="D15" s="3"/>
      <c r="E15" s="7"/>
      <c r="F15" s="24" t="s">
        <v>52</v>
      </c>
      <c r="G15" s="14"/>
    </row>
    <row r="16" spans="1:8" ht="55.5" customHeight="1" x14ac:dyDescent="0.25">
      <c r="A16" s="5" t="s">
        <v>427</v>
      </c>
      <c r="B16" s="5" t="s">
        <v>428</v>
      </c>
      <c r="C16" s="3">
        <f>C14+E14</f>
        <v>118</v>
      </c>
      <c r="D16" s="3">
        <f t="shared" si="0"/>
        <v>137</v>
      </c>
      <c r="E16" s="3">
        <v>20</v>
      </c>
      <c r="F16" s="23" t="s">
        <v>96</v>
      </c>
      <c r="G16" s="37" t="s">
        <v>248</v>
      </c>
      <c r="H16" s="66" t="s">
        <v>53</v>
      </c>
    </row>
    <row r="17" spans="1:8" ht="56.25" customHeight="1" x14ac:dyDescent="0.25">
      <c r="A17" s="5" t="s">
        <v>427</v>
      </c>
      <c r="B17" s="5" t="s">
        <v>428</v>
      </c>
      <c r="C17" s="3">
        <f t="shared" ref="C17:C24" si="2">C16+E16</f>
        <v>138</v>
      </c>
      <c r="D17" s="3">
        <f t="shared" si="0"/>
        <v>152</v>
      </c>
      <c r="E17" s="3">
        <v>15</v>
      </c>
      <c r="F17" s="23" t="s">
        <v>97</v>
      </c>
      <c r="G17" s="37" t="s">
        <v>248</v>
      </c>
      <c r="H17" s="66"/>
    </row>
    <row r="18" spans="1:8" ht="56.25" customHeight="1" x14ac:dyDescent="0.25">
      <c r="A18" s="5" t="s">
        <v>427</v>
      </c>
      <c r="B18" s="5" t="s">
        <v>428</v>
      </c>
      <c r="C18" s="3">
        <f t="shared" si="2"/>
        <v>153</v>
      </c>
      <c r="D18" s="3">
        <f t="shared" si="0"/>
        <v>153</v>
      </c>
      <c r="E18" s="3">
        <v>1</v>
      </c>
      <c r="F18" s="23" t="s">
        <v>98</v>
      </c>
      <c r="G18" s="37" t="s">
        <v>249</v>
      </c>
      <c r="H18" s="66"/>
    </row>
    <row r="19" spans="1:8" x14ac:dyDescent="0.25">
      <c r="A19" s="5" t="s">
        <v>427</v>
      </c>
      <c r="B19" s="5" t="s">
        <v>427</v>
      </c>
      <c r="C19" s="3">
        <f>C18+E18</f>
        <v>154</v>
      </c>
      <c r="D19" s="3">
        <f t="shared" si="0"/>
        <v>163</v>
      </c>
      <c r="E19" s="3">
        <v>10</v>
      </c>
      <c r="F19" s="9" t="s">
        <v>54</v>
      </c>
      <c r="G19" s="19" t="s">
        <v>247</v>
      </c>
      <c r="H19" s="39" t="s">
        <v>55</v>
      </c>
    </row>
    <row r="20" spans="1:8" ht="63.75" x14ac:dyDescent="0.25">
      <c r="A20" s="5" t="s">
        <v>428</v>
      </c>
      <c r="B20" s="5" t="s">
        <v>428</v>
      </c>
      <c r="C20" s="3">
        <f t="shared" si="2"/>
        <v>164</v>
      </c>
      <c r="D20" s="3">
        <f t="shared" si="0"/>
        <v>169</v>
      </c>
      <c r="E20" s="3">
        <v>6</v>
      </c>
      <c r="F20" s="23" t="s">
        <v>251</v>
      </c>
      <c r="G20" s="41" t="s">
        <v>252</v>
      </c>
      <c r="H20" s="39" t="s">
        <v>317</v>
      </c>
    </row>
    <row r="21" spans="1:8" ht="61.5" customHeight="1" x14ac:dyDescent="0.25">
      <c r="A21" s="5" t="s">
        <v>427</v>
      </c>
      <c r="B21" s="5" t="s">
        <v>427</v>
      </c>
      <c r="C21" s="3">
        <f t="shared" si="2"/>
        <v>170</v>
      </c>
      <c r="D21" s="3">
        <f t="shared" si="0"/>
        <v>171</v>
      </c>
      <c r="E21" s="3">
        <v>2</v>
      </c>
      <c r="F21" s="13" t="s">
        <v>100</v>
      </c>
      <c r="G21" s="10" t="s">
        <v>56</v>
      </c>
      <c r="H21" s="69" t="s">
        <v>382</v>
      </c>
    </row>
    <row r="22" spans="1:8" ht="60" customHeight="1" x14ac:dyDescent="0.25">
      <c r="A22" s="5" t="s">
        <v>427</v>
      </c>
      <c r="B22" s="5" t="s">
        <v>427</v>
      </c>
      <c r="C22" s="3">
        <f t="shared" si="2"/>
        <v>172</v>
      </c>
      <c r="D22" s="3">
        <f t="shared" si="0"/>
        <v>173</v>
      </c>
      <c r="E22" s="3">
        <v>2</v>
      </c>
      <c r="F22" s="13" t="s">
        <v>99</v>
      </c>
      <c r="G22" s="10" t="s">
        <v>57</v>
      </c>
      <c r="H22" s="69"/>
    </row>
    <row r="23" spans="1:8" ht="60" customHeight="1" x14ac:dyDescent="0.25">
      <c r="A23" s="5" t="s">
        <v>427</v>
      </c>
      <c r="B23" s="5" t="s">
        <v>427</v>
      </c>
      <c r="C23" s="3">
        <f t="shared" si="2"/>
        <v>174</v>
      </c>
      <c r="D23" s="3">
        <f t="shared" si="0"/>
        <v>177</v>
      </c>
      <c r="E23" s="3">
        <v>4</v>
      </c>
      <c r="F23" s="23" t="s">
        <v>101</v>
      </c>
      <c r="G23" s="10" t="s">
        <v>58</v>
      </c>
      <c r="H23" s="69"/>
    </row>
    <row r="24" spans="1:8" ht="108" customHeight="1" x14ac:dyDescent="0.25">
      <c r="A24" s="5" t="s">
        <v>427</v>
      </c>
      <c r="B24" s="5" t="s">
        <v>427</v>
      </c>
      <c r="C24" s="3">
        <f t="shared" si="2"/>
        <v>178</v>
      </c>
      <c r="D24" s="3">
        <f t="shared" si="0"/>
        <v>179</v>
      </c>
      <c r="E24" s="3">
        <v>2</v>
      </c>
      <c r="F24" s="23" t="s">
        <v>102</v>
      </c>
      <c r="G24" s="37" t="s">
        <v>92</v>
      </c>
      <c r="H24" s="39" t="s">
        <v>288</v>
      </c>
    </row>
    <row r="25" spans="1:8" ht="108" customHeight="1" x14ac:dyDescent="0.25">
      <c r="A25" s="5" t="s">
        <v>428</v>
      </c>
      <c r="B25" s="5" t="s">
        <v>428</v>
      </c>
      <c r="C25" s="3">
        <f t="shared" ref="C25:C31" si="3">C24+E24</f>
        <v>180</v>
      </c>
      <c r="D25" s="3">
        <f>C25+E25-1</f>
        <v>181</v>
      </c>
      <c r="E25" s="3">
        <v>2</v>
      </c>
      <c r="F25" s="23" t="s">
        <v>319</v>
      </c>
      <c r="G25" s="37" t="s">
        <v>320</v>
      </c>
      <c r="H25" s="39" t="s">
        <v>253</v>
      </c>
    </row>
    <row r="26" spans="1:8" x14ac:dyDescent="0.25">
      <c r="C26" s="3">
        <f t="shared" si="3"/>
        <v>182</v>
      </c>
      <c r="D26" s="3">
        <f>C26+E26-1</f>
        <v>191</v>
      </c>
      <c r="E26" s="3">
        <v>10</v>
      </c>
      <c r="F26" s="23" t="s">
        <v>51</v>
      </c>
      <c r="G26" s="37"/>
    </row>
    <row r="27" spans="1:8" ht="51" x14ac:dyDescent="0.25">
      <c r="A27" s="5" t="s">
        <v>427</v>
      </c>
      <c r="B27" s="5" t="s">
        <v>427</v>
      </c>
      <c r="C27" s="3">
        <f t="shared" si="3"/>
        <v>192</v>
      </c>
      <c r="D27" s="3">
        <f t="shared" si="0"/>
        <v>192</v>
      </c>
      <c r="E27" s="3">
        <v>1</v>
      </c>
      <c r="F27" s="23" t="s">
        <v>321</v>
      </c>
      <c r="G27" s="11" t="s">
        <v>254</v>
      </c>
      <c r="H27" s="39" t="s">
        <v>255</v>
      </c>
    </row>
    <row r="28" spans="1:8" ht="38.25" x14ac:dyDescent="0.25">
      <c r="A28" s="5" t="s">
        <v>427</v>
      </c>
      <c r="B28" s="5" t="s">
        <v>427</v>
      </c>
      <c r="C28" s="3">
        <f t="shared" si="3"/>
        <v>193</v>
      </c>
      <c r="D28" s="3">
        <f t="shared" si="0"/>
        <v>193</v>
      </c>
      <c r="E28" s="3">
        <v>1</v>
      </c>
      <c r="F28" s="23" t="s">
        <v>40</v>
      </c>
      <c r="G28" s="12" t="s">
        <v>285</v>
      </c>
      <c r="H28" s="39" t="s">
        <v>253</v>
      </c>
    </row>
    <row r="29" spans="1:8" ht="51" x14ac:dyDescent="0.25">
      <c r="A29" s="5" t="s">
        <v>427</v>
      </c>
      <c r="B29" s="5" t="s">
        <v>427</v>
      </c>
      <c r="C29" s="3">
        <f t="shared" si="3"/>
        <v>194</v>
      </c>
      <c r="D29" s="3">
        <f t="shared" si="0"/>
        <v>194</v>
      </c>
      <c r="E29" s="3">
        <v>1</v>
      </c>
      <c r="F29" s="13" t="s">
        <v>322</v>
      </c>
      <c r="G29" s="12" t="s">
        <v>286</v>
      </c>
      <c r="H29" s="39" t="s">
        <v>255</v>
      </c>
    </row>
    <row r="30" spans="1:8" ht="38.25" x14ac:dyDescent="0.25">
      <c r="A30" s="5" t="s">
        <v>427</v>
      </c>
      <c r="B30" s="5" t="s">
        <v>427</v>
      </c>
      <c r="C30" s="3">
        <f t="shared" si="3"/>
        <v>195</v>
      </c>
      <c r="D30" s="3">
        <f t="shared" si="0"/>
        <v>195</v>
      </c>
      <c r="E30" s="3">
        <v>1</v>
      </c>
      <c r="F30" s="13" t="s">
        <v>323</v>
      </c>
      <c r="G30" s="12" t="s">
        <v>59</v>
      </c>
      <c r="H30" s="39" t="s">
        <v>128</v>
      </c>
    </row>
    <row r="31" spans="1:8" ht="51" x14ac:dyDescent="0.25">
      <c r="A31" s="5" t="s">
        <v>428</v>
      </c>
      <c r="B31" s="5" t="s">
        <v>428</v>
      </c>
      <c r="C31" s="3">
        <f t="shared" si="3"/>
        <v>196</v>
      </c>
      <c r="D31" s="3">
        <f>C31+E31-1</f>
        <v>196</v>
      </c>
      <c r="E31" s="3">
        <v>1</v>
      </c>
      <c r="F31" s="23" t="s">
        <v>143</v>
      </c>
      <c r="G31" s="12" t="s">
        <v>259</v>
      </c>
      <c r="H31" s="39" t="s">
        <v>253</v>
      </c>
    </row>
    <row r="32" spans="1:8" ht="25.5" x14ac:dyDescent="0.25">
      <c r="A32" s="5" t="s">
        <v>427</v>
      </c>
      <c r="B32" s="5" t="s">
        <v>427</v>
      </c>
      <c r="C32" s="3">
        <f t="shared" ref="C32:C38" si="4">C31+E31</f>
        <v>197</v>
      </c>
      <c r="D32" s="3">
        <f t="shared" si="0"/>
        <v>198</v>
      </c>
      <c r="E32" s="3">
        <v>2</v>
      </c>
      <c r="F32" s="13" t="s">
        <v>324</v>
      </c>
      <c r="G32" s="37" t="s">
        <v>60</v>
      </c>
      <c r="H32" s="39" t="s">
        <v>128</v>
      </c>
    </row>
    <row r="33" spans="1:8" ht="38.25" x14ac:dyDescent="0.25">
      <c r="A33" s="5" t="s">
        <v>428</v>
      </c>
      <c r="B33" s="5" t="s">
        <v>428</v>
      </c>
      <c r="C33" s="3">
        <f t="shared" si="4"/>
        <v>199</v>
      </c>
      <c r="D33" s="3">
        <f>C33+E33-1</f>
        <v>200</v>
      </c>
      <c r="E33" s="3">
        <v>2</v>
      </c>
      <c r="F33" s="23" t="s">
        <v>144</v>
      </c>
      <c r="G33" s="37" t="s">
        <v>257</v>
      </c>
      <c r="H33" s="39" t="s">
        <v>253</v>
      </c>
    </row>
    <row r="34" spans="1:8" ht="25.5" x14ac:dyDescent="0.25">
      <c r="A34" s="5" t="s">
        <v>427</v>
      </c>
      <c r="B34" s="5" t="s">
        <v>427</v>
      </c>
      <c r="C34" s="3">
        <f t="shared" si="4"/>
        <v>201</v>
      </c>
      <c r="D34" s="3">
        <f t="shared" si="0"/>
        <v>201</v>
      </c>
      <c r="E34" s="3">
        <v>1</v>
      </c>
      <c r="F34" s="13" t="s">
        <v>325</v>
      </c>
      <c r="G34" s="12" t="s">
        <v>61</v>
      </c>
      <c r="H34" s="39" t="s">
        <v>128</v>
      </c>
    </row>
    <row r="35" spans="1:8" ht="38.25" x14ac:dyDescent="0.25">
      <c r="A35" s="5" t="s">
        <v>428</v>
      </c>
      <c r="B35" s="5" t="s">
        <v>428</v>
      </c>
      <c r="C35" s="3">
        <f t="shared" si="4"/>
        <v>202</v>
      </c>
      <c r="D35" s="3">
        <f>C35+E35-1</f>
        <v>202</v>
      </c>
      <c r="E35" s="3">
        <v>1</v>
      </c>
      <c r="F35" s="13" t="s">
        <v>145</v>
      </c>
      <c r="G35" s="12" t="s">
        <v>256</v>
      </c>
      <c r="H35" s="39" t="s">
        <v>253</v>
      </c>
    </row>
    <row r="36" spans="1:8" ht="141.75" customHeight="1" x14ac:dyDescent="0.25">
      <c r="A36" s="5" t="s">
        <v>427</v>
      </c>
      <c r="B36" s="5" t="s">
        <v>427</v>
      </c>
      <c r="C36" s="3">
        <f t="shared" si="4"/>
        <v>203</v>
      </c>
      <c r="D36" s="3">
        <f t="shared" si="0"/>
        <v>204</v>
      </c>
      <c r="E36" s="3">
        <v>2</v>
      </c>
      <c r="F36" s="13" t="s">
        <v>326</v>
      </c>
      <c r="G36" s="64" t="s">
        <v>62</v>
      </c>
      <c r="H36" s="39" t="s">
        <v>128</v>
      </c>
    </row>
    <row r="37" spans="1:8" ht="141" customHeight="1" x14ac:dyDescent="0.25">
      <c r="A37" s="5" t="s">
        <v>428</v>
      </c>
      <c r="B37" s="5" t="s">
        <v>428</v>
      </c>
      <c r="C37" s="3">
        <f t="shared" si="4"/>
        <v>205</v>
      </c>
      <c r="D37" s="3">
        <f>C37+E37-1</f>
        <v>206</v>
      </c>
      <c r="E37" s="3">
        <v>2</v>
      </c>
      <c r="F37" s="23" t="s">
        <v>287</v>
      </c>
      <c r="G37" s="64"/>
      <c r="H37" s="39" t="s">
        <v>258</v>
      </c>
    </row>
    <row r="38" spans="1:8" ht="25.5" x14ac:dyDescent="0.25">
      <c r="A38" s="5" t="s">
        <v>427</v>
      </c>
      <c r="B38" s="5" t="s">
        <v>428</v>
      </c>
      <c r="C38" s="3">
        <f t="shared" si="4"/>
        <v>207</v>
      </c>
      <c r="D38" s="3">
        <f t="shared" si="0"/>
        <v>207</v>
      </c>
      <c r="E38" s="3">
        <v>1</v>
      </c>
      <c r="F38" s="23" t="s">
        <v>6</v>
      </c>
      <c r="G38" s="12" t="s">
        <v>63</v>
      </c>
      <c r="H38" s="69" t="s">
        <v>255</v>
      </c>
    </row>
    <row r="39" spans="1:8" ht="38.25" x14ac:dyDescent="0.25">
      <c r="A39" s="5" t="s">
        <v>427</v>
      </c>
      <c r="B39" s="5" t="s">
        <v>428</v>
      </c>
      <c r="C39" s="3">
        <f t="shared" ref="C39:C49" si="5">C38+E38</f>
        <v>208</v>
      </c>
      <c r="D39" s="3">
        <f t="shared" si="0"/>
        <v>208</v>
      </c>
      <c r="E39" s="3">
        <v>1</v>
      </c>
      <c r="F39" s="23" t="s">
        <v>38</v>
      </c>
      <c r="G39" s="12" t="s">
        <v>64</v>
      </c>
      <c r="H39" s="69"/>
    </row>
    <row r="40" spans="1:8" ht="25.5" x14ac:dyDescent="0.25">
      <c r="A40" s="5" t="s">
        <v>427</v>
      </c>
      <c r="B40" s="5" t="s">
        <v>428</v>
      </c>
      <c r="C40" s="3">
        <f t="shared" si="5"/>
        <v>209</v>
      </c>
      <c r="D40" s="3">
        <f t="shared" si="0"/>
        <v>209</v>
      </c>
      <c r="E40" s="3">
        <v>1</v>
      </c>
      <c r="F40" s="23" t="s">
        <v>7</v>
      </c>
      <c r="G40" s="12" t="s">
        <v>65</v>
      </c>
      <c r="H40" s="69"/>
    </row>
    <row r="41" spans="1:8" ht="25.5" x14ac:dyDescent="0.25">
      <c r="A41" s="5" t="s">
        <v>427</v>
      </c>
      <c r="B41" s="5" t="s">
        <v>428</v>
      </c>
      <c r="C41" s="3">
        <f t="shared" si="5"/>
        <v>210</v>
      </c>
      <c r="D41" s="3">
        <f t="shared" si="0"/>
        <v>210</v>
      </c>
      <c r="E41" s="3">
        <v>1</v>
      </c>
      <c r="F41" s="23" t="s">
        <v>8</v>
      </c>
      <c r="G41" s="12" t="s">
        <v>66</v>
      </c>
      <c r="H41" s="69"/>
    </row>
    <row r="42" spans="1:8" ht="51" x14ac:dyDescent="0.25">
      <c r="A42" s="5" t="s">
        <v>427</v>
      </c>
      <c r="B42" s="5" t="s">
        <v>428</v>
      </c>
      <c r="C42" s="3">
        <f t="shared" si="5"/>
        <v>211</v>
      </c>
      <c r="D42" s="3">
        <f t="shared" si="0"/>
        <v>211</v>
      </c>
      <c r="E42" s="3">
        <v>1</v>
      </c>
      <c r="F42" s="23" t="s">
        <v>9</v>
      </c>
      <c r="G42" s="12" t="s">
        <v>68</v>
      </c>
      <c r="H42" s="69"/>
    </row>
    <row r="43" spans="1:8" ht="25.5" x14ac:dyDescent="0.25">
      <c r="A43" s="5" t="s">
        <v>427</v>
      </c>
      <c r="B43" s="5" t="s">
        <v>428</v>
      </c>
      <c r="C43" s="3">
        <f t="shared" si="5"/>
        <v>212</v>
      </c>
      <c r="D43" s="3">
        <f t="shared" si="0"/>
        <v>212</v>
      </c>
      <c r="E43" s="3">
        <v>1</v>
      </c>
      <c r="F43" s="23" t="s">
        <v>10</v>
      </c>
      <c r="G43" s="12" t="s">
        <v>67</v>
      </c>
      <c r="H43" s="69"/>
    </row>
    <row r="44" spans="1:8" ht="102" x14ac:dyDescent="0.25">
      <c r="A44" s="5" t="s">
        <v>427</v>
      </c>
      <c r="B44" s="5" t="s">
        <v>427</v>
      </c>
      <c r="C44" s="3">
        <f t="shared" si="5"/>
        <v>213</v>
      </c>
      <c r="D44" s="3">
        <f>C44+E44-1</f>
        <v>213</v>
      </c>
      <c r="E44" s="3">
        <v>1</v>
      </c>
      <c r="F44" s="13" t="s">
        <v>294</v>
      </c>
      <c r="G44" s="39" t="s">
        <v>70</v>
      </c>
      <c r="H44" s="39" t="s">
        <v>71</v>
      </c>
    </row>
    <row r="45" spans="1:8" ht="51" x14ac:dyDescent="0.25">
      <c r="A45" s="5" t="s">
        <v>427</v>
      </c>
      <c r="B45" s="5" t="s">
        <v>427</v>
      </c>
      <c r="C45" s="3">
        <f t="shared" si="5"/>
        <v>214</v>
      </c>
      <c r="D45" s="3">
        <f t="shared" si="0"/>
        <v>214</v>
      </c>
      <c r="E45" s="3">
        <v>1</v>
      </c>
      <c r="F45" s="13" t="s">
        <v>327</v>
      </c>
      <c r="G45" s="12" t="s">
        <v>69</v>
      </c>
      <c r="H45" s="39" t="s">
        <v>255</v>
      </c>
    </row>
    <row r="46" spans="1:8" ht="38.25" x14ac:dyDescent="0.25">
      <c r="A46" s="5" t="s">
        <v>427</v>
      </c>
      <c r="B46" s="5" t="s">
        <v>427</v>
      </c>
      <c r="C46" s="3">
        <f t="shared" si="5"/>
        <v>215</v>
      </c>
      <c r="D46" s="3">
        <f t="shared" si="0"/>
        <v>215</v>
      </c>
      <c r="E46" s="3">
        <v>1</v>
      </c>
      <c r="F46" s="23" t="s">
        <v>29</v>
      </c>
      <c r="G46" s="37" t="s">
        <v>260</v>
      </c>
      <c r="H46" s="39" t="s">
        <v>261</v>
      </c>
    </row>
    <row r="47" spans="1:8" ht="25.5" x14ac:dyDescent="0.25">
      <c r="A47" s="5" t="s">
        <v>427</v>
      </c>
      <c r="B47" s="5" t="s">
        <v>427</v>
      </c>
      <c r="C47" s="3">
        <f t="shared" si="5"/>
        <v>216</v>
      </c>
      <c r="D47" s="3">
        <f t="shared" si="0"/>
        <v>216</v>
      </c>
      <c r="E47" s="3">
        <v>1</v>
      </c>
      <c r="F47" s="13" t="s">
        <v>39</v>
      </c>
      <c r="G47" s="15" t="s">
        <v>262</v>
      </c>
      <c r="H47" s="39" t="s">
        <v>289</v>
      </c>
    </row>
    <row r="48" spans="1:8" ht="38.25" x14ac:dyDescent="0.25">
      <c r="A48" s="5" t="s">
        <v>427</v>
      </c>
      <c r="B48" s="5" t="s">
        <v>427</v>
      </c>
      <c r="C48" s="3">
        <f t="shared" si="5"/>
        <v>217</v>
      </c>
      <c r="D48" s="3">
        <f>C48+E48-1</f>
        <v>222</v>
      </c>
      <c r="E48" s="3">
        <v>6</v>
      </c>
      <c r="F48" s="13" t="s">
        <v>146</v>
      </c>
      <c r="G48" s="15" t="s">
        <v>106</v>
      </c>
      <c r="H48" s="39" t="s">
        <v>263</v>
      </c>
    </row>
    <row r="49" spans="1:8" x14ac:dyDescent="0.25">
      <c r="C49" s="3">
        <f t="shared" si="5"/>
        <v>223</v>
      </c>
      <c r="D49" s="3">
        <f t="shared" si="0"/>
        <v>233</v>
      </c>
      <c r="E49" s="5">
        <v>11</v>
      </c>
      <c r="F49" s="23" t="s">
        <v>51</v>
      </c>
      <c r="G49" s="37"/>
    </row>
    <row r="50" spans="1:8" x14ac:dyDescent="0.25">
      <c r="C50" s="3"/>
      <c r="D50" s="3"/>
      <c r="E50" s="7"/>
      <c r="F50" s="24" t="s">
        <v>151</v>
      </c>
      <c r="G50" s="14"/>
      <c r="H50" s="17"/>
    </row>
    <row r="51" spans="1:8" ht="25.5" x14ac:dyDescent="0.25">
      <c r="A51" s="5" t="s">
        <v>427</v>
      </c>
      <c r="B51" s="5" t="s">
        <v>427</v>
      </c>
      <c r="C51" s="5">
        <f>C49+E49</f>
        <v>234</v>
      </c>
      <c r="D51" s="5">
        <f t="shared" ref="D51:D67" si="6">C51+E51-1</f>
        <v>234</v>
      </c>
      <c r="E51" s="5">
        <v>1</v>
      </c>
      <c r="F51" s="13" t="s">
        <v>35</v>
      </c>
      <c r="G51" s="38" t="s">
        <v>50</v>
      </c>
      <c r="H51" s="53" t="s">
        <v>379</v>
      </c>
    </row>
    <row r="52" spans="1:8" ht="140.25" x14ac:dyDescent="0.25">
      <c r="A52" s="5" t="s">
        <v>427</v>
      </c>
      <c r="B52" s="5" t="s">
        <v>427</v>
      </c>
      <c r="C52" s="5">
        <f t="shared" ref="C52:C67" si="7">C51+E51</f>
        <v>235</v>
      </c>
      <c r="D52" s="5">
        <f t="shared" si="6"/>
        <v>239</v>
      </c>
      <c r="E52" s="5">
        <v>5</v>
      </c>
      <c r="F52" s="13" t="s">
        <v>11</v>
      </c>
      <c r="G52" s="38" t="s">
        <v>357</v>
      </c>
      <c r="H52" s="43" t="s">
        <v>359</v>
      </c>
    </row>
    <row r="53" spans="1:8" ht="76.5" x14ac:dyDescent="0.25">
      <c r="A53" s="5" t="s">
        <v>428</v>
      </c>
      <c r="B53" s="5" t="s">
        <v>428</v>
      </c>
      <c r="C53" s="5">
        <f t="shared" si="7"/>
        <v>240</v>
      </c>
      <c r="D53" s="5">
        <f t="shared" si="6"/>
        <v>245</v>
      </c>
      <c r="E53" s="5">
        <v>6</v>
      </c>
      <c r="F53" s="13" t="s">
        <v>12</v>
      </c>
      <c r="G53" s="38" t="s">
        <v>358</v>
      </c>
      <c r="H53" s="43" t="s">
        <v>360</v>
      </c>
    </row>
    <row r="54" spans="1:8" ht="17.25" customHeight="1" x14ac:dyDescent="0.25">
      <c r="A54" s="5" t="s">
        <v>427</v>
      </c>
      <c r="B54" s="5" t="s">
        <v>428</v>
      </c>
      <c r="C54" s="3">
        <f t="shared" si="7"/>
        <v>246</v>
      </c>
      <c r="D54" s="3">
        <f t="shared" si="6"/>
        <v>265</v>
      </c>
      <c r="E54" s="3">
        <v>20</v>
      </c>
      <c r="F54" s="23" t="s">
        <v>13</v>
      </c>
      <c r="G54" s="64" t="s">
        <v>264</v>
      </c>
      <c r="H54" s="68" t="s">
        <v>328</v>
      </c>
    </row>
    <row r="55" spans="1:8" ht="19.5" customHeight="1" x14ac:dyDescent="0.25">
      <c r="A55" s="5" t="s">
        <v>427</v>
      </c>
      <c r="B55" s="5" t="s">
        <v>428</v>
      </c>
      <c r="C55" s="3">
        <f t="shared" si="7"/>
        <v>266</v>
      </c>
      <c r="D55" s="3">
        <f t="shared" si="6"/>
        <v>280</v>
      </c>
      <c r="E55" s="3">
        <v>15</v>
      </c>
      <c r="F55" s="23" t="s">
        <v>14</v>
      </c>
      <c r="G55" s="64"/>
      <c r="H55" s="68"/>
    </row>
    <row r="56" spans="1:8" ht="20.25" customHeight="1" x14ac:dyDescent="0.25">
      <c r="A56" s="5" t="s">
        <v>427</v>
      </c>
      <c r="B56" s="5" t="s">
        <v>428</v>
      </c>
      <c r="C56" s="3">
        <f t="shared" si="7"/>
        <v>281</v>
      </c>
      <c r="D56" s="3">
        <f t="shared" si="6"/>
        <v>281</v>
      </c>
      <c r="E56" s="3">
        <v>1</v>
      </c>
      <c r="F56" s="23" t="s">
        <v>280</v>
      </c>
      <c r="G56" s="64"/>
      <c r="H56" s="68"/>
    </row>
    <row r="57" spans="1:8" ht="38.25" x14ac:dyDescent="0.25">
      <c r="A57" s="5"/>
      <c r="B57" s="5"/>
      <c r="C57" s="3">
        <f t="shared" si="7"/>
        <v>282</v>
      </c>
      <c r="D57" s="3">
        <f t="shared" si="6"/>
        <v>284</v>
      </c>
      <c r="E57" s="3">
        <v>3</v>
      </c>
      <c r="F57" s="23" t="s">
        <v>149</v>
      </c>
      <c r="G57" s="41" t="s">
        <v>150</v>
      </c>
      <c r="H57" s="66" t="s">
        <v>304</v>
      </c>
    </row>
    <row r="58" spans="1:8" ht="25.5" customHeight="1" x14ac:dyDescent="0.25">
      <c r="A58" s="5" t="s">
        <v>428</v>
      </c>
      <c r="B58" s="5" t="s">
        <v>428</v>
      </c>
      <c r="C58" s="3">
        <f t="shared" si="7"/>
        <v>285</v>
      </c>
      <c r="D58" s="3">
        <f t="shared" si="6"/>
        <v>304</v>
      </c>
      <c r="E58" s="3">
        <v>20</v>
      </c>
      <c r="F58" s="23" t="s">
        <v>15</v>
      </c>
      <c r="G58" s="64" t="s">
        <v>264</v>
      </c>
      <c r="H58" s="66"/>
    </row>
    <row r="59" spans="1:8" x14ac:dyDescent="0.25">
      <c r="A59" s="5" t="s">
        <v>428</v>
      </c>
      <c r="B59" s="5" t="s">
        <v>428</v>
      </c>
      <c r="C59" s="3">
        <f t="shared" si="7"/>
        <v>305</v>
      </c>
      <c r="D59" s="3">
        <f t="shared" si="6"/>
        <v>324</v>
      </c>
      <c r="E59" s="3">
        <v>20</v>
      </c>
      <c r="F59" s="23" t="s">
        <v>16</v>
      </c>
      <c r="G59" s="64"/>
      <c r="H59" s="66"/>
    </row>
    <row r="60" spans="1:8" x14ac:dyDescent="0.25">
      <c r="A60" s="5" t="s">
        <v>428</v>
      </c>
      <c r="B60" s="5" t="s">
        <v>428</v>
      </c>
      <c r="C60" s="3">
        <f t="shared" si="7"/>
        <v>325</v>
      </c>
      <c r="D60" s="3">
        <f t="shared" si="6"/>
        <v>325</v>
      </c>
      <c r="E60" s="3">
        <v>1</v>
      </c>
      <c r="F60" s="23" t="s">
        <v>281</v>
      </c>
      <c r="G60" s="64"/>
      <c r="H60" s="66"/>
    </row>
    <row r="61" spans="1:8" ht="76.5" x14ac:dyDescent="0.25">
      <c r="A61" s="5" t="s">
        <v>427</v>
      </c>
      <c r="B61" s="5" t="s">
        <v>427</v>
      </c>
      <c r="C61" s="3">
        <f t="shared" si="7"/>
        <v>326</v>
      </c>
      <c r="D61" s="3">
        <f t="shared" si="6"/>
        <v>331</v>
      </c>
      <c r="E61" s="3">
        <v>6</v>
      </c>
      <c r="F61" s="23" t="s">
        <v>147</v>
      </c>
      <c r="G61" s="37" t="s">
        <v>148</v>
      </c>
      <c r="H61" s="39" t="s">
        <v>329</v>
      </c>
    </row>
    <row r="62" spans="1:8" ht="93.75" customHeight="1" x14ac:dyDescent="0.25">
      <c r="A62" s="5" t="s">
        <v>427</v>
      </c>
      <c r="B62" s="5" t="s">
        <v>427</v>
      </c>
      <c r="C62" s="3">
        <f t="shared" si="7"/>
        <v>332</v>
      </c>
      <c r="D62" s="3">
        <f t="shared" si="6"/>
        <v>361</v>
      </c>
      <c r="E62" s="3">
        <v>30</v>
      </c>
      <c r="F62" s="23" t="s">
        <v>17</v>
      </c>
      <c r="G62" s="37" t="s">
        <v>290</v>
      </c>
      <c r="H62" s="39" t="s">
        <v>330</v>
      </c>
    </row>
    <row r="63" spans="1:8" ht="51" x14ac:dyDescent="0.25">
      <c r="A63" s="5" t="s">
        <v>427</v>
      </c>
      <c r="B63" s="5" t="s">
        <v>427</v>
      </c>
      <c r="C63" s="3">
        <f t="shared" si="7"/>
        <v>362</v>
      </c>
      <c r="D63" s="3">
        <f t="shared" si="6"/>
        <v>381</v>
      </c>
      <c r="E63" s="3">
        <v>20</v>
      </c>
      <c r="F63" s="23" t="s">
        <v>103</v>
      </c>
      <c r="G63" s="37" t="s">
        <v>316</v>
      </c>
      <c r="H63" s="39" t="s">
        <v>328</v>
      </c>
    </row>
    <row r="64" spans="1:8" ht="38.25" x14ac:dyDescent="0.25">
      <c r="A64" s="5" t="s">
        <v>427</v>
      </c>
      <c r="B64" s="5" t="s">
        <v>427</v>
      </c>
      <c r="C64" s="3">
        <f t="shared" si="7"/>
        <v>382</v>
      </c>
      <c r="D64" s="3">
        <f t="shared" si="6"/>
        <v>387</v>
      </c>
      <c r="E64" s="3">
        <v>6</v>
      </c>
      <c r="F64" s="23" t="s">
        <v>105</v>
      </c>
      <c r="G64" s="37" t="s">
        <v>106</v>
      </c>
      <c r="H64" s="39" t="s">
        <v>295</v>
      </c>
    </row>
    <row r="65" spans="1:8" ht="25.5" x14ac:dyDescent="0.25">
      <c r="A65" s="5" t="s">
        <v>427</v>
      </c>
      <c r="B65" s="5" t="s">
        <v>427</v>
      </c>
      <c r="C65" s="3">
        <f t="shared" si="7"/>
        <v>388</v>
      </c>
      <c r="D65" s="3">
        <f t="shared" si="6"/>
        <v>388</v>
      </c>
      <c r="E65" s="3">
        <v>1</v>
      </c>
      <c r="F65" s="23" t="s">
        <v>291</v>
      </c>
      <c r="G65" s="37" t="s">
        <v>293</v>
      </c>
      <c r="H65" s="39" t="s">
        <v>292</v>
      </c>
    </row>
    <row r="66" spans="1:8" ht="25.5" x14ac:dyDescent="0.25">
      <c r="A66" s="5" t="s">
        <v>427</v>
      </c>
      <c r="B66" s="5" t="s">
        <v>427</v>
      </c>
      <c r="C66" s="3">
        <f t="shared" si="7"/>
        <v>389</v>
      </c>
      <c r="D66" s="3">
        <f t="shared" si="6"/>
        <v>389</v>
      </c>
      <c r="E66" s="3">
        <v>1</v>
      </c>
      <c r="F66" s="23" t="s">
        <v>302</v>
      </c>
      <c r="G66" s="37" t="s">
        <v>301</v>
      </c>
      <c r="H66" s="39" t="s">
        <v>337</v>
      </c>
    </row>
    <row r="67" spans="1:8" x14ac:dyDescent="0.25">
      <c r="A67" s="5"/>
      <c r="B67" s="5"/>
      <c r="C67" s="3">
        <f t="shared" si="7"/>
        <v>390</v>
      </c>
      <c r="D67" s="3">
        <f t="shared" si="6"/>
        <v>409</v>
      </c>
      <c r="E67" s="3">
        <v>20</v>
      </c>
      <c r="F67" s="23" t="s">
        <v>51</v>
      </c>
      <c r="G67" s="37"/>
    </row>
    <row r="68" spans="1:8" x14ac:dyDescent="0.25">
      <c r="A68" s="5"/>
      <c r="B68" s="5"/>
      <c r="C68" s="3"/>
      <c r="D68" s="3"/>
      <c r="E68" s="7"/>
      <c r="F68" s="24" t="s">
        <v>18</v>
      </c>
      <c r="G68" s="14"/>
      <c r="H68" s="17"/>
    </row>
    <row r="69" spans="1:8" ht="38.25" x14ac:dyDescent="0.25">
      <c r="A69" s="5" t="s">
        <v>428</v>
      </c>
      <c r="B69" s="5" t="s">
        <v>428</v>
      </c>
      <c r="C69" s="3">
        <f>C67+E67</f>
        <v>410</v>
      </c>
      <c r="D69" s="3">
        <f>C69+E69-1</f>
        <v>410</v>
      </c>
      <c r="E69" s="3">
        <v>1</v>
      </c>
      <c r="F69" s="23" t="s">
        <v>19</v>
      </c>
      <c r="G69" s="37" t="s">
        <v>93</v>
      </c>
      <c r="H69" s="67"/>
    </row>
    <row r="70" spans="1:8" ht="38.25" x14ac:dyDescent="0.25">
      <c r="A70" s="5" t="s">
        <v>428</v>
      </c>
      <c r="B70" s="5" t="s">
        <v>428</v>
      </c>
      <c r="C70" s="3">
        <f>C69+E69</f>
        <v>411</v>
      </c>
      <c r="D70" s="3">
        <f>C70+E70-1</f>
        <v>411</v>
      </c>
      <c r="E70" s="3">
        <v>1</v>
      </c>
      <c r="F70" s="23" t="s">
        <v>20</v>
      </c>
      <c r="G70" s="37" t="s">
        <v>93</v>
      </c>
      <c r="H70" s="66"/>
    </row>
    <row r="71" spans="1:8" ht="38.25" x14ac:dyDescent="0.25">
      <c r="A71" s="5" t="s">
        <v>428</v>
      </c>
      <c r="B71" s="5" t="s">
        <v>428</v>
      </c>
      <c r="C71" s="3">
        <f>C70+E70</f>
        <v>412</v>
      </c>
      <c r="D71" s="3">
        <f>C71+E71-1</f>
        <v>412</v>
      </c>
      <c r="E71" s="3">
        <v>1</v>
      </c>
      <c r="F71" s="23" t="s">
        <v>21</v>
      </c>
      <c r="G71" s="37" t="s">
        <v>93</v>
      </c>
      <c r="H71" s="66"/>
    </row>
    <row r="72" spans="1:8" x14ac:dyDescent="0.25">
      <c r="A72" s="5"/>
      <c r="B72" s="5"/>
      <c r="C72" s="3">
        <f>C71+E71</f>
        <v>413</v>
      </c>
      <c r="D72" s="3">
        <f>C72+E72-1</f>
        <v>417</v>
      </c>
      <c r="E72" s="3">
        <v>5</v>
      </c>
      <c r="F72" s="23" t="s">
        <v>51</v>
      </c>
      <c r="G72" s="37"/>
    </row>
    <row r="73" spans="1:8" x14ac:dyDescent="0.25">
      <c r="A73" s="5"/>
      <c r="B73" s="5"/>
      <c r="C73" s="3"/>
      <c r="D73" s="3"/>
      <c r="E73" s="3"/>
      <c r="F73" s="24" t="s">
        <v>131</v>
      </c>
      <c r="G73" s="37"/>
    </row>
    <row r="74" spans="1:8" x14ac:dyDescent="0.25">
      <c r="A74" s="5"/>
      <c r="B74" s="5"/>
      <c r="C74" s="3"/>
      <c r="D74" s="3"/>
      <c r="E74" s="3"/>
      <c r="F74" s="24" t="s">
        <v>104</v>
      </c>
      <c r="G74" s="37"/>
    </row>
    <row r="75" spans="1:8" ht="12.75" customHeight="1" x14ac:dyDescent="0.25">
      <c r="A75" s="5" t="s">
        <v>428</v>
      </c>
      <c r="B75" s="5" t="s">
        <v>428</v>
      </c>
      <c r="C75" s="3">
        <f>C72+E72</f>
        <v>418</v>
      </c>
      <c r="D75" s="3">
        <f>C75+E75-1</f>
        <v>418</v>
      </c>
      <c r="E75" s="3">
        <v>1</v>
      </c>
      <c r="F75" s="23" t="s">
        <v>117</v>
      </c>
      <c r="G75" s="66" t="s">
        <v>265</v>
      </c>
      <c r="H75" s="65" t="s">
        <v>362</v>
      </c>
    </row>
    <row r="76" spans="1:8" x14ac:dyDescent="0.25">
      <c r="A76" s="5" t="s">
        <v>428</v>
      </c>
      <c r="B76" s="5" t="s">
        <v>428</v>
      </c>
      <c r="C76" s="3">
        <f>C75+E75</f>
        <v>419</v>
      </c>
      <c r="D76" s="3">
        <f>C76+E76-1</f>
        <v>419</v>
      </c>
      <c r="E76" s="3">
        <v>1</v>
      </c>
      <c r="F76" s="23" t="s">
        <v>118</v>
      </c>
      <c r="G76" s="66"/>
      <c r="H76" s="65"/>
    </row>
    <row r="77" spans="1:8" x14ac:dyDescent="0.25">
      <c r="A77" s="5" t="s">
        <v>428</v>
      </c>
      <c r="B77" s="5" t="s">
        <v>428</v>
      </c>
      <c r="C77" s="3">
        <f t="shared" ref="C77:C88" si="8">C76+E76</f>
        <v>420</v>
      </c>
      <c r="D77" s="3">
        <f t="shared" ref="D77:D104" si="9">C77+E77-1</f>
        <v>420</v>
      </c>
      <c r="E77" s="3">
        <v>1</v>
      </c>
      <c r="F77" s="44" t="s">
        <v>361</v>
      </c>
      <c r="G77" s="66"/>
      <c r="H77" s="65"/>
    </row>
    <row r="78" spans="1:8" x14ac:dyDescent="0.25">
      <c r="A78" s="5" t="s">
        <v>428</v>
      </c>
      <c r="B78" s="5" t="s">
        <v>428</v>
      </c>
      <c r="C78" s="3">
        <f t="shared" si="8"/>
        <v>421</v>
      </c>
      <c r="D78" s="3">
        <f t="shared" si="9"/>
        <v>421</v>
      </c>
      <c r="E78" s="3">
        <v>1</v>
      </c>
      <c r="F78" s="23" t="s">
        <v>119</v>
      </c>
      <c r="G78" s="66"/>
      <c r="H78" s="65"/>
    </row>
    <row r="79" spans="1:8" x14ac:dyDescent="0.25">
      <c r="A79" s="5" t="s">
        <v>428</v>
      </c>
      <c r="B79" s="5" t="s">
        <v>428</v>
      </c>
      <c r="C79" s="3">
        <f t="shared" si="8"/>
        <v>422</v>
      </c>
      <c r="D79" s="3">
        <f t="shared" si="9"/>
        <v>422</v>
      </c>
      <c r="E79" s="3">
        <v>1</v>
      </c>
      <c r="F79" s="23" t="s">
        <v>120</v>
      </c>
      <c r="G79" s="66"/>
      <c r="H79" s="65"/>
    </row>
    <row r="80" spans="1:8" x14ac:dyDescent="0.25">
      <c r="A80" s="5" t="s">
        <v>428</v>
      </c>
      <c r="B80" s="5" t="s">
        <v>428</v>
      </c>
      <c r="C80" s="3">
        <f t="shared" si="8"/>
        <v>423</v>
      </c>
      <c r="D80" s="3">
        <f t="shared" si="9"/>
        <v>423</v>
      </c>
      <c r="E80" s="3">
        <v>1</v>
      </c>
      <c r="F80" s="23" t="s">
        <v>121</v>
      </c>
      <c r="G80" s="66"/>
      <c r="H80" s="65"/>
    </row>
    <row r="81" spans="1:8" x14ac:dyDescent="0.25">
      <c r="A81" s="5" t="s">
        <v>428</v>
      </c>
      <c r="B81" s="5" t="s">
        <v>428</v>
      </c>
      <c r="C81" s="3">
        <f t="shared" si="8"/>
        <v>424</v>
      </c>
      <c r="D81" s="3">
        <f t="shared" si="9"/>
        <v>424</v>
      </c>
      <c r="E81" s="3">
        <v>1</v>
      </c>
      <c r="F81" s="23" t="s">
        <v>282</v>
      </c>
      <c r="G81" s="66"/>
      <c r="H81" s="65"/>
    </row>
    <row r="82" spans="1:8" x14ac:dyDescent="0.25">
      <c r="A82" s="5" t="s">
        <v>428</v>
      </c>
      <c r="B82" s="5" t="s">
        <v>428</v>
      </c>
      <c r="C82" s="3">
        <f>C81+E81</f>
        <v>425</v>
      </c>
      <c r="D82" s="3">
        <f>C82+E82-1</f>
        <v>425</v>
      </c>
      <c r="E82" s="3">
        <v>1</v>
      </c>
      <c r="F82" s="23" t="s">
        <v>297</v>
      </c>
      <c r="G82" s="66"/>
      <c r="H82" s="65"/>
    </row>
    <row r="83" spans="1:8" x14ac:dyDescent="0.25">
      <c r="A83" s="5" t="s">
        <v>428</v>
      </c>
      <c r="B83" s="5" t="s">
        <v>428</v>
      </c>
      <c r="C83" s="3">
        <f>C82+E82</f>
        <v>426</v>
      </c>
      <c r="D83" s="3">
        <f t="shared" si="9"/>
        <v>426</v>
      </c>
      <c r="E83" s="3">
        <v>1</v>
      </c>
      <c r="F83" s="23" t="s">
        <v>122</v>
      </c>
      <c r="G83" s="66"/>
      <c r="H83" s="65"/>
    </row>
    <row r="84" spans="1:8" x14ac:dyDescent="0.25">
      <c r="A84" s="5" t="s">
        <v>428</v>
      </c>
      <c r="B84" s="5" t="s">
        <v>428</v>
      </c>
      <c r="C84" s="3">
        <f t="shared" si="8"/>
        <v>427</v>
      </c>
      <c r="D84" s="3">
        <f t="shared" si="9"/>
        <v>427</v>
      </c>
      <c r="E84" s="3">
        <v>1</v>
      </c>
      <c r="F84" s="23" t="s">
        <v>123</v>
      </c>
      <c r="G84" s="66"/>
      <c r="H84" s="65"/>
    </row>
    <row r="85" spans="1:8" x14ac:dyDescent="0.25">
      <c r="A85" s="5" t="s">
        <v>428</v>
      </c>
      <c r="B85" s="5" t="s">
        <v>428</v>
      </c>
      <c r="C85" s="3">
        <f t="shared" si="8"/>
        <v>428</v>
      </c>
      <c r="D85" s="3">
        <f t="shared" si="9"/>
        <v>428</v>
      </c>
      <c r="E85" s="3">
        <v>1</v>
      </c>
      <c r="F85" s="23" t="s">
        <v>124</v>
      </c>
      <c r="G85" s="66"/>
      <c r="H85" s="65"/>
    </row>
    <row r="86" spans="1:8" x14ac:dyDescent="0.25">
      <c r="A86" s="5" t="s">
        <v>428</v>
      </c>
      <c r="B86" s="5" t="s">
        <v>428</v>
      </c>
      <c r="C86" s="3">
        <f t="shared" si="8"/>
        <v>429</v>
      </c>
      <c r="D86" s="3">
        <f t="shared" si="9"/>
        <v>429</v>
      </c>
      <c r="E86" s="3">
        <v>1</v>
      </c>
      <c r="F86" s="23" t="s">
        <v>125</v>
      </c>
      <c r="G86" s="66"/>
      <c r="H86" s="65"/>
    </row>
    <row r="87" spans="1:8" x14ac:dyDescent="0.25">
      <c r="A87" s="5" t="s">
        <v>428</v>
      </c>
      <c r="B87" s="5" t="s">
        <v>428</v>
      </c>
      <c r="C87" s="3">
        <f t="shared" si="8"/>
        <v>430</v>
      </c>
      <c r="D87" s="3">
        <f t="shared" si="9"/>
        <v>430</v>
      </c>
      <c r="E87" s="3">
        <v>1</v>
      </c>
      <c r="F87" s="23" t="s">
        <v>126</v>
      </c>
      <c r="G87" s="66"/>
      <c r="H87" s="65"/>
    </row>
    <row r="88" spans="1:8" x14ac:dyDescent="0.25">
      <c r="A88" s="5" t="s">
        <v>428</v>
      </c>
      <c r="B88" s="5" t="s">
        <v>428</v>
      </c>
      <c r="C88" s="3">
        <f t="shared" si="8"/>
        <v>431</v>
      </c>
      <c r="D88" s="3">
        <f t="shared" si="9"/>
        <v>431</v>
      </c>
      <c r="E88" s="3">
        <v>1</v>
      </c>
      <c r="F88" s="23" t="s">
        <v>127</v>
      </c>
      <c r="G88" s="66"/>
      <c r="H88" s="65"/>
    </row>
    <row r="89" spans="1:8" x14ac:dyDescent="0.25">
      <c r="A89" s="5"/>
      <c r="B89" s="5"/>
      <c r="C89" s="3"/>
      <c r="D89" s="3"/>
      <c r="E89" s="3"/>
      <c r="F89" s="24" t="s">
        <v>331</v>
      </c>
      <c r="G89" s="37"/>
    </row>
    <row r="90" spans="1:8" ht="12.75" customHeight="1" x14ac:dyDescent="0.25">
      <c r="A90" s="5" t="s">
        <v>427</v>
      </c>
      <c r="B90" s="5" t="s">
        <v>427</v>
      </c>
      <c r="C90" s="3">
        <f>C88+E88</f>
        <v>432</v>
      </c>
      <c r="D90" s="3">
        <f t="shared" si="9"/>
        <v>432</v>
      </c>
      <c r="E90" s="3">
        <v>1</v>
      </c>
      <c r="F90" s="23" t="s">
        <v>117</v>
      </c>
      <c r="G90" s="65" t="s">
        <v>365</v>
      </c>
      <c r="H90" s="65" t="s">
        <v>364</v>
      </c>
    </row>
    <row r="91" spans="1:8" x14ac:dyDescent="0.25">
      <c r="A91" s="5" t="s">
        <v>427</v>
      </c>
      <c r="B91" s="5" t="s">
        <v>427</v>
      </c>
      <c r="C91" s="3">
        <f>C90+E90</f>
        <v>433</v>
      </c>
      <c r="D91" s="3">
        <f t="shared" si="9"/>
        <v>433</v>
      </c>
      <c r="E91" s="3">
        <v>1</v>
      </c>
      <c r="F91" s="23" t="s">
        <v>118</v>
      </c>
      <c r="G91" s="65"/>
      <c r="H91" s="65"/>
    </row>
    <row r="92" spans="1:8" x14ac:dyDescent="0.25">
      <c r="A92" s="5" t="s">
        <v>427</v>
      </c>
      <c r="B92" s="5" t="s">
        <v>427</v>
      </c>
      <c r="C92" s="3">
        <f t="shared" ref="C92:C104" si="10">C91+E91</f>
        <v>434</v>
      </c>
      <c r="D92" s="3">
        <f t="shared" si="9"/>
        <v>434</v>
      </c>
      <c r="E92" s="3">
        <v>1</v>
      </c>
      <c r="F92" s="54" t="s">
        <v>363</v>
      </c>
      <c r="G92" s="65"/>
      <c r="H92" s="65"/>
    </row>
    <row r="93" spans="1:8" x14ac:dyDescent="0.25">
      <c r="A93" s="5" t="s">
        <v>427</v>
      </c>
      <c r="B93" s="5" t="s">
        <v>427</v>
      </c>
      <c r="C93" s="3">
        <f t="shared" si="10"/>
        <v>435</v>
      </c>
      <c r="D93" s="3">
        <f t="shared" si="9"/>
        <v>435</v>
      </c>
      <c r="E93" s="3">
        <v>1</v>
      </c>
      <c r="F93" s="23" t="s">
        <v>119</v>
      </c>
      <c r="G93" s="65"/>
      <c r="H93" s="65"/>
    </row>
    <row r="94" spans="1:8" x14ac:dyDescent="0.25">
      <c r="A94" s="5" t="s">
        <v>427</v>
      </c>
      <c r="B94" s="5" t="s">
        <v>427</v>
      </c>
      <c r="C94" s="3">
        <f t="shared" si="10"/>
        <v>436</v>
      </c>
      <c r="D94" s="3">
        <f t="shared" si="9"/>
        <v>436</v>
      </c>
      <c r="E94" s="3">
        <v>1</v>
      </c>
      <c r="F94" s="23" t="s">
        <v>120</v>
      </c>
      <c r="G94" s="65"/>
      <c r="H94" s="65"/>
    </row>
    <row r="95" spans="1:8" x14ac:dyDescent="0.25">
      <c r="A95" s="5" t="s">
        <v>427</v>
      </c>
      <c r="B95" s="5" t="s">
        <v>427</v>
      </c>
      <c r="C95" s="3">
        <f t="shared" si="10"/>
        <v>437</v>
      </c>
      <c r="D95" s="3">
        <f t="shared" si="9"/>
        <v>437</v>
      </c>
      <c r="E95" s="3">
        <v>1</v>
      </c>
      <c r="F95" s="23" t="s">
        <v>121</v>
      </c>
      <c r="G95" s="65"/>
      <c r="H95" s="65"/>
    </row>
    <row r="96" spans="1:8" x14ac:dyDescent="0.25">
      <c r="A96" s="5" t="s">
        <v>427</v>
      </c>
      <c r="B96" s="5" t="s">
        <v>427</v>
      </c>
      <c r="C96" s="3">
        <f t="shared" si="10"/>
        <v>438</v>
      </c>
      <c r="D96" s="3">
        <f t="shared" si="9"/>
        <v>438</v>
      </c>
      <c r="E96" s="3">
        <v>1</v>
      </c>
      <c r="F96" s="23" t="s">
        <v>282</v>
      </c>
      <c r="G96" s="65"/>
      <c r="H96" s="65"/>
    </row>
    <row r="97" spans="1:8" x14ac:dyDescent="0.25">
      <c r="A97" s="5" t="s">
        <v>427</v>
      </c>
      <c r="B97" s="5" t="s">
        <v>427</v>
      </c>
      <c r="C97" s="3">
        <f t="shared" si="10"/>
        <v>439</v>
      </c>
      <c r="D97" s="3">
        <f t="shared" si="9"/>
        <v>439</v>
      </c>
      <c r="E97" s="3">
        <v>1</v>
      </c>
      <c r="F97" s="23" t="s">
        <v>297</v>
      </c>
      <c r="G97" s="65"/>
      <c r="H97" s="65"/>
    </row>
    <row r="98" spans="1:8" x14ac:dyDescent="0.25">
      <c r="A98" s="5" t="s">
        <v>427</v>
      </c>
      <c r="B98" s="5" t="s">
        <v>427</v>
      </c>
      <c r="C98" s="3">
        <f>C97+E97</f>
        <v>440</v>
      </c>
      <c r="D98" s="3">
        <f t="shared" si="9"/>
        <v>440</v>
      </c>
      <c r="E98" s="3">
        <v>1</v>
      </c>
      <c r="F98" s="23" t="s">
        <v>122</v>
      </c>
      <c r="G98" s="65"/>
      <c r="H98" s="65"/>
    </row>
    <row r="99" spans="1:8" x14ac:dyDescent="0.25">
      <c r="A99" s="5" t="s">
        <v>427</v>
      </c>
      <c r="B99" s="5" t="s">
        <v>427</v>
      </c>
      <c r="C99" s="3">
        <f t="shared" si="10"/>
        <v>441</v>
      </c>
      <c r="D99" s="3">
        <f t="shared" si="9"/>
        <v>441</v>
      </c>
      <c r="E99" s="3">
        <v>1</v>
      </c>
      <c r="F99" s="23" t="s">
        <v>123</v>
      </c>
      <c r="G99" s="65"/>
      <c r="H99" s="65"/>
    </row>
    <row r="100" spans="1:8" x14ac:dyDescent="0.25">
      <c r="A100" s="5" t="s">
        <v>427</v>
      </c>
      <c r="B100" s="5" t="s">
        <v>427</v>
      </c>
      <c r="C100" s="3">
        <f t="shared" si="10"/>
        <v>442</v>
      </c>
      <c r="D100" s="3">
        <f t="shared" si="9"/>
        <v>442</v>
      </c>
      <c r="E100" s="3">
        <v>1</v>
      </c>
      <c r="F100" s="23" t="s">
        <v>124</v>
      </c>
      <c r="G100" s="65"/>
      <c r="H100" s="65"/>
    </row>
    <row r="101" spans="1:8" x14ac:dyDescent="0.25">
      <c r="A101" s="5" t="s">
        <v>427</v>
      </c>
      <c r="B101" s="5" t="s">
        <v>427</v>
      </c>
      <c r="C101" s="3">
        <f t="shared" si="10"/>
        <v>443</v>
      </c>
      <c r="D101" s="3">
        <f t="shared" si="9"/>
        <v>443</v>
      </c>
      <c r="E101" s="3">
        <v>1</v>
      </c>
      <c r="F101" s="23" t="s">
        <v>125</v>
      </c>
      <c r="G101" s="65"/>
      <c r="H101" s="65"/>
    </row>
    <row r="102" spans="1:8" x14ac:dyDescent="0.25">
      <c r="A102" s="5" t="s">
        <v>427</v>
      </c>
      <c r="B102" s="5" t="s">
        <v>427</v>
      </c>
      <c r="C102" s="3">
        <f t="shared" si="10"/>
        <v>444</v>
      </c>
      <c r="D102" s="3">
        <f t="shared" si="9"/>
        <v>444</v>
      </c>
      <c r="E102" s="3">
        <v>1</v>
      </c>
      <c r="F102" s="23" t="s">
        <v>126</v>
      </c>
      <c r="G102" s="65"/>
      <c r="H102" s="65"/>
    </row>
    <row r="103" spans="1:8" x14ac:dyDescent="0.25">
      <c r="A103" s="5" t="s">
        <v>427</v>
      </c>
      <c r="B103" s="5" t="s">
        <v>427</v>
      </c>
      <c r="C103" s="3">
        <f t="shared" si="10"/>
        <v>445</v>
      </c>
      <c r="D103" s="3">
        <f t="shared" si="9"/>
        <v>445</v>
      </c>
      <c r="E103" s="3">
        <v>1</v>
      </c>
      <c r="F103" s="23" t="s">
        <v>127</v>
      </c>
      <c r="G103" s="65"/>
      <c r="H103" s="65"/>
    </row>
    <row r="104" spans="1:8" x14ac:dyDescent="0.25">
      <c r="A104" s="5"/>
      <c r="B104" s="5"/>
      <c r="C104" s="3">
        <f t="shared" si="10"/>
        <v>446</v>
      </c>
      <c r="D104" s="3">
        <f t="shared" si="9"/>
        <v>465</v>
      </c>
      <c r="E104" s="3">
        <v>20</v>
      </c>
      <c r="F104" s="23" t="s">
        <v>51</v>
      </c>
      <c r="G104" s="37"/>
    </row>
    <row r="105" spans="1:8" x14ac:dyDescent="0.25">
      <c r="A105" s="5"/>
      <c r="B105" s="5"/>
      <c r="C105" s="3"/>
      <c r="D105" s="3"/>
      <c r="E105" s="3"/>
      <c r="F105" s="24" t="s">
        <v>129</v>
      </c>
      <c r="G105" s="37"/>
    </row>
    <row r="106" spans="1:8" ht="38.25" x14ac:dyDescent="0.25">
      <c r="A106" s="5" t="s">
        <v>427</v>
      </c>
      <c r="B106" s="5" t="s">
        <v>427</v>
      </c>
      <c r="C106" s="3">
        <f>C104+E104</f>
        <v>466</v>
      </c>
      <c r="D106" s="3">
        <f t="shared" ref="D106:D113" si="11">C106+E106-1</f>
        <v>468</v>
      </c>
      <c r="E106" s="3">
        <v>3</v>
      </c>
      <c r="F106" s="23" t="s">
        <v>22</v>
      </c>
      <c r="G106" s="39" t="s">
        <v>75</v>
      </c>
      <c r="H106" s="39" t="s">
        <v>141</v>
      </c>
    </row>
    <row r="107" spans="1:8" ht="38.25" x14ac:dyDescent="0.25">
      <c r="A107" s="5" t="s">
        <v>427</v>
      </c>
      <c r="B107" s="5" t="s">
        <v>427</v>
      </c>
      <c r="C107" s="3">
        <f t="shared" ref="C107:C113" si="12">C106+E106</f>
        <v>469</v>
      </c>
      <c r="D107" s="3">
        <f t="shared" si="11"/>
        <v>471</v>
      </c>
      <c r="E107" s="3">
        <v>3</v>
      </c>
      <c r="F107" s="23" t="s">
        <v>23</v>
      </c>
      <c r="G107" s="39" t="s">
        <v>75</v>
      </c>
      <c r="H107" s="39" t="s">
        <v>142</v>
      </c>
    </row>
    <row r="108" spans="1:8" ht="102" x14ac:dyDescent="0.25">
      <c r="A108" s="5" t="s">
        <v>427</v>
      </c>
      <c r="B108" s="5" t="s">
        <v>427</v>
      </c>
      <c r="C108" s="3">
        <f t="shared" si="12"/>
        <v>472</v>
      </c>
      <c r="D108" s="3">
        <f t="shared" si="11"/>
        <v>474</v>
      </c>
      <c r="E108" s="3">
        <v>3</v>
      </c>
      <c r="F108" s="23" t="s">
        <v>132</v>
      </c>
      <c r="G108" s="39" t="s">
        <v>75</v>
      </c>
      <c r="H108" s="56" t="s">
        <v>370</v>
      </c>
    </row>
    <row r="109" spans="1:8" ht="51" x14ac:dyDescent="0.25">
      <c r="A109" s="5" t="s">
        <v>427</v>
      </c>
      <c r="B109" s="5" t="s">
        <v>427</v>
      </c>
      <c r="C109" s="3">
        <f t="shared" si="12"/>
        <v>475</v>
      </c>
      <c r="D109" s="3">
        <f t="shared" si="11"/>
        <v>477</v>
      </c>
      <c r="E109" s="3">
        <v>3</v>
      </c>
      <c r="F109" s="23" t="s">
        <v>173</v>
      </c>
      <c r="G109" s="39" t="s">
        <v>80</v>
      </c>
      <c r="H109" s="43" t="s">
        <v>140</v>
      </c>
    </row>
    <row r="110" spans="1:8" ht="76.5" x14ac:dyDescent="0.25">
      <c r="A110" s="5" t="s">
        <v>427</v>
      </c>
      <c r="B110" s="5" t="s">
        <v>427</v>
      </c>
      <c r="C110" s="3">
        <f t="shared" si="12"/>
        <v>478</v>
      </c>
      <c r="D110" s="3">
        <f t="shared" si="11"/>
        <v>480</v>
      </c>
      <c r="E110" s="3">
        <v>3</v>
      </c>
      <c r="F110" s="23" t="s">
        <v>28</v>
      </c>
      <c r="G110" s="37" t="s">
        <v>78</v>
      </c>
      <c r="H110" s="56" t="s">
        <v>371</v>
      </c>
    </row>
    <row r="111" spans="1:8" ht="78" customHeight="1" x14ac:dyDescent="0.25">
      <c r="A111" s="5" t="s">
        <v>427</v>
      </c>
      <c r="B111" s="5" t="s">
        <v>427</v>
      </c>
      <c r="C111" s="3">
        <f t="shared" si="12"/>
        <v>481</v>
      </c>
      <c r="D111" s="3">
        <f t="shared" si="11"/>
        <v>482</v>
      </c>
      <c r="E111" s="3">
        <v>2</v>
      </c>
      <c r="F111" s="23" t="s">
        <v>111</v>
      </c>
      <c r="G111" s="37" t="s">
        <v>312</v>
      </c>
      <c r="H111" s="57" t="s">
        <v>372</v>
      </c>
    </row>
    <row r="112" spans="1:8" ht="76.5" x14ac:dyDescent="0.25">
      <c r="A112" s="5" t="s">
        <v>427</v>
      </c>
      <c r="B112" s="5" t="s">
        <v>427</v>
      </c>
      <c r="C112" s="3">
        <f t="shared" si="12"/>
        <v>483</v>
      </c>
      <c r="D112" s="3">
        <f t="shared" si="11"/>
        <v>485</v>
      </c>
      <c r="E112" s="3">
        <v>3</v>
      </c>
      <c r="F112" s="23" t="s">
        <v>115</v>
      </c>
      <c r="G112" s="37" t="s">
        <v>114</v>
      </c>
      <c r="H112" s="57" t="s">
        <v>373</v>
      </c>
    </row>
    <row r="113" spans="1:8" x14ac:dyDescent="0.25">
      <c r="A113" s="5"/>
      <c r="B113" s="5"/>
      <c r="C113" s="3">
        <f t="shared" si="12"/>
        <v>486</v>
      </c>
      <c r="D113" s="3">
        <f t="shared" si="11"/>
        <v>500</v>
      </c>
      <c r="E113" s="3">
        <v>15</v>
      </c>
      <c r="F113" s="23" t="s">
        <v>51</v>
      </c>
      <c r="G113" s="37"/>
      <c r="H113" s="40"/>
    </row>
    <row r="114" spans="1:8" x14ac:dyDescent="0.25">
      <c r="A114" s="5"/>
      <c r="B114" s="5"/>
      <c r="C114" s="3"/>
      <c r="D114" s="3"/>
      <c r="E114" s="3"/>
      <c r="F114" s="24" t="s">
        <v>283</v>
      </c>
      <c r="G114" s="37"/>
      <c r="H114" s="40"/>
    </row>
    <row r="115" spans="1:8" ht="25.5" x14ac:dyDescent="0.25">
      <c r="A115" s="5" t="s">
        <v>428</v>
      </c>
      <c r="B115" s="5" t="s">
        <v>428</v>
      </c>
      <c r="C115" s="3">
        <f>C113+E113</f>
        <v>501</v>
      </c>
      <c r="D115" s="3">
        <f>C115+E115-1</f>
        <v>503</v>
      </c>
      <c r="E115" s="3">
        <v>3</v>
      </c>
      <c r="F115" s="23" t="s">
        <v>266</v>
      </c>
      <c r="G115" s="37" t="s">
        <v>78</v>
      </c>
      <c r="H115" s="39" t="s">
        <v>268</v>
      </c>
    </row>
    <row r="116" spans="1:8" ht="25.5" x14ac:dyDescent="0.25">
      <c r="A116" s="5" t="s">
        <v>428</v>
      </c>
      <c r="B116" s="5" t="s">
        <v>428</v>
      </c>
      <c r="C116" s="3">
        <f>C115+E115</f>
        <v>504</v>
      </c>
      <c r="D116" s="3">
        <f>C116+E116-1</f>
        <v>506</v>
      </c>
      <c r="E116" s="3">
        <v>3</v>
      </c>
      <c r="F116" s="23" t="s">
        <v>267</v>
      </c>
      <c r="G116" s="37" t="s">
        <v>78</v>
      </c>
      <c r="H116" s="39" t="s">
        <v>268</v>
      </c>
    </row>
    <row r="117" spans="1:8" x14ac:dyDescent="0.25">
      <c r="A117" s="5"/>
      <c r="B117" s="5"/>
      <c r="C117" s="3"/>
      <c r="D117" s="3"/>
      <c r="E117" s="3"/>
      <c r="F117" s="24" t="s">
        <v>130</v>
      </c>
      <c r="G117" s="37"/>
    </row>
    <row r="118" spans="1:8" ht="38.25" x14ac:dyDescent="0.25">
      <c r="A118" s="5" t="s">
        <v>427</v>
      </c>
      <c r="B118" s="5" t="s">
        <v>427</v>
      </c>
      <c r="C118" s="3">
        <f>C116+E116</f>
        <v>507</v>
      </c>
      <c r="D118" s="3">
        <f t="shared" ref="D118:D123" si="13">C118+E118-1</f>
        <v>508</v>
      </c>
      <c r="E118" s="3">
        <v>2</v>
      </c>
      <c r="F118" s="23" t="s">
        <v>158</v>
      </c>
      <c r="G118" s="37" t="s">
        <v>79</v>
      </c>
      <c r="H118" s="39" t="s">
        <v>136</v>
      </c>
    </row>
    <row r="119" spans="1:8" ht="51" x14ac:dyDescent="0.25">
      <c r="A119" s="5" t="s">
        <v>427</v>
      </c>
      <c r="B119" s="5" t="s">
        <v>427</v>
      </c>
      <c r="C119" s="3">
        <f t="shared" ref="C119:C124" si="14">C118+E118</f>
        <v>509</v>
      </c>
      <c r="D119" s="3">
        <f t="shared" si="13"/>
        <v>511</v>
      </c>
      <c r="E119" s="3">
        <v>3</v>
      </c>
      <c r="F119" s="23" t="s">
        <v>174</v>
      </c>
      <c r="G119" s="37" t="s">
        <v>80</v>
      </c>
      <c r="H119" s="39" t="s">
        <v>135</v>
      </c>
    </row>
    <row r="120" spans="1:8" ht="38.25" x14ac:dyDescent="0.25">
      <c r="A120" s="5" t="s">
        <v>427</v>
      </c>
      <c r="B120" s="5" t="s">
        <v>427</v>
      </c>
      <c r="C120" s="3">
        <f t="shared" si="14"/>
        <v>512</v>
      </c>
      <c r="D120" s="3">
        <f t="shared" si="13"/>
        <v>513</v>
      </c>
      <c r="E120" s="3">
        <v>2</v>
      </c>
      <c r="F120" s="23" t="s">
        <v>159</v>
      </c>
      <c r="G120" s="37" t="s">
        <v>79</v>
      </c>
      <c r="H120" s="39" t="s">
        <v>137</v>
      </c>
    </row>
    <row r="121" spans="1:8" ht="51" x14ac:dyDescent="0.25">
      <c r="A121" s="5" t="s">
        <v>427</v>
      </c>
      <c r="B121" s="5" t="s">
        <v>427</v>
      </c>
      <c r="C121" s="3">
        <f t="shared" si="14"/>
        <v>514</v>
      </c>
      <c r="D121" s="3">
        <f t="shared" si="13"/>
        <v>516</v>
      </c>
      <c r="E121" s="3">
        <v>3</v>
      </c>
      <c r="F121" s="23" t="s">
        <v>175</v>
      </c>
      <c r="G121" s="37" t="s">
        <v>80</v>
      </c>
      <c r="H121" s="39" t="s">
        <v>138</v>
      </c>
    </row>
    <row r="122" spans="1:8" ht="51" x14ac:dyDescent="0.25">
      <c r="A122" s="5" t="s">
        <v>427</v>
      </c>
      <c r="B122" s="5" t="s">
        <v>427</v>
      </c>
      <c r="C122" s="3">
        <f t="shared" si="14"/>
        <v>517</v>
      </c>
      <c r="D122" s="3">
        <f t="shared" si="13"/>
        <v>518</v>
      </c>
      <c r="E122" s="3">
        <v>2</v>
      </c>
      <c r="F122" s="23" t="s">
        <v>160</v>
      </c>
      <c r="G122" s="37" t="s">
        <v>79</v>
      </c>
      <c r="H122" s="39" t="s">
        <v>139</v>
      </c>
    </row>
    <row r="123" spans="1:8" ht="63.75" x14ac:dyDescent="0.25">
      <c r="A123" s="5" t="s">
        <v>427</v>
      </c>
      <c r="B123" s="5" t="s">
        <v>427</v>
      </c>
      <c r="C123" s="3">
        <f t="shared" si="14"/>
        <v>519</v>
      </c>
      <c r="D123" s="3">
        <f t="shared" si="13"/>
        <v>521</v>
      </c>
      <c r="E123" s="3">
        <v>3</v>
      </c>
      <c r="F123" s="23" t="s">
        <v>176</v>
      </c>
      <c r="G123" s="37" t="s">
        <v>80</v>
      </c>
      <c r="H123" s="39" t="s">
        <v>134</v>
      </c>
    </row>
    <row r="124" spans="1:8" x14ac:dyDescent="0.25">
      <c r="A124" s="5"/>
      <c r="B124" s="5"/>
      <c r="C124" s="3">
        <f t="shared" si="14"/>
        <v>522</v>
      </c>
      <c r="D124" s="3">
        <f>C124+E124-1</f>
        <v>541</v>
      </c>
      <c r="E124" s="3">
        <v>20</v>
      </c>
      <c r="F124" s="23" t="s">
        <v>51</v>
      </c>
      <c r="G124" s="37"/>
    </row>
    <row r="125" spans="1:8" x14ac:dyDescent="0.25">
      <c r="A125" s="5"/>
      <c r="B125" s="5"/>
      <c r="C125" s="3"/>
      <c r="D125" s="3"/>
      <c r="E125" s="3"/>
      <c r="F125" s="24" t="s">
        <v>333</v>
      </c>
      <c r="G125" s="37"/>
    </row>
    <row r="126" spans="1:8" ht="71.25" customHeight="1" x14ac:dyDescent="0.25">
      <c r="A126" s="5" t="s">
        <v>427</v>
      </c>
      <c r="B126" s="5" t="s">
        <v>427</v>
      </c>
      <c r="C126" s="3">
        <f>C124+E124</f>
        <v>542</v>
      </c>
      <c r="D126" s="3">
        <f t="shared" ref="D126:D134" si="15">C126+E126-1</f>
        <v>543</v>
      </c>
      <c r="E126" s="5">
        <v>2</v>
      </c>
      <c r="F126" s="13" t="s">
        <v>332</v>
      </c>
      <c r="G126" s="37" t="s">
        <v>87</v>
      </c>
      <c r="H126" s="39" t="s">
        <v>153</v>
      </c>
    </row>
    <row r="127" spans="1:8" ht="63.75" x14ac:dyDescent="0.25">
      <c r="A127" s="5" t="s">
        <v>427</v>
      </c>
      <c r="B127" s="5" t="s">
        <v>427</v>
      </c>
      <c r="C127" s="3">
        <f t="shared" ref="C127:C134" si="16">C126+E126</f>
        <v>544</v>
      </c>
      <c r="D127" s="3">
        <f t="shared" si="15"/>
        <v>544</v>
      </c>
      <c r="E127" s="3">
        <v>1</v>
      </c>
      <c r="F127" s="23" t="s">
        <v>24</v>
      </c>
      <c r="G127" s="37" t="s">
        <v>116</v>
      </c>
      <c r="H127" s="43" t="s">
        <v>369</v>
      </c>
    </row>
    <row r="128" spans="1:8" ht="38.25" x14ac:dyDescent="0.25">
      <c r="A128" s="5" t="s">
        <v>427</v>
      </c>
      <c r="B128" s="5" t="s">
        <v>427</v>
      </c>
      <c r="C128" s="3">
        <f t="shared" si="16"/>
        <v>545</v>
      </c>
      <c r="D128" s="3">
        <f t="shared" si="15"/>
        <v>545</v>
      </c>
      <c r="E128" s="3">
        <v>1</v>
      </c>
      <c r="F128" s="23" t="s">
        <v>25</v>
      </c>
      <c r="G128" s="37" t="s">
        <v>76</v>
      </c>
      <c r="H128" s="39" t="s">
        <v>335</v>
      </c>
    </row>
    <row r="129" spans="1:8" ht="38.25" x14ac:dyDescent="0.25">
      <c r="A129" s="5" t="s">
        <v>427</v>
      </c>
      <c r="B129" s="5" t="s">
        <v>427</v>
      </c>
      <c r="C129" s="3">
        <f t="shared" si="16"/>
        <v>546</v>
      </c>
      <c r="D129" s="3">
        <f t="shared" si="15"/>
        <v>546</v>
      </c>
      <c r="E129" s="3">
        <v>1</v>
      </c>
      <c r="F129" s="23" t="s">
        <v>113</v>
      </c>
      <c r="G129" s="37" t="s">
        <v>269</v>
      </c>
      <c r="H129" s="39" t="s">
        <v>270</v>
      </c>
    </row>
    <row r="130" spans="1:8" ht="51" x14ac:dyDescent="0.25">
      <c r="A130" s="5" t="s">
        <v>427</v>
      </c>
      <c r="B130" s="5" t="s">
        <v>427</v>
      </c>
      <c r="C130" s="3">
        <f t="shared" si="16"/>
        <v>547</v>
      </c>
      <c r="D130" s="3">
        <f t="shared" si="15"/>
        <v>547</v>
      </c>
      <c r="E130" s="3">
        <v>1</v>
      </c>
      <c r="F130" s="23" t="s">
        <v>26</v>
      </c>
      <c r="G130" s="37" t="s">
        <v>77</v>
      </c>
      <c r="H130" s="39" t="s">
        <v>334</v>
      </c>
    </row>
    <row r="131" spans="1:8" ht="172.5" customHeight="1" x14ac:dyDescent="0.25">
      <c r="A131" s="5" t="s">
        <v>427</v>
      </c>
      <c r="B131" s="5" t="s">
        <v>427</v>
      </c>
      <c r="C131" s="3">
        <f t="shared" si="16"/>
        <v>548</v>
      </c>
      <c r="D131" s="3">
        <f t="shared" si="15"/>
        <v>548</v>
      </c>
      <c r="E131" s="3">
        <v>1</v>
      </c>
      <c r="F131" s="23" t="s">
        <v>30</v>
      </c>
      <c r="G131" s="37" t="s">
        <v>74</v>
      </c>
      <c r="H131" s="43" t="s">
        <v>368</v>
      </c>
    </row>
    <row r="132" spans="1:8" ht="63.75" x14ac:dyDescent="0.25">
      <c r="A132" s="5" t="s">
        <v>427</v>
      </c>
      <c r="B132" s="5" t="s">
        <v>427</v>
      </c>
      <c r="C132" s="3">
        <f t="shared" si="16"/>
        <v>549</v>
      </c>
      <c r="D132" s="3">
        <f t="shared" si="15"/>
        <v>549</v>
      </c>
      <c r="E132" s="3">
        <v>1</v>
      </c>
      <c r="F132" s="23" t="s">
        <v>27</v>
      </c>
      <c r="G132" s="37" t="s">
        <v>73</v>
      </c>
      <c r="H132" s="39" t="s">
        <v>313</v>
      </c>
    </row>
    <row r="133" spans="1:8" ht="51" x14ac:dyDescent="0.25">
      <c r="A133" s="5" t="s">
        <v>428</v>
      </c>
      <c r="B133" s="5" t="s">
        <v>428</v>
      </c>
      <c r="C133" s="3">
        <f t="shared" si="16"/>
        <v>550</v>
      </c>
      <c r="D133" s="3">
        <f t="shared" si="15"/>
        <v>550</v>
      </c>
      <c r="E133" s="3">
        <v>1</v>
      </c>
      <c r="F133" s="23" t="s">
        <v>110</v>
      </c>
      <c r="G133" s="55" t="s">
        <v>366</v>
      </c>
      <c r="H133" s="43" t="s">
        <v>367</v>
      </c>
    </row>
    <row r="134" spans="1:8" x14ac:dyDescent="0.25">
      <c r="A134" s="5"/>
      <c r="B134" s="5"/>
      <c r="C134" s="3">
        <f t="shared" si="16"/>
        <v>551</v>
      </c>
      <c r="D134" s="3">
        <f t="shared" si="15"/>
        <v>560</v>
      </c>
      <c r="E134" s="6">
        <v>10</v>
      </c>
      <c r="F134" s="9" t="s">
        <v>51</v>
      </c>
      <c r="G134" s="37"/>
    </row>
    <row r="135" spans="1:8" x14ac:dyDescent="0.25">
      <c r="A135" s="5"/>
      <c r="B135" s="5"/>
      <c r="C135" s="3"/>
      <c r="D135" s="3"/>
      <c r="E135" s="6"/>
      <c r="F135" s="24" t="s">
        <v>152</v>
      </c>
      <c r="G135" s="37"/>
    </row>
    <row r="136" spans="1:8" ht="109.5" customHeight="1" x14ac:dyDescent="0.25">
      <c r="A136" s="5" t="s">
        <v>428</v>
      </c>
      <c r="B136" s="5" t="s">
        <v>428</v>
      </c>
      <c r="C136" s="3">
        <f>C134+E134</f>
        <v>561</v>
      </c>
      <c r="D136" s="3">
        <f>C136+E136-1</f>
        <v>561</v>
      </c>
      <c r="E136" s="6">
        <v>1</v>
      </c>
      <c r="F136" s="13" t="s">
        <v>336</v>
      </c>
      <c r="G136" s="40" t="s">
        <v>109</v>
      </c>
      <c r="H136" s="43" t="s">
        <v>374</v>
      </c>
    </row>
    <row r="137" spans="1:8" ht="87.75" customHeight="1" x14ac:dyDescent="0.25">
      <c r="A137" s="5" t="s">
        <v>428</v>
      </c>
      <c r="B137" s="5" t="s">
        <v>428</v>
      </c>
      <c r="C137" s="3">
        <f>C136+E136</f>
        <v>562</v>
      </c>
      <c r="D137" s="3">
        <f>C137+E137-1</f>
        <v>562</v>
      </c>
      <c r="E137" s="6">
        <v>1</v>
      </c>
      <c r="F137" s="9" t="s">
        <v>107</v>
      </c>
      <c r="G137" s="40" t="s">
        <v>109</v>
      </c>
      <c r="H137" s="43" t="s">
        <v>388</v>
      </c>
    </row>
    <row r="138" spans="1:8" ht="77.25" customHeight="1" x14ac:dyDescent="0.25">
      <c r="A138" s="5" t="s">
        <v>428</v>
      </c>
      <c r="B138" s="5" t="s">
        <v>428</v>
      </c>
      <c r="C138" s="3">
        <f>C137+E137</f>
        <v>563</v>
      </c>
      <c r="D138" s="3">
        <f>C138+E138-1</f>
        <v>563</v>
      </c>
      <c r="E138" s="6">
        <v>1</v>
      </c>
      <c r="F138" s="9" t="s">
        <v>108</v>
      </c>
      <c r="G138" s="40" t="s">
        <v>109</v>
      </c>
      <c r="H138" s="43" t="s">
        <v>375</v>
      </c>
    </row>
    <row r="139" spans="1:8" x14ac:dyDescent="0.25">
      <c r="A139" s="5"/>
      <c r="B139" s="5"/>
      <c r="C139" s="3">
        <f>C138+E138</f>
        <v>564</v>
      </c>
      <c r="D139" s="3">
        <f>C139+E139-1</f>
        <v>573</v>
      </c>
      <c r="E139" s="6">
        <v>10</v>
      </c>
      <c r="F139" s="9" t="s">
        <v>51</v>
      </c>
      <c r="G139" s="40"/>
    </row>
    <row r="140" spans="1:8" x14ac:dyDescent="0.25">
      <c r="A140" s="5"/>
      <c r="B140" s="5"/>
      <c r="C140" s="3"/>
      <c r="D140" s="3"/>
      <c r="E140" s="3"/>
      <c r="F140" s="24" t="s">
        <v>34</v>
      </c>
      <c r="G140" s="37"/>
    </row>
    <row r="141" spans="1:8" ht="25.5" x14ac:dyDescent="0.25">
      <c r="A141" s="5" t="s">
        <v>427</v>
      </c>
      <c r="B141" s="5" t="s">
        <v>427</v>
      </c>
      <c r="C141" s="3">
        <f>C139+E139</f>
        <v>574</v>
      </c>
      <c r="D141" s="3">
        <f>C141+E141-1</f>
        <v>577</v>
      </c>
      <c r="E141" s="3">
        <v>4</v>
      </c>
      <c r="F141" s="23" t="s">
        <v>32</v>
      </c>
      <c r="G141" s="37" t="s">
        <v>83</v>
      </c>
      <c r="H141" s="66" t="s">
        <v>82</v>
      </c>
    </row>
    <row r="142" spans="1:8" ht="51" x14ac:dyDescent="0.25">
      <c r="A142" s="5" t="s">
        <v>427</v>
      </c>
      <c r="B142" s="5" t="s">
        <v>427</v>
      </c>
      <c r="C142" s="3">
        <f t="shared" ref="C142:C146" si="17">C141+E141</f>
        <v>578</v>
      </c>
      <c r="D142" s="3">
        <f t="shared" ref="D142:D166" si="18">C142+E142-1</f>
        <v>579</v>
      </c>
      <c r="E142" s="3">
        <v>2</v>
      </c>
      <c r="F142" s="23" t="s">
        <v>31</v>
      </c>
      <c r="G142" s="37" t="s">
        <v>81</v>
      </c>
      <c r="H142" s="66"/>
    </row>
    <row r="143" spans="1:8" ht="25.5" x14ac:dyDescent="0.25">
      <c r="A143" s="5" t="s">
        <v>427</v>
      </c>
      <c r="B143" s="5" t="s">
        <v>427</v>
      </c>
      <c r="C143" s="3">
        <f t="shared" si="17"/>
        <v>580</v>
      </c>
      <c r="D143" s="3">
        <f t="shared" si="18"/>
        <v>582</v>
      </c>
      <c r="E143" s="3">
        <v>3</v>
      </c>
      <c r="F143" s="23" t="s">
        <v>33</v>
      </c>
      <c r="G143" s="37" t="s">
        <v>84</v>
      </c>
      <c r="H143" s="39" t="s">
        <v>85</v>
      </c>
    </row>
    <row r="144" spans="1:8" ht="63.75" x14ac:dyDescent="0.25">
      <c r="A144" s="5" t="s">
        <v>427</v>
      </c>
      <c r="B144" s="5" t="s">
        <v>427</v>
      </c>
      <c r="C144" s="3">
        <f t="shared" si="17"/>
        <v>583</v>
      </c>
      <c r="D144" s="3">
        <f t="shared" si="18"/>
        <v>585</v>
      </c>
      <c r="E144" s="3">
        <v>3</v>
      </c>
      <c r="F144" s="23" t="s">
        <v>314</v>
      </c>
      <c r="G144" s="37" t="s">
        <v>315</v>
      </c>
      <c r="H144" s="39" t="s">
        <v>86</v>
      </c>
    </row>
    <row r="145" spans="1:8" x14ac:dyDescent="0.25">
      <c r="A145" s="5"/>
      <c r="B145" s="5"/>
      <c r="C145" s="3">
        <f t="shared" si="17"/>
        <v>586</v>
      </c>
      <c r="D145" s="3">
        <f>C145+E145-1</f>
        <v>595</v>
      </c>
      <c r="E145" s="3">
        <v>10</v>
      </c>
      <c r="F145" s="23" t="s">
        <v>51</v>
      </c>
      <c r="G145" s="37"/>
    </row>
    <row r="146" spans="1:8" ht="186.75" customHeight="1" x14ac:dyDescent="0.25">
      <c r="A146" s="5" t="s">
        <v>428</v>
      </c>
      <c r="B146" s="5" t="s">
        <v>428</v>
      </c>
      <c r="C146" s="3">
        <f t="shared" si="17"/>
        <v>596</v>
      </c>
      <c r="D146" s="3">
        <f>C146+E146-1</f>
        <v>795</v>
      </c>
      <c r="E146" s="3">
        <v>200</v>
      </c>
      <c r="F146" s="13" t="s">
        <v>377</v>
      </c>
      <c r="G146" s="64" t="s">
        <v>296</v>
      </c>
      <c r="H146" s="43" t="s">
        <v>376</v>
      </c>
    </row>
    <row r="147" spans="1:8" ht="189.75" customHeight="1" x14ac:dyDescent="0.25">
      <c r="A147" s="5" t="s">
        <v>428</v>
      </c>
      <c r="B147" s="5" t="s">
        <v>428</v>
      </c>
      <c r="C147" s="3">
        <f t="shared" ref="C147" si="19">C146+E146</f>
        <v>796</v>
      </c>
      <c r="D147" s="3">
        <f>C147+E147-1</f>
        <v>895</v>
      </c>
      <c r="E147" s="3">
        <v>100</v>
      </c>
      <c r="F147" s="13" t="s">
        <v>355</v>
      </c>
      <c r="G147" s="64"/>
      <c r="H147" s="43" t="s">
        <v>378</v>
      </c>
    </row>
    <row r="148" spans="1:8" x14ac:dyDescent="0.25">
      <c r="C148" s="3">
        <f>C147+E147</f>
        <v>896</v>
      </c>
      <c r="D148" s="3">
        <f>C148+E148-1</f>
        <v>911</v>
      </c>
      <c r="E148" s="3">
        <v>16</v>
      </c>
      <c r="F148" s="23" t="s">
        <v>51</v>
      </c>
      <c r="G148" s="37"/>
    </row>
    <row r="149" spans="1:8" x14ac:dyDescent="0.25">
      <c r="C149" s="3"/>
      <c r="D149" s="3"/>
      <c r="E149" s="3"/>
      <c r="F149" s="24" t="s">
        <v>88</v>
      </c>
      <c r="G149" s="37"/>
    </row>
    <row r="150" spans="1:8" ht="25.5" x14ac:dyDescent="0.25">
      <c r="A150" s="5" t="s">
        <v>427</v>
      </c>
      <c r="B150" s="5" t="s">
        <v>427</v>
      </c>
      <c r="C150" s="3">
        <f>C148+E148</f>
        <v>912</v>
      </c>
      <c r="D150" s="3">
        <f>C150+E150-1</f>
        <v>912</v>
      </c>
      <c r="E150" s="3">
        <v>1</v>
      </c>
      <c r="F150" s="23" t="s">
        <v>35</v>
      </c>
      <c r="G150" s="37" t="s">
        <v>50</v>
      </c>
      <c r="H150" s="53" t="s">
        <v>383</v>
      </c>
    </row>
    <row r="151" spans="1:8" ht="140.25" x14ac:dyDescent="0.25">
      <c r="A151" s="5" t="s">
        <v>427</v>
      </c>
      <c r="B151" s="5" t="s">
        <v>427</v>
      </c>
      <c r="C151" s="3">
        <f>C150+E150</f>
        <v>913</v>
      </c>
      <c r="D151" s="5">
        <f t="shared" si="18"/>
        <v>917</v>
      </c>
      <c r="E151" s="5">
        <v>5</v>
      </c>
      <c r="F151" s="13" t="s">
        <v>11</v>
      </c>
      <c r="G151" s="38" t="s">
        <v>380</v>
      </c>
      <c r="H151" s="39" t="s">
        <v>381</v>
      </c>
    </row>
    <row r="152" spans="1:8" ht="76.5" x14ac:dyDescent="0.25">
      <c r="A152" s="5" t="s">
        <v>428</v>
      </c>
      <c r="B152" s="5" t="s">
        <v>428</v>
      </c>
      <c r="C152" s="3">
        <f>C151+E151</f>
        <v>918</v>
      </c>
      <c r="D152" s="5">
        <f t="shared" si="18"/>
        <v>923</v>
      </c>
      <c r="E152" s="5">
        <v>6</v>
      </c>
      <c r="F152" s="13" t="s">
        <v>12</v>
      </c>
      <c r="G152" s="38" t="s">
        <v>358</v>
      </c>
      <c r="H152" s="43" t="s">
        <v>360</v>
      </c>
    </row>
    <row r="153" spans="1:8" ht="30" customHeight="1" x14ac:dyDescent="0.25">
      <c r="A153" s="5" t="s">
        <v>427</v>
      </c>
      <c r="B153" s="5" t="s">
        <v>428</v>
      </c>
      <c r="C153" s="3">
        <f t="shared" ref="C153:C158" si="20">C152+E152</f>
        <v>924</v>
      </c>
      <c r="D153" s="3">
        <f t="shared" si="18"/>
        <v>943</v>
      </c>
      <c r="E153" s="3">
        <v>20</v>
      </c>
      <c r="F153" s="23" t="s">
        <v>13</v>
      </c>
      <c r="G153" s="64" t="s">
        <v>264</v>
      </c>
      <c r="H153" s="68" t="s">
        <v>328</v>
      </c>
    </row>
    <row r="154" spans="1:8" ht="18" customHeight="1" x14ac:dyDescent="0.25">
      <c r="A154" s="5" t="s">
        <v>427</v>
      </c>
      <c r="B154" s="5" t="s">
        <v>428</v>
      </c>
      <c r="C154" s="3">
        <f t="shared" si="20"/>
        <v>944</v>
      </c>
      <c r="D154" s="3">
        <f t="shared" si="18"/>
        <v>958</v>
      </c>
      <c r="E154" s="3">
        <v>15</v>
      </c>
      <c r="F154" s="23" t="s">
        <v>14</v>
      </c>
      <c r="G154" s="64"/>
      <c r="H154" s="68"/>
    </row>
    <row r="155" spans="1:8" x14ac:dyDescent="0.25">
      <c r="A155" s="5" t="s">
        <v>427</v>
      </c>
      <c r="B155" s="5" t="s">
        <v>428</v>
      </c>
      <c r="C155" s="3">
        <f t="shared" si="20"/>
        <v>959</v>
      </c>
      <c r="D155" s="3">
        <f t="shared" si="18"/>
        <v>959</v>
      </c>
      <c r="E155" s="3">
        <v>1</v>
      </c>
      <c r="F155" s="23" t="s">
        <v>280</v>
      </c>
      <c r="G155" s="64"/>
      <c r="H155" s="68"/>
    </row>
    <row r="156" spans="1:8" ht="38.25" customHeight="1" x14ac:dyDescent="0.25">
      <c r="A156" s="5"/>
      <c r="B156" s="5"/>
      <c r="C156" s="3">
        <f>C155+E155</f>
        <v>960</v>
      </c>
      <c r="D156" s="3">
        <f>C156+E156-1</f>
        <v>962</v>
      </c>
      <c r="E156" s="3">
        <v>3</v>
      </c>
      <c r="F156" s="23" t="s">
        <v>149</v>
      </c>
      <c r="G156" s="41" t="s">
        <v>150</v>
      </c>
      <c r="H156" s="66" t="s">
        <v>304</v>
      </c>
    </row>
    <row r="157" spans="1:8" ht="38.25" customHeight="1" x14ac:dyDescent="0.25">
      <c r="A157" s="5" t="s">
        <v>428</v>
      </c>
      <c r="B157" s="5" t="s">
        <v>428</v>
      </c>
      <c r="C157" s="3">
        <f>C156+E156</f>
        <v>963</v>
      </c>
      <c r="D157" s="3">
        <f t="shared" si="18"/>
        <v>982</v>
      </c>
      <c r="E157" s="3">
        <v>20</v>
      </c>
      <c r="F157" s="23" t="s">
        <v>15</v>
      </c>
      <c r="G157" s="64" t="s">
        <v>264</v>
      </c>
      <c r="H157" s="66"/>
    </row>
    <row r="158" spans="1:8" ht="38.25" customHeight="1" x14ac:dyDescent="0.25">
      <c r="A158" s="5" t="s">
        <v>428</v>
      </c>
      <c r="B158" s="5" t="s">
        <v>428</v>
      </c>
      <c r="C158" s="3">
        <f t="shared" si="20"/>
        <v>983</v>
      </c>
      <c r="D158" s="3">
        <f t="shared" si="18"/>
        <v>1002</v>
      </c>
      <c r="E158" s="3">
        <v>20</v>
      </c>
      <c r="F158" s="23" t="s">
        <v>16</v>
      </c>
      <c r="G158" s="64"/>
      <c r="H158" s="66"/>
    </row>
    <row r="159" spans="1:8" x14ac:dyDescent="0.25">
      <c r="A159" s="5" t="s">
        <v>428</v>
      </c>
      <c r="B159" s="5" t="s">
        <v>428</v>
      </c>
      <c r="C159" s="3">
        <f t="shared" ref="C159:C166" si="21">C158+E158</f>
        <v>1003</v>
      </c>
      <c r="D159" s="3">
        <f t="shared" si="18"/>
        <v>1003</v>
      </c>
      <c r="E159" s="3">
        <v>1</v>
      </c>
      <c r="F159" s="23" t="s">
        <v>281</v>
      </c>
      <c r="G159" s="64"/>
      <c r="H159" s="66"/>
    </row>
    <row r="160" spans="1:8" ht="63.75" x14ac:dyDescent="0.25">
      <c r="A160" s="5" t="s">
        <v>427</v>
      </c>
      <c r="B160" s="5" t="s">
        <v>427</v>
      </c>
      <c r="C160" s="3">
        <f t="shared" si="21"/>
        <v>1004</v>
      </c>
      <c r="D160" s="3">
        <f>C160+E160-1</f>
        <v>1009</v>
      </c>
      <c r="E160" s="3">
        <v>6</v>
      </c>
      <c r="F160" s="23" t="s">
        <v>147</v>
      </c>
      <c r="G160" s="37">
        <v>120332</v>
      </c>
      <c r="H160" s="39" t="s">
        <v>329</v>
      </c>
    </row>
    <row r="161" spans="1:8" ht="63.75" x14ac:dyDescent="0.25">
      <c r="A161" s="5" t="s">
        <v>427</v>
      </c>
      <c r="B161" s="5" t="s">
        <v>427</v>
      </c>
      <c r="C161" s="3">
        <f t="shared" si="21"/>
        <v>1010</v>
      </c>
      <c r="D161" s="3">
        <f t="shared" si="18"/>
        <v>1039</v>
      </c>
      <c r="E161" s="3">
        <v>30</v>
      </c>
      <c r="F161" s="23" t="s">
        <v>17</v>
      </c>
      <c r="G161" s="37" t="s">
        <v>298</v>
      </c>
      <c r="H161" s="39" t="s">
        <v>330</v>
      </c>
    </row>
    <row r="162" spans="1:8" ht="51" x14ac:dyDescent="0.25">
      <c r="A162" s="5" t="s">
        <v>427</v>
      </c>
      <c r="B162" s="5" t="s">
        <v>427</v>
      </c>
      <c r="C162" s="3">
        <f t="shared" si="21"/>
        <v>1040</v>
      </c>
      <c r="D162" s="3">
        <f t="shared" si="18"/>
        <v>1059</v>
      </c>
      <c r="E162" s="3">
        <v>20</v>
      </c>
      <c r="F162" s="23" t="s">
        <v>103</v>
      </c>
      <c r="G162" s="37" t="s">
        <v>316</v>
      </c>
      <c r="H162" s="39" t="s">
        <v>328</v>
      </c>
    </row>
    <row r="163" spans="1:8" s="59" customFormat="1" ht="38.25" x14ac:dyDescent="0.2">
      <c r="A163" s="5" t="s">
        <v>427</v>
      </c>
      <c r="B163" s="5" t="s">
        <v>427</v>
      </c>
      <c r="C163" s="3">
        <f t="shared" si="21"/>
        <v>1060</v>
      </c>
      <c r="D163" s="3">
        <f>C163+E163-1</f>
        <v>1065</v>
      </c>
      <c r="E163" s="3">
        <v>6</v>
      </c>
      <c r="F163" s="23" t="s">
        <v>105</v>
      </c>
      <c r="G163" s="37" t="s">
        <v>106</v>
      </c>
      <c r="H163" s="39" t="s">
        <v>295</v>
      </c>
    </row>
    <row r="164" spans="1:8" s="59" customFormat="1" ht="25.5" x14ac:dyDescent="0.2">
      <c r="A164" s="5" t="s">
        <v>427</v>
      </c>
      <c r="B164" s="5" t="s">
        <v>427</v>
      </c>
      <c r="C164" s="3">
        <f t="shared" si="21"/>
        <v>1066</v>
      </c>
      <c r="D164" s="3">
        <f>C164+E164-1</f>
        <v>1066</v>
      </c>
      <c r="E164" s="3">
        <v>1</v>
      </c>
      <c r="F164" s="23" t="s">
        <v>299</v>
      </c>
      <c r="G164" s="37" t="s">
        <v>293</v>
      </c>
      <c r="H164" s="39" t="s">
        <v>292</v>
      </c>
    </row>
    <row r="165" spans="1:8" s="59" customFormat="1" ht="25.5" x14ac:dyDescent="0.2">
      <c r="A165" s="5" t="s">
        <v>427</v>
      </c>
      <c r="B165" s="5" t="s">
        <v>427</v>
      </c>
      <c r="C165" s="3">
        <f t="shared" si="21"/>
        <v>1067</v>
      </c>
      <c r="D165" s="3">
        <f>C165+E165-1</f>
        <v>1067</v>
      </c>
      <c r="E165" s="3">
        <v>1</v>
      </c>
      <c r="F165" s="23" t="s">
        <v>300</v>
      </c>
      <c r="G165" s="37" t="s">
        <v>301</v>
      </c>
      <c r="H165" s="39" t="s">
        <v>337</v>
      </c>
    </row>
    <row r="166" spans="1:8" x14ac:dyDescent="0.25">
      <c r="A166" s="5"/>
      <c r="B166" s="5"/>
      <c r="C166" s="3">
        <f t="shared" si="21"/>
        <v>1068</v>
      </c>
      <c r="D166" s="3">
        <f t="shared" si="18"/>
        <v>1087</v>
      </c>
      <c r="E166" s="3">
        <v>20</v>
      </c>
      <c r="F166" s="23" t="s">
        <v>51</v>
      </c>
      <c r="G166" s="37"/>
    </row>
    <row r="167" spans="1:8" s="59" customFormat="1" x14ac:dyDescent="0.2">
      <c r="A167" s="5"/>
      <c r="B167" s="5"/>
      <c r="C167" s="3"/>
      <c r="D167" s="3"/>
      <c r="E167" s="7"/>
      <c r="F167" s="24" t="s">
        <v>18</v>
      </c>
      <c r="G167" s="14"/>
      <c r="H167" s="17"/>
    </row>
    <row r="168" spans="1:8" s="59" customFormat="1" ht="38.25" x14ac:dyDescent="0.2">
      <c r="A168" s="5" t="s">
        <v>428</v>
      </c>
      <c r="B168" s="5" t="s">
        <v>428</v>
      </c>
      <c r="C168" s="3">
        <f>C166+E166</f>
        <v>1088</v>
      </c>
      <c r="D168" s="3">
        <f>C168+E168-1</f>
        <v>1088</v>
      </c>
      <c r="E168" s="3">
        <v>1</v>
      </c>
      <c r="F168" s="23" t="s">
        <v>19</v>
      </c>
      <c r="G168" s="37" t="s">
        <v>93</v>
      </c>
      <c r="H168" s="67"/>
    </row>
    <row r="169" spans="1:8" s="59" customFormat="1" ht="38.25" x14ac:dyDescent="0.2">
      <c r="A169" s="5" t="s">
        <v>428</v>
      </c>
      <c r="B169" s="5" t="s">
        <v>428</v>
      </c>
      <c r="C169" s="3">
        <f>C168+E168</f>
        <v>1089</v>
      </c>
      <c r="D169" s="3">
        <f>C169+E169-1</f>
        <v>1089</v>
      </c>
      <c r="E169" s="3">
        <v>1</v>
      </c>
      <c r="F169" s="23" t="s">
        <v>20</v>
      </c>
      <c r="G169" s="37" t="s">
        <v>93</v>
      </c>
      <c r="H169" s="66"/>
    </row>
    <row r="170" spans="1:8" s="59" customFormat="1" ht="38.25" x14ac:dyDescent="0.2">
      <c r="A170" s="5" t="s">
        <v>428</v>
      </c>
      <c r="B170" s="5" t="s">
        <v>428</v>
      </c>
      <c r="C170" s="3">
        <f>C169+E169</f>
        <v>1090</v>
      </c>
      <c r="D170" s="3">
        <f>C170+E170-1</f>
        <v>1090</v>
      </c>
      <c r="E170" s="3">
        <v>1</v>
      </c>
      <c r="F170" s="23" t="s">
        <v>21</v>
      </c>
      <c r="G170" s="37" t="s">
        <v>93</v>
      </c>
      <c r="H170" s="66"/>
    </row>
    <row r="171" spans="1:8" s="59" customFormat="1" x14ac:dyDescent="0.2">
      <c r="A171" s="5"/>
      <c r="B171" s="5"/>
      <c r="C171" s="3">
        <f>C170+E170</f>
        <v>1091</v>
      </c>
      <c r="D171" s="3">
        <f>C171+E171-1</f>
        <v>1095</v>
      </c>
      <c r="E171" s="3">
        <v>5</v>
      </c>
      <c r="F171" s="23" t="s">
        <v>51</v>
      </c>
      <c r="G171" s="37"/>
      <c r="H171" s="39"/>
    </row>
    <row r="172" spans="1:8" s="59" customFormat="1" x14ac:dyDescent="0.2">
      <c r="A172" s="5"/>
      <c r="B172" s="5"/>
      <c r="C172" s="3"/>
      <c r="D172" s="3"/>
      <c r="E172" s="3"/>
      <c r="F172" s="24" t="s">
        <v>154</v>
      </c>
      <c r="G172" s="37"/>
      <c r="H172" s="39"/>
    </row>
    <row r="173" spans="1:8" s="59" customFormat="1" x14ac:dyDescent="0.2">
      <c r="A173" s="5"/>
      <c r="B173" s="5"/>
      <c r="C173" s="3"/>
      <c r="D173" s="3"/>
      <c r="E173" s="3"/>
      <c r="F173" s="24" t="s">
        <v>104</v>
      </c>
      <c r="G173" s="37"/>
      <c r="H173" s="39"/>
    </row>
    <row r="174" spans="1:8" s="59" customFormat="1" ht="15" customHeight="1" x14ac:dyDescent="0.2">
      <c r="A174" s="5" t="s">
        <v>428</v>
      </c>
      <c r="B174" s="5" t="s">
        <v>428</v>
      </c>
      <c r="C174" s="3">
        <f>C171+E171</f>
        <v>1096</v>
      </c>
      <c r="D174" s="3">
        <f>C174+E174-1</f>
        <v>1096</v>
      </c>
      <c r="E174" s="3">
        <v>1</v>
      </c>
      <c r="F174" s="23" t="s">
        <v>117</v>
      </c>
      <c r="G174" s="66" t="s">
        <v>265</v>
      </c>
      <c r="H174" s="65" t="s">
        <v>362</v>
      </c>
    </row>
    <row r="175" spans="1:8" s="59" customFormat="1" x14ac:dyDescent="0.2">
      <c r="A175" s="5" t="s">
        <v>428</v>
      </c>
      <c r="B175" s="5" t="s">
        <v>428</v>
      </c>
      <c r="C175" s="3">
        <f>C174+E174</f>
        <v>1097</v>
      </c>
      <c r="D175" s="3">
        <f>C175+E175-1</f>
        <v>1097</v>
      </c>
      <c r="E175" s="3">
        <v>1</v>
      </c>
      <c r="F175" s="23" t="s">
        <v>118</v>
      </c>
      <c r="G175" s="66"/>
      <c r="H175" s="65"/>
    </row>
    <row r="176" spans="1:8" s="59" customFormat="1" x14ac:dyDescent="0.2">
      <c r="A176" s="5" t="s">
        <v>428</v>
      </c>
      <c r="B176" s="5" t="s">
        <v>428</v>
      </c>
      <c r="C176" s="3">
        <f t="shared" ref="C176:C187" si="22">C175+E175</f>
        <v>1098</v>
      </c>
      <c r="D176" s="3">
        <f t="shared" ref="D176:D187" si="23">C176+E176-1</f>
        <v>1098</v>
      </c>
      <c r="E176" s="3">
        <v>1</v>
      </c>
      <c r="F176" s="44" t="s">
        <v>361</v>
      </c>
      <c r="G176" s="66"/>
      <c r="H176" s="65"/>
    </row>
    <row r="177" spans="1:8" s="59" customFormat="1" x14ac:dyDescent="0.2">
      <c r="A177" s="5" t="s">
        <v>428</v>
      </c>
      <c r="B177" s="5" t="s">
        <v>428</v>
      </c>
      <c r="C177" s="3">
        <f t="shared" si="22"/>
        <v>1099</v>
      </c>
      <c r="D177" s="3">
        <f t="shared" si="23"/>
        <v>1099</v>
      </c>
      <c r="E177" s="3">
        <v>1</v>
      </c>
      <c r="F177" s="23" t="s">
        <v>119</v>
      </c>
      <c r="G177" s="66"/>
      <c r="H177" s="65"/>
    </row>
    <row r="178" spans="1:8" s="59" customFormat="1" x14ac:dyDescent="0.2">
      <c r="A178" s="5" t="s">
        <v>428</v>
      </c>
      <c r="B178" s="5" t="s">
        <v>428</v>
      </c>
      <c r="C178" s="3">
        <f t="shared" si="22"/>
        <v>1100</v>
      </c>
      <c r="D178" s="3">
        <f t="shared" si="23"/>
        <v>1100</v>
      </c>
      <c r="E178" s="3">
        <v>1</v>
      </c>
      <c r="F178" s="23" t="s">
        <v>120</v>
      </c>
      <c r="G178" s="66"/>
      <c r="H178" s="65"/>
    </row>
    <row r="179" spans="1:8" s="59" customFormat="1" x14ac:dyDescent="0.2">
      <c r="A179" s="5" t="s">
        <v>428</v>
      </c>
      <c r="B179" s="5" t="s">
        <v>428</v>
      </c>
      <c r="C179" s="3">
        <f t="shared" si="22"/>
        <v>1101</v>
      </c>
      <c r="D179" s="3">
        <f t="shared" si="23"/>
        <v>1101</v>
      </c>
      <c r="E179" s="3">
        <v>1</v>
      </c>
      <c r="F179" s="23" t="s">
        <v>121</v>
      </c>
      <c r="G179" s="66"/>
      <c r="H179" s="65"/>
    </row>
    <row r="180" spans="1:8" s="59" customFormat="1" x14ac:dyDescent="0.2">
      <c r="A180" s="5" t="s">
        <v>428</v>
      </c>
      <c r="B180" s="5" t="s">
        <v>428</v>
      </c>
      <c r="C180" s="3">
        <f t="shared" si="22"/>
        <v>1102</v>
      </c>
      <c r="D180" s="3">
        <f t="shared" si="23"/>
        <v>1102</v>
      </c>
      <c r="E180" s="3">
        <v>1</v>
      </c>
      <c r="F180" s="23" t="s">
        <v>282</v>
      </c>
      <c r="G180" s="66"/>
      <c r="H180" s="65"/>
    </row>
    <row r="181" spans="1:8" s="59" customFormat="1" x14ac:dyDescent="0.2">
      <c r="A181" s="5" t="s">
        <v>428</v>
      </c>
      <c r="B181" s="5" t="s">
        <v>428</v>
      </c>
      <c r="C181" s="3">
        <f>C180+E180</f>
        <v>1103</v>
      </c>
      <c r="D181" s="3">
        <f>C181+E181-1</f>
        <v>1103</v>
      </c>
      <c r="E181" s="3">
        <v>1</v>
      </c>
      <c r="F181" s="23" t="s">
        <v>297</v>
      </c>
      <c r="G181" s="66"/>
      <c r="H181" s="65"/>
    </row>
    <row r="182" spans="1:8" s="59" customFormat="1" x14ac:dyDescent="0.2">
      <c r="A182" s="5" t="s">
        <v>428</v>
      </c>
      <c r="B182" s="5" t="s">
        <v>428</v>
      </c>
      <c r="C182" s="3">
        <f>C181+E181</f>
        <v>1104</v>
      </c>
      <c r="D182" s="3">
        <f t="shared" si="23"/>
        <v>1104</v>
      </c>
      <c r="E182" s="3">
        <v>1</v>
      </c>
      <c r="F182" s="23" t="s">
        <v>122</v>
      </c>
      <c r="G182" s="66"/>
      <c r="H182" s="65"/>
    </row>
    <row r="183" spans="1:8" s="59" customFormat="1" x14ac:dyDescent="0.2">
      <c r="A183" s="5" t="s">
        <v>428</v>
      </c>
      <c r="B183" s="5" t="s">
        <v>428</v>
      </c>
      <c r="C183" s="3">
        <f t="shared" si="22"/>
        <v>1105</v>
      </c>
      <c r="D183" s="3">
        <f t="shared" si="23"/>
        <v>1105</v>
      </c>
      <c r="E183" s="3">
        <v>1</v>
      </c>
      <c r="F183" s="23" t="s">
        <v>123</v>
      </c>
      <c r="G183" s="66"/>
      <c r="H183" s="65"/>
    </row>
    <row r="184" spans="1:8" s="59" customFormat="1" x14ac:dyDescent="0.2">
      <c r="A184" s="5" t="s">
        <v>428</v>
      </c>
      <c r="B184" s="5" t="s">
        <v>428</v>
      </c>
      <c r="C184" s="3">
        <f t="shared" si="22"/>
        <v>1106</v>
      </c>
      <c r="D184" s="3">
        <f t="shared" si="23"/>
        <v>1106</v>
      </c>
      <c r="E184" s="3">
        <v>1</v>
      </c>
      <c r="F184" s="23" t="s">
        <v>124</v>
      </c>
      <c r="G184" s="66"/>
      <c r="H184" s="65"/>
    </row>
    <row r="185" spans="1:8" s="59" customFormat="1" x14ac:dyDescent="0.2">
      <c r="A185" s="5" t="s">
        <v>428</v>
      </c>
      <c r="B185" s="5" t="s">
        <v>428</v>
      </c>
      <c r="C185" s="3">
        <f t="shared" si="22"/>
        <v>1107</v>
      </c>
      <c r="D185" s="3">
        <f t="shared" si="23"/>
        <v>1107</v>
      </c>
      <c r="E185" s="3">
        <v>1</v>
      </c>
      <c r="F185" s="23" t="s">
        <v>125</v>
      </c>
      <c r="G185" s="66"/>
      <c r="H185" s="65"/>
    </row>
    <row r="186" spans="1:8" s="59" customFormat="1" x14ac:dyDescent="0.2">
      <c r="A186" s="5" t="s">
        <v>428</v>
      </c>
      <c r="B186" s="5" t="s">
        <v>428</v>
      </c>
      <c r="C186" s="3">
        <f t="shared" si="22"/>
        <v>1108</v>
      </c>
      <c r="D186" s="3">
        <f t="shared" si="23"/>
        <v>1108</v>
      </c>
      <c r="E186" s="3">
        <v>1</v>
      </c>
      <c r="F186" s="23" t="s">
        <v>126</v>
      </c>
      <c r="G186" s="66"/>
      <c r="H186" s="65"/>
    </row>
    <row r="187" spans="1:8" s="59" customFormat="1" x14ac:dyDescent="0.2">
      <c r="A187" s="5" t="s">
        <v>428</v>
      </c>
      <c r="B187" s="5" t="s">
        <v>428</v>
      </c>
      <c r="C187" s="3">
        <f t="shared" si="22"/>
        <v>1109</v>
      </c>
      <c r="D187" s="3">
        <f t="shared" si="23"/>
        <v>1109</v>
      </c>
      <c r="E187" s="3">
        <v>1</v>
      </c>
      <c r="F187" s="23" t="s">
        <v>127</v>
      </c>
      <c r="G187" s="66"/>
      <c r="H187" s="65"/>
    </row>
    <row r="188" spans="1:8" s="59" customFormat="1" x14ac:dyDescent="0.2">
      <c r="A188" s="5"/>
      <c r="B188" s="5"/>
      <c r="C188" s="3"/>
      <c r="D188" s="3"/>
      <c r="E188" s="3"/>
      <c r="F188" s="24" t="s">
        <v>331</v>
      </c>
      <c r="G188" s="37"/>
      <c r="H188" s="39"/>
    </row>
    <row r="189" spans="1:8" s="59" customFormat="1" ht="15" customHeight="1" x14ac:dyDescent="0.2">
      <c r="A189" s="5" t="s">
        <v>427</v>
      </c>
      <c r="B189" s="5" t="s">
        <v>427</v>
      </c>
      <c r="C189" s="3">
        <f>C187+E187</f>
        <v>1110</v>
      </c>
      <c r="D189" s="3">
        <f>C189+E189-1</f>
        <v>1110</v>
      </c>
      <c r="E189" s="3">
        <v>1</v>
      </c>
      <c r="F189" s="23" t="s">
        <v>117</v>
      </c>
      <c r="G189" s="66" t="s">
        <v>265</v>
      </c>
      <c r="H189" s="66" t="s">
        <v>401</v>
      </c>
    </row>
    <row r="190" spans="1:8" s="59" customFormat="1" x14ac:dyDescent="0.2">
      <c r="A190" s="5" t="s">
        <v>427</v>
      </c>
      <c r="B190" s="5" t="s">
        <v>427</v>
      </c>
      <c r="C190" s="3">
        <f>C189+E189</f>
        <v>1111</v>
      </c>
      <c r="D190" s="3">
        <f>C190+E190-1</f>
        <v>1111</v>
      </c>
      <c r="E190" s="3">
        <v>1</v>
      </c>
      <c r="F190" s="23" t="s">
        <v>118</v>
      </c>
      <c r="G190" s="66"/>
      <c r="H190" s="66"/>
    </row>
    <row r="191" spans="1:8" s="59" customFormat="1" x14ac:dyDescent="0.2">
      <c r="A191" s="5" t="s">
        <v>427</v>
      </c>
      <c r="B191" s="5" t="s">
        <v>427</v>
      </c>
      <c r="C191" s="3">
        <f t="shared" ref="C191:C202" si="24">C190+E190</f>
        <v>1112</v>
      </c>
      <c r="D191" s="3">
        <f t="shared" ref="D191:D202" si="25">C191+E191-1</f>
        <v>1112</v>
      </c>
      <c r="E191" s="3">
        <v>1</v>
      </c>
      <c r="F191" s="54" t="s">
        <v>363</v>
      </c>
      <c r="G191" s="66"/>
      <c r="H191" s="66"/>
    </row>
    <row r="192" spans="1:8" s="59" customFormat="1" x14ac:dyDescent="0.2">
      <c r="A192" s="5" t="s">
        <v>427</v>
      </c>
      <c r="B192" s="5" t="s">
        <v>427</v>
      </c>
      <c r="C192" s="3">
        <f t="shared" si="24"/>
        <v>1113</v>
      </c>
      <c r="D192" s="3">
        <f t="shared" si="25"/>
        <v>1113</v>
      </c>
      <c r="E192" s="3">
        <v>1</v>
      </c>
      <c r="F192" s="23" t="s">
        <v>119</v>
      </c>
      <c r="G192" s="66"/>
      <c r="H192" s="66"/>
    </row>
    <row r="193" spans="1:8" s="59" customFormat="1" x14ac:dyDescent="0.2">
      <c r="A193" s="5" t="s">
        <v>427</v>
      </c>
      <c r="B193" s="5" t="s">
        <v>427</v>
      </c>
      <c r="C193" s="3">
        <f t="shared" si="24"/>
        <v>1114</v>
      </c>
      <c r="D193" s="3">
        <f t="shared" si="25"/>
        <v>1114</v>
      </c>
      <c r="E193" s="3">
        <v>1</v>
      </c>
      <c r="F193" s="23" t="s">
        <v>120</v>
      </c>
      <c r="G193" s="66"/>
      <c r="H193" s="66"/>
    </row>
    <row r="194" spans="1:8" s="59" customFormat="1" x14ac:dyDescent="0.2">
      <c r="A194" s="5" t="s">
        <v>427</v>
      </c>
      <c r="B194" s="5" t="s">
        <v>427</v>
      </c>
      <c r="C194" s="3">
        <f t="shared" si="24"/>
        <v>1115</v>
      </c>
      <c r="D194" s="3">
        <f t="shared" si="25"/>
        <v>1115</v>
      </c>
      <c r="E194" s="3">
        <v>1</v>
      </c>
      <c r="F194" s="23" t="s">
        <v>121</v>
      </c>
      <c r="G194" s="66"/>
      <c r="H194" s="66"/>
    </row>
    <row r="195" spans="1:8" s="59" customFormat="1" x14ac:dyDescent="0.2">
      <c r="A195" s="5" t="s">
        <v>427</v>
      </c>
      <c r="B195" s="5" t="s">
        <v>427</v>
      </c>
      <c r="C195" s="3">
        <f t="shared" si="24"/>
        <v>1116</v>
      </c>
      <c r="D195" s="3">
        <f t="shared" si="25"/>
        <v>1116</v>
      </c>
      <c r="E195" s="3">
        <v>1</v>
      </c>
      <c r="F195" s="23" t="s">
        <v>282</v>
      </c>
      <c r="G195" s="66"/>
      <c r="H195" s="66"/>
    </row>
    <row r="196" spans="1:8" s="59" customFormat="1" x14ac:dyDescent="0.2">
      <c r="A196" s="5" t="s">
        <v>427</v>
      </c>
      <c r="B196" s="5" t="s">
        <v>427</v>
      </c>
      <c r="C196" s="3">
        <f t="shared" si="24"/>
        <v>1117</v>
      </c>
      <c r="D196" s="3">
        <f t="shared" si="25"/>
        <v>1117</v>
      </c>
      <c r="E196" s="3">
        <v>1</v>
      </c>
      <c r="F196" s="23" t="s">
        <v>297</v>
      </c>
      <c r="G196" s="66"/>
      <c r="H196" s="66"/>
    </row>
    <row r="197" spans="1:8" s="59" customFormat="1" x14ac:dyDescent="0.2">
      <c r="A197" s="5" t="s">
        <v>427</v>
      </c>
      <c r="B197" s="5" t="s">
        <v>427</v>
      </c>
      <c r="C197" s="3">
        <f>C196+E196</f>
        <v>1118</v>
      </c>
      <c r="D197" s="3">
        <f t="shared" si="25"/>
        <v>1118</v>
      </c>
      <c r="E197" s="3">
        <v>1</v>
      </c>
      <c r="F197" s="23" t="s">
        <v>122</v>
      </c>
      <c r="G197" s="66"/>
      <c r="H197" s="66"/>
    </row>
    <row r="198" spans="1:8" s="59" customFormat="1" x14ac:dyDescent="0.2">
      <c r="A198" s="5" t="s">
        <v>427</v>
      </c>
      <c r="B198" s="5" t="s">
        <v>427</v>
      </c>
      <c r="C198" s="3">
        <f t="shared" si="24"/>
        <v>1119</v>
      </c>
      <c r="D198" s="3">
        <f t="shared" si="25"/>
        <v>1119</v>
      </c>
      <c r="E198" s="3">
        <v>1</v>
      </c>
      <c r="F198" s="23" t="s">
        <v>123</v>
      </c>
      <c r="G198" s="66"/>
      <c r="H198" s="66"/>
    </row>
    <row r="199" spans="1:8" s="59" customFormat="1" x14ac:dyDescent="0.2">
      <c r="A199" s="5" t="s">
        <v>427</v>
      </c>
      <c r="B199" s="5" t="s">
        <v>427</v>
      </c>
      <c r="C199" s="3">
        <f t="shared" si="24"/>
        <v>1120</v>
      </c>
      <c r="D199" s="3">
        <f t="shared" si="25"/>
        <v>1120</v>
      </c>
      <c r="E199" s="3">
        <v>1</v>
      </c>
      <c r="F199" s="23" t="s">
        <v>124</v>
      </c>
      <c r="G199" s="66"/>
      <c r="H199" s="66"/>
    </row>
    <row r="200" spans="1:8" s="59" customFormat="1" x14ac:dyDescent="0.2">
      <c r="A200" s="5" t="s">
        <v>427</v>
      </c>
      <c r="B200" s="5" t="s">
        <v>427</v>
      </c>
      <c r="C200" s="3">
        <f t="shared" si="24"/>
        <v>1121</v>
      </c>
      <c r="D200" s="3">
        <f t="shared" si="25"/>
        <v>1121</v>
      </c>
      <c r="E200" s="3">
        <v>1</v>
      </c>
      <c r="F200" s="23" t="s">
        <v>125</v>
      </c>
      <c r="G200" s="66"/>
      <c r="H200" s="66"/>
    </row>
    <row r="201" spans="1:8" s="59" customFormat="1" x14ac:dyDescent="0.2">
      <c r="A201" s="5" t="s">
        <v>427</v>
      </c>
      <c r="B201" s="5" t="s">
        <v>427</v>
      </c>
      <c r="C201" s="3">
        <f t="shared" si="24"/>
        <v>1122</v>
      </c>
      <c r="D201" s="3">
        <f t="shared" si="25"/>
        <v>1122</v>
      </c>
      <c r="E201" s="3">
        <v>1</v>
      </c>
      <c r="F201" s="23" t="s">
        <v>126</v>
      </c>
      <c r="G201" s="66"/>
      <c r="H201" s="66"/>
    </row>
    <row r="202" spans="1:8" s="59" customFormat="1" x14ac:dyDescent="0.2">
      <c r="A202" s="5" t="s">
        <v>427</v>
      </c>
      <c r="B202" s="5" t="s">
        <v>427</v>
      </c>
      <c r="C202" s="3">
        <f t="shared" si="24"/>
        <v>1123</v>
      </c>
      <c r="D202" s="3">
        <f t="shared" si="25"/>
        <v>1123</v>
      </c>
      <c r="E202" s="3">
        <v>1</v>
      </c>
      <c r="F202" s="23" t="s">
        <v>127</v>
      </c>
      <c r="G202" s="66"/>
      <c r="H202" s="66"/>
    </row>
    <row r="203" spans="1:8" s="59" customFormat="1" x14ac:dyDescent="0.2">
      <c r="A203" s="5"/>
      <c r="B203" s="5"/>
      <c r="C203" s="3">
        <f>C202+E202</f>
        <v>1124</v>
      </c>
      <c r="D203" s="3">
        <f>C203+E203-1</f>
        <v>1143</v>
      </c>
      <c r="E203" s="3">
        <v>20</v>
      </c>
      <c r="F203" s="23" t="s">
        <v>51</v>
      </c>
      <c r="G203" s="37"/>
      <c r="H203" s="39"/>
    </row>
    <row r="204" spans="1:8" s="59" customFormat="1" x14ac:dyDescent="0.2">
      <c r="A204" s="5"/>
      <c r="B204" s="5"/>
      <c r="C204" s="3"/>
      <c r="D204" s="3"/>
      <c r="E204" s="3"/>
      <c r="F204" s="24" t="s">
        <v>155</v>
      </c>
      <c r="G204" s="37"/>
      <c r="H204" s="39"/>
    </row>
    <row r="205" spans="1:8" s="59" customFormat="1" ht="38.25" x14ac:dyDescent="0.2">
      <c r="A205" s="5" t="s">
        <v>427</v>
      </c>
      <c r="B205" s="5" t="s">
        <v>427</v>
      </c>
      <c r="C205" s="3">
        <f>C203+E203</f>
        <v>1144</v>
      </c>
      <c r="D205" s="3">
        <f t="shared" ref="D205:D212" si="26">C205+E205-1</f>
        <v>1146</v>
      </c>
      <c r="E205" s="3">
        <v>3</v>
      </c>
      <c r="F205" s="23" t="s">
        <v>22</v>
      </c>
      <c r="G205" s="39" t="s">
        <v>75</v>
      </c>
      <c r="H205" s="39" t="s">
        <v>156</v>
      </c>
    </row>
    <row r="206" spans="1:8" s="59" customFormat="1" ht="38.25" x14ac:dyDescent="0.2">
      <c r="A206" s="5" t="s">
        <v>427</v>
      </c>
      <c r="B206" s="5" t="s">
        <v>427</v>
      </c>
      <c r="C206" s="3">
        <f t="shared" ref="C206:C212" si="27">C205+E205</f>
        <v>1147</v>
      </c>
      <c r="D206" s="3">
        <f t="shared" si="26"/>
        <v>1149</v>
      </c>
      <c r="E206" s="3">
        <v>3</v>
      </c>
      <c r="F206" s="23" t="s">
        <v>23</v>
      </c>
      <c r="G206" s="39" t="s">
        <v>75</v>
      </c>
      <c r="H206" s="39" t="s">
        <v>157</v>
      </c>
    </row>
    <row r="207" spans="1:8" s="59" customFormat="1" ht="102" x14ac:dyDescent="0.2">
      <c r="A207" s="5" t="s">
        <v>427</v>
      </c>
      <c r="B207" s="5" t="s">
        <v>427</v>
      </c>
      <c r="C207" s="3">
        <f t="shared" si="27"/>
        <v>1150</v>
      </c>
      <c r="D207" s="3">
        <f t="shared" si="26"/>
        <v>1152</v>
      </c>
      <c r="E207" s="3">
        <v>3</v>
      </c>
      <c r="F207" s="23" t="s">
        <v>132</v>
      </c>
      <c r="G207" s="39" t="s">
        <v>75</v>
      </c>
      <c r="H207" s="56" t="s">
        <v>384</v>
      </c>
    </row>
    <row r="208" spans="1:8" s="59" customFormat="1" ht="51" x14ac:dyDescent="0.2">
      <c r="A208" s="5" t="s">
        <v>427</v>
      </c>
      <c r="B208" s="5" t="s">
        <v>427</v>
      </c>
      <c r="C208" s="3">
        <f t="shared" si="27"/>
        <v>1153</v>
      </c>
      <c r="D208" s="3">
        <f t="shared" si="26"/>
        <v>1155</v>
      </c>
      <c r="E208" s="3">
        <v>3</v>
      </c>
      <c r="F208" s="23" t="s">
        <v>173</v>
      </c>
      <c r="G208" s="39" t="s">
        <v>80</v>
      </c>
      <c r="H208" s="43" t="s">
        <v>140</v>
      </c>
    </row>
    <row r="209" spans="1:8" s="59" customFormat="1" ht="76.5" x14ac:dyDescent="0.2">
      <c r="A209" s="5" t="s">
        <v>427</v>
      </c>
      <c r="B209" s="5" t="s">
        <v>427</v>
      </c>
      <c r="C209" s="3">
        <f t="shared" si="27"/>
        <v>1156</v>
      </c>
      <c r="D209" s="3">
        <f t="shared" si="26"/>
        <v>1158</v>
      </c>
      <c r="E209" s="3">
        <v>3</v>
      </c>
      <c r="F209" s="23" t="s">
        <v>28</v>
      </c>
      <c r="G209" s="37" t="s">
        <v>78</v>
      </c>
      <c r="H209" s="56" t="s">
        <v>385</v>
      </c>
    </row>
    <row r="210" spans="1:8" s="59" customFormat="1" ht="76.5" x14ac:dyDescent="0.2">
      <c r="A210" s="5" t="s">
        <v>427</v>
      </c>
      <c r="B210" s="5" t="s">
        <v>427</v>
      </c>
      <c r="C210" s="3">
        <f t="shared" si="27"/>
        <v>1159</v>
      </c>
      <c r="D210" s="3">
        <f t="shared" si="26"/>
        <v>1160</v>
      </c>
      <c r="E210" s="3">
        <v>2</v>
      </c>
      <c r="F210" s="23" t="s">
        <v>111</v>
      </c>
      <c r="G210" s="37" t="s">
        <v>312</v>
      </c>
      <c r="H210" s="57" t="s">
        <v>386</v>
      </c>
    </row>
    <row r="211" spans="1:8" s="59" customFormat="1" ht="76.5" x14ac:dyDescent="0.2">
      <c r="A211" s="5" t="s">
        <v>427</v>
      </c>
      <c r="B211" s="5" t="s">
        <v>427</v>
      </c>
      <c r="C211" s="3">
        <f t="shared" si="27"/>
        <v>1161</v>
      </c>
      <c r="D211" s="3">
        <f t="shared" si="26"/>
        <v>1163</v>
      </c>
      <c r="E211" s="3">
        <v>3</v>
      </c>
      <c r="F211" s="23" t="s">
        <v>115</v>
      </c>
      <c r="G211" s="37" t="s">
        <v>114</v>
      </c>
      <c r="H211" s="57" t="s">
        <v>387</v>
      </c>
    </row>
    <row r="212" spans="1:8" s="59" customFormat="1" x14ac:dyDescent="0.2">
      <c r="A212" s="5"/>
      <c r="B212" s="5"/>
      <c r="C212" s="3">
        <f t="shared" si="27"/>
        <v>1164</v>
      </c>
      <c r="D212" s="3">
        <f t="shared" si="26"/>
        <v>1178</v>
      </c>
      <c r="E212" s="3">
        <v>15</v>
      </c>
      <c r="F212" s="23" t="s">
        <v>51</v>
      </c>
      <c r="G212" s="37"/>
      <c r="H212" s="40"/>
    </row>
    <row r="213" spans="1:8" s="59" customFormat="1" x14ac:dyDescent="0.2">
      <c r="A213" s="5"/>
      <c r="B213" s="5"/>
      <c r="C213" s="3"/>
      <c r="D213" s="3"/>
      <c r="E213" s="3"/>
      <c r="F213" s="24" t="s">
        <v>283</v>
      </c>
      <c r="G213" s="37"/>
      <c r="H213" s="40"/>
    </row>
    <row r="214" spans="1:8" s="59" customFormat="1" ht="25.5" x14ac:dyDescent="0.2">
      <c r="A214" s="5" t="s">
        <v>428</v>
      </c>
      <c r="B214" s="5" t="s">
        <v>428</v>
      </c>
      <c r="C214" s="3">
        <f>C212+E212</f>
        <v>1179</v>
      </c>
      <c r="D214" s="3">
        <f>C214+E214-1</f>
        <v>1181</v>
      </c>
      <c r="E214" s="3">
        <v>3</v>
      </c>
      <c r="F214" s="23" t="s">
        <v>266</v>
      </c>
      <c r="G214" s="37" t="s">
        <v>78</v>
      </c>
      <c r="H214" s="39" t="s">
        <v>268</v>
      </c>
    </row>
    <row r="215" spans="1:8" s="59" customFormat="1" ht="25.5" x14ac:dyDescent="0.2">
      <c r="A215" s="5" t="s">
        <v>428</v>
      </c>
      <c r="B215" s="5" t="s">
        <v>428</v>
      </c>
      <c r="C215" s="3">
        <f>C214+E214</f>
        <v>1182</v>
      </c>
      <c r="D215" s="3">
        <f>C215+E215-1</f>
        <v>1184</v>
      </c>
      <c r="E215" s="3">
        <v>3</v>
      </c>
      <c r="F215" s="23" t="s">
        <v>267</v>
      </c>
      <c r="G215" s="37" t="s">
        <v>78</v>
      </c>
      <c r="H215" s="39" t="s">
        <v>268</v>
      </c>
    </row>
    <row r="216" spans="1:8" s="59" customFormat="1" x14ac:dyDescent="0.2">
      <c r="A216" s="5"/>
      <c r="B216" s="5"/>
      <c r="C216" s="3"/>
      <c r="D216" s="3"/>
      <c r="E216" s="3"/>
      <c r="F216" s="24" t="s">
        <v>130</v>
      </c>
      <c r="G216" s="37"/>
      <c r="H216" s="39"/>
    </row>
    <row r="217" spans="1:8" s="59" customFormat="1" ht="38.25" x14ac:dyDescent="0.2">
      <c r="A217" s="5" t="s">
        <v>427</v>
      </c>
      <c r="B217" s="5" t="s">
        <v>427</v>
      </c>
      <c r="C217" s="3">
        <f>C215+E215</f>
        <v>1185</v>
      </c>
      <c r="D217" s="3">
        <f t="shared" ref="D217:D222" si="28">C217+E217-1</f>
        <v>1186</v>
      </c>
      <c r="E217" s="3">
        <v>2</v>
      </c>
      <c r="F217" s="23" t="s">
        <v>161</v>
      </c>
      <c r="G217" s="37" t="s">
        <v>79</v>
      </c>
      <c r="H217" s="39" t="s">
        <v>189</v>
      </c>
    </row>
    <row r="218" spans="1:8" s="59" customFormat="1" ht="63.75" x14ac:dyDescent="0.2">
      <c r="A218" s="5" t="s">
        <v>427</v>
      </c>
      <c r="B218" s="5" t="s">
        <v>427</v>
      </c>
      <c r="C218" s="3">
        <f t="shared" ref="C218:C223" si="29">C217+E217</f>
        <v>1187</v>
      </c>
      <c r="D218" s="3">
        <f t="shared" si="28"/>
        <v>1189</v>
      </c>
      <c r="E218" s="3">
        <v>3</v>
      </c>
      <c r="F218" s="23" t="s">
        <v>177</v>
      </c>
      <c r="G218" s="37" t="s">
        <v>80</v>
      </c>
      <c r="H218" s="39" t="s">
        <v>190</v>
      </c>
    </row>
    <row r="219" spans="1:8" s="59" customFormat="1" ht="38.25" x14ac:dyDescent="0.2">
      <c r="A219" s="5" t="s">
        <v>427</v>
      </c>
      <c r="B219" s="5" t="s">
        <v>427</v>
      </c>
      <c r="C219" s="3">
        <f t="shared" si="29"/>
        <v>1190</v>
      </c>
      <c r="D219" s="3">
        <f t="shared" si="28"/>
        <v>1191</v>
      </c>
      <c r="E219" s="3">
        <v>2</v>
      </c>
      <c r="F219" s="23" t="s">
        <v>162</v>
      </c>
      <c r="G219" s="37" t="s">
        <v>79</v>
      </c>
      <c r="H219" s="39" t="s">
        <v>191</v>
      </c>
    </row>
    <row r="220" spans="1:8" s="59" customFormat="1" ht="51" x14ac:dyDescent="0.2">
      <c r="A220" s="5" t="s">
        <v>427</v>
      </c>
      <c r="B220" s="5" t="s">
        <v>427</v>
      </c>
      <c r="C220" s="3">
        <f t="shared" si="29"/>
        <v>1192</v>
      </c>
      <c r="D220" s="3">
        <f t="shared" si="28"/>
        <v>1194</v>
      </c>
      <c r="E220" s="3">
        <v>3</v>
      </c>
      <c r="F220" s="23" t="s">
        <v>178</v>
      </c>
      <c r="G220" s="37" t="s">
        <v>80</v>
      </c>
      <c r="H220" s="39" t="s">
        <v>192</v>
      </c>
    </row>
    <row r="221" spans="1:8" s="59" customFormat="1" ht="38.25" x14ac:dyDescent="0.2">
      <c r="A221" s="5" t="s">
        <v>427</v>
      </c>
      <c r="B221" s="5" t="s">
        <v>427</v>
      </c>
      <c r="C221" s="3">
        <f t="shared" si="29"/>
        <v>1195</v>
      </c>
      <c r="D221" s="3">
        <f t="shared" si="28"/>
        <v>1196</v>
      </c>
      <c r="E221" s="3">
        <v>2</v>
      </c>
      <c r="F221" s="23" t="s">
        <v>163</v>
      </c>
      <c r="G221" s="37" t="s">
        <v>79</v>
      </c>
      <c r="H221" s="39" t="s">
        <v>193</v>
      </c>
    </row>
    <row r="222" spans="1:8" s="59" customFormat="1" ht="51" x14ac:dyDescent="0.2">
      <c r="A222" s="5" t="s">
        <v>427</v>
      </c>
      <c r="B222" s="5" t="s">
        <v>427</v>
      </c>
      <c r="C222" s="3">
        <f t="shared" si="29"/>
        <v>1197</v>
      </c>
      <c r="D222" s="3">
        <f t="shared" si="28"/>
        <v>1199</v>
      </c>
      <c r="E222" s="3">
        <v>3</v>
      </c>
      <c r="F222" s="23" t="s">
        <v>179</v>
      </c>
      <c r="G222" s="37" t="s">
        <v>80</v>
      </c>
      <c r="H222" s="39" t="s">
        <v>194</v>
      </c>
    </row>
    <row r="223" spans="1:8" s="59" customFormat="1" x14ac:dyDescent="0.2">
      <c r="A223" s="5"/>
      <c r="B223" s="5"/>
      <c r="C223" s="3">
        <f t="shared" si="29"/>
        <v>1200</v>
      </c>
      <c r="D223" s="3">
        <f>C223+E223-1</f>
        <v>1219</v>
      </c>
      <c r="E223" s="3">
        <v>20</v>
      </c>
      <c r="F223" s="23" t="s">
        <v>51</v>
      </c>
      <c r="G223" s="37"/>
      <c r="H223" s="39"/>
    </row>
    <row r="224" spans="1:8" s="59" customFormat="1" x14ac:dyDescent="0.2">
      <c r="A224" s="5"/>
      <c r="B224" s="5"/>
      <c r="C224" s="3"/>
      <c r="D224" s="3"/>
      <c r="E224" s="3"/>
      <c r="F224" s="24" t="s">
        <v>339</v>
      </c>
      <c r="G224" s="37"/>
      <c r="H224" s="39"/>
    </row>
    <row r="225" spans="1:8" s="59" customFormat="1" ht="25.5" x14ac:dyDescent="0.2">
      <c r="A225" s="5" t="s">
        <v>427</v>
      </c>
      <c r="B225" s="5" t="s">
        <v>427</v>
      </c>
      <c r="C225" s="3">
        <f>C223+E223</f>
        <v>1220</v>
      </c>
      <c r="D225" s="3">
        <f t="shared" ref="D225:D233" si="30">C225+E225-1</f>
        <v>1221</v>
      </c>
      <c r="E225" s="5">
        <v>2</v>
      </c>
      <c r="F225" s="13" t="s">
        <v>338</v>
      </c>
      <c r="G225" s="37" t="s">
        <v>87</v>
      </c>
      <c r="H225" s="39" t="s">
        <v>153</v>
      </c>
    </row>
    <row r="226" spans="1:8" s="59" customFormat="1" ht="63.75" x14ac:dyDescent="0.2">
      <c r="A226" s="5" t="s">
        <v>427</v>
      </c>
      <c r="B226" s="5" t="s">
        <v>427</v>
      </c>
      <c r="C226" s="3">
        <f t="shared" ref="C226:C233" si="31">C225+E225</f>
        <v>1222</v>
      </c>
      <c r="D226" s="3">
        <f t="shared" si="30"/>
        <v>1222</v>
      </c>
      <c r="E226" s="3">
        <v>1</v>
      </c>
      <c r="F226" s="23" t="s">
        <v>24</v>
      </c>
      <c r="G226" s="37" t="s">
        <v>116</v>
      </c>
      <c r="H226" s="43" t="s">
        <v>369</v>
      </c>
    </row>
    <row r="227" spans="1:8" s="59" customFormat="1" ht="38.25" x14ac:dyDescent="0.2">
      <c r="A227" s="5" t="s">
        <v>427</v>
      </c>
      <c r="B227" s="5" t="s">
        <v>427</v>
      </c>
      <c r="C227" s="3">
        <f t="shared" si="31"/>
        <v>1223</v>
      </c>
      <c r="D227" s="3">
        <f t="shared" si="30"/>
        <v>1223</v>
      </c>
      <c r="E227" s="3">
        <v>1</v>
      </c>
      <c r="F227" s="23" t="s">
        <v>25</v>
      </c>
      <c r="G227" s="37" t="s">
        <v>76</v>
      </c>
      <c r="H227" s="39" t="s">
        <v>271</v>
      </c>
    </row>
    <row r="228" spans="1:8" s="59" customFormat="1" ht="38.25" x14ac:dyDescent="0.2">
      <c r="A228" s="5" t="s">
        <v>427</v>
      </c>
      <c r="B228" s="5" t="s">
        <v>427</v>
      </c>
      <c r="C228" s="3">
        <f t="shared" si="31"/>
        <v>1224</v>
      </c>
      <c r="D228" s="3">
        <f t="shared" si="30"/>
        <v>1224</v>
      </c>
      <c r="E228" s="3">
        <v>1</v>
      </c>
      <c r="F228" s="23" t="s">
        <v>113</v>
      </c>
      <c r="G228" s="37" t="s">
        <v>269</v>
      </c>
      <c r="H228" s="39" t="s">
        <v>270</v>
      </c>
    </row>
    <row r="229" spans="1:8" s="59" customFormat="1" ht="51" x14ac:dyDescent="0.2">
      <c r="A229" s="5" t="s">
        <v>427</v>
      </c>
      <c r="B229" s="5" t="s">
        <v>427</v>
      </c>
      <c r="C229" s="3">
        <f t="shared" si="31"/>
        <v>1225</v>
      </c>
      <c r="D229" s="3">
        <f t="shared" si="30"/>
        <v>1225</v>
      </c>
      <c r="E229" s="3">
        <v>1</v>
      </c>
      <c r="F229" s="23" t="s">
        <v>26</v>
      </c>
      <c r="G229" s="37" t="s">
        <v>77</v>
      </c>
      <c r="H229" s="39" t="s">
        <v>272</v>
      </c>
    </row>
    <row r="230" spans="1:8" s="59" customFormat="1" ht="171.75" customHeight="1" x14ac:dyDescent="0.2">
      <c r="A230" s="5" t="s">
        <v>427</v>
      </c>
      <c r="B230" s="5" t="s">
        <v>427</v>
      </c>
      <c r="C230" s="3">
        <f t="shared" si="31"/>
        <v>1226</v>
      </c>
      <c r="D230" s="3">
        <f t="shared" si="30"/>
        <v>1226</v>
      </c>
      <c r="E230" s="3">
        <v>1</v>
      </c>
      <c r="F230" s="23" t="s">
        <v>30</v>
      </c>
      <c r="G230" s="37" t="s">
        <v>74</v>
      </c>
      <c r="H230" s="43" t="s">
        <v>368</v>
      </c>
    </row>
    <row r="231" spans="1:8" s="59" customFormat="1" ht="63.75" x14ac:dyDescent="0.2">
      <c r="A231" s="5" t="s">
        <v>427</v>
      </c>
      <c r="B231" s="5" t="s">
        <v>427</v>
      </c>
      <c r="C231" s="3">
        <f t="shared" si="31"/>
        <v>1227</v>
      </c>
      <c r="D231" s="3">
        <f t="shared" si="30"/>
        <v>1227</v>
      </c>
      <c r="E231" s="3">
        <v>1</v>
      </c>
      <c r="F231" s="23" t="s">
        <v>27</v>
      </c>
      <c r="G231" s="37" t="s">
        <v>73</v>
      </c>
      <c r="H231" s="39" t="s">
        <v>313</v>
      </c>
    </row>
    <row r="232" spans="1:8" s="59" customFormat="1" ht="51" x14ac:dyDescent="0.2">
      <c r="A232" s="5" t="s">
        <v>428</v>
      </c>
      <c r="B232" s="5" t="s">
        <v>428</v>
      </c>
      <c r="C232" s="3">
        <f t="shared" si="31"/>
        <v>1228</v>
      </c>
      <c r="D232" s="3">
        <f t="shared" si="30"/>
        <v>1228</v>
      </c>
      <c r="E232" s="3">
        <v>1</v>
      </c>
      <c r="F232" s="23" t="s">
        <v>110</v>
      </c>
      <c r="G232" s="55" t="s">
        <v>366</v>
      </c>
      <c r="H232" s="43" t="s">
        <v>367</v>
      </c>
    </row>
    <row r="233" spans="1:8" s="59" customFormat="1" x14ac:dyDescent="0.2">
      <c r="A233" s="5"/>
      <c r="B233" s="5"/>
      <c r="C233" s="3">
        <f t="shared" si="31"/>
        <v>1229</v>
      </c>
      <c r="D233" s="3">
        <f t="shared" si="30"/>
        <v>1238</v>
      </c>
      <c r="E233" s="6">
        <v>10</v>
      </c>
      <c r="F233" s="9" t="s">
        <v>51</v>
      </c>
      <c r="G233" s="37"/>
      <c r="H233" s="39"/>
    </row>
    <row r="234" spans="1:8" s="59" customFormat="1" x14ac:dyDescent="0.2">
      <c r="A234" s="5"/>
      <c r="B234" s="5"/>
      <c r="C234" s="3"/>
      <c r="D234" s="3"/>
      <c r="E234" s="6"/>
      <c r="F234" s="24" t="s">
        <v>152</v>
      </c>
      <c r="G234" s="37"/>
      <c r="H234" s="39"/>
    </row>
    <row r="235" spans="1:8" s="59" customFormat="1" ht="89.25" x14ac:dyDescent="0.2">
      <c r="A235" s="5" t="s">
        <v>428</v>
      </c>
      <c r="B235" s="5" t="s">
        <v>428</v>
      </c>
      <c r="C235" s="3">
        <f>C233+E233</f>
        <v>1239</v>
      </c>
      <c r="D235" s="3">
        <f>C235+E235-1</f>
        <v>1239</v>
      </c>
      <c r="E235" s="6">
        <v>1</v>
      </c>
      <c r="F235" s="13" t="s">
        <v>336</v>
      </c>
      <c r="G235" s="40" t="s">
        <v>109</v>
      </c>
      <c r="H235" s="43" t="s">
        <v>374</v>
      </c>
    </row>
    <row r="236" spans="1:8" s="59" customFormat="1" ht="63.75" x14ac:dyDescent="0.2">
      <c r="A236" s="5" t="s">
        <v>428</v>
      </c>
      <c r="B236" s="5" t="s">
        <v>428</v>
      </c>
      <c r="C236" s="3">
        <f>C235+E235</f>
        <v>1240</v>
      </c>
      <c r="D236" s="3">
        <f>C236+E236-1</f>
        <v>1240</v>
      </c>
      <c r="E236" s="6">
        <v>1</v>
      </c>
      <c r="F236" s="9" t="s">
        <v>107</v>
      </c>
      <c r="G236" s="40" t="s">
        <v>109</v>
      </c>
      <c r="H236" s="43" t="s">
        <v>388</v>
      </c>
    </row>
    <row r="237" spans="1:8" s="59" customFormat="1" ht="63.75" x14ac:dyDescent="0.2">
      <c r="A237" s="5" t="s">
        <v>428</v>
      </c>
      <c r="B237" s="5" t="s">
        <v>428</v>
      </c>
      <c r="C237" s="3">
        <f>C236+E236</f>
        <v>1241</v>
      </c>
      <c r="D237" s="3">
        <f>C237+E237-1</f>
        <v>1241</v>
      </c>
      <c r="E237" s="6">
        <v>1</v>
      </c>
      <c r="F237" s="9" t="s">
        <v>108</v>
      </c>
      <c r="G237" s="40" t="s">
        <v>109</v>
      </c>
      <c r="H237" s="43" t="s">
        <v>375</v>
      </c>
    </row>
    <row r="238" spans="1:8" s="59" customFormat="1" x14ac:dyDescent="0.2">
      <c r="A238" s="5"/>
      <c r="B238" s="5"/>
      <c r="C238" s="3">
        <f>C237+E237</f>
        <v>1242</v>
      </c>
      <c r="D238" s="3">
        <f>C238+E238-1</f>
        <v>1251</v>
      </c>
      <c r="E238" s="6">
        <v>10</v>
      </c>
      <c r="F238" s="9" t="s">
        <v>51</v>
      </c>
      <c r="G238" s="40"/>
      <c r="H238" s="39"/>
    </row>
    <row r="239" spans="1:8" s="59" customFormat="1" x14ac:dyDescent="0.2">
      <c r="A239" s="5"/>
      <c r="B239" s="5"/>
      <c r="C239" s="3"/>
      <c r="D239" s="3"/>
      <c r="E239" s="3"/>
      <c r="F239" s="24" t="s">
        <v>34</v>
      </c>
      <c r="G239" s="37"/>
      <c r="H239" s="39"/>
    </row>
    <row r="240" spans="1:8" s="59" customFormat="1" ht="25.5" x14ac:dyDescent="0.2">
      <c r="A240" s="5" t="s">
        <v>427</v>
      </c>
      <c r="B240" s="5" t="s">
        <v>427</v>
      </c>
      <c r="C240" s="3">
        <f>C238+E238</f>
        <v>1252</v>
      </c>
      <c r="D240" s="3">
        <f t="shared" ref="D240:D247" si="32">C240+E240-1</f>
        <v>1255</v>
      </c>
      <c r="E240" s="3">
        <v>4</v>
      </c>
      <c r="F240" s="23" t="s">
        <v>32</v>
      </c>
      <c r="G240" s="37" t="s">
        <v>83</v>
      </c>
      <c r="H240" s="66" t="s">
        <v>82</v>
      </c>
    </row>
    <row r="241" spans="1:8" s="59" customFormat="1" ht="51" x14ac:dyDescent="0.2">
      <c r="A241" s="5" t="s">
        <v>427</v>
      </c>
      <c r="B241" s="5" t="s">
        <v>427</v>
      </c>
      <c r="C241" s="3">
        <f t="shared" ref="C241:C245" si="33">C240+E240</f>
        <v>1256</v>
      </c>
      <c r="D241" s="3">
        <f t="shared" si="32"/>
        <v>1257</v>
      </c>
      <c r="E241" s="3">
        <v>2</v>
      </c>
      <c r="F241" s="23" t="s">
        <v>31</v>
      </c>
      <c r="G241" s="37" t="s">
        <v>81</v>
      </c>
      <c r="H241" s="66"/>
    </row>
    <row r="242" spans="1:8" s="59" customFormat="1" ht="25.5" x14ac:dyDescent="0.2">
      <c r="A242" s="5" t="s">
        <v>427</v>
      </c>
      <c r="B242" s="5" t="s">
        <v>427</v>
      </c>
      <c r="C242" s="3">
        <f t="shared" si="33"/>
        <v>1258</v>
      </c>
      <c r="D242" s="3">
        <f t="shared" si="32"/>
        <v>1260</v>
      </c>
      <c r="E242" s="3">
        <v>3</v>
      </c>
      <c r="F242" s="23" t="s">
        <v>33</v>
      </c>
      <c r="G242" s="37" t="s">
        <v>84</v>
      </c>
      <c r="H242" s="39" t="s">
        <v>85</v>
      </c>
    </row>
    <row r="243" spans="1:8" s="59" customFormat="1" ht="63.75" x14ac:dyDescent="0.2">
      <c r="A243" s="5" t="s">
        <v>427</v>
      </c>
      <c r="B243" s="5" t="s">
        <v>427</v>
      </c>
      <c r="C243" s="3">
        <f t="shared" si="33"/>
        <v>1261</v>
      </c>
      <c r="D243" s="3">
        <f t="shared" si="32"/>
        <v>1263</v>
      </c>
      <c r="E243" s="3">
        <v>3</v>
      </c>
      <c r="F243" s="23" t="s">
        <v>314</v>
      </c>
      <c r="G243" s="37" t="s">
        <v>315</v>
      </c>
      <c r="H243" s="39" t="s">
        <v>86</v>
      </c>
    </row>
    <row r="244" spans="1:8" s="59" customFormat="1" x14ac:dyDescent="0.2">
      <c r="A244" s="5"/>
      <c r="B244" s="5"/>
      <c r="C244" s="3">
        <f t="shared" si="33"/>
        <v>1264</v>
      </c>
      <c r="D244" s="3">
        <f t="shared" si="32"/>
        <v>1273</v>
      </c>
      <c r="E244" s="3">
        <v>10</v>
      </c>
      <c r="F244" s="23" t="s">
        <v>51</v>
      </c>
      <c r="G244" s="37"/>
      <c r="H244" s="39"/>
    </row>
    <row r="245" spans="1:8" s="59" customFormat="1" ht="189.75" customHeight="1" x14ac:dyDescent="0.2">
      <c r="A245" s="5" t="s">
        <v>428</v>
      </c>
      <c r="B245" s="5" t="s">
        <v>428</v>
      </c>
      <c r="C245" s="5">
        <f t="shared" si="33"/>
        <v>1274</v>
      </c>
      <c r="D245" s="5">
        <f t="shared" si="32"/>
        <v>1473</v>
      </c>
      <c r="E245" s="5">
        <v>200</v>
      </c>
      <c r="F245" s="13" t="s">
        <v>377</v>
      </c>
      <c r="G245" s="64" t="s">
        <v>296</v>
      </c>
      <c r="H245" s="43" t="s">
        <v>376</v>
      </c>
    </row>
    <row r="246" spans="1:8" s="59" customFormat="1" ht="189.75" customHeight="1" x14ac:dyDescent="0.2">
      <c r="A246" s="5" t="s">
        <v>428</v>
      </c>
      <c r="B246" s="5" t="s">
        <v>428</v>
      </c>
      <c r="C246" s="5">
        <f t="shared" ref="C246" si="34">C245+E245</f>
        <v>1474</v>
      </c>
      <c r="D246" s="5">
        <f t="shared" ref="D246" si="35">C246+E246-1</f>
        <v>1573</v>
      </c>
      <c r="E246" s="5">
        <v>100</v>
      </c>
      <c r="F246" s="13" t="s">
        <v>355</v>
      </c>
      <c r="G246" s="64"/>
      <c r="H246" s="43" t="s">
        <v>378</v>
      </c>
    </row>
    <row r="247" spans="1:8" s="59" customFormat="1" x14ac:dyDescent="0.2">
      <c r="A247" s="60"/>
      <c r="B247" s="60"/>
      <c r="C247" s="5">
        <f>C246+E246</f>
        <v>1574</v>
      </c>
      <c r="D247" s="5">
        <f t="shared" si="32"/>
        <v>1589</v>
      </c>
      <c r="E247" s="5">
        <v>16</v>
      </c>
      <c r="F247" s="13" t="s">
        <v>51</v>
      </c>
      <c r="G247" s="37"/>
      <c r="H247" s="39"/>
    </row>
    <row r="248" spans="1:8" x14ac:dyDescent="0.25">
      <c r="C248" s="3"/>
      <c r="D248" s="3"/>
      <c r="E248" s="7"/>
      <c r="F248" s="24" t="s">
        <v>195</v>
      </c>
      <c r="G248" s="14"/>
      <c r="H248" s="17"/>
    </row>
    <row r="249" spans="1:8" ht="25.5" x14ac:dyDescent="0.25">
      <c r="A249" s="5" t="s">
        <v>427</v>
      </c>
      <c r="B249" s="5" t="s">
        <v>427</v>
      </c>
      <c r="C249" s="5">
        <f>C247+E247</f>
        <v>1590</v>
      </c>
      <c r="D249" s="5">
        <f>C249+E249-1</f>
        <v>1590</v>
      </c>
      <c r="E249" s="5">
        <v>1</v>
      </c>
      <c r="F249" s="13" t="s">
        <v>35</v>
      </c>
      <c r="G249" s="38" t="s">
        <v>50</v>
      </c>
      <c r="H249" s="53" t="s">
        <v>390</v>
      </c>
    </row>
    <row r="250" spans="1:8" ht="140.25" x14ac:dyDescent="0.25">
      <c r="A250" s="5" t="s">
        <v>427</v>
      </c>
      <c r="B250" s="5" t="s">
        <v>427</v>
      </c>
      <c r="C250" s="5">
        <f>C249+E249</f>
        <v>1591</v>
      </c>
      <c r="D250" s="5">
        <f t="shared" ref="D250:D264" si="36">C250+E250-1</f>
        <v>1595</v>
      </c>
      <c r="E250" s="5">
        <v>5</v>
      </c>
      <c r="F250" s="13" t="s">
        <v>11</v>
      </c>
      <c r="G250" s="38" t="s">
        <v>389</v>
      </c>
      <c r="H250" s="43" t="s">
        <v>391</v>
      </c>
    </row>
    <row r="251" spans="1:8" ht="76.5" x14ac:dyDescent="0.25">
      <c r="A251" s="5" t="s">
        <v>428</v>
      </c>
      <c r="B251" s="5" t="s">
        <v>428</v>
      </c>
      <c r="C251" s="5">
        <f>C250+E250</f>
        <v>1596</v>
      </c>
      <c r="D251" s="5">
        <f t="shared" si="36"/>
        <v>1601</v>
      </c>
      <c r="E251" s="5">
        <v>6</v>
      </c>
      <c r="F251" s="13" t="s">
        <v>12</v>
      </c>
      <c r="G251" s="38" t="s">
        <v>358</v>
      </c>
      <c r="H251" s="43" t="s">
        <v>360</v>
      </c>
    </row>
    <row r="252" spans="1:8" ht="18" customHeight="1" x14ac:dyDescent="0.25">
      <c r="A252" s="5" t="s">
        <v>427</v>
      </c>
      <c r="B252" s="5" t="s">
        <v>428</v>
      </c>
      <c r="C252" s="3">
        <f t="shared" ref="C252:C257" si="37">C251+E251</f>
        <v>1602</v>
      </c>
      <c r="D252" s="3">
        <f t="shared" si="36"/>
        <v>1621</v>
      </c>
      <c r="E252" s="3">
        <v>20</v>
      </c>
      <c r="F252" s="23" t="s">
        <v>13</v>
      </c>
      <c r="G252" s="64" t="s">
        <v>264</v>
      </c>
      <c r="H252" s="68" t="s">
        <v>328</v>
      </c>
    </row>
    <row r="253" spans="1:8" ht="18.75" customHeight="1" x14ac:dyDescent="0.25">
      <c r="A253" s="5" t="s">
        <v>427</v>
      </c>
      <c r="B253" s="5" t="s">
        <v>428</v>
      </c>
      <c r="C253" s="3">
        <f t="shared" si="37"/>
        <v>1622</v>
      </c>
      <c r="D253" s="3">
        <f t="shared" si="36"/>
        <v>1636</v>
      </c>
      <c r="E253" s="3">
        <v>15</v>
      </c>
      <c r="F253" s="23" t="s">
        <v>14</v>
      </c>
      <c r="G253" s="64"/>
      <c r="H253" s="68"/>
    </row>
    <row r="254" spans="1:8" ht="17.25" customHeight="1" x14ac:dyDescent="0.25">
      <c r="A254" s="5" t="s">
        <v>427</v>
      </c>
      <c r="B254" s="5" t="s">
        <v>428</v>
      </c>
      <c r="C254" s="3">
        <f t="shared" si="37"/>
        <v>1637</v>
      </c>
      <c r="D254" s="3">
        <f t="shared" si="36"/>
        <v>1637</v>
      </c>
      <c r="E254" s="3">
        <v>1</v>
      </c>
      <c r="F254" s="23" t="s">
        <v>280</v>
      </c>
      <c r="G254" s="64"/>
      <c r="H254" s="68"/>
    </row>
    <row r="255" spans="1:8" ht="38.25" customHeight="1" x14ac:dyDescent="0.25">
      <c r="A255" s="5"/>
      <c r="B255" s="5"/>
      <c r="C255" s="3">
        <f>C254+E254</f>
        <v>1638</v>
      </c>
      <c r="D255" s="3">
        <f>C255+E255-1</f>
        <v>1640</v>
      </c>
      <c r="E255" s="3">
        <v>3</v>
      </c>
      <c r="F255" s="23" t="s">
        <v>149</v>
      </c>
      <c r="G255" s="41" t="s">
        <v>150</v>
      </c>
      <c r="H255" s="66" t="s">
        <v>304</v>
      </c>
    </row>
    <row r="256" spans="1:8" x14ac:dyDescent="0.25">
      <c r="A256" s="5" t="s">
        <v>428</v>
      </c>
      <c r="B256" s="5" t="s">
        <v>428</v>
      </c>
      <c r="C256" s="3">
        <f>C255+E255</f>
        <v>1641</v>
      </c>
      <c r="D256" s="3">
        <f t="shared" si="36"/>
        <v>1660</v>
      </c>
      <c r="E256" s="3">
        <v>20</v>
      </c>
      <c r="F256" s="23" t="s">
        <v>15</v>
      </c>
      <c r="G256" s="64" t="s">
        <v>264</v>
      </c>
      <c r="H256" s="66"/>
    </row>
    <row r="257" spans="1:8" x14ac:dyDescent="0.25">
      <c r="A257" s="5" t="s">
        <v>428</v>
      </c>
      <c r="B257" s="5" t="s">
        <v>428</v>
      </c>
      <c r="C257" s="3">
        <f t="shared" si="37"/>
        <v>1661</v>
      </c>
      <c r="D257" s="3">
        <f t="shared" si="36"/>
        <v>1680</v>
      </c>
      <c r="E257" s="3">
        <v>20</v>
      </c>
      <c r="F257" s="23" t="s">
        <v>16</v>
      </c>
      <c r="G257" s="64"/>
      <c r="H257" s="66"/>
    </row>
    <row r="258" spans="1:8" x14ac:dyDescent="0.25">
      <c r="A258" s="5" t="s">
        <v>428</v>
      </c>
      <c r="B258" s="5" t="s">
        <v>428</v>
      </c>
      <c r="C258" s="3">
        <f t="shared" ref="C258:C264" si="38">C257+E257</f>
        <v>1681</v>
      </c>
      <c r="D258" s="3">
        <f t="shared" si="36"/>
        <v>1681</v>
      </c>
      <c r="E258" s="3">
        <v>1</v>
      </c>
      <c r="F258" s="23" t="s">
        <v>281</v>
      </c>
      <c r="G258" s="64"/>
      <c r="H258" s="66"/>
    </row>
    <row r="259" spans="1:8" ht="63.75" x14ac:dyDescent="0.25">
      <c r="A259" s="5" t="s">
        <v>427</v>
      </c>
      <c r="B259" s="5" t="s">
        <v>427</v>
      </c>
      <c r="C259" s="3">
        <f t="shared" si="38"/>
        <v>1682</v>
      </c>
      <c r="D259" s="3">
        <f>C259+E259-1</f>
        <v>1687</v>
      </c>
      <c r="E259" s="3">
        <v>6</v>
      </c>
      <c r="F259" s="23" t="s">
        <v>147</v>
      </c>
      <c r="G259" s="37" t="s">
        <v>196</v>
      </c>
      <c r="H259" s="39" t="s">
        <v>329</v>
      </c>
    </row>
    <row r="260" spans="1:8" ht="63.75" x14ac:dyDescent="0.25">
      <c r="A260" s="5" t="s">
        <v>427</v>
      </c>
      <c r="B260" s="5" t="s">
        <v>427</v>
      </c>
      <c r="C260" s="3">
        <f t="shared" si="38"/>
        <v>1688</v>
      </c>
      <c r="D260" s="3">
        <f t="shared" si="36"/>
        <v>1717</v>
      </c>
      <c r="E260" s="3">
        <v>30</v>
      </c>
      <c r="F260" s="23" t="s">
        <v>17</v>
      </c>
      <c r="G260" s="37" t="s">
        <v>303</v>
      </c>
      <c r="H260" s="39" t="s">
        <v>330</v>
      </c>
    </row>
    <row r="261" spans="1:8" ht="51" x14ac:dyDescent="0.25">
      <c r="A261" s="5" t="s">
        <v>427</v>
      </c>
      <c r="B261" s="5" t="s">
        <v>427</v>
      </c>
      <c r="C261" s="3">
        <f t="shared" si="38"/>
        <v>1718</v>
      </c>
      <c r="D261" s="3">
        <f t="shared" si="36"/>
        <v>1737</v>
      </c>
      <c r="E261" s="3">
        <v>20</v>
      </c>
      <c r="F261" s="23" t="s">
        <v>103</v>
      </c>
      <c r="G261" s="37" t="s">
        <v>316</v>
      </c>
      <c r="H261" s="39" t="s">
        <v>328</v>
      </c>
    </row>
    <row r="262" spans="1:8" ht="38.25" x14ac:dyDescent="0.25">
      <c r="A262" s="5" t="s">
        <v>427</v>
      </c>
      <c r="B262" s="5" t="s">
        <v>427</v>
      </c>
      <c r="C262" s="3">
        <f t="shared" si="38"/>
        <v>1738</v>
      </c>
      <c r="D262" s="3">
        <f>C262+E262-1</f>
        <v>1743</v>
      </c>
      <c r="E262" s="3">
        <v>6</v>
      </c>
      <c r="F262" s="23" t="s">
        <v>105</v>
      </c>
      <c r="G262" s="37" t="s">
        <v>106</v>
      </c>
      <c r="H262" s="39" t="s">
        <v>295</v>
      </c>
    </row>
    <row r="263" spans="1:8" ht="25.5" x14ac:dyDescent="0.25">
      <c r="A263" s="5" t="s">
        <v>427</v>
      </c>
      <c r="B263" s="5" t="s">
        <v>427</v>
      </c>
      <c r="C263" s="3">
        <f t="shared" si="38"/>
        <v>1744</v>
      </c>
      <c r="D263" s="3">
        <f>C263+E263-1</f>
        <v>1744</v>
      </c>
      <c r="E263" s="3">
        <v>1</v>
      </c>
      <c r="F263" s="23" t="s">
        <v>305</v>
      </c>
      <c r="G263" s="37" t="s">
        <v>293</v>
      </c>
      <c r="H263" s="39" t="s">
        <v>292</v>
      </c>
    </row>
    <row r="264" spans="1:8" x14ac:dyDescent="0.25">
      <c r="C264" s="3">
        <f t="shared" si="38"/>
        <v>1745</v>
      </c>
      <c r="D264" s="3">
        <f t="shared" si="36"/>
        <v>1764</v>
      </c>
      <c r="E264" s="3">
        <v>20</v>
      </c>
      <c r="F264" s="23" t="s">
        <v>51</v>
      </c>
      <c r="G264" s="37"/>
    </row>
    <row r="265" spans="1:8" s="59" customFormat="1" x14ac:dyDescent="0.2">
      <c r="A265" s="60"/>
      <c r="B265" s="60"/>
      <c r="C265" s="3"/>
      <c r="D265" s="3"/>
      <c r="E265" s="7"/>
      <c r="F265" s="24" t="s">
        <v>18</v>
      </c>
      <c r="G265" s="14"/>
      <c r="H265" s="17"/>
    </row>
    <row r="266" spans="1:8" s="59" customFormat="1" ht="38.25" x14ac:dyDescent="0.2">
      <c r="A266" s="5" t="s">
        <v>428</v>
      </c>
      <c r="B266" s="5" t="s">
        <v>428</v>
      </c>
      <c r="C266" s="3">
        <f>C264+E264</f>
        <v>1765</v>
      </c>
      <c r="D266" s="3">
        <f>C266+E266-1</f>
        <v>1765</v>
      </c>
      <c r="E266" s="3">
        <v>1</v>
      </c>
      <c r="F266" s="23" t="s">
        <v>19</v>
      </c>
      <c r="G266" s="37" t="s">
        <v>93</v>
      </c>
      <c r="H266" s="67"/>
    </row>
    <row r="267" spans="1:8" s="59" customFormat="1" ht="38.25" x14ac:dyDescent="0.2">
      <c r="A267" s="5" t="s">
        <v>428</v>
      </c>
      <c r="B267" s="5" t="s">
        <v>428</v>
      </c>
      <c r="C267" s="3">
        <f>C266+E266</f>
        <v>1766</v>
      </c>
      <c r="D267" s="3">
        <f>C267+E267-1</f>
        <v>1766</v>
      </c>
      <c r="E267" s="3">
        <v>1</v>
      </c>
      <c r="F267" s="23" t="s">
        <v>20</v>
      </c>
      <c r="G267" s="37" t="s">
        <v>93</v>
      </c>
      <c r="H267" s="66"/>
    </row>
    <row r="268" spans="1:8" s="59" customFormat="1" ht="38.25" x14ac:dyDescent="0.2">
      <c r="A268" s="5" t="s">
        <v>428</v>
      </c>
      <c r="B268" s="5" t="s">
        <v>428</v>
      </c>
      <c r="C268" s="3">
        <f>C267+E267</f>
        <v>1767</v>
      </c>
      <c r="D268" s="3">
        <f>C268+E268-1</f>
        <v>1767</v>
      </c>
      <c r="E268" s="3">
        <v>1</v>
      </c>
      <c r="F268" s="23" t="s">
        <v>21</v>
      </c>
      <c r="G268" s="37" t="s">
        <v>93</v>
      </c>
      <c r="H268" s="66"/>
    </row>
    <row r="269" spans="1:8" s="59" customFormat="1" x14ac:dyDescent="0.2">
      <c r="A269" s="5"/>
      <c r="B269" s="5"/>
      <c r="C269" s="3">
        <f>C268+E268</f>
        <v>1768</v>
      </c>
      <c r="D269" s="3">
        <f>C269+E269-1</f>
        <v>1772</v>
      </c>
      <c r="E269" s="3">
        <v>5</v>
      </c>
      <c r="F269" s="23" t="s">
        <v>51</v>
      </c>
      <c r="G269" s="37"/>
      <c r="H269" s="39"/>
    </row>
    <row r="270" spans="1:8" s="59" customFormat="1" x14ac:dyDescent="0.2">
      <c r="A270" s="5"/>
      <c r="B270" s="5"/>
      <c r="C270" s="3"/>
      <c r="D270" s="3"/>
      <c r="E270" s="3"/>
      <c r="F270" s="24" t="s">
        <v>197</v>
      </c>
      <c r="G270" s="37"/>
      <c r="H270" s="39"/>
    </row>
    <row r="271" spans="1:8" s="59" customFormat="1" x14ac:dyDescent="0.2">
      <c r="A271" s="5"/>
      <c r="B271" s="5"/>
      <c r="C271" s="3"/>
      <c r="D271" s="3"/>
      <c r="E271" s="3"/>
      <c r="F271" s="24" t="s">
        <v>104</v>
      </c>
      <c r="G271" s="37"/>
      <c r="H271" s="39"/>
    </row>
    <row r="272" spans="1:8" s="59" customFormat="1" ht="15" customHeight="1" x14ac:dyDescent="0.2">
      <c r="A272" s="5" t="s">
        <v>428</v>
      </c>
      <c r="B272" s="5" t="s">
        <v>428</v>
      </c>
      <c r="C272" s="3">
        <f>C269+E269</f>
        <v>1773</v>
      </c>
      <c r="D272" s="3">
        <f>C272+E272-1</f>
        <v>1773</v>
      </c>
      <c r="E272" s="3">
        <v>1</v>
      </c>
      <c r="F272" s="23" t="s">
        <v>117</v>
      </c>
      <c r="G272" s="66" t="s">
        <v>265</v>
      </c>
      <c r="H272" s="65" t="s">
        <v>362</v>
      </c>
    </row>
    <row r="273" spans="1:8" s="59" customFormat="1" x14ac:dyDescent="0.2">
      <c r="A273" s="5" t="s">
        <v>428</v>
      </c>
      <c r="B273" s="5" t="s">
        <v>428</v>
      </c>
      <c r="C273" s="3">
        <f>C272+E272</f>
        <v>1774</v>
      </c>
      <c r="D273" s="3">
        <f>C273+E273-1</f>
        <v>1774</v>
      </c>
      <c r="E273" s="3">
        <v>1</v>
      </c>
      <c r="F273" s="23" t="s">
        <v>118</v>
      </c>
      <c r="G273" s="66"/>
      <c r="H273" s="65"/>
    </row>
    <row r="274" spans="1:8" s="59" customFormat="1" x14ac:dyDescent="0.2">
      <c r="A274" s="5" t="s">
        <v>428</v>
      </c>
      <c r="B274" s="5" t="s">
        <v>428</v>
      </c>
      <c r="C274" s="3">
        <f t="shared" ref="C274:C285" si="39">C273+E273</f>
        <v>1775</v>
      </c>
      <c r="D274" s="3">
        <f t="shared" ref="D274:D285" si="40">C274+E274-1</f>
        <v>1775</v>
      </c>
      <c r="E274" s="3">
        <v>1</v>
      </c>
      <c r="F274" s="44" t="s">
        <v>361</v>
      </c>
      <c r="G274" s="66"/>
      <c r="H274" s="65"/>
    </row>
    <row r="275" spans="1:8" s="59" customFormat="1" x14ac:dyDescent="0.2">
      <c r="A275" s="5" t="s">
        <v>428</v>
      </c>
      <c r="B275" s="5" t="s">
        <v>428</v>
      </c>
      <c r="C275" s="3">
        <f t="shared" si="39"/>
        <v>1776</v>
      </c>
      <c r="D275" s="3">
        <f t="shared" si="40"/>
        <v>1776</v>
      </c>
      <c r="E275" s="3">
        <v>1</v>
      </c>
      <c r="F275" s="23" t="s">
        <v>119</v>
      </c>
      <c r="G275" s="66"/>
      <c r="H275" s="65"/>
    </row>
    <row r="276" spans="1:8" s="59" customFormat="1" x14ac:dyDescent="0.2">
      <c r="A276" s="5" t="s">
        <v>428</v>
      </c>
      <c r="B276" s="5" t="s">
        <v>428</v>
      </c>
      <c r="C276" s="3">
        <f t="shared" si="39"/>
        <v>1777</v>
      </c>
      <c r="D276" s="3">
        <f t="shared" si="40"/>
        <v>1777</v>
      </c>
      <c r="E276" s="3">
        <v>1</v>
      </c>
      <c r="F276" s="23" t="s">
        <v>120</v>
      </c>
      <c r="G276" s="66"/>
      <c r="H276" s="65"/>
    </row>
    <row r="277" spans="1:8" s="59" customFormat="1" x14ac:dyDescent="0.2">
      <c r="A277" s="5" t="s">
        <v>428</v>
      </c>
      <c r="B277" s="5" t="s">
        <v>428</v>
      </c>
      <c r="C277" s="3">
        <f t="shared" si="39"/>
        <v>1778</v>
      </c>
      <c r="D277" s="3">
        <f t="shared" si="40"/>
        <v>1778</v>
      </c>
      <c r="E277" s="3">
        <v>1</v>
      </c>
      <c r="F277" s="23" t="s">
        <v>121</v>
      </c>
      <c r="G277" s="66"/>
      <c r="H277" s="65"/>
    </row>
    <row r="278" spans="1:8" s="59" customFormat="1" x14ac:dyDescent="0.2">
      <c r="A278" s="5" t="s">
        <v>428</v>
      </c>
      <c r="B278" s="5" t="s">
        <v>428</v>
      </c>
      <c r="C278" s="3">
        <f t="shared" si="39"/>
        <v>1779</v>
      </c>
      <c r="D278" s="3">
        <f t="shared" si="40"/>
        <v>1779</v>
      </c>
      <c r="E278" s="3">
        <v>1</v>
      </c>
      <c r="F278" s="23" t="s">
        <v>282</v>
      </c>
      <c r="G278" s="66"/>
      <c r="H278" s="65"/>
    </row>
    <row r="279" spans="1:8" s="59" customFormat="1" x14ac:dyDescent="0.2">
      <c r="A279" s="5" t="s">
        <v>428</v>
      </c>
      <c r="B279" s="5" t="s">
        <v>428</v>
      </c>
      <c r="C279" s="3">
        <f t="shared" si="39"/>
        <v>1780</v>
      </c>
      <c r="D279" s="3">
        <f t="shared" si="40"/>
        <v>1780</v>
      </c>
      <c r="E279" s="3">
        <v>1</v>
      </c>
      <c r="F279" s="23" t="s">
        <v>297</v>
      </c>
      <c r="G279" s="66"/>
      <c r="H279" s="65"/>
    </row>
    <row r="280" spans="1:8" s="59" customFormat="1" x14ac:dyDescent="0.2">
      <c r="A280" s="5" t="s">
        <v>428</v>
      </c>
      <c r="B280" s="5" t="s">
        <v>428</v>
      </c>
      <c r="C280" s="3">
        <f>C279+E279</f>
        <v>1781</v>
      </c>
      <c r="D280" s="3">
        <f t="shared" si="40"/>
        <v>1781</v>
      </c>
      <c r="E280" s="3">
        <v>1</v>
      </c>
      <c r="F280" s="23" t="s">
        <v>122</v>
      </c>
      <c r="G280" s="66"/>
      <c r="H280" s="65"/>
    </row>
    <row r="281" spans="1:8" s="59" customFormat="1" x14ac:dyDescent="0.2">
      <c r="A281" s="5" t="s">
        <v>428</v>
      </c>
      <c r="B281" s="5" t="s">
        <v>428</v>
      </c>
      <c r="C281" s="3">
        <f t="shared" si="39"/>
        <v>1782</v>
      </c>
      <c r="D281" s="3">
        <f t="shared" si="40"/>
        <v>1782</v>
      </c>
      <c r="E281" s="3">
        <v>1</v>
      </c>
      <c r="F281" s="23" t="s">
        <v>123</v>
      </c>
      <c r="G281" s="66"/>
      <c r="H281" s="65"/>
    </row>
    <row r="282" spans="1:8" s="59" customFormat="1" x14ac:dyDescent="0.2">
      <c r="A282" s="5" t="s">
        <v>428</v>
      </c>
      <c r="B282" s="5" t="s">
        <v>428</v>
      </c>
      <c r="C282" s="3">
        <f t="shared" si="39"/>
        <v>1783</v>
      </c>
      <c r="D282" s="3">
        <f t="shared" si="40"/>
        <v>1783</v>
      </c>
      <c r="E282" s="3">
        <v>1</v>
      </c>
      <c r="F282" s="23" t="s">
        <v>124</v>
      </c>
      <c r="G282" s="66"/>
      <c r="H282" s="65"/>
    </row>
    <row r="283" spans="1:8" s="59" customFormat="1" x14ac:dyDescent="0.2">
      <c r="A283" s="5" t="s">
        <v>428</v>
      </c>
      <c r="B283" s="5" t="s">
        <v>428</v>
      </c>
      <c r="C283" s="3">
        <f t="shared" si="39"/>
        <v>1784</v>
      </c>
      <c r="D283" s="3">
        <f t="shared" si="40"/>
        <v>1784</v>
      </c>
      <c r="E283" s="3">
        <v>1</v>
      </c>
      <c r="F283" s="23" t="s">
        <v>125</v>
      </c>
      <c r="G283" s="66"/>
      <c r="H283" s="65"/>
    </row>
    <row r="284" spans="1:8" s="59" customFormat="1" x14ac:dyDescent="0.2">
      <c r="A284" s="5" t="s">
        <v>428</v>
      </c>
      <c r="B284" s="5" t="s">
        <v>428</v>
      </c>
      <c r="C284" s="3">
        <f t="shared" si="39"/>
        <v>1785</v>
      </c>
      <c r="D284" s="3">
        <f t="shared" si="40"/>
        <v>1785</v>
      </c>
      <c r="E284" s="3">
        <v>1</v>
      </c>
      <c r="F284" s="23" t="s">
        <v>126</v>
      </c>
      <c r="G284" s="66"/>
      <c r="H284" s="65"/>
    </row>
    <row r="285" spans="1:8" s="59" customFormat="1" x14ac:dyDescent="0.2">
      <c r="A285" s="5" t="s">
        <v>428</v>
      </c>
      <c r="B285" s="5" t="s">
        <v>428</v>
      </c>
      <c r="C285" s="3">
        <f t="shared" si="39"/>
        <v>1786</v>
      </c>
      <c r="D285" s="3">
        <f t="shared" si="40"/>
        <v>1786</v>
      </c>
      <c r="E285" s="3">
        <v>1</v>
      </c>
      <c r="F285" s="23" t="s">
        <v>127</v>
      </c>
      <c r="G285" s="66"/>
      <c r="H285" s="65"/>
    </row>
    <row r="286" spans="1:8" s="59" customFormat="1" x14ac:dyDescent="0.2">
      <c r="A286" s="5"/>
      <c r="B286" s="5"/>
      <c r="C286" s="3"/>
      <c r="D286" s="3"/>
      <c r="E286" s="3"/>
      <c r="F286" s="24" t="s">
        <v>340</v>
      </c>
      <c r="G286" s="39"/>
      <c r="H286" s="39"/>
    </row>
    <row r="287" spans="1:8" s="59" customFormat="1" ht="15" customHeight="1" x14ac:dyDescent="0.2">
      <c r="A287" s="5" t="s">
        <v>427</v>
      </c>
      <c r="B287" s="5" t="s">
        <v>427</v>
      </c>
      <c r="C287" s="3">
        <f>C285+E285</f>
        <v>1787</v>
      </c>
      <c r="D287" s="3">
        <f>C287+E287-1</f>
        <v>1787</v>
      </c>
      <c r="E287" s="3">
        <v>1</v>
      </c>
      <c r="F287" s="23" t="s">
        <v>117</v>
      </c>
      <c r="G287" s="65" t="s">
        <v>365</v>
      </c>
      <c r="H287" s="65" t="s">
        <v>364</v>
      </c>
    </row>
    <row r="288" spans="1:8" s="59" customFormat="1" x14ac:dyDescent="0.2">
      <c r="A288" s="5" t="s">
        <v>427</v>
      </c>
      <c r="B288" s="5" t="s">
        <v>427</v>
      </c>
      <c r="C288" s="3">
        <f>C287+E287</f>
        <v>1788</v>
      </c>
      <c r="D288" s="3">
        <f>C288+E288-1</f>
        <v>1788</v>
      </c>
      <c r="E288" s="3">
        <v>1</v>
      </c>
      <c r="F288" s="23" t="s">
        <v>118</v>
      </c>
      <c r="G288" s="65"/>
      <c r="H288" s="65"/>
    </row>
    <row r="289" spans="1:8" s="59" customFormat="1" x14ac:dyDescent="0.2">
      <c r="A289" s="5" t="s">
        <v>427</v>
      </c>
      <c r="B289" s="5" t="s">
        <v>427</v>
      </c>
      <c r="C289" s="3">
        <f t="shared" ref="C289:C301" si="41">C288+E288</f>
        <v>1789</v>
      </c>
      <c r="D289" s="3">
        <f t="shared" ref="D289:D301" si="42">C289+E289-1</f>
        <v>1789</v>
      </c>
      <c r="E289" s="3">
        <v>1</v>
      </c>
      <c r="F289" s="54" t="s">
        <v>363</v>
      </c>
      <c r="G289" s="65"/>
      <c r="H289" s="65"/>
    </row>
    <row r="290" spans="1:8" s="59" customFormat="1" x14ac:dyDescent="0.2">
      <c r="A290" s="5" t="s">
        <v>427</v>
      </c>
      <c r="B290" s="5" t="s">
        <v>427</v>
      </c>
      <c r="C290" s="3">
        <f t="shared" si="41"/>
        <v>1790</v>
      </c>
      <c r="D290" s="3">
        <f t="shared" si="42"/>
        <v>1790</v>
      </c>
      <c r="E290" s="3">
        <v>1</v>
      </c>
      <c r="F290" s="23" t="s">
        <v>119</v>
      </c>
      <c r="G290" s="65"/>
      <c r="H290" s="65"/>
    </row>
    <row r="291" spans="1:8" s="59" customFormat="1" x14ac:dyDescent="0.2">
      <c r="A291" s="5" t="s">
        <v>427</v>
      </c>
      <c r="B291" s="5" t="s">
        <v>427</v>
      </c>
      <c r="C291" s="3">
        <f t="shared" si="41"/>
        <v>1791</v>
      </c>
      <c r="D291" s="3">
        <f t="shared" si="42"/>
        <v>1791</v>
      </c>
      <c r="E291" s="3">
        <v>1</v>
      </c>
      <c r="F291" s="23" t="s">
        <v>120</v>
      </c>
      <c r="G291" s="65"/>
      <c r="H291" s="65"/>
    </row>
    <row r="292" spans="1:8" s="59" customFormat="1" x14ac:dyDescent="0.2">
      <c r="A292" s="5" t="s">
        <v>427</v>
      </c>
      <c r="B292" s="5" t="s">
        <v>427</v>
      </c>
      <c r="C292" s="3">
        <f t="shared" si="41"/>
        <v>1792</v>
      </c>
      <c r="D292" s="3">
        <f t="shared" si="42"/>
        <v>1792</v>
      </c>
      <c r="E292" s="3">
        <v>1</v>
      </c>
      <c r="F292" s="23" t="s">
        <v>121</v>
      </c>
      <c r="G292" s="65"/>
      <c r="H292" s="65"/>
    </row>
    <row r="293" spans="1:8" s="59" customFormat="1" x14ac:dyDescent="0.2">
      <c r="A293" s="5" t="s">
        <v>427</v>
      </c>
      <c r="B293" s="5" t="s">
        <v>427</v>
      </c>
      <c r="C293" s="3">
        <f t="shared" si="41"/>
        <v>1793</v>
      </c>
      <c r="D293" s="3">
        <f t="shared" si="42"/>
        <v>1793</v>
      </c>
      <c r="E293" s="3">
        <v>1</v>
      </c>
      <c r="F293" s="23" t="s">
        <v>282</v>
      </c>
      <c r="G293" s="65"/>
      <c r="H293" s="65"/>
    </row>
    <row r="294" spans="1:8" s="59" customFormat="1" x14ac:dyDescent="0.2">
      <c r="A294" s="5" t="s">
        <v>427</v>
      </c>
      <c r="B294" s="5" t="s">
        <v>427</v>
      </c>
      <c r="C294" s="3">
        <f t="shared" si="41"/>
        <v>1794</v>
      </c>
      <c r="D294" s="3">
        <f t="shared" si="42"/>
        <v>1794</v>
      </c>
      <c r="E294" s="3">
        <v>1</v>
      </c>
      <c r="F294" s="23" t="s">
        <v>297</v>
      </c>
      <c r="G294" s="65"/>
      <c r="H294" s="65"/>
    </row>
    <row r="295" spans="1:8" s="59" customFormat="1" x14ac:dyDescent="0.2">
      <c r="A295" s="5" t="s">
        <v>427</v>
      </c>
      <c r="B295" s="5" t="s">
        <v>427</v>
      </c>
      <c r="C295" s="3">
        <f>C294+E294</f>
        <v>1795</v>
      </c>
      <c r="D295" s="3">
        <f t="shared" si="42"/>
        <v>1795</v>
      </c>
      <c r="E295" s="3">
        <v>1</v>
      </c>
      <c r="F295" s="23" t="s">
        <v>122</v>
      </c>
      <c r="G295" s="65"/>
      <c r="H295" s="65"/>
    </row>
    <row r="296" spans="1:8" s="59" customFormat="1" x14ac:dyDescent="0.2">
      <c r="A296" s="5" t="s">
        <v>427</v>
      </c>
      <c r="B296" s="5" t="s">
        <v>427</v>
      </c>
      <c r="C296" s="3">
        <f t="shared" si="41"/>
        <v>1796</v>
      </c>
      <c r="D296" s="3">
        <f t="shared" si="42"/>
        <v>1796</v>
      </c>
      <c r="E296" s="3">
        <v>1</v>
      </c>
      <c r="F296" s="23" t="s">
        <v>123</v>
      </c>
      <c r="G296" s="65"/>
      <c r="H296" s="65"/>
    </row>
    <row r="297" spans="1:8" s="59" customFormat="1" x14ac:dyDescent="0.2">
      <c r="A297" s="5" t="s">
        <v>427</v>
      </c>
      <c r="B297" s="5" t="s">
        <v>427</v>
      </c>
      <c r="C297" s="3">
        <f t="shared" si="41"/>
        <v>1797</v>
      </c>
      <c r="D297" s="3">
        <f t="shared" si="42"/>
        <v>1797</v>
      </c>
      <c r="E297" s="3">
        <v>1</v>
      </c>
      <c r="F297" s="23" t="s">
        <v>124</v>
      </c>
      <c r="G297" s="65"/>
      <c r="H297" s="65"/>
    </row>
    <row r="298" spans="1:8" s="59" customFormat="1" x14ac:dyDescent="0.2">
      <c r="A298" s="5" t="s">
        <v>427</v>
      </c>
      <c r="B298" s="5" t="s">
        <v>427</v>
      </c>
      <c r="C298" s="3">
        <f t="shared" si="41"/>
        <v>1798</v>
      </c>
      <c r="D298" s="3">
        <f t="shared" si="42"/>
        <v>1798</v>
      </c>
      <c r="E298" s="3">
        <v>1</v>
      </c>
      <c r="F298" s="23" t="s">
        <v>125</v>
      </c>
      <c r="G298" s="65"/>
      <c r="H298" s="65"/>
    </row>
    <row r="299" spans="1:8" s="59" customFormat="1" x14ac:dyDescent="0.2">
      <c r="A299" s="5" t="s">
        <v>427</v>
      </c>
      <c r="B299" s="5" t="s">
        <v>427</v>
      </c>
      <c r="C299" s="3">
        <f t="shared" si="41"/>
        <v>1799</v>
      </c>
      <c r="D299" s="3">
        <f t="shared" si="42"/>
        <v>1799</v>
      </c>
      <c r="E299" s="3">
        <v>1</v>
      </c>
      <c r="F299" s="23" t="s">
        <v>126</v>
      </c>
      <c r="G299" s="65"/>
      <c r="H299" s="65"/>
    </row>
    <row r="300" spans="1:8" s="59" customFormat="1" x14ac:dyDescent="0.2">
      <c r="A300" s="5" t="s">
        <v>427</v>
      </c>
      <c r="B300" s="5" t="s">
        <v>427</v>
      </c>
      <c r="C300" s="3">
        <f t="shared" si="41"/>
        <v>1800</v>
      </c>
      <c r="D300" s="3">
        <f t="shared" si="42"/>
        <v>1800</v>
      </c>
      <c r="E300" s="3">
        <v>1</v>
      </c>
      <c r="F300" s="23" t="s">
        <v>127</v>
      </c>
      <c r="G300" s="65"/>
      <c r="H300" s="65"/>
    </row>
    <row r="301" spans="1:8" s="59" customFormat="1" x14ac:dyDescent="0.2">
      <c r="A301" s="5"/>
      <c r="B301" s="5"/>
      <c r="C301" s="3">
        <f t="shared" si="41"/>
        <v>1801</v>
      </c>
      <c r="D301" s="3">
        <f t="shared" si="42"/>
        <v>1820</v>
      </c>
      <c r="E301" s="3">
        <v>20</v>
      </c>
      <c r="F301" s="23" t="s">
        <v>51</v>
      </c>
      <c r="G301" s="37"/>
      <c r="H301" s="39"/>
    </row>
    <row r="302" spans="1:8" s="59" customFormat="1" x14ac:dyDescent="0.2">
      <c r="A302" s="5"/>
      <c r="B302" s="5"/>
      <c r="C302" s="3"/>
      <c r="D302" s="3"/>
      <c r="E302" s="3"/>
      <c r="F302" s="24" t="s">
        <v>200</v>
      </c>
      <c r="G302" s="37"/>
      <c r="H302" s="39"/>
    </row>
    <row r="303" spans="1:8" s="59" customFormat="1" ht="38.25" x14ac:dyDescent="0.2">
      <c r="A303" s="5" t="s">
        <v>427</v>
      </c>
      <c r="B303" s="5" t="s">
        <v>427</v>
      </c>
      <c r="C303" s="3">
        <f>C301+E301</f>
        <v>1821</v>
      </c>
      <c r="D303" s="3">
        <f t="shared" ref="D303:D310" si="43">C303+E303-1</f>
        <v>1823</v>
      </c>
      <c r="E303" s="3">
        <v>3</v>
      </c>
      <c r="F303" s="23" t="s">
        <v>22</v>
      </c>
      <c r="G303" s="39" t="s">
        <v>75</v>
      </c>
      <c r="H303" s="39" t="s">
        <v>198</v>
      </c>
    </row>
    <row r="304" spans="1:8" s="59" customFormat="1" ht="38.25" x14ac:dyDescent="0.2">
      <c r="A304" s="5" t="s">
        <v>427</v>
      </c>
      <c r="B304" s="5" t="s">
        <v>427</v>
      </c>
      <c r="C304" s="3">
        <f t="shared" ref="C304:C310" si="44">C303+E303</f>
        <v>1824</v>
      </c>
      <c r="D304" s="3">
        <f t="shared" si="43"/>
        <v>1826</v>
      </c>
      <c r="E304" s="3">
        <v>3</v>
      </c>
      <c r="F304" s="23" t="s">
        <v>23</v>
      </c>
      <c r="G304" s="39" t="s">
        <v>75</v>
      </c>
      <c r="H304" s="39" t="s">
        <v>199</v>
      </c>
    </row>
    <row r="305" spans="1:8" s="59" customFormat="1" ht="102" x14ac:dyDescent="0.2">
      <c r="A305" s="5" t="s">
        <v>427</v>
      </c>
      <c r="B305" s="5" t="s">
        <v>427</v>
      </c>
      <c r="C305" s="3">
        <f t="shared" si="44"/>
        <v>1827</v>
      </c>
      <c r="D305" s="3">
        <f t="shared" si="43"/>
        <v>1829</v>
      </c>
      <c r="E305" s="3">
        <v>3</v>
      </c>
      <c r="F305" s="23" t="s">
        <v>132</v>
      </c>
      <c r="G305" s="39" t="s">
        <v>75</v>
      </c>
      <c r="H305" s="56" t="s">
        <v>392</v>
      </c>
    </row>
    <row r="306" spans="1:8" s="59" customFormat="1" ht="51" x14ac:dyDescent="0.2">
      <c r="A306" s="5" t="s">
        <v>427</v>
      </c>
      <c r="B306" s="5" t="s">
        <v>427</v>
      </c>
      <c r="C306" s="3">
        <f t="shared" si="44"/>
        <v>1830</v>
      </c>
      <c r="D306" s="3">
        <f t="shared" si="43"/>
        <v>1832</v>
      </c>
      <c r="E306" s="3">
        <v>3</v>
      </c>
      <c r="F306" s="23" t="s">
        <v>133</v>
      </c>
      <c r="G306" s="39" t="s">
        <v>80</v>
      </c>
      <c r="H306" s="43" t="s">
        <v>140</v>
      </c>
    </row>
    <row r="307" spans="1:8" s="59" customFormat="1" ht="76.5" x14ac:dyDescent="0.2">
      <c r="A307" s="5" t="s">
        <v>427</v>
      </c>
      <c r="B307" s="5" t="s">
        <v>427</v>
      </c>
      <c r="C307" s="3">
        <f t="shared" si="44"/>
        <v>1833</v>
      </c>
      <c r="D307" s="3">
        <f t="shared" si="43"/>
        <v>1835</v>
      </c>
      <c r="E307" s="3">
        <v>3</v>
      </c>
      <c r="F307" s="23" t="s">
        <v>28</v>
      </c>
      <c r="G307" s="37" t="s">
        <v>78</v>
      </c>
      <c r="H307" s="56" t="s">
        <v>393</v>
      </c>
    </row>
    <row r="308" spans="1:8" s="59" customFormat="1" ht="76.5" x14ac:dyDescent="0.2">
      <c r="A308" s="5" t="s">
        <v>427</v>
      </c>
      <c r="B308" s="5" t="s">
        <v>427</v>
      </c>
      <c r="C308" s="3">
        <f t="shared" si="44"/>
        <v>1836</v>
      </c>
      <c r="D308" s="3">
        <f t="shared" si="43"/>
        <v>1837</v>
      </c>
      <c r="E308" s="3">
        <v>2</v>
      </c>
      <c r="F308" s="23" t="s">
        <v>111</v>
      </c>
      <c r="G308" s="37" t="s">
        <v>312</v>
      </c>
      <c r="H308" s="57" t="s">
        <v>394</v>
      </c>
    </row>
    <row r="309" spans="1:8" s="59" customFormat="1" ht="76.5" x14ac:dyDescent="0.2">
      <c r="A309" s="5" t="s">
        <v>427</v>
      </c>
      <c r="B309" s="5" t="s">
        <v>427</v>
      </c>
      <c r="C309" s="3">
        <f t="shared" si="44"/>
        <v>1838</v>
      </c>
      <c r="D309" s="3">
        <f t="shared" si="43"/>
        <v>1840</v>
      </c>
      <c r="E309" s="3">
        <v>3</v>
      </c>
      <c r="F309" s="23" t="s">
        <v>115</v>
      </c>
      <c r="G309" s="37" t="s">
        <v>114</v>
      </c>
      <c r="H309" s="57" t="s">
        <v>395</v>
      </c>
    </row>
    <row r="310" spans="1:8" s="59" customFormat="1" x14ac:dyDescent="0.2">
      <c r="A310" s="60"/>
      <c r="B310" s="60"/>
      <c r="C310" s="3">
        <f t="shared" si="44"/>
        <v>1841</v>
      </c>
      <c r="D310" s="3">
        <f t="shared" si="43"/>
        <v>1855</v>
      </c>
      <c r="E310" s="3">
        <v>15</v>
      </c>
      <c r="F310" s="23" t="s">
        <v>51</v>
      </c>
      <c r="G310" s="37"/>
      <c r="H310" s="40"/>
    </row>
    <row r="311" spans="1:8" s="59" customFormat="1" x14ac:dyDescent="0.2">
      <c r="A311" s="60"/>
      <c r="B311" s="60"/>
      <c r="C311" s="3"/>
      <c r="D311" s="3"/>
      <c r="E311" s="3"/>
      <c r="F311" s="24" t="s">
        <v>283</v>
      </c>
      <c r="G311" s="37"/>
      <c r="H311" s="40"/>
    </row>
    <row r="312" spans="1:8" s="59" customFormat="1" ht="25.5" x14ac:dyDescent="0.2">
      <c r="A312" s="5" t="s">
        <v>428</v>
      </c>
      <c r="B312" s="5" t="s">
        <v>428</v>
      </c>
      <c r="C312" s="3">
        <f>C310+E310</f>
        <v>1856</v>
      </c>
      <c r="D312" s="3">
        <f>C312+E312-1</f>
        <v>1858</v>
      </c>
      <c r="E312" s="3">
        <v>3</v>
      </c>
      <c r="F312" s="23" t="s">
        <v>266</v>
      </c>
      <c r="G312" s="37" t="s">
        <v>78</v>
      </c>
      <c r="H312" s="39" t="s">
        <v>268</v>
      </c>
    </row>
    <row r="313" spans="1:8" s="59" customFormat="1" ht="25.5" x14ac:dyDescent="0.2">
      <c r="A313" s="5" t="s">
        <v>428</v>
      </c>
      <c r="B313" s="5" t="s">
        <v>428</v>
      </c>
      <c r="C313" s="3">
        <f>C312+E312</f>
        <v>1859</v>
      </c>
      <c r="D313" s="3">
        <f>C313+E313-1</f>
        <v>1861</v>
      </c>
      <c r="E313" s="3">
        <v>3</v>
      </c>
      <c r="F313" s="23" t="s">
        <v>267</v>
      </c>
      <c r="G313" s="37" t="s">
        <v>78</v>
      </c>
      <c r="H313" s="39" t="s">
        <v>268</v>
      </c>
    </row>
    <row r="314" spans="1:8" s="59" customFormat="1" x14ac:dyDescent="0.2">
      <c r="A314" s="5"/>
      <c r="B314" s="5"/>
      <c r="C314" s="3"/>
      <c r="D314" s="3"/>
      <c r="E314" s="3"/>
      <c r="F314" s="24" t="s">
        <v>130</v>
      </c>
      <c r="G314" s="37"/>
      <c r="H314" s="39"/>
    </row>
    <row r="315" spans="1:8" s="59" customFormat="1" ht="38.25" x14ac:dyDescent="0.2">
      <c r="A315" s="5" t="s">
        <v>427</v>
      </c>
      <c r="B315" s="5" t="s">
        <v>427</v>
      </c>
      <c r="C315" s="3">
        <f>C313+E313</f>
        <v>1862</v>
      </c>
      <c r="D315" s="3">
        <f t="shared" ref="D315:D322" si="45">C315+E315-1</f>
        <v>1863</v>
      </c>
      <c r="E315" s="3">
        <v>2</v>
      </c>
      <c r="F315" s="23" t="s">
        <v>164</v>
      </c>
      <c r="G315" s="37" t="s">
        <v>79</v>
      </c>
      <c r="H315" s="39" t="s">
        <v>201</v>
      </c>
    </row>
    <row r="316" spans="1:8" s="59" customFormat="1" ht="51" x14ac:dyDescent="0.2">
      <c r="A316" s="5" t="s">
        <v>427</v>
      </c>
      <c r="B316" s="5" t="s">
        <v>427</v>
      </c>
      <c r="C316" s="3">
        <f t="shared" ref="C316:C323" si="46">C315+E315</f>
        <v>1864</v>
      </c>
      <c r="D316" s="3">
        <f t="shared" si="45"/>
        <v>1866</v>
      </c>
      <c r="E316" s="3">
        <v>3</v>
      </c>
      <c r="F316" s="23" t="s">
        <v>180</v>
      </c>
      <c r="G316" s="37" t="s">
        <v>80</v>
      </c>
      <c r="H316" s="39" t="s">
        <v>202</v>
      </c>
    </row>
    <row r="317" spans="1:8" s="59" customFormat="1" ht="51" x14ac:dyDescent="0.2">
      <c r="A317" s="5" t="s">
        <v>427</v>
      </c>
      <c r="B317" s="5" t="s">
        <v>427</v>
      </c>
      <c r="C317" s="3">
        <f t="shared" si="46"/>
        <v>1867</v>
      </c>
      <c r="D317" s="3">
        <f t="shared" si="45"/>
        <v>1868</v>
      </c>
      <c r="E317" s="3">
        <v>2</v>
      </c>
      <c r="F317" s="23" t="s">
        <v>165</v>
      </c>
      <c r="G317" s="37" t="s">
        <v>79</v>
      </c>
      <c r="H317" s="39" t="s">
        <v>203</v>
      </c>
    </row>
    <row r="318" spans="1:8" s="59" customFormat="1" ht="63.75" x14ac:dyDescent="0.2">
      <c r="A318" s="5" t="s">
        <v>427</v>
      </c>
      <c r="B318" s="5" t="s">
        <v>427</v>
      </c>
      <c r="C318" s="3">
        <f t="shared" si="46"/>
        <v>1869</v>
      </c>
      <c r="D318" s="3">
        <f t="shared" si="45"/>
        <v>1871</v>
      </c>
      <c r="E318" s="3">
        <v>3</v>
      </c>
      <c r="F318" s="23" t="s">
        <v>181</v>
      </c>
      <c r="G318" s="37" t="s">
        <v>80</v>
      </c>
      <c r="H318" s="39" t="s">
        <v>204</v>
      </c>
    </row>
    <row r="319" spans="1:8" s="59" customFormat="1" ht="51" x14ac:dyDescent="0.2">
      <c r="A319" s="5" t="s">
        <v>427</v>
      </c>
      <c r="B319" s="5" t="s">
        <v>427</v>
      </c>
      <c r="C319" s="3">
        <f t="shared" si="46"/>
        <v>1872</v>
      </c>
      <c r="D319" s="3">
        <f t="shared" si="45"/>
        <v>1873</v>
      </c>
      <c r="E319" s="3">
        <v>2</v>
      </c>
      <c r="F319" s="23" t="s">
        <v>166</v>
      </c>
      <c r="G319" s="37" t="s">
        <v>79</v>
      </c>
      <c r="H319" s="39" t="s">
        <v>206</v>
      </c>
    </row>
    <row r="320" spans="1:8" s="59" customFormat="1" ht="63.75" x14ac:dyDescent="0.2">
      <c r="A320" s="5" t="s">
        <v>427</v>
      </c>
      <c r="B320" s="5" t="s">
        <v>427</v>
      </c>
      <c r="C320" s="3">
        <f t="shared" si="46"/>
        <v>1874</v>
      </c>
      <c r="D320" s="3">
        <f t="shared" si="45"/>
        <v>1876</v>
      </c>
      <c r="E320" s="3">
        <v>3</v>
      </c>
      <c r="F320" s="23" t="s">
        <v>182</v>
      </c>
      <c r="G320" s="37" t="s">
        <v>80</v>
      </c>
      <c r="H320" s="39" t="s">
        <v>205</v>
      </c>
    </row>
    <row r="321" spans="1:8" s="59" customFormat="1" ht="51" x14ac:dyDescent="0.2">
      <c r="A321" s="5" t="s">
        <v>427</v>
      </c>
      <c r="B321" s="5" t="s">
        <v>427</v>
      </c>
      <c r="C321" s="3">
        <f t="shared" si="46"/>
        <v>1877</v>
      </c>
      <c r="D321" s="3">
        <f t="shared" si="45"/>
        <v>1878</v>
      </c>
      <c r="E321" s="3">
        <v>2</v>
      </c>
      <c r="F321" s="23" t="s">
        <v>167</v>
      </c>
      <c r="G321" s="37" t="s">
        <v>79</v>
      </c>
      <c r="H321" s="39" t="s">
        <v>207</v>
      </c>
    </row>
    <row r="322" spans="1:8" s="59" customFormat="1" ht="63.75" x14ac:dyDescent="0.2">
      <c r="A322" s="5" t="s">
        <v>427</v>
      </c>
      <c r="B322" s="5" t="s">
        <v>427</v>
      </c>
      <c r="C322" s="3">
        <f t="shared" si="46"/>
        <v>1879</v>
      </c>
      <c r="D322" s="3">
        <f t="shared" si="45"/>
        <v>1881</v>
      </c>
      <c r="E322" s="3">
        <v>3</v>
      </c>
      <c r="F322" s="23" t="s">
        <v>183</v>
      </c>
      <c r="G322" s="37" t="s">
        <v>80</v>
      </c>
      <c r="H322" s="39" t="s">
        <v>208</v>
      </c>
    </row>
    <row r="323" spans="1:8" s="59" customFormat="1" x14ac:dyDescent="0.2">
      <c r="A323" s="60"/>
      <c r="B323" s="60"/>
      <c r="C323" s="3">
        <f t="shared" si="46"/>
        <v>1882</v>
      </c>
      <c r="D323" s="3">
        <f>C323+E323-1</f>
        <v>1901</v>
      </c>
      <c r="E323" s="3">
        <v>20</v>
      </c>
      <c r="F323" s="23" t="s">
        <v>51</v>
      </c>
      <c r="G323" s="37"/>
      <c r="H323" s="39"/>
    </row>
    <row r="324" spans="1:8" s="59" customFormat="1" x14ac:dyDescent="0.2">
      <c r="A324" s="60"/>
      <c r="B324" s="60"/>
      <c r="C324" s="3"/>
      <c r="D324" s="3"/>
      <c r="E324" s="3"/>
      <c r="F324" s="24" t="s">
        <v>341</v>
      </c>
      <c r="G324" s="37"/>
      <c r="H324" s="39"/>
    </row>
    <row r="325" spans="1:8" s="59" customFormat="1" ht="25.5" x14ac:dyDescent="0.2">
      <c r="A325" s="5" t="s">
        <v>427</v>
      </c>
      <c r="B325" s="5" t="s">
        <v>427</v>
      </c>
      <c r="C325" s="3">
        <f>C323+E323</f>
        <v>1902</v>
      </c>
      <c r="D325" s="3">
        <f t="shared" ref="D325:D333" si="47">C325+E325-1</f>
        <v>1903</v>
      </c>
      <c r="E325" s="5">
        <v>2</v>
      </c>
      <c r="F325" s="13" t="s">
        <v>348</v>
      </c>
      <c r="G325" s="37" t="s">
        <v>87</v>
      </c>
      <c r="H325" s="39" t="s">
        <v>153</v>
      </c>
    </row>
    <row r="326" spans="1:8" s="59" customFormat="1" ht="63.75" x14ac:dyDescent="0.2">
      <c r="A326" s="5" t="s">
        <v>427</v>
      </c>
      <c r="B326" s="5" t="s">
        <v>427</v>
      </c>
      <c r="C326" s="3">
        <f t="shared" ref="C326:C333" si="48">C325+E325</f>
        <v>1904</v>
      </c>
      <c r="D326" s="3">
        <f t="shared" si="47"/>
        <v>1904</v>
      </c>
      <c r="E326" s="3">
        <v>1</v>
      </c>
      <c r="F326" s="23" t="s">
        <v>24</v>
      </c>
      <c r="G326" s="37" t="s">
        <v>116</v>
      </c>
      <c r="H326" s="43" t="s">
        <v>369</v>
      </c>
    </row>
    <row r="327" spans="1:8" s="59" customFormat="1" ht="38.25" x14ac:dyDescent="0.2">
      <c r="A327" s="5" t="s">
        <v>427</v>
      </c>
      <c r="B327" s="5" t="s">
        <v>427</v>
      </c>
      <c r="C327" s="3">
        <f t="shared" si="48"/>
        <v>1905</v>
      </c>
      <c r="D327" s="3">
        <f t="shared" si="47"/>
        <v>1905</v>
      </c>
      <c r="E327" s="3">
        <v>1</v>
      </c>
      <c r="F327" s="23" t="s">
        <v>25</v>
      </c>
      <c r="G327" s="37" t="s">
        <v>76</v>
      </c>
      <c r="H327" s="39" t="s">
        <v>112</v>
      </c>
    </row>
    <row r="328" spans="1:8" s="59" customFormat="1" ht="38.25" x14ac:dyDescent="0.2">
      <c r="A328" s="5" t="s">
        <v>427</v>
      </c>
      <c r="B328" s="5" t="s">
        <v>427</v>
      </c>
      <c r="C328" s="3">
        <f t="shared" si="48"/>
        <v>1906</v>
      </c>
      <c r="D328" s="3">
        <f t="shared" si="47"/>
        <v>1906</v>
      </c>
      <c r="E328" s="3">
        <v>1</v>
      </c>
      <c r="F328" s="23" t="s">
        <v>113</v>
      </c>
      <c r="G328" s="37" t="s">
        <v>269</v>
      </c>
      <c r="H328" s="39" t="s">
        <v>270</v>
      </c>
    </row>
    <row r="329" spans="1:8" s="59" customFormat="1" ht="51" x14ac:dyDescent="0.2">
      <c r="A329" s="5" t="s">
        <v>427</v>
      </c>
      <c r="B329" s="5" t="s">
        <v>427</v>
      </c>
      <c r="C329" s="3">
        <f t="shared" si="48"/>
        <v>1907</v>
      </c>
      <c r="D329" s="3">
        <f t="shared" si="47"/>
        <v>1907</v>
      </c>
      <c r="E329" s="3">
        <v>1</v>
      </c>
      <c r="F329" s="23" t="s">
        <v>26</v>
      </c>
      <c r="G329" s="37" t="s">
        <v>77</v>
      </c>
      <c r="H329" s="39" t="s">
        <v>272</v>
      </c>
    </row>
    <row r="330" spans="1:8" s="59" customFormat="1" ht="177" customHeight="1" x14ac:dyDescent="0.2">
      <c r="A330" s="5" t="s">
        <v>427</v>
      </c>
      <c r="B330" s="5" t="s">
        <v>427</v>
      </c>
      <c r="C330" s="3">
        <f t="shared" si="48"/>
        <v>1908</v>
      </c>
      <c r="D330" s="3">
        <f t="shared" si="47"/>
        <v>1908</v>
      </c>
      <c r="E330" s="3">
        <v>1</v>
      </c>
      <c r="F330" s="23" t="s">
        <v>30</v>
      </c>
      <c r="G330" s="37" t="s">
        <v>74</v>
      </c>
      <c r="H330" s="43" t="s">
        <v>368</v>
      </c>
    </row>
    <row r="331" spans="1:8" s="59" customFormat="1" ht="63.75" x14ac:dyDescent="0.2">
      <c r="A331" s="5" t="s">
        <v>427</v>
      </c>
      <c r="B331" s="5" t="s">
        <v>427</v>
      </c>
      <c r="C331" s="3">
        <f t="shared" si="48"/>
        <v>1909</v>
      </c>
      <c r="D331" s="3">
        <f t="shared" si="47"/>
        <v>1909</v>
      </c>
      <c r="E331" s="3">
        <v>1</v>
      </c>
      <c r="F331" s="23" t="s">
        <v>27</v>
      </c>
      <c r="G331" s="37" t="s">
        <v>73</v>
      </c>
      <c r="H331" s="39" t="s">
        <v>313</v>
      </c>
    </row>
    <row r="332" spans="1:8" s="59" customFormat="1" ht="51" x14ac:dyDescent="0.2">
      <c r="A332" s="5" t="s">
        <v>428</v>
      </c>
      <c r="B332" s="5" t="s">
        <v>428</v>
      </c>
      <c r="C332" s="3">
        <f t="shared" si="48"/>
        <v>1910</v>
      </c>
      <c r="D332" s="3">
        <f t="shared" si="47"/>
        <v>1910</v>
      </c>
      <c r="E332" s="3">
        <v>1</v>
      </c>
      <c r="F332" s="23" t="s">
        <v>110</v>
      </c>
      <c r="G332" s="55" t="s">
        <v>366</v>
      </c>
      <c r="H332" s="43" t="s">
        <v>367</v>
      </c>
    </row>
    <row r="333" spans="1:8" s="59" customFormat="1" x14ac:dyDescent="0.2">
      <c r="A333" s="5"/>
      <c r="B333" s="5"/>
      <c r="C333" s="3">
        <f t="shared" si="48"/>
        <v>1911</v>
      </c>
      <c r="D333" s="3">
        <f t="shared" si="47"/>
        <v>1920</v>
      </c>
      <c r="E333" s="6">
        <v>10</v>
      </c>
      <c r="F333" s="9" t="s">
        <v>51</v>
      </c>
      <c r="G333" s="37"/>
      <c r="H333" s="39"/>
    </row>
    <row r="334" spans="1:8" s="59" customFormat="1" x14ac:dyDescent="0.2">
      <c r="A334" s="5"/>
      <c r="B334" s="5"/>
      <c r="C334" s="3"/>
      <c r="D334" s="3"/>
      <c r="E334" s="6"/>
      <c r="F334" s="24" t="s">
        <v>152</v>
      </c>
      <c r="G334" s="37"/>
      <c r="H334" s="39"/>
    </row>
    <row r="335" spans="1:8" s="59" customFormat="1" ht="89.25" x14ac:dyDescent="0.2">
      <c r="A335" s="5" t="s">
        <v>428</v>
      </c>
      <c r="B335" s="5" t="s">
        <v>428</v>
      </c>
      <c r="C335" s="3">
        <f>C333+E333</f>
        <v>1921</v>
      </c>
      <c r="D335" s="3">
        <f>C335+E335-1</f>
        <v>1921</v>
      </c>
      <c r="E335" s="6">
        <v>1</v>
      </c>
      <c r="F335" s="13" t="s">
        <v>336</v>
      </c>
      <c r="G335" s="40" t="s">
        <v>109</v>
      </c>
      <c r="H335" s="43" t="s">
        <v>374</v>
      </c>
    </row>
    <row r="336" spans="1:8" s="59" customFormat="1" ht="63.75" x14ac:dyDescent="0.2">
      <c r="A336" s="5" t="s">
        <v>428</v>
      </c>
      <c r="B336" s="5" t="s">
        <v>428</v>
      </c>
      <c r="C336" s="3">
        <f>C335+E335</f>
        <v>1922</v>
      </c>
      <c r="D336" s="3">
        <f>C336+E336-1</f>
        <v>1922</v>
      </c>
      <c r="E336" s="6">
        <v>1</v>
      </c>
      <c r="F336" s="9" t="s">
        <v>107</v>
      </c>
      <c r="G336" s="40" t="s">
        <v>109</v>
      </c>
      <c r="H336" s="43" t="s">
        <v>388</v>
      </c>
    </row>
    <row r="337" spans="1:8" s="59" customFormat="1" ht="63.75" x14ac:dyDescent="0.2">
      <c r="A337" s="5" t="s">
        <v>428</v>
      </c>
      <c r="B337" s="5" t="s">
        <v>428</v>
      </c>
      <c r="C337" s="3">
        <f>C336+E336</f>
        <v>1923</v>
      </c>
      <c r="D337" s="3">
        <f>C337+E337-1</f>
        <v>1923</v>
      </c>
      <c r="E337" s="6">
        <v>1</v>
      </c>
      <c r="F337" s="9" t="s">
        <v>108</v>
      </c>
      <c r="G337" s="40" t="s">
        <v>109</v>
      </c>
      <c r="H337" s="43" t="s">
        <v>375</v>
      </c>
    </row>
    <row r="338" spans="1:8" s="59" customFormat="1" x14ac:dyDescent="0.2">
      <c r="A338" s="5"/>
      <c r="B338" s="5"/>
      <c r="C338" s="3">
        <f>C337+E337</f>
        <v>1924</v>
      </c>
      <c r="D338" s="3">
        <f>C338+E338-1</f>
        <v>1933</v>
      </c>
      <c r="E338" s="6">
        <v>10</v>
      </c>
      <c r="F338" s="9" t="s">
        <v>51</v>
      </c>
      <c r="G338" s="40"/>
      <c r="H338" s="39"/>
    </row>
    <row r="339" spans="1:8" s="59" customFormat="1" x14ac:dyDescent="0.2">
      <c r="A339" s="5"/>
      <c r="B339" s="5"/>
      <c r="C339" s="3"/>
      <c r="D339" s="3"/>
      <c r="E339" s="3"/>
      <c r="F339" s="24" t="s">
        <v>34</v>
      </c>
      <c r="G339" s="37"/>
      <c r="H339" s="39"/>
    </row>
    <row r="340" spans="1:8" s="59" customFormat="1" ht="25.5" x14ac:dyDescent="0.2">
      <c r="A340" s="5" t="s">
        <v>427</v>
      </c>
      <c r="B340" s="5" t="s">
        <v>427</v>
      </c>
      <c r="C340" s="3">
        <f>C338+E338</f>
        <v>1934</v>
      </c>
      <c r="D340" s="3">
        <f t="shared" ref="D340:D347" si="49">C340+E340-1</f>
        <v>1937</v>
      </c>
      <c r="E340" s="3">
        <v>4</v>
      </c>
      <c r="F340" s="23" t="s">
        <v>32</v>
      </c>
      <c r="G340" s="37" t="s">
        <v>83</v>
      </c>
      <c r="H340" s="66" t="s">
        <v>82</v>
      </c>
    </row>
    <row r="341" spans="1:8" s="59" customFormat="1" ht="51" x14ac:dyDescent="0.2">
      <c r="A341" s="5" t="s">
        <v>427</v>
      </c>
      <c r="B341" s="5" t="s">
        <v>427</v>
      </c>
      <c r="C341" s="3">
        <f t="shared" ref="C341:C345" si="50">C340+E340</f>
        <v>1938</v>
      </c>
      <c r="D341" s="3">
        <f t="shared" si="49"/>
        <v>1939</v>
      </c>
      <c r="E341" s="3">
        <v>2</v>
      </c>
      <c r="F341" s="23" t="s">
        <v>31</v>
      </c>
      <c r="G341" s="37" t="s">
        <v>81</v>
      </c>
      <c r="H341" s="66"/>
    </row>
    <row r="342" spans="1:8" s="59" customFormat="1" ht="25.5" x14ac:dyDescent="0.2">
      <c r="A342" s="5" t="s">
        <v>427</v>
      </c>
      <c r="B342" s="5" t="s">
        <v>427</v>
      </c>
      <c r="C342" s="3">
        <f t="shared" si="50"/>
        <v>1940</v>
      </c>
      <c r="D342" s="3">
        <f t="shared" si="49"/>
        <v>1942</v>
      </c>
      <c r="E342" s="3">
        <v>3</v>
      </c>
      <c r="F342" s="23" t="s">
        <v>33</v>
      </c>
      <c r="G342" s="37" t="s">
        <v>84</v>
      </c>
      <c r="H342" s="39" t="s">
        <v>85</v>
      </c>
    </row>
    <row r="343" spans="1:8" s="59" customFormat="1" ht="63.75" x14ac:dyDescent="0.2">
      <c r="A343" s="5" t="s">
        <v>427</v>
      </c>
      <c r="B343" s="5" t="s">
        <v>427</v>
      </c>
      <c r="C343" s="3">
        <f t="shared" si="50"/>
        <v>1943</v>
      </c>
      <c r="D343" s="3">
        <f t="shared" si="49"/>
        <v>1945</v>
      </c>
      <c r="E343" s="3">
        <v>3</v>
      </c>
      <c r="F343" s="23" t="s">
        <v>314</v>
      </c>
      <c r="G343" s="37" t="s">
        <v>315</v>
      </c>
      <c r="H343" s="39" t="s">
        <v>86</v>
      </c>
    </row>
    <row r="344" spans="1:8" s="59" customFormat="1" x14ac:dyDescent="0.2">
      <c r="A344" s="5"/>
      <c r="B344" s="5"/>
      <c r="C344" s="3">
        <f t="shared" si="50"/>
        <v>1946</v>
      </c>
      <c r="D344" s="3">
        <f t="shared" si="49"/>
        <v>1955</v>
      </c>
      <c r="E344" s="3">
        <v>10</v>
      </c>
      <c r="F344" s="23" t="s">
        <v>51</v>
      </c>
      <c r="G344" s="37"/>
      <c r="H344" s="39"/>
    </row>
    <row r="345" spans="1:8" s="59" customFormat="1" ht="188.25" customHeight="1" x14ac:dyDescent="0.2">
      <c r="A345" s="5" t="s">
        <v>428</v>
      </c>
      <c r="B345" s="5" t="s">
        <v>428</v>
      </c>
      <c r="C345" s="5">
        <f t="shared" si="50"/>
        <v>1956</v>
      </c>
      <c r="D345" s="5">
        <f t="shared" si="49"/>
        <v>2155</v>
      </c>
      <c r="E345" s="5">
        <v>200</v>
      </c>
      <c r="F345" s="13" t="s">
        <v>377</v>
      </c>
      <c r="G345" s="66" t="s">
        <v>396</v>
      </c>
      <c r="H345" s="43" t="s">
        <v>376</v>
      </c>
    </row>
    <row r="346" spans="1:8" s="59" customFormat="1" ht="187.5" customHeight="1" x14ac:dyDescent="0.2">
      <c r="A346" s="5" t="s">
        <v>428</v>
      </c>
      <c r="B346" s="5" t="s">
        <v>428</v>
      </c>
      <c r="C346" s="5">
        <f t="shared" ref="C346" si="51">C345+E345</f>
        <v>2156</v>
      </c>
      <c r="D346" s="5">
        <f t="shared" ref="D346" si="52">C346+E346-1</f>
        <v>2255</v>
      </c>
      <c r="E346" s="5">
        <v>100</v>
      </c>
      <c r="F346" s="13" t="s">
        <v>355</v>
      </c>
      <c r="G346" s="66"/>
      <c r="H346" s="43" t="s">
        <v>378</v>
      </c>
    </row>
    <row r="347" spans="1:8" s="59" customFormat="1" x14ac:dyDescent="0.2">
      <c r="A347" s="60"/>
      <c r="B347" s="60"/>
      <c r="C347" s="3">
        <f>C346+E346</f>
        <v>2256</v>
      </c>
      <c r="D347" s="3">
        <f t="shared" si="49"/>
        <v>2271</v>
      </c>
      <c r="E347" s="3">
        <v>16</v>
      </c>
      <c r="F347" s="23" t="s">
        <v>51</v>
      </c>
      <c r="G347" s="37"/>
      <c r="H347" s="39"/>
    </row>
    <row r="348" spans="1:8" x14ac:dyDescent="0.25">
      <c r="C348" s="3"/>
      <c r="D348" s="3"/>
      <c r="E348" s="7"/>
      <c r="F348" s="24" t="s">
        <v>89</v>
      </c>
      <c r="G348" s="14"/>
      <c r="H348" s="17"/>
    </row>
    <row r="349" spans="1:8" ht="25.5" x14ac:dyDescent="0.25">
      <c r="A349" s="5" t="s">
        <v>427</v>
      </c>
      <c r="B349" s="5" t="s">
        <v>427</v>
      </c>
      <c r="C349" s="3">
        <f>C347+E347</f>
        <v>2272</v>
      </c>
      <c r="D349" s="3">
        <f>C349+E349-1</f>
        <v>2272</v>
      </c>
      <c r="E349" s="3">
        <v>1</v>
      </c>
      <c r="F349" s="23" t="s">
        <v>35</v>
      </c>
      <c r="G349" s="37" t="s">
        <v>50</v>
      </c>
      <c r="H349" s="53" t="s">
        <v>398</v>
      </c>
    </row>
    <row r="350" spans="1:8" ht="153" x14ac:dyDescent="0.25">
      <c r="A350" s="5" t="s">
        <v>427</v>
      </c>
      <c r="B350" s="5" t="s">
        <v>427</v>
      </c>
      <c r="C350" s="3">
        <f>C349+E349</f>
        <v>2273</v>
      </c>
      <c r="D350" s="3">
        <f t="shared" ref="D350:D364" si="53">C350+E350-1</f>
        <v>2277</v>
      </c>
      <c r="E350" s="3">
        <v>5</v>
      </c>
      <c r="F350" s="23" t="s">
        <v>11</v>
      </c>
      <c r="G350" s="38" t="s">
        <v>397</v>
      </c>
      <c r="H350" s="43" t="s">
        <v>399</v>
      </c>
    </row>
    <row r="351" spans="1:8" ht="76.5" x14ac:dyDescent="0.25">
      <c r="A351" s="5" t="s">
        <v>428</v>
      </c>
      <c r="B351" s="5" t="s">
        <v>428</v>
      </c>
      <c r="C351" s="3">
        <f>C350+E350</f>
        <v>2278</v>
      </c>
      <c r="D351" s="3">
        <f t="shared" si="53"/>
        <v>2283</v>
      </c>
      <c r="E351" s="3">
        <v>6</v>
      </c>
      <c r="F351" s="23" t="s">
        <v>12</v>
      </c>
      <c r="G351" s="38" t="s">
        <v>358</v>
      </c>
      <c r="H351" s="43" t="s">
        <v>360</v>
      </c>
    </row>
    <row r="352" spans="1:8" s="59" customFormat="1" ht="18.75" customHeight="1" x14ac:dyDescent="0.2">
      <c r="A352" s="5" t="s">
        <v>427</v>
      </c>
      <c r="B352" s="5" t="s">
        <v>428</v>
      </c>
      <c r="C352" s="3">
        <f t="shared" ref="C352:C357" si="54">C351+E351</f>
        <v>2284</v>
      </c>
      <c r="D352" s="3">
        <f t="shared" si="53"/>
        <v>2303</v>
      </c>
      <c r="E352" s="3">
        <v>20</v>
      </c>
      <c r="F352" s="23" t="s">
        <v>13</v>
      </c>
      <c r="G352" s="64" t="s">
        <v>264</v>
      </c>
      <c r="H352" s="68" t="s">
        <v>328</v>
      </c>
    </row>
    <row r="353" spans="1:8" s="59" customFormat="1" ht="18.75" customHeight="1" x14ac:dyDescent="0.2">
      <c r="A353" s="5" t="s">
        <v>427</v>
      </c>
      <c r="B353" s="5" t="s">
        <v>428</v>
      </c>
      <c r="C353" s="3">
        <f t="shared" si="54"/>
        <v>2304</v>
      </c>
      <c r="D353" s="3">
        <f t="shared" si="53"/>
        <v>2318</v>
      </c>
      <c r="E353" s="3">
        <v>15</v>
      </c>
      <c r="F353" s="23" t="s">
        <v>14</v>
      </c>
      <c r="G353" s="64"/>
      <c r="H353" s="68"/>
    </row>
    <row r="354" spans="1:8" s="59" customFormat="1" ht="21.75" customHeight="1" x14ac:dyDescent="0.2">
      <c r="A354" s="5" t="s">
        <v>427</v>
      </c>
      <c r="B354" s="5" t="s">
        <v>428</v>
      </c>
      <c r="C354" s="3">
        <f t="shared" si="54"/>
        <v>2319</v>
      </c>
      <c r="D354" s="3">
        <f t="shared" si="53"/>
        <v>2319</v>
      </c>
      <c r="E354" s="3">
        <v>1</v>
      </c>
      <c r="F354" s="23" t="s">
        <v>280</v>
      </c>
      <c r="G354" s="64"/>
      <c r="H354" s="68"/>
    </row>
    <row r="355" spans="1:8" s="59" customFormat="1" ht="38.25" x14ac:dyDescent="0.2">
      <c r="A355" s="5"/>
      <c r="B355" s="5"/>
      <c r="C355" s="3">
        <f t="shared" si="54"/>
        <v>2320</v>
      </c>
      <c r="D355" s="3">
        <f t="shared" si="53"/>
        <v>2322</v>
      </c>
      <c r="E355" s="3">
        <v>3</v>
      </c>
      <c r="F355" s="23" t="s">
        <v>149</v>
      </c>
      <c r="G355" s="41" t="s">
        <v>150</v>
      </c>
      <c r="H355" s="66" t="s">
        <v>304</v>
      </c>
    </row>
    <row r="356" spans="1:8" s="59" customFormat="1" x14ac:dyDescent="0.2">
      <c r="A356" s="5" t="s">
        <v>428</v>
      </c>
      <c r="B356" s="5" t="s">
        <v>428</v>
      </c>
      <c r="C356" s="3">
        <f>C355+E355</f>
        <v>2323</v>
      </c>
      <c r="D356" s="3">
        <f t="shared" si="53"/>
        <v>2342</v>
      </c>
      <c r="E356" s="3">
        <v>20</v>
      </c>
      <c r="F356" s="23" t="s">
        <v>15</v>
      </c>
      <c r="G356" s="64" t="s">
        <v>264</v>
      </c>
      <c r="H356" s="66"/>
    </row>
    <row r="357" spans="1:8" s="59" customFormat="1" x14ac:dyDescent="0.2">
      <c r="A357" s="5" t="s">
        <v>428</v>
      </c>
      <c r="B357" s="5" t="s">
        <v>428</v>
      </c>
      <c r="C357" s="3">
        <f t="shared" si="54"/>
        <v>2343</v>
      </c>
      <c r="D357" s="3">
        <f t="shared" si="53"/>
        <v>2362</v>
      </c>
      <c r="E357" s="3">
        <v>20</v>
      </c>
      <c r="F357" s="23" t="s">
        <v>16</v>
      </c>
      <c r="G357" s="64"/>
      <c r="H357" s="66"/>
    </row>
    <row r="358" spans="1:8" s="59" customFormat="1" x14ac:dyDescent="0.2">
      <c r="A358" s="5" t="s">
        <v>428</v>
      </c>
      <c r="B358" s="5" t="s">
        <v>428</v>
      </c>
      <c r="C358" s="3">
        <f t="shared" ref="C358:C364" si="55">C357+E357</f>
        <v>2363</v>
      </c>
      <c r="D358" s="3">
        <f t="shared" si="53"/>
        <v>2363</v>
      </c>
      <c r="E358" s="3">
        <v>1</v>
      </c>
      <c r="F358" s="23" t="s">
        <v>281</v>
      </c>
      <c r="G358" s="64"/>
      <c r="H358" s="66"/>
    </row>
    <row r="359" spans="1:8" s="59" customFormat="1" ht="63.75" x14ac:dyDescent="0.2">
      <c r="A359" s="5" t="s">
        <v>427</v>
      </c>
      <c r="B359" s="5" t="s">
        <v>427</v>
      </c>
      <c r="C359" s="3">
        <f t="shared" si="55"/>
        <v>2364</v>
      </c>
      <c r="D359" s="3">
        <f>C359+E359-1</f>
        <v>2369</v>
      </c>
      <c r="E359" s="3">
        <v>6</v>
      </c>
      <c r="F359" s="23" t="s">
        <v>147</v>
      </c>
      <c r="G359" s="37" t="s">
        <v>209</v>
      </c>
      <c r="H359" s="39" t="s">
        <v>329</v>
      </c>
    </row>
    <row r="360" spans="1:8" ht="63.75" x14ac:dyDescent="0.25">
      <c r="A360" s="5" t="s">
        <v>427</v>
      </c>
      <c r="B360" s="5" t="s">
        <v>427</v>
      </c>
      <c r="C360" s="3">
        <f t="shared" si="55"/>
        <v>2370</v>
      </c>
      <c r="D360" s="3">
        <f t="shared" si="53"/>
        <v>2399</v>
      </c>
      <c r="E360" s="3">
        <v>30</v>
      </c>
      <c r="F360" s="23" t="s">
        <v>17</v>
      </c>
      <c r="G360" s="37" t="s">
        <v>306</v>
      </c>
      <c r="H360" s="39" t="s">
        <v>330</v>
      </c>
    </row>
    <row r="361" spans="1:8" s="59" customFormat="1" ht="51" x14ac:dyDescent="0.2">
      <c r="A361" s="5" t="s">
        <v>427</v>
      </c>
      <c r="B361" s="5" t="s">
        <v>427</v>
      </c>
      <c r="C361" s="3">
        <f t="shared" si="55"/>
        <v>2400</v>
      </c>
      <c r="D361" s="3">
        <f t="shared" si="53"/>
        <v>2419</v>
      </c>
      <c r="E361" s="3">
        <v>20</v>
      </c>
      <c r="F361" s="23" t="s">
        <v>103</v>
      </c>
      <c r="G361" s="37" t="s">
        <v>316</v>
      </c>
      <c r="H361" s="39" t="s">
        <v>328</v>
      </c>
    </row>
    <row r="362" spans="1:8" s="59" customFormat="1" ht="38.25" x14ac:dyDescent="0.2">
      <c r="A362" s="5" t="s">
        <v>427</v>
      </c>
      <c r="B362" s="5" t="s">
        <v>427</v>
      </c>
      <c r="C362" s="3">
        <f t="shared" si="55"/>
        <v>2420</v>
      </c>
      <c r="D362" s="3">
        <f>C362+E362-1</f>
        <v>2425</v>
      </c>
      <c r="E362" s="3">
        <v>6</v>
      </c>
      <c r="F362" s="23" t="s">
        <v>105</v>
      </c>
      <c r="G362" s="37" t="s">
        <v>106</v>
      </c>
      <c r="H362" s="39" t="s">
        <v>295</v>
      </c>
    </row>
    <row r="363" spans="1:8" s="59" customFormat="1" ht="25.5" x14ac:dyDescent="0.2">
      <c r="A363" s="5" t="s">
        <v>427</v>
      </c>
      <c r="B363" s="5" t="s">
        <v>427</v>
      </c>
      <c r="C363" s="3">
        <f t="shared" si="55"/>
        <v>2426</v>
      </c>
      <c r="D363" s="3">
        <f>C363+E363-1</f>
        <v>2426</v>
      </c>
      <c r="E363" s="3">
        <v>1</v>
      </c>
      <c r="F363" s="23" t="s">
        <v>307</v>
      </c>
      <c r="G363" s="37" t="s">
        <v>293</v>
      </c>
      <c r="H363" s="39" t="s">
        <v>292</v>
      </c>
    </row>
    <row r="364" spans="1:8" s="59" customFormat="1" x14ac:dyDescent="0.2">
      <c r="A364" s="60"/>
      <c r="B364" s="60"/>
      <c r="C364" s="3">
        <f t="shared" si="55"/>
        <v>2427</v>
      </c>
      <c r="D364" s="3">
        <f t="shared" si="53"/>
        <v>2446</v>
      </c>
      <c r="E364" s="3">
        <v>20</v>
      </c>
      <c r="F364" s="23" t="s">
        <v>51</v>
      </c>
      <c r="G364" s="37"/>
      <c r="H364" s="39"/>
    </row>
    <row r="365" spans="1:8" s="59" customFormat="1" x14ac:dyDescent="0.2">
      <c r="A365" s="60"/>
      <c r="B365" s="60"/>
      <c r="C365" s="3"/>
      <c r="D365" s="3"/>
      <c r="E365" s="7"/>
      <c r="F365" s="24" t="s">
        <v>18</v>
      </c>
      <c r="G365" s="14"/>
      <c r="H365" s="17"/>
    </row>
    <row r="366" spans="1:8" s="59" customFormat="1" ht="38.25" x14ac:dyDescent="0.2">
      <c r="A366" s="5" t="s">
        <v>428</v>
      </c>
      <c r="B366" s="5" t="s">
        <v>428</v>
      </c>
      <c r="C366" s="3">
        <f>C364+E364</f>
        <v>2447</v>
      </c>
      <c r="D366" s="3">
        <f>C366+E366-1</f>
        <v>2447</v>
      </c>
      <c r="E366" s="3">
        <v>1</v>
      </c>
      <c r="F366" s="23" t="s">
        <v>19</v>
      </c>
      <c r="G366" s="37" t="s">
        <v>93</v>
      </c>
      <c r="H366" s="67"/>
    </row>
    <row r="367" spans="1:8" s="59" customFormat="1" ht="38.25" x14ac:dyDescent="0.2">
      <c r="A367" s="5" t="s">
        <v>428</v>
      </c>
      <c r="B367" s="5" t="s">
        <v>428</v>
      </c>
      <c r="C367" s="3">
        <f>C366+E366</f>
        <v>2448</v>
      </c>
      <c r="D367" s="3">
        <f>C367+E367-1</f>
        <v>2448</v>
      </c>
      <c r="E367" s="3">
        <v>1</v>
      </c>
      <c r="F367" s="23" t="s">
        <v>20</v>
      </c>
      <c r="G367" s="37" t="s">
        <v>93</v>
      </c>
      <c r="H367" s="66"/>
    </row>
    <row r="368" spans="1:8" s="59" customFormat="1" ht="38.25" x14ac:dyDescent="0.2">
      <c r="A368" s="5" t="s">
        <v>428</v>
      </c>
      <c r="B368" s="5" t="s">
        <v>428</v>
      </c>
      <c r="C368" s="3">
        <f>C367+E367</f>
        <v>2449</v>
      </c>
      <c r="D368" s="3">
        <f>C368+E368-1</f>
        <v>2449</v>
      </c>
      <c r="E368" s="3">
        <v>1</v>
      </c>
      <c r="F368" s="23" t="s">
        <v>21</v>
      </c>
      <c r="G368" s="37" t="s">
        <v>93</v>
      </c>
      <c r="H368" s="66"/>
    </row>
    <row r="369" spans="1:8" s="59" customFormat="1" x14ac:dyDescent="0.2">
      <c r="A369" s="5"/>
      <c r="B369" s="5"/>
      <c r="C369" s="3">
        <f>C368+E368</f>
        <v>2450</v>
      </c>
      <c r="D369" s="3">
        <f>C369+E369-1</f>
        <v>2454</v>
      </c>
      <c r="E369" s="3">
        <v>5</v>
      </c>
      <c r="F369" s="23" t="s">
        <v>51</v>
      </c>
      <c r="G369" s="37"/>
      <c r="H369" s="39"/>
    </row>
    <row r="370" spans="1:8" s="59" customFormat="1" x14ac:dyDescent="0.2">
      <c r="A370" s="5"/>
      <c r="B370" s="5"/>
      <c r="C370" s="3"/>
      <c r="D370" s="3"/>
      <c r="E370" s="3"/>
      <c r="F370" s="24" t="s">
        <v>210</v>
      </c>
      <c r="G370" s="37"/>
      <c r="H370" s="39"/>
    </row>
    <row r="371" spans="1:8" s="59" customFormat="1" x14ac:dyDescent="0.2">
      <c r="A371" s="5"/>
      <c r="B371" s="5"/>
      <c r="C371" s="3"/>
      <c r="D371" s="3"/>
      <c r="E371" s="3"/>
      <c r="F371" s="24" t="s">
        <v>104</v>
      </c>
      <c r="G371" s="37"/>
      <c r="H371" s="39"/>
    </row>
    <row r="372" spans="1:8" s="59" customFormat="1" ht="15" customHeight="1" x14ac:dyDescent="0.2">
      <c r="A372" s="5" t="s">
        <v>428</v>
      </c>
      <c r="B372" s="5" t="s">
        <v>428</v>
      </c>
      <c r="C372" s="3">
        <f>C369+E369</f>
        <v>2455</v>
      </c>
      <c r="D372" s="3">
        <f>C372+E372-1</f>
        <v>2455</v>
      </c>
      <c r="E372" s="3">
        <v>1</v>
      </c>
      <c r="F372" s="23" t="s">
        <v>117</v>
      </c>
      <c r="G372" s="66" t="s">
        <v>265</v>
      </c>
      <c r="H372" s="65" t="s">
        <v>362</v>
      </c>
    </row>
    <row r="373" spans="1:8" s="59" customFormat="1" x14ac:dyDescent="0.2">
      <c r="A373" s="5" t="s">
        <v>428</v>
      </c>
      <c r="B373" s="5" t="s">
        <v>428</v>
      </c>
      <c r="C373" s="3">
        <f>C372+E372</f>
        <v>2456</v>
      </c>
      <c r="D373" s="3">
        <f>C373+E373-1</f>
        <v>2456</v>
      </c>
      <c r="E373" s="3">
        <v>1</v>
      </c>
      <c r="F373" s="23" t="s">
        <v>118</v>
      </c>
      <c r="G373" s="66"/>
      <c r="H373" s="65"/>
    </row>
    <row r="374" spans="1:8" s="59" customFormat="1" x14ac:dyDescent="0.2">
      <c r="A374" s="5" t="s">
        <v>428</v>
      </c>
      <c r="B374" s="5" t="s">
        <v>428</v>
      </c>
      <c r="C374" s="3">
        <f t="shared" ref="C374:C385" si="56">C373+E373</f>
        <v>2457</v>
      </c>
      <c r="D374" s="3">
        <f t="shared" ref="D374:D385" si="57">C374+E374-1</f>
        <v>2457</v>
      </c>
      <c r="E374" s="3">
        <v>1</v>
      </c>
      <c r="F374" s="44" t="s">
        <v>361</v>
      </c>
      <c r="G374" s="66"/>
      <c r="H374" s="65"/>
    </row>
    <row r="375" spans="1:8" s="59" customFormat="1" x14ac:dyDescent="0.2">
      <c r="A375" s="5" t="s">
        <v>428</v>
      </c>
      <c r="B375" s="5" t="s">
        <v>428</v>
      </c>
      <c r="C375" s="3">
        <f t="shared" si="56"/>
        <v>2458</v>
      </c>
      <c r="D375" s="3">
        <f t="shared" si="57"/>
        <v>2458</v>
      </c>
      <c r="E375" s="3">
        <v>1</v>
      </c>
      <c r="F375" s="23" t="s">
        <v>119</v>
      </c>
      <c r="G375" s="66"/>
      <c r="H375" s="65"/>
    </row>
    <row r="376" spans="1:8" s="59" customFormat="1" x14ac:dyDescent="0.2">
      <c r="A376" s="5" t="s">
        <v>428</v>
      </c>
      <c r="B376" s="5" t="s">
        <v>428</v>
      </c>
      <c r="C376" s="3">
        <f t="shared" si="56"/>
        <v>2459</v>
      </c>
      <c r="D376" s="3">
        <f t="shared" si="57"/>
        <v>2459</v>
      </c>
      <c r="E376" s="3">
        <v>1</v>
      </c>
      <c r="F376" s="23" t="s">
        <v>120</v>
      </c>
      <c r="G376" s="66"/>
      <c r="H376" s="65"/>
    </row>
    <row r="377" spans="1:8" s="59" customFormat="1" x14ac:dyDescent="0.2">
      <c r="A377" s="5" t="s">
        <v>428</v>
      </c>
      <c r="B377" s="5" t="s">
        <v>428</v>
      </c>
      <c r="C377" s="3">
        <f t="shared" si="56"/>
        <v>2460</v>
      </c>
      <c r="D377" s="3">
        <f t="shared" si="57"/>
        <v>2460</v>
      </c>
      <c r="E377" s="3">
        <v>1</v>
      </c>
      <c r="F377" s="23" t="s">
        <v>121</v>
      </c>
      <c r="G377" s="66"/>
      <c r="H377" s="65"/>
    </row>
    <row r="378" spans="1:8" s="59" customFormat="1" x14ac:dyDescent="0.2">
      <c r="A378" s="5" t="s">
        <v>428</v>
      </c>
      <c r="B378" s="5" t="s">
        <v>428</v>
      </c>
      <c r="C378" s="3">
        <f t="shared" si="56"/>
        <v>2461</v>
      </c>
      <c r="D378" s="3">
        <f t="shared" si="57"/>
        <v>2461</v>
      </c>
      <c r="E378" s="3">
        <v>1</v>
      </c>
      <c r="F378" s="23" t="s">
        <v>282</v>
      </c>
      <c r="G378" s="66"/>
      <c r="H378" s="65"/>
    </row>
    <row r="379" spans="1:8" s="59" customFormat="1" x14ac:dyDescent="0.2">
      <c r="A379" s="5" t="s">
        <v>428</v>
      </c>
      <c r="B379" s="5" t="s">
        <v>428</v>
      </c>
      <c r="C379" s="3">
        <f t="shared" si="56"/>
        <v>2462</v>
      </c>
      <c r="D379" s="3">
        <f t="shared" si="57"/>
        <v>2462</v>
      </c>
      <c r="E379" s="3">
        <v>1</v>
      </c>
      <c r="F379" s="23" t="s">
        <v>297</v>
      </c>
      <c r="G379" s="74"/>
      <c r="H379" s="65"/>
    </row>
    <row r="380" spans="1:8" s="59" customFormat="1" x14ac:dyDescent="0.2">
      <c r="A380" s="5" t="s">
        <v>428</v>
      </c>
      <c r="B380" s="5" t="s">
        <v>428</v>
      </c>
      <c r="C380" s="3">
        <f>C379+E379</f>
        <v>2463</v>
      </c>
      <c r="D380" s="3">
        <f t="shared" si="57"/>
        <v>2463</v>
      </c>
      <c r="E380" s="3">
        <v>1</v>
      </c>
      <c r="F380" s="23" t="s">
        <v>122</v>
      </c>
      <c r="G380" s="66"/>
      <c r="H380" s="65"/>
    </row>
    <row r="381" spans="1:8" s="59" customFormat="1" x14ac:dyDescent="0.2">
      <c r="A381" s="5" t="s">
        <v>428</v>
      </c>
      <c r="B381" s="5" t="s">
        <v>428</v>
      </c>
      <c r="C381" s="3">
        <f t="shared" si="56"/>
        <v>2464</v>
      </c>
      <c r="D381" s="3">
        <f t="shared" si="57"/>
        <v>2464</v>
      </c>
      <c r="E381" s="3">
        <v>1</v>
      </c>
      <c r="F381" s="23" t="s">
        <v>123</v>
      </c>
      <c r="G381" s="66"/>
      <c r="H381" s="65"/>
    </row>
    <row r="382" spans="1:8" s="59" customFormat="1" x14ac:dyDescent="0.2">
      <c r="A382" s="5" t="s">
        <v>428</v>
      </c>
      <c r="B382" s="5" t="s">
        <v>428</v>
      </c>
      <c r="C382" s="3">
        <f t="shared" si="56"/>
        <v>2465</v>
      </c>
      <c r="D382" s="3">
        <f t="shared" si="57"/>
        <v>2465</v>
      </c>
      <c r="E382" s="3">
        <v>1</v>
      </c>
      <c r="F382" s="23" t="s">
        <v>124</v>
      </c>
      <c r="G382" s="66"/>
      <c r="H382" s="65"/>
    </row>
    <row r="383" spans="1:8" s="59" customFormat="1" x14ac:dyDescent="0.2">
      <c r="A383" s="5" t="s">
        <v>428</v>
      </c>
      <c r="B383" s="5" t="s">
        <v>428</v>
      </c>
      <c r="C383" s="3">
        <f t="shared" si="56"/>
        <v>2466</v>
      </c>
      <c r="D383" s="3">
        <f t="shared" si="57"/>
        <v>2466</v>
      </c>
      <c r="E383" s="3">
        <v>1</v>
      </c>
      <c r="F383" s="23" t="s">
        <v>125</v>
      </c>
      <c r="G383" s="66"/>
      <c r="H383" s="65"/>
    </row>
    <row r="384" spans="1:8" s="59" customFormat="1" x14ac:dyDescent="0.2">
      <c r="A384" s="5" t="s">
        <v>428</v>
      </c>
      <c r="B384" s="5" t="s">
        <v>428</v>
      </c>
      <c r="C384" s="3">
        <f t="shared" si="56"/>
        <v>2467</v>
      </c>
      <c r="D384" s="3">
        <f t="shared" si="57"/>
        <v>2467</v>
      </c>
      <c r="E384" s="3">
        <v>1</v>
      </c>
      <c r="F384" s="23" t="s">
        <v>126</v>
      </c>
      <c r="G384" s="66"/>
      <c r="H384" s="65"/>
    </row>
    <row r="385" spans="1:8" s="59" customFormat="1" x14ac:dyDescent="0.2">
      <c r="A385" s="5" t="s">
        <v>428</v>
      </c>
      <c r="B385" s="5" t="s">
        <v>428</v>
      </c>
      <c r="C385" s="3">
        <f t="shared" si="56"/>
        <v>2468</v>
      </c>
      <c r="D385" s="3">
        <f t="shared" si="57"/>
        <v>2468</v>
      </c>
      <c r="E385" s="3">
        <v>1</v>
      </c>
      <c r="F385" s="23" t="s">
        <v>127</v>
      </c>
      <c r="G385" s="66"/>
      <c r="H385" s="65"/>
    </row>
    <row r="386" spans="1:8" s="59" customFormat="1" x14ac:dyDescent="0.2">
      <c r="A386" s="5"/>
      <c r="B386" s="5"/>
      <c r="C386" s="3"/>
      <c r="D386" s="3"/>
      <c r="E386" s="3"/>
      <c r="F386" s="24" t="s">
        <v>331</v>
      </c>
      <c r="G386" s="37"/>
      <c r="H386" s="39"/>
    </row>
    <row r="387" spans="1:8" s="59" customFormat="1" ht="15" customHeight="1" x14ac:dyDescent="0.2">
      <c r="A387" s="5" t="s">
        <v>427</v>
      </c>
      <c r="B387" s="5" t="s">
        <v>427</v>
      </c>
      <c r="C387" s="3">
        <f>C385+E385</f>
        <v>2469</v>
      </c>
      <c r="D387" s="3">
        <f>C387+E387-1</f>
        <v>2469</v>
      </c>
      <c r="E387" s="3">
        <v>1</v>
      </c>
      <c r="F387" s="23" t="s">
        <v>117</v>
      </c>
      <c r="G387" s="66" t="s">
        <v>265</v>
      </c>
      <c r="H387" s="66" t="s">
        <v>400</v>
      </c>
    </row>
    <row r="388" spans="1:8" s="59" customFormat="1" x14ac:dyDescent="0.2">
      <c r="A388" s="5" t="s">
        <v>427</v>
      </c>
      <c r="B388" s="5" t="s">
        <v>427</v>
      </c>
      <c r="C388" s="3">
        <f>C387+E387</f>
        <v>2470</v>
      </c>
      <c r="D388" s="3">
        <f>C388+E388-1</f>
        <v>2470</v>
      </c>
      <c r="E388" s="3">
        <v>1</v>
      </c>
      <c r="F388" s="23" t="s">
        <v>118</v>
      </c>
      <c r="G388" s="66"/>
      <c r="H388" s="66"/>
    </row>
    <row r="389" spans="1:8" s="59" customFormat="1" x14ac:dyDescent="0.2">
      <c r="A389" s="5" t="s">
        <v>427</v>
      </c>
      <c r="B389" s="5" t="s">
        <v>427</v>
      </c>
      <c r="C389" s="3">
        <f t="shared" ref="C389:C401" si="58">C388+E388</f>
        <v>2471</v>
      </c>
      <c r="D389" s="3">
        <f t="shared" ref="D389:D401" si="59">C389+E389-1</f>
        <v>2471</v>
      </c>
      <c r="E389" s="3">
        <v>1</v>
      </c>
      <c r="F389" s="54" t="s">
        <v>363</v>
      </c>
      <c r="G389" s="66"/>
      <c r="H389" s="66"/>
    </row>
    <row r="390" spans="1:8" s="59" customFormat="1" x14ac:dyDescent="0.2">
      <c r="A390" s="5" t="s">
        <v>427</v>
      </c>
      <c r="B390" s="5" t="s">
        <v>427</v>
      </c>
      <c r="C390" s="3">
        <f t="shared" si="58"/>
        <v>2472</v>
      </c>
      <c r="D390" s="3">
        <f t="shared" si="59"/>
        <v>2472</v>
      </c>
      <c r="E390" s="3">
        <v>1</v>
      </c>
      <c r="F390" s="23" t="s">
        <v>119</v>
      </c>
      <c r="G390" s="66"/>
      <c r="H390" s="66"/>
    </row>
    <row r="391" spans="1:8" s="59" customFormat="1" x14ac:dyDescent="0.2">
      <c r="A391" s="5" t="s">
        <v>427</v>
      </c>
      <c r="B391" s="5" t="s">
        <v>427</v>
      </c>
      <c r="C391" s="3">
        <f t="shared" si="58"/>
        <v>2473</v>
      </c>
      <c r="D391" s="3">
        <f t="shared" si="59"/>
        <v>2473</v>
      </c>
      <c r="E391" s="3">
        <v>1</v>
      </c>
      <c r="F391" s="23" t="s">
        <v>120</v>
      </c>
      <c r="G391" s="66"/>
      <c r="H391" s="66"/>
    </row>
    <row r="392" spans="1:8" s="59" customFormat="1" x14ac:dyDescent="0.2">
      <c r="A392" s="5" t="s">
        <v>427</v>
      </c>
      <c r="B392" s="5" t="s">
        <v>427</v>
      </c>
      <c r="C392" s="3">
        <f t="shared" si="58"/>
        <v>2474</v>
      </c>
      <c r="D392" s="3">
        <f t="shared" si="59"/>
        <v>2474</v>
      </c>
      <c r="E392" s="3">
        <v>1</v>
      </c>
      <c r="F392" s="23" t="s">
        <v>121</v>
      </c>
      <c r="G392" s="66"/>
      <c r="H392" s="66"/>
    </row>
    <row r="393" spans="1:8" s="59" customFormat="1" x14ac:dyDescent="0.2">
      <c r="A393" s="5" t="s">
        <v>427</v>
      </c>
      <c r="B393" s="5" t="s">
        <v>427</v>
      </c>
      <c r="C393" s="3">
        <f t="shared" si="58"/>
        <v>2475</v>
      </c>
      <c r="D393" s="3">
        <f t="shared" si="59"/>
        <v>2475</v>
      </c>
      <c r="E393" s="3">
        <v>1</v>
      </c>
      <c r="F393" s="23" t="s">
        <v>282</v>
      </c>
      <c r="G393" s="66"/>
      <c r="H393" s="66"/>
    </row>
    <row r="394" spans="1:8" s="59" customFormat="1" x14ac:dyDescent="0.2">
      <c r="A394" s="5" t="s">
        <v>427</v>
      </c>
      <c r="B394" s="5" t="s">
        <v>427</v>
      </c>
      <c r="C394" s="3">
        <f t="shared" si="58"/>
        <v>2476</v>
      </c>
      <c r="D394" s="3">
        <f t="shared" si="59"/>
        <v>2476</v>
      </c>
      <c r="E394" s="3">
        <v>1</v>
      </c>
      <c r="F394" s="23" t="s">
        <v>297</v>
      </c>
      <c r="G394" s="66"/>
      <c r="H394" s="66"/>
    </row>
    <row r="395" spans="1:8" s="59" customFormat="1" x14ac:dyDescent="0.2">
      <c r="A395" s="5" t="s">
        <v>427</v>
      </c>
      <c r="B395" s="5" t="s">
        <v>427</v>
      </c>
      <c r="C395" s="3">
        <f>C394+E394</f>
        <v>2477</v>
      </c>
      <c r="D395" s="3">
        <f t="shared" si="59"/>
        <v>2477</v>
      </c>
      <c r="E395" s="3">
        <v>1</v>
      </c>
      <c r="F395" s="23" t="s">
        <v>122</v>
      </c>
      <c r="G395" s="66"/>
      <c r="H395" s="66"/>
    </row>
    <row r="396" spans="1:8" s="59" customFormat="1" x14ac:dyDescent="0.2">
      <c r="A396" s="5" t="s">
        <v>427</v>
      </c>
      <c r="B396" s="5" t="s">
        <v>427</v>
      </c>
      <c r="C396" s="3">
        <f t="shared" si="58"/>
        <v>2478</v>
      </c>
      <c r="D396" s="3">
        <f t="shared" si="59"/>
        <v>2478</v>
      </c>
      <c r="E396" s="3">
        <v>1</v>
      </c>
      <c r="F396" s="23" t="s">
        <v>123</v>
      </c>
      <c r="G396" s="66"/>
      <c r="H396" s="66"/>
    </row>
    <row r="397" spans="1:8" s="59" customFormat="1" x14ac:dyDescent="0.2">
      <c r="A397" s="5" t="s">
        <v>427</v>
      </c>
      <c r="B397" s="5" t="s">
        <v>427</v>
      </c>
      <c r="C397" s="3">
        <f t="shared" si="58"/>
        <v>2479</v>
      </c>
      <c r="D397" s="3">
        <f t="shared" si="59"/>
        <v>2479</v>
      </c>
      <c r="E397" s="3">
        <v>1</v>
      </c>
      <c r="F397" s="23" t="s">
        <v>124</v>
      </c>
      <c r="G397" s="66"/>
      <c r="H397" s="66"/>
    </row>
    <row r="398" spans="1:8" s="59" customFormat="1" x14ac:dyDescent="0.2">
      <c r="A398" s="5" t="s">
        <v>427</v>
      </c>
      <c r="B398" s="5" t="s">
        <v>427</v>
      </c>
      <c r="C398" s="3">
        <f t="shared" si="58"/>
        <v>2480</v>
      </c>
      <c r="D398" s="3">
        <f t="shared" si="59"/>
        <v>2480</v>
      </c>
      <c r="E398" s="3">
        <v>1</v>
      </c>
      <c r="F398" s="23" t="s">
        <v>125</v>
      </c>
      <c r="G398" s="66"/>
      <c r="H398" s="66"/>
    </row>
    <row r="399" spans="1:8" s="59" customFormat="1" x14ac:dyDescent="0.2">
      <c r="A399" s="5" t="s">
        <v>427</v>
      </c>
      <c r="B399" s="5" t="s">
        <v>427</v>
      </c>
      <c r="C399" s="3">
        <f t="shared" si="58"/>
        <v>2481</v>
      </c>
      <c r="D399" s="3">
        <f t="shared" si="59"/>
        <v>2481</v>
      </c>
      <c r="E399" s="3">
        <v>1</v>
      </c>
      <c r="F399" s="23" t="s">
        <v>126</v>
      </c>
      <c r="G399" s="66"/>
      <c r="H399" s="66"/>
    </row>
    <row r="400" spans="1:8" s="59" customFormat="1" x14ac:dyDescent="0.2">
      <c r="A400" s="5" t="s">
        <v>427</v>
      </c>
      <c r="B400" s="5" t="s">
        <v>427</v>
      </c>
      <c r="C400" s="3">
        <f t="shared" si="58"/>
        <v>2482</v>
      </c>
      <c r="D400" s="3">
        <f t="shared" si="59"/>
        <v>2482</v>
      </c>
      <c r="E400" s="3">
        <v>1</v>
      </c>
      <c r="F400" s="23" t="s">
        <v>127</v>
      </c>
      <c r="G400" s="66"/>
      <c r="H400" s="66"/>
    </row>
    <row r="401" spans="1:8" s="59" customFormat="1" x14ac:dyDescent="0.2">
      <c r="A401" s="5"/>
      <c r="B401" s="5"/>
      <c r="C401" s="3">
        <f t="shared" si="58"/>
        <v>2483</v>
      </c>
      <c r="D401" s="3">
        <f t="shared" si="59"/>
        <v>2502</v>
      </c>
      <c r="E401" s="3">
        <v>20</v>
      </c>
      <c r="F401" s="23" t="s">
        <v>51</v>
      </c>
      <c r="G401" s="37"/>
      <c r="H401" s="39"/>
    </row>
    <row r="402" spans="1:8" s="59" customFormat="1" x14ac:dyDescent="0.2">
      <c r="A402" s="5"/>
      <c r="B402" s="5"/>
      <c r="C402" s="3"/>
      <c r="D402" s="3"/>
      <c r="E402" s="3"/>
      <c r="F402" s="24" t="s">
        <v>213</v>
      </c>
      <c r="G402" s="37"/>
      <c r="H402" s="39"/>
    </row>
    <row r="403" spans="1:8" s="59" customFormat="1" ht="38.25" x14ac:dyDescent="0.2">
      <c r="A403" s="5" t="s">
        <v>427</v>
      </c>
      <c r="B403" s="5" t="s">
        <v>427</v>
      </c>
      <c r="C403" s="3">
        <f>C401+E401</f>
        <v>2503</v>
      </c>
      <c r="D403" s="3">
        <f t="shared" ref="D403:D410" si="60">C403+E403-1</f>
        <v>2505</v>
      </c>
      <c r="E403" s="3">
        <v>3</v>
      </c>
      <c r="F403" s="23" t="s">
        <v>22</v>
      </c>
      <c r="G403" s="39" t="s">
        <v>75</v>
      </c>
      <c r="H403" s="39" t="s">
        <v>211</v>
      </c>
    </row>
    <row r="404" spans="1:8" s="59" customFormat="1" ht="38.25" x14ac:dyDescent="0.2">
      <c r="A404" s="5" t="s">
        <v>427</v>
      </c>
      <c r="B404" s="5" t="s">
        <v>427</v>
      </c>
      <c r="C404" s="3">
        <f t="shared" ref="C404:C410" si="61">C403+E403</f>
        <v>2506</v>
      </c>
      <c r="D404" s="3">
        <f t="shared" si="60"/>
        <v>2508</v>
      </c>
      <c r="E404" s="3">
        <v>3</v>
      </c>
      <c r="F404" s="23" t="s">
        <v>23</v>
      </c>
      <c r="G404" s="39" t="s">
        <v>75</v>
      </c>
      <c r="H404" s="39" t="s">
        <v>212</v>
      </c>
    </row>
    <row r="405" spans="1:8" s="59" customFormat="1" ht="102" x14ac:dyDescent="0.2">
      <c r="A405" s="5" t="s">
        <v>427</v>
      </c>
      <c r="B405" s="5" t="s">
        <v>427</v>
      </c>
      <c r="C405" s="3">
        <f t="shared" si="61"/>
        <v>2509</v>
      </c>
      <c r="D405" s="3">
        <f t="shared" si="60"/>
        <v>2511</v>
      </c>
      <c r="E405" s="3">
        <v>3</v>
      </c>
      <c r="F405" s="23" t="s">
        <v>132</v>
      </c>
      <c r="G405" s="39" t="s">
        <v>75</v>
      </c>
      <c r="H405" s="56" t="s">
        <v>402</v>
      </c>
    </row>
    <row r="406" spans="1:8" s="59" customFormat="1" ht="51" x14ac:dyDescent="0.2">
      <c r="A406" s="5" t="s">
        <v>427</v>
      </c>
      <c r="B406" s="5" t="s">
        <v>427</v>
      </c>
      <c r="C406" s="3">
        <f t="shared" si="61"/>
        <v>2512</v>
      </c>
      <c r="D406" s="3">
        <f t="shared" si="60"/>
        <v>2514</v>
      </c>
      <c r="E406" s="3">
        <v>3</v>
      </c>
      <c r="F406" s="23" t="s">
        <v>133</v>
      </c>
      <c r="G406" s="39" t="s">
        <v>80</v>
      </c>
      <c r="H406" s="43" t="s">
        <v>140</v>
      </c>
    </row>
    <row r="407" spans="1:8" s="59" customFormat="1" ht="76.5" x14ac:dyDescent="0.2">
      <c r="A407" s="5" t="s">
        <v>427</v>
      </c>
      <c r="B407" s="5" t="s">
        <v>427</v>
      </c>
      <c r="C407" s="3">
        <f t="shared" si="61"/>
        <v>2515</v>
      </c>
      <c r="D407" s="3">
        <f t="shared" si="60"/>
        <v>2517</v>
      </c>
      <c r="E407" s="3">
        <v>3</v>
      </c>
      <c r="F407" s="23" t="s">
        <v>28</v>
      </c>
      <c r="G407" s="37" t="s">
        <v>78</v>
      </c>
      <c r="H407" s="56" t="s">
        <v>403</v>
      </c>
    </row>
    <row r="408" spans="1:8" s="59" customFormat="1" ht="76.5" x14ac:dyDescent="0.2">
      <c r="A408" s="5" t="s">
        <v>427</v>
      </c>
      <c r="B408" s="5" t="s">
        <v>427</v>
      </c>
      <c r="C408" s="3">
        <f t="shared" si="61"/>
        <v>2518</v>
      </c>
      <c r="D408" s="3">
        <f t="shared" si="60"/>
        <v>2519</v>
      </c>
      <c r="E408" s="3">
        <v>2</v>
      </c>
      <c r="F408" s="23" t="s">
        <v>111</v>
      </c>
      <c r="G408" s="37" t="s">
        <v>312</v>
      </c>
      <c r="H408" s="57" t="s">
        <v>404</v>
      </c>
    </row>
    <row r="409" spans="1:8" s="59" customFormat="1" ht="76.5" x14ac:dyDescent="0.2">
      <c r="A409" s="5" t="s">
        <v>427</v>
      </c>
      <c r="B409" s="5" t="s">
        <v>427</v>
      </c>
      <c r="C409" s="3">
        <f t="shared" si="61"/>
        <v>2520</v>
      </c>
      <c r="D409" s="3">
        <f t="shared" si="60"/>
        <v>2522</v>
      </c>
      <c r="E409" s="3">
        <v>3</v>
      </c>
      <c r="F409" s="23" t="s">
        <v>115</v>
      </c>
      <c r="G409" s="37" t="s">
        <v>114</v>
      </c>
      <c r="H409" s="57" t="s">
        <v>405</v>
      </c>
    </row>
    <row r="410" spans="1:8" s="59" customFormat="1" x14ac:dyDescent="0.2">
      <c r="A410" s="5"/>
      <c r="B410" s="5"/>
      <c r="C410" s="3">
        <f t="shared" si="61"/>
        <v>2523</v>
      </c>
      <c r="D410" s="3">
        <f t="shared" si="60"/>
        <v>2537</v>
      </c>
      <c r="E410" s="3">
        <v>15</v>
      </c>
      <c r="F410" s="23" t="s">
        <v>51</v>
      </c>
      <c r="G410" s="37"/>
      <c r="H410" s="40"/>
    </row>
    <row r="411" spans="1:8" s="59" customFormat="1" x14ac:dyDescent="0.2">
      <c r="A411" s="5"/>
      <c r="B411" s="5"/>
      <c r="C411" s="3"/>
      <c r="D411" s="3"/>
      <c r="E411" s="3"/>
      <c r="F411" s="24" t="s">
        <v>283</v>
      </c>
      <c r="G411" s="37"/>
      <c r="H411" s="40"/>
    </row>
    <row r="412" spans="1:8" s="59" customFormat="1" ht="25.5" x14ac:dyDescent="0.2">
      <c r="A412" s="5" t="s">
        <v>428</v>
      </c>
      <c r="B412" s="5" t="s">
        <v>428</v>
      </c>
      <c r="C412" s="3">
        <f>C410+E410</f>
        <v>2538</v>
      </c>
      <c r="D412" s="3">
        <f>C412+E412-1</f>
        <v>2540</v>
      </c>
      <c r="E412" s="3">
        <v>3</v>
      </c>
      <c r="F412" s="23" t="s">
        <v>266</v>
      </c>
      <c r="G412" s="37" t="s">
        <v>78</v>
      </c>
      <c r="H412" s="39" t="s">
        <v>268</v>
      </c>
    </row>
    <row r="413" spans="1:8" s="59" customFormat="1" ht="25.5" x14ac:dyDescent="0.2">
      <c r="A413" s="5" t="s">
        <v>428</v>
      </c>
      <c r="B413" s="5" t="s">
        <v>428</v>
      </c>
      <c r="C413" s="3">
        <f>C412+E412</f>
        <v>2541</v>
      </c>
      <c r="D413" s="3">
        <f>C413+E413-1</f>
        <v>2543</v>
      </c>
      <c r="E413" s="3">
        <v>3</v>
      </c>
      <c r="F413" s="23" t="s">
        <v>267</v>
      </c>
      <c r="G413" s="37" t="s">
        <v>78</v>
      </c>
      <c r="H413" s="39" t="s">
        <v>268</v>
      </c>
    </row>
    <row r="414" spans="1:8" s="59" customFormat="1" x14ac:dyDescent="0.2">
      <c r="A414" s="5"/>
      <c r="B414" s="5"/>
      <c r="C414" s="3"/>
      <c r="D414" s="3"/>
      <c r="E414" s="3"/>
      <c r="F414" s="24" t="s">
        <v>130</v>
      </c>
      <c r="G414" s="37"/>
      <c r="H414" s="39"/>
    </row>
    <row r="415" spans="1:8" s="59" customFormat="1" ht="38.25" x14ac:dyDescent="0.2">
      <c r="A415" s="5" t="s">
        <v>427</v>
      </c>
      <c r="B415" s="5" t="s">
        <v>427</v>
      </c>
      <c r="C415" s="3">
        <f>C413+E413</f>
        <v>2544</v>
      </c>
      <c r="D415" s="3">
        <f t="shared" ref="D415:D420" si="62">C415+E415-1</f>
        <v>2545</v>
      </c>
      <c r="E415" s="3">
        <v>2</v>
      </c>
      <c r="F415" s="23" t="s">
        <v>223</v>
      </c>
      <c r="G415" s="37" t="s">
        <v>79</v>
      </c>
      <c r="H415" s="39" t="s">
        <v>214</v>
      </c>
    </row>
    <row r="416" spans="1:8" s="59" customFormat="1" ht="63.75" x14ac:dyDescent="0.2">
      <c r="A416" s="5" t="s">
        <v>427</v>
      </c>
      <c r="B416" s="5" t="s">
        <v>427</v>
      </c>
      <c r="C416" s="3">
        <f t="shared" ref="C416:C421" si="63">C415+E415</f>
        <v>2546</v>
      </c>
      <c r="D416" s="3">
        <f t="shared" si="62"/>
        <v>2548</v>
      </c>
      <c r="E416" s="3">
        <v>3</v>
      </c>
      <c r="F416" s="23" t="s">
        <v>220</v>
      </c>
      <c r="G416" s="37" t="s">
        <v>80</v>
      </c>
      <c r="H416" s="39" t="s">
        <v>215</v>
      </c>
    </row>
    <row r="417" spans="1:9" s="59" customFormat="1" ht="38.25" x14ac:dyDescent="0.2">
      <c r="A417" s="5" t="s">
        <v>427</v>
      </c>
      <c r="B417" s="5" t="s">
        <v>427</v>
      </c>
      <c r="C417" s="3">
        <f t="shared" si="63"/>
        <v>2549</v>
      </c>
      <c r="D417" s="3">
        <f t="shared" si="62"/>
        <v>2550</v>
      </c>
      <c r="E417" s="3">
        <v>2</v>
      </c>
      <c r="F417" s="23" t="s">
        <v>224</v>
      </c>
      <c r="G417" s="37" t="s">
        <v>79</v>
      </c>
      <c r="H417" s="39" t="s">
        <v>216</v>
      </c>
    </row>
    <row r="418" spans="1:9" s="59" customFormat="1" ht="51" x14ac:dyDescent="0.2">
      <c r="A418" s="5" t="s">
        <v>427</v>
      </c>
      <c r="B418" s="5" t="s">
        <v>427</v>
      </c>
      <c r="C418" s="3">
        <f t="shared" si="63"/>
        <v>2551</v>
      </c>
      <c r="D418" s="3">
        <f t="shared" si="62"/>
        <v>2553</v>
      </c>
      <c r="E418" s="3">
        <v>3</v>
      </c>
      <c r="F418" s="23" t="s">
        <v>221</v>
      </c>
      <c r="G418" s="37" t="s">
        <v>80</v>
      </c>
      <c r="H418" s="39" t="s">
        <v>217</v>
      </c>
    </row>
    <row r="419" spans="1:9" s="59" customFormat="1" ht="38.25" x14ac:dyDescent="0.2">
      <c r="A419" s="5" t="s">
        <v>427</v>
      </c>
      <c r="B419" s="5" t="s">
        <v>427</v>
      </c>
      <c r="C419" s="3">
        <f t="shared" si="63"/>
        <v>2554</v>
      </c>
      <c r="D419" s="3">
        <f t="shared" si="62"/>
        <v>2555</v>
      </c>
      <c r="E419" s="3">
        <v>2</v>
      </c>
      <c r="F419" s="23" t="s">
        <v>225</v>
      </c>
      <c r="G419" s="37" t="s">
        <v>79</v>
      </c>
      <c r="H419" s="39" t="s">
        <v>219</v>
      </c>
    </row>
    <row r="420" spans="1:9" s="59" customFormat="1" ht="63.75" x14ac:dyDescent="0.2">
      <c r="A420" s="5" t="s">
        <v>427</v>
      </c>
      <c r="B420" s="5" t="s">
        <v>427</v>
      </c>
      <c r="C420" s="3">
        <f t="shared" si="63"/>
        <v>2556</v>
      </c>
      <c r="D420" s="3">
        <f t="shared" si="62"/>
        <v>2558</v>
      </c>
      <c r="E420" s="3">
        <v>3</v>
      </c>
      <c r="F420" s="23" t="s">
        <v>222</v>
      </c>
      <c r="G420" s="37" t="s">
        <v>80</v>
      </c>
      <c r="H420" s="39" t="s">
        <v>218</v>
      </c>
    </row>
    <row r="421" spans="1:9" s="59" customFormat="1" x14ac:dyDescent="0.2">
      <c r="A421" s="60"/>
      <c r="B421" s="60"/>
      <c r="C421" s="3">
        <f t="shared" si="63"/>
        <v>2559</v>
      </c>
      <c r="D421" s="3">
        <f>C421+E421-1</f>
        <v>2578</v>
      </c>
      <c r="E421" s="3">
        <v>20</v>
      </c>
      <c r="F421" s="23" t="s">
        <v>51</v>
      </c>
      <c r="G421" s="37"/>
      <c r="H421" s="39"/>
    </row>
    <row r="422" spans="1:9" s="59" customFormat="1" x14ac:dyDescent="0.2">
      <c r="A422" s="60"/>
      <c r="B422" s="60"/>
      <c r="C422" s="3"/>
      <c r="D422" s="3"/>
      <c r="E422" s="3"/>
      <c r="F422" s="24" t="s">
        <v>342</v>
      </c>
      <c r="G422" s="37"/>
      <c r="H422" s="39"/>
    </row>
    <row r="423" spans="1:9" s="59" customFormat="1" ht="25.5" x14ac:dyDescent="0.2">
      <c r="A423" s="5" t="s">
        <v>427</v>
      </c>
      <c r="B423" s="5" t="s">
        <v>427</v>
      </c>
      <c r="C423" s="3">
        <f>C421+E421</f>
        <v>2579</v>
      </c>
      <c r="D423" s="3">
        <f t="shared" ref="D423:D431" si="64">C423+E423-1</f>
        <v>2580</v>
      </c>
      <c r="E423" s="5">
        <v>2</v>
      </c>
      <c r="F423" s="13" t="s">
        <v>347</v>
      </c>
      <c r="G423" s="37" t="s">
        <v>87</v>
      </c>
      <c r="H423" s="39" t="s">
        <v>153</v>
      </c>
    </row>
    <row r="424" spans="1:9" s="59" customFormat="1" ht="63.75" x14ac:dyDescent="0.2">
      <c r="A424" s="5" t="s">
        <v>427</v>
      </c>
      <c r="B424" s="5" t="s">
        <v>427</v>
      </c>
      <c r="C424" s="3">
        <f t="shared" ref="C424:C431" si="65">C423+E423</f>
        <v>2581</v>
      </c>
      <c r="D424" s="3">
        <f t="shared" si="64"/>
        <v>2581</v>
      </c>
      <c r="E424" s="3">
        <v>1</v>
      </c>
      <c r="F424" s="23" t="s">
        <v>24</v>
      </c>
      <c r="G424" s="37" t="s">
        <v>116</v>
      </c>
      <c r="H424" s="43" t="s">
        <v>369</v>
      </c>
    </row>
    <row r="425" spans="1:9" s="59" customFormat="1" ht="38.25" x14ac:dyDescent="0.2">
      <c r="A425" s="5" t="s">
        <v>427</v>
      </c>
      <c r="B425" s="5" t="s">
        <v>427</v>
      </c>
      <c r="C425" s="3">
        <f t="shared" si="65"/>
        <v>2582</v>
      </c>
      <c r="D425" s="3">
        <f t="shared" si="64"/>
        <v>2582</v>
      </c>
      <c r="E425" s="3">
        <v>1</v>
      </c>
      <c r="F425" s="23" t="s">
        <v>25</v>
      </c>
      <c r="G425" s="37" t="s">
        <v>76</v>
      </c>
      <c r="H425" s="39" t="s">
        <v>271</v>
      </c>
    </row>
    <row r="426" spans="1:9" s="59" customFormat="1" ht="38.25" x14ac:dyDescent="0.2">
      <c r="A426" s="5" t="s">
        <v>427</v>
      </c>
      <c r="B426" s="5" t="s">
        <v>427</v>
      </c>
      <c r="C426" s="3">
        <f t="shared" si="65"/>
        <v>2583</v>
      </c>
      <c r="D426" s="3">
        <f t="shared" si="64"/>
        <v>2583</v>
      </c>
      <c r="E426" s="3">
        <v>1</v>
      </c>
      <c r="F426" s="23" t="s">
        <v>113</v>
      </c>
      <c r="G426" s="37" t="s">
        <v>269</v>
      </c>
      <c r="H426" s="39" t="s">
        <v>270</v>
      </c>
    </row>
    <row r="427" spans="1:9" s="59" customFormat="1" ht="51" x14ac:dyDescent="0.2">
      <c r="A427" s="5" t="s">
        <v>427</v>
      </c>
      <c r="B427" s="5" t="s">
        <v>427</v>
      </c>
      <c r="C427" s="3">
        <f t="shared" si="65"/>
        <v>2584</v>
      </c>
      <c r="D427" s="3">
        <f t="shared" si="64"/>
        <v>2584</v>
      </c>
      <c r="E427" s="3">
        <v>1</v>
      </c>
      <c r="F427" s="23" t="s">
        <v>26</v>
      </c>
      <c r="G427" s="37" t="s">
        <v>77</v>
      </c>
      <c r="H427" s="39" t="s">
        <v>272</v>
      </c>
    </row>
    <row r="428" spans="1:9" s="59" customFormat="1" ht="76.5" x14ac:dyDescent="0.2">
      <c r="A428" s="5" t="s">
        <v>427</v>
      </c>
      <c r="B428" s="5" t="s">
        <v>427</v>
      </c>
      <c r="C428" s="3">
        <f t="shared" si="65"/>
        <v>2585</v>
      </c>
      <c r="D428" s="3">
        <f t="shared" si="64"/>
        <v>2585</v>
      </c>
      <c r="E428" s="3">
        <v>1</v>
      </c>
      <c r="F428" s="23" t="s">
        <v>30</v>
      </c>
      <c r="G428" s="37" t="s">
        <v>74</v>
      </c>
      <c r="H428" s="43" t="s">
        <v>368</v>
      </c>
    </row>
    <row r="429" spans="1:9" s="59" customFormat="1" ht="63.75" x14ac:dyDescent="0.2">
      <c r="A429" s="5" t="s">
        <v>427</v>
      </c>
      <c r="B429" s="5" t="s">
        <v>427</v>
      </c>
      <c r="C429" s="3">
        <f t="shared" si="65"/>
        <v>2586</v>
      </c>
      <c r="D429" s="3">
        <f t="shared" si="64"/>
        <v>2586</v>
      </c>
      <c r="E429" s="3">
        <v>1</v>
      </c>
      <c r="F429" s="23" t="s">
        <v>27</v>
      </c>
      <c r="G429" s="37" t="s">
        <v>73</v>
      </c>
      <c r="H429" s="39" t="s">
        <v>313</v>
      </c>
      <c r="I429" s="60"/>
    </row>
    <row r="430" spans="1:9" s="59" customFormat="1" ht="51" x14ac:dyDescent="0.2">
      <c r="A430" s="5" t="s">
        <v>428</v>
      </c>
      <c r="B430" s="5" t="s">
        <v>428</v>
      </c>
      <c r="C430" s="3">
        <f t="shared" si="65"/>
        <v>2587</v>
      </c>
      <c r="D430" s="3">
        <f t="shared" si="64"/>
        <v>2587</v>
      </c>
      <c r="E430" s="3">
        <v>1</v>
      </c>
      <c r="F430" s="23" t="s">
        <v>110</v>
      </c>
      <c r="G430" s="55" t="s">
        <v>366</v>
      </c>
      <c r="H430" s="43" t="s">
        <v>367</v>
      </c>
      <c r="I430" s="60"/>
    </row>
    <row r="431" spans="1:9" s="59" customFormat="1" x14ac:dyDescent="0.2">
      <c r="A431" s="5"/>
      <c r="B431" s="5"/>
      <c r="C431" s="3">
        <f t="shared" si="65"/>
        <v>2588</v>
      </c>
      <c r="D431" s="3">
        <f t="shared" si="64"/>
        <v>2597</v>
      </c>
      <c r="E431" s="6">
        <v>10</v>
      </c>
      <c r="F431" s="9" t="s">
        <v>51</v>
      </c>
      <c r="G431" s="37"/>
      <c r="H431" s="39"/>
      <c r="I431" s="60"/>
    </row>
    <row r="432" spans="1:9" s="59" customFormat="1" x14ac:dyDescent="0.2">
      <c r="A432" s="5"/>
      <c r="B432" s="5"/>
      <c r="C432" s="3"/>
      <c r="D432" s="3"/>
      <c r="E432" s="6"/>
      <c r="F432" s="24" t="s">
        <v>152</v>
      </c>
      <c r="G432" s="37"/>
      <c r="H432" s="39"/>
      <c r="I432" s="60"/>
    </row>
    <row r="433" spans="1:9" s="59" customFormat="1" ht="89.25" x14ac:dyDescent="0.2">
      <c r="A433" s="5" t="s">
        <v>428</v>
      </c>
      <c r="B433" s="5" t="s">
        <v>428</v>
      </c>
      <c r="C433" s="3">
        <f>C431+E431</f>
        <v>2598</v>
      </c>
      <c r="D433" s="3">
        <f>C433+E433-1</f>
        <v>2598</v>
      </c>
      <c r="E433" s="6">
        <v>1</v>
      </c>
      <c r="F433" s="13" t="s">
        <v>336</v>
      </c>
      <c r="G433" s="40" t="s">
        <v>109</v>
      </c>
      <c r="H433" s="43" t="s">
        <v>374</v>
      </c>
      <c r="I433" s="60"/>
    </row>
    <row r="434" spans="1:9" s="59" customFormat="1" ht="63.75" x14ac:dyDescent="0.2">
      <c r="A434" s="5" t="s">
        <v>428</v>
      </c>
      <c r="B434" s="5" t="s">
        <v>428</v>
      </c>
      <c r="C434" s="3">
        <f>C433+E433</f>
        <v>2599</v>
      </c>
      <c r="D434" s="3">
        <f>C434+E434-1</f>
        <v>2599</v>
      </c>
      <c r="E434" s="6">
        <v>1</v>
      </c>
      <c r="F434" s="9" t="s">
        <v>107</v>
      </c>
      <c r="G434" s="40" t="s">
        <v>109</v>
      </c>
      <c r="H434" s="43" t="s">
        <v>388</v>
      </c>
      <c r="I434" s="60"/>
    </row>
    <row r="435" spans="1:9" s="59" customFormat="1" ht="63.75" x14ac:dyDescent="0.2">
      <c r="A435" s="5" t="s">
        <v>428</v>
      </c>
      <c r="B435" s="5" t="s">
        <v>428</v>
      </c>
      <c r="C435" s="3">
        <f>C434+E434</f>
        <v>2600</v>
      </c>
      <c r="D435" s="3">
        <f>C435+E435-1</f>
        <v>2600</v>
      </c>
      <c r="E435" s="6">
        <v>1</v>
      </c>
      <c r="F435" s="9" t="s">
        <v>108</v>
      </c>
      <c r="G435" s="40" t="s">
        <v>109</v>
      </c>
      <c r="H435" s="43" t="s">
        <v>375</v>
      </c>
      <c r="I435" s="60"/>
    </row>
    <row r="436" spans="1:9" s="59" customFormat="1" x14ac:dyDescent="0.2">
      <c r="A436" s="5"/>
      <c r="B436" s="5"/>
      <c r="C436" s="3">
        <f>C435+E435</f>
        <v>2601</v>
      </c>
      <c r="D436" s="3">
        <f>C436+E436-1</f>
        <v>2610</v>
      </c>
      <c r="E436" s="6">
        <v>10</v>
      </c>
      <c r="F436" s="9" t="s">
        <v>51</v>
      </c>
      <c r="G436" s="40"/>
      <c r="H436" s="39"/>
      <c r="I436" s="60"/>
    </row>
    <row r="437" spans="1:9" s="59" customFormat="1" x14ac:dyDescent="0.2">
      <c r="A437" s="5"/>
      <c r="B437" s="5"/>
      <c r="C437" s="3"/>
      <c r="D437" s="3"/>
      <c r="E437" s="3"/>
      <c r="F437" s="24" t="s">
        <v>34</v>
      </c>
      <c r="G437" s="37"/>
      <c r="H437" s="39"/>
      <c r="I437" s="60"/>
    </row>
    <row r="438" spans="1:9" s="59" customFormat="1" ht="25.5" x14ac:dyDescent="0.2">
      <c r="A438" s="5" t="s">
        <v>427</v>
      </c>
      <c r="B438" s="5" t="s">
        <v>427</v>
      </c>
      <c r="C438" s="3">
        <f>C436+E436</f>
        <v>2611</v>
      </c>
      <c r="D438" s="3">
        <f t="shared" ref="D438:D445" si="66">C438+E438-1</f>
        <v>2614</v>
      </c>
      <c r="E438" s="3">
        <v>4</v>
      </c>
      <c r="F438" s="23" t="s">
        <v>32</v>
      </c>
      <c r="G438" s="37" t="s">
        <v>83</v>
      </c>
      <c r="H438" s="66" t="s">
        <v>82</v>
      </c>
      <c r="I438" s="60"/>
    </row>
    <row r="439" spans="1:9" s="59" customFormat="1" ht="51" x14ac:dyDescent="0.2">
      <c r="A439" s="5" t="s">
        <v>427</v>
      </c>
      <c r="B439" s="5" t="s">
        <v>427</v>
      </c>
      <c r="C439" s="3">
        <f t="shared" ref="C439:C443" si="67">C438+E438</f>
        <v>2615</v>
      </c>
      <c r="D439" s="3">
        <f t="shared" si="66"/>
        <v>2616</v>
      </c>
      <c r="E439" s="3">
        <v>2</v>
      </c>
      <c r="F439" s="23" t="s">
        <v>31</v>
      </c>
      <c r="G439" s="37" t="s">
        <v>81</v>
      </c>
      <c r="H439" s="66"/>
      <c r="I439" s="60"/>
    </row>
    <row r="440" spans="1:9" s="59" customFormat="1" ht="25.5" x14ac:dyDescent="0.2">
      <c r="A440" s="5" t="s">
        <v>427</v>
      </c>
      <c r="B440" s="5" t="s">
        <v>427</v>
      </c>
      <c r="C440" s="3">
        <f t="shared" si="67"/>
        <v>2617</v>
      </c>
      <c r="D440" s="3">
        <f t="shared" si="66"/>
        <v>2619</v>
      </c>
      <c r="E440" s="3">
        <v>3</v>
      </c>
      <c r="F440" s="23" t="s">
        <v>33</v>
      </c>
      <c r="G440" s="37" t="s">
        <v>84</v>
      </c>
      <c r="H440" s="39" t="s">
        <v>85</v>
      </c>
    </row>
    <row r="441" spans="1:9" s="59" customFormat="1" ht="63.75" x14ac:dyDescent="0.2">
      <c r="A441" s="5" t="s">
        <v>427</v>
      </c>
      <c r="B441" s="5" t="s">
        <v>427</v>
      </c>
      <c r="C441" s="3">
        <f t="shared" si="67"/>
        <v>2620</v>
      </c>
      <c r="D441" s="3">
        <f t="shared" si="66"/>
        <v>2622</v>
      </c>
      <c r="E441" s="3">
        <v>3</v>
      </c>
      <c r="F441" s="23" t="s">
        <v>314</v>
      </c>
      <c r="G441" s="37" t="s">
        <v>315</v>
      </c>
      <c r="H441" s="39" t="s">
        <v>86</v>
      </c>
    </row>
    <row r="442" spans="1:9" s="59" customFormat="1" x14ac:dyDescent="0.2">
      <c r="A442" s="5"/>
      <c r="B442" s="5"/>
      <c r="C442" s="3">
        <f t="shared" si="67"/>
        <v>2623</v>
      </c>
      <c r="D442" s="3">
        <f t="shared" si="66"/>
        <v>2632</v>
      </c>
      <c r="E442" s="3">
        <v>10</v>
      </c>
      <c r="F442" s="23" t="s">
        <v>51</v>
      </c>
      <c r="G442" s="37"/>
      <c r="H442" s="39"/>
    </row>
    <row r="443" spans="1:9" s="59" customFormat="1" ht="188.25" customHeight="1" x14ac:dyDescent="0.2">
      <c r="A443" s="5" t="s">
        <v>428</v>
      </c>
      <c r="B443" s="5" t="s">
        <v>428</v>
      </c>
      <c r="C443" s="3">
        <f t="shared" si="67"/>
        <v>2633</v>
      </c>
      <c r="D443" s="3">
        <f t="shared" si="66"/>
        <v>2832</v>
      </c>
      <c r="E443" s="3">
        <v>200</v>
      </c>
      <c r="F443" s="13" t="s">
        <v>377</v>
      </c>
      <c r="G443" s="66" t="s">
        <v>396</v>
      </c>
      <c r="H443" s="43" t="s">
        <v>376</v>
      </c>
    </row>
    <row r="444" spans="1:9" s="59" customFormat="1" ht="188.25" customHeight="1" x14ac:dyDescent="0.2">
      <c r="A444" s="5" t="s">
        <v>428</v>
      </c>
      <c r="B444" s="5" t="s">
        <v>428</v>
      </c>
      <c r="C444" s="3">
        <f t="shared" ref="C444" si="68">C443+E443</f>
        <v>2833</v>
      </c>
      <c r="D444" s="3">
        <f t="shared" ref="D444" si="69">C444+E444-1</f>
        <v>2932</v>
      </c>
      <c r="E444" s="3">
        <v>100</v>
      </c>
      <c r="F444" s="13" t="s">
        <v>355</v>
      </c>
      <c r="G444" s="66"/>
      <c r="H444" s="43" t="s">
        <v>378</v>
      </c>
    </row>
    <row r="445" spans="1:9" s="59" customFormat="1" x14ac:dyDescent="0.2">
      <c r="A445" s="60"/>
      <c r="B445" s="60"/>
      <c r="C445" s="3">
        <f>C444+E444</f>
        <v>2933</v>
      </c>
      <c r="D445" s="3">
        <f t="shared" si="66"/>
        <v>2948</v>
      </c>
      <c r="E445" s="3">
        <v>16</v>
      </c>
      <c r="F445" s="23" t="s">
        <v>51</v>
      </c>
      <c r="G445" s="45"/>
      <c r="H445" s="47"/>
    </row>
    <row r="446" spans="1:9" x14ac:dyDescent="0.25">
      <c r="C446" s="3"/>
      <c r="D446" s="3"/>
      <c r="E446" s="3"/>
      <c r="F446" s="24" t="s">
        <v>91</v>
      </c>
      <c r="G446" s="45"/>
      <c r="H446" s="47"/>
    </row>
    <row r="447" spans="1:9" ht="25.5" x14ac:dyDescent="0.25">
      <c r="A447" s="5" t="s">
        <v>427</v>
      </c>
      <c r="B447" s="5" t="s">
        <v>427</v>
      </c>
      <c r="C447" s="3">
        <f>C445+E445</f>
        <v>2949</v>
      </c>
      <c r="D447" s="3">
        <f>C447+E447-1</f>
        <v>2949</v>
      </c>
      <c r="E447" s="3">
        <v>1</v>
      </c>
      <c r="F447" s="23" t="s">
        <v>35</v>
      </c>
      <c r="G447" s="45" t="s">
        <v>50</v>
      </c>
      <c r="H447" s="53" t="s">
        <v>407</v>
      </c>
    </row>
    <row r="448" spans="1:9" ht="140.25" x14ac:dyDescent="0.25">
      <c r="A448" s="5" t="s">
        <v>427</v>
      </c>
      <c r="B448" s="5" t="s">
        <v>427</v>
      </c>
      <c r="C448" s="3">
        <f>C447+E447</f>
        <v>2950</v>
      </c>
      <c r="D448" s="3">
        <f t="shared" ref="D448:D462" si="70">C448+E448-1</f>
        <v>2954</v>
      </c>
      <c r="E448" s="3">
        <v>5</v>
      </c>
      <c r="F448" s="23" t="s">
        <v>11</v>
      </c>
      <c r="G448" s="46" t="s">
        <v>406</v>
      </c>
      <c r="H448" s="43" t="s">
        <v>408</v>
      </c>
    </row>
    <row r="449" spans="1:8" ht="76.5" x14ac:dyDescent="0.25">
      <c r="A449" s="5" t="s">
        <v>428</v>
      </c>
      <c r="B449" s="5" t="s">
        <v>428</v>
      </c>
      <c r="C449" s="3">
        <f>C448+E448</f>
        <v>2955</v>
      </c>
      <c r="D449" s="3">
        <f t="shared" si="70"/>
        <v>2960</v>
      </c>
      <c r="E449" s="3">
        <v>6</v>
      </c>
      <c r="F449" s="23" t="s">
        <v>12</v>
      </c>
      <c r="G449" s="46" t="s">
        <v>358</v>
      </c>
      <c r="H449" s="43" t="s">
        <v>360</v>
      </c>
    </row>
    <row r="450" spans="1:8" ht="17.25" customHeight="1" x14ac:dyDescent="0.25">
      <c r="A450" s="5" t="s">
        <v>427</v>
      </c>
      <c r="B450" s="5" t="s">
        <v>428</v>
      </c>
      <c r="C450" s="3">
        <f t="shared" ref="C450:C456" si="71">C449+E449</f>
        <v>2961</v>
      </c>
      <c r="D450" s="3">
        <f t="shared" si="70"/>
        <v>2980</v>
      </c>
      <c r="E450" s="3">
        <v>20</v>
      </c>
      <c r="F450" s="23" t="s">
        <v>13</v>
      </c>
      <c r="G450" s="64" t="s">
        <v>264</v>
      </c>
      <c r="H450" s="68" t="s">
        <v>328</v>
      </c>
    </row>
    <row r="451" spans="1:8" ht="17.25" customHeight="1" x14ac:dyDescent="0.25">
      <c r="A451" s="5" t="s">
        <v>427</v>
      </c>
      <c r="B451" s="5" t="s">
        <v>428</v>
      </c>
      <c r="C451" s="3">
        <f t="shared" si="71"/>
        <v>2981</v>
      </c>
      <c r="D451" s="3">
        <f t="shared" si="70"/>
        <v>2995</v>
      </c>
      <c r="E451" s="3">
        <v>15</v>
      </c>
      <c r="F451" s="23" t="s">
        <v>14</v>
      </c>
      <c r="G451" s="64"/>
      <c r="H451" s="68"/>
    </row>
    <row r="452" spans="1:8" ht="17.25" customHeight="1" x14ac:dyDescent="0.25">
      <c r="A452" s="5" t="s">
        <v>427</v>
      </c>
      <c r="B452" s="5" t="s">
        <v>428</v>
      </c>
      <c r="C452" s="3">
        <f t="shared" si="71"/>
        <v>2996</v>
      </c>
      <c r="D452" s="3">
        <f t="shared" si="70"/>
        <v>2996</v>
      </c>
      <c r="E452" s="3">
        <v>1</v>
      </c>
      <c r="F452" s="23" t="s">
        <v>280</v>
      </c>
      <c r="G452" s="64"/>
      <c r="H452" s="68"/>
    </row>
    <row r="453" spans="1:8" ht="39" customHeight="1" x14ac:dyDescent="0.25">
      <c r="A453" s="5"/>
      <c r="B453" s="5"/>
      <c r="C453" s="3">
        <f t="shared" si="71"/>
        <v>2997</v>
      </c>
      <c r="D453" s="3">
        <f t="shared" si="70"/>
        <v>2999</v>
      </c>
      <c r="E453" s="3">
        <v>3</v>
      </c>
      <c r="F453" s="23" t="s">
        <v>149</v>
      </c>
      <c r="G453" s="41" t="s">
        <v>150</v>
      </c>
      <c r="H453" s="66" t="s">
        <v>304</v>
      </c>
    </row>
    <row r="454" spans="1:8" x14ac:dyDescent="0.25">
      <c r="A454" s="5" t="s">
        <v>428</v>
      </c>
      <c r="B454" s="5" t="s">
        <v>428</v>
      </c>
      <c r="C454" s="3">
        <f t="shared" si="71"/>
        <v>3000</v>
      </c>
      <c r="D454" s="3">
        <f t="shared" si="70"/>
        <v>3019</v>
      </c>
      <c r="E454" s="3">
        <v>20</v>
      </c>
      <c r="F454" s="23" t="s">
        <v>15</v>
      </c>
      <c r="G454" s="64" t="s">
        <v>264</v>
      </c>
      <c r="H454" s="66"/>
    </row>
    <row r="455" spans="1:8" x14ac:dyDescent="0.25">
      <c r="A455" s="5" t="s">
        <v>428</v>
      </c>
      <c r="B455" s="5" t="s">
        <v>428</v>
      </c>
      <c r="C455" s="3">
        <f t="shared" si="71"/>
        <v>3020</v>
      </c>
      <c r="D455" s="3">
        <f t="shared" si="70"/>
        <v>3039</v>
      </c>
      <c r="E455" s="3">
        <v>20</v>
      </c>
      <c r="F455" s="23" t="s">
        <v>16</v>
      </c>
      <c r="G455" s="64"/>
      <c r="H455" s="66"/>
    </row>
    <row r="456" spans="1:8" x14ac:dyDescent="0.25">
      <c r="A456" s="5" t="s">
        <v>428</v>
      </c>
      <c r="B456" s="5" t="s">
        <v>428</v>
      </c>
      <c r="C456" s="3">
        <f t="shared" si="71"/>
        <v>3040</v>
      </c>
      <c r="D456" s="3">
        <f t="shared" si="70"/>
        <v>3040</v>
      </c>
      <c r="E456" s="3">
        <v>1</v>
      </c>
      <c r="F456" s="23" t="s">
        <v>281</v>
      </c>
      <c r="G456" s="64"/>
      <c r="H456" s="66"/>
    </row>
    <row r="457" spans="1:8" ht="161.25" customHeight="1" x14ac:dyDescent="0.25">
      <c r="A457" s="5" t="s">
        <v>427</v>
      </c>
      <c r="B457" s="5" t="s">
        <v>427</v>
      </c>
      <c r="C457" s="3">
        <f t="shared" ref="C457:C462" si="72">C456+E456</f>
        <v>3041</v>
      </c>
      <c r="D457" s="3">
        <f>C457+E457-1</f>
        <v>3046</v>
      </c>
      <c r="E457" s="3">
        <v>6</v>
      </c>
      <c r="F457" s="23" t="s">
        <v>147</v>
      </c>
      <c r="G457" s="37" t="s">
        <v>226</v>
      </c>
      <c r="H457" s="39" t="s">
        <v>329</v>
      </c>
    </row>
    <row r="458" spans="1:8" ht="184.5" customHeight="1" x14ac:dyDescent="0.25">
      <c r="A458" s="5" t="s">
        <v>427</v>
      </c>
      <c r="B458" s="5" t="s">
        <v>427</v>
      </c>
      <c r="C458" s="3">
        <f t="shared" si="72"/>
        <v>3047</v>
      </c>
      <c r="D458" s="3">
        <f t="shared" si="70"/>
        <v>3076</v>
      </c>
      <c r="E458" s="3">
        <v>30</v>
      </c>
      <c r="F458" s="23" t="s">
        <v>17</v>
      </c>
      <c r="G458" s="37" t="s">
        <v>308</v>
      </c>
      <c r="H458" s="39" t="s">
        <v>330</v>
      </c>
    </row>
    <row r="459" spans="1:8" s="59" customFormat="1" ht="51" x14ac:dyDescent="0.2">
      <c r="A459" s="5" t="s">
        <v>427</v>
      </c>
      <c r="B459" s="5" t="s">
        <v>427</v>
      </c>
      <c r="C459" s="3">
        <f t="shared" si="72"/>
        <v>3077</v>
      </c>
      <c r="D459" s="3">
        <f t="shared" si="70"/>
        <v>3096</v>
      </c>
      <c r="E459" s="3">
        <v>20</v>
      </c>
      <c r="F459" s="23" t="s">
        <v>103</v>
      </c>
      <c r="G459" s="37" t="s">
        <v>316</v>
      </c>
      <c r="H459" s="39" t="s">
        <v>328</v>
      </c>
    </row>
    <row r="460" spans="1:8" s="59" customFormat="1" ht="38.25" x14ac:dyDescent="0.2">
      <c r="A460" s="5" t="s">
        <v>427</v>
      </c>
      <c r="B460" s="5" t="s">
        <v>427</v>
      </c>
      <c r="C460" s="3">
        <f t="shared" si="72"/>
        <v>3097</v>
      </c>
      <c r="D460" s="3">
        <f>C460+E460-1</f>
        <v>3102</v>
      </c>
      <c r="E460" s="3">
        <v>6</v>
      </c>
      <c r="F460" s="23" t="s">
        <v>105</v>
      </c>
      <c r="G460" s="37" t="s">
        <v>106</v>
      </c>
      <c r="H460" s="39" t="s">
        <v>295</v>
      </c>
    </row>
    <row r="461" spans="1:8" s="59" customFormat="1" ht="25.5" x14ac:dyDescent="0.2">
      <c r="A461" s="5" t="s">
        <v>427</v>
      </c>
      <c r="B461" s="5" t="s">
        <v>427</v>
      </c>
      <c r="C461" s="3">
        <f t="shared" si="72"/>
        <v>3103</v>
      </c>
      <c r="D461" s="3">
        <f>C461+E461-1</f>
        <v>3103</v>
      </c>
      <c r="E461" s="3">
        <v>1</v>
      </c>
      <c r="F461" s="23" t="s">
        <v>309</v>
      </c>
      <c r="G461" s="37" t="s">
        <v>293</v>
      </c>
      <c r="H461" s="39" t="s">
        <v>292</v>
      </c>
    </row>
    <row r="462" spans="1:8" s="59" customFormat="1" x14ac:dyDescent="0.2">
      <c r="A462" s="60"/>
      <c r="B462" s="60"/>
      <c r="C462" s="3">
        <f t="shared" si="72"/>
        <v>3104</v>
      </c>
      <c r="D462" s="3">
        <f t="shared" si="70"/>
        <v>3123</v>
      </c>
      <c r="E462" s="3">
        <v>20</v>
      </c>
      <c r="F462" s="23" t="s">
        <v>51</v>
      </c>
      <c r="G462" s="37"/>
      <c r="H462" s="39"/>
    </row>
    <row r="463" spans="1:8" s="59" customFormat="1" x14ac:dyDescent="0.2">
      <c r="A463" s="60"/>
      <c r="B463" s="60"/>
      <c r="C463" s="3"/>
      <c r="D463" s="3"/>
      <c r="E463" s="7"/>
      <c r="F463" s="24" t="s">
        <v>18</v>
      </c>
      <c r="G463" s="14"/>
      <c r="H463" s="17"/>
    </row>
    <row r="464" spans="1:8" s="59" customFormat="1" ht="38.25" x14ac:dyDescent="0.2">
      <c r="A464" s="5" t="s">
        <v>428</v>
      </c>
      <c r="B464" s="5" t="s">
        <v>428</v>
      </c>
      <c r="C464" s="3">
        <f>C462+E462</f>
        <v>3124</v>
      </c>
      <c r="D464" s="3">
        <f>C464+E464-1</f>
        <v>3124</v>
      </c>
      <c r="E464" s="3">
        <v>1</v>
      </c>
      <c r="F464" s="23" t="s">
        <v>19</v>
      </c>
      <c r="G464" s="37" t="s">
        <v>93</v>
      </c>
      <c r="H464" s="67"/>
    </row>
    <row r="465" spans="1:8" s="59" customFormat="1" ht="38.25" x14ac:dyDescent="0.2">
      <c r="A465" s="5" t="s">
        <v>428</v>
      </c>
      <c r="B465" s="5" t="s">
        <v>428</v>
      </c>
      <c r="C465" s="3">
        <f>C464+E464</f>
        <v>3125</v>
      </c>
      <c r="D465" s="3">
        <f>C465+E465-1</f>
        <v>3125</v>
      </c>
      <c r="E465" s="3">
        <v>1</v>
      </c>
      <c r="F465" s="23" t="s">
        <v>20</v>
      </c>
      <c r="G465" s="37" t="s">
        <v>93</v>
      </c>
      <c r="H465" s="66"/>
    </row>
    <row r="466" spans="1:8" s="59" customFormat="1" ht="38.25" x14ac:dyDescent="0.2">
      <c r="A466" s="5" t="s">
        <v>428</v>
      </c>
      <c r="B466" s="5" t="s">
        <v>428</v>
      </c>
      <c r="C466" s="3">
        <f>C465+E465</f>
        <v>3126</v>
      </c>
      <c r="D466" s="3">
        <f>C466+E466-1</f>
        <v>3126</v>
      </c>
      <c r="E466" s="3">
        <v>1</v>
      </c>
      <c r="F466" s="23" t="s">
        <v>21</v>
      </c>
      <c r="G466" s="37" t="s">
        <v>93</v>
      </c>
      <c r="H466" s="66"/>
    </row>
    <row r="467" spans="1:8" s="59" customFormat="1" x14ac:dyDescent="0.2">
      <c r="A467" s="5"/>
      <c r="B467" s="5"/>
      <c r="C467" s="3">
        <f>C466+E466</f>
        <v>3127</v>
      </c>
      <c r="D467" s="3">
        <f>C467+E467-1</f>
        <v>3131</v>
      </c>
      <c r="E467" s="3">
        <v>5</v>
      </c>
      <c r="F467" s="23" t="s">
        <v>51</v>
      </c>
      <c r="G467" s="37"/>
      <c r="H467" s="39"/>
    </row>
    <row r="468" spans="1:8" s="59" customFormat="1" x14ac:dyDescent="0.2">
      <c r="A468" s="5"/>
      <c r="B468" s="5"/>
      <c r="C468" s="3"/>
      <c r="D468" s="3"/>
      <c r="E468" s="3"/>
      <c r="F468" s="24" t="s">
        <v>227</v>
      </c>
      <c r="G468" s="37"/>
      <c r="H468" s="39"/>
    </row>
    <row r="469" spans="1:8" s="59" customFormat="1" x14ac:dyDescent="0.2">
      <c r="A469" s="5"/>
      <c r="B469" s="5"/>
      <c r="C469" s="3"/>
      <c r="D469" s="3"/>
      <c r="E469" s="3"/>
      <c r="F469" s="24" t="s">
        <v>104</v>
      </c>
      <c r="G469" s="37"/>
      <c r="H469" s="39"/>
    </row>
    <row r="470" spans="1:8" s="59" customFormat="1" ht="15" customHeight="1" x14ac:dyDescent="0.2">
      <c r="A470" s="5" t="s">
        <v>428</v>
      </c>
      <c r="B470" s="5" t="s">
        <v>428</v>
      </c>
      <c r="C470" s="3">
        <f>C467+E467</f>
        <v>3132</v>
      </c>
      <c r="D470" s="3">
        <f>C470+E470-1</f>
        <v>3132</v>
      </c>
      <c r="E470" s="3">
        <v>1</v>
      </c>
      <c r="F470" s="23" t="s">
        <v>117</v>
      </c>
      <c r="G470" s="66" t="s">
        <v>265</v>
      </c>
      <c r="H470" s="65" t="s">
        <v>362</v>
      </c>
    </row>
    <row r="471" spans="1:8" s="59" customFormat="1" x14ac:dyDescent="0.2">
      <c r="A471" s="5" t="s">
        <v>428</v>
      </c>
      <c r="B471" s="5" t="s">
        <v>428</v>
      </c>
      <c r="C471" s="3">
        <f>C470+E470</f>
        <v>3133</v>
      </c>
      <c r="D471" s="3">
        <f>C471+E471-1</f>
        <v>3133</v>
      </c>
      <c r="E471" s="3">
        <v>1</v>
      </c>
      <c r="F471" s="23" t="s">
        <v>118</v>
      </c>
      <c r="G471" s="66"/>
      <c r="H471" s="65"/>
    </row>
    <row r="472" spans="1:8" s="59" customFormat="1" x14ac:dyDescent="0.2">
      <c r="A472" s="5" t="s">
        <v>428</v>
      </c>
      <c r="B472" s="5" t="s">
        <v>428</v>
      </c>
      <c r="C472" s="3">
        <f t="shared" ref="C472:C483" si="73">C471+E471</f>
        <v>3134</v>
      </c>
      <c r="D472" s="3">
        <f t="shared" ref="D472:D483" si="74">C472+E472-1</f>
        <v>3134</v>
      </c>
      <c r="E472" s="3">
        <v>1</v>
      </c>
      <c r="F472" s="44" t="s">
        <v>361</v>
      </c>
      <c r="G472" s="66"/>
      <c r="H472" s="65"/>
    </row>
    <row r="473" spans="1:8" s="59" customFormat="1" x14ac:dyDescent="0.2">
      <c r="A473" s="5" t="s">
        <v>428</v>
      </c>
      <c r="B473" s="5" t="s">
        <v>428</v>
      </c>
      <c r="C473" s="3">
        <f t="shared" si="73"/>
        <v>3135</v>
      </c>
      <c r="D473" s="3">
        <f t="shared" si="74"/>
        <v>3135</v>
      </c>
      <c r="E473" s="3">
        <v>1</v>
      </c>
      <c r="F473" s="23" t="s">
        <v>119</v>
      </c>
      <c r="G473" s="66"/>
      <c r="H473" s="65"/>
    </row>
    <row r="474" spans="1:8" s="59" customFormat="1" x14ac:dyDescent="0.2">
      <c r="A474" s="5" t="s">
        <v>428</v>
      </c>
      <c r="B474" s="5" t="s">
        <v>428</v>
      </c>
      <c r="C474" s="3">
        <f t="shared" si="73"/>
        <v>3136</v>
      </c>
      <c r="D474" s="3">
        <f t="shared" si="74"/>
        <v>3136</v>
      </c>
      <c r="E474" s="3">
        <v>1</v>
      </c>
      <c r="F474" s="23" t="s">
        <v>120</v>
      </c>
      <c r="G474" s="66"/>
      <c r="H474" s="65"/>
    </row>
    <row r="475" spans="1:8" s="59" customFormat="1" x14ac:dyDescent="0.2">
      <c r="A475" s="5" t="s">
        <v>428</v>
      </c>
      <c r="B475" s="5" t="s">
        <v>428</v>
      </c>
      <c r="C475" s="3">
        <f t="shared" si="73"/>
        <v>3137</v>
      </c>
      <c r="D475" s="3">
        <f t="shared" si="74"/>
        <v>3137</v>
      </c>
      <c r="E475" s="3">
        <v>1</v>
      </c>
      <c r="F475" s="23" t="s">
        <v>121</v>
      </c>
      <c r="G475" s="66"/>
      <c r="H475" s="65"/>
    </row>
    <row r="476" spans="1:8" s="59" customFormat="1" x14ac:dyDescent="0.2">
      <c r="A476" s="5" t="s">
        <v>428</v>
      </c>
      <c r="B476" s="5" t="s">
        <v>428</v>
      </c>
      <c r="C476" s="3">
        <f t="shared" si="73"/>
        <v>3138</v>
      </c>
      <c r="D476" s="3">
        <f t="shared" si="74"/>
        <v>3138</v>
      </c>
      <c r="E476" s="3">
        <v>1</v>
      </c>
      <c r="F476" s="23" t="s">
        <v>282</v>
      </c>
      <c r="G476" s="66"/>
      <c r="H476" s="65"/>
    </row>
    <row r="477" spans="1:8" s="59" customFormat="1" x14ac:dyDescent="0.2">
      <c r="A477" s="5" t="s">
        <v>428</v>
      </c>
      <c r="B477" s="5" t="s">
        <v>428</v>
      </c>
      <c r="C477" s="3">
        <f t="shared" si="73"/>
        <v>3139</v>
      </c>
      <c r="D477" s="3">
        <f t="shared" si="74"/>
        <v>3139</v>
      </c>
      <c r="E477" s="3">
        <v>1</v>
      </c>
      <c r="F477" s="23" t="s">
        <v>297</v>
      </c>
      <c r="G477" s="66"/>
      <c r="H477" s="65"/>
    </row>
    <row r="478" spans="1:8" s="59" customFormat="1" x14ac:dyDescent="0.2">
      <c r="A478" s="5" t="s">
        <v>428</v>
      </c>
      <c r="B478" s="5" t="s">
        <v>428</v>
      </c>
      <c r="C478" s="3">
        <f>C477+E477</f>
        <v>3140</v>
      </c>
      <c r="D478" s="3">
        <f t="shared" si="74"/>
        <v>3140</v>
      </c>
      <c r="E478" s="3">
        <v>1</v>
      </c>
      <c r="F478" s="23" t="s">
        <v>122</v>
      </c>
      <c r="G478" s="66"/>
      <c r="H478" s="65"/>
    </row>
    <row r="479" spans="1:8" s="59" customFormat="1" x14ac:dyDescent="0.2">
      <c r="A479" s="5" t="s">
        <v>428</v>
      </c>
      <c r="B479" s="5" t="s">
        <v>428</v>
      </c>
      <c r="C479" s="3">
        <f t="shared" si="73"/>
        <v>3141</v>
      </c>
      <c r="D479" s="3">
        <f t="shared" si="74"/>
        <v>3141</v>
      </c>
      <c r="E479" s="3">
        <v>1</v>
      </c>
      <c r="F479" s="23" t="s">
        <v>123</v>
      </c>
      <c r="G479" s="66"/>
      <c r="H479" s="65"/>
    </row>
    <row r="480" spans="1:8" s="59" customFormat="1" x14ac:dyDescent="0.2">
      <c r="A480" s="5" t="s">
        <v>428</v>
      </c>
      <c r="B480" s="5" t="s">
        <v>428</v>
      </c>
      <c r="C480" s="3">
        <f t="shared" si="73"/>
        <v>3142</v>
      </c>
      <c r="D480" s="3">
        <f t="shared" si="74"/>
        <v>3142</v>
      </c>
      <c r="E480" s="3">
        <v>1</v>
      </c>
      <c r="F480" s="23" t="s">
        <v>124</v>
      </c>
      <c r="G480" s="66"/>
      <c r="H480" s="65"/>
    </row>
    <row r="481" spans="1:8" s="59" customFormat="1" x14ac:dyDescent="0.2">
      <c r="A481" s="5" t="s">
        <v>428</v>
      </c>
      <c r="B481" s="5" t="s">
        <v>428</v>
      </c>
      <c r="C481" s="3">
        <f t="shared" si="73"/>
        <v>3143</v>
      </c>
      <c r="D481" s="3">
        <f t="shared" si="74"/>
        <v>3143</v>
      </c>
      <c r="E481" s="3">
        <v>1</v>
      </c>
      <c r="F481" s="23" t="s">
        <v>125</v>
      </c>
      <c r="G481" s="66"/>
      <c r="H481" s="65"/>
    </row>
    <row r="482" spans="1:8" s="59" customFormat="1" x14ac:dyDescent="0.2">
      <c r="A482" s="5" t="s">
        <v>428</v>
      </c>
      <c r="B482" s="5" t="s">
        <v>428</v>
      </c>
      <c r="C482" s="3">
        <f t="shared" si="73"/>
        <v>3144</v>
      </c>
      <c r="D482" s="3">
        <f t="shared" si="74"/>
        <v>3144</v>
      </c>
      <c r="E482" s="3">
        <v>1</v>
      </c>
      <c r="F482" s="23" t="s">
        <v>126</v>
      </c>
      <c r="G482" s="66"/>
      <c r="H482" s="65"/>
    </row>
    <row r="483" spans="1:8" s="59" customFormat="1" x14ac:dyDescent="0.2">
      <c r="A483" s="5" t="s">
        <v>428</v>
      </c>
      <c r="B483" s="5" t="s">
        <v>428</v>
      </c>
      <c r="C483" s="3">
        <f t="shared" si="73"/>
        <v>3145</v>
      </c>
      <c r="D483" s="3">
        <f t="shared" si="74"/>
        <v>3145</v>
      </c>
      <c r="E483" s="3">
        <v>1</v>
      </c>
      <c r="F483" s="23" t="s">
        <v>127</v>
      </c>
      <c r="G483" s="66"/>
      <c r="H483" s="65"/>
    </row>
    <row r="484" spans="1:8" s="59" customFormat="1" x14ac:dyDescent="0.2">
      <c r="A484" s="5"/>
      <c r="B484" s="5"/>
      <c r="C484" s="3"/>
      <c r="D484" s="3"/>
      <c r="E484" s="3"/>
      <c r="F484" s="24" t="s">
        <v>331</v>
      </c>
      <c r="G484" s="37"/>
      <c r="H484" s="39"/>
    </row>
    <row r="485" spans="1:8" s="59" customFormat="1" ht="15" customHeight="1" x14ac:dyDescent="0.2">
      <c r="A485" s="5" t="s">
        <v>427</v>
      </c>
      <c r="B485" s="5" t="s">
        <v>427</v>
      </c>
      <c r="C485" s="3">
        <f>C483+E483</f>
        <v>3146</v>
      </c>
      <c r="D485" s="3">
        <f>C485+E485-1</f>
        <v>3146</v>
      </c>
      <c r="E485" s="3">
        <v>1</v>
      </c>
      <c r="F485" s="23" t="s">
        <v>117</v>
      </c>
      <c r="G485" s="66" t="s">
        <v>265</v>
      </c>
      <c r="H485" s="66" t="s">
        <v>409</v>
      </c>
    </row>
    <row r="486" spans="1:8" s="59" customFormat="1" x14ac:dyDescent="0.2">
      <c r="A486" s="5" t="s">
        <v>427</v>
      </c>
      <c r="B486" s="5" t="s">
        <v>427</v>
      </c>
      <c r="C486" s="3">
        <f>C485+E485</f>
        <v>3147</v>
      </c>
      <c r="D486" s="3">
        <f>C486+E486-1</f>
        <v>3147</v>
      </c>
      <c r="E486" s="3">
        <v>1</v>
      </c>
      <c r="F486" s="23" t="s">
        <v>118</v>
      </c>
      <c r="G486" s="66"/>
      <c r="H486" s="66"/>
    </row>
    <row r="487" spans="1:8" s="59" customFormat="1" x14ac:dyDescent="0.2">
      <c r="A487" s="5" t="s">
        <v>427</v>
      </c>
      <c r="B487" s="5" t="s">
        <v>427</v>
      </c>
      <c r="C487" s="3">
        <f t="shared" ref="C487:C499" si="75">C486+E486</f>
        <v>3148</v>
      </c>
      <c r="D487" s="3">
        <f t="shared" ref="D487:D499" si="76">C487+E487-1</f>
        <v>3148</v>
      </c>
      <c r="E487" s="3">
        <v>1</v>
      </c>
      <c r="F487" s="54" t="s">
        <v>363</v>
      </c>
      <c r="G487" s="66"/>
      <c r="H487" s="66"/>
    </row>
    <row r="488" spans="1:8" s="59" customFormat="1" x14ac:dyDescent="0.2">
      <c r="A488" s="5" t="s">
        <v>427</v>
      </c>
      <c r="B488" s="5" t="s">
        <v>427</v>
      </c>
      <c r="C488" s="3">
        <f t="shared" si="75"/>
        <v>3149</v>
      </c>
      <c r="D488" s="3">
        <f t="shared" si="76"/>
        <v>3149</v>
      </c>
      <c r="E488" s="3">
        <v>1</v>
      </c>
      <c r="F488" s="23" t="s">
        <v>119</v>
      </c>
      <c r="G488" s="66"/>
      <c r="H488" s="66"/>
    </row>
    <row r="489" spans="1:8" s="59" customFormat="1" x14ac:dyDescent="0.2">
      <c r="A489" s="5" t="s">
        <v>427</v>
      </c>
      <c r="B489" s="5" t="s">
        <v>427</v>
      </c>
      <c r="C489" s="3">
        <f t="shared" si="75"/>
        <v>3150</v>
      </c>
      <c r="D489" s="3">
        <f t="shared" si="76"/>
        <v>3150</v>
      </c>
      <c r="E489" s="3">
        <v>1</v>
      </c>
      <c r="F489" s="23" t="s">
        <v>120</v>
      </c>
      <c r="G489" s="66"/>
      <c r="H489" s="66"/>
    </row>
    <row r="490" spans="1:8" s="59" customFormat="1" x14ac:dyDescent="0.2">
      <c r="A490" s="5" t="s">
        <v>427</v>
      </c>
      <c r="B490" s="5" t="s">
        <v>427</v>
      </c>
      <c r="C490" s="3">
        <f t="shared" si="75"/>
        <v>3151</v>
      </c>
      <c r="D490" s="3">
        <f t="shared" si="76"/>
        <v>3151</v>
      </c>
      <c r="E490" s="3">
        <v>1</v>
      </c>
      <c r="F490" s="23" t="s">
        <v>121</v>
      </c>
      <c r="G490" s="66"/>
      <c r="H490" s="66"/>
    </row>
    <row r="491" spans="1:8" s="59" customFormat="1" x14ac:dyDescent="0.2">
      <c r="A491" s="5" t="s">
        <v>427</v>
      </c>
      <c r="B491" s="5" t="s">
        <v>427</v>
      </c>
      <c r="C491" s="3">
        <f t="shared" si="75"/>
        <v>3152</v>
      </c>
      <c r="D491" s="3">
        <f t="shared" si="76"/>
        <v>3152</v>
      </c>
      <c r="E491" s="3">
        <v>1</v>
      </c>
      <c r="F491" s="23" t="s">
        <v>282</v>
      </c>
      <c r="G491" s="66"/>
      <c r="H491" s="66"/>
    </row>
    <row r="492" spans="1:8" s="59" customFormat="1" x14ac:dyDescent="0.2">
      <c r="A492" s="5" t="s">
        <v>427</v>
      </c>
      <c r="B492" s="5" t="s">
        <v>427</v>
      </c>
      <c r="C492" s="3">
        <f t="shared" si="75"/>
        <v>3153</v>
      </c>
      <c r="D492" s="3">
        <f t="shared" si="76"/>
        <v>3153</v>
      </c>
      <c r="E492" s="3">
        <v>1</v>
      </c>
      <c r="F492" s="23" t="s">
        <v>297</v>
      </c>
      <c r="G492" s="66"/>
      <c r="H492" s="66"/>
    </row>
    <row r="493" spans="1:8" s="59" customFormat="1" x14ac:dyDescent="0.2">
      <c r="A493" s="5" t="s">
        <v>427</v>
      </c>
      <c r="B493" s="5" t="s">
        <v>427</v>
      </c>
      <c r="C493" s="3">
        <f>C492+E492</f>
        <v>3154</v>
      </c>
      <c r="D493" s="3">
        <f t="shared" si="76"/>
        <v>3154</v>
      </c>
      <c r="E493" s="3">
        <v>1</v>
      </c>
      <c r="F493" s="23" t="s">
        <v>122</v>
      </c>
      <c r="G493" s="66"/>
      <c r="H493" s="66"/>
    </row>
    <row r="494" spans="1:8" s="59" customFormat="1" x14ac:dyDescent="0.2">
      <c r="A494" s="5" t="s">
        <v>427</v>
      </c>
      <c r="B494" s="5" t="s">
        <v>427</v>
      </c>
      <c r="C494" s="3">
        <f t="shared" si="75"/>
        <v>3155</v>
      </c>
      <c r="D494" s="3">
        <f t="shared" si="76"/>
        <v>3155</v>
      </c>
      <c r="E494" s="3">
        <v>1</v>
      </c>
      <c r="F494" s="23" t="s">
        <v>123</v>
      </c>
      <c r="G494" s="66"/>
      <c r="H494" s="66"/>
    </row>
    <row r="495" spans="1:8" s="59" customFormat="1" x14ac:dyDescent="0.2">
      <c r="A495" s="5" t="s">
        <v>427</v>
      </c>
      <c r="B495" s="5" t="s">
        <v>427</v>
      </c>
      <c r="C495" s="3">
        <f t="shared" si="75"/>
        <v>3156</v>
      </c>
      <c r="D495" s="3">
        <f t="shared" si="76"/>
        <v>3156</v>
      </c>
      <c r="E495" s="3">
        <v>1</v>
      </c>
      <c r="F495" s="23" t="s">
        <v>124</v>
      </c>
      <c r="G495" s="66"/>
      <c r="H495" s="66"/>
    </row>
    <row r="496" spans="1:8" s="59" customFormat="1" x14ac:dyDescent="0.2">
      <c r="A496" s="5" t="s">
        <v>427</v>
      </c>
      <c r="B496" s="5" t="s">
        <v>427</v>
      </c>
      <c r="C496" s="3">
        <f t="shared" si="75"/>
        <v>3157</v>
      </c>
      <c r="D496" s="3">
        <f t="shared" si="76"/>
        <v>3157</v>
      </c>
      <c r="E496" s="3">
        <v>1</v>
      </c>
      <c r="F496" s="23" t="s">
        <v>125</v>
      </c>
      <c r="G496" s="66"/>
      <c r="H496" s="66"/>
    </row>
    <row r="497" spans="1:8" s="59" customFormat="1" x14ac:dyDescent="0.2">
      <c r="A497" s="5" t="s">
        <v>427</v>
      </c>
      <c r="B497" s="5" t="s">
        <v>427</v>
      </c>
      <c r="C497" s="3">
        <f t="shared" si="75"/>
        <v>3158</v>
      </c>
      <c r="D497" s="3">
        <f t="shared" si="76"/>
        <v>3158</v>
      </c>
      <c r="E497" s="3">
        <v>1</v>
      </c>
      <c r="F497" s="23" t="s">
        <v>126</v>
      </c>
      <c r="G497" s="66"/>
      <c r="H497" s="66"/>
    </row>
    <row r="498" spans="1:8" s="59" customFormat="1" x14ac:dyDescent="0.2">
      <c r="A498" s="5" t="s">
        <v>427</v>
      </c>
      <c r="B498" s="5" t="s">
        <v>427</v>
      </c>
      <c r="C498" s="3">
        <f t="shared" si="75"/>
        <v>3159</v>
      </c>
      <c r="D498" s="3">
        <f t="shared" si="76"/>
        <v>3159</v>
      </c>
      <c r="E498" s="3">
        <v>1</v>
      </c>
      <c r="F498" s="23" t="s">
        <v>127</v>
      </c>
      <c r="G498" s="66"/>
      <c r="H498" s="66"/>
    </row>
    <row r="499" spans="1:8" s="59" customFormat="1" x14ac:dyDescent="0.2">
      <c r="A499" s="5"/>
      <c r="B499" s="5"/>
      <c r="C499" s="3">
        <f t="shared" si="75"/>
        <v>3160</v>
      </c>
      <c r="D499" s="3">
        <f t="shared" si="76"/>
        <v>3179</v>
      </c>
      <c r="E499" s="3">
        <v>20</v>
      </c>
      <c r="F499" s="23" t="s">
        <v>51</v>
      </c>
      <c r="G499" s="37"/>
      <c r="H499" s="39"/>
    </row>
    <row r="500" spans="1:8" s="59" customFormat="1" x14ac:dyDescent="0.2">
      <c r="A500" s="5"/>
      <c r="B500" s="5"/>
      <c r="C500" s="3"/>
      <c r="D500" s="3"/>
      <c r="E500" s="3"/>
      <c r="F500" s="24" t="s">
        <v>228</v>
      </c>
      <c r="G500" s="37"/>
      <c r="H500" s="39"/>
    </row>
    <row r="501" spans="1:8" s="59" customFormat="1" ht="38.25" x14ac:dyDescent="0.2">
      <c r="A501" s="5" t="s">
        <v>427</v>
      </c>
      <c r="B501" s="5" t="s">
        <v>427</v>
      </c>
      <c r="C501" s="3">
        <f>C499+E499</f>
        <v>3180</v>
      </c>
      <c r="D501" s="3">
        <f t="shared" ref="D501:D508" si="77">C501+E501-1</f>
        <v>3182</v>
      </c>
      <c r="E501" s="3">
        <v>3</v>
      </c>
      <c r="F501" s="23" t="s">
        <v>22</v>
      </c>
      <c r="G501" s="39" t="s">
        <v>75</v>
      </c>
      <c r="H501" s="39" t="s">
        <v>229</v>
      </c>
    </row>
    <row r="502" spans="1:8" s="59" customFormat="1" ht="38.25" x14ac:dyDescent="0.2">
      <c r="A502" s="5" t="s">
        <v>427</v>
      </c>
      <c r="B502" s="5" t="s">
        <v>427</v>
      </c>
      <c r="C502" s="3">
        <f t="shared" ref="C502:C508" si="78">C501+E501</f>
        <v>3183</v>
      </c>
      <c r="D502" s="3">
        <f t="shared" si="77"/>
        <v>3185</v>
      </c>
      <c r="E502" s="3">
        <v>3</v>
      </c>
      <c r="F502" s="23" t="s">
        <v>23</v>
      </c>
      <c r="G502" s="39" t="s">
        <v>75</v>
      </c>
      <c r="H502" s="39" t="s">
        <v>230</v>
      </c>
    </row>
    <row r="503" spans="1:8" s="59" customFormat="1" ht="102" x14ac:dyDescent="0.2">
      <c r="A503" s="5" t="s">
        <v>427</v>
      </c>
      <c r="B503" s="5" t="s">
        <v>427</v>
      </c>
      <c r="C503" s="3">
        <f t="shared" si="78"/>
        <v>3186</v>
      </c>
      <c r="D503" s="3">
        <f t="shared" si="77"/>
        <v>3188</v>
      </c>
      <c r="E503" s="3">
        <v>3</v>
      </c>
      <c r="F503" s="23" t="s">
        <v>132</v>
      </c>
      <c r="G503" s="39" t="s">
        <v>75</v>
      </c>
      <c r="H503" s="56" t="s">
        <v>410</v>
      </c>
    </row>
    <row r="504" spans="1:8" s="59" customFormat="1" ht="51" x14ac:dyDescent="0.2">
      <c r="A504" s="5" t="s">
        <v>427</v>
      </c>
      <c r="B504" s="5" t="s">
        <v>427</v>
      </c>
      <c r="C504" s="3">
        <f t="shared" si="78"/>
        <v>3189</v>
      </c>
      <c r="D504" s="3">
        <f t="shared" si="77"/>
        <v>3191</v>
      </c>
      <c r="E504" s="3">
        <v>3</v>
      </c>
      <c r="F504" s="23" t="s">
        <v>133</v>
      </c>
      <c r="G504" s="39" t="s">
        <v>80</v>
      </c>
      <c r="H504" s="43" t="s">
        <v>140</v>
      </c>
    </row>
    <row r="505" spans="1:8" s="59" customFormat="1" ht="76.5" x14ac:dyDescent="0.2">
      <c r="A505" s="5" t="s">
        <v>427</v>
      </c>
      <c r="B505" s="5" t="s">
        <v>427</v>
      </c>
      <c r="C505" s="3">
        <f t="shared" si="78"/>
        <v>3192</v>
      </c>
      <c r="D505" s="3">
        <f t="shared" si="77"/>
        <v>3194</v>
      </c>
      <c r="E505" s="3">
        <v>3</v>
      </c>
      <c r="F505" s="23" t="s">
        <v>28</v>
      </c>
      <c r="G505" s="37" t="s">
        <v>78</v>
      </c>
      <c r="H505" s="56" t="s">
        <v>411</v>
      </c>
    </row>
    <row r="506" spans="1:8" s="59" customFormat="1" ht="76.5" x14ac:dyDescent="0.2">
      <c r="A506" s="5" t="s">
        <v>427</v>
      </c>
      <c r="B506" s="5" t="s">
        <v>427</v>
      </c>
      <c r="C506" s="3">
        <f t="shared" si="78"/>
        <v>3195</v>
      </c>
      <c r="D506" s="3">
        <f t="shared" si="77"/>
        <v>3196</v>
      </c>
      <c r="E506" s="3">
        <v>2</v>
      </c>
      <c r="F506" s="23" t="s">
        <v>111</v>
      </c>
      <c r="G506" s="37" t="s">
        <v>312</v>
      </c>
      <c r="H506" s="57" t="s">
        <v>412</v>
      </c>
    </row>
    <row r="507" spans="1:8" s="59" customFormat="1" ht="76.5" x14ac:dyDescent="0.2">
      <c r="A507" s="5" t="s">
        <v>427</v>
      </c>
      <c r="B507" s="5" t="s">
        <v>427</v>
      </c>
      <c r="C507" s="3">
        <f t="shared" si="78"/>
        <v>3197</v>
      </c>
      <c r="D507" s="3">
        <f t="shared" si="77"/>
        <v>3199</v>
      </c>
      <c r="E507" s="3">
        <v>3</v>
      </c>
      <c r="F507" s="23" t="s">
        <v>115</v>
      </c>
      <c r="G507" s="37" t="s">
        <v>114</v>
      </c>
      <c r="H507" s="57" t="s">
        <v>413</v>
      </c>
    </row>
    <row r="508" spans="1:8" s="59" customFormat="1" x14ac:dyDescent="0.2">
      <c r="A508" s="5"/>
      <c r="B508" s="5"/>
      <c r="C508" s="3">
        <f t="shared" si="78"/>
        <v>3200</v>
      </c>
      <c r="D508" s="3">
        <f t="shared" si="77"/>
        <v>3214</v>
      </c>
      <c r="E508" s="3">
        <v>15</v>
      </c>
      <c r="F508" s="23" t="s">
        <v>51</v>
      </c>
      <c r="G508" s="37"/>
      <c r="H508" s="40"/>
    </row>
    <row r="509" spans="1:8" s="59" customFormat="1" x14ac:dyDescent="0.2">
      <c r="A509" s="5"/>
      <c r="B509" s="5"/>
      <c r="C509" s="3"/>
      <c r="D509" s="3"/>
      <c r="E509" s="3"/>
      <c r="F509" s="24" t="s">
        <v>283</v>
      </c>
      <c r="G509" s="37"/>
      <c r="H509" s="40"/>
    </row>
    <row r="510" spans="1:8" s="59" customFormat="1" ht="25.5" x14ac:dyDescent="0.2">
      <c r="A510" s="5" t="s">
        <v>428</v>
      </c>
      <c r="B510" s="5" t="s">
        <v>428</v>
      </c>
      <c r="C510" s="3">
        <f>C508+E508</f>
        <v>3215</v>
      </c>
      <c r="D510" s="3">
        <f>C510+E510-1</f>
        <v>3217</v>
      </c>
      <c r="E510" s="3">
        <v>3</v>
      </c>
      <c r="F510" s="23" t="s">
        <v>266</v>
      </c>
      <c r="G510" s="37" t="s">
        <v>78</v>
      </c>
      <c r="H510" s="39" t="s">
        <v>268</v>
      </c>
    </row>
    <row r="511" spans="1:8" s="59" customFormat="1" ht="25.5" x14ac:dyDescent="0.2">
      <c r="A511" s="5" t="s">
        <v>428</v>
      </c>
      <c r="B511" s="5" t="s">
        <v>428</v>
      </c>
      <c r="C511" s="3">
        <f>C510+E510</f>
        <v>3218</v>
      </c>
      <c r="D511" s="3">
        <f>C511+E511-1</f>
        <v>3220</v>
      </c>
      <c r="E511" s="3">
        <v>3</v>
      </c>
      <c r="F511" s="23" t="s">
        <v>267</v>
      </c>
      <c r="G511" s="37" t="s">
        <v>78</v>
      </c>
      <c r="H511" s="39" t="s">
        <v>268</v>
      </c>
    </row>
    <row r="512" spans="1:8" s="59" customFormat="1" x14ac:dyDescent="0.2">
      <c r="A512" s="5"/>
      <c r="B512" s="5"/>
      <c r="C512" s="3"/>
      <c r="D512" s="3"/>
      <c r="E512" s="3"/>
      <c r="F512" s="24" t="s">
        <v>130</v>
      </c>
      <c r="G512" s="37"/>
      <c r="H512" s="39"/>
    </row>
    <row r="513" spans="1:8" s="59" customFormat="1" ht="38.25" x14ac:dyDescent="0.2">
      <c r="A513" s="5" t="s">
        <v>427</v>
      </c>
      <c r="B513" s="5" t="s">
        <v>427</v>
      </c>
      <c r="C513" s="3">
        <f>C511+E511</f>
        <v>3221</v>
      </c>
      <c r="D513" s="3">
        <f t="shared" ref="D513:D518" si="79">C513+E513-1</f>
        <v>3222</v>
      </c>
      <c r="E513" s="3">
        <v>2</v>
      </c>
      <c r="F513" s="23" t="s">
        <v>161</v>
      </c>
      <c r="G513" s="37" t="s">
        <v>79</v>
      </c>
      <c r="H513" s="39" t="s">
        <v>189</v>
      </c>
    </row>
    <row r="514" spans="1:8" s="59" customFormat="1" ht="63.75" x14ac:dyDescent="0.2">
      <c r="A514" s="5" t="s">
        <v>427</v>
      </c>
      <c r="B514" s="5" t="s">
        <v>427</v>
      </c>
      <c r="C514" s="3">
        <f t="shared" ref="C514:C519" si="80">C513+E513</f>
        <v>3223</v>
      </c>
      <c r="D514" s="3">
        <f t="shared" si="79"/>
        <v>3225</v>
      </c>
      <c r="E514" s="3">
        <v>3</v>
      </c>
      <c r="F514" s="23" t="s">
        <v>177</v>
      </c>
      <c r="G514" s="37" t="s">
        <v>80</v>
      </c>
      <c r="H514" s="39" t="s">
        <v>190</v>
      </c>
    </row>
    <row r="515" spans="1:8" s="59" customFormat="1" ht="38.25" x14ac:dyDescent="0.2">
      <c r="A515" s="5" t="s">
        <v>427</v>
      </c>
      <c r="B515" s="5" t="s">
        <v>427</v>
      </c>
      <c r="C515" s="3">
        <f t="shared" si="80"/>
        <v>3226</v>
      </c>
      <c r="D515" s="3">
        <f t="shared" si="79"/>
        <v>3227</v>
      </c>
      <c r="E515" s="3">
        <v>2</v>
      </c>
      <c r="F515" s="23" t="s">
        <v>162</v>
      </c>
      <c r="G515" s="37" t="s">
        <v>79</v>
      </c>
      <c r="H515" s="39" t="s">
        <v>191</v>
      </c>
    </row>
    <row r="516" spans="1:8" s="59" customFormat="1" ht="51" x14ac:dyDescent="0.2">
      <c r="A516" s="5" t="s">
        <v>427</v>
      </c>
      <c r="B516" s="5" t="s">
        <v>427</v>
      </c>
      <c r="C516" s="3">
        <f t="shared" si="80"/>
        <v>3228</v>
      </c>
      <c r="D516" s="3">
        <f t="shared" si="79"/>
        <v>3230</v>
      </c>
      <c r="E516" s="3">
        <v>3</v>
      </c>
      <c r="F516" s="23" t="s">
        <v>178</v>
      </c>
      <c r="G516" s="37" t="s">
        <v>80</v>
      </c>
      <c r="H516" s="39" t="s">
        <v>192</v>
      </c>
    </row>
    <row r="517" spans="1:8" s="59" customFormat="1" ht="38.25" x14ac:dyDescent="0.2">
      <c r="A517" s="5" t="s">
        <v>427</v>
      </c>
      <c r="B517" s="5" t="s">
        <v>427</v>
      </c>
      <c r="C517" s="3">
        <f t="shared" si="80"/>
        <v>3231</v>
      </c>
      <c r="D517" s="3">
        <f t="shared" si="79"/>
        <v>3232</v>
      </c>
      <c r="E517" s="3">
        <v>2</v>
      </c>
      <c r="F517" s="23" t="s">
        <v>163</v>
      </c>
      <c r="G517" s="37" t="s">
        <v>79</v>
      </c>
      <c r="H517" s="39" t="s">
        <v>193</v>
      </c>
    </row>
    <row r="518" spans="1:8" s="59" customFormat="1" ht="51" x14ac:dyDescent="0.2">
      <c r="A518" s="5" t="s">
        <v>427</v>
      </c>
      <c r="B518" s="5" t="s">
        <v>427</v>
      </c>
      <c r="C518" s="3">
        <f t="shared" si="80"/>
        <v>3233</v>
      </c>
      <c r="D518" s="3">
        <f t="shared" si="79"/>
        <v>3235</v>
      </c>
      <c r="E518" s="3">
        <v>3</v>
      </c>
      <c r="F518" s="23" t="s">
        <v>179</v>
      </c>
      <c r="G518" s="37" t="s">
        <v>80</v>
      </c>
      <c r="H518" s="39" t="s">
        <v>194</v>
      </c>
    </row>
    <row r="519" spans="1:8" s="59" customFormat="1" x14ac:dyDescent="0.2">
      <c r="A519" s="60"/>
      <c r="B519" s="60"/>
      <c r="C519" s="3">
        <f t="shared" si="80"/>
        <v>3236</v>
      </c>
      <c r="D519" s="3">
        <f>C519+E519-1</f>
        <v>3255</v>
      </c>
      <c r="E519" s="3">
        <v>20</v>
      </c>
      <c r="F519" s="23" t="s">
        <v>51</v>
      </c>
      <c r="G519" s="37"/>
      <c r="H519" s="39"/>
    </row>
    <row r="520" spans="1:8" s="59" customFormat="1" x14ac:dyDescent="0.2">
      <c r="A520" s="60"/>
      <c r="B520" s="60"/>
      <c r="C520" s="3"/>
      <c r="D520" s="3"/>
      <c r="E520" s="3"/>
      <c r="F520" s="24" t="s">
        <v>343</v>
      </c>
      <c r="G520" s="37"/>
      <c r="H520" s="39"/>
    </row>
    <row r="521" spans="1:8" s="59" customFormat="1" ht="25.5" x14ac:dyDescent="0.2">
      <c r="A521" s="5" t="s">
        <v>427</v>
      </c>
      <c r="B521" s="5" t="s">
        <v>427</v>
      </c>
      <c r="C521" s="3">
        <f>C519+E519</f>
        <v>3256</v>
      </c>
      <c r="D521" s="3">
        <f t="shared" ref="D521:D529" si="81">C521+E521-1</f>
        <v>3257</v>
      </c>
      <c r="E521" s="5">
        <v>2</v>
      </c>
      <c r="F521" s="13" t="s">
        <v>346</v>
      </c>
      <c r="G521" s="37" t="s">
        <v>87</v>
      </c>
      <c r="H521" s="39" t="s">
        <v>153</v>
      </c>
    </row>
    <row r="522" spans="1:8" s="59" customFormat="1" ht="63.75" x14ac:dyDescent="0.2">
      <c r="A522" s="5" t="s">
        <v>427</v>
      </c>
      <c r="B522" s="5" t="s">
        <v>427</v>
      </c>
      <c r="C522" s="3">
        <f t="shared" ref="C522:C527" si="82">C521+E521</f>
        <v>3258</v>
      </c>
      <c r="D522" s="3">
        <f t="shared" si="81"/>
        <v>3258</v>
      </c>
      <c r="E522" s="3">
        <v>1</v>
      </c>
      <c r="F522" s="23" t="s">
        <v>24</v>
      </c>
      <c r="G522" s="37" t="s">
        <v>116</v>
      </c>
      <c r="H522" s="43" t="s">
        <v>369</v>
      </c>
    </row>
    <row r="523" spans="1:8" s="59" customFormat="1" ht="38.25" x14ac:dyDescent="0.2">
      <c r="A523" s="5" t="s">
        <v>427</v>
      </c>
      <c r="B523" s="5" t="s">
        <v>427</v>
      </c>
      <c r="C523" s="3">
        <f t="shared" si="82"/>
        <v>3259</v>
      </c>
      <c r="D523" s="3">
        <f t="shared" si="81"/>
        <v>3259</v>
      </c>
      <c r="E523" s="3">
        <v>1</v>
      </c>
      <c r="F523" s="23" t="s">
        <v>25</v>
      </c>
      <c r="G523" s="37" t="s">
        <v>76</v>
      </c>
      <c r="H523" s="39" t="s">
        <v>271</v>
      </c>
    </row>
    <row r="524" spans="1:8" s="59" customFormat="1" ht="60" customHeight="1" x14ac:dyDescent="0.2">
      <c r="A524" s="5" t="s">
        <v>427</v>
      </c>
      <c r="B524" s="5" t="s">
        <v>427</v>
      </c>
      <c r="C524" s="3">
        <f t="shared" si="82"/>
        <v>3260</v>
      </c>
      <c r="D524" s="3">
        <f t="shared" si="81"/>
        <v>3260</v>
      </c>
      <c r="E524" s="3">
        <v>1</v>
      </c>
      <c r="F524" s="23" t="s">
        <v>113</v>
      </c>
      <c r="G524" s="37" t="s">
        <v>269</v>
      </c>
      <c r="H524" s="39" t="s">
        <v>270</v>
      </c>
    </row>
    <row r="525" spans="1:8" s="59" customFormat="1" ht="51" x14ac:dyDescent="0.2">
      <c r="A525" s="5" t="s">
        <v>427</v>
      </c>
      <c r="B525" s="5" t="s">
        <v>427</v>
      </c>
      <c r="C525" s="3">
        <f t="shared" si="82"/>
        <v>3261</v>
      </c>
      <c r="D525" s="3">
        <f t="shared" si="81"/>
        <v>3261</v>
      </c>
      <c r="E525" s="3">
        <v>1</v>
      </c>
      <c r="F525" s="23" t="s">
        <v>26</v>
      </c>
      <c r="G525" s="37" t="s">
        <v>77</v>
      </c>
      <c r="H525" s="39" t="s">
        <v>272</v>
      </c>
    </row>
    <row r="526" spans="1:8" s="59" customFormat="1" ht="184.5" customHeight="1" x14ac:dyDescent="0.2">
      <c r="A526" s="5" t="s">
        <v>427</v>
      </c>
      <c r="B526" s="5" t="s">
        <v>427</v>
      </c>
      <c r="C526" s="3">
        <f t="shared" si="82"/>
        <v>3262</v>
      </c>
      <c r="D526" s="3">
        <f t="shared" si="81"/>
        <v>3262</v>
      </c>
      <c r="E526" s="3">
        <v>1</v>
      </c>
      <c r="F526" s="23" t="s">
        <v>30</v>
      </c>
      <c r="G526" s="37" t="s">
        <v>74</v>
      </c>
      <c r="H526" s="43" t="s">
        <v>368</v>
      </c>
    </row>
    <row r="527" spans="1:8" s="59" customFormat="1" ht="63.75" x14ac:dyDescent="0.2">
      <c r="A527" s="5" t="s">
        <v>427</v>
      </c>
      <c r="B527" s="5" t="s">
        <v>427</v>
      </c>
      <c r="C527" s="3">
        <f t="shared" si="82"/>
        <v>3263</v>
      </c>
      <c r="D527" s="3">
        <f t="shared" si="81"/>
        <v>3263</v>
      </c>
      <c r="E527" s="3">
        <v>1</v>
      </c>
      <c r="F527" s="23" t="s">
        <v>27</v>
      </c>
      <c r="G527" s="37" t="s">
        <v>73</v>
      </c>
      <c r="H527" s="39" t="s">
        <v>313</v>
      </c>
    </row>
    <row r="528" spans="1:8" s="59" customFormat="1" ht="51" x14ac:dyDescent="0.2">
      <c r="A528" s="5" t="s">
        <v>428</v>
      </c>
      <c r="B528" s="5" t="s">
        <v>428</v>
      </c>
      <c r="C528" s="3">
        <f>C527+E527</f>
        <v>3264</v>
      </c>
      <c r="D528" s="3">
        <f t="shared" si="81"/>
        <v>3264</v>
      </c>
      <c r="E528" s="3">
        <v>1</v>
      </c>
      <c r="F528" s="23" t="s">
        <v>110</v>
      </c>
      <c r="G528" s="55" t="s">
        <v>366</v>
      </c>
      <c r="H528" s="43" t="s">
        <v>367</v>
      </c>
    </row>
    <row r="529" spans="1:8" s="59" customFormat="1" x14ac:dyDescent="0.2">
      <c r="A529" s="5"/>
      <c r="B529" s="5"/>
      <c r="C529" s="3">
        <f>C528+E528</f>
        <v>3265</v>
      </c>
      <c r="D529" s="3">
        <f t="shared" si="81"/>
        <v>3274</v>
      </c>
      <c r="E529" s="6">
        <v>10</v>
      </c>
      <c r="F529" s="9" t="s">
        <v>51</v>
      </c>
      <c r="G529" s="37"/>
      <c r="H529" s="39"/>
    </row>
    <row r="530" spans="1:8" s="59" customFormat="1" x14ac:dyDescent="0.2">
      <c r="A530" s="5"/>
      <c r="B530" s="5"/>
      <c r="C530" s="3"/>
      <c r="D530" s="3"/>
      <c r="E530" s="6"/>
      <c r="F530" s="24" t="s">
        <v>152</v>
      </c>
      <c r="G530" s="37"/>
      <c r="H530" s="39"/>
    </row>
    <row r="531" spans="1:8" s="59" customFormat="1" ht="89.25" x14ac:dyDescent="0.2">
      <c r="A531" s="5" t="s">
        <v>428</v>
      </c>
      <c r="B531" s="5" t="s">
        <v>428</v>
      </c>
      <c r="C531" s="3">
        <f>C529+E529</f>
        <v>3275</v>
      </c>
      <c r="D531" s="3">
        <f>C531+E531-1</f>
        <v>3275</v>
      </c>
      <c r="E531" s="6">
        <v>1</v>
      </c>
      <c r="F531" s="13" t="s">
        <v>336</v>
      </c>
      <c r="G531" s="40" t="s">
        <v>109</v>
      </c>
      <c r="H531" s="43" t="s">
        <v>374</v>
      </c>
    </row>
    <row r="532" spans="1:8" s="59" customFormat="1" ht="63.75" x14ac:dyDescent="0.2">
      <c r="A532" s="5" t="s">
        <v>428</v>
      </c>
      <c r="B532" s="5" t="s">
        <v>428</v>
      </c>
      <c r="C532" s="3">
        <f>C531+E531</f>
        <v>3276</v>
      </c>
      <c r="D532" s="3">
        <f>C532+E532-1</f>
        <v>3276</v>
      </c>
      <c r="E532" s="6">
        <v>1</v>
      </c>
      <c r="F532" s="9" t="s">
        <v>107</v>
      </c>
      <c r="G532" s="40" t="s">
        <v>109</v>
      </c>
      <c r="H532" s="43" t="s">
        <v>388</v>
      </c>
    </row>
    <row r="533" spans="1:8" s="59" customFormat="1" ht="63.75" x14ac:dyDescent="0.2">
      <c r="A533" s="5" t="s">
        <v>428</v>
      </c>
      <c r="B533" s="5" t="s">
        <v>428</v>
      </c>
      <c r="C533" s="3">
        <f>C532+E532</f>
        <v>3277</v>
      </c>
      <c r="D533" s="3">
        <f>C533+E533-1</f>
        <v>3277</v>
      </c>
      <c r="E533" s="6">
        <v>1</v>
      </c>
      <c r="F533" s="9" t="s">
        <v>108</v>
      </c>
      <c r="G533" s="40" t="s">
        <v>109</v>
      </c>
      <c r="H533" s="43" t="s">
        <v>375</v>
      </c>
    </row>
    <row r="534" spans="1:8" s="59" customFormat="1" x14ac:dyDescent="0.2">
      <c r="A534" s="5"/>
      <c r="B534" s="5"/>
      <c r="C534" s="3">
        <f>C533+E533</f>
        <v>3278</v>
      </c>
      <c r="D534" s="3">
        <f>C534+E534-1</f>
        <v>3287</v>
      </c>
      <c r="E534" s="6">
        <v>10</v>
      </c>
      <c r="F534" s="9" t="s">
        <v>51</v>
      </c>
      <c r="G534" s="40"/>
      <c r="H534" s="39"/>
    </row>
    <row r="535" spans="1:8" s="59" customFormat="1" x14ac:dyDescent="0.2">
      <c r="A535" s="5"/>
      <c r="B535" s="5"/>
      <c r="C535" s="3"/>
      <c r="D535" s="3"/>
      <c r="E535" s="3"/>
      <c r="F535" s="24" t="s">
        <v>34</v>
      </c>
      <c r="G535" s="37"/>
      <c r="H535" s="39"/>
    </row>
    <row r="536" spans="1:8" s="59" customFormat="1" ht="25.5" x14ac:dyDescent="0.2">
      <c r="A536" s="5" t="s">
        <v>427</v>
      </c>
      <c r="B536" s="5" t="s">
        <v>427</v>
      </c>
      <c r="C536" s="3">
        <f>C534+E534</f>
        <v>3288</v>
      </c>
      <c r="D536" s="3">
        <f t="shared" ref="D536:D543" si="83">C536+E536-1</f>
        <v>3291</v>
      </c>
      <c r="E536" s="3">
        <v>4</v>
      </c>
      <c r="F536" s="23" t="s">
        <v>32</v>
      </c>
      <c r="G536" s="37" t="s">
        <v>83</v>
      </c>
      <c r="H536" s="66" t="s">
        <v>82</v>
      </c>
    </row>
    <row r="537" spans="1:8" s="59" customFormat="1" ht="51" x14ac:dyDescent="0.2">
      <c r="A537" s="5" t="s">
        <v>427</v>
      </c>
      <c r="B537" s="5" t="s">
        <v>427</v>
      </c>
      <c r="C537" s="3">
        <f t="shared" ref="C537:C541" si="84">C536+E536</f>
        <v>3292</v>
      </c>
      <c r="D537" s="3">
        <f t="shared" si="83"/>
        <v>3293</v>
      </c>
      <c r="E537" s="3">
        <v>2</v>
      </c>
      <c r="F537" s="23" t="s">
        <v>31</v>
      </c>
      <c r="G537" s="37" t="s">
        <v>81</v>
      </c>
      <c r="H537" s="66"/>
    </row>
    <row r="538" spans="1:8" s="59" customFormat="1" ht="25.5" x14ac:dyDescent="0.2">
      <c r="A538" s="5" t="s">
        <v>427</v>
      </c>
      <c r="B538" s="5" t="s">
        <v>427</v>
      </c>
      <c r="C538" s="3">
        <f t="shared" si="84"/>
        <v>3294</v>
      </c>
      <c r="D538" s="3">
        <f t="shared" si="83"/>
        <v>3296</v>
      </c>
      <c r="E538" s="3">
        <v>3</v>
      </c>
      <c r="F538" s="23" t="s">
        <v>33</v>
      </c>
      <c r="G538" s="37" t="s">
        <v>84</v>
      </c>
      <c r="H538" s="39" t="s">
        <v>85</v>
      </c>
    </row>
    <row r="539" spans="1:8" s="59" customFormat="1" ht="63.75" x14ac:dyDescent="0.2">
      <c r="A539" s="5" t="s">
        <v>427</v>
      </c>
      <c r="B539" s="5" t="s">
        <v>427</v>
      </c>
      <c r="C539" s="3">
        <f t="shared" si="84"/>
        <v>3297</v>
      </c>
      <c r="D539" s="3">
        <f t="shared" si="83"/>
        <v>3299</v>
      </c>
      <c r="E539" s="3">
        <v>3</v>
      </c>
      <c r="F539" s="23" t="s">
        <v>314</v>
      </c>
      <c r="G539" s="37" t="s">
        <v>315</v>
      </c>
      <c r="H539" s="39" t="s">
        <v>86</v>
      </c>
    </row>
    <row r="540" spans="1:8" s="59" customFormat="1" x14ac:dyDescent="0.2">
      <c r="A540" s="5"/>
      <c r="B540" s="5"/>
      <c r="C540" s="3">
        <f t="shared" si="84"/>
        <v>3300</v>
      </c>
      <c r="D540" s="3">
        <f t="shared" si="83"/>
        <v>3309</v>
      </c>
      <c r="E540" s="3">
        <v>10</v>
      </c>
      <c r="F540" s="23" t="s">
        <v>51</v>
      </c>
      <c r="G540" s="37"/>
      <c r="H540" s="39"/>
    </row>
    <row r="541" spans="1:8" s="59" customFormat="1" ht="190.5" customHeight="1" x14ac:dyDescent="0.2">
      <c r="A541" s="5" t="s">
        <v>428</v>
      </c>
      <c r="B541" s="5" t="s">
        <v>428</v>
      </c>
      <c r="C541" s="3">
        <f t="shared" si="84"/>
        <v>3310</v>
      </c>
      <c r="D541" s="3">
        <f t="shared" si="83"/>
        <v>3509</v>
      </c>
      <c r="E541" s="3">
        <v>200</v>
      </c>
      <c r="F541" s="13" t="s">
        <v>377</v>
      </c>
      <c r="G541" s="66" t="s">
        <v>396</v>
      </c>
      <c r="H541" s="43" t="s">
        <v>376</v>
      </c>
    </row>
    <row r="542" spans="1:8" s="59" customFormat="1" ht="188.25" customHeight="1" x14ac:dyDescent="0.2">
      <c r="A542" s="5" t="s">
        <v>428</v>
      </c>
      <c r="B542" s="5" t="s">
        <v>428</v>
      </c>
      <c r="C542" s="3">
        <f t="shared" ref="C542" si="85">C541+E541</f>
        <v>3510</v>
      </c>
      <c r="D542" s="3">
        <f t="shared" ref="D542" si="86">C542+E542-1</f>
        <v>3609</v>
      </c>
      <c r="E542" s="3">
        <v>100</v>
      </c>
      <c r="F542" s="13" t="s">
        <v>355</v>
      </c>
      <c r="G542" s="66"/>
      <c r="H542" s="43" t="s">
        <v>378</v>
      </c>
    </row>
    <row r="543" spans="1:8" s="59" customFormat="1" x14ac:dyDescent="0.2">
      <c r="A543" s="60"/>
      <c r="B543" s="60"/>
      <c r="C543" s="3">
        <f>C542+E542</f>
        <v>3610</v>
      </c>
      <c r="D543" s="3">
        <f t="shared" si="83"/>
        <v>3625</v>
      </c>
      <c r="E543" s="3">
        <v>16</v>
      </c>
      <c r="F543" s="23" t="s">
        <v>51</v>
      </c>
      <c r="G543" s="45"/>
      <c r="H543" s="47"/>
    </row>
    <row r="544" spans="1:8" x14ac:dyDescent="0.25">
      <c r="C544" s="3"/>
      <c r="D544" s="3"/>
      <c r="E544" s="7"/>
      <c r="F544" s="24" t="s">
        <v>90</v>
      </c>
      <c r="G544" s="14"/>
      <c r="H544" s="17"/>
    </row>
    <row r="545" spans="1:8" ht="25.5" x14ac:dyDescent="0.25">
      <c r="A545" s="5" t="s">
        <v>427</v>
      </c>
      <c r="B545" s="5" t="s">
        <v>427</v>
      </c>
      <c r="C545" s="3">
        <f>C543+E543</f>
        <v>3626</v>
      </c>
      <c r="D545" s="3">
        <f>C545+E545-1</f>
        <v>3626</v>
      </c>
      <c r="E545" s="3">
        <v>1</v>
      </c>
      <c r="F545" s="23" t="s">
        <v>35</v>
      </c>
      <c r="G545" s="45" t="s">
        <v>50</v>
      </c>
      <c r="H545" s="53" t="s">
        <v>415</v>
      </c>
    </row>
    <row r="546" spans="1:8" ht="140.25" x14ac:dyDescent="0.25">
      <c r="A546" s="5" t="s">
        <v>427</v>
      </c>
      <c r="B546" s="5" t="s">
        <v>427</v>
      </c>
      <c r="C546" s="3">
        <f t="shared" ref="C546:C559" si="87">C545+E545</f>
        <v>3627</v>
      </c>
      <c r="D546" s="3">
        <f t="shared" ref="D546:D560" si="88">C546+E546-1</f>
        <v>3631</v>
      </c>
      <c r="E546" s="3">
        <v>5</v>
      </c>
      <c r="F546" s="23" t="s">
        <v>11</v>
      </c>
      <c r="G546" s="46" t="s">
        <v>414</v>
      </c>
      <c r="H546" s="47" t="s">
        <v>416</v>
      </c>
    </row>
    <row r="547" spans="1:8" ht="76.5" x14ac:dyDescent="0.25">
      <c r="A547" s="5" t="s">
        <v>428</v>
      </c>
      <c r="B547" s="5" t="s">
        <v>428</v>
      </c>
      <c r="C547" s="3">
        <f t="shared" si="87"/>
        <v>3632</v>
      </c>
      <c r="D547" s="3">
        <f t="shared" si="88"/>
        <v>3637</v>
      </c>
      <c r="E547" s="3">
        <v>6</v>
      </c>
      <c r="F547" s="23" t="s">
        <v>12</v>
      </c>
      <c r="G547" s="46" t="s">
        <v>358</v>
      </c>
      <c r="H547" s="43" t="s">
        <v>360</v>
      </c>
    </row>
    <row r="548" spans="1:8" ht="17.25" customHeight="1" x14ac:dyDescent="0.25">
      <c r="A548" s="5" t="s">
        <v>427</v>
      </c>
      <c r="B548" s="5" t="s">
        <v>428</v>
      </c>
      <c r="C548" s="3">
        <f t="shared" si="87"/>
        <v>3638</v>
      </c>
      <c r="D548" s="3">
        <f t="shared" si="88"/>
        <v>3657</v>
      </c>
      <c r="E548" s="3">
        <v>20</v>
      </c>
      <c r="F548" s="23" t="s">
        <v>13</v>
      </c>
      <c r="G548" s="64" t="s">
        <v>264</v>
      </c>
      <c r="H548" s="68" t="s">
        <v>328</v>
      </c>
    </row>
    <row r="549" spans="1:8" ht="18.75" customHeight="1" x14ac:dyDescent="0.25">
      <c r="A549" s="5" t="s">
        <v>427</v>
      </c>
      <c r="B549" s="5" t="s">
        <v>428</v>
      </c>
      <c r="C549" s="3">
        <f t="shared" si="87"/>
        <v>3658</v>
      </c>
      <c r="D549" s="3">
        <f t="shared" si="88"/>
        <v>3672</v>
      </c>
      <c r="E549" s="3">
        <v>15</v>
      </c>
      <c r="F549" s="23" t="s">
        <v>14</v>
      </c>
      <c r="G549" s="64"/>
      <c r="H549" s="68"/>
    </row>
    <row r="550" spans="1:8" ht="17.25" customHeight="1" x14ac:dyDescent="0.25">
      <c r="A550" s="5" t="s">
        <v>427</v>
      </c>
      <c r="B550" s="5" t="s">
        <v>428</v>
      </c>
      <c r="C550" s="3">
        <f t="shared" si="87"/>
        <v>3673</v>
      </c>
      <c r="D550" s="3">
        <f t="shared" si="88"/>
        <v>3673</v>
      </c>
      <c r="E550" s="3">
        <v>1</v>
      </c>
      <c r="F550" s="23" t="s">
        <v>280</v>
      </c>
      <c r="G550" s="64"/>
      <c r="H550" s="68"/>
    </row>
    <row r="551" spans="1:8" ht="38.25" x14ac:dyDescent="0.25">
      <c r="A551" s="5"/>
      <c r="B551" s="5"/>
      <c r="C551" s="3">
        <f t="shared" si="87"/>
        <v>3674</v>
      </c>
      <c r="D551" s="3">
        <f t="shared" si="88"/>
        <v>3676</v>
      </c>
      <c r="E551" s="3">
        <v>3</v>
      </c>
      <c r="F551" s="23" t="s">
        <v>149</v>
      </c>
      <c r="G551" s="48" t="s">
        <v>150</v>
      </c>
      <c r="H551" s="66" t="s">
        <v>304</v>
      </c>
    </row>
    <row r="552" spans="1:8" x14ac:dyDescent="0.25">
      <c r="A552" s="5" t="s">
        <v>428</v>
      </c>
      <c r="B552" s="5" t="s">
        <v>428</v>
      </c>
      <c r="C552" s="3">
        <f t="shared" si="87"/>
        <v>3677</v>
      </c>
      <c r="D552" s="3">
        <f t="shared" si="88"/>
        <v>3696</v>
      </c>
      <c r="E552" s="3">
        <v>20</v>
      </c>
      <c r="F552" s="23" t="s">
        <v>15</v>
      </c>
      <c r="G552" s="64" t="s">
        <v>264</v>
      </c>
      <c r="H552" s="66"/>
    </row>
    <row r="553" spans="1:8" x14ac:dyDescent="0.25">
      <c r="A553" s="5" t="s">
        <v>428</v>
      </c>
      <c r="B553" s="5" t="s">
        <v>428</v>
      </c>
      <c r="C553" s="3">
        <f t="shared" si="87"/>
        <v>3697</v>
      </c>
      <c r="D553" s="3">
        <f t="shared" si="88"/>
        <v>3716</v>
      </c>
      <c r="E553" s="3">
        <v>20</v>
      </c>
      <c r="F553" s="23" t="s">
        <v>16</v>
      </c>
      <c r="G553" s="64"/>
      <c r="H553" s="66"/>
    </row>
    <row r="554" spans="1:8" x14ac:dyDescent="0.25">
      <c r="A554" s="5" t="s">
        <v>428</v>
      </c>
      <c r="B554" s="5" t="s">
        <v>428</v>
      </c>
      <c r="C554" s="3">
        <f t="shared" si="87"/>
        <v>3717</v>
      </c>
      <c r="D554" s="3">
        <f t="shared" si="88"/>
        <v>3717</v>
      </c>
      <c r="E554" s="3">
        <v>1</v>
      </c>
      <c r="F554" s="23" t="s">
        <v>281</v>
      </c>
      <c r="G554" s="64"/>
      <c r="H554" s="66"/>
    </row>
    <row r="555" spans="1:8" ht="102" x14ac:dyDescent="0.25">
      <c r="A555" s="5" t="s">
        <v>427</v>
      </c>
      <c r="B555" s="5" t="s">
        <v>427</v>
      </c>
      <c r="C555" s="3">
        <f t="shared" si="87"/>
        <v>3718</v>
      </c>
      <c r="D555" s="3">
        <f>C555+E555-1</f>
        <v>3723</v>
      </c>
      <c r="E555" s="3">
        <v>6</v>
      </c>
      <c r="F555" s="23" t="s">
        <v>147</v>
      </c>
      <c r="G555" s="45" t="s">
        <v>231</v>
      </c>
      <c r="H555" s="47" t="s">
        <v>329</v>
      </c>
    </row>
    <row r="556" spans="1:8" ht="114.75" x14ac:dyDescent="0.25">
      <c r="A556" s="5" t="s">
        <v>427</v>
      </c>
      <c r="B556" s="5" t="s">
        <v>427</v>
      </c>
      <c r="C556" s="3">
        <f t="shared" si="87"/>
        <v>3724</v>
      </c>
      <c r="D556" s="3">
        <f t="shared" si="88"/>
        <v>3753</v>
      </c>
      <c r="E556" s="3">
        <v>30</v>
      </c>
      <c r="F556" s="23" t="s">
        <v>17</v>
      </c>
      <c r="G556" s="37" t="s">
        <v>310</v>
      </c>
      <c r="H556" s="39" t="s">
        <v>330</v>
      </c>
    </row>
    <row r="557" spans="1:8" s="59" customFormat="1" ht="51" x14ac:dyDescent="0.2">
      <c r="A557" s="5" t="s">
        <v>427</v>
      </c>
      <c r="B557" s="5" t="s">
        <v>427</v>
      </c>
      <c r="C557" s="3">
        <f t="shared" si="87"/>
        <v>3754</v>
      </c>
      <c r="D557" s="3">
        <f t="shared" si="88"/>
        <v>3773</v>
      </c>
      <c r="E557" s="3">
        <v>20</v>
      </c>
      <c r="F557" s="23" t="s">
        <v>103</v>
      </c>
      <c r="G557" s="37" t="s">
        <v>316</v>
      </c>
      <c r="H557" s="39" t="s">
        <v>328</v>
      </c>
    </row>
    <row r="558" spans="1:8" s="59" customFormat="1" ht="38.25" x14ac:dyDescent="0.2">
      <c r="A558" s="5" t="s">
        <v>427</v>
      </c>
      <c r="B558" s="5" t="s">
        <v>427</v>
      </c>
      <c r="C558" s="3">
        <f t="shared" si="87"/>
        <v>3774</v>
      </c>
      <c r="D558" s="3">
        <f>C558+E558-1</f>
        <v>3779</v>
      </c>
      <c r="E558" s="3">
        <v>6</v>
      </c>
      <c r="F558" s="23" t="s">
        <v>105</v>
      </c>
      <c r="G558" s="45" t="s">
        <v>106</v>
      </c>
      <c r="H558" s="47" t="s">
        <v>295</v>
      </c>
    </row>
    <row r="559" spans="1:8" s="59" customFormat="1" ht="25.5" x14ac:dyDescent="0.2">
      <c r="A559" s="5" t="s">
        <v>427</v>
      </c>
      <c r="B559" s="5" t="s">
        <v>427</v>
      </c>
      <c r="C559" s="3">
        <f t="shared" si="87"/>
        <v>3780</v>
      </c>
      <c r="D559" s="3">
        <f>C559+E559-1</f>
        <v>3780</v>
      </c>
      <c r="E559" s="3">
        <v>1</v>
      </c>
      <c r="F559" s="23" t="s">
        <v>311</v>
      </c>
      <c r="G559" s="45" t="s">
        <v>293</v>
      </c>
      <c r="H559" s="47" t="s">
        <v>292</v>
      </c>
    </row>
    <row r="560" spans="1:8" s="59" customFormat="1" x14ac:dyDescent="0.2">
      <c r="A560" s="60"/>
      <c r="B560" s="60"/>
      <c r="C560" s="3">
        <f>C559+E559</f>
        <v>3781</v>
      </c>
      <c r="D560" s="3">
        <f t="shared" si="88"/>
        <v>3799</v>
      </c>
      <c r="E560" s="3">
        <v>19</v>
      </c>
      <c r="F560" s="23" t="s">
        <v>51</v>
      </c>
      <c r="G560" s="45"/>
      <c r="H560" s="47"/>
    </row>
    <row r="561" spans="1:8" s="59" customFormat="1" x14ac:dyDescent="0.2">
      <c r="A561" s="60"/>
      <c r="B561" s="60"/>
      <c r="C561" s="3"/>
      <c r="D561" s="3"/>
      <c r="E561" s="7"/>
      <c r="F561" s="24" t="s">
        <v>18</v>
      </c>
      <c r="G561" s="14"/>
      <c r="H561" s="17"/>
    </row>
    <row r="562" spans="1:8" s="59" customFormat="1" ht="51" x14ac:dyDescent="0.2">
      <c r="A562" s="5" t="s">
        <v>428</v>
      </c>
      <c r="B562" s="5" t="s">
        <v>428</v>
      </c>
      <c r="C562" s="3">
        <f>C560+E560</f>
        <v>3800</v>
      </c>
      <c r="D562" s="3">
        <f>C562+E562-1</f>
        <v>3800</v>
      </c>
      <c r="E562" s="3">
        <v>1</v>
      </c>
      <c r="F562" s="23" t="s">
        <v>353</v>
      </c>
      <c r="G562" s="42" t="s">
        <v>417</v>
      </c>
      <c r="H562" s="66" t="s">
        <v>354</v>
      </c>
    </row>
    <row r="563" spans="1:8" s="59" customFormat="1" ht="38.25" x14ac:dyDescent="0.2">
      <c r="A563" s="5" t="s">
        <v>428</v>
      </c>
      <c r="B563" s="5" t="s">
        <v>428</v>
      </c>
      <c r="C563" s="3">
        <f>C562+E562</f>
        <v>3801</v>
      </c>
      <c r="D563" s="3">
        <f>C563+E563-1</f>
        <v>3801</v>
      </c>
      <c r="E563" s="3">
        <v>1</v>
      </c>
      <c r="F563" s="23" t="s">
        <v>19</v>
      </c>
      <c r="G563" s="45" t="s">
        <v>93</v>
      </c>
      <c r="H563" s="72"/>
    </row>
    <row r="564" spans="1:8" s="59" customFormat="1" ht="38.25" x14ac:dyDescent="0.2">
      <c r="A564" s="5" t="s">
        <v>428</v>
      </c>
      <c r="B564" s="5" t="s">
        <v>428</v>
      </c>
      <c r="C564" s="3">
        <f>C563+E563</f>
        <v>3802</v>
      </c>
      <c r="D564" s="3">
        <f>C564+E564-1</f>
        <v>3802</v>
      </c>
      <c r="E564" s="3">
        <v>1</v>
      </c>
      <c r="F564" s="23" t="s">
        <v>20</v>
      </c>
      <c r="G564" s="45" t="s">
        <v>93</v>
      </c>
      <c r="H564" s="72"/>
    </row>
    <row r="565" spans="1:8" s="59" customFormat="1" ht="38.25" x14ac:dyDescent="0.2">
      <c r="A565" s="5" t="s">
        <v>428</v>
      </c>
      <c r="B565" s="5" t="s">
        <v>428</v>
      </c>
      <c r="C565" s="3">
        <f>C564+E564</f>
        <v>3803</v>
      </c>
      <c r="D565" s="3">
        <f>C565+E565-1</f>
        <v>3803</v>
      </c>
      <c r="E565" s="3">
        <v>1</v>
      </c>
      <c r="F565" s="23" t="s">
        <v>21</v>
      </c>
      <c r="G565" s="45" t="s">
        <v>93</v>
      </c>
      <c r="H565" s="72"/>
    </row>
    <row r="566" spans="1:8" s="59" customFormat="1" x14ac:dyDescent="0.2">
      <c r="A566" s="60"/>
      <c r="B566" s="60"/>
      <c r="C566" s="3">
        <f>C565+E565</f>
        <v>3804</v>
      </c>
      <c r="D566" s="3">
        <f>C566+E566-1</f>
        <v>3808</v>
      </c>
      <c r="E566" s="3">
        <v>5</v>
      </c>
      <c r="F566" s="23" t="s">
        <v>51</v>
      </c>
      <c r="G566" s="37"/>
      <c r="H566" s="39"/>
    </row>
    <row r="567" spans="1:8" s="59" customFormat="1" x14ac:dyDescent="0.2">
      <c r="A567" s="60"/>
      <c r="B567" s="60"/>
      <c r="C567" s="3"/>
      <c r="D567" s="3"/>
      <c r="E567" s="3"/>
      <c r="F567" s="24" t="s">
        <v>232</v>
      </c>
      <c r="G567" s="37"/>
      <c r="H567" s="39"/>
    </row>
    <row r="568" spans="1:8" s="59" customFormat="1" x14ac:dyDescent="0.2">
      <c r="A568" s="60"/>
      <c r="B568" s="60"/>
      <c r="C568" s="3"/>
      <c r="D568" s="3"/>
      <c r="E568" s="3"/>
      <c r="F568" s="24" t="s">
        <v>104</v>
      </c>
      <c r="G568" s="37"/>
      <c r="H568" s="39"/>
    </row>
    <row r="569" spans="1:8" s="59" customFormat="1" ht="15" customHeight="1" x14ac:dyDescent="0.2">
      <c r="A569" s="5" t="s">
        <v>428</v>
      </c>
      <c r="B569" s="5" t="s">
        <v>428</v>
      </c>
      <c r="C569" s="3">
        <f>C566+E566</f>
        <v>3809</v>
      </c>
      <c r="D569" s="3">
        <f>C569+E569-1</f>
        <v>3809</v>
      </c>
      <c r="E569" s="3">
        <v>1</v>
      </c>
      <c r="F569" s="23" t="s">
        <v>117</v>
      </c>
      <c r="G569" s="66" t="s">
        <v>265</v>
      </c>
      <c r="H569" s="65" t="s">
        <v>362</v>
      </c>
    </row>
    <row r="570" spans="1:8" s="59" customFormat="1" x14ac:dyDescent="0.2">
      <c r="A570" s="5" t="s">
        <v>428</v>
      </c>
      <c r="B570" s="5" t="s">
        <v>428</v>
      </c>
      <c r="C570" s="3">
        <f>C569+E569</f>
        <v>3810</v>
      </c>
      <c r="D570" s="3">
        <f>C570+E570-1</f>
        <v>3810</v>
      </c>
      <c r="E570" s="3">
        <v>1</v>
      </c>
      <c r="F570" s="23" t="s">
        <v>118</v>
      </c>
      <c r="G570" s="66"/>
      <c r="H570" s="65"/>
    </row>
    <row r="571" spans="1:8" s="59" customFormat="1" x14ac:dyDescent="0.2">
      <c r="A571" s="5" t="s">
        <v>428</v>
      </c>
      <c r="B571" s="5" t="s">
        <v>428</v>
      </c>
      <c r="C571" s="3">
        <f t="shared" ref="C571:C582" si="89">C570+E570</f>
        <v>3811</v>
      </c>
      <c r="D571" s="3">
        <f t="shared" ref="D571:D582" si="90">C571+E571-1</f>
        <v>3811</v>
      </c>
      <c r="E571" s="3">
        <v>1</v>
      </c>
      <c r="F571" s="44" t="s">
        <v>361</v>
      </c>
      <c r="G571" s="66"/>
      <c r="H571" s="65"/>
    </row>
    <row r="572" spans="1:8" s="59" customFormat="1" x14ac:dyDescent="0.2">
      <c r="A572" s="5" t="s">
        <v>428</v>
      </c>
      <c r="B572" s="5" t="s">
        <v>428</v>
      </c>
      <c r="C572" s="3">
        <f t="shared" si="89"/>
        <v>3812</v>
      </c>
      <c r="D572" s="3">
        <f t="shared" si="90"/>
        <v>3812</v>
      </c>
      <c r="E572" s="3">
        <v>1</v>
      </c>
      <c r="F572" s="23" t="s">
        <v>119</v>
      </c>
      <c r="G572" s="66"/>
      <c r="H572" s="65"/>
    </row>
    <row r="573" spans="1:8" s="59" customFormat="1" x14ac:dyDescent="0.2">
      <c r="A573" s="5" t="s">
        <v>428</v>
      </c>
      <c r="B573" s="5" t="s">
        <v>428</v>
      </c>
      <c r="C573" s="3">
        <f t="shared" si="89"/>
        <v>3813</v>
      </c>
      <c r="D573" s="3">
        <f t="shared" si="90"/>
        <v>3813</v>
      </c>
      <c r="E573" s="3">
        <v>1</v>
      </c>
      <c r="F573" s="23" t="s">
        <v>120</v>
      </c>
      <c r="G573" s="66"/>
      <c r="H573" s="65"/>
    </row>
    <row r="574" spans="1:8" s="59" customFormat="1" x14ac:dyDescent="0.2">
      <c r="A574" s="5" t="s">
        <v>428</v>
      </c>
      <c r="B574" s="5" t="s">
        <v>428</v>
      </c>
      <c r="C574" s="3">
        <f t="shared" si="89"/>
        <v>3814</v>
      </c>
      <c r="D574" s="3">
        <f t="shared" si="90"/>
        <v>3814</v>
      </c>
      <c r="E574" s="3">
        <v>1</v>
      </c>
      <c r="F574" s="23" t="s">
        <v>121</v>
      </c>
      <c r="G574" s="66"/>
      <c r="H574" s="65"/>
    </row>
    <row r="575" spans="1:8" s="59" customFormat="1" x14ac:dyDescent="0.2">
      <c r="A575" s="5" t="s">
        <v>428</v>
      </c>
      <c r="B575" s="5" t="s">
        <v>428</v>
      </c>
      <c r="C575" s="3">
        <f t="shared" si="89"/>
        <v>3815</v>
      </c>
      <c r="D575" s="3">
        <f t="shared" si="90"/>
        <v>3815</v>
      </c>
      <c r="E575" s="3">
        <v>1</v>
      </c>
      <c r="F575" s="23" t="s">
        <v>282</v>
      </c>
      <c r="G575" s="66"/>
      <c r="H575" s="65"/>
    </row>
    <row r="576" spans="1:8" s="59" customFormat="1" x14ac:dyDescent="0.2">
      <c r="A576" s="5" t="s">
        <v>428</v>
      </c>
      <c r="B576" s="5" t="s">
        <v>428</v>
      </c>
      <c r="C576" s="3">
        <f t="shared" si="89"/>
        <v>3816</v>
      </c>
      <c r="D576" s="3">
        <f t="shared" si="90"/>
        <v>3816</v>
      </c>
      <c r="E576" s="3">
        <v>1</v>
      </c>
      <c r="F576" s="23" t="s">
        <v>297</v>
      </c>
      <c r="G576" s="66"/>
      <c r="H576" s="65"/>
    </row>
    <row r="577" spans="1:8" s="59" customFormat="1" x14ac:dyDescent="0.2">
      <c r="A577" s="5" t="s">
        <v>428</v>
      </c>
      <c r="B577" s="5" t="s">
        <v>428</v>
      </c>
      <c r="C577" s="3">
        <f>C576+E576</f>
        <v>3817</v>
      </c>
      <c r="D577" s="3">
        <f t="shared" si="90"/>
        <v>3817</v>
      </c>
      <c r="E577" s="3">
        <v>1</v>
      </c>
      <c r="F577" s="23" t="s">
        <v>122</v>
      </c>
      <c r="G577" s="66"/>
      <c r="H577" s="65"/>
    </row>
    <row r="578" spans="1:8" s="59" customFormat="1" x14ac:dyDescent="0.2">
      <c r="A578" s="5" t="s">
        <v>428</v>
      </c>
      <c r="B578" s="5" t="s">
        <v>428</v>
      </c>
      <c r="C578" s="3">
        <f t="shared" si="89"/>
        <v>3818</v>
      </c>
      <c r="D578" s="3">
        <f t="shared" si="90"/>
        <v>3818</v>
      </c>
      <c r="E578" s="3">
        <v>1</v>
      </c>
      <c r="F578" s="23" t="s">
        <v>123</v>
      </c>
      <c r="G578" s="66"/>
      <c r="H578" s="65"/>
    </row>
    <row r="579" spans="1:8" s="59" customFormat="1" x14ac:dyDescent="0.2">
      <c r="A579" s="5" t="s">
        <v>428</v>
      </c>
      <c r="B579" s="5" t="s">
        <v>428</v>
      </c>
      <c r="C579" s="3">
        <f t="shared" si="89"/>
        <v>3819</v>
      </c>
      <c r="D579" s="3">
        <f t="shared" si="90"/>
        <v>3819</v>
      </c>
      <c r="E579" s="3">
        <v>1</v>
      </c>
      <c r="F579" s="23" t="s">
        <v>124</v>
      </c>
      <c r="G579" s="66"/>
      <c r="H579" s="65"/>
    </row>
    <row r="580" spans="1:8" s="59" customFormat="1" x14ac:dyDescent="0.2">
      <c r="A580" s="5" t="s">
        <v>428</v>
      </c>
      <c r="B580" s="5" t="s">
        <v>428</v>
      </c>
      <c r="C580" s="3">
        <f t="shared" si="89"/>
        <v>3820</v>
      </c>
      <c r="D580" s="3">
        <f t="shared" si="90"/>
        <v>3820</v>
      </c>
      <c r="E580" s="3">
        <v>1</v>
      </c>
      <c r="F580" s="23" t="s">
        <v>125</v>
      </c>
      <c r="G580" s="66"/>
      <c r="H580" s="65"/>
    </row>
    <row r="581" spans="1:8" s="59" customFormat="1" x14ac:dyDescent="0.2">
      <c r="A581" s="5" t="s">
        <v>428</v>
      </c>
      <c r="B581" s="5" t="s">
        <v>428</v>
      </c>
      <c r="C581" s="3">
        <f t="shared" si="89"/>
        <v>3821</v>
      </c>
      <c r="D581" s="3">
        <f t="shared" si="90"/>
        <v>3821</v>
      </c>
      <c r="E581" s="3">
        <v>1</v>
      </c>
      <c r="F581" s="23" t="s">
        <v>126</v>
      </c>
      <c r="G581" s="66"/>
      <c r="H581" s="65"/>
    </row>
    <row r="582" spans="1:8" s="59" customFormat="1" x14ac:dyDescent="0.2">
      <c r="A582" s="5" t="s">
        <v>428</v>
      </c>
      <c r="B582" s="5" t="s">
        <v>428</v>
      </c>
      <c r="C582" s="3">
        <f t="shared" si="89"/>
        <v>3822</v>
      </c>
      <c r="D582" s="3">
        <f t="shared" si="90"/>
        <v>3822</v>
      </c>
      <c r="E582" s="3">
        <v>1</v>
      </c>
      <c r="F582" s="23" t="s">
        <v>127</v>
      </c>
      <c r="G582" s="66"/>
      <c r="H582" s="65"/>
    </row>
    <row r="583" spans="1:8" s="59" customFormat="1" x14ac:dyDescent="0.2">
      <c r="A583" s="5"/>
      <c r="B583" s="5"/>
      <c r="C583" s="3"/>
      <c r="D583" s="3"/>
      <c r="E583" s="3"/>
      <c r="F583" s="24" t="s">
        <v>331</v>
      </c>
      <c r="G583" s="37"/>
      <c r="H583" s="39"/>
    </row>
    <row r="584" spans="1:8" s="59" customFormat="1" ht="15" customHeight="1" x14ac:dyDescent="0.2">
      <c r="A584" s="5" t="s">
        <v>427</v>
      </c>
      <c r="B584" s="5" t="s">
        <v>427</v>
      </c>
      <c r="C584" s="3">
        <f>C582+E582</f>
        <v>3823</v>
      </c>
      <c r="D584" s="3">
        <f>C584+E584-1</f>
        <v>3823</v>
      </c>
      <c r="E584" s="3">
        <v>1</v>
      </c>
      <c r="F584" s="23" t="s">
        <v>117</v>
      </c>
      <c r="G584" s="66" t="s">
        <v>265</v>
      </c>
      <c r="H584" s="66" t="s">
        <v>418</v>
      </c>
    </row>
    <row r="585" spans="1:8" s="59" customFormat="1" x14ac:dyDescent="0.2">
      <c r="A585" s="5" t="s">
        <v>427</v>
      </c>
      <c r="B585" s="5" t="s">
        <v>427</v>
      </c>
      <c r="C585" s="3">
        <f>C584+E584</f>
        <v>3824</v>
      </c>
      <c r="D585" s="3">
        <f>C585+E585-1</f>
        <v>3824</v>
      </c>
      <c r="E585" s="3">
        <v>1</v>
      </c>
      <c r="F585" s="23" t="s">
        <v>118</v>
      </c>
      <c r="G585" s="66"/>
      <c r="H585" s="66"/>
    </row>
    <row r="586" spans="1:8" s="59" customFormat="1" x14ac:dyDescent="0.2">
      <c r="A586" s="5" t="s">
        <v>427</v>
      </c>
      <c r="B586" s="5" t="s">
        <v>427</v>
      </c>
      <c r="C586" s="3">
        <f t="shared" ref="C586:C598" si="91">C585+E585</f>
        <v>3825</v>
      </c>
      <c r="D586" s="3">
        <f t="shared" ref="D586:D598" si="92">C586+E586-1</f>
        <v>3825</v>
      </c>
      <c r="E586" s="3">
        <v>1</v>
      </c>
      <c r="F586" s="54" t="s">
        <v>363</v>
      </c>
      <c r="G586" s="66"/>
      <c r="H586" s="66"/>
    </row>
    <row r="587" spans="1:8" s="59" customFormat="1" x14ac:dyDescent="0.2">
      <c r="A587" s="5" t="s">
        <v>427</v>
      </c>
      <c r="B587" s="5" t="s">
        <v>427</v>
      </c>
      <c r="C587" s="3">
        <f t="shared" si="91"/>
        <v>3826</v>
      </c>
      <c r="D587" s="3">
        <f t="shared" si="92"/>
        <v>3826</v>
      </c>
      <c r="E587" s="3">
        <v>1</v>
      </c>
      <c r="F587" s="23" t="s">
        <v>119</v>
      </c>
      <c r="G587" s="66"/>
      <c r="H587" s="66"/>
    </row>
    <row r="588" spans="1:8" s="59" customFormat="1" x14ac:dyDescent="0.2">
      <c r="A588" s="5" t="s">
        <v>427</v>
      </c>
      <c r="B588" s="5" t="s">
        <v>427</v>
      </c>
      <c r="C588" s="3">
        <f t="shared" si="91"/>
        <v>3827</v>
      </c>
      <c r="D588" s="3">
        <f t="shared" si="92"/>
        <v>3827</v>
      </c>
      <c r="E588" s="3">
        <v>1</v>
      </c>
      <c r="F588" s="23" t="s">
        <v>120</v>
      </c>
      <c r="G588" s="66"/>
      <c r="H588" s="66"/>
    </row>
    <row r="589" spans="1:8" s="59" customFormat="1" x14ac:dyDescent="0.2">
      <c r="A589" s="5" t="s">
        <v>427</v>
      </c>
      <c r="B589" s="5" t="s">
        <v>427</v>
      </c>
      <c r="C589" s="3">
        <f t="shared" si="91"/>
        <v>3828</v>
      </c>
      <c r="D589" s="3">
        <f t="shared" si="92"/>
        <v>3828</v>
      </c>
      <c r="E589" s="3">
        <v>1</v>
      </c>
      <c r="F589" s="23" t="s">
        <v>121</v>
      </c>
      <c r="G589" s="66"/>
      <c r="H589" s="66"/>
    </row>
    <row r="590" spans="1:8" s="59" customFormat="1" x14ac:dyDescent="0.2">
      <c r="A590" s="5" t="s">
        <v>427</v>
      </c>
      <c r="B590" s="5" t="s">
        <v>427</v>
      </c>
      <c r="C590" s="3">
        <f t="shared" si="91"/>
        <v>3829</v>
      </c>
      <c r="D590" s="3">
        <f t="shared" si="92"/>
        <v>3829</v>
      </c>
      <c r="E590" s="3">
        <v>1</v>
      </c>
      <c r="F590" s="23" t="s">
        <v>282</v>
      </c>
      <c r="G590" s="66"/>
      <c r="H590" s="66"/>
    </row>
    <row r="591" spans="1:8" s="59" customFormat="1" x14ac:dyDescent="0.2">
      <c r="A591" s="5" t="s">
        <v>427</v>
      </c>
      <c r="B591" s="5" t="s">
        <v>427</v>
      </c>
      <c r="C591" s="3">
        <f t="shared" si="91"/>
        <v>3830</v>
      </c>
      <c r="D591" s="3">
        <f t="shared" si="92"/>
        <v>3830</v>
      </c>
      <c r="E591" s="3">
        <v>1</v>
      </c>
      <c r="F591" s="23" t="s">
        <v>297</v>
      </c>
      <c r="G591" s="66"/>
      <c r="H591" s="66"/>
    </row>
    <row r="592" spans="1:8" s="59" customFormat="1" x14ac:dyDescent="0.2">
      <c r="A592" s="5" t="s">
        <v>427</v>
      </c>
      <c r="B592" s="5" t="s">
        <v>427</v>
      </c>
      <c r="C592" s="3">
        <f>C591+E591</f>
        <v>3831</v>
      </c>
      <c r="D592" s="3">
        <f t="shared" si="92"/>
        <v>3831</v>
      </c>
      <c r="E592" s="3">
        <v>1</v>
      </c>
      <c r="F592" s="23" t="s">
        <v>122</v>
      </c>
      <c r="G592" s="66"/>
      <c r="H592" s="66"/>
    </row>
    <row r="593" spans="1:8" s="59" customFormat="1" x14ac:dyDescent="0.2">
      <c r="A593" s="5" t="s">
        <v>427</v>
      </c>
      <c r="B593" s="5" t="s">
        <v>427</v>
      </c>
      <c r="C593" s="3">
        <f t="shared" si="91"/>
        <v>3832</v>
      </c>
      <c r="D593" s="3">
        <f t="shared" si="92"/>
        <v>3832</v>
      </c>
      <c r="E593" s="3">
        <v>1</v>
      </c>
      <c r="F593" s="23" t="s">
        <v>123</v>
      </c>
      <c r="G593" s="66"/>
      <c r="H593" s="66"/>
    </row>
    <row r="594" spans="1:8" s="59" customFormat="1" x14ac:dyDescent="0.2">
      <c r="A594" s="5" t="s">
        <v>427</v>
      </c>
      <c r="B594" s="5" t="s">
        <v>427</v>
      </c>
      <c r="C594" s="3">
        <f t="shared" si="91"/>
        <v>3833</v>
      </c>
      <c r="D594" s="3">
        <f t="shared" si="92"/>
        <v>3833</v>
      </c>
      <c r="E594" s="3">
        <v>1</v>
      </c>
      <c r="F594" s="23" t="s">
        <v>124</v>
      </c>
      <c r="G594" s="66"/>
      <c r="H594" s="66"/>
    </row>
    <row r="595" spans="1:8" s="59" customFormat="1" x14ac:dyDescent="0.2">
      <c r="A595" s="5" t="s">
        <v>427</v>
      </c>
      <c r="B595" s="5" t="s">
        <v>427</v>
      </c>
      <c r="C595" s="3">
        <f t="shared" si="91"/>
        <v>3834</v>
      </c>
      <c r="D595" s="3">
        <f t="shared" si="92"/>
        <v>3834</v>
      </c>
      <c r="E595" s="3">
        <v>1</v>
      </c>
      <c r="F595" s="23" t="s">
        <v>125</v>
      </c>
      <c r="G595" s="66"/>
      <c r="H595" s="66"/>
    </row>
    <row r="596" spans="1:8" s="59" customFormat="1" x14ac:dyDescent="0.2">
      <c r="A596" s="5" t="s">
        <v>427</v>
      </c>
      <c r="B596" s="5" t="s">
        <v>427</v>
      </c>
      <c r="C596" s="3">
        <f t="shared" si="91"/>
        <v>3835</v>
      </c>
      <c r="D596" s="3">
        <f t="shared" si="92"/>
        <v>3835</v>
      </c>
      <c r="E596" s="3">
        <v>1</v>
      </c>
      <c r="F596" s="23" t="s">
        <v>126</v>
      </c>
      <c r="G596" s="66"/>
      <c r="H596" s="66"/>
    </row>
    <row r="597" spans="1:8" s="59" customFormat="1" x14ac:dyDescent="0.2">
      <c r="A597" s="5" t="s">
        <v>427</v>
      </c>
      <c r="B597" s="5" t="s">
        <v>427</v>
      </c>
      <c r="C597" s="3">
        <f t="shared" si="91"/>
        <v>3836</v>
      </c>
      <c r="D597" s="3">
        <f t="shared" si="92"/>
        <v>3836</v>
      </c>
      <c r="E597" s="3">
        <v>1</v>
      </c>
      <c r="F597" s="23" t="s">
        <v>127</v>
      </c>
      <c r="G597" s="66"/>
      <c r="H597" s="66"/>
    </row>
    <row r="598" spans="1:8" s="59" customFormat="1" x14ac:dyDescent="0.2">
      <c r="A598" s="5"/>
      <c r="B598" s="5"/>
      <c r="C598" s="3">
        <f t="shared" si="91"/>
        <v>3837</v>
      </c>
      <c r="D598" s="3">
        <f t="shared" si="92"/>
        <v>3856</v>
      </c>
      <c r="E598" s="3">
        <v>20</v>
      </c>
      <c r="F598" s="23" t="s">
        <v>51</v>
      </c>
      <c r="G598" s="37"/>
      <c r="H598" s="39"/>
    </row>
    <row r="599" spans="1:8" s="59" customFormat="1" x14ac:dyDescent="0.2">
      <c r="A599" s="5"/>
      <c r="B599" s="5"/>
      <c r="C599" s="3"/>
      <c r="D599" s="3"/>
      <c r="E599" s="3"/>
      <c r="F599" s="24" t="s">
        <v>233</v>
      </c>
      <c r="G599" s="37"/>
      <c r="H599" s="39"/>
    </row>
    <row r="600" spans="1:8" s="59" customFormat="1" ht="38.25" x14ac:dyDescent="0.2">
      <c r="A600" s="5" t="s">
        <v>427</v>
      </c>
      <c r="B600" s="5" t="s">
        <v>427</v>
      </c>
      <c r="C600" s="3">
        <f>C598+E598</f>
        <v>3857</v>
      </c>
      <c r="D600" s="3">
        <f t="shared" ref="D600:D607" si="93">C600+E600-1</f>
        <v>3859</v>
      </c>
      <c r="E600" s="3">
        <v>3</v>
      </c>
      <c r="F600" s="23" t="s">
        <v>22</v>
      </c>
      <c r="G600" s="39" t="s">
        <v>75</v>
      </c>
      <c r="H600" s="39" t="s">
        <v>234</v>
      </c>
    </row>
    <row r="601" spans="1:8" s="59" customFormat="1" ht="38.25" x14ac:dyDescent="0.2">
      <c r="A601" s="5" t="s">
        <v>427</v>
      </c>
      <c r="B601" s="5" t="s">
        <v>427</v>
      </c>
      <c r="C601" s="3">
        <f t="shared" ref="C601:C607" si="94">C600+E600</f>
        <v>3860</v>
      </c>
      <c r="D601" s="3">
        <f t="shared" si="93"/>
        <v>3862</v>
      </c>
      <c r="E601" s="3">
        <v>3</v>
      </c>
      <c r="F601" s="23" t="s">
        <v>23</v>
      </c>
      <c r="G601" s="39" t="s">
        <v>75</v>
      </c>
      <c r="H601" s="39" t="s">
        <v>235</v>
      </c>
    </row>
    <row r="602" spans="1:8" s="59" customFormat="1" ht="102" x14ac:dyDescent="0.2">
      <c r="A602" s="5" t="s">
        <v>427</v>
      </c>
      <c r="B602" s="5" t="s">
        <v>427</v>
      </c>
      <c r="C602" s="3">
        <f t="shared" si="94"/>
        <v>3863</v>
      </c>
      <c r="D602" s="3">
        <f t="shared" si="93"/>
        <v>3865</v>
      </c>
      <c r="E602" s="3">
        <v>3</v>
      </c>
      <c r="F602" s="23" t="s">
        <v>132</v>
      </c>
      <c r="G602" s="39" t="s">
        <v>75</v>
      </c>
      <c r="H602" s="56" t="s">
        <v>419</v>
      </c>
    </row>
    <row r="603" spans="1:8" s="59" customFormat="1" ht="51" x14ac:dyDescent="0.2">
      <c r="A603" s="5" t="s">
        <v>427</v>
      </c>
      <c r="B603" s="5" t="s">
        <v>427</v>
      </c>
      <c r="C603" s="3">
        <f t="shared" si="94"/>
        <v>3866</v>
      </c>
      <c r="D603" s="3">
        <f t="shared" si="93"/>
        <v>3868</v>
      </c>
      <c r="E603" s="3">
        <v>3</v>
      </c>
      <c r="F603" s="23" t="s">
        <v>133</v>
      </c>
      <c r="G603" s="39" t="s">
        <v>80</v>
      </c>
      <c r="H603" s="43" t="s">
        <v>140</v>
      </c>
    </row>
    <row r="604" spans="1:8" s="59" customFormat="1" ht="76.5" x14ac:dyDescent="0.2">
      <c r="A604" s="5" t="s">
        <v>427</v>
      </c>
      <c r="B604" s="5" t="s">
        <v>427</v>
      </c>
      <c r="C604" s="3">
        <f t="shared" si="94"/>
        <v>3869</v>
      </c>
      <c r="D604" s="3">
        <f t="shared" si="93"/>
        <v>3871</v>
      </c>
      <c r="E604" s="3">
        <v>3</v>
      </c>
      <c r="F604" s="23" t="s">
        <v>28</v>
      </c>
      <c r="G604" s="37" t="s">
        <v>78</v>
      </c>
      <c r="H604" s="56" t="s">
        <v>420</v>
      </c>
    </row>
    <row r="605" spans="1:8" s="59" customFormat="1" ht="76.5" x14ac:dyDescent="0.2">
      <c r="A605" s="5" t="s">
        <v>427</v>
      </c>
      <c r="B605" s="5" t="s">
        <v>427</v>
      </c>
      <c r="C605" s="3">
        <f t="shared" si="94"/>
        <v>3872</v>
      </c>
      <c r="D605" s="3">
        <f t="shared" si="93"/>
        <v>3873</v>
      </c>
      <c r="E605" s="3">
        <v>2</v>
      </c>
      <c r="F605" s="23" t="s">
        <v>111</v>
      </c>
      <c r="G605" s="37" t="s">
        <v>312</v>
      </c>
      <c r="H605" s="57" t="s">
        <v>421</v>
      </c>
    </row>
    <row r="606" spans="1:8" s="59" customFormat="1" ht="76.5" x14ac:dyDescent="0.2">
      <c r="A606" s="5" t="s">
        <v>427</v>
      </c>
      <c r="B606" s="5" t="s">
        <v>427</v>
      </c>
      <c r="C606" s="3">
        <f t="shared" si="94"/>
        <v>3874</v>
      </c>
      <c r="D606" s="3">
        <f t="shared" si="93"/>
        <v>3876</v>
      </c>
      <c r="E606" s="3">
        <v>3</v>
      </c>
      <c r="F606" s="23" t="s">
        <v>115</v>
      </c>
      <c r="G606" s="37" t="s">
        <v>114</v>
      </c>
      <c r="H606" s="57" t="s">
        <v>422</v>
      </c>
    </row>
    <row r="607" spans="1:8" s="59" customFormat="1" x14ac:dyDescent="0.2">
      <c r="A607" s="5"/>
      <c r="B607" s="5"/>
      <c r="C607" s="3">
        <f t="shared" si="94"/>
        <v>3877</v>
      </c>
      <c r="D607" s="3">
        <f t="shared" si="93"/>
        <v>3891</v>
      </c>
      <c r="E607" s="3">
        <v>15</v>
      </c>
      <c r="F607" s="23" t="s">
        <v>51</v>
      </c>
      <c r="G607" s="37"/>
      <c r="H607" s="40"/>
    </row>
    <row r="608" spans="1:8" s="59" customFormat="1" x14ac:dyDescent="0.2">
      <c r="A608" s="5"/>
      <c r="B608" s="5"/>
      <c r="C608" s="3"/>
      <c r="D608" s="3"/>
      <c r="E608" s="3"/>
      <c r="F608" s="24" t="s">
        <v>283</v>
      </c>
      <c r="G608" s="37"/>
      <c r="H608" s="40"/>
    </row>
    <row r="609" spans="1:8" s="59" customFormat="1" ht="25.5" x14ac:dyDescent="0.2">
      <c r="A609" s="5" t="s">
        <v>428</v>
      </c>
      <c r="B609" s="5" t="s">
        <v>428</v>
      </c>
      <c r="C609" s="3">
        <f>C607+E607</f>
        <v>3892</v>
      </c>
      <c r="D609" s="3">
        <f>C609+E609-1</f>
        <v>3894</v>
      </c>
      <c r="E609" s="3">
        <v>3</v>
      </c>
      <c r="F609" s="23" t="s">
        <v>266</v>
      </c>
      <c r="G609" s="37" t="s">
        <v>78</v>
      </c>
      <c r="H609" s="39" t="s">
        <v>268</v>
      </c>
    </row>
    <row r="610" spans="1:8" s="59" customFormat="1" ht="25.5" x14ac:dyDescent="0.2">
      <c r="A610" s="5" t="s">
        <v>428</v>
      </c>
      <c r="B610" s="5" t="s">
        <v>428</v>
      </c>
      <c r="C610" s="3">
        <f>C609+E609</f>
        <v>3895</v>
      </c>
      <c r="D610" s="3">
        <f>C610+E610-1</f>
        <v>3897</v>
      </c>
      <c r="E610" s="3">
        <v>3</v>
      </c>
      <c r="F610" s="23" t="s">
        <v>267</v>
      </c>
      <c r="G610" s="37" t="s">
        <v>78</v>
      </c>
      <c r="H610" s="39" t="s">
        <v>268</v>
      </c>
    </row>
    <row r="611" spans="1:8" s="59" customFormat="1" x14ac:dyDescent="0.2">
      <c r="A611" s="5"/>
      <c r="B611" s="5"/>
      <c r="C611" s="3"/>
      <c r="D611" s="3"/>
      <c r="E611" s="3"/>
      <c r="F611" s="24" t="s">
        <v>130</v>
      </c>
      <c r="G611" s="37"/>
      <c r="H611" s="39"/>
    </row>
    <row r="612" spans="1:8" s="59" customFormat="1" ht="38.25" x14ac:dyDescent="0.2">
      <c r="A612" s="5" t="s">
        <v>427</v>
      </c>
      <c r="B612" s="5" t="s">
        <v>427</v>
      </c>
      <c r="C612" s="3">
        <f>C610+E610</f>
        <v>3898</v>
      </c>
      <c r="D612" s="3">
        <f t="shared" ref="D612:D621" si="95">C612+E612-1</f>
        <v>3899</v>
      </c>
      <c r="E612" s="3">
        <v>2</v>
      </c>
      <c r="F612" s="23" t="s">
        <v>168</v>
      </c>
      <c r="G612" s="37" t="s">
        <v>79</v>
      </c>
      <c r="H612" s="39" t="s">
        <v>236</v>
      </c>
    </row>
    <row r="613" spans="1:8" s="59" customFormat="1" ht="63.75" x14ac:dyDescent="0.2">
      <c r="A613" s="5" t="s">
        <v>427</v>
      </c>
      <c r="B613" s="5" t="s">
        <v>427</v>
      </c>
      <c r="C613" s="3">
        <f t="shared" ref="C613:C622" si="96">C612+E612</f>
        <v>3900</v>
      </c>
      <c r="D613" s="3">
        <f t="shared" si="95"/>
        <v>3902</v>
      </c>
      <c r="E613" s="3">
        <v>3</v>
      </c>
      <c r="F613" s="23" t="s">
        <v>184</v>
      </c>
      <c r="G613" s="37" t="s">
        <v>80</v>
      </c>
      <c r="H613" s="39" t="s">
        <v>237</v>
      </c>
    </row>
    <row r="614" spans="1:8" s="59" customFormat="1" ht="38.25" x14ac:dyDescent="0.2">
      <c r="A614" s="5" t="s">
        <v>427</v>
      </c>
      <c r="B614" s="5" t="s">
        <v>427</v>
      </c>
      <c r="C614" s="3">
        <f t="shared" si="96"/>
        <v>3903</v>
      </c>
      <c r="D614" s="3">
        <f t="shared" si="95"/>
        <v>3904</v>
      </c>
      <c r="E614" s="3">
        <v>2</v>
      </c>
      <c r="F614" s="23" t="s">
        <v>169</v>
      </c>
      <c r="G614" s="37" t="s">
        <v>79</v>
      </c>
      <c r="H614" s="39" t="s">
        <v>238</v>
      </c>
    </row>
    <row r="615" spans="1:8" s="59" customFormat="1" ht="63.75" x14ac:dyDescent="0.2">
      <c r="A615" s="5" t="s">
        <v>427</v>
      </c>
      <c r="B615" s="5" t="s">
        <v>427</v>
      </c>
      <c r="C615" s="3">
        <f t="shared" si="96"/>
        <v>3905</v>
      </c>
      <c r="D615" s="3">
        <f t="shared" si="95"/>
        <v>3907</v>
      </c>
      <c r="E615" s="3">
        <v>3</v>
      </c>
      <c r="F615" s="23" t="s">
        <v>185</v>
      </c>
      <c r="G615" s="37" t="s">
        <v>80</v>
      </c>
      <c r="H615" s="39" t="s">
        <v>239</v>
      </c>
    </row>
    <row r="616" spans="1:8" s="59" customFormat="1" ht="51" x14ac:dyDescent="0.2">
      <c r="A616" s="5" t="s">
        <v>427</v>
      </c>
      <c r="B616" s="5" t="s">
        <v>427</v>
      </c>
      <c r="C616" s="3">
        <f t="shared" si="96"/>
        <v>3908</v>
      </c>
      <c r="D616" s="3">
        <f t="shared" si="95"/>
        <v>3909</v>
      </c>
      <c r="E616" s="3">
        <v>2</v>
      </c>
      <c r="F616" s="23" t="s">
        <v>170</v>
      </c>
      <c r="G616" s="37" t="s">
        <v>79</v>
      </c>
      <c r="H616" s="39" t="s">
        <v>240</v>
      </c>
    </row>
    <row r="617" spans="1:8" s="59" customFormat="1" ht="63.75" x14ac:dyDescent="0.2">
      <c r="A617" s="5" t="s">
        <v>427</v>
      </c>
      <c r="B617" s="5" t="s">
        <v>427</v>
      </c>
      <c r="C617" s="3">
        <f t="shared" si="96"/>
        <v>3910</v>
      </c>
      <c r="D617" s="3">
        <f t="shared" si="95"/>
        <v>3912</v>
      </c>
      <c r="E617" s="3">
        <v>3</v>
      </c>
      <c r="F617" s="23" t="s">
        <v>186</v>
      </c>
      <c r="G617" s="37" t="s">
        <v>80</v>
      </c>
      <c r="H617" s="39" t="s">
        <v>241</v>
      </c>
    </row>
    <row r="618" spans="1:8" s="59" customFormat="1" ht="38.25" x14ac:dyDescent="0.2">
      <c r="A618" s="5" t="s">
        <v>427</v>
      </c>
      <c r="B618" s="5" t="s">
        <v>427</v>
      </c>
      <c r="C618" s="3">
        <f t="shared" si="96"/>
        <v>3913</v>
      </c>
      <c r="D618" s="3">
        <f t="shared" si="95"/>
        <v>3914</v>
      </c>
      <c r="E618" s="3">
        <v>2</v>
      </c>
      <c r="F618" s="23" t="s">
        <v>171</v>
      </c>
      <c r="G618" s="37" t="s">
        <v>79</v>
      </c>
      <c r="H618" s="39" t="s">
        <v>242</v>
      </c>
    </row>
    <row r="619" spans="1:8" s="59" customFormat="1" ht="63.75" x14ac:dyDescent="0.2">
      <c r="A619" s="5" t="s">
        <v>427</v>
      </c>
      <c r="B619" s="5" t="s">
        <v>427</v>
      </c>
      <c r="C619" s="3">
        <f t="shared" si="96"/>
        <v>3915</v>
      </c>
      <c r="D619" s="3">
        <f t="shared" si="95"/>
        <v>3917</v>
      </c>
      <c r="E619" s="3">
        <v>3</v>
      </c>
      <c r="F619" s="23" t="s">
        <v>187</v>
      </c>
      <c r="G619" s="37" t="s">
        <v>80</v>
      </c>
      <c r="H619" s="39" t="s">
        <v>243</v>
      </c>
    </row>
    <row r="620" spans="1:8" s="59" customFormat="1" ht="38.25" x14ac:dyDescent="0.2">
      <c r="A620" s="5" t="s">
        <v>427</v>
      </c>
      <c r="B620" s="5" t="s">
        <v>427</v>
      </c>
      <c r="C620" s="3">
        <f t="shared" si="96"/>
        <v>3918</v>
      </c>
      <c r="D620" s="3">
        <f t="shared" si="95"/>
        <v>3919</v>
      </c>
      <c r="E620" s="3">
        <v>2</v>
      </c>
      <c r="F620" s="23" t="s">
        <v>172</v>
      </c>
      <c r="G620" s="37" t="s">
        <v>79</v>
      </c>
      <c r="H620" s="39" t="s">
        <v>244</v>
      </c>
    </row>
    <row r="621" spans="1:8" s="59" customFormat="1" ht="63.75" x14ac:dyDescent="0.2">
      <c r="A621" s="5" t="s">
        <v>427</v>
      </c>
      <c r="B621" s="5" t="s">
        <v>427</v>
      </c>
      <c r="C621" s="3">
        <f t="shared" si="96"/>
        <v>3920</v>
      </c>
      <c r="D621" s="3">
        <f t="shared" si="95"/>
        <v>3922</v>
      </c>
      <c r="E621" s="3">
        <v>3</v>
      </c>
      <c r="F621" s="23" t="s">
        <v>188</v>
      </c>
      <c r="G621" s="37" t="s">
        <v>80</v>
      </c>
      <c r="H621" s="39" t="s">
        <v>245</v>
      </c>
    </row>
    <row r="622" spans="1:8" s="59" customFormat="1" x14ac:dyDescent="0.2">
      <c r="A622" s="60"/>
      <c r="B622" s="60"/>
      <c r="C622" s="3">
        <f t="shared" si="96"/>
        <v>3923</v>
      </c>
      <c r="D622" s="3">
        <f>C622+E622-1</f>
        <v>3942</v>
      </c>
      <c r="E622" s="3">
        <v>20</v>
      </c>
      <c r="F622" s="23" t="s">
        <v>51</v>
      </c>
      <c r="G622" s="37"/>
      <c r="H622" s="39"/>
    </row>
    <row r="623" spans="1:8" s="59" customFormat="1" x14ac:dyDescent="0.2">
      <c r="A623" s="60"/>
      <c r="B623" s="60"/>
      <c r="C623" s="3"/>
      <c r="D623" s="3"/>
      <c r="E623" s="3"/>
      <c r="F623" s="24" t="s">
        <v>344</v>
      </c>
      <c r="G623" s="37"/>
      <c r="H623" s="39"/>
    </row>
    <row r="624" spans="1:8" s="59" customFormat="1" ht="25.5" x14ac:dyDescent="0.2">
      <c r="A624" s="5" t="s">
        <v>427</v>
      </c>
      <c r="B624" s="5" t="s">
        <v>427</v>
      </c>
      <c r="C624" s="3">
        <f>C622+E622</f>
        <v>3943</v>
      </c>
      <c r="D624" s="3">
        <f t="shared" ref="D624:D632" si="97">C624+E624-1</f>
        <v>3944</v>
      </c>
      <c r="E624" s="5">
        <v>2</v>
      </c>
      <c r="F624" s="13" t="s">
        <v>345</v>
      </c>
      <c r="G624" s="37" t="s">
        <v>87</v>
      </c>
      <c r="H624" s="39" t="s">
        <v>153</v>
      </c>
    </row>
    <row r="625" spans="1:8" s="59" customFormat="1" ht="63.75" x14ac:dyDescent="0.2">
      <c r="A625" s="5" t="s">
        <v>427</v>
      </c>
      <c r="B625" s="5" t="s">
        <v>427</v>
      </c>
      <c r="C625" s="3">
        <f t="shared" ref="C625:C632" si="98">C624+E624</f>
        <v>3945</v>
      </c>
      <c r="D625" s="3">
        <f t="shared" si="97"/>
        <v>3945</v>
      </c>
      <c r="E625" s="3">
        <v>1</v>
      </c>
      <c r="F625" s="23" t="s">
        <v>24</v>
      </c>
      <c r="G625" s="37" t="s">
        <v>116</v>
      </c>
      <c r="H625" s="43" t="s">
        <v>369</v>
      </c>
    </row>
    <row r="626" spans="1:8" s="59" customFormat="1" ht="38.25" x14ac:dyDescent="0.2">
      <c r="A626" s="5" t="s">
        <v>427</v>
      </c>
      <c r="B626" s="5" t="s">
        <v>427</v>
      </c>
      <c r="C626" s="3">
        <f t="shared" si="98"/>
        <v>3946</v>
      </c>
      <c r="D626" s="3">
        <f t="shared" si="97"/>
        <v>3946</v>
      </c>
      <c r="E626" s="3">
        <v>1</v>
      </c>
      <c r="F626" s="23" t="s">
        <v>25</v>
      </c>
      <c r="G626" s="37" t="s">
        <v>76</v>
      </c>
      <c r="H626" s="39" t="s">
        <v>271</v>
      </c>
    </row>
    <row r="627" spans="1:8" s="59" customFormat="1" ht="38.25" x14ac:dyDescent="0.2">
      <c r="A627" s="5" t="s">
        <v>427</v>
      </c>
      <c r="B627" s="5" t="s">
        <v>427</v>
      </c>
      <c r="C627" s="3">
        <f t="shared" si="98"/>
        <v>3947</v>
      </c>
      <c r="D627" s="3">
        <f t="shared" si="97"/>
        <v>3947</v>
      </c>
      <c r="E627" s="3">
        <v>1</v>
      </c>
      <c r="F627" s="23" t="s">
        <v>113</v>
      </c>
      <c r="G627" s="37" t="s">
        <v>269</v>
      </c>
      <c r="H627" s="39" t="s">
        <v>270</v>
      </c>
    </row>
    <row r="628" spans="1:8" s="59" customFormat="1" ht="51" x14ac:dyDescent="0.2">
      <c r="A628" s="5" t="s">
        <v>427</v>
      </c>
      <c r="B628" s="5" t="s">
        <v>427</v>
      </c>
      <c r="C628" s="3">
        <f t="shared" si="98"/>
        <v>3948</v>
      </c>
      <c r="D628" s="3">
        <f t="shared" si="97"/>
        <v>3948</v>
      </c>
      <c r="E628" s="3">
        <v>1</v>
      </c>
      <c r="F628" s="23" t="s">
        <v>26</v>
      </c>
      <c r="G628" s="37" t="s">
        <v>77</v>
      </c>
      <c r="H628" s="39" t="s">
        <v>272</v>
      </c>
    </row>
    <row r="629" spans="1:8" s="59" customFormat="1" ht="76.5" x14ac:dyDescent="0.2">
      <c r="A629" s="5" t="s">
        <v>427</v>
      </c>
      <c r="B629" s="5" t="s">
        <v>427</v>
      </c>
      <c r="C629" s="3">
        <f t="shared" si="98"/>
        <v>3949</v>
      </c>
      <c r="D629" s="3">
        <f t="shared" si="97"/>
        <v>3949</v>
      </c>
      <c r="E629" s="3">
        <v>1</v>
      </c>
      <c r="F629" s="23" t="s">
        <v>30</v>
      </c>
      <c r="G629" s="37" t="s">
        <v>74</v>
      </c>
      <c r="H629" s="43" t="s">
        <v>368</v>
      </c>
    </row>
    <row r="630" spans="1:8" s="59" customFormat="1" ht="63.75" x14ac:dyDescent="0.2">
      <c r="A630" s="5" t="s">
        <v>427</v>
      </c>
      <c r="B630" s="5" t="s">
        <v>427</v>
      </c>
      <c r="C630" s="3">
        <f t="shared" si="98"/>
        <v>3950</v>
      </c>
      <c r="D630" s="3">
        <f t="shared" si="97"/>
        <v>3950</v>
      </c>
      <c r="E630" s="3">
        <v>1</v>
      </c>
      <c r="F630" s="23" t="s">
        <v>27</v>
      </c>
      <c r="G630" s="37" t="s">
        <v>73</v>
      </c>
      <c r="H630" s="39" t="s">
        <v>313</v>
      </c>
    </row>
    <row r="631" spans="1:8" s="59" customFormat="1" ht="51" x14ac:dyDescent="0.2">
      <c r="A631" s="5" t="s">
        <v>428</v>
      </c>
      <c r="B631" s="5" t="s">
        <v>428</v>
      </c>
      <c r="C631" s="3">
        <f t="shared" si="98"/>
        <v>3951</v>
      </c>
      <c r="D631" s="3">
        <f t="shared" si="97"/>
        <v>3951</v>
      </c>
      <c r="E631" s="3">
        <v>1</v>
      </c>
      <c r="F631" s="23" t="s">
        <v>110</v>
      </c>
      <c r="G631" s="55" t="s">
        <v>366</v>
      </c>
      <c r="H631" s="43" t="s">
        <v>367</v>
      </c>
    </row>
    <row r="632" spans="1:8" s="59" customFormat="1" x14ac:dyDescent="0.2">
      <c r="A632" s="60"/>
      <c r="B632" s="60"/>
      <c r="C632" s="3">
        <f t="shared" si="98"/>
        <v>3952</v>
      </c>
      <c r="D632" s="3">
        <f t="shared" si="97"/>
        <v>3961</v>
      </c>
      <c r="E632" s="6">
        <v>10</v>
      </c>
      <c r="F632" s="9" t="s">
        <v>51</v>
      </c>
      <c r="G632" s="37"/>
      <c r="H632" s="39"/>
    </row>
    <row r="633" spans="1:8" s="59" customFormat="1" x14ac:dyDescent="0.2">
      <c r="A633" s="60"/>
      <c r="B633" s="60"/>
      <c r="C633" s="3"/>
      <c r="D633" s="3"/>
      <c r="E633" s="6"/>
      <c r="F633" s="24" t="s">
        <v>152</v>
      </c>
      <c r="G633" s="37"/>
      <c r="H633" s="39"/>
    </row>
    <row r="634" spans="1:8" s="59" customFormat="1" ht="89.25" x14ac:dyDescent="0.2">
      <c r="A634" s="5" t="s">
        <v>428</v>
      </c>
      <c r="B634" s="5" t="s">
        <v>428</v>
      </c>
      <c r="C634" s="3">
        <f>C632+E632</f>
        <v>3962</v>
      </c>
      <c r="D634" s="3">
        <f>C634+E634-1</f>
        <v>3962</v>
      </c>
      <c r="E634" s="6">
        <v>1</v>
      </c>
      <c r="F634" s="13" t="s">
        <v>336</v>
      </c>
      <c r="G634" s="40" t="s">
        <v>109</v>
      </c>
      <c r="H634" s="43" t="s">
        <v>374</v>
      </c>
    </row>
    <row r="635" spans="1:8" s="59" customFormat="1" ht="63.75" x14ac:dyDescent="0.2">
      <c r="A635" s="5" t="s">
        <v>428</v>
      </c>
      <c r="B635" s="5" t="s">
        <v>428</v>
      </c>
      <c r="C635" s="3">
        <f>C634+E634</f>
        <v>3963</v>
      </c>
      <c r="D635" s="3">
        <f>C635+E635-1</f>
        <v>3963</v>
      </c>
      <c r="E635" s="6">
        <v>1</v>
      </c>
      <c r="F635" s="9" t="s">
        <v>107</v>
      </c>
      <c r="G635" s="40" t="s">
        <v>109</v>
      </c>
      <c r="H635" s="43" t="s">
        <v>388</v>
      </c>
    </row>
    <row r="636" spans="1:8" s="59" customFormat="1" ht="63.75" x14ac:dyDescent="0.2">
      <c r="A636" s="5" t="s">
        <v>428</v>
      </c>
      <c r="B636" s="5" t="s">
        <v>428</v>
      </c>
      <c r="C636" s="3">
        <f>C635+E635</f>
        <v>3964</v>
      </c>
      <c r="D636" s="3">
        <f>C636+E636-1</f>
        <v>3964</v>
      </c>
      <c r="E636" s="6">
        <v>1</v>
      </c>
      <c r="F636" s="9" t="s">
        <v>108</v>
      </c>
      <c r="G636" s="40" t="s">
        <v>109</v>
      </c>
      <c r="H636" s="43" t="s">
        <v>375</v>
      </c>
    </row>
    <row r="637" spans="1:8" s="59" customFormat="1" x14ac:dyDescent="0.2">
      <c r="A637" s="5"/>
      <c r="B637" s="5"/>
      <c r="C637" s="3">
        <f>C636+E636</f>
        <v>3965</v>
      </c>
      <c r="D637" s="3">
        <f>C637+E637-1</f>
        <v>3974</v>
      </c>
      <c r="E637" s="6">
        <v>10</v>
      </c>
      <c r="F637" s="9" t="s">
        <v>51</v>
      </c>
      <c r="G637" s="40"/>
      <c r="H637" s="39"/>
    </row>
    <row r="638" spans="1:8" s="59" customFormat="1" x14ac:dyDescent="0.2">
      <c r="A638" s="5"/>
      <c r="B638" s="5"/>
      <c r="C638" s="3"/>
      <c r="D638" s="3"/>
      <c r="E638" s="3"/>
      <c r="F638" s="24" t="s">
        <v>34</v>
      </c>
      <c r="G638" s="37"/>
      <c r="H638" s="39"/>
    </row>
    <row r="639" spans="1:8" s="59" customFormat="1" ht="25.5" x14ac:dyDescent="0.2">
      <c r="A639" s="5" t="s">
        <v>427</v>
      </c>
      <c r="B639" s="5" t="s">
        <v>427</v>
      </c>
      <c r="C639" s="3">
        <f>C637+E637</f>
        <v>3975</v>
      </c>
      <c r="D639" s="3">
        <f t="shared" ref="D639:D648" si="99">C639+E639-1</f>
        <v>3978</v>
      </c>
      <c r="E639" s="3">
        <v>4</v>
      </c>
      <c r="F639" s="23" t="s">
        <v>32</v>
      </c>
      <c r="G639" s="37" t="s">
        <v>83</v>
      </c>
      <c r="H639" s="66" t="s">
        <v>82</v>
      </c>
    </row>
    <row r="640" spans="1:8" s="59" customFormat="1" ht="51" x14ac:dyDescent="0.2">
      <c r="A640" s="5" t="s">
        <v>427</v>
      </c>
      <c r="B640" s="5" t="s">
        <v>427</v>
      </c>
      <c r="C640" s="3">
        <f t="shared" ref="C640:C648" si="100">C639+E639</f>
        <v>3979</v>
      </c>
      <c r="D640" s="3">
        <f t="shared" si="99"/>
        <v>3980</v>
      </c>
      <c r="E640" s="3">
        <v>2</v>
      </c>
      <c r="F640" s="23" t="s">
        <v>31</v>
      </c>
      <c r="G640" s="37" t="s">
        <v>81</v>
      </c>
      <c r="H640" s="66"/>
    </row>
    <row r="641" spans="1:8" s="59" customFormat="1" ht="25.5" x14ac:dyDescent="0.2">
      <c r="A641" s="5" t="s">
        <v>427</v>
      </c>
      <c r="B641" s="5" t="s">
        <v>427</v>
      </c>
      <c r="C641" s="3">
        <f t="shared" si="100"/>
        <v>3981</v>
      </c>
      <c r="D641" s="3">
        <f t="shared" si="99"/>
        <v>3983</v>
      </c>
      <c r="E641" s="3">
        <v>3</v>
      </c>
      <c r="F641" s="23" t="s">
        <v>33</v>
      </c>
      <c r="G641" s="37" t="s">
        <v>84</v>
      </c>
      <c r="H641" s="39" t="s">
        <v>85</v>
      </c>
    </row>
    <row r="642" spans="1:8" s="59" customFormat="1" ht="63.75" x14ac:dyDescent="0.2">
      <c r="A642" s="5" t="s">
        <v>427</v>
      </c>
      <c r="B642" s="5" t="s">
        <v>427</v>
      </c>
      <c r="C642" s="3">
        <f t="shared" si="100"/>
        <v>3984</v>
      </c>
      <c r="D642" s="3">
        <f t="shared" si="99"/>
        <v>3986</v>
      </c>
      <c r="E642" s="3">
        <v>3</v>
      </c>
      <c r="F642" s="23" t="s">
        <v>314</v>
      </c>
      <c r="G642" s="37" t="s">
        <v>315</v>
      </c>
      <c r="H642" s="39" t="s">
        <v>86</v>
      </c>
    </row>
    <row r="643" spans="1:8" s="59" customFormat="1" x14ac:dyDescent="0.2">
      <c r="A643" s="5"/>
      <c r="B643" s="5"/>
      <c r="C643" s="3">
        <f t="shared" si="100"/>
        <v>3987</v>
      </c>
      <c r="D643" s="3">
        <f t="shared" si="99"/>
        <v>3996</v>
      </c>
      <c r="E643" s="3">
        <v>10</v>
      </c>
      <c r="F643" s="23" t="s">
        <v>51</v>
      </c>
      <c r="G643" s="37"/>
      <c r="H643" s="39"/>
    </row>
    <row r="644" spans="1:8" s="59" customFormat="1" ht="191.25" customHeight="1" x14ac:dyDescent="0.2">
      <c r="A644" s="5" t="s">
        <v>428</v>
      </c>
      <c r="B644" s="5" t="s">
        <v>428</v>
      </c>
      <c r="C644" s="5">
        <f t="shared" si="100"/>
        <v>3997</v>
      </c>
      <c r="D644" s="5">
        <f t="shared" si="99"/>
        <v>4196</v>
      </c>
      <c r="E644" s="5">
        <v>200</v>
      </c>
      <c r="F644" s="13" t="s">
        <v>377</v>
      </c>
      <c r="G644" s="66" t="s">
        <v>396</v>
      </c>
      <c r="H644" s="43" t="s">
        <v>376</v>
      </c>
    </row>
    <row r="645" spans="1:8" s="59" customFormat="1" ht="187.5" customHeight="1" x14ac:dyDescent="0.2">
      <c r="A645" s="5" t="s">
        <v>428</v>
      </c>
      <c r="B645" s="5" t="s">
        <v>428</v>
      </c>
      <c r="C645" s="5">
        <f t="shared" ref="C645" si="101">C644+E644</f>
        <v>4197</v>
      </c>
      <c r="D645" s="5">
        <f t="shared" ref="D645" si="102">C645+E645-1</f>
        <v>4296</v>
      </c>
      <c r="E645" s="5">
        <v>100</v>
      </c>
      <c r="F645" s="13" t="s">
        <v>355</v>
      </c>
      <c r="G645" s="66"/>
      <c r="H645" s="43" t="s">
        <v>378</v>
      </c>
    </row>
    <row r="646" spans="1:8" s="59" customFormat="1" x14ac:dyDescent="0.2">
      <c r="A646" s="60"/>
      <c r="B646" s="60"/>
      <c r="C646" s="3">
        <f>C645+E645</f>
        <v>4297</v>
      </c>
      <c r="D646" s="3">
        <f t="shared" si="99"/>
        <v>4316</v>
      </c>
      <c r="E646" s="3">
        <v>20</v>
      </c>
      <c r="F646" s="23" t="s">
        <v>51</v>
      </c>
      <c r="G646" s="37"/>
      <c r="H646" s="39"/>
    </row>
    <row r="647" spans="1:8" ht="117.75" customHeight="1" x14ac:dyDescent="0.25">
      <c r="A647" s="5" t="s">
        <v>428</v>
      </c>
      <c r="B647" s="5" t="s">
        <v>428</v>
      </c>
      <c r="C647" s="6">
        <f t="shared" si="100"/>
        <v>4317</v>
      </c>
      <c r="D647" s="6">
        <f t="shared" si="99"/>
        <v>4331</v>
      </c>
      <c r="E647" s="6">
        <v>15</v>
      </c>
      <c r="F647" s="25" t="s">
        <v>349</v>
      </c>
      <c r="H647" s="63" t="s">
        <v>424</v>
      </c>
    </row>
    <row r="648" spans="1:8" ht="141.75" customHeight="1" x14ac:dyDescent="0.25">
      <c r="A648" s="5" t="s">
        <v>428</v>
      </c>
      <c r="B648" s="5" t="s">
        <v>428</v>
      </c>
      <c r="C648" s="6">
        <f t="shared" si="100"/>
        <v>4332</v>
      </c>
      <c r="D648" s="6">
        <f t="shared" si="99"/>
        <v>4351</v>
      </c>
      <c r="E648" s="6">
        <v>20</v>
      </c>
      <c r="F648" s="25" t="s">
        <v>350</v>
      </c>
      <c r="H648" s="63"/>
    </row>
    <row r="649" spans="1:8" x14ac:dyDescent="0.25">
      <c r="H649" s="47"/>
    </row>
    <row r="650" spans="1:8" x14ac:dyDescent="0.25">
      <c r="C650" s="73" t="s">
        <v>423</v>
      </c>
      <c r="D650" s="73"/>
      <c r="E650" s="27">
        <f>D648</f>
        <v>4351</v>
      </c>
      <c r="H650" s="47"/>
    </row>
  </sheetData>
  <autoFilter ref="C2:H648"/>
  <mergeCells count="73">
    <mergeCell ref="C650:D650"/>
    <mergeCell ref="H174:H187"/>
    <mergeCell ref="H189:H202"/>
    <mergeCell ref="G644:G645"/>
    <mergeCell ref="G146:G147"/>
    <mergeCell ref="G245:G246"/>
    <mergeCell ref="G345:G346"/>
    <mergeCell ref="G443:G444"/>
    <mergeCell ref="G153:G155"/>
    <mergeCell ref="G157:G159"/>
    <mergeCell ref="G450:G452"/>
    <mergeCell ref="G372:G385"/>
    <mergeCell ref="G387:G400"/>
    <mergeCell ref="G352:G354"/>
    <mergeCell ref="G356:G358"/>
    <mergeCell ref="G569:G582"/>
    <mergeCell ref="H562:H565"/>
    <mergeCell ref="G541:G542"/>
    <mergeCell ref="H141:H142"/>
    <mergeCell ref="H240:H241"/>
    <mergeCell ref="H340:H341"/>
    <mergeCell ref="H438:H439"/>
    <mergeCell ref="H536:H537"/>
    <mergeCell ref="H372:H385"/>
    <mergeCell ref="H387:H400"/>
    <mergeCell ref="H450:H452"/>
    <mergeCell ref="H352:H354"/>
    <mergeCell ref="H355:H358"/>
    <mergeCell ref="H168:H170"/>
    <mergeCell ref="H153:H155"/>
    <mergeCell ref="H156:H159"/>
    <mergeCell ref="G90:G103"/>
    <mergeCell ref="H38:H43"/>
    <mergeCell ref="H54:H56"/>
    <mergeCell ref="G36:G37"/>
    <mergeCell ref="H639:H640"/>
    <mergeCell ref="H453:H456"/>
    <mergeCell ref="G454:G456"/>
    <mergeCell ref="H470:H483"/>
    <mergeCell ref="H485:H498"/>
    <mergeCell ref="H464:H466"/>
    <mergeCell ref="G470:G483"/>
    <mergeCell ref="G485:G498"/>
    <mergeCell ref="G548:G550"/>
    <mergeCell ref="H548:H550"/>
    <mergeCell ref="H551:H554"/>
    <mergeCell ref="G552:G554"/>
    <mergeCell ref="G54:G56"/>
    <mergeCell ref="H57:H60"/>
    <mergeCell ref="G58:G60"/>
    <mergeCell ref="H69:H71"/>
    <mergeCell ref="G75:G88"/>
    <mergeCell ref="H21:H23"/>
    <mergeCell ref="H6:H7"/>
    <mergeCell ref="H75:H88"/>
    <mergeCell ref="H90:H103"/>
    <mergeCell ref="H16:H18"/>
    <mergeCell ref="H647:H648"/>
    <mergeCell ref="G252:G254"/>
    <mergeCell ref="G256:G258"/>
    <mergeCell ref="H272:H285"/>
    <mergeCell ref="G174:G187"/>
    <mergeCell ref="G189:G202"/>
    <mergeCell ref="G272:G285"/>
    <mergeCell ref="G287:G300"/>
    <mergeCell ref="H366:H368"/>
    <mergeCell ref="H266:H268"/>
    <mergeCell ref="H252:H254"/>
    <mergeCell ref="H255:H258"/>
    <mergeCell ref="H287:H300"/>
    <mergeCell ref="G584:G597"/>
    <mergeCell ref="H569:H582"/>
    <mergeCell ref="H584:H597"/>
  </mergeCells>
  <printOptions gridLines="1"/>
  <pageMargins left="0.45" right="0.45" top="0.5" bottom="0.72" header="0.3" footer="0.37"/>
  <pageSetup scale="61" fitToHeight="0" orientation="landscape" r:id="rId1"/>
  <headerFooter>
    <oddFooter>&amp;L&amp;"Arial,Regular"&amp;10R = Registration     I = In-window     P = Post-window     H = History     A = Accountability&amp;C&amp;"Arial,Regular"&amp;10Page &amp;P of &amp;N&amp;R&amp;"Arial,Regular"&amp;10Last Saved Date: 8/11/2016 11:38:03 AM</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4"/>
  <sheetViews>
    <sheetView workbookViewId="0">
      <selection activeCell="B7" sqref="B7"/>
    </sheetView>
  </sheetViews>
  <sheetFormatPr defaultRowHeight="15" x14ac:dyDescent="0.25"/>
  <cols>
    <col min="1" max="1" width="10.7109375" bestFit="1" customWidth="1"/>
    <col min="2" max="2" width="66.5703125" style="31" customWidth="1"/>
    <col min="3" max="3" width="20.28515625" customWidth="1"/>
  </cols>
  <sheetData>
    <row r="1" spans="1:3" x14ac:dyDescent="0.25">
      <c r="A1" s="75" t="s">
        <v>273</v>
      </c>
      <c r="B1" s="75"/>
      <c r="C1" s="75"/>
    </row>
    <row r="2" spans="1:3" ht="25.5" x14ac:dyDescent="0.25">
      <c r="A2" s="20" t="s">
        <v>274</v>
      </c>
      <c r="B2" s="21" t="s">
        <v>275</v>
      </c>
      <c r="C2" s="22" t="s">
        <v>276</v>
      </c>
    </row>
    <row r="3" spans="1:3" x14ac:dyDescent="0.25">
      <c r="A3" s="28">
        <v>42877</v>
      </c>
      <c r="B3" s="30" t="s">
        <v>278</v>
      </c>
      <c r="C3" s="29" t="s">
        <v>277</v>
      </c>
    </row>
    <row r="4" spans="1:3" x14ac:dyDescent="0.25">
      <c r="A4" s="28"/>
      <c r="B4" s="30"/>
      <c r="C4" s="29"/>
    </row>
    <row r="5" spans="1:3" x14ac:dyDescent="0.25">
      <c r="A5" s="28"/>
      <c r="B5" s="30"/>
      <c r="C5" s="29"/>
    </row>
    <row r="6" spans="1:3" x14ac:dyDescent="0.25">
      <c r="A6" s="28"/>
      <c r="B6" s="30"/>
      <c r="C6" s="29"/>
    </row>
    <row r="7" spans="1:3" x14ac:dyDescent="0.25">
      <c r="A7" s="28"/>
      <c r="B7" s="30"/>
      <c r="C7" s="29"/>
    </row>
    <row r="8" spans="1:3" x14ac:dyDescent="0.25">
      <c r="A8" s="28"/>
      <c r="B8" s="30"/>
      <c r="C8" s="29"/>
    </row>
    <row r="9" spans="1:3" x14ac:dyDescent="0.25">
      <c r="A9" s="28"/>
      <c r="B9" s="30"/>
      <c r="C9" s="29"/>
    </row>
    <row r="10" spans="1:3" x14ac:dyDescent="0.25">
      <c r="A10" s="28"/>
      <c r="B10" s="30"/>
      <c r="C10" s="29"/>
    </row>
    <row r="11" spans="1:3" x14ac:dyDescent="0.25">
      <c r="A11" s="28"/>
      <c r="B11" s="30"/>
      <c r="C11" s="29"/>
    </row>
    <row r="12" spans="1:3" x14ac:dyDescent="0.25">
      <c r="A12" s="28"/>
      <c r="B12" s="30"/>
      <c r="C12" s="29"/>
    </row>
    <row r="13" spans="1:3" x14ac:dyDescent="0.25">
      <c r="A13" s="28"/>
      <c r="B13" s="30"/>
      <c r="C13" s="29"/>
    </row>
    <row r="14" spans="1:3" x14ac:dyDescent="0.25">
      <c r="A14" s="28"/>
      <c r="B14" s="30"/>
      <c r="C14" s="29"/>
    </row>
    <row r="15" spans="1:3" x14ac:dyDescent="0.25">
      <c r="A15" s="28"/>
      <c r="B15" s="30"/>
      <c r="C15" s="29"/>
    </row>
    <row r="16" spans="1:3" x14ac:dyDescent="0.25">
      <c r="A16" s="28"/>
      <c r="B16" s="30"/>
      <c r="C16" s="29"/>
    </row>
    <row r="17" spans="1:3" x14ac:dyDescent="0.25">
      <c r="A17" s="28"/>
      <c r="B17" s="30"/>
      <c r="C17" s="29"/>
    </row>
    <row r="18" spans="1:3" x14ac:dyDescent="0.25">
      <c r="A18" s="28"/>
      <c r="B18" s="30"/>
      <c r="C18" s="29"/>
    </row>
    <row r="19" spans="1:3" x14ac:dyDescent="0.25">
      <c r="A19" s="28"/>
      <c r="B19" s="30"/>
      <c r="C19" s="32"/>
    </row>
    <row r="20" spans="1:3" x14ac:dyDescent="0.25">
      <c r="A20" s="28"/>
      <c r="B20" s="30"/>
      <c r="C20" s="32"/>
    </row>
    <row r="21" spans="1:3" x14ac:dyDescent="0.25">
      <c r="A21" s="28"/>
      <c r="B21" s="30"/>
      <c r="C21" s="32"/>
    </row>
    <row r="22" spans="1:3" x14ac:dyDescent="0.25">
      <c r="A22" s="28"/>
      <c r="B22" s="30"/>
      <c r="C22" s="32"/>
    </row>
    <row r="23" spans="1:3" x14ac:dyDescent="0.25">
      <c r="A23" s="28"/>
      <c r="B23" s="30"/>
      <c r="C23" s="32"/>
    </row>
    <row r="24" spans="1:3" x14ac:dyDescent="0.25">
      <c r="A24" s="28"/>
      <c r="B24" s="30"/>
      <c r="C24" s="32"/>
    </row>
    <row r="25" spans="1:3" x14ac:dyDescent="0.25">
      <c r="A25" s="28"/>
      <c r="B25" s="30"/>
      <c r="C25" s="32"/>
    </row>
    <row r="26" spans="1:3" x14ac:dyDescent="0.25">
      <c r="A26" s="33"/>
      <c r="B26" s="34"/>
      <c r="C26" s="35"/>
    </row>
    <row r="27" spans="1:3" x14ac:dyDescent="0.25">
      <c r="A27" s="28"/>
      <c r="B27" s="30"/>
      <c r="C27" s="32"/>
    </row>
    <row r="28" spans="1:3" x14ac:dyDescent="0.25">
      <c r="A28" s="28"/>
      <c r="B28" s="30"/>
      <c r="C28" s="32"/>
    </row>
    <row r="29" spans="1:3" x14ac:dyDescent="0.25">
      <c r="A29" s="28"/>
      <c r="B29" s="30"/>
      <c r="C29" s="32"/>
    </row>
    <row r="30" spans="1:3" x14ac:dyDescent="0.25">
      <c r="A30" s="28"/>
      <c r="B30" s="30"/>
      <c r="C30" s="32"/>
    </row>
    <row r="31" spans="1:3" x14ac:dyDescent="0.25">
      <c r="A31" s="28"/>
      <c r="B31" s="30"/>
      <c r="C31" s="32"/>
    </row>
    <row r="32" spans="1:3" x14ac:dyDescent="0.25">
      <c r="A32" s="28"/>
      <c r="B32" s="30"/>
      <c r="C32" s="32"/>
    </row>
    <row r="33" spans="1:3" x14ac:dyDescent="0.25">
      <c r="A33" s="28"/>
      <c r="B33" s="30"/>
      <c r="C33" s="32"/>
    </row>
    <row r="34" spans="1:3" x14ac:dyDescent="0.25">
      <c r="A34" s="28"/>
      <c r="B34" s="30"/>
      <c r="C34" s="32"/>
    </row>
  </sheetData>
  <mergeCells count="1">
    <mergeCell ref="A1:C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File Format</vt:lpstr>
      <vt:lpstr>Revision Log</vt:lpstr>
      <vt:lpstr>'File Format'!Print_Titles</vt:lpstr>
    </vt:vector>
  </TitlesOfParts>
  <Company>PMC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EOC Combined Score File Layout</dc:title>
  <dc:creator>dmurray@pacificmetrics.com</dc:creator>
  <cp:lastModifiedBy>Johannes, Mallory</cp:lastModifiedBy>
  <cp:lastPrinted>2016-09-11T14:15:42Z</cp:lastPrinted>
  <dcterms:created xsi:type="dcterms:W3CDTF">2010-08-16T22:46:58Z</dcterms:created>
  <dcterms:modified xsi:type="dcterms:W3CDTF">2017-07-25T16:06:53Z</dcterms:modified>
</cp:coreProperties>
</file>