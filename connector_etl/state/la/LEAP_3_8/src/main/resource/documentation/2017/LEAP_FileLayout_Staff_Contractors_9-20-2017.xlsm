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P:\LAProd\510685\Documents\"/>
    </mc:Choice>
  </mc:AlternateContent>
  <bookViews>
    <workbookView xWindow="120" yWindow="30" windowWidth="10695" windowHeight="8505"/>
  </bookViews>
  <sheets>
    <sheet name="LDESTD" sheetId="1" r:id="rId1"/>
    <sheet name="Revision Log" sheetId="2" r:id="rId2"/>
  </sheets>
  <definedNames>
    <definedName name="_xlnm._FilterDatabase" localSheetId="0" hidden="1">LDESTD!$A$2:$G$420</definedName>
  </definedNames>
  <calcPr calcId="171027"/>
</workbook>
</file>

<file path=xl/calcChain.xml><?xml version="1.0" encoding="utf-8"?>
<calcChain xmlns="http://schemas.openxmlformats.org/spreadsheetml/2006/main">
  <c r="B5" i="1" l="1"/>
  <c r="B6" i="1" s="1"/>
  <c r="C4" i="1"/>
  <c r="C5" i="1" l="1"/>
  <c r="B7" i="1"/>
  <c r="C6" i="1"/>
  <c r="B8" i="1" l="1"/>
  <c r="C7" i="1"/>
  <c r="B9" i="1" l="1"/>
  <c r="C8" i="1"/>
  <c r="B10" i="1" l="1"/>
  <c r="C9" i="1"/>
  <c r="B11" i="1" l="1"/>
  <c r="C10" i="1"/>
  <c r="B12" i="1" l="1"/>
  <c r="C11" i="1"/>
  <c r="B13" i="1" l="1"/>
  <c r="C12" i="1"/>
  <c r="B14" i="1" l="1"/>
  <c r="C13" i="1"/>
  <c r="B15" i="1" l="1"/>
  <c r="C14" i="1"/>
  <c r="B16" i="1" l="1"/>
  <c r="C15" i="1"/>
  <c r="B17" i="1" l="1"/>
  <c r="C16" i="1"/>
  <c r="B18" i="1" l="1"/>
  <c r="C17" i="1"/>
  <c r="C18" i="1" l="1"/>
  <c r="B19" i="1"/>
  <c r="B20" i="1" s="1"/>
  <c r="C19" i="1" l="1"/>
  <c r="B21" i="1" l="1"/>
  <c r="C20" i="1"/>
  <c r="B22" i="1" l="1"/>
  <c r="B23" i="1" s="1"/>
  <c r="C23" i="1" s="1"/>
  <c r="C21" i="1"/>
  <c r="C22" i="1" l="1"/>
  <c r="B24" i="1" l="1"/>
  <c r="B25" i="1" l="1"/>
  <c r="B26" i="1" s="1"/>
  <c r="C24" i="1"/>
  <c r="C26" i="1" l="1"/>
  <c r="B27" i="1"/>
  <c r="C25" i="1"/>
  <c r="B28" i="1" l="1"/>
  <c r="B29" i="1" s="1"/>
  <c r="C28" i="1" l="1"/>
  <c r="C27" i="1"/>
  <c r="B30" i="1" l="1"/>
  <c r="C29" i="1" l="1"/>
  <c r="B31" i="1"/>
  <c r="B32" i="1" s="1"/>
  <c r="C30" i="1"/>
  <c r="C31" i="1" l="1"/>
  <c r="B33" i="1" l="1"/>
  <c r="C32" i="1"/>
  <c r="B34" i="1" l="1"/>
  <c r="C33" i="1"/>
  <c r="C34" i="1" l="1"/>
  <c r="B35" i="1"/>
  <c r="B37" i="1" s="1"/>
  <c r="C35" i="1" l="1"/>
  <c r="C37" i="1" l="1"/>
  <c r="B38" i="1"/>
  <c r="B39" i="1" l="1"/>
  <c r="C38" i="1"/>
  <c r="C39" i="1" l="1"/>
  <c r="B40" i="1"/>
  <c r="C40" i="1" l="1"/>
  <c r="B41" i="1"/>
  <c r="B42" i="1" l="1"/>
  <c r="C41" i="1"/>
  <c r="B43" i="1" l="1"/>
  <c r="C42" i="1"/>
  <c r="C43" i="1" l="1"/>
  <c r="B44" i="1"/>
  <c r="B45" i="1" l="1"/>
  <c r="B47" i="1" s="1"/>
  <c r="C44" i="1"/>
  <c r="C45" i="1" l="1"/>
  <c r="C47" i="1" l="1"/>
  <c r="B48" i="1"/>
  <c r="B49" i="1" l="1"/>
  <c r="C48" i="1"/>
  <c r="B50" i="1" l="1"/>
  <c r="C49" i="1"/>
  <c r="C50" i="1" l="1"/>
  <c r="B51" i="1"/>
  <c r="C51" i="1" l="1"/>
  <c r="B52" i="1"/>
  <c r="B54" i="1" s="1"/>
  <c r="C52" i="1" l="1"/>
  <c r="C54" i="1" l="1"/>
  <c r="B55" i="1"/>
  <c r="B56" i="1" l="1"/>
  <c r="C55" i="1"/>
  <c r="C56" i="1" l="1"/>
  <c r="B57" i="1"/>
  <c r="C57" i="1" l="1"/>
  <c r="B58" i="1"/>
  <c r="C58" i="1" l="1"/>
  <c r="B59" i="1"/>
  <c r="B60" i="1" l="1"/>
  <c r="C59" i="1"/>
  <c r="B61" i="1" l="1"/>
  <c r="C60" i="1"/>
  <c r="B62" i="1" l="1"/>
  <c r="C61" i="1"/>
  <c r="C62" i="1" l="1"/>
  <c r="B64" i="1"/>
  <c r="B65" i="1" s="1"/>
  <c r="C64" i="1" l="1"/>
  <c r="C65" i="1" l="1"/>
  <c r="B67" i="1"/>
  <c r="C67" i="1" l="1"/>
  <c r="B68" i="1"/>
  <c r="B69" i="1" l="1"/>
  <c r="C68" i="1"/>
  <c r="B70" i="1" l="1"/>
  <c r="C69" i="1"/>
  <c r="C70" i="1" l="1"/>
  <c r="B71" i="1"/>
  <c r="B72" i="1" l="1"/>
  <c r="C71" i="1"/>
  <c r="B73" i="1" l="1"/>
  <c r="C72" i="1"/>
  <c r="C73" i="1" l="1"/>
  <c r="B74" i="1"/>
  <c r="B75" i="1" s="1"/>
  <c r="C75" i="1" l="1"/>
  <c r="B76" i="1"/>
  <c r="C74" i="1"/>
  <c r="B77" i="1" l="1"/>
  <c r="C76" i="1"/>
  <c r="C77" i="1" l="1"/>
  <c r="B78" i="1"/>
  <c r="B80" i="1" l="1"/>
  <c r="B81" i="1" s="1"/>
  <c r="C78" i="1"/>
  <c r="C80" i="1" l="1"/>
  <c r="C81" i="1" l="1"/>
  <c r="B82" i="1"/>
  <c r="C82" i="1" l="1"/>
  <c r="B83" i="1"/>
  <c r="C83" i="1" l="1"/>
  <c r="B84" i="1"/>
  <c r="B86" i="1" s="1"/>
  <c r="C84" i="1" l="1"/>
  <c r="B87" i="1" l="1"/>
  <c r="C86" i="1"/>
  <c r="C87" i="1" l="1"/>
  <c r="B88" i="1"/>
  <c r="B89" i="1" l="1"/>
  <c r="C88" i="1"/>
  <c r="C89" i="1" l="1"/>
  <c r="B90" i="1"/>
  <c r="C90" i="1" l="1"/>
  <c r="B91" i="1"/>
  <c r="B92" i="1" l="1"/>
  <c r="C91" i="1"/>
  <c r="C92" i="1" l="1"/>
  <c r="B93" i="1"/>
  <c r="B94" i="1" l="1"/>
  <c r="C93" i="1"/>
  <c r="B96" i="1" l="1"/>
  <c r="C94" i="1"/>
  <c r="C96" i="1" l="1"/>
  <c r="B97" i="1"/>
  <c r="C97" i="1" l="1"/>
  <c r="B98" i="1"/>
  <c r="B99" i="1" l="1"/>
  <c r="C98" i="1"/>
  <c r="C99" i="1" l="1"/>
  <c r="B100" i="1"/>
  <c r="B101" i="1" l="1"/>
  <c r="C100" i="1"/>
  <c r="C101" i="1" l="1"/>
  <c r="B102" i="1"/>
  <c r="B103" i="1" l="1"/>
  <c r="B105" i="1" s="1"/>
  <c r="C102" i="1"/>
  <c r="C103" i="1" l="1"/>
  <c r="C105" i="1" l="1"/>
  <c r="B106" i="1"/>
  <c r="C106" i="1" l="1"/>
  <c r="B107" i="1"/>
  <c r="B108" i="1" l="1"/>
  <c r="C107" i="1"/>
  <c r="C108" i="1" l="1"/>
  <c r="B109" i="1"/>
  <c r="C109" i="1" l="1"/>
  <c r="B110" i="1"/>
  <c r="C110" i="1" l="1"/>
  <c r="B111" i="1"/>
  <c r="B112" i="1" l="1"/>
  <c r="C111" i="1"/>
  <c r="B113" i="1" l="1"/>
  <c r="C112" i="1"/>
  <c r="C113" i="1" l="1"/>
  <c r="B114" i="1"/>
  <c r="C114" i="1" l="1"/>
  <c r="B116" i="1"/>
  <c r="C116" i="1" l="1"/>
  <c r="B117" i="1"/>
  <c r="B118" i="1" s="1"/>
  <c r="C117" i="1" l="1"/>
  <c r="C118" i="1" l="1"/>
  <c r="B120" i="1"/>
  <c r="C120" i="1" l="1"/>
  <c r="B121" i="1"/>
  <c r="C121" i="1" l="1"/>
  <c r="B122" i="1"/>
  <c r="B123" i="1" l="1"/>
  <c r="C122" i="1"/>
  <c r="C123" i="1" l="1"/>
  <c r="B124" i="1"/>
  <c r="C124" i="1" l="1"/>
  <c r="B125" i="1"/>
  <c r="C125" i="1" l="1"/>
  <c r="B126" i="1"/>
  <c r="C126" i="1" l="1"/>
  <c r="B127" i="1"/>
  <c r="C127" i="1" l="1"/>
  <c r="B128" i="1"/>
  <c r="B129" i="1" l="1"/>
  <c r="C128" i="1"/>
  <c r="B130" i="1" l="1"/>
  <c r="B131" i="1" s="1"/>
  <c r="C129" i="1"/>
  <c r="B132" i="1" l="1"/>
  <c r="C131" i="1"/>
  <c r="C130" i="1"/>
  <c r="C132" i="1" l="1"/>
  <c r="B133" i="1"/>
  <c r="C133" i="1" l="1"/>
  <c r="B135" i="1"/>
  <c r="B136" i="1" s="1"/>
  <c r="C135" i="1" l="1"/>
  <c r="B137" i="1"/>
  <c r="C136" i="1"/>
  <c r="C137" i="1" l="1"/>
  <c r="B138" i="1"/>
  <c r="B140" i="1" s="1"/>
  <c r="C138" i="1" l="1"/>
  <c r="C140" i="1" l="1"/>
  <c r="B141" i="1"/>
  <c r="B142" i="1" l="1"/>
  <c r="C141" i="1"/>
  <c r="C142" i="1" l="1"/>
  <c r="B143" i="1"/>
  <c r="B144" i="1" l="1"/>
  <c r="C143" i="1"/>
  <c r="C144" i="1" l="1"/>
  <c r="B145" i="1"/>
  <c r="B146" i="1" l="1"/>
  <c r="C145" i="1"/>
  <c r="C146" i="1" l="1"/>
  <c r="B147" i="1"/>
  <c r="B148" i="1" l="1"/>
  <c r="C147" i="1"/>
  <c r="C148" i="1" l="1"/>
  <c r="B149" i="1"/>
  <c r="B150" i="1" l="1"/>
  <c r="C149" i="1"/>
  <c r="B151" i="1" l="1"/>
  <c r="B153" i="1" s="1"/>
  <c r="C150" i="1"/>
  <c r="C151" i="1" l="1"/>
  <c r="B154" i="1" l="1"/>
  <c r="C153" i="1"/>
  <c r="C154" i="1" l="1"/>
  <c r="B155" i="1"/>
  <c r="B156" i="1" l="1"/>
  <c r="C155" i="1"/>
  <c r="C156" i="1" l="1"/>
  <c r="B157" i="1"/>
  <c r="B158" i="1" l="1"/>
  <c r="C157" i="1"/>
  <c r="C158" i="1" l="1"/>
  <c r="B159" i="1"/>
  <c r="B161" i="1" s="1"/>
  <c r="C159" i="1" l="1"/>
  <c r="B162" i="1" l="1"/>
  <c r="C161" i="1"/>
  <c r="B163" i="1" l="1"/>
  <c r="C162" i="1"/>
  <c r="B164" i="1" l="1"/>
  <c r="C163" i="1"/>
  <c r="B165" i="1" l="1"/>
  <c r="C164" i="1"/>
  <c r="B166" i="1" l="1"/>
  <c r="C165" i="1"/>
  <c r="B167" i="1" l="1"/>
  <c r="C166" i="1"/>
  <c r="B168" i="1" l="1"/>
  <c r="C167" i="1"/>
  <c r="C168" i="1" l="1"/>
  <c r="B169" i="1"/>
  <c r="B170" i="1" l="1"/>
  <c r="C169" i="1"/>
  <c r="B171" i="1" l="1"/>
  <c r="C170" i="1"/>
  <c r="B172" i="1" l="1"/>
  <c r="C171" i="1"/>
  <c r="B174" i="1" l="1"/>
  <c r="B175" i="1" s="1"/>
  <c r="B177" i="1" s="1"/>
  <c r="C172" i="1"/>
  <c r="C174" i="1" l="1"/>
  <c r="C175" i="1" l="1"/>
  <c r="C177" i="1" l="1"/>
  <c r="B178" i="1"/>
  <c r="B179" i="1" l="1"/>
  <c r="B181" i="1" s="1"/>
  <c r="C178" i="1"/>
  <c r="C179" i="1" l="1"/>
  <c r="B182" i="1" l="1"/>
  <c r="C181" i="1"/>
  <c r="C182" i="1" l="1"/>
  <c r="B183" i="1"/>
  <c r="C183" i="1" l="1"/>
  <c r="B184" i="1"/>
  <c r="B185" i="1" l="1"/>
  <c r="C184" i="1"/>
  <c r="C185" i="1" l="1"/>
  <c r="B186" i="1"/>
  <c r="C186" i="1" l="1"/>
  <c r="B187" i="1"/>
  <c r="C187" i="1" l="1"/>
  <c r="B188" i="1"/>
  <c r="C188" i="1" l="1"/>
  <c r="B189" i="1"/>
  <c r="C189" i="1" l="1"/>
  <c r="B190" i="1"/>
  <c r="C190" i="1" l="1"/>
  <c r="B191" i="1"/>
  <c r="B193" i="1" l="1"/>
  <c r="C191" i="1"/>
  <c r="B194" i="1" l="1"/>
  <c r="C193" i="1"/>
  <c r="C194" i="1" l="1"/>
  <c r="B195" i="1"/>
  <c r="B196" i="1" l="1"/>
  <c r="C195" i="1"/>
  <c r="B197" i="1" l="1"/>
  <c r="C196" i="1"/>
  <c r="B198" i="1" l="1"/>
  <c r="C197" i="1"/>
  <c r="B199" i="1" l="1"/>
  <c r="C198" i="1"/>
  <c r="B200" i="1" l="1"/>
  <c r="B202" i="1" s="1"/>
  <c r="C199" i="1"/>
  <c r="C200" i="1" l="1"/>
  <c r="B203" i="1" l="1"/>
  <c r="C202" i="1"/>
  <c r="C203" i="1" l="1"/>
  <c r="B204" i="1"/>
  <c r="C204" i="1" l="1"/>
  <c r="B205" i="1"/>
  <c r="C205" i="1" l="1"/>
  <c r="B206" i="1"/>
  <c r="C206" i="1" l="1"/>
  <c r="B207" i="1"/>
  <c r="B208" i="1" l="1"/>
  <c r="C207" i="1"/>
  <c r="B209" i="1" l="1"/>
  <c r="C208" i="1"/>
  <c r="C209" i="1" l="1"/>
  <c r="B210" i="1"/>
  <c r="C210" i="1" l="1"/>
  <c r="B211" i="1"/>
  <c r="B212" i="1" l="1"/>
  <c r="C211" i="1"/>
  <c r="C212" i="1" l="1"/>
  <c r="B213" i="1"/>
  <c r="B215" i="1" l="1"/>
  <c r="B216" i="1" s="1"/>
  <c r="C213" i="1"/>
  <c r="C215" i="1" l="1"/>
  <c r="C216" i="1" l="1"/>
  <c r="B218" i="1"/>
  <c r="C218" i="1" l="1"/>
  <c r="B219" i="1"/>
  <c r="B220" i="1" l="1"/>
  <c r="C219" i="1"/>
  <c r="B221" i="1" l="1"/>
  <c r="C220" i="1"/>
  <c r="C221" i="1" l="1"/>
  <c r="B222" i="1"/>
  <c r="C222" i="1" l="1"/>
  <c r="B223" i="1"/>
  <c r="C223" i="1" l="1"/>
  <c r="B224" i="1"/>
  <c r="C224" i="1" l="1"/>
  <c r="B225" i="1"/>
  <c r="B226" i="1" s="1"/>
  <c r="B227" i="1" l="1"/>
  <c r="C226" i="1"/>
  <c r="C225" i="1"/>
  <c r="B228" i="1" l="1"/>
  <c r="C227" i="1"/>
  <c r="C228" i="1" l="1"/>
  <c r="B229" i="1"/>
  <c r="B232" i="1" s="1"/>
  <c r="C229" i="1" l="1"/>
  <c r="C232" i="1" l="1"/>
  <c r="B234" i="1"/>
  <c r="B235" i="1" l="1"/>
  <c r="C234" i="1"/>
  <c r="C235" i="1" l="1"/>
  <c r="B236" i="1"/>
  <c r="C236" i="1" l="1"/>
  <c r="B237" i="1"/>
  <c r="C237" i="1" l="1"/>
  <c r="B238" i="1"/>
  <c r="B239" i="1" l="1"/>
  <c r="C238" i="1"/>
  <c r="C239" i="1" l="1"/>
  <c r="B240" i="1"/>
  <c r="B242" i="1" l="1"/>
  <c r="C240" i="1"/>
  <c r="C242" i="1" l="1"/>
  <c r="B243" i="1"/>
  <c r="C243" i="1" l="1"/>
  <c r="B244" i="1"/>
  <c r="C244" i="1" l="1"/>
  <c r="B245" i="1"/>
  <c r="C245" i="1" l="1"/>
  <c r="B246" i="1"/>
  <c r="B247" i="1" l="1"/>
  <c r="C246" i="1"/>
  <c r="B248" i="1" l="1"/>
  <c r="C247" i="1"/>
  <c r="C248" i="1" l="1"/>
  <c r="B249" i="1"/>
  <c r="B251" i="1" l="1"/>
  <c r="B252" i="1" s="1"/>
  <c r="B253" i="1" s="1"/>
  <c r="C249" i="1"/>
  <c r="C251" i="1" l="1"/>
  <c r="C252" i="1" l="1"/>
  <c r="B255" i="1" l="1"/>
  <c r="C253" i="1"/>
  <c r="B256" i="1" l="1"/>
  <c r="C255" i="1"/>
  <c r="C256" i="1" l="1"/>
  <c r="B257" i="1"/>
  <c r="B259" i="1" l="1"/>
  <c r="C257" i="1"/>
  <c r="C259" i="1" l="1"/>
  <c r="B260" i="1"/>
  <c r="C260" i="1" l="1"/>
  <c r="B261" i="1"/>
  <c r="C261" i="1" l="1"/>
  <c r="B262" i="1"/>
  <c r="C262" i="1" l="1"/>
  <c r="B263" i="1"/>
  <c r="C263" i="1" l="1"/>
  <c r="B264" i="1"/>
  <c r="C264" i="1" l="1"/>
  <c r="B265" i="1"/>
  <c r="B266" i="1" l="1"/>
  <c r="C265" i="1"/>
  <c r="C266" i="1" l="1"/>
  <c r="B267" i="1"/>
  <c r="B268" i="1" l="1"/>
  <c r="C267" i="1"/>
  <c r="B269" i="1" l="1"/>
  <c r="C268" i="1"/>
  <c r="C269" i="1" l="1"/>
  <c r="B270" i="1"/>
  <c r="B271" i="1" l="1"/>
  <c r="C270" i="1"/>
  <c r="C271" i="1" l="1"/>
  <c r="B272" i="1"/>
  <c r="C272" i="1" l="1"/>
  <c r="B273" i="1"/>
  <c r="B274" i="1" l="1"/>
  <c r="C273" i="1"/>
  <c r="C274" i="1" l="1"/>
  <c r="B276" i="1"/>
  <c r="C276" i="1" l="1"/>
  <c r="B277" i="1"/>
  <c r="C277" i="1" l="1"/>
  <c r="B278" i="1"/>
  <c r="B279" i="1" l="1"/>
  <c r="C278" i="1"/>
  <c r="C279" i="1" l="1"/>
  <c r="B280" i="1"/>
  <c r="C280" i="1" l="1"/>
  <c r="B281" i="1"/>
  <c r="C281" i="1" l="1"/>
  <c r="B282" i="1"/>
  <c r="B284" i="1" s="1"/>
  <c r="C282" i="1" l="1"/>
  <c r="C284" i="1" l="1"/>
  <c r="B285" i="1" l="1"/>
  <c r="C285" i="1" s="1"/>
  <c r="B286" i="1" l="1"/>
  <c r="B288" i="1" s="1"/>
  <c r="C286" i="1" l="1"/>
  <c r="C288" i="1"/>
  <c r="B289" i="1"/>
  <c r="C289" i="1" l="1"/>
  <c r="B290" i="1"/>
  <c r="B291" i="1" l="1"/>
  <c r="C290" i="1"/>
  <c r="B292" i="1" l="1"/>
  <c r="C291" i="1"/>
  <c r="C292" i="1" l="1"/>
  <c r="B293" i="1"/>
  <c r="B294" i="1" l="1"/>
  <c r="C293" i="1"/>
  <c r="C294" i="1" l="1"/>
  <c r="B295" i="1"/>
  <c r="C295" i="1" l="1"/>
  <c r="B296" i="1"/>
  <c r="B297" i="1" l="1"/>
  <c r="C296" i="1"/>
  <c r="B298" i="1" l="1"/>
  <c r="C297" i="1"/>
  <c r="C298" i="1" l="1"/>
  <c r="B299" i="1"/>
  <c r="B300" i="1" l="1"/>
  <c r="B302" i="1" s="1"/>
  <c r="C299" i="1"/>
  <c r="C300" i="1" l="1"/>
  <c r="C302" i="1" l="1"/>
  <c r="B303" i="1"/>
  <c r="B304" i="1" l="1"/>
  <c r="C303" i="1"/>
  <c r="B306" i="1" l="1"/>
  <c r="C304" i="1"/>
  <c r="C306" i="1" l="1"/>
  <c r="B307" i="1"/>
  <c r="C307" i="1" l="1"/>
  <c r="B308" i="1"/>
  <c r="C308" i="1" l="1"/>
  <c r="B309" i="1"/>
  <c r="B310" i="1" l="1"/>
  <c r="C309" i="1"/>
  <c r="C310" i="1" l="1"/>
  <c r="B311" i="1"/>
  <c r="C311" i="1" l="1"/>
  <c r="B312" i="1"/>
  <c r="C312" i="1" l="1"/>
  <c r="B313" i="1"/>
  <c r="B314" i="1" l="1"/>
  <c r="C313" i="1"/>
  <c r="C314" i="1" l="1"/>
  <c r="B315" i="1"/>
  <c r="C315" i="1" l="1"/>
  <c r="B316" i="1"/>
  <c r="B318" i="1" l="1"/>
  <c r="C316" i="1"/>
  <c r="B319" i="1" l="1"/>
  <c r="C318" i="1"/>
  <c r="B320" i="1" l="1"/>
  <c r="C319" i="1"/>
  <c r="C320" i="1" l="1"/>
  <c r="B322" i="1"/>
  <c r="B323" i="1" l="1"/>
  <c r="B324" i="1" s="1"/>
  <c r="C322" i="1"/>
  <c r="C323" i="1" l="1"/>
  <c r="B326" i="1" l="1"/>
  <c r="C324" i="1"/>
  <c r="B327" i="1" l="1"/>
  <c r="C326" i="1"/>
  <c r="B328" i="1" l="1"/>
  <c r="C327" i="1"/>
  <c r="B330" i="1" l="1"/>
  <c r="C328" i="1"/>
  <c r="B331" i="1" l="1"/>
  <c r="C330" i="1"/>
  <c r="B332" i="1" l="1"/>
  <c r="C331" i="1"/>
  <c r="C332" i="1" l="1"/>
  <c r="B333" i="1"/>
  <c r="C333" i="1" l="1"/>
  <c r="B334" i="1"/>
  <c r="B335" i="1" l="1"/>
  <c r="C334" i="1"/>
  <c r="B336" i="1" l="1"/>
  <c r="C335" i="1"/>
  <c r="C336" i="1" l="1"/>
  <c r="B337" i="1"/>
  <c r="B338" i="1" l="1"/>
  <c r="C337" i="1"/>
  <c r="C338" i="1" l="1"/>
  <c r="B339" i="1"/>
  <c r="C339" i="1" l="1"/>
  <c r="B340" i="1"/>
  <c r="C340" i="1" l="1"/>
  <c r="B341" i="1"/>
  <c r="B342" i="1" l="1"/>
  <c r="B345" i="1" s="1"/>
  <c r="C341" i="1"/>
  <c r="C342" i="1" l="1"/>
  <c r="C345" i="1" l="1"/>
  <c r="B346" i="1"/>
  <c r="C346" i="1" l="1"/>
  <c r="B347" i="1"/>
  <c r="B348" i="1" l="1"/>
  <c r="C347" i="1"/>
  <c r="B350" i="1" l="1"/>
  <c r="C348" i="1"/>
  <c r="B351" i="1" l="1"/>
  <c r="C350" i="1"/>
  <c r="B352" i="1" l="1"/>
  <c r="C351" i="1"/>
  <c r="B353" i="1" l="1"/>
  <c r="B354" i="1" s="1"/>
  <c r="C352" i="1"/>
  <c r="C353" i="1" l="1"/>
  <c r="C354" i="1" l="1"/>
  <c r="B356" i="1"/>
  <c r="C356" i="1" l="1"/>
  <c r="B357" i="1"/>
  <c r="C357" i="1" l="1"/>
  <c r="B358" i="1"/>
  <c r="B359" i="1" l="1"/>
  <c r="C358" i="1"/>
  <c r="C359" i="1" l="1"/>
  <c r="B360" i="1"/>
  <c r="B363" i="1" l="1"/>
  <c r="C360" i="1"/>
  <c r="B364" i="1" l="1"/>
  <c r="C363" i="1"/>
  <c r="B365" i="1" l="1"/>
  <c r="C364" i="1"/>
  <c r="B366" i="1" l="1"/>
  <c r="C365" i="1"/>
  <c r="B367" i="1" l="1"/>
  <c r="C366" i="1"/>
  <c r="C367" i="1" l="1"/>
  <c r="B369" i="1"/>
  <c r="C369" i="1" l="1"/>
  <c r="B370" i="1"/>
  <c r="C370" i="1" l="1"/>
  <c r="B371" i="1"/>
  <c r="C371" i="1" l="1"/>
  <c r="B372" i="1"/>
  <c r="C372" i="1" l="1"/>
  <c r="B373" i="1"/>
  <c r="C373" i="1" l="1"/>
  <c r="B374" i="1"/>
  <c r="C374" i="1" l="1"/>
  <c r="B375" i="1"/>
  <c r="B376" i="1" l="1"/>
  <c r="C375" i="1"/>
  <c r="C376" i="1" l="1"/>
  <c r="B377" i="1"/>
  <c r="C377" i="1" l="1"/>
  <c r="B379" i="1"/>
  <c r="B380" i="1" l="1"/>
  <c r="C379" i="1"/>
  <c r="C380" i="1" l="1"/>
  <c r="B381" i="1"/>
  <c r="C381" i="1" l="1"/>
  <c r="B382" i="1"/>
  <c r="C382" i="1" l="1"/>
  <c r="B384" i="1"/>
  <c r="C384" i="1" l="1"/>
  <c r="B385" i="1"/>
  <c r="C385" i="1" l="1"/>
  <c r="B386" i="1"/>
  <c r="B387" i="1" l="1"/>
  <c r="C386" i="1"/>
  <c r="C387" i="1" l="1"/>
  <c r="B388" i="1"/>
  <c r="B389" i="1" s="1"/>
  <c r="C388" i="1" l="1"/>
  <c r="C389" i="1" l="1"/>
  <c r="B391" i="1"/>
  <c r="C391" i="1" l="1"/>
  <c r="B392" i="1"/>
  <c r="C392" i="1" l="1"/>
  <c r="B393" i="1"/>
  <c r="B394" i="1" l="1"/>
  <c r="B396" i="1" s="1"/>
  <c r="C393" i="1"/>
  <c r="C394" i="1" l="1"/>
  <c r="B397" i="1" l="1"/>
  <c r="C396" i="1"/>
  <c r="C397" i="1" l="1"/>
  <c r="B398" i="1"/>
  <c r="C398" i="1" l="1"/>
  <c r="B399" i="1"/>
  <c r="B400" i="1" l="1"/>
  <c r="C399" i="1"/>
  <c r="B401" i="1" l="1"/>
  <c r="C400" i="1"/>
  <c r="B402" i="1" l="1"/>
  <c r="C401" i="1"/>
  <c r="C402" i="1" l="1"/>
  <c r="B403" i="1"/>
  <c r="B404" i="1" s="1"/>
  <c r="C403" i="1" l="1"/>
  <c r="B405" i="1" l="1"/>
  <c r="B406" i="1" s="1"/>
  <c r="C404" i="1"/>
  <c r="C405" i="1" l="1"/>
  <c r="B409" i="1" l="1"/>
  <c r="C406" i="1"/>
  <c r="C409" i="1" l="1"/>
  <c r="B410" i="1"/>
  <c r="B412" i="1" s="1"/>
  <c r="C410" i="1" l="1"/>
  <c r="C412" i="1" l="1"/>
  <c r="B413" i="1"/>
  <c r="B415" i="1" s="1"/>
  <c r="C413" i="1" l="1"/>
  <c r="B416" i="1" l="1"/>
  <c r="B418" i="1" s="1"/>
  <c r="B419" i="1" s="1"/>
  <c r="C415" i="1"/>
  <c r="C416" i="1" l="1"/>
  <c r="C418" i="1" l="1"/>
  <c r="C419" i="1" l="1"/>
  <c r="B420" i="1"/>
  <c r="C420" i="1" s="1"/>
  <c r="C423" i="1" s="1"/>
</calcChain>
</file>

<file path=xl/sharedStrings.xml><?xml version="1.0" encoding="utf-8"?>
<sst xmlns="http://schemas.openxmlformats.org/spreadsheetml/2006/main" count="1051" uniqueCount="457">
  <si>
    <t>Field Use</t>
  </si>
  <si>
    <t>Starting Location</t>
  </si>
  <si>
    <t>Ending Location</t>
  </si>
  <si>
    <t>Length</t>
  </si>
  <si>
    <t>Field Name</t>
  </si>
  <si>
    <t>Possible Values</t>
  </si>
  <si>
    <t>Description/Comments</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</si>
  <si>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</si>
  <si>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</si>
  <si>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</si>
  <si>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</si>
  <si>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</si>
  <si>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</si>
  <si>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</si>
  <si>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</si>
  <si>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</si>
  <si>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</si>
  <si>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</si>
  <si>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</si>
  <si>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</si>
  <si>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</si>
  <si>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Day</t>
  </si>
  <si>
    <t>Summarized Gender</t>
  </si>
  <si>
    <t>Summarized Ethnicity/Race</t>
  </si>
  <si>
    <t>Summarized Migrant Status</t>
  </si>
  <si>
    <t>Summarized McKinney-Vento Act (Homeless)</t>
  </si>
  <si>
    <t>Bubbled Special Education Test Accommodations</t>
  </si>
  <si>
    <t>No Accommodations</t>
  </si>
  <si>
    <t>Braille</t>
  </si>
  <si>
    <t>Large Print</t>
  </si>
  <si>
    <t>Answers Recorded</t>
  </si>
  <si>
    <t>Extended Time</t>
  </si>
  <si>
    <t>Transferred Answers</t>
  </si>
  <si>
    <t>Individual/Small Group Administration</t>
  </si>
  <si>
    <t>Tests Read Aloud</t>
  </si>
  <si>
    <t>Bubbled LEP Status and Test Accommodations</t>
  </si>
  <si>
    <t>Provision of English/Native Language Word-to-Word Dictionary (No Definitions)</t>
  </si>
  <si>
    <t>Directions Read Aloud/Clarified in Native Language</t>
  </si>
  <si>
    <t>Bubbled Section 504 Status and Test Accommodations</t>
  </si>
  <si>
    <t>Bubbled Accessibility Feature Recorded in Personal Needs Profile</t>
  </si>
  <si>
    <t>Bubbled Optional Local Use</t>
  </si>
  <si>
    <t>Bubbled Accountability Code</t>
  </si>
  <si>
    <t>MATH (DOCUMENT 2) DEMOGRAPHIC INFORMATION</t>
  </si>
  <si>
    <t>Spanish Tester</t>
  </si>
  <si>
    <t>Calculator Use</t>
  </si>
  <si>
    <t xml:space="preserve">Tests Read Aloud </t>
  </si>
  <si>
    <t>SCIENCE (DOCUMENT 3) DEMOGRAPHIC INFORMATION</t>
  </si>
  <si>
    <t>SOCIAL STUDIES (DOCUMENT 4) DEMOGRAPHIC INFORMATION</t>
  </si>
  <si>
    <t>ELA SCORING INFORMATION</t>
  </si>
  <si>
    <t>Raw Score Total - ELA</t>
  </si>
  <si>
    <t>Scaled Score - ELA</t>
  </si>
  <si>
    <t>Assessment Achievement Level - ELA</t>
  </si>
  <si>
    <t>Raw Score for Each Content Standard</t>
  </si>
  <si>
    <t>Subclaim Scoring Information</t>
  </si>
  <si>
    <t>Claim Scoring Information</t>
  </si>
  <si>
    <t>Written Expression Raw Score</t>
  </si>
  <si>
    <t>Knowledge &amp; Use of Language Conventions Raw Score</t>
  </si>
  <si>
    <t>Reading Raw Score</t>
  </si>
  <si>
    <t>Writing Raw Score</t>
  </si>
  <si>
    <t>MATH SCORING INFORMATION</t>
  </si>
  <si>
    <t>Raw Score Total - Math</t>
  </si>
  <si>
    <t>Scaled Score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</si>
  <si>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</si>
  <si>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</si>
  <si>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</si>
  <si>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</si>
  <si>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</si>
  <si>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</si>
  <si>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</si>
  <si>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Scaled Score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</si>
  <si>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</si>
  <si>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</si>
  <si>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</si>
  <si>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</si>
  <si>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</si>
  <si>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</si>
  <si>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</si>
  <si>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</si>
  <si>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</si>
  <si>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</si>
  <si>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</si>
  <si>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</si>
  <si>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</si>
  <si>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</si>
  <si>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</si>
  <si>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Scaled Score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</si>
  <si>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</si>
  <si>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</si>
  <si>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</si>
  <si>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</si>
  <si>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</si>
  <si>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</si>
  <si>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</si>
  <si>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</si>
  <si>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</si>
  <si>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</si>
  <si>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</si>
  <si>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</si>
  <si>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</si>
  <si>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</si>
  <si>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</si>
  <si>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</si>
  <si>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</si>
  <si>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</si>
  <si>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</si>
  <si>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</si>
  <si>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</si>
  <si>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</si>
  <si>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</si>
  <si>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</si>
  <si>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</si>
  <si>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</si>
  <si>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</si>
  <si>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</si>
  <si>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</si>
  <si>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</si>
  <si>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</si>
  <si>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LAP Primary Exceptionality</t>
  </si>
  <si>
    <t>LAP LEP Indicator Code</t>
  </si>
  <si>
    <t>Precoded Tester</t>
  </si>
  <si>
    <t>Online Accommodations</t>
  </si>
  <si>
    <t>Text-to-Speech</t>
  </si>
  <si>
    <t>Spanish Test</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</si>
  <si>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</si>
  <si>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</si>
  <si>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</si>
  <si>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</si>
  <si>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</si>
  <si>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</si>
  <si>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</si>
  <si>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</si>
  <si>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</si>
  <si>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</si>
  <si>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</si>
  <si>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LEP Flag</t>
  </si>
  <si>
    <t xml:space="preserve">Summarized LEP Status </t>
  </si>
  <si>
    <t>Section 504 Flag</t>
  </si>
  <si>
    <t xml:space="preserve">Summarized Section 504 Status </t>
  </si>
  <si>
    <t>SCHOOL TYPE FLAGS</t>
  </si>
  <si>
    <t>Assess Group Type</t>
  </si>
  <si>
    <t>Home Study/Nonpublic Flag</t>
  </si>
  <si>
    <t>Charter Type</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</si>
  <si>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</si>
  <si>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</si>
  <si>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</si>
  <si>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</si>
  <si>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</si>
  <si>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</si>
  <si>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</si>
  <si>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</si>
  <si>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</si>
  <si>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</si>
  <si>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</si>
  <si>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</si>
  <si>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Site Code - Document 1 (ELA)</t>
  </si>
  <si>
    <t>Site Code - Document 2 (Math)</t>
  </si>
  <si>
    <t>Site Code - Document 3 (Science)</t>
  </si>
  <si>
    <t>Site Code - Document 4 (Social Studies)</t>
  </si>
  <si>
    <t>LAP Site Code</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</si>
  <si>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</si>
  <si>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</si>
  <si>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</si>
  <si>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</si>
  <si>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</si>
  <si>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</si>
  <si>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</si>
  <si>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</si>
  <si>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</si>
  <si>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</si>
  <si>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Schools summarized to LEA Code for district level reporting</t>
  </si>
  <si>
    <t>Summary Reports</t>
  </si>
  <si>
    <t>Subtest 3: Task Items</t>
  </si>
  <si>
    <t>TEST ADMINISTRATOR INFORMATION</t>
  </si>
  <si>
    <t>Document 1 (ELA)</t>
  </si>
  <si>
    <t>Document 2 (Math)</t>
  </si>
  <si>
    <t>Document 3 (Science)</t>
  </si>
  <si>
    <t>Document 4 (Social Studies)</t>
  </si>
  <si>
    <t>DRC Unique Student ID</t>
  </si>
  <si>
    <t>File Creation Date and Time Stamp</t>
  </si>
  <si>
    <t>SITE CODE</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</si>
  <si>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</si>
  <si>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</si>
  <si>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</si>
  <si>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</si>
  <si>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</si>
  <si>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</si>
  <si>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</si>
  <si>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</si>
  <si>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</si>
  <si>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</si>
  <si>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</si>
  <si>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</si>
  <si>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00-39 (0-9 or - in any position)
99</t>
  </si>
  <si>
    <t>M = Male
F = Female
I = Invalid</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</si>
  <si>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</si>
  <si>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1 = Hispanic/Latino
2 = American Indian or Alaska Native
3 = Asian
4 = Black or African American
5 = Native Hawaiian or Other Pacific
       Islander
6 = White
7 = Two or more races
 I = Invalid</t>
  </si>
  <si>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</si>
  <si>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Y = Classified as a Migrant Student
N = Not classified as a Migrant Student</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</si>
  <si>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</si>
  <si>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t>Y = Yes
N = No</t>
  </si>
  <si>
    <t>As bubbled on the ELA consumable test booklet.
Blank for online testers.</t>
  </si>
  <si>
    <t>1 = Yes
- = No response (document returned)
Blank = document not returned</t>
  </si>
  <si>
    <t>0-9, -, or * in each position
-- = No response (document returned)
Blank = document not returned</t>
  </si>
  <si>
    <t>0-9, - , or * in each position
---------- = No response (document returned)
Blank = document not returned</t>
  </si>
  <si>
    <t>1 = Yes
- = No response
Blank</t>
  </si>
  <si>
    <t>As valued in eDIRECT for online testers.
Blank for paper testers.</t>
  </si>
  <si>
    <t>As bubbled on the Science answer document.</t>
  </si>
  <si>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</si>
  <si>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</si>
  <si>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</si>
  <si>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</si>
  <si>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</si>
  <si>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</si>
  <si>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</si>
  <si>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</si>
  <si>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</si>
  <si>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</si>
  <si>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</si>
  <si>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</si>
  <si>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</si>
  <si>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</si>
  <si>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Math.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</si>
  <si>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Total points earned for the Math Major Content subclaim.
Blank when subclaim is not assessed (zero points possible), or when the Raw Score Total for ELA is blank.</t>
  </si>
  <si>
    <t>Total points earned for the Math Additional &amp; Supporting Content subclaim.
Blank when subclaim is not assessed (zero points possible), or when the Raw Score Total for ELA is blank.</t>
  </si>
  <si>
    <t>Total points earned for the Math Expressing Mathematical Reasoning subclaim.
Blank when subclaim is not assessed (zero points possible), or when the Raw Score Total for ELA is blank.</t>
  </si>
  <si>
    <t>Total points earned for the Math Modeling &amp; Application Raw Score subclaim.
Blank when subclaim is not assessed (zero points possible), or when the Raw Score Total for ELA is blank.</t>
  </si>
  <si>
    <t>100-500
Blank</t>
  </si>
  <si>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</si>
  <si>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Science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</si>
  <si>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</si>
  <si>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</si>
  <si>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</si>
  <si>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</si>
  <si>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</si>
  <si>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</si>
  <si>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Y = Subject was attempted
N = Subject was not attempted</t>
  </si>
  <si>
    <t>0 = Neither MC nor CR taken
1 = MC only taken
2 = CR only taken
3 = Both MC and CR taken
Blank</t>
  </si>
  <si>
    <t>Y = Include student in summary
      N-counts for subject
N = Do not include student in summary 
      N-counts for subject</t>
  </si>
  <si>
    <t>1 = Regular Education
2 = Special Education</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</si>
  <si>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</si>
  <si>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01-34
Blank</t>
  </si>
  <si>
    <t>Y = LEP
N = Not LEP</t>
  </si>
  <si>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</si>
  <si>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Not LEP
02 = LEP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</si>
  <si>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</si>
  <si>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</si>
  <si>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504
N = Not 504</t>
  </si>
  <si>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</si>
  <si>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</si>
  <si>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</si>
  <si>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</si>
  <si>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</si>
  <si>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1 = Type 1 Charter
2 = Type 2 Charter
3 = Type 3 Charter
4 = Type 4 Charter
5 = Type 5 Charter
6 = Type 3B Charter
Blank = Not a Charter School</t>
  </si>
  <si>
    <t>01-99
Blank (default value)</t>
  </si>
  <si>
    <t>UNS = Unsatisfactory
APP = Approaching Basic
BAS = Basic
MAS = Mastery
ADV = Advanced
Blank</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</si>
  <si>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</si>
  <si>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</si>
  <si>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</si>
  <si>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</si>
  <si>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</si>
  <si>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</si>
  <si>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</si>
  <si>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</si>
  <si>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</si>
  <si>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</si>
  <si>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Student's school was included in LEA code for district level reporting.</t>
  </si>
  <si>
    <t>Student's school was included in summary reports.</t>
  </si>
  <si>
    <t>100-899 = School Level
900-999 = District Level
--- = No response (document returned)
* = Multiple Response
Blank = document not returned</t>
  </si>
  <si>
    <r>
      <rPr>
        <b/>
        <sz val="10"/>
        <rFont val="Arial"/>
        <family val="2"/>
      </rPr>
      <t xml:space="preserve">For paper testers: </t>
    </r>
    <r>
      <rPr>
        <sz val="10"/>
        <rFont val="Arial"/>
        <family val="2"/>
      </rPr>
      <t xml:space="preserve">As bubbled on the ELA consumable test booklet.
</t>
    </r>
    <r>
      <rPr>
        <b/>
        <sz val="10"/>
        <rFont val="Arial"/>
        <family val="2"/>
      </rPr>
      <t xml:space="preserve">For online testers: </t>
    </r>
    <r>
      <rPr>
        <sz val="10"/>
        <rFont val="Arial"/>
        <family val="2"/>
      </rPr>
      <t>Test Administrator Number associated with the eDIRECT test session</t>
    </r>
  </si>
  <si>
    <t>Numeric value with leading zeros
Blank</t>
  </si>
  <si>
    <t>Unique number generated at the time the student record is converted into the DRC Student File.  (Starts over each administration.)
Blank for Equating file.</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</si>
  <si>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</si>
  <si>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</si>
  <si>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</si>
  <si>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</si>
  <si>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t>Y = TDR Student
Blank = Non-TDR Student</t>
  </si>
  <si>
    <t>As flagged on the LAP file.
Identifies the Tuition Donation Rebate (TDR) students.</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</si>
  <si>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</si>
  <si>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Site Report Code</t>
  </si>
  <si>
    <r>
      <rPr>
        <b/>
        <sz val="10"/>
        <rFont val="Arial"/>
        <family val="2"/>
      </rPr>
      <t xml:space="preserve">For paper testers: </t>
    </r>
    <r>
      <rPr>
        <sz val="10"/>
        <rFont val="Arial"/>
        <family val="2"/>
      </rPr>
      <t xml:space="preserve">As bubbled on the Math/Spanish Math consumable test booklet.
</t>
    </r>
    <r>
      <rPr>
        <b/>
        <sz val="10"/>
        <rFont val="Arial"/>
        <family val="2"/>
      </rPr>
      <t xml:space="preserve">For online testers: </t>
    </r>
    <r>
      <rPr>
        <sz val="10"/>
        <rFont val="Arial"/>
        <family val="2"/>
      </rPr>
      <t>Test Administrator Number associated with the eDIRECT test session.</t>
    </r>
  </si>
  <si>
    <t>Test Administrator Number - Social Studies</t>
  </si>
  <si>
    <t>Test Administrator Number - Math</t>
  </si>
  <si>
    <t>Test Administrator Number - ELA</t>
  </si>
  <si>
    <t>Test Administrator Number - Science</t>
  </si>
  <si>
    <t>E</t>
  </si>
  <si>
    <t>K, E</t>
  </si>
  <si>
    <t>C</t>
  </si>
  <si>
    <t>E, C</t>
  </si>
  <si>
    <t>K, E, M</t>
  </si>
  <si>
    <t>E, M</t>
  </si>
  <si>
    <t>M</t>
  </si>
  <si>
    <t>M, C</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</si>
  <si>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</si>
  <si>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</si>
  <si>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</si>
  <si>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</si>
  <si>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*Social Studies is a field test in 2016. All Social Studies fields will be blank for 2016.</t>
  </si>
  <si>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</si>
  <si>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</si>
  <si>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</si>
  <si>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</si>
  <si>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</si>
  <si>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</si>
  <si>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</si>
  <si>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</si>
  <si>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</si>
  <si>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</si>
  <si>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</si>
  <si>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</si>
  <si>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</si>
  <si>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</si>
  <si>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</si>
  <si>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</si>
  <si>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</si>
  <si>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</si>
  <si>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</si>
  <si>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</si>
  <si>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</si>
  <si>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</si>
  <si>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</si>
  <si>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</si>
  <si>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</si>
  <si>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</si>
  <si>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</si>
  <si>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</si>
  <si>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</si>
  <si>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</si>
  <si>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</si>
  <si>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</si>
  <si>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</si>
  <si>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</si>
  <si>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</si>
  <si>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</si>
  <si>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</si>
  <si>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Y = Spanish version of the math form
N = English version of the math form
Blank = document not returned</t>
  </si>
  <si>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</si>
  <si>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</si>
  <si>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</si>
  <si>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</si>
  <si>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</si>
  <si>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</si>
  <si>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</si>
  <si>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</si>
  <si>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</si>
  <si>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</si>
  <si>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</si>
  <si>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</si>
  <si>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</si>
  <si>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</si>
  <si>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</si>
  <si>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Rating associated with the Major Content Raw Score.
Blank when Reading Literary Text Raw Score is blank.</t>
  </si>
  <si>
    <t>Additional &amp; Supporting Content Rating</t>
  </si>
  <si>
    <t>Rating associated with the Additional &amp; Supporting Content Raw Score.
Blank when Reading Literary Text Raw Score is blank.</t>
  </si>
  <si>
    <t>Expressing Mathematical Reasoning Rating</t>
  </si>
  <si>
    <t>Rating associated with the Expressing Mathematical Reasoning Raw Score.
Blank when Reading Literary Text Raw Score is blank.</t>
  </si>
  <si>
    <t>Modeling &amp; Application Rating</t>
  </si>
  <si>
    <t>Rating associated with the Modeling &amp; Application Raw Score.
Blank when Reading Literary Text Raw Score is blank.</t>
  </si>
  <si>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</si>
  <si>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</si>
  <si>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</si>
  <si>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</si>
  <si>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t>Updated the possible values for the Science Lithocode to show that this value will be 8 digits in length.</t>
  </si>
  <si>
    <t>Repeating Grade</t>
  </si>
  <si>
    <t>1 = Repeating Grade
- = Not Repeating Grade
Blank</t>
  </si>
  <si>
    <t>As bubbled on the Grade 4 or 8 Science answer document.
Blank for Grades 3, 5, 6, and 7</t>
  </si>
  <si>
    <t>04 = Spring</t>
  </si>
  <si>
    <t>Project: 2017 LEAP Spring</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</si>
  <si>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document/consumable test booklets.
</t>
    </r>
    <r>
      <rPr>
        <b/>
        <sz val="10"/>
        <rFont val="Arial"/>
        <family val="2"/>
      </rPr>
      <t xml:space="preserve">Paper: </t>
    </r>
    <r>
      <rPr>
        <sz val="10"/>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Online: </t>
    </r>
    <r>
      <rPr>
        <sz val="10"/>
        <rFont val="Arial"/>
        <family val="2"/>
      </rPr>
      <t>Values are derived from the test session grade, or from the LAP file. For students who tested in a grade that differs from their grade on the LAP file, the grade level from the test session will be populated here.</t>
    </r>
  </si>
  <si>
    <t>Pulled forward to 2017</t>
  </si>
  <si>
    <t>Allan Dahlen</t>
  </si>
  <si>
    <t>P = Paper
O = Online
Blank = document not returned</t>
  </si>
  <si>
    <t>eDIRECT Exceptionality Category</t>
  </si>
  <si>
    <t>LAP LEP Code</t>
  </si>
  <si>
    <t xml:space="preserve">First character ("P" or "L"), followed by the last 8 digits of the number.
"P" when the answer document is precoded, or when a hand-coded answer document matches by 4 demographics to a precode record. The first non-blank answer document (Doc1-&gt;Doc2-&gt;Doc3-&gt;Doc4) will have the documents Barcode/Student Precode Number populated.
"L" when a hand-coded answer document does not match to a precode record by 4 demographics.   The first non-blank answer document (Doc1-&gt;Doc2-&gt;Doc3-&gt;Doc4) will have the documents Barcode/Student Precode Number populated.
Blank for students who tested all subjects online.
</t>
  </si>
  <si>
    <t>Accommodated Paper</t>
  </si>
  <si>
    <t>Communication Assistance Scripts</t>
  </si>
  <si>
    <t>Bubbled LEP Status and  Test Accommodations</t>
  </si>
  <si>
    <t>As bubbled on the Social Studies consumable test booklet.
Blank for online testers.</t>
  </si>
  <si>
    <t xml:space="preserve">Human Read Aloud </t>
  </si>
  <si>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</si>
  <si>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0 = in SIS, not LEP prior 2 yrs
1 = LEP 1 yr prior
2 = LEP 2 yrs prior
3 = LEP current year
Blank = not in SIS prior 2 years or student is not on the LAP file</t>
  </si>
  <si>
    <r>
      <t xml:space="preserve">Total raw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</si>
  <si>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</si>
  <si>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</si>
  <si>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History Percent Correct</t>
  </si>
  <si>
    <t>Geography Percent Correct</t>
  </si>
  <si>
    <t>Civics Percent Correct</t>
  </si>
  <si>
    <t>Economics Percent Correct</t>
  </si>
  <si>
    <t>Total points earned for each Social Studies content standard.
Blank when content standard is not assessed (zero points possible), or when the Raw Score Total for Social Studies is blank.</t>
  </si>
  <si>
    <t>Percent correct for the Social Studies Standard 4: Earth and Space Social Studies content standard. This is calculated by dividing the total points earned by the total points possible for the content standard.
Blank when Economics Raw Score is blank.</t>
  </si>
  <si>
    <t>Percent correct for the Social Studies Standard 3: Life Social Studies content standard. This is calculated by dividing the total points earned by the total points possible for the content standard.
Blank when Civics Raw Score is blank.</t>
  </si>
  <si>
    <t>Percent correct for the Social Studies Standard 2: Physical Social Studies content standard. This is calculated by dividing the total points earned by the total points possible for the content standard.
Blank when Standard 2: Geography Raw Score is blank.</t>
  </si>
  <si>
    <t>Percent correct for the Social Studies Standard 1: Social Studies as Inquiry content standard. This is calculated by dividing the total points earned by the total points possible for the content standard.
Blank when History Raw Score is blank.</t>
  </si>
  <si>
    <t>TEST MODE</t>
  </si>
  <si>
    <t>Test Mode - ELA</t>
  </si>
  <si>
    <t>Test Mode - Math</t>
  </si>
  <si>
    <t>Test Mode - Science</t>
  </si>
  <si>
    <t>Test Mode - Social Studies</t>
  </si>
  <si>
    <t>Identifies if the student tested the subject online or paper/pencil.</t>
  </si>
  <si>
    <t>Possible Values and Descritpions/Comments were added for all Social Studies fields. All notes regarding Social Studies being a field test were removed.</t>
  </si>
  <si>
    <t xml:space="preserve">Update the LAP/eDIRECT Gender  (pos. 154), Migrant (pos. 157), McKinney-Vento (pos. 160) to be LAP only fields. </t>
  </si>
  <si>
    <t>Update the length of the LAP McKinney-Vento to be 1 instead of 3. FILLER was created for the remaining two bytes.</t>
  </si>
  <si>
    <t>Added  eDIRECT Gender  (pos. 167), Migrant (pos. 168), McKinney-Vento (pos. 169)  fields. The FILLER in pos. 167-181 was updated to be 12 bytes instead of 15.</t>
  </si>
  <si>
    <t>The following fields were rearranged to accommodate the ELA bubbled HI - Hearing Impairment exceptionality splitting into HI - Deaf and HI - Hard of Hearing.
FILLER in pos. 198-206 was reduced from 10 to 9.
Bubbled Ethnicity/Race fields were moved up 1 position from 208-213 to 207-212.
Gifted, Talented, Autism, Deafblindness, Developmental Delay, and Emotional Disturbance Exceptionalites were moved up 1 position from 214-219 to 213-218.</t>
  </si>
  <si>
    <t>ELA LAP Accommodations were added in pos. 230-242. To accommodate this the following fields were updated:
The FILLER in pos. 230-239 was removed. 
The Bubbled Spec. Ed. Test Accomm. were moved from pos. 240-247 to 243-250
The FILLER in pos. 248-252 was reduced from 5 bytes to 2.</t>
  </si>
  <si>
    <t>Additional ELA Online Test Accommodations were added in pos. 292-294. The FILLER following these fields was reduced from 5 bytes to 2.</t>
  </si>
  <si>
    <t>The following fields were rearranged to accommodate the Math bubbled HI - Hearing Impairment exceptionality splitting into HI - Deaf and HI - Hard of Hearing.
FILLER in pos. 314-322 was reduced from 10 to 9.
Bubbled Ethnicity/Race fields were moved up 1 position from 324-329 to 323-328.
Gifted, Talented, Autism, Deafblindness, Developmental Delay, and Emotional Disturbance Exceptionalites were moved up 1 position from 330-335 to 329-334.</t>
  </si>
  <si>
    <t>Math LAP Accommodations were added in pos. 346-361. To accommodate this the following fields were updated:
The FILLER in pos. 346-355 was removed. 
The Bubbled Spec. Ed. Test Accomm. were moved from pos. 356-364 to 362-370
The FILLER in pos. 365-369 was removed.
The Bubbled LEP Status and Accommodations were moved from pos. 370-376 to 371-377.
The FILLER in pos. 377-381 was reduced from 5 bytes to 4.</t>
  </si>
  <si>
    <t>Math Online Test Accommodations were updated/added to match the 2017 accommodations. New accommodations were added in pos. 415-416. The FILLER following these fields was reduced from 5 bytes to 3. Added a note to show that students using the Spanish TTS accommodation will be flagged with the TTS and Spanish Test Accommodations.</t>
  </si>
  <si>
    <t>Science LAP Accommodations were added in pos. 469-481. To accommodate this the following fields were updated:
The FILLER in pos.469-478 was removed. 
The Bubbled Spec. Ed. Test Accomm. were moved from pos. 479-489 to 482-492
The FILLER in pos. 490-494 was reduced from 5 bytes to 2.</t>
  </si>
  <si>
    <t>Social Studies LAP Accommodations were added in pos. 594-609. To accommodate this the following fields were updated:
The FILLER in pos.594-603 was removed. 
The Bubbled Spec. Ed. Test Accomm. were moved from pos. 604-614 to 610-620
The FILLER in pos. 615-619 was removed.
The Bubbled LEP Status and Accommodations were moved from pos. 620-626 to 621-627
The FILLER in pos. 627-631 was reduced from 5 bytes to 4.</t>
  </si>
  <si>
    <t>Additional Social Studies Online Test Accommodations were added in pos. 663-665. The FILLER following these fields was reduced from 5 bytes to 2.</t>
  </si>
  <si>
    <t>The LAP/eDIRECT Ed Class Flag (pos. 668-670) was split into 2 fields, LAP Ed Class (pos. 668) and eDIRECT Ed Class (pos. 669). Each field will be 1 byte. The possible values were updated to be 0-2 for both. FILLER was added in position 670.</t>
  </si>
  <si>
    <t>The following LAP/eDIRECT fields were split into separate LAP and eDIRECT fields.
* Exceptionality Category
* LEP Code Section 504
* Ethnicity/Race fields
As a result, the following fields were moved/added/removed
* eDIRECT Exceptionality Category was added in pos. 680-681.
* The Summarized Exceptionality Category fields by subject were moved from pos. 680-687 to 682-689.
* LAP LEP Code was moved from 688-689 to 690-691
* eDIRECT LEP Code was added in pos. 692-693
* Summarized LEP fields were moved from 691-694 to 694-698
* LAP LEP Indicator Code was moved from 695 to 699
* LAP Section 504 was moved from 696 to 700
* eDIRECT Section 504 was added in pos. 701. Values were updated from Yes/No to Y/N
* Summarized Section 504 fields were moved from 699-703 to 702-706
* LAP/eDIRECT fields in pos. 704-709 were split into two sets of fields in pos. 707-718
* Summarized Ethnicity/Race fields were moved from pos. 710-713 to 719-722
* FILLER in pos. 714-733 was updated to be a length of 11 instead of 20 and start in pos. 723</t>
  </si>
  <si>
    <t>Possible Values for all Exceptionality Category fields were updated to be 01-17 instead of 01-18.</t>
  </si>
  <si>
    <t>Reporting Category Percent Correct fields were added for Social Studies in the following positions. The Reporting Category Raw Score fields were adjusted accordingly. The FILLER in 1084-1133 was reduced from 50 to 38.
* History (1072-1078)
* Geography (1079-1081)
* Civics (1082-1085)
* Economics (1089-1092)</t>
  </si>
  <si>
    <t>Summarized Void Flag possible values were updated to be 1, 2, or 4 instead of Y/N.</t>
  </si>
  <si>
    <t>The District and Plagiarism Void Flag fields were updated to FILLER as the summarized fields now indicae the type of void. The FILLER in pos. 1218-1227 was updated to be a length of 18 instead of 10 (pos. 1210-1227)</t>
  </si>
  <si>
    <t>Test Mode fields by subject were added in pos. 1274-1277. The FILLER in pos. 1248-1277 was reduced from 30 to 26.</t>
  </si>
  <si>
    <t>The Document Type Returned possible values were updated to use "C" instead of Blank for Online Testers.</t>
  </si>
  <si>
    <t>The Comments/Descritpion column was updated for all lithocode fields to note that the paper lithocodes will be 8 digits instead or 7.</t>
  </si>
  <si>
    <t>Added the School Roster - Social Studies field in pos. 1542. The ELA/Math and Science roster flags were each moved up one position. The FILLER in pos. 1531-1540 was reduced from a length of 10 to 9.</t>
  </si>
  <si>
    <t>Added the Full Student First Name field in pos. 2893-2907.</t>
  </si>
  <si>
    <t>Added the Full Student Last Name field in pos. 2908-2927.</t>
  </si>
  <si>
    <t>Added the New LASID field in pos. 2928-2937.</t>
  </si>
  <si>
    <t>The Date/Timestamp was moved to pos. 2893-2911.</t>
  </si>
  <si>
    <t xml:space="preserve">History Rating </t>
  </si>
  <si>
    <t xml:space="preserve">Geography Rating </t>
  </si>
  <si>
    <t>Rating associated with the History Raw Score.
Blank when History Raw Score is blank.</t>
  </si>
  <si>
    <t>Rating associated with the Geography Raw Score.
Blank when Geography Raw Score is blank.</t>
  </si>
  <si>
    <t>Rating associated with the Civics Raw Score.
Blank when Civics Raw Score is blank.</t>
  </si>
  <si>
    <t xml:space="preserve">Civics Rating </t>
  </si>
  <si>
    <t xml:space="preserve">Economics Rating </t>
  </si>
  <si>
    <t>Rating associated with the Economics Raw Score.
Blank when Economics Raw Score is blank.</t>
  </si>
  <si>
    <t>Reporting Category Rating fields were added for Social Studies in the following positions. The Reporting Category Raw Score and Percent Correct fields were adjusted accordingly. The FILLER in 1100-1133 was reduced from 38 to 34.
* History (1075)
* Geography (1083)
* Civics (1091)
* Economics (1099)</t>
  </si>
  <si>
    <t>Added the Launch Flag 
* ELA (1370)
* Math (1414)
* Social Studies (1502)</t>
  </si>
  <si>
    <t>Added the Form fields for each subject.
* ELA (1371-1376)
* Math (1415-1420)
* Science (1458-1463)
* Social Studies (1503-1508)</t>
  </si>
  <si>
    <t>Split the Response Strings into an Operational String and a Field Test String.</t>
  </si>
  <si>
    <t xml:space="preserve">Unique student identification number generated by LDE.
"*" and  " "  values are changed to -
This is the retired LASID for precoded students that were given a new LASID in the March LAP file. The new LASID is in the new LASID field at the end of this layout. </t>
  </si>
  <si>
    <r>
      <t xml:space="preserve">As bubbled on the ELA consumable test booklet.
Blank for online testers.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</si>
  <si>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 xml:space="preserve">As valued in eDIRECT for online testers.
</t>
    </r>
    <r>
      <rPr>
        <b/>
        <sz val="10"/>
        <rFont val="Arial"/>
        <family val="2"/>
      </rPr>
      <t xml:space="preserve">Note: </t>
    </r>
    <r>
      <rPr>
        <sz val="10"/>
        <rFont val="Arial"/>
        <family val="2"/>
      </rPr>
      <t>Students using the Spanish TTS accommodation will have a "1" for Text-to-Speech and a "1" for Spanish Test.
Blank for paper testers.</t>
    </r>
  </si>
  <si>
    <r>
      <t xml:space="preserve">As bubbled on the Science answer document.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</si>
  <si>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 xml:space="preserve">As bubbled on the Social Studies consumable test booklet.
Blank for online testers.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</si>
  <si>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Charter type as listed in the School Master File.
Blank for 888 and 998</t>
    </r>
    <r>
      <rPr>
        <strike/>
        <sz val="10"/>
        <rFont val="Arial"/>
        <family val="2"/>
      </rPr>
      <t xml:space="preserve">, and 999 </t>
    </r>
    <r>
      <rPr>
        <sz val="10"/>
        <rFont val="Arial"/>
        <family val="2"/>
      </rPr>
      <t>school types.</t>
    </r>
  </si>
  <si>
    <r>
      <t>01-</t>
    </r>
    <r>
      <rPr>
        <strike/>
        <sz val="10"/>
        <rFont val="Arial"/>
        <family val="2"/>
      </rPr>
      <t xml:space="preserve">18 </t>
    </r>
    <r>
      <rPr>
        <sz val="10"/>
        <rFont val="Arial"/>
        <family val="2"/>
      </rPr>
      <t>17
Blank</t>
    </r>
  </si>
  <si>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t>
    </r>
  </si>
  <si>
    <t>Within each subject, indicates whether a student attempted any operational MC or CR type items on the test.
Autoscored Items are considered CR type items.
The MC / CR Taken flag will be set to "0" if the subject was secondary record involved in a score merge.</t>
  </si>
  <si>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</si>
  <si>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t xml:space="preserve">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
</t>
  </si>
  <si>
    <t>1 = Plagiarism
2 = District
4 = Off-Grade
Blank</t>
  </si>
  <si>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</si>
  <si>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</si>
  <si>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</si>
  <si>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t>
    </r>
    <r>
      <rPr>
        <sz val="10"/>
        <rFont val="Arial"/>
        <family val="2"/>
      </rPr>
      <t xml:space="preserve">
99 = Unknown (multiple values bubbled)
Blank = student has no special education category</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</si>
  <si>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r>
      <rPr>
        <sz val="10"/>
        <rFont val="Arial"/>
        <family val="2"/>
      </rPr>
      <t xml:space="preserve">
</t>
    </r>
  </si>
  <si>
    <t>As flagged on the LAP file.
Blank for a hand coded paper document that could not be matched back to the LAP file, for manually added online tester, or if the value was blank in the LAP file.</t>
  </si>
  <si>
    <t>LDESTD File Layout - Final file_LDE Staff and Contractors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</si>
</sst>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sz val="10"/>
      <color indexed="10"/>
      <name val="Arial"/>
      <family val="2"/>
    </font>
    <font>
      <b/>
      <sz val="8"/>
      <color indexed="10"/>
      <name val="Arial"/>
      <family val="2"/>
    </font>
    <font>
      <sz val="16"/>
      <name val="Arial"/>
      <family val="2"/>
    </font>
    <font>
      <b/>
      <strike/>
      <sz val="10"/>
      <name val="Arial"/>
      <family val="2"/>
    </font>
  </fonts>
  <fills count="3">
    <fill>
      <patternFill patternType="none"/>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721">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cellStyleXfs>
  <cellXfs count="66">
    <xf numFmtId="0" fontId="0" fillId="0" borderId="0" xfId="0"/>
    <xf numFmtId="0" fontId="4" fillId="0" borderId="0" xfId="880" applyFont="1" applyFill="1" applyBorder="1" applyAlignment="1">
      <alignment vertical="center" wrapText="1"/>
    </xf>
    <xf numFmtId="0" fontId="4" fillId="0" borderId="0" xfId="880" applyFont="1" applyFill="1" applyBorder="1" applyAlignment="1">
      <alignment horizontal="right" wrapText="1"/>
    </xf>
    <xf numFmtId="0" fontId="4" fillId="0" borderId="0" xfId="880" applyFont="1" applyFill="1" applyBorder="1" applyAlignment="1">
      <alignment horizontal="right"/>
    </xf>
    <xf numFmtId="0" fontId="2" fillId="0" borderId="0" xfId="22" applyFont="1" applyFill="1" applyBorder="1" applyAlignment="1">
      <alignment vertical="top" wrapText="1"/>
    </xf>
    <xf numFmtId="0" fontId="6"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0" fontId="12" fillId="0" borderId="0" xfId="0" applyFont="1" applyFill="1" applyAlignment="1">
      <alignment horizontal="center"/>
    </xf>
    <xf numFmtId="0" fontId="2" fillId="0" borderId="0" xfId="0" applyFont="1" applyFill="1" applyAlignment="1">
      <alignment horizontal="center"/>
    </xf>
    <xf numFmtId="0" fontId="4" fillId="0" borderId="0" xfId="880" applyFont="1" applyFill="1" applyBorder="1" applyAlignment="1">
      <alignment horizontal="center" wrapText="1"/>
    </xf>
    <xf numFmtId="0" fontId="2" fillId="0" borderId="0" xfId="880" applyFont="1" applyFill="1" applyBorder="1" applyAlignment="1">
      <alignment horizontal="center" vertical="top"/>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2" fillId="2" borderId="1" xfId="22" applyFill="1" applyBorder="1" applyAlignment="1" applyProtection="1">
      <alignment horizontal="center" vertical="top" wrapText="1"/>
    </xf>
    <xf numFmtId="0" fontId="2" fillId="2" borderId="1" xfId="22" applyFill="1" applyBorder="1" applyAlignment="1" applyProtection="1">
      <alignment vertical="top" wrapText="1"/>
    </xf>
    <xf numFmtId="0" fontId="3" fillId="2" borderId="1" xfId="22" applyFont="1" applyFill="1" applyBorder="1" applyAlignment="1" applyProtection="1">
      <alignment vertical="top" wrapText="1"/>
    </xf>
    <xf numFmtId="0" fontId="0" fillId="0" borderId="0" xfId="0" applyAlignment="1">
      <alignment wrapText="1"/>
    </xf>
    <xf numFmtId="0" fontId="2" fillId="0" borderId="0" xfId="0" applyFont="1" applyFill="1" applyAlignment="1">
      <alignment vertical="center"/>
    </xf>
    <xf numFmtId="0" fontId="2" fillId="0" borderId="0" xfId="0" applyFont="1" applyFill="1" applyAlignment="1">
      <alignment vertical="center" wrapText="1"/>
    </xf>
    <xf numFmtId="0" fontId="2" fillId="0" borderId="0" xfId="0" applyFont="1" applyFill="1" applyAlignment="1">
      <alignment horizontal="right" vertical="top"/>
    </xf>
    <xf numFmtId="0" fontId="12" fillId="0" borderId="0" xfId="0" applyFont="1" applyFill="1" applyAlignment="1">
      <alignment horizontal="right" vertical="top"/>
    </xf>
    <xf numFmtId="16" fontId="2" fillId="0" borderId="0" xfId="0" applyNumberFormat="1" applyFont="1" applyFill="1" applyAlignment="1">
      <alignment vertical="center" wrapText="1"/>
    </xf>
    <xf numFmtId="0" fontId="4" fillId="0" borderId="0" xfId="880" applyFont="1" applyFill="1" applyBorder="1" applyAlignment="1">
      <alignment vertical="top" wrapText="1"/>
    </xf>
    <xf numFmtId="0" fontId="5" fillId="0" borderId="0" xfId="880" applyFont="1" applyFill="1" applyBorder="1" applyAlignment="1">
      <alignment vertical="top" wrapText="1"/>
    </xf>
    <xf numFmtId="0" fontId="2" fillId="0" borderId="0" xfId="880" applyFont="1" applyFill="1" applyBorder="1" applyAlignment="1">
      <alignment vertical="top" wrapText="1"/>
    </xf>
    <xf numFmtId="0" fontId="5" fillId="0" borderId="0" xfId="22" applyFont="1" applyFill="1" applyBorder="1" applyAlignment="1">
      <alignment vertical="top" wrapText="1"/>
    </xf>
    <xf numFmtId="0" fontId="2" fillId="0" borderId="0" xfId="1" applyFont="1" applyFill="1" applyBorder="1" applyAlignment="1">
      <alignment vertical="top" wrapText="1"/>
    </xf>
    <xf numFmtId="0" fontId="3" fillId="0" borderId="0" xfId="22" applyFont="1" applyFill="1" applyBorder="1" applyAlignment="1">
      <alignment vertical="top" wrapText="1"/>
    </xf>
    <xf numFmtId="0" fontId="6" fillId="0" borderId="0" xfId="0" applyFont="1" applyFill="1" applyAlignment="1">
      <alignment vertical="top" wrapText="1"/>
    </xf>
    <xf numFmtId="0" fontId="12" fillId="0" borderId="0" xfId="0" applyFont="1" applyFill="1" applyAlignment="1">
      <alignment vertical="top" wrapText="1"/>
    </xf>
    <xf numFmtId="0" fontId="6" fillId="0" borderId="0" xfId="1" applyFont="1" applyFill="1" applyBorder="1" applyAlignment="1">
      <alignment vertical="top" wrapText="1"/>
    </xf>
    <xf numFmtId="14" fontId="12" fillId="0" borderId="1" xfId="0" applyNumberFormat="1" applyFont="1" applyBorder="1"/>
    <xf numFmtId="0" fontId="12" fillId="0" borderId="1" xfId="0" applyFont="1" applyBorder="1" applyAlignment="1">
      <alignment wrapText="1"/>
    </xf>
    <xf numFmtId="0" fontId="12" fillId="0" borderId="1" xfId="0" applyFont="1" applyBorder="1"/>
    <xf numFmtId="14" fontId="0" fillId="0" borderId="1" xfId="0" applyNumberFormat="1" applyBorder="1"/>
    <xf numFmtId="0" fontId="0" fillId="0" borderId="1" xfId="0" applyBorder="1" applyAlignment="1">
      <alignment wrapText="1"/>
    </xf>
    <xf numFmtId="0" fontId="12" fillId="0" borderId="1" xfId="0" applyFont="1" applyFill="1" applyBorder="1"/>
    <xf numFmtId="0" fontId="2" fillId="0" borderId="0" xfId="0" applyFont="1" applyFill="1" applyBorder="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880" applyFont="1" applyFill="1" applyBorder="1" applyAlignment="1">
      <alignment vertical="center" wrapText="1"/>
    </xf>
    <xf numFmtId="0" fontId="12" fillId="0" borderId="0" xfId="0" applyFont="1" applyFill="1"/>
    <xf numFmtId="0" fontId="2" fillId="0" borderId="0" xfId="0" applyFont="1" applyFill="1" applyAlignment="1">
      <alignment vertical="top" wrapText="1"/>
    </xf>
    <xf numFmtId="49" fontId="2" fillId="0" borderId="0" xfId="22" applyNumberFormat="1" applyFont="1" applyFill="1" applyBorder="1" applyAlignment="1">
      <alignment vertical="center" wrapText="1"/>
    </xf>
    <xf numFmtId="0" fontId="2" fillId="0" borderId="0" xfId="0" applyFont="1" applyFill="1" applyBorder="1" applyAlignment="1">
      <alignment horizontal="center" vertical="top"/>
    </xf>
    <xf numFmtId="0" fontId="13" fillId="0" borderId="0" xfId="0" applyFont="1" applyFill="1" applyAlignment="1">
      <alignment horizontal="left"/>
    </xf>
    <xf numFmtId="1" fontId="13" fillId="0" borderId="0" xfId="0" applyNumberFormat="1" applyFont="1" applyFill="1" applyAlignment="1">
      <alignment horizontal="right" vertical="top"/>
    </xf>
    <xf numFmtId="0" fontId="18" fillId="0" borderId="0" xfId="0" applyFont="1" applyFill="1" applyAlignment="1">
      <alignment vertical="center" wrapText="1"/>
    </xf>
    <xf numFmtId="0" fontId="2" fillId="0" borderId="0" xfId="0" applyFont="1" applyFill="1" applyAlignment="1">
      <alignment horizontal="left" vertical="center" wrapText="1"/>
    </xf>
    <xf numFmtId="0" fontId="2" fillId="0" borderId="0" xfId="0" applyFont="1" applyFill="1"/>
    <xf numFmtId="0" fontId="2" fillId="0" borderId="0" xfId="0" applyFont="1" applyFill="1" applyBorder="1" applyAlignment="1">
      <alignment horizontal="right" vertical="top"/>
    </xf>
    <xf numFmtId="0" fontId="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horizontal="left" vertical="center" wrapText="1"/>
    </xf>
    <xf numFmtId="0" fontId="8" fillId="0" borderId="0" xfId="880" applyFont="1" applyFill="1" applyBorder="1" applyAlignment="1">
      <alignment horizontal="left"/>
    </xf>
    <xf numFmtId="0" fontId="17" fillId="0" borderId="0" xfId="880" applyFont="1" applyFill="1" applyBorder="1" applyAlignment="1"/>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2" fillId="0" borderId="0" xfId="0" applyFont="1" applyFill="1" applyAlignment="1">
      <alignment horizontal="left" vertical="center"/>
    </xf>
    <xf numFmtId="0" fontId="11" fillId="0" borderId="0" xfId="880" applyFont="1" applyFill="1" applyBorder="1" applyAlignment="1">
      <alignment horizontal="left" vertical="center" wrapText="1"/>
    </xf>
    <xf numFmtId="0" fontId="15" fillId="0" borderId="2" xfId="22" applyFont="1" applyBorder="1" applyAlignment="1" applyProtection="1">
      <alignment horizontal="left" vertical="top" wrapText="1"/>
    </xf>
  </cellXfs>
  <cellStyles count="1721">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423"/>
  <sheetViews>
    <sheetView tabSelected="1" zoomScale="70" zoomScaleNormal="70" zoomScalePageLayoutView="70" workbookViewId="0">
      <selection sqref="A1:E1"/>
    </sheetView>
  </sheetViews>
  <sheetFormatPr defaultRowHeight="12.75" x14ac:dyDescent="0.2"/>
  <cols>
    <col min="1" max="1" width="11.85546875" style="9" customWidth="1"/>
    <col min="2" max="4" width="10.85546875" style="23" customWidth="1"/>
    <col min="5" max="5" width="71.140625" style="32" customWidth="1"/>
    <col min="6" max="6" width="36.5703125" style="20" customWidth="1"/>
    <col min="7" max="7" width="70.140625" style="21" customWidth="1"/>
    <col min="8" max="16384" width="9.140625" style="45"/>
  </cols>
  <sheetData>
    <row r="1" spans="1:7" ht="20.25" x14ac:dyDescent="0.3">
      <c r="A1" s="58" t="s">
        <v>456</v>
      </c>
      <c r="B1" s="59"/>
      <c r="C1" s="59"/>
      <c r="D1" s="59"/>
      <c r="E1" s="59"/>
      <c r="F1" s="58" t="s">
        <v>366</v>
      </c>
      <c r="G1" s="58"/>
    </row>
    <row r="2" spans="1:7" ht="31.5" x14ac:dyDescent="0.25">
      <c r="A2" s="11" t="s">
        <v>0</v>
      </c>
      <c r="B2" s="2" t="s">
        <v>1</v>
      </c>
      <c r="C2" s="2" t="s">
        <v>2</v>
      </c>
      <c r="D2" s="3" t="s">
        <v>3</v>
      </c>
      <c r="E2" s="25" t="s">
        <v>4</v>
      </c>
      <c r="F2" s="1" t="s">
        <v>5</v>
      </c>
      <c r="G2" s="1" t="s">
        <v>6</v>
      </c>
    </row>
    <row r="3" spans="1:7" x14ac:dyDescent="0.2">
      <c r="E3" s="26" t="s">
        <v>7</v>
      </c>
    </row>
    <row r="4" spans="1:7" x14ac:dyDescent="0.2">
      <c r="B4" s="23">
        <v>1</v>
      </c>
      <c r="C4" s="7">
        <f>B4+D4-1</f>
        <v>2</v>
      </c>
      <c r="D4" s="8">
        <v>2</v>
      </c>
      <c r="E4" s="27" t="s">
        <v>8</v>
      </c>
      <c r="F4" s="20" t="s">
        <v>365</v>
      </c>
      <c r="G4" s="21" t="s">
        <v>182</v>
      </c>
    </row>
    <row r="5" spans="1:7" x14ac:dyDescent="0.2">
      <c r="B5" s="23">
        <f>B4+D4</f>
        <v>3</v>
      </c>
      <c r="C5" s="7">
        <f t="shared" ref="C5:C39" si="0">B5+D5-1</f>
        <v>6</v>
      </c>
      <c r="D5" s="8">
        <v>4</v>
      </c>
      <c r="E5" s="27" t="s">
        <v>9</v>
      </c>
      <c r="G5" s="21" t="s">
        <v>183</v>
      </c>
    </row>
    <row r="6" spans="1:7" ht="38.25" x14ac:dyDescent="0.2">
      <c r="B6" s="23">
        <f t="shared" ref="B6:B31" si="1">B5+D5</f>
        <v>7</v>
      </c>
      <c r="C6" s="7">
        <f t="shared" si="0"/>
        <v>7</v>
      </c>
      <c r="D6" s="8">
        <v>1</v>
      </c>
      <c r="E6" s="27" t="s">
        <v>10</v>
      </c>
      <c r="F6" s="44" t="s">
        <v>184</v>
      </c>
      <c r="G6" s="41" t="s">
        <v>185</v>
      </c>
    </row>
    <row r="7" spans="1:7" ht="29.25" customHeight="1" x14ac:dyDescent="0.2">
      <c r="A7" s="9" t="s">
        <v>284</v>
      </c>
      <c r="B7" s="23">
        <f t="shared" si="1"/>
        <v>8</v>
      </c>
      <c r="C7" s="7">
        <f t="shared" si="0"/>
        <v>10</v>
      </c>
      <c r="D7" s="8">
        <v>3</v>
      </c>
      <c r="E7" s="27" t="s">
        <v>11</v>
      </c>
      <c r="F7" s="44"/>
      <c r="G7" s="60" t="s">
        <v>186</v>
      </c>
    </row>
    <row r="8" spans="1:7" ht="33.75" customHeight="1" x14ac:dyDescent="0.2">
      <c r="A8" s="9" t="s">
        <v>284</v>
      </c>
      <c r="B8" s="23">
        <f t="shared" si="1"/>
        <v>11</v>
      </c>
      <c r="C8" s="7">
        <f t="shared" si="0"/>
        <v>13</v>
      </c>
      <c r="D8" s="8">
        <v>3</v>
      </c>
      <c r="E8" s="27" t="s">
        <v>12</v>
      </c>
      <c r="F8" s="44"/>
      <c r="G8" s="61"/>
    </row>
    <row r="9" spans="1:7" x14ac:dyDescent="0.2">
      <c r="B9" s="23">
        <f t="shared" si="1"/>
        <v>14</v>
      </c>
      <c r="C9" s="7">
        <f t="shared" si="0"/>
        <v>53</v>
      </c>
      <c r="D9" s="8">
        <v>40</v>
      </c>
      <c r="E9" s="27" t="s">
        <v>13</v>
      </c>
    </row>
    <row r="10" spans="1:7" x14ac:dyDescent="0.2">
      <c r="B10" s="23">
        <f t="shared" si="1"/>
        <v>54</v>
      </c>
      <c r="C10" s="7">
        <f t="shared" si="0"/>
        <v>93</v>
      </c>
      <c r="D10" s="8">
        <v>40</v>
      </c>
      <c r="E10" s="27" t="s">
        <v>14</v>
      </c>
    </row>
    <row r="11" spans="1:7" ht="165.75" x14ac:dyDescent="0.2">
      <c r="B11" s="23">
        <f t="shared" si="1"/>
        <v>94</v>
      </c>
      <c r="C11" s="7">
        <f t="shared" si="0"/>
        <v>102</v>
      </c>
      <c r="D11" s="8">
        <v>9</v>
      </c>
      <c r="E11" s="27" t="s">
        <v>19</v>
      </c>
      <c r="F11" s="21" t="s">
        <v>187</v>
      </c>
      <c r="G11" s="41" t="s">
        <v>373</v>
      </c>
    </row>
    <row r="12" spans="1:7" ht="51" x14ac:dyDescent="0.2">
      <c r="B12" s="23">
        <f t="shared" si="1"/>
        <v>103</v>
      </c>
      <c r="C12" s="7">
        <f t="shared" si="0"/>
        <v>108</v>
      </c>
      <c r="D12" s="8">
        <v>6</v>
      </c>
      <c r="E12" s="27" t="s">
        <v>177</v>
      </c>
      <c r="F12" s="44" t="s">
        <v>269</v>
      </c>
      <c r="G12" s="44" t="s">
        <v>270</v>
      </c>
    </row>
    <row r="13" spans="1:7" ht="25.5" x14ac:dyDescent="0.2">
      <c r="B13" s="23">
        <f t="shared" si="1"/>
        <v>109</v>
      </c>
      <c r="C13" s="7">
        <f t="shared" si="0"/>
        <v>109</v>
      </c>
      <c r="D13" s="8">
        <v>1</v>
      </c>
      <c r="E13" s="46" t="s">
        <v>119</v>
      </c>
      <c r="F13" s="21" t="s">
        <v>188</v>
      </c>
      <c r="G13" s="21" t="s">
        <v>189</v>
      </c>
    </row>
    <row r="14" spans="1:7" ht="55.5" customHeight="1" x14ac:dyDescent="0.2">
      <c r="A14" s="9" t="s">
        <v>286</v>
      </c>
      <c r="B14" s="23">
        <f t="shared" si="1"/>
        <v>110</v>
      </c>
      <c r="C14" s="7">
        <f t="shared" si="0"/>
        <v>121</v>
      </c>
      <c r="D14" s="8">
        <v>12</v>
      </c>
      <c r="E14" s="27" t="s">
        <v>15</v>
      </c>
      <c r="G14" s="62" t="s">
        <v>277</v>
      </c>
    </row>
    <row r="15" spans="1:7" ht="56.25" customHeight="1" x14ac:dyDescent="0.2">
      <c r="A15" s="9" t="s">
        <v>286</v>
      </c>
      <c r="B15" s="23">
        <f t="shared" si="1"/>
        <v>122</v>
      </c>
      <c r="C15" s="7">
        <f t="shared" si="0"/>
        <v>129</v>
      </c>
      <c r="D15" s="8">
        <v>8</v>
      </c>
      <c r="E15" s="27" t="s">
        <v>16</v>
      </c>
      <c r="G15" s="62"/>
    </row>
    <row r="16" spans="1:7" ht="56.25" customHeight="1" x14ac:dyDescent="0.2">
      <c r="A16" s="9" t="s">
        <v>286</v>
      </c>
      <c r="B16" s="23">
        <f t="shared" si="1"/>
        <v>130</v>
      </c>
      <c r="C16" s="7">
        <f t="shared" si="0"/>
        <v>130</v>
      </c>
      <c r="D16" s="8">
        <v>1</v>
      </c>
      <c r="E16" s="27" t="s">
        <v>17</v>
      </c>
      <c r="G16" s="62"/>
    </row>
    <row r="17" spans="1:7" ht="76.5" x14ac:dyDescent="0.2">
      <c r="A17" s="9" t="s">
        <v>286</v>
      </c>
      <c r="B17" s="23">
        <f t="shared" si="1"/>
        <v>131</v>
      </c>
      <c r="C17" s="7">
        <f t="shared" si="0"/>
        <v>140</v>
      </c>
      <c r="D17" s="8">
        <v>10</v>
      </c>
      <c r="E17" s="27" t="s">
        <v>18</v>
      </c>
      <c r="F17" s="20" t="s">
        <v>190</v>
      </c>
      <c r="G17" s="21" t="s">
        <v>438</v>
      </c>
    </row>
    <row r="18" spans="1:7" ht="165.75" customHeight="1" x14ac:dyDescent="0.2">
      <c r="A18" s="9" t="s">
        <v>285</v>
      </c>
      <c r="B18" s="23">
        <f t="shared" si="1"/>
        <v>141</v>
      </c>
      <c r="C18" s="7">
        <f t="shared" si="0"/>
        <v>142</v>
      </c>
      <c r="D18" s="8">
        <v>2</v>
      </c>
      <c r="E18" s="27" t="s">
        <v>20</v>
      </c>
      <c r="F18" s="21" t="s">
        <v>191</v>
      </c>
      <c r="G18" s="21" t="s">
        <v>367</v>
      </c>
    </row>
    <row r="19" spans="1:7" x14ac:dyDescent="0.2">
      <c r="B19" s="23">
        <f t="shared" si="1"/>
        <v>143</v>
      </c>
      <c r="C19" s="7">
        <f t="shared" si="0"/>
        <v>146</v>
      </c>
      <c r="D19" s="8">
        <v>4</v>
      </c>
      <c r="E19" s="27" t="s">
        <v>76</v>
      </c>
      <c r="F19" s="21"/>
      <c r="G19" s="43"/>
    </row>
    <row r="20" spans="1:7" ht="103.5" customHeight="1" x14ac:dyDescent="0.2">
      <c r="A20" s="9" t="s">
        <v>286</v>
      </c>
      <c r="B20" s="23">
        <f>B19+D19</f>
        <v>147</v>
      </c>
      <c r="C20" s="7">
        <f t="shared" si="0"/>
        <v>148</v>
      </c>
      <c r="D20" s="8">
        <v>2</v>
      </c>
      <c r="E20" s="27" t="s">
        <v>21</v>
      </c>
      <c r="F20" s="15" t="s">
        <v>192</v>
      </c>
      <c r="G20" s="57"/>
    </row>
    <row r="21" spans="1:7" ht="36" customHeight="1" x14ac:dyDescent="0.2">
      <c r="B21" s="23">
        <f t="shared" si="1"/>
        <v>149</v>
      </c>
      <c r="C21" s="7">
        <f t="shared" si="0"/>
        <v>152</v>
      </c>
      <c r="D21" s="8">
        <v>4</v>
      </c>
      <c r="E21" s="27" t="s">
        <v>76</v>
      </c>
      <c r="F21" s="15"/>
      <c r="G21" s="57"/>
    </row>
    <row r="22" spans="1:7" ht="63.75" x14ac:dyDescent="0.2">
      <c r="A22" s="9" t="s">
        <v>287</v>
      </c>
      <c r="B22" s="23">
        <f t="shared" si="1"/>
        <v>153</v>
      </c>
      <c r="C22" s="7">
        <f t="shared" si="0"/>
        <v>153</v>
      </c>
      <c r="D22" s="8">
        <v>1</v>
      </c>
      <c r="E22" s="27" t="s">
        <v>22</v>
      </c>
      <c r="F22" s="43" t="s">
        <v>193</v>
      </c>
      <c r="G22" s="42" t="s">
        <v>194</v>
      </c>
    </row>
    <row r="23" spans="1:7" x14ac:dyDescent="0.2">
      <c r="B23" s="23">
        <f>B22+D22</f>
        <v>154</v>
      </c>
      <c r="C23" s="7">
        <f t="shared" ref="C23" si="2">B23+D23-1</f>
        <v>154</v>
      </c>
      <c r="D23" s="8">
        <v>1</v>
      </c>
      <c r="E23" s="27" t="s">
        <v>76</v>
      </c>
      <c r="F23" s="6"/>
      <c r="G23" s="43"/>
    </row>
    <row r="24" spans="1:7" ht="114.75" x14ac:dyDescent="0.2">
      <c r="A24" s="9" t="s">
        <v>287</v>
      </c>
      <c r="B24" s="23">
        <f t="shared" si="1"/>
        <v>155</v>
      </c>
      <c r="C24" s="7">
        <f t="shared" si="0"/>
        <v>155</v>
      </c>
      <c r="D24" s="8">
        <v>1</v>
      </c>
      <c r="E24" s="27" t="s">
        <v>23</v>
      </c>
      <c r="F24" s="43" t="s">
        <v>195</v>
      </c>
      <c r="G24" s="42" t="s">
        <v>196</v>
      </c>
    </row>
    <row r="25" spans="1:7" ht="38.25" x14ac:dyDescent="0.2">
      <c r="A25" s="9" t="s">
        <v>284</v>
      </c>
      <c r="B25" s="23">
        <f t="shared" si="1"/>
        <v>156</v>
      </c>
      <c r="C25" s="7">
        <f t="shared" si="0"/>
        <v>156</v>
      </c>
      <c r="D25" s="8">
        <v>1</v>
      </c>
      <c r="E25" s="27" t="s">
        <v>24</v>
      </c>
      <c r="F25" s="43" t="s">
        <v>197</v>
      </c>
      <c r="G25" s="43" t="s">
        <v>198</v>
      </c>
    </row>
    <row r="26" spans="1:7" x14ac:dyDescent="0.2">
      <c r="B26" s="23">
        <f>B25+D25</f>
        <v>157</v>
      </c>
      <c r="C26" s="7">
        <f t="shared" ref="C26" si="3">B26+D26-1</f>
        <v>158</v>
      </c>
      <c r="D26" s="8">
        <v>2</v>
      </c>
      <c r="E26" s="27" t="s">
        <v>76</v>
      </c>
      <c r="F26" s="43"/>
      <c r="G26" s="43"/>
    </row>
    <row r="27" spans="1:7" ht="38.25" x14ac:dyDescent="0.2">
      <c r="B27" s="23">
        <f>B26+D26</f>
        <v>159</v>
      </c>
      <c r="C27" s="7">
        <f t="shared" si="0"/>
        <v>159</v>
      </c>
      <c r="D27" s="8">
        <v>1</v>
      </c>
      <c r="E27" s="27" t="s">
        <v>25</v>
      </c>
      <c r="F27" s="43" t="s">
        <v>199</v>
      </c>
      <c r="G27" s="43" t="s">
        <v>198</v>
      </c>
    </row>
    <row r="28" spans="1:7" x14ac:dyDescent="0.2">
      <c r="B28" s="23">
        <f>B27+D27</f>
        <v>160</v>
      </c>
      <c r="C28" s="7">
        <f t="shared" ref="C28" si="4">B28+D28-1</f>
        <v>162</v>
      </c>
      <c r="D28" s="8">
        <v>3</v>
      </c>
      <c r="E28" s="27" t="s">
        <v>76</v>
      </c>
      <c r="F28" s="43"/>
      <c r="G28" s="43"/>
    </row>
    <row r="29" spans="1:7" ht="51" x14ac:dyDescent="0.2">
      <c r="B29" s="23">
        <f>B28+D28</f>
        <v>163</v>
      </c>
      <c r="C29" s="7">
        <f t="shared" si="0"/>
        <v>163</v>
      </c>
      <c r="D29" s="8">
        <v>1</v>
      </c>
      <c r="E29" s="27" t="s">
        <v>151</v>
      </c>
      <c r="F29" s="41" t="s">
        <v>255</v>
      </c>
      <c r="G29" s="41" t="s">
        <v>256</v>
      </c>
    </row>
    <row r="30" spans="1:7" ht="38.25" x14ac:dyDescent="0.2">
      <c r="B30" s="23">
        <f t="shared" si="1"/>
        <v>164</v>
      </c>
      <c r="C30" s="7">
        <f t="shared" si="0"/>
        <v>164</v>
      </c>
      <c r="D30" s="8">
        <v>1</v>
      </c>
      <c r="E30" s="27" t="s">
        <v>152</v>
      </c>
      <c r="F30" s="21" t="s">
        <v>275</v>
      </c>
      <c r="G30" s="21" t="s">
        <v>276</v>
      </c>
    </row>
    <row r="31" spans="1:7" ht="63.75" x14ac:dyDescent="0.2">
      <c r="B31" s="23">
        <f t="shared" si="1"/>
        <v>165</v>
      </c>
      <c r="C31" s="7">
        <f t="shared" si="0"/>
        <v>165</v>
      </c>
      <c r="D31" s="8">
        <v>1</v>
      </c>
      <c r="E31" s="4" t="s">
        <v>153</v>
      </c>
      <c r="F31" s="41" t="s">
        <v>257</v>
      </c>
      <c r="G31" s="41" t="s">
        <v>256</v>
      </c>
    </row>
    <row r="32" spans="1:7" x14ac:dyDescent="0.2">
      <c r="B32" s="23">
        <f>B31+D31</f>
        <v>166</v>
      </c>
      <c r="C32" s="7">
        <f t="shared" si="0"/>
        <v>185</v>
      </c>
      <c r="D32" s="8">
        <v>20</v>
      </c>
      <c r="E32" s="27" t="s">
        <v>76</v>
      </c>
      <c r="F32" s="43"/>
    </row>
    <row r="33" spans="1:7" ht="51" x14ac:dyDescent="0.2">
      <c r="B33" s="23">
        <f t="shared" ref="B33:B35" si="5">B32+D32</f>
        <v>186</v>
      </c>
      <c r="C33" s="7">
        <f t="shared" si="0"/>
        <v>195</v>
      </c>
      <c r="D33" s="8">
        <v>10</v>
      </c>
      <c r="E33" s="4" t="s">
        <v>40</v>
      </c>
      <c r="F33" s="6" t="s">
        <v>203</v>
      </c>
      <c r="G33" s="21" t="s">
        <v>200</v>
      </c>
    </row>
    <row r="34" spans="1:7" ht="89.25" x14ac:dyDescent="0.2">
      <c r="B34" s="23">
        <f t="shared" si="5"/>
        <v>196</v>
      </c>
      <c r="C34" s="7">
        <f t="shared" si="0"/>
        <v>197</v>
      </c>
      <c r="D34" s="8">
        <v>2</v>
      </c>
      <c r="E34" s="4" t="s">
        <v>41</v>
      </c>
      <c r="F34" s="43" t="s">
        <v>202</v>
      </c>
      <c r="G34" s="21" t="s">
        <v>439</v>
      </c>
    </row>
    <row r="35" spans="1:7" x14ac:dyDescent="0.2">
      <c r="B35" s="23">
        <f t="shared" si="5"/>
        <v>198</v>
      </c>
      <c r="C35" s="7">
        <f t="shared" si="0"/>
        <v>242</v>
      </c>
      <c r="D35" s="8">
        <v>45</v>
      </c>
      <c r="E35" s="4" t="s">
        <v>76</v>
      </c>
    </row>
    <row r="36" spans="1:7" x14ac:dyDescent="0.2">
      <c r="E36" s="28" t="s">
        <v>26</v>
      </c>
    </row>
    <row r="37" spans="1:7" ht="15" customHeight="1" x14ac:dyDescent="0.2">
      <c r="A37" s="9" t="s">
        <v>284</v>
      </c>
      <c r="B37" s="23">
        <f>B35+D35</f>
        <v>243</v>
      </c>
      <c r="C37" s="7">
        <f t="shared" si="0"/>
        <v>243</v>
      </c>
      <c r="D37" s="8">
        <v>1</v>
      </c>
      <c r="E37" s="4" t="s">
        <v>27</v>
      </c>
      <c r="F37" s="57" t="s">
        <v>201</v>
      </c>
      <c r="G37" s="55" t="s">
        <v>200</v>
      </c>
    </row>
    <row r="38" spans="1:7" x14ac:dyDescent="0.2">
      <c r="A38" s="9" t="s">
        <v>284</v>
      </c>
      <c r="B38" s="23">
        <f t="shared" ref="B38" si="6">B37+D37</f>
        <v>244</v>
      </c>
      <c r="C38" s="7">
        <f t="shared" si="0"/>
        <v>244</v>
      </c>
      <c r="D38" s="8">
        <v>1</v>
      </c>
      <c r="E38" s="4" t="s">
        <v>28</v>
      </c>
      <c r="F38" s="57"/>
      <c r="G38" s="55"/>
    </row>
    <row r="39" spans="1:7" x14ac:dyDescent="0.2">
      <c r="A39" s="9" t="s">
        <v>284</v>
      </c>
      <c r="B39" s="23">
        <f t="shared" ref="B39:B45" si="7">B38+D38</f>
        <v>245</v>
      </c>
      <c r="C39" s="7">
        <f t="shared" si="0"/>
        <v>245</v>
      </c>
      <c r="D39" s="8">
        <v>1</v>
      </c>
      <c r="E39" s="4" t="s">
        <v>29</v>
      </c>
      <c r="F39" s="57"/>
      <c r="G39" s="55"/>
    </row>
    <row r="40" spans="1:7" x14ac:dyDescent="0.2">
      <c r="A40" s="9" t="s">
        <v>284</v>
      </c>
      <c r="B40" s="23">
        <f t="shared" si="7"/>
        <v>246</v>
      </c>
      <c r="C40" s="7">
        <f t="shared" ref="C40:C45" si="8">B40+D40-1</f>
        <v>246</v>
      </c>
      <c r="D40" s="8">
        <v>1</v>
      </c>
      <c r="E40" s="4" t="s">
        <v>30</v>
      </c>
      <c r="F40" s="57"/>
      <c r="G40" s="55"/>
    </row>
    <row r="41" spans="1:7" x14ac:dyDescent="0.2">
      <c r="A41" s="9" t="s">
        <v>284</v>
      </c>
      <c r="B41" s="23">
        <f t="shared" si="7"/>
        <v>247</v>
      </c>
      <c r="C41" s="7">
        <f t="shared" si="8"/>
        <v>247</v>
      </c>
      <c r="D41" s="8">
        <v>1</v>
      </c>
      <c r="E41" s="4" t="s">
        <v>31</v>
      </c>
      <c r="F41" s="57"/>
      <c r="G41" s="55"/>
    </row>
    <row r="42" spans="1:7" x14ac:dyDescent="0.2">
      <c r="A42" s="9" t="s">
        <v>284</v>
      </c>
      <c r="B42" s="23">
        <f t="shared" si="7"/>
        <v>248</v>
      </c>
      <c r="C42" s="7">
        <f t="shared" si="8"/>
        <v>248</v>
      </c>
      <c r="D42" s="8">
        <v>1</v>
      </c>
      <c r="E42" s="4" t="s">
        <v>32</v>
      </c>
      <c r="F42" s="57"/>
      <c r="G42" s="55"/>
    </row>
    <row r="43" spans="1:7" x14ac:dyDescent="0.2">
      <c r="A43" s="9" t="s">
        <v>284</v>
      </c>
      <c r="B43" s="23">
        <f t="shared" si="7"/>
        <v>249</v>
      </c>
      <c r="C43" s="7">
        <f t="shared" si="8"/>
        <v>249</v>
      </c>
      <c r="D43" s="8">
        <v>1</v>
      </c>
      <c r="E43" s="4" t="s">
        <v>33</v>
      </c>
      <c r="F43" s="57"/>
      <c r="G43" s="55"/>
    </row>
    <row r="44" spans="1:7" x14ac:dyDescent="0.2">
      <c r="A44" s="9" t="s">
        <v>284</v>
      </c>
      <c r="B44" s="23">
        <f t="shared" si="7"/>
        <v>250</v>
      </c>
      <c r="C44" s="7">
        <f t="shared" si="8"/>
        <v>250</v>
      </c>
      <c r="D44" s="8">
        <v>1</v>
      </c>
      <c r="E44" s="4" t="s">
        <v>34</v>
      </c>
      <c r="F44" s="57"/>
      <c r="G44" s="55"/>
    </row>
    <row r="45" spans="1:7" x14ac:dyDescent="0.2">
      <c r="B45" s="23">
        <f t="shared" si="7"/>
        <v>251</v>
      </c>
      <c r="C45" s="7">
        <f t="shared" si="8"/>
        <v>253</v>
      </c>
      <c r="D45" s="8">
        <v>3</v>
      </c>
      <c r="E45" s="4" t="s">
        <v>76</v>
      </c>
      <c r="F45" s="43"/>
    </row>
    <row r="46" spans="1:7" ht="15" customHeight="1" x14ac:dyDescent="0.2">
      <c r="E46" s="28" t="s">
        <v>35</v>
      </c>
    </row>
    <row r="47" spans="1:7" x14ac:dyDescent="0.2">
      <c r="A47" s="9" t="s">
        <v>284</v>
      </c>
      <c r="B47" s="23">
        <f>B45+D45</f>
        <v>254</v>
      </c>
      <c r="C47" s="7">
        <f t="shared" ref="C47:C52" si="9">B47+D47-1</f>
        <v>254</v>
      </c>
      <c r="D47" s="8">
        <v>1</v>
      </c>
      <c r="E47" s="4" t="s">
        <v>27</v>
      </c>
      <c r="F47" s="57" t="s">
        <v>201</v>
      </c>
      <c r="G47" s="55" t="s">
        <v>200</v>
      </c>
    </row>
    <row r="48" spans="1:7" x14ac:dyDescent="0.2">
      <c r="A48" s="9" t="s">
        <v>284</v>
      </c>
      <c r="B48" s="23">
        <f t="shared" ref="B48:B52" si="10">B47+D47</f>
        <v>255</v>
      </c>
      <c r="C48" s="7">
        <f t="shared" si="9"/>
        <v>255</v>
      </c>
      <c r="D48" s="8">
        <v>1</v>
      </c>
      <c r="E48" s="4" t="s">
        <v>31</v>
      </c>
      <c r="F48" s="57"/>
      <c r="G48" s="55"/>
    </row>
    <row r="49" spans="1:7" x14ac:dyDescent="0.2">
      <c r="A49" s="9" t="s">
        <v>284</v>
      </c>
      <c r="B49" s="23">
        <f t="shared" si="10"/>
        <v>256</v>
      </c>
      <c r="C49" s="7">
        <f t="shared" si="9"/>
        <v>256</v>
      </c>
      <c r="D49" s="8">
        <v>1</v>
      </c>
      <c r="E49" s="4" t="s">
        <v>33</v>
      </c>
      <c r="F49" s="57"/>
      <c r="G49" s="55"/>
    </row>
    <row r="50" spans="1:7" x14ac:dyDescent="0.2">
      <c r="A50" s="9" t="s">
        <v>284</v>
      </c>
      <c r="B50" s="23">
        <f t="shared" si="10"/>
        <v>257</v>
      </c>
      <c r="C50" s="7">
        <f t="shared" si="9"/>
        <v>257</v>
      </c>
      <c r="D50" s="8">
        <v>1</v>
      </c>
      <c r="E50" s="4" t="s">
        <v>36</v>
      </c>
      <c r="F50" s="57"/>
      <c r="G50" s="55"/>
    </row>
    <row r="51" spans="1:7" x14ac:dyDescent="0.2">
      <c r="A51" s="9" t="s">
        <v>284</v>
      </c>
      <c r="B51" s="23">
        <f t="shared" si="10"/>
        <v>258</v>
      </c>
      <c r="C51" s="7">
        <f t="shared" si="9"/>
        <v>258</v>
      </c>
      <c r="D51" s="8">
        <v>1</v>
      </c>
      <c r="E51" s="4" t="s">
        <v>37</v>
      </c>
      <c r="F51" s="57"/>
      <c r="G51" s="55"/>
    </row>
    <row r="52" spans="1:7" x14ac:dyDescent="0.2">
      <c r="B52" s="23">
        <f t="shared" si="10"/>
        <v>259</v>
      </c>
      <c r="C52" s="7">
        <f t="shared" si="9"/>
        <v>264</v>
      </c>
      <c r="D52" s="8">
        <v>6</v>
      </c>
      <c r="E52" s="4" t="s">
        <v>76</v>
      </c>
      <c r="F52" s="43"/>
    </row>
    <row r="53" spans="1:7" x14ac:dyDescent="0.2">
      <c r="E53" s="28" t="s">
        <v>38</v>
      </c>
    </row>
    <row r="54" spans="1:7" x14ac:dyDescent="0.2">
      <c r="A54" s="9" t="s">
        <v>284</v>
      </c>
      <c r="B54" s="23">
        <f>B52+D52</f>
        <v>265</v>
      </c>
      <c r="C54" s="7">
        <f t="shared" ref="C54:C62" si="11">B54+D54-1</f>
        <v>265</v>
      </c>
      <c r="D54" s="8">
        <v>1</v>
      </c>
      <c r="E54" s="4" t="s">
        <v>27</v>
      </c>
      <c r="F54" s="55" t="s">
        <v>201</v>
      </c>
      <c r="G54" s="55" t="s">
        <v>200</v>
      </c>
    </row>
    <row r="55" spans="1:7" x14ac:dyDescent="0.2">
      <c r="A55" s="9" t="s">
        <v>284</v>
      </c>
      <c r="B55" s="23">
        <f t="shared" ref="B55:B62" si="12">B54+D54</f>
        <v>266</v>
      </c>
      <c r="C55" s="7">
        <f t="shared" si="11"/>
        <v>266</v>
      </c>
      <c r="D55" s="8">
        <v>1</v>
      </c>
      <c r="E55" s="4" t="s">
        <v>28</v>
      </c>
      <c r="F55" s="55"/>
      <c r="G55" s="55"/>
    </row>
    <row r="56" spans="1:7" x14ac:dyDescent="0.2">
      <c r="A56" s="9" t="s">
        <v>284</v>
      </c>
      <c r="B56" s="23">
        <f t="shared" si="12"/>
        <v>267</v>
      </c>
      <c r="C56" s="7">
        <f t="shared" si="11"/>
        <v>267</v>
      </c>
      <c r="D56" s="8">
        <v>1</v>
      </c>
      <c r="E56" s="4" t="s">
        <v>29</v>
      </c>
      <c r="F56" s="55"/>
      <c r="G56" s="55"/>
    </row>
    <row r="57" spans="1:7" x14ac:dyDescent="0.2">
      <c r="A57" s="9" t="s">
        <v>284</v>
      </c>
      <c r="B57" s="23">
        <f t="shared" si="12"/>
        <v>268</v>
      </c>
      <c r="C57" s="7">
        <f t="shared" si="11"/>
        <v>268</v>
      </c>
      <c r="D57" s="8">
        <v>1</v>
      </c>
      <c r="E57" s="4" t="s">
        <v>30</v>
      </c>
      <c r="F57" s="55"/>
      <c r="G57" s="55"/>
    </row>
    <row r="58" spans="1:7" x14ac:dyDescent="0.2">
      <c r="A58" s="9" t="s">
        <v>284</v>
      </c>
      <c r="B58" s="23">
        <f t="shared" si="12"/>
        <v>269</v>
      </c>
      <c r="C58" s="7">
        <f t="shared" si="11"/>
        <v>269</v>
      </c>
      <c r="D58" s="8">
        <v>1</v>
      </c>
      <c r="E58" s="4" t="s">
        <v>31</v>
      </c>
      <c r="F58" s="55"/>
      <c r="G58" s="55"/>
    </row>
    <row r="59" spans="1:7" x14ac:dyDescent="0.2">
      <c r="A59" s="9" t="s">
        <v>284</v>
      </c>
      <c r="B59" s="23">
        <f t="shared" si="12"/>
        <v>270</v>
      </c>
      <c r="C59" s="7">
        <f t="shared" si="11"/>
        <v>270</v>
      </c>
      <c r="D59" s="8">
        <v>1</v>
      </c>
      <c r="E59" s="4" t="s">
        <v>32</v>
      </c>
      <c r="F59" s="55"/>
      <c r="G59" s="55"/>
    </row>
    <row r="60" spans="1:7" x14ac:dyDescent="0.2">
      <c r="A60" s="9" t="s">
        <v>284</v>
      </c>
      <c r="B60" s="23">
        <f t="shared" si="12"/>
        <v>271</v>
      </c>
      <c r="C60" s="7">
        <f t="shared" si="11"/>
        <v>271</v>
      </c>
      <c r="D60" s="8">
        <v>1</v>
      </c>
      <c r="E60" s="4" t="s">
        <v>33</v>
      </c>
      <c r="F60" s="55"/>
      <c r="G60" s="55"/>
    </row>
    <row r="61" spans="1:7" x14ac:dyDescent="0.2">
      <c r="A61" s="9" t="s">
        <v>284</v>
      </c>
      <c r="B61" s="23">
        <f t="shared" si="12"/>
        <v>272</v>
      </c>
      <c r="C61" s="7">
        <f t="shared" si="11"/>
        <v>272</v>
      </c>
      <c r="D61" s="8">
        <v>1</v>
      </c>
      <c r="E61" s="4" t="s">
        <v>34</v>
      </c>
      <c r="F61" s="55"/>
      <c r="G61" s="55"/>
    </row>
    <row r="62" spans="1:7" x14ac:dyDescent="0.2">
      <c r="B62" s="23">
        <f t="shared" si="12"/>
        <v>273</v>
      </c>
      <c r="C62" s="7">
        <f t="shared" si="11"/>
        <v>277</v>
      </c>
      <c r="D62" s="8">
        <v>5</v>
      </c>
      <c r="E62" s="4" t="s">
        <v>76</v>
      </c>
    </row>
    <row r="63" spans="1:7" x14ac:dyDescent="0.2">
      <c r="E63" s="5" t="s">
        <v>39</v>
      </c>
    </row>
    <row r="64" spans="1:7" ht="38.25" x14ac:dyDescent="0.2">
      <c r="A64" s="9" t="s">
        <v>284</v>
      </c>
      <c r="B64" s="23">
        <f>B62+D62</f>
        <v>278</v>
      </c>
      <c r="C64" s="7">
        <f t="shared" ref="C64:C65" si="13">B64+D64-1</f>
        <v>278</v>
      </c>
      <c r="D64" s="8">
        <v>1</v>
      </c>
      <c r="E64" s="4" t="s">
        <v>33</v>
      </c>
      <c r="F64" s="21" t="s">
        <v>201</v>
      </c>
      <c r="G64" s="21" t="s">
        <v>200</v>
      </c>
    </row>
    <row r="65" spans="1:7" x14ac:dyDescent="0.2">
      <c r="B65" s="23">
        <f>B64+D64</f>
        <v>279</v>
      </c>
      <c r="C65" s="7">
        <f t="shared" si="13"/>
        <v>283</v>
      </c>
      <c r="D65" s="8">
        <v>5</v>
      </c>
      <c r="E65" s="4" t="s">
        <v>76</v>
      </c>
    </row>
    <row r="66" spans="1:7" x14ac:dyDescent="0.2">
      <c r="E66" s="5" t="s">
        <v>120</v>
      </c>
    </row>
    <row r="67" spans="1:7" ht="12.75" customHeight="1" x14ac:dyDescent="0.2">
      <c r="A67" s="9" t="s">
        <v>284</v>
      </c>
      <c r="B67" s="23">
        <f>B65+D65</f>
        <v>284</v>
      </c>
      <c r="C67" s="7">
        <f t="shared" ref="C67:C78" si="14">B67+D67-1</f>
        <v>284</v>
      </c>
      <c r="D67" s="8">
        <v>1</v>
      </c>
      <c r="E67" s="4" t="s">
        <v>121</v>
      </c>
      <c r="F67" s="55" t="s">
        <v>204</v>
      </c>
      <c r="G67" s="55" t="s">
        <v>205</v>
      </c>
    </row>
    <row r="68" spans="1:7" x14ac:dyDescent="0.2">
      <c r="A68" s="9" t="s">
        <v>284</v>
      </c>
      <c r="B68" s="23">
        <f t="shared" ref="B68" si="15">B67+D67</f>
        <v>285</v>
      </c>
      <c r="C68" s="7">
        <f t="shared" si="14"/>
        <v>285</v>
      </c>
      <c r="D68" s="8">
        <v>1</v>
      </c>
      <c r="E68" s="4" t="s">
        <v>123</v>
      </c>
      <c r="F68" s="55"/>
      <c r="G68" s="55"/>
    </row>
    <row r="69" spans="1:7" x14ac:dyDescent="0.2">
      <c r="A69" s="9" t="s">
        <v>284</v>
      </c>
      <c r="B69" s="23">
        <f t="shared" ref="B69:B74" si="16">B68+D68</f>
        <v>286</v>
      </c>
      <c r="C69" s="7">
        <f t="shared" si="14"/>
        <v>286</v>
      </c>
      <c r="D69" s="8">
        <v>1</v>
      </c>
      <c r="E69" s="4" t="s">
        <v>124</v>
      </c>
      <c r="F69" s="55"/>
      <c r="G69" s="55"/>
    </row>
    <row r="70" spans="1:7" x14ac:dyDescent="0.2">
      <c r="A70" s="9" t="s">
        <v>284</v>
      </c>
      <c r="B70" s="23">
        <f t="shared" si="16"/>
        <v>287</v>
      </c>
      <c r="C70" s="7">
        <f t="shared" si="14"/>
        <v>287</v>
      </c>
      <c r="D70" s="8">
        <v>1</v>
      </c>
      <c r="E70" s="4" t="s">
        <v>125</v>
      </c>
      <c r="F70" s="55"/>
      <c r="G70" s="55"/>
    </row>
    <row r="71" spans="1:7" x14ac:dyDescent="0.2">
      <c r="A71" s="9" t="s">
        <v>284</v>
      </c>
      <c r="B71" s="23">
        <f t="shared" si="16"/>
        <v>288</v>
      </c>
      <c r="C71" s="7">
        <f t="shared" si="14"/>
        <v>288</v>
      </c>
      <c r="D71" s="8">
        <v>1</v>
      </c>
      <c r="E71" s="4" t="s">
        <v>32</v>
      </c>
      <c r="F71" s="55"/>
      <c r="G71" s="55"/>
    </row>
    <row r="72" spans="1:7" x14ac:dyDescent="0.2">
      <c r="A72" s="9" t="s">
        <v>284</v>
      </c>
      <c r="B72" s="23">
        <f t="shared" si="16"/>
        <v>289</v>
      </c>
      <c r="C72" s="7">
        <f t="shared" si="14"/>
        <v>289</v>
      </c>
      <c r="D72" s="8">
        <v>1</v>
      </c>
      <c r="E72" s="4" t="s">
        <v>30</v>
      </c>
      <c r="F72" s="55"/>
      <c r="G72" s="55"/>
    </row>
    <row r="73" spans="1:7" x14ac:dyDescent="0.2">
      <c r="A73" s="9" t="s">
        <v>284</v>
      </c>
      <c r="B73" s="23">
        <f t="shared" si="16"/>
        <v>290</v>
      </c>
      <c r="C73" s="7">
        <f t="shared" si="14"/>
        <v>290</v>
      </c>
      <c r="D73" s="8">
        <v>1</v>
      </c>
      <c r="E73" s="4" t="s">
        <v>31</v>
      </c>
      <c r="F73" s="55"/>
      <c r="G73" s="55"/>
    </row>
    <row r="74" spans="1:7" x14ac:dyDescent="0.2">
      <c r="A74" s="9" t="s">
        <v>284</v>
      </c>
      <c r="B74" s="23">
        <f t="shared" si="16"/>
        <v>291</v>
      </c>
      <c r="C74" s="7">
        <f t="shared" si="14"/>
        <v>291</v>
      </c>
      <c r="D74" s="8">
        <v>1</v>
      </c>
      <c r="E74" s="4" t="s">
        <v>127</v>
      </c>
      <c r="F74" s="55"/>
      <c r="G74" s="55"/>
    </row>
    <row r="75" spans="1:7" x14ac:dyDescent="0.2">
      <c r="A75" s="9" t="s">
        <v>284</v>
      </c>
      <c r="B75" s="23">
        <f t="shared" ref="B75:B77" si="17">B74+D74</f>
        <v>292</v>
      </c>
      <c r="C75" s="7">
        <f t="shared" ref="C75:C77" si="18">B75+D75-1</f>
        <v>292</v>
      </c>
      <c r="D75" s="8">
        <v>1</v>
      </c>
      <c r="E75" s="4" t="s">
        <v>374</v>
      </c>
      <c r="F75" s="55"/>
      <c r="G75" s="55"/>
    </row>
    <row r="76" spans="1:7" x14ac:dyDescent="0.2">
      <c r="A76" s="9" t="s">
        <v>284</v>
      </c>
      <c r="B76" s="23">
        <f t="shared" si="17"/>
        <v>293</v>
      </c>
      <c r="C76" s="7">
        <f t="shared" si="18"/>
        <v>293</v>
      </c>
      <c r="D76" s="8">
        <v>1</v>
      </c>
      <c r="E76" s="4" t="s">
        <v>28</v>
      </c>
      <c r="F76" s="55"/>
      <c r="G76" s="55"/>
    </row>
    <row r="77" spans="1:7" x14ac:dyDescent="0.2">
      <c r="A77" s="9" t="s">
        <v>284</v>
      </c>
      <c r="B77" s="23">
        <f t="shared" si="17"/>
        <v>294</v>
      </c>
      <c r="C77" s="7">
        <f t="shared" si="18"/>
        <v>294</v>
      </c>
      <c r="D77" s="8">
        <v>1</v>
      </c>
      <c r="E77" s="4" t="s">
        <v>375</v>
      </c>
      <c r="F77" s="55"/>
      <c r="G77" s="55"/>
    </row>
    <row r="78" spans="1:7" x14ac:dyDescent="0.2">
      <c r="A78" s="9" t="s">
        <v>284</v>
      </c>
      <c r="B78" s="23">
        <f>B77+D77</f>
        <v>295</v>
      </c>
      <c r="C78" s="7">
        <f t="shared" si="14"/>
        <v>296</v>
      </c>
      <c r="D78" s="8">
        <v>2</v>
      </c>
      <c r="E78" s="4" t="s">
        <v>76</v>
      </c>
    </row>
    <row r="79" spans="1:7" x14ac:dyDescent="0.2">
      <c r="E79" s="31" t="s">
        <v>42</v>
      </c>
    </row>
    <row r="80" spans="1:7" ht="38.25" x14ac:dyDescent="0.2">
      <c r="B80" s="23">
        <f>B78+D78</f>
        <v>297</v>
      </c>
      <c r="C80" s="7">
        <f t="shared" ref="C80:C84" si="19">B80+D80-1</f>
        <v>297</v>
      </c>
      <c r="D80" s="8">
        <v>1</v>
      </c>
      <c r="E80" s="46" t="s">
        <v>43</v>
      </c>
      <c r="F80" s="21" t="s">
        <v>334</v>
      </c>
    </row>
    <row r="81" spans="1:7" x14ac:dyDescent="0.2">
      <c r="B81" s="23">
        <f>B80+D80</f>
        <v>298</v>
      </c>
      <c r="C81" s="7">
        <f t="shared" si="19"/>
        <v>301</v>
      </c>
      <c r="D81" s="8">
        <v>4</v>
      </c>
      <c r="E81" s="27" t="s">
        <v>76</v>
      </c>
      <c r="F81" s="43"/>
    </row>
    <row r="82" spans="1:7" ht="51" x14ac:dyDescent="0.2">
      <c r="B82" s="23">
        <f t="shared" ref="B82:B84" si="20">B81+D81</f>
        <v>302</v>
      </c>
      <c r="C82" s="7">
        <f t="shared" si="19"/>
        <v>311</v>
      </c>
      <c r="D82" s="8">
        <v>10</v>
      </c>
      <c r="E82" s="4" t="s">
        <v>40</v>
      </c>
      <c r="F82" s="6" t="s">
        <v>203</v>
      </c>
      <c r="G82" s="21" t="s">
        <v>271</v>
      </c>
    </row>
    <row r="83" spans="1:7" ht="89.25" x14ac:dyDescent="0.2">
      <c r="B83" s="23">
        <f t="shared" si="20"/>
        <v>312</v>
      </c>
      <c r="C83" s="7">
        <f t="shared" si="19"/>
        <v>313</v>
      </c>
      <c r="D83" s="8">
        <v>2</v>
      </c>
      <c r="E83" s="4" t="s">
        <v>41</v>
      </c>
      <c r="F83" s="43" t="s">
        <v>202</v>
      </c>
      <c r="G83" s="21" t="s">
        <v>272</v>
      </c>
    </row>
    <row r="84" spans="1:7" x14ac:dyDescent="0.2">
      <c r="B84" s="23">
        <f t="shared" si="20"/>
        <v>314</v>
      </c>
      <c r="C84" s="7">
        <f t="shared" si="19"/>
        <v>361</v>
      </c>
      <c r="D84" s="8">
        <v>48</v>
      </c>
      <c r="E84" s="4" t="s">
        <v>76</v>
      </c>
    </row>
    <row r="85" spans="1:7" x14ac:dyDescent="0.2">
      <c r="C85" s="7"/>
      <c r="D85" s="8"/>
      <c r="E85" s="28" t="s">
        <v>26</v>
      </c>
    </row>
    <row r="86" spans="1:7" ht="15" customHeight="1" x14ac:dyDescent="0.2">
      <c r="A86" s="9" t="s">
        <v>284</v>
      </c>
      <c r="B86" s="23">
        <f>B84+D84</f>
        <v>362</v>
      </c>
      <c r="C86" s="7">
        <f t="shared" ref="C86:C94" si="21">B86+D86-1</f>
        <v>362</v>
      </c>
      <c r="D86" s="8">
        <v>1</v>
      </c>
      <c r="E86" s="4" t="s">
        <v>27</v>
      </c>
      <c r="F86" s="57" t="s">
        <v>201</v>
      </c>
      <c r="G86" s="55" t="s">
        <v>271</v>
      </c>
    </row>
    <row r="87" spans="1:7" x14ac:dyDescent="0.2">
      <c r="A87" s="9" t="s">
        <v>284</v>
      </c>
      <c r="B87" s="23">
        <f t="shared" ref="B87" si="22">B86+D86</f>
        <v>363</v>
      </c>
      <c r="C87" s="7">
        <f t="shared" si="21"/>
        <v>363</v>
      </c>
      <c r="D87" s="8">
        <v>1</v>
      </c>
      <c r="E87" s="4" t="s">
        <v>28</v>
      </c>
      <c r="F87" s="57"/>
      <c r="G87" s="55"/>
    </row>
    <row r="88" spans="1:7" x14ac:dyDescent="0.2">
      <c r="A88" s="9" t="s">
        <v>284</v>
      </c>
      <c r="B88" s="23">
        <f t="shared" ref="B88:B94" si="23">B87+D87</f>
        <v>364</v>
      </c>
      <c r="C88" s="7">
        <f t="shared" si="21"/>
        <v>364</v>
      </c>
      <c r="D88" s="8">
        <v>1</v>
      </c>
      <c r="E88" s="4" t="s">
        <v>29</v>
      </c>
      <c r="F88" s="57"/>
      <c r="G88" s="55"/>
    </row>
    <row r="89" spans="1:7" x14ac:dyDescent="0.2">
      <c r="A89" s="9" t="s">
        <v>284</v>
      </c>
      <c r="B89" s="23">
        <f t="shared" si="23"/>
        <v>365</v>
      </c>
      <c r="C89" s="7">
        <f t="shared" si="21"/>
        <v>365</v>
      </c>
      <c r="D89" s="8">
        <v>1</v>
      </c>
      <c r="E89" s="4" t="s">
        <v>30</v>
      </c>
      <c r="F89" s="57"/>
      <c r="G89" s="55"/>
    </row>
    <row r="90" spans="1:7" x14ac:dyDescent="0.2">
      <c r="A90" s="9" t="s">
        <v>284</v>
      </c>
      <c r="B90" s="23">
        <f t="shared" si="23"/>
        <v>366</v>
      </c>
      <c r="C90" s="7">
        <f t="shared" si="21"/>
        <v>366</v>
      </c>
      <c r="D90" s="8">
        <v>1</v>
      </c>
      <c r="E90" s="4" t="s">
        <v>31</v>
      </c>
      <c r="F90" s="57"/>
      <c r="G90" s="55"/>
    </row>
    <row r="91" spans="1:7" x14ac:dyDescent="0.2">
      <c r="A91" s="9" t="s">
        <v>284</v>
      </c>
      <c r="B91" s="23">
        <f t="shared" si="23"/>
        <v>367</v>
      </c>
      <c r="C91" s="7">
        <f t="shared" si="21"/>
        <v>367</v>
      </c>
      <c r="D91" s="8">
        <v>1</v>
      </c>
      <c r="E91" s="4" t="s">
        <v>32</v>
      </c>
      <c r="F91" s="57"/>
      <c r="G91" s="55"/>
    </row>
    <row r="92" spans="1:7" x14ac:dyDescent="0.2">
      <c r="A92" s="9" t="s">
        <v>284</v>
      </c>
      <c r="B92" s="23">
        <f t="shared" si="23"/>
        <v>368</v>
      </c>
      <c r="C92" s="7">
        <f t="shared" si="21"/>
        <v>368</v>
      </c>
      <c r="D92" s="8">
        <v>1</v>
      </c>
      <c r="E92" s="4" t="s">
        <v>33</v>
      </c>
      <c r="F92" s="57"/>
      <c r="G92" s="55"/>
    </row>
    <row r="93" spans="1:7" x14ac:dyDescent="0.2">
      <c r="A93" s="9" t="s">
        <v>284</v>
      </c>
      <c r="B93" s="23">
        <f t="shared" si="23"/>
        <v>369</v>
      </c>
      <c r="C93" s="7">
        <f t="shared" si="21"/>
        <v>369</v>
      </c>
      <c r="D93" s="8">
        <v>1</v>
      </c>
      <c r="E93" s="4" t="s">
        <v>34</v>
      </c>
      <c r="F93" s="57"/>
      <c r="G93" s="55"/>
    </row>
    <row r="94" spans="1:7" x14ac:dyDescent="0.2">
      <c r="A94" s="9" t="s">
        <v>284</v>
      </c>
      <c r="B94" s="23">
        <f t="shared" si="23"/>
        <v>370</v>
      </c>
      <c r="C94" s="7">
        <f t="shared" si="21"/>
        <v>370</v>
      </c>
      <c r="D94" s="8">
        <v>1</v>
      </c>
      <c r="E94" s="4" t="s">
        <v>44</v>
      </c>
      <c r="F94" s="57"/>
      <c r="G94" s="55"/>
    </row>
    <row r="95" spans="1:7" x14ac:dyDescent="0.2">
      <c r="E95" s="28" t="s">
        <v>376</v>
      </c>
    </row>
    <row r="96" spans="1:7" x14ac:dyDescent="0.2">
      <c r="B96" s="23">
        <f>B94+D94</f>
        <v>371</v>
      </c>
      <c r="C96" s="7">
        <f t="shared" ref="C96:C103" si="24">B96+D96-1</f>
        <v>371</v>
      </c>
      <c r="D96" s="8">
        <v>1</v>
      </c>
      <c r="E96" s="27" t="s">
        <v>76</v>
      </c>
      <c r="F96" s="43"/>
    </row>
    <row r="97" spans="1:7" x14ac:dyDescent="0.2">
      <c r="A97" s="9" t="s">
        <v>284</v>
      </c>
      <c r="B97" s="23">
        <f t="shared" ref="B97" si="25">B96+D96</f>
        <v>372</v>
      </c>
      <c r="C97" s="7">
        <f t="shared" si="24"/>
        <v>372</v>
      </c>
      <c r="D97" s="8">
        <v>1</v>
      </c>
      <c r="E97" s="4" t="s">
        <v>27</v>
      </c>
      <c r="F97" s="57" t="s">
        <v>201</v>
      </c>
      <c r="G97" s="55" t="s">
        <v>271</v>
      </c>
    </row>
    <row r="98" spans="1:7" x14ac:dyDescent="0.2">
      <c r="A98" s="9" t="s">
        <v>284</v>
      </c>
      <c r="B98" s="23">
        <f t="shared" ref="B98:B103" si="26">B97+D97</f>
        <v>373</v>
      </c>
      <c r="C98" s="7">
        <f t="shared" si="24"/>
        <v>373</v>
      </c>
      <c r="D98" s="8">
        <v>1</v>
      </c>
      <c r="E98" s="4" t="s">
        <v>31</v>
      </c>
      <c r="F98" s="57"/>
      <c r="G98" s="55"/>
    </row>
    <row r="99" spans="1:7" x14ac:dyDescent="0.2">
      <c r="A99" s="9" t="s">
        <v>284</v>
      </c>
      <c r="B99" s="23">
        <f t="shared" si="26"/>
        <v>374</v>
      </c>
      <c r="C99" s="7">
        <f t="shared" si="24"/>
        <v>374</v>
      </c>
      <c r="D99" s="8">
        <v>1</v>
      </c>
      <c r="E99" s="4" t="s">
        <v>33</v>
      </c>
      <c r="F99" s="57"/>
      <c r="G99" s="55"/>
    </row>
    <row r="100" spans="1:7" x14ac:dyDescent="0.2">
      <c r="A100" s="9" t="s">
        <v>284</v>
      </c>
      <c r="B100" s="23">
        <f t="shared" si="26"/>
        <v>375</v>
      </c>
      <c r="C100" s="7">
        <f t="shared" si="24"/>
        <v>375</v>
      </c>
      <c r="D100" s="8">
        <v>1</v>
      </c>
      <c r="E100" s="4" t="s">
        <v>36</v>
      </c>
      <c r="F100" s="57"/>
      <c r="G100" s="55"/>
    </row>
    <row r="101" spans="1:7" x14ac:dyDescent="0.2">
      <c r="A101" s="9" t="s">
        <v>284</v>
      </c>
      <c r="B101" s="23">
        <f t="shared" si="26"/>
        <v>376</v>
      </c>
      <c r="C101" s="7">
        <f t="shared" si="24"/>
        <v>376</v>
      </c>
      <c r="D101" s="8">
        <v>1</v>
      </c>
      <c r="E101" s="4" t="s">
        <v>37</v>
      </c>
      <c r="F101" s="57"/>
      <c r="G101" s="55"/>
    </row>
    <row r="102" spans="1:7" x14ac:dyDescent="0.2">
      <c r="A102" s="9" t="s">
        <v>284</v>
      </c>
      <c r="B102" s="23">
        <f t="shared" si="26"/>
        <v>377</v>
      </c>
      <c r="C102" s="7">
        <f t="shared" si="24"/>
        <v>377</v>
      </c>
      <c r="D102" s="8">
        <v>1</v>
      </c>
      <c r="E102" s="4" t="s">
        <v>45</v>
      </c>
      <c r="F102" s="57"/>
      <c r="G102" s="55"/>
    </row>
    <row r="103" spans="1:7" x14ac:dyDescent="0.2">
      <c r="B103" s="23">
        <f t="shared" si="26"/>
        <v>378</v>
      </c>
      <c r="C103" s="7">
        <f t="shared" si="24"/>
        <v>382</v>
      </c>
      <c r="D103" s="8">
        <v>5</v>
      </c>
      <c r="E103" s="4" t="s">
        <v>76</v>
      </c>
    </row>
    <row r="104" spans="1:7" x14ac:dyDescent="0.2">
      <c r="E104" s="28" t="s">
        <v>38</v>
      </c>
    </row>
    <row r="105" spans="1:7" ht="15" customHeight="1" x14ac:dyDescent="0.2">
      <c r="A105" s="9" t="s">
        <v>284</v>
      </c>
      <c r="B105" s="23">
        <f>B103+D103</f>
        <v>383</v>
      </c>
      <c r="C105" s="7">
        <f t="shared" ref="C105:C114" si="27">B105+D105-1</f>
        <v>383</v>
      </c>
      <c r="D105" s="8">
        <v>1</v>
      </c>
      <c r="E105" s="4" t="s">
        <v>27</v>
      </c>
      <c r="F105" s="57" t="s">
        <v>201</v>
      </c>
      <c r="G105" s="55" t="s">
        <v>271</v>
      </c>
    </row>
    <row r="106" spans="1:7" x14ac:dyDescent="0.2">
      <c r="A106" s="9" t="s">
        <v>284</v>
      </c>
      <c r="B106" s="23">
        <f t="shared" ref="B106:B114" si="28">B105+D105</f>
        <v>384</v>
      </c>
      <c r="C106" s="7">
        <f t="shared" si="27"/>
        <v>384</v>
      </c>
      <c r="D106" s="8">
        <v>1</v>
      </c>
      <c r="E106" s="4" t="s">
        <v>28</v>
      </c>
      <c r="F106" s="57"/>
      <c r="G106" s="55"/>
    </row>
    <row r="107" spans="1:7" x14ac:dyDescent="0.2">
      <c r="A107" s="9" t="s">
        <v>284</v>
      </c>
      <c r="B107" s="23">
        <f t="shared" si="28"/>
        <v>385</v>
      </c>
      <c r="C107" s="7">
        <f t="shared" si="27"/>
        <v>385</v>
      </c>
      <c r="D107" s="8">
        <v>1</v>
      </c>
      <c r="E107" s="4" t="s">
        <v>29</v>
      </c>
      <c r="F107" s="57"/>
      <c r="G107" s="55"/>
    </row>
    <row r="108" spans="1:7" x14ac:dyDescent="0.2">
      <c r="A108" s="9" t="s">
        <v>284</v>
      </c>
      <c r="B108" s="23">
        <f t="shared" si="28"/>
        <v>386</v>
      </c>
      <c r="C108" s="7">
        <f t="shared" si="27"/>
        <v>386</v>
      </c>
      <c r="D108" s="8">
        <v>1</v>
      </c>
      <c r="E108" s="4" t="s">
        <v>30</v>
      </c>
      <c r="F108" s="57"/>
      <c r="G108" s="55"/>
    </row>
    <row r="109" spans="1:7" x14ac:dyDescent="0.2">
      <c r="A109" s="9" t="s">
        <v>284</v>
      </c>
      <c r="B109" s="23">
        <f t="shared" si="28"/>
        <v>387</v>
      </c>
      <c r="C109" s="7">
        <f t="shared" si="27"/>
        <v>387</v>
      </c>
      <c r="D109" s="8">
        <v>1</v>
      </c>
      <c r="E109" s="4" t="s">
        <v>31</v>
      </c>
      <c r="F109" s="57"/>
      <c r="G109" s="55"/>
    </row>
    <row r="110" spans="1:7" x14ac:dyDescent="0.2">
      <c r="A110" s="9" t="s">
        <v>284</v>
      </c>
      <c r="B110" s="23">
        <f t="shared" si="28"/>
        <v>388</v>
      </c>
      <c r="C110" s="7">
        <f t="shared" si="27"/>
        <v>388</v>
      </c>
      <c r="D110" s="8">
        <v>1</v>
      </c>
      <c r="E110" s="4" t="s">
        <v>32</v>
      </c>
      <c r="F110" s="57"/>
      <c r="G110" s="55"/>
    </row>
    <row r="111" spans="1:7" x14ac:dyDescent="0.2">
      <c r="A111" s="9" t="s">
        <v>284</v>
      </c>
      <c r="B111" s="23">
        <f t="shared" si="28"/>
        <v>389</v>
      </c>
      <c r="C111" s="7">
        <f t="shared" si="27"/>
        <v>389</v>
      </c>
      <c r="D111" s="8">
        <v>1</v>
      </c>
      <c r="E111" s="4" t="s">
        <v>33</v>
      </c>
      <c r="F111" s="57"/>
      <c r="G111" s="55"/>
    </row>
    <row r="112" spans="1:7" x14ac:dyDescent="0.2">
      <c r="A112" s="9" t="s">
        <v>284</v>
      </c>
      <c r="B112" s="23">
        <f t="shared" si="28"/>
        <v>390</v>
      </c>
      <c r="C112" s="7">
        <f t="shared" si="27"/>
        <v>390</v>
      </c>
      <c r="D112" s="8">
        <v>1</v>
      </c>
      <c r="E112" s="4" t="s">
        <v>34</v>
      </c>
      <c r="F112" s="57"/>
      <c r="G112" s="55"/>
    </row>
    <row r="113" spans="1:7" x14ac:dyDescent="0.2">
      <c r="A113" s="9" t="s">
        <v>284</v>
      </c>
      <c r="B113" s="23">
        <f t="shared" si="28"/>
        <v>391</v>
      </c>
      <c r="C113" s="7">
        <f t="shared" si="27"/>
        <v>391</v>
      </c>
      <c r="D113" s="8">
        <v>1</v>
      </c>
      <c r="E113" s="4" t="s">
        <v>44</v>
      </c>
      <c r="F113" s="57"/>
      <c r="G113" s="55"/>
    </row>
    <row r="114" spans="1:7" x14ac:dyDescent="0.2">
      <c r="B114" s="23">
        <f t="shared" si="28"/>
        <v>392</v>
      </c>
      <c r="C114" s="7">
        <f t="shared" si="27"/>
        <v>396</v>
      </c>
      <c r="D114" s="8">
        <v>5</v>
      </c>
      <c r="E114" s="4" t="s">
        <v>76</v>
      </c>
    </row>
    <row r="115" spans="1:7" x14ac:dyDescent="0.2">
      <c r="E115" s="5" t="s">
        <v>39</v>
      </c>
    </row>
    <row r="116" spans="1:7" ht="22.5" customHeight="1" x14ac:dyDescent="0.2">
      <c r="A116" s="9" t="s">
        <v>284</v>
      </c>
      <c r="B116" s="23">
        <f>B114+D114</f>
        <v>397</v>
      </c>
      <c r="C116" s="7">
        <f t="shared" ref="C116:C118" si="29">B116+D116-1</f>
        <v>397</v>
      </c>
      <c r="D116" s="8">
        <v>1</v>
      </c>
      <c r="E116" s="4" t="s">
        <v>33</v>
      </c>
      <c r="F116" s="57" t="s">
        <v>201</v>
      </c>
      <c r="G116" s="55" t="s">
        <v>271</v>
      </c>
    </row>
    <row r="117" spans="1:7" ht="24.75" customHeight="1" x14ac:dyDescent="0.2">
      <c r="A117" s="9" t="s">
        <v>284</v>
      </c>
      <c r="B117" s="23">
        <f t="shared" ref="B117" si="30">B116+D116</f>
        <v>398</v>
      </c>
      <c r="C117" s="7">
        <f t="shared" si="29"/>
        <v>398</v>
      </c>
      <c r="D117" s="8">
        <v>1</v>
      </c>
      <c r="E117" s="4" t="s">
        <v>34</v>
      </c>
      <c r="F117" s="57"/>
      <c r="G117" s="55"/>
    </row>
    <row r="118" spans="1:7" x14ac:dyDescent="0.2">
      <c r="B118" s="23">
        <f>B117+D117</f>
        <v>399</v>
      </c>
      <c r="C118" s="7">
        <f t="shared" si="29"/>
        <v>403</v>
      </c>
      <c r="D118" s="8">
        <v>5</v>
      </c>
      <c r="E118" s="4" t="s">
        <v>76</v>
      </c>
      <c r="F118" s="43"/>
    </row>
    <row r="119" spans="1:7" x14ac:dyDescent="0.2">
      <c r="E119" s="31" t="s">
        <v>120</v>
      </c>
      <c r="F119" s="43"/>
    </row>
    <row r="120" spans="1:7" ht="15" customHeight="1" x14ac:dyDescent="0.2">
      <c r="A120" s="9" t="s">
        <v>284</v>
      </c>
      <c r="B120" s="23">
        <f>B118+D118</f>
        <v>404</v>
      </c>
      <c r="C120" s="7">
        <f t="shared" ref="C120:C133" si="31">B120+D120-1</f>
        <v>404</v>
      </c>
      <c r="D120" s="8">
        <v>1</v>
      </c>
      <c r="E120" s="4" t="s">
        <v>121</v>
      </c>
      <c r="F120" s="55" t="s">
        <v>204</v>
      </c>
      <c r="G120" s="55" t="s">
        <v>440</v>
      </c>
    </row>
    <row r="121" spans="1:7" x14ac:dyDescent="0.2">
      <c r="A121" s="9" t="s">
        <v>284</v>
      </c>
      <c r="B121" s="23">
        <f t="shared" ref="B121" si="32">B120+D120</f>
        <v>405</v>
      </c>
      <c r="C121" s="7">
        <f t="shared" si="31"/>
        <v>405</v>
      </c>
      <c r="D121" s="8">
        <v>1</v>
      </c>
      <c r="E121" s="4" t="s">
        <v>122</v>
      </c>
      <c r="F121" s="55"/>
      <c r="G121" s="55"/>
    </row>
    <row r="122" spans="1:7" x14ac:dyDescent="0.2">
      <c r="A122" s="9" t="s">
        <v>284</v>
      </c>
      <c r="B122" s="23">
        <f t="shared" ref="B122:B130" si="33">B121+D121</f>
        <v>406</v>
      </c>
      <c r="C122" s="7">
        <f t="shared" si="31"/>
        <v>406</v>
      </c>
      <c r="D122" s="8">
        <v>1</v>
      </c>
      <c r="E122" s="4" t="s">
        <v>374</v>
      </c>
      <c r="F122" s="55"/>
      <c r="G122" s="55"/>
    </row>
    <row r="123" spans="1:7" x14ac:dyDescent="0.2">
      <c r="A123" s="9" t="s">
        <v>284</v>
      </c>
      <c r="B123" s="23">
        <f t="shared" si="33"/>
        <v>407</v>
      </c>
      <c r="C123" s="7">
        <f t="shared" si="31"/>
        <v>407</v>
      </c>
      <c r="D123" s="8">
        <v>1</v>
      </c>
      <c r="E123" s="4" t="s">
        <v>123</v>
      </c>
      <c r="F123" s="55"/>
      <c r="G123" s="55"/>
    </row>
    <row r="124" spans="1:7" x14ac:dyDescent="0.2">
      <c r="A124" s="9" t="s">
        <v>284</v>
      </c>
      <c r="B124" s="23">
        <f t="shared" si="33"/>
        <v>408</v>
      </c>
      <c r="C124" s="7">
        <f t="shared" si="31"/>
        <v>408</v>
      </c>
      <c r="D124" s="8">
        <v>1</v>
      </c>
      <c r="E124" s="4" t="s">
        <v>124</v>
      </c>
      <c r="F124" s="55"/>
      <c r="G124" s="55"/>
    </row>
    <row r="125" spans="1:7" x14ac:dyDescent="0.2">
      <c r="A125" s="9" t="s">
        <v>284</v>
      </c>
      <c r="B125" s="23">
        <f t="shared" si="33"/>
        <v>409</v>
      </c>
      <c r="C125" s="7">
        <f t="shared" si="31"/>
        <v>409</v>
      </c>
      <c r="D125" s="8">
        <v>1</v>
      </c>
      <c r="E125" s="4" t="s">
        <v>125</v>
      </c>
      <c r="F125" s="55"/>
      <c r="G125" s="55"/>
    </row>
    <row r="126" spans="1:7" x14ac:dyDescent="0.2">
      <c r="A126" s="9" t="s">
        <v>284</v>
      </c>
      <c r="B126" s="23">
        <f t="shared" si="33"/>
        <v>410</v>
      </c>
      <c r="C126" s="7">
        <f t="shared" si="31"/>
        <v>410</v>
      </c>
      <c r="D126" s="8">
        <v>1</v>
      </c>
      <c r="E126" s="4" t="s">
        <v>32</v>
      </c>
      <c r="F126" s="55"/>
      <c r="G126" s="55"/>
    </row>
    <row r="127" spans="1:7" x14ac:dyDescent="0.2">
      <c r="A127" s="9" t="s">
        <v>284</v>
      </c>
      <c r="B127" s="23">
        <f t="shared" si="33"/>
        <v>411</v>
      </c>
      <c r="C127" s="7">
        <f t="shared" si="31"/>
        <v>411</v>
      </c>
      <c r="D127" s="8">
        <v>1</v>
      </c>
      <c r="E127" s="4" t="s">
        <v>30</v>
      </c>
      <c r="F127" s="55"/>
      <c r="G127" s="55"/>
    </row>
    <row r="128" spans="1:7" x14ac:dyDescent="0.2">
      <c r="A128" s="9" t="s">
        <v>284</v>
      </c>
      <c r="B128" s="23">
        <f t="shared" si="33"/>
        <v>412</v>
      </c>
      <c r="C128" s="7">
        <f t="shared" si="31"/>
        <v>412</v>
      </c>
      <c r="D128" s="8">
        <v>1</v>
      </c>
      <c r="E128" s="4" t="s">
        <v>126</v>
      </c>
      <c r="F128" s="55"/>
      <c r="G128" s="55"/>
    </row>
    <row r="129" spans="1:7" x14ac:dyDescent="0.2">
      <c r="A129" s="9" t="s">
        <v>284</v>
      </c>
      <c r="B129" s="23">
        <f t="shared" si="33"/>
        <v>413</v>
      </c>
      <c r="C129" s="7">
        <f t="shared" si="31"/>
        <v>413</v>
      </c>
      <c r="D129" s="8">
        <v>1</v>
      </c>
      <c r="E129" s="4" t="s">
        <v>31</v>
      </c>
      <c r="F129" s="55"/>
      <c r="G129" s="55"/>
    </row>
    <row r="130" spans="1:7" x14ac:dyDescent="0.2">
      <c r="A130" s="9" t="s">
        <v>284</v>
      </c>
      <c r="B130" s="23">
        <f t="shared" si="33"/>
        <v>414</v>
      </c>
      <c r="C130" s="7">
        <f t="shared" si="31"/>
        <v>414</v>
      </c>
      <c r="D130" s="8">
        <v>1</v>
      </c>
      <c r="E130" s="4" t="s">
        <v>127</v>
      </c>
      <c r="F130" s="55"/>
      <c r="G130" s="55"/>
    </row>
    <row r="131" spans="1:7" x14ac:dyDescent="0.2">
      <c r="A131" s="9" t="s">
        <v>284</v>
      </c>
      <c r="B131" s="23">
        <f t="shared" ref="B131:B132" si="34">B130+D130</f>
        <v>415</v>
      </c>
      <c r="C131" s="7">
        <f t="shared" ref="C131:C132" si="35">B131+D131-1</f>
        <v>415</v>
      </c>
      <c r="D131" s="8">
        <v>1</v>
      </c>
      <c r="E131" s="4" t="s">
        <v>28</v>
      </c>
      <c r="F131" s="55"/>
      <c r="G131" s="55"/>
    </row>
    <row r="132" spans="1:7" x14ac:dyDescent="0.2">
      <c r="A132" s="9" t="s">
        <v>284</v>
      </c>
      <c r="B132" s="23">
        <f t="shared" si="34"/>
        <v>416</v>
      </c>
      <c r="C132" s="7">
        <f t="shared" si="35"/>
        <v>416</v>
      </c>
      <c r="D132" s="8">
        <v>1</v>
      </c>
      <c r="E132" s="4" t="s">
        <v>375</v>
      </c>
      <c r="F132" s="55"/>
      <c r="G132" s="55"/>
    </row>
    <row r="133" spans="1:7" x14ac:dyDescent="0.2">
      <c r="B133" s="23">
        <f>B132+D132</f>
        <v>417</v>
      </c>
      <c r="C133" s="7">
        <f t="shared" si="31"/>
        <v>423</v>
      </c>
      <c r="D133" s="8">
        <v>7</v>
      </c>
      <c r="E133" s="4" t="s">
        <v>76</v>
      </c>
    </row>
    <row r="134" spans="1:7" x14ac:dyDescent="0.2">
      <c r="E134" s="31" t="s">
        <v>46</v>
      </c>
    </row>
    <row r="135" spans="1:7" ht="51" x14ac:dyDescent="0.2">
      <c r="B135" s="23">
        <f>B133+D133</f>
        <v>424</v>
      </c>
      <c r="C135" s="7">
        <f t="shared" ref="C135:C138" si="36">B135+D135-1</f>
        <v>433</v>
      </c>
      <c r="D135" s="8">
        <v>10</v>
      </c>
      <c r="E135" s="4" t="s">
        <v>40</v>
      </c>
      <c r="F135" s="6" t="s">
        <v>203</v>
      </c>
      <c r="G135" s="21" t="s">
        <v>206</v>
      </c>
    </row>
    <row r="136" spans="1:7" ht="63.75" x14ac:dyDescent="0.2">
      <c r="B136" s="23">
        <f t="shared" ref="B136" si="37">B135+D135</f>
        <v>434</v>
      </c>
      <c r="C136" s="7">
        <f t="shared" si="36"/>
        <v>435</v>
      </c>
      <c r="D136" s="8">
        <v>2</v>
      </c>
      <c r="E136" s="4" t="s">
        <v>41</v>
      </c>
      <c r="F136" s="43" t="s">
        <v>202</v>
      </c>
      <c r="G136" s="21" t="s">
        <v>441</v>
      </c>
    </row>
    <row r="137" spans="1:7" ht="38.25" x14ac:dyDescent="0.2">
      <c r="A137" s="10"/>
      <c r="B137" s="22">
        <f>B136+D136</f>
        <v>436</v>
      </c>
      <c r="C137" s="7">
        <f t="shared" ref="C137" si="38">B137+D137-1</f>
        <v>436</v>
      </c>
      <c r="D137" s="8">
        <v>1</v>
      </c>
      <c r="E137" s="4" t="s">
        <v>362</v>
      </c>
      <c r="F137" s="43" t="s">
        <v>363</v>
      </c>
      <c r="G137" s="21" t="s">
        <v>364</v>
      </c>
    </row>
    <row r="138" spans="1:7" x14ac:dyDescent="0.2">
      <c r="B138" s="23">
        <f>B137+D137</f>
        <v>437</v>
      </c>
      <c r="C138" s="7">
        <f t="shared" si="36"/>
        <v>481</v>
      </c>
      <c r="D138" s="8">
        <v>45</v>
      </c>
      <c r="E138" s="4" t="s">
        <v>76</v>
      </c>
    </row>
    <row r="139" spans="1:7" x14ac:dyDescent="0.2">
      <c r="D139" s="8"/>
      <c r="E139" s="28" t="s">
        <v>26</v>
      </c>
    </row>
    <row r="140" spans="1:7" ht="15" customHeight="1" x14ac:dyDescent="0.2">
      <c r="A140" s="9" t="s">
        <v>284</v>
      </c>
      <c r="B140" s="23">
        <f>B138+D138</f>
        <v>482</v>
      </c>
      <c r="C140" s="7">
        <f t="shared" ref="C140:C151" si="39">B140+D140-1</f>
        <v>482</v>
      </c>
      <c r="D140" s="8">
        <v>1</v>
      </c>
      <c r="E140" s="4" t="s">
        <v>27</v>
      </c>
      <c r="F140" s="57" t="s">
        <v>201</v>
      </c>
      <c r="G140" s="55" t="s">
        <v>206</v>
      </c>
    </row>
    <row r="141" spans="1:7" x14ac:dyDescent="0.2">
      <c r="A141" s="9" t="s">
        <v>284</v>
      </c>
      <c r="B141" s="23">
        <f t="shared" ref="B141" si="40">B140+D140</f>
        <v>483</v>
      </c>
      <c r="C141" s="7">
        <f t="shared" si="39"/>
        <v>483</v>
      </c>
      <c r="D141" s="8">
        <v>1</v>
      </c>
      <c r="E141" s="4" t="s">
        <v>28</v>
      </c>
      <c r="F141" s="57"/>
      <c r="G141" s="55"/>
    </row>
    <row r="142" spans="1:7" x14ac:dyDescent="0.2">
      <c r="A142" s="9" t="s">
        <v>284</v>
      </c>
      <c r="B142" s="23">
        <f t="shared" ref="B142:B151" si="41">B141+D141</f>
        <v>484</v>
      </c>
      <c r="C142" s="7">
        <f t="shared" si="39"/>
        <v>484</v>
      </c>
      <c r="D142" s="8">
        <v>1</v>
      </c>
      <c r="E142" s="4" t="s">
        <v>29</v>
      </c>
      <c r="F142" s="57"/>
      <c r="G142" s="55"/>
    </row>
    <row r="143" spans="1:7" x14ac:dyDescent="0.2">
      <c r="A143" s="9" t="s">
        <v>284</v>
      </c>
      <c r="B143" s="23">
        <f t="shared" si="41"/>
        <v>485</v>
      </c>
      <c r="C143" s="7">
        <f t="shared" si="39"/>
        <v>485</v>
      </c>
      <c r="D143" s="8">
        <v>1</v>
      </c>
      <c r="E143" s="4" t="s">
        <v>30</v>
      </c>
      <c r="F143" s="57"/>
      <c r="G143" s="55"/>
    </row>
    <row r="144" spans="1:7" x14ac:dyDescent="0.2">
      <c r="A144" s="9" t="s">
        <v>284</v>
      </c>
      <c r="B144" s="23">
        <f t="shared" si="41"/>
        <v>486</v>
      </c>
      <c r="C144" s="7">
        <f t="shared" si="39"/>
        <v>486</v>
      </c>
      <c r="D144" s="8">
        <v>1</v>
      </c>
      <c r="E144" s="4" t="s">
        <v>128</v>
      </c>
      <c r="F144" s="57"/>
      <c r="G144" s="55"/>
    </row>
    <row r="145" spans="1:7" x14ac:dyDescent="0.2">
      <c r="A145" s="9" t="s">
        <v>284</v>
      </c>
      <c r="B145" s="23">
        <f t="shared" si="41"/>
        <v>487</v>
      </c>
      <c r="C145" s="7">
        <f t="shared" si="39"/>
        <v>487</v>
      </c>
      <c r="D145" s="8">
        <v>1</v>
      </c>
      <c r="E145" s="4" t="s">
        <v>31</v>
      </c>
      <c r="F145" s="57"/>
      <c r="G145" s="55"/>
    </row>
    <row r="146" spans="1:7" x14ac:dyDescent="0.2">
      <c r="A146" s="9" t="s">
        <v>284</v>
      </c>
      <c r="B146" s="23">
        <f t="shared" si="41"/>
        <v>488</v>
      </c>
      <c r="C146" s="7">
        <f t="shared" si="39"/>
        <v>488</v>
      </c>
      <c r="D146" s="8">
        <v>1</v>
      </c>
      <c r="E146" s="4" t="s">
        <v>129</v>
      </c>
      <c r="F146" s="57"/>
      <c r="G146" s="55"/>
    </row>
    <row r="147" spans="1:7" x14ac:dyDescent="0.2">
      <c r="A147" s="9" t="s">
        <v>284</v>
      </c>
      <c r="B147" s="23">
        <f t="shared" si="41"/>
        <v>489</v>
      </c>
      <c r="C147" s="7">
        <f t="shared" si="39"/>
        <v>489</v>
      </c>
      <c r="D147" s="8">
        <v>1</v>
      </c>
      <c r="E147" s="4" t="s">
        <v>32</v>
      </c>
      <c r="F147" s="57"/>
      <c r="G147" s="55"/>
    </row>
    <row r="148" spans="1:7" x14ac:dyDescent="0.2">
      <c r="A148" s="9" t="s">
        <v>284</v>
      </c>
      <c r="B148" s="23">
        <f t="shared" si="41"/>
        <v>490</v>
      </c>
      <c r="C148" s="7">
        <f t="shared" si="39"/>
        <v>490</v>
      </c>
      <c r="D148" s="8">
        <v>1</v>
      </c>
      <c r="E148" s="4" t="s">
        <v>33</v>
      </c>
      <c r="F148" s="57"/>
      <c r="G148" s="55"/>
    </row>
    <row r="149" spans="1:7" x14ac:dyDescent="0.2">
      <c r="A149" s="9" t="s">
        <v>284</v>
      </c>
      <c r="B149" s="23">
        <f t="shared" si="41"/>
        <v>491</v>
      </c>
      <c r="C149" s="7">
        <f t="shared" si="39"/>
        <v>491</v>
      </c>
      <c r="D149" s="8">
        <v>1</v>
      </c>
      <c r="E149" s="4" t="s">
        <v>34</v>
      </c>
      <c r="F149" s="57"/>
      <c r="G149" s="55"/>
    </row>
    <row r="150" spans="1:7" x14ac:dyDescent="0.2">
      <c r="A150" s="9" t="s">
        <v>284</v>
      </c>
      <c r="B150" s="23">
        <f t="shared" si="41"/>
        <v>492</v>
      </c>
      <c r="C150" s="7">
        <f t="shared" si="39"/>
        <v>492</v>
      </c>
      <c r="D150" s="8">
        <v>1</v>
      </c>
      <c r="E150" s="4" t="s">
        <v>130</v>
      </c>
      <c r="F150" s="57"/>
      <c r="G150" s="55"/>
    </row>
    <row r="151" spans="1:7" x14ac:dyDescent="0.2">
      <c r="B151" s="23">
        <f t="shared" si="41"/>
        <v>493</v>
      </c>
      <c r="C151" s="7">
        <f t="shared" si="39"/>
        <v>495</v>
      </c>
      <c r="D151" s="8">
        <v>3</v>
      </c>
      <c r="E151" s="4" t="s">
        <v>76</v>
      </c>
    </row>
    <row r="152" spans="1:7" x14ac:dyDescent="0.2">
      <c r="E152" s="28" t="s">
        <v>376</v>
      </c>
    </row>
    <row r="153" spans="1:7" x14ac:dyDescent="0.2">
      <c r="A153" s="9" t="s">
        <v>284</v>
      </c>
      <c r="B153" s="23">
        <f>B151+D151</f>
        <v>496</v>
      </c>
      <c r="C153" s="7">
        <f t="shared" ref="C153:C159" si="42">B153+D153-1</f>
        <v>496</v>
      </c>
      <c r="D153" s="8">
        <v>1</v>
      </c>
      <c r="E153" s="4" t="s">
        <v>27</v>
      </c>
      <c r="F153" s="57" t="s">
        <v>201</v>
      </c>
      <c r="G153" s="55" t="s">
        <v>206</v>
      </c>
    </row>
    <row r="154" spans="1:7" x14ac:dyDescent="0.2">
      <c r="A154" s="9" t="s">
        <v>284</v>
      </c>
      <c r="B154" s="23">
        <f t="shared" ref="B154:B159" si="43">B153+D153</f>
        <v>497</v>
      </c>
      <c r="C154" s="7">
        <f t="shared" si="42"/>
        <v>497</v>
      </c>
      <c r="D154" s="8">
        <v>1</v>
      </c>
      <c r="E154" s="4" t="s">
        <v>31</v>
      </c>
      <c r="F154" s="57"/>
      <c r="G154" s="55"/>
    </row>
    <row r="155" spans="1:7" x14ac:dyDescent="0.2">
      <c r="A155" s="9" t="s">
        <v>284</v>
      </c>
      <c r="B155" s="23">
        <f t="shared" si="43"/>
        <v>498</v>
      </c>
      <c r="C155" s="7">
        <f t="shared" si="42"/>
        <v>498</v>
      </c>
      <c r="D155" s="8">
        <v>1</v>
      </c>
      <c r="E155" s="4" t="s">
        <v>33</v>
      </c>
      <c r="F155" s="57"/>
      <c r="G155" s="55"/>
    </row>
    <row r="156" spans="1:7" x14ac:dyDescent="0.2">
      <c r="A156" s="9" t="s">
        <v>284</v>
      </c>
      <c r="B156" s="23">
        <f t="shared" si="43"/>
        <v>499</v>
      </c>
      <c r="C156" s="7">
        <f t="shared" si="42"/>
        <v>499</v>
      </c>
      <c r="D156" s="8">
        <v>1</v>
      </c>
      <c r="E156" s="4" t="s">
        <v>36</v>
      </c>
      <c r="F156" s="57"/>
      <c r="G156" s="55"/>
    </row>
    <row r="157" spans="1:7" x14ac:dyDescent="0.2">
      <c r="A157" s="9" t="s">
        <v>284</v>
      </c>
      <c r="B157" s="23">
        <f t="shared" si="43"/>
        <v>500</v>
      </c>
      <c r="C157" s="7">
        <f t="shared" si="42"/>
        <v>500</v>
      </c>
      <c r="D157" s="8">
        <v>1</v>
      </c>
      <c r="E157" s="4" t="s">
        <v>131</v>
      </c>
      <c r="F157" s="57"/>
      <c r="G157" s="55"/>
    </row>
    <row r="158" spans="1:7" x14ac:dyDescent="0.2">
      <c r="A158" s="9" t="s">
        <v>284</v>
      </c>
      <c r="B158" s="23">
        <f t="shared" si="43"/>
        <v>501</v>
      </c>
      <c r="C158" s="7">
        <f t="shared" si="42"/>
        <v>501</v>
      </c>
      <c r="D158" s="8">
        <v>1</v>
      </c>
      <c r="E158" s="4" t="s">
        <v>45</v>
      </c>
      <c r="F158" s="57"/>
      <c r="G158" s="55"/>
    </row>
    <row r="159" spans="1:7" x14ac:dyDescent="0.2">
      <c r="B159" s="23">
        <f t="shared" si="43"/>
        <v>502</v>
      </c>
      <c r="C159" s="7">
        <f t="shared" si="42"/>
        <v>507</v>
      </c>
      <c r="D159" s="8">
        <v>6</v>
      </c>
      <c r="E159" s="4" t="s">
        <v>76</v>
      </c>
    </row>
    <row r="160" spans="1:7" x14ac:dyDescent="0.2">
      <c r="E160" s="28" t="s">
        <v>38</v>
      </c>
    </row>
    <row r="161" spans="1:7" ht="15" customHeight="1" x14ac:dyDescent="0.2">
      <c r="A161" s="9" t="s">
        <v>284</v>
      </c>
      <c r="B161" s="23">
        <f>B159+D159</f>
        <v>508</v>
      </c>
      <c r="C161" s="7">
        <f t="shared" ref="C161:C172" si="44">B161+D161-1</f>
        <v>508</v>
      </c>
      <c r="D161" s="8">
        <v>1</v>
      </c>
      <c r="E161" s="4" t="s">
        <v>27</v>
      </c>
      <c r="F161" s="57" t="s">
        <v>201</v>
      </c>
      <c r="G161" s="55" t="s">
        <v>206</v>
      </c>
    </row>
    <row r="162" spans="1:7" x14ac:dyDescent="0.2">
      <c r="A162" s="9" t="s">
        <v>284</v>
      </c>
      <c r="B162" s="23">
        <f t="shared" ref="B162:B172" si="45">B161+D161</f>
        <v>509</v>
      </c>
      <c r="C162" s="7">
        <f t="shared" si="44"/>
        <v>509</v>
      </c>
      <c r="D162" s="8">
        <v>1</v>
      </c>
      <c r="E162" s="4" t="s">
        <v>28</v>
      </c>
      <c r="F162" s="57"/>
      <c r="G162" s="55"/>
    </row>
    <row r="163" spans="1:7" x14ac:dyDescent="0.2">
      <c r="A163" s="9" t="s">
        <v>284</v>
      </c>
      <c r="B163" s="23">
        <f t="shared" si="45"/>
        <v>510</v>
      </c>
      <c r="C163" s="7">
        <f t="shared" si="44"/>
        <v>510</v>
      </c>
      <c r="D163" s="8">
        <v>1</v>
      </c>
      <c r="E163" s="4" t="s">
        <v>29</v>
      </c>
      <c r="F163" s="57"/>
      <c r="G163" s="55"/>
    </row>
    <row r="164" spans="1:7" x14ac:dyDescent="0.2">
      <c r="A164" s="9" t="s">
        <v>284</v>
      </c>
      <c r="B164" s="23">
        <f t="shared" si="45"/>
        <v>511</v>
      </c>
      <c r="C164" s="7">
        <f t="shared" si="44"/>
        <v>511</v>
      </c>
      <c r="D164" s="8">
        <v>1</v>
      </c>
      <c r="E164" s="4" t="s">
        <v>30</v>
      </c>
      <c r="F164" s="57"/>
      <c r="G164" s="55"/>
    </row>
    <row r="165" spans="1:7" x14ac:dyDescent="0.2">
      <c r="A165" s="9" t="s">
        <v>284</v>
      </c>
      <c r="B165" s="23">
        <f t="shared" si="45"/>
        <v>512</v>
      </c>
      <c r="C165" s="7">
        <f t="shared" si="44"/>
        <v>512</v>
      </c>
      <c r="D165" s="8">
        <v>1</v>
      </c>
      <c r="E165" s="4" t="s">
        <v>128</v>
      </c>
      <c r="F165" s="57"/>
      <c r="G165" s="55"/>
    </row>
    <row r="166" spans="1:7" x14ac:dyDescent="0.2">
      <c r="A166" s="9" t="s">
        <v>284</v>
      </c>
      <c r="B166" s="23">
        <f t="shared" si="45"/>
        <v>513</v>
      </c>
      <c r="C166" s="7">
        <f t="shared" si="44"/>
        <v>513</v>
      </c>
      <c r="D166" s="8">
        <v>1</v>
      </c>
      <c r="E166" s="4" t="s">
        <v>31</v>
      </c>
      <c r="F166" s="57"/>
      <c r="G166" s="55"/>
    </row>
    <row r="167" spans="1:7" x14ac:dyDescent="0.2">
      <c r="A167" s="9" t="s">
        <v>284</v>
      </c>
      <c r="B167" s="23">
        <f t="shared" si="45"/>
        <v>514</v>
      </c>
      <c r="C167" s="7">
        <f t="shared" si="44"/>
        <v>514</v>
      </c>
      <c r="D167" s="8">
        <v>1</v>
      </c>
      <c r="E167" s="4" t="s">
        <v>129</v>
      </c>
      <c r="F167" s="57"/>
      <c r="G167" s="55"/>
    </row>
    <row r="168" spans="1:7" x14ac:dyDescent="0.2">
      <c r="A168" s="9" t="s">
        <v>284</v>
      </c>
      <c r="B168" s="23">
        <f t="shared" si="45"/>
        <v>515</v>
      </c>
      <c r="C168" s="7">
        <f t="shared" si="44"/>
        <v>515</v>
      </c>
      <c r="D168" s="8">
        <v>1</v>
      </c>
      <c r="E168" s="4" t="s">
        <v>32</v>
      </c>
      <c r="F168" s="57"/>
      <c r="G168" s="55"/>
    </row>
    <row r="169" spans="1:7" x14ac:dyDescent="0.2">
      <c r="A169" s="9" t="s">
        <v>284</v>
      </c>
      <c r="B169" s="23">
        <f t="shared" si="45"/>
        <v>516</v>
      </c>
      <c r="C169" s="7">
        <f t="shared" si="44"/>
        <v>516</v>
      </c>
      <c r="D169" s="8">
        <v>1</v>
      </c>
      <c r="E169" s="4" t="s">
        <v>33</v>
      </c>
      <c r="F169" s="57"/>
      <c r="G169" s="55"/>
    </row>
    <row r="170" spans="1:7" x14ac:dyDescent="0.2">
      <c r="A170" s="9" t="s">
        <v>284</v>
      </c>
      <c r="B170" s="23">
        <f t="shared" si="45"/>
        <v>517</v>
      </c>
      <c r="C170" s="7">
        <f t="shared" si="44"/>
        <v>517</v>
      </c>
      <c r="D170" s="8">
        <v>1</v>
      </c>
      <c r="E170" s="4" t="s">
        <v>34</v>
      </c>
      <c r="F170" s="57"/>
      <c r="G170" s="55"/>
    </row>
    <row r="171" spans="1:7" x14ac:dyDescent="0.2">
      <c r="A171" s="9" t="s">
        <v>284</v>
      </c>
      <c r="B171" s="23">
        <f t="shared" si="45"/>
        <v>518</v>
      </c>
      <c r="C171" s="7">
        <f t="shared" si="44"/>
        <v>518</v>
      </c>
      <c r="D171" s="8">
        <v>1</v>
      </c>
      <c r="E171" s="4" t="s">
        <v>130</v>
      </c>
      <c r="F171" s="57"/>
      <c r="G171" s="55"/>
    </row>
    <row r="172" spans="1:7" x14ac:dyDescent="0.2">
      <c r="B172" s="23">
        <f t="shared" si="45"/>
        <v>519</v>
      </c>
      <c r="C172" s="7">
        <f t="shared" si="44"/>
        <v>523</v>
      </c>
      <c r="D172" s="8">
        <v>5</v>
      </c>
      <c r="E172" s="4" t="s">
        <v>76</v>
      </c>
    </row>
    <row r="173" spans="1:7" ht="12.75" customHeight="1" x14ac:dyDescent="0.2">
      <c r="E173" s="5" t="s">
        <v>39</v>
      </c>
    </row>
    <row r="174" spans="1:7" ht="12.75" customHeight="1" x14ac:dyDescent="0.2">
      <c r="A174" s="9" t="s">
        <v>284</v>
      </c>
      <c r="B174" s="23">
        <f>B172+D172</f>
        <v>524</v>
      </c>
      <c r="C174" s="7">
        <f t="shared" ref="C174" si="46">B174+D174-1</f>
        <v>524</v>
      </c>
      <c r="D174" s="8">
        <v>1</v>
      </c>
      <c r="E174" s="4" t="s">
        <v>33</v>
      </c>
      <c r="F174" s="21" t="s">
        <v>201</v>
      </c>
      <c r="G174" s="21" t="s">
        <v>206</v>
      </c>
    </row>
    <row r="175" spans="1:7" x14ac:dyDescent="0.2">
      <c r="B175" s="23">
        <f>B174+D174</f>
        <v>525</v>
      </c>
      <c r="C175" s="7">
        <f t="shared" ref="C175" si="47">B175+D175-1</f>
        <v>548</v>
      </c>
      <c r="D175" s="23">
        <v>24</v>
      </c>
      <c r="E175" s="4" t="s">
        <v>76</v>
      </c>
    </row>
    <row r="176" spans="1:7" x14ac:dyDescent="0.2">
      <c r="C176" s="7"/>
      <c r="E176" s="31" t="s">
        <v>47</v>
      </c>
      <c r="G176" s="51"/>
    </row>
    <row r="177" spans="1:7" ht="51" x14ac:dyDescent="0.2">
      <c r="B177" s="23">
        <f>B175+D175</f>
        <v>549</v>
      </c>
      <c r="C177" s="7">
        <f t="shared" ref="C177:C179" si="48">B177+D177-1</f>
        <v>558</v>
      </c>
      <c r="D177" s="23">
        <v>10</v>
      </c>
      <c r="E177" s="4" t="s">
        <v>40</v>
      </c>
      <c r="F177" s="6" t="s">
        <v>203</v>
      </c>
      <c r="G177" s="21" t="s">
        <v>377</v>
      </c>
    </row>
    <row r="178" spans="1:7" ht="89.25" x14ac:dyDescent="0.2">
      <c r="B178" s="23">
        <f t="shared" ref="B178:B179" si="49">B177+D177</f>
        <v>559</v>
      </c>
      <c r="C178" s="7">
        <f t="shared" si="48"/>
        <v>560</v>
      </c>
      <c r="D178" s="23">
        <v>2</v>
      </c>
      <c r="E178" s="4" t="s">
        <v>41</v>
      </c>
      <c r="F178" s="43" t="s">
        <v>202</v>
      </c>
      <c r="G178" s="21" t="s">
        <v>442</v>
      </c>
    </row>
    <row r="179" spans="1:7" x14ac:dyDescent="0.2">
      <c r="B179" s="23">
        <f t="shared" si="49"/>
        <v>561</v>
      </c>
      <c r="C179" s="7">
        <f t="shared" si="48"/>
        <v>609</v>
      </c>
      <c r="D179" s="23">
        <v>49</v>
      </c>
      <c r="E179" s="4" t="s">
        <v>76</v>
      </c>
    </row>
    <row r="180" spans="1:7" x14ac:dyDescent="0.2">
      <c r="E180" s="28" t="s">
        <v>26</v>
      </c>
    </row>
    <row r="181" spans="1:7" ht="12.75" customHeight="1" x14ac:dyDescent="0.2">
      <c r="A181" s="9" t="s">
        <v>284</v>
      </c>
      <c r="B181" s="23">
        <f>B179+D179</f>
        <v>610</v>
      </c>
      <c r="C181" s="7">
        <f t="shared" ref="C181:C191" si="50">B181+D181-1</f>
        <v>610</v>
      </c>
      <c r="D181" s="23">
        <v>1</v>
      </c>
      <c r="E181" s="4" t="s">
        <v>27</v>
      </c>
      <c r="F181" s="57" t="s">
        <v>201</v>
      </c>
      <c r="G181" s="55" t="s">
        <v>377</v>
      </c>
    </row>
    <row r="182" spans="1:7" x14ac:dyDescent="0.2">
      <c r="A182" s="9" t="s">
        <v>284</v>
      </c>
      <c r="B182" s="23">
        <f t="shared" ref="B182" si="51">B181+D181</f>
        <v>611</v>
      </c>
      <c r="C182" s="7">
        <f t="shared" si="50"/>
        <v>611</v>
      </c>
      <c r="D182" s="23">
        <v>1</v>
      </c>
      <c r="E182" s="4" t="s">
        <v>28</v>
      </c>
      <c r="F182" s="57"/>
      <c r="G182" s="55"/>
    </row>
    <row r="183" spans="1:7" x14ac:dyDescent="0.2">
      <c r="A183" s="9" t="s">
        <v>284</v>
      </c>
      <c r="B183" s="23">
        <f t="shared" ref="B183:B191" si="52">B182+D182</f>
        <v>612</v>
      </c>
      <c r="C183" s="7">
        <f t="shared" si="50"/>
        <v>612</v>
      </c>
      <c r="D183" s="23">
        <v>1</v>
      </c>
      <c r="E183" s="4" t="s">
        <v>29</v>
      </c>
      <c r="F183" s="57"/>
      <c r="G183" s="55"/>
    </row>
    <row r="184" spans="1:7" x14ac:dyDescent="0.2">
      <c r="A184" s="9" t="s">
        <v>284</v>
      </c>
      <c r="B184" s="23">
        <f t="shared" si="52"/>
        <v>613</v>
      </c>
      <c r="C184" s="7">
        <f t="shared" si="50"/>
        <v>613</v>
      </c>
      <c r="D184" s="23">
        <v>1</v>
      </c>
      <c r="E184" s="4" t="s">
        <v>30</v>
      </c>
      <c r="F184" s="57"/>
      <c r="G184" s="55"/>
    </row>
    <row r="185" spans="1:7" x14ac:dyDescent="0.2">
      <c r="A185" s="9" t="s">
        <v>284</v>
      </c>
      <c r="B185" s="23">
        <f t="shared" si="52"/>
        <v>614</v>
      </c>
      <c r="C185" s="7">
        <f t="shared" si="50"/>
        <v>614</v>
      </c>
      <c r="D185" s="23">
        <v>1</v>
      </c>
      <c r="E185" s="4" t="s">
        <v>128</v>
      </c>
      <c r="F185" s="57"/>
      <c r="G185" s="55"/>
    </row>
    <row r="186" spans="1:7" x14ac:dyDescent="0.2">
      <c r="A186" s="9" t="s">
        <v>284</v>
      </c>
      <c r="B186" s="23">
        <f t="shared" si="52"/>
        <v>615</v>
      </c>
      <c r="C186" s="7">
        <f t="shared" si="50"/>
        <v>615</v>
      </c>
      <c r="D186" s="23">
        <v>1</v>
      </c>
      <c r="E186" s="4" t="s">
        <v>31</v>
      </c>
      <c r="F186" s="57"/>
      <c r="G186" s="55"/>
    </row>
    <row r="187" spans="1:7" x14ac:dyDescent="0.2">
      <c r="A187" s="9" t="s">
        <v>284</v>
      </c>
      <c r="B187" s="23">
        <f t="shared" si="52"/>
        <v>616</v>
      </c>
      <c r="C187" s="7">
        <f t="shared" si="50"/>
        <v>616</v>
      </c>
      <c r="D187" s="23">
        <v>1</v>
      </c>
      <c r="E187" s="4" t="s">
        <v>129</v>
      </c>
      <c r="F187" s="57"/>
      <c r="G187" s="55"/>
    </row>
    <row r="188" spans="1:7" x14ac:dyDescent="0.2">
      <c r="A188" s="9" t="s">
        <v>284</v>
      </c>
      <c r="B188" s="23">
        <f t="shared" si="52"/>
        <v>617</v>
      </c>
      <c r="C188" s="7">
        <f t="shared" si="50"/>
        <v>617</v>
      </c>
      <c r="D188" s="23">
        <v>1</v>
      </c>
      <c r="E188" s="4" t="s">
        <v>32</v>
      </c>
      <c r="F188" s="57"/>
      <c r="G188" s="55"/>
    </row>
    <row r="189" spans="1:7" x14ac:dyDescent="0.2">
      <c r="A189" s="9" t="s">
        <v>284</v>
      </c>
      <c r="B189" s="23">
        <f t="shared" si="52"/>
        <v>618</v>
      </c>
      <c r="C189" s="7">
        <f t="shared" si="50"/>
        <v>618</v>
      </c>
      <c r="D189" s="23">
        <v>1</v>
      </c>
      <c r="E189" s="4" t="s">
        <v>33</v>
      </c>
      <c r="F189" s="57"/>
      <c r="G189" s="55"/>
    </row>
    <row r="190" spans="1:7" x14ac:dyDescent="0.2">
      <c r="A190" s="9" t="s">
        <v>284</v>
      </c>
      <c r="B190" s="23">
        <f t="shared" si="52"/>
        <v>619</v>
      </c>
      <c r="C190" s="7">
        <f t="shared" si="50"/>
        <v>619</v>
      </c>
      <c r="D190" s="23">
        <v>1</v>
      </c>
      <c r="E190" s="4" t="s">
        <v>34</v>
      </c>
      <c r="F190" s="57"/>
      <c r="G190" s="55"/>
    </row>
    <row r="191" spans="1:7" x14ac:dyDescent="0.2">
      <c r="A191" s="9" t="s">
        <v>284</v>
      </c>
      <c r="B191" s="23">
        <f t="shared" si="52"/>
        <v>620</v>
      </c>
      <c r="C191" s="7">
        <f t="shared" si="50"/>
        <v>620</v>
      </c>
      <c r="D191" s="23">
        <v>1</v>
      </c>
      <c r="E191" s="4" t="s">
        <v>130</v>
      </c>
      <c r="F191" s="57"/>
      <c r="G191" s="55"/>
    </row>
    <row r="192" spans="1:7" x14ac:dyDescent="0.2">
      <c r="E192" s="28" t="s">
        <v>35</v>
      </c>
    </row>
    <row r="193" spans="1:7" x14ac:dyDescent="0.2">
      <c r="B193" s="23">
        <f>B191+D191</f>
        <v>621</v>
      </c>
      <c r="C193" s="7">
        <f t="shared" ref="C193:C200" si="53">B193+D193-1</f>
        <v>621</v>
      </c>
      <c r="D193" s="23">
        <v>1</v>
      </c>
      <c r="E193" s="27" t="s">
        <v>76</v>
      </c>
      <c r="F193" s="43"/>
    </row>
    <row r="194" spans="1:7" x14ac:dyDescent="0.2">
      <c r="A194" s="9" t="s">
        <v>284</v>
      </c>
      <c r="B194" s="23">
        <f t="shared" ref="B194" si="54">B193+D193</f>
        <v>622</v>
      </c>
      <c r="C194" s="7">
        <f t="shared" si="53"/>
        <v>622</v>
      </c>
      <c r="D194" s="23">
        <v>1</v>
      </c>
      <c r="E194" s="4" t="s">
        <v>27</v>
      </c>
      <c r="F194" s="57" t="s">
        <v>201</v>
      </c>
      <c r="G194" s="55" t="s">
        <v>377</v>
      </c>
    </row>
    <row r="195" spans="1:7" x14ac:dyDescent="0.2">
      <c r="A195" s="9" t="s">
        <v>284</v>
      </c>
      <c r="B195" s="23">
        <f t="shared" ref="B195:B200" si="55">B194+D194</f>
        <v>623</v>
      </c>
      <c r="C195" s="7">
        <f t="shared" si="53"/>
        <v>623</v>
      </c>
      <c r="D195" s="23">
        <v>1</v>
      </c>
      <c r="E195" s="4" t="s">
        <v>31</v>
      </c>
      <c r="F195" s="57"/>
      <c r="G195" s="55"/>
    </row>
    <row r="196" spans="1:7" x14ac:dyDescent="0.2">
      <c r="A196" s="9" t="s">
        <v>284</v>
      </c>
      <c r="B196" s="23">
        <f t="shared" si="55"/>
        <v>624</v>
      </c>
      <c r="C196" s="7">
        <f t="shared" si="53"/>
        <v>624</v>
      </c>
      <c r="D196" s="23">
        <v>1</v>
      </c>
      <c r="E196" s="4" t="s">
        <v>33</v>
      </c>
      <c r="F196" s="57"/>
      <c r="G196" s="55"/>
    </row>
    <row r="197" spans="1:7" x14ac:dyDescent="0.2">
      <c r="A197" s="9" t="s">
        <v>284</v>
      </c>
      <c r="B197" s="23">
        <f t="shared" si="55"/>
        <v>625</v>
      </c>
      <c r="C197" s="7">
        <f t="shared" si="53"/>
        <v>625</v>
      </c>
      <c r="D197" s="23">
        <v>1</v>
      </c>
      <c r="E197" s="4" t="s">
        <v>36</v>
      </c>
      <c r="F197" s="57"/>
      <c r="G197" s="55"/>
    </row>
    <row r="198" spans="1:7" x14ac:dyDescent="0.2">
      <c r="A198" s="9" t="s">
        <v>284</v>
      </c>
      <c r="B198" s="23">
        <f t="shared" si="55"/>
        <v>626</v>
      </c>
      <c r="C198" s="7">
        <f t="shared" si="53"/>
        <v>626</v>
      </c>
      <c r="D198" s="23">
        <v>1</v>
      </c>
      <c r="E198" s="4" t="s">
        <v>131</v>
      </c>
      <c r="F198" s="57"/>
      <c r="G198" s="55"/>
    </row>
    <row r="199" spans="1:7" x14ac:dyDescent="0.2">
      <c r="A199" s="9" t="s">
        <v>284</v>
      </c>
      <c r="B199" s="23">
        <f t="shared" si="55"/>
        <v>627</v>
      </c>
      <c r="C199" s="7">
        <f t="shared" si="53"/>
        <v>627</v>
      </c>
      <c r="D199" s="23">
        <v>1</v>
      </c>
      <c r="E199" s="4" t="s">
        <v>34</v>
      </c>
      <c r="F199" s="57"/>
      <c r="G199" s="55"/>
    </row>
    <row r="200" spans="1:7" x14ac:dyDescent="0.2">
      <c r="B200" s="23">
        <f t="shared" si="55"/>
        <v>628</v>
      </c>
      <c r="C200" s="7">
        <f t="shared" si="53"/>
        <v>632</v>
      </c>
      <c r="D200" s="23">
        <v>5</v>
      </c>
      <c r="E200" s="4" t="s">
        <v>76</v>
      </c>
    </row>
    <row r="201" spans="1:7" x14ac:dyDescent="0.2">
      <c r="E201" s="28" t="s">
        <v>38</v>
      </c>
    </row>
    <row r="202" spans="1:7" ht="12.75" customHeight="1" x14ac:dyDescent="0.2">
      <c r="A202" s="9" t="s">
        <v>284</v>
      </c>
      <c r="B202" s="23">
        <f>B200+D200</f>
        <v>633</v>
      </c>
      <c r="C202" s="7">
        <f t="shared" ref="C202:C213" si="56">B202+D202-1</f>
        <v>633</v>
      </c>
      <c r="D202" s="23">
        <v>1</v>
      </c>
      <c r="E202" s="4" t="s">
        <v>27</v>
      </c>
      <c r="F202" s="57" t="s">
        <v>201</v>
      </c>
      <c r="G202" s="55" t="s">
        <v>377</v>
      </c>
    </row>
    <row r="203" spans="1:7" x14ac:dyDescent="0.2">
      <c r="A203" s="9" t="s">
        <v>284</v>
      </c>
      <c r="B203" s="23">
        <f t="shared" ref="B203:B213" si="57">B202+D202</f>
        <v>634</v>
      </c>
      <c r="C203" s="7">
        <f t="shared" si="56"/>
        <v>634</v>
      </c>
      <c r="D203" s="23">
        <v>1</v>
      </c>
      <c r="E203" s="4" t="s">
        <v>28</v>
      </c>
      <c r="F203" s="57"/>
      <c r="G203" s="55"/>
    </row>
    <row r="204" spans="1:7" x14ac:dyDescent="0.2">
      <c r="A204" s="9" t="s">
        <v>284</v>
      </c>
      <c r="B204" s="23">
        <f t="shared" si="57"/>
        <v>635</v>
      </c>
      <c r="C204" s="7">
        <f t="shared" si="56"/>
        <v>635</v>
      </c>
      <c r="D204" s="23">
        <v>1</v>
      </c>
      <c r="E204" s="4" t="s">
        <v>29</v>
      </c>
      <c r="F204" s="57"/>
      <c r="G204" s="55"/>
    </row>
    <row r="205" spans="1:7" x14ac:dyDescent="0.2">
      <c r="A205" s="9" t="s">
        <v>284</v>
      </c>
      <c r="B205" s="23">
        <f t="shared" si="57"/>
        <v>636</v>
      </c>
      <c r="C205" s="7">
        <f t="shared" si="56"/>
        <v>636</v>
      </c>
      <c r="D205" s="23">
        <v>1</v>
      </c>
      <c r="E205" s="4" t="s">
        <v>30</v>
      </c>
      <c r="F205" s="57"/>
      <c r="G205" s="55"/>
    </row>
    <row r="206" spans="1:7" x14ac:dyDescent="0.2">
      <c r="A206" s="9" t="s">
        <v>284</v>
      </c>
      <c r="B206" s="23">
        <f t="shared" si="57"/>
        <v>637</v>
      </c>
      <c r="C206" s="7">
        <f t="shared" si="56"/>
        <v>637</v>
      </c>
      <c r="D206" s="23">
        <v>1</v>
      </c>
      <c r="E206" s="4" t="s">
        <v>128</v>
      </c>
      <c r="F206" s="57"/>
      <c r="G206" s="55"/>
    </row>
    <row r="207" spans="1:7" x14ac:dyDescent="0.2">
      <c r="A207" s="9" t="s">
        <v>284</v>
      </c>
      <c r="B207" s="23">
        <f t="shared" si="57"/>
        <v>638</v>
      </c>
      <c r="C207" s="7">
        <f t="shared" si="56"/>
        <v>638</v>
      </c>
      <c r="D207" s="23">
        <v>1</v>
      </c>
      <c r="E207" s="4" t="s">
        <v>31</v>
      </c>
      <c r="F207" s="57"/>
      <c r="G207" s="55"/>
    </row>
    <row r="208" spans="1:7" x14ac:dyDescent="0.2">
      <c r="A208" s="9" t="s">
        <v>284</v>
      </c>
      <c r="B208" s="23">
        <f t="shared" si="57"/>
        <v>639</v>
      </c>
      <c r="C208" s="7">
        <f t="shared" si="56"/>
        <v>639</v>
      </c>
      <c r="D208" s="23">
        <v>1</v>
      </c>
      <c r="E208" s="4" t="s">
        <v>129</v>
      </c>
      <c r="F208" s="57"/>
      <c r="G208" s="55"/>
    </row>
    <row r="209" spans="1:7" x14ac:dyDescent="0.2">
      <c r="A209" s="9" t="s">
        <v>284</v>
      </c>
      <c r="B209" s="23">
        <f t="shared" si="57"/>
        <v>640</v>
      </c>
      <c r="C209" s="7">
        <f t="shared" si="56"/>
        <v>640</v>
      </c>
      <c r="D209" s="23">
        <v>1</v>
      </c>
      <c r="E209" s="4" t="s">
        <v>32</v>
      </c>
      <c r="F209" s="57"/>
      <c r="G209" s="55"/>
    </row>
    <row r="210" spans="1:7" x14ac:dyDescent="0.2">
      <c r="A210" s="9" t="s">
        <v>284</v>
      </c>
      <c r="B210" s="23">
        <f t="shared" si="57"/>
        <v>641</v>
      </c>
      <c r="C210" s="7">
        <f t="shared" si="56"/>
        <v>641</v>
      </c>
      <c r="D210" s="23">
        <v>1</v>
      </c>
      <c r="E210" s="4" t="s">
        <v>33</v>
      </c>
      <c r="F210" s="57"/>
      <c r="G210" s="55"/>
    </row>
    <row r="211" spans="1:7" x14ac:dyDescent="0.2">
      <c r="A211" s="9" t="s">
        <v>284</v>
      </c>
      <c r="B211" s="23">
        <f t="shared" si="57"/>
        <v>642</v>
      </c>
      <c r="C211" s="7">
        <f t="shared" si="56"/>
        <v>642</v>
      </c>
      <c r="D211" s="23">
        <v>1</v>
      </c>
      <c r="E211" s="4" t="s">
        <v>34</v>
      </c>
      <c r="F211" s="57"/>
      <c r="G211" s="55"/>
    </row>
    <row r="212" spans="1:7" x14ac:dyDescent="0.2">
      <c r="A212" s="9" t="s">
        <v>284</v>
      </c>
      <c r="B212" s="23">
        <f t="shared" si="57"/>
        <v>643</v>
      </c>
      <c r="C212" s="7">
        <f t="shared" si="56"/>
        <v>643</v>
      </c>
      <c r="D212" s="23">
        <v>1</v>
      </c>
      <c r="E212" s="4" t="s">
        <v>130</v>
      </c>
      <c r="F212" s="57"/>
      <c r="G212" s="55"/>
    </row>
    <row r="213" spans="1:7" x14ac:dyDescent="0.2">
      <c r="B213" s="23">
        <f t="shared" si="57"/>
        <v>644</v>
      </c>
      <c r="C213" s="7">
        <f t="shared" si="56"/>
        <v>648</v>
      </c>
      <c r="D213" s="23">
        <v>5</v>
      </c>
      <c r="E213" s="4" t="s">
        <v>76</v>
      </c>
    </row>
    <row r="214" spans="1:7" ht="12.75" customHeight="1" x14ac:dyDescent="0.2">
      <c r="E214" s="5" t="s">
        <v>39</v>
      </c>
      <c r="F214" s="53"/>
      <c r="G214" s="53"/>
    </row>
    <row r="215" spans="1:7" ht="38.25" x14ac:dyDescent="0.2">
      <c r="A215" s="9" t="s">
        <v>284</v>
      </c>
      <c r="B215" s="23">
        <f>B213+D213</f>
        <v>649</v>
      </c>
      <c r="C215" s="7">
        <f t="shared" ref="C215:C216" si="58">B215+D215-1</f>
        <v>649</v>
      </c>
      <c r="D215" s="23">
        <v>1</v>
      </c>
      <c r="E215" s="4" t="s">
        <v>33</v>
      </c>
      <c r="F215" s="43" t="s">
        <v>201</v>
      </c>
      <c r="G215" s="21" t="s">
        <v>377</v>
      </c>
    </row>
    <row r="216" spans="1:7" x14ac:dyDescent="0.2">
      <c r="B216" s="23">
        <f>B215+D215</f>
        <v>650</v>
      </c>
      <c r="C216" s="7">
        <f t="shared" si="58"/>
        <v>654</v>
      </c>
      <c r="D216" s="23">
        <v>5</v>
      </c>
      <c r="E216" s="4" t="s">
        <v>76</v>
      </c>
    </row>
    <row r="217" spans="1:7" x14ac:dyDescent="0.2">
      <c r="E217" s="31" t="s">
        <v>120</v>
      </c>
    </row>
    <row r="218" spans="1:7" x14ac:dyDescent="0.2">
      <c r="A218" s="9" t="s">
        <v>284</v>
      </c>
      <c r="B218" s="23">
        <f>B216+D216</f>
        <v>655</v>
      </c>
      <c r="C218" s="7">
        <f t="shared" ref="C218:C229" si="59">B218+D218-1</f>
        <v>655</v>
      </c>
      <c r="D218" s="23">
        <v>1</v>
      </c>
      <c r="E218" s="4" t="s">
        <v>121</v>
      </c>
      <c r="F218" s="55" t="s">
        <v>204</v>
      </c>
      <c r="G218" s="55" t="s">
        <v>205</v>
      </c>
    </row>
    <row r="219" spans="1:7" x14ac:dyDescent="0.2">
      <c r="A219" s="9" t="s">
        <v>284</v>
      </c>
      <c r="B219" s="23">
        <f t="shared" ref="B219" si="60">B218+D218</f>
        <v>656</v>
      </c>
      <c r="C219" s="7">
        <f t="shared" si="59"/>
        <v>656</v>
      </c>
      <c r="D219" s="23">
        <v>1</v>
      </c>
      <c r="E219" s="4" t="s">
        <v>378</v>
      </c>
      <c r="F219" s="55"/>
      <c r="G219" s="55"/>
    </row>
    <row r="220" spans="1:7" x14ac:dyDescent="0.2">
      <c r="A220" s="9" t="s">
        <v>284</v>
      </c>
      <c r="B220" s="23">
        <f t="shared" ref="B220:B228" si="61">B219+D219</f>
        <v>657</v>
      </c>
      <c r="C220" s="7">
        <f t="shared" si="59"/>
        <v>657</v>
      </c>
      <c r="D220" s="23">
        <v>1</v>
      </c>
      <c r="E220" s="4" t="s">
        <v>124</v>
      </c>
      <c r="F220" s="55"/>
      <c r="G220" s="55"/>
    </row>
    <row r="221" spans="1:7" x14ac:dyDescent="0.2">
      <c r="A221" s="9" t="s">
        <v>284</v>
      </c>
      <c r="B221" s="23">
        <f t="shared" si="61"/>
        <v>658</v>
      </c>
      <c r="C221" s="7">
        <f t="shared" si="59"/>
        <v>658</v>
      </c>
      <c r="D221" s="23">
        <v>1</v>
      </c>
      <c r="E221" s="4" t="s">
        <v>125</v>
      </c>
      <c r="F221" s="55"/>
      <c r="G221" s="55"/>
    </row>
    <row r="222" spans="1:7" x14ac:dyDescent="0.2">
      <c r="A222" s="9" t="s">
        <v>284</v>
      </c>
      <c r="B222" s="23">
        <f t="shared" si="61"/>
        <v>659</v>
      </c>
      <c r="C222" s="7">
        <f t="shared" si="59"/>
        <v>659</v>
      </c>
      <c r="D222" s="23">
        <v>1</v>
      </c>
      <c r="E222" s="4" t="s">
        <v>32</v>
      </c>
      <c r="F222" s="55"/>
      <c r="G222" s="55"/>
    </row>
    <row r="223" spans="1:7" x14ac:dyDescent="0.2">
      <c r="A223" s="9" t="s">
        <v>284</v>
      </c>
      <c r="B223" s="23">
        <f t="shared" si="61"/>
        <v>660</v>
      </c>
      <c r="C223" s="7">
        <f t="shared" si="59"/>
        <v>660</v>
      </c>
      <c r="D223" s="23">
        <v>1</v>
      </c>
      <c r="E223" s="4" t="s">
        <v>30</v>
      </c>
      <c r="F223" s="55"/>
      <c r="G223" s="55"/>
    </row>
    <row r="224" spans="1:7" x14ac:dyDescent="0.2">
      <c r="A224" s="9" t="s">
        <v>284</v>
      </c>
      <c r="B224" s="23">
        <f t="shared" si="61"/>
        <v>661</v>
      </c>
      <c r="C224" s="7">
        <f t="shared" si="59"/>
        <v>661</v>
      </c>
      <c r="D224" s="23">
        <v>1</v>
      </c>
      <c r="E224" s="4" t="s">
        <v>31</v>
      </c>
      <c r="F224" s="55"/>
      <c r="G224" s="55"/>
    </row>
    <row r="225" spans="1:7" x14ac:dyDescent="0.2">
      <c r="A225" s="9" t="s">
        <v>284</v>
      </c>
      <c r="B225" s="23">
        <f t="shared" si="61"/>
        <v>662</v>
      </c>
      <c r="C225" s="7">
        <f t="shared" si="59"/>
        <v>662</v>
      </c>
      <c r="D225" s="23">
        <v>1</v>
      </c>
      <c r="E225" s="4" t="s">
        <v>127</v>
      </c>
      <c r="F225" s="55"/>
      <c r="G225" s="55"/>
    </row>
    <row r="226" spans="1:7" x14ac:dyDescent="0.2">
      <c r="A226" s="9" t="s">
        <v>284</v>
      </c>
      <c r="B226" s="23">
        <f t="shared" si="61"/>
        <v>663</v>
      </c>
      <c r="C226" s="7">
        <f t="shared" si="59"/>
        <v>663</v>
      </c>
      <c r="D226" s="8">
        <v>1</v>
      </c>
      <c r="E226" s="4" t="s">
        <v>374</v>
      </c>
      <c r="F226" s="55"/>
      <c r="G226" s="55"/>
    </row>
    <row r="227" spans="1:7" x14ac:dyDescent="0.2">
      <c r="A227" s="9" t="s">
        <v>284</v>
      </c>
      <c r="B227" s="23">
        <f t="shared" si="61"/>
        <v>664</v>
      </c>
      <c r="C227" s="7">
        <f t="shared" si="59"/>
        <v>664</v>
      </c>
      <c r="D227" s="8">
        <v>1</v>
      </c>
      <c r="E227" s="4" t="s">
        <v>28</v>
      </c>
      <c r="F227" s="55"/>
      <c r="G227" s="55"/>
    </row>
    <row r="228" spans="1:7" x14ac:dyDescent="0.2">
      <c r="A228" s="9" t="s">
        <v>284</v>
      </c>
      <c r="B228" s="23">
        <f t="shared" si="61"/>
        <v>665</v>
      </c>
      <c r="C228" s="7">
        <f t="shared" si="59"/>
        <v>665</v>
      </c>
      <c r="D228" s="8">
        <v>1</v>
      </c>
      <c r="E228" s="4" t="s">
        <v>375</v>
      </c>
      <c r="F228" s="55"/>
      <c r="G228" s="55"/>
    </row>
    <row r="229" spans="1:7" x14ac:dyDescent="0.2">
      <c r="B229" s="23">
        <f>B228+D228</f>
        <v>666</v>
      </c>
      <c r="C229" s="7">
        <f t="shared" si="59"/>
        <v>674</v>
      </c>
      <c r="D229" s="23">
        <v>9</v>
      </c>
      <c r="E229" s="4" t="s">
        <v>76</v>
      </c>
    </row>
    <row r="230" spans="1:7" x14ac:dyDescent="0.2">
      <c r="E230" s="31" t="s">
        <v>132</v>
      </c>
    </row>
    <row r="231" spans="1:7" x14ac:dyDescent="0.2">
      <c r="E231" s="31" t="s">
        <v>133</v>
      </c>
    </row>
    <row r="232" spans="1:7" ht="81.75" customHeight="1" x14ac:dyDescent="0.2">
      <c r="A232" s="9" t="s">
        <v>287</v>
      </c>
      <c r="B232" s="23">
        <f>B229+D229</f>
        <v>675</v>
      </c>
      <c r="C232" s="7">
        <f t="shared" ref="C232" si="62">B232+D232-1</f>
        <v>675</v>
      </c>
      <c r="D232" s="23">
        <v>1</v>
      </c>
      <c r="E232" s="32" t="s">
        <v>133</v>
      </c>
      <c r="F232" s="43" t="s">
        <v>238</v>
      </c>
      <c r="G232" s="42" t="s">
        <v>239</v>
      </c>
    </row>
    <row r="233" spans="1:7" x14ac:dyDescent="0.2">
      <c r="E233" s="31" t="s">
        <v>159</v>
      </c>
    </row>
    <row r="234" spans="1:7" ht="102" x14ac:dyDescent="0.2">
      <c r="B234" s="23">
        <f>B232+D232</f>
        <v>676</v>
      </c>
      <c r="C234" s="7">
        <f t="shared" ref="C234:C240" si="63">B234+D234-1</f>
        <v>677</v>
      </c>
      <c r="D234" s="23">
        <v>2</v>
      </c>
      <c r="E234" s="32" t="s">
        <v>117</v>
      </c>
      <c r="F234" s="6" t="s">
        <v>240</v>
      </c>
      <c r="G234" s="43" t="s">
        <v>244</v>
      </c>
    </row>
    <row r="235" spans="1:7" x14ac:dyDescent="0.2">
      <c r="B235" s="23">
        <f>B234+D234</f>
        <v>678</v>
      </c>
      <c r="C235" s="7">
        <f t="shared" si="63"/>
        <v>679</v>
      </c>
      <c r="D235" s="23">
        <v>2</v>
      </c>
      <c r="E235" s="27" t="s">
        <v>76</v>
      </c>
      <c r="F235" s="47"/>
      <c r="G235" s="43"/>
    </row>
    <row r="236" spans="1:7" ht="102" x14ac:dyDescent="0.2">
      <c r="B236" s="23">
        <f>B235+D235</f>
        <v>680</v>
      </c>
      <c r="C236" s="7">
        <f t="shared" si="63"/>
        <v>681</v>
      </c>
      <c r="D236" s="23">
        <v>2</v>
      </c>
      <c r="E236" s="32" t="s">
        <v>371</v>
      </c>
      <c r="F236" s="47" t="s">
        <v>444</v>
      </c>
      <c r="G236" s="43" t="s">
        <v>379</v>
      </c>
    </row>
    <row r="237" spans="1:7" ht="72.75" customHeight="1" x14ac:dyDescent="0.2">
      <c r="A237" s="9" t="s">
        <v>284</v>
      </c>
      <c r="B237" s="23">
        <f t="shared" ref="B237:B240" si="64">B236+D236</f>
        <v>682</v>
      </c>
      <c r="C237" s="7">
        <f t="shared" si="63"/>
        <v>683</v>
      </c>
      <c r="D237" s="23">
        <v>2</v>
      </c>
      <c r="E237" s="27" t="s">
        <v>160</v>
      </c>
      <c r="F237" s="56" t="s">
        <v>453</v>
      </c>
      <c r="G237" s="56" t="s">
        <v>454</v>
      </c>
    </row>
    <row r="238" spans="1:7" ht="72.75" customHeight="1" x14ac:dyDescent="0.2">
      <c r="A238" s="9" t="s">
        <v>284</v>
      </c>
      <c r="B238" s="23">
        <f t="shared" si="64"/>
        <v>684</v>
      </c>
      <c r="C238" s="7">
        <f t="shared" si="63"/>
        <v>685</v>
      </c>
      <c r="D238" s="23">
        <v>2</v>
      </c>
      <c r="E238" s="27" t="s">
        <v>161</v>
      </c>
      <c r="F238" s="56"/>
      <c r="G238" s="56"/>
    </row>
    <row r="239" spans="1:7" ht="71.25" customHeight="1" x14ac:dyDescent="0.2">
      <c r="A239" s="9" t="s">
        <v>284</v>
      </c>
      <c r="B239" s="23">
        <f t="shared" si="64"/>
        <v>686</v>
      </c>
      <c r="C239" s="7">
        <f t="shared" si="63"/>
        <v>687</v>
      </c>
      <c r="D239" s="23">
        <v>2</v>
      </c>
      <c r="E239" s="27" t="s">
        <v>162</v>
      </c>
      <c r="F239" s="56"/>
      <c r="G239" s="56"/>
    </row>
    <row r="240" spans="1:7" ht="71.25" customHeight="1" x14ac:dyDescent="0.2">
      <c r="A240" s="9" t="s">
        <v>284</v>
      </c>
      <c r="B240" s="23">
        <f t="shared" si="64"/>
        <v>688</v>
      </c>
      <c r="C240" s="7">
        <f t="shared" si="63"/>
        <v>689</v>
      </c>
      <c r="D240" s="23">
        <v>2</v>
      </c>
      <c r="E240" s="27" t="s">
        <v>163</v>
      </c>
      <c r="F240" s="56"/>
      <c r="G240" s="56"/>
    </row>
    <row r="241" spans="1:7" x14ac:dyDescent="0.2">
      <c r="E241" s="31" t="s">
        <v>134</v>
      </c>
    </row>
    <row r="242" spans="1:7" ht="63.75" x14ac:dyDescent="0.2">
      <c r="B242" s="23">
        <f>B240+D240</f>
        <v>690</v>
      </c>
      <c r="C242" s="7">
        <f t="shared" ref="C242:C249" si="65">B242+D242-1</f>
        <v>691</v>
      </c>
      <c r="D242" s="23">
        <v>2</v>
      </c>
      <c r="E242" s="32" t="s">
        <v>372</v>
      </c>
      <c r="F242" s="21" t="s">
        <v>243</v>
      </c>
      <c r="G242" s="43" t="s">
        <v>455</v>
      </c>
    </row>
    <row r="243" spans="1:7" x14ac:dyDescent="0.2">
      <c r="B243" s="23">
        <f>B242+D242</f>
        <v>692</v>
      </c>
      <c r="C243" s="7">
        <f t="shared" si="65"/>
        <v>693</v>
      </c>
      <c r="D243" s="23">
        <v>2</v>
      </c>
      <c r="E243" s="27" t="s">
        <v>76</v>
      </c>
      <c r="F243" s="43"/>
      <c r="G243" s="43"/>
    </row>
    <row r="244" spans="1:7" ht="23.25" customHeight="1" x14ac:dyDescent="0.2">
      <c r="B244" s="23">
        <f t="shared" ref="B244" si="66">B243+D243</f>
        <v>694</v>
      </c>
      <c r="C244" s="7">
        <f t="shared" si="65"/>
        <v>694</v>
      </c>
      <c r="D244" s="23">
        <v>1</v>
      </c>
      <c r="E244" s="27" t="s">
        <v>76</v>
      </c>
      <c r="F244" s="57"/>
      <c r="G244" s="57"/>
    </row>
    <row r="245" spans="1:7" ht="21.75" customHeight="1" x14ac:dyDescent="0.2">
      <c r="B245" s="23">
        <f t="shared" ref="B245:B249" si="67">B244+D244</f>
        <v>695</v>
      </c>
      <c r="C245" s="7">
        <f t="shared" si="65"/>
        <v>695</v>
      </c>
      <c r="D245" s="23">
        <v>1</v>
      </c>
      <c r="E245" s="27" t="s">
        <v>76</v>
      </c>
      <c r="F245" s="57"/>
      <c r="G245" s="57"/>
    </row>
    <row r="246" spans="1:7" ht="21.75" customHeight="1" x14ac:dyDescent="0.2">
      <c r="B246" s="23">
        <f t="shared" si="67"/>
        <v>696</v>
      </c>
      <c r="C246" s="7">
        <f t="shared" si="65"/>
        <v>696</v>
      </c>
      <c r="D246" s="23">
        <v>1</v>
      </c>
      <c r="E246" s="27" t="s">
        <v>76</v>
      </c>
      <c r="F246" s="57"/>
      <c r="G246" s="57"/>
    </row>
    <row r="247" spans="1:7" ht="22.5" customHeight="1" x14ac:dyDescent="0.2">
      <c r="B247" s="23">
        <f t="shared" si="67"/>
        <v>697</v>
      </c>
      <c r="C247" s="7">
        <f t="shared" si="65"/>
        <v>697</v>
      </c>
      <c r="D247" s="23">
        <v>1</v>
      </c>
      <c r="E247" s="27" t="s">
        <v>76</v>
      </c>
      <c r="F247" s="57"/>
      <c r="G247" s="57"/>
    </row>
    <row r="248" spans="1:7" ht="78.75" customHeight="1" x14ac:dyDescent="0.2">
      <c r="A248" s="9" t="s">
        <v>284</v>
      </c>
      <c r="B248" s="23">
        <f t="shared" si="67"/>
        <v>698</v>
      </c>
      <c r="C248" s="7">
        <f t="shared" si="65"/>
        <v>698</v>
      </c>
      <c r="D248" s="23">
        <v>1</v>
      </c>
      <c r="E248" s="32" t="s">
        <v>135</v>
      </c>
      <c r="F248" s="43" t="s">
        <v>241</v>
      </c>
      <c r="G248" s="43" t="s">
        <v>242</v>
      </c>
    </row>
    <row r="249" spans="1:7" ht="76.5" x14ac:dyDescent="0.2">
      <c r="B249" s="23">
        <f t="shared" si="67"/>
        <v>699</v>
      </c>
      <c r="C249" s="7">
        <f t="shared" si="65"/>
        <v>699</v>
      </c>
      <c r="D249" s="23">
        <v>1</v>
      </c>
      <c r="E249" s="32" t="s">
        <v>118</v>
      </c>
      <c r="F249" s="43" t="s">
        <v>380</v>
      </c>
      <c r="G249" s="43" t="s">
        <v>245</v>
      </c>
    </row>
    <row r="250" spans="1:7" x14ac:dyDescent="0.2">
      <c r="E250" s="31" t="s">
        <v>136</v>
      </c>
    </row>
    <row r="251" spans="1:7" x14ac:dyDescent="0.2">
      <c r="B251" s="23">
        <f>B249+D249</f>
        <v>700</v>
      </c>
      <c r="C251" s="7">
        <f t="shared" ref="C251:C252" si="68">B251+D251-1</f>
        <v>705</v>
      </c>
      <c r="D251" s="23">
        <v>6</v>
      </c>
      <c r="E251" s="27" t="s">
        <v>76</v>
      </c>
      <c r="F251" s="21"/>
      <c r="G251" s="43"/>
    </row>
    <row r="252" spans="1:7" ht="80.25" customHeight="1" x14ac:dyDescent="0.2">
      <c r="A252" s="9" t="s">
        <v>284</v>
      </c>
      <c r="B252" s="23">
        <f>B251+D251</f>
        <v>706</v>
      </c>
      <c r="C252" s="7">
        <f t="shared" si="68"/>
        <v>706</v>
      </c>
      <c r="D252" s="23">
        <v>1</v>
      </c>
      <c r="E252" s="32" t="s">
        <v>137</v>
      </c>
      <c r="F252" s="43" t="s">
        <v>246</v>
      </c>
      <c r="G252" s="43" t="s">
        <v>247</v>
      </c>
    </row>
    <row r="253" spans="1:7" x14ac:dyDescent="0.2">
      <c r="B253" s="23">
        <f>B252+D252</f>
        <v>707</v>
      </c>
      <c r="C253" s="7">
        <f t="shared" ref="C253" si="69">B253+D253-1</f>
        <v>733</v>
      </c>
      <c r="D253" s="23">
        <v>27</v>
      </c>
      <c r="E253" s="4" t="s">
        <v>76</v>
      </c>
    </row>
    <row r="254" spans="1:7" x14ac:dyDescent="0.2">
      <c r="E254" s="31" t="s">
        <v>48</v>
      </c>
    </row>
    <row r="255" spans="1:7" ht="63.75" x14ac:dyDescent="0.2">
      <c r="A255" s="9" t="s">
        <v>289</v>
      </c>
      <c r="B255" s="23">
        <f>B253+D253</f>
        <v>734</v>
      </c>
      <c r="C255" s="7">
        <f t="shared" ref="C255:C257" si="70">B255+D255-1</f>
        <v>738</v>
      </c>
      <c r="D255" s="23">
        <v>5</v>
      </c>
      <c r="E255" s="29" t="s">
        <v>49</v>
      </c>
      <c r="F255" s="43" t="s">
        <v>207</v>
      </c>
      <c r="G255" s="43" t="s">
        <v>210</v>
      </c>
    </row>
    <row r="256" spans="1:7" ht="63.75" x14ac:dyDescent="0.2">
      <c r="A256" s="9" t="s">
        <v>290</v>
      </c>
      <c r="B256" s="23">
        <f t="shared" ref="B256" si="71">B255+D255</f>
        <v>739</v>
      </c>
      <c r="C256" s="7">
        <f t="shared" si="70"/>
        <v>741</v>
      </c>
      <c r="D256" s="23">
        <v>3</v>
      </c>
      <c r="E256" s="29" t="s">
        <v>50</v>
      </c>
      <c r="F256" s="21" t="s">
        <v>208</v>
      </c>
      <c r="G256" s="43" t="s">
        <v>211</v>
      </c>
    </row>
    <row r="257" spans="1:7" ht="114.75" x14ac:dyDescent="0.2">
      <c r="A257" s="9" t="s">
        <v>291</v>
      </c>
      <c r="B257" s="23">
        <f t="shared" ref="B257" si="72">B256+D256</f>
        <v>742</v>
      </c>
      <c r="C257" s="7">
        <f t="shared" si="70"/>
        <v>744</v>
      </c>
      <c r="D257" s="23">
        <v>3</v>
      </c>
      <c r="E257" s="29" t="s">
        <v>51</v>
      </c>
      <c r="F257" s="43" t="s">
        <v>209</v>
      </c>
      <c r="G257" s="42" t="s">
        <v>331</v>
      </c>
    </row>
    <row r="258" spans="1:7" x14ac:dyDescent="0.2">
      <c r="E258" s="31" t="s">
        <v>53</v>
      </c>
    </row>
    <row r="259" spans="1:7" ht="51" x14ac:dyDescent="0.2">
      <c r="A259" s="9" t="s">
        <v>289</v>
      </c>
      <c r="B259" s="23">
        <f>B257+D257</f>
        <v>745</v>
      </c>
      <c r="C259" s="7">
        <f t="shared" ref="C259:C274" si="73">B259+D259-1</f>
        <v>748</v>
      </c>
      <c r="D259" s="23">
        <v>4</v>
      </c>
      <c r="E259" s="29" t="s">
        <v>92</v>
      </c>
      <c r="F259" s="21" t="s">
        <v>212</v>
      </c>
      <c r="G259" s="21" t="s">
        <v>213</v>
      </c>
    </row>
    <row r="260" spans="1:7" ht="51" x14ac:dyDescent="0.2">
      <c r="A260" s="9" t="s">
        <v>289</v>
      </c>
      <c r="B260" s="23">
        <f t="shared" ref="B260" si="74">B259+D259</f>
        <v>749</v>
      </c>
      <c r="C260" s="7">
        <f t="shared" si="73"/>
        <v>749</v>
      </c>
      <c r="D260" s="23">
        <v>1</v>
      </c>
      <c r="E260" s="29" t="s">
        <v>335</v>
      </c>
      <c r="F260" s="24" t="s">
        <v>332</v>
      </c>
      <c r="G260" s="21" t="s">
        <v>336</v>
      </c>
    </row>
    <row r="261" spans="1:7" ht="51" x14ac:dyDescent="0.2">
      <c r="A261" s="9" t="s">
        <v>289</v>
      </c>
      <c r="B261" s="23">
        <f t="shared" ref="B261" si="75">B260+D260</f>
        <v>750</v>
      </c>
      <c r="C261" s="7">
        <f t="shared" ref="C261" si="76">B261+D261-1</f>
        <v>752</v>
      </c>
      <c r="D261" s="23">
        <v>3</v>
      </c>
      <c r="E261" s="29" t="s">
        <v>297</v>
      </c>
      <c r="F261" s="24" t="s">
        <v>298</v>
      </c>
      <c r="G261" s="21" t="s">
        <v>299</v>
      </c>
    </row>
    <row r="262" spans="1:7" ht="51" x14ac:dyDescent="0.2">
      <c r="A262" s="9" t="s">
        <v>289</v>
      </c>
      <c r="B262" s="23">
        <f>B261+D261</f>
        <v>753</v>
      </c>
      <c r="C262" s="7">
        <f t="shared" si="73"/>
        <v>756</v>
      </c>
      <c r="D262" s="23">
        <v>4</v>
      </c>
      <c r="E262" s="29" t="s">
        <v>93</v>
      </c>
      <c r="F262" s="21" t="s">
        <v>212</v>
      </c>
      <c r="G262" s="21" t="s">
        <v>214</v>
      </c>
    </row>
    <row r="263" spans="1:7" ht="51" x14ac:dyDescent="0.2">
      <c r="A263" s="9" t="s">
        <v>289</v>
      </c>
      <c r="B263" s="23">
        <f t="shared" ref="B263:B272" si="77">B262+D262</f>
        <v>757</v>
      </c>
      <c r="C263" s="7">
        <f t="shared" si="73"/>
        <v>757</v>
      </c>
      <c r="D263" s="23">
        <v>1</v>
      </c>
      <c r="E263" s="29" t="s">
        <v>337</v>
      </c>
      <c r="F263" s="24" t="s">
        <v>332</v>
      </c>
      <c r="G263" s="21" t="s">
        <v>338</v>
      </c>
    </row>
    <row r="264" spans="1:7" ht="63.75" x14ac:dyDescent="0.2">
      <c r="A264" s="9" t="s">
        <v>289</v>
      </c>
      <c r="B264" s="23">
        <f>B263+D263</f>
        <v>758</v>
      </c>
      <c r="C264" s="7">
        <f t="shared" ref="C264" si="78">B264+D264-1</f>
        <v>760</v>
      </c>
      <c r="D264" s="23">
        <v>3</v>
      </c>
      <c r="E264" s="29" t="s">
        <v>300</v>
      </c>
      <c r="F264" s="24" t="s">
        <v>298</v>
      </c>
      <c r="G264" s="21" t="s">
        <v>301</v>
      </c>
    </row>
    <row r="265" spans="1:7" ht="51" x14ac:dyDescent="0.2">
      <c r="A265" s="9" t="s">
        <v>289</v>
      </c>
      <c r="B265" s="23">
        <f>B264+D264</f>
        <v>761</v>
      </c>
      <c r="C265" s="7">
        <f t="shared" si="73"/>
        <v>764</v>
      </c>
      <c r="D265" s="23">
        <v>4</v>
      </c>
      <c r="E265" s="29" t="s">
        <v>94</v>
      </c>
      <c r="F265" s="21" t="s">
        <v>212</v>
      </c>
      <c r="G265" s="21" t="s">
        <v>215</v>
      </c>
    </row>
    <row r="266" spans="1:7" ht="51" x14ac:dyDescent="0.2">
      <c r="A266" s="9" t="s">
        <v>289</v>
      </c>
      <c r="B266" s="23">
        <f t="shared" si="77"/>
        <v>765</v>
      </c>
      <c r="C266" s="7">
        <f t="shared" si="73"/>
        <v>765</v>
      </c>
      <c r="D266" s="23">
        <v>1</v>
      </c>
      <c r="E266" s="29" t="s">
        <v>339</v>
      </c>
      <c r="F266" s="24" t="s">
        <v>332</v>
      </c>
      <c r="G266" s="21" t="s">
        <v>340</v>
      </c>
    </row>
    <row r="267" spans="1:7" ht="51" x14ac:dyDescent="0.2">
      <c r="A267" s="9" t="s">
        <v>289</v>
      </c>
      <c r="B267" s="23">
        <f>B266+D266</f>
        <v>766</v>
      </c>
      <c r="C267" s="7">
        <f t="shared" si="73"/>
        <v>768</v>
      </c>
      <c r="D267" s="23">
        <v>3</v>
      </c>
      <c r="E267" s="29" t="s">
        <v>302</v>
      </c>
      <c r="F267" s="24" t="s">
        <v>298</v>
      </c>
      <c r="G267" s="21" t="s">
        <v>303</v>
      </c>
    </row>
    <row r="268" spans="1:7" ht="51" x14ac:dyDescent="0.2">
      <c r="A268" s="9" t="s">
        <v>289</v>
      </c>
      <c r="B268" s="23">
        <f>B267+D267</f>
        <v>769</v>
      </c>
      <c r="C268" s="7">
        <f t="shared" si="73"/>
        <v>772</v>
      </c>
      <c r="D268" s="23">
        <v>4</v>
      </c>
      <c r="E268" s="29" t="s">
        <v>55</v>
      </c>
      <c r="F268" s="21" t="s">
        <v>212</v>
      </c>
      <c r="G268" s="21" t="s">
        <v>216</v>
      </c>
    </row>
    <row r="269" spans="1:7" ht="51" x14ac:dyDescent="0.2">
      <c r="A269" s="9" t="s">
        <v>289</v>
      </c>
      <c r="B269" s="23">
        <f t="shared" si="77"/>
        <v>773</v>
      </c>
      <c r="C269" s="7">
        <f t="shared" si="73"/>
        <v>773</v>
      </c>
      <c r="D269" s="23">
        <v>1</v>
      </c>
      <c r="E269" s="29" t="s">
        <v>341</v>
      </c>
      <c r="F269" s="24" t="s">
        <v>332</v>
      </c>
      <c r="G269" s="21" t="s">
        <v>342</v>
      </c>
    </row>
    <row r="270" spans="1:7" ht="51" x14ac:dyDescent="0.2">
      <c r="A270" s="9" t="s">
        <v>289</v>
      </c>
      <c r="B270" s="23">
        <f>B269+D269</f>
        <v>774</v>
      </c>
      <c r="C270" s="7">
        <f t="shared" ref="C270" si="79">B270+D270-1</f>
        <v>776</v>
      </c>
      <c r="D270" s="23">
        <v>3</v>
      </c>
      <c r="E270" s="29" t="s">
        <v>306</v>
      </c>
      <c r="F270" s="24" t="s">
        <v>298</v>
      </c>
      <c r="G270" s="21" t="s">
        <v>307</v>
      </c>
    </row>
    <row r="271" spans="1:7" ht="63.75" x14ac:dyDescent="0.2">
      <c r="A271" s="9" t="s">
        <v>289</v>
      </c>
      <c r="B271" s="23">
        <f>B270+D270</f>
        <v>777</v>
      </c>
      <c r="C271" s="7">
        <f t="shared" si="73"/>
        <v>780</v>
      </c>
      <c r="D271" s="23">
        <v>4</v>
      </c>
      <c r="E271" s="29" t="s">
        <v>56</v>
      </c>
      <c r="F271" s="21" t="s">
        <v>212</v>
      </c>
      <c r="G271" s="21" t="s">
        <v>217</v>
      </c>
    </row>
    <row r="272" spans="1:7" ht="51" x14ac:dyDescent="0.2">
      <c r="A272" s="9" t="s">
        <v>289</v>
      </c>
      <c r="B272" s="23">
        <f t="shared" si="77"/>
        <v>781</v>
      </c>
      <c r="C272" s="7">
        <f t="shared" si="73"/>
        <v>781</v>
      </c>
      <c r="D272" s="23">
        <v>1</v>
      </c>
      <c r="E272" s="29" t="s">
        <v>343</v>
      </c>
      <c r="F272" s="24" t="s">
        <v>332</v>
      </c>
      <c r="G272" s="21" t="s">
        <v>344</v>
      </c>
    </row>
    <row r="273" spans="1:7" ht="63.75" x14ac:dyDescent="0.2">
      <c r="A273" s="9" t="s">
        <v>289</v>
      </c>
      <c r="B273" s="23">
        <f>B272+D272</f>
        <v>782</v>
      </c>
      <c r="C273" s="7">
        <f t="shared" si="73"/>
        <v>784</v>
      </c>
      <c r="D273" s="23">
        <v>3</v>
      </c>
      <c r="E273" s="29" t="s">
        <v>304</v>
      </c>
      <c r="F273" s="24" t="s">
        <v>298</v>
      </c>
      <c r="G273" s="21" t="s">
        <v>305</v>
      </c>
    </row>
    <row r="274" spans="1:7" x14ac:dyDescent="0.2">
      <c r="B274" s="23">
        <f>B273+D273</f>
        <v>785</v>
      </c>
      <c r="C274" s="7">
        <f t="shared" si="73"/>
        <v>804</v>
      </c>
      <c r="D274" s="23">
        <v>20</v>
      </c>
      <c r="E274" s="29" t="s">
        <v>76</v>
      </c>
    </row>
    <row r="275" spans="1:7" x14ac:dyDescent="0.2">
      <c r="E275" s="31" t="s">
        <v>54</v>
      </c>
    </row>
    <row r="276" spans="1:7" ht="51" x14ac:dyDescent="0.2">
      <c r="A276" s="9" t="s">
        <v>289</v>
      </c>
      <c r="B276" s="23">
        <f>B274+D274</f>
        <v>805</v>
      </c>
      <c r="C276" s="7">
        <f t="shared" ref="C276:C282" si="80">B276+D276-1</f>
        <v>808</v>
      </c>
      <c r="D276" s="23">
        <v>4</v>
      </c>
      <c r="E276" s="29" t="s">
        <v>57</v>
      </c>
      <c r="F276" s="21" t="s">
        <v>212</v>
      </c>
      <c r="G276" s="21" t="s">
        <v>218</v>
      </c>
    </row>
    <row r="277" spans="1:7" ht="51" x14ac:dyDescent="0.2">
      <c r="A277" s="9" t="s">
        <v>289</v>
      </c>
      <c r="B277" s="23">
        <f t="shared" ref="B277" si="81">B276+D276</f>
        <v>809</v>
      </c>
      <c r="C277" s="7">
        <f t="shared" si="80"/>
        <v>809</v>
      </c>
      <c r="D277" s="23">
        <v>1</v>
      </c>
      <c r="E277" s="29" t="s">
        <v>345</v>
      </c>
      <c r="F277" s="24" t="s">
        <v>332</v>
      </c>
      <c r="G277" s="21" t="s">
        <v>346</v>
      </c>
    </row>
    <row r="278" spans="1:7" ht="51" x14ac:dyDescent="0.2">
      <c r="A278" s="9" t="s">
        <v>289</v>
      </c>
      <c r="B278" s="23">
        <f>B277+D277</f>
        <v>810</v>
      </c>
      <c r="C278" s="7">
        <f t="shared" si="80"/>
        <v>812</v>
      </c>
      <c r="D278" s="23">
        <v>3</v>
      </c>
      <c r="E278" s="29" t="s">
        <v>308</v>
      </c>
      <c r="F278" s="24" t="s">
        <v>298</v>
      </c>
      <c r="G278" s="21" t="s">
        <v>318</v>
      </c>
    </row>
    <row r="279" spans="1:7" ht="51" x14ac:dyDescent="0.2">
      <c r="A279" s="9" t="s">
        <v>289</v>
      </c>
      <c r="B279" s="23">
        <f>B278+D278</f>
        <v>813</v>
      </c>
      <c r="C279" s="7">
        <f t="shared" si="80"/>
        <v>816</v>
      </c>
      <c r="D279" s="23">
        <v>4</v>
      </c>
      <c r="E279" s="29" t="s">
        <v>58</v>
      </c>
      <c r="F279" s="21" t="s">
        <v>212</v>
      </c>
      <c r="G279" s="21" t="s">
        <v>219</v>
      </c>
    </row>
    <row r="280" spans="1:7" ht="51" x14ac:dyDescent="0.2">
      <c r="A280" s="9" t="s">
        <v>289</v>
      </c>
      <c r="B280" s="23">
        <f t="shared" ref="B280" si="82">B279+D279</f>
        <v>817</v>
      </c>
      <c r="C280" s="7">
        <f t="shared" si="80"/>
        <v>817</v>
      </c>
      <c r="D280" s="23">
        <v>1</v>
      </c>
      <c r="E280" s="29" t="s">
        <v>347</v>
      </c>
      <c r="F280" s="24" t="s">
        <v>332</v>
      </c>
      <c r="G280" s="21" t="s">
        <v>348</v>
      </c>
    </row>
    <row r="281" spans="1:7" ht="51" x14ac:dyDescent="0.2">
      <c r="A281" s="9" t="s">
        <v>289</v>
      </c>
      <c r="B281" s="23">
        <f>B280+D280</f>
        <v>818</v>
      </c>
      <c r="C281" s="7">
        <f t="shared" ref="C281" si="83">B281+D281-1</f>
        <v>820</v>
      </c>
      <c r="D281" s="23">
        <v>3</v>
      </c>
      <c r="E281" s="29" t="s">
        <v>309</v>
      </c>
      <c r="F281" s="24" t="s">
        <v>298</v>
      </c>
      <c r="G281" s="21" t="s">
        <v>319</v>
      </c>
    </row>
    <row r="282" spans="1:7" x14ac:dyDescent="0.2">
      <c r="B282" s="23">
        <f>B281+D281</f>
        <v>821</v>
      </c>
      <c r="C282" s="7">
        <f t="shared" si="80"/>
        <v>856</v>
      </c>
      <c r="D282" s="23">
        <v>36</v>
      </c>
      <c r="E282" s="29" t="s">
        <v>76</v>
      </c>
    </row>
    <row r="283" spans="1:7" x14ac:dyDescent="0.2">
      <c r="E283" s="31" t="s">
        <v>59</v>
      </c>
    </row>
    <row r="284" spans="1:7" ht="63.75" x14ac:dyDescent="0.2">
      <c r="A284" s="9" t="s">
        <v>289</v>
      </c>
      <c r="B284" s="23">
        <f>B282+D282</f>
        <v>857</v>
      </c>
      <c r="C284" s="7">
        <f t="shared" ref="C284:C286" si="84">B284+D284-1</f>
        <v>861</v>
      </c>
      <c r="D284" s="23">
        <v>5</v>
      </c>
      <c r="E284" s="29" t="s">
        <v>60</v>
      </c>
      <c r="F284" s="43" t="s">
        <v>207</v>
      </c>
      <c r="G284" s="43" t="s">
        <v>220</v>
      </c>
    </row>
    <row r="285" spans="1:7" ht="63.75" x14ac:dyDescent="0.2">
      <c r="A285" s="9" t="s">
        <v>290</v>
      </c>
      <c r="B285" s="23">
        <f t="shared" ref="B285" si="85">B284+D284</f>
        <v>862</v>
      </c>
      <c r="C285" s="7">
        <f t="shared" si="84"/>
        <v>864</v>
      </c>
      <c r="D285" s="23">
        <v>3</v>
      </c>
      <c r="E285" s="29" t="s">
        <v>61</v>
      </c>
      <c r="F285" s="21" t="s">
        <v>208</v>
      </c>
      <c r="G285" s="43" t="s">
        <v>221</v>
      </c>
    </row>
    <row r="286" spans="1:7" ht="114.75" x14ac:dyDescent="0.2">
      <c r="A286" s="9" t="s">
        <v>291</v>
      </c>
      <c r="B286" s="23">
        <f t="shared" ref="B286" si="86">B285+D285</f>
        <v>865</v>
      </c>
      <c r="C286" s="7">
        <f t="shared" si="84"/>
        <v>867</v>
      </c>
      <c r="D286" s="23">
        <v>3</v>
      </c>
      <c r="E286" s="29" t="s">
        <v>62</v>
      </c>
      <c r="F286" s="43" t="s">
        <v>209</v>
      </c>
      <c r="G286" s="42" t="s">
        <v>333</v>
      </c>
    </row>
    <row r="287" spans="1:7" x14ac:dyDescent="0.2">
      <c r="E287" s="31" t="s">
        <v>53</v>
      </c>
    </row>
    <row r="288" spans="1:7" ht="51" x14ac:dyDescent="0.2">
      <c r="A288" s="9" t="s">
        <v>289</v>
      </c>
      <c r="B288" s="23">
        <f>B286+D286</f>
        <v>868</v>
      </c>
      <c r="C288" s="7">
        <f t="shared" ref="C288:C300" si="87">B288+D288-1</f>
        <v>871</v>
      </c>
      <c r="D288" s="23">
        <v>4</v>
      </c>
      <c r="E288" s="29" t="s">
        <v>63</v>
      </c>
      <c r="F288" s="21" t="s">
        <v>212</v>
      </c>
      <c r="G288" s="21" t="s">
        <v>222</v>
      </c>
    </row>
    <row r="289" spans="1:7" ht="51" x14ac:dyDescent="0.2">
      <c r="A289" s="9" t="s">
        <v>289</v>
      </c>
      <c r="B289" s="23">
        <f t="shared" ref="B289" si="88">B288+D288</f>
        <v>872</v>
      </c>
      <c r="C289" s="7">
        <f t="shared" si="87"/>
        <v>872</v>
      </c>
      <c r="D289" s="23">
        <v>1</v>
      </c>
      <c r="E289" s="29" t="s">
        <v>349</v>
      </c>
      <c r="F289" s="24" t="s">
        <v>332</v>
      </c>
      <c r="G289" s="21" t="s">
        <v>350</v>
      </c>
    </row>
    <row r="290" spans="1:7" ht="51" x14ac:dyDescent="0.2">
      <c r="A290" s="9" t="s">
        <v>289</v>
      </c>
      <c r="B290" s="23">
        <f>B289+D289</f>
        <v>873</v>
      </c>
      <c r="C290" s="7">
        <f t="shared" si="87"/>
        <v>875</v>
      </c>
      <c r="D290" s="23">
        <v>3</v>
      </c>
      <c r="E290" s="29" t="s">
        <v>310</v>
      </c>
      <c r="F290" s="24" t="s">
        <v>298</v>
      </c>
      <c r="G290" s="21" t="s">
        <v>311</v>
      </c>
    </row>
    <row r="291" spans="1:7" ht="51" x14ac:dyDescent="0.2">
      <c r="A291" s="9" t="s">
        <v>289</v>
      </c>
      <c r="B291" s="23">
        <f>B290+D290</f>
        <v>876</v>
      </c>
      <c r="C291" s="7">
        <f t="shared" si="87"/>
        <v>879</v>
      </c>
      <c r="D291" s="23">
        <v>4</v>
      </c>
      <c r="E291" s="29" t="s">
        <v>64</v>
      </c>
      <c r="F291" s="21" t="s">
        <v>212</v>
      </c>
      <c r="G291" s="21" t="s">
        <v>223</v>
      </c>
    </row>
    <row r="292" spans="1:7" ht="51" x14ac:dyDescent="0.2">
      <c r="A292" s="9" t="s">
        <v>289</v>
      </c>
      <c r="B292" s="23">
        <f t="shared" ref="B292:B298" si="89">B291+D291</f>
        <v>880</v>
      </c>
      <c r="C292" s="7">
        <f t="shared" si="87"/>
        <v>880</v>
      </c>
      <c r="D292" s="23">
        <v>1</v>
      </c>
      <c r="E292" s="29" t="s">
        <v>351</v>
      </c>
      <c r="F292" s="24" t="s">
        <v>332</v>
      </c>
      <c r="G292" s="21" t="s">
        <v>352</v>
      </c>
    </row>
    <row r="293" spans="1:7" ht="63.75" x14ac:dyDescent="0.2">
      <c r="A293" s="9" t="s">
        <v>289</v>
      </c>
      <c r="B293" s="23">
        <f>B292+D292</f>
        <v>881</v>
      </c>
      <c r="C293" s="7">
        <f t="shared" ref="C293" si="90">B293+D293-1</f>
        <v>883</v>
      </c>
      <c r="D293" s="23">
        <v>3</v>
      </c>
      <c r="E293" s="29" t="s">
        <v>312</v>
      </c>
      <c r="F293" s="24" t="s">
        <v>298</v>
      </c>
      <c r="G293" s="21" t="s">
        <v>313</v>
      </c>
    </row>
    <row r="294" spans="1:7" ht="51" x14ac:dyDescent="0.2">
      <c r="A294" s="9" t="s">
        <v>289</v>
      </c>
      <c r="B294" s="23">
        <f>B293+D293</f>
        <v>884</v>
      </c>
      <c r="C294" s="7">
        <f t="shared" si="87"/>
        <v>887</v>
      </c>
      <c r="D294" s="23">
        <v>4</v>
      </c>
      <c r="E294" s="29" t="s">
        <v>65</v>
      </c>
      <c r="F294" s="21" t="s">
        <v>212</v>
      </c>
      <c r="G294" s="21" t="s">
        <v>224</v>
      </c>
    </row>
    <row r="295" spans="1:7" ht="51" x14ac:dyDescent="0.2">
      <c r="A295" s="9" t="s">
        <v>289</v>
      </c>
      <c r="B295" s="23">
        <f t="shared" si="89"/>
        <v>888</v>
      </c>
      <c r="C295" s="7">
        <f t="shared" si="87"/>
        <v>888</v>
      </c>
      <c r="D295" s="23">
        <v>1</v>
      </c>
      <c r="E295" s="29" t="s">
        <v>353</v>
      </c>
      <c r="F295" s="24" t="s">
        <v>332</v>
      </c>
      <c r="G295" s="21" t="s">
        <v>354</v>
      </c>
    </row>
    <row r="296" spans="1:7" ht="63.75" x14ac:dyDescent="0.2">
      <c r="A296" s="9" t="s">
        <v>289</v>
      </c>
      <c r="B296" s="23">
        <f>B295+D295</f>
        <v>889</v>
      </c>
      <c r="C296" s="7">
        <f t="shared" ref="C296" si="91">B296+D296-1</f>
        <v>891</v>
      </c>
      <c r="D296" s="23">
        <v>3</v>
      </c>
      <c r="E296" s="29" t="s">
        <v>314</v>
      </c>
      <c r="F296" s="24" t="s">
        <v>298</v>
      </c>
      <c r="G296" s="21" t="s">
        <v>315</v>
      </c>
    </row>
    <row r="297" spans="1:7" ht="51" x14ac:dyDescent="0.2">
      <c r="A297" s="9" t="s">
        <v>289</v>
      </c>
      <c r="B297" s="23">
        <f>B296+D296</f>
        <v>892</v>
      </c>
      <c r="C297" s="7">
        <f t="shared" si="87"/>
        <v>895</v>
      </c>
      <c r="D297" s="23">
        <v>4</v>
      </c>
      <c r="E297" s="29" t="s">
        <v>66</v>
      </c>
      <c r="F297" s="21" t="s">
        <v>212</v>
      </c>
      <c r="G297" s="21" t="s">
        <v>225</v>
      </c>
    </row>
    <row r="298" spans="1:7" ht="51" x14ac:dyDescent="0.2">
      <c r="A298" s="9" t="s">
        <v>289</v>
      </c>
      <c r="B298" s="23">
        <f t="shared" si="89"/>
        <v>896</v>
      </c>
      <c r="C298" s="7">
        <f t="shared" si="87"/>
        <v>896</v>
      </c>
      <c r="D298" s="23">
        <v>1</v>
      </c>
      <c r="E298" s="29" t="s">
        <v>355</v>
      </c>
      <c r="F298" s="24" t="s">
        <v>332</v>
      </c>
      <c r="G298" s="21" t="s">
        <v>356</v>
      </c>
    </row>
    <row r="299" spans="1:7" ht="65.25" customHeight="1" x14ac:dyDescent="0.2">
      <c r="A299" s="9" t="s">
        <v>289</v>
      </c>
      <c r="B299" s="23">
        <f>B298+D298</f>
        <v>897</v>
      </c>
      <c r="C299" s="7">
        <f t="shared" ref="C299" si="92">B299+D299-1</f>
        <v>899</v>
      </c>
      <c r="D299" s="23">
        <v>3</v>
      </c>
      <c r="E299" s="29" t="s">
        <v>316</v>
      </c>
      <c r="F299" s="24" t="s">
        <v>298</v>
      </c>
      <c r="G299" s="21" t="s">
        <v>317</v>
      </c>
    </row>
    <row r="300" spans="1:7" x14ac:dyDescent="0.2">
      <c r="B300" s="23">
        <f>B299+D299</f>
        <v>900</v>
      </c>
      <c r="C300" s="7">
        <f t="shared" si="87"/>
        <v>935</v>
      </c>
      <c r="D300" s="23">
        <v>36</v>
      </c>
      <c r="E300" s="29" t="s">
        <v>76</v>
      </c>
    </row>
    <row r="301" spans="1:7" x14ac:dyDescent="0.2">
      <c r="E301" s="31" t="s">
        <v>67</v>
      </c>
    </row>
    <row r="302" spans="1:7" ht="63.75" x14ac:dyDescent="0.2">
      <c r="A302" s="9" t="s">
        <v>289</v>
      </c>
      <c r="B302" s="23">
        <f>B300+D300</f>
        <v>936</v>
      </c>
      <c r="C302" s="7">
        <f t="shared" ref="C302:C304" si="93">B302+D302-1</f>
        <v>940</v>
      </c>
      <c r="D302" s="23">
        <v>5</v>
      </c>
      <c r="E302" s="4" t="s">
        <v>68</v>
      </c>
      <c r="F302" s="43" t="s">
        <v>207</v>
      </c>
      <c r="G302" s="43" t="s">
        <v>227</v>
      </c>
    </row>
    <row r="303" spans="1:7" ht="63.75" x14ac:dyDescent="0.2">
      <c r="A303" s="9" t="s">
        <v>290</v>
      </c>
      <c r="B303" s="23">
        <f t="shared" ref="B303" si="94">B302+D302</f>
        <v>941</v>
      </c>
      <c r="C303" s="7">
        <f t="shared" si="93"/>
        <v>943</v>
      </c>
      <c r="D303" s="23">
        <v>3</v>
      </c>
      <c r="E303" s="4" t="s">
        <v>69</v>
      </c>
      <c r="F303" s="43" t="s">
        <v>226</v>
      </c>
      <c r="G303" s="43" t="s">
        <v>228</v>
      </c>
    </row>
    <row r="304" spans="1:7" ht="114.75" x14ac:dyDescent="0.2">
      <c r="A304" s="9" t="s">
        <v>291</v>
      </c>
      <c r="B304" s="23">
        <f t="shared" ref="B304" si="95">B303+D303</f>
        <v>944</v>
      </c>
      <c r="C304" s="7">
        <f t="shared" si="93"/>
        <v>946</v>
      </c>
      <c r="D304" s="23">
        <v>3</v>
      </c>
      <c r="E304" s="4" t="s">
        <v>70</v>
      </c>
      <c r="F304" s="43" t="s">
        <v>209</v>
      </c>
      <c r="G304" s="42" t="s">
        <v>229</v>
      </c>
    </row>
    <row r="305" spans="1:7" x14ac:dyDescent="0.2">
      <c r="E305" s="28" t="s">
        <v>52</v>
      </c>
    </row>
    <row r="306" spans="1:7" ht="51" x14ac:dyDescent="0.2">
      <c r="A306" s="9" t="s">
        <v>289</v>
      </c>
      <c r="B306" s="23">
        <f>B304+D304</f>
        <v>947</v>
      </c>
      <c r="C306" s="7">
        <f t="shared" ref="C306:C316" si="96">B306+D306-1</f>
        <v>950</v>
      </c>
      <c r="D306" s="14">
        <v>4</v>
      </c>
      <c r="E306" s="4" t="s">
        <v>71</v>
      </c>
      <c r="F306" s="43" t="s">
        <v>212</v>
      </c>
      <c r="G306" s="43" t="s">
        <v>230</v>
      </c>
    </row>
    <row r="307" spans="1:7" ht="63.75" x14ac:dyDescent="0.2">
      <c r="A307" s="9" t="s">
        <v>289</v>
      </c>
      <c r="B307" s="23">
        <f t="shared" ref="B307:B316" si="97">B306+D306</f>
        <v>951</v>
      </c>
      <c r="C307" s="7">
        <f t="shared" si="96"/>
        <v>953</v>
      </c>
      <c r="D307" s="23">
        <v>3</v>
      </c>
      <c r="E307" s="29" t="s">
        <v>320</v>
      </c>
      <c r="F307" s="24" t="s">
        <v>298</v>
      </c>
      <c r="G307" s="21" t="s">
        <v>322</v>
      </c>
    </row>
    <row r="308" spans="1:7" ht="51" x14ac:dyDescent="0.2">
      <c r="A308" s="9" t="s">
        <v>289</v>
      </c>
      <c r="B308" s="23">
        <f t="shared" si="97"/>
        <v>954</v>
      </c>
      <c r="C308" s="7">
        <f t="shared" si="96"/>
        <v>957</v>
      </c>
      <c r="D308" s="14">
        <v>4</v>
      </c>
      <c r="E308" s="4" t="s">
        <v>72</v>
      </c>
      <c r="F308" s="43" t="s">
        <v>212</v>
      </c>
      <c r="G308" s="43" t="s">
        <v>230</v>
      </c>
    </row>
    <row r="309" spans="1:7" ht="63.75" x14ac:dyDescent="0.2">
      <c r="A309" s="9" t="s">
        <v>289</v>
      </c>
      <c r="B309" s="23">
        <f t="shared" si="97"/>
        <v>958</v>
      </c>
      <c r="C309" s="7">
        <f t="shared" ref="C309" si="98">B309+D309-1</f>
        <v>960</v>
      </c>
      <c r="D309" s="23">
        <v>3</v>
      </c>
      <c r="E309" s="29" t="s">
        <v>321</v>
      </c>
      <c r="F309" s="24" t="s">
        <v>298</v>
      </c>
      <c r="G309" s="21" t="s">
        <v>323</v>
      </c>
    </row>
    <row r="310" spans="1:7" ht="51" x14ac:dyDescent="0.2">
      <c r="A310" s="9" t="s">
        <v>289</v>
      </c>
      <c r="B310" s="23">
        <f t="shared" si="97"/>
        <v>961</v>
      </c>
      <c r="C310" s="7">
        <f t="shared" si="96"/>
        <v>964</v>
      </c>
      <c r="D310" s="14">
        <v>4</v>
      </c>
      <c r="E310" s="4" t="s">
        <v>73</v>
      </c>
      <c r="F310" s="43" t="s">
        <v>212</v>
      </c>
      <c r="G310" s="43" t="s">
        <v>230</v>
      </c>
    </row>
    <row r="311" spans="1:7" ht="63.75" x14ac:dyDescent="0.2">
      <c r="A311" s="9" t="s">
        <v>289</v>
      </c>
      <c r="B311" s="23">
        <f t="shared" si="97"/>
        <v>965</v>
      </c>
      <c r="C311" s="7">
        <f t="shared" si="96"/>
        <v>967</v>
      </c>
      <c r="D311" s="23">
        <v>3</v>
      </c>
      <c r="E311" s="29" t="s">
        <v>324</v>
      </c>
      <c r="F311" s="24" t="s">
        <v>298</v>
      </c>
      <c r="G311" s="21" t="s">
        <v>325</v>
      </c>
    </row>
    <row r="312" spans="1:7" ht="51" x14ac:dyDescent="0.2">
      <c r="A312" s="9" t="s">
        <v>289</v>
      </c>
      <c r="B312" s="23">
        <f t="shared" si="97"/>
        <v>968</v>
      </c>
      <c r="C312" s="7">
        <f t="shared" si="96"/>
        <v>971</v>
      </c>
      <c r="D312" s="14">
        <v>4</v>
      </c>
      <c r="E312" s="4" t="s">
        <v>74</v>
      </c>
      <c r="F312" s="43" t="s">
        <v>212</v>
      </c>
      <c r="G312" s="43" t="s">
        <v>230</v>
      </c>
    </row>
    <row r="313" spans="1:7" ht="63.75" x14ac:dyDescent="0.2">
      <c r="A313" s="9" t="s">
        <v>289</v>
      </c>
      <c r="B313" s="23">
        <f t="shared" si="97"/>
        <v>972</v>
      </c>
      <c r="C313" s="7">
        <f t="shared" si="96"/>
        <v>974</v>
      </c>
      <c r="D313" s="23">
        <v>3</v>
      </c>
      <c r="E313" s="29" t="s">
        <v>326</v>
      </c>
      <c r="F313" s="24" t="s">
        <v>298</v>
      </c>
      <c r="G313" s="21" t="s">
        <v>327</v>
      </c>
    </row>
    <row r="314" spans="1:7" ht="51" x14ac:dyDescent="0.2">
      <c r="A314" s="9" t="s">
        <v>289</v>
      </c>
      <c r="B314" s="23">
        <f t="shared" si="97"/>
        <v>975</v>
      </c>
      <c r="C314" s="7">
        <f t="shared" si="96"/>
        <v>978</v>
      </c>
      <c r="D314" s="14">
        <v>4</v>
      </c>
      <c r="E314" s="4" t="s">
        <v>75</v>
      </c>
      <c r="F314" s="43" t="s">
        <v>212</v>
      </c>
      <c r="G314" s="43" t="s">
        <v>230</v>
      </c>
    </row>
    <row r="315" spans="1:7" ht="63.75" x14ac:dyDescent="0.2">
      <c r="A315" s="9" t="s">
        <v>289</v>
      </c>
      <c r="B315" s="23">
        <f t="shared" si="97"/>
        <v>979</v>
      </c>
      <c r="C315" s="7">
        <f t="shared" ref="C315" si="99">B315+D315-1</f>
        <v>981</v>
      </c>
      <c r="D315" s="23">
        <v>3</v>
      </c>
      <c r="E315" s="29" t="s">
        <v>328</v>
      </c>
      <c r="F315" s="24" t="s">
        <v>298</v>
      </c>
      <c r="G315" s="21" t="s">
        <v>329</v>
      </c>
    </row>
    <row r="316" spans="1:7" x14ac:dyDescent="0.2">
      <c r="B316" s="23">
        <f t="shared" si="97"/>
        <v>982</v>
      </c>
      <c r="C316" s="7">
        <f t="shared" si="96"/>
        <v>1001</v>
      </c>
      <c r="D316" s="14">
        <v>20</v>
      </c>
      <c r="E316" s="30" t="s">
        <v>76</v>
      </c>
    </row>
    <row r="317" spans="1:7" x14ac:dyDescent="0.2">
      <c r="E317" s="28" t="s">
        <v>77</v>
      </c>
    </row>
    <row r="318" spans="1:7" ht="36" customHeight="1" x14ac:dyDescent="0.2">
      <c r="A318" s="9" t="s">
        <v>289</v>
      </c>
      <c r="B318" s="23">
        <f>B316+D316</f>
        <v>1002</v>
      </c>
      <c r="C318" s="7">
        <f t="shared" ref="C318:C320" si="100">B318+D318-1</f>
        <v>1005</v>
      </c>
      <c r="D318" s="14">
        <v>4</v>
      </c>
      <c r="E318" s="4" t="s">
        <v>78</v>
      </c>
      <c r="F318" s="57" t="s">
        <v>212</v>
      </c>
      <c r="G318" s="57" t="s">
        <v>231</v>
      </c>
    </row>
    <row r="319" spans="1:7" ht="36" customHeight="1" x14ac:dyDescent="0.2">
      <c r="A319" s="9" t="s">
        <v>289</v>
      </c>
      <c r="B319" s="23">
        <f t="shared" ref="B319" si="101">B318+D318</f>
        <v>1006</v>
      </c>
      <c r="C319" s="7">
        <f t="shared" si="100"/>
        <v>1009</v>
      </c>
      <c r="D319" s="14">
        <v>4</v>
      </c>
      <c r="E319" s="4" t="s">
        <v>79</v>
      </c>
      <c r="F319" s="57"/>
      <c r="G319" s="57"/>
    </row>
    <row r="320" spans="1:7" ht="36" customHeight="1" x14ac:dyDescent="0.2">
      <c r="A320" s="9" t="s">
        <v>289</v>
      </c>
      <c r="B320" s="23">
        <f t="shared" ref="B320" si="102">B319+D319</f>
        <v>1010</v>
      </c>
      <c r="C320" s="7">
        <f t="shared" si="100"/>
        <v>1013</v>
      </c>
      <c r="D320" s="14">
        <v>4</v>
      </c>
      <c r="E320" s="4" t="s">
        <v>171</v>
      </c>
      <c r="F320" s="57"/>
      <c r="G320" s="57"/>
    </row>
    <row r="321" spans="1:7" x14ac:dyDescent="0.2">
      <c r="E321" s="28" t="s">
        <v>80</v>
      </c>
    </row>
    <row r="322" spans="1:7" ht="51" x14ac:dyDescent="0.2">
      <c r="A322" s="9" t="s">
        <v>288</v>
      </c>
      <c r="B322" s="23">
        <f>B320+D320</f>
        <v>1014</v>
      </c>
      <c r="C322" s="7">
        <f t="shared" ref="C322:C323" si="103">B322+D322-1</f>
        <v>1016</v>
      </c>
      <c r="D322" s="14">
        <v>3</v>
      </c>
      <c r="E322" s="4" t="s">
        <v>81</v>
      </c>
      <c r="F322" s="42" t="s">
        <v>232</v>
      </c>
      <c r="G322" s="43" t="s">
        <v>233</v>
      </c>
    </row>
    <row r="323" spans="1:7" ht="63.75" x14ac:dyDescent="0.2">
      <c r="A323" s="9" t="s">
        <v>289</v>
      </c>
      <c r="B323" s="23">
        <f t="shared" ref="B323" si="104">B322+D322</f>
        <v>1017</v>
      </c>
      <c r="C323" s="7">
        <f t="shared" si="103"/>
        <v>1020</v>
      </c>
      <c r="D323" s="14">
        <v>4</v>
      </c>
      <c r="E323" s="4" t="s">
        <v>82</v>
      </c>
      <c r="F323" s="42" t="s">
        <v>212</v>
      </c>
      <c r="G323" s="42" t="s">
        <v>234</v>
      </c>
    </row>
    <row r="324" spans="1:7" x14ac:dyDescent="0.2">
      <c r="B324" s="23">
        <f>B323+D323</f>
        <v>1021</v>
      </c>
      <c r="C324" s="7">
        <f t="shared" ref="C324" si="105">B324+D324-1</f>
        <v>1056</v>
      </c>
      <c r="D324" s="14">
        <v>36</v>
      </c>
      <c r="E324" s="29" t="s">
        <v>76</v>
      </c>
    </row>
    <row r="325" spans="1:7" ht="25.5" x14ac:dyDescent="0.2">
      <c r="E325" s="31" t="s">
        <v>83</v>
      </c>
      <c r="G325" s="51" t="s">
        <v>296</v>
      </c>
    </row>
    <row r="326" spans="1:7" ht="63.75" x14ac:dyDescent="0.2">
      <c r="A326" s="9" t="s">
        <v>289</v>
      </c>
      <c r="B326" s="23">
        <f>B324+D324</f>
        <v>1057</v>
      </c>
      <c r="C326" s="7">
        <f t="shared" ref="C326:C328" si="106">B326+D326-1</f>
        <v>1061</v>
      </c>
      <c r="D326" s="14">
        <v>5</v>
      </c>
      <c r="E326" s="32" t="s">
        <v>84</v>
      </c>
      <c r="F326" s="43" t="s">
        <v>207</v>
      </c>
      <c r="G326" s="43" t="s">
        <v>381</v>
      </c>
    </row>
    <row r="327" spans="1:7" ht="63.75" x14ac:dyDescent="0.2">
      <c r="A327" s="9" t="s">
        <v>290</v>
      </c>
      <c r="B327" s="23">
        <f t="shared" ref="B327" si="107">B326+D326</f>
        <v>1062</v>
      </c>
      <c r="C327" s="7">
        <f t="shared" si="106"/>
        <v>1064</v>
      </c>
      <c r="D327" s="14">
        <v>3</v>
      </c>
      <c r="E327" s="32" t="s">
        <v>85</v>
      </c>
      <c r="F327" s="43" t="s">
        <v>226</v>
      </c>
      <c r="G327" s="43" t="s">
        <v>382</v>
      </c>
    </row>
    <row r="328" spans="1:7" ht="114.75" x14ac:dyDescent="0.2">
      <c r="A328" s="9" t="s">
        <v>291</v>
      </c>
      <c r="B328" s="23">
        <f t="shared" ref="B328" si="108">B327+D327</f>
        <v>1065</v>
      </c>
      <c r="C328" s="7">
        <f t="shared" si="106"/>
        <v>1067</v>
      </c>
      <c r="D328" s="14">
        <v>3</v>
      </c>
      <c r="E328" s="32" t="s">
        <v>86</v>
      </c>
      <c r="F328" s="43" t="s">
        <v>209</v>
      </c>
      <c r="G328" s="42" t="s">
        <v>383</v>
      </c>
    </row>
    <row r="329" spans="1:7" x14ac:dyDescent="0.2">
      <c r="E329" s="31" t="s">
        <v>87</v>
      </c>
    </row>
    <row r="330" spans="1:7" ht="51" x14ac:dyDescent="0.2">
      <c r="A330" s="9" t="s">
        <v>289</v>
      </c>
      <c r="B330" s="23">
        <f>B328+D328</f>
        <v>1068</v>
      </c>
      <c r="C330" s="7">
        <f t="shared" ref="C330:C342" si="109">B330+D330-1</f>
        <v>1071</v>
      </c>
      <c r="D330" s="14">
        <v>4</v>
      </c>
      <c r="E330" s="32" t="s">
        <v>88</v>
      </c>
      <c r="F330" s="43" t="s">
        <v>212</v>
      </c>
      <c r="G330" s="43" t="s">
        <v>388</v>
      </c>
    </row>
    <row r="331" spans="1:7" ht="63.75" x14ac:dyDescent="0.2">
      <c r="A331" s="9" t="s">
        <v>289</v>
      </c>
      <c r="B331" s="23">
        <f>B330+D330</f>
        <v>1072</v>
      </c>
      <c r="C331" s="7">
        <f t="shared" ref="C331:C332" si="110">B331+D331-1</f>
        <v>1074</v>
      </c>
      <c r="D331" s="14">
        <v>3</v>
      </c>
      <c r="E331" s="32" t="s">
        <v>384</v>
      </c>
      <c r="F331" s="24" t="s">
        <v>298</v>
      </c>
      <c r="G331" s="21" t="s">
        <v>392</v>
      </c>
    </row>
    <row r="332" spans="1:7" ht="51" x14ac:dyDescent="0.2">
      <c r="A332" s="9" t="s">
        <v>289</v>
      </c>
      <c r="B332" s="23">
        <f>B331+D331</f>
        <v>1075</v>
      </c>
      <c r="C332" s="7">
        <f t="shared" si="110"/>
        <v>1075</v>
      </c>
      <c r="D332" s="23">
        <v>1</v>
      </c>
      <c r="E332" s="29" t="s">
        <v>426</v>
      </c>
      <c r="F332" s="24" t="s">
        <v>332</v>
      </c>
      <c r="G332" s="21" t="s">
        <v>428</v>
      </c>
    </row>
    <row r="333" spans="1:7" ht="51" x14ac:dyDescent="0.2">
      <c r="A333" s="9" t="s">
        <v>289</v>
      </c>
      <c r="B333" s="23">
        <f>B332+D332</f>
        <v>1076</v>
      </c>
      <c r="C333" s="7">
        <f t="shared" ref="C333:C341" si="111">B333+D333-1</f>
        <v>1079</v>
      </c>
      <c r="D333" s="14">
        <v>4</v>
      </c>
      <c r="E333" s="32" t="s">
        <v>89</v>
      </c>
      <c r="F333" s="43" t="s">
        <v>212</v>
      </c>
      <c r="G333" s="43" t="s">
        <v>388</v>
      </c>
    </row>
    <row r="334" spans="1:7" ht="63.75" x14ac:dyDescent="0.2">
      <c r="A334" s="9" t="s">
        <v>289</v>
      </c>
      <c r="B334" s="23">
        <f t="shared" ref="B334:B340" si="112">B333+D333</f>
        <v>1080</v>
      </c>
      <c r="C334" s="7">
        <f t="shared" si="111"/>
        <v>1082</v>
      </c>
      <c r="D334" s="14">
        <v>3</v>
      </c>
      <c r="E334" s="32" t="s">
        <v>385</v>
      </c>
      <c r="F334" s="24" t="s">
        <v>298</v>
      </c>
      <c r="G334" s="21" t="s">
        <v>391</v>
      </c>
    </row>
    <row r="335" spans="1:7" ht="51" x14ac:dyDescent="0.2">
      <c r="A335" s="9" t="s">
        <v>289</v>
      </c>
      <c r="B335" s="23">
        <f>B334+D334</f>
        <v>1083</v>
      </c>
      <c r="C335" s="7">
        <f t="shared" si="111"/>
        <v>1083</v>
      </c>
      <c r="D335" s="23">
        <v>1</v>
      </c>
      <c r="E335" s="29" t="s">
        <v>427</v>
      </c>
      <c r="F335" s="24" t="s">
        <v>332</v>
      </c>
      <c r="G335" s="21" t="s">
        <v>429</v>
      </c>
    </row>
    <row r="336" spans="1:7" ht="51" x14ac:dyDescent="0.2">
      <c r="A336" s="9" t="s">
        <v>289</v>
      </c>
      <c r="B336" s="23">
        <f>B335+D335</f>
        <v>1084</v>
      </c>
      <c r="C336" s="7">
        <f t="shared" si="111"/>
        <v>1087</v>
      </c>
      <c r="D336" s="14">
        <v>4</v>
      </c>
      <c r="E336" s="32" t="s">
        <v>90</v>
      </c>
      <c r="F336" s="43" t="s">
        <v>212</v>
      </c>
      <c r="G336" s="43" t="s">
        <v>388</v>
      </c>
    </row>
    <row r="337" spans="1:7" ht="63.75" x14ac:dyDescent="0.2">
      <c r="A337" s="9" t="s">
        <v>289</v>
      </c>
      <c r="B337" s="23">
        <f t="shared" si="112"/>
        <v>1088</v>
      </c>
      <c r="C337" s="7">
        <f t="shared" si="111"/>
        <v>1090</v>
      </c>
      <c r="D337" s="14">
        <v>3</v>
      </c>
      <c r="E337" s="32" t="s">
        <v>386</v>
      </c>
      <c r="F337" s="24" t="s">
        <v>298</v>
      </c>
      <c r="G337" s="21" t="s">
        <v>390</v>
      </c>
    </row>
    <row r="338" spans="1:7" ht="51" x14ac:dyDescent="0.2">
      <c r="A338" s="9" t="s">
        <v>289</v>
      </c>
      <c r="B338" s="23">
        <f>B337+D337</f>
        <v>1091</v>
      </c>
      <c r="C338" s="7">
        <f t="shared" si="111"/>
        <v>1091</v>
      </c>
      <c r="D338" s="23">
        <v>1</v>
      </c>
      <c r="E338" s="29" t="s">
        <v>431</v>
      </c>
      <c r="F338" s="24" t="s">
        <v>332</v>
      </c>
      <c r="G338" s="21" t="s">
        <v>430</v>
      </c>
    </row>
    <row r="339" spans="1:7" ht="51" x14ac:dyDescent="0.2">
      <c r="A339" s="9" t="s">
        <v>289</v>
      </c>
      <c r="B339" s="23">
        <f>B338+D338</f>
        <v>1092</v>
      </c>
      <c r="C339" s="7">
        <f t="shared" si="111"/>
        <v>1095</v>
      </c>
      <c r="D339" s="14">
        <v>4</v>
      </c>
      <c r="E339" s="32" t="s">
        <v>91</v>
      </c>
      <c r="F339" s="43" t="s">
        <v>212</v>
      </c>
      <c r="G339" s="43" t="s">
        <v>388</v>
      </c>
    </row>
    <row r="340" spans="1:7" ht="63.75" x14ac:dyDescent="0.2">
      <c r="A340" s="9" t="s">
        <v>289</v>
      </c>
      <c r="B340" s="23">
        <f t="shared" si="112"/>
        <v>1096</v>
      </c>
      <c r="C340" s="7">
        <f t="shared" si="111"/>
        <v>1098</v>
      </c>
      <c r="D340" s="14">
        <v>3</v>
      </c>
      <c r="E340" s="32" t="s">
        <v>387</v>
      </c>
      <c r="F340" s="24" t="s">
        <v>298</v>
      </c>
      <c r="G340" s="21" t="s">
        <v>389</v>
      </c>
    </row>
    <row r="341" spans="1:7" ht="51" x14ac:dyDescent="0.2">
      <c r="A341" s="9" t="s">
        <v>289</v>
      </c>
      <c r="B341" s="23">
        <f>B340+D340</f>
        <v>1099</v>
      </c>
      <c r="C341" s="7">
        <f t="shared" si="111"/>
        <v>1099</v>
      </c>
      <c r="D341" s="23">
        <v>1</v>
      </c>
      <c r="E341" s="29" t="s">
        <v>432</v>
      </c>
      <c r="F341" s="24" t="s">
        <v>332</v>
      </c>
      <c r="G341" s="21" t="s">
        <v>433</v>
      </c>
    </row>
    <row r="342" spans="1:7" x14ac:dyDescent="0.2">
      <c r="B342" s="23">
        <f>B341+D341</f>
        <v>1100</v>
      </c>
      <c r="C342" s="7">
        <f t="shared" si="109"/>
        <v>1169</v>
      </c>
      <c r="D342" s="14">
        <v>70</v>
      </c>
      <c r="E342" s="32" t="s">
        <v>76</v>
      </c>
      <c r="F342" s="43"/>
      <c r="G342" s="43"/>
    </row>
    <row r="343" spans="1:7" x14ac:dyDescent="0.2">
      <c r="E343" s="31" t="s">
        <v>95</v>
      </c>
    </row>
    <row r="344" spans="1:7" x14ac:dyDescent="0.2">
      <c r="E344" s="31" t="s">
        <v>96</v>
      </c>
    </row>
    <row r="345" spans="1:7" ht="30" customHeight="1" x14ac:dyDescent="0.2">
      <c r="A345" s="12" t="s">
        <v>288</v>
      </c>
      <c r="B345" s="23">
        <f>B342+D342</f>
        <v>1170</v>
      </c>
      <c r="C345" s="7">
        <f t="shared" ref="C345:C348" si="113">B345+D345-1</f>
        <v>1170</v>
      </c>
      <c r="D345" s="14">
        <v>1</v>
      </c>
      <c r="E345" s="32" t="s">
        <v>97</v>
      </c>
      <c r="F345" s="55" t="s">
        <v>235</v>
      </c>
      <c r="G345" s="55" t="s">
        <v>445</v>
      </c>
    </row>
    <row r="346" spans="1:7" ht="25.5" customHeight="1" x14ac:dyDescent="0.2">
      <c r="A346" s="12" t="s">
        <v>288</v>
      </c>
      <c r="B346" s="23">
        <f>B345+D345</f>
        <v>1171</v>
      </c>
      <c r="C346" s="7">
        <f t="shared" si="113"/>
        <v>1171</v>
      </c>
      <c r="D346" s="14">
        <v>1</v>
      </c>
      <c r="E346" s="32" t="s">
        <v>98</v>
      </c>
      <c r="F346" s="63"/>
      <c r="G346" s="55"/>
    </row>
    <row r="347" spans="1:7" ht="24.75" customHeight="1" x14ac:dyDescent="0.2">
      <c r="A347" s="12" t="s">
        <v>288</v>
      </c>
      <c r="B347" s="23">
        <f t="shared" ref="B347:B348" si="114">B346+D346</f>
        <v>1172</v>
      </c>
      <c r="C347" s="7">
        <f t="shared" si="113"/>
        <v>1172</v>
      </c>
      <c r="D347" s="14">
        <v>1</v>
      </c>
      <c r="E347" s="32" t="s">
        <v>99</v>
      </c>
      <c r="F347" s="63"/>
      <c r="G347" s="55"/>
    </row>
    <row r="348" spans="1:7" ht="27" customHeight="1" x14ac:dyDescent="0.2">
      <c r="A348" s="12" t="s">
        <v>288</v>
      </c>
      <c r="B348" s="23">
        <f t="shared" si="114"/>
        <v>1173</v>
      </c>
      <c r="C348" s="7">
        <f t="shared" si="113"/>
        <v>1173</v>
      </c>
      <c r="D348" s="14">
        <v>1</v>
      </c>
      <c r="E348" s="32" t="s">
        <v>100</v>
      </c>
      <c r="F348" s="63"/>
      <c r="G348" s="55"/>
    </row>
    <row r="349" spans="1:7" x14ac:dyDescent="0.2">
      <c r="E349" s="31" t="s">
        <v>101</v>
      </c>
    </row>
    <row r="350" spans="1:7" ht="32.25" customHeight="1" x14ac:dyDescent="0.2">
      <c r="A350" s="12" t="s">
        <v>288</v>
      </c>
      <c r="B350" s="23">
        <f>B348+D348</f>
        <v>1174</v>
      </c>
      <c r="C350" s="7">
        <f t="shared" ref="C350:C353" si="115">B350+D350-1</f>
        <v>1174</v>
      </c>
      <c r="D350" s="14">
        <v>1</v>
      </c>
      <c r="E350" s="32" t="s">
        <v>102</v>
      </c>
      <c r="F350" s="55" t="s">
        <v>236</v>
      </c>
      <c r="G350" s="55" t="s">
        <v>446</v>
      </c>
    </row>
    <row r="351" spans="1:7" ht="33" customHeight="1" x14ac:dyDescent="0.2">
      <c r="A351" s="12" t="s">
        <v>288</v>
      </c>
      <c r="B351" s="23">
        <f t="shared" ref="B351" si="116">B350+D350</f>
        <v>1175</v>
      </c>
      <c r="C351" s="7">
        <f t="shared" si="115"/>
        <v>1175</v>
      </c>
      <c r="D351" s="14">
        <v>1</v>
      </c>
      <c r="E351" s="32" t="s">
        <v>103</v>
      </c>
      <c r="F351" s="63"/>
      <c r="G351" s="55"/>
    </row>
    <row r="352" spans="1:7" ht="36.75" customHeight="1" x14ac:dyDescent="0.2">
      <c r="A352" s="12" t="s">
        <v>288</v>
      </c>
      <c r="B352" s="23">
        <f t="shared" ref="B352:B353" si="117">B351+D351</f>
        <v>1176</v>
      </c>
      <c r="C352" s="7">
        <f t="shared" si="115"/>
        <v>1176</v>
      </c>
      <c r="D352" s="14">
        <v>1</v>
      </c>
      <c r="E352" s="32" t="s">
        <v>104</v>
      </c>
      <c r="F352" s="63"/>
      <c r="G352" s="55"/>
    </row>
    <row r="353" spans="1:7" ht="33" customHeight="1" x14ac:dyDescent="0.2">
      <c r="A353" s="12" t="s">
        <v>288</v>
      </c>
      <c r="B353" s="23">
        <f t="shared" si="117"/>
        <v>1177</v>
      </c>
      <c r="C353" s="7">
        <f t="shared" si="115"/>
        <v>1177</v>
      </c>
      <c r="D353" s="14">
        <v>1</v>
      </c>
      <c r="E353" s="32" t="s">
        <v>105</v>
      </c>
      <c r="F353" s="63"/>
      <c r="G353" s="55"/>
    </row>
    <row r="354" spans="1:7" ht="15.75" customHeight="1" x14ac:dyDescent="0.2">
      <c r="B354" s="23">
        <f>B353+D353</f>
        <v>1178</v>
      </c>
      <c r="C354" s="7">
        <f t="shared" ref="C354" si="118">B354+D354-1</f>
        <v>1181</v>
      </c>
      <c r="D354" s="14">
        <v>4</v>
      </c>
      <c r="E354" s="27" t="s">
        <v>76</v>
      </c>
      <c r="F354" s="52"/>
      <c r="G354" s="52"/>
    </row>
    <row r="355" spans="1:7" x14ac:dyDescent="0.2">
      <c r="E355" s="31" t="s">
        <v>106</v>
      </c>
    </row>
    <row r="356" spans="1:7" ht="25.5" customHeight="1" x14ac:dyDescent="0.2">
      <c r="A356" s="9" t="s">
        <v>289</v>
      </c>
      <c r="B356" s="23">
        <f>B354+D354</f>
        <v>1182</v>
      </c>
      <c r="C356" s="7">
        <f t="shared" ref="C356:C360" si="119">B356+D356-1</f>
        <v>1182</v>
      </c>
      <c r="D356" s="14">
        <v>1</v>
      </c>
      <c r="E356" s="32" t="s">
        <v>107</v>
      </c>
      <c r="F356" s="55" t="s">
        <v>237</v>
      </c>
      <c r="G356" s="57" t="s">
        <v>447</v>
      </c>
    </row>
    <row r="357" spans="1:7" ht="21" customHeight="1" x14ac:dyDescent="0.2">
      <c r="A357" s="9" t="s">
        <v>289</v>
      </c>
      <c r="B357" s="23">
        <f t="shared" ref="B357" si="120">B356+D356</f>
        <v>1183</v>
      </c>
      <c r="C357" s="7">
        <f t="shared" si="119"/>
        <v>1183</v>
      </c>
      <c r="D357" s="14">
        <v>1</v>
      </c>
      <c r="E357" s="32" t="s">
        <v>108</v>
      </c>
      <c r="F357" s="63"/>
      <c r="G357" s="57"/>
    </row>
    <row r="358" spans="1:7" ht="19.5" customHeight="1" x14ac:dyDescent="0.2">
      <c r="A358" s="9" t="s">
        <v>289</v>
      </c>
      <c r="B358" s="23">
        <f t="shared" ref="B358:B360" si="121">B357+D357</f>
        <v>1184</v>
      </c>
      <c r="C358" s="7">
        <f t="shared" si="119"/>
        <v>1184</v>
      </c>
      <c r="D358" s="14">
        <v>1</v>
      </c>
      <c r="E358" s="32" t="s">
        <v>109</v>
      </c>
      <c r="F358" s="63"/>
      <c r="G358" s="57"/>
    </row>
    <row r="359" spans="1:7" ht="19.5" customHeight="1" x14ac:dyDescent="0.2">
      <c r="A359" s="9" t="s">
        <v>289</v>
      </c>
      <c r="B359" s="23">
        <f t="shared" si="121"/>
        <v>1185</v>
      </c>
      <c r="C359" s="7">
        <f t="shared" si="119"/>
        <v>1185</v>
      </c>
      <c r="D359" s="14">
        <v>1</v>
      </c>
      <c r="E359" s="32" t="s">
        <v>110</v>
      </c>
      <c r="F359" s="63"/>
      <c r="G359" s="57"/>
    </row>
    <row r="360" spans="1:7" x14ac:dyDescent="0.2">
      <c r="B360" s="23">
        <f t="shared" si="121"/>
        <v>1186</v>
      </c>
      <c r="C360" s="7">
        <f t="shared" si="119"/>
        <v>1205</v>
      </c>
      <c r="D360" s="23">
        <v>20</v>
      </c>
      <c r="E360" s="32" t="s">
        <v>76</v>
      </c>
    </row>
    <row r="361" spans="1:7" x14ac:dyDescent="0.2">
      <c r="E361" s="31" t="s">
        <v>111</v>
      </c>
    </row>
    <row r="362" spans="1:7" x14ac:dyDescent="0.2">
      <c r="E362" s="31" t="s">
        <v>112</v>
      </c>
    </row>
    <row r="363" spans="1:7" ht="56.25" customHeight="1" x14ac:dyDescent="0.2">
      <c r="B363" s="23">
        <f>B360+D360</f>
        <v>1206</v>
      </c>
      <c r="C363" s="7">
        <f t="shared" ref="C363:C366" si="122">B363+D363-1</f>
        <v>1206</v>
      </c>
      <c r="D363" s="23">
        <v>1</v>
      </c>
      <c r="E363" s="32" t="s">
        <v>113</v>
      </c>
      <c r="F363" s="55" t="s">
        <v>449</v>
      </c>
      <c r="G363" s="55" t="s">
        <v>448</v>
      </c>
    </row>
    <row r="364" spans="1:7" ht="56.25" customHeight="1" x14ac:dyDescent="0.2">
      <c r="B364" s="23">
        <f t="shared" ref="B364" si="123">B363+D363</f>
        <v>1207</v>
      </c>
      <c r="C364" s="7">
        <f t="shared" si="122"/>
        <v>1207</v>
      </c>
      <c r="D364" s="23">
        <v>1</v>
      </c>
      <c r="E364" s="32" t="s">
        <v>114</v>
      </c>
      <c r="F364" s="63"/>
      <c r="G364" s="55"/>
    </row>
    <row r="365" spans="1:7" ht="56.25" customHeight="1" x14ac:dyDescent="0.2">
      <c r="B365" s="23">
        <f t="shared" ref="B365:B366" si="124">B364+D364</f>
        <v>1208</v>
      </c>
      <c r="C365" s="7">
        <f t="shared" si="122"/>
        <v>1208</v>
      </c>
      <c r="D365" s="23">
        <v>1</v>
      </c>
      <c r="E365" s="32" t="s">
        <v>115</v>
      </c>
      <c r="F365" s="63"/>
      <c r="G365" s="55"/>
    </row>
    <row r="366" spans="1:7" ht="69.75" customHeight="1" x14ac:dyDescent="0.2">
      <c r="B366" s="23">
        <f t="shared" si="124"/>
        <v>1209</v>
      </c>
      <c r="C366" s="7">
        <f t="shared" si="122"/>
        <v>1209</v>
      </c>
      <c r="D366" s="23">
        <v>1</v>
      </c>
      <c r="E366" s="32" t="s">
        <v>116</v>
      </c>
      <c r="F366" s="63"/>
      <c r="G366" s="55"/>
    </row>
    <row r="367" spans="1:7" x14ac:dyDescent="0.2">
      <c r="B367" s="23">
        <f>B366+D366</f>
        <v>1210</v>
      </c>
      <c r="C367" s="7">
        <f t="shared" ref="C367" si="125">B367+D367-1</f>
        <v>1227</v>
      </c>
      <c r="D367" s="23">
        <v>18</v>
      </c>
      <c r="E367" s="32" t="s">
        <v>76</v>
      </c>
    </row>
    <row r="368" spans="1:7" x14ac:dyDescent="0.2">
      <c r="E368" s="31" t="s">
        <v>142</v>
      </c>
    </row>
    <row r="369" spans="1:7" ht="27.75" customHeight="1" x14ac:dyDescent="0.2">
      <c r="A369" s="9" t="s">
        <v>286</v>
      </c>
      <c r="B369" s="23">
        <f>B367+D367</f>
        <v>1228</v>
      </c>
      <c r="C369" s="7">
        <f t="shared" ref="C369:C377" si="126">B369+D369-1</f>
        <v>1229</v>
      </c>
      <c r="D369" s="23">
        <v>2</v>
      </c>
      <c r="E369" s="29" t="s">
        <v>143</v>
      </c>
      <c r="F369" s="56" t="s">
        <v>253</v>
      </c>
      <c r="G369" s="64" t="s">
        <v>450</v>
      </c>
    </row>
    <row r="370" spans="1:7" ht="25.5" customHeight="1" x14ac:dyDescent="0.2">
      <c r="A370" s="9" t="s">
        <v>286</v>
      </c>
      <c r="B370" s="23">
        <f t="shared" ref="B370" si="127">B369+D369</f>
        <v>1230</v>
      </c>
      <c r="C370" s="7">
        <f t="shared" si="126"/>
        <v>1231</v>
      </c>
      <c r="D370" s="23">
        <v>2</v>
      </c>
      <c r="E370" s="29" t="s">
        <v>144</v>
      </c>
      <c r="F370" s="56"/>
      <c r="G370" s="64"/>
    </row>
    <row r="371" spans="1:7" ht="26.25" customHeight="1" x14ac:dyDescent="0.2">
      <c r="A371" s="9" t="s">
        <v>286</v>
      </c>
      <c r="B371" s="23">
        <f t="shared" ref="B371:B377" si="128">B370+D370</f>
        <v>1232</v>
      </c>
      <c r="C371" s="7">
        <f t="shared" si="126"/>
        <v>1233</v>
      </c>
      <c r="D371" s="23">
        <v>2</v>
      </c>
      <c r="E371" s="29" t="s">
        <v>145</v>
      </c>
      <c r="F371" s="56"/>
      <c r="G371" s="64"/>
    </row>
    <row r="372" spans="1:7" ht="21" customHeight="1" x14ac:dyDescent="0.2">
      <c r="A372" s="9" t="s">
        <v>286</v>
      </c>
      <c r="B372" s="23">
        <f t="shared" si="128"/>
        <v>1234</v>
      </c>
      <c r="C372" s="7">
        <f t="shared" si="126"/>
        <v>1235</v>
      </c>
      <c r="D372" s="23">
        <v>2</v>
      </c>
      <c r="E372" s="29" t="s">
        <v>146</v>
      </c>
      <c r="F372" s="56"/>
      <c r="G372" s="64"/>
    </row>
    <row r="373" spans="1:7" ht="29.25" customHeight="1" x14ac:dyDescent="0.2">
      <c r="A373" s="9" t="s">
        <v>291</v>
      </c>
      <c r="B373" s="23">
        <f t="shared" si="128"/>
        <v>1236</v>
      </c>
      <c r="C373" s="7">
        <f t="shared" si="126"/>
        <v>1238</v>
      </c>
      <c r="D373" s="23">
        <v>3</v>
      </c>
      <c r="E373" s="29" t="s">
        <v>147</v>
      </c>
      <c r="F373" s="56" t="s">
        <v>254</v>
      </c>
      <c r="G373" s="56" t="s">
        <v>451</v>
      </c>
    </row>
    <row r="374" spans="1:7" ht="30" customHeight="1" x14ac:dyDescent="0.2">
      <c r="A374" s="9" t="s">
        <v>291</v>
      </c>
      <c r="B374" s="23">
        <f t="shared" si="128"/>
        <v>1239</v>
      </c>
      <c r="C374" s="7">
        <f t="shared" si="126"/>
        <v>1241</v>
      </c>
      <c r="D374" s="23">
        <v>3</v>
      </c>
      <c r="E374" s="29" t="s">
        <v>148</v>
      </c>
      <c r="F374" s="56"/>
      <c r="G374" s="56"/>
    </row>
    <row r="375" spans="1:7" ht="31.5" customHeight="1" x14ac:dyDescent="0.2">
      <c r="A375" s="9" t="s">
        <v>291</v>
      </c>
      <c r="B375" s="23">
        <f t="shared" si="128"/>
        <v>1242</v>
      </c>
      <c r="C375" s="7">
        <f t="shared" si="126"/>
        <v>1244</v>
      </c>
      <c r="D375" s="23">
        <v>3</v>
      </c>
      <c r="E375" s="29" t="s">
        <v>149</v>
      </c>
      <c r="F375" s="56"/>
      <c r="G375" s="56"/>
    </row>
    <row r="376" spans="1:7" ht="36.75" customHeight="1" x14ac:dyDescent="0.2">
      <c r="A376" s="9" t="s">
        <v>291</v>
      </c>
      <c r="B376" s="23">
        <f t="shared" si="128"/>
        <v>1245</v>
      </c>
      <c r="C376" s="7">
        <f t="shared" si="126"/>
        <v>1247</v>
      </c>
      <c r="D376" s="23">
        <v>3</v>
      </c>
      <c r="E376" s="29" t="s">
        <v>150</v>
      </c>
      <c r="F376" s="56"/>
      <c r="G376" s="56"/>
    </row>
    <row r="377" spans="1:7" x14ac:dyDescent="0.2">
      <c r="B377" s="23">
        <f t="shared" si="128"/>
        <v>1248</v>
      </c>
      <c r="C377" s="7">
        <f t="shared" si="126"/>
        <v>1273</v>
      </c>
      <c r="D377" s="23">
        <v>26</v>
      </c>
      <c r="E377" s="29" t="s">
        <v>76</v>
      </c>
    </row>
    <row r="378" spans="1:7" x14ac:dyDescent="0.2">
      <c r="C378" s="7"/>
      <c r="E378" s="33" t="s">
        <v>393</v>
      </c>
    </row>
    <row r="379" spans="1:7" ht="12.75" customHeight="1" x14ac:dyDescent="0.2">
      <c r="B379" s="23">
        <f>B377+D377</f>
        <v>1274</v>
      </c>
      <c r="C379" s="7">
        <f t="shared" ref="C379" si="129">B379+D379-1</f>
        <v>1274</v>
      </c>
      <c r="D379" s="23">
        <v>1</v>
      </c>
      <c r="E379" s="4" t="s">
        <v>394</v>
      </c>
      <c r="F379" s="55" t="s">
        <v>370</v>
      </c>
      <c r="G379" s="55" t="s">
        <v>398</v>
      </c>
    </row>
    <row r="380" spans="1:7" x14ac:dyDescent="0.2">
      <c r="B380" s="23">
        <f t="shared" ref="B380:B382" si="130">B379+D379</f>
        <v>1275</v>
      </c>
      <c r="C380" s="7">
        <f t="shared" ref="C380:C382" si="131">B380+D380-1</f>
        <v>1275</v>
      </c>
      <c r="D380" s="23">
        <v>1</v>
      </c>
      <c r="E380" s="4" t="s">
        <v>395</v>
      </c>
      <c r="F380" s="55"/>
      <c r="G380" s="55"/>
    </row>
    <row r="381" spans="1:7" x14ac:dyDescent="0.2">
      <c r="B381" s="23">
        <f t="shared" si="130"/>
        <v>1276</v>
      </c>
      <c r="C381" s="7">
        <f t="shared" si="131"/>
        <v>1276</v>
      </c>
      <c r="D381" s="23">
        <v>1</v>
      </c>
      <c r="E381" s="4" t="s">
        <v>396</v>
      </c>
      <c r="F381" s="55"/>
      <c r="G381" s="55"/>
    </row>
    <row r="382" spans="1:7" x14ac:dyDescent="0.2">
      <c r="B382" s="23">
        <f t="shared" si="130"/>
        <v>1277</v>
      </c>
      <c r="C382" s="7">
        <f t="shared" si="131"/>
        <v>1277</v>
      </c>
      <c r="D382" s="23">
        <v>1</v>
      </c>
      <c r="E382" s="4" t="s">
        <v>397</v>
      </c>
      <c r="F382" s="55"/>
      <c r="G382" s="55"/>
    </row>
    <row r="383" spans="1:7" x14ac:dyDescent="0.2">
      <c r="E383" s="33" t="s">
        <v>179</v>
      </c>
    </row>
    <row r="384" spans="1:7" ht="63.75" x14ac:dyDescent="0.2">
      <c r="B384" s="23">
        <f>B382+D382</f>
        <v>1278</v>
      </c>
      <c r="C384" s="7">
        <f t="shared" ref="C384:C388" si="132">B384+D384-1</f>
        <v>1283</v>
      </c>
      <c r="D384" s="23">
        <v>6</v>
      </c>
      <c r="E384" s="29" t="s">
        <v>158</v>
      </c>
      <c r="F384" s="44" t="s">
        <v>258</v>
      </c>
      <c r="G384" s="44" t="s">
        <v>259</v>
      </c>
    </row>
    <row r="385" spans="1:7" ht="24.75" customHeight="1" x14ac:dyDescent="0.2">
      <c r="B385" s="23">
        <f t="shared" ref="B385" si="133">B384+D384</f>
        <v>1284</v>
      </c>
      <c r="C385" s="7">
        <f t="shared" si="132"/>
        <v>1289</v>
      </c>
      <c r="D385" s="23">
        <v>6</v>
      </c>
      <c r="E385" s="29" t="s">
        <v>154</v>
      </c>
      <c r="F385" s="56" t="s">
        <v>260</v>
      </c>
      <c r="G385" s="56" t="s">
        <v>452</v>
      </c>
    </row>
    <row r="386" spans="1:7" ht="22.5" customHeight="1" x14ac:dyDescent="0.2">
      <c r="B386" s="23">
        <f t="shared" ref="B386:B388" si="134">B385+D385</f>
        <v>1290</v>
      </c>
      <c r="C386" s="7">
        <f t="shared" si="132"/>
        <v>1295</v>
      </c>
      <c r="D386" s="23">
        <v>6</v>
      </c>
      <c r="E386" s="29" t="s">
        <v>155</v>
      </c>
      <c r="F386" s="56"/>
      <c r="G386" s="56"/>
    </row>
    <row r="387" spans="1:7" ht="23.25" customHeight="1" x14ac:dyDescent="0.2">
      <c r="B387" s="23">
        <f t="shared" si="134"/>
        <v>1296</v>
      </c>
      <c r="C387" s="7">
        <f t="shared" si="132"/>
        <v>1301</v>
      </c>
      <c r="D387" s="23">
        <v>6</v>
      </c>
      <c r="E387" s="29" t="s">
        <v>156</v>
      </c>
      <c r="F387" s="56"/>
      <c r="G387" s="56"/>
    </row>
    <row r="388" spans="1:7" ht="22.5" customHeight="1" x14ac:dyDescent="0.2">
      <c r="B388" s="23">
        <f t="shared" si="134"/>
        <v>1302</v>
      </c>
      <c r="C388" s="7">
        <f t="shared" si="132"/>
        <v>1307</v>
      </c>
      <c r="D388" s="23">
        <v>6</v>
      </c>
      <c r="E388" s="29" t="s">
        <v>157</v>
      </c>
      <c r="F388" s="56"/>
      <c r="G388" s="56"/>
    </row>
    <row r="389" spans="1:7" ht="28.5" customHeight="1" x14ac:dyDescent="0.2">
      <c r="B389" s="23">
        <f>B388+D388</f>
        <v>1308</v>
      </c>
      <c r="C389" s="7">
        <f t="shared" ref="C389" si="135">B389+D389-1</f>
        <v>1311</v>
      </c>
      <c r="D389" s="23">
        <v>4</v>
      </c>
      <c r="E389" s="27" t="s">
        <v>76</v>
      </c>
      <c r="F389" s="41"/>
      <c r="G389" s="41"/>
    </row>
    <row r="390" spans="1:7" x14ac:dyDescent="0.2">
      <c r="E390" s="31" t="s">
        <v>138</v>
      </c>
    </row>
    <row r="391" spans="1:7" ht="191.25" x14ac:dyDescent="0.2">
      <c r="B391" s="23">
        <f>B389+D389</f>
        <v>1312</v>
      </c>
      <c r="C391" s="7">
        <f t="shared" ref="C391:C394" si="136">B391+D391-1</f>
        <v>1313</v>
      </c>
      <c r="D391" s="23">
        <v>2</v>
      </c>
      <c r="E391" s="4" t="s">
        <v>139</v>
      </c>
      <c r="F391" s="44" t="s">
        <v>248</v>
      </c>
      <c r="G391" s="44" t="s">
        <v>249</v>
      </c>
    </row>
    <row r="392" spans="1:7" ht="38.25" x14ac:dyDescent="0.2">
      <c r="B392" s="23">
        <f t="shared" ref="B392" si="137">B391+D391</f>
        <v>1314</v>
      </c>
      <c r="C392" s="7">
        <f t="shared" si="136"/>
        <v>1314</v>
      </c>
      <c r="D392" s="23">
        <v>1</v>
      </c>
      <c r="E392" s="32" t="s">
        <v>140</v>
      </c>
      <c r="F392" s="44" t="s">
        <v>250</v>
      </c>
      <c r="G392" s="44" t="s">
        <v>251</v>
      </c>
    </row>
    <row r="393" spans="1:7" ht="89.25" x14ac:dyDescent="0.2">
      <c r="B393" s="23">
        <f t="shared" ref="B393:B394" si="138">B392+D392</f>
        <v>1315</v>
      </c>
      <c r="C393" s="7">
        <f t="shared" si="136"/>
        <v>1315</v>
      </c>
      <c r="D393" s="23">
        <v>1</v>
      </c>
      <c r="E393" s="32" t="s">
        <v>141</v>
      </c>
      <c r="F393" s="13" t="s">
        <v>252</v>
      </c>
      <c r="G393" s="44" t="s">
        <v>443</v>
      </c>
    </row>
    <row r="394" spans="1:7" x14ac:dyDescent="0.2">
      <c r="B394" s="23">
        <f t="shared" si="138"/>
        <v>1316</v>
      </c>
      <c r="C394" s="7">
        <f t="shared" si="136"/>
        <v>1511</v>
      </c>
      <c r="D394" s="23">
        <v>196</v>
      </c>
      <c r="E394" s="32" t="s">
        <v>76</v>
      </c>
    </row>
    <row r="395" spans="1:7" x14ac:dyDescent="0.2">
      <c r="E395" s="31" t="s">
        <v>164</v>
      </c>
    </row>
    <row r="396" spans="1:7" ht="25.5" x14ac:dyDescent="0.2">
      <c r="A396" s="9" t="s">
        <v>284</v>
      </c>
      <c r="B396" s="23">
        <f>B394+D394</f>
        <v>1512</v>
      </c>
      <c r="C396" s="7">
        <f t="shared" ref="C396:C405" si="139">B396+D396-1</f>
        <v>1512</v>
      </c>
      <c r="D396" s="23">
        <v>1</v>
      </c>
      <c r="E396" s="4" t="s">
        <v>165</v>
      </c>
      <c r="F396" s="42" t="s">
        <v>199</v>
      </c>
      <c r="G396" s="42" t="s">
        <v>261</v>
      </c>
    </row>
    <row r="397" spans="1:7" ht="25.5" x14ac:dyDescent="0.2">
      <c r="B397" s="23">
        <f t="shared" ref="B397" si="140">B396+D396</f>
        <v>1513</v>
      </c>
      <c r="C397" s="7">
        <f t="shared" si="139"/>
        <v>1513</v>
      </c>
      <c r="D397" s="23">
        <v>1</v>
      </c>
      <c r="E397" s="4" t="s">
        <v>166</v>
      </c>
      <c r="F397" s="42" t="s">
        <v>199</v>
      </c>
      <c r="G397" s="42" t="s">
        <v>262</v>
      </c>
    </row>
    <row r="398" spans="1:7" ht="25.5" x14ac:dyDescent="0.2">
      <c r="B398" s="23">
        <f t="shared" ref="B398:B405" si="141">B397+D397</f>
        <v>1514</v>
      </c>
      <c r="C398" s="7">
        <f t="shared" si="139"/>
        <v>1514</v>
      </c>
      <c r="D398" s="23">
        <v>1</v>
      </c>
      <c r="E398" s="4" t="s">
        <v>167</v>
      </c>
      <c r="F398" s="42" t="s">
        <v>199</v>
      </c>
      <c r="G398" s="42" t="s">
        <v>263</v>
      </c>
    </row>
    <row r="399" spans="1:7" ht="25.5" x14ac:dyDescent="0.2">
      <c r="B399" s="23">
        <f t="shared" si="141"/>
        <v>1515</v>
      </c>
      <c r="C399" s="7">
        <f t="shared" si="139"/>
        <v>1515</v>
      </c>
      <c r="D399" s="23">
        <v>1</v>
      </c>
      <c r="E399" s="4" t="s">
        <v>168</v>
      </c>
      <c r="F399" s="42" t="s">
        <v>199</v>
      </c>
      <c r="G399" s="42" t="s">
        <v>264</v>
      </c>
    </row>
    <row r="400" spans="1:7" x14ac:dyDescent="0.2">
      <c r="B400" s="23">
        <f t="shared" si="141"/>
        <v>1516</v>
      </c>
      <c r="C400" s="7">
        <f t="shared" si="139"/>
        <v>1516</v>
      </c>
      <c r="D400" s="23">
        <v>1</v>
      </c>
      <c r="E400" s="27" t="s">
        <v>76</v>
      </c>
      <c r="F400" s="42"/>
      <c r="G400" s="42"/>
    </row>
    <row r="401" spans="2:7" ht="25.5" x14ac:dyDescent="0.2">
      <c r="B401" s="23">
        <f t="shared" si="141"/>
        <v>1517</v>
      </c>
      <c r="C401" s="7">
        <f t="shared" si="139"/>
        <v>1517</v>
      </c>
      <c r="D401" s="23">
        <v>1</v>
      </c>
      <c r="E401" s="4" t="s">
        <v>169</v>
      </c>
      <c r="F401" s="42" t="s">
        <v>199</v>
      </c>
      <c r="G401" s="42" t="s">
        <v>265</v>
      </c>
    </row>
    <row r="402" spans="2:7" x14ac:dyDescent="0.2">
      <c r="B402" s="23">
        <f t="shared" si="141"/>
        <v>1518</v>
      </c>
      <c r="C402" s="7">
        <f t="shared" si="139"/>
        <v>1518</v>
      </c>
      <c r="D402" s="23">
        <v>1</v>
      </c>
      <c r="E402" s="27" t="s">
        <v>76</v>
      </c>
      <c r="F402" s="42"/>
      <c r="G402" s="42"/>
    </row>
    <row r="403" spans="2:7" ht="38.25" x14ac:dyDescent="0.2">
      <c r="B403" s="23">
        <f t="shared" si="141"/>
        <v>1519</v>
      </c>
      <c r="C403" s="7">
        <f t="shared" si="139"/>
        <v>1524</v>
      </c>
      <c r="D403" s="23">
        <v>6</v>
      </c>
      <c r="E403" s="4" t="s">
        <v>278</v>
      </c>
      <c r="F403" s="21" t="s">
        <v>273</v>
      </c>
      <c r="G403" s="21" t="s">
        <v>274</v>
      </c>
    </row>
    <row r="404" spans="2:7" x14ac:dyDescent="0.2">
      <c r="B404" s="23">
        <f>B403+D403</f>
        <v>1525</v>
      </c>
      <c r="C404" s="7">
        <f t="shared" si="139"/>
        <v>1526</v>
      </c>
      <c r="D404" s="23">
        <v>2</v>
      </c>
      <c r="E404" s="27" t="s">
        <v>76</v>
      </c>
      <c r="F404" s="42"/>
      <c r="G404" s="42"/>
    </row>
    <row r="405" spans="2:7" ht="25.5" x14ac:dyDescent="0.2">
      <c r="B405" s="23">
        <f t="shared" si="141"/>
        <v>1527</v>
      </c>
      <c r="C405" s="7">
        <f t="shared" si="139"/>
        <v>1527</v>
      </c>
      <c r="D405" s="23">
        <v>1</v>
      </c>
      <c r="E405" s="4" t="s">
        <v>170</v>
      </c>
      <c r="F405" s="42" t="s">
        <v>199</v>
      </c>
      <c r="G405" s="42" t="s">
        <v>266</v>
      </c>
    </row>
    <row r="406" spans="2:7" x14ac:dyDescent="0.2">
      <c r="B406" s="23">
        <f>B405+D405</f>
        <v>1528</v>
      </c>
      <c r="C406" s="7">
        <f t="shared" ref="C406" si="142">B406+D406-1</f>
        <v>1560</v>
      </c>
      <c r="D406" s="23">
        <v>33</v>
      </c>
      <c r="E406" s="32" t="s">
        <v>76</v>
      </c>
    </row>
    <row r="407" spans="2:7" x14ac:dyDescent="0.2">
      <c r="E407" s="31" t="s">
        <v>172</v>
      </c>
    </row>
    <row r="408" spans="2:7" x14ac:dyDescent="0.2">
      <c r="E408" s="31" t="s">
        <v>173</v>
      </c>
    </row>
    <row r="409" spans="2:7" ht="63.75" x14ac:dyDescent="0.2">
      <c r="B409" s="23">
        <f>B406+D406</f>
        <v>1561</v>
      </c>
      <c r="C409" s="7">
        <f t="shared" ref="C409:C410" si="143">B409+D409-1</f>
        <v>1563</v>
      </c>
      <c r="D409" s="23">
        <v>3</v>
      </c>
      <c r="E409" s="32" t="s">
        <v>282</v>
      </c>
      <c r="F409" s="44" t="s">
        <v>267</v>
      </c>
      <c r="G409" s="44" t="s">
        <v>268</v>
      </c>
    </row>
    <row r="410" spans="2:7" x14ac:dyDescent="0.2">
      <c r="B410" s="23">
        <f>B409+D409</f>
        <v>1564</v>
      </c>
      <c r="C410" s="7">
        <f t="shared" si="143"/>
        <v>1603</v>
      </c>
      <c r="D410" s="23">
        <v>40</v>
      </c>
      <c r="E410" s="27" t="s">
        <v>76</v>
      </c>
    </row>
    <row r="411" spans="2:7" x14ac:dyDescent="0.2">
      <c r="E411" s="31" t="s">
        <v>174</v>
      </c>
    </row>
    <row r="412" spans="2:7" ht="63.75" x14ac:dyDescent="0.2">
      <c r="B412" s="23">
        <f>B410+D410</f>
        <v>1604</v>
      </c>
      <c r="C412" s="7">
        <f t="shared" ref="C412:C413" si="144">B412+D412-1</f>
        <v>1606</v>
      </c>
      <c r="D412" s="23">
        <v>3</v>
      </c>
      <c r="E412" s="32" t="s">
        <v>281</v>
      </c>
      <c r="F412" s="44" t="s">
        <v>267</v>
      </c>
      <c r="G412" s="44" t="s">
        <v>279</v>
      </c>
    </row>
    <row r="413" spans="2:7" x14ac:dyDescent="0.2">
      <c r="B413" s="23">
        <f t="shared" ref="B413" si="145">B412+D412</f>
        <v>1607</v>
      </c>
      <c r="C413" s="7">
        <f t="shared" si="144"/>
        <v>1646</v>
      </c>
      <c r="D413" s="23">
        <v>40</v>
      </c>
      <c r="E413" s="27" t="s">
        <v>76</v>
      </c>
    </row>
    <row r="414" spans="2:7" x14ac:dyDescent="0.2">
      <c r="E414" s="31" t="s">
        <v>175</v>
      </c>
    </row>
    <row r="415" spans="2:7" ht="63.75" x14ac:dyDescent="0.2">
      <c r="B415" s="23">
        <f>B413+D413</f>
        <v>1647</v>
      </c>
      <c r="C415" s="7">
        <f t="shared" ref="C415:C416" si="146">B415+D415-1</f>
        <v>1649</v>
      </c>
      <c r="D415" s="23">
        <v>3</v>
      </c>
      <c r="E415" s="32" t="s">
        <v>283</v>
      </c>
      <c r="F415" s="44" t="s">
        <v>267</v>
      </c>
      <c r="G415" s="44" t="s">
        <v>206</v>
      </c>
    </row>
    <row r="416" spans="2:7" x14ac:dyDescent="0.2">
      <c r="B416" s="23">
        <f t="shared" ref="B416" si="147">B415+D415</f>
        <v>1650</v>
      </c>
      <c r="C416" s="7">
        <f t="shared" si="146"/>
        <v>1689</v>
      </c>
      <c r="D416" s="23">
        <v>40</v>
      </c>
      <c r="E416" s="27" t="s">
        <v>76</v>
      </c>
    </row>
    <row r="417" spans="1:7" x14ac:dyDescent="0.2">
      <c r="E417" s="31" t="s">
        <v>176</v>
      </c>
      <c r="G417" s="51"/>
    </row>
    <row r="418" spans="1:7" ht="63.75" x14ac:dyDescent="0.2">
      <c r="B418" s="23">
        <f>B416+D416</f>
        <v>1690</v>
      </c>
      <c r="C418" s="7">
        <f t="shared" ref="C418" si="148">B418+D418-1</f>
        <v>1692</v>
      </c>
      <c r="D418" s="23">
        <v>3</v>
      </c>
      <c r="E418" s="32" t="s">
        <v>280</v>
      </c>
      <c r="F418" s="44" t="s">
        <v>267</v>
      </c>
      <c r="G418" s="44" t="s">
        <v>279</v>
      </c>
    </row>
    <row r="419" spans="1:7" x14ac:dyDescent="0.2">
      <c r="A419" s="48"/>
      <c r="B419" s="54">
        <f>B418+D418</f>
        <v>1693</v>
      </c>
      <c r="C419" s="54">
        <f t="shared" ref="C419" si="149">B419+D419-1</f>
        <v>2977</v>
      </c>
      <c r="D419" s="54">
        <v>1285</v>
      </c>
      <c r="E419" s="27" t="s">
        <v>76</v>
      </c>
      <c r="F419" s="40"/>
      <c r="G419" s="40"/>
    </row>
    <row r="420" spans="1:7" x14ac:dyDescent="0.2">
      <c r="B420" s="22">
        <f>B419+D419</f>
        <v>2978</v>
      </c>
      <c r="C420" s="7">
        <f t="shared" ref="C420" si="150">B420+D420-1</f>
        <v>2996</v>
      </c>
      <c r="D420" s="23">
        <v>19</v>
      </c>
      <c r="E420" s="4" t="s">
        <v>178</v>
      </c>
      <c r="F420" s="41" t="s">
        <v>180</v>
      </c>
      <c r="G420" s="44" t="s">
        <v>181</v>
      </c>
    </row>
    <row r="423" spans="1:7" x14ac:dyDescent="0.2">
      <c r="A423" s="49" t="s">
        <v>330</v>
      </c>
      <c r="C423" s="50">
        <f>C420</f>
        <v>2996</v>
      </c>
    </row>
  </sheetData>
  <autoFilter ref="A2:G420"/>
  <mergeCells count="59">
    <mergeCell ref="G237:G240"/>
    <mergeCell ref="F218:F228"/>
    <mergeCell ref="G218:G228"/>
    <mergeCell ref="F369:F372"/>
    <mergeCell ref="G369:G372"/>
    <mergeCell ref="F373:F376"/>
    <mergeCell ref="G373:G376"/>
    <mergeCell ref="F244:F247"/>
    <mergeCell ref="G244:G247"/>
    <mergeCell ref="F318:F320"/>
    <mergeCell ref="G318:G320"/>
    <mergeCell ref="G120:G132"/>
    <mergeCell ref="F363:F366"/>
    <mergeCell ref="G363:G366"/>
    <mergeCell ref="F356:F359"/>
    <mergeCell ref="G356:G359"/>
    <mergeCell ref="F345:F348"/>
    <mergeCell ref="G345:G348"/>
    <mergeCell ref="F350:F353"/>
    <mergeCell ref="G350:G353"/>
    <mergeCell ref="G181:G191"/>
    <mergeCell ref="G194:G199"/>
    <mergeCell ref="G202:G212"/>
    <mergeCell ref="F181:F191"/>
    <mergeCell ref="F194:F199"/>
    <mergeCell ref="F202:F212"/>
    <mergeCell ref="F237:F240"/>
    <mergeCell ref="F161:F171"/>
    <mergeCell ref="A1:E1"/>
    <mergeCell ref="F1:G1"/>
    <mergeCell ref="G7:G8"/>
    <mergeCell ref="G14:G16"/>
    <mergeCell ref="G20:G21"/>
    <mergeCell ref="F47:F51"/>
    <mergeCell ref="G47:G51"/>
    <mergeCell ref="G161:G171"/>
    <mergeCell ref="F140:F150"/>
    <mergeCell ref="G140:G150"/>
    <mergeCell ref="F105:F113"/>
    <mergeCell ref="G105:G113"/>
    <mergeCell ref="F116:F117"/>
    <mergeCell ref="G116:G117"/>
    <mergeCell ref="F120:F132"/>
    <mergeCell ref="F379:F382"/>
    <mergeCell ref="G379:G382"/>
    <mergeCell ref="F385:F388"/>
    <mergeCell ref="G385:G388"/>
    <mergeCell ref="G37:G44"/>
    <mergeCell ref="F37:F44"/>
    <mergeCell ref="F54:F61"/>
    <mergeCell ref="G54:G61"/>
    <mergeCell ref="F97:F102"/>
    <mergeCell ref="G97:G102"/>
    <mergeCell ref="F86:F94"/>
    <mergeCell ref="G86:G94"/>
    <mergeCell ref="F67:F77"/>
    <mergeCell ref="G67:G77"/>
    <mergeCell ref="F153:F158"/>
    <mergeCell ref="G153:G158"/>
  </mergeCells>
  <printOptions gridLines="1"/>
  <pageMargins left="0.7" right="0.7" top="0.49657738095238102" bottom="0.75" header="0.3" footer="0.3"/>
  <pageSetup scale="48" fitToHeight="0" orientation="landscape" r:id="rId1"/>
  <headerFooter>
    <oddHeader>&amp;RLayout provided by Data Recognition Corporation - Proprietary and Confidential</oddHeader>
    <oddFooter>&amp;LK = Key Verification     E = Equating      M = Merge      C = Corrections&amp;CPage &amp;P of &amp;N&amp;RLast Saved Date: 7/21/2017 4:28:59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8"/>
  <sheetViews>
    <sheetView zoomScaleNormal="100" workbookViewId="0">
      <selection sqref="A1:C1"/>
    </sheetView>
  </sheetViews>
  <sheetFormatPr defaultRowHeight="15" x14ac:dyDescent="0.25"/>
  <cols>
    <col min="1" max="1" width="10.7109375" bestFit="1" customWidth="1"/>
    <col min="2" max="2" width="64.7109375" style="19" customWidth="1"/>
    <col min="3" max="3" width="20.5703125" customWidth="1"/>
  </cols>
  <sheetData>
    <row r="1" spans="1:3" x14ac:dyDescent="0.25">
      <c r="A1" s="65" t="s">
        <v>292</v>
      </c>
      <c r="B1" s="65"/>
      <c r="C1" s="65"/>
    </row>
    <row r="2" spans="1:3" ht="25.5" x14ac:dyDescent="0.25">
      <c r="A2" s="16" t="s">
        <v>293</v>
      </c>
      <c r="B2" s="18" t="s">
        <v>294</v>
      </c>
      <c r="C2" s="17" t="s">
        <v>295</v>
      </c>
    </row>
    <row r="3" spans="1:3" ht="51.75" x14ac:dyDescent="0.25">
      <c r="A3" s="34">
        <v>42506</v>
      </c>
      <c r="B3" s="35" t="s">
        <v>357</v>
      </c>
      <c r="C3" s="36" t="s">
        <v>360</v>
      </c>
    </row>
    <row r="4" spans="1:3" ht="26.25" x14ac:dyDescent="0.25">
      <c r="A4" s="34">
        <v>42506</v>
      </c>
      <c r="B4" s="35" t="s">
        <v>358</v>
      </c>
      <c r="C4" s="36" t="s">
        <v>360</v>
      </c>
    </row>
    <row r="5" spans="1:3" ht="26.25" x14ac:dyDescent="0.25">
      <c r="A5" s="34">
        <v>42506</v>
      </c>
      <c r="B5" s="35" t="s">
        <v>359</v>
      </c>
      <c r="C5" s="36" t="s">
        <v>360</v>
      </c>
    </row>
    <row r="6" spans="1:3" ht="26.25" x14ac:dyDescent="0.25">
      <c r="A6" s="34">
        <v>42538</v>
      </c>
      <c r="B6" s="35" t="s">
        <v>361</v>
      </c>
      <c r="C6" s="36" t="s">
        <v>360</v>
      </c>
    </row>
    <row r="7" spans="1:3" x14ac:dyDescent="0.25">
      <c r="A7" s="34">
        <v>42593</v>
      </c>
      <c r="B7" s="35" t="s">
        <v>368</v>
      </c>
      <c r="C7" s="36" t="s">
        <v>369</v>
      </c>
    </row>
    <row r="8" spans="1:3" ht="39" x14ac:dyDescent="0.25">
      <c r="A8" s="34">
        <v>42797</v>
      </c>
      <c r="B8" s="35" t="s">
        <v>399</v>
      </c>
      <c r="C8" s="36" t="s">
        <v>360</v>
      </c>
    </row>
    <row r="9" spans="1:3" ht="26.25" x14ac:dyDescent="0.25">
      <c r="A9" s="34">
        <v>42797</v>
      </c>
      <c r="B9" s="35" t="s">
        <v>400</v>
      </c>
      <c r="C9" s="36" t="s">
        <v>360</v>
      </c>
    </row>
    <row r="10" spans="1:3" ht="26.25" x14ac:dyDescent="0.25">
      <c r="A10" s="34">
        <v>42797</v>
      </c>
      <c r="B10" s="35" t="s">
        <v>401</v>
      </c>
      <c r="C10" s="36" t="s">
        <v>360</v>
      </c>
    </row>
    <row r="11" spans="1:3" ht="39" x14ac:dyDescent="0.25">
      <c r="A11" s="34">
        <v>42797</v>
      </c>
      <c r="B11" s="35" t="s">
        <v>402</v>
      </c>
      <c r="C11" s="36" t="s">
        <v>360</v>
      </c>
    </row>
    <row r="12" spans="1:3" ht="115.5" x14ac:dyDescent="0.25">
      <c r="A12" s="34">
        <v>42797</v>
      </c>
      <c r="B12" s="35" t="s">
        <v>403</v>
      </c>
      <c r="C12" s="36" t="s">
        <v>360</v>
      </c>
    </row>
    <row r="13" spans="1:3" ht="77.25" x14ac:dyDescent="0.25">
      <c r="A13" s="34">
        <v>42797</v>
      </c>
      <c r="B13" s="35" t="s">
        <v>404</v>
      </c>
      <c r="C13" s="36" t="s">
        <v>360</v>
      </c>
    </row>
    <row r="14" spans="1:3" ht="26.25" x14ac:dyDescent="0.25">
      <c r="A14" s="34">
        <v>42797</v>
      </c>
      <c r="B14" s="35" t="s">
        <v>405</v>
      </c>
      <c r="C14" s="36" t="s">
        <v>360</v>
      </c>
    </row>
    <row r="15" spans="1:3" ht="115.5" x14ac:dyDescent="0.25">
      <c r="A15" s="34">
        <v>42797</v>
      </c>
      <c r="B15" s="35" t="s">
        <v>406</v>
      </c>
      <c r="C15" s="36" t="s">
        <v>360</v>
      </c>
    </row>
    <row r="16" spans="1:3" ht="115.5" x14ac:dyDescent="0.25">
      <c r="A16" s="34">
        <v>42797</v>
      </c>
      <c r="B16" s="35" t="s">
        <v>407</v>
      </c>
      <c r="C16" s="36" t="s">
        <v>360</v>
      </c>
    </row>
    <row r="17" spans="1:3" ht="64.5" x14ac:dyDescent="0.25">
      <c r="A17" s="34">
        <v>42797</v>
      </c>
      <c r="B17" s="35" t="s">
        <v>408</v>
      </c>
      <c r="C17" s="36" t="s">
        <v>360</v>
      </c>
    </row>
    <row r="18" spans="1:3" ht="77.25" x14ac:dyDescent="0.25">
      <c r="A18" s="34">
        <v>42797</v>
      </c>
      <c r="B18" s="35" t="s">
        <v>409</v>
      </c>
      <c r="C18" s="36" t="s">
        <v>360</v>
      </c>
    </row>
    <row r="19" spans="1:3" ht="115.5" x14ac:dyDescent="0.25">
      <c r="A19" s="34">
        <v>42797</v>
      </c>
      <c r="B19" s="35" t="s">
        <v>410</v>
      </c>
      <c r="C19" s="36" t="s">
        <v>360</v>
      </c>
    </row>
    <row r="20" spans="1:3" ht="26.25" x14ac:dyDescent="0.25">
      <c r="A20" s="34">
        <v>42797</v>
      </c>
      <c r="B20" s="35" t="s">
        <v>411</v>
      </c>
      <c r="C20" s="36" t="s">
        <v>360</v>
      </c>
    </row>
    <row r="21" spans="1:3" ht="51.75" x14ac:dyDescent="0.25">
      <c r="A21" s="34">
        <v>42797</v>
      </c>
      <c r="B21" s="35" t="s">
        <v>412</v>
      </c>
      <c r="C21" s="36" t="s">
        <v>360</v>
      </c>
    </row>
    <row r="22" spans="1:3" ht="294" x14ac:dyDescent="0.25">
      <c r="A22" s="34">
        <v>42797</v>
      </c>
      <c r="B22" s="35" t="s">
        <v>413</v>
      </c>
      <c r="C22" s="36" t="s">
        <v>360</v>
      </c>
    </row>
    <row r="23" spans="1:3" ht="26.25" x14ac:dyDescent="0.25">
      <c r="A23" s="34">
        <v>42797</v>
      </c>
      <c r="B23" s="35" t="s">
        <v>414</v>
      </c>
      <c r="C23" s="36" t="s">
        <v>360</v>
      </c>
    </row>
    <row r="24" spans="1:3" ht="102.75" x14ac:dyDescent="0.25">
      <c r="A24" s="34">
        <v>42797</v>
      </c>
      <c r="B24" s="35" t="s">
        <v>415</v>
      </c>
      <c r="C24" s="36" t="s">
        <v>360</v>
      </c>
    </row>
    <row r="25" spans="1:3" ht="26.25" x14ac:dyDescent="0.25">
      <c r="A25" s="34">
        <v>42797</v>
      </c>
      <c r="B25" s="35" t="s">
        <v>416</v>
      </c>
      <c r="C25" s="36" t="s">
        <v>360</v>
      </c>
    </row>
    <row r="26" spans="1:3" ht="39" x14ac:dyDescent="0.25">
      <c r="A26" s="34">
        <v>42797</v>
      </c>
      <c r="B26" s="35" t="s">
        <v>417</v>
      </c>
      <c r="C26" s="36" t="s">
        <v>360</v>
      </c>
    </row>
    <row r="27" spans="1:3" ht="26.25" x14ac:dyDescent="0.25">
      <c r="A27" s="34">
        <v>42797</v>
      </c>
      <c r="B27" s="35" t="s">
        <v>418</v>
      </c>
      <c r="C27" s="36" t="s">
        <v>360</v>
      </c>
    </row>
    <row r="28" spans="1:3" ht="26.25" x14ac:dyDescent="0.25">
      <c r="A28" s="34">
        <v>42797</v>
      </c>
      <c r="B28" s="35" t="s">
        <v>419</v>
      </c>
      <c r="C28" s="36" t="s">
        <v>360</v>
      </c>
    </row>
    <row r="29" spans="1:3" ht="26.25" x14ac:dyDescent="0.25">
      <c r="A29" s="34">
        <v>42797</v>
      </c>
      <c r="B29" s="35" t="s">
        <v>420</v>
      </c>
      <c r="C29" s="36" t="s">
        <v>360</v>
      </c>
    </row>
    <row r="30" spans="1:3" ht="39" x14ac:dyDescent="0.25">
      <c r="A30" s="34">
        <v>42797</v>
      </c>
      <c r="B30" s="35" t="s">
        <v>421</v>
      </c>
      <c r="C30" s="36" t="s">
        <v>360</v>
      </c>
    </row>
    <row r="31" spans="1:3" x14ac:dyDescent="0.25">
      <c r="A31" s="34">
        <v>42797</v>
      </c>
      <c r="B31" s="35" t="s">
        <v>422</v>
      </c>
      <c r="C31" s="36" t="s">
        <v>360</v>
      </c>
    </row>
    <row r="32" spans="1:3" x14ac:dyDescent="0.25">
      <c r="A32" s="34">
        <v>42797</v>
      </c>
      <c r="B32" s="35" t="s">
        <v>423</v>
      </c>
      <c r="C32" s="36" t="s">
        <v>360</v>
      </c>
    </row>
    <row r="33" spans="1:3" x14ac:dyDescent="0.25">
      <c r="A33" s="34">
        <v>42797</v>
      </c>
      <c r="B33" s="35" t="s">
        <v>424</v>
      </c>
      <c r="C33" s="36" t="s">
        <v>360</v>
      </c>
    </row>
    <row r="34" spans="1:3" x14ac:dyDescent="0.25">
      <c r="A34" s="34">
        <v>42797</v>
      </c>
      <c r="B34" s="35" t="s">
        <v>425</v>
      </c>
      <c r="C34" s="36" t="s">
        <v>360</v>
      </c>
    </row>
    <row r="35" spans="1:3" ht="102.75" x14ac:dyDescent="0.25">
      <c r="A35" s="34">
        <v>42838</v>
      </c>
      <c r="B35" s="35" t="s">
        <v>434</v>
      </c>
      <c r="C35" s="36" t="s">
        <v>360</v>
      </c>
    </row>
    <row r="36" spans="1:3" ht="51.75" x14ac:dyDescent="0.25">
      <c r="A36" s="34">
        <v>42838</v>
      </c>
      <c r="B36" s="35" t="s">
        <v>435</v>
      </c>
      <c r="C36" s="36" t="s">
        <v>360</v>
      </c>
    </row>
    <row r="37" spans="1:3" ht="64.5" x14ac:dyDescent="0.25">
      <c r="A37" s="34">
        <v>42838</v>
      </c>
      <c r="B37" s="35" t="s">
        <v>436</v>
      </c>
      <c r="C37" s="36" t="s">
        <v>360</v>
      </c>
    </row>
    <row r="38" spans="1:3" ht="30" x14ac:dyDescent="0.25">
      <c r="A38" s="37">
        <v>42851</v>
      </c>
      <c r="B38" s="38" t="s">
        <v>437</v>
      </c>
      <c r="C38" s="39" t="s">
        <v>360</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LDESTD</vt:lpstr>
      <vt:lpstr>Revision Log</vt:lpstr>
    </vt:vector>
  </TitlesOfParts>
  <Company>DRC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Johannes, Mallory</cp:lastModifiedBy>
  <dcterms:created xsi:type="dcterms:W3CDTF">2016-02-23T23:40:06Z</dcterms:created>
  <dcterms:modified xsi:type="dcterms:W3CDTF">2017-07-21T21:39:02Z</dcterms:modified>
</cp:coreProperties>
</file>