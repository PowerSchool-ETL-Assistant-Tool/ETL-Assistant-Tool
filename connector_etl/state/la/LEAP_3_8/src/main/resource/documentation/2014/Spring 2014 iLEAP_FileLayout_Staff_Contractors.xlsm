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0" yWindow="-150" windowWidth="15480" windowHeight="6870"/>
  </bookViews>
  <sheets>
    <sheet name="iLDESTD" sheetId="1" r:id="rId1"/>
    <sheet name="Reference Locations" sheetId="4" r:id="rId2"/>
  </sheets>
  <definedNames>
    <definedName name="_xlnm._FilterDatabase" localSheetId="0" hidden="1">iLDESTD!$A$2:$H$237</definedName>
    <definedName name="_xlnm.Print_Titles" localSheetId="0">iLDESTD!$1:$2</definedName>
    <definedName name="Z_711973F9_5431_4922_B46E_FFB4E07E9E58_.wvu.Cols" localSheetId="0" hidden="1">iLDESTD!#REF!</definedName>
    <definedName name="Z_711973F9_5431_4922_B46E_FFB4E07E9E58_.wvu.PrintArea" localSheetId="0" hidden="1">iLDESTD!$A$4:$G$237</definedName>
    <definedName name="Z_711973F9_5431_4922_B46E_FFB4E07E9E58_.wvu.PrintTitles" localSheetId="0" hidden="1">iLDESTD!#REF!</definedName>
    <definedName name="Z_7E4D7CCA_1395_44FA_80A0_38FFA0DD8C49_.wvu.PrintTitles" localSheetId="0" hidden="1">iLDESTD!#REF!</definedName>
    <definedName name="Z_A5DDCBF3_D6F4_4EB4_918C_ECABFE1A43AD_.wvu.PrintTitles" localSheetId="0" hidden="1">iLDESTD!#REF!</definedName>
    <definedName name="Z_B792D786_3755_11D6_AB7B_0050DA2DACD5_.wvu.PrintTitles" localSheetId="0" hidden="1">iLDESTD!#REF!</definedName>
    <definedName name="Z_E34B366C_36F7_11D6_A24B_0050DA0A5BC6_.wvu.PrintTitles" localSheetId="0" hidden="1">iLDESTD!#REF!</definedName>
  </definedNames>
  <calcPr calcId="14562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B5" i="1" l="1"/>
  <c r="C5" i="1" s="1"/>
  <c r="C4" i="1"/>
  <c r="B6" i="1" l="1"/>
  <c r="C6" i="1" s="1"/>
  <c r="B7" i="1" l="1"/>
  <c r="B8" i="1" s="1"/>
  <c r="C7" i="1" l="1"/>
  <c r="C8" i="1"/>
  <c r="B9" i="1"/>
  <c r="C9" i="1" l="1"/>
  <c r="B10" i="1"/>
  <c r="C10" i="1" l="1"/>
  <c r="B11" i="1"/>
  <c r="B12" i="1" l="1"/>
  <c r="C11" i="1"/>
  <c r="B13" i="1" l="1"/>
  <c r="C12" i="1"/>
  <c r="B14" i="1" l="1"/>
  <c r="C13" i="1"/>
  <c r="B15" i="1" l="1"/>
  <c r="C14" i="1"/>
  <c r="C15" i="1" l="1"/>
  <c r="B16" i="1"/>
  <c r="B17" i="1" l="1"/>
  <c r="C16" i="1"/>
  <c r="C17" i="1" l="1"/>
  <c r="B18" i="1"/>
  <c r="B19" i="1" l="1"/>
  <c r="C18" i="1"/>
  <c r="B20" i="1" l="1"/>
  <c r="C19" i="1"/>
  <c r="B21" i="1" l="1"/>
  <c r="C20" i="1"/>
  <c r="C21" i="1" l="1"/>
  <c r="B22" i="1"/>
  <c r="B23" i="1" l="1"/>
  <c r="C22" i="1"/>
  <c r="B24" i="1" l="1"/>
  <c r="C23" i="1"/>
  <c r="B25" i="1" l="1"/>
  <c r="B26" i="1" s="1"/>
  <c r="C24" i="1"/>
  <c r="C25" i="1" l="1"/>
  <c r="B27" i="1" l="1"/>
  <c r="B28" i="1" s="1"/>
  <c r="C26" i="1"/>
  <c r="C27" i="1" l="1"/>
  <c r="B29" i="1" l="1"/>
  <c r="B30" i="1" s="1"/>
  <c r="C28" i="1"/>
  <c r="C29" i="1" l="1"/>
  <c r="B31" i="1" l="1"/>
  <c r="B32" i="1" s="1"/>
  <c r="C30" i="1"/>
  <c r="C31" i="1" l="1"/>
  <c r="C32" i="1" l="1"/>
  <c r="B33" i="1"/>
  <c r="C33" i="1" l="1"/>
  <c r="B34" i="1"/>
  <c r="C34" i="1" l="1"/>
  <c r="B35" i="1"/>
  <c r="C35" i="1" l="1"/>
  <c r="B36" i="1"/>
  <c r="B37" i="1" s="1"/>
  <c r="C36" i="1" l="1"/>
  <c r="C37" i="1" l="1"/>
  <c r="B39" i="1"/>
  <c r="C39" i="1" l="1"/>
  <c r="B40" i="1"/>
  <c r="B41" i="1" l="1"/>
  <c r="C40" i="1"/>
  <c r="C41" i="1" l="1"/>
  <c r="B42" i="1"/>
  <c r="C42" i="1" l="1"/>
  <c r="B43" i="1"/>
  <c r="B44" i="1" l="1"/>
  <c r="C43" i="1"/>
  <c r="C44" i="1" l="1"/>
  <c r="B45" i="1"/>
  <c r="C45" i="1" l="1"/>
  <c r="B46" i="1"/>
  <c r="B47" i="1" l="1"/>
  <c r="C46" i="1"/>
  <c r="C47" i="1" l="1"/>
  <c r="B48" i="1"/>
  <c r="C48" i="1" l="1"/>
  <c r="B49" i="1"/>
  <c r="B50" i="1" s="1"/>
  <c r="C49" i="1" l="1"/>
  <c r="C50" i="1" l="1"/>
  <c r="B52" i="1"/>
  <c r="C52" i="1" l="1"/>
  <c r="B53" i="1"/>
  <c r="C53" i="1" l="1"/>
  <c r="B54" i="1"/>
  <c r="C54" i="1" l="1"/>
  <c r="B55" i="1"/>
  <c r="B56" i="1" l="1"/>
  <c r="C55" i="1"/>
  <c r="C56" i="1" l="1"/>
  <c r="B57" i="1"/>
  <c r="B58" i="1" s="1"/>
  <c r="C57" i="1" l="1"/>
  <c r="C58" i="1" l="1"/>
  <c r="B60" i="1"/>
  <c r="C60" i="1" l="1"/>
  <c r="B61" i="1"/>
  <c r="B62" i="1" l="1"/>
  <c r="C61" i="1"/>
  <c r="B63" i="1" l="1"/>
  <c r="C62" i="1"/>
  <c r="C63" i="1" l="1"/>
  <c r="B64" i="1"/>
  <c r="C64" i="1" l="1"/>
  <c r="B65" i="1"/>
  <c r="B66" i="1" l="1"/>
  <c r="C65" i="1"/>
  <c r="C66" i="1" l="1"/>
  <c r="B67" i="1"/>
  <c r="B68" i="1" l="1"/>
  <c r="C67" i="1"/>
  <c r="B69" i="1" l="1"/>
  <c r="C68" i="1"/>
  <c r="B70" i="1" l="1"/>
  <c r="B71" i="1" s="1"/>
  <c r="C69" i="1"/>
  <c r="C70" i="1" l="1"/>
  <c r="C71" i="1" l="1"/>
  <c r="B72" i="1"/>
  <c r="B73" i="1" s="1"/>
  <c r="C72" i="1" l="1"/>
  <c r="B74" i="1" l="1"/>
  <c r="C73" i="1"/>
  <c r="C74" i="1" l="1"/>
  <c r="B75" i="1"/>
  <c r="C75" i="1" l="1"/>
  <c r="B76" i="1"/>
  <c r="B78" i="1" l="1"/>
  <c r="C76" i="1"/>
  <c r="C78" i="1" l="1"/>
  <c r="B79" i="1"/>
  <c r="B80" i="1" l="1"/>
  <c r="B81" i="1" s="1"/>
  <c r="C79" i="1"/>
  <c r="C80" i="1" l="1"/>
  <c r="B82" i="1" l="1"/>
  <c r="C81" i="1"/>
  <c r="C82" i="1" l="1"/>
  <c r="B83" i="1"/>
  <c r="C83" i="1" l="1"/>
  <c r="B84" i="1"/>
  <c r="C84" i="1" l="1"/>
  <c r="B85" i="1"/>
  <c r="B86" i="1" l="1"/>
  <c r="C85" i="1"/>
  <c r="C86" i="1" l="1"/>
  <c r="B87" i="1"/>
  <c r="B88" i="1" l="1"/>
  <c r="B89" i="1" s="1"/>
  <c r="C87" i="1"/>
  <c r="C88" i="1" l="1"/>
  <c r="C89" i="1" l="1"/>
  <c r="B91" i="1"/>
  <c r="C91" i="1" l="1"/>
  <c r="B92" i="1"/>
  <c r="B93" i="1" s="1"/>
  <c r="C92" i="1" l="1"/>
  <c r="C93" i="1" l="1"/>
  <c r="B94" i="1"/>
  <c r="C94" i="1" l="1"/>
  <c r="B96" i="1"/>
  <c r="B97" i="1" l="1"/>
  <c r="C96" i="1"/>
  <c r="C97" i="1" l="1"/>
  <c r="B98" i="1"/>
  <c r="C98" i="1" l="1"/>
  <c r="B99" i="1"/>
  <c r="B100" i="1" s="1"/>
  <c r="C99" i="1" l="1"/>
  <c r="B102" i="1" l="1"/>
  <c r="C100" i="1"/>
  <c r="B103" i="1" l="1"/>
  <c r="B104" i="1" s="1"/>
  <c r="C102" i="1"/>
  <c r="B105" i="1" l="1"/>
  <c r="C104" i="1"/>
  <c r="C103" i="1"/>
  <c r="C105" i="1" l="1"/>
  <c r="B106" i="1"/>
  <c r="C106" i="1" l="1"/>
  <c r="B107" i="1"/>
  <c r="B108" i="1" l="1"/>
  <c r="C107" i="1"/>
  <c r="C108" i="1" l="1"/>
  <c r="B109" i="1"/>
  <c r="B110" i="1" s="1"/>
  <c r="C109" i="1" l="1"/>
  <c r="B112" i="1" l="1"/>
  <c r="C110" i="1"/>
  <c r="C112" i="1" l="1"/>
  <c r="B113" i="1"/>
  <c r="B114" i="1" l="1"/>
  <c r="C114" i="1" s="1"/>
  <c r="C113" i="1"/>
  <c r="B116" i="1" l="1"/>
  <c r="C116" i="1" l="1"/>
  <c r="B117" i="1"/>
  <c r="B118" i="1" s="1"/>
  <c r="C117" i="1" l="1"/>
  <c r="B119" i="1" l="1"/>
  <c r="B121" i="1" s="1"/>
  <c r="C118" i="1"/>
  <c r="C121" i="1" l="1"/>
  <c r="B122" i="1"/>
  <c r="C119" i="1"/>
  <c r="C122" i="1" l="1"/>
  <c r="B123" i="1"/>
  <c r="C123" i="1" l="1"/>
  <c r="B124" i="1"/>
  <c r="C124" i="1" l="1"/>
  <c r="B125" i="1"/>
  <c r="C125" i="1" l="1"/>
  <c r="B126" i="1"/>
  <c r="B127" i="1" l="1"/>
  <c r="C126" i="1"/>
  <c r="B128" i="1" l="1"/>
  <c r="C127" i="1"/>
  <c r="C128" i="1" l="1"/>
  <c r="B129" i="1"/>
  <c r="C129" i="1" l="1"/>
  <c r="B130" i="1"/>
  <c r="B131" i="1" s="1"/>
  <c r="C131" i="1" l="1"/>
  <c r="B132" i="1"/>
  <c r="C130" i="1"/>
  <c r="C132" i="1" l="1"/>
  <c r="B133" i="1"/>
  <c r="C133" i="1" s="1"/>
  <c r="B135" i="1" l="1"/>
  <c r="B136" i="1" s="1"/>
  <c r="B137" i="1" s="1"/>
  <c r="C135" i="1" l="1"/>
  <c r="C136" i="1"/>
  <c r="B139" i="1" l="1"/>
  <c r="C137" i="1"/>
  <c r="C139" i="1" l="1"/>
  <c r="B140" i="1"/>
  <c r="B141" i="1" s="1"/>
  <c r="C140" i="1" l="1"/>
  <c r="B142" i="1" l="1"/>
  <c r="C141" i="1"/>
  <c r="B144" i="1" l="1"/>
  <c r="C142" i="1"/>
  <c r="C144" i="1" l="1"/>
  <c r="B145" i="1"/>
  <c r="B146" i="1" l="1"/>
  <c r="C145" i="1"/>
  <c r="B147" i="1" l="1"/>
  <c r="C146" i="1"/>
  <c r="C147" i="1" l="1"/>
  <c r="B148" i="1"/>
  <c r="C148" i="1" l="1"/>
  <c r="B149" i="1"/>
  <c r="B151" i="1" s="1"/>
  <c r="B152" i="1" s="1"/>
  <c r="C152" i="1" l="1"/>
  <c r="B154" i="1"/>
  <c r="C149" i="1"/>
  <c r="B155" i="1" l="1"/>
  <c r="B156" i="1" s="1"/>
  <c r="C154" i="1"/>
  <c r="C151" i="1"/>
  <c r="C155" i="1" l="1"/>
  <c r="C156" i="1" l="1"/>
  <c r="B158" i="1"/>
  <c r="C158" i="1" l="1"/>
  <c r="B159" i="1"/>
  <c r="B160" i="1" s="1"/>
  <c r="C159" i="1" l="1"/>
  <c r="B161" i="1" l="1"/>
  <c r="C160" i="1"/>
  <c r="B163" i="1" l="1"/>
  <c r="C161" i="1"/>
  <c r="B164" i="1" l="1"/>
  <c r="C163" i="1"/>
  <c r="B165" i="1" l="1"/>
  <c r="C164" i="1"/>
  <c r="B166" i="1" l="1"/>
  <c r="C165" i="1"/>
  <c r="C166" i="1" l="1"/>
  <c r="B167" i="1"/>
  <c r="C167" i="1" l="1"/>
  <c r="B169" i="1"/>
  <c r="B170" i="1" s="1"/>
  <c r="B171" i="1" s="1"/>
  <c r="B173" i="1" l="1"/>
  <c r="C170" i="1"/>
  <c r="C169" i="1"/>
  <c r="C173" i="1" l="1"/>
  <c r="B174" i="1"/>
  <c r="C174" i="1" l="1"/>
  <c r="B175" i="1"/>
  <c r="C171" i="1"/>
  <c r="C175" i="1" l="1"/>
  <c r="B178" i="1"/>
  <c r="C178" i="1" l="1"/>
  <c r="B179" i="1"/>
  <c r="B180" i="1" s="1"/>
  <c r="C180" i="1" l="1"/>
  <c r="B181" i="1"/>
  <c r="C179" i="1"/>
  <c r="B183" i="1" l="1"/>
  <c r="C183" i="1" s="1"/>
  <c r="C181" i="1"/>
  <c r="B185" i="1" l="1"/>
  <c r="C185" i="1" s="1"/>
  <c r="B186" i="1" l="1"/>
  <c r="B187" i="1" s="1"/>
  <c r="C186" i="1" l="1"/>
  <c r="B188" i="1"/>
  <c r="B189" i="1" s="1"/>
  <c r="C187" i="1"/>
  <c r="C188" i="1" l="1"/>
  <c r="C189" i="1" l="1"/>
  <c r="B191" i="1"/>
  <c r="B192" i="1" l="1"/>
  <c r="C191" i="1"/>
  <c r="C192" i="1" l="1"/>
  <c r="B193" i="1"/>
  <c r="B194" i="1" l="1"/>
  <c r="C193" i="1"/>
  <c r="C194" i="1" l="1"/>
  <c r="B195" i="1"/>
  <c r="C195" i="1" l="1"/>
  <c r="B197" i="1"/>
  <c r="B198" i="1" l="1"/>
  <c r="C197" i="1"/>
  <c r="C198" i="1" l="1"/>
  <c r="B199" i="1"/>
  <c r="C199" i="1" l="1"/>
  <c r="B200" i="1"/>
  <c r="B201" i="1" s="1"/>
  <c r="C200" i="1" l="1"/>
  <c r="C201" i="1" l="1"/>
  <c r="B202" i="1"/>
  <c r="C202" i="1" l="1"/>
  <c r="B203" i="1"/>
  <c r="B204" i="1" l="1"/>
  <c r="C203" i="1"/>
  <c r="C204" i="1" l="1"/>
  <c r="B205" i="1"/>
  <c r="B207" i="1" l="1"/>
  <c r="C205" i="1"/>
  <c r="B208" i="1" l="1"/>
  <c r="C207" i="1"/>
  <c r="B209" i="1" l="1"/>
  <c r="C208" i="1"/>
  <c r="C209" i="1" l="1"/>
  <c r="B210" i="1"/>
  <c r="B211" i="1" l="1"/>
  <c r="C210" i="1"/>
  <c r="C211" i="1" l="1"/>
  <c r="B212" i="1"/>
  <c r="B213" i="1" s="1"/>
  <c r="C212" i="1" l="1"/>
  <c r="B214" i="1" l="1"/>
  <c r="C213" i="1"/>
  <c r="C214" i="1" l="1"/>
  <c r="B215" i="1"/>
  <c r="B216" i="1" s="1"/>
  <c r="C215" i="1" l="1"/>
  <c r="C216" i="1" l="1"/>
  <c r="B218" i="1"/>
  <c r="C218" i="1" l="1"/>
  <c r="B219" i="1"/>
  <c r="B220" i="1" l="1"/>
  <c r="C219" i="1"/>
  <c r="B221" i="1" l="1"/>
  <c r="C220" i="1"/>
  <c r="C221" i="1" l="1"/>
  <c r="B222" i="1"/>
  <c r="C222" i="1" l="1"/>
  <c r="B223" i="1"/>
  <c r="C223" i="1" l="1"/>
  <c r="B224" i="1"/>
  <c r="C224" i="1" l="1"/>
  <c r="B225" i="1"/>
  <c r="B226" i="1" l="1"/>
  <c r="C225" i="1"/>
  <c r="C226" i="1" l="1"/>
  <c r="B227" i="1"/>
  <c r="B228" i="1" l="1"/>
  <c r="C227" i="1"/>
  <c r="B229" i="1" l="1"/>
  <c r="C228" i="1"/>
  <c r="C229" i="1" l="1"/>
  <c r="B230" i="1"/>
  <c r="B231" i="1" s="1"/>
  <c r="C230" i="1" l="1"/>
  <c r="C231" i="1" l="1"/>
  <c r="B232" i="1"/>
  <c r="B233" i="1" s="1"/>
  <c r="C232" i="1" l="1"/>
  <c r="B235" i="1" l="1"/>
  <c r="B236" i="1" s="1"/>
  <c r="C233" i="1"/>
  <c r="C235" i="1" l="1"/>
  <c r="B237" i="1" l="1"/>
  <c r="C237" i="1" s="1"/>
  <c r="C239" i="1" s="1"/>
  <c r="C236" i="1"/>
</calcChain>
</file>

<file path=xl/sharedStrings.xml><?xml version="1.0" encoding="utf-8"?>
<sst xmlns="http://schemas.openxmlformats.org/spreadsheetml/2006/main" count="552" uniqueCount="326">
  <si>
    <t>Bubbled Test Administrator Number</t>
  </si>
  <si>
    <t>Bubbled Section 504 Test Accommodations</t>
  </si>
  <si>
    <t>Bubbled LEP Test Accommodations</t>
  </si>
  <si>
    <t>Bubbled Special Education Test Accommodations</t>
  </si>
  <si>
    <t>LAP Option Code</t>
  </si>
  <si>
    <t>1 = Free Lunch Eligible
2 = Reduced Lunch Eligible
0 = Paid
9 = Unknown</t>
  </si>
  <si>
    <t>State ID</t>
  </si>
  <si>
    <t>Y = student classified as a straggler
N = student not classified as a straggler</t>
  </si>
  <si>
    <t>DRC Unique Student ID</t>
  </si>
  <si>
    <t>Y = Migrant
N = Not Migrant</t>
  </si>
  <si>
    <t>Y = LEP
N = Not LEP</t>
  </si>
  <si>
    <t>Y = 504
N = Not 504</t>
  </si>
  <si>
    <t>Length</t>
  </si>
  <si>
    <t>FILLER</t>
  </si>
  <si>
    <t>Year of test</t>
  </si>
  <si>
    <t>ENGLISH LANGUAGE ARTS SCORING INFORMATION</t>
  </si>
  <si>
    <t>MATH SCORING INFORMATION</t>
  </si>
  <si>
    <t>SCIENCE SCORING INFORMATION</t>
  </si>
  <si>
    <t>SOCIAL STUDIES SCORING INFORMATION</t>
  </si>
  <si>
    <t>File Creation Date and Time Stamp</t>
  </si>
  <si>
    <t>Date the file was generated</t>
  </si>
  <si>
    <t>Processing/Reporting Section</t>
  </si>
  <si>
    <t>Summarization Flags</t>
  </si>
  <si>
    <t>Numeric value with leading zeroes.</t>
  </si>
  <si>
    <t>M = Male
F = Female
I = Invalid</t>
  </si>
  <si>
    <t>1 = Regular Education
2 = Special Education</t>
  </si>
  <si>
    <t>Assess Group Type</t>
  </si>
  <si>
    <t>Homeschool Flag</t>
  </si>
  <si>
    <t>Summarized LEP Status</t>
  </si>
  <si>
    <t>Summarized Migrant Status</t>
  </si>
  <si>
    <t>Summarized Section 504 Status</t>
  </si>
  <si>
    <t>Summarized Education Classification</t>
  </si>
  <si>
    <t>Summarized Grade</t>
  </si>
  <si>
    <t>Y = Yes
N = No</t>
  </si>
  <si>
    <t>Bubbled Optional Local Use</t>
  </si>
  <si>
    <t>Bubbled Accountability Code</t>
  </si>
  <si>
    <t>Field Use</t>
  </si>
  <si>
    <t>Starting Location</t>
  </si>
  <si>
    <t>Ending Location</t>
  </si>
  <si>
    <t>Possible Values</t>
  </si>
  <si>
    <t>Description/Comments</t>
  </si>
  <si>
    <t>COMMON DEMOGRAPHIC INFORMATION</t>
  </si>
  <si>
    <t>Test Date Month</t>
  </si>
  <si>
    <t>Test Date Year</t>
  </si>
  <si>
    <t xml:space="preserve">Straggler </t>
  </si>
  <si>
    <t>District Code</t>
  </si>
  <si>
    <t>School Code</t>
  </si>
  <si>
    <t>District Name</t>
  </si>
  <si>
    <t>School Name</t>
  </si>
  <si>
    <t>Document Grade</t>
  </si>
  <si>
    <t>Student Last Name</t>
  </si>
  <si>
    <t>Student First Name</t>
  </si>
  <si>
    <t>Student Middle Initial</t>
  </si>
  <si>
    <t>Summarized DOB Month</t>
  </si>
  <si>
    <t>Summarized DOB Day</t>
  </si>
  <si>
    <t>Summarized DOB Year</t>
  </si>
  <si>
    <t>Summarized Gender</t>
  </si>
  <si>
    <t>Summarized Lunch Status</t>
  </si>
  <si>
    <t>Bubbled Calculator Use (Math Test Only)</t>
  </si>
  <si>
    <t>No Accommodations</t>
  </si>
  <si>
    <t>Braille</t>
  </si>
  <si>
    <t>Large Print</t>
  </si>
  <si>
    <t>Answers Recorded</t>
  </si>
  <si>
    <t>Assistive Technology</t>
  </si>
  <si>
    <t>Extended Time</t>
  </si>
  <si>
    <t>Communication Assistance</t>
  </si>
  <si>
    <t>Transferred Answers</t>
  </si>
  <si>
    <t>Individual/Small Group Administration</t>
  </si>
  <si>
    <t>Tests Read Aloud</t>
  </si>
  <si>
    <t>Other</t>
  </si>
  <si>
    <t>Raw Score for Each Content Standard</t>
  </si>
  <si>
    <t>Raw Score for Each Subtest</t>
  </si>
  <si>
    <t>Raw Scores for Writing</t>
  </si>
  <si>
    <t xml:space="preserve">Dimension 2: Style/audience awareness
</t>
  </si>
  <si>
    <t>Total Score for Writing</t>
  </si>
  <si>
    <t>Raw Score for Item Type</t>
  </si>
  <si>
    <t>Multiple-Choice Items</t>
  </si>
  <si>
    <t xml:space="preserve">Constructed-Response Items </t>
  </si>
  <si>
    <t>Subtest 1: Multiple-Choice Items</t>
  </si>
  <si>
    <t xml:space="preserve">Standard 1: Science as Inquiry
</t>
  </si>
  <si>
    <t xml:space="preserve">Standard 2: Physical Science
</t>
  </si>
  <si>
    <t xml:space="preserve">Standard 3: Life Science
</t>
  </si>
  <si>
    <t xml:space="preserve">Standard 4: Earth and Space Science
</t>
  </si>
  <si>
    <t xml:space="preserve">Standard 5: Science and the Environment
</t>
  </si>
  <si>
    <t xml:space="preserve">Subtest 1: Multiple-Choice Items
 </t>
  </si>
  <si>
    <t>Summarized Void Flag</t>
  </si>
  <si>
    <t>Multiple Choice / Constructed Response Items Taken (attempted) Flag</t>
  </si>
  <si>
    <t>Included in N-counts</t>
  </si>
  <si>
    <t>Test Taken Flag</t>
  </si>
  <si>
    <t>ACCOUNTABILITY FIELDS</t>
  </si>
  <si>
    <t>Record Length:</t>
  </si>
  <si>
    <t>Rollup to State</t>
  </si>
  <si>
    <t>Include in District Media Reports</t>
  </si>
  <si>
    <t>Include in School Media Reports</t>
  </si>
  <si>
    <t>Summarize to Assessment Group Code for district level reporting</t>
  </si>
  <si>
    <t>Schools summarized to LEA Code for district level reporting</t>
  </si>
  <si>
    <t>Summary Reports</t>
  </si>
  <si>
    <t>Erasure Reports</t>
  </si>
  <si>
    <t>YYYY</t>
  </si>
  <si>
    <t>E</t>
  </si>
  <si>
    <t>K, E</t>
  </si>
  <si>
    <t>Unique number generated at the time the student record is converted into the DRC Student File.  (Starts over each administration.)</t>
  </si>
  <si>
    <t xml:space="preserve">"*", "-", and "_" values are changed to spaces, and then the spaces are removed by compressing the values from the name field. </t>
  </si>
  <si>
    <t xml:space="preserve">00.0-99.0
Blank
</t>
  </si>
  <si>
    <t xml:space="preserve">00.0, 01.0, 02.0, 03.0, 04.0
Blank
</t>
  </si>
  <si>
    <t>Value of "Y" will only appear in the final iLDESTD file.</t>
  </si>
  <si>
    <t>"*", "-", and "_" values are changed to spaces.</t>
  </si>
  <si>
    <t>Charter Type</t>
  </si>
  <si>
    <t>1 = Type 1 Charter
2 = Type 2 Charter
3 = Type 3 Charter
4 = Type 4 Charter
5 = Type 5 Charter
Blank = Not a Charter School</t>
  </si>
  <si>
    <t>Summarized McKinney-Vento Act (Homeless)</t>
  </si>
  <si>
    <t>Y = Void in subject
N = No void in subject</t>
  </si>
  <si>
    <t>Y = Include student in summary
      N-counts for subject
N = Do not include student in summary 
      N-counts for subject</t>
  </si>
  <si>
    <t>Y = Subject was attempted
N = Subject was not attempted</t>
  </si>
  <si>
    <t>Summarized Ethnicity/Race</t>
  </si>
  <si>
    <t>0000000000-9999999999
Blank</t>
  </si>
  <si>
    <t xml:space="preserve">000.0-999.0 
Blank </t>
  </si>
  <si>
    <t xml:space="preserve">100-500
Blank </t>
  </si>
  <si>
    <t>00.0-99.0
Blank</t>
  </si>
  <si>
    <t>00.0-99.9
Blank</t>
  </si>
  <si>
    <t>0 = in SIS, not LEP prior 2 yrs
1 = LEP 1 yr prior
2 = LEP 2 yrs prior
3 = LEP current year 
Blank = not in SIS prior 2 years</t>
  </si>
  <si>
    <t>01-34
Blank</t>
  </si>
  <si>
    <t>UNS = Unsatisfactory
APP = Approaching Basic
BAS = Basic
MAS = Mastery
ADV = Advanced
Blank</t>
  </si>
  <si>
    <t>1 = Yes
- = No response (document returned)
Blank = document not returned</t>
  </si>
  <si>
    <t>01-99
Blank</t>
  </si>
  <si>
    <t>ASSESSMENT/ACCOUNTABILITY INFORMATION</t>
  </si>
  <si>
    <t>Precoded Site Code</t>
  </si>
  <si>
    <t xml:space="preserve">000-999
Blank
</t>
  </si>
  <si>
    <t>Field Name</t>
  </si>
  <si>
    <t>LAP LEP Indicator Code</t>
  </si>
  <si>
    <t>LAP Home-base Site School Code</t>
  </si>
  <si>
    <t>LAP Home-base Site District Code</t>
  </si>
  <si>
    <t>LAP LDE Unique ID (GUID)</t>
  </si>
  <si>
    <t>1 = Hispanic/Latino
2 = American Indian or Alaska Native
3 = Asian
4 = Black or African American
5 = Native Hawaiian or Other Pacific Islander
6 = White
7 = Two or more races
I = Invalid</t>
  </si>
  <si>
    <t>0-9 or - in any position</t>
  </si>
  <si>
    <t>C</t>
  </si>
  <si>
    <t>Blank</t>
  </si>
  <si>
    <t>Raw Score Total - ELA</t>
  </si>
  <si>
    <t>Scaled Score - ELA</t>
  </si>
  <si>
    <t>Assessment Achievement Level - ELA</t>
  </si>
  <si>
    <t>Raw Score Total - Math</t>
  </si>
  <si>
    <t>Scaled Score - Math</t>
  </si>
  <si>
    <t>Assessment Achievement Level - Math</t>
  </si>
  <si>
    <t>Scaled Score - Science</t>
  </si>
  <si>
    <t>Assessment Achievement Level - Science</t>
  </si>
  <si>
    <t>Scaled Score - Social Studies</t>
  </si>
  <si>
    <t>Assessment Achievement Level - Social Studies</t>
  </si>
  <si>
    <t>Test Taken Flag - ELA</t>
  </si>
  <si>
    <t>Test Taken Flag - Math</t>
  </si>
  <si>
    <t>Test Taken Flag - Science</t>
  </si>
  <si>
    <t>Test Taken Flag - Social Studies</t>
  </si>
  <si>
    <t>Updated Accountability Code - ELA</t>
  </si>
  <si>
    <t>Updated Accountability Code - Math</t>
  </si>
  <si>
    <t>Updated Accountability Code - Science</t>
  </si>
  <si>
    <t xml:space="preserve">Updated Accountability Code - Social Studies </t>
  </si>
  <si>
    <t>Accountability Achievement Level - ELA</t>
  </si>
  <si>
    <t>Accountability Achievement Level - Math</t>
  </si>
  <si>
    <t>Accountability Achievement Level - Science</t>
  </si>
  <si>
    <t>Accountability Achievement Level - Social Studies</t>
  </si>
  <si>
    <t>M</t>
  </si>
  <si>
    <t>E, M</t>
  </si>
  <si>
    <t>C, M</t>
  </si>
  <si>
    <t>K, E, M</t>
  </si>
  <si>
    <t>100-899 = School Level
900-999 = District Level 
--- = No response (document returned)
* = Multiple responses in this position
Blank = document not returned</t>
  </si>
  <si>
    <t>0-9, - , or * in each position
---------- = No response (document returned)
Blank = document not returned</t>
  </si>
  <si>
    <t>0-9, - , or * in each position
-- = No response (document returned)
Blank = document not returned</t>
  </si>
  <si>
    <t>LAP Primary Exceptionality</t>
  </si>
  <si>
    <t>Raw Score Total - Science</t>
  </si>
  <si>
    <t>Raw Score Total - Social Studies</t>
  </si>
  <si>
    <t>0 = Neither MC nor CR taken
1 = MC only taken
2 = CR only taken
3 = Both MC and CR taken</t>
  </si>
  <si>
    <t>Format: "YYYY-MM-DD HH:MM:SS"</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</si>
  <si>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99 = Unknown (Multiple Responses)
Blank</t>
  </si>
  <si>
    <r>
      <t>000000000-999999999
---------</t>
    </r>
    <r>
      <rPr>
        <u/>
        <sz val="10"/>
        <color indexed="10"/>
        <rFont val="Arial"/>
        <family val="2"/>
      </rPr>
      <t/>
    </r>
  </si>
  <si>
    <t>As bubbled on the answer document.</t>
  </si>
  <si>
    <t>Total points earned for each writing dimension.
Blank when the Raw Score Total for ELA is blank.</t>
  </si>
  <si>
    <t>Total correct ELA constructed response items (Include short answer 
items &amp; essay).
Blank when Raw Score Total for ELA is blank.</t>
  </si>
  <si>
    <t>Total points earned for each Science content standard.
Blank when content standard is not assessed (zero points possible), or when Raw Score Total for Science is blank.</t>
  </si>
  <si>
    <t>Total points earned for each Social Studies content standard.
Blank when content standard is not assessed (zero points possible), or when Raw Score Total for Social Studies is blank.</t>
  </si>
  <si>
    <t>As flagged on the LAP file.
Blank for a hand-coded document that could not be matched back to the LAP file.</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</si>
  <si>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</si>
  <si>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03 = Grade 3
05 = Grade 5 
06 = Grade 6
07 = Grade 7
Blank</t>
  </si>
  <si>
    <t>Dimension 1: Composing</t>
  </si>
  <si>
    <t>Subtest 2: Constructed-Response Items</t>
  </si>
  <si>
    <t>Standard 1: Geography</t>
  </si>
  <si>
    <t>Standard 2: Civics</t>
  </si>
  <si>
    <t>Standard 3: Economics</t>
  </si>
  <si>
    <t>Standard 4: History</t>
  </si>
  <si>
    <t>03 = March</t>
  </si>
  <si>
    <t>Student's SSN.
"*" and " " values are changed to "-"</t>
  </si>
  <si>
    <t>E, C</t>
  </si>
  <si>
    <t>3 = Grade 3
5 = Grade 5
6 = Grade 6
7 = Grade 7</t>
  </si>
  <si>
    <t>Y = 998 School
N = Not 998 School</t>
  </si>
  <si>
    <t>As flagged on the LAP file.
Blank for a hand-coded document that could not be matched back to the LAP file, or if the value was blank on the LAP file.</t>
  </si>
  <si>
    <t>LAP Scholarship Student Flag</t>
  </si>
  <si>
    <t>LAP Scholarship Site Code</t>
  </si>
  <si>
    <t>Summarized Void Flag - ELA</t>
  </si>
  <si>
    <t>Summarized Void Flag - Math</t>
  </si>
  <si>
    <t>Summarized Void Flag - Science</t>
  </si>
  <si>
    <t>Summarized Void Flag - Social Studies</t>
  </si>
  <si>
    <t>Include in N-counts - ELA</t>
  </si>
  <si>
    <t>Include in N-counts - Math</t>
  </si>
  <si>
    <t>Include in N-counts - Science</t>
  </si>
  <si>
    <t>Include in N-counts - Social Studies</t>
  </si>
  <si>
    <t>The Homeschool Flag will be set to "Y" when the School Code = 998.</t>
  </si>
  <si>
    <t>MC / CR Taken - ELA</t>
  </si>
  <si>
    <t>MC / CR Taken - Math</t>
  </si>
  <si>
    <t>Summarized Special Education Exceptionality Category</t>
  </si>
  <si>
    <t>The Assess Group Code value from the School Master File for the school the student is being reported to.</t>
  </si>
  <si>
    <t>Month of test</t>
  </si>
  <si>
    <t>Y = indicates student has an approved scholarship
N = indicates student does not have an approved 
       scholarship
Blank</t>
  </si>
  <si>
    <t>Non-Score Code for Writing</t>
  </si>
  <si>
    <t>Accumulated raw scores by Math subtests.
Blank when the Raw Score Total for Math is blank.</t>
  </si>
  <si>
    <t xml:space="preserve">Charter Type as listed in the School Master File.
Blank when School Code = 888 or 998. </t>
  </si>
  <si>
    <t>3-digit district code for the home-base Site 
Blank</t>
  </si>
  <si>
    <t>3-digit school code for the home-base Site 
Blank</t>
  </si>
  <si>
    <t>6-digit site code
Blank</t>
  </si>
  <si>
    <t>The precoded site code is the site where the student received preidentified answer documents.
Site code from the LAP File, which will match the site code on the DRC Precode File. 
Blank for a hand-coded document that could not be matched back to the LAP file.</t>
  </si>
  <si>
    <t>The numeric type for the Assess Group Code value from the School Master File for the school the student is being reported to.</t>
  </si>
  <si>
    <t>Assess Group Code</t>
  </si>
  <si>
    <t xml:space="preserve">ASSESSMENT ROLLUP AND INCLUSION FLAGS </t>
  </si>
  <si>
    <t>Provision of English Native Language Word-to-Word Dictionary (No Definitions)</t>
  </si>
  <si>
    <t>Test Administered by ESL Teacher or Individual Providing Language Services</t>
  </si>
  <si>
    <t>LEA
LAB
CHA
TRI
NPB
STA
BSE
OJJ
MAR
RES
NPS
RLA
RNO
JUV
RBR</t>
  </si>
  <si>
    <t>6-digit site code for the site the student was enrolled in 
     prior to receiving the scholarship
Blank</t>
  </si>
  <si>
    <t xml:space="preserve">Project: 2014 iLEAP Spring </t>
  </si>
  <si>
    <t>Total score of all writing dimensions.
Zero (000.0) is a valid score.
Blank when the Raw Score Total for ELA is blank.</t>
  </si>
  <si>
    <t>1 = Unreadable
2 = Foreign Language
3 = Off Topic
4 = Insufficient
5 = Refusal
6 = Blank
7 = Copied Passage
Blank</t>
  </si>
  <si>
    <t>Summary of District Voids and Plagiarism Voids in each subject.  
The Summarized Void Flag will be "Y" for a subject if the student has a row in the LDE approved Void .csv file for the subject.</t>
  </si>
  <si>
    <t>01 = LEA
02 = LAB
03 = CHA
04 = TRI
05 = NPB
06 = STA
08 = BSE
09 = OJJ
10 = MAR
12 = RES
13 = NPS
14 = RLA
15 = RNO
16 = JUV
17 = RBR</t>
  </si>
  <si>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</si>
  <si>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t>Dimension 3: Sentence formation</t>
  </si>
  <si>
    <t>Dimension 4: Usage</t>
  </si>
  <si>
    <t>Dimension 5: Mechanics</t>
  </si>
  <si>
    <t>Dimension 6: Spelling</t>
  </si>
  <si>
    <t>00.0, 01.0
Blank</t>
  </si>
  <si>
    <t>Domain: Operations and Algebraic Thinking</t>
  </si>
  <si>
    <t>00.0-99.5
Blank</t>
  </si>
  <si>
    <t>000-999
Blank</t>
  </si>
  <si>
    <t>Total correct Science multiple choice items.
Blank when Raw Score Total for Science is blank.</t>
  </si>
  <si>
    <t>Document Name</t>
  </si>
  <si>
    <t>LDE SFTP Location</t>
  </si>
  <si>
    <t>DRC Location</t>
  </si>
  <si>
    <t>iLEAP Processing Rules - Scoring</t>
  </si>
  <si>
    <t>Louisiana/&lt;YYYY&gt; - iLEAP/Processing Rules - Final/</t>
  </si>
  <si>
    <t>http://drcdirect/informationsystems/eis/dteam/Louisiana/iLEAP/</t>
  </si>
  <si>
    <t>iLEAP Processing Rules - Reporting</t>
  </si>
  <si>
    <t>Common Louisiana Processing Rules - Reporting</t>
  </si>
  <si>
    <t xml:space="preserve">http://drcdirect/informationsystems/eis/dteam/Louisiana/Common Louisiana Spring/Reporting/ </t>
  </si>
  <si>
    <t>Louisiana/Accountability Data/Accountability Codes Chart/YYYY-YYYY/</t>
  </si>
  <si>
    <t xml:space="preserve">http://drcdirect/informationsystems/eis/dteam/Louisiana/Accountability/ </t>
  </si>
  <si>
    <t xml:space="preserve">Accountability Codes for Testing </t>
  </si>
  <si>
    <t>DOTS</t>
  </si>
  <si>
    <t>Test Administration Plan</t>
  </si>
  <si>
    <t>Louisiana/General Documents/</t>
  </si>
  <si>
    <t>Louisiana/&lt;YYYY&gt; - iLEAP/DOTS/</t>
  </si>
  <si>
    <t>H:\dots\Louisiana</t>
  </si>
  <si>
    <t>LAP Twin Flag</t>
  </si>
  <si>
    <t>Y = Indicated as one of the twins
N = Not Indicated as one of the twins
Blank</t>
  </si>
  <si>
    <t>Total correct Science constructed response items.
Blank when Raw Score Total for Science is blank.</t>
  </si>
  <si>
    <t>Raw Score for Each Item Type</t>
  </si>
  <si>
    <t>Total correct Social Studies multiple choice items.
Blank when Raw Score Total for Social Studies is blank.</t>
  </si>
  <si>
    <t>Total correct Social Studies constructed response items.
Blank when Raw Score Total for Social Studies is blank.</t>
  </si>
  <si>
    <t>00.0-99.0
Blank</t>
  </si>
  <si>
    <t>Domain: Number and Operations in Base Ten</t>
  </si>
  <si>
    <t>Domain: Measurement and Data</t>
  </si>
  <si>
    <t>Domain: Geometry</t>
  </si>
  <si>
    <t>Domain: Ratios and Proportional Relationships</t>
  </si>
  <si>
    <t>Domain: The Number System</t>
  </si>
  <si>
    <t>Domain: Expressions and Equations</t>
  </si>
  <si>
    <t>Domain: Statistics and Probability</t>
  </si>
  <si>
    <t>Combined Domain: Operations in Base Ten / Algebraic Thinking</t>
  </si>
  <si>
    <t>Combined Domain: Number and Operations</t>
  </si>
  <si>
    <t>Combined Domain: Geometry / Measurement and Data</t>
  </si>
  <si>
    <t>Subtest 2: Task Items</t>
  </si>
  <si>
    <t>Subtest 2:  Task Items</t>
  </si>
  <si>
    <t>MC / CR Taken - Science</t>
  </si>
  <si>
    <t>MC / CR Taken - Social Studies</t>
  </si>
  <si>
    <t>01-12
--
99</t>
  </si>
  <si>
    <t>00-39 (0-9 or - in any position)
99</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</si>
  <si>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"99" is only valid after Online Corrections System (OCS) has been applied.</t>
    </r>
  </si>
  <si>
    <r>
      <t xml:space="preserve">Total raw score for ELA  items.
Refer to the </t>
    </r>
    <r>
      <rPr>
        <b/>
        <u/>
        <sz val="10"/>
        <rFont val="Arial"/>
        <family val="2"/>
      </rPr>
      <t>Resulting iLDESTD Values by Subject</t>
    </r>
    <r>
      <rPr>
        <sz val="10"/>
        <rFont val="Arial"/>
        <family val="2"/>
      </rPr>
      <t xml:space="preserve"> section within the Processing Rules - Scoring document for the logic used to set the Raw Score values.</t>
    </r>
    <r>
      <rPr>
        <strike/>
        <sz val="10"/>
        <rFont val="Arial"/>
        <family val="2"/>
      </rPr>
      <t xml:space="preserve">
</t>
    </r>
    <r>
      <rPr>
        <sz val="10"/>
        <rFont val="Arial"/>
        <family val="2"/>
      </rPr>
      <t xml:space="preserve">
External Anchor Items are not included when determining Raw Score Total - ELA.</t>
    </r>
  </si>
  <si>
    <t>Total points earned for each ELA test session.
Blank when test session is not assessed (zero points possible), or when Raw Score Total for ELA is blank.</t>
  </si>
  <si>
    <t xml:space="preserve">
000.0-012.0
Blank</t>
  </si>
  <si>
    <t xml:space="preserve">Test Session: Research to Build Knowledge </t>
  </si>
  <si>
    <t>Test Session: Reading and Responding</t>
  </si>
  <si>
    <t>Test Session: Writing</t>
  </si>
  <si>
    <t>Test Session: Language</t>
  </si>
  <si>
    <t xml:space="preserve">Raw Score for Each Test Session </t>
  </si>
  <si>
    <t>Total correct ELA multiple choice items (Include multiple choice items and Enhanced Selected Response (ESR) items).
Blank when Raw Score Total for ELA is blank.</t>
  </si>
  <si>
    <t>Raw Score for Each Domain</t>
  </si>
  <si>
    <r>
      <t>Domain: Number and Operations</t>
    </r>
    <r>
      <rPr>
        <sz val="10"/>
        <rFont val="Calibri"/>
        <family val="2"/>
      </rPr>
      <t>—</t>
    </r>
    <r>
      <rPr>
        <sz val="10"/>
        <rFont val="Arial"/>
        <family val="2"/>
      </rPr>
      <t>Fractions</t>
    </r>
  </si>
  <si>
    <r>
      <t xml:space="preserve">Total points earned for each Math domain.
Blank when the domain is not assessed (zero points possible), or when Raw Score Total for Math is blank.
Refer to the </t>
    </r>
    <r>
      <rPr>
        <b/>
        <u/>
        <sz val="10"/>
        <rFont val="Arial"/>
        <family val="2"/>
      </rPr>
      <t>Content Standards, Test Sessions, Domains,  and Item Types</t>
    </r>
    <r>
      <rPr>
        <sz val="10"/>
        <rFont val="Arial"/>
        <family val="2"/>
      </rPr>
      <t xml:space="preserve"> section within the Processing Rules - Scoring document for which domains apply to each grade and which are used in Student-Level and Summary Reports.</t>
    </r>
  </si>
  <si>
    <r>
      <t xml:space="preserve">Scaled Score for Science 
Refer to the </t>
    </r>
    <r>
      <rPr>
        <b/>
        <u/>
        <sz val="10"/>
        <rFont val="Arial"/>
        <family val="2"/>
      </rPr>
      <t>Resulting iLDESTD Values by Subject</t>
    </r>
    <r>
      <rPr>
        <sz val="10"/>
        <rFont val="Arial"/>
        <family val="2"/>
      </rPr>
      <t xml:space="preserve"> section within the Processing Rules - Scoring document for the logic used to set the Scaled Score Score values.</t>
    </r>
  </si>
  <si>
    <t>Blank when subtest is not assessed (zero points possible), or the Raw Score Total for Social Studies is blank.
The Raw Score for Subtest: 2 Task Item contains the score for the MC and CR items contained within the Task Item.  Refer to the DOTS for the number of MC Items and the maximum points possible per CR item contained in the Task Item as it varies by grade.</t>
  </si>
  <si>
    <r>
      <t xml:space="preserve">Total raw score for Social Studies </t>
    </r>
    <r>
      <rPr>
        <strike/>
        <sz val="10"/>
        <rFont val="Arial"/>
        <family val="2"/>
      </rPr>
      <t>i</t>
    </r>
    <r>
      <rPr>
        <sz val="10"/>
        <rFont val="Arial"/>
        <family val="2"/>
      </rPr>
      <t xml:space="preserve">tems.
Refer to the </t>
    </r>
    <r>
      <rPr>
        <b/>
        <u/>
        <sz val="10"/>
        <rFont val="Arial"/>
        <family val="2"/>
      </rPr>
      <t>Resulting iLDESTD Values by Subject</t>
    </r>
    <r>
      <rPr>
        <sz val="10"/>
        <rFont val="Arial"/>
        <family val="2"/>
      </rPr>
      <t xml:space="preserve"> section within the Processing Rules - Scoring document for the logic used to set the Raw Score values.
</t>
    </r>
  </si>
  <si>
    <r>
      <t xml:space="preserve">Scaled Score for Social Studies 
Refer to the </t>
    </r>
    <r>
      <rPr>
        <b/>
        <u/>
        <sz val="10"/>
        <rFont val="Arial"/>
        <family val="2"/>
      </rPr>
      <t>Resulting iLDESTD Values by Subject</t>
    </r>
    <r>
      <rPr>
        <sz val="10"/>
        <rFont val="Arial"/>
        <family val="2"/>
      </rPr>
      <t xml:space="preserve"> section within the Processing Rules - Scoring document for the logic used to set the Scaled Score Score values.</t>
    </r>
  </si>
  <si>
    <t xml:space="preserve">
Total points earned for each Social Studies subtest.
Blank when subtest is not assessed (zero points possible), or the Raw Score Total for Social Studies is blank.
The Raw Score for Subtest: 2 Task Item contains the score for the MC and CR items contained within the Task Item.  Refer to the DOTS for the number of MC Items and the maximum points possible per CR item contained in the Task Item as it varies by grade.</t>
  </si>
  <si>
    <r>
      <t xml:space="preserve">Within each subject, indicates whether a student attempted anyMC or CR type items on the test.
The MC / CR Taken flag will be set to "0" if the subject was the secondary record involved in a score merge.
</t>
    </r>
    <r>
      <rPr>
        <strike/>
        <sz val="10"/>
        <rFont val="Arial"/>
        <family val="2"/>
      </rPr>
      <t xml:space="preserve">
</t>
    </r>
    <r>
      <rPr>
        <sz val="10"/>
        <rFont val="Arial"/>
        <family val="2"/>
      </rPr>
      <t xml:space="preserve">
External Anchor Items are not included when determining the MC / CR Taken flags for ELA.</t>
    </r>
  </si>
  <si>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</si>
  <si>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This represents the answer document that the student took the test on.  It corresponds to the first position of the lithocode for the document.
Blank when document not returned.</t>
  </si>
  <si>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</si>
  <si>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Student's summarized ethnicity/race.
Refer to the </t>
    </r>
    <r>
      <rPr>
        <b/>
        <u/>
        <sz val="10"/>
        <rFont val="Arial"/>
        <family val="2"/>
      </rPr>
      <t>Rules to Determine Demographic Values</t>
    </r>
    <r>
      <rPr>
        <b/>
        <sz val="10"/>
        <rFont val="Arial"/>
        <family val="2"/>
      </rPr>
      <t xml:space="preserve"> </t>
    </r>
    <r>
      <rPr>
        <sz val="10"/>
        <rFont val="Arial"/>
        <family val="2"/>
      </rPr>
      <t>section of the Processing Rules - Scoring document for logic to determine this value based on values from the LAP file and the answer document.</t>
    </r>
  </si>
  <si>
    <r>
      <t xml:space="preserve">Student's summarized lunch status
Refer to the </t>
    </r>
    <r>
      <rPr>
        <b/>
        <u/>
        <sz val="10"/>
        <rFont val="Arial"/>
        <family val="2"/>
      </rPr>
      <t>Rules to Determine Demographic Values</t>
    </r>
    <r>
      <rPr>
        <sz val="10"/>
        <rFont val="Arial"/>
        <family val="2"/>
      </rPr>
      <t xml:space="preserve"> section of the Processing Rules -</t>
    </r>
    <r>
      <rPr>
        <strike/>
        <sz val="10"/>
        <rFont val="Arial"/>
        <family val="2"/>
      </rPr>
      <t xml:space="preserve"> </t>
    </r>
    <r>
      <rPr>
        <sz val="10"/>
        <rFont val="Arial"/>
        <family val="2"/>
      </rPr>
      <t>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</si>
  <si>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answer document.</t>
    </r>
  </si>
  <si>
    <r>
      <t xml:space="preserve">As bubbled on the answer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and for the location of the Accountability Codes for Testing document.</t>
    </r>
  </si>
  <si>
    <r>
      <t xml:space="preserve">This is a compilation of the codes from the LAP file and the bubbled categories. Refer to the </t>
    </r>
    <r>
      <rPr>
        <b/>
        <u/>
        <sz val="10"/>
        <rFont val="Arial"/>
        <family val="2"/>
      </rPr>
      <t>Special Education Exceptionality Categories and Codes</t>
    </r>
    <r>
      <rPr>
        <sz val="10"/>
        <rFont val="Arial"/>
        <family val="2"/>
      </rPr>
      <t xml:space="preserve"> section of the Processing Rules - Scoring document for the list of codes applicable to iLEAP.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</si>
  <si>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list of primary exceptionalities applicable to iLEAP.</t>
    </r>
  </si>
  <si>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</si>
  <si>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</si>
  <si>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</si>
  <si>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McKinney-Vento Act (Homeless)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</si>
  <si>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Migrant Status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</si>
  <si>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Scaled Score for ELA 
Refer to the </t>
    </r>
    <r>
      <rPr>
        <b/>
        <u/>
        <sz val="10"/>
        <rFont val="Arial"/>
        <family val="2"/>
      </rPr>
      <t>Resulting iLDESTD Values by Subject</t>
    </r>
    <r>
      <rPr>
        <sz val="10"/>
        <rFont val="Arial"/>
        <family val="2"/>
      </rPr>
      <t xml:space="preserve"> section within the Processing Rules -Scoring document for the logic used to set the Scaled Score Score values.</t>
    </r>
  </si>
  <si>
    <r>
      <t xml:space="preserve">Assessment Achievement level for ELA
Refer to the </t>
    </r>
    <r>
      <rPr>
        <b/>
        <u/>
        <sz val="10"/>
        <rFont val="Arial"/>
        <family val="2"/>
      </rPr>
      <t>Resulting iLDESTD Values by Subject</t>
    </r>
    <r>
      <rPr>
        <sz val="10"/>
        <rFont val="Arial"/>
        <family val="2"/>
      </rPr>
      <t xml:space="preserve"> section within the Processing Rules - Scoring document for the logic used to set the Assessment Achievement Level values.</t>
    </r>
    <r>
      <rPr>
        <strike/>
        <sz val="10"/>
        <color rgb="FFFF0000"/>
        <rFont val="Arial"/>
        <family val="2"/>
      </rPr>
      <t/>
    </r>
  </si>
  <si>
    <r>
      <t xml:space="preserve">Values 1-7 are codes indicating reader's reason for no score on all or part of the writing prompt.  Refer to the </t>
    </r>
    <r>
      <rPr>
        <b/>
        <u/>
        <sz val="10"/>
        <rFont val="Arial"/>
        <family val="2"/>
      </rPr>
      <t>Constructed Response Items</t>
    </r>
    <r>
      <rPr>
        <sz val="10"/>
        <rFont val="Arial"/>
        <family val="2"/>
      </rPr>
      <t xml:space="preserve"> section within the Processing Rules - Scoring document for more information on assigning non-score codes.
This field is Blank when a Non-Score Code was not assigned for the Writing item.</t>
    </r>
  </si>
  <si>
    <r>
      <t xml:space="preserve">Total raw score for Math for CRT items.
Refer to the </t>
    </r>
    <r>
      <rPr>
        <b/>
        <u/>
        <sz val="10"/>
        <rFont val="Arial"/>
        <family val="2"/>
      </rPr>
      <t>Resulting iLDESTD Values by Subject</t>
    </r>
    <r>
      <rPr>
        <sz val="10"/>
        <rFont val="Arial"/>
        <family val="2"/>
      </rPr>
      <t xml:space="preserve"> section within the Processing Rules - Scoring for the logic used to set the Raw Score values.
</t>
    </r>
  </si>
  <si>
    <r>
      <t xml:space="preserve">Scaled Score for Math 
Refer to the </t>
    </r>
    <r>
      <rPr>
        <b/>
        <u/>
        <sz val="10"/>
        <rFont val="Arial"/>
        <family val="2"/>
      </rPr>
      <t>Resulting iLDESTD Values by Subject</t>
    </r>
    <r>
      <rPr>
        <sz val="10"/>
        <rFont val="Arial"/>
        <family val="2"/>
      </rPr>
      <t xml:space="preserve"> section within the Processing Rules - Scoring for the logic used to set the Scaled Score Score values.</t>
    </r>
  </si>
  <si>
    <r>
      <t xml:space="preserve">Assessment Achievement level for Math
Refer to the </t>
    </r>
    <r>
      <rPr>
        <b/>
        <u/>
        <sz val="10"/>
        <rFont val="Arial"/>
        <family val="2"/>
      </rPr>
      <t>Resulting iLDESTD Values by Subject</t>
    </r>
    <r>
      <rPr>
        <sz val="10"/>
        <rFont val="Arial"/>
        <family val="2"/>
      </rPr>
      <t xml:space="preserve"> section within the Processing Rules - Scoring for the logic used to set the Assessment Achievement Level values.</t>
    </r>
    <r>
      <rPr>
        <strike/>
        <sz val="10"/>
        <color rgb="FFFF0000"/>
        <rFont val="Arial"/>
        <family val="2"/>
      </rPr>
      <t/>
    </r>
  </si>
  <si>
    <r>
      <t xml:space="preserve">Total raw score for Science items.
Refer to the </t>
    </r>
    <r>
      <rPr>
        <b/>
        <u/>
        <sz val="10"/>
        <rFont val="Arial"/>
        <family val="2"/>
      </rPr>
      <t>Resulting iLDESTD Values by Subject</t>
    </r>
    <r>
      <rPr>
        <sz val="10"/>
        <rFont val="Arial"/>
        <family val="2"/>
      </rPr>
      <t xml:space="preserve"> section within the Processing Rules - Scoring document for the logic used to set the Raw Score values.
</t>
    </r>
  </si>
  <si>
    <r>
      <t xml:space="preserve">Assessment Achievement level for Science.
Refer to the </t>
    </r>
    <r>
      <rPr>
        <b/>
        <u/>
        <sz val="10"/>
        <rFont val="Arial"/>
        <family val="2"/>
      </rPr>
      <t>Resulting iLDESTD Values by Subject</t>
    </r>
    <r>
      <rPr>
        <sz val="10"/>
        <rFont val="Arial"/>
        <family val="2"/>
      </rPr>
      <t xml:space="preserve"> section within the Processing Rules - Scoring document for the logic used to set the Assessment Achievement Level values.</t>
    </r>
  </si>
  <si>
    <r>
      <t xml:space="preserve">Assessment Achievement level for Social Studies.
Refer to the </t>
    </r>
    <r>
      <rPr>
        <b/>
        <u/>
        <sz val="10"/>
        <rFont val="Arial"/>
        <family val="2"/>
      </rPr>
      <t>Resulting iLDESTD Values by Subject</t>
    </r>
    <r>
      <rPr>
        <sz val="10"/>
        <rFont val="Arial"/>
        <family val="2"/>
      </rPr>
      <t xml:space="preserve"> section within the Processing Rules - Scoring document for the logic used to set the Assessment Achievement Level values.</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</si>
  <si>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Scoring document.
The Include in N-Counts Flag will be set to "N" if the subject was the secondary record involved in a score merge.</t>
    </r>
  </si>
  <si>
    <r>
      <t xml:space="preserve">Student attempted this Subject.
Refer to the </t>
    </r>
    <r>
      <rPr>
        <b/>
        <u/>
        <sz val="10"/>
        <rFont val="Arial"/>
        <family val="2"/>
      </rPr>
      <t>Test Taken</t>
    </r>
    <r>
      <rPr>
        <sz val="10"/>
        <rFont val="Arial"/>
        <family val="2"/>
      </rPr>
      <t xml:space="preserve"> section in the Processing Rules - Scoring document for rules on populating these values.
The Test Taken Flag will be set to "N" if the subject was the secondary record involved in a score merge.</t>
    </r>
  </si>
  <si>
    <r>
      <t xml:space="preserve">School-level flags set per the LDE School Master Files according to the Assess Group Code of the student's school.
Refer to the </t>
    </r>
    <r>
      <rPr>
        <b/>
        <u/>
        <sz val="10"/>
        <rFont val="Arial"/>
        <family val="2"/>
      </rPr>
      <t>Reporting Summarization and Delivery Table</t>
    </r>
    <r>
      <rPr>
        <sz val="10"/>
        <rFont val="Arial"/>
        <family val="2"/>
      </rPr>
      <t xml:space="preserve"> and the </t>
    </r>
    <r>
      <rPr>
        <b/>
        <u/>
        <sz val="10"/>
        <rFont val="Arial"/>
        <family val="2"/>
      </rPr>
      <t xml:space="preserve">Table of District/School Types Included on Each Report </t>
    </r>
    <r>
      <rPr>
        <sz val="10"/>
        <rFont val="Arial"/>
        <family val="2"/>
      </rPr>
      <t>in the Common Louisiana Processing Rules - Reporting document for further details.</t>
    </r>
  </si>
  <si>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</si>
  <si>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Accountability Achievement level for the given subject
Refer to the </t>
    </r>
    <r>
      <rPr>
        <b/>
        <u/>
        <sz val="10"/>
        <rFont val="Arial"/>
        <family val="2"/>
      </rPr>
      <t xml:space="preserve">Resulting iLDESTD Values by Subject </t>
    </r>
    <r>
      <rPr>
        <sz val="10"/>
        <rFont val="Arial"/>
        <family val="2"/>
      </rPr>
      <t>table in the Processing Rules - Scoring document for the logic to set the Accountability Achievement Level values.</t>
    </r>
  </si>
  <si>
    <t xml:space="preserve">iLEAP LDESTD File Layout - Final file_LDE Staff and Contractors </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</si>
</sst>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10"/>
      <name val="Arial"/>
      <family val="2"/>
    </font>
    <font>
      <sz val="10"/>
      <color indexed="12"/>
      <name val="Arial"/>
      <family val="2"/>
    </font>
    <font>
      <sz val="10"/>
      <name val="Arial"/>
      <family val="2"/>
    </font>
    <font>
      <i/>
      <sz val="10"/>
      <name val="Arial"/>
      <family val="2"/>
    </font>
    <font>
      <b/>
      <sz val="10"/>
      <name val="Arial"/>
      <family val="2"/>
    </font>
    <font>
      <sz val="10"/>
      <name val="Arial"/>
      <family val="2"/>
    </font>
    <font>
      <sz val="8"/>
      <name val="Arial"/>
      <family val="2"/>
    </font>
    <font>
      <b/>
      <sz val="10"/>
      <color indexed="10"/>
      <name val="Arial"/>
      <family val="2"/>
    </font>
    <font>
      <sz val="10"/>
      <color indexed="17"/>
      <name val="Arial"/>
      <family val="2"/>
    </font>
    <font>
      <b/>
      <u/>
      <sz val="10"/>
      <name val="Arial"/>
      <family val="2"/>
    </font>
    <font>
      <b/>
      <sz val="16"/>
      <name val="Arial"/>
      <family val="2"/>
    </font>
    <font>
      <b/>
      <sz val="12"/>
      <name val="Arial"/>
      <family val="2"/>
    </font>
    <font>
      <b/>
      <u/>
      <sz val="12"/>
      <name val="Arial"/>
      <family val="2"/>
    </font>
    <font>
      <u/>
      <sz val="10"/>
      <color indexed="10"/>
      <name val="Arial"/>
      <family val="2"/>
    </font>
    <font>
      <sz val="11"/>
      <color theme="1"/>
      <name val="Calibri"/>
      <family val="2"/>
      <scheme val="minor"/>
    </font>
    <font>
      <strike/>
      <sz val="10"/>
      <name val="Arial"/>
      <family val="2"/>
    </font>
    <font>
      <strike/>
      <sz val="10"/>
      <color rgb="FFFF0000"/>
      <name val="Arial"/>
      <family val="2"/>
    </font>
    <font>
      <u/>
      <sz val="10"/>
      <color theme="10"/>
      <name val="Arial"/>
      <family val="2"/>
    </font>
    <font>
      <sz val="10"/>
      <name val="Arial"/>
      <family val="2"/>
    </font>
    <font>
      <sz val="10"/>
      <name val="Calibri"/>
      <family val="2"/>
    </font>
    <font>
      <b/>
      <strike/>
      <sz val="10"/>
      <name val="Arial"/>
      <family val="2"/>
    </font>
  </fonts>
  <fills count="3">
    <fill>
      <patternFill patternType="none"/>
    </fill>
    <fill>
      <patternFill patternType="gray125"/>
    </fill>
    <fill>
      <patternFill patternType="solid">
        <fgColor theme="0"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98">
    <xf numFmtId="0" fontId="0" fillId="0" borderId="0"/>
    <xf numFmtId="0" fontId="5" fillId="0" borderId="0"/>
    <xf numFmtId="0" fontId="5" fillId="0" borderId="0"/>
    <xf numFmtId="0" fontId="20" fillId="0" borderId="0"/>
    <xf numFmtId="0" fontId="4" fillId="0" borderId="0"/>
    <xf numFmtId="0" fontId="23" fillId="0" borderId="0" applyNumberFormat="0" applyFill="0" applyBorder="0" applyAlignment="0" applyProtection="0"/>
    <xf numFmtId="0" fontId="3" fillId="0" borderId="0"/>
    <xf numFmtId="0" fontId="24" fillId="0" borderId="0"/>
    <xf numFmtId="0" fontId="3" fillId="0" borderId="0"/>
    <xf numFmtId="0" fontId="3"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xf numFmtId="0" fontId="3" fillId="0" borderId="0"/>
    <xf numFmtId="0" fontId="3" fillId="0" borderId="0"/>
    <xf numFmtId="0" fontId="3" fillId="0" borderId="0"/>
    <xf numFmtId="0" fontId="5" fillId="0" borderId="0"/>
    <xf numFmtId="0" fontId="3" fillId="0" borderId="0"/>
    <xf numFmtId="0" fontId="3" fillId="0" borderId="0"/>
    <xf numFmtId="0" fontId="3" fillId="0" borderId="0"/>
    <xf numFmtId="0" fontId="3" fillId="0" borderId="0"/>
    <xf numFmtId="0" fontId="3" fillId="0" borderId="0"/>
    <xf numFmtId="0" fontId="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1">
    <xf numFmtId="0" fontId="0" fillId="0" borderId="0" xfId="0"/>
    <xf numFmtId="0" fontId="17" fillId="0" borderId="0" xfId="0" applyFont="1" applyFill="1" applyBorder="1" applyAlignment="1">
      <alignment horizontal="center" vertical="top"/>
    </xf>
    <xf numFmtId="0" fontId="17" fillId="0" borderId="0" xfId="0" applyFont="1" applyFill="1" applyBorder="1" applyAlignment="1">
      <alignment vertical="top"/>
    </xf>
    <xf numFmtId="0" fontId="5" fillId="0" borderId="0" xfId="0" applyFont="1" applyFill="1" applyBorder="1"/>
    <xf numFmtId="0" fontId="5" fillId="0" borderId="0" xfId="0" applyFont="1" applyFill="1" applyBorder="1" applyAlignment="1">
      <alignment horizontal="center" vertical="top"/>
    </xf>
    <xf numFmtId="1" fontId="5" fillId="0" borderId="0" xfId="0" applyNumberFormat="1" applyFont="1" applyFill="1" applyBorder="1" applyAlignment="1">
      <alignment horizontal="center" vertical="top"/>
    </xf>
    <xf numFmtId="0" fontId="5" fillId="0" borderId="0" xfId="0" applyFont="1" applyFill="1" applyBorder="1" applyAlignment="1">
      <alignment vertical="top" wrapText="1"/>
    </xf>
    <xf numFmtId="49" fontId="18" fillId="0" borderId="0" xfId="0" applyNumberFormat="1" applyFont="1" applyFill="1" applyBorder="1" applyAlignment="1">
      <alignment horizontal="center" vertical="top"/>
    </xf>
    <xf numFmtId="0" fontId="16" fillId="0" borderId="0" xfId="0" applyFont="1" applyFill="1" applyBorder="1"/>
    <xf numFmtId="0" fontId="17" fillId="0" borderId="0" xfId="0" applyFont="1" applyFill="1" applyBorder="1" applyAlignment="1">
      <alignment wrapText="1"/>
    </xf>
    <xf numFmtId="0" fontId="17" fillId="0" borderId="0" xfId="0" applyFont="1" applyFill="1" applyBorder="1" applyAlignment="1"/>
    <xf numFmtId="0" fontId="8" fillId="0" borderId="0" xfId="0" applyFont="1" applyFill="1" applyBorder="1" applyAlignment="1">
      <alignment horizontal="center" vertical="top"/>
    </xf>
    <xf numFmtId="0" fontId="8"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applyAlignment="1">
      <alignment horizontal="left" vertical="center" wrapText="1"/>
    </xf>
    <xf numFmtId="0" fontId="6" fillId="0" borderId="0" xfId="0" applyFont="1" applyFill="1" applyBorder="1" applyAlignment="1">
      <alignment vertical="top"/>
    </xf>
    <xf numFmtId="0" fontId="13" fillId="0" borderId="0" xfId="0" applyFont="1" applyFill="1" applyBorder="1" applyAlignment="1">
      <alignment horizontal="left" vertical="center" wrapText="1"/>
    </xf>
    <xf numFmtId="0" fontId="8" fillId="0" borderId="0" xfId="0" applyFont="1" applyFill="1" applyBorder="1" applyAlignment="1">
      <alignment horizontal="center"/>
    </xf>
    <xf numFmtId="0" fontId="8" fillId="0" borderId="0" xfId="0" applyFont="1" applyFill="1" applyBorder="1" applyAlignment="1">
      <alignment horizontal="left"/>
    </xf>
    <xf numFmtId="0" fontId="10" fillId="0" borderId="0" xfId="0" applyFont="1" applyFill="1" applyBorder="1" applyAlignment="1">
      <alignment horizontal="center" vertical="top"/>
    </xf>
    <xf numFmtId="0" fontId="0" fillId="0" borderId="0" xfId="0" applyFill="1" applyBorder="1"/>
    <xf numFmtId="0" fontId="0" fillId="0" borderId="0" xfId="0" applyFill="1" applyBorder="1" applyAlignment="1">
      <alignment horizontal="center" vertical="top"/>
    </xf>
    <xf numFmtId="0" fontId="0" fillId="0" borderId="0" xfId="0" applyFill="1" applyBorder="1" applyAlignment="1">
      <alignment horizontal="center"/>
    </xf>
    <xf numFmtId="0" fontId="9" fillId="0" borderId="0" xfId="0" applyFont="1" applyFill="1" applyBorder="1" applyAlignment="1">
      <alignment horizontal="left" vertical="center"/>
    </xf>
    <xf numFmtId="0" fontId="11" fillId="0" borderId="0" xfId="0" applyFont="1" applyFill="1" applyBorder="1" applyAlignment="1">
      <alignment vertical="top"/>
    </xf>
    <xf numFmtId="0" fontId="0" fillId="0" borderId="0" xfId="0" applyFill="1" applyBorder="1" applyAlignment="1">
      <alignment wrapText="1"/>
    </xf>
    <xf numFmtId="0" fontId="0" fillId="0" borderId="0" xfId="0" applyFill="1" applyBorder="1" applyAlignment="1">
      <alignment vertical="top"/>
    </xf>
    <xf numFmtId="0" fontId="10" fillId="0" borderId="0" xfId="0" applyFont="1" applyFill="1" applyBorder="1" applyAlignment="1">
      <alignment horizontal="left" vertical="center" wrapText="1"/>
    </xf>
    <xf numFmtId="0" fontId="14" fillId="0" borderId="0" xfId="0" applyFont="1" applyFill="1" applyBorder="1" applyAlignment="1">
      <alignment vertical="top"/>
    </xf>
    <xf numFmtId="0" fontId="10" fillId="0" borderId="0" xfId="0" applyFont="1" applyFill="1" applyBorder="1" applyAlignment="1">
      <alignment horizontal="center"/>
    </xf>
    <xf numFmtId="0" fontId="7" fillId="0" borderId="0" xfId="0" applyFont="1" applyFill="1" applyBorder="1" applyAlignment="1">
      <alignment vertical="top" wrapText="1"/>
    </xf>
    <xf numFmtId="0" fontId="17" fillId="0" borderId="0" xfId="0" applyFont="1" applyFill="1" applyBorder="1" applyAlignment="1">
      <alignment horizontal="right" vertical="top"/>
    </xf>
    <xf numFmtId="0" fontId="0" fillId="0" borderId="0" xfId="0" applyFill="1" applyBorder="1" applyAlignment="1">
      <alignment vertical="top" wrapText="1"/>
    </xf>
    <xf numFmtId="0" fontId="5" fillId="0" borderId="0" xfId="0" applyFont="1" applyFill="1" applyBorder="1" applyAlignment="1">
      <alignment vertical="top"/>
    </xf>
    <xf numFmtId="16" fontId="5" fillId="0" borderId="0" xfId="0" applyNumberFormat="1" applyFont="1" applyFill="1" applyBorder="1" applyAlignment="1">
      <alignment horizontal="left" vertical="center" wrapText="1"/>
    </xf>
    <xf numFmtId="0" fontId="5" fillId="0" borderId="0" xfId="0" applyFont="1" applyFill="1" applyBorder="1" applyAlignment="1">
      <alignment horizontal="left" vertical="top" wrapText="1"/>
    </xf>
    <xf numFmtId="0" fontId="5" fillId="0" borderId="0" xfId="0" applyFont="1" applyFill="1" applyAlignment="1">
      <alignment wrapText="1"/>
    </xf>
    <xf numFmtId="0" fontId="5" fillId="0" borderId="0" xfId="0" applyFont="1" applyFill="1" applyBorder="1" applyAlignment="1">
      <alignment horizontal="left" vertical="top"/>
    </xf>
    <xf numFmtId="0" fontId="5" fillId="0" borderId="0" xfId="0" applyFont="1" applyFill="1" applyBorder="1" applyAlignment="1">
      <alignment horizontal="center" vertical="center" wrapText="1"/>
    </xf>
    <xf numFmtId="0" fontId="5" fillId="0" borderId="0" xfId="0" applyFont="1" applyFill="1" applyBorder="1" applyAlignment="1">
      <alignment wrapText="1"/>
    </xf>
    <xf numFmtId="0" fontId="0" fillId="0" borderId="0" xfId="0" applyAlignment="1">
      <alignment wrapText="1"/>
    </xf>
    <xf numFmtId="0" fontId="0" fillId="0" borderId="6" xfId="0" applyBorder="1" applyAlignment="1">
      <alignment vertical="center" wrapText="1"/>
    </xf>
    <xf numFmtId="0" fontId="0" fillId="0" borderId="2" xfId="0" applyBorder="1" applyAlignment="1">
      <alignment vertical="center" wrapText="1"/>
    </xf>
    <xf numFmtId="0" fontId="23" fillId="0" borderId="7" xfId="5" applyBorder="1" applyAlignment="1">
      <alignment vertical="center" wrapText="1"/>
    </xf>
    <xf numFmtId="0" fontId="5" fillId="0" borderId="8" xfId="0" applyFont="1" applyBorder="1" applyAlignment="1">
      <alignment vertical="center" wrapText="1"/>
    </xf>
    <xf numFmtId="0" fontId="5" fillId="0" borderId="1" xfId="0" applyFont="1" applyBorder="1" applyAlignment="1">
      <alignment vertical="center" wrapText="1"/>
    </xf>
    <xf numFmtId="0" fontId="23" fillId="0" borderId="9" xfId="5" applyBorder="1" applyAlignment="1">
      <alignment vertical="center" wrapText="1"/>
    </xf>
    <xf numFmtId="0" fontId="5" fillId="0" borderId="10" xfId="0" applyFont="1" applyBorder="1" applyAlignment="1">
      <alignment vertical="center" wrapText="1"/>
    </xf>
    <xf numFmtId="0" fontId="5" fillId="0" borderId="11" xfId="0" applyFont="1" applyBorder="1" applyAlignment="1">
      <alignment vertical="center" wrapText="1"/>
    </xf>
    <xf numFmtId="0" fontId="0" fillId="0" borderId="12" xfId="0" applyBorder="1" applyAlignment="1">
      <alignment vertical="center" wrapText="1"/>
    </xf>
    <xf numFmtId="0" fontId="10" fillId="2" borderId="3" xfId="0" applyFont="1" applyFill="1" applyBorder="1" applyAlignment="1">
      <alignment wrapText="1"/>
    </xf>
    <xf numFmtId="0" fontId="10" fillId="2" borderId="4" xfId="0" applyFont="1" applyFill="1" applyBorder="1" applyAlignment="1">
      <alignment wrapText="1"/>
    </xf>
    <xf numFmtId="0" fontId="10" fillId="2" borderId="5" xfId="0" applyFont="1" applyFill="1" applyBorder="1" applyAlignment="1">
      <alignment wrapText="1"/>
    </xf>
    <xf numFmtId="0" fontId="5" fillId="0" borderId="0" xfId="0" applyFont="1" applyFill="1" applyBorder="1" applyAlignment="1">
      <alignment horizontal="left" vertical="center" wrapText="1"/>
    </xf>
    <xf numFmtId="0" fontId="16" fillId="0" borderId="0" xfId="0" applyFont="1" applyFill="1" applyBorder="1" applyAlignment="1">
      <alignment horizontal="left"/>
    </xf>
    <xf numFmtId="49" fontId="5"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xf>
    <xf numFmtId="0" fontId="8" fillId="0" borderId="0" xfId="0" applyFont="1" applyFill="1" applyBorder="1" applyAlignment="1">
      <alignment horizontal="left" vertical="center"/>
    </xf>
    <xf numFmtId="0" fontId="5" fillId="0" borderId="0" xfId="0" applyFont="1" applyFill="1" applyAlignment="1">
      <alignment horizontal="left" vertical="center" wrapText="1"/>
    </xf>
    <xf numFmtId="0" fontId="5" fillId="0" borderId="0" xfId="0" applyFont="1" applyFill="1" applyBorder="1" applyAlignment="1">
      <alignment vertical="center" wrapText="1"/>
    </xf>
    <xf numFmtId="0" fontId="10" fillId="0" borderId="0" xfId="0" applyFont="1" applyFill="1" applyBorder="1" applyAlignment="1">
      <alignment vertical="top"/>
    </xf>
    <xf numFmtId="49" fontId="18" fillId="0" borderId="0" xfId="0" applyNumberFormat="1" applyFont="1" applyFill="1" applyBorder="1" applyAlignment="1">
      <alignment horizontal="left" vertical="center"/>
    </xf>
    <xf numFmtId="49" fontId="10" fillId="0" borderId="0" xfId="0" applyNumberFormat="1" applyFont="1" applyFill="1" applyBorder="1" applyAlignment="1">
      <alignment horizontal="left" vertical="top"/>
    </xf>
    <xf numFmtId="0" fontId="5" fillId="0" borderId="0" xfId="0" applyNumberFormat="1" applyFont="1" applyFill="1" applyBorder="1" applyAlignment="1">
      <alignment horizontal="left" vertical="center" wrapText="1"/>
    </xf>
    <xf numFmtId="0" fontId="10" fillId="0" borderId="0" xfId="0" applyFont="1" applyFill="1" applyBorder="1" applyAlignment="1">
      <alignment horizontal="left" vertical="top"/>
    </xf>
    <xf numFmtId="0" fontId="5" fillId="0" borderId="0" xfId="0" applyFont="1" applyFill="1" applyAlignment="1">
      <alignment vertical="center"/>
    </xf>
    <xf numFmtId="0" fontId="5" fillId="0" borderId="0" xfId="0" applyFont="1" applyFill="1" applyBorder="1" applyAlignment="1">
      <alignment horizontal="center" vertical="top" wrapText="1"/>
    </xf>
    <xf numFmtId="0" fontId="21" fillId="0" borderId="0" xfId="0" applyFont="1" applyFill="1" applyBorder="1" applyAlignment="1">
      <alignment horizontal="left" vertical="center" wrapText="1"/>
    </xf>
    <xf numFmtId="0" fontId="26" fillId="0" borderId="0" xfId="0" applyFont="1" applyFill="1" applyBorder="1" applyAlignment="1">
      <alignment vertical="top"/>
    </xf>
    <xf numFmtId="0" fontId="16" fillId="0" borderId="0" xfId="0" applyFont="1" applyFill="1" applyBorder="1" applyAlignment="1">
      <alignment horizontal="center"/>
    </xf>
    <xf numFmtId="0" fontId="5" fillId="0" borderId="0" xfId="0" applyFont="1" applyFill="1" applyBorder="1" applyAlignment="1">
      <alignment horizontal="left" vertical="center" wrapText="1"/>
    </xf>
    <xf numFmtId="0" fontId="5" fillId="0" borderId="0" xfId="0" applyFont="1" applyFill="1" applyAlignment="1">
      <alignment horizontal="left" vertical="center" wrapText="1"/>
    </xf>
    <xf numFmtId="0" fontId="5" fillId="0" borderId="0" xfId="0" applyFont="1" applyFill="1" applyBorder="1" applyAlignment="1">
      <alignment horizontal="left" vertical="center"/>
    </xf>
    <xf numFmtId="0" fontId="5" fillId="0" borderId="0" xfId="0" applyFont="1" applyFill="1" applyBorder="1" applyAlignment="1">
      <alignment wrapText="1"/>
    </xf>
    <xf numFmtId="0" fontId="5" fillId="0" borderId="0" xfId="0" applyFont="1" applyFill="1" applyAlignment="1">
      <alignment wrapText="1"/>
    </xf>
    <xf numFmtId="0" fontId="5" fillId="0" borderId="0" xfId="0" applyFont="1" applyFill="1" applyAlignment="1"/>
    <xf numFmtId="0" fontId="16" fillId="0" borderId="0" xfId="0" applyFont="1" applyFill="1" applyBorder="1" applyAlignment="1">
      <alignment horizontal="left"/>
    </xf>
    <xf numFmtId="0" fontId="5" fillId="0" borderId="0" xfId="0" applyFont="1" applyFill="1"/>
    <xf numFmtId="49" fontId="5" fillId="0" borderId="0" xfId="0" applyNumberFormat="1" applyFont="1" applyFill="1" applyBorder="1" applyAlignment="1">
      <alignment horizontal="left" vertical="center" wrapText="1"/>
    </xf>
    <xf numFmtId="0" fontId="5" fillId="0" borderId="0" xfId="0" applyFont="1" applyFill="1" applyBorder="1" applyAlignment="1">
      <alignment vertical="center"/>
    </xf>
    <xf numFmtId="0" fontId="5" fillId="0" borderId="0" xfId="0" applyFont="1" applyFill="1" applyAlignment="1">
      <alignment vertical="center"/>
    </xf>
  </cellXfs>
  <cellStyles count="198">
    <cellStyle name="Hyperlink" xfId="5" builtinId="8"/>
    <cellStyle name="Normal" xfId="0" builtinId="0"/>
    <cellStyle name="Normal 10" xfId="23"/>
    <cellStyle name="Normal 10 2" xfId="29"/>
    <cellStyle name="Normal 10 2 2" xfId="40"/>
    <cellStyle name="Normal 10 2 2 2" xfId="61"/>
    <cellStyle name="Normal 10 2 2 2 2" xfId="106"/>
    <cellStyle name="Normal 10 2 2 2 2 2" xfId="195"/>
    <cellStyle name="Normal 10 2 2 2 3" xfId="151"/>
    <cellStyle name="Normal 10 2 2 3" xfId="86"/>
    <cellStyle name="Normal 10 2 2 3 2" xfId="175"/>
    <cellStyle name="Normal 10 2 2 4" xfId="131"/>
    <cellStyle name="Normal 10 2 3" xfId="51"/>
    <cellStyle name="Normal 10 2 3 2" xfId="96"/>
    <cellStyle name="Normal 10 2 3 2 2" xfId="185"/>
    <cellStyle name="Normal 10 2 3 3" xfId="141"/>
    <cellStyle name="Normal 10 2 4" xfId="76"/>
    <cellStyle name="Normal 10 2 4 2" xfId="165"/>
    <cellStyle name="Normal 10 2 5" xfId="121"/>
    <cellStyle name="Normal 10 3" xfId="35"/>
    <cellStyle name="Normal 10 3 2" xfId="56"/>
    <cellStyle name="Normal 10 3 2 2" xfId="101"/>
    <cellStyle name="Normal 10 3 2 2 2" xfId="190"/>
    <cellStyle name="Normal 10 3 2 3" xfId="146"/>
    <cellStyle name="Normal 10 3 3" xfId="81"/>
    <cellStyle name="Normal 10 3 3 2" xfId="170"/>
    <cellStyle name="Normal 10 3 4" xfId="126"/>
    <cellStyle name="Normal 10 4" xfId="46"/>
    <cellStyle name="Normal 10 4 2" xfId="91"/>
    <cellStyle name="Normal 10 4 2 2" xfId="180"/>
    <cellStyle name="Normal 10 4 3" xfId="136"/>
    <cellStyle name="Normal 10 5" xfId="71"/>
    <cellStyle name="Normal 10 5 2" xfId="160"/>
    <cellStyle name="Normal 10 6" xfId="116"/>
    <cellStyle name="Normal 11" xfId="25"/>
    <cellStyle name="Normal 11 2" xfId="31"/>
    <cellStyle name="Normal 11 2 2" xfId="42"/>
    <cellStyle name="Normal 11 2 2 2" xfId="63"/>
    <cellStyle name="Normal 11 2 2 2 2" xfId="108"/>
    <cellStyle name="Normal 11 2 2 2 2 2" xfId="197"/>
    <cellStyle name="Normal 11 2 2 2 3" xfId="153"/>
    <cellStyle name="Normal 11 2 2 3" xfId="88"/>
    <cellStyle name="Normal 11 2 2 3 2" xfId="177"/>
    <cellStyle name="Normal 11 2 2 4" xfId="133"/>
    <cellStyle name="Normal 11 2 3" xfId="53"/>
    <cellStyle name="Normal 11 2 3 2" xfId="98"/>
    <cellStyle name="Normal 11 2 3 2 2" xfId="187"/>
    <cellStyle name="Normal 11 2 3 3" xfId="143"/>
    <cellStyle name="Normal 11 2 4" xfId="78"/>
    <cellStyle name="Normal 11 2 4 2" xfId="167"/>
    <cellStyle name="Normal 11 2 5" xfId="123"/>
    <cellStyle name="Normal 11 3" xfId="37"/>
    <cellStyle name="Normal 11 3 2" xfId="58"/>
    <cellStyle name="Normal 11 3 2 2" xfId="103"/>
    <cellStyle name="Normal 11 3 2 2 2" xfId="192"/>
    <cellStyle name="Normal 11 3 2 3" xfId="148"/>
    <cellStyle name="Normal 11 3 3" xfId="83"/>
    <cellStyle name="Normal 11 3 3 2" xfId="172"/>
    <cellStyle name="Normal 11 3 4" xfId="128"/>
    <cellStyle name="Normal 11 4" xfId="48"/>
    <cellStyle name="Normal 11 4 2" xfId="93"/>
    <cellStyle name="Normal 11 4 2 2" xfId="182"/>
    <cellStyle name="Normal 11 4 3" xfId="138"/>
    <cellStyle name="Normal 11 5" xfId="73"/>
    <cellStyle name="Normal 11 5 2" xfId="162"/>
    <cellStyle name="Normal 11 6" xfId="118"/>
    <cellStyle name="Normal 12" xfId="27"/>
    <cellStyle name="Normal 13" xfId="26"/>
    <cellStyle name="Normal 13 2" xfId="38"/>
    <cellStyle name="Normal 13 2 2" xfId="59"/>
    <cellStyle name="Normal 13 2 2 2" xfId="104"/>
    <cellStyle name="Normal 13 2 2 2 2" xfId="193"/>
    <cellStyle name="Normal 13 2 2 3" xfId="149"/>
    <cellStyle name="Normal 13 2 3" xfId="84"/>
    <cellStyle name="Normal 13 2 3 2" xfId="173"/>
    <cellStyle name="Normal 13 2 4" xfId="129"/>
    <cellStyle name="Normal 13 3" xfId="49"/>
    <cellStyle name="Normal 13 3 2" xfId="94"/>
    <cellStyle name="Normal 13 3 2 2" xfId="183"/>
    <cellStyle name="Normal 13 3 3" xfId="139"/>
    <cellStyle name="Normal 13 4" xfId="74"/>
    <cellStyle name="Normal 13 4 2" xfId="163"/>
    <cellStyle name="Normal 13 5" xfId="119"/>
    <cellStyle name="Normal 14" xfId="33"/>
    <cellStyle name="Normal 15" xfId="32"/>
    <cellStyle name="Normal 15 2" xfId="54"/>
    <cellStyle name="Normal 15 2 2" xfId="99"/>
    <cellStyle name="Normal 15 2 2 2" xfId="188"/>
    <cellStyle name="Normal 15 2 3" xfId="144"/>
    <cellStyle name="Normal 15 3" xfId="79"/>
    <cellStyle name="Normal 15 3 2" xfId="168"/>
    <cellStyle name="Normal 15 4" xfId="124"/>
    <cellStyle name="Normal 16" xfId="44"/>
    <cellStyle name="Normal 17" xfId="43"/>
    <cellStyle name="Normal 17 2" xfId="89"/>
    <cellStyle name="Normal 17 2 2" xfId="178"/>
    <cellStyle name="Normal 17 3" xfId="134"/>
    <cellStyle name="Normal 18" xfId="6"/>
    <cellStyle name="Normal 18 2" xfId="68"/>
    <cellStyle name="Normal 18 2 2" xfId="157"/>
    <cellStyle name="Normal 18 3" xfId="113"/>
    <cellStyle name="Normal 19" xfId="65"/>
    <cellStyle name="Normal 2" xfId="1"/>
    <cellStyle name="Normal 20" xfId="64"/>
    <cellStyle name="Normal 20 2" xfId="154"/>
    <cellStyle name="Normal 21" xfId="110"/>
    <cellStyle name="Normal 22" xfId="109"/>
    <cellStyle name="Normal 3" xfId="2"/>
    <cellStyle name="Normal 4" xfId="3"/>
    <cellStyle name="Normal 4 2" xfId="24"/>
    <cellStyle name="Normal 4 2 2" xfId="30"/>
    <cellStyle name="Normal 4 2 2 2" xfId="41"/>
    <cellStyle name="Normal 4 2 2 2 2" xfId="62"/>
    <cellStyle name="Normal 4 2 2 2 2 2" xfId="107"/>
    <cellStyle name="Normal 4 2 2 2 2 2 2" xfId="196"/>
    <cellStyle name="Normal 4 2 2 2 2 3" xfId="152"/>
    <cellStyle name="Normal 4 2 2 2 3" xfId="87"/>
    <cellStyle name="Normal 4 2 2 2 3 2" xfId="176"/>
    <cellStyle name="Normal 4 2 2 2 4" xfId="132"/>
    <cellStyle name="Normal 4 2 2 3" xfId="52"/>
    <cellStyle name="Normal 4 2 2 3 2" xfId="97"/>
    <cellStyle name="Normal 4 2 2 3 2 2" xfId="186"/>
    <cellStyle name="Normal 4 2 2 3 3" xfId="142"/>
    <cellStyle name="Normal 4 2 2 4" xfId="77"/>
    <cellStyle name="Normal 4 2 2 4 2" xfId="166"/>
    <cellStyle name="Normal 4 2 2 5" xfId="122"/>
    <cellStyle name="Normal 4 2 3" xfId="36"/>
    <cellStyle name="Normal 4 2 3 2" xfId="57"/>
    <cellStyle name="Normal 4 2 3 2 2" xfId="102"/>
    <cellStyle name="Normal 4 2 3 2 2 2" xfId="191"/>
    <cellStyle name="Normal 4 2 3 2 3" xfId="147"/>
    <cellStyle name="Normal 4 2 3 3" xfId="82"/>
    <cellStyle name="Normal 4 2 3 3 2" xfId="171"/>
    <cellStyle name="Normal 4 2 3 4" xfId="127"/>
    <cellStyle name="Normal 4 2 4" xfId="47"/>
    <cellStyle name="Normal 4 2 4 2" xfId="92"/>
    <cellStyle name="Normal 4 2 4 2 2" xfId="181"/>
    <cellStyle name="Normal 4 2 4 3" xfId="137"/>
    <cellStyle name="Normal 4 2 5" xfId="72"/>
    <cellStyle name="Normal 4 2 5 2" xfId="161"/>
    <cellStyle name="Normal 4 2 6" xfId="117"/>
    <cellStyle name="Normal 4 3" xfId="28"/>
    <cellStyle name="Normal 4 3 2" xfId="39"/>
    <cellStyle name="Normal 4 3 2 2" xfId="60"/>
    <cellStyle name="Normal 4 3 2 2 2" xfId="105"/>
    <cellStyle name="Normal 4 3 2 2 2 2" xfId="194"/>
    <cellStyle name="Normal 4 3 2 2 3" xfId="150"/>
    <cellStyle name="Normal 4 3 2 3" xfId="85"/>
    <cellStyle name="Normal 4 3 2 3 2" xfId="174"/>
    <cellStyle name="Normal 4 3 2 4" xfId="130"/>
    <cellStyle name="Normal 4 3 3" xfId="50"/>
    <cellStyle name="Normal 4 3 3 2" xfId="95"/>
    <cellStyle name="Normal 4 3 3 2 2" xfId="184"/>
    <cellStyle name="Normal 4 3 3 3" xfId="140"/>
    <cellStyle name="Normal 4 3 4" xfId="75"/>
    <cellStyle name="Normal 4 3 4 2" xfId="164"/>
    <cellStyle name="Normal 4 3 5" xfId="120"/>
    <cellStyle name="Normal 4 4" xfId="34"/>
    <cellStyle name="Normal 4 4 2" xfId="55"/>
    <cellStyle name="Normal 4 4 2 2" xfId="100"/>
    <cellStyle name="Normal 4 4 2 2 2" xfId="189"/>
    <cellStyle name="Normal 4 4 2 3" xfId="145"/>
    <cellStyle name="Normal 4 4 3" xfId="80"/>
    <cellStyle name="Normal 4 4 3 2" xfId="169"/>
    <cellStyle name="Normal 4 4 4" xfId="125"/>
    <cellStyle name="Normal 4 5" xfId="45"/>
    <cellStyle name="Normal 4 5 2" xfId="90"/>
    <cellStyle name="Normal 4 5 2 2" xfId="179"/>
    <cellStyle name="Normal 4 5 3" xfId="135"/>
    <cellStyle name="Normal 4 6" xfId="8"/>
    <cellStyle name="Normal 4 6 2" xfId="69"/>
    <cellStyle name="Normal 4 6 2 2" xfId="158"/>
    <cellStyle name="Normal 4 6 3" xfId="114"/>
    <cellStyle name="Normal 4 7" xfId="66"/>
    <cellStyle name="Normal 4 7 2" xfId="155"/>
    <cellStyle name="Normal 4 8" xfId="111"/>
    <cellStyle name="Normal 5" xfId="4"/>
    <cellStyle name="Normal 5 2" xfId="11"/>
    <cellStyle name="Normal 5 2 2" xfId="12"/>
    <cellStyle name="Normal 5 2 3" xfId="13"/>
    <cellStyle name="Normal 5 3" xfId="10"/>
    <cellStyle name="Normal 5 4" xfId="9"/>
    <cellStyle name="Normal 5 4 2" xfId="70"/>
    <cellStyle name="Normal 5 4 2 2" xfId="159"/>
    <cellStyle name="Normal 5 4 3" xfId="115"/>
    <cellStyle name="Normal 5 5" xfId="67"/>
    <cellStyle name="Normal 5 5 2" xfId="156"/>
    <cellStyle name="Normal 5 6" xfId="112"/>
    <cellStyle name="Normal 6" xfId="7"/>
    <cellStyle name="Normal 6 2" xfId="15"/>
    <cellStyle name="Normal 6 3" xfId="16"/>
    <cellStyle name="Normal 6 3 2" xfId="17"/>
    <cellStyle name="Normal 6 4" xfId="14"/>
    <cellStyle name="Normal 7" xfId="18"/>
    <cellStyle name="Normal 7 2" xfId="19"/>
    <cellStyle name="Normal 8" xfId="20"/>
    <cellStyle name="Normal 8 2" xfId="21"/>
    <cellStyle name="Normal 9" xfId="22"/>
  </cellStyles>
  <dxfs count="0"/>
  <tableStyles count="0" defaultTableStyle="TableStyleMedium9" defaultPivotStyle="PivotStyleLight16"/>
  <colors>
    <mruColors>
      <color rgb="FFFFFF99"/>
      <color rgb="FFFFFFCC"/>
      <color rgb="FF99CCFF"/>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0</xdr:colOff>
      <xdr:row>0</xdr:row>
      <xdr:rowOff>0</xdr:rowOff>
    </xdr:to>
    <xdr:sp macro="" textlink="">
      <xdr:nvSpPr>
        <xdr:cNvPr id="4167" name="Rectangle 1"/>
        <xdr:cNvSpPr>
          <a:spLocks noChangeArrowheads="1"/>
        </xdr:cNvSpPr>
      </xdr:nvSpPr>
      <xdr:spPr bwMode="auto">
        <a:xfrm>
          <a:off x="12268200" y="0"/>
          <a:ext cx="0" cy="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hyperlink" Target="http://drcdirect/informationsystems/eis/dteam/Louisiana/Common%20Louisiana%20Spring/Reporting/" TargetMode="External"/><Relationship Id="rId2" Type="http://schemas.openxmlformats.org/officeDocument/2006/relationships/hyperlink" Target="http://drcdirect/informationsystems/eis/dteam/Louisiana/iLEAP/" TargetMode="External"/><Relationship Id="rId1" Type="http://schemas.openxmlformats.org/officeDocument/2006/relationships/hyperlink" Target="http://drcdirect/informationsystems/eis/dteam/Louisiana/iLEAP/" TargetMode="External"/><Relationship Id="rId6" Type="http://schemas.openxmlformats.org/officeDocument/2006/relationships/printerSettings" Target="../printerSettings/printerSettings7.bin"/><Relationship Id="rId5" Type="http://schemas.openxmlformats.org/officeDocument/2006/relationships/hyperlink" Target="http://drcdirect/informationsystems/eis/H_ROOT/dots/Louisiana" TargetMode="External"/><Relationship Id="rId4" Type="http://schemas.openxmlformats.org/officeDocument/2006/relationships/hyperlink" Target="http://drcdirect/informationsystems/eis/dteam/Louisiana/Accountabilit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H394"/>
  <sheetViews>
    <sheetView tabSelected="1" zoomScale="70" zoomScaleNormal="70" workbookViewId="0"/>
  </sheetViews>
  <sheetFormatPr defaultRowHeight="12.75" x14ac:dyDescent="0.2"/>
  <cols>
    <col min="1" max="1" width="12" style="17" customWidth="1"/>
    <col min="2" max="3" width="11.28515625" style="22" customWidth="1"/>
    <col min="4" max="4" width="9.140625" style="22" customWidth="1"/>
    <col min="5" max="5" width="61.7109375" style="25" customWidth="1"/>
    <col min="6" max="6" width="50.42578125" style="23" customWidth="1"/>
    <col min="7" max="7" width="80.140625" style="13" customWidth="1"/>
    <col min="8" max="16384" width="9.140625" style="20"/>
  </cols>
  <sheetData>
    <row r="1" spans="1:8" s="8" customFormat="1" ht="21.75" customHeight="1" x14ac:dyDescent="0.3">
      <c r="A1" s="69"/>
      <c r="B1" s="76" t="s">
        <v>325</v>
      </c>
      <c r="C1" s="76"/>
      <c r="D1" s="76"/>
      <c r="E1" s="76"/>
      <c r="F1" s="76"/>
      <c r="G1" s="54" t="s">
        <v>223</v>
      </c>
    </row>
    <row r="2" spans="1:8" s="2" customFormat="1" ht="64.5" customHeight="1" x14ac:dyDescent="0.25">
      <c r="A2" s="9" t="s">
        <v>36</v>
      </c>
      <c r="B2" s="9" t="s">
        <v>37</v>
      </c>
      <c r="C2" s="9" t="s">
        <v>38</v>
      </c>
      <c r="D2" s="10" t="s">
        <v>12</v>
      </c>
      <c r="E2" s="10" t="s">
        <v>127</v>
      </c>
      <c r="F2" s="9" t="s">
        <v>39</v>
      </c>
      <c r="G2" s="10" t="s">
        <v>40</v>
      </c>
      <c r="H2" s="1"/>
    </row>
    <row r="3" spans="1:8" s="3" customFormat="1" ht="12.75" customHeight="1" x14ac:dyDescent="0.2">
      <c r="A3" s="4"/>
      <c r="B3" s="7"/>
      <c r="C3" s="7"/>
      <c r="E3" s="60" t="s">
        <v>41</v>
      </c>
      <c r="F3" s="61"/>
    </row>
    <row r="4" spans="1:8" s="12" customFormat="1" x14ac:dyDescent="0.2">
      <c r="A4" s="4"/>
      <c r="B4" s="4">
        <v>1</v>
      </c>
      <c r="C4" s="4">
        <f t="shared" ref="C4:C11" si="0">B4+D4-1</f>
        <v>2</v>
      </c>
      <c r="D4" s="4">
        <v>2</v>
      </c>
      <c r="E4" s="33" t="s">
        <v>42</v>
      </c>
      <c r="F4" s="55" t="s">
        <v>186</v>
      </c>
      <c r="G4" s="53" t="s">
        <v>207</v>
      </c>
    </row>
    <row r="5" spans="1:8" s="12" customFormat="1" x14ac:dyDescent="0.2">
      <c r="A5" s="4"/>
      <c r="B5" s="4">
        <f>B4+D4</f>
        <v>3</v>
      </c>
      <c r="C5" s="4">
        <f t="shared" si="0"/>
        <v>6</v>
      </c>
      <c r="D5" s="4">
        <v>4</v>
      </c>
      <c r="E5" s="33" t="s">
        <v>43</v>
      </c>
      <c r="F5" s="55" t="s">
        <v>98</v>
      </c>
      <c r="G5" s="56" t="s">
        <v>14</v>
      </c>
    </row>
    <row r="6" spans="1:8" s="12" customFormat="1" ht="25.5" x14ac:dyDescent="0.2">
      <c r="A6" s="4"/>
      <c r="B6" s="4">
        <f t="shared" ref="B6:B15" si="1">B5+D5</f>
        <v>7</v>
      </c>
      <c r="C6" s="4">
        <f t="shared" si="0"/>
        <v>7</v>
      </c>
      <c r="D6" s="4">
        <v>1</v>
      </c>
      <c r="E6" s="33" t="s">
        <v>44</v>
      </c>
      <c r="F6" s="53" t="s">
        <v>7</v>
      </c>
      <c r="G6" s="53" t="s">
        <v>105</v>
      </c>
    </row>
    <row r="7" spans="1:8" s="12" customFormat="1" ht="31.5" customHeight="1" x14ac:dyDescent="0.2">
      <c r="A7" s="4" t="s">
        <v>99</v>
      </c>
      <c r="B7" s="4">
        <f t="shared" si="1"/>
        <v>8</v>
      </c>
      <c r="C7" s="4">
        <f t="shared" si="0"/>
        <v>10</v>
      </c>
      <c r="D7" s="4">
        <v>3</v>
      </c>
      <c r="E7" s="33" t="s">
        <v>45</v>
      </c>
      <c r="F7" s="53"/>
      <c r="G7" s="78" t="s">
        <v>297</v>
      </c>
    </row>
    <row r="8" spans="1:8" s="12" customFormat="1" ht="32.25" customHeight="1" x14ac:dyDescent="0.2">
      <c r="A8" s="4" t="s">
        <v>99</v>
      </c>
      <c r="B8" s="4">
        <f t="shared" si="1"/>
        <v>11</v>
      </c>
      <c r="C8" s="4">
        <f t="shared" si="0"/>
        <v>13</v>
      </c>
      <c r="D8" s="4">
        <v>3</v>
      </c>
      <c r="E8" s="33" t="s">
        <v>46</v>
      </c>
      <c r="F8" s="53"/>
      <c r="G8" s="71"/>
    </row>
    <row r="9" spans="1:8" s="12" customFormat="1" x14ac:dyDescent="0.2">
      <c r="A9" s="4"/>
      <c r="B9" s="4">
        <f t="shared" si="1"/>
        <v>14</v>
      </c>
      <c r="C9" s="4">
        <f t="shared" si="0"/>
        <v>53</v>
      </c>
      <c r="D9" s="4">
        <v>40</v>
      </c>
      <c r="E9" s="33" t="s">
        <v>47</v>
      </c>
      <c r="F9" s="53"/>
      <c r="G9" s="56"/>
    </row>
    <row r="10" spans="1:8" s="12" customFormat="1" x14ac:dyDescent="0.2">
      <c r="A10" s="4"/>
      <c r="B10" s="4">
        <f t="shared" si="1"/>
        <v>54</v>
      </c>
      <c r="C10" s="4">
        <f t="shared" si="0"/>
        <v>93</v>
      </c>
      <c r="D10" s="4">
        <v>40</v>
      </c>
      <c r="E10" s="33" t="s">
        <v>48</v>
      </c>
      <c r="F10" s="53"/>
      <c r="G10" s="56"/>
    </row>
    <row r="11" spans="1:8" s="12" customFormat="1" ht="63.75" x14ac:dyDescent="0.2">
      <c r="A11" s="4"/>
      <c r="B11" s="4">
        <f t="shared" si="1"/>
        <v>94</v>
      </c>
      <c r="C11" s="4">
        <f t="shared" si="0"/>
        <v>95</v>
      </c>
      <c r="D11" s="4">
        <v>2</v>
      </c>
      <c r="E11" s="33" t="s">
        <v>49</v>
      </c>
      <c r="F11" s="53" t="s">
        <v>179</v>
      </c>
      <c r="G11" s="53" t="s">
        <v>298</v>
      </c>
    </row>
    <row r="12" spans="1:8" s="12" customFormat="1" x14ac:dyDescent="0.2">
      <c r="A12" s="4" t="s">
        <v>134</v>
      </c>
      <c r="B12" s="4">
        <f>B11+D11</f>
        <v>96</v>
      </c>
      <c r="C12" s="4">
        <f t="shared" ref="C12:C19" si="2">B12+D12-1</f>
        <v>107</v>
      </c>
      <c r="D12" s="4">
        <v>12</v>
      </c>
      <c r="E12" s="33" t="s">
        <v>50</v>
      </c>
      <c r="F12" s="53"/>
      <c r="G12" s="70" t="s">
        <v>102</v>
      </c>
    </row>
    <row r="13" spans="1:8" s="12" customFormat="1" x14ac:dyDescent="0.2">
      <c r="A13" s="4" t="s">
        <v>134</v>
      </c>
      <c r="B13" s="4">
        <f t="shared" si="1"/>
        <v>108</v>
      </c>
      <c r="C13" s="4">
        <f t="shared" si="2"/>
        <v>115</v>
      </c>
      <c r="D13" s="4">
        <v>8</v>
      </c>
      <c r="E13" s="33" t="s">
        <v>51</v>
      </c>
      <c r="F13" s="53"/>
      <c r="G13" s="77"/>
    </row>
    <row r="14" spans="1:8" s="12" customFormat="1" x14ac:dyDescent="0.2">
      <c r="A14" s="4"/>
      <c r="B14" s="4">
        <f t="shared" si="1"/>
        <v>116</v>
      </c>
      <c r="C14" s="4">
        <f t="shared" si="2"/>
        <v>116</v>
      </c>
      <c r="D14" s="4">
        <v>1</v>
      </c>
      <c r="E14" s="33" t="s">
        <v>52</v>
      </c>
      <c r="F14" s="53"/>
      <c r="G14" s="3" t="s">
        <v>106</v>
      </c>
    </row>
    <row r="15" spans="1:8" s="12" customFormat="1" ht="38.25" x14ac:dyDescent="0.2">
      <c r="A15" s="4" t="s">
        <v>134</v>
      </c>
      <c r="B15" s="4">
        <f t="shared" si="1"/>
        <v>117</v>
      </c>
      <c r="C15" s="4">
        <f t="shared" si="2"/>
        <v>125</v>
      </c>
      <c r="D15" s="4">
        <v>9</v>
      </c>
      <c r="E15" s="33" t="s">
        <v>6</v>
      </c>
      <c r="F15" s="53" t="s">
        <v>171</v>
      </c>
      <c r="G15" s="53" t="s">
        <v>187</v>
      </c>
    </row>
    <row r="16" spans="1:8" s="12" customFormat="1" ht="55.5" customHeight="1" x14ac:dyDescent="0.2">
      <c r="A16" s="4"/>
      <c r="B16" s="4">
        <f>B15+D15</f>
        <v>126</v>
      </c>
      <c r="C16" s="4">
        <f t="shared" si="2"/>
        <v>134</v>
      </c>
      <c r="D16" s="4">
        <v>9</v>
      </c>
      <c r="E16" s="33" t="s">
        <v>13</v>
      </c>
      <c r="F16" s="53"/>
      <c r="G16" s="53"/>
    </row>
    <row r="17" spans="1:7" s="12" customFormat="1" ht="51" x14ac:dyDescent="0.2">
      <c r="A17" s="4"/>
      <c r="B17" s="4">
        <f>B16+D16</f>
        <v>135</v>
      </c>
      <c r="C17" s="4">
        <f t="shared" si="2"/>
        <v>135</v>
      </c>
      <c r="D17" s="4">
        <v>1</v>
      </c>
      <c r="E17" s="33" t="s">
        <v>192</v>
      </c>
      <c r="F17" s="53" t="s">
        <v>208</v>
      </c>
      <c r="G17" s="53" t="s">
        <v>177</v>
      </c>
    </row>
    <row r="18" spans="1:7" s="12" customFormat="1" ht="51" x14ac:dyDescent="0.2">
      <c r="A18" s="4"/>
      <c r="B18" s="4">
        <f>B17+D17</f>
        <v>136</v>
      </c>
      <c r="C18" s="4">
        <f t="shared" si="2"/>
        <v>141</v>
      </c>
      <c r="D18" s="4">
        <v>6</v>
      </c>
      <c r="E18" s="33" t="s">
        <v>193</v>
      </c>
      <c r="F18" s="53" t="s">
        <v>222</v>
      </c>
      <c r="G18" s="53" t="s">
        <v>191</v>
      </c>
    </row>
    <row r="19" spans="1:7" s="12" customFormat="1" x14ac:dyDescent="0.2">
      <c r="A19" s="4"/>
      <c r="B19" s="4">
        <f>B18+D18</f>
        <v>142</v>
      </c>
      <c r="C19" s="4">
        <f t="shared" si="2"/>
        <v>144</v>
      </c>
      <c r="D19" s="4">
        <v>3</v>
      </c>
      <c r="E19" s="33" t="s">
        <v>13</v>
      </c>
      <c r="F19" s="67"/>
      <c r="G19" s="67"/>
    </row>
    <row r="20" spans="1:7" s="12" customFormat="1" ht="38.25" x14ac:dyDescent="0.2">
      <c r="A20" s="4" t="s">
        <v>134</v>
      </c>
      <c r="B20" s="4">
        <f t="shared" ref="B20:B36" si="3">B19+D19</f>
        <v>145</v>
      </c>
      <c r="C20" s="4">
        <f t="shared" ref="C20:C36" si="4">B20+D20-1</f>
        <v>146</v>
      </c>
      <c r="D20" s="4">
        <v>2</v>
      </c>
      <c r="E20" s="33" t="s">
        <v>53</v>
      </c>
      <c r="F20" s="53" t="s">
        <v>276</v>
      </c>
      <c r="G20" s="70" t="s">
        <v>278</v>
      </c>
    </row>
    <row r="21" spans="1:7" s="12" customFormat="1" ht="33" customHeight="1" x14ac:dyDescent="0.2">
      <c r="A21" s="4" t="s">
        <v>134</v>
      </c>
      <c r="B21" s="4">
        <f t="shared" si="3"/>
        <v>147</v>
      </c>
      <c r="C21" s="4">
        <f t="shared" si="4"/>
        <v>148</v>
      </c>
      <c r="D21" s="4">
        <v>2</v>
      </c>
      <c r="E21" s="33" t="s">
        <v>54</v>
      </c>
      <c r="F21" s="53" t="s">
        <v>277</v>
      </c>
      <c r="G21" s="70"/>
    </row>
    <row r="22" spans="1:7" s="12" customFormat="1" ht="46.5" customHeight="1" x14ac:dyDescent="0.2">
      <c r="A22" s="4" t="s">
        <v>134</v>
      </c>
      <c r="B22" s="4">
        <f t="shared" si="3"/>
        <v>149</v>
      </c>
      <c r="C22" s="4">
        <f t="shared" si="4"/>
        <v>152</v>
      </c>
      <c r="D22" s="4">
        <v>4</v>
      </c>
      <c r="E22" s="33" t="s">
        <v>55</v>
      </c>
      <c r="F22" s="53" t="s">
        <v>133</v>
      </c>
      <c r="G22" s="70"/>
    </row>
    <row r="23" spans="1:7" s="12" customFormat="1" ht="63.75" x14ac:dyDescent="0.2">
      <c r="A23" s="4" t="s">
        <v>188</v>
      </c>
      <c r="B23" s="4">
        <f t="shared" si="3"/>
        <v>153</v>
      </c>
      <c r="C23" s="4">
        <f t="shared" si="4"/>
        <v>153</v>
      </c>
      <c r="D23" s="4">
        <v>1</v>
      </c>
      <c r="E23" s="33" t="s">
        <v>56</v>
      </c>
      <c r="F23" s="53" t="s">
        <v>24</v>
      </c>
      <c r="G23" s="53" t="s">
        <v>299</v>
      </c>
    </row>
    <row r="24" spans="1:7" s="12" customFormat="1" ht="102" x14ac:dyDescent="0.2">
      <c r="A24" s="4" t="s">
        <v>188</v>
      </c>
      <c r="B24" s="4">
        <f t="shared" si="3"/>
        <v>154</v>
      </c>
      <c r="C24" s="4">
        <f t="shared" si="4"/>
        <v>154</v>
      </c>
      <c r="D24" s="4">
        <v>1</v>
      </c>
      <c r="E24" s="33" t="s">
        <v>113</v>
      </c>
      <c r="F24" s="59" t="s">
        <v>132</v>
      </c>
      <c r="G24" s="53" t="s">
        <v>300</v>
      </c>
    </row>
    <row r="25" spans="1:7" s="12" customFormat="1" ht="63.75" x14ac:dyDescent="0.2">
      <c r="A25" s="4" t="s">
        <v>99</v>
      </c>
      <c r="B25" s="4">
        <f t="shared" si="3"/>
        <v>155</v>
      </c>
      <c r="C25" s="4">
        <f t="shared" si="4"/>
        <v>155</v>
      </c>
      <c r="D25" s="4">
        <v>1</v>
      </c>
      <c r="E25" s="33" t="s">
        <v>57</v>
      </c>
      <c r="F25" s="53" t="s">
        <v>5</v>
      </c>
      <c r="G25" s="53" t="s">
        <v>301</v>
      </c>
    </row>
    <row r="26" spans="1:7" s="15" customFormat="1" x14ac:dyDescent="0.2">
      <c r="A26" s="4"/>
      <c r="B26" s="4">
        <f>B25+D25</f>
        <v>156</v>
      </c>
      <c r="C26" s="4">
        <f t="shared" si="4"/>
        <v>157</v>
      </c>
      <c r="D26" s="4">
        <v>2</v>
      </c>
      <c r="E26" s="33" t="s">
        <v>13</v>
      </c>
      <c r="F26" s="53"/>
      <c r="G26" s="53"/>
    </row>
    <row r="27" spans="1:7" s="15" customFormat="1" ht="38.25" x14ac:dyDescent="0.2">
      <c r="A27" s="4"/>
      <c r="B27" s="4">
        <f t="shared" si="3"/>
        <v>158</v>
      </c>
      <c r="C27" s="4">
        <f t="shared" si="4"/>
        <v>158</v>
      </c>
      <c r="D27" s="4">
        <v>1</v>
      </c>
      <c r="E27" s="33" t="s">
        <v>58</v>
      </c>
      <c r="F27" s="53" t="s">
        <v>122</v>
      </c>
      <c r="G27" s="56" t="s">
        <v>172</v>
      </c>
    </row>
    <row r="28" spans="1:7" s="15" customFormat="1" x14ac:dyDescent="0.2">
      <c r="A28" s="4"/>
      <c r="B28" s="4">
        <f>B27+D27</f>
        <v>159</v>
      </c>
      <c r="C28" s="4">
        <f t="shared" si="4"/>
        <v>161</v>
      </c>
      <c r="D28" s="4">
        <v>3</v>
      </c>
      <c r="E28" s="33" t="s">
        <v>13</v>
      </c>
      <c r="F28" s="59"/>
      <c r="G28" s="53"/>
    </row>
    <row r="29" spans="1:7" s="15" customFormat="1" ht="63.75" x14ac:dyDescent="0.2">
      <c r="A29" s="4"/>
      <c r="B29" s="4">
        <f t="shared" si="3"/>
        <v>162</v>
      </c>
      <c r="C29" s="4">
        <f t="shared" si="4"/>
        <v>162</v>
      </c>
      <c r="D29" s="4">
        <v>1</v>
      </c>
      <c r="E29" s="33" t="s">
        <v>128</v>
      </c>
      <c r="F29" s="59" t="s">
        <v>119</v>
      </c>
      <c r="G29" s="53" t="s">
        <v>191</v>
      </c>
    </row>
    <row r="30" spans="1:7" s="15" customFormat="1" x14ac:dyDescent="0.2">
      <c r="A30" s="4"/>
      <c r="B30" s="4">
        <f>B29+D29</f>
        <v>163</v>
      </c>
      <c r="C30" s="4">
        <f t="shared" si="4"/>
        <v>164</v>
      </c>
      <c r="D30" s="4">
        <v>2</v>
      </c>
      <c r="E30" s="33" t="s">
        <v>13</v>
      </c>
      <c r="F30" s="53"/>
      <c r="G30" s="53"/>
    </row>
    <row r="31" spans="1:7" s="15" customFormat="1" ht="38.25" x14ac:dyDescent="0.2">
      <c r="A31" s="4"/>
      <c r="B31" s="4">
        <f t="shared" si="3"/>
        <v>165</v>
      </c>
      <c r="C31" s="4">
        <f t="shared" si="4"/>
        <v>165</v>
      </c>
      <c r="D31" s="4">
        <v>1</v>
      </c>
      <c r="E31" s="33" t="s">
        <v>255</v>
      </c>
      <c r="F31" s="53" t="s">
        <v>256</v>
      </c>
      <c r="G31" s="53" t="s">
        <v>177</v>
      </c>
    </row>
    <row r="32" spans="1:7" s="15" customFormat="1" ht="57.75" customHeight="1" x14ac:dyDescent="0.2">
      <c r="A32" s="4"/>
      <c r="B32" s="4">
        <f>B31+D31</f>
        <v>166</v>
      </c>
      <c r="C32" s="4">
        <f t="shared" si="4"/>
        <v>170</v>
      </c>
      <c r="D32" s="4">
        <v>5</v>
      </c>
      <c r="E32" s="33" t="s">
        <v>13</v>
      </c>
      <c r="F32" s="59"/>
      <c r="G32" s="53"/>
    </row>
    <row r="33" spans="1:7" s="12" customFormat="1" x14ac:dyDescent="0.2">
      <c r="A33" s="33"/>
      <c r="B33" s="4">
        <f t="shared" si="3"/>
        <v>171</v>
      </c>
      <c r="C33" s="4">
        <f t="shared" si="4"/>
        <v>172</v>
      </c>
      <c r="D33" s="4">
        <v>2</v>
      </c>
      <c r="E33" s="33" t="s">
        <v>13</v>
      </c>
      <c r="F33" s="53"/>
      <c r="G33" s="56"/>
    </row>
    <row r="34" spans="1:7" s="12" customFormat="1" ht="51" x14ac:dyDescent="0.2">
      <c r="A34" s="4" t="s">
        <v>100</v>
      </c>
      <c r="B34" s="4">
        <f t="shared" si="3"/>
        <v>173</v>
      </c>
      <c r="C34" s="4">
        <f t="shared" si="4"/>
        <v>173</v>
      </c>
      <c r="D34" s="4">
        <v>1</v>
      </c>
      <c r="E34" s="33" t="s">
        <v>32</v>
      </c>
      <c r="F34" s="55" t="s">
        <v>189</v>
      </c>
      <c r="G34" s="53" t="s">
        <v>302</v>
      </c>
    </row>
    <row r="35" spans="1:7" s="12" customFormat="1" x14ac:dyDescent="0.2">
      <c r="A35" s="4"/>
      <c r="B35" s="4">
        <f t="shared" si="3"/>
        <v>174</v>
      </c>
      <c r="C35" s="4">
        <f t="shared" si="4"/>
        <v>175</v>
      </c>
      <c r="D35" s="4">
        <v>2</v>
      </c>
      <c r="E35" s="33" t="s">
        <v>13</v>
      </c>
      <c r="F35" s="55"/>
      <c r="G35" s="53"/>
    </row>
    <row r="36" spans="1:7" s="12" customFormat="1" ht="51" x14ac:dyDescent="0.2">
      <c r="A36" s="4"/>
      <c r="B36" s="4">
        <f t="shared" si="3"/>
        <v>176</v>
      </c>
      <c r="C36" s="4">
        <f t="shared" si="4"/>
        <v>176</v>
      </c>
      <c r="D36" s="4">
        <v>1</v>
      </c>
      <c r="E36" s="33" t="s">
        <v>4</v>
      </c>
      <c r="F36" s="53" t="s">
        <v>135</v>
      </c>
      <c r="G36" s="53" t="s">
        <v>191</v>
      </c>
    </row>
    <row r="37" spans="1:7" s="12" customFormat="1" x14ac:dyDescent="0.2">
      <c r="A37" s="4"/>
      <c r="B37" s="4">
        <f>B36+D36</f>
        <v>177</v>
      </c>
      <c r="C37" s="4">
        <f t="shared" ref="C37" si="5">B37+D37-1</f>
        <v>200</v>
      </c>
      <c r="D37" s="4">
        <v>24</v>
      </c>
      <c r="E37" s="33" t="s">
        <v>13</v>
      </c>
      <c r="F37" s="53"/>
      <c r="G37" s="56"/>
    </row>
    <row r="38" spans="1:7" s="3" customFormat="1" x14ac:dyDescent="0.2">
      <c r="A38" s="4"/>
      <c r="B38" s="5"/>
      <c r="C38" s="5"/>
      <c r="E38" s="62" t="s">
        <v>3</v>
      </c>
      <c r="F38" s="63"/>
    </row>
    <row r="39" spans="1:7" s="12" customFormat="1" x14ac:dyDescent="0.2">
      <c r="A39" s="4" t="s">
        <v>99</v>
      </c>
      <c r="B39" s="4">
        <f>B37+D37</f>
        <v>201</v>
      </c>
      <c r="C39" s="4">
        <f>B39+D39-1</f>
        <v>201</v>
      </c>
      <c r="D39" s="4">
        <v>1</v>
      </c>
      <c r="E39" s="33" t="s">
        <v>59</v>
      </c>
      <c r="F39" s="70" t="s">
        <v>122</v>
      </c>
      <c r="G39" s="72" t="s">
        <v>172</v>
      </c>
    </row>
    <row r="40" spans="1:7" s="12" customFormat="1" x14ac:dyDescent="0.2">
      <c r="A40" s="4" t="s">
        <v>99</v>
      </c>
      <c r="B40" s="4">
        <f>B39+D39</f>
        <v>202</v>
      </c>
      <c r="C40" s="4">
        <f t="shared" ref="C40:C50" si="6">B40+D40-1</f>
        <v>202</v>
      </c>
      <c r="D40" s="4">
        <v>1</v>
      </c>
      <c r="E40" s="33" t="s">
        <v>60</v>
      </c>
      <c r="F40" s="70"/>
      <c r="G40" s="72"/>
    </row>
    <row r="41" spans="1:7" s="12" customFormat="1" x14ac:dyDescent="0.2">
      <c r="A41" s="4" t="s">
        <v>99</v>
      </c>
      <c r="B41" s="4">
        <f t="shared" ref="B41:B49" si="7">B40+D40</f>
        <v>203</v>
      </c>
      <c r="C41" s="4">
        <f t="shared" si="6"/>
        <v>203</v>
      </c>
      <c r="D41" s="4">
        <v>1</v>
      </c>
      <c r="E41" s="33" t="s">
        <v>61</v>
      </c>
      <c r="F41" s="70"/>
      <c r="G41" s="72"/>
    </row>
    <row r="42" spans="1:7" s="12" customFormat="1" x14ac:dyDescent="0.2">
      <c r="A42" s="4" t="s">
        <v>99</v>
      </c>
      <c r="B42" s="4">
        <f t="shared" si="7"/>
        <v>204</v>
      </c>
      <c r="C42" s="4">
        <f t="shared" si="6"/>
        <v>204</v>
      </c>
      <c r="D42" s="4">
        <v>1</v>
      </c>
      <c r="E42" s="33" t="s">
        <v>62</v>
      </c>
      <c r="F42" s="70"/>
      <c r="G42" s="72"/>
    </row>
    <row r="43" spans="1:7" s="12" customFormat="1" x14ac:dyDescent="0.2">
      <c r="A43" s="4" t="s">
        <v>99</v>
      </c>
      <c r="B43" s="4">
        <f t="shared" si="7"/>
        <v>205</v>
      </c>
      <c r="C43" s="4">
        <f t="shared" si="6"/>
        <v>205</v>
      </c>
      <c r="D43" s="4">
        <v>1</v>
      </c>
      <c r="E43" s="33" t="s">
        <v>63</v>
      </c>
      <c r="F43" s="70"/>
      <c r="G43" s="72"/>
    </row>
    <row r="44" spans="1:7" s="12" customFormat="1" x14ac:dyDescent="0.2">
      <c r="A44" s="4" t="s">
        <v>99</v>
      </c>
      <c r="B44" s="4">
        <f t="shared" si="7"/>
        <v>206</v>
      </c>
      <c r="C44" s="4">
        <f t="shared" si="6"/>
        <v>206</v>
      </c>
      <c r="D44" s="4">
        <v>1</v>
      </c>
      <c r="E44" s="33" t="s">
        <v>64</v>
      </c>
      <c r="F44" s="70"/>
      <c r="G44" s="72"/>
    </row>
    <row r="45" spans="1:7" s="12" customFormat="1" x14ac:dyDescent="0.2">
      <c r="A45" s="4" t="s">
        <v>99</v>
      </c>
      <c r="B45" s="4">
        <f t="shared" si="7"/>
        <v>207</v>
      </c>
      <c r="C45" s="4">
        <f t="shared" si="6"/>
        <v>207</v>
      </c>
      <c r="D45" s="4">
        <v>1</v>
      </c>
      <c r="E45" s="33" t="s">
        <v>65</v>
      </c>
      <c r="F45" s="70"/>
      <c r="G45" s="72"/>
    </row>
    <row r="46" spans="1:7" s="12" customFormat="1" x14ac:dyDescent="0.2">
      <c r="A46" s="4" t="s">
        <v>99</v>
      </c>
      <c r="B46" s="4">
        <f t="shared" si="7"/>
        <v>208</v>
      </c>
      <c r="C46" s="4">
        <f t="shared" si="6"/>
        <v>208</v>
      </c>
      <c r="D46" s="4">
        <v>1</v>
      </c>
      <c r="E46" s="33" t="s">
        <v>66</v>
      </c>
      <c r="F46" s="70"/>
      <c r="G46" s="72"/>
    </row>
    <row r="47" spans="1:7" s="12" customFormat="1" x14ac:dyDescent="0.2">
      <c r="A47" s="4" t="s">
        <v>99</v>
      </c>
      <c r="B47" s="4">
        <f t="shared" si="7"/>
        <v>209</v>
      </c>
      <c r="C47" s="4">
        <f t="shared" si="6"/>
        <v>209</v>
      </c>
      <c r="D47" s="4">
        <v>1</v>
      </c>
      <c r="E47" s="33" t="s">
        <v>67</v>
      </c>
      <c r="F47" s="70"/>
      <c r="G47" s="72"/>
    </row>
    <row r="48" spans="1:7" s="12" customFormat="1" x14ac:dyDescent="0.2">
      <c r="A48" s="4" t="s">
        <v>99</v>
      </c>
      <c r="B48" s="4">
        <f t="shared" si="7"/>
        <v>210</v>
      </c>
      <c r="C48" s="4">
        <f t="shared" si="6"/>
        <v>210</v>
      </c>
      <c r="D48" s="4">
        <v>1</v>
      </c>
      <c r="E48" s="33" t="s">
        <v>68</v>
      </c>
      <c r="F48" s="70"/>
      <c r="G48" s="72"/>
    </row>
    <row r="49" spans="1:7" s="12" customFormat="1" x14ac:dyDescent="0.2">
      <c r="A49" s="4" t="s">
        <v>99</v>
      </c>
      <c r="B49" s="4">
        <f t="shared" si="7"/>
        <v>211</v>
      </c>
      <c r="C49" s="4">
        <f t="shared" si="6"/>
        <v>211</v>
      </c>
      <c r="D49" s="4">
        <v>1</v>
      </c>
      <c r="E49" s="33" t="s">
        <v>69</v>
      </c>
      <c r="F49" s="70"/>
      <c r="G49" s="72"/>
    </row>
    <row r="50" spans="1:7" s="12" customFormat="1" x14ac:dyDescent="0.2">
      <c r="A50" s="4"/>
      <c r="B50" s="4">
        <f>B49+D49</f>
        <v>212</v>
      </c>
      <c r="C50" s="4">
        <f t="shared" si="6"/>
        <v>217</v>
      </c>
      <c r="D50" s="4">
        <v>6</v>
      </c>
      <c r="E50" s="33" t="s">
        <v>13</v>
      </c>
      <c r="F50" s="53"/>
      <c r="G50" s="53"/>
    </row>
    <row r="51" spans="1:7" s="3" customFormat="1" x14ac:dyDescent="0.2">
      <c r="A51" s="4"/>
      <c r="B51" s="5"/>
      <c r="C51" s="5"/>
      <c r="E51" s="62" t="s">
        <v>2</v>
      </c>
      <c r="F51" s="70" t="s">
        <v>122</v>
      </c>
      <c r="G51" s="79" t="s">
        <v>172</v>
      </c>
    </row>
    <row r="52" spans="1:7" s="12" customFormat="1" x14ac:dyDescent="0.2">
      <c r="A52" s="4" t="s">
        <v>99</v>
      </c>
      <c r="B52" s="4">
        <f>B50+D50</f>
        <v>218</v>
      </c>
      <c r="C52" s="4">
        <f>B52+D52-1</f>
        <v>218</v>
      </c>
      <c r="D52" s="4">
        <v>1</v>
      </c>
      <c r="E52" s="33" t="s">
        <v>59</v>
      </c>
      <c r="F52" s="70"/>
      <c r="G52" s="80"/>
    </row>
    <row r="53" spans="1:7" s="12" customFormat="1" x14ac:dyDescent="0.2">
      <c r="A53" s="4" t="s">
        <v>99</v>
      </c>
      <c r="B53" s="4">
        <f t="shared" ref="B53:B57" si="8">B52+D52</f>
        <v>219</v>
      </c>
      <c r="C53" s="4">
        <f t="shared" ref="C53:C58" si="9">B53+D53-1</f>
        <v>219</v>
      </c>
      <c r="D53" s="4">
        <v>1</v>
      </c>
      <c r="E53" s="33" t="s">
        <v>64</v>
      </c>
      <c r="F53" s="70"/>
      <c r="G53" s="80"/>
    </row>
    <row r="54" spans="1:7" s="12" customFormat="1" x14ac:dyDescent="0.2">
      <c r="A54" s="4" t="s">
        <v>99</v>
      </c>
      <c r="B54" s="4">
        <f t="shared" si="8"/>
        <v>220</v>
      </c>
      <c r="C54" s="4">
        <f t="shared" si="9"/>
        <v>220</v>
      </c>
      <c r="D54" s="4">
        <v>1</v>
      </c>
      <c r="E54" s="33" t="s">
        <v>67</v>
      </c>
      <c r="F54" s="70"/>
      <c r="G54" s="80"/>
    </row>
    <row r="55" spans="1:7" s="12" customFormat="1" ht="25.5" x14ac:dyDescent="0.2">
      <c r="A55" s="4" t="s">
        <v>99</v>
      </c>
      <c r="B55" s="4">
        <f t="shared" si="8"/>
        <v>221</v>
      </c>
      <c r="C55" s="4">
        <f t="shared" si="9"/>
        <v>221</v>
      </c>
      <c r="D55" s="4">
        <v>1</v>
      </c>
      <c r="E55" s="6" t="s">
        <v>219</v>
      </c>
      <c r="F55" s="70"/>
      <c r="G55" s="80"/>
    </row>
    <row r="56" spans="1:7" s="12" customFormat="1" ht="25.5" x14ac:dyDescent="0.2">
      <c r="A56" s="4" t="s">
        <v>99</v>
      </c>
      <c r="B56" s="4">
        <f t="shared" si="8"/>
        <v>222</v>
      </c>
      <c r="C56" s="4">
        <f t="shared" si="9"/>
        <v>222</v>
      </c>
      <c r="D56" s="4">
        <v>1</v>
      </c>
      <c r="E56" s="6" t="s">
        <v>220</v>
      </c>
      <c r="F56" s="70"/>
      <c r="G56" s="80"/>
    </row>
    <row r="57" spans="1:7" s="12" customFormat="1" x14ac:dyDescent="0.2">
      <c r="A57" s="4" t="s">
        <v>99</v>
      </c>
      <c r="B57" s="4">
        <f t="shared" si="8"/>
        <v>223</v>
      </c>
      <c r="C57" s="4">
        <f t="shared" si="9"/>
        <v>223</v>
      </c>
      <c r="D57" s="4">
        <v>1</v>
      </c>
      <c r="E57" s="33" t="s">
        <v>68</v>
      </c>
      <c r="F57" s="70"/>
      <c r="G57" s="80"/>
    </row>
    <row r="58" spans="1:7" s="12" customFormat="1" x14ac:dyDescent="0.2">
      <c r="A58" s="4"/>
      <c r="B58" s="4">
        <f>B57+D57</f>
        <v>224</v>
      </c>
      <c r="C58" s="4">
        <f t="shared" si="9"/>
        <v>229</v>
      </c>
      <c r="D58" s="4">
        <v>6</v>
      </c>
      <c r="E58" s="33" t="s">
        <v>13</v>
      </c>
      <c r="F58" s="53"/>
      <c r="G58" s="53"/>
    </row>
    <row r="59" spans="1:7" s="3" customFormat="1" x14ac:dyDescent="0.2">
      <c r="A59" s="4"/>
      <c r="B59" s="5"/>
      <c r="C59" s="5"/>
      <c r="E59" s="62" t="s">
        <v>1</v>
      </c>
      <c r="F59" s="56"/>
    </row>
    <row r="60" spans="1:7" s="12" customFormat="1" x14ac:dyDescent="0.2">
      <c r="A60" s="4" t="s">
        <v>99</v>
      </c>
      <c r="B60" s="4">
        <f>B58+D58</f>
        <v>230</v>
      </c>
      <c r="C60" s="4">
        <f>B60+D60-1</f>
        <v>230</v>
      </c>
      <c r="D60" s="4">
        <v>1</v>
      </c>
      <c r="E60" s="33" t="s">
        <v>59</v>
      </c>
      <c r="F60" s="70" t="s">
        <v>122</v>
      </c>
      <c r="G60" s="72" t="s">
        <v>172</v>
      </c>
    </row>
    <row r="61" spans="1:7" s="12" customFormat="1" x14ac:dyDescent="0.2">
      <c r="A61" s="4" t="s">
        <v>99</v>
      </c>
      <c r="B61" s="4">
        <f>B60+D60</f>
        <v>231</v>
      </c>
      <c r="C61" s="4">
        <f t="shared" ref="C61:C76" si="10">B61+D61-1</f>
        <v>231</v>
      </c>
      <c r="D61" s="4">
        <v>1</v>
      </c>
      <c r="E61" s="33" t="s">
        <v>60</v>
      </c>
      <c r="F61" s="70"/>
      <c r="G61" s="72"/>
    </row>
    <row r="62" spans="1:7" s="12" customFormat="1" x14ac:dyDescent="0.2">
      <c r="A62" s="4" t="s">
        <v>99</v>
      </c>
      <c r="B62" s="4">
        <f t="shared" ref="B62:B76" si="11">B61+D61</f>
        <v>232</v>
      </c>
      <c r="C62" s="4">
        <f t="shared" si="10"/>
        <v>232</v>
      </c>
      <c r="D62" s="4">
        <v>1</v>
      </c>
      <c r="E62" s="33" t="s">
        <v>61</v>
      </c>
      <c r="F62" s="70"/>
      <c r="G62" s="72"/>
    </row>
    <row r="63" spans="1:7" s="12" customFormat="1" x14ac:dyDescent="0.2">
      <c r="A63" s="4" t="s">
        <v>99</v>
      </c>
      <c r="B63" s="4">
        <f t="shared" si="11"/>
        <v>233</v>
      </c>
      <c r="C63" s="4">
        <f t="shared" si="10"/>
        <v>233</v>
      </c>
      <c r="D63" s="4">
        <v>1</v>
      </c>
      <c r="E63" s="33" t="s">
        <v>62</v>
      </c>
      <c r="F63" s="70"/>
      <c r="G63" s="72"/>
    </row>
    <row r="64" spans="1:7" s="12" customFormat="1" x14ac:dyDescent="0.2">
      <c r="A64" s="4" t="s">
        <v>99</v>
      </c>
      <c r="B64" s="4">
        <f t="shared" si="11"/>
        <v>234</v>
      </c>
      <c r="C64" s="4">
        <f t="shared" si="10"/>
        <v>234</v>
      </c>
      <c r="D64" s="4">
        <v>1</v>
      </c>
      <c r="E64" s="33" t="s">
        <v>63</v>
      </c>
      <c r="F64" s="70"/>
      <c r="G64" s="72"/>
    </row>
    <row r="65" spans="1:7" s="12" customFormat="1" x14ac:dyDescent="0.2">
      <c r="A65" s="4" t="s">
        <v>99</v>
      </c>
      <c r="B65" s="4">
        <f t="shared" si="11"/>
        <v>235</v>
      </c>
      <c r="C65" s="4">
        <f t="shared" si="10"/>
        <v>235</v>
      </c>
      <c r="D65" s="4">
        <v>1</v>
      </c>
      <c r="E65" s="33" t="s">
        <v>64</v>
      </c>
      <c r="F65" s="70"/>
      <c r="G65" s="72"/>
    </row>
    <row r="66" spans="1:7" s="12" customFormat="1" x14ac:dyDescent="0.2">
      <c r="A66" s="4" t="s">
        <v>99</v>
      </c>
      <c r="B66" s="4">
        <f t="shared" si="11"/>
        <v>236</v>
      </c>
      <c r="C66" s="4">
        <f t="shared" si="10"/>
        <v>236</v>
      </c>
      <c r="D66" s="4">
        <v>1</v>
      </c>
      <c r="E66" s="33" t="s">
        <v>65</v>
      </c>
      <c r="F66" s="70"/>
      <c r="G66" s="72"/>
    </row>
    <row r="67" spans="1:7" s="12" customFormat="1" x14ac:dyDescent="0.2">
      <c r="A67" s="4" t="s">
        <v>99</v>
      </c>
      <c r="B67" s="4">
        <f t="shared" si="11"/>
        <v>237</v>
      </c>
      <c r="C67" s="4">
        <f t="shared" si="10"/>
        <v>237</v>
      </c>
      <c r="D67" s="4">
        <v>1</v>
      </c>
      <c r="E67" s="33" t="s">
        <v>66</v>
      </c>
      <c r="F67" s="70"/>
      <c r="G67" s="72"/>
    </row>
    <row r="68" spans="1:7" s="12" customFormat="1" x14ac:dyDescent="0.2">
      <c r="A68" s="4" t="s">
        <v>99</v>
      </c>
      <c r="B68" s="4">
        <f t="shared" si="11"/>
        <v>238</v>
      </c>
      <c r="C68" s="4">
        <f t="shared" si="10"/>
        <v>238</v>
      </c>
      <c r="D68" s="4">
        <v>1</v>
      </c>
      <c r="E68" s="33" t="s">
        <v>67</v>
      </c>
      <c r="F68" s="70"/>
      <c r="G68" s="72"/>
    </row>
    <row r="69" spans="1:7" s="12" customFormat="1" x14ac:dyDescent="0.2">
      <c r="A69" s="4" t="s">
        <v>99</v>
      </c>
      <c r="B69" s="4">
        <f t="shared" si="11"/>
        <v>239</v>
      </c>
      <c r="C69" s="4">
        <f t="shared" si="10"/>
        <v>239</v>
      </c>
      <c r="D69" s="4">
        <v>1</v>
      </c>
      <c r="E69" s="33" t="s">
        <v>68</v>
      </c>
      <c r="F69" s="70"/>
      <c r="G69" s="72"/>
    </row>
    <row r="70" spans="1:7" s="12" customFormat="1" x14ac:dyDescent="0.2">
      <c r="A70" s="4" t="s">
        <v>99</v>
      </c>
      <c r="B70" s="4">
        <f t="shared" si="11"/>
        <v>240</v>
      </c>
      <c r="C70" s="4">
        <f t="shared" si="10"/>
        <v>240</v>
      </c>
      <c r="D70" s="4">
        <v>1</v>
      </c>
      <c r="E70" s="33" t="s">
        <v>69</v>
      </c>
      <c r="F70" s="70"/>
      <c r="G70" s="72"/>
    </row>
    <row r="71" spans="1:7" s="12" customFormat="1" x14ac:dyDescent="0.2">
      <c r="A71" s="4"/>
      <c r="B71" s="4">
        <f>B70+D70</f>
        <v>241</v>
      </c>
      <c r="C71" s="4">
        <f t="shared" si="10"/>
        <v>245</v>
      </c>
      <c r="D71" s="4">
        <v>5</v>
      </c>
      <c r="E71" s="33" t="s">
        <v>13</v>
      </c>
      <c r="F71" s="53"/>
      <c r="G71" s="53"/>
    </row>
    <row r="72" spans="1:7" s="12" customFormat="1" ht="69" customHeight="1" x14ac:dyDescent="0.2">
      <c r="A72" s="4"/>
      <c r="B72" s="4">
        <f t="shared" si="11"/>
        <v>246</v>
      </c>
      <c r="C72" s="4">
        <f t="shared" si="10"/>
        <v>248</v>
      </c>
      <c r="D72" s="4">
        <v>3</v>
      </c>
      <c r="E72" s="6" t="s">
        <v>0</v>
      </c>
      <c r="F72" s="53" t="s">
        <v>162</v>
      </c>
      <c r="G72" s="53" t="s">
        <v>172</v>
      </c>
    </row>
    <row r="73" spans="1:7" s="12" customFormat="1" x14ac:dyDescent="0.2">
      <c r="A73" s="4"/>
      <c r="B73" s="4">
        <f>B72+D72</f>
        <v>249</v>
      </c>
      <c r="C73" s="4">
        <f t="shared" si="10"/>
        <v>288</v>
      </c>
      <c r="D73" s="4">
        <v>40</v>
      </c>
      <c r="E73" s="33" t="s">
        <v>13</v>
      </c>
      <c r="F73" s="53"/>
      <c r="G73" s="56"/>
    </row>
    <row r="74" spans="1:7" s="12" customFormat="1" ht="48.75" customHeight="1" x14ac:dyDescent="0.2">
      <c r="A74" s="4"/>
      <c r="B74" s="4">
        <f t="shared" si="11"/>
        <v>289</v>
      </c>
      <c r="C74" s="4">
        <f t="shared" si="10"/>
        <v>298</v>
      </c>
      <c r="D74" s="4">
        <v>10</v>
      </c>
      <c r="E74" s="33" t="s">
        <v>34</v>
      </c>
      <c r="F74" s="55" t="s">
        <v>163</v>
      </c>
      <c r="G74" s="56" t="s">
        <v>172</v>
      </c>
    </row>
    <row r="75" spans="1:7" s="12" customFormat="1" ht="89.25" x14ac:dyDescent="0.2">
      <c r="A75" s="4"/>
      <c r="B75" s="4">
        <f t="shared" si="11"/>
        <v>299</v>
      </c>
      <c r="C75" s="4">
        <f>B75+D75-1</f>
        <v>300</v>
      </c>
      <c r="D75" s="4">
        <v>2</v>
      </c>
      <c r="E75" s="33" t="s">
        <v>35</v>
      </c>
      <c r="F75" s="55" t="s">
        <v>164</v>
      </c>
      <c r="G75" s="53" t="s">
        <v>303</v>
      </c>
    </row>
    <row r="76" spans="1:7" s="12" customFormat="1" x14ac:dyDescent="0.2">
      <c r="A76" s="4"/>
      <c r="B76" s="4">
        <f t="shared" si="11"/>
        <v>301</v>
      </c>
      <c r="C76" s="4">
        <f t="shared" si="10"/>
        <v>306</v>
      </c>
      <c r="D76" s="4">
        <v>6</v>
      </c>
      <c r="E76" s="37" t="s">
        <v>13</v>
      </c>
      <c r="F76" s="53"/>
      <c r="G76" s="53"/>
    </row>
    <row r="77" spans="1:7" s="3" customFormat="1" x14ac:dyDescent="0.2">
      <c r="A77" s="4"/>
      <c r="B77" s="5"/>
      <c r="C77" s="5"/>
      <c r="E77" s="62" t="s">
        <v>22</v>
      </c>
      <c r="F77" s="56"/>
    </row>
    <row r="78" spans="1:7" s="15" customFormat="1" ht="242.25" x14ac:dyDescent="0.2">
      <c r="A78" s="4" t="s">
        <v>99</v>
      </c>
      <c r="B78" s="4">
        <f>B76+D76</f>
        <v>307</v>
      </c>
      <c r="C78" s="4">
        <f>B78+D78-1</f>
        <v>308</v>
      </c>
      <c r="D78" s="4">
        <v>2</v>
      </c>
      <c r="E78" s="6" t="s">
        <v>205</v>
      </c>
      <c r="F78" s="53" t="s">
        <v>170</v>
      </c>
      <c r="G78" s="53" t="s">
        <v>304</v>
      </c>
    </row>
    <row r="79" spans="1:7" s="15" customFormat="1" x14ac:dyDescent="0.2">
      <c r="A79" s="4"/>
      <c r="B79" s="4">
        <f>B78+D78</f>
        <v>309</v>
      </c>
      <c r="C79" s="4">
        <f>B79+D79-1</f>
        <v>313</v>
      </c>
      <c r="D79" s="4">
        <v>5</v>
      </c>
      <c r="E79" s="6" t="s">
        <v>13</v>
      </c>
      <c r="F79" s="53"/>
      <c r="G79" s="53"/>
    </row>
    <row r="80" spans="1:7" s="15" customFormat="1" ht="110.25" customHeight="1" x14ac:dyDescent="0.2">
      <c r="A80" s="4"/>
      <c r="B80" s="4">
        <f>B79+D79</f>
        <v>314</v>
      </c>
      <c r="C80" s="4">
        <f t="shared" ref="C80:C88" si="12">B80+D80-1</f>
        <v>315</v>
      </c>
      <c r="D80" s="4">
        <v>2</v>
      </c>
      <c r="E80" s="33" t="s">
        <v>165</v>
      </c>
      <c r="F80" s="53" t="s">
        <v>120</v>
      </c>
      <c r="G80" s="53" t="s">
        <v>305</v>
      </c>
    </row>
    <row r="81" spans="1:7" s="12" customFormat="1" x14ac:dyDescent="0.2">
      <c r="A81" s="4"/>
      <c r="B81" s="4">
        <f>B80+D80</f>
        <v>316</v>
      </c>
      <c r="C81" s="4">
        <f t="shared" si="12"/>
        <v>322</v>
      </c>
      <c r="D81" s="4">
        <v>7</v>
      </c>
      <c r="E81" s="33" t="s">
        <v>13</v>
      </c>
      <c r="F81" s="53"/>
      <c r="G81" s="56"/>
    </row>
    <row r="82" spans="1:7" s="15" customFormat="1" ht="66.75" customHeight="1" x14ac:dyDescent="0.2">
      <c r="A82" s="4" t="s">
        <v>188</v>
      </c>
      <c r="B82" s="4">
        <f t="shared" ref="B82:B87" si="13">B81+D81</f>
        <v>323</v>
      </c>
      <c r="C82" s="4">
        <f t="shared" si="12"/>
        <v>323</v>
      </c>
      <c r="D82" s="4">
        <v>1</v>
      </c>
      <c r="E82" s="33" t="s">
        <v>31</v>
      </c>
      <c r="F82" s="53" t="s">
        <v>25</v>
      </c>
      <c r="G82" s="53" t="s">
        <v>306</v>
      </c>
    </row>
    <row r="83" spans="1:7" s="12" customFormat="1" x14ac:dyDescent="0.2">
      <c r="A83" s="4"/>
      <c r="B83" s="4">
        <f t="shared" si="13"/>
        <v>324</v>
      </c>
      <c r="C83" s="4">
        <f t="shared" si="12"/>
        <v>324</v>
      </c>
      <c r="D83" s="4">
        <v>1</v>
      </c>
      <c r="E83" s="33" t="s">
        <v>13</v>
      </c>
      <c r="F83" s="53"/>
      <c r="G83" s="56"/>
    </row>
    <row r="84" spans="1:7" s="15" customFormat="1" ht="66.75" customHeight="1" x14ac:dyDescent="0.2">
      <c r="A84" s="4" t="s">
        <v>99</v>
      </c>
      <c r="B84" s="4">
        <f t="shared" si="13"/>
        <v>325</v>
      </c>
      <c r="C84" s="4">
        <f t="shared" si="12"/>
        <v>325</v>
      </c>
      <c r="D84" s="4">
        <v>1</v>
      </c>
      <c r="E84" s="33" t="s">
        <v>28</v>
      </c>
      <c r="F84" s="53" t="s">
        <v>10</v>
      </c>
      <c r="G84" s="59" t="s">
        <v>307</v>
      </c>
    </row>
    <row r="85" spans="1:7" s="15" customFormat="1" x14ac:dyDescent="0.2">
      <c r="A85" s="4"/>
      <c r="B85" s="4">
        <f t="shared" si="13"/>
        <v>326</v>
      </c>
      <c r="C85" s="4">
        <f t="shared" si="12"/>
        <v>326</v>
      </c>
      <c r="D85" s="4">
        <v>1</v>
      </c>
      <c r="E85" s="33" t="s">
        <v>13</v>
      </c>
      <c r="F85" s="53"/>
      <c r="G85" s="56"/>
    </row>
    <row r="86" spans="1:7" s="15" customFormat="1" ht="70.5" customHeight="1" x14ac:dyDescent="0.2">
      <c r="A86" s="4" t="s">
        <v>99</v>
      </c>
      <c r="B86" s="4">
        <f t="shared" si="13"/>
        <v>327</v>
      </c>
      <c r="C86" s="4">
        <f t="shared" si="12"/>
        <v>327</v>
      </c>
      <c r="D86" s="4">
        <v>1</v>
      </c>
      <c r="E86" s="33" t="s">
        <v>30</v>
      </c>
      <c r="F86" s="53" t="s">
        <v>11</v>
      </c>
      <c r="G86" s="59" t="s">
        <v>308</v>
      </c>
    </row>
    <row r="87" spans="1:7" s="12" customFormat="1" ht="63.75" x14ac:dyDescent="0.2">
      <c r="A87" s="4" t="s">
        <v>99</v>
      </c>
      <c r="B87" s="4">
        <f t="shared" si="13"/>
        <v>328</v>
      </c>
      <c r="C87" s="4">
        <f t="shared" si="12"/>
        <v>328</v>
      </c>
      <c r="D87" s="4">
        <v>1</v>
      </c>
      <c r="E87" s="33" t="s">
        <v>109</v>
      </c>
      <c r="F87" s="53" t="s">
        <v>33</v>
      </c>
      <c r="G87" s="59" t="s">
        <v>309</v>
      </c>
    </row>
    <row r="88" spans="1:7" s="12" customFormat="1" ht="67.5" customHeight="1" x14ac:dyDescent="0.2">
      <c r="A88" s="4" t="s">
        <v>99</v>
      </c>
      <c r="B88" s="4">
        <f>B87+D87</f>
        <v>329</v>
      </c>
      <c r="C88" s="4">
        <f t="shared" si="12"/>
        <v>329</v>
      </c>
      <c r="D88" s="4">
        <v>1</v>
      </c>
      <c r="E88" s="33" t="s">
        <v>29</v>
      </c>
      <c r="F88" s="53" t="s">
        <v>9</v>
      </c>
      <c r="G88" s="59" t="s">
        <v>310</v>
      </c>
    </row>
    <row r="89" spans="1:7" s="12" customFormat="1" x14ac:dyDescent="0.2">
      <c r="A89" s="4"/>
      <c r="B89" s="4">
        <f>B88+D88</f>
        <v>330</v>
      </c>
      <c r="C89" s="4">
        <f t="shared" ref="C89" si="14">B89+D89-1</f>
        <v>1502</v>
      </c>
      <c r="D89" s="4">
        <v>1173</v>
      </c>
      <c r="E89" s="33" t="s">
        <v>13</v>
      </c>
      <c r="F89" s="59"/>
      <c r="G89" s="53"/>
    </row>
    <row r="90" spans="1:7" s="12" customFormat="1" x14ac:dyDescent="0.2">
      <c r="A90" s="4"/>
      <c r="B90" s="33"/>
      <c r="C90" s="33"/>
      <c r="D90" s="33"/>
      <c r="E90" s="60" t="s">
        <v>15</v>
      </c>
      <c r="F90" s="59"/>
      <c r="G90" s="67"/>
    </row>
    <row r="91" spans="1:7" s="12" customFormat="1" ht="89.25" x14ac:dyDescent="0.2">
      <c r="A91" s="4" t="s">
        <v>159</v>
      </c>
      <c r="B91" s="4">
        <f>B89+D89</f>
        <v>1503</v>
      </c>
      <c r="C91" s="4">
        <f t="shared" ref="C91:C94" si="15">B91+D91-1</f>
        <v>1507</v>
      </c>
      <c r="D91" s="4">
        <v>5</v>
      </c>
      <c r="E91" s="33" t="s">
        <v>136</v>
      </c>
      <c r="F91" s="53" t="s">
        <v>115</v>
      </c>
      <c r="G91" s="53" t="s">
        <v>279</v>
      </c>
    </row>
    <row r="92" spans="1:7" s="12" customFormat="1" ht="66" customHeight="1" x14ac:dyDescent="0.2">
      <c r="A92" s="4" t="s">
        <v>158</v>
      </c>
      <c r="B92" s="4">
        <f>B91+D91</f>
        <v>1508</v>
      </c>
      <c r="C92" s="4">
        <f t="shared" si="15"/>
        <v>1510</v>
      </c>
      <c r="D92" s="4">
        <v>3</v>
      </c>
      <c r="E92" s="33" t="s">
        <v>137</v>
      </c>
      <c r="F92" s="53" t="s">
        <v>116</v>
      </c>
      <c r="G92" s="53" t="s">
        <v>311</v>
      </c>
    </row>
    <row r="93" spans="1:7" s="12" customFormat="1" ht="60.75" customHeight="1" x14ac:dyDescent="0.2">
      <c r="A93" s="4" t="s">
        <v>158</v>
      </c>
      <c r="B93" s="4">
        <f>B92+D92</f>
        <v>1511</v>
      </c>
      <c r="C93" s="4">
        <f t="shared" si="15"/>
        <v>1519</v>
      </c>
      <c r="D93" s="4">
        <v>9</v>
      </c>
      <c r="E93" s="33" t="s">
        <v>13</v>
      </c>
      <c r="F93" s="53"/>
      <c r="G93" s="58"/>
    </row>
    <row r="94" spans="1:7" s="12" customFormat="1" ht="76.5" x14ac:dyDescent="0.2">
      <c r="A94" s="4" t="s">
        <v>158</v>
      </c>
      <c r="B94" s="4">
        <f>B93+D93</f>
        <v>1520</v>
      </c>
      <c r="C94" s="4">
        <f t="shared" si="15"/>
        <v>1522</v>
      </c>
      <c r="D94" s="4">
        <v>3</v>
      </c>
      <c r="E94" s="33" t="s">
        <v>138</v>
      </c>
      <c r="F94" s="53" t="s">
        <v>121</v>
      </c>
      <c r="G94" s="53" t="s">
        <v>312</v>
      </c>
    </row>
    <row r="95" spans="1:7" s="12" customFormat="1" x14ac:dyDescent="0.2">
      <c r="A95" s="4"/>
      <c r="B95" s="4"/>
      <c r="C95" s="4"/>
      <c r="D95" s="4"/>
      <c r="E95" s="60" t="s">
        <v>286</v>
      </c>
      <c r="F95" s="27"/>
      <c r="G95" s="67"/>
    </row>
    <row r="96" spans="1:7" s="12" customFormat="1" ht="12.75" customHeight="1" x14ac:dyDescent="0.2">
      <c r="A96" s="4" t="s">
        <v>159</v>
      </c>
      <c r="B96" s="4">
        <f>B94+D94</f>
        <v>1523</v>
      </c>
      <c r="C96" s="4">
        <f>B96+D96-1</f>
        <v>1526</v>
      </c>
      <c r="D96" s="4">
        <v>4</v>
      </c>
      <c r="E96" s="6" t="s">
        <v>283</v>
      </c>
      <c r="F96" s="70" t="s">
        <v>103</v>
      </c>
      <c r="G96" s="70" t="s">
        <v>280</v>
      </c>
    </row>
    <row r="97" spans="1:7" s="12" customFormat="1" x14ac:dyDescent="0.2">
      <c r="A97" s="4" t="s">
        <v>159</v>
      </c>
      <c r="B97" s="4">
        <f>B96+D96</f>
        <v>1527</v>
      </c>
      <c r="C97" s="4">
        <f t="shared" ref="C97:C102" si="16">B97+D97-1</f>
        <v>1530</v>
      </c>
      <c r="D97" s="4">
        <v>4</v>
      </c>
      <c r="E97" s="6" t="s">
        <v>282</v>
      </c>
      <c r="F97" s="70"/>
      <c r="G97" s="70"/>
    </row>
    <row r="98" spans="1:7" s="12" customFormat="1" x14ac:dyDescent="0.2">
      <c r="A98" s="4" t="s">
        <v>159</v>
      </c>
      <c r="B98" s="4">
        <f t="shared" ref="B98:B103" si="17">B97+D97</f>
        <v>1531</v>
      </c>
      <c r="C98" s="4">
        <f t="shared" si="16"/>
        <v>1534</v>
      </c>
      <c r="D98" s="4">
        <v>4</v>
      </c>
      <c r="E98" s="6" t="s">
        <v>284</v>
      </c>
      <c r="F98" s="70"/>
      <c r="G98" s="70"/>
    </row>
    <row r="99" spans="1:7" s="12" customFormat="1" ht="17.25" customHeight="1" x14ac:dyDescent="0.2">
      <c r="A99" s="4" t="s">
        <v>159</v>
      </c>
      <c r="B99" s="4">
        <f t="shared" si="17"/>
        <v>1535</v>
      </c>
      <c r="C99" s="4">
        <f t="shared" si="16"/>
        <v>1538</v>
      </c>
      <c r="D99" s="4">
        <v>4</v>
      </c>
      <c r="E99" s="6" t="s">
        <v>285</v>
      </c>
      <c r="F99" s="70"/>
      <c r="G99" s="70"/>
    </row>
    <row r="100" spans="1:7" s="12" customFormat="1" x14ac:dyDescent="0.2">
      <c r="A100" s="4"/>
      <c r="B100" s="4">
        <f>B99+D99</f>
        <v>1539</v>
      </c>
      <c r="C100" s="4">
        <f t="shared" si="16"/>
        <v>1562</v>
      </c>
      <c r="D100" s="4">
        <v>24</v>
      </c>
      <c r="E100" s="33" t="s">
        <v>13</v>
      </c>
      <c r="F100" s="53"/>
      <c r="G100" s="53"/>
    </row>
    <row r="101" spans="1:7" s="12" customFormat="1" x14ac:dyDescent="0.2">
      <c r="A101" s="4"/>
      <c r="B101" s="4"/>
      <c r="C101" s="4"/>
      <c r="D101" s="4"/>
      <c r="E101" s="60" t="s">
        <v>72</v>
      </c>
      <c r="F101" s="53"/>
      <c r="G101" s="56"/>
    </row>
    <row r="102" spans="1:7" s="12" customFormat="1" ht="12.75" customHeight="1" x14ac:dyDescent="0.2">
      <c r="A102" s="4" t="s">
        <v>159</v>
      </c>
      <c r="B102" s="4">
        <f>B100+D100</f>
        <v>1563</v>
      </c>
      <c r="C102" s="4">
        <f t="shared" si="16"/>
        <v>1566</v>
      </c>
      <c r="D102" s="4">
        <v>4</v>
      </c>
      <c r="E102" s="6" t="s">
        <v>180</v>
      </c>
      <c r="F102" s="70" t="s">
        <v>104</v>
      </c>
      <c r="G102" s="70" t="s">
        <v>173</v>
      </c>
    </row>
    <row r="103" spans="1:7" s="12" customFormat="1" ht="25.5" x14ac:dyDescent="0.2">
      <c r="A103" s="4" t="s">
        <v>159</v>
      </c>
      <c r="B103" s="4">
        <f t="shared" si="17"/>
        <v>1567</v>
      </c>
      <c r="C103" s="4">
        <f>B103+D103-1</f>
        <v>1570</v>
      </c>
      <c r="D103" s="4">
        <v>4</v>
      </c>
      <c r="E103" s="6" t="s">
        <v>73</v>
      </c>
      <c r="F103" s="70"/>
      <c r="G103" s="70"/>
    </row>
    <row r="104" spans="1:7" s="12" customFormat="1" x14ac:dyDescent="0.2">
      <c r="A104" s="4" t="s">
        <v>159</v>
      </c>
      <c r="B104" s="4">
        <f t="shared" ref="B104:B109" si="18">B103+D103</f>
        <v>1571</v>
      </c>
      <c r="C104" s="4">
        <f t="shared" ref="C104:C107" si="19">B104+D104-1</f>
        <v>1574</v>
      </c>
      <c r="D104" s="4">
        <v>4</v>
      </c>
      <c r="E104" s="6" t="s">
        <v>229</v>
      </c>
      <c r="F104" s="70" t="s">
        <v>233</v>
      </c>
      <c r="G104" s="70"/>
    </row>
    <row r="105" spans="1:7" s="12" customFormat="1" x14ac:dyDescent="0.2">
      <c r="A105" s="4" t="s">
        <v>159</v>
      </c>
      <c r="B105" s="4">
        <f t="shared" si="18"/>
        <v>1575</v>
      </c>
      <c r="C105" s="4">
        <f t="shared" si="19"/>
        <v>1578</v>
      </c>
      <c r="D105" s="4">
        <v>4</v>
      </c>
      <c r="E105" s="6" t="s">
        <v>230</v>
      </c>
      <c r="F105" s="70"/>
      <c r="G105" s="70"/>
    </row>
    <row r="106" spans="1:7" s="12" customFormat="1" x14ac:dyDescent="0.2">
      <c r="A106" s="4" t="s">
        <v>159</v>
      </c>
      <c r="B106" s="4">
        <f t="shared" si="18"/>
        <v>1579</v>
      </c>
      <c r="C106" s="4">
        <f t="shared" si="19"/>
        <v>1582</v>
      </c>
      <c r="D106" s="4">
        <v>4</v>
      </c>
      <c r="E106" s="6" t="s">
        <v>231</v>
      </c>
      <c r="F106" s="70"/>
      <c r="G106" s="70"/>
    </row>
    <row r="107" spans="1:7" s="12" customFormat="1" x14ac:dyDescent="0.2">
      <c r="A107" s="4" t="s">
        <v>159</v>
      </c>
      <c r="B107" s="4">
        <f t="shared" si="18"/>
        <v>1583</v>
      </c>
      <c r="C107" s="4">
        <f t="shared" si="19"/>
        <v>1586</v>
      </c>
      <c r="D107" s="4">
        <v>4</v>
      </c>
      <c r="E107" s="6" t="s">
        <v>232</v>
      </c>
      <c r="F107" s="70"/>
      <c r="G107" s="70"/>
    </row>
    <row r="108" spans="1:7" s="12" customFormat="1" ht="63.75" x14ac:dyDescent="0.2">
      <c r="A108" s="4" t="s">
        <v>159</v>
      </c>
      <c r="B108" s="4">
        <f t="shared" si="18"/>
        <v>1587</v>
      </c>
      <c r="C108" s="4">
        <f>B108+D108-1</f>
        <v>1591</v>
      </c>
      <c r="D108" s="4">
        <v>5</v>
      </c>
      <c r="E108" s="33" t="s">
        <v>74</v>
      </c>
      <c r="F108" s="59" t="s">
        <v>281</v>
      </c>
      <c r="G108" s="53" t="s">
        <v>224</v>
      </c>
    </row>
    <row r="109" spans="1:7" s="12" customFormat="1" ht="102" x14ac:dyDescent="0.2">
      <c r="A109" s="4" t="s">
        <v>99</v>
      </c>
      <c r="B109" s="4">
        <f t="shared" si="18"/>
        <v>1592</v>
      </c>
      <c r="C109" s="4">
        <f>B109+D109-1</f>
        <v>1592</v>
      </c>
      <c r="D109" s="4">
        <v>1</v>
      </c>
      <c r="E109" s="33" t="s">
        <v>209</v>
      </c>
      <c r="F109" s="59" t="s">
        <v>225</v>
      </c>
      <c r="G109" s="53" t="s">
        <v>313</v>
      </c>
    </row>
    <row r="110" spans="1:7" s="12" customFormat="1" x14ac:dyDescent="0.2">
      <c r="A110" s="4"/>
      <c r="B110" s="4">
        <f>B109+D109</f>
        <v>1593</v>
      </c>
      <c r="C110" s="4">
        <f>B110+D110-1</f>
        <v>1618</v>
      </c>
      <c r="D110" s="4">
        <v>26</v>
      </c>
      <c r="E110" s="33" t="s">
        <v>13</v>
      </c>
      <c r="F110" s="53"/>
      <c r="G110" s="53"/>
    </row>
    <row r="111" spans="1:7" s="12" customFormat="1" x14ac:dyDescent="0.2">
      <c r="A111" s="4"/>
      <c r="B111" s="4"/>
      <c r="C111" s="4"/>
      <c r="D111" s="4"/>
      <c r="E111" s="60" t="s">
        <v>75</v>
      </c>
      <c r="F111" s="53"/>
      <c r="G111" s="67"/>
    </row>
    <row r="112" spans="1:7" s="12" customFormat="1" ht="51" x14ac:dyDescent="0.2">
      <c r="A112" s="4" t="s">
        <v>161</v>
      </c>
      <c r="B112" s="4">
        <f>+B110+D110</f>
        <v>1619</v>
      </c>
      <c r="C112" s="4">
        <f t="shared" ref="C112:C114" si="20">B112+D112-1</f>
        <v>1621</v>
      </c>
      <c r="D112" s="4">
        <v>3</v>
      </c>
      <c r="E112" s="33" t="s">
        <v>76</v>
      </c>
      <c r="F112" s="53" t="s">
        <v>126</v>
      </c>
      <c r="G112" s="53" t="s">
        <v>287</v>
      </c>
    </row>
    <row r="113" spans="1:7" s="12" customFormat="1" ht="51" x14ac:dyDescent="0.2">
      <c r="A113" s="4" t="s">
        <v>159</v>
      </c>
      <c r="B113" s="4">
        <f>B112+D112</f>
        <v>1622</v>
      </c>
      <c r="C113" s="4">
        <f t="shared" si="20"/>
        <v>1625</v>
      </c>
      <c r="D113" s="4">
        <v>4</v>
      </c>
      <c r="E113" s="33" t="s">
        <v>77</v>
      </c>
      <c r="F113" s="53" t="s">
        <v>117</v>
      </c>
      <c r="G113" s="53" t="s">
        <v>174</v>
      </c>
    </row>
    <row r="114" spans="1:7" s="12" customFormat="1" x14ac:dyDescent="0.2">
      <c r="A114" s="4" t="s">
        <v>100</v>
      </c>
      <c r="B114" s="4">
        <f>B113+D113</f>
        <v>1626</v>
      </c>
      <c r="C114" s="4">
        <f t="shared" si="20"/>
        <v>1661</v>
      </c>
      <c r="D114" s="4">
        <v>36</v>
      </c>
      <c r="E114" s="33" t="s">
        <v>13</v>
      </c>
      <c r="F114" s="53"/>
      <c r="G114" s="53"/>
    </row>
    <row r="115" spans="1:7" s="12" customFormat="1" x14ac:dyDescent="0.2">
      <c r="A115" s="4"/>
      <c r="B115" s="4"/>
      <c r="C115" s="4"/>
      <c r="D115" s="4"/>
      <c r="E115" s="60" t="s">
        <v>16</v>
      </c>
      <c r="F115" s="27"/>
      <c r="G115" s="67"/>
    </row>
    <row r="116" spans="1:7" s="12" customFormat="1" ht="76.5" x14ac:dyDescent="0.2">
      <c r="A116" s="4" t="s">
        <v>159</v>
      </c>
      <c r="B116" s="4">
        <f>B114+D114</f>
        <v>1662</v>
      </c>
      <c r="C116" s="4">
        <f t="shared" ref="C116:C119" si="21">B116+D116-1</f>
        <v>1666</v>
      </c>
      <c r="D116" s="4">
        <v>5</v>
      </c>
      <c r="E116" s="33" t="s">
        <v>139</v>
      </c>
      <c r="F116" s="53" t="s">
        <v>115</v>
      </c>
      <c r="G116" s="53" t="s">
        <v>314</v>
      </c>
    </row>
    <row r="117" spans="1:7" s="12" customFormat="1" ht="58.5" customHeight="1" x14ac:dyDescent="0.2">
      <c r="A117" s="4" t="s">
        <v>158</v>
      </c>
      <c r="B117" s="4">
        <f>B116+D116</f>
        <v>1667</v>
      </c>
      <c r="C117" s="4">
        <f t="shared" si="21"/>
        <v>1669</v>
      </c>
      <c r="D117" s="4">
        <v>3</v>
      </c>
      <c r="E117" s="33" t="s">
        <v>140</v>
      </c>
      <c r="F117" s="53" t="s">
        <v>116</v>
      </c>
      <c r="G117" s="53" t="s">
        <v>315</v>
      </c>
    </row>
    <row r="118" spans="1:7" s="12" customFormat="1" ht="50.25" customHeight="1" x14ac:dyDescent="0.2">
      <c r="A118" s="4" t="s">
        <v>158</v>
      </c>
      <c r="B118" s="4">
        <f>B117+D117</f>
        <v>1670</v>
      </c>
      <c r="C118" s="4">
        <f t="shared" si="21"/>
        <v>1678</v>
      </c>
      <c r="D118" s="4">
        <v>9</v>
      </c>
      <c r="E118" s="33" t="s">
        <v>13</v>
      </c>
      <c r="F118" s="53"/>
      <c r="G118" s="58"/>
    </row>
    <row r="119" spans="1:7" s="12" customFormat="1" ht="76.5" x14ac:dyDescent="0.2">
      <c r="A119" s="4" t="s">
        <v>158</v>
      </c>
      <c r="B119" s="4">
        <f>B118+D118</f>
        <v>1679</v>
      </c>
      <c r="C119" s="4">
        <f t="shared" si="21"/>
        <v>1681</v>
      </c>
      <c r="D119" s="4">
        <v>3</v>
      </c>
      <c r="E119" s="33" t="s">
        <v>141</v>
      </c>
      <c r="F119" s="53" t="s">
        <v>121</v>
      </c>
      <c r="G119" s="53" t="s">
        <v>316</v>
      </c>
    </row>
    <row r="120" spans="1:7" s="12" customFormat="1" x14ac:dyDescent="0.2">
      <c r="A120" s="4"/>
      <c r="B120" s="4"/>
      <c r="C120" s="4"/>
      <c r="D120" s="4"/>
      <c r="E120" s="60" t="s">
        <v>288</v>
      </c>
      <c r="F120" s="53"/>
      <c r="G120" s="67"/>
    </row>
    <row r="121" spans="1:7" s="12" customFormat="1" x14ac:dyDescent="0.2">
      <c r="A121" s="4" t="s">
        <v>159</v>
      </c>
      <c r="B121" s="4">
        <f>B119+D119</f>
        <v>1682</v>
      </c>
      <c r="C121" s="4">
        <f t="shared" ref="C121" si="22">B121+D121-1</f>
        <v>1685</v>
      </c>
      <c r="D121" s="4">
        <v>4</v>
      </c>
      <c r="E121" s="33" t="s">
        <v>234</v>
      </c>
      <c r="F121" s="70" t="s">
        <v>261</v>
      </c>
      <c r="G121" s="70" t="s">
        <v>290</v>
      </c>
    </row>
    <row r="122" spans="1:7" s="12" customFormat="1" ht="12.75" customHeight="1" x14ac:dyDescent="0.2">
      <c r="A122" s="4" t="s">
        <v>159</v>
      </c>
      <c r="B122" s="4">
        <f>B121+D121</f>
        <v>1686</v>
      </c>
      <c r="C122" s="4">
        <f t="shared" ref="C122:C123" si="23">B122+D122-1</f>
        <v>1689</v>
      </c>
      <c r="D122" s="4">
        <v>4</v>
      </c>
      <c r="E122" s="33" t="s">
        <v>262</v>
      </c>
      <c r="F122" s="70"/>
      <c r="G122" s="70"/>
    </row>
    <row r="123" spans="1:7" s="12" customFormat="1" ht="12.75" customHeight="1" x14ac:dyDescent="0.2">
      <c r="A123" s="4" t="s">
        <v>159</v>
      </c>
      <c r="B123" s="4">
        <f>B122+D122</f>
        <v>1690</v>
      </c>
      <c r="C123" s="4">
        <f t="shared" si="23"/>
        <v>1693</v>
      </c>
      <c r="D123" s="4">
        <v>4</v>
      </c>
      <c r="E123" s="33" t="s">
        <v>289</v>
      </c>
      <c r="F123" s="70"/>
      <c r="G123" s="70"/>
    </row>
    <row r="124" spans="1:7" s="12" customFormat="1" x14ac:dyDescent="0.2">
      <c r="A124" s="4" t="s">
        <v>159</v>
      </c>
      <c r="B124" s="4">
        <f>B123+D123</f>
        <v>1694</v>
      </c>
      <c r="C124" s="4">
        <f t="shared" ref="C124:C130" si="24">B124+D124-1</f>
        <v>1697</v>
      </c>
      <c r="D124" s="4">
        <v>4</v>
      </c>
      <c r="E124" s="6" t="s">
        <v>263</v>
      </c>
      <c r="F124" s="70"/>
      <c r="G124" s="70"/>
    </row>
    <row r="125" spans="1:7" s="12" customFormat="1" x14ac:dyDescent="0.2">
      <c r="A125" s="4" t="s">
        <v>159</v>
      </c>
      <c r="B125" s="4">
        <f t="shared" ref="B125:B130" si="25">B124+D124</f>
        <v>1698</v>
      </c>
      <c r="C125" s="4">
        <f t="shared" si="24"/>
        <v>1701</v>
      </c>
      <c r="D125" s="4">
        <v>4</v>
      </c>
      <c r="E125" s="6" t="s">
        <v>264</v>
      </c>
      <c r="F125" s="70"/>
      <c r="G125" s="70"/>
    </row>
    <row r="126" spans="1:7" s="12" customFormat="1" x14ac:dyDescent="0.2">
      <c r="A126" s="4" t="s">
        <v>159</v>
      </c>
      <c r="B126" s="4">
        <f t="shared" si="25"/>
        <v>1702</v>
      </c>
      <c r="C126" s="4">
        <f t="shared" si="24"/>
        <v>1705</v>
      </c>
      <c r="D126" s="4">
        <v>4</v>
      </c>
      <c r="E126" s="6" t="s">
        <v>265</v>
      </c>
      <c r="F126" s="70"/>
      <c r="G126" s="70"/>
    </row>
    <row r="127" spans="1:7" s="12" customFormat="1" x14ac:dyDescent="0.2">
      <c r="A127" s="4" t="s">
        <v>159</v>
      </c>
      <c r="B127" s="4">
        <f t="shared" si="25"/>
        <v>1706</v>
      </c>
      <c r="C127" s="4">
        <f t="shared" si="24"/>
        <v>1709</v>
      </c>
      <c r="D127" s="4">
        <v>4</v>
      </c>
      <c r="E127" s="35" t="s">
        <v>266</v>
      </c>
      <c r="F127" s="70"/>
      <c r="G127" s="70"/>
    </row>
    <row r="128" spans="1:7" s="12" customFormat="1" x14ac:dyDescent="0.2">
      <c r="A128" s="4" t="s">
        <v>159</v>
      </c>
      <c r="B128" s="4">
        <f t="shared" si="25"/>
        <v>1710</v>
      </c>
      <c r="C128" s="4">
        <f t="shared" si="24"/>
        <v>1713</v>
      </c>
      <c r="D128" s="4">
        <v>4</v>
      </c>
      <c r="E128" s="6" t="s">
        <v>267</v>
      </c>
      <c r="F128" s="70"/>
      <c r="G128" s="70"/>
    </row>
    <row r="129" spans="1:7" s="12" customFormat="1" x14ac:dyDescent="0.2">
      <c r="A129" s="4" t="s">
        <v>159</v>
      </c>
      <c r="B129" s="4">
        <f t="shared" si="25"/>
        <v>1714</v>
      </c>
      <c r="C129" s="4">
        <f t="shared" si="24"/>
        <v>1717</v>
      </c>
      <c r="D129" s="4">
        <v>4</v>
      </c>
      <c r="E129" s="6" t="s">
        <v>268</v>
      </c>
      <c r="F129" s="70"/>
      <c r="G129" s="70"/>
    </row>
    <row r="130" spans="1:7" s="12" customFormat="1" x14ac:dyDescent="0.2">
      <c r="A130" s="4" t="s">
        <v>159</v>
      </c>
      <c r="B130" s="4">
        <f t="shared" si="25"/>
        <v>1718</v>
      </c>
      <c r="C130" s="4">
        <f t="shared" si="24"/>
        <v>1721</v>
      </c>
      <c r="D130" s="4">
        <v>4</v>
      </c>
      <c r="E130" s="6" t="s">
        <v>270</v>
      </c>
      <c r="F130" s="70"/>
      <c r="G130" s="70"/>
    </row>
    <row r="131" spans="1:7" s="12" customFormat="1" x14ac:dyDescent="0.2">
      <c r="A131" s="4" t="s">
        <v>159</v>
      </c>
      <c r="B131" s="4">
        <f t="shared" ref="B131:B133" si="26">B130+D130</f>
        <v>1722</v>
      </c>
      <c r="C131" s="4">
        <f t="shared" ref="C131:C133" si="27">B131+D131-1</f>
        <v>1725</v>
      </c>
      <c r="D131" s="4">
        <v>4</v>
      </c>
      <c r="E131" s="6" t="s">
        <v>271</v>
      </c>
      <c r="F131" s="75"/>
      <c r="G131" s="71"/>
    </row>
    <row r="132" spans="1:7" s="12" customFormat="1" x14ac:dyDescent="0.2">
      <c r="A132" s="4" t="s">
        <v>159</v>
      </c>
      <c r="B132" s="4">
        <f t="shared" si="26"/>
        <v>1726</v>
      </c>
      <c r="C132" s="4">
        <f t="shared" si="27"/>
        <v>1729</v>
      </c>
      <c r="D132" s="4">
        <v>4</v>
      </c>
      <c r="E132" s="6" t="s">
        <v>269</v>
      </c>
      <c r="F132" s="75"/>
      <c r="G132" s="71"/>
    </row>
    <row r="133" spans="1:7" s="12" customFormat="1" x14ac:dyDescent="0.2">
      <c r="A133" s="4"/>
      <c r="B133" s="4">
        <f t="shared" si="26"/>
        <v>1730</v>
      </c>
      <c r="C133" s="4">
        <f t="shared" si="27"/>
        <v>1730</v>
      </c>
      <c r="D133" s="4">
        <v>1</v>
      </c>
      <c r="E133" s="33" t="s">
        <v>13</v>
      </c>
      <c r="F133" s="53"/>
      <c r="G133" s="53"/>
    </row>
    <row r="134" spans="1:7" s="12" customFormat="1" x14ac:dyDescent="0.2">
      <c r="A134" s="4"/>
      <c r="B134" s="4"/>
      <c r="C134" s="4"/>
      <c r="D134" s="4"/>
      <c r="E134" s="60" t="s">
        <v>71</v>
      </c>
      <c r="F134" s="53"/>
      <c r="G134" s="67"/>
    </row>
    <row r="135" spans="1:7" s="12" customFormat="1" ht="23.25" customHeight="1" x14ac:dyDescent="0.2">
      <c r="A135" s="4" t="s">
        <v>161</v>
      </c>
      <c r="B135" s="4">
        <f>+B133+D133</f>
        <v>1731</v>
      </c>
      <c r="C135" s="4">
        <f>B135+D135-1</f>
        <v>1734</v>
      </c>
      <c r="D135" s="4">
        <v>4</v>
      </c>
      <c r="E135" s="6" t="s">
        <v>78</v>
      </c>
      <c r="F135" s="70" t="s">
        <v>117</v>
      </c>
      <c r="G135" s="70" t="s">
        <v>210</v>
      </c>
    </row>
    <row r="136" spans="1:7" s="12" customFormat="1" ht="23.25" customHeight="1" x14ac:dyDescent="0.2">
      <c r="A136" s="4" t="s">
        <v>159</v>
      </c>
      <c r="B136" s="4">
        <f>B135+D135</f>
        <v>1735</v>
      </c>
      <c r="C136" s="4">
        <f>B136+D136-1</f>
        <v>1738</v>
      </c>
      <c r="D136" s="4">
        <v>4</v>
      </c>
      <c r="E136" s="6" t="s">
        <v>181</v>
      </c>
      <c r="F136" s="70"/>
      <c r="G136" s="71"/>
    </row>
    <row r="137" spans="1:7" s="12" customFormat="1" x14ac:dyDescent="0.2">
      <c r="A137" s="4"/>
      <c r="B137" s="4">
        <f>B136+D136</f>
        <v>1739</v>
      </c>
      <c r="C137" s="4">
        <f>B137+D137-1</f>
        <v>1749</v>
      </c>
      <c r="D137" s="4">
        <v>11</v>
      </c>
      <c r="E137" s="33" t="s">
        <v>13</v>
      </c>
      <c r="F137" s="53"/>
      <c r="G137" s="53"/>
    </row>
    <row r="138" spans="1:7" s="12" customFormat="1" x14ac:dyDescent="0.2">
      <c r="A138" s="4"/>
      <c r="B138" s="4"/>
      <c r="C138" s="4"/>
      <c r="D138" s="4"/>
      <c r="E138" s="60" t="s">
        <v>17</v>
      </c>
      <c r="F138" s="27"/>
      <c r="G138" s="67"/>
    </row>
    <row r="139" spans="1:7" s="12" customFormat="1" ht="63.75" x14ac:dyDescent="0.2">
      <c r="A139" s="4" t="s">
        <v>159</v>
      </c>
      <c r="B139" s="4">
        <f>+B137+D137</f>
        <v>1750</v>
      </c>
      <c r="C139" s="4">
        <f t="shared" ref="C139:C142" si="28">B139+D139-1</f>
        <v>1754</v>
      </c>
      <c r="D139" s="4">
        <v>5</v>
      </c>
      <c r="E139" s="33" t="s">
        <v>166</v>
      </c>
      <c r="F139" s="53" t="s">
        <v>115</v>
      </c>
      <c r="G139" s="53" t="s">
        <v>317</v>
      </c>
    </row>
    <row r="140" spans="1:7" s="12" customFormat="1" ht="63.75" customHeight="1" x14ac:dyDescent="0.2">
      <c r="A140" s="4" t="s">
        <v>158</v>
      </c>
      <c r="B140" s="4">
        <f>B139+D139</f>
        <v>1755</v>
      </c>
      <c r="C140" s="4">
        <f t="shared" si="28"/>
        <v>1757</v>
      </c>
      <c r="D140" s="4">
        <v>3</v>
      </c>
      <c r="E140" s="33" t="s">
        <v>142</v>
      </c>
      <c r="F140" s="53" t="s">
        <v>116</v>
      </c>
      <c r="G140" s="53" t="s">
        <v>291</v>
      </c>
    </row>
    <row r="141" spans="1:7" s="12" customFormat="1" ht="60.75" customHeight="1" x14ac:dyDescent="0.2">
      <c r="A141" s="4" t="s">
        <v>158</v>
      </c>
      <c r="B141" s="4">
        <f>B140+D140</f>
        <v>1758</v>
      </c>
      <c r="C141" s="4">
        <f t="shared" si="28"/>
        <v>1766</v>
      </c>
      <c r="D141" s="4">
        <v>9</v>
      </c>
      <c r="E141" s="33" t="s">
        <v>13</v>
      </c>
      <c r="F141" s="53"/>
      <c r="G141" s="58"/>
    </row>
    <row r="142" spans="1:7" s="12" customFormat="1" ht="76.5" x14ac:dyDescent="0.2">
      <c r="A142" s="4" t="s">
        <v>158</v>
      </c>
      <c r="B142" s="4">
        <f>B141+D141</f>
        <v>1767</v>
      </c>
      <c r="C142" s="4">
        <f t="shared" si="28"/>
        <v>1769</v>
      </c>
      <c r="D142" s="4">
        <v>3</v>
      </c>
      <c r="E142" s="33" t="s">
        <v>143</v>
      </c>
      <c r="F142" s="53" t="s">
        <v>121</v>
      </c>
      <c r="G142" s="53" t="s">
        <v>318</v>
      </c>
    </row>
    <row r="143" spans="1:7" s="12" customFormat="1" x14ac:dyDescent="0.2">
      <c r="A143" s="4"/>
      <c r="B143" s="4"/>
      <c r="C143" s="4"/>
      <c r="D143" s="4"/>
      <c r="E143" s="60" t="s">
        <v>70</v>
      </c>
      <c r="F143" s="53"/>
      <c r="G143" s="67"/>
    </row>
    <row r="144" spans="1:7" s="12" customFormat="1" ht="12.75" customHeight="1" x14ac:dyDescent="0.2">
      <c r="A144" s="4" t="s">
        <v>159</v>
      </c>
      <c r="B144" s="4">
        <f>+B142+D142</f>
        <v>1770</v>
      </c>
      <c r="C144" s="4">
        <f t="shared" ref="C144:C149" si="29">B144+D144-1</f>
        <v>1773</v>
      </c>
      <c r="D144" s="4">
        <v>4</v>
      </c>
      <c r="E144" s="6" t="s">
        <v>79</v>
      </c>
      <c r="F144" s="70" t="s">
        <v>117</v>
      </c>
      <c r="G144" s="70" t="s">
        <v>175</v>
      </c>
    </row>
    <row r="145" spans="1:7" s="12" customFormat="1" ht="12.75" customHeight="1" x14ac:dyDescent="0.2">
      <c r="A145" s="4" t="s">
        <v>159</v>
      </c>
      <c r="B145" s="4">
        <f>B144+D144</f>
        <v>1774</v>
      </c>
      <c r="C145" s="4">
        <f t="shared" si="29"/>
        <v>1777</v>
      </c>
      <c r="D145" s="4">
        <v>4</v>
      </c>
      <c r="E145" s="6" t="s">
        <v>80</v>
      </c>
      <c r="F145" s="70"/>
      <c r="G145" s="70"/>
    </row>
    <row r="146" spans="1:7" s="12" customFormat="1" ht="12.75" customHeight="1" x14ac:dyDescent="0.2">
      <c r="A146" s="4" t="s">
        <v>159</v>
      </c>
      <c r="B146" s="4">
        <f>B145+D145</f>
        <v>1778</v>
      </c>
      <c r="C146" s="4">
        <f t="shared" si="29"/>
        <v>1781</v>
      </c>
      <c r="D146" s="4">
        <v>4</v>
      </c>
      <c r="E146" s="6" t="s">
        <v>81</v>
      </c>
      <c r="F146" s="70"/>
      <c r="G146" s="70"/>
    </row>
    <row r="147" spans="1:7" s="12" customFormat="1" ht="12.75" customHeight="1" x14ac:dyDescent="0.2">
      <c r="A147" s="4" t="s">
        <v>159</v>
      </c>
      <c r="B147" s="4">
        <f>B146+D146</f>
        <v>1782</v>
      </c>
      <c r="C147" s="4">
        <f t="shared" si="29"/>
        <v>1785</v>
      </c>
      <c r="D147" s="4">
        <v>4</v>
      </c>
      <c r="E147" s="6" t="s">
        <v>82</v>
      </c>
      <c r="F147" s="70"/>
      <c r="G147" s="70"/>
    </row>
    <row r="148" spans="1:7" s="12" customFormat="1" ht="12.75" customHeight="1" x14ac:dyDescent="0.2">
      <c r="A148" s="4" t="s">
        <v>159</v>
      </c>
      <c r="B148" s="4">
        <f>B147+D147</f>
        <v>1786</v>
      </c>
      <c r="C148" s="4">
        <f t="shared" si="29"/>
        <v>1789</v>
      </c>
      <c r="D148" s="4">
        <v>4</v>
      </c>
      <c r="E148" s="6" t="s">
        <v>83</v>
      </c>
      <c r="F148" s="70"/>
      <c r="G148" s="70"/>
    </row>
    <row r="149" spans="1:7" s="33" customFormat="1" x14ac:dyDescent="0.2">
      <c r="A149" s="4"/>
      <c r="B149" s="4">
        <f>B148+D148</f>
        <v>1790</v>
      </c>
      <c r="C149" s="4">
        <f t="shared" si="29"/>
        <v>1801</v>
      </c>
      <c r="D149" s="4">
        <v>12</v>
      </c>
      <c r="E149" s="33" t="s">
        <v>13</v>
      </c>
      <c r="F149" s="53"/>
      <c r="G149" s="53"/>
    </row>
    <row r="150" spans="1:7" s="12" customFormat="1" x14ac:dyDescent="0.2">
      <c r="A150" s="4"/>
      <c r="B150" s="4"/>
      <c r="C150" s="4"/>
      <c r="D150" s="4"/>
      <c r="E150" s="60" t="s">
        <v>71</v>
      </c>
      <c r="F150" s="53"/>
      <c r="G150" s="67"/>
    </row>
    <row r="151" spans="1:7" s="12" customFormat="1" ht="45.75" customHeight="1" x14ac:dyDescent="0.2">
      <c r="A151" s="4" t="s">
        <v>159</v>
      </c>
      <c r="B151" s="4">
        <f>+B149+D149</f>
        <v>1802</v>
      </c>
      <c r="C151" s="4">
        <f>B151+D151-1</f>
        <v>1805</v>
      </c>
      <c r="D151" s="4">
        <v>4</v>
      </c>
      <c r="E151" s="6" t="s">
        <v>84</v>
      </c>
      <c r="F151" s="70" t="s">
        <v>118</v>
      </c>
      <c r="G151" s="70" t="s">
        <v>292</v>
      </c>
    </row>
    <row r="152" spans="1:7" s="12" customFormat="1" ht="68.25" customHeight="1" x14ac:dyDescent="0.2">
      <c r="A152" s="4" t="s">
        <v>159</v>
      </c>
      <c r="B152" s="4">
        <f>B151+D151</f>
        <v>1806</v>
      </c>
      <c r="C152" s="4">
        <f t="shared" ref="C152:C155" si="30">B152+D152-1</f>
        <v>1809</v>
      </c>
      <c r="D152" s="4">
        <v>4</v>
      </c>
      <c r="E152" s="6" t="s">
        <v>272</v>
      </c>
      <c r="F152" s="70"/>
      <c r="G152" s="70"/>
    </row>
    <row r="153" spans="1:7" s="12" customFormat="1" x14ac:dyDescent="0.2">
      <c r="A153" s="4"/>
      <c r="B153" s="4"/>
      <c r="C153" s="4"/>
      <c r="D153" s="4"/>
      <c r="E153" s="60" t="s">
        <v>75</v>
      </c>
      <c r="F153" s="59"/>
      <c r="G153" s="59"/>
    </row>
    <row r="154" spans="1:7" s="12" customFormat="1" ht="38.25" x14ac:dyDescent="0.2">
      <c r="A154" s="4" t="s">
        <v>161</v>
      </c>
      <c r="B154" s="4">
        <f>B152+D152</f>
        <v>1810</v>
      </c>
      <c r="C154" s="4">
        <f t="shared" si="30"/>
        <v>1812</v>
      </c>
      <c r="D154" s="4">
        <v>3</v>
      </c>
      <c r="E154" s="6" t="s">
        <v>76</v>
      </c>
      <c r="F154" s="59" t="s">
        <v>236</v>
      </c>
      <c r="G154" s="59" t="s">
        <v>237</v>
      </c>
    </row>
    <row r="155" spans="1:7" s="12" customFormat="1" ht="38.25" x14ac:dyDescent="0.2">
      <c r="A155" s="4" t="s">
        <v>159</v>
      </c>
      <c r="B155" s="4">
        <f>B154+D154</f>
        <v>1813</v>
      </c>
      <c r="C155" s="4">
        <f t="shared" si="30"/>
        <v>1816</v>
      </c>
      <c r="D155" s="4">
        <v>4</v>
      </c>
      <c r="E155" s="6" t="s">
        <v>77</v>
      </c>
      <c r="F155" s="59" t="s">
        <v>235</v>
      </c>
      <c r="G155" s="59" t="s">
        <v>257</v>
      </c>
    </row>
    <row r="156" spans="1:7" s="12" customFormat="1" x14ac:dyDescent="0.2">
      <c r="A156" s="4"/>
      <c r="B156" s="4">
        <f>B155+D155</f>
        <v>1817</v>
      </c>
      <c r="C156" s="4">
        <f>B156+D156-1</f>
        <v>1836</v>
      </c>
      <c r="D156" s="4">
        <v>20</v>
      </c>
      <c r="E156" s="33" t="s">
        <v>13</v>
      </c>
      <c r="F156" s="53"/>
      <c r="G156" s="53"/>
    </row>
    <row r="157" spans="1:7" s="12" customFormat="1" x14ac:dyDescent="0.2">
      <c r="A157" s="4"/>
      <c r="B157" s="4"/>
      <c r="C157" s="4"/>
      <c r="D157" s="4"/>
      <c r="E157" s="60" t="s">
        <v>18</v>
      </c>
      <c r="F157" s="27"/>
      <c r="G157" s="67"/>
    </row>
    <row r="158" spans="1:7" s="12" customFormat="1" ht="63.75" x14ac:dyDescent="0.2">
      <c r="A158" s="4" t="s">
        <v>159</v>
      </c>
      <c r="B158" s="4">
        <f>+B156+D156</f>
        <v>1837</v>
      </c>
      <c r="C158" s="4">
        <f t="shared" ref="C158:C161" si="31">B158+D158-1</f>
        <v>1841</v>
      </c>
      <c r="D158" s="4">
        <v>5</v>
      </c>
      <c r="E158" s="33" t="s">
        <v>167</v>
      </c>
      <c r="F158" s="53" t="s">
        <v>115</v>
      </c>
      <c r="G158" s="53" t="s">
        <v>293</v>
      </c>
    </row>
    <row r="159" spans="1:7" s="12" customFormat="1" ht="66" customHeight="1" x14ac:dyDescent="0.2">
      <c r="A159" s="4" t="s">
        <v>158</v>
      </c>
      <c r="B159" s="4">
        <f>B158+D158</f>
        <v>1842</v>
      </c>
      <c r="C159" s="4">
        <f t="shared" si="31"/>
        <v>1844</v>
      </c>
      <c r="D159" s="4">
        <v>3</v>
      </c>
      <c r="E159" s="33" t="s">
        <v>144</v>
      </c>
      <c r="F159" s="53" t="s">
        <v>116</v>
      </c>
      <c r="G159" s="53" t="s">
        <v>294</v>
      </c>
    </row>
    <row r="160" spans="1:7" s="12" customFormat="1" ht="66" customHeight="1" x14ac:dyDescent="0.2">
      <c r="A160" s="4" t="s">
        <v>158</v>
      </c>
      <c r="B160" s="4">
        <f>B159+D159</f>
        <v>1845</v>
      </c>
      <c r="C160" s="4">
        <f t="shared" si="31"/>
        <v>1853</v>
      </c>
      <c r="D160" s="4">
        <v>9</v>
      </c>
      <c r="E160" s="33" t="s">
        <v>13</v>
      </c>
      <c r="F160" s="53"/>
      <c r="G160" s="58"/>
    </row>
    <row r="161" spans="1:7" s="12" customFormat="1" ht="76.5" x14ac:dyDescent="0.2">
      <c r="A161" s="4" t="s">
        <v>158</v>
      </c>
      <c r="B161" s="4">
        <f>B160+D160</f>
        <v>1854</v>
      </c>
      <c r="C161" s="4">
        <f t="shared" si="31"/>
        <v>1856</v>
      </c>
      <c r="D161" s="4">
        <v>3</v>
      </c>
      <c r="E161" s="33" t="s">
        <v>145</v>
      </c>
      <c r="F161" s="53" t="s">
        <v>121</v>
      </c>
      <c r="G161" s="53" t="s">
        <v>319</v>
      </c>
    </row>
    <row r="162" spans="1:7" s="12" customFormat="1" x14ac:dyDescent="0.2">
      <c r="A162" s="4"/>
      <c r="B162" s="4"/>
      <c r="C162" s="4"/>
      <c r="D162" s="4"/>
      <c r="E162" s="60" t="s">
        <v>70</v>
      </c>
      <c r="F162" s="53"/>
      <c r="G162" s="67"/>
    </row>
    <row r="163" spans="1:7" s="12" customFormat="1" x14ac:dyDescent="0.2">
      <c r="A163" s="4" t="s">
        <v>159</v>
      </c>
      <c r="B163" s="4">
        <f>+B161+D161</f>
        <v>1857</v>
      </c>
      <c r="C163" s="4">
        <f>B163+D163-1</f>
        <v>1860</v>
      </c>
      <c r="D163" s="4">
        <v>4</v>
      </c>
      <c r="E163" s="6" t="s">
        <v>182</v>
      </c>
      <c r="F163" s="70" t="s">
        <v>118</v>
      </c>
      <c r="G163" s="70" t="s">
        <v>176</v>
      </c>
    </row>
    <row r="164" spans="1:7" s="12" customFormat="1" x14ac:dyDescent="0.2">
      <c r="A164" s="4" t="s">
        <v>159</v>
      </c>
      <c r="B164" s="4">
        <f>B163+D163</f>
        <v>1861</v>
      </c>
      <c r="C164" s="4">
        <f>B164+D164-1</f>
        <v>1864</v>
      </c>
      <c r="D164" s="4">
        <v>4</v>
      </c>
      <c r="E164" s="6" t="s">
        <v>183</v>
      </c>
      <c r="F164" s="70"/>
      <c r="G164" s="70"/>
    </row>
    <row r="165" spans="1:7" s="12" customFormat="1" x14ac:dyDescent="0.2">
      <c r="A165" s="4" t="s">
        <v>159</v>
      </c>
      <c r="B165" s="4">
        <f>B164+D164</f>
        <v>1865</v>
      </c>
      <c r="C165" s="4">
        <f>B165+D165-1</f>
        <v>1868</v>
      </c>
      <c r="D165" s="4">
        <v>4</v>
      </c>
      <c r="E165" s="6" t="s">
        <v>184</v>
      </c>
      <c r="F165" s="70"/>
      <c r="G165" s="70"/>
    </row>
    <row r="166" spans="1:7" s="12" customFormat="1" x14ac:dyDescent="0.2">
      <c r="A166" s="4" t="s">
        <v>159</v>
      </c>
      <c r="B166" s="4">
        <f>B165+D165</f>
        <v>1869</v>
      </c>
      <c r="C166" s="4">
        <f>B166+D166-1</f>
        <v>1872</v>
      </c>
      <c r="D166" s="4">
        <v>4</v>
      </c>
      <c r="E166" s="6" t="s">
        <v>185</v>
      </c>
      <c r="F166" s="70"/>
      <c r="G166" s="70"/>
    </row>
    <row r="167" spans="1:7" s="33" customFormat="1" x14ac:dyDescent="0.2">
      <c r="A167" s="4"/>
      <c r="B167" s="4">
        <f>B166+D166</f>
        <v>1873</v>
      </c>
      <c r="C167" s="4">
        <f>B167+D167-1</f>
        <v>1888</v>
      </c>
      <c r="D167" s="4">
        <v>16</v>
      </c>
      <c r="E167" s="33" t="s">
        <v>13</v>
      </c>
      <c r="F167" s="53"/>
      <c r="G167" s="53"/>
    </row>
    <row r="168" spans="1:7" s="12" customFormat="1" x14ac:dyDescent="0.2">
      <c r="A168" s="4"/>
      <c r="B168" s="4"/>
      <c r="C168" s="4"/>
      <c r="D168" s="4"/>
      <c r="E168" s="60" t="s">
        <v>71</v>
      </c>
      <c r="F168" s="53"/>
      <c r="G168" s="67"/>
    </row>
    <row r="169" spans="1:7" s="12" customFormat="1" ht="69" customHeight="1" x14ac:dyDescent="0.2">
      <c r="A169" s="4" t="s">
        <v>159</v>
      </c>
      <c r="B169" s="4">
        <f>+B167+D167</f>
        <v>1889</v>
      </c>
      <c r="C169" s="4">
        <f>B169+D169-1</f>
        <v>1892</v>
      </c>
      <c r="D169" s="4">
        <v>4</v>
      </c>
      <c r="E169" s="6" t="s">
        <v>78</v>
      </c>
      <c r="F169" s="70" t="s">
        <v>118</v>
      </c>
      <c r="G169" s="70" t="s">
        <v>295</v>
      </c>
    </row>
    <row r="170" spans="1:7" s="12" customFormat="1" ht="84.75" customHeight="1" x14ac:dyDescent="0.2">
      <c r="A170" s="4" t="s">
        <v>159</v>
      </c>
      <c r="B170" s="4">
        <f>B169+D169</f>
        <v>1893</v>
      </c>
      <c r="C170" s="4">
        <f>B170+D170-1</f>
        <v>1896</v>
      </c>
      <c r="D170" s="4">
        <v>4</v>
      </c>
      <c r="E170" s="6" t="s">
        <v>273</v>
      </c>
      <c r="F170" s="70"/>
      <c r="G170" s="70"/>
    </row>
    <row r="171" spans="1:7" s="12" customFormat="1" x14ac:dyDescent="0.2">
      <c r="A171" s="4" t="s">
        <v>100</v>
      </c>
      <c r="B171" s="4">
        <f>B170+D170</f>
        <v>1897</v>
      </c>
      <c r="C171" s="4">
        <f>B171+D171-1</f>
        <v>1902</v>
      </c>
      <c r="D171" s="4">
        <v>6</v>
      </c>
      <c r="E171" s="33" t="s">
        <v>13</v>
      </c>
      <c r="F171" s="53"/>
      <c r="G171" s="53"/>
    </row>
    <row r="172" spans="1:7" s="12" customFormat="1" x14ac:dyDescent="0.2">
      <c r="A172" s="4"/>
      <c r="B172" s="4"/>
      <c r="C172" s="4"/>
      <c r="D172" s="4"/>
      <c r="E172" s="60" t="s">
        <v>258</v>
      </c>
      <c r="F172" s="53"/>
      <c r="G172" s="53"/>
    </row>
    <row r="173" spans="1:7" s="12" customFormat="1" ht="38.25" x14ac:dyDescent="0.2">
      <c r="A173" s="4" t="s">
        <v>161</v>
      </c>
      <c r="B173" s="4">
        <f>B171+D171</f>
        <v>1903</v>
      </c>
      <c r="C173" s="4">
        <f t="shared" ref="C173:C174" si="32">B173+D173-1</f>
        <v>1905</v>
      </c>
      <c r="D173" s="4">
        <v>3</v>
      </c>
      <c r="E173" s="33" t="s">
        <v>76</v>
      </c>
      <c r="F173" s="53" t="s">
        <v>236</v>
      </c>
      <c r="G173" s="59" t="s">
        <v>259</v>
      </c>
    </row>
    <row r="174" spans="1:7" s="12" customFormat="1" ht="38.25" x14ac:dyDescent="0.2">
      <c r="A174" s="4" t="s">
        <v>159</v>
      </c>
      <c r="B174" s="4">
        <f>B173+D173</f>
        <v>1906</v>
      </c>
      <c r="C174" s="4">
        <f t="shared" si="32"/>
        <v>1909</v>
      </c>
      <c r="D174" s="4">
        <v>4</v>
      </c>
      <c r="E174" s="33" t="s">
        <v>77</v>
      </c>
      <c r="F174" s="53" t="s">
        <v>235</v>
      </c>
      <c r="G174" s="59" t="s">
        <v>260</v>
      </c>
    </row>
    <row r="175" spans="1:7" s="12" customFormat="1" x14ac:dyDescent="0.2">
      <c r="A175" s="4"/>
      <c r="B175" s="4">
        <f>B174+D174</f>
        <v>1910</v>
      </c>
      <c r="C175" s="4">
        <f>B175+D175-1</f>
        <v>2017</v>
      </c>
      <c r="D175" s="4">
        <v>108</v>
      </c>
      <c r="E175" s="33" t="s">
        <v>13</v>
      </c>
      <c r="F175" s="53"/>
      <c r="G175" s="56"/>
    </row>
    <row r="176" spans="1:7" s="24" customFormat="1" x14ac:dyDescent="0.2">
      <c r="A176" s="4"/>
      <c r="B176" s="4"/>
      <c r="C176" s="4"/>
      <c r="D176" s="4"/>
      <c r="E176" s="60" t="s">
        <v>21</v>
      </c>
      <c r="F176" s="23"/>
      <c r="G176" s="56"/>
    </row>
    <row r="177" spans="1:7" s="12" customFormat="1" x14ac:dyDescent="0.2">
      <c r="A177" s="4"/>
      <c r="B177" s="4"/>
      <c r="C177" s="4"/>
      <c r="D177" s="4"/>
      <c r="E177" s="64" t="s">
        <v>86</v>
      </c>
      <c r="F177" s="53"/>
      <c r="G177" s="56"/>
    </row>
    <row r="178" spans="1:7" s="12" customFormat="1" ht="51" x14ac:dyDescent="0.2">
      <c r="A178" s="4" t="s">
        <v>161</v>
      </c>
      <c r="B178" s="4">
        <f>B175+D175</f>
        <v>2018</v>
      </c>
      <c r="C178" s="4">
        <f>B178+D178-1</f>
        <v>2018</v>
      </c>
      <c r="D178" s="4">
        <v>1</v>
      </c>
      <c r="E178" s="33" t="s">
        <v>203</v>
      </c>
      <c r="F178" s="53" t="s">
        <v>168</v>
      </c>
      <c r="G178" s="70" t="s">
        <v>296</v>
      </c>
    </row>
    <row r="179" spans="1:7" s="12" customFormat="1" ht="75.75" customHeight="1" x14ac:dyDescent="0.2">
      <c r="A179" s="4" t="s">
        <v>161</v>
      </c>
      <c r="B179" s="4">
        <f>B178+D178</f>
        <v>2019</v>
      </c>
      <c r="C179" s="4">
        <f>B179+D179-1</f>
        <v>2019</v>
      </c>
      <c r="D179" s="4">
        <v>1</v>
      </c>
      <c r="E179" s="33" t="s">
        <v>204</v>
      </c>
      <c r="F179" s="53" t="s">
        <v>168</v>
      </c>
      <c r="G179" s="73"/>
    </row>
    <row r="180" spans="1:7" s="12" customFormat="1" ht="75.75" customHeight="1" x14ac:dyDescent="0.2">
      <c r="A180" s="4" t="s">
        <v>161</v>
      </c>
      <c r="B180" s="4">
        <f t="shared" ref="B180:B181" si="33">B179+D179</f>
        <v>2020</v>
      </c>
      <c r="C180" s="4">
        <f t="shared" ref="C180:C181" si="34">B180+D180-1</f>
        <v>2020</v>
      </c>
      <c r="D180" s="4">
        <v>1</v>
      </c>
      <c r="E180" s="33" t="s">
        <v>274</v>
      </c>
      <c r="F180" s="53" t="s">
        <v>168</v>
      </c>
      <c r="G180" s="74"/>
    </row>
    <row r="181" spans="1:7" s="12" customFormat="1" ht="75.75" customHeight="1" x14ac:dyDescent="0.2">
      <c r="A181" s="4" t="s">
        <v>161</v>
      </c>
      <c r="B181" s="4">
        <f t="shared" si="33"/>
        <v>2021</v>
      </c>
      <c r="C181" s="4">
        <f t="shared" si="34"/>
        <v>2021</v>
      </c>
      <c r="D181" s="4">
        <v>1</v>
      </c>
      <c r="E181" s="33" t="s">
        <v>275</v>
      </c>
      <c r="F181" s="53" t="s">
        <v>168</v>
      </c>
      <c r="G181" s="74"/>
    </row>
    <row r="182" spans="1:7" s="12" customFormat="1" x14ac:dyDescent="0.2">
      <c r="A182" s="4"/>
      <c r="B182" s="4"/>
      <c r="C182" s="4"/>
      <c r="D182" s="4"/>
      <c r="E182" s="68"/>
      <c r="F182" s="53"/>
      <c r="G182" s="39"/>
    </row>
    <row r="183" spans="1:7" s="15" customFormat="1" x14ac:dyDescent="0.2">
      <c r="A183" s="4"/>
      <c r="B183" s="4">
        <f>B181+D181</f>
        <v>2022</v>
      </c>
      <c r="C183" s="4">
        <f>B183+D183-1</f>
        <v>2033</v>
      </c>
      <c r="D183" s="4">
        <v>12</v>
      </c>
      <c r="E183" s="33" t="s">
        <v>13</v>
      </c>
      <c r="F183" s="65"/>
      <c r="G183" s="56"/>
    </row>
    <row r="184" spans="1:7" s="12" customFormat="1" x14ac:dyDescent="0.2">
      <c r="A184" s="4"/>
      <c r="B184" s="4"/>
      <c r="C184" s="4"/>
      <c r="D184" s="4"/>
      <c r="E184" s="64" t="s">
        <v>85</v>
      </c>
      <c r="F184" s="53"/>
      <c r="G184" s="56"/>
    </row>
    <row r="185" spans="1:7" s="12" customFormat="1" x14ac:dyDescent="0.2">
      <c r="A185" s="4"/>
      <c r="B185" s="4">
        <f>B183+D183</f>
        <v>2034</v>
      </c>
      <c r="C185" s="4">
        <f>B185+D185-1</f>
        <v>2034</v>
      </c>
      <c r="D185" s="4">
        <v>1</v>
      </c>
      <c r="E185" s="33" t="s">
        <v>194</v>
      </c>
      <c r="F185" s="70" t="s">
        <v>110</v>
      </c>
      <c r="G185" s="70" t="s">
        <v>226</v>
      </c>
    </row>
    <row r="186" spans="1:7" s="12" customFormat="1" x14ac:dyDescent="0.2">
      <c r="A186" s="4"/>
      <c r="B186" s="4">
        <f>B185+D185</f>
        <v>2035</v>
      </c>
      <c r="C186" s="4">
        <f>B186+D186-1</f>
        <v>2035</v>
      </c>
      <c r="D186" s="4">
        <v>1</v>
      </c>
      <c r="E186" s="33" t="s">
        <v>195</v>
      </c>
      <c r="F186" s="71"/>
      <c r="G186" s="72"/>
    </row>
    <row r="187" spans="1:7" s="12" customFormat="1" x14ac:dyDescent="0.2">
      <c r="A187" s="4"/>
      <c r="B187" s="4">
        <f>B186+D186</f>
        <v>2036</v>
      </c>
      <c r="C187" s="4">
        <f>B187+D187-1</f>
        <v>2036</v>
      </c>
      <c r="D187" s="4">
        <v>1</v>
      </c>
      <c r="E187" s="33" t="s">
        <v>196</v>
      </c>
      <c r="F187" s="71"/>
      <c r="G187" s="72"/>
    </row>
    <row r="188" spans="1:7" s="12" customFormat="1" x14ac:dyDescent="0.2">
      <c r="A188" s="4"/>
      <c r="B188" s="4">
        <f>B187+D187</f>
        <v>2037</v>
      </c>
      <c r="C188" s="4">
        <f>B188+D188-1</f>
        <v>2037</v>
      </c>
      <c r="D188" s="4">
        <v>1</v>
      </c>
      <c r="E188" s="33" t="s">
        <v>197</v>
      </c>
      <c r="F188" s="71"/>
      <c r="G188" s="72"/>
    </row>
    <row r="189" spans="1:7" s="12" customFormat="1" x14ac:dyDescent="0.2">
      <c r="A189" s="4"/>
      <c r="B189" s="4">
        <f>B188+D188</f>
        <v>2038</v>
      </c>
      <c r="C189" s="4">
        <f>B189+D189-1</f>
        <v>2051</v>
      </c>
      <c r="D189" s="4">
        <v>14</v>
      </c>
      <c r="E189" s="33" t="s">
        <v>13</v>
      </c>
      <c r="F189" s="53"/>
      <c r="G189" s="56"/>
    </row>
    <row r="190" spans="1:7" s="12" customFormat="1" x14ac:dyDescent="0.2">
      <c r="A190" s="4"/>
      <c r="B190" s="4"/>
      <c r="C190" s="4"/>
      <c r="D190" s="4"/>
      <c r="E190" s="64" t="s">
        <v>87</v>
      </c>
      <c r="F190" s="53"/>
      <c r="G190" s="56"/>
    </row>
    <row r="191" spans="1:7" s="12" customFormat="1" ht="22.5" customHeight="1" x14ac:dyDescent="0.2">
      <c r="A191" s="4" t="s">
        <v>159</v>
      </c>
      <c r="B191" s="4">
        <f>+B189+D189</f>
        <v>2052</v>
      </c>
      <c r="C191" s="4">
        <f>B191+D191-1</f>
        <v>2052</v>
      </c>
      <c r="D191" s="4">
        <v>1</v>
      </c>
      <c r="E191" s="33" t="s">
        <v>198</v>
      </c>
      <c r="F191" s="70" t="s">
        <v>111</v>
      </c>
      <c r="G191" s="70" t="s">
        <v>320</v>
      </c>
    </row>
    <row r="192" spans="1:7" s="12" customFormat="1" ht="24.75" customHeight="1" x14ac:dyDescent="0.2">
      <c r="A192" s="4" t="s">
        <v>159</v>
      </c>
      <c r="B192" s="4">
        <f>B191+D191</f>
        <v>2053</v>
      </c>
      <c r="C192" s="4">
        <f>B192+D192-1</f>
        <v>2053</v>
      </c>
      <c r="D192" s="4">
        <v>1</v>
      </c>
      <c r="E192" s="33" t="s">
        <v>199</v>
      </c>
      <c r="F192" s="71"/>
      <c r="G192" s="72"/>
    </row>
    <row r="193" spans="1:7" s="12" customFormat="1" ht="24.75" customHeight="1" x14ac:dyDescent="0.2">
      <c r="A193" s="4" t="s">
        <v>159</v>
      </c>
      <c r="B193" s="4">
        <f>B192+D192</f>
        <v>2054</v>
      </c>
      <c r="C193" s="4">
        <f>B193+D193-1</f>
        <v>2054</v>
      </c>
      <c r="D193" s="4">
        <v>1</v>
      </c>
      <c r="E193" s="33" t="s">
        <v>200</v>
      </c>
      <c r="F193" s="71"/>
      <c r="G193" s="72"/>
    </row>
    <row r="194" spans="1:7" s="12" customFormat="1" ht="20.25" customHeight="1" x14ac:dyDescent="0.2">
      <c r="A194" s="4" t="s">
        <v>159</v>
      </c>
      <c r="B194" s="4">
        <f>B193+D193</f>
        <v>2055</v>
      </c>
      <c r="C194" s="4">
        <f>B194+D194-1</f>
        <v>2055</v>
      </c>
      <c r="D194" s="4">
        <v>1</v>
      </c>
      <c r="E194" s="33" t="s">
        <v>201</v>
      </c>
      <c r="F194" s="71"/>
      <c r="G194" s="72"/>
    </row>
    <row r="195" spans="1:7" s="12" customFormat="1" x14ac:dyDescent="0.2">
      <c r="A195" s="4"/>
      <c r="B195" s="4">
        <f>B194+D194</f>
        <v>2056</v>
      </c>
      <c r="C195" s="4">
        <f>B195+D195-1</f>
        <v>2060</v>
      </c>
      <c r="D195" s="4">
        <v>5</v>
      </c>
      <c r="E195" s="33" t="s">
        <v>13</v>
      </c>
      <c r="F195" s="53"/>
      <c r="G195" s="56"/>
    </row>
    <row r="196" spans="1:7" s="12" customFormat="1" x14ac:dyDescent="0.2">
      <c r="A196" s="4"/>
      <c r="B196" s="4"/>
      <c r="C196" s="4"/>
      <c r="D196" s="4"/>
      <c r="E196" s="64" t="s">
        <v>88</v>
      </c>
      <c r="F196" s="53"/>
      <c r="G196" s="56"/>
    </row>
    <row r="197" spans="1:7" s="12" customFormat="1" ht="19.5" customHeight="1" x14ac:dyDescent="0.2">
      <c r="A197" s="4" t="s">
        <v>161</v>
      </c>
      <c r="B197" s="4">
        <f>+B195+D195</f>
        <v>2061</v>
      </c>
      <c r="C197" s="4">
        <f t="shared" ref="C197:C205" si="35">B197+D197-1</f>
        <v>2061</v>
      </c>
      <c r="D197" s="4">
        <v>1</v>
      </c>
      <c r="E197" s="33" t="s">
        <v>146</v>
      </c>
      <c r="F197" s="70" t="s">
        <v>112</v>
      </c>
      <c r="G197" s="70" t="s">
        <v>321</v>
      </c>
    </row>
    <row r="198" spans="1:7" s="12" customFormat="1" ht="23.25" customHeight="1" x14ac:dyDescent="0.2">
      <c r="A198" s="4" t="s">
        <v>161</v>
      </c>
      <c r="B198" s="4">
        <f t="shared" ref="B198:B205" si="36">B197+D197</f>
        <v>2062</v>
      </c>
      <c r="C198" s="4">
        <f t="shared" si="35"/>
        <v>2062</v>
      </c>
      <c r="D198" s="4">
        <v>1</v>
      </c>
      <c r="E198" s="33" t="s">
        <v>147</v>
      </c>
      <c r="F198" s="71"/>
      <c r="G198" s="72"/>
    </row>
    <row r="199" spans="1:7" s="12" customFormat="1" ht="24.75" customHeight="1" x14ac:dyDescent="0.2">
      <c r="A199" s="4" t="s">
        <v>161</v>
      </c>
      <c r="B199" s="4">
        <f t="shared" si="36"/>
        <v>2063</v>
      </c>
      <c r="C199" s="4">
        <f t="shared" si="35"/>
        <v>2063</v>
      </c>
      <c r="D199" s="4">
        <v>1</v>
      </c>
      <c r="E199" s="33" t="s">
        <v>148</v>
      </c>
      <c r="F199" s="71"/>
      <c r="G199" s="72"/>
    </row>
    <row r="200" spans="1:7" s="12" customFormat="1" ht="23.25" customHeight="1" x14ac:dyDescent="0.2">
      <c r="A200" s="4" t="s">
        <v>161</v>
      </c>
      <c r="B200" s="4">
        <f t="shared" si="36"/>
        <v>2064</v>
      </c>
      <c r="C200" s="4">
        <f t="shared" si="35"/>
        <v>2064</v>
      </c>
      <c r="D200" s="4">
        <v>1</v>
      </c>
      <c r="E200" s="33" t="s">
        <v>149</v>
      </c>
      <c r="F200" s="71"/>
      <c r="G200" s="72"/>
    </row>
    <row r="201" spans="1:7" s="12" customFormat="1" x14ac:dyDescent="0.2">
      <c r="A201" s="4"/>
      <c r="B201" s="4">
        <f>B200+D200</f>
        <v>2065</v>
      </c>
      <c r="C201" s="4">
        <f t="shared" si="35"/>
        <v>2069</v>
      </c>
      <c r="D201" s="4">
        <v>5</v>
      </c>
      <c r="E201" s="33" t="s">
        <v>13</v>
      </c>
      <c r="F201" s="53"/>
      <c r="G201" s="53"/>
    </row>
    <row r="202" spans="1:7" s="12" customFormat="1" ht="195" customHeight="1" x14ac:dyDescent="0.2">
      <c r="A202" s="4"/>
      <c r="B202" s="4">
        <f t="shared" si="36"/>
        <v>2070</v>
      </c>
      <c r="C202" s="4">
        <f t="shared" si="35"/>
        <v>2071</v>
      </c>
      <c r="D202" s="4">
        <v>2</v>
      </c>
      <c r="E202" s="33" t="s">
        <v>26</v>
      </c>
      <c r="F202" s="59" t="s">
        <v>227</v>
      </c>
      <c r="G202" s="53" t="s">
        <v>216</v>
      </c>
    </row>
    <row r="203" spans="1:7" s="12" customFormat="1" ht="25.5" x14ac:dyDescent="0.2">
      <c r="A203" s="4"/>
      <c r="B203" s="4">
        <f t="shared" si="36"/>
        <v>2072</v>
      </c>
      <c r="C203" s="4">
        <f t="shared" si="35"/>
        <v>2072</v>
      </c>
      <c r="D203" s="4">
        <v>1</v>
      </c>
      <c r="E203" s="33" t="s">
        <v>27</v>
      </c>
      <c r="F203" s="53" t="s">
        <v>190</v>
      </c>
      <c r="G203" s="53" t="s">
        <v>202</v>
      </c>
    </row>
    <row r="204" spans="1:7" s="12" customFormat="1" ht="76.5" x14ac:dyDescent="0.2">
      <c r="A204" s="4"/>
      <c r="B204" s="4">
        <f t="shared" si="36"/>
        <v>2073</v>
      </c>
      <c r="C204" s="4">
        <f t="shared" si="35"/>
        <v>2073</v>
      </c>
      <c r="D204" s="4">
        <v>1</v>
      </c>
      <c r="E204" s="33" t="s">
        <v>107</v>
      </c>
      <c r="F204" s="34" t="s">
        <v>108</v>
      </c>
      <c r="G204" s="53" t="s">
        <v>211</v>
      </c>
    </row>
    <row r="205" spans="1:7" s="12" customFormat="1" x14ac:dyDescent="0.2">
      <c r="A205" s="4"/>
      <c r="B205" s="4">
        <f t="shared" si="36"/>
        <v>2074</v>
      </c>
      <c r="C205" s="4">
        <f t="shared" si="35"/>
        <v>2077</v>
      </c>
      <c r="D205" s="4">
        <v>4</v>
      </c>
      <c r="E205" s="6" t="s">
        <v>13</v>
      </c>
      <c r="F205" s="53"/>
      <c r="G205" s="53"/>
    </row>
    <row r="206" spans="1:7" s="15" customFormat="1" x14ac:dyDescent="0.2">
      <c r="A206" s="4"/>
      <c r="B206" s="4"/>
      <c r="C206" s="4"/>
      <c r="D206" s="4"/>
      <c r="E206" s="64" t="s">
        <v>218</v>
      </c>
      <c r="F206" s="53"/>
      <c r="G206" s="63"/>
    </row>
    <row r="207" spans="1:7" s="15" customFormat="1" x14ac:dyDescent="0.2">
      <c r="A207" s="4" t="s">
        <v>99</v>
      </c>
      <c r="B207" s="4">
        <f>+B205+D205</f>
        <v>2078</v>
      </c>
      <c r="C207" s="4">
        <f t="shared" ref="C207:C215" si="37">B207+D207-1</f>
        <v>2078</v>
      </c>
      <c r="D207" s="4">
        <v>1</v>
      </c>
      <c r="E207" s="6" t="s">
        <v>91</v>
      </c>
      <c r="F207" s="70" t="s">
        <v>33</v>
      </c>
      <c r="G207" s="70" t="s">
        <v>322</v>
      </c>
    </row>
    <row r="208" spans="1:7" s="15" customFormat="1" x14ac:dyDescent="0.2">
      <c r="A208" s="4"/>
      <c r="B208" s="4">
        <f t="shared" ref="B208:B215" si="38">B207+D207</f>
        <v>2079</v>
      </c>
      <c r="C208" s="4">
        <f t="shared" si="37"/>
        <v>2079</v>
      </c>
      <c r="D208" s="4">
        <v>1</v>
      </c>
      <c r="E208" s="6" t="s">
        <v>92</v>
      </c>
      <c r="F208" s="70"/>
      <c r="G208" s="70"/>
    </row>
    <row r="209" spans="1:7" s="15" customFormat="1" x14ac:dyDescent="0.2">
      <c r="A209" s="4"/>
      <c r="B209" s="4">
        <f t="shared" si="38"/>
        <v>2080</v>
      </c>
      <c r="C209" s="4">
        <f t="shared" si="37"/>
        <v>2080</v>
      </c>
      <c r="D209" s="4">
        <v>1</v>
      </c>
      <c r="E209" s="6" t="s">
        <v>93</v>
      </c>
      <c r="F209" s="70"/>
      <c r="G209" s="70"/>
    </row>
    <row r="210" spans="1:7" s="15" customFormat="1" x14ac:dyDescent="0.2">
      <c r="A210" s="4"/>
      <c r="B210" s="4">
        <f t="shared" si="38"/>
        <v>2081</v>
      </c>
      <c r="C210" s="4">
        <f t="shared" si="37"/>
        <v>2081</v>
      </c>
      <c r="D210" s="4">
        <v>1</v>
      </c>
      <c r="E210" s="6" t="s">
        <v>94</v>
      </c>
      <c r="F210" s="70"/>
      <c r="G210" s="70"/>
    </row>
    <row r="211" spans="1:7" s="15" customFormat="1" x14ac:dyDescent="0.2">
      <c r="A211" s="4"/>
      <c r="B211" s="4">
        <f t="shared" si="38"/>
        <v>2082</v>
      </c>
      <c r="C211" s="4">
        <f t="shared" si="37"/>
        <v>2082</v>
      </c>
      <c r="D211" s="4">
        <v>1</v>
      </c>
      <c r="E211" s="33" t="s">
        <v>13</v>
      </c>
      <c r="F211" s="70"/>
      <c r="G211" s="70"/>
    </row>
    <row r="212" spans="1:7" s="15" customFormat="1" x14ac:dyDescent="0.2">
      <c r="A212" s="4"/>
      <c r="B212" s="4">
        <f t="shared" si="38"/>
        <v>2083</v>
      </c>
      <c r="C212" s="4">
        <f t="shared" si="37"/>
        <v>2083</v>
      </c>
      <c r="D212" s="4">
        <v>1</v>
      </c>
      <c r="E212" s="6" t="s">
        <v>95</v>
      </c>
      <c r="F212" s="70"/>
      <c r="G212" s="70"/>
    </row>
    <row r="213" spans="1:7" s="15" customFormat="1" x14ac:dyDescent="0.2">
      <c r="A213" s="4"/>
      <c r="B213" s="4">
        <f>B212+D212</f>
        <v>2084</v>
      </c>
      <c r="C213" s="4">
        <f t="shared" si="37"/>
        <v>2086</v>
      </c>
      <c r="D213" s="4">
        <v>3</v>
      </c>
      <c r="E213" s="33" t="s">
        <v>13</v>
      </c>
      <c r="F213" s="70"/>
      <c r="G213" s="70"/>
    </row>
    <row r="214" spans="1:7" s="15" customFormat="1" x14ac:dyDescent="0.2">
      <c r="A214" s="4"/>
      <c r="B214" s="4">
        <f t="shared" si="38"/>
        <v>2087</v>
      </c>
      <c r="C214" s="4">
        <f t="shared" si="37"/>
        <v>2087</v>
      </c>
      <c r="D214" s="4">
        <v>1</v>
      </c>
      <c r="E214" s="6" t="s">
        <v>96</v>
      </c>
      <c r="F214" s="70"/>
      <c r="G214" s="70"/>
    </row>
    <row r="215" spans="1:7" s="15" customFormat="1" x14ac:dyDescent="0.2">
      <c r="A215" s="4"/>
      <c r="B215" s="4">
        <f t="shared" si="38"/>
        <v>2088</v>
      </c>
      <c r="C215" s="4">
        <f t="shared" si="37"/>
        <v>2088</v>
      </c>
      <c r="D215" s="4">
        <v>1</v>
      </c>
      <c r="E215" s="6" t="s">
        <v>97</v>
      </c>
      <c r="F215" s="70"/>
      <c r="G215" s="70"/>
    </row>
    <row r="216" spans="1:7" s="15" customFormat="1" x14ac:dyDescent="0.2">
      <c r="A216" s="4"/>
      <c r="B216" s="4">
        <f>B215+D215</f>
        <v>2089</v>
      </c>
      <c r="C216" s="4">
        <f t="shared" ref="C216" si="39">B216+D216-1</f>
        <v>2133</v>
      </c>
      <c r="D216" s="4">
        <v>45</v>
      </c>
      <c r="E216" s="33" t="s">
        <v>13</v>
      </c>
      <c r="F216" s="53"/>
      <c r="G216" s="53"/>
    </row>
    <row r="217" spans="1:7" s="15" customFormat="1" x14ac:dyDescent="0.2">
      <c r="A217" s="4"/>
      <c r="B217" s="4"/>
      <c r="C217" s="4"/>
      <c r="D217" s="4"/>
      <c r="E217" s="62" t="s">
        <v>89</v>
      </c>
      <c r="F217" s="53"/>
      <c r="G217" s="53"/>
    </row>
    <row r="218" spans="1:7" s="12" customFormat="1" ht="21" customHeight="1" x14ac:dyDescent="0.2">
      <c r="A218" s="4" t="s">
        <v>134</v>
      </c>
      <c r="B218" s="4">
        <f>+B216+D216</f>
        <v>2134</v>
      </c>
      <c r="C218" s="4">
        <f t="shared" ref="C218:C223" si="40">B218+D218-1</f>
        <v>2135</v>
      </c>
      <c r="D218" s="4">
        <v>2</v>
      </c>
      <c r="E218" s="33" t="s">
        <v>150</v>
      </c>
      <c r="F218" s="70" t="s">
        <v>123</v>
      </c>
      <c r="G218" s="70" t="s">
        <v>323</v>
      </c>
    </row>
    <row r="219" spans="1:7" s="12" customFormat="1" ht="21" customHeight="1" x14ac:dyDescent="0.2">
      <c r="A219" s="4" t="s">
        <v>134</v>
      </c>
      <c r="B219" s="4">
        <f>B218+D218</f>
        <v>2136</v>
      </c>
      <c r="C219" s="4">
        <f t="shared" si="40"/>
        <v>2137</v>
      </c>
      <c r="D219" s="4">
        <v>2</v>
      </c>
      <c r="E219" s="33" t="s">
        <v>151</v>
      </c>
      <c r="F219" s="70"/>
      <c r="G219" s="70"/>
    </row>
    <row r="220" spans="1:7" s="12" customFormat="1" ht="21" customHeight="1" x14ac:dyDescent="0.2">
      <c r="A220" s="4" t="s">
        <v>134</v>
      </c>
      <c r="B220" s="4">
        <f>B219+D219</f>
        <v>2138</v>
      </c>
      <c r="C220" s="4">
        <f t="shared" si="40"/>
        <v>2139</v>
      </c>
      <c r="D220" s="4">
        <v>2</v>
      </c>
      <c r="E220" s="33" t="s">
        <v>152</v>
      </c>
      <c r="F220" s="70"/>
      <c r="G220" s="70"/>
    </row>
    <row r="221" spans="1:7" s="12" customFormat="1" ht="21" customHeight="1" x14ac:dyDescent="0.2">
      <c r="A221" s="4" t="s">
        <v>134</v>
      </c>
      <c r="B221" s="4">
        <f>B220+D220</f>
        <v>2140</v>
      </c>
      <c r="C221" s="4">
        <f t="shared" si="40"/>
        <v>2141</v>
      </c>
      <c r="D221" s="4">
        <v>2</v>
      </c>
      <c r="E221" s="33" t="s">
        <v>153</v>
      </c>
      <c r="F221" s="70"/>
      <c r="G221" s="70"/>
    </row>
    <row r="222" spans="1:7" s="12" customFormat="1" ht="45" customHeight="1" x14ac:dyDescent="0.2">
      <c r="A222" s="4"/>
      <c r="B222" s="4">
        <f>B221+D221</f>
        <v>2142</v>
      </c>
      <c r="C222" s="4">
        <f t="shared" si="40"/>
        <v>2144</v>
      </c>
      <c r="D222" s="4">
        <v>3</v>
      </c>
      <c r="E222" s="33" t="s">
        <v>130</v>
      </c>
      <c r="F222" s="53" t="s">
        <v>212</v>
      </c>
      <c r="G222" s="70" t="s">
        <v>228</v>
      </c>
    </row>
    <row r="223" spans="1:7" s="12" customFormat="1" ht="57.75" customHeight="1" x14ac:dyDescent="0.2">
      <c r="A223" s="4"/>
      <c r="B223" s="4">
        <f t="shared" ref="B223:B230" si="41">B222+D222</f>
        <v>2145</v>
      </c>
      <c r="C223" s="4">
        <f t="shared" si="40"/>
        <v>2147</v>
      </c>
      <c r="D223" s="38">
        <v>3</v>
      </c>
      <c r="E223" s="35" t="s">
        <v>129</v>
      </c>
      <c r="F223" s="53" t="s">
        <v>213</v>
      </c>
      <c r="G223" s="70"/>
    </row>
    <row r="224" spans="1:7" s="12" customFormat="1" ht="191.25" x14ac:dyDescent="0.2">
      <c r="A224" s="4"/>
      <c r="B224" s="4">
        <f t="shared" si="41"/>
        <v>2148</v>
      </c>
      <c r="C224" s="4">
        <f t="shared" ref="C224:C229" si="42">B224+D224-1</f>
        <v>2150</v>
      </c>
      <c r="D224" s="4">
        <v>3</v>
      </c>
      <c r="E224" s="33" t="s">
        <v>217</v>
      </c>
      <c r="F224" s="59" t="s">
        <v>221</v>
      </c>
      <c r="G224" s="53" t="s">
        <v>206</v>
      </c>
    </row>
    <row r="225" spans="1:7" s="12" customFormat="1" ht="22.5" customHeight="1" x14ac:dyDescent="0.2">
      <c r="A225" s="4" t="s">
        <v>160</v>
      </c>
      <c r="B225" s="4">
        <f t="shared" si="41"/>
        <v>2151</v>
      </c>
      <c r="C225" s="4">
        <f t="shared" si="42"/>
        <v>2153</v>
      </c>
      <c r="D225" s="4">
        <v>3</v>
      </c>
      <c r="E225" s="33" t="s">
        <v>154</v>
      </c>
      <c r="F225" s="70" t="s">
        <v>121</v>
      </c>
      <c r="G225" s="70" t="s">
        <v>324</v>
      </c>
    </row>
    <row r="226" spans="1:7" s="12" customFormat="1" ht="22.5" customHeight="1" x14ac:dyDescent="0.2">
      <c r="A226" s="4" t="s">
        <v>160</v>
      </c>
      <c r="B226" s="4">
        <f t="shared" si="41"/>
        <v>2154</v>
      </c>
      <c r="C226" s="4">
        <f t="shared" si="42"/>
        <v>2156</v>
      </c>
      <c r="D226" s="4">
        <v>3</v>
      </c>
      <c r="E226" s="33" t="s">
        <v>155</v>
      </c>
      <c r="F226" s="70"/>
      <c r="G226" s="70"/>
    </row>
    <row r="227" spans="1:7" s="12" customFormat="1" ht="22.5" customHeight="1" x14ac:dyDescent="0.2">
      <c r="A227" s="4" t="s">
        <v>160</v>
      </c>
      <c r="B227" s="4">
        <f t="shared" si="41"/>
        <v>2157</v>
      </c>
      <c r="C227" s="4">
        <f t="shared" si="42"/>
        <v>2159</v>
      </c>
      <c r="D227" s="4">
        <v>3</v>
      </c>
      <c r="E227" s="33" t="s">
        <v>156</v>
      </c>
      <c r="F227" s="70"/>
      <c r="G227" s="70"/>
    </row>
    <row r="228" spans="1:7" s="12" customFormat="1" ht="22.5" customHeight="1" x14ac:dyDescent="0.2">
      <c r="A228" s="4" t="s">
        <v>160</v>
      </c>
      <c r="B228" s="4">
        <f t="shared" si="41"/>
        <v>2160</v>
      </c>
      <c r="C228" s="4">
        <f t="shared" si="42"/>
        <v>2162</v>
      </c>
      <c r="D228" s="4">
        <v>3</v>
      </c>
      <c r="E228" s="33" t="s">
        <v>157</v>
      </c>
      <c r="F228" s="70"/>
      <c r="G228" s="70"/>
    </row>
    <row r="229" spans="1:7" s="28" customFormat="1" ht="68.25" customHeight="1" x14ac:dyDescent="0.2">
      <c r="A229" s="4"/>
      <c r="B229" s="4">
        <f t="shared" si="41"/>
        <v>2163</v>
      </c>
      <c r="C229" s="4">
        <f t="shared" si="42"/>
        <v>2163</v>
      </c>
      <c r="D229" s="4">
        <v>1</v>
      </c>
      <c r="E229" s="33" t="s">
        <v>13</v>
      </c>
      <c r="F229" s="27"/>
      <c r="G229" s="53"/>
    </row>
    <row r="230" spans="1:7" ht="76.5" x14ac:dyDescent="0.2">
      <c r="A230" s="4" t="s">
        <v>134</v>
      </c>
      <c r="B230" s="4">
        <f t="shared" si="41"/>
        <v>2164</v>
      </c>
      <c r="C230" s="4">
        <f>B230+D230-1</f>
        <v>2173</v>
      </c>
      <c r="D230" s="4">
        <v>10</v>
      </c>
      <c r="E230" s="6" t="s">
        <v>131</v>
      </c>
      <c r="F230" s="53" t="s">
        <v>114</v>
      </c>
      <c r="G230" s="53" t="s">
        <v>178</v>
      </c>
    </row>
    <row r="231" spans="1:7" s="12" customFormat="1" x14ac:dyDescent="0.2">
      <c r="A231" s="4"/>
      <c r="B231" s="4">
        <f>+B230+D230</f>
        <v>2174</v>
      </c>
      <c r="C231" s="4">
        <f t="shared" ref="C231:C233" si="43">B231+D231-1</f>
        <v>2205</v>
      </c>
      <c r="D231" s="4">
        <v>32</v>
      </c>
      <c r="E231" s="33" t="s">
        <v>13</v>
      </c>
      <c r="F231" s="53"/>
      <c r="G231" s="56"/>
    </row>
    <row r="232" spans="1:7" s="26" customFormat="1" ht="25.5" x14ac:dyDescent="0.2">
      <c r="A232" s="66" t="s">
        <v>100</v>
      </c>
      <c r="B232" s="4">
        <f t="shared" ref="B232" si="44">+B231+D231</f>
        <v>2206</v>
      </c>
      <c r="C232" s="4">
        <f t="shared" si="43"/>
        <v>2211</v>
      </c>
      <c r="D232" s="4">
        <v>6</v>
      </c>
      <c r="E232" s="33" t="s">
        <v>8</v>
      </c>
      <c r="F232" s="53" t="s">
        <v>23</v>
      </c>
      <c r="G232" s="59" t="s">
        <v>101</v>
      </c>
    </row>
    <row r="233" spans="1:7" s="26" customFormat="1" x14ac:dyDescent="0.2">
      <c r="A233" s="4"/>
      <c r="B233" s="4">
        <f>+B232+D232</f>
        <v>2212</v>
      </c>
      <c r="C233" s="4">
        <f t="shared" si="43"/>
        <v>2226</v>
      </c>
      <c r="D233" s="4">
        <v>15</v>
      </c>
      <c r="E233" s="33" t="s">
        <v>13</v>
      </c>
      <c r="F233" s="53"/>
      <c r="G233" s="53"/>
    </row>
    <row r="234" spans="1:7" s="26" customFormat="1" x14ac:dyDescent="0.2">
      <c r="A234" s="4"/>
      <c r="B234" s="4"/>
      <c r="C234" s="4"/>
      <c r="D234" s="4"/>
      <c r="E234" s="60" t="s">
        <v>124</v>
      </c>
      <c r="F234" s="53"/>
      <c r="G234" s="53"/>
    </row>
    <row r="235" spans="1:7" s="26" customFormat="1" ht="76.5" x14ac:dyDescent="0.2">
      <c r="A235" s="33"/>
      <c r="B235" s="4">
        <f>B233+D233</f>
        <v>2227</v>
      </c>
      <c r="C235" s="4">
        <f t="shared" ref="C235:C236" si="45">B235+D235-1</f>
        <v>2232</v>
      </c>
      <c r="D235" s="4">
        <v>6</v>
      </c>
      <c r="E235" s="33" t="s">
        <v>125</v>
      </c>
      <c r="F235" s="53" t="s">
        <v>214</v>
      </c>
      <c r="G235" s="53" t="s">
        <v>215</v>
      </c>
    </row>
    <row r="236" spans="1:7" s="26" customFormat="1" x14ac:dyDescent="0.2">
      <c r="A236" s="33"/>
      <c r="B236" s="4">
        <f>B235+D235</f>
        <v>2233</v>
      </c>
      <c r="C236" s="4">
        <f t="shared" si="45"/>
        <v>2252</v>
      </c>
      <c r="D236" s="4">
        <v>20</v>
      </c>
      <c r="E236" s="33" t="s">
        <v>13</v>
      </c>
      <c r="F236" s="53"/>
      <c r="G236" s="36"/>
    </row>
    <row r="237" spans="1:7" s="12" customFormat="1" x14ac:dyDescent="0.2">
      <c r="A237" s="11"/>
      <c r="B237" s="11">
        <f>B236+D236</f>
        <v>2253</v>
      </c>
      <c r="C237" s="11">
        <f t="shared" ref="C237" si="46">B237+D237-1</f>
        <v>2271</v>
      </c>
      <c r="D237" s="11">
        <v>19</v>
      </c>
      <c r="E237" s="12" t="s">
        <v>19</v>
      </c>
      <c r="F237" s="53" t="s">
        <v>169</v>
      </c>
      <c r="G237" s="57" t="s">
        <v>20</v>
      </c>
    </row>
    <row r="238" spans="1:7" ht="15" customHeight="1" x14ac:dyDescent="0.2">
      <c r="A238" s="29"/>
      <c r="B238" s="11"/>
      <c r="C238" s="21"/>
      <c r="D238" s="21"/>
      <c r="E238" s="30"/>
      <c r="F238" s="16"/>
    </row>
    <row r="239" spans="1:7" ht="15.75" x14ac:dyDescent="0.2">
      <c r="B239" s="31" t="s">
        <v>90</v>
      </c>
      <c r="C239" s="1">
        <f>C237</f>
        <v>2271</v>
      </c>
      <c r="D239" s="19"/>
      <c r="E239" s="32"/>
      <c r="F239" s="13"/>
      <c r="G239" s="14"/>
    </row>
    <row r="240" spans="1:7" x14ac:dyDescent="0.2">
      <c r="B240" s="11"/>
      <c r="C240" s="21"/>
      <c r="D240" s="21"/>
      <c r="E240" s="18"/>
      <c r="F240" s="13"/>
    </row>
    <row r="241" spans="2:6" x14ac:dyDescent="0.2">
      <c r="B241" s="11"/>
      <c r="C241" s="11"/>
      <c r="D241" s="21"/>
      <c r="E241" s="18"/>
      <c r="F241" s="13"/>
    </row>
    <row r="242" spans="2:6" x14ac:dyDescent="0.2">
      <c r="B242" s="11"/>
      <c r="C242" s="11"/>
      <c r="D242" s="21"/>
      <c r="E242" s="18"/>
      <c r="F242" s="13"/>
    </row>
    <row r="243" spans="2:6" x14ac:dyDescent="0.2">
      <c r="B243" s="11"/>
      <c r="C243" s="11"/>
      <c r="D243" s="21"/>
      <c r="E243" s="18"/>
      <c r="F243" s="13"/>
    </row>
    <row r="244" spans="2:6" x14ac:dyDescent="0.2">
      <c r="B244" s="11"/>
      <c r="C244" s="11"/>
      <c r="D244" s="21"/>
      <c r="E244" s="18"/>
      <c r="F244" s="13"/>
    </row>
    <row r="245" spans="2:6" x14ac:dyDescent="0.2">
      <c r="B245" s="11"/>
      <c r="C245" s="11"/>
      <c r="D245" s="21"/>
      <c r="E245" s="18"/>
      <c r="F245" s="13"/>
    </row>
    <row r="246" spans="2:6" x14ac:dyDescent="0.2">
      <c r="B246" s="11"/>
      <c r="C246" s="11"/>
      <c r="D246" s="21"/>
      <c r="E246" s="18"/>
      <c r="F246" s="13"/>
    </row>
    <row r="247" spans="2:6" x14ac:dyDescent="0.2">
      <c r="B247" s="11"/>
      <c r="C247" s="11"/>
      <c r="D247" s="21"/>
      <c r="E247" s="18"/>
      <c r="F247" s="13"/>
    </row>
    <row r="248" spans="2:6" x14ac:dyDescent="0.2">
      <c r="B248" s="11"/>
      <c r="C248" s="11"/>
      <c r="D248" s="21"/>
      <c r="E248" s="18"/>
      <c r="F248" s="13"/>
    </row>
    <row r="249" spans="2:6" x14ac:dyDescent="0.2">
      <c r="B249" s="11"/>
      <c r="C249" s="11"/>
      <c r="D249" s="21"/>
      <c r="E249" s="18"/>
      <c r="F249" s="13"/>
    </row>
    <row r="250" spans="2:6" x14ac:dyDescent="0.2">
      <c r="B250" s="11"/>
      <c r="C250" s="11"/>
      <c r="D250" s="21"/>
      <c r="E250" s="18"/>
      <c r="F250" s="13"/>
    </row>
    <row r="251" spans="2:6" x14ac:dyDescent="0.2">
      <c r="B251" s="11"/>
      <c r="C251" s="11"/>
      <c r="D251" s="21"/>
      <c r="E251" s="18"/>
      <c r="F251" s="13"/>
    </row>
    <row r="252" spans="2:6" x14ac:dyDescent="0.2">
      <c r="B252" s="11"/>
      <c r="C252" s="11"/>
      <c r="D252" s="21"/>
      <c r="E252" s="18"/>
      <c r="F252" s="13"/>
    </row>
    <row r="253" spans="2:6" x14ac:dyDescent="0.2">
      <c r="B253" s="11"/>
      <c r="C253" s="11"/>
      <c r="D253" s="21"/>
      <c r="E253" s="18"/>
      <c r="F253" s="13"/>
    </row>
    <row r="254" spans="2:6" x14ac:dyDescent="0.2">
      <c r="B254" s="11"/>
      <c r="C254" s="11"/>
      <c r="D254" s="21"/>
      <c r="E254" s="18"/>
      <c r="F254" s="13"/>
    </row>
    <row r="255" spans="2:6" x14ac:dyDescent="0.2">
      <c r="B255" s="11"/>
      <c r="C255" s="11"/>
      <c r="D255" s="21"/>
      <c r="E255" s="18"/>
      <c r="F255" s="13"/>
    </row>
    <row r="256" spans="2:6" x14ac:dyDescent="0.2">
      <c r="B256" s="11"/>
      <c r="C256" s="11"/>
      <c r="D256" s="21"/>
      <c r="E256" s="18"/>
      <c r="F256" s="13"/>
    </row>
    <row r="257" spans="2:7" x14ac:dyDescent="0.2">
      <c r="B257" s="11"/>
      <c r="C257" s="11"/>
      <c r="D257" s="21"/>
      <c r="E257" s="18"/>
      <c r="F257" s="13"/>
    </row>
    <row r="258" spans="2:7" x14ac:dyDescent="0.2">
      <c r="B258" s="11"/>
      <c r="C258" s="11"/>
      <c r="D258" s="21"/>
      <c r="E258" s="18"/>
      <c r="F258" s="13"/>
    </row>
    <row r="259" spans="2:7" x14ac:dyDescent="0.2">
      <c r="B259" s="11"/>
      <c r="C259" s="11"/>
      <c r="D259" s="21"/>
      <c r="E259" s="18"/>
      <c r="F259" s="13"/>
    </row>
    <row r="260" spans="2:7" x14ac:dyDescent="0.2">
      <c r="B260" s="11"/>
      <c r="C260" s="11"/>
      <c r="D260" s="21"/>
      <c r="E260" s="18"/>
      <c r="F260" s="13"/>
    </row>
    <row r="261" spans="2:7" x14ac:dyDescent="0.2">
      <c r="B261" s="11"/>
      <c r="C261" s="11"/>
      <c r="D261" s="21"/>
      <c r="E261" s="18"/>
      <c r="F261" s="13"/>
    </row>
    <row r="262" spans="2:7" x14ac:dyDescent="0.2">
      <c r="B262" s="11"/>
      <c r="C262" s="11"/>
      <c r="D262" s="21"/>
      <c r="E262" s="18"/>
      <c r="F262" s="13"/>
    </row>
    <row r="263" spans="2:7" x14ac:dyDescent="0.2">
      <c r="B263" s="11"/>
      <c r="C263" s="11"/>
      <c r="D263" s="21"/>
      <c r="E263" s="18"/>
      <c r="F263" s="13"/>
    </row>
    <row r="264" spans="2:7" x14ac:dyDescent="0.2">
      <c r="B264" s="11"/>
      <c r="C264" s="11"/>
      <c r="D264" s="21"/>
      <c r="E264" s="18"/>
      <c r="F264" s="13"/>
    </row>
    <row r="265" spans="2:7" x14ac:dyDescent="0.2">
      <c r="B265" s="11"/>
      <c r="C265" s="11"/>
      <c r="D265" s="21"/>
      <c r="E265" s="18"/>
      <c r="F265" s="13"/>
    </row>
    <row r="266" spans="2:7" x14ac:dyDescent="0.2">
      <c r="B266" s="11"/>
      <c r="C266" s="11"/>
      <c r="D266" s="21"/>
      <c r="E266" s="18"/>
      <c r="F266" s="13"/>
    </row>
    <row r="267" spans="2:7" x14ac:dyDescent="0.2">
      <c r="B267" s="11"/>
      <c r="C267" s="11"/>
      <c r="D267" s="21"/>
      <c r="E267" s="18"/>
      <c r="F267" s="13"/>
    </row>
    <row r="268" spans="2:7" x14ac:dyDescent="0.2">
      <c r="B268" s="11"/>
      <c r="C268" s="11"/>
      <c r="D268" s="21"/>
      <c r="E268" s="18"/>
      <c r="F268" s="13"/>
    </row>
    <row r="269" spans="2:7" x14ac:dyDescent="0.2">
      <c r="B269" s="11"/>
      <c r="C269" s="11"/>
      <c r="D269" s="21"/>
      <c r="E269" s="18"/>
      <c r="F269" s="13"/>
    </row>
    <row r="270" spans="2:7" x14ac:dyDescent="0.2">
      <c r="F270" s="14"/>
      <c r="G270" s="14"/>
    </row>
    <row r="271" spans="2:7" x14ac:dyDescent="0.2">
      <c r="B271" s="11"/>
      <c r="C271" s="11"/>
      <c r="D271" s="21"/>
      <c r="E271" s="18"/>
    </row>
    <row r="272" spans="2:7" x14ac:dyDescent="0.2">
      <c r="B272" s="11"/>
      <c r="C272" s="11"/>
      <c r="D272" s="21"/>
      <c r="E272" s="18"/>
    </row>
    <row r="273" spans="2:5" x14ac:dyDescent="0.2">
      <c r="B273" s="11"/>
      <c r="C273" s="11"/>
      <c r="D273" s="21"/>
      <c r="E273" s="18"/>
    </row>
    <row r="274" spans="2:5" x14ac:dyDescent="0.2">
      <c r="B274" s="11"/>
      <c r="C274" s="11"/>
      <c r="D274" s="21"/>
      <c r="E274" s="18"/>
    </row>
    <row r="275" spans="2:5" x14ac:dyDescent="0.2">
      <c r="B275" s="11"/>
      <c r="C275" s="11"/>
      <c r="D275" s="21"/>
      <c r="E275" s="18"/>
    </row>
    <row r="276" spans="2:5" x14ac:dyDescent="0.2">
      <c r="B276" s="11"/>
      <c r="C276" s="11"/>
      <c r="D276" s="21"/>
      <c r="E276" s="18"/>
    </row>
    <row r="277" spans="2:5" x14ac:dyDescent="0.2">
      <c r="B277" s="11"/>
      <c r="C277" s="11"/>
      <c r="D277" s="21"/>
      <c r="E277" s="18"/>
    </row>
    <row r="278" spans="2:5" x14ac:dyDescent="0.2">
      <c r="B278" s="11"/>
      <c r="C278" s="11"/>
      <c r="D278" s="21"/>
      <c r="E278" s="18"/>
    </row>
    <row r="279" spans="2:5" x14ac:dyDescent="0.2">
      <c r="B279" s="11"/>
      <c r="C279" s="11"/>
      <c r="D279" s="21"/>
      <c r="E279" s="18"/>
    </row>
    <row r="280" spans="2:5" x14ac:dyDescent="0.2">
      <c r="B280" s="11"/>
      <c r="C280" s="11"/>
      <c r="D280" s="21"/>
      <c r="E280" s="18"/>
    </row>
    <row r="281" spans="2:5" x14ac:dyDescent="0.2">
      <c r="B281" s="11"/>
      <c r="C281" s="11"/>
      <c r="D281" s="21"/>
      <c r="E281" s="18"/>
    </row>
    <row r="282" spans="2:5" x14ac:dyDescent="0.2">
      <c r="B282" s="11"/>
      <c r="C282" s="11"/>
      <c r="D282" s="21"/>
      <c r="E282" s="18"/>
    </row>
    <row r="283" spans="2:5" x14ac:dyDescent="0.2">
      <c r="B283" s="11"/>
      <c r="C283" s="11"/>
      <c r="D283" s="21"/>
      <c r="E283" s="18"/>
    </row>
    <row r="284" spans="2:5" x14ac:dyDescent="0.2">
      <c r="B284" s="11"/>
      <c r="C284" s="11"/>
      <c r="D284" s="21"/>
      <c r="E284" s="18"/>
    </row>
    <row r="285" spans="2:5" x14ac:dyDescent="0.2">
      <c r="B285" s="11"/>
      <c r="C285" s="11"/>
      <c r="D285" s="21"/>
      <c r="E285" s="18"/>
    </row>
    <row r="286" spans="2:5" x14ac:dyDescent="0.2">
      <c r="B286" s="11"/>
      <c r="C286" s="11"/>
      <c r="D286" s="21"/>
      <c r="E286" s="18"/>
    </row>
    <row r="287" spans="2:5" x14ac:dyDescent="0.2">
      <c r="B287" s="11"/>
      <c r="C287" s="11"/>
      <c r="D287" s="21"/>
      <c r="E287" s="18"/>
    </row>
    <row r="288" spans="2:5" x14ac:dyDescent="0.2">
      <c r="B288" s="11"/>
      <c r="C288" s="11"/>
      <c r="D288" s="21"/>
      <c r="E288" s="18"/>
    </row>
    <row r="289" spans="2:7" x14ac:dyDescent="0.2">
      <c r="B289" s="11"/>
      <c r="C289" s="11"/>
      <c r="D289" s="21"/>
      <c r="E289" s="18"/>
    </row>
    <row r="290" spans="2:7" x14ac:dyDescent="0.2">
      <c r="B290" s="11"/>
      <c r="C290" s="11"/>
      <c r="D290" s="21"/>
      <c r="E290" s="18"/>
    </row>
    <row r="291" spans="2:7" x14ac:dyDescent="0.2">
      <c r="B291" s="11"/>
      <c r="C291" s="11"/>
      <c r="D291" s="21"/>
      <c r="E291" s="18"/>
    </row>
    <row r="292" spans="2:7" x14ac:dyDescent="0.2">
      <c r="B292" s="11"/>
      <c r="C292" s="11"/>
      <c r="D292" s="21"/>
      <c r="E292" s="18"/>
    </row>
    <row r="293" spans="2:7" x14ac:dyDescent="0.2">
      <c r="B293" s="11"/>
      <c r="C293" s="11"/>
      <c r="D293" s="21"/>
      <c r="E293" s="18"/>
    </row>
    <row r="294" spans="2:7" x14ac:dyDescent="0.2">
      <c r="B294" s="11"/>
      <c r="C294" s="11"/>
      <c r="D294" s="21"/>
      <c r="E294" s="18"/>
    </row>
    <row r="295" spans="2:7" x14ac:dyDescent="0.2">
      <c r="B295" s="11"/>
      <c r="C295" s="11"/>
      <c r="D295" s="21"/>
      <c r="E295" s="18"/>
    </row>
    <row r="296" spans="2:7" x14ac:dyDescent="0.2">
      <c r="B296" s="11"/>
      <c r="C296" s="11"/>
      <c r="D296" s="21"/>
      <c r="E296" s="18"/>
    </row>
    <row r="297" spans="2:7" x14ac:dyDescent="0.2">
      <c r="B297" s="11"/>
      <c r="C297" s="11"/>
      <c r="D297" s="21"/>
      <c r="E297" s="18"/>
    </row>
    <row r="298" spans="2:7" x14ac:dyDescent="0.2">
      <c r="B298" s="11"/>
      <c r="C298" s="11"/>
      <c r="D298" s="21"/>
      <c r="E298" s="18"/>
    </row>
    <row r="299" spans="2:7" x14ac:dyDescent="0.2">
      <c r="B299" s="11"/>
      <c r="C299" s="11"/>
      <c r="D299" s="21"/>
      <c r="E299" s="18"/>
    </row>
    <row r="300" spans="2:7" x14ac:dyDescent="0.2">
      <c r="B300" s="11"/>
      <c r="C300" s="11"/>
      <c r="D300" s="21"/>
      <c r="E300" s="18"/>
    </row>
    <row r="301" spans="2:7" x14ac:dyDescent="0.2">
      <c r="F301" s="13"/>
      <c r="G301" s="14"/>
    </row>
    <row r="302" spans="2:7" x14ac:dyDescent="0.2">
      <c r="B302" s="11"/>
      <c r="C302" s="11"/>
      <c r="D302" s="21"/>
      <c r="E302" s="18"/>
    </row>
    <row r="303" spans="2:7" x14ac:dyDescent="0.2">
      <c r="C303" s="11"/>
      <c r="D303" s="21"/>
      <c r="E303" s="18"/>
    </row>
    <row r="304" spans="2:7" x14ac:dyDescent="0.2">
      <c r="C304" s="11"/>
      <c r="D304" s="21"/>
      <c r="E304" s="18"/>
    </row>
    <row r="305" spans="3:5" x14ac:dyDescent="0.2">
      <c r="C305" s="11"/>
      <c r="D305" s="21"/>
      <c r="E305" s="18"/>
    </row>
    <row r="306" spans="3:5" x14ac:dyDescent="0.2">
      <c r="C306" s="11"/>
      <c r="D306" s="21"/>
      <c r="E306" s="18"/>
    </row>
    <row r="307" spans="3:5" x14ac:dyDescent="0.2">
      <c r="C307" s="11"/>
      <c r="D307" s="21"/>
      <c r="E307" s="18"/>
    </row>
    <row r="308" spans="3:5" x14ac:dyDescent="0.2">
      <c r="C308" s="11"/>
      <c r="D308" s="21"/>
      <c r="E308" s="18"/>
    </row>
    <row r="309" spans="3:5" x14ac:dyDescent="0.2">
      <c r="C309" s="11"/>
      <c r="D309" s="21"/>
      <c r="E309" s="18"/>
    </row>
    <row r="310" spans="3:5" x14ac:dyDescent="0.2">
      <c r="C310" s="11"/>
      <c r="D310" s="21"/>
      <c r="E310" s="18"/>
    </row>
    <row r="311" spans="3:5" x14ac:dyDescent="0.2">
      <c r="C311" s="11"/>
      <c r="D311" s="21"/>
      <c r="E311" s="18"/>
    </row>
    <row r="312" spans="3:5" x14ac:dyDescent="0.2">
      <c r="C312" s="11"/>
      <c r="D312" s="21"/>
      <c r="E312" s="18"/>
    </row>
    <row r="313" spans="3:5" x14ac:dyDescent="0.2">
      <c r="C313" s="11"/>
      <c r="D313" s="21"/>
      <c r="E313" s="18"/>
    </row>
    <row r="314" spans="3:5" x14ac:dyDescent="0.2">
      <c r="C314" s="11"/>
      <c r="D314" s="21"/>
      <c r="E314" s="18"/>
    </row>
    <row r="315" spans="3:5" x14ac:dyDescent="0.2">
      <c r="C315" s="11"/>
      <c r="D315" s="21"/>
      <c r="E315" s="18"/>
    </row>
    <row r="316" spans="3:5" x14ac:dyDescent="0.2">
      <c r="C316" s="11"/>
      <c r="D316" s="21"/>
      <c r="E316" s="18"/>
    </row>
    <row r="317" spans="3:5" x14ac:dyDescent="0.2">
      <c r="C317" s="11"/>
      <c r="D317" s="21"/>
      <c r="E317" s="18"/>
    </row>
    <row r="318" spans="3:5" x14ac:dyDescent="0.2">
      <c r="C318" s="11"/>
      <c r="D318" s="21"/>
      <c r="E318" s="18"/>
    </row>
    <row r="319" spans="3:5" x14ac:dyDescent="0.2">
      <c r="C319" s="11"/>
      <c r="D319" s="21"/>
      <c r="E319" s="18"/>
    </row>
    <row r="320" spans="3:5" x14ac:dyDescent="0.2">
      <c r="C320" s="11"/>
      <c r="D320" s="21"/>
      <c r="E320" s="18"/>
    </row>
    <row r="321" spans="3:7" x14ac:dyDescent="0.2">
      <c r="C321" s="11"/>
      <c r="D321" s="21"/>
      <c r="E321" s="18"/>
    </row>
    <row r="322" spans="3:7" x14ac:dyDescent="0.2">
      <c r="C322" s="11"/>
      <c r="D322" s="21"/>
      <c r="E322" s="18"/>
    </row>
    <row r="323" spans="3:7" x14ac:dyDescent="0.2">
      <c r="C323" s="11"/>
      <c r="D323" s="21"/>
      <c r="E323" s="18"/>
    </row>
    <row r="324" spans="3:7" x14ac:dyDescent="0.2">
      <c r="C324" s="11"/>
      <c r="D324" s="21"/>
      <c r="E324" s="18"/>
    </row>
    <row r="325" spans="3:7" x14ac:dyDescent="0.2">
      <c r="C325" s="11"/>
      <c r="D325" s="21"/>
      <c r="E325" s="18"/>
    </row>
    <row r="326" spans="3:7" x14ac:dyDescent="0.2">
      <c r="C326" s="11"/>
      <c r="D326" s="21"/>
      <c r="E326" s="18"/>
    </row>
    <row r="327" spans="3:7" x14ac:dyDescent="0.2">
      <c r="C327" s="11"/>
      <c r="D327" s="21"/>
      <c r="E327" s="18"/>
    </row>
    <row r="328" spans="3:7" x14ac:dyDescent="0.2">
      <c r="C328" s="11"/>
      <c r="D328" s="21"/>
      <c r="E328" s="18"/>
    </row>
    <row r="329" spans="3:7" x14ac:dyDescent="0.2">
      <c r="C329" s="11"/>
      <c r="D329" s="21"/>
      <c r="E329" s="18"/>
    </row>
    <row r="330" spans="3:7" x14ac:dyDescent="0.2">
      <c r="C330" s="11"/>
      <c r="D330" s="21"/>
      <c r="E330" s="18"/>
    </row>
    <row r="331" spans="3:7" x14ac:dyDescent="0.2">
      <c r="C331" s="11"/>
      <c r="D331" s="21"/>
      <c r="E331" s="18"/>
    </row>
    <row r="332" spans="3:7" x14ac:dyDescent="0.2">
      <c r="F332" s="13"/>
      <c r="G332" s="14"/>
    </row>
    <row r="333" spans="3:7" x14ac:dyDescent="0.2">
      <c r="C333" s="11"/>
      <c r="D333" s="21"/>
      <c r="E333" s="18"/>
    </row>
    <row r="334" spans="3:7" x14ac:dyDescent="0.2">
      <c r="C334" s="11"/>
      <c r="D334" s="21"/>
      <c r="E334" s="18"/>
    </row>
    <row r="335" spans="3:7" x14ac:dyDescent="0.2">
      <c r="C335" s="11"/>
      <c r="D335" s="21"/>
      <c r="E335" s="18"/>
    </row>
    <row r="336" spans="3:7" x14ac:dyDescent="0.2">
      <c r="C336" s="11"/>
      <c r="D336" s="21"/>
      <c r="E336" s="18"/>
    </row>
    <row r="337" spans="3:5" x14ac:dyDescent="0.2">
      <c r="C337" s="11"/>
      <c r="D337" s="21"/>
      <c r="E337" s="18"/>
    </row>
    <row r="338" spans="3:5" x14ac:dyDescent="0.2">
      <c r="C338" s="11"/>
      <c r="D338" s="21"/>
      <c r="E338" s="18"/>
    </row>
    <row r="339" spans="3:5" x14ac:dyDescent="0.2">
      <c r="C339" s="11"/>
      <c r="D339" s="21"/>
      <c r="E339" s="18"/>
    </row>
    <row r="340" spans="3:5" x14ac:dyDescent="0.2">
      <c r="C340" s="11"/>
      <c r="D340" s="21"/>
      <c r="E340" s="18"/>
    </row>
    <row r="341" spans="3:5" x14ac:dyDescent="0.2">
      <c r="C341" s="11"/>
      <c r="D341" s="21"/>
      <c r="E341" s="18"/>
    </row>
    <row r="342" spans="3:5" x14ac:dyDescent="0.2">
      <c r="C342" s="11"/>
      <c r="D342" s="21"/>
      <c r="E342" s="18"/>
    </row>
    <row r="343" spans="3:5" x14ac:dyDescent="0.2">
      <c r="C343" s="11"/>
      <c r="D343" s="21"/>
      <c r="E343" s="18"/>
    </row>
    <row r="344" spans="3:5" x14ac:dyDescent="0.2">
      <c r="C344" s="11"/>
      <c r="D344" s="21"/>
      <c r="E344" s="18"/>
    </row>
    <row r="345" spans="3:5" x14ac:dyDescent="0.2">
      <c r="C345" s="11"/>
      <c r="D345" s="21"/>
      <c r="E345" s="18"/>
    </row>
    <row r="346" spans="3:5" x14ac:dyDescent="0.2">
      <c r="C346" s="11"/>
      <c r="D346" s="21"/>
      <c r="E346" s="18"/>
    </row>
    <row r="347" spans="3:5" x14ac:dyDescent="0.2">
      <c r="C347" s="11"/>
      <c r="D347" s="21"/>
      <c r="E347" s="18"/>
    </row>
    <row r="348" spans="3:5" x14ac:dyDescent="0.2">
      <c r="C348" s="11"/>
      <c r="D348" s="21"/>
      <c r="E348" s="18"/>
    </row>
    <row r="349" spans="3:5" x14ac:dyDescent="0.2">
      <c r="C349" s="11"/>
      <c r="D349" s="21"/>
      <c r="E349" s="18"/>
    </row>
    <row r="350" spans="3:5" x14ac:dyDescent="0.2">
      <c r="C350" s="11"/>
      <c r="D350" s="21"/>
      <c r="E350" s="18"/>
    </row>
    <row r="351" spans="3:5" x14ac:dyDescent="0.2">
      <c r="C351" s="11"/>
      <c r="D351" s="21"/>
      <c r="E351" s="18"/>
    </row>
    <row r="352" spans="3:5" x14ac:dyDescent="0.2">
      <c r="C352" s="11"/>
      <c r="D352" s="21"/>
      <c r="E352" s="18"/>
    </row>
    <row r="353" spans="3:7" x14ac:dyDescent="0.2">
      <c r="C353" s="11"/>
      <c r="D353" s="21"/>
      <c r="E353" s="18"/>
    </row>
    <row r="354" spans="3:7" x14ac:dyDescent="0.2">
      <c r="C354" s="11"/>
      <c r="D354" s="21"/>
      <c r="E354" s="18"/>
    </row>
    <row r="355" spans="3:7" x14ac:dyDescent="0.2">
      <c r="C355" s="11"/>
      <c r="D355" s="21"/>
      <c r="E355" s="18"/>
    </row>
    <row r="356" spans="3:7" x14ac:dyDescent="0.2">
      <c r="C356" s="11"/>
      <c r="D356" s="21"/>
      <c r="E356" s="18"/>
    </row>
    <row r="357" spans="3:7" x14ac:dyDescent="0.2">
      <c r="C357" s="11"/>
      <c r="D357" s="21"/>
      <c r="E357" s="18"/>
    </row>
    <row r="358" spans="3:7" x14ac:dyDescent="0.2">
      <c r="C358" s="11"/>
      <c r="D358" s="21"/>
      <c r="E358" s="18"/>
    </row>
    <row r="359" spans="3:7" x14ac:dyDescent="0.2">
      <c r="C359" s="11"/>
      <c r="D359" s="21"/>
      <c r="E359" s="18"/>
    </row>
    <row r="360" spans="3:7" x14ac:dyDescent="0.2">
      <c r="C360" s="11"/>
      <c r="D360" s="21"/>
      <c r="E360" s="18"/>
    </row>
    <row r="361" spans="3:7" x14ac:dyDescent="0.2">
      <c r="C361" s="11"/>
      <c r="D361" s="21"/>
      <c r="E361" s="18"/>
    </row>
    <row r="362" spans="3:7" x14ac:dyDescent="0.2">
      <c r="C362" s="11"/>
      <c r="D362" s="21"/>
      <c r="E362" s="18"/>
    </row>
    <row r="363" spans="3:7" x14ac:dyDescent="0.2">
      <c r="F363" s="13"/>
      <c r="G363" s="14"/>
    </row>
    <row r="364" spans="3:7" x14ac:dyDescent="0.2">
      <c r="C364" s="11"/>
      <c r="D364" s="21"/>
      <c r="E364" s="18"/>
    </row>
    <row r="365" spans="3:7" x14ac:dyDescent="0.2">
      <c r="C365" s="11"/>
      <c r="D365" s="21"/>
      <c r="E365" s="18"/>
    </row>
    <row r="366" spans="3:7" x14ac:dyDescent="0.2">
      <c r="C366" s="11"/>
      <c r="D366" s="21"/>
      <c r="E366" s="18"/>
    </row>
    <row r="367" spans="3:7" x14ac:dyDescent="0.2">
      <c r="C367" s="11"/>
      <c r="D367" s="21"/>
      <c r="E367" s="18"/>
    </row>
    <row r="368" spans="3:7" x14ac:dyDescent="0.2">
      <c r="C368" s="11"/>
      <c r="D368" s="21"/>
      <c r="E368" s="18"/>
    </row>
    <row r="369" spans="3:5" x14ac:dyDescent="0.2">
      <c r="C369" s="11"/>
      <c r="D369" s="21"/>
      <c r="E369" s="18"/>
    </row>
    <row r="370" spans="3:5" x14ac:dyDescent="0.2">
      <c r="C370" s="11"/>
      <c r="D370" s="21"/>
      <c r="E370" s="18"/>
    </row>
    <row r="371" spans="3:5" x14ac:dyDescent="0.2">
      <c r="C371" s="11"/>
      <c r="D371" s="21"/>
      <c r="E371" s="18"/>
    </row>
    <row r="372" spans="3:5" x14ac:dyDescent="0.2">
      <c r="C372" s="11"/>
      <c r="D372" s="21"/>
      <c r="E372" s="18"/>
    </row>
    <row r="373" spans="3:5" x14ac:dyDescent="0.2">
      <c r="C373" s="11"/>
      <c r="D373" s="21"/>
      <c r="E373" s="18"/>
    </row>
    <row r="374" spans="3:5" x14ac:dyDescent="0.2">
      <c r="C374" s="11"/>
      <c r="D374" s="21"/>
      <c r="E374" s="18"/>
    </row>
    <row r="375" spans="3:5" x14ac:dyDescent="0.2">
      <c r="C375" s="11"/>
      <c r="D375" s="21"/>
      <c r="E375" s="18"/>
    </row>
    <row r="376" spans="3:5" x14ac:dyDescent="0.2">
      <c r="C376" s="11"/>
      <c r="D376" s="21"/>
      <c r="E376" s="18"/>
    </row>
    <row r="377" spans="3:5" x14ac:dyDescent="0.2">
      <c r="C377" s="11"/>
      <c r="D377" s="21"/>
      <c r="E377" s="18"/>
    </row>
    <row r="378" spans="3:5" x14ac:dyDescent="0.2">
      <c r="C378" s="11"/>
      <c r="D378" s="21"/>
      <c r="E378" s="18"/>
    </row>
    <row r="379" spans="3:5" x14ac:dyDescent="0.2">
      <c r="C379" s="11"/>
      <c r="D379" s="21"/>
      <c r="E379" s="18"/>
    </row>
    <row r="380" spans="3:5" x14ac:dyDescent="0.2">
      <c r="C380" s="11"/>
      <c r="D380" s="21"/>
      <c r="E380" s="18"/>
    </row>
    <row r="381" spans="3:5" x14ac:dyDescent="0.2">
      <c r="C381" s="11"/>
      <c r="D381" s="21"/>
      <c r="E381" s="18"/>
    </row>
    <row r="382" spans="3:5" x14ac:dyDescent="0.2">
      <c r="C382" s="11"/>
      <c r="D382" s="21"/>
      <c r="E382" s="18"/>
    </row>
    <row r="383" spans="3:5" x14ac:dyDescent="0.2">
      <c r="C383" s="11"/>
      <c r="D383" s="21"/>
      <c r="E383" s="18"/>
    </row>
    <row r="384" spans="3:5" x14ac:dyDescent="0.2">
      <c r="C384" s="11"/>
      <c r="D384" s="21"/>
      <c r="E384" s="18"/>
    </row>
    <row r="385" spans="3:5" x14ac:dyDescent="0.2">
      <c r="C385" s="11"/>
      <c r="D385" s="21"/>
      <c r="E385" s="18"/>
    </row>
    <row r="386" spans="3:5" x14ac:dyDescent="0.2">
      <c r="C386" s="11"/>
      <c r="D386" s="21"/>
      <c r="E386" s="18"/>
    </row>
    <row r="387" spans="3:5" x14ac:dyDescent="0.2">
      <c r="C387" s="11"/>
      <c r="D387" s="21"/>
      <c r="E387" s="18"/>
    </row>
    <row r="388" spans="3:5" x14ac:dyDescent="0.2">
      <c r="C388" s="11"/>
      <c r="D388" s="21"/>
      <c r="E388" s="18"/>
    </row>
    <row r="389" spans="3:5" x14ac:dyDescent="0.2">
      <c r="C389" s="11"/>
      <c r="D389" s="21"/>
      <c r="E389" s="18"/>
    </row>
    <row r="390" spans="3:5" x14ac:dyDescent="0.2">
      <c r="C390" s="11"/>
      <c r="D390" s="21"/>
      <c r="E390" s="18"/>
    </row>
    <row r="391" spans="3:5" x14ac:dyDescent="0.2">
      <c r="C391" s="11"/>
      <c r="D391" s="21"/>
      <c r="E391" s="18"/>
    </row>
    <row r="392" spans="3:5" x14ac:dyDescent="0.2">
      <c r="C392" s="11"/>
      <c r="D392" s="21"/>
      <c r="E392" s="18"/>
    </row>
    <row r="393" spans="3:5" x14ac:dyDescent="0.2">
      <c r="C393" s="11"/>
      <c r="D393" s="21"/>
      <c r="E393" s="18"/>
    </row>
    <row r="394" spans="3:5" x14ac:dyDescent="0.2">
      <c r="C394" s="11"/>
      <c r="D394" s="21"/>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41">
    <mergeCell ref="F102:F103"/>
    <mergeCell ref="B1:F1"/>
    <mergeCell ref="F51:F57"/>
    <mergeCell ref="F39:F49"/>
    <mergeCell ref="G20:G22"/>
    <mergeCell ref="G12:G13"/>
    <mergeCell ref="G7:G8"/>
    <mergeCell ref="G39:G49"/>
    <mergeCell ref="G51:G57"/>
    <mergeCell ref="G60:G70"/>
    <mergeCell ref="F60:F70"/>
    <mergeCell ref="F96:F99"/>
    <mergeCell ref="G96:G99"/>
    <mergeCell ref="G191:G194"/>
    <mergeCell ref="G185:G188"/>
    <mergeCell ref="G178:G181"/>
    <mergeCell ref="F104:F107"/>
    <mergeCell ref="G102:G107"/>
    <mergeCell ref="G121:G132"/>
    <mergeCell ref="F121:F132"/>
    <mergeCell ref="F135:F136"/>
    <mergeCell ref="G135:G136"/>
    <mergeCell ref="G151:G152"/>
    <mergeCell ref="F144:F148"/>
    <mergeCell ref="F151:F152"/>
    <mergeCell ref="F225:F228"/>
    <mergeCell ref="G144:G148"/>
    <mergeCell ref="G163:G166"/>
    <mergeCell ref="G225:G228"/>
    <mergeCell ref="G218:G221"/>
    <mergeCell ref="F218:F221"/>
    <mergeCell ref="F191:F194"/>
    <mergeCell ref="F197:F200"/>
    <mergeCell ref="G222:G223"/>
    <mergeCell ref="F207:F215"/>
    <mergeCell ref="G197:G200"/>
    <mergeCell ref="F185:F188"/>
    <mergeCell ref="G207:G215"/>
    <mergeCell ref="G169:G170"/>
    <mergeCell ref="F169:F170"/>
    <mergeCell ref="F163:F166"/>
  </mergeCells>
  <phoneticPr fontId="12" type="noConversion"/>
  <printOptions horizontalCentered="1" gridLines="1"/>
  <pageMargins left="0.5" right="0.5" top="0.46" bottom="0.5" header="0.27" footer="0.23"/>
  <pageSetup scale="55" fitToHeight="23" orientation="landscape" r:id="rId6"/>
  <headerFooter alignWithMargins="0">
    <oddHeader>&amp;RLayout provided by Data Recognition Corporation - Proprietary and Confidential</oddHeader>
    <oddFooter>&amp;LK = Key Verification              C = Corrections
E = Equating                        M = Merge&amp;CPage &amp;P of &amp;N&amp;RLast Saved Date: 7/9/2014 9:44:45 AM</oddFooter>
  </headerFooter>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B8" sqref="B8"/>
    </sheetView>
  </sheetViews>
  <sheetFormatPr defaultRowHeight="12.75" x14ac:dyDescent="0.2"/>
  <cols>
    <col min="1" max="1" width="19.140625" style="40" customWidth="1"/>
    <col min="2" max="2" width="34.7109375" style="40" customWidth="1"/>
    <col min="3" max="3" width="35.140625" style="40" customWidth="1"/>
  </cols>
  <sheetData>
    <row r="1" spans="1:3" ht="13.5" thickBot="1" x14ac:dyDescent="0.25">
      <c r="A1" s="50" t="s">
        <v>238</v>
      </c>
      <c r="B1" s="51" t="s">
        <v>239</v>
      </c>
      <c r="C1" s="52" t="s">
        <v>240</v>
      </c>
    </row>
    <row r="2" spans="1:3" ht="29.25" customHeight="1" x14ac:dyDescent="0.2">
      <c r="A2" s="41" t="s">
        <v>241</v>
      </c>
      <c r="B2" s="42" t="s">
        <v>242</v>
      </c>
      <c r="C2" s="43" t="s">
        <v>243</v>
      </c>
    </row>
    <row r="3" spans="1:3" ht="29.25" customHeight="1" x14ac:dyDescent="0.2">
      <c r="A3" s="44" t="s">
        <v>244</v>
      </c>
      <c r="B3" s="45" t="s">
        <v>242</v>
      </c>
      <c r="C3" s="46" t="s">
        <v>243</v>
      </c>
    </row>
    <row r="4" spans="1:3" ht="41.25" customHeight="1" x14ac:dyDescent="0.2">
      <c r="A4" s="44" t="s">
        <v>245</v>
      </c>
      <c r="B4" s="45" t="s">
        <v>242</v>
      </c>
      <c r="C4" s="46" t="s">
        <v>246</v>
      </c>
    </row>
    <row r="5" spans="1:3" ht="38.25" x14ac:dyDescent="0.2">
      <c r="A5" s="44" t="s">
        <v>249</v>
      </c>
      <c r="B5" s="45" t="s">
        <v>247</v>
      </c>
      <c r="C5" s="46" t="s">
        <v>248</v>
      </c>
    </row>
    <row r="6" spans="1:3" ht="17.25" customHeight="1" x14ac:dyDescent="0.2">
      <c r="A6" s="44" t="s">
        <v>250</v>
      </c>
      <c r="B6" s="45" t="s">
        <v>253</v>
      </c>
      <c r="C6" s="46" t="s">
        <v>254</v>
      </c>
    </row>
    <row r="7" spans="1:3" ht="26.25" thickBot="1" x14ac:dyDescent="0.25">
      <c r="A7" s="47" t="s">
        <v>251</v>
      </c>
      <c r="B7" s="48" t="s">
        <v>252</v>
      </c>
      <c r="C7" s="49"/>
    </row>
  </sheetData>
  <hyperlinks>
    <hyperlink ref="C2" r:id="rId1"/>
    <hyperlink ref="C3" r:id="rId2"/>
    <hyperlink ref="C4" r:id="rId3"/>
    <hyperlink ref="C5" r:id="rId4"/>
    <hyperlink ref="C6" r:id="rId5"/>
  </hyperlinks>
  <pageMargins left="0.7" right="0.7" top="0.75" bottom="0.75" header="0.3" footer="0.3"/>
  <pageSetup orientation="portrait" r:id="rId6"/>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iLDESTD</vt:lpstr>
      <vt:lpstr>Reference Locations</vt:lpstr>
      <vt:lpstr>iLDESTD!Print_Titles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Debbie Williams</cp:lastModifiedBy>
  <cp:lastPrinted>2014-01-30T20:25:29Z</cp:lastPrinted>
  <dcterms:created xsi:type="dcterms:W3CDTF">1999-04-08T16:47:24Z</dcterms:created>
  <dcterms:modified xsi:type="dcterms:W3CDTF">2014-07-09T14:45:22Z</dcterms:modified>
</cp:coreProperties>
</file>