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0" yWindow="-156" windowWidth="15480" windowHeight="6876"/>
  </bookViews>
  <sheets>
    <sheet name="iLDESTD" sheetId="1" r:id="rId1"/>
    <sheet name="Revision Log" sheetId="3" r:id="rId2"/>
    <sheet name="Reference Locations" sheetId="4" r:id="rId3"/>
  </sheets>
  <definedNames>
    <definedName name="_xlnm._FilterDatabase" localSheetId="0" hidden="1">iLDESTD!$A$2:$J$268</definedName>
    <definedName name="_xlnm.Print_Titles" localSheetId="0">iLDESTD!$1:$2</definedName>
    <definedName name="Z_711973F9_5431_4922_B46E_FFB4E07E9E58_.wvu.Cols" localSheetId="0" hidden="1">iLDESTD!#REF!</definedName>
    <definedName name="Z_711973F9_5431_4922_B46E_FFB4E07E9E58_.wvu.PrintArea" localSheetId="0" hidden="1">iLDESTD!$A$4:$I$268</definedName>
    <definedName name="Z_711973F9_5431_4922_B46E_FFB4E07E9E58_.wvu.PrintTitles" localSheetId="0" hidden="1">iLDESTD!#REF!</definedName>
    <definedName name="Z_7E4D7CCA_1395_44FA_80A0_38FFA0DD8C49_.wvu.PrintTitles" localSheetId="0" hidden="1">iLDESTD!#REF!</definedName>
    <definedName name="Z_A5DDCBF3_D6F4_4EB4_918C_ECABFE1A43AD_.wvu.PrintTitles" localSheetId="0" hidden="1">iLDESTD!#REF!</definedName>
    <definedName name="Z_B792D786_3755_11D6_AB7B_0050DA2DACD5_.wvu.PrintTitles" localSheetId="0" hidden="1">iLDESTD!#REF!</definedName>
    <definedName name="Z_E34B366C_36F7_11D6_A24B_0050DA0A5BC6_.wvu.PrintTitles" localSheetId="0" hidden="1">iLDESTD!#REF!</definedName>
  </definedNames>
  <calcPr calcId="145621"/>
  <customWorkbookViews>
    <customWorkbookView name="CStampfle - Personal View" guid="{7E4D7CCA-1395-44FA-80A0-38FFA0DD8C49}" mergeInterval="0" personalView="1" maximized="1" windowWidth="945" windowHeight="597" activeSheetId="1"/>
    <customWorkbookView name="Cathy Stampfle - Personal View" guid="{B792D786-3755-11D6-AB7B-0050DA2DACD5}" mergeInterval="0" personalView="1" maximized="1" windowWidth="732" windowHeight="459" activeSheetId="1" showStatusbar="0"/>
    <customWorkbookView name="DRC - Personal View" guid="{E34B366C-36F7-11D6-A24B-0050DA0A5BC6}" mergeInterval="0" personalView="1" maximized="1" windowWidth="763" windowHeight="438" activeSheetId="1"/>
    <customWorkbookView name="MWille - Personal View" guid="{A5DDCBF3-D6F4-4EB4-918C-ECABFE1A43AD}" mergeInterval="0" personalView="1" maximized="1" windowWidth="987" windowHeight="580" activeSheetId="1"/>
    <customWorkbookView name="Bob Kaufman - Personal View" guid="{711973F9-5431-4922-B46E-FFB4E07E9E58}" mergeInterval="0" personalView="1" maximized="1" windowWidth="1020" windowHeight="607" activeSheetId="1"/>
  </customWorkbookViews>
</workbook>
</file>

<file path=xl/calcChain.xml><?xml version="1.0" encoding="utf-8"?>
<calcChain xmlns="http://schemas.openxmlformats.org/spreadsheetml/2006/main">
  <c r="D122" i="1" l="1"/>
  <c r="D5" i="1" l="1"/>
  <c r="E5" i="1" s="1"/>
  <c r="E4" i="1"/>
  <c r="D6" i="1" l="1"/>
  <c r="E6" i="1" s="1"/>
  <c r="D7" i="1" l="1"/>
  <c r="D8" i="1" s="1"/>
  <c r="E7" i="1" l="1"/>
  <c r="E8" i="1"/>
  <c r="D9" i="1"/>
  <c r="E9" i="1" l="1"/>
  <c r="D10" i="1"/>
  <c r="E10" i="1" l="1"/>
  <c r="D11" i="1"/>
  <c r="D12" i="1" l="1"/>
  <c r="E11" i="1"/>
  <c r="D13" i="1" l="1"/>
  <c r="E12" i="1"/>
  <c r="D14" i="1" l="1"/>
  <c r="E13" i="1"/>
  <c r="D15" i="1" l="1"/>
  <c r="E14" i="1"/>
  <c r="E15" i="1" l="1"/>
  <c r="D16" i="1"/>
  <c r="D17" i="1" l="1"/>
  <c r="D18" i="1" s="1"/>
  <c r="E16" i="1"/>
  <c r="E17" i="1" l="1"/>
  <c r="D19" i="1" l="1"/>
  <c r="E18" i="1"/>
  <c r="D20" i="1" l="1"/>
  <c r="E19" i="1"/>
  <c r="E20" i="1" l="1"/>
  <c r="D21" i="1"/>
  <c r="D22" i="1" l="1"/>
  <c r="E21" i="1"/>
  <c r="D23" i="1" l="1"/>
  <c r="E22" i="1"/>
  <c r="D24" i="1" l="1"/>
  <c r="E23" i="1"/>
  <c r="E24" i="1" l="1"/>
  <c r="D25" i="1"/>
  <c r="D26" i="1" l="1"/>
  <c r="E25" i="1"/>
  <c r="D27" i="1" l="1"/>
  <c r="E26" i="1"/>
  <c r="D28" i="1" l="1"/>
  <c r="E27" i="1"/>
  <c r="D29" i="1" l="1"/>
  <c r="E28" i="1"/>
  <c r="D30" i="1" l="1"/>
  <c r="E29" i="1"/>
  <c r="D31" i="1" l="1"/>
  <c r="E30" i="1"/>
  <c r="D32" i="1" l="1"/>
  <c r="E31" i="1"/>
  <c r="D33" i="1" l="1"/>
  <c r="E32" i="1"/>
  <c r="D34" i="1" l="1"/>
  <c r="E33" i="1"/>
  <c r="E34" i="1" l="1"/>
  <c r="D35" i="1"/>
  <c r="E35" i="1" l="1"/>
  <c r="D36" i="1"/>
  <c r="E36" i="1" l="1"/>
  <c r="D37" i="1"/>
  <c r="E37" i="1" l="1"/>
  <c r="D38" i="1"/>
  <c r="E38" i="1" l="1"/>
  <c r="D39" i="1"/>
  <c r="E39" i="1" l="1"/>
  <c r="D40" i="1"/>
  <c r="E40" i="1" l="1"/>
  <c r="D41" i="1"/>
  <c r="E41" i="1" l="1"/>
  <c r="D42" i="1"/>
  <c r="E42" i="1" l="1"/>
  <c r="D43" i="1"/>
  <c r="E43" i="1" l="1"/>
  <c r="D44" i="1"/>
  <c r="E44" i="1" l="1"/>
  <c r="D46" i="1"/>
  <c r="E46" i="1" l="1"/>
  <c r="D47" i="1"/>
  <c r="D48" i="1" l="1"/>
  <c r="E47" i="1"/>
  <c r="D49" i="1" l="1"/>
  <c r="E48" i="1"/>
  <c r="E49" i="1" l="1"/>
  <c r="D50" i="1"/>
  <c r="D51" i="1" l="1"/>
  <c r="E50" i="1"/>
  <c r="D52" i="1" l="1"/>
  <c r="E51" i="1"/>
  <c r="E52" i="1" l="1"/>
  <c r="D53" i="1"/>
  <c r="D54" i="1" l="1"/>
  <c r="E53" i="1"/>
  <c r="D55" i="1" l="1"/>
  <c r="E54" i="1"/>
  <c r="E55" i="1" l="1"/>
  <c r="D56" i="1"/>
  <c r="D57" i="1" l="1"/>
  <c r="E56" i="1"/>
  <c r="D58" i="1" l="1"/>
  <c r="E57" i="1"/>
  <c r="E58" i="1" l="1"/>
  <c r="D59" i="1"/>
  <c r="D60" i="1" l="1"/>
  <c r="E59" i="1"/>
  <c r="D61" i="1" l="1"/>
  <c r="E60" i="1"/>
  <c r="D62" i="1" l="1"/>
  <c r="E61" i="1"/>
  <c r="D63" i="1" l="1"/>
  <c r="E62" i="1"/>
  <c r="E63" i="1" l="1"/>
  <c r="D65" i="1"/>
  <c r="E65" i="1" l="1"/>
  <c r="D66" i="1"/>
  <c r="D67" i="1" l="1"/>
  <c r="E66" i="1"/>
  <c r="E67" i="1" l="1"/>
  <c r="D68" i="1"/>
  <c r="E68" i="1" l="1"/>
  <c r="D69" i="1"/>
  <c r="D70" i="1" l="1"/>
  <c r="E69" i="1"/>
  <c r="E70" i="1" l="1"/>
  <c r="D71" i="1"/>
  <c r="E71" i="1" l="1"/>
  <c r="D72" i="1"/>
  <c r="D73" i="1" l="1"/>
  <c r="E72" i="1"/>
  <c r="E73" i="1" l="1"/>
  <c r="D74" i="1"/>
  <c r="E74" i="1" l="1"/>
  <c r="D75" i="1"/>
  <c r="D76" i="1" l="1"/>
  <c r="E75" i="1"/>
  <c r="E76" i="1" l="1"/>
  <c r="D77" i="1"/>
  <c r="E77" i="1" l="1"/>
  <c r="D79" i="1"/>
  <c r="E79" i="1" l="1"/>
  <c r="D80" i="1"/>
  <c r="E80" i="1" l="1"/>
  <c r="D81" i="1"/>
  <c r="E81" i="1" l="1"/>
  <c r="D82" i="1"/>
  <c r="D83" i="1" l="1"/>
  <c r="E82" i="1"/>
  <c r="E83" i="1" l="1"/>
  <c r="D84" i="1"/>
  <c r="E84" i="1" l="1"/>
  <c r="D85" i="1"/>
  <c r="D86" i="1" l="1"/>
  <c r="E85" i="1"/>
  <c r="E86" i="1" l="1"/>
  <c r="D88" i="1"/>
  <c r="E88" i="1" l="1"/>
  <c r="D89" i="1"/>
  <c r="D90" i="1" l="1"/>
  <c r="E89" i="1"/>
  <c r="D91" i="1" l="1"/>
  <c r="E90" i="1"/>
  <c r="E91" i="1" l="1"/>
  <c r="D92" i="1"/>
  <c r="E92" i="1" l="1"/>
  <c r="D93" i="1"/>
  <c r="D94" i="1" l="1"/>
  <c r="E93" i="1"/>
  <c r="E94" i="1" l="1"/>
  <c r="D95" i="1"/>
  <c r="D96" i="1" l="1"/>
  <c r="E95" i="1"/>
  <c r="D97" i="1" l="1"/>
  <c r="E96" i="1"/>
  <c r="D98" i="1" l="1"/>
  <c r="E97" i="1"/>
  <c r="E98" i="1" l="1"/>
  <c r="D99" i="1"/>
  <c r="D100" i="1" l="1"/>
  <c r="E99" i="1"/>
  <c r="E100" i="1" l="1"/>
  <c r="D101" i="1"/>
  <c r="E101" i="1" l="1"/>
  <c r="D102" i="1"/>
  <c r="D103" i="1" l="1"/>
  <c r="E102" i="1"/>
  <c r="E103" i="1" l="1"/>
  <c r="D104" i="1"/>
  <c r="D105" i="1" l="1"/>
  <c r="E104" i="1"/>
  <c r="E105" i="1" l="1"/>
  <c r="D106" i="1"/>
  <c r="E106" i="1" l="1"/>
  <c r="D107" i="1"/>
  <c r="D109" i="1" l="1"/>
  <c r="E107" i="1"/>
  <c r="E109" i="1" l="1"/>
  <c r="D110" i="1"/>
  <c r="D111" i="1" l="1"/>
  <c r="E110" i="1"/>
  <c r="E111" i="1" l="1"/>
  <c r="D112" i="1"/>
  <c r="E112" i="1" l="1"/>
  <c r="D113" i="1"/>
  <c r="D114" i="1" l="1"/>
  <c r="E113" i="1"/>
  <c r="E114" i="1" l="1"/>
  <c r="D115" i="1"/>
  <c r="E115" i="1" l="1"/>
  <c r="D116" i="1"/>
  <c r="E116" i="1" l="1"/>
  <c r="D117" i="1"/>
  <c r="D118" i="1" l="1"/>
  <c r="E117" i="1"/>
  <c r="E118" i="1" l="1"/>
  <c r="D119" i="1"/>
  <c r="D120" i="1" l="1"/>
  <c r="E119" i="1"/>
  <c r="E120" i="1" l="1"/>
  <c r="D123" i="1"/>
  <c r="E122" i="1" l="1"/>
  <c r="D124" i="1" l="1"/>
  <c r="E123" i="1"/>
  <c r="E124" i="1" l="1"/>
  <c r="D125" i="1"/>
  <c r="D126" i="1" s="1"/>
  <c r="E125" i="1" l="1"/>
  <c r="D128" i="1" l="1"/>
  <c r="E126" i="1"/>
  <c r="E128" i="1" l="1"/>
  <c r="D129" i="1"/>
  <c r="D130" i="1" l="1"/>
  <c r="E129" i="1"/>
  <c r="E130" i="1" l="1"/>
  <c r="D131" i="1"/>
  <c r="E131" i="1" l="1"/>
  <c r="D132" i="1"/>
  <c r="D133" i="1" l="1"/>
  <c r="E132" i="1"/>
  <c r="D135" i="1" l="1"/>
  <c r="E133" i="1"/>
  <c r="E135" i="1" l="1"/>
  <c r="D136" i="1"/>
  <c r="D137" i="1" l="1"/>
  <c r="E136" i="1"/>
  <c r="D138" i="1" l="1"/>
  <c r="E137" i="1"/>
  <c r="E138" i="1" l="1"/>
  <c r="D139" i="1"/>
  <c r="E139" i="1" l="1"/>
  <c r="D140" i="1"/>
  <c r="D142" i="1" s="1"/>
  <c r="D143" i="1" s="1"/>
  <c r="E143" i="1" l="1"/>
  <c r="D145" i="1"/>
  <c r="E140" i="1"/>
  <c r="D146" i="1" l="1"/>
  <c r="D147" i="1" s="1"/>
  <c r="E145" i="1"/>
  <c r="E142" i="1"/>
  <c r="E146" i="1" l="1"/>
  <c r="D148" i="1" l="1"/>
  <c r="E147" i="1"/>
  <c r="D149" i="1" l="1"/>
  <c r="E148" i="1"/>
  <c r="E149" i="1" l="1"/>
  <c r="D151" i="1"/>
  <c r="E151" i="1" l="1"/>
  <c r="D152" i="1"/>
  <c r="D153" i="1" l="1"/>
  <c r="E152" i="1"/>
  <c r="E153" i="1" l="1"/>
  <c r="D154" i="1"/>
  <c r="E154" i="1" l="1"/>
  <c r="D155" i="1"/>
  <c r="D156" i="1" l="1"/>
  <c r="E155" i="1"/>
  <c r="D158" i="1" l="1"/>
  <c r="E156" i="1"/>
  <c r="D159" i="1" l="1"/>
  <c r="E158" i="1"/>
  <c r="D160" i="1" l="1"/>
  <c r="E159" i="1"/>
  <c r="D161" i="1" l="1"/>
  <c r="E160" i="1"/>
  <c r="E161" i="1" l="1"/>
  <c r="D162" i="1"/>
  <c r="E162" i="1" l="1"/>
  <c r="D164" i="1"/>
  <c r="D165" i="1" s="1"/>
  <c r="D166" i="1" l="1"/>
  <c r="D167" i="1" s="1"/>
  <c r="D169" i="1" s="1"/>
  <c r="E165" i="1"/>
  <c r="E164" i="1"/>
  <c r="E169" i="1" l="1"/>
  <c r="D170" i="1"/>
  <c r="E166" i="1"/>
  <c r="E170" i="1" l="1"/>
  <c r="D171" i="1"/>
  <c r="D174" i="1" s="1"/>
  <c r="E167" i="1"/>
  <c r="E171" i="1" l="1"/>
  <c r="E174" i="1" l="1"/>
  <c r="D175" i="1"/>
  <c r="D176" i="1" l="1"/>
  <c r="E175" i="1"/>
  <c r="E176" i="1" l="1"/>
  <c r="D178" i="1"/>
  <c r="D179" i="1" s="1"/>
  <c r="E178" i="1" l="1"/>
  <c r="D180" i="1"/>
  <c r="D182" i="1" s="1"/>
  <c r="E179" i="1"/>
  <c r="E180" i="1" l="1"/>
  <c r="D183" i="1" l="1"/>
  <c r="E182" i="1"/>
  <c r="E183" i="1" l="1"/>
  <c r="D184" i="1"/>
  <c r="D186" i="1" s="1"/>
  <c r="E184" i="1" l="1"/>
  <c r="D187" i="1" l="1"/>
  <c r="D188" i="1" s="1"/>
  <c r="D190" i="1" s="1"/>
  <c r="E186" i="1"/>
  <c r="E187" i="1" l="1"/>
  <c r="E188" i="1" l="1"/>
  <c r="E190" i="1" l="1"/>
  <c r="D191" i="1"/>
  <c r="D193" i="1" s="1"/>
  <c r="D194" i="1" s="1"/>
  <c r="E193" i="1" l="1"/>
  <c r="E191" i="1"/>
  <c r="D195" i="1" l="1"/>
  <c r="E194" i="1"/>
  <c r="E195" i="1" l="1"/>
  <c r="D196" i="1"/>
  <c r="E196" i="1" l="1"/>
  <c r="D197" i="1"/>
  <c r="E197" i="1" l="1"/>
  <c r="D198" i="1"/>
  <c r="D199" i="1" l="1"/>
  <c r="E198" i="1"/>
  <c r="E199" i="1" l="1"/>
  <c r="D200" i="1"/>
  <c r="D202" i="1" l="1"/>
  <c r="E200" i="1"/>
  <c r="D203" i="1" l="1"/>
  <c r="E202" i="1"/>
  <c r="D204" i="1" l="1"/>
  <c r="E203" i="1"/>
  <c r="E204" i="1" l="1"/>
  <c r="D205" i="1"/>
  <c r="D206" i="1" l="1"/>
  <c r="E205" i="1"/>
  <c r="E206" i="1" l="1"/>
  <c r="D207" i="1"/>
  <c r="E207" i="1" l="1"/>
  <c r="D208" i="1"/>
  <c r="E208" i="1" l="1"/>
  <c r="D209" i="1"/>
  <c r="E209" i="1" l="1"/>
  <c r="D210" i="1"/>
  <c r="D211" i="1" l="1"/>
  <c r="E210" i="1"/>
  <c r="E211" i="1" l="1"/>
  <c r="D212" i="1"/>
  <c r="E212" i="1" l="1"/>
  <c r="D213" i="1"/>
  <c r="E213" i="1" l="1"/>
  <c r="D214" i="1"/>
  <c r="E214" i="1" l="1"/>
  <c r="D215" i="1"/>
  <c r="E215" i="1" l="1"/>
  <c r="D216" i="1"/>
  <c r="E216" i="1" l="1"/>
  <c r="D218" i="1"/>
  <c r="D219" i="1" s="1"/>
  <c r="E218" i="1" l="1"/>
  <c r="E219" i="1" l="1"/>
  <c r="D220" i="1"/>
  <c r="E220" i="1" l="1"/>
  <c r="D221" i="1"/>
  <c r="E221" i="1" l="1"/>
  <c r="D222" i="1"/>
  <c r="D224" i="1" l="1"/>
  <c r="E222" i="1"/>
  <c r="D225" i="1" l="1"/>
  <c r="E224" i="1"/>
  <c r="E225" i="1" l="1"/>
  <c r="D226" i="1"/>
  <c r="D227" i="1" l="1"/>
  <c r="E226" i="1"/>
  <c r="D228" i="1" l="1"/>
  <c r="E227" i="1"/>
  <c r="D229" i="1" l="1"/>
  <c r="E228" i="1"/>
  <c r="D231" i="1" l="1"/>
  <c r="E229" i="1"/>
  <c r="E231" i="1" l="1"/>
  <c r="D232" i="1"/>
  <c r="E232" i="1" l="1"/>
  <c r="D233" i="1"/>
  <c r="E233" i="1" l="1"/>
  <c r="D234" i="1"/>
  <c r="E234" i="1" l="1"/>
  <c r="D235" i="1"/>
  <c r="E235" i="1" l="1"/>
  <c r="D236" i="1"/>
  <c r="D237" i="1" l="1"/>
  <c r="D239" i="1" s="1"/>
  <c r="E236" i="1"/>
  <c r="E237" i="1" l="1"/>
  <c r="D240" i="1" l="1"/>
  <c r="E239" i="1"/>
  <c r="D241" i="1" l="1"/>
  <c r="D243" i="1" s="1"/>
  <c r="D244" i="1" s="1"/>
  <c r="E240" i="1"/>
  <c r="E241" i="1" l="1"/>
  <c r="E243" i="1" l="1"/>
  <c r="D245" i="1" l="1"/>
  <c r="E244" i="1"/>
  <c r="E245" i="1" l="1"/>
  <c r="D246" i="1"/>
  <c r="E246" i="1" l="1"/>
  <c r="D247" i="1"/>
  <c r="E247" i="1" l="1"/>
  <c r="D248" i="1"/>
  <c r="D249" i="1" s="1"/>
  <c r="E248" i="1" l="1"/>
  <c r="E249" i="1" l="1"/>
  <c r="D250" i="1"/>
  <c r="D251" i="1" l="1"/>
  <c r="E250" i="1"/>
  <c r="D252" i="1" l="1"/>
  <c r="E251" i="1"/>
  <c r="E252" i="1" l="1"/>
  <c r="D253" i="1"/>
  <c r="D255" i="1" l="1"/>
  <c r="E253" i="1"/>
  <c r="E255" i="1" l="1"/>
  <c r="D256" i="1"/>
  <c r="E256" i="1" l="1"/>
  <c r="D257" i="1"/>
  <c r="D258" i="1" l="1"/>
  <c r="E257" i="1"/>
  <c r="E258" i="1" l="1"/>
  <c r="D259" i="1"/>
  <c r="E259" i="1" l="1"/>
  <c r="D260" i="1"/>
  <c r="E260" i="1" l="1"/>
  <c r="D261" i="1"/>
  <c r="E261" i="1" l="1"/>
  <c r="D262" i="1"/>
  <c r="D264" i="1" l="1"/>
  <c r="E262" i="1"/>
  <c r="D265" i="1" l="1"/>
  <c r="E264" i="1"/>
  <c r="D266" i="1" l="1"/>
  <c r="E265" i="1"/>
  <c r="D267" i="1" l="1"/>
  <c r="E266" i="1"/>
  <c r="D268" i="1" l="1"/>
  <c r="E268" i="1" s="1"/>
  <c r="E270" i="1" s="1"/>
  <c r="E267" i="1"/>
</calcChain>
</file>

<file path=xl/sharedStrings.xml><?xml version="1.0" encoding="utf-8"?>
<sst xmlns="http://schemas.openxmlformats.org/spreadsheetml/2006/main" count="1690" uniqueCount="762">
  <si>
    <t>Bubbled Test Administrator Number</t>
  </si>
  <si>
    <t>Test Administrator First Name</t>
  </si>
  <si>
    <t>Test Administrator Last Name</t>
  </si>
  <si>
    <t>Bubbled Migrant Status</t>
  </si>
  <si>
    <t>Bubbled Section 504 Test Accommodations</t>
  </si>
  <si>
    <t>Bubbled Section 504 Status</t>
  </si>
  <si>
    <t>Bubbled LEP Test Accommodations</t>
  </si>
  <si>
    <t>Bubbled Special Education Test Accommodations</t>
  </si>
  <si>
    <t>Bubbled Education Classification</t>
  </si>
  <si>
    <t>LAP Option Code</t>
  </si>
  <si>
    <t>State ID</t>
  </si>
  <si>
    <t>Y = student classified as a straggler
N = student not classified as a straggler</t>
  </si>
  <si>
    <t>Barcode/Student Precode Number</t>
  </si>
  <si>
    <t>Batch Number</t>
  </si>
  <si>
    <t>Lithocode</t>
  </si>
  <si>
    <t>DRC Unique Student ID</t>
  </si>
  <si>
    <t>Security Barcode Number</t>
  </si>
  <si>
    <t>Y = Migrant
N = Not Migrant</t>
  </si>
  <si>
    <t>Y = LEP
N = Not LEP</t>
  </si>
  <si>
    <t>Y = 504
N = Not 504</t>
  </si>
  <si>
    <t>STUDENT LEVEL REPORTING FLAGS</t>
  </si>
  <si>
    <t>Length</t>
  </si>
  <si>
    <t>FILLER</t>
  </si>
  <si>
    <t>Year of test</t>
  </si>
  <si>
    <t>SCIENCE SCORING INFORMATION</t>
  </si>
  <si>
    <t>SOCIAL STUDIES SCORING INFORMATION</t>
  </si>
  <si>
    <t>Y</t>
  </si>
  <si>
    <t>N</t>
  </si>
  <si>
    <t>File Creation Date and Time Stamp</t>
  </si>
  <si>
    <t>Date the file was generated</t>
  </si>
  <si>
    <t>Processing/Reporting Section</t>
  </si>
  <si>
    <t>Footnotes on Reports</t>
  </si>
  <si>
    <t>Summarization Flags</t>
  </si>
  <si>
    <t>Indicates whether a document was returned and whether it was manually completed for demographics or precoded with student label.</t>
  </si>
  <si>
    <t>Numeric value with leading zeroes.</t>
  </si>
  <si>
    <r>
      <t>Keep this log intact (</t>
    </r>
    <r>
      <rPr>
        <b/>
        <sz val="8"/>
        <color indexed="10"/>
        <rFont val="Arial"/>
        <family val="2"/>
      </rPr>
      <t>even when carrying forward to a new administration</t>
    </r>
    <r>
      <rPr>
        <b/>
        <sz val="10"/>
        <color indexed="10"/>
        <rFont val="Arial"/>
        <family val="2"/>
      </rPr>
      <t xml:space="preserve">) to serve as a historical reference.  </t>
    </r>
  </si>
  <si>
    <t>Date
Revised:</t>
  </si>
  <si>
    <t xml:space="preserve">    Revision:</t>
  </si>
  <si>
    <t>Entered
By</t>
  </si>
  <si>
    <t>Shar Hall</t>
  </si>
  <si>
    <t>Final version (1.8) for Spring 2006 administration.</t>
  </si>
  <si>
    <t>Initial version (1.0) for Spring 2007 administration - several fields added are hi-lighted in yellow and filler adjusted appropriately.  All references to grade 8 and/or Option 2 removed.</t>
  </si>
  <si>
    <t>Version 1.1 - changes made as a result of conference call between DRC and LDE on 3/9/07.  All changes hi-lighted in yellow, along with 1.0 changes.</t>
  </si>
  <si>
    <t>M = Male
F = Female
I = Invalid</t>
  </si>
  <si>
    <t>1 = Regular Education
2 = Special Education</t>
  </si>
  <si>
    <t>Expanded comment for NRT reporting flag (pos. 2097).</t>
  </si>
  <si>
    <t xml:space="preserve">Added comment for Reading Subscore Raw Score (pos.1631).  </t>
  </si>
  <si>
    <t>Removed Cleanup Flag fields from pos. 2108-2112 and pos. 2114-2118.  All were changed to Filler and combined with surrounding Filler fields to create one row.</t>
  </si>
  <si>
    <t>Increased Batch Number (pos. 2186) from a length of 4 to 6.</t>
  </si>
  <si>
    <t>Changed "Serial Number" (pos.2190) field name to "Document Spray Value".  Length also changed from 8 to 18.</t>
  </si>
  <si>
    <t>Version 1.2 modifications: (All changes hi-lighted in yellow, along with 1.1 changes.)</t>
  </si>
  <si>
    <t>Clarfication to the scored answer string comments.  B"B scores from handscoring are represented in the string as an empty field.</t>
  </si>
  <si>
    <t>Dave Rowles</t>
  </si>
  <si>
    <t>Updated Science and Social Studies Test form fields to state "always Blank for Grade 9 and PreGED".  Also, updated the LDE Precode file Special Education Category field to include values of 18-20 for kids that were removed from iLEAP.</t>
  </si>
  <si>
    <t>Updated the bubbled enrolled grade field.  There are only two bubble options on the AD so the only possible values from the scanners are 1, 2, Blank or Mults.</t>
  </si>
  <si>
    <t>Changed the DOB comment field to clarify what the program does.  This method is the same for iLEAP, LAA 2 and ELDA.</t>
  </si>
  <si>
    <t>Debbie Williams</t>
  </si>
  <si>
    <t>Spelling Correction on disabilities line 307 and blank is 'valid value'  for 317 clarification.  Version 1.6</t>
  </si>
  <si>
    <t>Assess Group Type</t>
  </si>
  <si>
    <t>Homeschool Flag</t>
  </si>
  <si>
    <t>Summarized LEP Status</t>
  </si>
  <si>
    <t>Summarized Migrant Status</t>
  </si>
  <si>
    <t>Summarized Section 504 Status</t>
  </si>
  <si>
    <t>Summarized Education Classification</t>
  </si>
  <si>
    <t>Changed Straggler field (pos. 7) possible values to "Y" and "N" instead of  "Y" and "-".</t>
  </si>
  <si>
    <t>Jamie Kubik</t>
  </si>
  <si>
    <t>The DRC March LAP Update flag (pos. 167) has been removed and changed to filler.</t>
  </si>
  <si>
    <t xml:space="preserve">The following fields no longer have a 'No' bubble, so the value of "2" has been removed:  Calculator Use (pos. 158), LEP Status (pos. 217), 504 Status (pos. 229), </t>
  </si>
  <si>
    <t>Value of 12 has been added to Assess Group Type (pos. 2070-2071) for RES.</t>
  </si>
  <si>
    <t>Changed Security Barcode Number (starting in pos. 2212) to be 8 characters instead of 15.  Changed to 7 positions of filler before this field.</t>
  </si>
  <si>
    <t>Summarized Grade</t>
  </si>
  <si>
    <t>Y = Yes
N = No</t>
  </si>
  <si>
    <t>TA Number and Name (246-288) inclusion on Simple and Research file flags updated.</t>
  </si>
  <si>
    <t>Blank is added and dash ("-") removed from Writing Non-Score Code (pos. 1592) possible values.</t>
  </si>
  <si>
    <t>Bubbled Optional Local Use</t>
  </si>
  <si>
    <t>Bubbled Accountability Code</t>
  </si>
  <si>
    <t>Field Use</t>
  </si>
  <si>
    <t>Starting Location</t>
  </si>
  <si>
    <t>Ending Location</t>
  </si>
  <si>
    <t>Possible Values</t>
  </si>
  <si>
    <t>Description/Comments</t>
  </si>
  <si>
    <t>COMMON DEMOGRAPHIC INFORMATION</t>
  </si>
  <si>
    <t>Test Date Month</t>
  </si>
  <si>
    <t>Test Date Year</t>
  </si>
  <si>
    <t xml:space="preserve">Straggler </t>
  </si>
  <si>
    <t>District Code</t>
  </si>
  <si>
    <t>School Code</t>
  </si>
  <si>
    <t>District Name</t>
  </si>
  <si>
    <t>School Name</t>
  </si>
  <si>
    <t>Document Grade</t>
  </si>
  <si>
    <t>Student Last Name</t>
  </si>
  <si>
    <t>Student First Name</t>
  </si>
  <si>
    <t>Student Middle Initial</t>
  </si>
  <si>
    <t>Summarized DOB Month</t>
  </si>
  <si>
    <t>Summarized DOB Day</t>
  </si>
  <si>
    <t>Summarized DOB Year</t>
  </si>
  <si>
    <t>Summarized Gender</t>
  </si>
  <si>
    <t>Bubbled Lunch Status</t>
  </si>
  <si>
    <t>LAP Gender</t>
  </si>
  <si>
    <t>LAP March Update Flag</t>
  </si>
  <si>
    <t xml:space="preserve">Gifted </t>
  </si>
  <si>
    <t>Talented</t>
  </si>
  <si>
    <t>Autism</t>
  </si>
  <si>
    <t>Deafblindness</t>
  </si>
  <si>
    <t>Developmental Delay</t>
  </si>
  <si>
    <t>Emotional Disturbance</t>
  </si>
  <si>
    <t>HI-Deaf</t>
  </si>
  <si>
    <t>HI-Hard of Hearing</t>
  </si>
  <si>
    <t>Mild Mental Disability</t>
  </si>
  <si>
    <t>Moderate Mental Disability</t>
  </si>
  <si>
    <t>Orthopedic Impairment</t>
  </si>
  <si>
    <t>Other Health Impairment</t>
  </si>
  <si>
    <t>Specific Learning Disability</t>
  </si>
  <si>
    <t>Speech or Language Impairment</t>
  </si>
  <si>
    <t>Visual Impairment</t>
  </si>
  <si>
    <t>No Accommodations</t>
  </si>
  <si>
    <t>Braille</t>
  </si>
  <si>
    <t>Large Print</t>
  </si>
  <si>
    <t>Answers Recorded</t>
  </si>
  <si>
    <t>Assistive Technology</t>
  </si>
  <si>
    <t>Extended Time</t>
  </si>
  <si>
    <t>Communication Assistance</t>
  </si>
  <si>
    <t>Transferred Answers</t>
  </si>
  <si>
    <t>Individual/Small Group Administration</t>
  </si>
  <si>
    <t>Tests Read Aloud</t>
  </si>
  <si>
    <t>Other</t>
  </si>
  <si>
    <t>Response Strings by Subject</t>
  </si>
  <si>
    <t>Science Item Responses</t>
  </si>
  <si>
    <t>Social Studies Item Responses</t>
  </si>
  <si>
    <t>Raw Score for Each Content Standard</t>
  </si>
  <si>
    <t>Raw Score for Each Subtest</t>
  </si>
  <si>
    <t>Raw Score for Item Type</t>
  </si>
  <si>
    <t>Multiple-Choice Items</t>
  </si>
  <si>
    <t xml:space="preserve">Constructed-Response Items </t>
  </si>
  <si>
    <t>Subtest 1: Multiple-Choice Items</t>
  </si>
  <si>
    <t>Standard Error of Measurement of Science</t>
  </si>
  <si>
    <t xml:space="preserve">Standard 1: Science as Inquiry
</t>
  </si>
  <si>
    <t xml:space="preserve">Standard 2: Physical Science
</t>
  </si>
  <si>
    <t xml:space="preserve">Standard 3: Life Science
</t>
  </si>
  <si>
    <t xml:space="preserve">Standard 4: Earth and Space Science
</t>
  </si>
  <si>
    <t xml:space="preserve">Standard 5: Science and the Environment
</t>
  </si>
  <si>
    <t xml:space="preserve">Subtest 1: Multiple-Choice Items
 </t>
  </si>
  <si>
    <t>Science Test Form</t>
  </si>
  <si>
    <t>Standard Error of Measurement of Social Studies</t>
  </si>
  <si>
    <t>Social Studies Test Form</t>
  </si>
  <si>
    <t>Summarized Void Flag</t>
  </si>
  <si>
    <t>Multiple Choice / Constructed Response Items Taken (attempted) Flag</t>
  </si>
  <si>
    <t>Plagiarism Void Flag</t>
  </si>
  <si>
    <t>Included in N-counts</t>
  </si>
  <si>
    <t>Test Taken Flag</t>
  </si>
  <si>
    <t xml:space="preserve">Student Label </t>
  </si>
  <si>
    <t>ACCOUNTABILITY FIELDS</t>
  </si>
  <si>
    <t>Document Type Returned</t>
  </si>
  <si>
    <t>DOCUMENT IDENTIFICATION</t>
  </si>
  <si>
    <t>Record Length:</t>
  </si>
  <si>
    <t>Rollup to State</t>
  </si>
  <si>
    <t>Include in District Media Reports</t>
  </si>
  <si>
    <t>Include in School Media Reports</t>
  </si>
  <si>
    <t>Summarize to Assessment Group Code for district level reporting</t>
  </si>
  <si>
    <t>Show 'N/A' in place of district results on school reports</t>
  </si>
  <si>
    <t>Schools summarized to LEA Code for district level reporting</t>
  </si>
  <si>
    <t>District reports go to district</t>
  </si>
  <si>
    <t>District report goes to LDE</t>
  </si>
  <si>
    <t>Cleanup reports</t>
  </si>
  <si>
    <t>Summary Reports</t>
  </si>
  <si>
    <t>Erasure Reports</t>
  </si>
  <si>
    <t>Roster Reports</t>
  </si>
  <si>
    <t>Student Labels</t>
  </si>
  <si>
    <t>Filler position 167 was changed to the LAP Homeless Flag.</t>
  </si>
  <si>
    <t>Assess group value descriptions in position 2070-2071 were changed to use 'OJJ' instead of 'OYD' and a value of "13" was added for NPS.</t>
  </si>
  <si>
    <t>Bubbled Gender</t>
  </si>
  <si>
    <t>Added bubbled Gender (pos. 168) and Ethnicity (pos. 169), replacing two of the following filler positions.</t>
  </si>
  <si>
    <t>YYYY</t>
  </si>
  <si>
    <t>Bubbled Special Education Exceptionality Category</t>
  </si>
  <si>
    <t>Changed positions 2024-2027 (Erasure Analysis Void Flag) to filler.  Erasure is no longer a possible reason flag for voiding a student.</t>
  </si>
  <si>
    <t>E</t>
  </si>
  <si>
    <t>K, E</t>
  </si>
  <si>
    <t>Updated 'Field Use' column to match February.</t>
  </si>
  <si>
    <t>Bubbled Enrolled Grade(Pos. 177)  was changed from Bubbled Grade to Bubbled PreGED/Skills.</t>
  </si>
  <si>
    <t>Added NRT Test Taken Flags to positions 2020-2023 per a decision made at the requirements work session.</t>
  </si>
  <si>
    <t xml:space="preserve">Added a new note to the Summarized Void Flag fields (pos. 2034-2037).  </t>
  </si>
  <si>
    <t>Added '99' = mults to Summarized Exceptionality Category field (pos. 307-308).</t>
  </si>
  <si>
    <t>Noted that the NRT Test Taken Flags (pos. 2020-2023) should be included in Research and Simple files and added a new sentence to the description column.</t>
  </si>
  <si>
    <t>Added 'E' to Field Use column for Included in N-Count and Rollup to State fields as these are used for Equating. (pos. 2052-2055, pos. 2078)</t>
  </si>
  <si>
    <t>Position 307-308, added "99 = mult" as possible value.</t>
  </si>
  <si>
    <t>In pos. 2070-2071, 11=RSD was removed and 14=RLA, 15=RNO were added.</t>
  </si>
  <si>
    <t>Updated pos. 1939-1941, 1964-1965, 1986-1987, and 2005 to show the ITED column name value also.</t>
  </si>
  <si>
    <t xml:space="preserve">Updated Pos. 1676, 1744, 1831, and 1902, (Subject Test Form Fields) to show Possible Values of A, B, or C and updated the Business Rule to show 'or DOTS'. </t>
  </si>
  <si>
    <t>Changed description on Pos 307-308 for 99 from Mult to Unknown (Multiple Responses)</t>
  </si>
  <si>
    <t>Updated to add a note about the Accountability Code 86 and how that works with the NRT Reporting Flag in Pos. 2097.</t>
  </si>
  <si>
    <t>Updated Pos. 2020-2023 to remove the rule about Voids.</t>
  </si>
  <si>
    <t>Updated NRT Reporting Flag (pos 2097) to remove "See the processing rules  for Braille Exceptions related to automatic points awarded." as it's not applicable for this field. (no logic change)</t>
  </si>
  <si>
    <t>Updated 'Parent Letter' to 'Student Report' for Online Student Report flags (pos. 2100-2101).  (no logic change)</t>
  </si>
  <si>
    <t>Added Rule to NRT Test Taken Flags (pos 2020-2023) for Accountability Code 86 logic. (logic change)</t>
  </si>
  <si>
    <t>Updated Bubbled Routing Site (pos. 301-306) to add possible values.  (no logic change)</t>
  </si>
  <si>
    <t>Breanna Squire</t>
  </si>
  <si>
    <t>Unique number generated at the time the student record is converted into the DRC Student File.  (Starts over each administration.)</t>
  </si>
  <si>
    <t xml:space="preserve">"*", "-", and "_" values are changed to spaces, and then the spaces are removed by compressing the values from the name field. </t>
  </si>
  <si>
    <t>Updated the Raw Score for Each Content Standard for each subject to show that if there are no points possible the value will be blank.  (logic change)</t>
  </si>
  <si>
    <t>Updated to show that "B" will be included in the Item Response String when a "B" (blank, CR Item not attempted) value is returned from handscoring.  Previously we passed blank.  Positions 333-1497.  (logic change)</t>
  </si>
  <si>
    <t>Updated Raw Score Total fields to show that the value will be zero (000.0) on the Equating file when handscoring is not complete for the subject. (Logic change)</t>
  </si>
  <si>
    <t>Updated 1551-1554 from 'Reading' to Filler.  The Reading Raw Score is already passed in 1631-1634.  (logic change)</t>
  </si>
  <si>
    <t>Updated 2142-2417 Updated Routing Site Code to Filler as there will be no routing cleanup in Online Corrections.  (logic change)</t>
  </si>
  <si>
    <t>Updated 2206-2211 to show that DRC Unique ID value is included on all version of the LDESTD file;  added K and E to Field Use column.  (no logic change)</t>
  </si>
  <si>
    <t>Added additional detail to the description/comments column for positions 145-152 Summarized DOB fields that "*" and " " values are changed to "-".  (no logic change)</t>
  </si>
  <si>
    <t>Added possible values and detail to the description/comments column for positions 117-125 State ID that "*" and " " values are changed to "-".  (no logic change)</t>
  </si>
  <si>
    <t>Added additional detail to the descrption/comments column for positions 96-115 Student Name fields that "*", "-", and "_" values are changed to spaces, and then the spaces are removed by compressing the values from the name fields.  (no logic change)</t>
  </si>
  <si>
    <t>Updated 2134-2141 Updated Accountability Code and 299-300 Bubbled Accountability Code fields to reference the Processing Rules - Materials and Scoring document for valid Accountability Code values. (no logic change)</t>
  </si>
  <si>
    <t>Updated 176 LAP Option Code field to show that "4" is a new value for Career Diploma Pathway/Track.  (logic change)</t>
  </si>
  <si>
    <t>Updated the Scoring Information for each subject to further clarify the possible values for Raw Score, Scale Score, Standard Error of Measure, Upper bound scale score, Lower bound scale score, and Achievement Level. (no logic change)</t>
  </si>
  <si>
    <t>Updated 333-1502 to further clarify the possible values for the Item Response Strings. (no logic change)</t>
  </si>
  <si>
    <t>Updated 136-144, LA Generated ID, to Filler and combined with Filler in 135. (logic change)</t>
  </si>
  <si>
    <t>Added possible value of "3 = LEP current year &amp; blank = not in SIS prior 2" to position 162 LAP LEP 2 Yr. Status Flag.  (logic change)</t>
  </si>
  <si>
    <t>Removed possible value of "03 = LEP but passed first parts of ELDA" from position 160-161 LAP LEP Status.  (logic change)</t>
  </si>
  <si>
    <t>Clarified Bubbled Accountability Code possible value of '2 digit number' as '0-9, -, or * in each position' and also added '--' as a possible value for positions 299-300. (no logic change)</t>
  </si>
  <si>
    <t>Updated 8-13 District and School Code description to show that it's where the student is enrolled and results are reported.  (no logic change)</t>
  </si>
  <si>
    <t>Value of "Y" will only appear in the final iLDESTD file.</t>
  </si>
  <si>
    <t>Updated 2100 to be 'Student Report' and 2101 to be FILLER.  This will match how the Student Reports are generated. (logic change)</t>
  </si>
  <si>
    <t>Updated the NRT field possible values to reference the RPC Processing Specifications document for details on possible values.</t>
  </si>
  <si>
    <t>"*", "-", and "_" values are changed to spaces.</t>
  </si>
  <si>
    <t>Added note that "Includes only items marked with CRT or BOTH in the DOTS" to the &lt;Subject&gt; Scoring Information Sections and Raw Score Sections to clarify that the NRT Only items are excluded from those calculations.  (no logic change)</t>
  </si>
  <si>
    <t>Updated the Subject Test Form field descriptions to show that only the first character of the form number will display when multiple characters exist in the Test Administration Plan or DOTS.  (no logic change)</t>
  </si>
  <si>
    <t>Updated the Item Response String possible values to add possible values for the Writing Item, which were previously missing.  "B" will be passed when the Writing Item was given a non-score code of "B" by PAS.  Previously we passed blank for this.  (logic change)</t>
  </si>
  <si>
    <t>Removed 'K' from the Field Use for Total Raw Score for ELA/Math/Science/Social Studies fields as Psychometrics will use the MC Raw Score fields on the Key Check file instead.   (no logic change)</t>
  </si>
  <si>
    <t>Updated Raw Score, Scaled Score, and Achievement Level fields to clarify when Blank is used. (no logic change)</t>
  </si>
  <si>
    <t>Charter Type</t>
  </si>
  <si>
    <t>Added Charter Type field to position 2073.</t>
  </si>
  <si>
    <t>1 = Type 1 Charter
2 = Type 2 Charter
3 = Type 3 Charter
4 = Type 4 Charter
5 = Type 5 Charter
Blank = Not a Charter School</t>
  </si>
  <si>
    <t>Bubbled McKinney-Vento Act (Homeless)</t>
  </si>
  <si>
    <t>Summarized McKinney-Vento Act (Homeless)</t>
  </si>
  <si>
    <t>Added Bubbled McKinney-Vento Act (Homeless) field to position 244.</t>
  </si>
  <si>
    <t>Added Summarized McKinney-Vento Act (Homeless) field to position 328.</t>
  </si>
  <si>
    <t>Added LAP Section 504 field to position 170.</t>
  </si>
  <si>
    <t>Include in Researcher file?</t>
  </si>
  <si>
    <t>Include in LDE Staff &amp; Contractors file?</t>
  </si>
  <si>
    <t>Updated the Include in N-Counts business rule to reference the new Include in N-Counts section in the Scoring Processing Rules for how the flags are set positions 2052-2055.</t>
  </si>
  <si>
    <t>Removed '09' as a possible value from the Document Grade field position 94-95. (not testing grade 9 starting Spring 2011)</t>
  </si>
  <si>
    <t>Removed '9' and 'P' as a possible values from the Summarized Grade field position 173. (not testing grade 9 starting Spring 2011)</t>
  </si>
  <si>
    <t>Removed '3' as a possible value from the LAP Option Code field position 176. (not testing grade 9 starting Spring 2011)</t>
  </si>
  <si>
    <t>Changed Position 177 Bubbled PreGED/Skills field to filler. (not testing grade 9 starting Spring 2011)</t>
  </si>
  <si>
    <t>Changed Positions 1908-1911 NRT Raw Score Vocabulary and Reading Comprehension to Filler. (not testing grade 9 starting Spring 2011)</t>
  </si>
  <si>
    <t>Changed Positions 1920-1925 NRT Predicted Verbal SAT High and Low fields to filler. (not testing grade 9 starting Spring 2011)</t>
  </si>
  <si>
    <t>Changed Positions 1948-1953 NRT Predicted SAT Math High and Low fields to filler.  (not testing grade 9 starting Spring 2011)</t>
  </si>
  <si>
    <t>Changed Positions 1958-1962 NRT National Percentile Rank Vocabulary and Reading Comprehension fields to filler.  (not testing grade 9 starting Spring 2011)</t>
  </si>
  <si>
    <t>Changed Positions 1970-1973 NRT Predicted ACT High and Low fields to filler.  (not testing grade 9 starting Spring 2011)</t>
  </si>
  <si>
    <t>Changed Positions 1980-1983 NRT Normal Curve Equivalent Vocabulary and Reading Comprehension fields to filler.  (not testing grade 9 starting Spring 2011)</t>
  </si>
  <si>
    <t>Removed reference to grade 9 in the Business Rule for Student Report position 2100.  (not testing grade 9 starting Spring 2011)</t>
  </si>
  <si>
    <t>Y = Void in subject
N = No void in subject</t>
  </si>
  <si>
    <t>Y = Plagiarism in subject
N = No plagiarism in subject</t>
  </si>
  <si>
    <t>Y = Include student in summary
      N-counts for subject
N = Do not include student in summary 
      N-counts for subject</t>
  </si>
  <si>
    <t>Y = Subject was attempted
N = Subject was not attempted</t>
  </si>
  <si>
    <t>Summarized Ethnicity/Race</t>
  </si>
  <si>
    <t>Bubbled Ethnicity/Race</t>
  </si>
  <si>
    <t>Hispanic/Latino</t>
  </si>
  <si>
    <t>Asian</t>
  </si>
  <si>
    <t>Black or African American</t>
  </si>
  <si>
    <t>Native Hawaiian or Other Pacific Islander</t>
  </si>
  <si>
    <t>White</t>
  </si>
  <si>
    <t>LAP Ethnicity/Race</t>
  </si>
  <si>
    <t>LAP Hispanic/Latino</t>
  </si>
  <si>
    <t>LAP Asian</t>
  </si>
  <si>
    <t>LAP Black or African American</t>
  </si>
  <si>
    <t>LAP Native Hawaiian or Other Pacific Islander</t>
  </si>
  <si>
    <t>LAP White</t>
  </si>
  <si>
    <t>Added Bubbled Ethnicity/Race fields to positions 2103-2108.</t>
  </si>
  <si>
    <t>Changed LAP Ethnicity to Filler in position 165.</t>
  </si>
  <si>
    <t>Updated the field name and Summarized Ethnicity/Race possible values in pos. 154.</t>
  </si>
  <si>
    <t>Changed Bubbled Ethnicity to Filler in position 169.</t>
  </si>
  <si>
    <t>0000000000-9999999999
Blank</t>
  </si>
  <si>
    <t>Updated the file heading from 'Complete' to 'Final file_Assessment and Accountability Staff'.</t>
  </si>
  <si>
    <t>Updated the Research and Simple column fields to be Researcher and LDE Staff &amp; Contractors.</t>
  </si>
  <si>
    <t xml:space="preserve">Added LAP Ethnicity/Race fields to positions 2109-2114. </t>
  </si>
  <si>
    <t>Added Home-base District Site Code to positions 2142-2144.</t>
  </si>
  <si>
    <t>Added Home-base School Site Code to positions 2145-2147.</t>
  </si>
  <si>
    <t>Added a business rule to reference the NRT Reporting Flag section of the Processing Rules - Materials and Scoring document to the NRT Reporting Flag in position 2097.</t>
  </si>
  <si>
    <t>Removed Reading Comprehension from the field name in position 2021.  (not testing grade 9 starting Spring 2011)</t>
  </si>
  <si>
    <t>1/8/20111</t>
  </si>
  <si>
    <t>Changed Positions 2002-2003 NRT National Stanine Vocabulary and Reading Comprehension fields to filler.  (not testing grade 9 starting Spring 2011)</t>
  </si>
  <si>
    <t>Added a business rule to reference the Student Reports section of the Processing Rules - Reporting document to the Student Report flag in position 2100.</t>
  </si>
  <si>
    <t>Added a business rule to reference the Student Label section of the Processing Rules - Reporting document to the Student Label flag in position 2102.</t>
  </si>
  <si>
    <t>Added a business rule to reference the School Roster Report section of the Processing Rules - Reporting document to the ELA/Math and Science/Social Studies on Roster flags in positions 2098-2099.</t>
  </si>
  <si>
    <t>Added a business rule to reference the Accountability Codes section of the Processing Rules - Materials and Scoring document for information and a process flow to the Updated Accountability Code fields positions 2134-2141.</t>
  </si>
  <si>
    <t>Added a business rule to reference the Match-back and iLDESTD Record Creation section of the Processing Rules - Materials and Scoring document for more information on how the Barcode/Student Precode Number value is populated in position 126-134.</t>
  </si>
  <si>
    <t>Updated the LDE Unique ID field to be named LDE Unique ID (GUID) and updated the length from 7 to 10 in positions 2164-2173.</t>
  </si>
  <si>
    <t>Changed Vocabulary field to filler in position 2022.  (not testing grade 9 starting Spring 2011)</t>
  </si>
  <si>
    <t>Changed Positions 1930-1935 NRT Standard Score Vocabulary and Reading Comprehension to Filler. (not testing grade 9 starting Spring 2011)</t>
  </si>
  <si>
    <t>Added a business rule to outline the logic used to set the Test Security Violation flags in positions 2124, 2127, 2130, 2133.</t>
  </si>
  <si>
    <t>Clarified the business rule for Summarized Exceptionality Category position 307-308.</t>
  </si>
  <si>
    <t>Clarified the business rule for Summarized Education Classification position 323.</t>
  </si>
  <si>
    <t xml:space="preserve">Added a reference to the Rules to Determine Demographic Values section of the Processing Rules - Materials and Scoring document for logic to determine summarized values in positions 145, 147, 149, 153, 154, 155, 173, 307, 323, 325, 327, 328, and 329. </t>
  </si>
  <si>
    <t>Struck-through the REVISING WRITTEN MATERIALS &lt;ITED&gt; portion of the Field Name for Positions 1939-1941, 1964-1965,  1986-1987, and 2005 due to grade 9 not being administered for Spring 2011.</t>
  </si>
  <si>
    <t>Added a business rule to document when the Summarized Void Flag will be set to 'Y' to the Summarized Void Flags in positions 2034-2037.</t>
  </si>
  <si>
    <t>Added a business rule to document when the Plagiarism Void Flag will be set to 'Y' to the Plagiarism Void Flags in positions 2034-2037.</t>
  </si>
  <si>
    <t>LAP McKinney-Vento (Homeless) Flag</t>
  </si>
  <si>
    <t>Renamed LAP Homeless Flag to LAP McKinney-Vento (Homeless) Flag</t>
  </si>
  <si>
    <t>Updated the logic for how the Homeschool Flag is set in position 2072.</t>
  </si>
  <si>
    <t>Many field's Include in Researcher? and Include in LDE Staff &amp; Contractors File? values were changed per the RWS.  If a field is Summarized, the Summarized field is included in the Researcher and LDE Staff &amp; Contractors versions and the Bubbled and LAP fields are not included.</t>
  </si>
  <si>
    <t>Updated position 170 LAP McKinney-Vento (Homeless) Include in Researcher and Include in LDE Staff_Contractors values to N.</t>
  </si>
  <si>
    <t>Updated position 314 LAP Primary Exceptionlaity Code Include in Researcher and Include in LDE Staff_Contractors values back to Y.</t>
  </si>
  <si>
    <t>Added blank as a possible value to the LAP Ethnicity/Race fields in positions 2109-2114.</t>
  </si>
  <si>
    <t>Added clarification to the business rule for Summarized District Number/code.</t>
  </si>
  <si>
    <t>DRC will not be voiding for Plagiarism in Spring 2011.</t>
  </si>
  <si>
    <t xml:space="preserve">000.0-999.0 
Blank </t>
  </si>
  <si>
    <t xml:space="preserve">100-500
Blank </t>
  </si>
  <si>
    <t>00.0-99.0
Blank</t>
  </si>
  <si>
    <t>00.0-99.9
Blank</t>
  </si>
  <si>
    <t>Precode Number or Single Document Label Number
Blank</t>
  </si>
  <si>
    <t>01 = Not LEP
02 = LEP
Blank</t>
  </si>
  <si>
    <t>0 = in SIS, not LEP prior 2 yrs
1 = LEP 1 yr prior
2 = LEP 2 yrs prior
3 = LEP current year 
Blank = not in SIS prior 2 years</t>
  </si>
  <si>
    <t>Y = Yes
N = No
Blank</t>
  </si>
  <si>
    <t>F = Female
M = Male
Blank</t>
  </si>
  <si>
    <t>1 = Shelter
2 = Double-up
3 = Unsheltered
4 = Hotels/Motels
5 = Unknown
Blank</t>
  </si>
  <si>
    <t>Y = Section 504
N = Not Section 504
Blank</t>
  </si>
  <si>
    <t>01-34
Blank</t>
  </si>
  <si>
    <t>01-17
Blank</t>
  </si>
  <si>
    <t>UNS = Unsatisfactory
APP = Approaching Basic
BAS = Basic
MAS = Mastery
ADV = Advanced
Blank</t>
  </si>
  <si>
    <t>1 = Yes
- = No response (document returned)
Blank = document not returned</t>
  </si>
  <si>
    <t>Y = Asian
N = Not Asian
Blank</t>
  </si>
  <si>
    <t>Y = Black or African American
N = Not Black or African American
Blank</t>
  </si>
  <si>
    <t>Y = Native Hawaiian or Other Pacific Islander
N = Not Native Hawaiian or Other Pacific Islander
Blank</t>
  </si>
  <si>
    <t>Y = White
N = Not White
Blank</t>
  </si>
  <si>
    <t>01-99
Blank</t>
  </si>
  <si>
    <t>0000001-9999999
Blank = document not returned</t>
  </si>
  <si>
    <t>Last 8 digits of the answer document security barcode
Blank = document not returned</t>
  </si>
  <si>
    <t>Added possible value 16 = JUV to the Assess Group Type field in position 2070-2071.</t>
  </si>
  <si>
    <t>Updated Home-based District and School Code Description per updated text from LDE.</t>
  </si>
  <si>
    <t>Jennifer Klein</t>
  </si>
  <si>
    <t>ASSESSMENT/ACCOUNTABILITY INFORMATION</t>
  </si>
  <si>
    <t>Precoded Site Code</t>
  </si>
  <si>
    <r>
      <t xml:space="preserve">Extended the file layout from </t>
    </r>
    <r>
      <rPr>
        <b/>
        <sz val="10"/>
        <rFont val="Arial"/>
        <family val="2"/>
      </rPr>
      <t>2245</t>
    </r>
    <r>
      <rPr>
        <sz val="10"/>
        <rFont val="Arial"/>
        <family val="2"/>
      </rPr>
      <t xml:space="preserve"> to </t>
    </r>
    <r>
      <rPr>
        <b/>
        <sz val="10"/>
        <rFont val="Arial"/>
        <family val="2"/>
      </rPr>
      <t>2271</t>
    </r>
    <r>
      <rPr>
        <sz val="10"/>
        <rFont val="Arial"/>
        <family val="2"/>
      </rPr>
      <t>.</t>
    </r>
  </si>
  <si>
    <t>Added "Precoded Site Code", "Entry Code", "Entry Date", "Exit Code", and "Exit Date" fields in positions 2227-2252.</t>
  </si>
  <si>
    <t>Moved File Creation Date and Timestamp from 2227-2245 to positions 2253-2271.</t>
  </si>
  <si>
    <t xml:space="preserve">The Entry and Exit Dates were received on the March LAP file in the incorrect format of MMDDYYYY.  The LDESTD file layout for the Entry Date (2235-2242) and Exit Date (2245-2252)  have been changed to MMDDYYYY for Spring 2011 processing in order to accommodate the pass through of LAP file information. </t>
  </si>
  <si>
    <t>Field Name</t>
  </si>
  <si>
    <t>LAP Education Classification Flag</t>
  </si>
  <si>
    <t>LAP LEP Indicator Code</t>
  </si>
  <si>
    <t>LAP Migrant Flag</t>
  </si>
  <si>
    <t>LAP Section 504 Flag</t>
  </si>
  <si>
    <t>LAP Grade Placement</t>
  </si>
  <si>
    <t>American Indian or Alaska Native</t>
  </si>
  <si>
    <t>LAP American Indian or Alaska Native</t>
  </si>
  <si>
    <t>Y = American Indian or Alaska Native
N = Not American Indian or Alaska Native
Blank</t>
  </si>
  <si>
    <t>LAP Home-base Site School Code</t>
  </si>
  <si>
    <t>LAP Home-base Site District Code</t>
  </si>
  <si>
    <t>LAP LDE Unique ID (GUID)</t>
  </si>
  <si>
    <t>LAP Entry Code</t>
  </si>
  <si>
    <t>LAP Entry Date</t>
  </si>
  <si>
    <t>MMDDYYYY
Blank</t>
  </si>
  <si>
    <t>1 = Hispanic/Latino
2 = American Indian or Alaska Native
3 = Asian
4 = Black or African American
5 = Native Hawaiian or Other Pacific Islander
6 = White
7 = Two or more races
I = Invalid</t>
  </si>
  <si>
    <t>0-9 or - in any position</t>
  </si>
  <si>
    <t>C</t>
  </si>
  <si>
    <t>Added "(0-9 or - in any position)" after 00-39  in Summarized DOB Day and removed "-- (Default)" in positions 147-148.</t>
  </si>
  <si>
    <t xml:space="preserve">Removed "1980-2009" and "---- (Default)" in Summarized DOB Year and added "0-9 or - in any position" in positions 149-152.  The year value listed was just the bubbled DOB Year range.  The LAP DOB Year value may be outside of the year value listed so the range was removed. </t>
  </si>
  <si>
    <t>Updated Possible Values to "0-9, - , or * in each position", "---------- = No response (document returned)", and "Blank = document not returned" for the Bubbled Optional Local Use field in positions 289-298.</t>
  </si>
  <si>
    <t>Changed "Home-base District Site Code" to "LAP Home-base Site District Code" to match the field name used in the LAP File Layout in positions 2142-2144.   Added LAP to the beginning of the field name as these values come from the LAP file.</t>
  </si>
  <si>
    <t>Changed "Home-base School Site Code" to "LAP Home-base Site School Code" to match the field name used in the LAP File Layout in positions 2145-2147.  Added LAP to the beginning of the field name as these values come from the LAP file.</t>
  </si>
  <si>
    <t>Changed "LDE Unique ID (GUID)" to "LAP LDE Unique ID (GUID)" to match the field name used in the LAP File Layout in positions 2164-2173.  Added LAP to the beginning of the field name as these values come from the LAP file.</t>
  </si>
  <si>
    <t>Added Possible Values and "Blank for a hand-coded document that could not be matched back to the LAP file." rule to the Description/Notes column for the Precoded Site Code in positions 2227-2232.</t>
  </si>
  <si>
    <t>Changed Summarized Ethnicity/Race possible value from "2 = American Indian or Alaskan Native" to "2 = American Indian or Alaska Native" in positions 154-154.</t>
  </si>
  <si>
    <t>Changed "LAP Lunch Status" to "LAP Free/Reduced Lunch" in position 156-156 to match the field name used in the LAP File Layout.   Updated the "Blank…" rule in the Description/Comments column to also include "when student is in the NPS Assess Group".</t>
  </si>
  <si>
    <t>Changed "LAP Eduction Classification" to "LAP Education Classification Flag" in position 159 to match the field name used in the LAP File Layout.</t>
  </si>
  <si>
    <t>Changed "LAP LEP Status" to "LAP LEP Code"  in positions 160-161 to match the field name used in the LAP File Layout.</t>
  </si>
  <si>
    <t>Changed "LAP LEP 2 Yr Flag" to "LAP LEP Indicator Code" in position 162 to match the field name used in the LAP File Layout.</t>
  </si>
  <si>
    <t>Changed "LAP Grade" to "LAP Grade Placement" in positions 174-175 to match the field name used in the LAP File Layout.</t>
  </si>
  <si>
    <t>Changed "LAP Primary Exceptionality Code" to "LAP Primary Exceptionality" in positions 314-315 to match the field name used in the LAP File Layout.</t>
  </si>
  <si>
    <t>Changed "Exit Date" to "LAP Exit Date" in positions 2245-2252 to match the field name used in the LAP File Layout.  Added LAP to the beginning of the field name as these values come from the LAP file.  Added "Blank"  as a possible value for hand-coded records that could not be matched back to LAP and clarified the Description/Comments to include when the value will be blank.</t>
  </si>
  <si>
    <t>Changed "Exit Code" to "LAP Exit Code" in positions 2243-2244 to match the field name used in the LAP File Layout.  Added LAP to the beginning of the field name as these values come from the LAP file.  Added "Blank"  as a possible value for hand-coded records that could not be matched back to LAP and clarified the Description/Comments to include when the value will be blank.</t>
  </si>
  <si>
    <t>Changed "Entry Date" to "LAP Entry Date" in positions 2235-2242 to match the field name used in the LAP File Layout.  Added LAP to the beginning of the field name as these values come from the LAP file.  Added "Blank"  as a possible value for hand-coded records that could not be matched back to LAP and clarified the Description/Comments to include when the value will be blank.</t>
  </si>
  <si>
    <t>Changed "Entry Code" to "LAP Entry Code" in positions 2233-2234 to match the field name used in the LAP File Layout.  Added LAP to the beginning of the field name as these values come from the LAP file.  Added "Blank"  as a possible value for hand-coded records that could not be matched back to LAP and clarified the Description/Comments to include when the value will be blank.</t>
  </si>
  <si>
    <t xml:space="preserve">Changed "LAP Migrant Status" to "LAP Migrant Flag" in position 163 to match the field name used in the LAP File Layout.  Updated the "Blank…" rule in the Description/Comments column to also include "when student is in the NPS Assess Group". </t>
  </si>
  <si>
    <t xml:space="preserve">Changed "LAP Section 504 Status" to "LAP Section 504 Flag" in position 170 to match the field name used in the LAP File Layout.  Updated the "Blank…" rule in the Description/Comments column to also include 'when student is in the NPS Assess Group'. </t>
  </si>
  <si>
    <t>Removed possible values of "1 = Grade 4 or 8 repeater", "3 = PreGED/Skills", and "4 = Career Diploma Pathway/Track" from LAP Option Code in position 176.  Also removed the text "As flagged on the LAP file" from the Description/Comments column.</t>
  </si>
  <si>
    <t>Blank</t>
  </si>
  <si>
    <t>Changed the field name for Bubbled Ethnicity/Race from "American Indian or Alaskan Native" to "American Indian or Alaska Native" in positions 2104-2104.</t>
  </si>
  <si>
    <t>Changed the field name for LAP Ethnicity/Race from "LAP American Indian or Alaskan Native" to "LAP American Indian or Alaska Native" to match the field name used in the LAP File Layout in position 2110.  Updated the possible value description from "Alaskan" to "Alaska".</t>
  </si>
  <si>
    <t>Scaled Score - Science</t>
  </si>
  <si>
    <t>Assessment Achievement Level - Science</t>
  </si>
  <si>
    <t>Scaled Score - Social Studies</t>
  </si>
  <si>
    <t>Assessment Achievement Level - Social Studies</t>
  </si>
  <si>
    <t>Test Taken Flag - Science</t>
  </si>
  <si>
    <t>Test Taken Flag - Social Studies</t>
  </si>
  <si>
    <t>Updated Accountability Code - Science</t>
  </si>
  <si>
    <t xml:space="preserve">Updated Accountability Code - Social Studies </t>
  </si>
  <si>
    <t>Accountability Achievement Level - Science</t>
  </si>
  <si>
    <t>Accountability Achievement Level - Social Studies</t>
  </si>
  <si>
    <t>Changed "Raw Score Total" to "Raw Score Total - ELA" in position 1503-1507 for consistency across projects within the Source Location column of the Accountability File layout.</t>
  </si>
  <si>
    <t>Changed "Scaled Score" to "Scaled Score - ELA" in position 1508-1510 for consistency across projects within the Source Location column of the Accountability File layout.</t>
  </si>
  <si>
    <t>Changed "Achievement Level" to "Assessment Achievement Level - ELA" in position 1520-1522 for consistency across projects within the Source Location column of the Accountability File layout.</t>
  </si>
  <si>
    <t>Changed "Raw Score Total" to "Raw Score Total - Reading Subscore" in position 1631-1634 for consistency across projects within the Source Location column of the Accountability File layout.</t>
  </si>
  <si>
    <t>Changed "Scaled Score" to "Scaled Score - Reading Subscore" in position 1635-1637 for consistency across projects within the Source Location column of the Accountability File layout.</t>
  </si>
  <si>
    <t>Changed "Achievement Level" to "Assessment Achievement Level - Reading Subscore" in position 1638-1640 for consistency across projects within the Source Location column of the Accountability File layout.</t>
  </si>
  <si>
    <t>Changed "Raw Score Total" to "Raw Score Total - Math" in position 1682-1686 for consistency across projects within the Source Location column of the Accountability File layout.</t>
  </si>
  <si>
    <t>Changed "Scaled Score" to "Scaled Score - Math" in position 1687-1689 for consistency across projects within the Source Location column of the Accountability File layout.</t>
  </si>
  <si>
    <t>Changed "Achievement Level" to "Assessment Achievement Level - Math" in position 1699-1701 for consistency across projects within the Source Location column of the Accountability File layout.</t>
  </si>
  <si>
    <t>Changed "Raw Score Total" to "Raw Score Total - Science" in position 1750-1754 for consistency across projects within the Source Location column of the Accountability File layout.</t>
  </si>
  <si>
    <t>Changed "Scaled Score" to "Scaled Score - Science" in position 1755-1757 for consistency across projects within the Source Location column of the Accountability File layout.</t>
  </si>
  <si>
    <t>Changed "Achievement Level" to "Assessment Achievement Level - Science" in position 1767-1769 for consistency across projects within the Source Location column of the Accountability File layout.</t>
  </si>
  <si>
    <t>Changed "Raw Score Total" to "Raw Score Total - Social Studies" in position 1837-1841 for consistency across projects within the Source Location column of the Accountability File layout.</t>
  </si>
  <si>
    <t>Changed "Achievement Level" to "Assessment Achievement Level - Social Studies" in position 1854-1856 for consistency across projects within the Source Location column of the Accountability File layout.</t>
  </si>
  <si>
    <t>Changed "English Language Arts" to "Test Taken Flag - ELA" in position 2061 for consistency across projects within the Source Location column of the Accountability File layout.</t>
  </si>
  <si>
    <t>Changed "Math" to "Test Taken Flag - Math" in position 2062 for consistency across projects within the Source Location column of the Accountability File layout.</t>
  </si>
  <si>
    <t>Changed "Science" to "Test Taken Flag - Science" in position 2063 for consistency across projects within the Source Location column of the Accountability File layout.</t>
  </si>
  <si>
    <t>Changed "Social Studies" to "Test Taken Flag - Social Studies" in position 2064 for consistency across projects within the Source Location column of the Accountability File layout.</t>
  </si>
  <si>
    <t>Changed "Scaled Score" to "Scaled Score - Social Studies" in position 1842-1844 for consistency across projects within the Source Location column of the Accountability File layout.</t>
  </si>
  <si>
    <t>Changed "Updated ELA Accountability Code" to "Updated Accountability Code - ELA" in position 2134-2135 for consistency across projects within the Source Location column of the Accountability File layout.</t>
  </si>
  <si>
    <t>Changed "Updated Math Accountability Code" to "Updated Accountability Code - Math" in position 2136-2137 for consistency across projects within the Source Location column of the Accountability File layout.</t>
  </si>
  <si>
    <t>Changed "Updated Science Accountability Code" to "Updated Accountability Code - Science" in position 2138-2139 for consistency across projects within the Source Location column of the Accountability File layout.</t>
  </si>
  <si>
    <t>Changed "Updated Social Studies Accountability Code" to "Updated Accountability Code - Social Studies" in position 2140-2141 for consistency across projects within the Source Location column of the Accountability File layout.</t>
  </si>
  <si>
    <t>Changed "ELA Accountability Achievement Level" to "Accountability Achievement Level - ELA" in position 2151-2153 for consistency across projects within the Source Location column of the Accountability File layout.</t>
  </si>
  <si>
    <t>Changed "Math Accountability Achievement Level" to "Accountability Achievement Level - Math" in position 2154-2156 for consistency across projects within the Source Location column of the Accountability File layout.</t>
  </si>
  <si>
    <t>Changed "Science Accountability Achievement Level" to "Accountability Achievement Level - Science" in position 2157-2159 for consistency across projects within the Source Location column of the Accountability File layout.</t>
  </si>
  <si>
    <t>Changed "Social Studies Accountability Achievement Level" to "Accountability Achievement Level - Social Studies" in position 2160-2162 for consistency across projects within the Source Location column of the Accountability File layout.</t>
  </si>
  <si>
    <t>Added "M = Merge" to the Footer.</t>
  </si>
  <si>
    <t>Updated the "Field Use" column with an "M" for all LDESTD fields updated after a manual score merge is applied to the LDESTD file.</t>
  </si>
  <si>
    <t>M</t>
  </si>
  <si>
    <t>Added the following reference within the Description/Comments column for the District and School Code fields in positions 8-13, "Refer to the Capturing Site Codes section of the Processing Rules - Materials and Scoring document for logic to determine the Reporting Site-Code value."</t>
  </si>
  <si>
    <t>Updated the reference within the Description/Comments column in position 2134-2141, Updated Accountability Code, to provide the new location of the Accountability Codes List document out on the FTP site.</t>
  </si>
  <si>
    <t>Updated the Description/Comments column in position 299-300, Bubbled Accountability Code, to refer to the new location of the Accountability Codes List document out on the FTP site.</t>
  </si>
  <si>
    <t>Added "C" to the Field Use Column for the fields that are updated when the OCS Extract is applied.  Added "C = Corrections" to the footer.</t>
  </si>
  <si>
    <t>E, M</t>
  </si>
  <si>
    <t>C, M</t>
  </si>
  <si>
    <t>K, E, M</t>
  </si>
  <si>
    <t>LAP LEP Code</t>
  </si>
  <si>
    <t>Traumatic Brain Injury</t>
  </si>
  <si>
    <t>100-899 = School Level
900-999 = District Level 
--- = No response (document returned)
* = Multiple responses in this position
Blank = document not returned</t>
  </si>
  <si>
    <t>0-9, - , or * in each position
---------- = No response (document returned)
Blank = document not returned</t>
  </si>
  <si>
    <t>0-9, - , or * in each position
-- = No response (document returned)
Blank = document not returned</t>
  </si>
  <si>
    <t>LAP Primary Exceptionality</t>
  </si>
  <si>
    <t>LAP Exceptionality Category</t>
  </si>
  <si>
    <t>Raw Score Total - Science</t>
  </si>
  <si>
    <t>Raw Score Total - Social Studies</t>
  </si>
  <si>
    <t>0 = Neither MC nor CR taken
1 = MC only taken
2 = CR only taken
3 = Both MC and CR taken</t>
  </si>
  <si>
    <t>Student Report</t>
  </si>
  <si>
    <t>Format: "YYYY-MM-DD HH:MM:SS"</t>
  </si>
  <si>
    <t xml:space="preserve">Other                                                                                                                                       </t>
  </si>
  <si>
    <t>01 = Gifted 
02 = Talented
03 = Autism
04 = Deafblindness
05 = Developmental Delay
06 = Emotional Disturbance
07 = HI-Deaf
08 = HI-Hard of Hearing
09 = Mild Mental Disability
10 = Moderate Mental Disability
11 = Orthopedic Impairment
12 = Other Health Impairment
13 = Specific Learning Disability
14 = Speech or Language Impairment
15 = Traumatic Brain Injury
16 = Visual Impairment
17 = Other
99 = Unknown (Multiple Responses)
Blank</t>
  </si>
  <si>
    <t>As bubbled on the answer document.</t>
  </si>
  <si>
    <t>Added "As bubbled on the answer document." within the Description/Comments column for any "Bubbled" fields. (This is not highlighted, just a global change.)</t>
  </si>
  <si>
    <t>1 = Male
2 = Female
* = Multiple Responses
- = No response (document returned)
Blank = document not returned</t>
  </si>
  <si>
    <t>1 = Free Lunch Eligible
2 = Reduced Lunch Eligible
0 = Paid
* = Multiple responses
- = No response (document returned)
Blank = document not returned</t>
  </si>
  <si>
    <t>1 = Regular
2 = Special
- = No response (document returned)
* = Multiple responses
Blank = document not returned</t>
  </si>
  <si>
    <t>1 = Yes
2 = No 
* = Multiple Responses
- = No response (document returned)
Blank = document not returned</t>
  </si>
  <si>
    <r>
      <t>As bubbled on the answer document.</t>
    </r>
    <r>
      <rPr>
        <sz val="10"/>
        <rFont val="Arial"/>
        <family val="2"/>
      </rPr>
      <t xml:space="preserve">
</t>
    </r>
  </si>
  <si>
    <t>Total points earned for each Science content standard.
Blank when content standard is not assessed (zero points possible), or when Raw Score Total for Science is blank.</t>
  </si>
  <si>
    <t>Total points earned for each Social Studies content standard.
Blank when content standard is not assessed (zero points possible), or when Raw Score Total for Social Studies is blank.</t>
  </si>
  <si>
    <t>As flagged on the LAP file.
Blank for a hand-coded document that could not be matched back to the LAP file.</t>
  </si>
  <si>
    <t>As flagged on the LAP file.
Unique number generated by LDE, and provided on the LAP file.  This is used to match students from the original LAP file with students from the updated LAP file.
Blank for a hand-coded document that could not be matched back to the LAP file.</t>
  </si>
  <si>
    <t>Added "As flagged on the LAP file." within the Description/Comments column for any "LAP" fields. (This is not highlighted, just a global change.)</t>
  </si>
  <si>
    <t>03 = Grade 3
05 = Grade 5 
06 = Grade 6
07 = Grade 7
Blank</t>
  </si>
  <si>
    <r>
      <t xml:space="preserve">This represents the answer document that the student took the test on.  It corresponds to the first position of the lithocode for the document.
</t>
    </r>
    <r>
      <rPr>
        <sz val="10"/>
        <rFont val="Arial"/>
        <family val="2"/>
      </rPr>
      <t xml:space="preserve">
Blank when document not returned.</t>
    </r>
  </si>
  <si>
    <t>Standard 1: Geography</t>
  </si>
  <si>
    <t>Standard 2: Civics</t>
  </si>
  <si>
    <t>Standard 3: Economics</t>
  </si>
  <si>
    <t>Standard 4: History</t>
  </si>
  <si>
    <t>Upper bound scaled score - Science</t>
  </si>
  <si>
    <t>Lower bound scaled score - Science</t>
  </si>
  <si>
    <t>Upper bound scaled score - Social Studies</t>
  </si>
  <si>
    <t>Lower bound scaled score - Social Studies</t>
  </si>
  <si>
    <t>D = student no longer enrolled in Louisiana schools 
        since submission of Nov. LAP file.
N = student newly enrolled in Louisiana schools since 
        submission of Nov. LAP file.
Blank = student enrollment status unchanged since
                submission of Nov LAP file.</t>
  </si>
  <si>
    <r>
      <rPr>
        <sz val="10"/>
        <rFont val="Arial"/>
        <family val="2"/>
      </rPr>
      <t>N</t>
    </r>
    <r>
      <rPr>
        <b/>
        <sz val="10"/>
        <rFont val="Arial"/>
        <family val="2"/>
      </rPr>
      <t xml:space="preserve"> = </t>
    </r>
    <r>
      <rPr>
        <sz val="10"/>
        <rFont val="Arial"/>
        <family val="2"/>
      </rPr>
      <t xml:space="preserve">No Document Returned For Precoded Record
M </t>
    </r>
    <r>
      <rPr>
        <b/>
        <sz val="10"/>
        <rFont val="Arial"/>
        <family val="2"/>
      </rPr>
      <t>=</t>
    </r>
    <r>
      <rPr>
        <sz val="10"/>
        <rFont val="Arial"/>
        <family val="2"/>
      </rPr>
      <t>Manually Coded Document Returned
P</t>
    </r>
    <r>
      <rPr>
        <b/>
        <sz val="10"/>
        <rFont val="Arial"/>
        <family val="2"/>
      </rPr>
      <t xml:space="preserve"> = </t>
    </r>
    <r>
      <rPr>
        <sz val="10"/>
        <rFont val="Arial"/>
        <family val="2"/>
      </rPr>
      <t xml:space="preserve">Precoded Document Returned
O </t>
    </r>
    <r>
      <rPr>
        <b/>
        <sz val="10"/>
        <rFont val="Arial"/>
        <family val="2"/>
      </rPr>
      <t xml:space="preserve">= </t>
    </r>
    <r>
      <rPr>
        <sz val="10"/>
        <rFont val="Arial"/>
        <family val="2"/>
      </rPr>
      <t>Manually Coded Document matched back to 
          Precode Label.</t>
    </r>
    <r>
      <rPr>
        <b/>
        <sz val="10"/>
        <color indexed="10"/>
        <rFont val="Arial"/>
        <family val="2"/>
      </rPr>
      <t/>
    </r>
  </si>
  <si>
    <t>03 = March</t>
  </si>
  <si>
    <t>Student's SSN.
"*" and " " values are changed to "-"</t>
  </si>
  <si>
    <t>E, C</t>
  </si>
  <si>
    <t>3 = Grade 3
5 = Grade 5
6 = Grade 6
7 = Grade 7</t>
  </si>
  <si>
    <t>Updated the name in the header to reflect "Project: 2012 iLEAP Spring" rather than"Project : iLEAP Spring 2012".</t>
  </si>
  <si>
    <t>Removed "(Default)" from the Summarized DOB Month in positions 145-146.</t>
  </si>
  <si>
    <t>Added  subject name to the Upper and Lower Bound scaled score for each subject area (ELA 1514-1519), (Math  1693-1698), (Science 1750-1757) and (Social Studies 1848-1853) and restated "Blank=no score" to "Blank if the Raw Score Total for &lt;subject&gt; is blank."</t>
  </si>
  <si>
    <t>Added blank rule for Math Subtest 2: Constructed-Response Items  in position 1735-1738.  "Blank when the Raw Score Total for Math is blank."</t>
  </si>
  <si>
    <t>Added additional information to blank rule for Social Studies Standards 1-4 in position 1857-1872.  "Blank when … or when the Raw Score Total for Social Studies is blank."</t>
  </si>
  <si>
    <t>Added "Blank" as possible value to Science Subtest 1: Multiple-Choice Items in position1802-1805 and added "Blank when the Raw Score Total for Science is blank." to the comments.</t>
  </si>
  <si>
    <t>Added blank rule to Social Studies Subtest 1: Multiple-Choice Items in position 1889-1892 and added "Blank when the Raw Score Total for Social Studies is blank." to the comments.</t>
  </si>
  <si>
    <t>Added a note that the Charter Type value will be blank for 888 and 998 school types as we do not receive those schools on the School Master File in positions 2073-2073.</t>
  </si>
  <si>
    <t>Added the notes from the Updated Accountability Code field's Description/Comments (2134-2141) to the Description/Comments field for Bubbled Accountability Code in position (299-300) describing where to find the logic for setting accountability code values.</t>
  </si>
  <si>
    <t xml:space="preserve">iLEAP LDESTD File Layout - Final file_Assessment and Accountability Staff </t>
  </si>
  <si>
    <r>
      <t xml:space="preserve">03 = Grade 3
05 = Grade 5
06 = Grade 6
07 = Grade 7
</t>
    </r>
    <r>
      <rPr>
        <sz val="10"/>
        <rFont val="Arial"/>
        <family val="2"/>
      </rPr>
      <t>Blank</t>
    </r>
  </si>
  <si>
    <t>The Field Use column was updated for multiple fields to remove the "M" from the Field Use column for fields that will not be updated as a result of the application of score merge results.  These include the following fields: NRT Standard Score (1936-1947), NRT National Percentile Rank (1962-1969), NRT National Stanine (2004-2007), and Updated Accountability Codes (2134-2141).</t>
  </si>
  <si>
    <t>Possible Values and Description/Comments columns were updated to show fields that are blanked out when applying score merge results.  These include the following fields: Item Response Strings (333-1497).  MC/CR Taken Flags (2018-2019) will show "0" rather than blank.</t>
  </si>
  <si>
    <t>Removed the following Possible Values from "LAP Grade Placement" (location174-175) as they are no longer valid since Grade 9/PreGEDOption is no longer used.  Remove 09 = Grade 9, 10 = Grade 10, 11 = Grade 11, 12 = Grade 12.</t>
  </si>
  <si>
    <t>Y = 998 School
N = Not 998 School</t>
  </si>
  <si>
    <t>Updated the year value in the Project Name to be "2013"</t>
  </si>
  <si>
    <t>Updated the rule from "Blank when Writing component is missing." to "Blank when Raw Score Total for ELA is blank." in the Total Score for Writing field in pos. 1587-1591.</t>
  </si>
  <si>
    <t>As flagged on the LAP file.
Blank for a hand-coded document that could not be matched back to the LAP file, or if the value was blank on the LAP file.</t>
  </si>
  <si>
    <t xml:space="preserve">Added a reference to the Constructed Response Items section of the Processing Rules - Materials and Scoring document for more information about Non-score Codes in position 1592.   </t>
  </si>
  <si>
    <t>Updated the field name from "Non-scorable Code for Writing" to "Non-score Code for Writing" in pos. 1592 to match the name used in the Processing Rules - Materials and Scoring document.</t>
  </si>
  <si>
    <t>LAP Scholarship Student Flag</t>
  </si>
  <si>
    <t>Summarized Void Flag - Science</t>
  </si>
  <si>
    <t>Summarized Void Flag - Social Studies</t>
  </si>
  <si>
    <t>Plagiarism Void Flag - Science</t>
  </si>
  <si>
    <t>Plagiarism Void Flag - Social Studies</t>
  </si>
  <si>
    <t>Include in N-counts - Science</t>
  </si>
  <si>
    <t>Include in N-counts - Social Studies</t>
  </si>
  <si>
    <t>Updated the reference from "Refer to the Resulting iLDESTD Values by Subject table in the Processing Rules - Materials and Scoring document for rules on populating these values." to "Refer to the Test Taken  section in the Processing Rules - Materials and Scoring document for rules on populating these values." in the Test Taken Flag fields pos. 2061-2064 now that the Test Taken column has been removed from the table and a new section was added in the Processing Rules document.</t>
  </si>
  <si>
    <t>Amount of error in the student's scale score as defined by Psychometrics
From the Raw to Scale tables
Blank if the student's Summarized Void Flag - Social Studies = "Y", or if the Test Taken Flag - Social Studies = "N".</t>
  </si>
  <si>
    <t>Updated the rule from "The Summarized Void flag will be "Y" for a subject, if the student has a row in the Combined Void Spreadsheet for the subject and the Type of Void column contains "Plagiarism" or "District"." to "The Summarized Void flag will be "Y" for a subject if the student has a row in the LDE approved Void .csv file for the subject." in the Summarized Void Flag fields in pos. 2034-2037.</t>
  </si>
  <si>
    <t>Updated the rule from "The Plagiarism Void flag will be 'Y' for a subject, if the student has a row in the Combined Void Spreadsheet for the subject and the Type of Void column contains 'Plagiarism'." to "The Plagiarism Void flag will be "Y" for a subject, if the student has a row in the LDE approved Void .CSV file for the subject and the LDE Type of Void field contains "Plagiarism" or "PLAG"." in the Plagiarism Void Flag fields in pos. 2043-2046.</t>
  </si>
  <si>
    <t>The Homeschool Flag will be set to "Y" when the School Code = 998.</t>
  </si>
  <si>
    <t>If field value = "Y", then student will be receiving this footnote.
The Test Security Violation (Void) flag will be set to "Y", if the Summarized Void Flag for Science = "Y".</t>
  </si>
  <si>
    <t>If field value = "Y", then student will be receiving this footnote.
The Test Security Violation (Void) flag will be set to "Y", if the Summarized Void Flag for Social Studies = "Y".</t>
  </si>
  <si>
    <t>Footnote: Test Security Violation (Void) - Science</t>
  </si>
  <si>
    <t>Footnote: Test Security Violation (Void) - Social Studies</t>
  </si>
  <si>
    <t>Summarized Special Education Exceptionality Category</t>
  </si>
  <si>
    <t>Renamed "Summarized Exceptionality Category" to "Summarized Special Education Exceptionality Category" to match the section in the Processing Rules in pos. 307-308.</t>
  </si>
  <si>
    <t>The Assess Group Code value from the School Master File for the school the student is being reported to.</t>
  </si>
  <si>
    <t>Month of test</t>
  </si>
  <si>
    <t>Y = indicates student has an approved scholarship
N = indicates student does not have an approved 
       scholarship
Blank</t>
  </si>
  <si>
    <t>Blank if Bubbled Test Administrator Number is invalid or blank.</t>
  </si>
  <si>
    <t xml:space="preserve">Charter Type as listed in the School Master File.
Blank when School Code = 888 or 998. </t>
  </si>
  <si>
    <r>
      <t xml:space="preserve">The Science/Social Studies on Roster flag will be set to "Y", if the student meets the selection criteria defined within the </t>
    </r>
    <r>
      <rPr>
        <b/>
        <u/>
        <sz val="10"/>
        <rFont val="Arial"/>
        <family val="2"/>
      </rPr>
      <t>School Roster Report</t>
    </r>
    <r>
      <rPr>
        <sz val="10"/>
        <rFont val="Arial"/>
        <family val="2"/>
      </rPr>
      <t xml:space="preserve"> section of the Processing Rules – Reporting document for Science and/or Social Studies.
If field value = "Y", then student will appear on the Science and Social Studies Student Roster.</t>
    </r>
  </si>
  <si>
    <t>3-digit district code for the home-base Site 
Blank</t>
  </si>
  <si>
    <t>3-digit school code for the home-base Site 
Blank</t>
  </si>
  <si>
    <t>6-digit site code
Blank</t>
  </si>
  <si>
    <t>2-digit code
Blank</t>
  </si>
  <si>
    <t>The precoded site code is the site where the student received preidentified answer documents.
Site code from the LAP File, which will match the site code on the DRC Precode File. 
Blank for a hand-coded document that could not be matched back to the LAP file.</t>
  </si>
  <si>
    <t>The numeric type for the Assess Group Code value from the School Master File for the school the student is being reported to.</t>
  </si>
  <si>
    <t>Updated the rule from "This is the Assess Group Code of the District Code in position 8-10. " to "The Assess Group Code value from the School Master File for the school the student is being reported to." for the Summarized District Number/Code field in pos. 2148-2150.</t>
  </si>
  <si>
    <t xml:space="preserve">Renamed "Summarized District Number/Code" to "Assess Group Code" in pos. 2148-2150 to better reflect what is contained in those fields. </t>
  </si>
  <si>
    <t>Assess Group Code</t>
  </si>
  <si>
    <t>Added a reference to the Special Education Exceptionality Categories and Codes section of the Processing Rules - Materials and Scoring document for the primary exceptionalities that apply to iLEAP in pos. 314-315.</t>
  </si>
  <si>
    <t>0-99
Blank</t>
  </si>
  <si>
    <t xml:space="preserve">ASSESSMENT ROLLUP AND INCLUSION FLAGS </t>
  </si>
  <si>
    <t>Added a description for the Assess Group Type field in pos. 2070-2071 to show that it is derived from the the school's Assess Group Code value.</t>
  </si>
  <si>
    <t>Bubbled Limited English Proficient (LEP) Status</t>
  </si>
  <si>
    <t>Provision of English Native Language Word-to-Word Dictionary (No Definitions)</t>
  </si>
  <si>
    <t>Test Administered by ESL Teacher or Individual Providing Language Services</t>
  </si>
  <si>
    <t>School Roster - Science/Social Studies</t>
  </si>
  <si>
    <t>Student Reports</t>
  </si>
  <si>
    <t>Renamed "Bubbled LEP Status" to "Bubbled Limited English Proficient (LEP) Status" in pos. 217.</t>
  </si>
  <si>
    <t>Renamed "Provision of Dictionary (No Definitions)" to "Provision of English/Native Language Word-to-Word Dictionary (No Definitions)" in pos. 221.</t>
  </si>
  <si>
    <t>Renamed "ESL Administrator" to "Test Administered by ESL Teacher or Individual Providing Language Services" in pos. 222.</t>
  </si>
  <si>
    <t>Renamed "ELA MC / CR Taken" to "MC / CR Taken - ELA" in pos. 2018.</t>
  </si>
  <si>
    <t>Renamed "English Language Arts" to "Summarized Void Flag - ELA" in pos. 2034.</t>
  </si>
  <si>
    <t>Renamed "Math" to "Summarized Void Flag - Math" in pos. 2035.</t>
  </si>
  <si>
    <t>Renamed "English Language Arts" to "Plagiarism Void Flag - ELA" in pos. 2043.</t>
  </si>
  <si>
    <t>Renamed "Math" to "Plagiarism Void Flag - Math" in pos. 2044.</t>
  </si>
  <si>
    <t>Renamed "Science" to "Plagiarism Void Flag - Science" in pos. 2045.</t>
  </si>
  <si>
    <t>Renamed "Social Studies" to "Plagiarism Void Flag - Social Studies" in pos. 2046.</t>
  </si>
  <si>
    <t>Renamed "English Language Arts" to "Included in N-counts - ELA" in pos. 2052.</t>
  </si>
  <si>
    <t>Renamed "Math" to "Included in N-counts - Math" in pos. 2053.</t>
  </si>
  <si>
    <t>Renamed "Science" to "Included in N-counts - Science" in pos. 2054.</t>
  </si>
  <si>
    <t>Renamed "Social Studies" to "Included in N-counts - Social Studies" in pos. 2055.</t>
  </si>
  <si>
    <t>Renamed "Student Report (SR) or Parent Letter" to "Student Reports" in pos. 2090.</t>
  </si>
  <si>
    <t>Renamed "ELA/Math on Roster" to "School Roster - ELA/Math" in pos. 2098.</t>
  </si>
  <si>
    <t>Renamed "Science/Social Studies on Roster" to "School Roster - Science/Social Studies" in pos. 2099.</t>
  </si>
  <si>
    <t>Renamed "Footnote: Test Security Violation" to "Footnote: Test Security Violation (Void) - ELA" in pos. 2124.</t>
  </si>
  <si>
    <t>Renamed "Footnote: Test Security Violation" to "Footnote: Test Security Violation (Void) - Math" in pos. 2127.</t>
  </si>
  <si>
    <t>Renamed "Footnote: Test Security Violation" to "Footnote: Test Security Violation (Void) - Science" in pos. 2130.</t>
  </si>
  <si>
    <t>Renamed "Footnote: Test Security Violation" to "Footnote: Test Security Violation (Void) - Social Studies" in pos. 2133.</t>
  </si>
  <si>
    <t>"Field Test Items are not included when determining MC / CR Taken values." was added to the Description/Comments column for MC / CR Taken &lt;Subject&gt; fields in pos. 2018-2019.</t>
  </si>
  <si>
    <t>"Field Test Items are not included when determining Raw Score Total - &lt;subject&gt;." was added to the Description/Comments column for Raw Score Total - &lt;Subject&gt; fields in pos. 1503-1507, 1682-1686, 1750-1754, and 1837-1841.</t>
  </si>
  <si>
    <t>Possible Values "0-99" and "Blank" were added in the Standard Error of Measurement of &lt;Subject&gt; fields in pos. 1511-1513, 1690-1692, 1758-1760, and 1845-1847.  Previously the Possible Value just stated "Amount of error in the student's scaled score" which didn't give a good representation of what the actual format or possible values are.</t>
  </si>
  <si>
    <r>
      <rPr>
        <b/>
        <sz val="10"/>
        <rFont val="Arial"/>
        <family val="2"/>
      </rPr>
      <t>(Logic change)</t>
    </r>
    <r>
      <rPr>
        <sz val="10"/>
        <rFont val="Arial"/>
        <family val="2"/>
      </rPr>
      <t xml:space="preserve"> Added the LAP Scholarship Student Flag field in pos. 135 (previously FILLER). </t>
    </r>
  </si>
  <si>
    <r>
      <rPr>
        <b/>
        <sz val="10"/>
        <rFont val="Arial"/>
        <family val="2"/>
      </rPr>
      <t xml:space="preserve">(Logic change) </t>
    </r>
    <r>
      <rPr>
        <sz val="10"/>
        <rFont val="Arial"/>
        <family val="2"/>
      </rPr>
      <t>Added the LAP Residence_LEA field in pos. 142-144 (previously FILLER).</t>
    </r>
  </si>
  <si>
    <r>
      <rPr>
        <b/>
        <sz val="10"/>
        <rFont val="Arial"/>
        <family val="2"/>
      </rPr>
      <t>(Logic change)</t>
    </r>
    <r>
      <rPr>
        <sz val="10"/>
        <rFont val="Arial"/>
        <family val="2"/>
      </rPr>
      <t xml:space="preserve"> The Bubbled Routing Information field in pos. 301-306 was changed to FILLER as that field was grayed out in the Answer Document.  Routing Information is no longer being collected on the Answer Document.</t>
    </r>
  </si>
  <si>
    <r>
      <rPr>
        <b/>
        <sz val="10"/>
        <rFont val="Arial"/>
        <family val="2"/>
      </rPr>
      <t xml:space="preserve">(Logic change) </t>
    </r>
    <r>
      <rPr>
        <sz val="10"/>
        <rFont val="Arial"/>
        <family val="2"/>
      </rPr>
      <t>The NRT Scoring Section pos. 1906-2017 was changed to FILLER as NRT Scoring and Reporting has been eliminated starting Spring 2013.</t>
    </r>
  </si>
  <si>
    <r>
      <rPr>
        <b/>
        <sz val="10"/>
        <rFont val="Arial"/>
        <family val="2"/>
      </rPr>
      <t>(Logic change)</t>
    </r>
    <r>
      <rPr>
        <sz val="10"/>
        <rFont val="Arial"/>
        <family val="2"/>
      </rPr>
      <t xml:space="preserve"> Renamed "Standard 6: Patterns, Relations, &amp; Functions" to "Reporting Category: Number System" in pos. 1722-1725 as the Math Content Standards are being replaced with Reporting Categories.</t>
    </r>
  </si>
  <si>
    <r>
      <rPr>
        <b/>
        <sz val="10"/>
        <rFont val="Arial"/>
        <family val="2"/>
      </rPr>
      <t>(Logic change)</t>
    </r>
    <r>
      <rPr>
        <sz val="10"/>
        <rFont val="Arial"/>
        <family val="2"/>
      </rPr>
      <t xml:space="preserve"> "Field Test Items will be included in the Item Responses for all subjects." was added to the Descriptions/Comments column for &lt;Subject&gt; Item Responses fields in pos. 333-1497.</t>
    </r>
  </si>
  <si>
    <t>Renamed "Math MC / CR Taken to "MC / CR Taken - Math" in pos. 2019.</t>
  </si>
  <si>
    <r>
      <rPr>
        <b/>
        <sz val="10"/>
        <rFont val="Arial"/>
        <family val="2"/>
      </rPr>
      <t xml:space="preserve">(Logic change) </t>
    </r>
    <r>
      <rPr>
        <sz val="10"/>
        <rFont val="Arial"/>
        <family val="2"/>
      </rPr>
      <t>Added Possible Value "7" = Copied Passage to the Non-score Code for Writing field in pos. 1592.</t>
    </r>
  </si>
  <si>
    <t>0 = Regular
1 = Special education with disabilities
2 = Gifted or talented
Blank</t>
  </si>
  <si>
    <t>Added "Blank when the Raw Score Total for ELA is blank." to the Description/Comments for Raw Score Total - Reading Subscore, Scaled Score - Reading Subscore, and Assessment Achievement Level - Reading Subscore fields in pos. 1631-1640.</t>
  </si>
  <si>
    <t>Serial Number</t>
  </si>
  <si>
    <r>
      <rPr>
        <b/>
        <sz val="10"/>
        <rFont val="Arial"/>
        <family val="2"/>
      </rPr>
      <t>(Logic change)</t>
    </r>
    <r>
      <rPr>
        <sz val="10"/>
        <rFont val="Arial"/>
        <family val="2"/>
      </rPr>
      <t xml:space="preserve"> The LAP Exit Date and LAP Exit Code fields are no longer populated on the March LAP File therefore the values in the LDESTD file would always be blank.  The fields have been changed to FILLER in pos. 2243-2252.</t>
    </r>
  </si>
  <si>
    <t>"The Include in N-counts flag will be set to "N" if the subject was the secondary record involved in a score merge." was added to the Descriptions/Comments column for the Include in N-counts - &lt;Subject&gt; fields in pos. 2052-2055.</t>
  </si>
  <si>
    <t>"The MC / CR Taken Flag will be set to "0" if the subject was the secondary record in volved in a score merge." was added to the Descriptions/Comments column for MC / CR Taken - &lt;Subject&gt; fields in pos. 2018-2019.</t>
  </si>
  <si>
    <t>Removed the "Blank when subject not attempted or document not returned." rule and replaced with a reference to the Resulting iLDESTD Values by Subject table within the Processing Rules - Materials and Scoring document for the Raw Score Total fields for ELA, Math, Science, and Social Studies in pos. 1503-1507, 1682-1686, 1750-1754, and 1837-1841.  The rules to set the Raw Score are already documented in the table and it was redundant to have them listed in the file layout as well.</t>
  </si>
  <si>
    <t>Removed the "Blank when Raw Score Total for &lt;subject&gt; is blank." rule and replaced with a reference to the Resulting iLDESTD Valus by Subject table within the Processing Rules - Materials and Scoring document for the Assessment Achievement Level fields for ELA, Math, Science, and Social Studies in pos. 1520-1522, 1699-1701,  1767-1769, and 1854-1856.</t>
  </si>
  <si>
    <t>LEA
LAB
CHA
TRI
NPB
STA
BSE
OJJ
MAR
RES
NPS
RLA
RNO
JUV
RBR</t>
  </si>
  <si>
    <t>Added Possible Values to the Assess Group Code field as they were previously missing in pos. 2148-2150.</t>
  </si>
  <si>
    <r>
      <t xml:space="preserve">The Student Report flag will be set to "Y", if the student meets the selection criteria defined within the </t>
    </r>
    <r>
      <rPr>
        <b/>
        <u/>
        <sz val="10"/>
        <rFont val="Arial"/>
        <family val="2"/>
      </rPr>
      <t>Student Reports</t>
    </r>
    <r>
      <rPr>
        <sz val="10"/>
        <rFont val="Arial"/>
        <family val="2"/>
      </rPr>
      <t xml:space="preserve"> section of the Processing Rules – Reporting document.
If field value = "Y", then student will receive a Student Report.</t>
    </r>
  </si>
  <si>
    <r>
      <t xml:space="preserve">The Student Label flag will be set to "Y", if the student meets the selection criteria defined within the </t>
    </r>
    <r>
      <rPr>
        <b/>
        <u/>
        <sz val="10"/>
        <rFont val="Arial"/>
        <family val="2"/>
      </rPr>
      <t>Student Label</t>
    </r>
    <r>
      <rPr>
        <sz val="10"/>
        <rFont val="Arial"/>
        <family val="2"/>
      </rPr>
      <t xml:space="preserve"> section of the Processing Rules – Reporting document. 
If field value = "Y", then student will receive a Student Label.</t>
    </r>
  </si>
  <si>
    <t>Clarifid that the existing &lt;Subject&gt; Test Form fields are for the CRT Operational forms used within the Description/Comments in pos. 1676, 1744, 1831, and 1902.  The Lithocode value's 2nd digit will be used to discern if the document's Field Test Items were in Form A or Form B.</t>
  </si>
  <si>
    <r>
      <t xml:space="preserve">School-level flags set per the LDE School Master Files according to the Assess Group Code of the student's school.
Refer to the </t>
    </r>
    <r>
      <rPr>
        <b/>
        <u/>
        <sz val="10"/>
        <rFont val="Arial"/>
        <family val="2"/>
      </rPr>
      <t>Reporting Summarization and Delivery Table</t>
    </r>
    <r>
      <rPr>
        <sz val="10"/>
        <rFont val="Arial"/>
        <family val="2"/>
      </rPr>
      <t xml:space="preserve"> and the</t>
    </r>
    <r>
      <rPr>
        <sz val="10"/>
        <rFont val="Arial"/>
        <family val="2"/>
      </rPr>
      <t xml:space="preserve"> </t>
    </r>
    <r>
      <rPr>
        <b/>
        <u/>
        <sz val="10"/>
        <rFont val="Arial"/>
        <family val="2"/>
      </rPr>
      <t xml:space="preserve">Table of District/School Types Included on Each Report </t>
    </r>
    <r>
      <rPr>
        <sz val="10"/>
        <rFont val="Arial"/>
        <family val="2"/>
      </rPr>
      <t>in the Common Louisiana Processing Rules - Reporting document for further details.</t>
    </r>
  </si>
  <si>
    <r>
      <rPr>
        <b/>
        <sz val="10"/>
        <rFont val="Arial"/>
        <family val="2"/>
      </rPr>
      <t>(Logic change)</t>
    </r>
    <r>
      <rPr>
        <sz val="10"/>
        <rFont val="Arial"/>
        <family val="2"/>
      </rPr>
      <t xml:space="preserve"> Added the LAP Scholarship Site Code field in pos. 136-141 (previously FILLER).</t>
    </r>
  </si>
  <si>
    <t>Clarified the following rule from "Blank for a hand-coded document that could not be matched back to the LAP file." to "Blank for a hand-coded document that could not be matched back to the LAP file, or if the value was blank on the LAP file." for all fields that are populated from the LAP file where the LAP File has "Blank" as a possible value.  
LAP LEP Indicator Code pos. 162 
LAP March Update Flag pos. 166 
LAP Primary Exceptionality pos. 314-315 
LAP Exceptionality Category pos. 316-317 
LAP Home-base Site District Code pos. 2142-2144 
LAP Home-base Site School Code pos. 2145-2147 
LAP Exit Code pos. 2243-2244 
LAP Exit Date pos. 2245-2252</t>
  </si>
  <si>
    <t xml:space="preserve">Removed the "Blank when Raw Score Total for &lt;subject&gt; is blank." rule and replaced with a reference to the Resulting iLDESTD Valus by Subject table within the Processing Rules - Materials and Scoring document for the Scaled Score fields for ELA, Math, Science, and Social Studies in pos. 1508-1510, 1635-1637, 1755-1757, and 1842-1844. </t>
  </si>
  <si>
    <r>
      <rPr>
        <b/>
        <sz val="10"/>
        <rFont val="Arial"/>
        <family val="2"/>
      </rPr>
      <t>(Logic change)</t>
    </r>
    <r>
      <rPr>
        <sz val="10"/>
        <rFont val="Arial"/>
        <family val="2"/>
      </rPr>
      <t xml:space="preserve"> Renamed "Standard 1: Number and number relations" to "Reporting Category: Fractions" in pos. 1702-1705 as the Math Content Standards are being replaced with Reporting Categories.</t>
    </r>
  </si>
  <si>
    <r>
      <rPr>
        <b/>
        <sz val="10"/>
        <rFont val="Arial"/>
        <family val="2"/>
      </rPr>
      <t xml:space="preserve">(Logic change) </t>
    </r>
    <r>
      <rPr>
        <sz val="10"/>
        <rFont val="Arial"/>
        <family val="2"/>
      </rPr>
      <t>Renamed "Standard 2: Algebra" to "Reporting Category: Measurement, Data, and Geometry in pos. 1706-1709 as the Math Content Standards are being replaced with Reporting Categories.</t>
    </r>
  </si>
  <si>
    <r>
      <rPr>
        <b/>
        <sz val="10"/>
        <rFont val="Arial"/>
        <family val="2"/>
      </rPr>
      <t xml:space="preserve">(Logic change) </t>
    </r>
    <r>
      <rPr>
        <sz val="10"/>
        <rFont val="Arial"/>
        <family val="2"/>
      </rPr>
      <t>Renamed "Standard 3: Measurement" to "Reporting Category: Multiplication and Division" in pos. 1710-1713 as the Math Content Standards are being replaced with Reporting Categories.</t>
    </r>
  </si>
  <si>
    <r>
      <rPr>
        <b/>
        <sz val="10"/>
        <rFont val="Arial"/>
        <family val="2"/>
      </rPr>
      <t xml:space="preserve">(Logic change) </t>
    </r>
    <r>
      <rPr>
        <sz val="10"/>
        <rFont val="Arial"/>
        <family val="2"/>
      </rPr>
      <t>Renamed "Standard 4: Geometry" to "Reporting Category: Number in pos. 1714-1717 as the Math Content Standards are being replaced with Reporting Categories.</t>
    </r>
  </si>
  <si>
    <r>
      <rPr>
        <b/>
        <sz val="10"/>
        <rFont val="Arial"/>
        <family val="2"/>
      </rPr>
      <t>(Logic change)</t>
    </r>
    <r>
      <rPr>
        <sz val="10"/>
        <rFont val="Arial"/>
        <family val="2"/>
      </rPr>
      <t xml:space="preserve"> Renamed "Standard 5: Data analysis, probability, &amp; discrete math" to "Reporting Category: Number and Operations" in pos. 1718-1721 as the Math Content Standards are being replaced with Reporting Categories.</t>
    </r>
  </si>
  <si>
    <r>
      <rPr>
        <b/>
        <sz val="10"/>
        <rFont val="Arial"/>
        <family val="2"/>
      </rPr>
      <t>(Logic change)</t>
    </r>
    <r>
      <rPr>
        <sz val="10"/>
        <rFont val="Arial"/>
        <family val="2"/>
      </rPr>
      <t xml:space="preserve"> Added "Reporting Category: Ratio, Proportion, and Algebra" field in pos. 1726-1729 (previously FILLER).  Updated the length of FILLER in position 1730 from "5" to "1".</t>
    </r>
  </si>
  <si>
    <t>Renamed "Science" to "Summarized Void Flag - Science" in pos. 2036.</t>
  </si>
  <si>
    <t>Renamed "Social Studies" to" Summarized Void Flag - Social Studies" in pos. 2037.</t>
  </si>
  <si>
    <t>"The Test Taken Flag will be set to "N" if the subject was the secondary record involved in a score merge." was added to the Descriptions/Comments column for the Test Taken Flag - &lt;Subject&gt; fields in pos. 2061-2064.</t>
  </si>
  <si>
    <r>
      <rPr>
        <b/>
        <sz val="10"/>
        <rFont val="Arial"/>
        <family val="2"/>
      </rPr>
      <t xml:space="preserve">(Logic change) </t>
    </r>
    <r>
      <rPr>
        <sz val="10"/>
        <rFont val="Arial"/>
        <family val="2"/>
      </rPr>
      <t>Added possible value "17 = RBR" to the Assess Group Type field in pos. 2070-2071 as there was a new assess group added for Recovery School District - Baton Rouge.</t>
    </r>
  </si>
  <si>
    <r>
      <rPr>
        <b/>
        <sz val="10"/>
        <rFont val="Arial"/>
        <family val="2"/>
      </rPr>
      <t xml:space="preserve">(Logic change) </t>
    </r>
    <r>
      <rPr>
        <sz val="10"/>
        <rFont val="Arial"/>
        <family val="2"/>
      </rPr>
      <t>The Batch Number field length increased from 6 to 8 in pos. 2174-2181.  The 2 bytes were taken from the new FILLER that was added by changing the Document Spray Value field to Serial Number and decreasing the field size of Serial Number.</t>
    </r>
  </si>
  <si>
    <r>
      <rPr>
        <b/>
        <sz val="10"/>
        <rFont val="Arial"/>
        <family val="2"/>
      </rPr>
      <t xml:space="preserve">(Logic change) </t>
    </r>
    <r>
      <rPr>
        <sz val="10"/>
        <rFont val="Arial"/>
        <family val="2"/>
      </rPr>
      <t>Changed" Document Spray Value" field to "Serial Number" and decreased the field length from 18 to 6 in pos. 2182-2187.  This matches what is passed in the LEAP/GEE LDESTD files.  FILLER was added after Serial Number.</t>
    </r>
  </si>
  <si>
    <t xml:space="preserve">Added the following note within the Description/Comments column for field position 2198-2204, Lithocode, The second position of the Lithocode value indicates the form of the answer document as follows:
   "1" = Form A
   "2" = Form B </t>
  </si>
  <si>
    <r>
      <rPr>
        <b/>
        <sz val="10"/>
        <rFont val="Arial"/>
        <family val="2"/>
      </rPr>
      <t>(Logic change)</t>
    </r>
    <r>
      <rPr>
        <sz val="10"/>
        <rFont val="Arial"/>
        <family val="2"/>
      </rPr>
      <t xml:space="preserve"> The NRT Test Taken Flag for Math in pos. 2023 were changed to FILLER as NRT Math was eliminated starting Spring 2013.</t>
    </r>
  </si>
  <si>
    <t>Clarified the following rule from "Blank for a hand-coded document that could not be matched back to the LAP file, or when student is in the NPS Assess Group." to "Blank for a hand-coded document that could not be matched back to the LAP file, or if the value was blank on the LAP file.".  The LAP File Layout has the rules for when the value is blank.  The LDESTD file doesn't have logic to apply "blank" when the student is in the NPS file.
LAP Free/Reduced Lunch pos. 156
LAP LEP Code pos. 160-161
LAP Migrant Flag pos. 153 
LAP Section 504 Flag pos. 170
LAP Option Code pos. 176</t>
  </si>
  <si>
    <r>
      <rPr>
        <b/>
        <sz val="10"/>
        <rFont val="Arial"/>
        <family val="2"/>
      </rPr>
      <t>(Logic change)</t>
    </r>
    <r>
      <rPr>
        <sz val="10"/>
        <rFont val="Arial"/>
        <family val="2"/>
      </rPr>
      <t xml:space="preserve"> Added "D" as a possible value for Test Form fields for ELA and Math in pos. 1676 and 1744.</t>
    </r>
  </si>
  <si>
    <r>
      <rPr>
        <b/>
        <sz val="10"/>
        <rFont val="Arial"/>
        <family val="2"/>
      </rPr>
      <t>(Logic change)</t>
    </r>
    <r>
      <rPr>
        <sz val="10"/>
        <rFont val="Arial"/>
        <family val="2"/>
      </rPr>
      <t xml:space="preserve"> File Layout is now a .xlsm rather than .xls file.</t>
    </r>
  </si>
  <si>
    <r>
      <rPr>
        <b/>
        <sz val="10"/>
        <rFont val="Arial"/>
        <family val="2"/>
      </rPr>
      <t xml:space="preserve">(Logic change) </t>
    </r>
    <r>
      <rPr>
        <sz val="10"/>
        <rFont val="Arial"/>
        <family val="2"/>
      </rPr>
      <t>The NRT Reporting Flag was changed to FILLER in pos. 2097 now that there is no NRT Reporting.</t>
    </r>
  </si>
  <si>
    <t>Updated the Values 1-6 to Values 1-7 in the Description/Comments of the Non-Score Code for Writing in pos. 1592.</t>
  </si>
  <si>
    <r>
      <rPr>
        <b/>
        <sz val="10"/>
        <rFont val="Arial"/>
        <family val="2"/>
      </rPr>
      <t>(Logic change)</t>
    </r>
    <r>
      <rPr>
        <sz val="10"/>
        <rFont val="Arial"/>
        <family val="2"/>
      </rPr>
      <t xml:space="preserve"> The "Include in Researcher" and "Include in Staff &amp; Contractors" values were changed from "N" to "Y" for the following fields: Assess Group Code pos. 2148-2150, LAP Scholarship Student Flag pos. 135, LAP Scholarship Site Code pos. 136-141, LAP Residence_LEA pos. 142-144.</t>
    </r>
  </si>
  <si>
    <t>Summary of District Voids and Plagiarism Voids in each subject.  
The Summarized Void Flag will be "Y" for a subject if the student has a row in the LDE approved Void .csv file for the subject.</t>
  </si>
  <si>
    <t>Void due to plagiarism.
The Plagiarism Void Flag will be "Y" for a subject, if the student has a row in the LDE approved Void .csv file for the subject and the LDE Type of Void field contains "Plagiarism" or "PLAG".</t>
  </si>
  <si>
    <t>01 = LEA
02 = LAB
03 = CHA
04 = TRI
05 = NPB
06 = STA
08 = BSE
09 = OJJ
10 = MAR
12 = RES
13 = NPS
14 = RLA
15 = RNO
16 = JUV
17 = RBR</t>
  </si>
  <si>
    <t>As flagged on the LAP file.
Site code provided by LDE on the LAP file, which is used to route assessment data back to a student’s "home" site for accountability purposes when students are non-full academic year (non-FAY).  This is a required code for students attending alternative schools.
Blank for a hand-coded document that could not be matched back to the LAP file, or if the value was blank on the LAP file.</t>
  </si>
  <si>
    <t>000001-999999
Blank = document not returned</t>
  </si>
  <si>
    <t>00000001-99999999
Blank = document not returned</t>
  </si>
  <si>
    <t>00.0-99.5
Blank</t>
  </si>
  <si>
    <t>000-999
Blank</t>
  </si>
  <si>
    <t>Mallory Johannes</t>
  </si>
  <si>
    <t>Document Name</t>
  </si>
  <si>
    <t>LDE SFTP Location</t>
  </si>
  <si>
    <t>DRC Location</t>
  </si>
  <si>
    <t>iLEAP Processing Rules - Scoring</t>
  </si>
  <si>
    <t>Louisiana/&lt;YYYY&gt; - iLEAP/Processing Rules - Final/</t>
  </si>
  <si>
    <t>http://drcdirect/informationsystems/eis/dteam/Louisiana/iLEAP/</t>
  </si>
  <si>
    <t>iLEAP Processing Rules - Reporting</t>
  </si>
  <si>
    <t>Common Louisiana Processing Rules - Reporting</t>
  </si>
  <si>
    <t xml:space="preserve">http://drcdirect/informationsystems/eis/dteam/Louisiana/Common Louisiana Spring/Reporting/ </t>
  </si>
  <si>
    <t>Louisiana/Accountability Data/Accountability Codes Chart/YYYY-YYYY/</t>
  </si>
  <si>
    <t xml:space="preserve">http://drcdirect/informationsystems/eis/dteam/Louisiana/Accountability/ </t>
  </si>
  <si>
    <t xml:space="preserve">Accountability Codes for Testing </t>
  </si>
  <si>
    <t>DOTS</t>
  </si>
  <si>
    <t>Test Administration Plan</t>
  </si>
  <si>
    <t>Louisiana/General Documents/</t>
  </si>
  <si>
    <t>Louisiana/&lt;YYYY&gt; - iLEAP/DOTS/</t>
  </si>
  <si>
    <t>H:\dots\Louisiana</t>
  </si>
  <si>
    <t>Added a "Reference Locations" tab to show the SFTP and DRC locations of documents referred to in the LDESTD File Layout.</t>
  </si>
  <si>
    <t>LAP Twin Flag</t>
  </si>
  <si>
    <t>Handscoring Complete Flag</t>
  </si>
  <si>
    <t>Y = Handscoring is complete
N = Handscoring is not complete</t>
  </si>
  <si>
    <t>The Handscoring Complete Flag for the subject will be set to "Y" if handscoring has been completed for the subject.</t>
  </si>
  <si>
    <t>Handscoring Complete Flag - Science</t>
  </si>
  <si>
    <t xml:space="preserve">Handscoring Complete Flag - Social Studies </t>
  </si>
  <si>
    <t>Y = Indicated as one of the twins
N = Not Indicated as one of the twins
Blank</t>
  </si>
  <si>
    <t>Raw Score for Each Item Type</t>
  </si>
  <si>
    <t>Subtest 2: Task Items</t>
  </si>
  <si>
    <t>Subtest 2:  Task Items</t>
  </si>
  <si>
    <t>MC / CR Taken - Science</t>
  </si>
  <si>
    <t>MC / CR Taken - Social Studies</t>
  </si>
  <si>
    <t>Xiujuan Yuan</t>
  </si>
  <si>
    <t>Amount of error in the student's scale score as defined by Psychometrics.
From the Raw to Scale tables
Blank if the student's Summarized Void Flag - Science = "Y", or if the Test Taken Flag - Science = "N".</t>
  </si>
  <si>
    <r>
      <rPr>
        <b/>
        <sz val="10"/>
        <rFont val="Arial"/>
        <family val="2"/>
      </rPr>
      <t>Spring 2014</t>
    </r>
    <r>
      <rPr>
        <sz val="10"/>
        <rFont val="Arial"/>
        <family val="2"/>
      </rPr>
      <t xml:space="preserve"> </t>
    </r>
    <r>
      <rPr>
        <b/>
        <sz val="10"/>
        <rFont val="Arial"/>
        <family val="2"/>
      </rPr>
      <t>(Logic change)</t>
    </r>
    <r>
      <rPr>
        <sz val="10"/>
        <rFont val="Arial"/>
        <family val="2"/>
      </rPr>
      <t xml:space="preserve"> Added "C" to the Field Use column for LAP LDE Unique ID GUID in pos. 2164-2173 as the value may be updated (from blank to valued) after the OCS Extract has been applied.  This is due to the new process of applying the May LAP File to the LDESTD data that is used to load the OCS application.  Any hand-coded records that match back to the May LAP file will have their LDE Unique ID GUID value updated from blank to the value in the May LAP file.  Those hand-coded records are then loaded to the OCS system, and the LDE Unique ID GUID values are passed through on the OCS Extract to be updated in the LDESTD file so that the data eventually ends up in the Accountability File.  </t>
    </r>
    <r>
      <rPr>
        <b/>
        <sz val="10"/>
        <rFont val="Arial"/>
        <family val="2"/>
      </rPr>
      <t>Note:</t>
    </r>
    <r>
      <rPr>
        <sz val="10"/>
        <rFont val="Arial"/>
        <family val="2"/>
      </rPr>
      <t xml:space="preserve"> The values are only updated with the value from the May LAP file if the LDE Unique ID GUID value was blank prior to applying the May LAP file.</t>
    </r>
  </si>
  <si>
    <r>
      <rPr>
        <b/>
        <sz val="10"/>
        <rFont val="Arial"/>
        <family val="2"/>
      </rPr>
      <t>Spring 2014</t>
    </r>
    <r>
      <rPr>
        <sz val="10"/>
        <rFont val="Arial"/>
        <family val="2"/>
      </rPr>
      <t xml:space="preserve"> Added a note to the business rules column in pos. 1619-1621, ELA Multiple Choice Items, to show that this total will include Multiple Choice and Enhanced Selected Response (ESR) items.</t>
    </r>
  </si>
  <si>
    <r>
      <rPr>
        <b/>
        <sz val="10"/>
        <rFont val="Arial"/>
        <family val="2"/>
      </rPr>
      <t>Spring 2014</t>
    </r>
    <r>
      <rPr>
        <sz val="10"/>
        <rFont val="Arial"/>
        <family val="2"/>
      </rPr>
      <t xml:space="preserve"> </t>
    </r>
    <r>
      <rPr>
        <b/>
        <sz val="10"/>
        <rFont val="Arial"/>
        <family val="2"/>
      </rPr>
      <t>(Logic Change)</t>
    </r>
    <r>
      <rPr>
        <sz val="10"/>
        <rFont val="Arial"/>
        <family val="2"/>
      </rPr>
      <t xml:space="preserve"> Pos. 142-144, LAP Residence_LEA field was changed to FILLER. This field is no longer populated in the LAP file.</t>
    </r>
  </si>
  <si>
    <r>
      <rPr>
        <b/>
        <sz val="10"/>
        <rFont val="Arial"/>
        <family val="2"/>
      </rPr>
      <t>Spring 2014</t>
    </r>
    <r>
      <rPr>
        <sz val="10"/>
        <rFont val="Arial"/>
        <family val="2"/>
      </rPr>
      <t xml:space="preserve"> Added a note to the Descriptions/Comments that clarifies what the Task Item is comprised of for Science and Social Studies Raw Score for Subtest 2 in pos. 1806-1809 and 1893-1896.</t>
    </r>
  </si>
  <si>
    <r>
      <rPr>
        <b/>
        <sz val="10"/>
        <rFont val="Arial"/>
        <family val="2"/>
      </rPr>
      <t>Spring 2014</t>
    </r>
    <r>
      <rPr>
        <sz val="10"/>
        <rFont val="Arial"/>
        <family val="2"/>
      </rPr>
      <t xml:space="preserve"> Corrected the order of the ELA Test Sessions to be "Reading and Responding", "Research to Build Knowledge", "Writing", and "Language".</t>
    </r>
  </si>
  <si>
    <r>
      <rPr>
        <b/>
        <sz val="10"/>
        <rFont val="Arial"/>
        <family val="2"/>
      </rPr>
      <t>Spring 2014</t>
    </r>
    <r>
      <rPr>
        <sz val="10"/>
        <rFont val="Arial"/>
        <family val="2"/>
      </rPr>
      <t xml:space="preserve"> Removed all references to "CRT" or "NRT" since there will be no NRT components in the iLEAP test beginning 2014.</t>
    </r>
  </si>
  <si>
    <r>
      <rPr>
        <b/>
        <sz val="10"/>
        <rFont val="Arial"/>
        <family val="2"/>
      </rPr>
      <t>Spring 2014</t>
    </r>
    <r>
      <rPr>
        <sz val="10"/>
        <rFont val="Arial"/>
        <family val="2"/>
      </rPr>
      <t xml:space="preserve"> Corrected the order of the ELA Test Sessions to be "Writing", "Reading and Responding", "Research to Build Knowledge", and "Language".</t>
    </r>
  </si>
  <si>
    <r>
      <rPr>
        <b/>
        <sz val="10"/>
        <rFont val="Arial"/>
        <family val="2"/>
      </rPr>
      <t>Spring 201</t>
    </r>
    <r>
      <rPr>
        <sz val="10"/>
        <rFont val="Arial"/>
        <family val="2"/>
      </rPr>
      <t>4 Added "Items" to make the field name "Task Items" in positions 1806-1809 and 1893-1896.</t>
    </r>
  </si>
  <si>
    <r>
      <rPr>
        <b/>
        <sz val="10"/>
        <rFont val="Arial"/>
        <family val="2"/>
      </rPr>
      <t>Spring 2014</t>
    </r>
    <r>
      <rPr>
        <sz val="10"/>
        <rFont val="Arial"/>
        <family val="2"/>
      </rPr>
      <t xml:space="preserve"> </t>
    </r>
    <r>
      <rPr>
        <b/>
        <sz val="10"/>
        <rFont val="Arial"/>
        <family val="2"/>
      </rPr>
      <t>(Logic change)</t>
    </r>
    <r>
      <rPr>
        <sz val="10"/>
        <rFont val="Arial"/>
        <family val="2"/>
      </rPr>
      <t xml:space="preserve"> Added MC / CR Taken - Science and MC / CR Taken - Social Studies fields to positions 2020 and 2021 (previously FILLER) now that these subjects have CR items.</t>
    </r>
  </si>
  <si>
    <r>
      <rPr>
        <b/>
        <sz val="10"/>
        <rFont val="Arial"/>
        <family val="2"/>
      </rPr>
      <t>Spring 2014</t>
    </r>
    <r>
      <rPr>
        <sz val="10"/>
        <rFont val="Arial"/>
        <family val="2"/>
      </rPr>
      <t xml:space="preserve"> </t>
    </r>
    <r>
      <rPr>
        <b/>
        <sz val="10"/>
        <rFont val="Arial"/>
        <family val="2"/>
      </rPr>
      <t>(Logic change)</t>
    </r>
    <r>
      <rPr>
        <sz val="10"/>
        <rFont val="Arial"/>
        <family val="2"/>
      </rPr>
      <t xml:space="preserve"> The Test Form Fields for each subject were updated from 1 to 2 characters. FILLER was used either before or after to accommodate the extra length needed.  The Possible Values were updated to remove the A, B, C, D values and were replaced with ##.  The Description/Comments section  was updated to direct the user to the Sources of Test Form Items section within the Processing Rules - Scoring document for the actual values that will be used.</t>
    </r>
  </si>
  <si>
    <r>
      <rPr>
        <b/>
        <sz val="10"/>
        <rFont val="Arial"/>
        <family val="2"/>
      </rPr>
      <t>Spring 2014</t>
    </r>
    <r>
      <rPr>
        <sz val="10"/>
        <rFont val="Arial"/>
        <family val="2"/>
      </rPr>
      <t xml:space="preserve"> </t>
    </r>
    <r>
      <rPr>
        <b/>
        <sz val="10"/>
        <rFont val="Arial"/>
        <family val="2"/>
      </rPr>
      <t xml:space="preserve">(Logic change) </t>
    </r>
    <r>
      <rPr>
        <sz val="10"/>
        <rFont val="Arial"/>
        <family val="2"/>
      </rPr>
      <t>Removed the following note within the Description/Comments column for field position 2198-2199, Lithocode:  "The second position of the Lithocode value indicates the form of the answer document as follows:
   "1" = Form A
   "2" = Form B</t>
    </r>
  </si>
  <si>
    <r>
      <rPr>
        <b/>
        <sz val="10"/>
        <color theme="1"/>
        <rFont val="Arial"/>
        <family val="2"/>
      </rPr>
      <t xml:space="preserve">Spring 2014 (Logic change) </t>
    </r>
    <r>
      <rPr>
        <sz val="10"/>
        <color theme="1"/>
        <rFont val="Arial"/>
        <family val="2"/>
      </rPr>
      <t>Four new fields were added in positions, 2065, 2066, 2067, and 2068 called "Handscoring Complete Flag - &lt;Subject&gt;" These fields will be set to "Y" when Handscoring is complete for a subject. Previously FILLER, length of FILLEr in pos. 2069 was updated from "5" to "1"</t>
    </r>
  </si>
  <si>
    <r>
      <rPr>
        <b/>
        <sz val="10"/>
        <color theme="1"/>
        <rFont val="Arial"/>
        <family val="2"/>
      </rPr>
      <t>Spring 2014</t>
    </r>
    <r>
      <rPr>
        <sz val="10"/>
        <color theme="1"/>
        <rFont val="Arial"/>
        <family val="2"/>
      </rPr>
      <t xml:space="preserve"> Removed the reference to the actual location of the Accountability Codes for Testing document in the Description/Comments column for the Updated Accountability Code - &lt;subject&gt; fields as the location is now shown on the Reference Location tab. (Pos. 2134-2141).</t>
    </r>
  </si>
  <si>
    <r>
      <t xml:space="preserve">Spring 2014 (Logic change) </t>
    </r>
    <r>
      <rPr>
        <sz val="10"/>
        <rFont val="Arial"/>
        <family val="2"/>
      </rPr>
      <t>The Language NRT Test Taken Flag (Pos. 2020) and the Reading NRT Test Taken Flag (Pos. 2021) were changed to FILLER as the NRT items were eliminated for Spring 2014. The FILLER field in position 2022-2033 was updated..</t>
    </r>
  </si>
  <si>
    <r>
      <t xml:space="preserve">Spring 2014 (Logic change) </t>
    </r>
    <r>
      <rPr>
        <sz val="10"/>
        <rFont val="Arial"/>
        <family val="2"/>
      </rPr>
      <t>Removed the following note within the Description/Comments column regarding the field test items for field positions 2018-2019, MC/CR Taken Flags for ELA and Math, "Field Test Items are not included when determining the MC / CR Taken values." Added a note that the External Anchor Items are not included when determing the MC / CR Taken Flags for ELA.</t>
    </r>
  </si>
  <si>
    <r>
      <rPr>
        <b/>
        <sz val="10"/>
        <color theme="1"/>
        <rFont val="Arial"/>
        <family val="2"/>
      </rPr>
      <t xml:space="preserve">Spring 2014 (Logic change) </t>
    </r>
    <r>
      <rPr>
        <sz val="10"/>
        <color theme="1"/>
        <rFont val="Arial"/>
        <family val="2"/>
      </rPr>
      <t>Raw Score for Social Studies Item Type fields were added to display the total raw score for all MC items and the total raw score for all CR items. Pos. 1903-1905, Mulitple-Choice Items, and Pos. 1906-1909, Constructed-Response Items, were added. These fields were previously FILLER. The starting location and length of FILLER in position 1903-2017 were updated to "1910" and "108".</t>
    </r>
  </si>
  <si>
    <r>
      <rPr>
        <b/>
        <sz val="10"/>
        <color theme="1"/>
        <rFont val="Arial"/>
        <family val="2"/>
      </rPr>
      <t>Spring 2014</t>
    </r>
    <r>
      <rPr>
        <sz val="10"/>
        <color theme="1"/>
        <rFont val="Arial"/>
        <family val="2"/>
      </rPr>
      <t xml:space="preserve"> Clarified the note within the Comments/Description column in pos.1889-1896, Raw Score for Each Subtest for Social Studies, by replacing it with the following note, "Total points earned for each Social Studies subtest." Also clarified the Blank rule to note that the fields will be blank when the subtest is not assessed.</t>
    </r>
  </si>
  <si>
    <r>
      <rPr>
        <b/>
        <sz val="10"/>
        <color theme="1"/>
        <rFont val="Arial"/>
        <family val="2"/>
      </rPr>
      <t>Spring 2014</t>
    </r>
    <r>
      <rPr>
        <sz val="10"/>
        <color theme="1"/>
        <rFont val="Arial"/>
        <family val="2"/>
      </rPr>
      <t xml:space="preserve"> </t>
    </r>
    <r>
      <rPr>
        <b/>
        <sz val="10"/>
        <color theme="1"/>
        <rFont val="Arial"/>
        <family val="2"/>
      </rPr>
      <t xml:space="preserve">(Logic change) </t>
    </r>
    <r>
      <rPr>
        <sz val="10"/>
        <color theme="1"/>
        <rFont val="Arial"/>
        <family val="2"/>
      </rPr>
      <t>Added "Subtest 2: Task" field in pos. 1893-1896 (previously FILLER). Updated the length of FILLER in position 1893-1901 from "9" to "5" (now position 1897-1900).</t>
    </r>
  </si>
  <si>
    <r>
      <rPr>
        <b/>
        <sz val="10"/>
        <color theme="1"/>
        <rFont val="Arial"/>
        <family val="2"/>
      </rPr>
      <t>Spring 2014</t>
    </r>
    <r>
      <rPr>
        <sz val="10"/>
        <color theme="1"/>
        <rFont val="Arial"/>
        <family val="2"/>
      </rPr>
      <t xml:space="preserve"> </t>
    </r>
    <r>
      <rPr>
        <b/>
        <sz val="10"/>
        <color theme="1"/>
        <rFont val="Arial"/>
        <family val="2"/>
      </rPr>
      <t xml:space="preserve">(Logic change) </t>
    </r>
    <r>
      <rPr>
        <sz val="10"/>
        <color theme="1"/>
        <rFont val="Arial"/>
        <family val="2"/>
      </rPr>
      <t>Updated the length of FILLER in pos. 1806-1830 (now pos.1817-1829).</t>
    </r>
  </si>
  <si>
    <r>
      <rPr>
        <b/>
        <sz val="10"/>
        <color theme="1"/>
        <rFont val="Arial"/>
        <family val="2"/>
      </rPr>
      <t xml:space="preserve">Spring 2014 (Logic change) </t>
    </r>
    <r>
      <rPr>
        <sz val="10"/>
        <color theme="1"/>
        <rFont val="Arial"/>
        <family val="2"/>
      </rPr>
      <t>Added "Constructed-Response Items" field in pos. 1813-1816 (previously FILLER).</t>
    </r>
  </si>
  <si>
    <r>
      <rPr>
        <b/>
        <sz val="10"/>
        <color theme="1"/>
        <rFont val="Arial"/>
        <family val="2"/>
      </rPr>
      <t>Spring 2014</t>
    </r>
    <r>
      <rPr>
        <sz val="10"/>
        <color theme="1"/>
        <rFont val="Arial"/>
        <family val="2"/>
      </rPr>
      <t xml:space="preserve"> </t>
    </r>
    <r>
      <rPr>
        <b/>
        <sz val="10"/>
        <color theme="1"/>
        <rFont val="Arial"/>
        <family val="2"/>
      </rPr>
      <t xml:space="preserve">(Logic change) </t>
    </r>
    <r>
      <rPr>
        <sz val="10"/>
        <color theme="1"/>
        <rFont val="Arial"/>
        <family val="2"/>
      </rPr>
      <t>Added "Multiple Choice Items" field in pos. 1810-1812 (previously FILLER).</t>
    </r>
  </si>
  <si>
    <r>
      <rPr>
        <b/>
        <sz val="10"/>
        <color theme="1"/>
        <rFont val="Arial"/>
        <family val="2"/>
      </rPr>
      <t xml:space="preserve">Spring 2014 (Logic change) </t>
    </r>
    <r>
      <rPr>
        <sz val="10"/>
        <color theme="1"/>
        <rFont val="Arial"/>
        <family val="2"/>
      </rPr>
      <t>Added "Subtest 2: Task" field in pos. 1806-1809 (previously FILLER) since a performance task was added within the iLEAP Science section for 2014.</t>
    </r>
  </si>
  <si>
    <r>
      <rPr>
        <b/>
        <sz val="10"/>
        <color theme="1"/>
        <rFont val="Arial"/>
        <family val="2"/>
      </rPr>
      <t xml:space="preserve">Spring 2014 (Logic change) </t>
    </r>
    <r>
      <rPr>
        <sz val="10"/>
        <color theme="1"/>
        <rFont val="Arial"/>
        <family val="2"/>
      </rPr>
      <t>The "K" was removed for the Field Use column for Science Subtest 1: Mulitple Choice Items (Pos. 1802-1805). The new Multiple-Choice Items (Pos. 1810-1812) Item Type field will be used for Key Check.  The "K" was also removed for the Field Use column for Social Studies Subtest 1. Multiple Choice Items (Pos. 1889-1892).  The new Multiple-Choice Items (Pos. 1903-1905) Item Type field will be used for Key Check.</t>
    </r>
  </si>
  <si>
    <r>
      <rPr>
        <b/>
        <sz val="10"/>
        <color theme="1"/>
        <rFont val="Arial"/>
        <family val="2"/>
      </rPr>
      <t>Spring 2014</t>
    </r>
    <r>
      <rPr>
        <sz val="10"/>
        <color theme="1"/>
        <rFont val="Arial"/>
        <family val="2"/>
      </rPr>
      <t xml:space="preserve"> </t>
    </r>
    <r>
      <rPr>
        <b/>
        <sz val="10"/>
        <color theme="1"/>
        <rFont val="Arial"/>
        <family val="2"/>
      </rPr>
      <t>(Logic change)</t>
    </r>
    <r>
      <rPr>
        <sz val="10"/>
        <color theme="1"/>
        <rFont val="Arial"/>
        <family val="2"/>
      </rPr>
      <t xml:space="preserve"> Replaced the Math Reporting Category Fields with Domain and Combined Domain Fields. New positions are 1682-1729.</t>
    </r>
  </si>
  <si>
    <r>
      <rPr>
        <b/>
        <sz val="10"/>
        <color theme="1"/>
        <rFont val="Arial"/>
        <family val="2"/>
      </rPr>
      <t xml:space="preserve">Spring 2014 (Logic Change) </t>
    </r>
    <r>
      <rPr>
        <sz val="10"/>
        <color theme="1"/>
        <rFont val="Arial"/>
        <family val="2"/>
      </rPr>
      <t>Removed the following note within the Description/Comments column regarding the filed test items for field positions 1670-1674, 1750-1754, and 1837-1841, Raw Score Total by Subject (Math, Science, Social Studies), "Field Test Items are not included when determining the Raw Score Total - &lt;Subject&gt; in LEAP Spring.</t>
    </r>
  </si>
  <si>
    <r>
      <rPr>
        <b/>
        <sz val="10"/>
        <color theme="1"/>
        <rFont val="Arial"/>
        <family val="2"/>
      </rPr>
      <t xml:space="preserve">Spring 2014 (Logic change) </t>
    </r>
    <r>
      <rPr>
        <sz val="10"/>
        <color theme="1"/>
        <rFont val="Arial"/>
        <family val="2"/>
      </rPr>
      <t>The following fields were moved to make room for the new math domains. 
ELA Test Form from pos. 1676 to pos. 1660-1661
FILLER in pos. 1677-1681 was removed and replaced with fields below
Raw Score Total - Math from pos. 1682-1686 to pos. 1662-1666
Scaled Score - Math from pos. 1687-1689 to pos. 1667-1669
Standard Error of Measurement of Math from pos. 1690-1692 to pos. 1670-1672
Upper bound scaled score - Math from pos. 1693-1695 to pos. 1673-1675
Lower bound scaled score - Math from pos. 1696-1698 to pos. 1676-1678
Assessment Achievement Level - Math from pos. 1699-1701 to pos. 1679-1681</t>
    </r>
  </si>
  <si>
    <r>
      <t>Spring 2014 (Logic change)</t>
    </r>
    <r>
      <rPr>
        <sz val="10"/>
        <color theme="1"/>
        <rFont val="Arial"/>
        <family val="2"/>
      </rPr>
      <t xml:space="preserve"> Updated the length of FILLER in position 1626-1675 from "50" to "35" in order to make room for the new math domains.</t>
    </r>
  </si>
  <si>
    <r>
      <t xml:space="preserve">Spring 2014 (Logic change) </t>
    </r>
    <r>
      <rPr>
        <sz val="10"/>
        <color theme="1"/>
        <rFont val="Arial"/>
        <family val="2"/>
      </rPr>
      <t>The Total Score for Writing (Pos. 1587-1591) Possible Values were updated to "000.0-012.0" instead of "000.0-008.0" since there are now 12 points possible for writing.</t>
    </r>
  </si>
  <si>
    <r>
      <t xml:space="preserve">Spring 2014 (Logic change) </t>
    </r>
    <r>
      <rPr>
        <sz val="10"/>
        <color theme="1"/>
        <rFont val="Arial"/>
        <family val="2"/>
      </rPr>
      <t>The Assessment Achievement Level - Reading Subscore field in position 1638-1640 was updated to FILLER since Reading Subscore will not be calculated in Spring 2014.</t>
    </r>
  </si>
  <si>
    <r>
      <t xml:space="preserve">Spring 2014 (Logic change) </t>
    </r>
    <r>
      <rPr>
        <sz val="10"/>
        <color theme="1"/>
        <rFont val="Arial"/>
        <family val="2"/>
      </rPr>
      <t>The length and starting position for FILLER in position 1641-1675 was updated to a length of "50" and a starting position "1626" to absorb the FILLER previously in 1626-1630 and the Reading Subscore fields in positions 1631-1640.</t>
    </r>
  </si>
  <si>
    <r>
      <rPr>
        <b/>
        <sz val="10"/>
        <color theme="1"/>
        <rFont val="Arial"/>
        <family val="2"/>
      </rPr>
      <t>Spring 2014</t>
    </r>
    <r>
      <rPr>
        <sz val="10"/>
        <color theme="1"/>
        <rFont val="Arial"/>
        <family val="2"/>
      </rPr>
      <t xml:space="preserve"> </t>
    </r>
    <r>
      <rPr>
        <b/>
        <sz val="10"/>
        <color theme="1"/>
        <rFont val="Arial"/>
        <family val="2"/>
      </rPr>
      <t xml:space="preserve">(Logic change) </t>
    </r>
    <r>
      <rPr>
        <sz val="10"/>
        <color theme="1"/>
        <rFont val="Arial"/>
        <family val="2"/>
      </rPr>
      <t>The Raw score for Standard 3 (Dimensions) were changed to FILLER as they are no longer needed. "Spelling", Pos. 1598-1601, "Capitalization", Pos. 1602-1605, "Punctuation", Pos.1606-1609, "Usage and Expression", Pos. 1610-1613. The length of the FILLER in Pos. 1614-1618 was updated from 5 to 21.</t>
    </r>
  </si>
  <si>
    <r>
      <rPr>
        <b/>
        <sz val="10"/>
        <color theme="1"/>
        <rFont val="Arial"/>
        <family val="2"/>
      </rPr>
      <t xml:space="preserve">Spring 2014 (Logic change) </t>
    </r>
    <r>
      <rPr>
        <sz val="10"/>
        <color theme="1"/>
        <rFont val="Arial"/>
        <family val="2"/>
      </rPr>
      <t>The Raw Score Total - Reading Subscore field in position 1631-1634 was updated to FILLER since Reading Subscore will not be calculated in Spring 2014.</t>
    </r>
  </si>
  <si>
    <r>
      <rPr>
        <b/>
        <sz val="10"/>
        <color theme="1"/>
        <rFont val="Arial"/>
        <family val="2"/>
      </rPr>
      <t>Spring 2014</t>
    </r>
    <r>
      <rPr>
        <sz val="10"/>
        <color theme="1"/>
        <rFont val="Arial"/>
        <family val="2"/>
      </rPr>
      <t xml:space="preserve"> </t>
    </r>
    <r>
      <rPr>
        <b/>
        <sz val="10"/>
        <color theme="1"/>
        <rFont val="Arial"/>
        <family val="2"/>
      </rPr>
      <t xml:space="preserve">(Logic change) </t>
    </r>
    <r>
      <rPr>
        <sz val="10"/>
        <color theme="1"/>
        <rFont val="Arial"/>
        <family val="2"/>
      </rPr>
      <t>The Scaled Score - Reading Subscore field in position 1635-1637 was updated to FILLER since Reading Subscore will not be calculated in Spring 2014.</t>
    </r>
  </si>
  <si>
    <r>
      <rPr>
        <b/>
        <sz val="10"/>
        <rFont val="Arial"/>
        <family val="2"/>
      </rPr>
      <t xml:space="preserve">Spring 2014 </t>
    </r>
    <r>
      <rPr>
        <sz val="10"/>
        <rFont val="Arial"/>
        <family val="2"/>
      </rPr>
      <t>Updated references to the document "Processing Rules - Materials and Scoring" to read "Processing Rules - Scoring".  (multiple locations)</t>
    </r>
  </si>
  <si>
    <r>
      <t xml:space="preserve">Spring 2014  </t>
    </r>
    <r>
      <rPr>
        <sz val="10"/>
        <color theme="1"/>
        <rFont val="Arial"/>
        <family val="2"/>
      </rPr>
      <t xml:space="preserve">Added "99" as a possible value to the Summarized Date of Birth - Month (Pos. 145-146) and the Summarized Date of Birth - Day (Pos. 147-148) and a business rule to note that this value is only valid after OCS has been applied since this is a valid OCS value and will appear in post OCS files. </t>
    </r>
  </si>
  <si>
    <r>
      <rPr>
        <b/>
        <sz val="10"/>
        <rFont val="Arial"/>
        <family val="2"/>
      </rPr>
      <t>Spring 2014</t>
    </r>
    <r>
      <rPr>
        <sz val="10"/>
        <rFont val="Arial"/>
        <family val="2"/>
      </rPr>
      <t xml:space="preserve"> </t>
    </r>
    <r>
      <rPr>
        <b/>
        <sz val="10"/>
        <rFont val="Arial"/>
        <family val="2"/>
      </rPr>
      <t>(Logic Change)</t>
    </r>
    <r>
      <rPr>
        <sz val="10"/>
        <rFont val="Arial"/>
        <family val="2"/>
      </rPr>
      <t xml:space="preserve"> Added "LAP Twin Flag" field in Pos. 165. This field was previously FILLER.</t>
    </r>
  </si>
  <si>
    <r>
      <t xml:space="preserve">Spring 2014 (Logic Change) </t>
    </r>
    <r>
      <rPr>
        <sz val="10"/>
        <rFont val="Arial"/>
        <family val="2"/>
      </rPr>
      <t>Values of "5", "E", and "5.0" were removed from the Response String Possible values column (Pos. 333-1497). There are no items with more than 4 answer options in 2014, so these values would never exist.</t>
    </r>
  </si>
  <si>
    <r>
      <t xml:space="preserve">Spring 2014 (Logic Change) </t>
    </r>
    <r>
      <rPr>
        <sz val="10"/>
        <rFont val="Arial"/>
        <family val="2"/>
      </rPr>
      <t>The writing item possible points were removed from the Item Response String possible values (pos. 333-812) since a dash will be passed for the Writing Item in this field. The writing item score will be found in the Total Score for Writing field.</t>
    </r>
  </si>
  <si>
    <r>
      <t xml:space="preserve">Spring 2014 (Logic Change) </t>
    </r>
    <r>
      <rPr>
        <sz val="10"/>
        <color theme="1"/>
        <rFont val="Arial"/>
        <family val="2"/>
      </rPr>
      <t xml:space="preserve">Removed the Field Test note in the Description/Comments column from the Response Strings by Subject (Pos.333-1497) as there are no field test items in 2014. </t>
    </r>
  </si>
  <si>
    <r>
      <t xml:space="preserve">Spring 2014 (Logic Change) </t>
    </r>
    <r>
      <rPr>
        <sz val="10"/>
        <color theme="1"/>
        <rFont val="Arial"/>
        <family val="2"/>
      </rPr>
      <t>Added the following note within the Description/Comments column regarding the external anchor items for field positions 333-1497, Response Strings by Subject, "External Anchor Items will be included in the Item Responses for ELA."</t>
    </r>
  </si>
  <si>
    <r>
      <rPr>
        <b/>
        <sz val="10"/>
        <color theme="1"/>
        <rFont val="Arial"/>
        <family val="2"/>
      </rPr>
      <t>Spring 2014</t>
    </r>
    <r>
      <rPr>
        <sz val="10"/>
        <color theme="1"/>
        <rFont val="Arial"/>
        <family val="2"/>
      </rPr>
      <t xml:space="preserve"> </t>
    </r>
    <r>
      <rPr>
        <b/>
        <sz val="10"/>
        <color theme="1"/>
        <rFont val="Arial"/>
        <family val="2"/>
      </rPr>
      <t xml:space="preserve">(Logic Change) </t>
    </r>
    <r>
      <rPr>
        <sz val="10"/>
        <color theme="1"/>
        <rFont val="Arial"/>
        <family val="2"/>
      </rPr>
      <t>Now that the writing item is worth 12 points instead of 8, the Writing item score will not display in the ELA Item Response string (Pos. 333-812); instead a dash will be passed and the total score will be located in the Total Score for Writing field. This matches LEAP.</t>
    </r>
  </si>
  <si>
    <r>
      <rPr>
        <b/>
        <sz val="10"/>
        <color theme="1"/>
        <rFont val="Arial"/>
        <family val="2"/>
      </rPr>
      <t>Spring 2014</t>
    </r>
    <r>
      <rPr>
        <sz val="10"/>
        <color theme="1"/>
        <rFont val="Arial"/>
        <family val="2"/>
      </rPr>
      <t xml:space="preserve"> </t>
    </r>
    <r>
      <rPr>
        <b/>
        <sz val="10"/>
        <color theme="1"/>
        <rFont val="Arial"/>
        <family val="2"/>
      </rPr>
      <t xml:space="preserve">(Logic Change) </t>
    </r>
    <r>
      <rPr>
        <sz val="10"/>
        <color theme="1"/>
        <rFont val="Arial"/>
        <family val="2"/>
      </rPr>
      <t>Updated the following note within the Description/Comments column to replace "field test" with "external anchor" items for field position 1503-1507, Raw Score Total - ELA, "</t>
    </r>
    <r>
      <rPr>
        <strike/>
        <sz val="10"/>
        <color theme="1"/>
        <rFont val="Arial"/>
        <family val="2"/>
      </rPr>
      <t>Field Test</t>
    </r>
    <r>
      <rPr>
        <sz val="10"/>
        <color theme="1"/>
        <rFont val="Arial"/>
        <family val="2"/>
      </rPr>
      <t xml:space="preserve"> External Anchor Items are not included when determining the Raw Score Total - ELA."</t>
    </r>
  </si>
  <si>
    <r>
      <rPr>
        <b/>
        <sz val="10"/>
        <color theme="1"/>
        <rFont val="Arial"/>
        <family val="2"/>
      </rPr>
      <t xml:space="preserve">Spring 2014 (Logic Change) </t>
    </r>
    <r>
      <rPr>
        <sz val="10"/>
        <color theme="1"/>
        <rFont val="Arial"/>
        <family val="2"/>
      </rPr>
      <t xml:space="preserve">The note "Value is set to zero (000.0) on the Equating file for PS if the subject's handscoring is incomplete" was removed from the Raw Score Total - &lt;Subject&gt; fields in positions 1503-1506, 1670-1674, 1750-1754, and 1837-1841. We will no longer set raw scores to "000.0" when handscoring is not complete instead PS will use the new Handscoring Complete flag fields by subject  (pos. 2065-2068) to only include those with the flag set to "Y" when equating. </t>
    </r>
  </si>
  <si>
    <r>
      <t xml:space="preserve">Spring 2014 (Logic change) </t>
    </r>
    <r>
      <rPr>
        <sz val="10"/>
        <color theme="1"/>
        <rFont val="Arial"/>
        <family val="2"/>
      </rPr>
      <t>Renamed "Standard 2: Write competently" to "Test Session: Language" in pos. 1527-1530 as the ELA  Content Standards are being replaced with Test Sessions.  (as of 3/3 Language has been changed to Research to Build Knowledge)</t>
    </r>
  </si>
  <si>
    <r>
      <t xml:space="preserve">Spring 2014 (Logic change) </t>
    </r>
    <r>
      <rPr>
        <sz val="10"/>
        <color theme="1"/>
        <rFont val="Arial"/>
        <family val="2"/>
      </rPr>
      <t>Renamed "Standard 3: Use conventions of language" to "Test Session: Reading and Responding" in pos. 1531-1534 as the ELA  Content Standards are being replaced with Test Sessions.  (as of 3/3 Reading and Responding has been changed to Writing)</t>
    </r>
  </si>
  <si>
    <r>
      <rPr>
        <b/>
        <sz val="10"/>
        <color theme="1"/>
        <rFont val="Arial"/>
        <family val="2"/>
      </rPr>
      <t>Spring 2014</t>
    </r>
    <r>
      <rPr>
        <sz val="10"/>
        <color theme="1"/>
        <rFont val="Arial"/>
        <family val="2"/>
      </rPr>
      <t xml:space="preserve"> </t>
    </r>
    <r>
      <rPr>
        <b/>
        <sz val="10"/>
        <color theme="1"/>
        <rFont val="Arial"/>
        <family val="2"/>
      </rPr>
      <t xml:space="preserve">(Logic change) </t>
    </r>
    <r>
      <rPr>
        <sz val="10"/>
        <color theme="1"/>
        <rFont val="Arial"/>
        <family val="2"/>
      </rPr>
      <t>Renamed "Standard 1: Read, comprehend, and respond" to "Test Session: Writing" in pos. 1523-1526 as the ELA Content Standards are being replaced with Test Sessions.    (as of 3/3 Writing has been changed to Reading and Responding)</t>
    </r>
  </si>
  <si>
    <r>
      <t xml:space="preserve">Spring 2014 (Logic change) </t>
    </r>
    <r>
      <rPr>
        <sz val="10"/>
        <color theme="1"/>
        <rFont val="Arial"/>
        <family val="2"/>
      </rPr>
      <t>Renamed "Standard 4: Not assessed" to "Test Session: Research to Build Knowledge" in pos. 1535-1538 as the ELA  Content Standards are being replaced with Test Sessions.  (as of 3/3 Research to Build Knowledge has  been changed to Language)</t>
    </r>
  </si>
  <si>
    <r>
      <t xml:space="preserve">Spring 2014 (Logic change) </t>
    </r>
    <r>
      <rPr>
        <sz val="10"/>
        <color theme="1"/>
        <rFont val="Arial"/>
        <family val="2"/>
      </rPr>
      <t>ELA Content Standards 5, 6, and 7 in pos. 1539-1542, 1543-1546, and 1547-1550 were changed to FILLER as the ELA Content Standards are being replaced with Test Sessions and there are only 4 Test Sessions. The FILLER length in pos. 1551-1578 was updated to "40" and its Starting Pos. updated to "1539".</t>
    </r>
  </si>
  <si>
    <r>
      <rPr>
        <b/>
        <sz val="10"/>
        <color theme="1"/>
        <rFont val="Arial"/>
        <family val="2"/>
      </rPr>
      <t>Spring 2014</t>
    </r>
    <r>
      <rPr>
        <sz val="10"/>
        <color theme="1"/>
        <rFont val="Arial"/>
        <family val="2"/>
      </rPr>
      <t xml:space="preserve"> </t>
    </r>
    <r>
      <rPr>
        <b/>
        <sz val="10"/>
        <color theme="1"/>
        <rFont val="Arial"/>
        <family val="2"/>
      </rPr>
      <t xml:space="preserve">(Logic change) </t>
    </r>
    <r>
      <rPr>
        <sz val="10"/>
        <color theme="1"/>
        <rFont val="Arial"/>
        <family val="2"/>
      </rPr>
      <t>Writing Dimensions 1 and 2 in positions 1579-1582 and 1583-1586 were moved to positions 1563-1566 and 1567-1570 to accommodate adding Dimensions 3-6.</t>
    </r>
  </si>
  <si>
    <r>
      <rPr>
        <b/>
        <sz val="10"/>
        <color theme="1"/>
        <rFont val="Arial"/>
        <family val="2"/>
      </rPr>
      <t>Spring 2014</t>
    </r>
    <r>
      <rPr>
        <sz val="10"/>
        <color theme="1"/>
        <rFont val="Arial"/>
        <family val="2"/>
      </rPr>
      <t xml:space="preserve"> </t>
    </r>
    <r>
      <rPr>
        <b/>
        <sz val="10"/>
        <color theme="1"/>
        <rFont val="Arial"/>
        <family val="2"/>
      </rPr>
      <t xml:space="preserve">(Logic change) </t>
    </r>
    <r>
      <rPr>
        <sz val="10"/>
        <color theme="1"/>
        <rFont val="Arial"/>
        <family val="2"/>
      </rPr>
      <t>Added "Dimension 3: Sentence formation in Pos. 1571-1574. Previously FILLER.</t>
    </r>
  </si>
  <si>
    <r>
      <rPr>
        <b/>
        <sz val="10"/>
        <color theme="1"/>
        <rFont val="Arial"/>
        <family val="2"/>
      </rPr>
      <t>Spring 2014 (Logic change)</t>
    </r>
    <r>
      <rPr>
        <sz val="10"/>
        <color theme="1"/>
        <rFont val="Arial"/>
        <family val="2"/>
      </rPr>
      <t xml:space="preserve"> Added "Dimension 4: Usage" in Pos. 1575-1578. Previously FILLER.</t>
    </r>
  </si>
  <si>
    <r>
      <rPr>
        <b/>
        <sz val="10"/>
        <color theme="1"/>
        <rFont val="Arial"/>
        <family val="2"/>
      </rPr>
      <t xml:space="preserve">Spring 2014 (Logic change) </t>
    </r>
    <r>
      <rPr>
        <sz val="10"/>
        <color theme="1"/>
        <rFont val="Arial"/>
        <family val="2"/>
      </rPr>
      <t>Added "Dimension 5: Mechanics" in Pos. 1579-1582. Previously Dimension 1.</t>
    </r>
  </si>
  <si>
    <r>
      <rPr>
        <b/>
        <sz val="10"/>
        <color theme="1"/>
        <rFont val="Arial"/>
        <family val="2"/>
      </rPr>
      <t>Spring 2014</t>
    </r>
    <r>
      <rPr>
        <sz val="10"/>
        <color theme="1"/>
        <rFont val="Arial"/>
        <family val="2"/>
      </rPr>
      <t xml:space="preserve"> </t>
    </r>
    <r>
      <rPr>
        <b/>
        <sz val="10"/>
        <color theme="1"/>
        <rFont val="Arial"/>
        <family val="2"/>
      </rPr>
      <t xml:space="preserve">(Logic change) </t>
    </r>
    <r>
      <rPr>
        <sz val="10"/>
        <color theme="1"/>
        <rFont val="Arial"/>
        <family val="2"/>
      </rPr>
      <t>Added "Dimension 6: Spelling" in Pos. 1583-1586. Previously Dimension 2.</t>
    </r>
  </si>
  <si>
    <r>
      <rPr>
        <b/>
        <sz val="10"/>
        <rFont val="Arial"/>
        <family val="2"/>
      </rPr>
      <t xml:space="preserve">Spring 2014  </t>
    </r>
    <r>
      <rPr>
        <sz val="10"/>
        <rFont val="Arial"/>
        <family val="2"/>
      </rPr>
      <t>Clarified the rules for when SEM, Upper and Lower Bound Scaled Score  for ELA, MTH, SCI, SOC would be blank.  The rule should reflect that voids will also cause these SEM values to be blank.  The original text stating that SEM, Upper and Lower Bound scores are "blank if raw score = blank" is not totally accurate as a void would make the raw score be "0" not blank, and the rule would not hold true.  The rule should cover both situations and state that SEM, Upper and Lower Bound scores  are found in the Raw to Scale Score tables and they will be blank if Test Taken = N (causing blank raw score) or Summarized Void=Y.  This is consistent with how LEAP covers SEM.   (Ref.1511-1519 -ELA, 1673-1678 MTH, 1761-1766 SCI, 1848-1853 SOC)</t>
    </r>
  </si>
  <si>
    <r>
      <t xml:space="preserve">First character ("P" or "L"), followed by the last 8 digits of the number.
Refer to the </t>
    </r>
    <r>
      <rPr>
        <b/>
        <u/>
        <sz val="10"/>
        <rFont val="Arial"/>
        <family val="2"/>
      </rPr>
      <t>Match-back and iLDESTD Record Creation</t>
    </r>
    <r>
      <rPr>
        <sz val="10"/>
        <rFont val="Arial"/>
        <family val="2"/>
      </rPr>
      <t xml:space="preserve"> section of the Processing Rules - </t>
    </r>
    <r>
      <rPr>
        <sz val="10"/>
        <rFont val="Arial"/>
        <family val="2"/>
      </rPr>
      <t>Scoring document for more information on how this field is populated.</t>
    </r>
  </si>
  <si>
    <r>
      <t xml:space="preserve">District and School Site Code where the student is enrolled and where the student is reported to.  
Refer to the </t>
    </r>
    <r>
      <rPr>
        <b/>
        <u/>
        <sz val="10"/>
        <rFont val="Arial"/>
        <family val="2"/>
      </rPr>
      <t>Capturing Site Codes</t>
    </r>
    <r>
      <rPr>
        <sz val="10"/>
        <rFont val="Arial"/>
        <family val="2"/>
      </rPr>
      <t xml:space="preserve"> section of the Processing Rules - </t>
    </r>
    <r>
      <rPr>
        <sz val="10"/>
        <rFont val="Arial"/>
        <family val="2"/>
      </rPr>
      <t>Scoring document for logic to determine the Reporting Site-Code value.</t>
    </r>
  </si>
  <si>
    <t>01-12
--
99</t>
  </si>
  <si>
    <r>
      <t xml:space="preserve">Month, Day, Year of student's birth.
"*" and " " values are changed to "-".
Refer to the </t>
    </r>
    <r>
      <rPr>
        <b/>
        <u/>
        <sz val="10"/>
        <rFont val="Arial"/>
        <family val="2"/>
      </rPr>
      <t>Rules to Determine Demographic Values</t>
    </r>
    <r>
      <rPr>
        <sz val="10"/>
        <rFont val="Arial"/>
        <family val="2"/>
      </rPr>
      <t xml:space="preserve"> section of the Processing Rules - Scoring document for logic to determine these values based on values from the LAP file and the answer document.
"99" is only valid after Online Corrections System (OCS) has been applied.</t>
    </r>
  </si>
  <si>
    <t>00-39 (0-9 or - in any position)
99</t>
  </si>
  <si>
    <r>
      <t xml:space="preserve">Student's gender.
Refer to the </t>
    </r>
    <r>
      <rPr>
        <b/>
        <u/>
        <sz val="10"/>
        <rFont val="Arial"/>
        <family val="2"/>
      </rPr>
      <t xml:space="preserve">Rules to Determine Demographic Values </t>
    </r>
    <r>
      <rPr>
        <sz val="10"/>
        <rFont val="Arial"/>
        <family val="2"/>
      </rPr>
      <t xml:space="preserve">section of the Processing Rules - </t>
    </r>
    <r>
      <rPr>
        <sz val="10"/>
        <rFont val="Arial"/>
        <family val="2"/>
      </rPr>
      <t>Scoring document for logic to determine this value based on values from the LAP file and the answer document.</t>
    </r>
  </si>
  <si>
    <r>
      <t xml:space="preserve">Student's summarized ethnicity/race.
Refer to the </t>
    </r>
    <r>
      <rPr>
        <b/>
        <u/>
        <sz val="10"/>
        <rFont val="Arial"/>
        <family val="2"/>
      </rPr>
      <t>Rules to Determine Demographic Values</t>
    </r>
    <r>
      <rPr>
        <b/>
        <sz val="10"/>
        <rFont val="Arial"/>
        <family val="2"/>
      </rPr>
      <t xml:space="preserve"> </t>
    </r>
    <r>
      <rPr>
        <sz val="10"/>
        <rFont val="Arial"/>
        <family val="2"/>
      </rPr>
      <t xml:space="preserve">section of the Processing Rules - </t>
    </r>
    <r>
      <rPr>
        <sz val="10"/>
        <rFont val="Arial"/>
        <family val="2"/>
      </rPr>
      <t>Scoring document for logic to determine this value based on values from the LAP file and the answer document.</t>
    </r>
  </si>
  <si>
    <r>
      <t xml:space="preserve">Student's summarized lunch status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</si>
  <si>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t xml:space="preserve">Refer to the </t>
    </r>
    <r>
      <rPr>
        <b/>
        <u/>
        <sz val="10"/>
        <rFont val="Arial"/>
        <family val="2"/>
      </rPr>
      <t>Rules to Determine Demographic Values</t>
    </r>
    <r>
      <rPr>
        <sz val="10"/>
        <rFont val="Arial"/>
        <family val="2"/>
      </rPr>
      <t xml:space="preserve"> section of the Processing Rules - </t>
    </r>
    <r>
      <rPr>
        <sz val="10"/>
        <rFont val="Arial"/>
        <family val="2"/>
      </rPr>
      <t>Scoring document for logic to determine this value based on the values from the LAP file and the answer document.</t>
    </r>
  </si>
  <si>
    <r>
      <t xml:space="preserve">As bubbled on the answer document.
Refer to the Accountability Codes for Testing document for valid values. 
Refer to the </t>
    </r>
    <r>
      <rPr>
        <b/>
        <u/>
        <sz val="10"/>
        <rFont val="Arial"/>
        <family val="2"/>
      </rPr>
      <t>Bubbled and Updated Accountability Codes</t>
    </r>
    <r>
      <rPr>
        <sz val="10"/>
        <rFont val="Arial"/>
        <family val="2"/>
      </rPr>
      <t xml:space="preserve"> section of the Processing Rules - </t>
    </r>
    <r>
      <rPr>
        <sz val="10"/>
        <rFont val="Arial"/>
        <family val="2"/>
      </rPr>
      <t>Scoring document for the logic for setting these values (pre and post OCS) and for the location of the Accountability Codes for Testing document.</t>
    </r>
  </si>
  <si>
    <r>
      <t xml:space="preserve">This is a compilation of the codes from the LAP file and the bubbled categories. Refer to the </t>
    </r>
    <r>
      <rPr>
        <b/>
        <u/>
        <sz val="10"/>
        <rFont val="Arial"/>
        <family val="2"/>
      </rPr>
      <t>Special Education Exceptionality Categories and Codes</t>
    </r>
    <r>
      <rPr>
        <sz val="10"/>
        <rFont val="Arial"/>
        <family val="2"/>
      </rPr>
      <t xml:space="preserve"> section of the Processing Rules - Scoring document for the list of codes applicable to iLEAP.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</si>
  <si>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t xml:space="preserve">As flagged on the LAP file.
Blank for a hand-coded document that could not be matched back to the LAP file, or if the value was blank on the LAP file.
Refer to the </t>
    </r>
    <r>
      <rPr>
        <b/>
        <u/>
        <sz val="10"/>
        <rFont val="Arial"/>
        <family val="2"/>
      </rPr>
      <t>Special Education Exceptionality Categories and Codes</t>
    </r>
    <r>
      <rPr>
        <sz val="10"/>
        <rFont val="Arial"/>
        <family val="2"/>
      </rPr>
      <t xml:space="preserve"> section of the Processing Rules - </t>
    </r>
    <r>
      <rPr>
        <sz val="10"/>
        <rFont val="Arial"/>
        <family val="2"/>
      </rPr>
      <t>Scoring document for the list of primary exceptionalities applicable to iLEAP.</t>
    </r>
  </si>
  <si>
    <r>
      <t xml:space="preserve">As flagged on the LAP file.
Blank for a hand-coded document that could not be matched back to the LAP file, or if the value was blank on the LAP file.
Refer to the </t>
    </r>
    <r>
      <rPr>
        <b/>
        <u/>
        <sz val="10"/>
        <rFont val="Arial"/>
        <family val="2"/>
      </rPr>
      <t>Special Education Exceptionality Categories and Codes</t>
    </r>
    <r>
      <rPr>
        <sz val="10"/>
        <rFont val="Arial"/>
        <family val="2"/>
      </rPr>
      <t xml:space="preserve"> section of the Processing Rules - </t>
    </r>
    <r>
      <rPr>
        <sz val="10"/>
        <rFont val="Arial"/>
        <family val="2"/>
      </rPr>
      <t>Scoring document for the list of codes applicable to iLEAP.</t>
    </r>
  </si>
  <si>
    <r>
      <t xml:space="preserve">Education Classification flag for all subjects.
</t>
    </r>
    <r>
      <rPr>
        <sz val="10"/>
        <color indexed="10"/>
        <rFont val="Arial"/>
        <family val="2"/>
      </rPr>
      <t xml:space="preserve">
</t>
    </r>
    <r>
      <rPr>
        <sz val="10"/>
        <rFont val="Arial"/>
        <family val="2"/>
      </rPr>
      <t xml:space="preserve">Refer to the </t>
    </r>
    <r>
      <rPr>
        <b/>
        <u/>
        <sz val="10"/>
        <rFont val="Arial"/>
        <family val="2"/>
      </rPr>
      <t>Rules to Determine Demographic Values</t>
    </r>
    <r>
      <rPr>
        <sz val="10"/>
        <rFont val="Arial"/>
        <family val="2"/>
      </rPr>
      <t xml:space="preserve"> section of the Processing Rules - </t>
    </r>
    <r>
      <rPr>
        <sz val="10"/>
        <rFont val="Arial"/>
        <family val="2"/>
      </rPr>
      <t>Scoring document for logic to determine this value based on values from the LAP file and the answer document.</t>
    </r>
  </si>
  <si>
    <r>
      <t xml:space="preserve">LEP for all subjects.
Refer to the </t>
    </r>
    <r>
      <rPr>
        <b/>
        <u/>
        <sz val="10"/>
        <rFont val="Arial"/>
        <family val="2"/>
      </rPr>
      <t>Rules to Determine Demographic Values</t>
    </r>
    <r>
      <rPr>
        <sz val="10"/>
        <rFont val="Arial"/>
        <family val="2"/>
      </rPr>
      <t xml:space="preserve"> section of the Processing Rules - </t>
    </r>
    <r>
      <rPr>
        <sz val="10"/>
        <rFont val="Arial"/>
        <family val="2"/>
      </rPr>
      <t>Scoring document for logic to determine this value based on values from the LAP file and the answer document.</t>
    </r>
  </si>
  <si>
    <r>
      <t>Section 504 for all subjects.
Refer to the</t>
    </r>
    <r>
      <rPr>
        <b/>
        <sz val="10"/>
        <rFont val="Arial"/>
        <family val="2"/>
      </rPr>
      <t xml:space="preserve"> </t>
    </r>
    <r>
      <rPr>
        <b/>
        <u/>
        <sz val="10"/>
        <rFont val="Arial"/>
        <family val="2"/>
      </rPr>
      <t>Rules to Determine Demographic Values</t>
    </r>
    <r>
      <rPr>
        <sz val="10"/>
        <rFont val="Arial"/>
        <family val="2"/>
      </rPr>
      <t xml:space="preserve"> section of the Processing Rules - </t>
    </r>
    <r>
      <rPr>
        <sz val="10"/>
        <rFont val="Arial"/>
        <family val="2"/>
      </rPr>
      <t>Scoring document for logic to determine this value based on values from the LAP file and the answer document.</t>
    </r>
  </si>
  <si>
    <r>
      <t xml:space="preserve">McKinney-Vento Act (Homeless) for all subjects.
Refer to the </t>
    </r>
    <r>
      <rPr>
        <b/>
        <u/>
        <sz val="10"/>
        <rFont val="Arial"/>
        <family val="2"/>
      </rPr>
      <t>Rules to Determine Demographic Values</t>
    </r>
    <r>
      <rPr>
        <sz val="10"/>
        <rFont val="Arial"/>
        <family val="2"/>
      </rPr>
      <t xml:space="preserve"> section of the Processing Rules - </t>
    </r>
    <r>
      <rPr>
        <sz val="10"/>
        <rFont val="Arial"/>
        <family val="2"/>
      </rPr>
      <t>Scoring document for logic to determine this value based on values from the LAP file and the answer document.</t>
    </r>
  </si>
  <si>
    <r>
      <t>Migrant Status for all subjects.
Refer to the</t>
    </r>
    <r>
      <rPr>
        <b/>
        <sz val="10"/>
        <rFont val="Arial"/>
        <family val="2"/>
      </rPr>
      <t xml:space="preserve"> </t>
    </r>
    <r>
      <rPr>
        <b/>
        <u/>
        <sz val="10"/>
        <rFont val="Arial"/>
        <family val="2"/>
      </rPr>
      <t>Rules to Determine Demographic Values</t>
    </r>
    <r>
      <rPr>
        <sz val="10"/>
        <rFont val="Arial"/>
        <family val="2"/>
      </rPr>
      <t xml:space="preserve"> section of the Processing Rules - </t>
    </r>
    <r>
      <rPr>
        <sz val="10"/>
        <rFont val="Arial"/>
        <family val="2"/>
      </rPr>
      <t>Scoring document for logic to determine this value based on values from the LAP file and the answer document.</t>
    </r>
  </si>
  <si>
    <t>##
Blank = document not returned</t>
  </si>
  <si>
    <r>
      <t xml:space="preserve">Value matches the current year test form, as taken from the Test Administration Plan document or DOTS.  Refer to the </t>
    </r>
    <r>
      <rPr>
        <b/>
        <u/>
        <sz val="10"/>
        <rFont val="Arial"/>
        <family val="2"/>
      </rPr>
      <t>Sources of Test Form Items</t>
    </r>
    <r>
      <rPr>
        <sz val="10"/>
        <rFont val="Arial"/>
        <family val="2"/>
      </rPr>
      <t xml:space="preserve"> section within the Processing Rules - Scoring document for the possible values  for each grade and subject.</t>
    </r>
  </si>
  <si>
    <r>
      <t xml:space="preserve">Total raw score for Science </t>
    </r>
    <r>
      <rPr>
        <sz val="10"/>
        <rFont val="Arial"/>
        <family val="2"/>
      </rPr>
      <t xml:space="preserve">items.
Refer to the </t>
    </r>
    <r>
      <rPr>
        <b/>
        <u/>
        <sz val="10"/>
        <rFont val="Arial"/>
        <family val="2"/>
      </rPr>
      <t>Resulting iLDESTD Values by Subject</t>
    </r>
    <r>
      <rPr>
        <sz val="10"/>
        <rFont val="Arial"/>
        <family val="2"/>
      </rPr>
      <t xml:space="preserve"> section within the Processing Rules - </t>
    </r>
    <r>
      <rPr>
        <sz val="10"/>
        <rFont val="Arial"/>
        <family val="2"/>
      </rPr>
      <t>Scoring document for the logic used to set the Raw Score values.</t>
    </r>
    <r>
      <rPr>
        <strike/>
        <sz val="10"/>
        <color rgb="FFFF0000"/>
        <rFont val="Arial"/>
        <family val="2"/>
      </rPr>
      <t/>
    </r>
  </si>
  <si>
    <t>Blank when subtest is not assessed (zero points possible), or the Raw Score Total for Social Studies is blank.
The Raw Score for Subtest: 2 Task Item contains the score for the MC and CR items contained within the Task Item.  Refer to the DOTS for the number of MC Items and the maximum points possible per CR item contained in the Task Item as it varies by grade.</t>
  </si>
  <si>
    <r>
      <t xml:space="preserve">Assessment Achievement level for Social Studies.
Refer to the </t>
    </r>
    <r>
      <rPr>
        <b/>
        <u/>
        <sz val="10"/>
        <rFont val="Arial"/>
        <family val="2"/>
      </rPr>
      <t>Resulting iLDESTD Values by Subject</t>
    </r>
    <r>
      <rPr>
        <sz val="10"/>
        <rFont val="Arial"/>
        <family val="2"/>
      </rPr>
      <t xml:space="preserve"> section within the Processing Rules - Scoring document for the logic used to set the Assessment Achievement Level values.</t>
    </r>
  </si>
  <si>
    <r>
      <t xml:space="preserve">Scaled Score for Science 
Refer to the </t>
    </r>
    <r>
      <rPr>
        <b/>
        <u/>
        <sz val="10"/>
        <rFont val="Arial"/>
        <family val="2"/>
      </rPr>
      <t>Resulting iLDESTD Values by Subject</t>
    </r>
    <r>
      <rPr>
        <sz val="10"/>
        <rFont val="Arial"/>
        <family val="2"/>
      </rPr>
      <t xml:space="preserve"> section within the Processing Rules - Scoring document for the logic used to set the Scaled Score Score values.</t>
    </r>
  </si>
  <si>
    <t>From the Raw to Scale tables.
Blank if the student's Summarized Void Flag - Science = "Y", or if the Test Taken Flag - Science = "N".</t>
  </si>
  <si>
    <r>
      <t xml:space="preserve">Assessment Achievement level for Science.
Refer to the </t>
    </r>
    <r>
      <rPr>
        <b/>
        <u/>
        <sz val="10"/>
        <rFont val="Arial"/>
        <family val="2"/>
      </rPr>
      <t>Resulting iLDESTD Values by Subject</t>
    </r>
    <r>
      <rPr>
        <sz val="10"/>
        <rFont val="Arial"/>
        <family val="2"/>
      </rPr>
      <t xml:space="preserve"> section within the Processing Rules - Scoring document for the logic used to set the Assessment Achievement Level values.</t>
    </r>
  </si>
  <si>
    <r>
      <t xml:space="preserve">Total raw score for Social Studies items.
Refer to the </t>
    </r>
    <r>
      <rPr>
        <b/>
        <u/>
        <sz val="10"/>
        <rFont val="Arial"/>
        <family val="2"/>
      </rPr>
      <t>Resulting iLDESTD Values by Subject</t>
    </r>
    <r>
      <rPr>
        <sz val="10"/>
        <rFont val="Arial"/>
        <family val="2"/>
      </rPr>
      <t xml:space="preserve"> section within the Processing Rules - Scoring document for the logic used to set the Raw Score values.</t>
    </r>
  </si>
  <si>
    <r>
      <t xml:space="preserve">Scaled Score for Social Studies 
Refer to the </t>
    </r>
    <r>
      <rPr>
        <b/>
        <u/>
        <sz val="10"/>
        <rFont val="Arial"/>
        <family val="2"/>
      </rPr>
      <t>Resulting iLDESTD Values by Subject</t>
    </r>
    <r>
      <rPr>
        <sz val="10"/>
        <rFont val="Arial"/>
        <family val="2"/>
      </rPr>
      <t xml:space="preserve"> section within the Processing Rules - Scoring document for the logic used to set the Scaled Score Score values.</t>
    </r>
  </si>
  <si>
    <t>From the Raw to Scale tables.
Blank if the student's Summarized Void Flag - Social Studies = "Y", or if the Test Taken Flag - Social Studies = "N".</t>
  </si>
  <si>
    <t>Total points earned for each Social Studies subtest.
Blank when subtest is not assessed (zero points possible), or the Raw Score Total for Social Studies is blank.
The Raw Score for Subtest: 2 Task Item contains the score for the MC and CR items contained within the Task Item.  Refer to the DOTS for the number of MC Items and the maximum points possible per CR item contained in the Task Item as it varies by grade.</t>
  </si>
  <si>
    <r>
      <t xml:space="preserve">Include student in summarization for this Subject.
The Include in N-Counts Flag will be set to "Y", if the student meets the criteria within the </t>
    </r>
    <r>
      <rPr>
        <b/>
        <u/>
        <sz val="10"/>
        <rFont val="Arial"/>
        <family val="2"/>
      </rPr>
      <t>Include in N-Counts</t>
    </r>
    <r>
      <rPr>
        <sz val="10"/>
        <rFont val="Arial"/>
        <family val="2"/>
      </rPr>
      <t xml:space="preserve"> section in the Processing Rules - </t>
    </r>
    <r>
      <rPr>
        <sz val="10"/>
        <rFont val="Arial"/>
        <family val="2"/>
      </rPr>
      <t>Scoring document.
The Include in N-Counts Flag will be set to "N" if the subject was the secondary record involved in a score merge.</t>
    </r>
  </si>
  <si>
    <r>
      <t xml:space="preserve">Student attempted this Subject.
Refer to the </t>
    </r>
    <r>
      <rPr>
        <b/>
        <u/>
        <sz val="10"/>
        <rFont val="Arial"/>
        <family val="2"/>
      </rPr>
      <t>Test Taken</t>
    </r>
    <r>
      <rPr>
        <sz val="10"/>
        <rFont val="Arial"/>
        <family val="2"/>
      </rPr>
      <t xml:space="preserve"> section in the Processing Rules - </t>
    </r>
    <r>
      <rPr>
        <sz val="10"/>
        <rFont val="Arial"/>
        <family val="2"/>
      </rPr>
      <t>Scoring document for rules on populating these values.
The Test Taken Flag will be set to "N" if the subject was the secondary record involved in a score merge.</t>
    </r>
  </si>
  <si>
    <r>
      <t xml:space="preserve">Refer to the Accountability Codes for Testing document for valid values. 
Refer to the </t>
    </r>
    <r>
      <rPr>
        <b/>
        <u/>
        <sz val="10"/>
        <rFont val="Arial"/>
        <family val="2"/>
      </rPr>
      <t>Bubbled and Updated Accountability Codes</t>
    </r>
    <r>
      <rPr>
        <sz val="10"/>
        <rFont val="Arial"/>
        <family val="2"/>
      </rPr>
      <t xml:space="preserve"> section of the Processing Rules - Scoring document for the logic for setting these values (pre and post OCS).</t>
    </r>
  </si>
  <si>
    <r>
      <t xml:space="preserve">Accountability Achievement level for the given subject
Refer to the </t>
    </r>
    <r>
      <rPr>
        <b/>
        <u/>
        <sz val="10"/>
        <rFont val="Arial"/>
        <family val="2"/>
      </rPr>
      <t xml:space="preserve">Resulting iLDESTD Values by Subject </t>
    </r>
    <r>
      <rPr>
        <sz val="10"/>
        <rFont val="Arial"/>
        <family val="2"/>
      </rPr>
      <t>table in the Processing Rules -</t>
    </r>
    <r>
      <rPr>
        <sz val="10"/>
        <rFont val="Arial"/>
        <family val="2"/>
      </rPr>
      <t xml:space="preserve"> Scoring document for the logic to set the Accountability Achievement Level values.</t>
    </r>
  </si>
  <si>
    <t xml:space="preserve">Project: 2015 iLEAP Spring </t>
  </si>
  <si>
    <r>
      <t xml:space="preserve">For "Item Responses" strings, each item uses three characters of space.
If the item is </t>
    </r>
    <r>
      <rPr>
        <b/>
        <sz val="10"/>
        <rFont val="Arial"/>
        <family val="2"/>
      </rPr>
      <t>multiple choice</t>
    </r>
    <r>
      <rPr>
        <sz val="10"/>
        <rFont val="Arial"/>
        <family val="2"/>
      </rPr>
      <t xml:space="preserve">, the first character of the three is populated with the student's response with the remaining two positions as filler.  
1-4
A
B
C
D
- = No response (document returned)
* = Multiple Response
Blank = document not returned or subject was updated for 
                score merge
If the item is </t>
    </r>
    <r>
      <rPr>
        <b/>
        <sz val="10"/>
        <rFont val="Arial"/>
        <family val="2"/>
      </rPr>
      <t>constructed response</t>
    </r>
    <r>
      <rPr>
        <sz val="10"/>
        <rFont val="Arial"/>
        <family val="2"/>
      </rPr>
      <t>, all three characters are used and the student's score for the constructed response item is represented as a decimal to the tenths:
0.0, 1.0, 2.0, 3.0, 4.0
B = subject within the document was sent to 
        Performance  Assessment group and there 
       was no attempt for the CR item
- = No response (document returned and was not
      sent to Performance Assessment group)
Blank = document not returned, subject not sent to 
                 Performance Assessment Group, or subject was 
                  updated for score merge</t>
    </r>
  </si>
  <si>
    <r>
      <rPr>
        <strike/>
        <sz val="10"/>
        <rFont val="Arial"/>
        <family val="2"/>
      </rPr>
      <t xml:space="preserve">000000000-999999999 </t>
    </r>
    <r>
      <rPr>
        <sz val="10"/>
        <rFont val="Arial"/>
        <family val="2"/>
      </rPr>
      <t xml:space="preserve">
</t>
    </r>
    <r>
      <rPr>
        <strike/>
        <sz val="10"/>
        <rFont val="Arial"/>
        <family val="2"/>
      </rPr>
      <t>---------</t>
    </r>
    <r>
      <rPr>
        <sz val="10"/>
        <rFont val="Arial"/>
        <family val="2"/>
      </rPr>
      <t xml:space="preserve">
</t>
    </r>
    <r>
      <rPr>
        <sz val="10"/>
        <color rgb="FFFF0000"/>
        <rFont val="Arial"/>
        <family val="2"/>
      </rPr>
      <t>0-9, A-Z, or - in any position</t>
    </r>
  </si>
  <si>
    <r>
      <t xml:space="preserve">(Spring 2015) (Logic change) </t>
    </r>
    <r>
      <rPr>
        <sz val="10"/>
        <rFont val="Arial"/>
        <family val="2"/>
      </rPr>
      <t>Updated pos. 158 Bubbled Calculator Use (Math Test Only), to FILLER since this bubble doesn't exist on the answer document in 2015.</t>
    </r>
  </si>
  <si>
    <r>
      <t xml:space="preserve">(Spring 2015) (Logic change) </t>
    </r>
    <r>
      <rPr>
        <sz val="10"/>
        <color theme="1"/>
        <rFont val="Arial"/>
        <family val="2"/>
      </rPr>
      <t>Updated the possible values in pos. 117-125, State ID, to note that alpha characters are possible.</t>
    </r>
  </si>
  <si>
    <r>
      <rPr>
        <b/>
        <sz val="10"/>
        <color theme="1"/>
        <rFont val="Arial"/>
        <family val="2"/>
      </rPr>
      <t xml:space="preserve">(Spring 2015) (Logic change) </t>
    </r>
    <r>
      <rPr>
        <sz val="10"/>
        <color theme="1"/>
        <rFont val="Arial"/>
        <family val="2"/>
      </rPr>
      <t>Struck through the possible value of "Y" in pos. 2098,  School Roster - ELA/Math since "N" will be the only possible value in 2015.</t>
    </r>
  </si>
  <si>
    <r>
      <t>As flagged on the LAP file.
Blank for a hand-coded document that could not be matched back to the LAP file</t>
    </r>
    <r>
      <rPr>
        <sz val="10"/>
        <color rgb="FFFF0000"/>
        <rFont val="Arial"/>
        <family val="2"/>
      </rPr>
      <t>, or if the value is blank on the LAP file</t>
    </r>
    <r>
      <rPr>
        <sz val="10"/>
        <rFont val="Arial"/>
        <family val="2"/>
      </rPr>
      <t>.</t>
    </r>
  </si>
  <si>
    <r>
      <rPr>
        <b/>
        <sz val="10"/>
        <color theme="1"/>
        <rFont val="Arial"/>
        <family val="2"/>
      </rPr>
      <t xml:space="preserve">(Spring 2015) (Logic change) </t>
    </r>
    <r>
      <rPr>
        <sz val="10"/>
        <color theme="1"/>
        <rFont val="Arial"/>
        <family val="2"/>
      </rPr>
      <t>Updated the business rule in pos. 209, LAP Hispanic/Latino, to note that this field will be blank when the value on the LAP file is blank since blank was added as a possible value on the LAP file.</t>
    </r>
  </si>
  <si>
    <r>
      <t xml:space="preserve">Total correct Social Studies multiple choice items.
Blank when Raw Score Total for Social Studies is blank, </t>
    </r>
    <r>
      <rPr>
        <sz val="10"/>
        <color rgb="FFFF0000"/>
        <rFont val="Arial"/>
        <family val="2"/>
      </rPr>
      <t>or if Social Studies was updated because of a score merge</t>
    </r>
  </si>
  <si>
    <r>
      <t xml:space="preserve">Total correct Social Studies constructed response items.
Blank when Raw Score Total for Social Studies is blank, </t>
    </r>
    <r>
      <rPr>
        <sz val="10"/>
        <color rgb="FFFF0000"/>
        <rFont val="Arial"/>
        <family val="2"/>
      </rPr>
      <t>or if Social Studies was updated because of a score merge.</t>
    </r>
  </si>
  <si>
    <r>
      <t>Total correct Science multiple choice items.
Blank when Raw Score Total for Science is blank</t>
    </r>
    <r>
      <rPr>
        <sz val="10"/>
        <color rgb="FFFF0000"/>
        <rFont val="Arial"/>
        <family val="2"/>
      </rPr>
      <t>, or if Science is updated because of a score merge.</t>
    </r>
  </si>
  <si>
    <r>
      <t>Total correct Science constructed response items.
Blank when Raw Score Total for Science is blank</t>
    </r>
    <r>
      <rPr>
        <sz val="10"/>
        <color rgb="FFFF0000"/>
        <rFont val="Arial"/>
        <family val="2"/>
      </rPr>
      <t>, or if Science is updated because of a score merge.</t>
    </r>
  </si>
  <si>
    <r>
      <rPr>
        <b/>
        <sz val="10"/>
        <rFont val="Arial"/>
        <family val="2"/>
      </rPr>
      <t xml:space="preserve">Spring 2014 (Logic Change) </t>
    </r>
    <r>
      <rPr>
        <sz val="10"/>
        <rFont val="Arial"/>
        <family val="2"/>
      </rPr>
      <t xml:space="preserve"> Removed the "but will not be scored' from the ELA External Anchor note within the Item Response String in pos. 333-1497.  The External Anchor items will be scored in the response string, but these items will not be included in raw score totals.</t>
    </r>
  </si>
  <si>
    <t>Spring 2014 LDE Approved Changes</t>
  </si>
  <si>
    <r>
      <t xml:space="preserve">Y = Hispanic or Latino
N = Not Hispanic or Latino
</t>
    </r>
    <r>
      <rPr>
        <sz val="10"/>
        <color rgb="FFFF0000"/>
        <rFont val="Arial"/>
        <family val="2"/>
      </rPr>
      <t>Blank</t>
    </r>
  </si>
  <si>
    <r>
      <rPr>
        <strike/>
        <sz val="10"/>
        <color rgb="FFFF0000"/>
        <rFont val="Arial"/>
        <family val="2"/>
      </rPr>
      <t>External Anchor Items will be included in the Item Responses for ELA.</t>
    </r>
    <r>
      <rPr>
        <sz val="10"/>
        <rFont val="Arial"/>
        <family val="2"/>
      </rPr>
      <t xml:space="preserve">
"0.0" when the CR item was attempted and no points were received.
Refer to the </t>
    </r>
    <r>
      <rPr>
        <b/>
        <u/>
        <sz val="10"/>
        <rFont val="Arial"/>
        <family val="2"/>
      </rPr>
      <t xml:space="preserve">Automatic Points Given </t>
    </r>
    <r>
      <rPr>
        <sz val="10"/>
        <rFont val="Arial"/>
        <family val="2"/>
      </rPr>
      <t xml:space="preserve">section of the Processing Rules – Scoring document for more detail on possible values.
</t>
    </r>
    <r>
      <rPr>
        <strike/>
        <sz val="10"/>
        <color rgb="FFFF0000"/>
        <rFont val="Arial"/>
        <family val="2"/>
      </rPr>
      <t xml:space="preserve">
For English Language Arts, multiple choice and constructed response string, only 45 bytes used. Item 1 will always be a dash. The Writing score is located in the Total Score for Writing field.</t>
    </r>
    <r>
      <rPr>
        <sz val="10"/>
        <rFont val="Arial"/>
        <family val="2"/>
      </rPr>
      <t xml:space="preserve">
</t>
    </r>
    <r>
      <rPr>
        <strike/>
        <sz val="10"/>
        <color rgb="FFFF0000"/>
        <rFont val="Arial"/>
        <family val="2"/>
      </rPr>
      <t xml:space="preserve">For Mathematics, multiple choice and constructed response string, only 64 bytes used.
</t>
    </r>
    <r>
      <rPr>
        <sz val="10"/>
        <rFont val="Arial"/>
        <family val="2"/>
      </rPr>
      <t xml:space="preserve">
For Science, multiple choice and constructed response string, only 48 bytes used.
For Social Studies, multiple choice and constructed response string, only 64 bytes used.
When a subject is updated because of a score merge, the item response string is changed to blank.
</t>
    </r>
  </si>
  <si>
    <r>
      <t xml:space="preserve">Within each subject, indicates whether a student attempted any MC or CR type items on the test.
The MC / CR Taken flag will be set to "0" if the subject was the secondary record involved in a score merge.
</t>
    </r>
    <r>
      <rPr>
        <strike/>
        <sz val="10"/>
        <color rgb="FFFF0000"/>
        <rFont val="Arial"/>
        <family val="2"/>
      </rPr>
      <t xml:space="preserve">
External Anchor Items are not included when determining the MC / CR Taken flags for ELA.</t>
    </r>
  </si>
  <si>
    <r>
      <t xml:space="preserve">(Spring 2015) (Logic change) </t>
    </r>
    <r>
      <rPr>
        <sz val="10"/>
        <rFont val="Arial"/>
        <family val="2"/>
      </rPr>
      <t>Updated pos. 136-141, LAP Scholarship Site Code to be FILLER since this value is no longer populated on the LAP file. The starting pos. and length of FILLER in position 142-144 was updated to start in pos. 136 and have a length of 9.</t>
    </r>
  </si>
  <si>
    <r>
      <t xml:space="preserve">(Spring 2015) (Logic change) </t>
    </r>
    <r>
      <rPr>
        <sz val="10"/>
        <rFont val="Arial"/>
        <family val="2"/>
      </rPr>
      <t>The starting position and length of FILLER in position 1173-1177 was updated to have a starting pos. of 330 and a length of 848. The ELA and Math Item response fields (pos. 333-812 and 963-1172) were added to this field since they will not be tested in 2015. The FILLER fields in pos. 330-332, 813-962, and 1173-1177 were alcso combeined into this field.</t>
    </r>
  </si>
  <si>
    <r>
      <t xml:space="preserve">(Spring 2015) (Logic change) </t>
    </r>
    <r>
      <rPr>
        <sz val="10"/>
        <rFont val="Arial"/>
        <family val="2"/>
      </rPr>
      <t>The ELA and Math scoring fields were updated to FILLER since they will not be assessed in 2015. The starting position and length of FILLER in position 1745-1749 was updated to have a starting pos. of 1498 and a length of 252. The following fields were changed to FILLER and combined into one FILLER field.
Pos. 1498-1502, FILLER, Pos. 1503-1507 Raw Score Total - ELA, Pos. 1508-1510 Scaled Score Total - ELA, Pos. 1511-1513 SEM of ELA, Pos. 1514-1519, Upper and Lower bound scaled scores of ELA, Pos. 1520-1522, Assessment Achivement Level - ELA, Pos. 1523-1538, Test Session Raw  Scores, Pos. 1539-1562, FILLER, Pos. 1563-1586, Writing Dimension raw scores, Pos. 1587-1591, Total Score for Writing, Pos. 1592, Non Score Code for Writing, Pos. 1593-1618, FILLER, Pos. 1619-1625, Raw Scores for Item Types, Pos. 1660-1661, ELA Test Form, Pos. 1662-1666 Raw Score Total - Math, Pos. 1667-1669 Scaled Score Total - Math, Pos. 1670-1672 SEM of Math, Pos. 1673-1678, Upper and Lower bound scaled scores of Math, Pos. 1679-1681, Assessment Achivement Level - Math, Pos. 1682-1729, Domain Raw Scores, Pos. 1730, FILLER, Pos. 1731-1738, Raw Scores for Subtests, Pos. 1739-1742, FILLER, Pos. 143-1744, Math Test Form</t>
    </r>
  </si>
  <si>
    <r>
      <rPr>
        <b/>
        <sz val="10"/>
        <color theme="1"/>
        <rFont val="Arial"/>
        <family val="2"/>
      </rPr>
      <t xml:space="preserve">(Spring 2015) </t>
    </r>
    <r>
      <rPr>
        <sz val="10"/>
        <color theme="1"/>
        <rFont val="Arial"/>
        <family val="2"/>
      </rPr>
      <t>Clarified the business rules in pos. 1810-1816, raw scores for science item types, to note that these fields will be blank if science is updated because of a score merge. The data needed to calculate these fields is not available as part of the manual merge process.</t>
    </r>
  </si>
  <si>
    <r>
      <rPr>
        <b/>
        <sz val="10"/>
        <color theme="1"/>
        <rFont val="Arial"/>
        <family val="2"/>
      </rPr>
      <t xml:space="preserve">(Spring 2015) </t>
    </r>
    <r>
      <rPr>
        <sz val="10"/>
        <color theme="1"/>
        <rFont val="Arial"/>
        <family val="2"/>
      </rPr>
      <t>Clarified the business rules in pos. 1903-1909, raw scores for social studies item types, to note that these fields will be blank if social studies is updated because of a score merge. The data needed to calculate these fields is not available as part of the manual merge process.</t>
    </r>
  </si>
  <si>
    <r>
      <rPr>
        <b/>
        <sz val="10"/>
        <color theme="1"/>
        <rFont val="Arial"/>
        <family val="2"/>
      </rPr>
      <t xml:space="preserve">(Spring 2015) (Logic change) </t>
    </r>
    <r>
      <rPr>
        <sz val="10"/>
        <color theme="1"/>
        <rFont val="Arial"/>
        <family val="2"/>
      </rPr>
      <t>Updated pos. 2018-2019, MC / CR Taken - ELA and MC / CR Taken - Math to FILLER since these subjects are not assessed in 2015.</t>
    </r>
  </si>
  <si>
    <r>
      <rPr>
        <b/>
        <sz val="10"/>
        <color theme="1"/>
        <rFont val="Arial"/>
        <family val="2"/>
      </rPr>
      <t xml:space="preserve">(Spring 2015) (Logic change) </t>
    </r>
    <r>
      <rPr>
        <sz val="10"/>
        <color theme="1"/>
        <rFont val="Arial"/>
        <family val="2"/>
      </rPr>
      <t>Updated pos. 2034-2035, Summarized Void Flag - ELA and Summarized Void Flag - Math to FILLER since these subjects are not assessed in 2015.</t>
    </r>
  </si>
  <si>
    <r>
      <rPr>
        <b/>
        <sz val="10"/>
        <color theme="1"/>
        <rFont val="Arial"/>
        <family val="2"/>
      </rPr>
      <t xml:space="preserve">(Spring 2015) (Logic change) </t>
    </r>
    <r>
      <rPr>
        <sz val="10"/>
        <color theme="1"/>
        <rFont val="Arial"/>
        <family val="2"/>
      </rPr>
      <t>Updated pos. 2043-2044, Plagiarism Void Flag - ELA and Plagiarism Void Flag - Math to FILLER since these subjects are not assessed in 2015.</t>
    </r>
  </si>
  <si>
    <r>
      <rPr>
        <b/>
        <sz val="10"/>
        <color theme="1"/>
        <rFont val="Arial"/>
        <family val="2"/>
      </rPr>
      <t xml:space="preserve">(Spring 2015) (Logic change) </t>
    </r>
    <r>
      <rPr>
        <sz val="10"/>
        <color theme="1"/>
        <rFont val="Arial"/>
        <family val="2"/>
      </rPr>
      <t>Updated pos. 2052-2053, Include in N-counts - ELA and Include in N-counts - Math to FILLER since these subjects are not assessed in 2015.</t>
    </r>
  </si>
  <si>
    <r>
      <rPr>
        <b/>
        <sz val="10"/>
        <color theme="1"/>
        <rFont val="Arial"/>
        <family val="2"/>
      </rPr>
      <t xml:space="preserve">(Spring 2015) (Logic change) </t>
    </r>
    <r>
      <rPr>
        <sz val="10"/>
        <color theme="1"/>
        <rFont val="Arial"/>
        <family val="2"/>
      </rPr>
      <t>Updated pos. 2061-2062, Test Taken Flag - ELA and Test Taken Flag - Math to FILLER since these subjects are not assessed in 2015.</t>
    </r>
  </si>
  <si>
    <r>
      <rPr>
        <b/>
        <sz val="10"/>
        <color theme="1"/>
        <rFont val="Arial"/>
        <family val="2"/>
      </rPr>
      <t xml:space="preserve">(Spring 2015) (Logic change) </t>
    </r>
    <r>
      <rPr>
        <sz val="10"/>
        <color theme="1"/>
        <rFont val="Arial"/>
        <family val="2"/>
      </rPr>
      <t>Updated pos. 2065-2066, Handscoring Complete Flag - ELA and Handscoring Complete Flag - Math to FILLER since these subjects are not assessed in 2015.</t>
    </r>
  </si>
  <si>
    <r>
      <t xml:space="preserve">(Spring 2015) (Logic change) </t>
    </r>
    <r>
      <rPr>
        <sz val="10"/>
        <color theme="1"/>
        <rFont val="Arial"/>
        <family val="2"/>
      </rPr>
      <t>Updated pos. 2098, School Roster - ELA/Math, to FILLER since it is no longer needed. The FILLER field in pos. 2097, was updated to combine the 2 fields.</t>
    </r>
  </si>
  <si>
    <r>
      <t xml:space="preserve">(Spring 2015) (Logic change) </t>
    </r>
    <r>
      <rPr>
        <sz val="10"/>
        <color theme="1"/>
        <rFont val="Arial"/>
        <family val="2"/>
      </rPr>
      <t>Updated pos. 2134-2135 and 2136-2137, Updated Accountability Code - ELA and Updated Accountability Code - Math, to FILLER since these fields do not apply in 2015.</t>
    </r>
  </si>
  <si>
    <r>
      <rPr>
        <b/>
        <sz val="10"/>
        <color theme="1"/>
        <rFont val="Arial"/>
        <family val="2"/>
      </rPr>
      <t xml:space="preserve">(Spring 2015) (Logic change) </t>
    </r>
    <r>
      <rPr>
        <sz val="10"/>
        <color theme="1"/>
        <rFont val="Arial"/>
        <family val="2"/>
      </rPr>
      <t>The FILLER ending position and length in 2115-2123 were updated to 2129 and 15. The footnote: test security violation (Void) - ELA (pos. 2124) and footnote: test security violation (Void) - Math (pos. 2126) were updated to FILLER and all fields were combined into one field.</t>
    </r>
  </si>
  <si>
    <r>
      <t xml:space="preserve">(Spring 2015) (Logic change) </t>
    </r>
    <r>
      <rPr>
        <sz val="10"/>
        <color theme="1"/>
        <rFont val="Arial"/>
        <family val="2"/>
      </rPr>
      <t>Updated pos. 2151-2153 and 2154-2156,  Accountability Achievement Level - ELA and Accountability Achievement Level - Math, to FILLER since these fields do not apply in 2015.</t>
    </r>
  </si>
  <si>
    <r>
      <t xml:space="preserve">Summarized </t>
    </r>
    <r>
      <rPr>
        <strike/>
        <sz val="10"/>
        <color rgb="FFFF0000"/>
        <rFont val="Arial"/>
        <family val="2"/>
      </rPr>
      <t>Lunch Status</t>
    </r>
    <r>
      <rPr>
        <sz val="10"/>
        <color rgb="FFFF0000"/>
        <rFont val="Arial"/>
        <family val="2"/>
      </rPr>
      <t xml:space="preserve"> Economically Disadvantaged</t>
    </r>
  </si>
  <si>
    <r>
      <t xml:space="preserve">LAP </t>
    </r>
    <r>
      <rPr>
        <strike/>
        <sz val="10"/>
        <color rgb="FFFF0000"/>
        <rFont val="Arial"/>
        <family val="2"/>
      </rPr>
      <t>Free/Reduced Lunch</t>
    </r>
    <r>
      <rPr>
        <sz val="10"/>
        <color rgb="FFFF0000"/>
        <rFont val="Arial"/>
        <family val="2"/>
      </rPr>
      <t xml:space="preserve"> Economically Disadvantaged</t>
    </r>
  </si>
  <si>
    <r>
      <t xml:space="preserve">1 = </t>
    </r>
    <r>
      <rPr>
        <strike/>
        <sz val="10"/>
        <color rgb="FFFF0000"/>
        <rFont val="Arial"/>
        <family val="2"/>
      </rPr>
      <t>Free Lunch Eligible</t>
    </r>
    <r>
      <rPr>
        <sz val="10"/>
        <rFont val="Arial"/>
        <family val="2"/>
      </rPr>
      <t xml:space="preserve"> </t>
    </r>
    <r>
      <rPr>
        <sz val="10"/>
        <color rgb="FFFF0000"/>
        <rFont val="Arial"/>
        <family val="2"/>
      </rPr>
      <t>Economically Disadvantaged</t>
    </r>
    <r>
      <rPr>
        <sz val="10"/>
        <rFont val="Arial"/>
        <family val="2"/>
      </rPr>
      <t xml:space="preserve">
</t>
    </r>
    <r>
      <rPr>
        <strike/>
        <sz val="10"/>
        <color rgb="FFFF0000"/>
        <rFont val="Arial"/>
        <family val="2"/>
      </rPr>
      <t>2 = Reduced Lunch Eligible</t>
    </r>
    <r>
      <rPr>
        <sz val="10"/>
        <rFont val="Arial"/>
        <family val="2"/>
      </rPr>
      <t xml:space="preserve">
0 = </t>
    </r>
    <r>
      <rPr>
        <strike/>
        <sz val="10"/>
        <color rgb="FFFF0000"/>
        <rFont val="Arial"/>
        <family val="2"/>
      </rPr>
      <t xml:space="preserve">Paid </t>
    </r>
    <r>
      <rPr>
        <sz val="10"/>
        <color rgb="FFFF0000"/>
        <rFont val="Arial"/>
        <family val="2"/>
      </rPr>
      <t>Not Economically Disadvantaged</t>
    </r>
    <r>
      <rPr>
        <sz val="10"/>
        <rFont val="Arial"/>
        <family val="2"/>
      </rPr>
      <t xml:space="preserve">
Blank</t>
    </r>
  </si>
  <si>
    <r>
      <rPr>
        <b/>
        <sz val="10"/>
        <rFont val="Arial"/>
        <family val="2"/>
      </rPr>
      <t>(Spring 2015) (Logic change)</t>
    </r>
    <r>
      <rPr>
        <sz val="10"/>
        <rFont val="Arial"/>
        <family val="2"/>
      </rPr>
      <t xml:space="preserve"> Updated pos. 155 to be Summarized Economically Disadvantaged instead of Summarized Lunch Status. The possible values were updated to be "1", "0", or Blank.</t>
    </r>
  </si>
  <si>
    <r>
      <t xml:space="preserve">(Spring 2015) (Logic change) </t>
    </r>
    <r>
      <rPr>
        <sz val="10"/>
        <rFont val="Arial"/>
        <family val="2"/>
      </rPr>
      <t>Updated pos. 156 to be LAP Economically Disadvantaged instead of LAP Free/Reduced Lunch. The possible values were updated to be "1", "0", and Blank.</t>
    </r>
  </si>
  <si>
    <r>
      <t xml:space="preserve">1 = </t>
    </r>
    <r>
      <rPr>
        <strike/>
        <sz val="10"/>
        <color rgb="FFFF0000"/>
        <rFont val="Arial"/>
        <family val="2"/>
      </rPr>
      <t>Free Lunch Eligible</t>
    </r>
    <r>
      <rPr>
        <sz val="10"/>
        <rFont val="Arial"/>
        <family val="2"/>
      </rPr>
      <t xml:space="preserve"> </t>
    </r>
    <r>
      <rPr>
        <sz val="10"/>
        <color rgb="FFFF0000"/>
        <rFont val="Arial"/>
        <family val="2"/>
      </rPr>
      <t>Economically Disadvantaged</t>
    </r>
    <r>
      <rPr>
        <sz val="10"/>
        <rFont val="Arial"/>
        <family val="2"/>
      </rPr>
      <t xml:space="preserve">
</t>
    </r>
    <r>
      <rPr>
        <strike/>
        <sz val="10"/>
        <color rgb="FFFF0000"/>
        <rFont val="Arial"/>
        <family val="2"/>
      </rPr>
      <t>2 = Reduced Lunch Eligible</t>
    </r>
    <r>
      <rPr>
        <sz val="10"/>
        <rFont val="Arial"/>
        <family val="2"/>
      </rPr>
      <t xml:space="preserve">
0 = </t>
    </r>
    <r>
      <rPr>
        <strike/>
        <sz val="10"/>
        <color rgb="FFFF0000"/>
        <rFont val="Arial"/>
        <family val="2"/>
      </rPr>
      <t xml:space="preserve">Paid </t>
    </r>
    <r>
      <rPr>
        <sz val="10"/>
        <color rgb="FFFF0000"/>
        <rFont val="Arial"/>
        <family val="2"/>
      </rPr>
      <t>Not Economically Disadvantaged</t>
    </r>
    <r>
      <rPr>
        <sz val="10"/>
        <rFont val="Arial"/>
        <family val="2"/>
      </rPr>
      <t xml:space="preserve">
</t>
    </r>
    <r>
      <rPr>
        <strike/>
        <sz val="10"/>
        <color rgb="FFFF0000"/>
        <rFont val="Arial"/>
        <family val="2"/>
      </rPr>
      <t xml:space="preserve">9 = Unknown
</t>
    </r>
    <r>
      <rPr>
        <sz val="10"/>
        <color rgb="FFFF0000"/>
        <rFont val="Arial"/>
        <family val="2"/>
      </rPr>
      <t>Blank = Unknown</t>
    </r>
  </si>
</sst>
</file>

<file path=xl/styles.xml><?xml version="1.0" encoding="utf-8"?>
<styleSheet xmlns="http://schemas.openxmlformats.org/spreadsheetml/2006/main" xmlns:mc="http://schemas.openxmlformats.org/markup-compatibility/2006" xmlns:x14ac="http://schemas.microsoft.com/office/spreadsheetml/2009/9/ac" mc:Ignorable="x14ac">
  <fonts count="36"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indexed="10"/>
      <name val="Arial"/>
      <family val="2"/>
    </font>
    <font>
      <sz val="10"/>
      <color indexed="12"/>
      <name val="Arial"/>
      <family val="2"/>
    </font>
    <font>
      <sz val="10"/>
      <name val="Arial"/>
      <family val="2"/>
    </font>
    <font>
      <i/>
      <sz val="10"/>
      <name val="Arial"/>
      <family val="2"/>
    </font>
    <font>
      <b/>
      <sz val="10"/>
      <name val="Arial"/>
      <family val="2"/>
    </font>
    <font>
      <sz val="10"/>
      <name val="Arial"/>
      <family val="2"/>
    </font>
    <font>
      <sz val="10"/>
      <color indexed="8"/>
      <name val="Arial"/>
      <family val="2"/>
    </font>
    <font>
      <sz val="8"/>
      <name val="Arial"/>
      <family val="2"/>
    </font>
    <font>
      <b/>
      <sz val="10"/>
      <color indexed="10"/>
      <name val="Arial"/>
      <family val="2"/>
    </font>
    <font>
      <sz val="10"/>
      <color indexed="17"/>
      <name val="Arial"/>
      <family val="2"/>
    </font>
    <font>
      <sz val="10"/>
      <color indexed="53"/>
      <name val="Arial"/>
      <family val="2"/>
    </font>
    <font>
      <b/>
      <sz val="8"/>
      <color indexed="10"/>
      <name val="Arial"/>
      <family val="2"/>
    </font>
    <font>
      <b/>
      <u/>
      <sz val="10"/>
      <name val="Arial"/>
      <family val="2"/>
    </font>
    <font>
      <b/>
      <sz val="16"/>
      <name val="Arial"/>
      <family val="2"/>
    </font>
    <font>
      <b/>
      <sz val="12"/>
      <name val="Arial"/>
      <family val="2"/>
    </font>
    <font>
      <b/>
      <sz val="10"/>
      <color indexed="12"/>
      <name val="Arial"/>
      <family val="2"/>
    </font>
    <font>
      <b/>
      <u/>
      <sz val="12"/>
      <name val="Arial"/>
      <family val="2"/>
    </font>
    <font>
      <b/>
      <u/>
      <sz val="12"/>
      <name val="Arial"/>
      <family val="2"/>
    </font>
    <font>
      <b/>
      <sz val="10"/>
      <color indexed="12"/>
      <name val="Arial"/>
      <family val="2"/>
    </font>
    <font>
      <sz val="11"/>
      <color theme="1"/>
      <name val="Calibri"/>
      <family val="2"/>
      <scheme val="minor"/>
    </font>
    <font>
      <b/>
      <sz val="10"/>
      <color rgb="FF0000FF"/>
      <name val="Arial"/>
      <family val="2"/>
    </font>
    <font>
      <sz val="10"/>
      <color rgb="FFFF0000"/>
      <name val="Arial"/>
      <family val="2"/>
    </font>
    <font>
      <sz val="10"/>
      <color theme="1"/>
      <name val="Arial"/>
      <family val="2"/>
    </font>
    <font>
      <strike/>
      <sz val="10"/>
      <name val="Arial"/>
      <family val="2"/>
    </font>
    <font>
      <strike/>
      <sz val="10"/>
      <color rgb="FFFF0000"/>
      <name val="Arial"/>
      <family val="2"/>
    </font>
    <font>
      <b/>
      <sz val="10"/>
      <color theme="1"/>
      <name val="Arial"/>
      <family val="2"/>
    </font>
    <font>
      <u/>
      <sz val="10"/>
      <color theme="10"/>
      <name val="Arial"/>
      <family val="2"/>
    </font>
    <font>
      <sz val="10"/>
      <name val="Arial"/>
      <family val="2"/>
    </font>
    <font>
      <strike/>
      <sz val="10"/>
      <color theme="1"/>
      <name val="Arial"/>
      <family val="2"/>
    </font>
  </fonts>
  <fills count="5">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theme="0" tint="-0.14999847407452621"/>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530">
    <xf numFmtId="0" fontId="0" fillId="0" borderId="0"/>
    <xf numFmtId="0" fontId="6" fillId="0" borderId="0"/>
    <xf numFmtId="0" fontId="6" fillId="0" borderId="0"/>
    <xf numFmtId="0" fontId="26" fillId="0" borderId="0"/>
    <xf numFmtId="0" fontId="5" fillId="0" borderId="0"/>
    <xf numFmtId="0" fontId="33" fillId="0" borderId="0" applyNumberFormat="0" applyFill="0" applyBorder="0" applyAlignment="0" applyProtection="0"/>
    <xf numFmtId="0" fontId="4" fillId="0" borderId="0"/>
    <xf numFmtId="0" fontId="34" fillId="0" borderId="0"/>
    <xf numFmtId="0" fontId="4" fillId="0" borderId="0"/>
    <xf numFmtId="0" fontId="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4" fillId="0" borderId="0"/>
    <xf numFmtId="0" fontId="4" fillId="0" borderId="0"/>
    <xf numFmtId="0" fontId="4" fillId="0" borderId="0"/>
    <xf numFmtId="0" fontId="4" fillId="0" borderId="0"/>
    <xf numFmtId="0" fontId="6" fillId="0" borderId="0"/>
    <xf numFmtId="0" fontId="4" fillId="0" borderId="0"/>
    <xf numFmtId="0" fontId="4" fillId="0" borderId="0"/>
    <xf numFmtId="0" fontId="4" fillId="0" borderId="0"/>
    <xf numFmtId="0" fontId="4" fillId="0" borderId="0"/>
    <xf numFmtId="0" fontId="4" fillId="0" borderId="0"/>
    <xf numFmtId="0" fontId="6"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6"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3" fillId="0" borderId="0"/>
    <xf numFmtId="0" fontId="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2" fillId="0" borderId="0"/>
    <xf numFmtId="0" fontId="6"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176">
    <xf numFmtId="0" fontId="0" fillId="0" borderId="0" xfId="0"/>
    <xf numFmtId="0" fontId="0" fillId="0" borderId="0" xfId="0" applyProtection="1">
      <protection locked="0"/>
    </xf>
    <xf numFmtId="0" fontId="0" fillId="0" borderId="0" xfId="0" applyAlignment="1" applyProtection="1">
      <alignment horizontal="center"/>
      <protection locked="0"/>
    </xf>
    <xf numFmtId="0" fontId="21" fillId="0" borderId="0" xfId="0" applyFont="1" applyFill="1" applyBorder="1" applyAlignment="1">
      <alignment horizontal="center" vertical="top"/>
    </xf>
    <xf numFmtId="0" fontId="21" fillId="0" borderId="0" xfId="0" applyFont="1" applyFill="1" applyBorder="1" applyAlignment="1">
      <alignment vertical="top"/>
    </xf>
    <xf numFmtId="0" fontId="22" fillId="0" borderId="0" xfId="0" applyFont="1" applyFill="1" applyBorder="1" applyAlignment="1">
      <alignment vertical="top"/>
    </xf>
    <xf numFmtId="0" fontId="6" fillId="0" borderId="0" xfId="0" applyFont="1" applyFill="1" applyBorder="1"/>
    <xf numFmtId="0" fontId="6" fillId="0" borderId="0" xfId="0" applyFont="1" applyFill="1" applyBorder="1" applyAlignment="1">
      <alignment horizontal="center" vertical="top"/>
    </xf>
    <xf numFmtId="1" fontId="6" fillId="0" borderId="0" xfId="0" applyNumberFormat="1" applyFont="1" applyFill="1" applyBorder="1" applyAlignment="1">
      <alignment horizontal="center" vertical="top"/>
    </xf>
    <xf numFmtId="49" fontId="22" fillId="0" borderId="0" xfId="0" applyNumberFormat="1" applyFont="1" applyFill="1" applyBorder="1" applyAlignment="1">
      <alignment horizontal="left" vertical="top"/>
    </xf>
    <xf numFmtId="0" fontId="9" fillId="0" borderId="0" xfId="0" applyNumberFormat="1" applyFont="1" applyFill="1" applyBorder="1" applyAlignment="1">
      <alignment horizontal="left" vertical="center" wrapText="1"/>
    </xf>
    <xf numFmtId="49" fontId="25" fillId="0" borderId="0" xfId="0" applyNumberFormat="1" applyFont="1" applyFill="1" applyBorder="1" applyAlignment="1">
      <alignment horizontal="left" vertical="top"/>
    </xf>
    <xf numFmtId="49" fontId="22" fillId="0" borderId="0" xfId="0" applyNumberFormat="1" applyFont="1" applyFill="1" applyBorder="1" applyAlignment="1">
      <alignment horizontal="left" vertical="top" wrapText="1"/>
    </xf>
    <xf numFmtId="49" fontId="6" fillId="0" borderId="0" xfId="0" applyNumberFormat="1" applyFont="1" applyFill="1" applyBorder="1" applyAlignment="1">
      <alignment horizontal="left" vertical="top" wrapText="1"/>
    </xf>
    <xf numFmtId="0" fontId="6" fillId="0" borderId="0" xfId="0" applyFont="1" applyFill="1" applyBorder="1" applyAlignment="1">
      <alignment vertical="top" wrapText="1"/>
    </xf>
    <xf numFmtId="0" fontId="0" fillId="2" borderId="1" xfId="0" applyFill="1" applyBorder="1" applyAlignment="1" applyProtection="1">
      <alignment vertical="center" wrapText="1"/>
    </xf>
    <xf numFmtId="0" fontId="0" fillId="0" borderId="1" xfId="0" applyFill="1" applyBorder="1" applyAlignment="1" applyProtection="1">
      <alignment vertical="center"/>
      <protection locked="0"/>
    </xf>
    <xf numFmtId="0" fontId="0" fillId="0" borderId="1" xfId="0" applyBorder="1" applyAlignment="1" applyProtection="1">
      <alignment vertical="center"/>
      <protection locked="0"/>
    </xf>
    <xf numFmtId="0" fontId="0" fillId="0" borderId="0" xfId="0" applyAlignment="1" applyProtection="1">
      <alignment vertical="center"/>
      <protection locked="0"/>
    </xf>
    <xf numFmtId="0" fontId="0" fillId="2" borderId="1" xfId="0" applyFill="1" applyBorder="1" applyAlignment="1" applyProtection="1">
      <alignment horizontal="center" vertical="center" wrapText="1"/>
    </xf>
    <xf numFmtId="14" fontId="0" fillId="0" borderId="1" xfId="0" applyNumberFormat="1" applyFill="1" applyBorder="1" applyAlignment="1" applyProtection="1">
      <alignment horizontal="center" vertical="center"/>
      <protection locked="0"/>
    </xf>
    <xf numFmtId="14"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2" borderId="1" xfId="0" applyFill="1" applyBorder="1" applyAlignment="1" applyProtection="1">
      <alignment vertical="center"/>
    </xf>
    <xf numFmtId="0" fontId="0" fillId="0" borderId="1" xfId="0" applyFill="1" applyBorder="1" applyAlignment="1" applyProtection="1">
      <alignment vertical="center" wrapText="1"/>
      <protection locked="0"/>
    </xf>
    <xf numFmtId="0" fontId="0" fillId="0" borderId="1" xfId="0" applyBorder="1" applyAlignment="1" applyProtection="1">
      <alignment vertical="center" wrapText="1"/>
      <protection locked="0"/>
    </xf>
    <xf numFmtId="49" fontId="23" fillId="0" borderId="0" xfId="0" applyNumberFormat="1" applyFont="1" applyFill="1" applyBorder="1" applyAlignment="1">
      <alignment horizontal="center" vertical="top"/>
    </xf>
    <xf numFmtId="49" fontId="24" fillId="0" borderId="0" xfId="0" applyNumberFormat="1" applyFont="1" applyFill="1" applyBorder="1" applyAlignment="1">
      <alignment horizontal="left" vertical="center"/>
    </xf>
    <xf numFmtId="0" fontId="20" fillId="0" borderId="0" xfId="0" applyFont="1" applyFill="1" applyBorder="1"/>
    <xf numFmtId="0" fontId="21" fillId="0" borderId="0" xfId="0" applyFont="1" applyFill="1" applyBorder="1" applyAlignment="1">
      <alignment wrapText="1"/>
    </xf>
    <xf numFmtId="0" fontId="21" fillId="0" borderId="0" xfId="0" applyFont="1" applyFill="1" applyBorder="1" applyAlignment="1"/>
    <xf numFmtId="0" fontId="9" fillId="0" borderId="0" xfId="0" applyFont="1" applyFill="1" applyBorder="1" applyAlignment="1">
      <alignment horizontal="center" vertical="top"/>
    </xf>
    <xf numFmtId="0" fontId="9" fillId="0" borderId="0" xfId="0" applyFont="1" applyFill="1" applyBorder="1" applyAlignment="1">
      <alignment vertical="top"/>
    </xf>
    <xf numFmtId="49" fontId="9" fillId="0" borderId="0" xfId="0" applyNumberFormat="1" applyFont="1" applyFill="1" applyBorder="1" applyAlignment="1">
      <alignment horizontal="left" vertical="center" wrapText="1"/>
    </xf>
    <xf numFmtId="0" fontId="7" fillId="0" borderId="0" xfId="0" applyFont="1" applyFill="1" applyBorder="1" applyAlignment="1">
      <alignment vertical="top"/>
    </xf>
    <xf numFmtId="0" fontId="9" fillId="0" borderId="0" xfId="0" applyFont="1" applyFill="1" applyBorder="1" applyAlignment="1">
      <alignment vertical="top" wrapText="1"/>
    </xf>
    <xf numFmtId="0" fontId="13" fillId="0" borderId="0" xfId="0" applyFont="1" applyFill="1" applyBorder="1" applyAlignment="1">
      <alignment vertical="top"/>
    </xf>
    <xf numFmtId="0" fontId="13" fillId="0" borderId="0" xfId="0" applyFont="1" applyFill="1" applyBorder="1" applyAlignment="1">
      <alignment vertical="top" wrapText="1"/>
    </xf>
    <xf numFmtId="0" fontId="7" fillId="0" borderId="0" xfId="0" applyFont="1" applyFill="1" applyBorder="1" applyAlignment="1">
      <alignment horizontal="left" vertical="center"/>
    </xf>
    <xf numFmtId="0" fontId="15" fillId="0" borderId="0" xfId="0" applyFont="1" applyFill="1" applyBorder="1" applyAlignment="1">
      <alignment horizontal="left" vertical="center" wrapText="1"/>
    </xf>
    <xf numFmtId="0" fontId="17" fillId="0" borderId="0" xfId="0" applyFont="1" applyFill="1" applyBorder="1" applyAlignment="1">
      <alignment horizontal="left" vertical="center" wrapText="1"/>
    </xf>
    <xf numFmtId="0" fontId="9" fillId="0" borderId="0" xfId="0" applyFont="1" applyFill="1" applyBorder="1" applyAlignment="1">
      <alignment horizontal="center"/>
    </xf>
    <xf numFmtId="0" fontId="9" fillId="0" borderId="0" xfId="0" applyFont="1" applyFill="1" applyBorder="1" applyAlignment="1">
      <alignment horizontal="left"/>
    </xf>
    <xf numFmtId="0" fontId="11" fillId="0" borderId="0" xfId="0" applyFont="1" applyFill="1" applyBorder="1" applyAlignment="1">
      <alignment horizontal="center" vertical="top"/>
    </xf>
    <xf numFmtId="0" fontId="0" fillId="0" borderId="0" xfId="0" applyFill="1" applyBorder="1"/>
    <xf numFmtId="0" fontId="0" fillId="0" borderId="0" xfId="0" applyFill="1" applyBorder="1" applyAlignment="1">
      <alignment horizontal="center" vertical="top"/>
    </xf>
    <xf numFmtId="0" fontId="0" fillId="0" borderId="0" xfId="0" applyFill="1" applyBorder="1" applyAlignment="1">
      <alignment horizontal="center"/>
    </xf>
    <xf numFmtId="0" fontId="10" fillId="0" borderId="0" xfId="0" applyFont="1" applyFill="1" applyBorder="1" applyAlignment="1">
      <alignment horizontal="left" vertical="center"/>
    </xf>
    <xf numFmtId="0" fontId="12" fillId="0" borderId="0" xfId="0" applyFont="1" applyFill="1" applyBorder="1" applyAlignment="1">
      <alignment vertical="top"/>
    </xf>
    <xf numFmtId="0" fontId="22" fillId="0" borderId="0" xfId="0" applyFont="1" applyFill="1" applyBorder="1" applyAlignment="1">
      <alignment horizontal="left" vertical="top"/>
    </xf>
    <xf numFmtId="0" fontId="0" fillId="0" borderId="0" xfId="0" applyFill="1" applyBorder="1" applyAlignment="1">
      <alignment wrapText="1"/>
    </xf>
    <xf numFmtId="0" fontId="7" fillId="0" borderId="0" xfId="0" applyNumberFormat="1" applyFont="1" applyFill="1" applyBorder="1" applyAlignment="1">
      <alignment horizontal="left" vertical="center" wrapText="1"/>
    </xf>
    <xf numFmtId="0" fontId="0" fillId="0" borderId="0" xfId="0" applyFill="1" applyBorder="1" applyAlignment="1">
      <alignment vertical="top"/>
    </xf>
    <xf numFmtId="0" fontId="11" fillId="0" borderId="0" xfId="0" applyFont="1" applyFill="1" applyBorder="1" applyAlignment="1">
      <alignment horizontal="left" vertical="center" wrapText="1"/>
    </xf>
    <xf numFmtId="0" fontId="16" fillId="0" borderId="0" xfId="0" applyFont="1" applyFill="1" applyBorder="1" applyAlignment="1">
      <alignment vertical="top"/>
    </xf>
    <xf numFmtId="0" fontId="15" fillId="0" borderId="0" xfId="0" applyFont="1" applyFill="1" applyBorder="1" applyAlignment="1">
      <alignment horizontal="center"/>
    </xf>
    <xf numFmtId="0" fontId="11" fillId="0" borderId="0" xfId="0" applyFont="1" applyFill="1" applyBorder="1" applyAlignment="1">
      <alignment horizontal="center"/>
    </xf>
    <xf numFmtId="0" fontId="8" fillId="0" borderId="0" xfId="0" applyFont="1" applyFill="1" applyBorder="1" applyAlignment="1">
      <alignment vertical="top" wrapText="1"/>
    </xf>
    <xf numFmtId="0" fontId="21" fillId="0" borderId="0" xfId="0" applyFont="1" applyFill="1" applyBorder="1" applyAlignment="1">
      <alignment horizontal="right" vertical="top"/>
    </xf>
    <xf numFmtId="0" fontId="0" fillId="0" borderId="0" xfId="0" applyFill="1" applyBorder="1" applyAlignment="1">
      <alignment vertical="top" wrapText="1"/>
    </xf>
    <xf numFmtId="0" fontId="6" fillId="0" borderId="0" xfId="1" applyFont="1" applyFill="1" applyBorder="1" applyAlignment="1">
      <alignment horizontal="left" vertical="center" wrapText="1"/>
    </xf>
    <xf numFmtId="0" fontId="9" fillId="0" borderId="0" xfId="0" applyFont="1" applyFill="1" applyBorder="1" applyAlignment="1">
      <alignment vertical="center" wrapText="1"/>
    </xf>
    <xf numFmtId="0" fontId="9" fillId="0" borderId="0" xfId="0" applyFont="1" applyFill="1" applyBorder="1" applyAlignment="1" applyProtection="1">
      <alignment vertical="center" wrapText="1"/>
      <protection locked="0"/>
    </xf>
    <xf numFmtId="0" fontId="9" fillId="0" borderId="0" xfId="0" applyFont="1" applyFill="1" applyBorder="1" applyAlignment="1">
      <alignment horizontal="center" vertical="top" wrapText="1"/>
    </xf>
    <xf numFmtId="0" fontId="6" fillId="0" borderId="1" xfId="0" applyFont="1" applyFill="1" applyBorder="1" applyAlignment="1" applyProtection="1">
      <alignment vertical="center" wrapText="1"/>
      <protection locked="0"/>
    </xf>
    <xf numFmtId="0" fontId="6" fillId="0" borderId="1" xfId="0" applyFont="1" applyFill="1" applyBorder="1" applyAlignment="1" applyProtection="1">
      <alignment vertical="center"/>
      <protection locked="0"/>
    </xf>
    <xf numFmtId="0" fontId="9" fillId="0" borderId="1" xfId="0" applyFont="1" applyFill="1" applyBorder="1" applyAlignment="1" applyProtection="1">
      <alignment vertical="center"/>
      <protection locked="0"/>
    </xf>
    <xf numFmtId="0" fontId="9" fillId="0" borderId="1" xfId="0" applyFont="1" applyFill="1" applyBorder="1" applyAlignment="1" applyProtection="1">
      <alignment vertical="center" wrapText="1"/>
      <protection locked="0"/>
    </xf>
    <xf numFmtId="14" fontId="0" fillId="0" borderId="1" xfId="0" applyNumberFormat="1" applyFill="1" applyBorder="1" applyAlignment="1" applyProtection="1">
      <alignment vertical="center" wrapText="1"/>
      <protection locked="0"/>
    </xf>
    <xf numFmtId="14" fontId="0" fillId="0" borderId="1" xfId="0" applyNumberFormat="1" applyFill="1" applyBorder="1" applyAlignment="1" applyProtection="1">
      <alignment vertical="center"/>
      <protection locked="0"/>
    </xf>
    <xf numFmtId="14" fontId="6" fillId="0" borderId="1" xfId="0" applyNumberFormat="1" applyFont="1" applyFill="1" applyBorder="1" applyAlignment="1" applyProtection="1">
      <alignment horizontal="center" vertical="center" wrapText="1"/>
      <protection locked="0"/>
    </xf>
    <xf numFmtId="14" fontId="6" fillId="0" borderId="1" xfId="0" applyNumberFormat="1" applyFont="1" applyFill="1" applyBorder="1" applyAlignment="1" applyProtection="1">
      <alignment horizontal="left" vertical="center" wrapText="1"/>
      <protection locked="0"/>
    </xf>
    <xf numFmtId="0" fontId="6" fillId="0" borderId="0" xfId="0" applyFont="1" applyFill="1" applyBorder="1" applyAlignment="1">
      <alignment vertical="top"/>
    </xf>
    <xf numFmtId="16" fontId="6" fillId="0" borderId="0" xfId="0" applyNumberFormat="1" applyFont="1" applyFill="1" applyBorder="1" applyAlignment="1">
      <alignment horizontal="left" vertical="center" wrapText="1"/>
    </xf>
    <xf numFmtId="0" fontId="6" fillId="0" borderId="0" xfId="0" applyFont="1" applyFill="1" applyBorder="1" applyAlignment="1" applyProtection="1">
      <alignment vertical="top" wrapText="1"/>
      <protection locked="0"/>
    </xf>
    <xf numFmtId="0" fontId="27" fillId="0" borderId="0" xfId="0" applyFont="1" applyFill="1" applyBorder="1" applyAlignment="1">
      <alignment vertical="top"/>
    </xf>
    <xf numFmtId="0" fontId="28" fillId="0" borderId="0" xfId="0" applyFont="1" applyFill="1" applyBorder="1" applyAlignment="1">
      <alignment horizontal="center" vertical="top"/>
    </xf>
    <xf numFmtId="0" fontId="0" fillId="0" borderId="0" xfId="0" applyFill="1" applyBorder="1" applyAlignment="1">
      <alignment vertical="center"/>
    </xf>
    <xf numFmtId="0" fontId="29" fillId="0" borderId="0" xfId="0" applyFont="1" applyFill="1" applyBorder="1" applyAlignment="1">
      <alignment horizontal="center" vertical="top"/>
    </xf>
    <xf numFmtId="0" fontId="6" fillId="0" borderId="0" xfId="0" applyFont="1" applyFill="1" applyBorder="1" applyAlignment="1">
      <alignment horizontal="left" vertical="top" wrapText="1"/>
    </xf>
    <xf numFmtId="0" fontId="6" fillId="0" borderId="0" xfId="0" applyFont="1" applyFill="1" applyAlignment="1">
      <alignment wrapText="1"/>
    </xf>
    <xf numFmtId="0" fontId="6" fillId="0" borderId="0" xfId="0" applyFont="1" applyFill="1" applyAlignment="1" applyProtection="1">
      <alignment vertical="center" wrapText="1"/>
      <protection locked="0"/>
    </xf>
    <xf numFmtId="0" fontId="6" fillId="0" borderId="1" xfId="0" applyFont="1" applyFill="1" applyBorder="1" applyAlignment="1" applyProtection="1">
      <alignment vertical="top" wrapText="1"/>
      <protection locked="0"/>
    </xf>
    <xf numFmtId="0" fontId="6" fillId="0" borderId="1" xfId="0" applyFont="1" applyFill="1" applyBorder="1" applyAlignment="1" applyProtection="1">
      <alignment vertical="top"/>
      <protection locked="0"/>
    </xf>
    <xf numFmtId="14" fontId="0" fillId="0" borderId="1" xfId="0" applyNumberFormat="1" applyFill="1" applyBorder="1" applyAlignment="1" applyProtection="1">
      <alignment horizontal="center"/>
      <protection locked="0"/>
    </xf>
    <xf numFmtId="0" fontId="6" fillId="0" borderId="1" xfId="0" applyFont="1" applyFill="1" applyBorder="1" applyAlignment="1" applyProtection="1">
      <alignment wrapText="1"/>
      <protection locked="0"/>
    </xf>
    <xf numFmtId="0" fontId="6" fillId="0" borderId="1" xfId="0" applyFont="1" applyFill="1" applyBorder="1" applyProtection="1">
      <protection locked="0"/>
    </xf>
    <xf numFmtId="14" fontId="0" fillId="0" borderId="1" xfId="0" applyNumberFormat="1" applyFill="1" applyBorder="1" applyAlignment="1" applyProtection="1">
      <alignment horizontal="center" vertical="top"/>
      <protection locked="0"/>
    </xf>
    <xf numFmtId="0" fontId="0" fillId="0" borderId="1" xfId="0" applyFill="1" applyBorder="1" applyAlignment="1" applyProtection="1">
      <alignment horizontal="left" vertical="top" wrapText="1"/>
      <protection locked="0"/>
    </xf>
    <xf numFmtId="0" fontId="0" fillId="0" borderId="1" xfId="0" applyFill="1" applyBorder="1" applyAlignment="1" applyProtection="1">
      <alignment vertical="top"/>
      <protection locked="0"/>
    </xf>
    <xf numFmtId="0" fontId="6" fillId="0" borderId="1" xfId="0" applyFont="1" applyFill="1" applyBorder="1" applyAlignment="1" applyProtection="1">
      <alignment horizontal="left" vertical="top" wrapText="1"/>
      <protection locked="0"/>
    </xf>
    <xf numFmtId="0" fontId="6" fillId="0" borderId="2" xfId="0" applyFont="1" applyFill="1" applyBorder="1" applyAlignment="1" applyProtection="1">
      <alignment vertical="center" wrapText="1"/>
      <protection locked="0"/>
    </xf>
    <xf numFmtId="0" fontId="6" fillId="0" borderId="0" xfId="0" applyFont="1" applyFill="1" applyBorder="1" applyAlignment="1">
      <alignment horizontal="left" wrapText="1"/>
    </xf>
    <xf numFmtId="0" fontId="6" fillId="0" borderId="0" xfId="0" applyFont="1" applyFill="1" applyBorder="1" applyAlignment="1">
      <alignment horizontal="left" vertical="top"/>
    </xf>
    <xf numFmtId="0" fontId="6" fillId="0" borderId="0" xfId="0" applyFont="1" applyFill="1" applyBorder="1" applyAlignment="1">
      <alignment horizontal="center" vertical="center" wrapText="1"/>
    </xf>
    <xf numFmtId="0" fontId="6" fillId="0" borderId="1" xfId="1" applyFont="1" applyFill="1" applyBorder="1" applyAlignment="1" applyProtection="1">
      <alignment vertical="center" wrapText="1"/>
      <protection locked="0"/>
    </xf>
    <xf numFmtId="0" fontId="6" fillId="0" borderId="1" xfId="0" applyFont="1" applyFill="1" applyBorder="1" applyAlignment="1" applyProtection="1">
      <alignment horizontal="left" vertical="center"/>
      <protection locked="0"/>
    </xf>
    <xf numFmtId="0" fontId="0" fillId="0" borderId="0" xfId="0" applyAlignment="1">
      <alignment wrapText="1"/>
    </xf>
    <xf numFmtId="0" fontId="0" fillId="0" borderId="7" xfId="0" applyBorder="1" applyAlignment="1">
      <alignment vertical="center" wrapText="1"/>
    </xf>
    <xf numFmtId="0" fontId="0" fillId="0" borderId="2" xfId="0" applyBorder="1" applyAlignment="1">
      <alignment vertical="center" wrapText="1"/>
    </xf>
    <xf numFmtId="0" fontId="33" fillId="0" borderId="8" xfId="5" applyBorder="1" applyAlignment="1">
      <alignment vertical="center" wrapText="1"/>
    </xf>
    <xf numFmtId="0" fontId="6" fillId="0" borderId="9" xfId="0" applyFont="1" applyBorder="1" applyAlignment="1">
      <alignment vertical="center" wrapText="1"/>
    </xf>
    <xf numFmtId="0" fontId="6" fillId="0" borderId="1" xfId="0" applyFont="1" applyBorder="1" applyAlignment="1">
      <alignment vertical="center" wrapText="1"/>
    </xf>
    <xf numFmtId="0" fontId="33" fillId="0" borderId="10" xfId="5" applyBorder="1" applyAlignment="1">
      <alignment vertical="center" wrapText="1"/>
    </xf>
    <xf numFmtId="0" fontId="6" fillId="0" borderId="11" xfId="0" applyFont="1" applyBorder="1" applyAlignment="1">
      <alignment vertical="center" wrapText="1"/>
    </xf>
    <xf numFmtId="0" fontId="6" fillId="0" borderId="12" xfId="0" applyFont="1" applyBorder="1" applyAlignment="1">
      <alignment vertical="center" wrapText="1"/>
    </xf>
    <xf numFmtId="0" fontId="0" fillId="0" borderId="13" xfId="0" applyBorder="1" applyAlignment="1">
      <alignment vertical="center" wrapText="1"/>
    </xf>
    <xf numFmtId="0" fontId="11" fillId="3" borderId="4" xfId="0" applyFont="1" applyFill="1" applyBorder="1" applyAlignment="1">
      <alignment wrapText="1"/>
    </xf>
    <xf numFmtId="0" fontId="11" fillId="3" borderId="5" xfId="0" applyFont="1" applyFill="1" applyBorder="1" applyAlignment="1">
      <alignment wrapText="1"/>
    </xf>
    <xf numFmtId="0" fontId="11" fillId="3" borderId="6" xfId="0" applyFont="1" applyFill="1" applyBorder="1" applyAlignment="1">
      <alignment wrapText="1"/>
    </xf>
    <xf numFmtId="14" fontId="6" fillId="0" borderId="1" xfId="110" applyNumberFormat="1" applyFont="1" applyFill="1" applyBorder="1" applyAlignment="1" applyProtection="1">
      <alignment horizontal="right"/>
      <protection locked="0"/>
    </xf>
    <xf numFmtId="0" fontId="6" fillId="0" borderId="1" xfId="15" applyFont="1" applyFill="1" applyBorder="1" applyAlignment="1" applyProtection="1">
      <alignment horizontal="left" vertical="center" wrapText="1"/>
      <protection locked="0"/>
    </xf>
    <xf numFmtId="14" fontId="6" fillId="0" borderId="1" xfId="110" applyNumberFormat="1" applyFill="1" applyBorder="1" applyAlignment="1" applyProtection="1">
      <alignment horizontal="right"/>
      <protection locked="0"/>
    </xf>
    <xf numFmtId="0" fontId="6" fillId="0" borderId="1" xfId="11" applyFont="1" applyFill="1" applyBorder="1" applyAlignment="1" applyProtection="1">
      <alignment horizontal="left" vertical="center" wrapText="1"/>
      <protection locked="0"/>
    </xf>
    <xf numFmtId="0" fontId="0" fillId="0" borderId="1" xfId="0" applyFill="1" applyBorder="1" applyProtection="1">
      <protection locked="0"/>
    </xf>
    <xf numFmtId="0" fontId="32" fillId="0" borderId="1" xfId="119" applyFont="1" applyFill="1" applyBorder="1" applyAlignment="1">
      <alignment wrapText="1"/>
    </xf>
    <xf numFmtId="0" fontId="11" fillId="0" borderId="1" xfId="11" applyFont="1" applyFill="1" applyBorder="1" applyAlignment="1" applyProtection="1">
      <alignment horizontal="left" vertical="center" wrapText="1"/>
      <protection locked="0"/>
    </xf>
    <xf numFmtId="0" fontId="32" fillId="0" borderId="1" xfId="134" applyFont="1" applyFill="1" applyBorder="1" applyAlignment="1">
      <alignment horizontal="left" wrapText="1"/>
    </xf>
    <xf numFmtId="0" fontId="29" fillId="0" borderId="1" xfId="134" applyFont="1" applyFill="1" applyBorder="1" applyAlignment="1">
      <alignment horizontal="left" wrapText="1"/>
    </xf>
    <xf numFmtId="0" fontId="29" fillId="0" borderId="1" xfId="118" applyFont="1" applyFill="1" applyBorder="1" applyAlignment="1">
      <alignment horizontal="left" wrapText="1"/>
    </xf>
    <xf numFmtId="0" fontId="29" fillId="0" borderId="1" xfId="115" applyFont="1" applyFill="1" applyBorder="1" applyAlignment="1">
      <alignment horizontal="left" wrapText="1"/>
    </xf>
    <xf numFmtId="0" fontId="32" fillId="0" borderId="1" xfId="115" applyFont="1" applyFill="1" applyBorder="1" applyAlignment="1">
      <alignment horizontal="left" wrapText="1"/>
    </xf>
    <xf numFmtId="0" fontId="29" fillId="0" borderId="1" xfId="154" applyFont="1" applyFill="1" applyBorder="1" applyAlignment="1">
      <alignment horizontal="left" wrapText="1"/>
    </xf>
    <xf numFmtId="0" fontId="32" fillId="0" borderId="1" xfId="154" applyFont="1" applyFill="1" applyBorder="1" applyAlignment="1">
      <alignment horizontal="left" wrapText="1"/>
    </xf>
    <xf numFmtId="0" fontId="32" fillId="0" borderId="1" xfId="159" applyFont="1" applyFill="1" applyBorder="1" applyAlignment="1">
      <alignment horizontal="left" wrapText="1"/>
    </xf>
    <xf numFmtId="0" fontId="11" fillId="0" borderId="1" xfId="12" applyNumberFormat="1" applyFont="1" applyFill="1" applyBorder="1" applyAlignment="1" applyProtection="1">
      <alignment horizontal="left" vertical="top" wrapText="1"/>
      <protection locked="0"/>
    </xf>
    <xf numFmtId="0" fontId="6" fillId="0" borderId="1" xfId="27" applyFont="1" applyFill="1" applyBorder="1" applyAlignment="1" applyProtection="1">
      <alignment horizontal="left" vertical="top" wrapText="1"/>
      <protection locked="0"/>
    </xf>
    <xf numFmtId="14" fontId="11" fillId="0" borderId="1" xfId="0" applyNumberFormat="1" applyFont="1" applyFill="1" applyBorder="1" applyAlignment="1" applyProtection="1">
      <alignment horizontal="center" vertical="center"/>
      <protection locked="0"/>
    </xf>
    <xf numFmtId="0" fontId="11" fillId="0" borderId="1" xfId="0" applyFont="1" applyFill="1" applyBorder="1" applyAlignment="1" applyProtection="1">
      <alignment vertical="center"/>
      <protection locked="0"/>
    </xf>
    <xf numFmtId="0" fontId="6" fillId="0" borderId="0" xfId="0" applyFont="1" applyFill="1" applyBorder="1" applyAlignment="1">
      <alignment horizontal="left" vertical="center" wrapText="1"/>
    </xf>
    <xf numFmtId="0" fontId="6" fillId="0" borderId="0" xfId="0" applyFont="1" applyFill="1" applyBorder="1" applyAlignment="1">
      <alignment horizontal="left" vertical="center"/>
    </xf>
    <xf numFmtId="0" fontId="9" fillId="0" borderId="0" xfId="0" applyFont="1" applyFill="1" applyBorder="1" applyAlignment="1">
      <alignment horizontal="left" vertical="center" wrapText="1"/>
    </xf>
    <xf numFmtId="0" fontId="6" fillId="0" borderId="0" xfId="0" applyFont="1" applyFill="1" applyBorder="1" applyAlignment="1">
      <alignment vertical="center" wrapText="1"/>
    </xf>
    <xf numFmtId="0" fontId="0" fillId="0" borderId="0" xfId="0" applyFill="1" applyAlignment="1">
      <alignment horizontal="left" vertical="center" wrapText="1"/>
    </xf>
    <xf numFmtId="0" fontId="20" fillId="0" borderId="0" xfId="0" applyFont="1" applyFill="1" applyBorder="1" applyAlignment="1">
      <alignment horizontal="left"/>
    </xf>
    <xf numFmtId="49" fontId="6" fillId="0" borderId="0" xfId="0" applyNumberFormat="1" applyFont="1" applyFill="1" applyBorder="1" applyAlignment="1">
      <alignment horizontal="left" vertical="center" wrapText="1"/>
    </xf>
    <xf numFmtId="0" fontId="7" fillId="0" borderId="0" xfId="0" applyFont="1" applyFill="1" applyBorder="1" applyAlignment="1">
      <alignment horizontal="left" vertical="center" wrapText="1"/>
    </xf>
    <xf numFmtId="0" fontId="9" fillId="0" borderId="0" xfId="0" applyFont="1" applyFill="1" applyBorder="1" applyAlignment="1">
      <alignment horizontal="left" vertical="center"/>
    </xf>
    <xf numFmtId="0" fontId="0" fillId="0" borderId="0" xfId="0" applyFill="1" applyAlignment="1">
      <alignment vertical="center"/>
    </xf>
    <xf numFmtId="0" fontId="30" fillId="0" borderId="0" xfId="0" applyFont="1" applyFill="1" applyBorder="1" applyAlignment="1">
      <alignment horizontal="left" vertical="center" wrapText="1"/>
    </xf>
    <xf numFmtId="0" fontId="31" fillId="0" borderId="0" xfId="0" applyFont="1" applyFill="1" applyBorder="1" applyAlignment="1">
      <alignment horizontal="center" vertical="top"/>
    </xf>
    <xf numFmtId="0" fontId="31" fillId="0" borderId="0" xfId="0" applyFont="1" applyFill="1" applyBorder="1" applyAlignment="1">
      <alignment horizontal="left" vertical="center" wrapText="1"/>
    </xf>
    <xf numFmtId="0" fontId="29" fillId="0" borderId="1" xfId="198" applyFont="1" applyBorder="1" applyAlignment="1">
      <alignment wrapText="1"/>
    </xf>
    <xf numFmtId="0" fontId="6" fillId="0" borderId="1" xfId="0" applyFont="1" applyBorder="1" applyAlignment="1" applyProtection="1">
      <alignment vertical="center"/>
      <protection locked="0"/>
    </xf>
    <xf numFmtId="0" fontId="32" fillId="0" borderId="1" xfId="198" applyFont="1" applyBorder="1" applyAlignment="1">
      <alignment wrapText="1"/>
    </xf>
    <xf numFmtId="0" fontId="11" fillId="0" borderId="1" xfId="110" applyFont="1" applyFill="1" applyBorder="1" applyAlignment="1" applyProtection="1">
      <alignment vertical="top" wrapText="1"/>
      <protection locked="0"/>
    </xf>
    <xf numFmtId="0" fontId="6" fillId="0" borderId="0" xfId="0" applyFont="1" applyFill="1" applyBorder="1" applyAlignment="1">
      <alignment vertical="center" wrapText="1"/>
    </xf>
    <xf numFmtId="0" fontId="31" fillId="0" borderId="0" xfId="0" applyFont="1" applyFill="1" applyBorder="1" applyAlignment="1">
      <alignment horizontal="left" vertical="center"/>
    </xf>
    <xf numFmtId="0" fontId="6" fillId="0" borderId="0" xfId="0" applyFont="1" applyAlignment="1" applyProtection="1">
      <alignment vertical="center" wrapText="1"/>
      <protection locked="0"/>
    </xf>
    <xf numFmtId="14" fontId="6" fillId="0" borderId="1" xfId="0" applyNumberFormat="1" applyFont="1" applyBorder="1" applyAlignment="1" applyProtection="1">
      <alignment vertical="center" wrapText="1"/>
      <protection locked="0"/>
    </xf>
    <xf numFmtId="0" fontId="6" fillId="0" borderId="1" xfId="0" applyFont="1" applyBorder="1" applyAlignment="1" applyProtection="1">
      <alignment vertical="center" wrapText="1"/>
      <protection locked="0"/>
    </xf>
    <xf numFmtId="0" fontId="11" fillId="0" borderId="1" xfId="0" applyFont="1" applyBorder="1" applyAlignment="1" applyProtection="1">
      <alignment horizontal="left" vertical="center" wrapText="1"/>
      <protection locked="0"/>
    </xf>
    <xf numFmtId="0" fontId="6" fillId="4" borderId="0" xfId="0" applyFont="1" applyFill="1" applyBorder="1" applyAlignment="1">
      <alignment horizontal="left" vertical="center" wrapText="1"/>
    </xf>
    <xf numFmtId="0" fontId="28" fillId="4" borderId="0" xfId="0" applyFont="1" applyFill="1" applyBorder="1" applyAlignment="1">
      <alignment horizontal="center" vertical="top"/>
    </xf>
    <xf numFmtId="0" fontId="6" fillId="4" borderId="0" xfId="0" applyFont="1" applyFill="1" applyBorder="1" applyAlignment="1">
      <alignment vertical="top"/>
    </xf>
    <xf numFmtId="0" fontId="28" fillId="4" borderId="0" xfId="0" applyFont="1" applyFill="1" applyBorder="1" applyAlignment="1">
      <alignment vertical="top"/>
    </xf>
    <xf numFmtId="0" fontId="6" fillId="4" borderId="0" xfId="0" applyFont="1" applyFill="1" applyBorder="1" applyAlignment="1">
      <alignment vertical="center" wrapText="1"/>
    </xf>
    <xf numFmtId="0" fontId="6" fillId="0" borderId="0" xfId="0" applyFont="1" applyFill="1" applyBorder="1" applyAlignment="1">
      <alignment horizontal="left" vertical="center" wrapText="1"/>
    </xf>
    <xf numFmtId="0" fontId="6" fillId="0" borderId="0" xfId="0" applyFont="1" applyFill="1"/>
    <xf numFmtId="49" fontId="6" fillId="0" borderId="0" xfId="0" applyNumberFormat="1" applyFont="1" applyFill="1" applyBorder="1" applyAlignment="1">
      <alignment horizontal="left" vertical="center" wrapText="1"/>
    </xf>
    <xf numFmtId="0" fontId="0" fillId="0" borderId="0" xfId="0" applyFill="1" applyAlignment="1">
      <alignment horizontal="left" vertical="center" wrapText="1"/>
    </xf>
    <xf numFmtId="0" fontId="7" fillId="0" borderId="0" xfId="0" applyFont="1" applyFill="1" applyBorder="1" applyAlignment="1">
      <alignment horizontal="left" vertical="center" wrapText="1"/>
    </xf>
    <xf numFmtId="0" fontId="6" fillId="0" borderId="0" xfId="0" applyFont="1" applyFill="1" applyBorder="1" applyAlignment="1">
      <alignment horizontal="left" vertical="center"/>
    </xf>
    <xf numFmtId="0" fontId="9" fillId="0" borderId="0" xfId="0" applyFont="1" applyFill="1" applyBorder="1" applyAlignment="1">
      <alignment horizontal="left" vertical="center"/>
    </xf>
    <xf numFmtId="0" fontId="6" fillId="0" borderId="0" xfId="0" applyFont="1" applyFill="1" applyBorder="1" applyAlignment="1">
      <alignment vertical="center"/>
    </xf>
    <xf numFmtId="0" fontId="0" fillId="0" borderId="0" xfId="0" applyFill="1" applyAlignment="1">
      <alignment vertical="center"/>
    </xf>
    <xf numFmtId="0" fontId="9" fillId="0" borderId="0" xfId="0" applyFont="1" applyFill="1" applyBorder="1" applyAlignment="1">
      <alignment horizontal="left" vertical="center" wrapText="1"/>
    </xf>
    <xf numFmtId="0" fontId="6" fillId="4" borderId="0" xfId="0" applyFont="1" applyFill="1" applyBorder="1" applyAlignment="1">
      <alignment horizontal="left" vertical="center" wrapText="1"/>
    </xf>
    <xf numFmtId="0" fontId="6" fillId="0" borderId="0" xfId="0" applyFont="1" applyFill="1" applyBorder="1" applyAlignment="1">
      <alignment vertical="center" wrapText="1"/>
    </xf>
    <xf numFmtId="0" fontId="20" fillId="0" borderId="0" xfId="0" applyFont="1" applyFill="1" applyBorder="1" applyAlignment="1">
      <alignment horizontal="center"/>
    </xf>
    <xf numFmtId="0" fontId="20" fillId="0" borderId="0" xfId="0" applyFont="1" applyFill="1" applyBorder="1" applyAlignment="1">
      <alignment horizontal="left"/>
    </xf>
    <xf numFmtId="0" fontId="0" fillId="0" borderId="0" xfId="0" applyFill="1" applyBorder="1" applyAlignment="1">
      <alignment horizontal="left" vertical="center" wrapText="1"/>
    </xf>
    <xf numFmtId="0" fontId="6" fillId="0" borderId="0" xfId="0" applyFont="1" applyFill="1" applyAlignment="1">
      <alignment horizontal="left" vertical="center" wrapText="1"/>
    </xf>
    <xf numFmtId="0" fontId="15" fillId="0" borderId="3" xfId="0" applyFont="1" applyBorder="1" applyAlignment="1" applyProtection="1">
      <alignment horizontal="left" wrapText="1"/>
    </xf>
  </cellXfs>
  <cellStyles count="530">
    <cellStyle name="Hyperlink" xfId="5" builtinId="8"/>
    <cellStyle name="Normal" xfId="0" builtinId="0"/>
    <cellStyle name="Normal 10" xfId="23"/>
    <cellStyle name="Normal 10 2" xfId="29"/>
    <cellStyle name="Normal 10 2 2" xfId="40"/>
    <cellStyle name="Normal 10 2 2 2" xfId="61"/>
    <cellStyle name="Normal 10 2 2 2 2" xfId="106"/>
    <cellStyle name="Normal 10 2 2 2 2 2" xfId="195"/>
    <cellStyle name="Normal 10 2 2 2 2 2 2" xfId="526"/>
    <cellStyle name="Normal 10 2 2 2 2 2 3" xfId="361"/>
    <cellStyle name="Normal 10 2 2 2 2 3" xfId="444"/>
    <cellStyle name="Normal 10 2 2 2 2 4" xfId="278"/>
    <cellStyle name="Normal 10 2 2 2 3" xfId="151"/>
    <cellStyle name="Normal 10 2 2 2 3 2" xfId="485"/>
    <cellStyle name="Normal 10 2 2 2 3 3" xfId="319"/>
    <cellStyle name="Normal 10 2 2 2 4" xfId="403"/>
    <cellStyle name="Normal 10 2 2 2 5" xfId="236"/>
    <cellStyle name="Normal 10 2 2 3" xfId="86"/>
    <cellStyle name="Normal 10 2 2 3 2" xfId="175"/>
    <cellStyle name="Normal 10 2 2 3 2 2" xfId="506"/>
    <cellStyle name="Normal 10 2 2 3 2 3" xfId="341"/>
    <cellStyle name="Normal 10 2 2 3 3" xfId="424"/>
    <cellStyle name="Normal 10 2 2 3 4" xfId="257"/>
    <cellStyle name="Normal 10 2 2 4" xfId="131"/>
    <cellStyle name="Normal 10 2 2 4 2" xfId="465"/>
    <cellStyle name="Normal 10 2 2 4 3" xfId="299"/>
    <cellStyle name="Normal 10 2 2 5" xfId="383"/>
    <cellStyle name="Normal 10 2 2 6" xfId="216"/>
    <cellStyle name="Normal 10 2 3" xfId="51"/>
    <cellStyle name="Normal 10 2 3 2" xfId="96"/>
    <cellStyle name="Normal 10 2 3 2 2" xfId="185"/>
    <cellStyle name="Normal 10 2 3 2 2 2" xfId="516"/>
    <cellStyle name="Normal 10 2 3 2 2 3" xfId="351"/>
    <cellStyle name="Normal 10 2 3 2 3" xfId="434"/>
    <cellStyle name="Normal 10 2 3 2 4" xfId="268"/>
    <cellStyle name="Normal 10 2 3 3" xfId="141"/>
    <cellStyle name="Normal 10 2 3 3 2" xfId="475"/>
    <cellStyle name="Normal 10 2 3 3 3" xfId="309"/>
    <cellStyle name="Normal 10 2 3 4" xfId="393"/>
    <cellStyle name="Normal 10 2 3 5" xfId="226"/>
    <cellStyle name="Normal 10 2 4" xfId="76"/>
    <cellStyle name="Normal 10 2 4 2" xfId="165"/>
    <cellStyle name="Normal 10 2 4 2 2" xfId="496"/>
    <cellStyle name="Normal 10 2 4 2 3" xfId="331"/>
    <cellStyle name="Normal 10 2 4 3" xfId="414"/>
    <cellStyle name="Normal 10 2 4 4" xfId="247"/>
    <cellStyle name="Normal 10 2 5" xfId="121"/>
    <cellStyle name="Normal 10 2 5 2" xfId="455"/>
    <cellStyle name="Normal 10 2 5 3" xfId="289"/>
    <cellStyle name="Normal 10 2 6" xfId="373"/>
    <cellStyle name="Normal 10 2 7" xfId="206"/>
    <cellStyle name="Normal 10 3" xfId="35"/>
    <cellStyle name="Normal 10 3 2" xfId="56"/>
    <cellStyle name="Normal 10 3 2 2" xfId="101"/>
    <cellStyle name="Normal 10 3 2 2 2" xfId="190"/>
    <cellStyle name="Normal 10 3 2 2 2 2" xfId="521"/>
    <cellStyle name="Normal 10 3 2 2 2 3" xfId="356"/>
    <cellStyle name="Normal 10 3 2 2 3" xfId="439"/>
    <cellStyle name="Normal 10 3 2 2 4" xfId="273"/>
    <cellStyle name="Normal 10 3 2 3" xfId="146"/>
    <cellStyle name="Normal 10 3 2 3 2" xfId="480"/>
    <cellStyle name="Normal 10 3 2 3 3" xfId="314"/>
    <cellStyle name="Normal 10 3 2 4" xfId="398"/>
    <cellStyle name="Normal 10 3 2 5" xfId="231"/>
    <cellStyle name="Normal 10 3 3" xfId="81"/>
    <cellStyle name="Normal 10 3 3 2" xfId="170"/>
    <cellStyle name="Normal 10 3 3 2 2" xfId="501"/>
    <cellStyle name="Normal 10 3 3 2 3" xfId="336"/>
    <cellStyle name="Normal 10 3 3 3" xfId="419"/>
    <cellStyle name="Normal 10 3 3 4" xfId="252"/>
    <cellStyle name="Normal 10 3 4" xfId="126"/>
    <cellStyle name="Normal 10 3 4 2" xfId="460"/>
    <cellStyle name="Normal 10 3 4 3" xfId="294"/>
    <cellStyle name="Normal 10 3 5" xfId="378"/>
    <cellStyle name="Normal 10 3 6" xfId="211"/>
    <cellStyle name="Normal 10 4" xfId="46"/>
    <cellStyle name="Normal 10 4 2" xfId="91"/>
    <cellStyle name="Normal 10 4 2 2" xfId="180"/>
    <cellStyle name="Normal 10 4 2 2 2" xfId="511"/>
    <cellStyle name="Normal 10 4 2 2 3" xfId="346"/>
    <cellStyle name="Normal 10 4 2 3" xfId="429"/>
    <cellStyle name="Normal 10 4 2 4" xfId="263"/>
    <cellStyle name="Normal 10 4 3" xfId="136"/>
    <cellStyle name="Normal 10 4 3 2" xfId="470"/>
    <cellStyle name="Normal 10 4 3 3" xfId="304"/>
    <cellStyle name="Normal 10 4 4" xfId="388"/>
    <cellStyle name="Normal 10 4 5" xfId="221"/>
    <cellStyle name="Normal 10 5" xfId="71"/>
    <cellStyle name="Normal 10 5 2" xfId="160"/>
    <cellStyle name="Normal 10 5 2 2" xfId="491"/>
    <cellStyle name="Normal 10 5 2 3" xfId="326"/>
    <cellStyle name="Normal 10 5 3" xfId="409"/>
    <cellStyle name="Normal 10 5 4" xfId="242"/>
    <cellStyle name="Normal 10 6" xfId="116"/>
    <cellStyle name="Normal 10 6 2" xfId="450"/>
    <cellStyle name="Normal 10 6 3" xfId="284"/>
    <cellStyle name="Normal 10 7" xfId="368"/>
    <cellStyle name="Normal 10 8" xfId="201"/>
    <cellStyle name="Normal 11" xfId="25"/>
    <cellStyle name="Normal 11 2" xfId="31"/>
    <cellStyle name="Normal 11 2 2" xfId="42"/>
    <cellStyle name="Normal 11 2 2 2" xfId="63"/>
    <cellStyle name="Normal 11 2 2 2 2" xfId="108"/>
    <cellStyle name="Normal 11 2 2 2 2 2" xfId="197"/>
    <cellStyle name="Normal 11 2 2 2 2 2 2" xfId="528"/>
    <cellStyle name="Normal 11 2 2 2 2 2 3" xfId="363"/>
    <cellStyle name="Normal 11 2 2 2 2 3" xfId="446"/>
    <cellStyle name="Normal 11 2 2 2 2 4" xfId="280"/>
    <cellStyle name="Normal 11 2 2 2 3" xfId="153"/>
    <cellStyle name="Normal 11 2 2 2 3 2" xfId="487"/>
    <cellStyle name="Normal 11 2 2 2 3 3" xfId="321"/>
    <cellStyle name="Normal 11 2 2 2 4" xfId="405"/>
    <cellStyle name="Normal 11 2 2 2 5" xfId="238"/>
    <cellStyle name="Normal 11 2 2 3" xfId="88"/>
    <cellStyle name="Normal 11 2 2 3 2" xfId="177"/>
    <cellStyle name="Normal 11 2 2 3 2 2" xfId="508"/>
    <cellStyle name="Normal 11 2 2 3 2 3" xfId="343"/>
    <cellStyle name="Normal 11 2 2 3 3" xfId="426"/>
    <cellStyle name="Normal 11 2 2 3 4" xfId="259"/>
    <cellStyle name="Normal 11 2 2 4" xfId="133"/>
    <cellStyle name="Normal 11 2 2 4 2" xfId="467"/>
    <cellStyle name="Normal 11 2 2 4 3" xfId="301"/>
    <cellStyle name="Normal 11 2 2 5" xfId="385"/>
    <cellStyle name="Normal 11 2 2 6" xfId="218"/>
    <cellStyle name="Normal 11 2 3" xfId="53"/>
    <cellStyle name="Normal 11 2 3 2" xfId="98"/>
    <cellStyle name="Normal 11 2 3 2 2" xfId="187"/>
    <cellStyle name="Normal 11 2 3 2 2 2" xfId="518"/>
    <cellStyle name="Normal 11 2 3 2 2 3" xfId="353"/>
    <cellStyle name="Normal 11 2 3 2 3" xfId="436"/>
    <cellStyle name="Normal 11 2 3 2 4" xfId="270"/>
    <cellStyle name="Normal 11 2 3 3" xfId="143"/>
    <cellStyle name="Normal 11 2 3 3 2" xfId="477"/>
    <cellStyle name="Normal 11 2 3 3 3" xfId="311"/>
    <cellStyle name="Normal 11 2 3 4" xfId="395"/>
    <cellStyle name="Normal 11 2 3 5" xfId="228"/>
    <cellStyle name="Normal 11 2 4" xfId="78"/>
    <cellStyle name="Normal 11 2 4 2" xfId="167"/>
    <cellStyle name="Normal 11 2 4 2 2" xfId="498"/>
    <cellStyle name="Normal 11 2 4 2 3" xfId="333"/>
    <cellStyle name="Normal 11 2 4 3" xfId="416"/>
    <cellStyle name="Normal 11 2 4 4" xfId="249"/>
    <cellStyle name="Normal 11 2 5" xfId="123"/>
    <cellStyle name="Normal 11 2 5 2" xfId="457"/>
    <cellStyle name="Normal 11 2 5 3" xfId="291"/>
    <cellStyle name="Normal 11 2 6" xfId="375"/>
    <cellStyle name="Normal 11 2 7" xfId="208"/>
    <cellStyle name="Normal 11 3" xfId="37"/>
    <cellStyle name="Normal 11 3 2" xfId="58"/>
    <cellStyle name="Normal 11 3 2 2" xfId="103"/>
    <cellStyle name="Normal 11 3 2 2 2" xfId="192"/>
    <cellStyle name="Normal 11 3 2 2 2 2" xfId="523"/>
    <cellStyle name="Normal 11 3 2 2 2 3" xfId="358"/>
    <cellStyle name="Normal 11 3 2 2 3" xfId="441"/>
    <cellStyle name="Normal 11 3 2 2 4" xfId="275"/>
    <cellStyle name="Normal 11 3 2 3" xfId="148"/>
    <cellStyle name="Normal 11 3 2 3 2" xfId="482"/>
    <cellStyle name="Normal 11 3 2 3 3" xfId="316"/>
    <cellStyle name="Normal 11 3 2 4" xfId="400"/>
    <cellStyle name="Normal 11 3 2 5" xfId="233"/>
    <cellStyle name="Normal 11 3 3" xfId="83"/>
    <cellStyle name="Normal 11 3 3 2" xfId="172"/>
    <cellStyle name="Normal 11 3 3 2 2" xfId="503"/>
    <cellStyle name="Normal 11 3 3 2 3" xfId="338"/>
    <cellStyle name="Normal 11 3 3 3" xfId="421"/>
    <cellStyle name="Normal 11 3 3 4" xfId="254"/>
    <cellStyle name="Normal 11 3 4" xfId="128"/>
    <cellStyle name="Normal 11 3 4 2" xfId="462"/>
    <cellStyle name="Normal 11 3 4 3" xfId="296"/>
    <cellStyle name="Normal 11 3 5" xfId="380"/>
    <cellStyle name="Normal 11 3 6" xfId="213"/>
    <cellStyle name="Normal 11 4" xfId="48"/>
    <cellStyle name="Normal 11 4 2" xfId="93"/>
    <cellStyle name="Normal 11 4 2 2" xfId="182"/>
    <cellStyle name="Normal 11 4 2 2 2" xfId="513"/>
    <cellStyle name="Normal 11 4 2 2 3" xfId="348"/>
    <cellStyle name="Normal 11 4 2 3" xfId="431"/>
    <cellStyle name="Normal 11 4 2 4" xfId="265"/>
    <cellStyle name="Normal 11 4 3" xfId="138"/>
    <cellStyle name="Normal 11 4 3 2" xfId="472"/>
    <cellStyle name="Normal 11 4 3 3" xfId="306"/>
    <cellStyle name="Normal 11 4 4" xfId="390"/>
    <cellStyle name="Normal 11 4 5" xfId="223"/>
    <cellStyle name="Normal 11 5" xfId="73"/>
    <cellStyle name="Normal 11 5 2" xfId="162"/>
    <cellStyle name="Normal 11 5 2 2" xfId="493"/>
    <cellStyle name="Normal 11 5 2 3" xfId="328"/>
    <cellStyle name="Normal 11 5 3" xfId="411"/>
    <cellStyle name="Normal 11 5 4" xfId="244"/>
    <cellStyle name="Normal 11 6" xfId="118"/>
    <cellStyle name="Normal 11 6 2" xfId="452"/>
    <cellStyle name="Normal 11 6 3" xfId="286"/>
    <cellStyle name="Normal 11 7" xfId="370"/>
    <cellStyle name="Normal 11 8" xfId="203"/>
    <cellStyle name="Normal 12" xfId="27"/>
    <cellStyle name="Normal 13" xfId="26"/>
    <cellStyle name="Normal 13 2" xfId="38"/>
    <cellStyle name="Normal 13 2 2" xfId="59"/>
    <cellStyle name="Normal 13 2 2 2" xfId="104"/>
    <cellStyle name="Normal 13 2 2 2 2" xfId="193"/>
    <cellStyle name="Normal 13 2 2 2 2 2" xfId="524"/>
    <cellStyle name="Normal 13 2 2 2 2 3" xfId="359"/>
    <cellStyle name="Normal 13 2 2 2 3" xfId="442"/>
    <cellStyle name="Normal 13 2 2 2 4" xfId="276"/>
    <cellStyle name="Normal 13 2 2 3" xfId="149"/>
    <cellStyle name="Normal 13 2 2 3 2" xfId="483"/>
    <cellStyle name="Normal 13 2 2 3 3" xfId="317"/>
    <cellStyle name="Normal 13 2 2 4" xfId="401"/>
    <cellStyle name="Normal 13 2 2 5" xfId="234"/>
    <cellStyle name="Normal 13 2 3" xfId="84"/>
    <cellStyle name="Normal 13 2 3 2" xfId="173"/>
    <cellStyle name="Normal 13 2 3 2 2" xfId="504"/>
    <cellStyle name="Normal 13 2 3 2 3" xfId="339"/>
    <cellStyle name="Normal 13 2 3 3" xfId="422"/>
    <cellStyle name="Normal 13 2 3 4" xfId="255"/>
    <cellStyle name="Normal 13 2 4" xfId="129"/>
    <cellStyle name="Normal 13 2 4 2" xfId="463"/>
    <cellStyle name="Normal 13 2 4 3" xfId="297"/>
    <cellStyle name="Normal 13 2 5" xfId="381"/>
    <cellStyle name="Normal 13 2 6" xfId="214"/>
    <cellStyle name="Normal 13 3" xfId="49"/>
    <cellStyle name="Normal 13 3 2" xfId="94"/>
    <cellStyle name="Normal 13 3 2 2" xfId="183"/>
    <cellStyle name="Normal 13 3 2 2 2" xfId="514"/>
    <cellStyle name="Normal 13 3 2 2 3" xfId="349"/>
    <cellStyle name="Normal 13 3 2 3" xfId="432"/>
    <cellStyle name="Normal 13 3 2 4" xfId="266"/>
    <cellStyle name="Normal 13 3 3" xfId="139"/>
    <cellStyle name="Normal 13 3 3 2" xfId="473"/>
    <cellStyle name="Normal 13 3 3 3" xfId="307"/>
    <cellStyle name="Normal 13 3 4" xfId="391"/>
    <cellStyle name="Normal 13 3 5" xfId="224"/>
    <cellStyle name="Normal 13 4" xfId="74"/>
    <cellStyle name="Normal 13 4 2" xfId="163"/>
    <cellStyle name="Normal 13 4 2 2" xfId="494"/>
    <cellStyle name="Normal 13 4 2 3" xfId="329"/>
    <cellStyle name="Normal 13 4 3" xfId="412"/>
    <cellStyle name="Normal 13 4 4" xfId="245"/>
    <cellStyle name="Normal 13 5" xfId="119"/>
    <cellStyle name="Normal 13 5 2" xfId="453"/>
    <cellStyle name="Normal 13 5 3" xfId="287"/>
    <cellStyle name="Normal 13 6" xfId="371"/>
    <cellStyle name="Normal 13 7" xfId="204"/>
    <cellStyle name="Normal 14" xfId="33"/>
    <cellStyle name="Normal 15" xfId="32"/>
    <cellStyle name="Normal 15 2" xfId="54"/>
    <cellStyle name="Normal 15 2 2" xfId="99"/>
    <cellStyle name="Normal 15 2 2 2" xfId="188"/>
    <cellStyle name="Normal 15 2 2 2 2" xfId="519"/>
    <cellStyle name="Normal 15 2 2 2 3" xfId="354"/>
    <cellStyle name="Normal 15 2 2 3" xfId="437"/>
    <cellStyle name="Normal 15 2 2 4" xfId="271"/>
    <cellStyle name="Normal 15 2 3" xfId="144"/>
    <cellStyle name="Normal 15 2 3 2" xfId="478"/>
    <cellStyle name="Normal 15 2 3 3" xfId="312"/>
    <cellStyle name="Normal 15 2 4" xfId="396"/>
    <cellStyle name="Normal 15 2 5" xfId="229"/>
    <cellStyle name="Normal 15 3" xfId="79"/>
    <cellStyle name="Normal 15 3 2" xfId="168"/>
    <cellStyle name="Normal 15 3 2 2" xfId="499"/>
    <cellStyle name="Normal 15 3 2 3" xfId="334"/>
    <cellStyle name="Normal 15 3 3" xfId="417"/>
    <cellStyle name="Normal 15 3 4" xfId="250"/>
    <cellStyle name="Normal 15 4" xfId="124"/>
    <cellStyle name="Normal 15 4 2" xfId="458"/>
    <cellStyle name="Normal 15 4 3" xfId="292"/>
    <cellStyle name="Normal 15 5" xfId="376"/>
    <cellStyle name="Normal 15 6" xfId="209"/>
    <cellStyle name="Normal 16" xfId="44"/>
    <cellStyle name="Normal 16 2" xfId="261"/>
    <cellStyle name="Normal 17" xfId="43"/>
    <cellStyle name="Normal 17 2" xfId="89"/>
    <cellStyle name="Normal 17 2 2" xfId="178"/>
    <cellStyle name="Normal 17 2 2 2" xfId="509"/>
    <cellStyle name="Normal 17 2 2 3" xfId="344"/>
    <cellStyle name="Normal 17 2 3" xfId="427"/>
    <cellStyle name="Normal 17 2 4" xfId="260"/>
    <cellStyle name="Normal 17 3" xfId="134"/>
    <cellStyle name="Normal 17 3 2" xfId="468"/>
    <cellStyle name="Normal 17 3 3" xfId="302"/>
    <cellStyle name="Normal 17 4" xfId="386"/>
    <cellStyle name="Normal 17 5" xfId="219"/>
    <cellStyle name="Normal 18" xfId="6"/>
    <cellStyle name="Normal 18 2" xfId="68"/>
    <cellStyle name="Normal 18 2 2" xfId="157"/>
    <cellStyle name="Normal 18 2 2 2" xfId="529"/>
    <cellStyle name="Normal 18 2 2 3" xfId="364"/>
    <cellStyle name="Normal 18 2 3" xfId="447"/>
    <cellStyle name="Normal 18 2 4" xfId="281"/>
    <cellStyle name="Normal 18 3" xfId="113"/>
    <cellStyle name="Normal 18 3 2" xfId="488"/>
    <cellStyle name="Normal 18 3 3" xfId="322"/>
    <cellStyle name="Normal 18 4" xfId="406"/>
    <cellStyle name="Normal 18 5" xfId="239"/>
    <cellStyle name="Normal 19" xfId="65"/>
    <cellStyle name="Normal 19 2" xfId="324"/>
    <cellStyle name="Normal 2" xfId="1"/>
    <cellStyle name="Normal 20" xfId="64"/>
    <cellStyle name="Normal 20 2" xfId="154"/>
    <cellStyle name="Normal 20 2 2" xfId="489"/>
    <cellStyle name="Normal 20 2 3" xfId="323"/>
    <cellStyle name="Normal 20 3" xfId="407"/>
    <cellStyle name="Normal 20 4" xfId="240"/>
    <cellStyle name="Normal 21" xfId="110"/>
    <cellStyle name="Normal 22" xfId="109"/>
    <cellStyle name="Normal 22 2" xfId="448"/>
    <cellStyle name="Normal 22 3" xfId="282"/>
    <cellStyle name="Normal 23" xfId="366"/>
    <cellStyle name="Normal 24" xfId="365"/>
    <cellStyle name="Normal 25" xfId="199"/>
    <cellStyle name="Normal 26" xfId="198"/>
    <cellStyle name="Normal 3" xfId="2"/>
    <cellStyle name="Normal 4" xfId="3"/>
    <cellStyle name="Normal 4 2" xfId="24"/>
    <cellStyle name="Normal 4 2 2" xfId="30"/>
    <cellStyle name="Normal 4 2 2 2" xfId="41"/>
    <cellStyle name="Normal 4 2 2 2 2" xfId="62"/>
    <cellStyle name="Normal 4 2 2 2 2 2" xfId="107"/>
    <cellStyle name="Normal 4 2 2 2 2 2 2" xfId="196"/>
    <cellStyle name="Normal 4 2 2 2 2 2 2 2" xfId="527"/>
    <cellStyle name="Normal 4 2 2 2 2 2 2 3" xfId="362"/>
    <cellStyle name="Normal 4 2 2 2 2 2 3" xfId="445"/>
    <cellStyle name="Normal 4 2 2 2 2 2 4" xfId="279"/>
    <cellStyle name="Normal 4 2 2 2 2 3" xfId="152"/>
    <cellStyle name="Normal 4 2 2 2 2 3 2" xfId="486"/>
    <cellStyle name="Normal 4 2 2 2 2 3 3" xfId="320"/>
    <cellStyle name="Normal 4 2 2 2 2 4" xfId="404"/>
    <cellStyle name="Normal 4 2 2 2 2 5" xfId="237"/>
    <cellStyle name="Normal 4 2 2 2 3" xfId="87"/>
    <cellStyle name="Normal 4 2 2 2 3 2" xfId="176"/>
    <cellStyle name="Normal 4 2 2 2 3 2 2" xfId="507"/>
    <cellStyle name="Normal 4 2 2 2 3 2 3" xfId="342"/>
    <cellStyle name="Normal 4 2 2 2 3 3" xfId="425"/>
    <cellStyle name="Normal 4 2 2 2 3 4" xfId="258"/>
    <cellStyle name="Normal 4 2 2 2 4" xfId="132"/>
    <cellStyle name="Normal 4 2 2 2 4 2" xfId="466"/>
    <cellStyle name="Normal 4 2 2 2 4 3" xfId="300"/>
    <cellStyle name="Normal 4 2 2 2 5" xfId="384"/>
    <cellStyle name="Normal 4 2 2 2 6" xfId="217"/>
    <cellStyle name="Normal 4 2 2 3" xfId="52"/>
    <cellStyle name="Normal 4 2 2 3 2" xfId="97"/>
    <cellStyle name="Normal 4 2 2 3 2 2" xfId="186"/>
    <cellStyle name="Normal 4 2 2 3 2 2 2" xfId="517"/>
    <cellStyle name="Normal 4 2 2 3 2 2 3" xfId="352"/>
    <cellStyle name="Normal 4 2 2 3 2 3" xfId="435"/>
    <cellStyle name="Normal 4 2 2 3 2 4" xfId="269"/>
    <cellStyle name="Normal 4 2 2 3 3" xfId="142"/>
    <cellStyle name="Normal 4 2 2 3 3 2" xfId="476"/>
    <cellStyle name="Normal 4 2 2 3 3 3" xfId="310"/>
    <cellStyle name="Normal 4 2 2 3 4" xfId="394"/>
    <cellStyle name="Normal 4 2 2 3 5" xfId="227"/>
    <cellStyle name="Normal 4 2 2 4" xfId="77"/>
    <cellStyle name="Normal 4 2 2 4 2" xfId="166"/>
    <cellStyle name="Normal 4 2 2 4 2 2" xfId="497"/>
    <cellStyle name="Normal 4 2 2 4 2 3" xfId="332"/>
    <cellStyle name="Normal 4 2 2 4 3" xfId="415"/>
    <cellStyle name="Normal 4 2 2 4 4" xfId="248"/>
    <cellStyle name="Normal 4 2 2 5" xfId="122"/>
    <cellStyle name="Normal 4 2 2 5 2" xfId="456"/>
    <cellStyle name="Normal 4 2 2 5 3" xfId="290"/>
    <cellStyle name="Normal 4 2 2 6" xfId="374"/>
    <cellStyle name="Normal 4 2 2 7" xfId="207"/>
    <cellStyle name="Normal 4 2 3" xfId="36"/>
    <cellStyle name="Normal 4 2 3 2" xfId="57"/>
    <cellStyle name="Normal 4 2 3 2 2" xfId="102"/>
    <cellStyle name="Normal 4 2 3 2 2 2" xfId="191"/>
    <cellStyle name="Normal 4 2 3 2 2 2 2" xfId="522"/>
    <cellStyle name="Normal 4 2 3 2 2 2 3" xfId="357"/>
    <cellStyle name="Normal 4 2 3 2 2 3" xfId="440"/>
    <cellStyle name="Normal 4 2 3 2 2 4" xfId="274"/>
    <cellStyle name="Normal 4 2 3 2 3" xfId="147"/>
    <cellStyle name="Normal 4 2 3 2 3 2" xfId="481"/>
    <cellStyle name="Normal 4 2 3 2 3 3" xfId="315"/>
    <cellStyle name="Normal 4 2 3 2 4" xfId="399"/>
    <cellStyle name="Normal 4 2 3 2 5" xfId="232"/>
    <cellStyle name="Normal 4 2 3 3" xfId="82"/>
    <cellStyle name="Normal 4 2 3 3 2" xfId="171"/>
    <cellStyle name="Normal 4 2 3 3 2 2" xfId="502"/>
    <cellStyle name="Normal 4 2 3 3 2 3" xfId="337"/>
    <cellStyle name="Normal 4 2 3 3 3" xfId="420"/>
    <cellStyle name="Normal 4 2 3 3 4" xfId="253"/>
    <cellStyle name="Normal 4 2 3 4" xfId="127"/>
    <cellStyle name="Normal 4 2 3 4 2" xfId="461"/>
    <cellStyle name="Normal 4 2 3 4 3" xfId="295"/>
    <cellStyle name="Normal 4 2 3 5" xfId="379"/>
    <cellStyle name="Normal 4 2 3 6" xfId="212"/>
    <cellStyle name="Normal 4 2 4" xfId="47"/>
    <cellStyle name="Normal 4 2 4 2" xfId="92"/>
    <cellStyle name="Normal 4 2 4 2 2" xfId="181"/>
    <cellStyle name="Normal 4 2 4 2 2 2" xfId="512"/>
    <cellStyle name="Normal 4 2 4 2 2 3" xfId="347"/>
    <cellStyle name="Normal 4 2 4 2 3" xfId="430"/>
    <cellStyle name="Normal 4 2 4 2 4" xfId="264"/>
    <cellStyle name="Normal 4 2 4 3" xfId="137"/>
    <cellStyle name="Normal 4 2 4 3 2" xfId="471"/>
    <cellStyle name="Normal 4 2 4 3 3" xfId="305"/>
    <cellStyle name="Normal 4 2 4 4" xfId="389"/>
    <cellStyle name="Normal 4 2 4 5" xfId="222"/>
    <cellStyle name="Normal 4 2 5" xfId="72"/>
    <cellStyle name="Normal 4 2 5 2" xfId="161"/>
    <cellStyle name="Normal 4 2 5 2 2" xfId="492"/>
    <cellStyle name="Normal 4 2 5 2 3" xfId="327"/>
    <cellStyle name="Normal 4 2 5 3" xfId="410"/>
    <cellStyle name="Normal 4 2 5 4" xfId="243"/>
    <cellStyle name="Normal 4 2 6" xfId="117"/>
    <cellStyle name="Normal 4 2 6 2" xfId="451"/>
    <cellStyle name="Normal 4 2 6 3" xfId="285"/>
    <cellStyle name="Normal 4 2 7" xfId="369"/>
    <cellStyle name="Normal 4 2 8" xfId="202"/>
    <cellStyle name="Normal 4 3" xfId="28"/>
    <cellStyle name="Normal 4 3 2" xfId="39"/>
    <cellStyle name="Normal 4 3 2 2" xfId="60"/>
    <cellStyle name="Normal 4 3 2 2 2" xfId="105"/>
    <cellStyle name="Normal 4 3 2 2 2 2" xfId="194"/>
    <cellStyle name="Normal 4 3 2 2 2 2 2" xfId="525"/>
    <cellStyle name="Normal 4 3 2 2 2 2 3" xfId="360"/>
    <cellStyle name="Normal 4 3 2 2 2 3" xfId="443"/>
    <cellStyle name="Normal 4 3 2 2 2 4" xfId="277"/>
    <cellStyle name="Normal 4 3 2 2 3" xfId="150"/>
    <cellStyle name="Normal 4 3 2 2 3 2" xfId="484"/>
    <cellStyle name="Normal 4 3 2 2 3 3" xfId="318"/>
    <cellStyle name="Normal 4 3 2 2 4" xfId="402"/>
    <cellStyle name="Normal 4 3 2 2 5" xfId="235"/>
    <cellStyle name="Normal 4 3 2 3" xfId="85"/>
    <cellStyle name="Normal 4 3 2 3 2" xfId="174"/>
    <cellStyle name="Normal 4 3 2 3 2 2" xfId="505"/>
    <cellStyle name="Normal 4 3 2 3 2 3" xfId="340"/>
    <cellStyle name="Normal 4 3 2 3 3" xfId="423"/>
    <cellStyle name="Normal 4 3 2 3 4" xfId="256"/>
    <cellStyle name="Normal 4 3 2 4" xfId="130"/>
    <cellStyle name="Normal 4 3 2 4 2" xfId="464"/>
    <cellStyle name="Normal 4 3 2 4 3" xfId="298"/>
    <cellStyle name="Normal 4 3 2 5" xfId="382"/>
    <cellStyle name="Normal 4 3 2 6" xfId="215"/>
    <cellStyle name="Normal 4 3 3" xfId="50"/>
    <cellStyle name="Normal 4 3 3 2" xfId="95"/>
    <cellStyle name="Normal 4 3 3 2 2" xfId="184"/>
    <cellStyle name="Normal 4 3 3 2 2 2" xfId="515"/>
    <cellStyle name="Normal 4 3 3 2 2 3" xfId="350"/>
    <cellStyle name="Normal 4 3 3 2 3" xfId="433"/>
    <cellStyle name="Normal 4 3 3 2 4" xfId="267"/>
    <cellStyle name="Normal 4 3 3 3" xfId="140"/>
    <cellStyle name="Normal 4 3 3 3 2" xfId="474"/>
    <cellStyle name="Normal 4 3 3 3 3" xfId="308"/>
    <cellStyle name="Normal 4 3 3 4" xfId="392"/>
    <cellStyle name="Normal 4 3 3 5" xfId="225"/>
    <cellStyle name="Normal 4 3 4" xfId="75"/>
    <cellStyle name="Normal 4 3 4 2" xfId="164"/>
    <cellStyle name="Normal 4 3 4 2 2" xfId="495"/>
    <cellStyle name="Normal 4 3 4 2 3" xfId="330"/>
    <cellStyle name="Normal 4 3 4 3" xfId="413"/>
    <cellStyle name="Normal 4 3 4 4" xfId="246"/>
    <cellStyle name="Normal 4 3 5" xfId="120"/>
    <cellStyle name="Normal 4 3 5 2" xfId="454"/>
    <cellStyle name="Normal 4 3 5 3" xfId="288"/>
    <cellStyle name="Normal 4 3 6" xfId="372"/>
    <cellStyle name="Normal 4 3 7" xfId="205"/>
    <cellStyle name="Normal 4 4" xfId="34"/>
    <cellStyle name="Normal 4 4 2" xfId="55"/>
    <cellStyle name="Normal 4 4 2 2" xfId="100"/>
    <cellStyle name="Normal 4 4 2 2 2" xfId="189"/>
    <cellStyle name="Normal 4 4 2 2 2 2" xfId="520"/>
    <cellStyle name="Normal 4 4 2 2 2 3" xfId="355"/>
    <cellStyle name="Normal 4 4 2 2 3" xfId="438"/>
    <cellStyle name="Normal 4 4 2 2 4" xfId="272"/>
    <cellStyle name="Normal 4 4 2 3" xfId="145"/>
    <cellStyle name="Normal 4 4 2 3 2" xfId="479"/>
    <cellStyle name="Normal 4 4 2 3 3" xfId="313"/>
    <cellStyle name="Normal 4 4 2 4" xfId="397"/>
    <cellStyle name="Normal 4 4 2 5" xfId="230"/>
    <cellStyle name="Normal 4 4 3" xfId="80"/>
    <cellStyle name="Normal 4 4 3 2" xfId="169"/>
    <cellStyle name="Normal 4 4 3 2 2" xfId="500"/>
    <cellStyle name="Normal 4 4 3 2 3" xfId="335"/>
    <cellStyle name="Normal 4 4 3 3" xfId="418"/>
    <cellStyle name="Normal 4 4 3 4" xfId="251"/>
    <cellStyle name="Normal 4 4 4" xfId="125"/>
    <cellStyle name="Normal 4 4 4 2" xfId="459"/>
    <cellStyle name="Normal 4 4 4 3" xfId="293"/>
    <cellStyle name="Normal 4 4 5" xfId="377"/>
    <cellStyle name="Normal 4 4 6" xfId="210"/>
    <cellStyle name="Normal 4 5" xfId="45"/>
    <cellStyle name="Normal 4 5 2" xfId="90"/>
    <cellStyle name="Normal 4 5 2 2" xfId="179"/>
    <cellStyle name="Normal 4 5 2 2 2" xfId="510"/>
    <cellStyle name="Normal 4 5 2 2 3" xfId="345"/>
    <cellStyle name="Normal 4 5 2 3" xfId="428"/>
    <cellStyle name="Normal 4 5 2 4" xfId="262"/>
    <cellStyle name="Normal 4 5 3" xfId="135"/>
    <cellStyle name="Normal 4 5 3 2" xfId="469"/>
    <cellStyle name="Normal 4 5 3 3" xfId="303"/>
    <cellStyle name="Normal 4 5 4" xfId="387"/>
    <cellStyle name="Normal 4 5 5" xfId="220"/>
    <cellStyle name="Normal 4 6" xfId="8"/>
    <cellStyle name="Normal 4 6 2" xfId="69"/>
    <cellStyle name="Normal 4 6 2 2" xfId="158"/>
    <cellStyle name="Normal 4 6 2 2 2" xfId="490"/>
    <cellStyle name="Normal 4 6 2 3" xfId="325"/>
    <cellStyle name="Normal 4 6 3" xfId="114"/>
    <cellStyle name="Normal 4 6 3 2" xfId="408"/>
    <cellStyle name="Normal 4 6 4" xfId="241"/>
    <cellStyle name="Normal 4 7" xfId="66"/>
    <cellStyle name="Normal 4 7 2" xfId="155"/>
    <cellStyle name="Normal 4 7 2 2" xfId="449"/>
    <cellStyle name="Normal 4 7 3" xfId="283"/>
    <cellStyle name="Normal 4 8" xfId="111"/>
    <cellStyle name="Normal 4 8 2" xfId="367"/>
    <cellStyle name="Normal 4 9" xfId="200"/>
    <cellStyle name="Normal 5" xfId="4"/>
    <cellStyle name="Normal 5 2" xfId="11"/>
    <cellStyle name="Normal 5 2 2" xfId="12"/>
    <cellStyle name="Normal 5 2 3" xfId="13"/>
    <cellStyle name="Normal 5 3" xfId="10"/>
    <cellStyle name="Normal 5 4" xfId="9"/>
    <cellStyle name="Normal 5 4 2" xfId="70"/>
    <cellStyle name="Normal 5 4 2 2" xfId="159"/>
    <cellStyle name="Normal 5 4 3" xfId="115"/>
    <cellStyle name="Normal 5 5" xfId="67"/>
    <cellStyle name="Normal 5 5 2" xfId="156"/>
    <cellStyle name="Normal 5 6" xfId="112"/>
    <cellStyle name="Normal 6" xfId="7"/>
    <cellStyle name="Normal 6 2" xfId="15"/>
    <cellStyle name="Normal 6 3" xfId="16"/>
    <cellStyle name="Normal 6 3 2" xfId="17"/>
    <cellStyle name="Normal 6 4" xfId="14"/>
    <cellStyle name="Normal 7" xfId="18"/>
    <cellStyle name="Normal 7 2" xfId="19"/>
    <cellStyle name="Normal 8" xfId="20"/>
    <cellStyle name="Normal 8 2" xfId="21"/>
    <cellStyle name="Normal 9" xfId="22"/>
  </cellStyles>
  <dxfs count="0"/>
  <tableStyles count="0" defaultTableStyle="TableStyleMedium9" defaultPivotStyle="PivotStyleLight16"/>
  <colors>
    <mruColors>
      <color rgb="FFFFFF99"/>
      <color rgb="FF99CCFF"/>
      <color rgb="FF0000FF"/>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8</xdr:col>
      <xdr:colOff>0</xdr:colOff>
      <xdr:row>0</xdr:row>
      <xdr:rowOff>0</xdr:rowOff>
    </xdr:from>
    <xdr:to>
      <xdr:col>8</xdr:col>
      <xdr:colOff>0</xdr:colOff>
      <xdr:row>0</xdr:row>
      <xdr:rowOff>0</xdr:rowOff>
    </xdr:to>
    <xdr:sp macro="" textlink="">
      <xdr:nvSpPr>
        <xdr:cNvPr id="4167" name="Rectangle 1"/>
        <xdr:cNvSpPr>
          <a:spLocks noChangeArrowheads="1"/>
        </xdr:cNvSpPr>
      </xdr:nvSpPr>
      <xdr:spPr bwMode="auto">
        <a:xfrm>
          <a:off x="12268200" y="0"/>
          <a:ext cx="0" cy="0"/>
        </a:xfrm>
        <a:prstGeom prst="rect">
          <a:avLst/>
        </a:prstGeom>
        <a:solidFill>
          <a:srgbClr val="C0C0C0"/>
        </a:solidFill>
        <a:ln w="9525">
          <a:no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7"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3.xml.rels><?xml version="1.0" encoding="UTF-8" standalone="yes"?>
<Relationships xmlns="http://schemas.openxmlformats.org/package/2006/relationships"><Relationship Id="rId3" Type="http://schemas.openxmlformats.org/officeDocument/2006/relationships/hyperlink" Target="http://drcdirect/informationsystems/eis/dteam/Louisiana/Common%20Louisiana%20Spring/Reporting/" TargetMode="External"/><Relationship Id="rId2" Type="http://schemas.openxmlformats.org/officeDocument/2006/relationships/hyperlink" Target="http://drcdirect/informationsystems/eis/dteam/Louisiana/iLEAP/" TargetMode="External"/><Relationship Id="rId1" Type="http://schemas.openxmlformats.org/officeDocument/2006/relationships/hyperlink" Target="http://drcdirect/informationsystems/eis/dteam/Louisiana/iLEAP/" TargetMode="External"/><Relationship Id="rId6" Type="http://schemas.openxmlformats.org/officeDocument/2006/relationships/printerSettings" Target="../printerSettings/printerSettings8.bin"/><Relationship Id="rId5" Type="http://schemas.openxmlformats.org/officeDocument/2006/relationships/hyperlink" Target="http://drcdirect/informationsystems/eis/H_ROOT/dots/Louisiana" TargetMode="External"/><Relationship Id="rId4" Type="http://schemas.openxmlformats.org/officeDocument/2006/relationships/hyperlink" Target="http://drcdirect/informationsystems/eis/dteam/Louisiana/Accountability/"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J425"/>
  <sheetViews>
    <sheetView tabSelected="1" zoomScale="70" zoomScaleNormal="70" workbookViewId="0">
      <selection activeCell="H248" sqref="H248"/>
    </sheetView>
  </sheetViews>
  <sheetFormatPr defaultColWidth="9.109375" defaultRowHeight="13.2" x14ac:dyDescent="0.25"/>
  <cols>
    <col min="1" max="2" width="14.6640625" style="48" customWidth="1"/>
    <col min="3" max="3" width="12" style="43" customWidth="1"/>
    <col min="4" max="5" width="11.33203125" style="48" customWidth="1"/>
    <col min="6" max="6" width="9.109375" style="48" customWidth="1"/>
    <col min="7" max="7" width="61.6640625" style="52" customWidth="1"/>
    <col min="8" max="8" width="50.44140625" style="49" customWidth="1"/>
    <col min="9" max="9" width="80.109375" style="139" customWidth="1"/>
    <col min="10" max="16384" width="9.109375" style="46"/>
  </cols>
  <sheetData>
    <row r="1" spans="1:10" s="30" customFormat="1" ht="21.75" customHeight="1" x14ac:dyDescent="0.4">
      <c r="A1" s="171"/>
      <c r="B1" s="171"/>
      <c r="C1" s="171"/>
      <c r="D1" s="172" t="s">
        <v>473</v>
      </c>
      <c r="E1" s="172"/>
      <c r="F1" s="172"/>
      <c r="G1" s="172"/>
      <c r="H1" s="172"/>
      <c r="I1" s="136" t="s">
        <v>724</v>
      </c>
    </row>
    <row r="2" spans="1:10" s="4" customFormat="1" ht="64.5" customHeight="1" x14ac:dyDescent="0.3">
      <c r="A2" s="31" t="s">
        <v>233</v>
      </c>
      <c r="B2" s="31" t="s">
        <v>234</v>
      </c>
      <c r="C2" s="31" t="s">
        <v>76</v>
      </c>
      <c r="D2" s="31" t="s">
        <v>77</v>
      </c>
      <c r="E2" s="31" t="s">
        <v>78</v>
      </c>
      <c r="F2" s="32" t="s">
        <v>21</v>
      </c>
      <c r="G2" s="32" t="s">
        <v>333</v>
      </c>
      <c r="H2" s="31" t="s">
        <v>79</v>
      </c>
      <c r="I2" s="32" t="s">
        <v>80</v>
      </c>
      <c r="J2" s="3"/>
    </row>
    <row r="3" spans="1:10" s="6" customFormat="1" ht="12.75" customHeight="1" x14ac:dyDescent="0.25">
      <c r="A3" s="7"/>
      <c r="B3" s="7"/>
      <c r="C3" s="7"/>
      <c r="D3" s="28"/>
      <c r="E3" s="28"/>
      <c r="G3" s="5" t="s">
        <v>81</v>
      </c>
      <c r="H3" s="29"/>
    </row>
    <row r="4" spans="1:10" s="34" customFormat="1" x14ac:dyDescent="0.25">
      <c r="A4" s="33" t="s">
        <v>26</v>
      </c>
      <c r="B4" s="33" t="s">
        <v>26</v>
      </c>
      <c r="C4" s="78"/>
      <c r="D4" s="33">
        <v>1</v>
      </c>
      <c r="E4" s="33">
        <f t="shared" ref="E4:E11" si="0">D4+F4-1</f>
        <v>2</v>
      </c>
      <c r="F4" s="33">
        <v>2</v>
      </c>
      <c r="G4" s="34" t="s">
        <v>82</v>
      </c>
      <c r="H4" s="137" t="s">
        <v>460</v>
      </c>
      <c r="I4" s="131" t="s">
        <v>503</v>
      </c>
    </row>
    <row r="5" spans="1:10" s="34" customFormat="1" x14ac:dyDescent="0.25">
      <c r="A5" s="33" t="s">
        <v>26</v>
      </c>
      <c r="B5" s="33" t="s">
        <v>26</v>
      </c>
      <c r="C5" s="78"/>
      <c r="D5" s="33">
        <f>D4+F4</f>
        <v>3</v>
      </c>
      <c r="E5" s="33">
        <f t="shared" si="0"/>
        <v>6</v>
      </c>
      <c r="F5" s="33">
        <v>4</v>
      </c>
      <c r="G5" s="34" t="s">
        <v>83</v>
      </c>
      <c r="H5" s="35" t="s">
        <v>172</v>
      </c>
      <c r="I5" s="139" t="s">
        <v>23</v>
      </c>
    </row>
    <row r="6" spans="1:10" s="34" customFormat="1" ht="26.4" x14ac:dyDescent="0.25">
      <c r="A6" s="33" t="s">
        <v>26</v>
      </c>
      <c r="B6" s="33" t="s">
        <v>26</v>
      </c>
      <c r="C6" s="33"/>
      <c r="D6" s="33">
        <f t="shared" ref="D6:D15" si="1">D5+F5</f>
        <v>7</v>
      </c>
      <c r="E6" s="33">
        <f t="shared" si="0"/>
        <v>7</v>
      </c>
      <c r="F6" s="33">
        <v>1</v>
      </c>
      <c r="G6" s="34" t="s">
        <v>84</v>
      </c>
      <c r="H6" s="133" t="s">
        <v>11</v>
      </c>
      <c r="I6" s="133" t="s">
        <v>216</v>
      </c>
    </row>
    <row r="7" spans="1:10" s="34" customFormat="1" ht="31.5" customHeight="1" x14ac:dyDescent="0.25">
      <c r="A7" s="33" t="s">
        <v>26</v>
      </c>
      <c r="B7" s="33" t="s">
        <v>26</v>
      </c>
      <c r="C7" s="7" t="s">
        <v>175</v>
      </c>
      <c r="D7" s="33">
        <f t="shared" si="1"/>
        <v>8</v>
      </c>
      <c r="E7" s="33">
        <f t="shared" si="0"/>
        <v>10</v>
      </c>
      <c r="F7" s="33">
        <v>3</v>
      </c>
      <c r="G7" s="34" t="s">
        <v>85</v>
      </c>
      <c r="H7" s="133"/>
      <c r="I7" s="161" t="s">
        <v>691</v>
      </c>
    </row>
    <row r="8" spans="1:10" s="34" customFormat="1" ht="32.25" customHeight="1" x14ac:dyDescent="0.25">
      <c r="A8" s="33" t="s">
        <v>26</v>
      </c>
      <c r="B8" s="33" t="s">
        <v>26</v>
      </c>
      <c r="C8" s="7" t="s">
        <v>175</v>
      </c>
      <c r="D8" s="33">
        <f t="shared" si="1"/>
        <v>11</v>
      </c>
      <c r="E8" s="33">
        <f t="shared" si="0"/>
        <v>13</v>
      </c>
      <c r="F8" s="33">
        <v>3</v>
      </c>
      <c r="G8" s="34" t="s">
        <v>86</v>
      </c>
      <c r="H8" s="133"/>
      <c r="I8" s="162"/>
    </row>
    <row r="9" spans="1:10" s="34" customFormat="1" x14ac:dyDescent="0.25">
      <c r="A9" s="33" t="s">
        <v>26</v>
      </c>
      <c r="B9" s="33" t="s">
        <v>26</v>
      </c>
      <c r="C9" s="78"/>
      <c r="D9" s="33">
        <f t="shared" si="1"/>
        <v>14</v>
      </c>
      <c r="E9" s="33">
        <f t="shared" si="0"/>
        <v>53</v>
      </c>
      <c r="F9" s="33">
        <v>40</v>
      </c>
      <c r="G9" s="34" t="s">
        <v>87</v>
      </c>
      <c r="H9" s="133"/>
      <c r="I9" s="139"/>
    </row>
    <row r="10" spans="1:10" s="34" customFormat="1" x14ac:dyDescent="0.25">
      <c r="A10" s="33" t="s">
        <v>26</v>
      </c>
      <c r="B10" s="33" t="s">
        <v>26</v>
      </c>
      <c r="C10" s="78"/>
      <c r="D10" s="33">
        <f t="shared" si="1"/>
        <v>54</v>
      </c>
      <c r="E10" s="33">
        <f t="shared" si="0"/>
        <v>93</v>
      </c>
      <c r="F10" s="33">
        <v>40</v>
      </c>
      <c r="G10" s="34" t="s">
        <v>88</v>
      </c>
      <c r="H10" s="133"/>
      <c r="I10" s="139"/>
    </row>
    <row r="11" spans="1:10" s="34" customFormat="1" ht="66" x14ac:dyDescent="0.25">
      <c r="A11" s="33" t="s">
        <v>26</v>
      </c>
      <c r="B11" s="33" t="s">
        <v>26</v>
      </c>
      <c r="C11" s="78"/>
      <c r="D11" s="33">
        <f t="shared" si="1"/>
        <v>94</v>
      </c>
      <c r="E11" s="33">
        <f t="shared" si="0"/>
        <v>95</v>
      </c>
      <c r="F11" s="33">
        <v>2</v>
      </c>
      <c r="G11" s="34" t="s">
        <v>89</v>
      </c>
      <c r="H11" s="131" t="s">
        <v>448</v>
      </c>
      <c r="I11" s="131" t="s">
        <v>449</v>
      </c>
    </row>
    <row r="12" spans="1:10" s="34" customFormat="1" x14ac:dyDescent="0.25">
      <c r="A12" s="33" t="s">
        <v>27</v>
      </c>
      <c r="B12" s="33" t="s">
        <v>26</v>
      </c>
      <c r="C12" s="7" t="s">
        <v>350</v>
      </c>
      <c r="D12" s="33">
        <f>D11+F11</f>
        <v>96</v>
      </c>
      <c r="E12" s="33">
        <f t="shared" ref="E12:E18" si="2">D12+F12-1</f>
        <v>107</v>
      </c>
      <c r="F12" s="33">
        <v>12</v>
      </c>
      <c r="G12" s="34" t="s">
        <v>90</v>
      </c>
      <c r="H12" s="133"/>
      <c r="I12" s="159" t="s">
        <v>197</v>
      </c>
    </row>
    <row r="13" spans="1:10" s="34" customFormat="1" x14ac:dyDescent="0.25">
      <c r="A13" s="33" t="s">
        <v>27</v>
      </c>
      <c r="B13" s="33" t="s">
        <v>26</v>
      </c>
      <c r="C13" s="7" t="s">
        <v>350</v>
      </c>
      <c r="D13" s="33">
        <f t="shared" si="1"/>
        <v>108</v>
      </c>
      <c r="E13" s="33">
        <f t="shared" si="2"/>
        <v>115</v>
      </c>
      <c r="F13" s="33">
        <v>8</v>
      </c>
      <c r="G13" s="34" t="s">
        <v>91</v>
      </c>
      <c r="H13" s="133"/>
      <c r="I13" s="160"/>
    </row>
    <row r="14" spans="1:10" s="34" customFormat="1" x14ac:dyDescent="0.25">
      <c r="A14" s="33" t="s">
        <v>27</v>
      </c>
      <c r="B14" s="33" t="s">
        <v>26</v>
      </c>
      <c r="C14" s="33"/>
      <c r="D14" s="33">
        <f t="shared" si="1"/>
        <v>116</v>
      </c>
      <c r="E14" s="33">
        <f t="shared" si="2"/>
        <v>116</v>
      </c>
      <c r="F14" s="33">
        <v>1</v>
      </c>
      <c r="G14" s="34" t="s">
        <v>92</v>
      </c>
      <c r="H14" s="133"/>
      <c r="I14" s="6" t="s">
        <v>219</v>
      </c>
    </row>
    <row r="15" spans="1:10" s="34" customFormat="1" ht="39.6" x14ac:dyDescent="0.25">
      <c r="A15" s="33" t="s">
        <v>27</v>
      </c>
      <c r="B15" s="33" t="s">
        <v>26</v>
      </c>
      <c r="C15" s="7" t="s">
        <v>350</v>
      </c>
      <c r="D15" s="33">
        <f t="shared" si="1"/>
        <v>117</v>
      </c>
      <c r="E15" s="33">
        <f t="shared" si="2"/>
        <v>125</v>
      </c>
      <c r="F15" s="33">
        <v>9</v>
      </c>
      <c r="G15" s="34" t="s">
        <v>10</v>
      </c>
      <c r="H15" s="154" t="s">
        <v>726</v>
      </c>
      <c r="I15" s="131" t="s">
        <v>461</v>
      </c>
    </row>
    <row r="16" spans="1:10" s="34" customFormat="1" ht="55.5" customHeight="1" x14ac:dyDescent="0.25">
      <c r="A16" s="33" t="s">
        <v>27</v>
      </c>
      <c r="B16" s="33" t="s">
        <v>27</v>
      </c>
      <c r="C16" s="33"/>
      <c r="D16" s="33">
        <f>D15+F15</f>
        <v>126</v>
      </c>
      <c r="E16" s="33">
        <f t="shared" si="2"/>
        <v>134</v>
      </c>
      <c r="F16" s="33">
        <v>9</v>
      </c>
      <c r="G16" s="34" t="s">
        <v>12</v>
      </c>
      <c r="H16" s="131" t="s">
        <v>306</v>
      </c>
      <c r="I16" s="131" t="s">
        <v>690</v>
      </c>
    </row>
    <row r="17" spans="1:9" s="34" customFormat="1" ht="52.8" x14ac:dyDescent="0.25">
      <c r="A17" s="7" t="s">
        <v>26</v>
      </c>
      <c r="B17" s="7" t="s">
        <v>26</v>
      </c>
      <c r="C17" s="7"/>
      <c r="D17" s="7">
        <f>D16+F16</f>
        <v>135</v>
      </c>
      <c r="E17" s="7">
        <f t="shared" si="2"/>
        <v>135</v>
      </c>
      <c r="F17" s="7">
        <v>1</v>
      </c>
      <c r="G17" s="74" t="s">
        <v>484</v>
      </c>
      <c r="H17" s="131" t="s">
        <v>504</v>
      </c>
      <c r="I17" s="131" t="s">
        <v>445</v>
      </c>
    </row>
    <row r="18" spans="1:9" s="34" customFormat="1" x14ac:dyDescent="0.25">
      <c r="A18" s="142"/>
      <c r="B18" s="142"/>
      <c r="C18" s="7"/>
      <c r="D18" s="155">
        <f>D17+F17</f>
        <v>136</v>
      </c>
      <c r="E18" s="7">
        <f t="shared" si="2"/>
        <v>144</v>
      </c>
      <c r="F18" s="155">
        <v>9</v>
      </c>
      <c r="G18" s="74" t="s">
        <v>22</v>
      </c>
      <c r="H18" s="141"/>
      <c r="I18" s="141"/>
    </row>
    <row r="19" spans="1:9" s="34" customFormat="1" ht="39.6" x14ac:dyDescent="0.25">
      <c r="A19" s="33" t="s">
        <v>26</v>
      </c>
      <c r="B19" s="33" t="s">
        <v>26</v>
      </c>
      <c r="C19" s="7" t="s">
        <v>350</v>
      </c>
      <c r="D19" s="33">
        <f t="shared" ref="D19:D44" si="3">D18+F18</f>
        <v>145</v>
      </c>
      <c r="E19" s="33">
        <f t="shared" ref="E19:E44" si="4">D19+F19-1</f>
        <v>146</v>
      </c>
      <c r="F19" s="33">
        <v>2</v>
      </c>
      <c r="G19" s="74" t="s">
        <v>93</v>
      </c>
      <c r="H19" s="131" t="s">
        <v>692</v>
      </c>
      <c r="I19" s="159" t="s">
        <v>693</v>
      </c>
    </row>
    <row r="20" spans="1:9" s="34" customFormat="1" ht="33" customHeight="1" x14ac:dyDescent="0.25">
      <c r="A20" s="33" t="s">
        <v>26</v>
      </c>
      <c r="B20" s="33" t="s">
        <v>26</v>
      </c>
      <c r="C20" s="7" t="s">
        <v>350</v>
      </c>
      <c r="D20" s="33">
        <f t="shared" si="3"/>
        <v>147</v>
      </c>
      <c r="E20" s="33">
        <f t="shared" si="4"/>
        <v>148</v>
      </c>
      <c r="F20" s="33">
        <v>2</v>
      </c>
      <c r="G20" s="74" t="s">
        <v>94</v>
      </c>
      <c r="H20" s="131" t="s">
        <v>694</v>
      </c>
      <c r="I20" s="159"/>
    </row>
    <row r="21" spans="1:9" s="34" customFormat="1" ht="46.5" customHeight="1" x14ac:dyDescent="0.25">
      <c r="A21" s="33" t="s">
        <v>26</v>
      </c>
      <c r="B21" s="33" t="s">
        <v>26</v>
      </c>
      <c r="C21" s="7" t="s">
        <v>350</v>
      </c>
      <c r="D21" s="33">
        <f t="shared" si="3"/>
        <v>149</v>
      </c>
      <c r="E21" s="33">
        <f t="shared" si="4"/>
        <v>152</v>
      </c>
      <c r="F21" s="33">
        <v>4</v>
      </c>
      <c r="G21" s="74" t="s">
        <v>95</v>
      </c>
      <c r="H21" s="131" t="s">
        <v>349</v>
      </c>
      <c r="I21" s="159"/>
    </row>
    <row r="22" spans="1:9" s="34" customFormat="1" ht="66" x14ac:dyDescent="0.25">
      <c r="A22" s="33" t="s">
        <v>26</v>
      </c>
      <c r="B22" s="33" t="s">
        <v>26</v>
      </c>
      <c r="C22" s="7" t="s">
        <v>462</v>
      </c>
      <c r="D22" s="33">
        <f t="shared" si="3"/>
        <v>153</v>
      </c>
      <c r="E22" s="33">
        <f t="shared" si="4"/>
        <v>153</v>
      </c>
      <c r="F22" s="33">
        <v>1</v>
      </c>
      <c r="G22" s="34" t="s">
        <v>96</v>
      </c>
      <c r="H22" s="133" t="s">
        <v>43</v>
      </c>
      <c r="I22" s="131" t="s">
        <v>695</v>
      </c>
    </row>
    <row r="23" spans="1:9" s="34" customFormat="1" ht="105.6" x14ac:dyDescent="0.25">
      <c r="A23" s="33" t="s">
        <v>26</v>
      </c>
      <c r="B23" s="33" t="s">
        <v>26</v>
      </c>
      <c r="C23" s="7" t="s">
        <v>462</v>
      </c>
      <c r="D23" s="33">
        <f t="shared" si="3"/>
        <v>154</v>
      </c>
      <c r="E23" s="33">
        <f t="shared" si="4"/>
        <v>154</v>
      </c>
      <c r="F23" s="33">
        <v>1</v>
      </c>
      <c r="G23" s="74" t="s">
        <v>251</v>
      </c>
      <c r="H23" s="134" t="s">
        <v>348</v>
      </c>
      <c r="I23" s="131" t="s">
        <v>696</v>
      </c>
    </row>
    <row r="24" spans="1:9" s="34" customFormat="1" ht="66" x14ac:dyDescent="0.25">
      <c r="A24" s="7" t="s">
        <v>26</v>
      </c>
      <c r="B24" s="7" t="s">
        <v>26</v>
      </c>
      <c r="C24" s="7" t="s">
        <v>175</v>
      </c>
      <c r="D24" s="33">
        <f t="shared" si="3"/>
        <v>155</v>
      </c>
      <c r="E24" s="33">
        <f t="shared" si="4"/>
        <v>155</v>
      </c>
      <c r="F24" s="33">
        <v>1</v>
      </c>
      <c r="G24" s="156" t="s">
        <v>756</v>
      </c>
      <c r="H24" s="154" t="s">
        <v>761</v>
      </c>
      <c r="I24" s="131" t="s">
        <v>697</v>
      </c>
    </row>
    <row r="25" spans="1:9" s="36" customFormat="1" ht="52.8" x14ac:dyDescent="0.25">
      <c r="A25" s="7" t="s">
        <v>27</v>
      </c>
      <c r="B25" s="7" t="s">
        <v>27</v>
      </c>
      <c r="C25" s="33"/>
      <c r="D25" s="33">
        <f t="shared" si="3"/>
        <v>156</v>
      </c>
      <c r="E25" s="33">
        <f t="shared" si="4"/>
        <v>156</v>
      </c>
      <c r="F25" s="33">
        <v>1</v>
      </c>
      <c r="G25" s="156" t="s">
        <v>757</v>
      </c>
      <c r="H25" s="154" t="s">
        <v>758</v>
      </c>
      <c r="I25" s="131" t="s">
        <v>481</v>
      </c>
    </row>
    <row r="26" spans="1:9" s="36" customFormat="1" ht="79.2" x14ac:dyDescent="0.25">
      <c r="A26" s="33" t="s">
        <v>27</v>
      </c>
      <c r="B26" s="33" t="s">
        <v>27</v>
      </c>
      <c r="C26" s="78"/>
      <c r="D26" s="33">
        <f t="shared" si="3"/>
        <v>157</v>
      </c>
      <c r="E26" s="33">
        <f t="shared" si="4"/>
        <v>157</v>
      </c>
      <c r="F26" s="33">
        <v>1</v>
      </c>
      <c r="G26" s="34" t="s">
        <v>97</v>
      </c>
      <c r="H26" s="131" t="s">
        <v>439</v>
      </c>
      <c r="I26" s="131" t="s">
        <v>436</v>
      </c>
    </row>
    <row r="27" spans="1:9" s="36" customFormat="1" x14ac:dyDescent="0.25">
      <c r="A27" s="142"/>
      <c r="B27" s="142"/>
      <c r="C27" s="33"/>
      <c r="D27" s="33">
        <f t="shared" si="3"/>
        <v>158</v>
      </c>
      <c r="E27" s="33">
        <f t="shared" si="4"/>
        <v>158</v>
      </c>
      <c r="F27" s="33">
        <v>1</v>
      </c>
      <c r="G27" s="157" t="s">
        <v>22</v>
      </c>
      <c r="H27" s="143"/>
      <c r="I27" s="149"/>
    </row>
    <row r="28" spans="1:9" s="36" customFormat="1" ht="52.8" x14ac:dyDescent="0.25">
      <c r="A28" s="33" t="s">
        <v>27</v>
      </c>
      <c r="B28" s="33" t="s">
        <v>27</v>
      </c>
      <c r="C28" s="33"/>
      <c r="D28" s="33">
        <f t="shared" si="3"/>
        <v>159</v>
      </c>
      <c r="E28" s="33">
        <f t="shared" si="4"/>
        <v>159</v>
      </c>
      <c r="F28" s="33">
        <v>1</v>
      </c>
      <c r="G28" s="74" t="s">
        <v>334</v>
      </c>
      <c r="H28" s="131" t="s">
        <v>558</v>
      </c>
      <c r="I28" s="131" t="s">
        <v>445</v>
      </c>
    </row>
    <row r="29" spans="1:9" s="36" customFormat="1" ht="52.8" x14ac:dyDescent="0.25">
      <c r="A29" s="7" t="s">
        <v>27</v>
      </c>
      <c r="B29" s="7" t="s">
        <v>27</v>
      </c>
      <c r="C29" s="33"/>
      <c r="D29" s="33">
        <f t="shared" si="3"/>
        <v>160</v>
      </c>
      <c r="E29" s="33">
        <f t="shared" si="4"/>
        <v>161</v>
      </c>
      <c r="F29" s="33">
        <v>2</v>
      </c>
      <c r="G29" s="74" t="s">
        <v>422</v>
      </c>
      <c r="H29" s="63" t="s">
        <v>307</v>
      </c>
      <c r="I29" s="131" t="s">
        <v>481</v>
      </c>
    </row>
    <row r="30" spans="1:9" s="36" customFormat="1" ht="66" x14ac:dyDescent="0.25">
      <c r="A30" s="33" t="s">
        <v>26</v>
      </c>
      <c r="B30" s="33" t="s">
        <v>26</v>
      </c>
      <c r="C30" s="33"/>
      <c r="D30" s="33">
        <f t="shared" si="3"/>
        <v>162</v>
      </c>
      <c r="E30" s="33">
        <f t="shared" si="4"/>
        <v>162</v>
      </c>
      <c r="F30" s="33">
        <v>1</v>
      </c>
      <c r="G30" s="74" t="s">
        <v>335</v>
      </c>
      <c r="H30" s="63" t="s">
        <v>308</v>
      </c>
      <c r="I30" s="131" t="s">
        <v>481</v>
      </c>
    </row>
    <row r="31" spans="1:9" s="36" customFormat="1" ht="52.8" x14ac:dyDescent="0.25">
      <c r="A31" s="7" t="s">
        <v>27</v>
      </c>
      <c r="B31" s="7" t="s">
        <v>27</v>
      </c>
      <c r="C31" s="33"/>
      <c r="D31" s="33">
        <f t="shared" si="3"/>
        <v>163</v>
      </c>
      <c r="E31" s="33">
        <f t="shared" si="4"/>
        <v>163</v>
      </c>
      <c r="F31" s="33">
        <v>1</v>
      </c>
      <c r="G31" s="74" t="s">
        <v>336</v>
      </c>
      <c r="H31" s="133" t="s">
        <v>309</v>
      </c>
      <c r="I31" s="131" t="s">
        <v>481</v>
      </c>
    </row>
    <row r="32" spans="1:9" s="36" customFormat="1" ht="39.6" x14ac:dyDescent="0.25">
      <c r="A32" s="7" t="s">
        <v>27</v>
      </c>
      <c r="B32" s="7" t="s">
        <v>27</v>
      </c>
      <c r="C32" s="33"/>
      <c r="D32" s="33">
        <f t="shared" si="3"/>
        <v>164</v>
      </c>
      <c r="E32" s="33">
        <f t="shared" si="4"/>
        <v>164</v>
      </c>
      <c r="F32" s="33">
        <v>1</v>
      </c>
      <c r="G32" s="34" t="s">
        <v>98</v>
      </c>
      <c r="H32" s="133" t="s">
        <v>310</v>
      </c>
      <c r="I32" s="131" t="s">
        <v>445</v>
      </c>
    </row>
    <row r="33" spans="1:9" s="36" customFormat="1" ht="39.6" x14ac:dyDescent="0.25">
      <c r="A33" s="7" t="s">
        <v>27</v>
      </c>
      <c r="B33" s="7" t="s">
        <v>26</v>
      </c>
      <c r="C33" s="7"/>
      <c r="D33" s="7">
        <f t="shared" si="3"/>
        <v>165</v>
      </c>
      <c r="E33" s="7">
        <f t="shared" si="4"/>
        <v>165</v>
      </c>
      <c r="F33" s="7">
        <v>1</v>
      </c>
      <c r="G33" s="74" t="s">
        <v>622</v>
      </c>
      <c r="H33" s="131" t="s">
        <v>628</v>
      </c>
      <c r="I33" s="131" t="s">
        <v>445</v>
      </c>
    </row>
    <row r="34" spans="1:9" s="36" customFormat="1" ht="81" customHeight="1" x14ac:dyDescent="0.25">
      <c r="A34" s="33" t="s">
        <v>27</v>
      </c>
      <c r="B34" s="33" t="s">
        <v>27</v>
      </c>
      <c r="C34" s="33"/>
      <c r="D34" s="33">
        <f t="shared" si="3"/>
        <v>166</v>
      </c>
      <c r="E34" s="33">
        <f t="shared" si="4"/>
        <v>166</v>
      </c>
      <c r="F34" s="33">
        <v>1</v>
      </c>
      <c r="G34" s="34" t="s">
        <v>99</v>
      </c>
      <c r="H34" s="134" t="s">
        <v>458</v>
      </c>
      <c r="I34" s="134" t="s">
        <v>481</v>
      </c>
    </row>
    <row r="35" spans="1:9" s="36" customFormat="1" ht="79.2" x14ac:dyDescent="0.25">
      <c r="A35" s="7" t="s">
        <v>27</v>
      </c>
      <c r="B35" s="7" t="s">
        <v>27</v>
      </c>
      <c r="C35" s="33"/>
      <c r="D35" s="33">
        <f t="shared" si="3"/>
        <v>167</v>
      </c>
      <c r="E35" s="33">
        <f t="shared" si="4"/>
        <v>167</v>
      </c>
      <c r="F35" s="33">
        <v>1</v>
      </c>
      <c r="G35" s="74" t="s">
        <v>293</v>
      </c>
      <c r="H35" s="134" t="s">
        <v>311</v>
      </c>
      <c r="I35" s="137" t="s">
        <v>481</v>
      </c>
    </row>
    <row r="36" spans="1:9" s="36" customFormat="1" ht="66" x14ac:dyDescent="0.25">
      <c r="A36" s="7" t="s">
        <v>27</v>
      </c>
      <c r="B36" s="7" t="s">
        <v>27</v>
      </c>
      <c r="C36" s="33"/>
      <c r="D36" s="33">
        <f t="shared" si="3"/>
        <v>168</v>
      </c>
      <c r="E36" s="33">
        <f t="shared" si="4"/>
        <v>168</v>
      </c>
      <c r="F36" s="33">
        <v>1</v>
      </c>
      <c r="G36" s="13" t="s">
        <v>170</v>
      </c>
      <c r="H36" s="134" t="s">
        <v>438</v>
      </c>
      <c r="I36" s="137" t="s">
        <v>436</v>
      </c>
    </row>
    <row r="37" spans="1:9" s="36" customFormat="1" x14ac:dyDescent="0.25">
      <c r="A37" s="7"/>
      <c r="B37" s="7"/>
      <c r="C37" s="33"/>
      <c r="D37" s="33">
        <f t="shared" si="3"/>
        <v>169</v>
      </c>
      <c r="E37" s="33">
        <f t="shared" si="4"/>
        <v>169</v>
      </c>
      <c r="F37" s="33">
        <v>1</v>
      </c>
      <c r="G37" s="13" t="s">
        <v>22</v>
      </c>
      <c r="H37" s="134"/>
      <c r="I37" s="137"/>
    </row>
    <row r="38" spans="1:9" s="36" customFormat="1" ht="52.8" x14ac:dyDescent="0.25">
      <c r="A38" s="7" t="s">
        <v>27</v>
      </c>
      <c r="B38" s="7" t="s">
        <v>27</v>
      </c>
      <c r="C38" s="33"/>
      <c r="D38" s="33">
        <f t="shared" si="3"/>
        <v>170</v>
      </c>
      <c r="E38" s="33">
        <f t="shared" si="4"/>
        <v>170</v>
      </c>
      <c r="F38" s="33">
        <v>1</v>
      </c>
      <c r="G38" s="13" t="s">
        <v>337</v>
      </c>
      <c r="H38" s="134" t="s">
        <v>312</v>
      </c>
      <c r="I38" s="131" t="s">
        <v>481</v>
      </c>
    </row>
    <row r="39" spans="1:9" s="34" customFormat="1" x14ac:dyDescent="0.25">
      <c r="A39" s="33"/>
      <c r="B39" s="33"/>
      <c r="D39" s="33">
        <f t="shared" si="3"/>
        <v>171</v>
      </c>
      <c r="E39" s="33">
        <f t="shared" si="4"/>
        <v>172</v>
      </c>
      <c r="F39" s="33">
        <v>2</v>
      </c>
      <c r="G39" s="34" t="s">
        <v>22</v>
      </c>
      <c r="H39" s="133"/>
      <c r="I39" s="139"/>
    </row>
    <row r="40" spans="1:9" s="34" customFormat="1" ht="52.8" x14ac:dyDescent="0.25">
      <c r="A40" s="33" t="s">
        <v>26</v>
      </c>
      <c r="B40" s="33" t="s">
        <v>26</v>
      </c>
      <c r="C40" s="7" t="s">
        <v>176</v>
      </c>
      <c r="D40" s="33">
        <f t="shared" si="3"/>
        <v>173</v>
      </c>
      <c r="E40" s="33">
        <f t="shared" si="4"/>
        <v>173</v>
      </c>
      <c r="F40" s="33">
        <v>1</v>
      </c>
      <c r="G40" s="34" t="s">
        <v>70</v>
      </c>
      <c r="H40" s="137" t="s">
        <v>463</v>
      </c>
      <c r="I40" s="131" t="s">
        <v>698</v>
      </c>
    </row>
    <row r="41" spans="1:9" s="34" customFormat="1" ht="66" x14ac:dyDescent="0.25">
      <c r="A41" s="7" t="s">
        <v>27</v>
      </c>
      <c r="B41" s="7" t="s">
        <v>27</v>
      </c>
      <c r="C41" s="33"/>
      <c r="D41" s="33">
        <f t="shared" si="3"/>
        <v>174</v>
      </c>
      <c r="E41" s="33">
        <f t="shared" si="4"/>
        <v>175</v>
      </c>
      <c r="F41" s="33">
        <v>2</v>
      </c>
      <c r="G41" s="74" t="s">
        <v>338</v>
      </c>
      <c r="H41" s="137" t="s">
        <v>474</v>
      </c>
      <c r="I41" s="131" t="s">
        <v>445</v>
      </c>
    </row>
    <row r="42" spans="1:9" s="34" customFormat="1" ht="52.8" x14ac:dyDescent="0.25">
      <c r="A42" s="33" t="s">
        <v>26</v>
      </c>
      <c r="B42" s="33" t="s">
        <v>26</v>
      </c>
      <c r="C42" s="33"/>
      <c r="D42" s="33">
        <f t="shared" si="3"/>
        <v>176</v>
      </c>
      <c r="E42" s="33">
        <f t="shared" si="4"/>
        <v>176</v>
      </c>
      <c r="F42" s="33">
        <v>1</v>
      </c>
      <c r="G42" s="34" t="s">
        <v>9</v>
      </c>
      <c r="H42" s="131" t="s">
        <v>372</v>
      </c>
      <c r="I42" s="131" t="s">
        <v>481</v>
      </c>
    </row>
    <row r="43" spans="1:9" s="34" customFormat="1" x14ac:dyDescent="0.25">
      <c r="A43" s="33"/>
      <c r="B43" s="33"/>
      <c r="C43" s="33"/>
      <c r="D43" s="33">
        <f t="shared" si="3"/>
        <v>177</v>
      </c>
      <c r="E43" s="33">
        <f t="shared" si="4"/>
        <v>177</v>
      </c>
      <c r="F43" s="33">
        <v>1</v>
      </c>
      <c r="G43" s="13" t="s">
        <v>22</v>
      </c>
      <c r="H43" s="137"/>
      <c r="I43" s="133"/>
    </row>
    <row r="44" spans="1:9" s="34" customFormat="1" ht="66" x14ac:dyDescent="0.25">
      <c r="A44" s="33" t="s">
        <v>27</v>
      </c>
      <c r="B44" s="33" t="s">
        <v>27</v>
      </c>
      <c r="C44" s="78"/>
      <c r="D44" s="33">
        <f t="shared" si="3"/>
        <v>178</v>
      </c>
      <c r="E44" s="33">
        <f t="shared" si="4"/>
        <v>178</v>
      </c>
      <c r="F44" s="33">
        <v>1</v>
      </c>
      <c r="G44" s="34" t="s">
        <v>8</v>
      </c>
      <c r="H44" s="131" t="s">
        <v>440</v>
      </c>
      <c r="I44" s="131" t="s">
        <v>436</v>
      </c>
    </row>
    <row r="45" spans="1:9" s="6" customFormat="1" x14ac:dyDescent="0.25">
      <c r="A45" s="7"/>
      <c r="B45" s="7"/>
      <c r="C45" s="7"/>
      <c r="D45" s="8"/>
      <c r="E45" s="8"/>
      <c r="G45" s="9" t="s">
        <v>173</v>
      </c>
      <c r="H45" s="10"/>
    </row>
    <row r="46" spans="1:9" s="34" customFormat="1" x14ac:dyDescent="0.25">
      <c r="A46" s="7" t="s">
        <v>27</v>
      </c>
      <c r="B46" s="7" t="s">
        <v>27</v>
      </c>
      <c r="C46" s="78"/>
      <c r="D46" s="33">
        <f>D44+F44</f>
        <v>179</v>
      </c>
      <c r="E46" s="33">
        <f>D46+F46-1</f>
        <v>179</v>
      </c>
      <c r="F46" s="33">
        <v>1</v>
      </c>
      <c r="G46" s="34" t="s">
        <v>100</v>
      </c>
      <c r="H46" s="159" t="s">
        <v>316</v>
      </c>
      <c r="I46" s="159" t="s">
        <v>442</v>
      </c>
    </row>
    <row r="47" spans="1:9" s="34" customFormat="1" x14ac:dyDescent="0.25">
      <c r="A47" s="7" t="s">
        <v>27</v>
      </c>
      <c r="B47" s="7" t="s">
        <v>27</v>
      </c>
      <c r="C47" s="78"/>
      <c r="D47" s="33">
        <f>D46+F46</f>
        <v>180</v>
      </c>
      <c r="E47" s="33">
        <f t="shared" ref="E47:E63" si="5">D47+F47-1</f>
        <v>180</v>
      </c>
      <c r="F47" s="33">
        <v>1</v>
      </c>
      <c r="G47" s="34" t="s">
        <v>101</v>
      </c>
      <c r="H47" s="173"/>
      <c r="I47" s="163"/>
    </row>
    <row r="48" spans="1:9" s="34" customFormat="1" x14ac:dyDescent="0.25">
      <c r="A48" s="7" t="s">
        <v>27</v>
      </c>
      <c r="B48" s="7" t="s">
        <v>27</v>
      </c>
      <c r="C48" s="33"/>
      <c r="D48" s="33">
        <f t="shared" ref="D48:D63" si="6">D47+F47</f>
        <v>181</v>
      </c>
      <c r="E48" s="33">
        <f t="shared" si="5"/>
        <v>181</v>
      </c>
      <c r="F48" s="33">
        <v>1</v>
      </c>
      <c r="G48" s="34" t="s">
        <v>102</v>
      </c>
      <c r="H48" s="173"/>
      <c r="I48" s="163"/>
    </row>
    <row r="49" spans="1:9" s="34" customFormat="1" x14ac:dyDescent="0.25">
      <c r="A49" s="7" t="s">
        <v>27</v>
      </c>
      <c r="B49" s="7" t="s">
        <v>27</v>
      </c>
      <c r="C49" s="33"/>
      <c r="D49" s="33">
        <f t="shared" si="6"/>
        <v>182</v>
      </c>
      <c r="E49" s="33">
        <f t="shared" si="5"/>
        <v>182</v>
      </c>
      <c r="F49" s="33">
        <v>1</v>
      </c>
      <c r="G49" s="34" t="s">
        <v>103</v>
      </c>
      <c r="H49" s="173"/>
      <c r="I49" s="163"/>
    </row>
    <row r="50" spans="1:9" s="34" customFormat="1" x14ac:dyDescent="0.25">
      <c r="A50" s="7" t="s">
        <v>27</v>
      </c>
      <c r="B50" s="7" t="s">
        <v>27</v>
      </c>
      <c r="C50" s="33"/>
      <c r="D50" s="33">
        <f t="shared" si="6"/>
        <v>183</v>
      </c>
      <c r="E50" s="33">
        <f t="shared" si="5"/>
        <v>183</v>
      </c>
      <c r="F50" s="33">
        <v>1</v>
      </c>
      <c r="G50" s="34" t="s">
        <v>104</v>
      </c>
      <c r="H50" s="173"/>
      <c r="I50" s="163"/>
    </row>
    <row r="51" spans="1:9" s="34" customFormat="1" x14ac:dyDescent="0.25">
      <c r="A51" s="7" t="s">
        <v>27</v>
      </c>
      <c r="B51" s="7" t="s">
        <v>27</v>
      </c>
      <c r="C51" s="33"/>
      <c r="D51" s="33">
        <f t="shared" si="6"/>
        <v>184</v>
      </c>
      <c r="E51" s="33">
        <f t="shared" si="5"/>
        <v>184</v>
      </c>
      <c r="F51" s="33">
        <v>1</v>
      </c>
      <c r="G51" s="34" t="s">
        <v>105</v>
      </c>
      <c r="H51" s="173"/>
      <c r="I51" s="163"/>
    </row>
    <row r="52" spans="1:9" s="34" customFormat="1" x14ac:dyDescent="0.25">
      <c r="A52" s="7" t="s">
        <v>27</v>
      </c>
      <c r="B52" s="7" t="s">
        <v>27</v>
      </c>
      <c r="C52" s="33"/>
      <c r="D52" s="33">
        <f t="shared" si="6"/>
        <v>185</v>
      </c>
      <c r="E52" s="33">
        <f t="shared" si="5"/>
        <v>185</v>
      </c>
      <c r="F52" s="33">
        <v>1</v>
      </c>
      <c r="G52" s="34" t="s">
        <v>106</v>
      </c>
      <c r="H52" s="173"/>
      <c r="I52" s="163"/>
    </row>
    <row r="53" spans="1:9" s="34" customFormat="1" x14ac:dyDescent="0.25">
      <c r="A53" s="7" t="s">
        <v>27</v>
      </c>
      <c r="B53" s="7" t="s">
        <v>27</v>
      </c>
      <c r="C53" s="33"/>
      <c r="D53" s="33">
        <f t="shared" si="6"/>
        <v>186</v>
      </c>
      <c r="E53" s="33">
        <f t="shared" si="5"/>
        <v>186</v>
      </c>
      <c r="F53" s="33">
        <v>1</v>
      </c>
      <c r="G53" s="34" t="s">
        <v>107</v>
      </c>
      <c r="H53" s="173"/>
      <c r="I53" s="163"/>
    </row>
    <row r="54" spans="1:9" s="34" customFormat="1" x14ac:dyDescent="0.25">
      <c r="A54" s="7" t="s">
        <v>27</v>
      </c>
      <c r="B54" s="7" t="s">
        <v>27</v>
      </c>
      <c r="C54" s="33"/>
      <c r="D54" s="33">
        <f t="shared" si="6"/>
        <v>187</v>
      </c>
      <c r="E54" s="33">
        <f t="shared" si="5"/>
        <v>187</v>
      </c>
      <c r="F54" s="33">
        <v>1</v>
      </c>
      <c r="G54" s="34" t="s">
        <v>108</v>
      </c>
      <c r="H54" s="173"/>
      <c r="I54" s="163"/>
    </row>
    <row r="55" spans="1:9" s="34" customFormat="1" x14ac:dyDescent="0.25">
      <c r="A55" s="7" t="s">
        <v>27</v>
      </c>
      <c r="B55" s="7" t="s">
        <v>27</v>
      </c>
      <c r="C55" s="33"/>
      <c r="D55" s="33">
        <f t="shared" si="6"/>
        <v>188</v>
      </c>
      <c r="E55" s="33">
        <f t="shared" si="5"/>
        <v>188</v>
      </c>
      <c r="F55" s="33">
        <v>1</v>
      </c>
      <c r="G55" s="34" t="s">
        <v>109</v>
      </c>
      <c r="H55" s="173"/>
      <c r="I55" s="163"/>
    </row>
    <row r="56" spans="1:9" s="34" customFormat="1" x14ac:dyDescent="0.25">
      <c r="A56" s="7" t="s">
        <v>27</v>
      </c>
      <c r="B56" s="7" t="s">
        <v>27</v>
      </c>
      <c r="C56" s="33"/>
      <c r="D56" s="33">
        <f t="shared" si="6"/>
        <v>189</v>
      </c>
      <c r="E56" s="33">
        <f t="shared" si="5"/>
        <v>189</v>
      </c>
      <c r="F56" s="33">
        <v>1</v>
      </c>
      <c r="G56" s="34" t="s">
        <v>110</v>
      </c>
      <c r="H56" s="173"/>
      <c r="I56" s="163"/>
    </row>
    <row r="57" spans="1:9" s="34" customFormat="1" x14ac:dyDescent="0.25">
      <c r="A57" s="7" t="s">
        <v>27</v>
      </c>
      <c r="B57" s="7" t="s">
        <v>27</v>
      </c>
      <c r="C57" s="33"/>
      <c r="D57" s="33">
        <f t="shared" si="6"/>
        <v>190</v>
      </c>
      <c r="E57" s="33">
        <f t="shared" si="5"/>
        <v>190</v>
      </c>
      <c r="F57" s="33">
        <v>1</v>
      </c>
      <c r="G57" s="34" t="s">
        <v>111</v>
      </c>
      <c r="H57" s="173"/>
      <c r="I57" s="163"/>
    </row>
    <row r="58" spans="1:9" s="34" customFormat="1" x14ac:dyDescent="0.25">
      <c r="A58" s="7" t="s">
        <v>27</v>
      </c>
      <c r="B58" s="7" t="s">
        <v>27</v>
      </c>
      <c r="C58" s="33"/>
      <c r="D58" s="33">
        <f t="shared" si="6"/>
        <v>191</v>
      </c>
      <c r="E58" s="33">
        <f t="shared" si="5"/>
        <v>191</v>
      </c>
      <c r="F58" s="33">
        <v>1</v>
      </c>
      <c r="G58" s="34" t="s">
        <v>112</v>
      </c>
      <c r="H58" s="173"/>
      <c r="I58" s="163"/>
    </row>
    <row r="59" spans="1:9" s="34" customFormat="1" x14ac:dyDescent="0.25">
      <c r="A59" s="7" t="s">
        <v>27</v>
      </c>
      <c r="B59" s="7" t="s">
        <v>27</v>
      </c>
      <c r="C59" s="33"/>
      <c r="D59" s="33">
        <f t="shared" si="6"/>
        <v>192</v>
      </c>
      <c r="E59" s="33">
        <f t="shared" si="5"/>
        <v>192</v>
      </c>
      <c r="F59" s="33">
        <v>1</v>
      </c>
      <c r="G59" s="34" t="s">
        <v>113</v>
      </c>
      <c r="H59" s="173"/>
      <c r="I59" s="163"/>
    </row>
    <row r="60" spans="1:9" s="34" customFormat="1" x14ac:dyDescent="0.25">
      <c r="A60" s="7" t="s">
        <v>27</v>
      </c>
      <c r="B60" s="7" t="s">
        <v>27</v>
      </c>
      <c r="C60" s="33"/>
      <c r="D60" s="33">
        <f t="shared" si="6"/>
        <v>193</v>
      </c>
      <c r="E60" s="33">
        <f t="shared" si="5"/>
        <v>193</v>
      </c>
      <c r="F60" s="33">
        <v>1</v>
      </c>
      <c r="G60" s="74" t="s">
        <v>423</v>
      </c>
      <c r="H60" s="173"/>
      <c r="I60" s="163"/>
    </row>
    <row r="61" spans="1:9" s="34" customFormat="1" x14ac:dyDescent="0.25">
      <c r="A61" s="7" t="s">
        <v>27</v>
      </c>
      <c r="B61" s="7" t="s">
        <v>27</v>
      </c>
      <c r="C61" s="33"/>
      <c r="D61" s="33">
        <f t="shared" si="6"/>
        <v>194</v>
      </c>
      <c r="E61" s="33">
        <f t="shared" si="5"/>
        <v>194</v>
      </c>
      <c r="F61" s="33">
        <v>1</v>
      </c>
      <c r="G61" s="34" t="s">
        <v>114</v>
      </c>
      <c r="H61" s="173"/>
      <c r="I61" s="163"/>
    </row>
    <row r="62" spans="1:9" s="34" customFormat="1" x14ac:dyDescent="0.25">
      <c r="A62" s="7" t="s">
        <v>27</v>
      </c>
      <c r="B62" s="7" t="s">
        <v>27</v>
      </c>
      <c r="C62" s="33"/>
      <c r="D62" s="33">
        <f t="shared" si="6"/>
        <v>195</v>
      </c>
      <c r="E62" s="33">
        <f t="shared" si="5"/>
        <v>195</v>
      </c>
      <c r="F62" s="33">
        <v>1</v>
      </c>
      <c r="G62" s="14" t="s">
        <v>434</v>
      </c>
      <c r="H62" s="173"/>
      <c r="I62" s="163"/>
    </row>
    <row r="63" spans="1:9" s="34" customFormat="1" x14ac:dyDescent="0.25">
      <c r="A63" s="33"/>
      <c r="B63" s="33"/>
      <c r="C63" s="33"/>
      <c r="D63" s="33">
        <f t="shared" si="6"/>
        <v>196</v>
      </c>
      <c r="E63" s="33">
        <f t="shared" si="5"/>
        <v>200</v>
      </c>
      <c r="F63" s="33">
        <v>5</v>
      </c>
      <c r="G63" s="38" t="s">
        <v>22</v>
      </c>
      <c r="H63" s="133"/>
      <c r="I63" s="139"/>
    </row>
    <row r="64" spans="1:9" s="6" customFormat="1" x14ac:dyDescent="0.25">
      <c r="A64" s="7"/>
      <c r="B64" s="7"/>
      <c r="C64" s="7"/>
      <c r="D64" s="8"/>
      <c r="E64" s="8"/>
      <c r="G64" s="9" t="s">
        <v>7</v>
      </c>
      <c r="H64" s="10"/>
    </row>
    <row r="65" spans="1:9" s="34" customFormat="1" x14ac:dyDescent="0.25">
      <c r="A65" s="7" t="s">
        <v>26</v>
      </c>
      <c r="B65" s="7" t="s">
        <v>26</v>
      </c>
      <c r="C65" s="33" t="s">
        <v>175</v>
      </c>
      <c r="D65" s="33">
        <f>D63+F63</f>
        <v>201</v>
      </c>
      <c r="E65" s="33">
        <f>D65+F65-1</f>
        <v>201</v>
      </c>
      <c r="F65" s="33">
        <v>1</v>
      </c>
      <c r="G65" s="34" t="s">
        <v>115</v>
      </c>
      <c r="H65" s="159" t="s">
        <v>316</v>
      </c>
      <c r="I65" s="164" t="s">
        <v>436</v>
      </c>
    </row>
    <row r="66" spans="1:9" s="34" customFormat="1" x14ac:dyDescent="0.25">
      <c r="A66" s="7" t="s">
        <v>26</v>
      </c>
      <c r="B66" s="7" t="s">
        <v>26</v>
      </c>
      <c r="C66" s="33" t="s">
        <v>175</v>
      </c>
      <c r="D66" s="33">
        <f>D65+F65</f>
        <v>202</v>
      </c>
      <c r="E66" s="33">
        <f t="shared" ref="E66:E77" si="7">D66+F66-1</f>
        <v>202</v>
      </c>
      <c r="F66" s="33">
        <v>1</v>
      </c>
      <c r="G66" s="34" t="s">
        <v>116</v>
      </c>
      <c r="H66" s="173"/>
      <c r="I66" s="165"/>
    </row>
    <row r="67" spans="1:9" s="34" customFormat="1" x14ac:dyDescent="0.25">
      <c r="A67" s="7" t="s">
        <v>26</v>
      </c>
      <c r="B67" s="7" t="s">
        <v>26</v>
      </c>
      <c r="C67" s="33" t="s">
        <v>175</v>
      </c>
      <c r="D67" s="33">
        <f t="shared" ref="D67:D77" si="8">D66+F66</f>
        <v>203</v>
      </c>
      <c r="E67" s="33">
        <f t="shared" si="7"/>
        <v>203</v>
      </c>
      <c r="F67" s="33">
        <v>1</v>
      </c>
      <c r="G67" s="34" t="s">
        <v>117</v>
      </c>
      <c r="H67" s="173"/>
      <c r="I67" s="165"/>
    </row>
    <row r="68" spans="1:9" s="34" customFormat="1" x14ac:dyDescent="0.25">
      <c r="A68" s="7" t="s">
        <v>26</v>
      </c>
      <c r="B68" s="7" t="s">
        <v>26</v>
      </c>
      <c r="C68" s="33" t="s">
        <v>175</v>
      </c>
      <c r="D68" s="33">
        <f t="shared" si="8"/>
        <v>204</v>
      </c>
      <c r="E68" s="33">
        <f t="shared" si="7"/>
        <v>204</v>
      </c>
      <c r="F68" s="33">
        <v>1</v>
      </c>
      <c r="G68" s="34" t="s">
        <v>118</v>
      </c>
      <c r="H68" s="173"/>
      <c r="I68" s="165"/>
    </row>
    <row r="69" spans="1:9" s="34" customFormat="1" x14ac:dyDescent="0.25">
      <c r="A69" s="7" t="s">
        <v>26</v>
      </c>
      <c r="B69" s="7" t="s">
        <v>26</v>
      </c>
      <c r="C69" s="33" t="s">
        <v>175</v>
      </c>
      <c r="D69" s="33">
        <f t="shared" si="8"/>
        <v>205</v>
      </c>
      <c r="E69" s="33">
        <f t="shared" si="7"/>
        <v>205</v>
      </c>
      <c r="F69" s="33">
        <v>1</v>
      </c>
      <c r="G69" s="34" t="s">
        <v>119</v>
      </c>
      <c r="H69" s="173"/>
      <c r="I69" s="165"/>
    </row>
    <row r="70" spans="1:9" s="34" customFormat="1" x14ac:dyDescent="0.25">
      <c r="A70" s="7" t="s">
        <v>26</v>
      </c>
      <c r="B70" s="7" t="s">
        <v>26</v>
      </c>
      <c r="C70" s="33" t="s">
        <v>175</v>
      </c>
      <c r="D70" s="33">
        <f t="shared" si="8"/>
        <v>206</v>
      </c>
      <c r="E70" s="33">
        <f t="shared" si="7"/>
        <v>206</v>
      </c>
      <c r="F70" s="33">
        <v>1</v>
      </c>
      <c r="G70" s="34" t="s">
        <v>120</v>
      </c>
      <c r="H70" s="173"/>
      <c r="I70" s="165"/>
    </row>
    <row r="71" spans="1:9" s="34" customFormat="1" x14ac:dyDescent="0.25">
      <c r="A71" s="7" t="s">
        <v>26</v>
      </c>
      <c r="B71" s="7" t="s">
        <v>26</v>
      </c>
      <c r="C71" s="33" t="s">
        <v>175</v>
      </c>
      <c r="D71" s="33">
        <f t="shared" si="8"/>
        <v>207</v>
      </c>
      <c r="E71" s="33">
        <f t="shared" si="7"/>
        <v>207</v>
      </c>
      <c r="F71" s="33">
        <v>1</v>
      </c>
      <c r="G71" s="34" t="s">
        <v>121</v>
      </c>
      <c r="H71" s="173"/>
      <c r="I71" s="165"/>
    </row>
    <row r="72" spans="1:9" s="34" customFormat="1" x14ac:dyDescent="0.25">
      <c r="A72" s="7" t="s">
        <v>26</v>
      </c>
      <c r="B72" s="7" t="s">
        <v>26</v>
      </c>
      <c r="C72" s="33" t="s">
        <v>175</v>
      </c>
      <c r="D72" s="33">
        <f t="shared" si="8"/>
        <v>208</v>
      </c>
      <c r="E72" s="33">
        <f t="shared" si="7"/>
        <v>208</v>
      </c>
      <c r="F72" s="33">
        <v>1</v>
      </c>
      <c r="G72" s="34" t="s">
        <v>122</v>
      </c>
      <c r="H72" s="173"/>
      <c r="I72" s="165"/>
    </row>
    <row r="73" spans="1:9" s="34" customFormat="1" x14ac:dyDescent="0.25">
      <c r="A73" s="7" t="s">
        <v>26</v>
      </c>
      <c r="B73" s="7" t="s">
        <v>26</v>
      </c>
      <c r="C73" s="33" t="s">
        <v>175</v>
      </c>
      <c r="D73" s="33">
        <f t="shared" si="8"/>
        <v>209</v>
      </c>
      <c r="E73" s="33">
        <f t="shared" si="7"/>
        <v>209</v>
      </c>
      <c r="F73" s="33">
        <v>1</v>
      </c>
      <c r="G73" s="34" t="s">
        <v>123</v>
      </c>
      <c r="H73" s="173"/>
      <c r="I73" s="165"/>
    </row>
    <row r="74" spans="1:9" s="34" customFormat="1" x14ac:dyDescent="0.25">
      <c r="A74" s="7" t="s">
        <v>26</v>
      </c>
      <c r="B74" s="7" t="s">
        <v>26</v>
      </c>
      <c r="C74" s="33" t="s">
        <v>175</v>
      </c>
      <c r="D74" s="33">
        <f t="shared" si="8"/>
        <v>210</v>
      </c>
      <c r="E74" s="33">
        <f t="shared" si="7"/>
        <v>210</v>
      </c>
      <c r="F74" s="33">
        <v>1</v>
      </c>
      <c r="G74" s="34" t="s">
        <v>124</v>
      </c>
      <c r="H74" s="173"/>
      <c r="I74" s="165"/>
    </row>
    <row r="75" spans="1:9" s="34" customFormat="1" x14ac:dyDescent="0.25">
      <c r="A75" s="7" t="s">
        <v>26</v>
      </c>
      <c r="B75" s="7" t="s">
        <v>26</v>
      </c>
      <c r="C75" s="33" t="s">
        <v>175</v>
      </c>
      <c r="D75" s="33">
        <f t="shared" si="8"/>
        <v>211</v>
      </c>
      <c r="E75" s="33">
        <f t="shared" si="7"/>
        <v>211</v>
      </c>
      <c r="F75" s="33">
        <v>1</v>
      </c>
      <c r="G75" s="34" t="s">
        <v>125</v>
      </c>
      <c r="H75" s="173"/>
      <c r="I75" s="165"/>
    </row>
    <row r="76" spans="1:9" s="34" customFormat="1" x14ac:dyDescent="0.25">
      <c r="A76" s="7"/>
      <c r="B76" s="7"/>
      <c r="C76" s="33" t="s">
        <v>175</v>
      </c>
      <c r="D76" s="33">
        <f t="shared" si="8"/>
        <v>212</v>
      </c>
      <c r="E76" s="33">
        <f t="shared" si="7"/>
        <v>216</v>
      </c>
      <c r="F76" s="33">
        <v>5</v>
      </c>
      <c r="G76" s="38" t="s">
        <v>22</v>
      </c>
      <c r="H76" s="133"/>
      <c r="I76" s="139"/>
    </row>
    <row r="77" spans="1:9" s="34" customFormat="1" ht="39.6" x14ac:dyDescent="0.25">
      <c r="A77" s="7" t="s">
        <v>27</v>
      </c>
      <c r="B77" s="7" t="s">
        <v>27</v>
      </c>
      <c r="C77" s="78"/>
      <c r="D77" s="33">
        <f t="shared" si="8"/>
        <v>217</v>
      </c>
      <c r="E77" s="33">
        <f t="shared" si="7"/>
        <v>217</v>
      </c>
      <c r="F77" s="33">
        <v>1</v>
      </c>
      <c r="G77" s="74" t="s">
        <v>521</v>
      </c>
      <c r="H77" s="131" t="s">
        <v>316</v>
      </c>
      <c r="I77" s="131" t="s">
        <v>436</v>
      </c>
    </row>
    <row r="78" spans="1:9" s="6" customFormat="1" x14ac:dyDescent="0.25">
      <c r="A78" s="7"/>
      <c r="B78" s="7"/>
      <c r="C78" s="7"/>
      <c r="D78" s="8"/>
      <c r="E78" s="8"/>
      <c r="G78" s="9" t="s">
        <v>6</v>
      </c>
      <c r="H78" s="168" t="s">
        <v>316</v>
      </c>
      <c r="I78" s="166" t="s">
        <v>436</v>
      </c>
    </row>
    <row r="79" spans="1:9" s="34" customFormat="1" x14ac:dyDescent="0.25">
      <c r="A79" s="7" t="s">
        <v>26</v>
      </c>
      <c r="B79" s="7" t="s">
        <v>26</v>
      </c>
      <c r="C79" s="33" t="s">
        <v>175</v>
      </c>
      <c r="D79" s="33">
        <f>D77+F77</f>
        <v>218</v>
      </c>
      <c r="E79" s="33">
        <f>D79+F79-1</f>
        <v>218</v>
      </c>
      <c r="F79" s="33">
        <v>1</v>
      </c>
      <c r="G79" s="34" t="s">
        <v>115</v>
      </c>
      <c r="H79" s="173"/>
      <c r="I79" s="167"/>
    </row>
    <row r="80" spans="1:9" s="34" customFormat="1" x14ac:dyDescent="0.25">
      <c r="A80" s="7" t="s">
        <v>26</v>
      </c>
      <c r="B80" s="7" t="s">
        <v>26</v>
      </c>
      <c r="C80" s="33" t="s">
        <v>175</v>
      </c>
      <c r="D80" s="33">
        <f t="shared" ref="D80:D86" si="9">D79+F79</f>
        <v>219</v>
      </c>
      <c r="E80" s="33">
        <f t="shared" ref="E80:E86" si="10">D80+F80-1</f>
        <v>219</v>
      </c>
      <c r="F80" s="33">
        <v>1</v>
      </c>
      <c r="G80" s="34" t="s">
        <v>120</v>
      </c>
      <c r="H80" s="173"/>
      <c r="I80" s="167"/>
    </row>
    <row r="81" spans="1:9" s="34" customFormat="1" x14ac:dyDescent="0.25">
      <c r="A81" s="7" t="s">
        <v>26</v>
      </c>
      <c r="B81" s="7" t="s">
        <v>26</v>
      </c>
      <c r="C81" s="33" t="s">
        <v>175</v>
      </c>
      <c r="D81" s="33">
        <f t="shared" si="9"/>
        <v>220</v>
      </c>
      <c r="E81" s="33">
        <f t="shared" si="10"/>
        <v>220</v>
      </c>
      <c r="F81" s="33">
        <v>1</v>
      </c>
      <c r="G81" s="34" t="s">
        <v>123</v>
      </c>
      <c r="H81" s="173"/>
      <c r="I81" s="167"/>
    </row>
    <row r="82" spans="1:9" s="34" customFormat="1" ht="26.4" x14ac:dyDescent="0.25">
      <c r="A82" s="7" t="s">
        <v>26</v>
      </c>
      <c r="B82" s="7" t="s">
        <v>26</v>
      </c>
      <c r="C82" s="33" t="s">
        <v>175</v>
      </c>
      <c r="D82" s="33">
        <f t="shared" si="9"/>
        <v>221</v>
      </c>
      <c r="E82" s="33">
        <f t="shared" si="10"/>
        <v>221</v>
      </c>
      <c r="F82" s="33">
        <v>1</v>
      </c>
      <c r="G82" s="14" t="s">
        <v>522</v>
      </c>
      <c r="H82" s="173"/>
      <c r="I82" s="167"/>
    </row>
    <row r="83" spans="1:9" s="34" customFormat="1" ht="26.4" x14ac:dyDescent="0.25">
      <c r="A83" s="7" t="s">
        <v>26</v>
      </c>
      <c r="B83" s="7" t="s">
        <v>26</v>
      </c>
      <c r="C83" s="33" t="s">
        <v>175</v>
      </c>
      <c r="D83" s="33">
        <f t="shared" si="9"/>
        <v>222</v>
      </c>
      <c r="E83" s="33">
        <f t="shared" si="10"/>
        <v>222</v>
      </c>
      <c r="F83" s="33">
        <v>1</v>
      </c>
      <c r="G83" s="14" t="s">
        <v>523</v>
      </c>
      <c r="H83" s="173"/>
      <c r="I83" s="167"/>
    </row>
    <row r="84" spans="1:9" s="34" customFormat="1" x14ac:dyDescent="0.25">
      <c r="A84" s="7" t="s">
        <v>26</v>
      </c>
      <c r="B84" s="7" t="s">
        <v>26</v>
      </c>
      <c r="C84" s="33" t="s">
        <v>175</v>
      </c>
      <c r="D84" s="33">
        <f t="shared" si="9"/>
        <v>223</v>
      </c>
      <c r="E84" s="33">
        <f t="shared" si="10"/>
        <v>223</v>
      </c>
      <c r="F84" s="33">
        <v>1</v>
      </c>
      <c r="G84" s="34" t="s">
        <v>124</v>
      </c>
      <c r="H84" s="173"/>
      <c r="I84" s="167"/>
    </row>
    <row r="85" spans="1:9" s="34" customFormat="1" x14ac:dyDescent="0.25">
      <c r="A85" s="33"/>
      <c r="B85" s="33"/>
      <c r="C85" s="33" t="s">
        <v>175</v>
      </c>
      <c r="D85" s="33">
        <f t="shared" si="9"/>
        <v>224</v>
      </c>
      <c r="E85" s="33">
        <f t="shared" si="10"/>
        <v>228</v>
      </c>
      <c r="F85" s="33">
        <v>5</v>
      </c>
      <c r="G85" s="38" t="s">
        <v>22</v>
      </c>
      <c r="H85" s="133"/>
      <c r="I85" s="139"/>
    </row>
    <row r="86" spans="1:9" s="34" customFormat="1" ht="39.6" x14ac:dyDescent="0.25">
      <c r="A86" s="33" t="s">
        <v>27</v>
      </c>
      <c r="B86" s="33" t="s">
        <v>27</v>
      </c>
      <c r="C86" s="78"/>
      <c r="D86" s="33">
        <f t="shared" si="9"/>
        <v>229</v>
      </c>
      <c r="E86" s="33">
        <f t="shared" si="10"/>
        <v>229</v>
      </c>
      <c r="F86" s="33">
        <v>1</v>
      </c>
      <c r="G86" s="34" t="s">
        <v>5</v>
      </c>
      <c r="H86" s="131" t="s">
        <v>316</v>
      </c>
      <c r="I86" s="131" t="s">
        <v>436</v>
      </c>
    </row>
    <row r="87" spans="1:9" s="6" customFormat="1" x14ac:dyDescent="0.25">
      <c r="A87" s="7"/>
      <c r="B87" s="7"/>
      <c r="C87" s="7"/>
      <c r="D87" s="8"/>
      <c r="E87" s="8"/>
      <c r="G87" s="9" t="s">
        <v>4</v>
      </c>
      <c r="H87" s="139"/>
    </row>
    <row r="88" spans="1:9" s="34" customFormat="1" x14ac:dyDescent="0.25">
      <c r="A88" s="7" t="s">
        <v>26</v>
      </c>
      <c r="B88" s="7" t="s">
        <v>26</v>
      </c>
      <c r="C88" s="33" t="s">
        <v>175</v>
      </c>
      <c r="D88" s="33">
        <f>D86+F86</f>
        <v>230</v>
      </c>
      <c r="E88" s="33">
        <f>D88+F88-1</f>
        <v>230</v>
      </c>
      <c r="F88" s="33">
        <v>1</v>
      </c>
      <c r="G88" s="34" t="s">
        <v>115</v>
      </c>
      <c r="H88" s="159" t="s">
        <v>316</v>
      </c>
      <c r="I88" s="164" t="s">
        <v>436</v>
      </c>
    </row>
    <row r="89" spans="1:9" s="34" customFormat="1" x14ac:dyDescent="0.25">
      <c r="A89" s="7" t="s">
        <v>26</v>
      </c>
      <c r="B89" s="7" t="s">
        <v>26</v>
      </c>
      <c r="C89" s="33" t="s">
        <v>175</v>
      </c>
      <c r="D89" s="33">
        <f>D88+F88</f>
        <v>231</v>
      </c>
      <c r="E89" s="33">
        <f t="shared" ref="E89:E107" si="11">D89+F89-1</f>
        <v>231</v>
      </c>
      <c r="F89" s="33">
        <v>1</v>
      </c>
      <c r="G89" s="34" t="s">
        <v>116</v>
      </c>
      <c r="H89" s="168"/>
      <c r="I89" s="165"/>
    </row>
    <row r="90" spans="1:9" s="34" customFormat="1" x14ac:dyDescent="0.25">
      <c r="A90" s="7" t="s">
        <v>26</v>
      </c>
      <c r="B90" s="7" t="s">
        <v>26</v>
      </c>
      <c r="C90" s="33" t="s">
        <v>175</v>
      </c>
      <c r="D90" s="33">
        <f t="shared" ref="D90:D107" si="12">D89+F89</f>
        <v>232</v>
      </c>
      <c r="E90" s="33">
        <f t="shared" si="11"/>
        <v>232</v>
      </c>
      <c r="F90" s="33">
        <v>1</v>
      </c>
      <c r="G90" s="34" t="s">
        <v>117</v>
      </c>
      <c r="H90" s="168"/>
      <c r="I90" s="165"/>
    </row>
    <row r="91" spans="1:9" s="34" customFormat="1" x14ac:dyDescent="0.25">
      <c r="A91" s="7" t="s">
        <v>26</v>
      </c>
      <c r="B91" s="7" t="s">
        <v>26</v>
      </c>
      <c r="C91" s="33" t="s">
        <v>175</v>
      </c>
      <c r="D91" s="33">
        <f t="shared" si="12"/>
        <v>233</v>
      </c>
      <c r="E91" s="33">
        <f t="shared" si="11"/>
        <v>233</v>
      </c>
      <c r="F91" s="33">
        <v>1</v>
      </c>
      <c r="G91" s="34" t="s">
        <v>118</v>
      </c>
      <c r="H91" s="168"/>
      <c r="I91" s="165"/>
    </row>
    <row r="92" spans="1:9" s="34" customFormat="1" x14ac:dyDescent="0.25">
      <c r="A92" s="7" t="s">
        <v>26</v>
      </c>
      <c r="B92" s="7" t="s">
        <v>26</v>
      </c>
      <c r="C92" s="33" t="s">
        <v>175</v>
      </c>
      <c r="D92" s="33">
        <f t="shared" si="12"/>
        <v>234</v>
      </c>
      <c r="E92" s="33">
        <f t="shared" si="11"/>
        <v>234</v>
      </c>
      <c r="F92" s="33">
        <v>1</v>
      </c>
      <c r="G92" s="34" t="s">
        <v>119</v>
      </c>
      <c r="H92" s="168"/>
      <c r="I92" s="165"/>
    </row>
    <row r="93" spans="1:9" s="34" customFormat="1" x14ac:dyDescent="0.25">
      <c r="A93" s="7" t="s">
        <v>26</v>
      </c>
      <c r="B93" s="7" t="s">
        <v>26</v>
      </c>
      <c r="C93" s="33" t="s">
        <v>175</v>
      </c>
      <c r="D93" s="33">
        <f t="shared" si="12"/>
        <v>235</v>
      </c>
      <c r="E93" s="33">
        <f t="shared" si="11"/>
        <v>235</v>
      </c>
      <c r="F93" s="33">
        <v>1</v>
      </c>
      <c r="G93" s="34" t="s">
        <v>120</v>
      </c>
      <c r="H93" s="168"/>
      <c r="I93" s="165"/>
    </row>
    <row r="94" spans="1:9" s="34" customFormat="1" x14ac:dyDescent="0.25">
      <c r="A94" s="7" t="s">
        <v>26</v>
      </c>
      <c r="B94" s="7" t="s">
        <v>26</v>
      </c>
      <c r="C94" s="33" t="s">
        <v>175</v>
      </c>
      <c r="D94" s="33">
        <f t="shared" si="12"/>
        <v>236</v>
      </c>
      <c r="E94" s="33">
        <f t="shared" si="11"/>
        <v>236</v>
      </c>
      <c r="F94" s="33">
        <v>1</v>
      </c>
      <c r="G94" s="34" t="s">
        <v>121</v>
      </c>
      <c r="H94" s="168"/>
      <c r="I94" s="165"/>
    </row>
    <row r="95" spans="1:9" s="34" customFormat="1" x14ac:dyDescent="0.25">
      <c r="A95" s="7" t="s">
        <v>26</v>
      </c>
      <c r="B95" s="7" t="s">
        <v>26</v>
      </c>
      <c r="C95" s="33" t="s">
        <v>175</v>
      </c>
      <c r="D95" s="33">
        <f t="shared" si="12"/>
        <v>237</v>
      </c>
      <c r="E95" s="33">
        <f t="shared" si="11"/>
        <v>237</v>
      </c>
      <c r="F95" s="33">
        <v>1</v>
      </c>
      <c r="G95" s="34" t="s">
        <v>122</v>
      </c>
      <c r="H95" s="168"/>
      <c r="I95" s="165"/>
    </row>
    <row r="96" spans="1:9" s="34" customFormat="1" x14ac:dyDescent="0.25">
      <c r="A96" s="7" t="s">
        <v>26</v>
      </c>
      <c r="B96" s="7" t="s">
        <v>26</v>
      </c>
      <c r="C96" s="33" t="s">
        <v>175</v>
      </c>
      <c r="D96" s="33">
        <f t="shared" si="12"/>
        <v>238</v>
      </c>
      <c r="E96" s="33">
        <f t="shared" si="11"/>
        <v>238</v>
      </c>
      <c r="F96" s="33">
        <v>1</v>
      </c>
      <c r="G96" s="34" t="s">
        <v>123</v>
      </c>
      <c r="H96" s="168"/>
      <c r="I96" s="165"/>
    </row>
    <row r="97" spans="1:9" s="34" customFormat="1" x14ac:dyDescent="0.25">
      <c r="A97" s="7" t="s">
        <v>26</v>
      </c>
      <c r="B97" s="7" t="s">
        <v>26</v>
      </c>
      <c r="C97" s="33" t="s">
        <v>175</v>
      </c>
      <c r="D97" s="33">
        <f t="shared" si="12"/>
        <v>239</v>
      </c>
      <c r="E97" s="33">
        <f t="shared" si="11"/>
        <v>239</v>
      </c>
      <c r="F97" s="33">
        <v>1</v>
      </c>
      <c r="G97" s="34" t="s">
        <v>124</v>
      </c>
      <c r="H97" s="168"/>
      <c r="I97" s="165"/>
    </row>
    <row r="98" spans="1:9" s="34" customFormat="1" x14ac:dyDescent="0.25">
      <c r="A98" s="7" t="s">
        <v>26</v>
      </c>
      <c r="B98" s="7" t="s">
        <v>26</v>
      </c>
      <c r="C98" s="33" t="s">
        <v>175</v>
      </c>
      <c r="D98" s="33">
        <f t="shared" si="12"/>
        <v>240</v>
      </c>
      <c r="E98" s="33">
        <f t="shared" si="11"/>
        <v>240</v>
      </c>
      <c r="F98" s="33">
        <v>1</v>
      </c>
      <c r="G98" s="34" t="s">
        <v>125</v>
      </c>
      <c r="H98" s="168"/>
      <c r="I98" s="165"/>
    </row>
    <row r="99" spans="1:9" s="34" customFormat="1" ht="39.6" x14ac:dyDescent="0.25">
      <c r="A99" s="7" t="s">
        <v>27</v>
      </c>
      <c r="B99" s="7" t="s">
        <v>27</v>
      </c>
      <c r="C99" s="33"/>
      <c r="D99" s="33">
        <f t="shared" si="12"/>
        <v>241</v>
      </c>
      <c r="E99" s="33">
        <f t="shared" si="11"/>
        <v>241</v>
      </c>
      <c r="F99" s="33">
        <v>1</v>
      </c>
      <c r="G99" s="74" t="s">
        <v>228</v>
      </c>
      <c r="H99" s="131" t="s">
        <v>316</v>
      </c>
      <c r="I99" s="132" t="s">
        <v>436</v>
      </c>
    </row>
    <row r="100" spans="1:9" s="34" customFormat="1" x14ac:dyDescent="0.25">
      <c r="A100" s="33"/>
      <c r="B100" s="33"/>
      <c r="C100" s="33"/>
      <c r="D100" s="33">
        <f t="shared" si="12"/>
        <v>242</v>
      </c>
      <c r="E100" s="33">
        <f t="shared" si="11"/>
        <v>244</v>
      </c>
      <c r="F100" s="33">
        <v>3</v>
      </c>
      <c r="G100" s="38" t="s">
        <v>22</v>
      </c>
      <c r="H100" s="133"/>
      <c r="I100" s="139"/>
    </row>
    <row r="101" spans="1:9" s="34" customFormat="1" ht="39.6" x14ac:dyDescent="0.25">
      <c r="A101" s="33" t="s">
        <v>27</v>
      </c>
      <c r="B101" s="33" t="s">
        <v>27</v>
      </c>
      <c r="C101" s="78"/>
      <c r="D101" s="33">
        <f t="shared" si="12"/>
        <v>245</v>
      </c>
      <c r="E101" s="33">
        <f t="shared" si="11"/>
        <v>245</v>
      </c>
      <c r="F101" s="33">
        <v>1</v>
      </c>
      <c r="G101" s="38" t="s">
        <v>3</v>
      </c>
      <c r="H101" s="131" t="s">
        <v>316</v>
      </c>
      <c r="I101" s="131" t="s">
        <v>436</v>
      </c>
    </row>
    <row r="102" spans="1:9" s="34" customFormat="1" ht="66" x14ac:dyDescent="0.25">
      <c r="A102" s="33" t="s">
        <v>26</v>
      </c>
      <c r="B102" s="33" t="s">
        <v>26</v>
      </c>
      <c r="C102" s="33"/>
      <c r="D102" s="33">
        <f t="shared" si="12"/>
        <v>246</v>
      </c>
      <c r="E102" s="33">
        <f t="shared" si="11"/>
        <v>248</v>
      </c>
      <c r="F102" s="33">
        <v>3</v>
      </c>
      <c r="G102" s="39" t="s">
        <v>0</v>
      </c>
      <c r="H102" s="131" t="s">
        <v>424</v>
      </c>
      <c r="I102" s="133" t="s">
        <v>436</v>
      </c>
    </row>
    <row r="103" spans="1:9" s="34" customFormat="1" x14ac:dyDescent="0.25">
      <c r="A103" s="33" t="s">
        <v>27</v>
      </c>
      <c r="B103" s="33" t="s">
        <v>27</v>
      </c>
      <c r="C103" s="33"/>
      <c r="D103" s="33">
        <f t="shared" si="12"/>
        <v>249</v>
      </c>
      <c r="E103" s="33">
        <f t="shared" si="11"/>
        <v>268</v>
      </c>
      <c r="F103" s="33">
        <v>20</v>
      </c>
      <c r="G103" s="38" t="s">
        <v>2</v>
      </c>
      <c r="H103" s="133"/>
      <c r="I103" s="132" t="s">
        <v>505</v>
      </c>
    </row>
    <row r="104" spans="1:9" s="34" customFormat="1" x14ac:dyDescent="0.25">
      <c r="A104" s="33" t="s">
        <v>27</v>
      </c>
      <c r="B104" s="33" t="s">
        <v>27</v>
      </c>
      <c r="C104" s="33"/>
      <c r="D104" s="33">
        <f t="shared" si="12"/>
        <v>269</v>
      </c>
      <c r="E104" s="33">
        <f t="shared" si="11"/>
        <v>288</v>
      </c>
      <c r="F104" s="33">
        <v>20</v>
      </c>
      <c r="G104" s="38" t="s">
        <v>1</v>
      </c>
      <c r="H104" s="133"/>
      <c r="I104" s="132" t="s">
        <v>505</v>
      </c>
    </row>
    <row r="105" spans="1:9" s="34" customFormat="1" ht="39.6" x14ac:dyDescent="0.25">
      <c r="A105" s="33" t="s">
        <v>26</v>
      </c>
      <c r="B105" s="33" t="s">
        <v>26</v>
      </c>
      <c r="C105" s="33"/>
      <c r="D105" s="33">
        <f t="shared" si="12"/>
        <v>289</v>
      </c>
      <c r="E105" s="33">
        <f t="shared" si="11"/>
        <v>298</v>
      </c>
      <c r="F105" s="33">
        <v>10</v>
      </c>
      <c r="G105" s="34" t="s">
        <v>74</v>
      </c>
      <c r="H105" s="137" t="s">
        <v>425</v>
      </c>
      <c r="I105" s="132" t="s">
        <v>436</v>
      </c>
    </row>
    <row r="106" spans="1:9" s="34" customFormat="1" ht="92.4" x14ac:dyDescent="0.25">
      <c r="A106" s="33" t="s">
        <v>26</v>
      </c>
      <c r="B106" s="33" t="s">
        <v>26</v>
      </c>
      <c r="C106" s="33"/>
      <c r="D106" s="33">
        <f t="shared" si="12"/>
        <v>299</v>
      </c>
      <c r="E106" s="33">
        <f>D106+F106-1</f>
        <v>300</v>
      </c>
      <c r="F106" s="33">
        <v>2</v>
      </c>
      <c r="G106" s="74" t="s">
        <v>75</v>
      </c>
      <c r="H106" s="137" t="s">
        <v>426</v>
      </c>
      <c r="I106" s="131" t="s">
        <v>699</v>
      </c>
    </row>
    <row r="107" spans="1:9" s="34" customFormat="1" x14ac:dyDescent="0.25">
      <c r="A107" s="7"/>
      <c r="B107" s="7"/>
      <c r="C107" s="33"/>
      <c r="D107" s="33">
        <f t="shared" si="12"/>
        <v>301</v>
      </c>
      <c r="E107" s="33">
        <f t="shared" si="11"/>
        <v>306</v>
      </c>
      <c r="F107" s="33">
        <v>6</v>
      </c>
      <c r="G107" s="95" t="s">
        <v>22</v>
      </c>
      <c r="H107" s="131"/>
      <c r="I107" s="131"/>
    </row>
    <row r="108" spans="1:9" s="6" customFormat="1" x14ac:dyDescent="0.25">
      <c r="A108" s="7"/>
      <c r="B108" s="7"/>
      <c r="C108" s="7"/>
      <c r="D108" s="8"/>
      <c r="E108" s="8"/>
      <c r="G108" s="9" t="s">
        <v>32</v>
      </c>
      <c r="H108" s="139"/>
    </row>
    <row r="109" spans="1:9" s="36" customFormat="1" ht="250.8" x14ac:dyDescent="0.25">
      <c r="A109" s="33" t="s">
        <v>26</v>
      </c>
      <c r="B109" s="33" t="s">
        <v>26</v>
      </c>
      <c r="C109" s="7" t="s">
        <v>175</v>
      </c>
      <c r="D109" s="33">
        <f>D107+F107</f>
        <v>307</v>
      </c>
      <c r="E109" s="33">
        <f>D109+F109-1</f>
        <v>308</v>
      </c>
      <c r="F109" s="33">
        <v>2</v>
      </c>
      <c r="G109" s="14" t="s">
        <v>500</v>
      </c>
      <c r="H109" s="131" t="s">
        <v>435</v>
      </c>
      <c r="I109" s="131" t="s">
        <v>700</v>
      </c>
    </row>
    <row r="110" spans="1:9" s="36" customFormat="1" x14ac:dyDescent="0.25">
      <c r="A110" s="33"/>
      <c r="B110" s="33"/>
      <c r="C110" s="33"/>
      <c r="D110" s="33">
        <f>D109+F109</f>
        <v>309</v>
      </c>
      <c r="E110" s="33">
        <f>D110+F110-1</f>
        <v>313</v>
      </c>
      <c r="F110" s="33">
        <v>5</v>
      </c>
      <c r="G110" s="37" t="s">
        <v>22</v>
      </c>
      <c r="H110" s="133"/>
      <c r="I110" s="133"/>
    </row>
    <row r="111" spans="1:9" s="36" customFormat="1" ht="110.25" customHeight="1" x14ac:dyDescent="0.25">
      <c r="A111" s="33" t="s">
        <v>26</v>
      </c>
      <c r="B111" s="33" t="s">
        <v>26</v>
      </c>
      <c r="C111" s="33"/>
      <c r="D111" s="33">
        <f>D110+F110</f>
        <v>314</v>
      </c>
      <c r="E111" s="33">
        <f t="shared" ref="E111:E120" si="13">D111+F111-1</f>
        <v>315</v>
      </c>
      <c r="F111" s="33">
        <v>2</v>
      </c>
      <c r="G111" s="74" t="s">
        <v>427</v>
      </c>
      <c r="H111" s="133" t="s">
        <v>313</v>
      </c>
      <c r="I111" s="131" t="s">
        <v>701</v>
      </c>
    </row>
    <row r="112" spans="1:9" s="36" customFormat="1" ht="92.4" x14ac:dyDescent="0.25">
      <c r="A112" s="7" t="s">
        <v>27</v>
      </c>
      <c r="B112" s="7" t="s">
        <v>27</v>
      </c>
      <c r="C112" s="33"/>
      <c r="D112" s="33">
        <f t="shared" ref="D112:D119" si="14">D111+F111</f>
        <v>316</v>
      </c>
      <c r="E112" s="33">
        <f t="shared" si="13"/>
        <v>317</v>
      </c>
      <c r="F112" s="33">
        <v>2</v>
      </c>
      <c r="G112" s="74" t="s">
        <v>428</v>
      </c>
      <c r="H112" s="35" t="s">
        <v>314</v>
      </c>
      <c r="I112" s="131" t="s">
        <v>702</v>
      </c>
    </row>
    <row r="113" spans="1:9" s="34" customFormat="1" x14ac:dyDescent="0.25">
      <c r="A113" s="33"/>
      <c r="B113" s="33"/>
      <c r="C113" s="33"/>
      <c r="D113" s="33">
        <f t="shared" si="14"/>
        <v>318</v>
      </c>
      <c r="E113" s="33">
        <f t="shared" si="13"/>
        <v>322</v>
      </c>
      <c r="F113" s="33">
        <v>5</v>
      </c>
      <c r="G113" s="34" t="s">
        <v>22</v>
      </c>
      <c r="H113" s="133"/>
      <c r="I113" s="139"/>
    </row>
    <row r="114" spans="1:9" s="36" customFormat="1" ht="66.75" customHeight="1" x14ac:dyDescent="0.25">
      <c r="A114" s="33" t="s">
        <v>26</v>
      </c>
      <c r="B114" s="33" t="s">
        <v>26</v>
      </c>
      <c r="C114" s="7" t="s">
        <v>462</v>
      </c>
      <c r="D114" s="33">
        <f t="shared" si="14"/>
        <v>323</v>
      </c>
      <c r="E114" s="33">
        <f t="shared" si="13"/>
        <v>323</v>
      </c>
      <c r="F114" s="33">
        <v>1</v>
      </c>
      <c r="G114" s="34" t="s">
        <v>63</v>
      </c>
      <c r="H114" s="133" t="s">
        <v>44</v>
      </c>
      <c r="I114" s="131" t="s">
        <v>703</v>
      </c>
    </row>
    <row r="115" spans="1:9" s="34" customFormat="1" x14ac:dyDescent="0.25">
      <c r="A115" s="33"/>
      <c r="B115" s="33"/>
      <c r="C115" s="33"/>
      <c r="D115" s="33">
        <f t="shared" si="14"/>
        <v>324</v>
      </c>
      <c r="E115" s="33">
        <f t="shared" si="13"/>
        <v>324</v>
      </c>
      <c r="F115" s="33">
        <v>1</v>
      </c>
      <c r="G115" s="34" t="s">
        <v>22</v>
      </c>
      <c r="H115" s="133"/>
      <c r="I115" s="139"/>
    </row>
    <row r="116" spans="1:9" s="36" customFormat="1" ht="66.75" customHeight="1" x14ac:dyDescent="0.25">
      <c r="A116" s="33" t="s">
        <v>26</v>
      </c>
      <c r="B116" s="33" t="s">
        <v>26</v>
      </c>
      <c r="C116" s="7" t="s">
        <v>175</v>
      </c>
      <c r="D116" s="33">
        <f t="shared" si="14"/>
        <v>325</v>
      </c>
      <c r="E116" s="33">
        <f t="shared" si="13"/>
        <v>325</v>
      </c>
      <c r="F116" s="33">
        <v>1</v>
      </c>
      <c r="G116" s="34" t="s">
        <v>60</v>
      </c>
      <c r="H116" s="133" t="s">
        <v>18</v>
      </c>
      <c r="I116" s="134" t="s">
        <v>704</v>
      </c>
    </row>
    <row r="117" spans="1:9" s="36" customFormat="1" x14ac:dyDescent="0.25">
      <c r="A117" s="33"/>
      <c r="B117" s="33"/>
      <c r="C117" s="33"/>
      <c r="D117" s="33">
        <f t="shared" si="14"/>
        <v>326</v>
      </c>
      <c r="E117" s="33">
        <f t="shared" si="13"/>
        <v>326</v>
      </c>
      <c r="F117" s="33">
        <v>1</v>
      </c>
      <c r="G117" s="34" t="s">
        <v>22</v>
      </c>
      <c r="H117" s="133"/>
      <c r="I117" s="40"/>
    </row>
    <row r="118" spans="1:9" s="36" customFormat="1" ht="70.5" customHeight="1" x14ac:dyDescent="0.25">
      <c r="A118" s="33" t="s">
        <v>26</v>
      </c>
      <c r="B118" s="33" t="s">
        <v>26</v>
      </c>
      <c r="C118" s="7" t="s">
        <v>175</v>
      </c>
      <c r="D118" s="33">
        <f t="shared" si="14"/>
        <v>327</v>
      </c>
      <c r="E118" s="33">
        <f t="shared" si="13"/>
        <v>327</v>
      </c>
      <c r="F118" s="33">
        <v>1</v>
      </c>
      <c r="G118" s="34" t="s">
        <v>62</v>
      </c>
      <c r="H118" s="133" t="s">
        <v>19</v>
      </c>
      <c r="I118" s="134" t="s">
        <v>705</v>
      </c>
    </row>
    <row r="119" spans="1:9" s="34" customFormat="1" ht="66" x14ac:dyDescent="0.25">
      <c r="A119" s="7" t="s">
        <v>26</v>
      </c>
      <c r="B119" s="7" t="s">
        <v>26</v>
      </c>
      <c r="C119" s="7" t="s">
        <v>175</v>
      </c>
      <c r="D119" s="33">
        <f t="shared" si="14"/>
        <v>328</v>
      </c>
      <c r="E119" s="33">
        <f t="shared" si="13"/>
        <v>328</v>
      </c>
      <c r="F119" s="33">
        <v>1</v>
      </c>
      <c r="G119" s="74" t="s">
        <v>229</v>
      </c>
      <c r="H119" s="131" t="s">
        <v>71</v>
      </c>
      <c r="I119" s="134" t="s">
        <v>706</v>
      </c>
    </row>
    <row r="120" spans="1:9" s="34" customFormat="1" ht="66" x14ac:dyDescent="0.25">
      <c r="A120" s="33" t="s">
        <v>26</v>
      </c>
      <c r="B120" s="33" t="s">
        <v>26</v>
      </c>
      <c r="C120" s="7" t="s">
        <v>175</v>
      </c>
      <c r="D120" s="33">
        <f>D119+F119</f>
        <v>329</v>
      </c>
      <c r="E120" s="33">
        <f t="shared" si="13"/>
        <v>329</v>
      </c>
      <c r="F120" s="33">
        <v>1</v>
      </c>
      <c r="G120" s="34" t="s">
        <v>61</v>
      </c>
      <c r="H120" s="133" t="s">
        <v>17</v>
      </c>
      <c r="I120" s="134" t="s">
        <v>707</v>
      </c>
    </row>
    <row r="121" spans="1:9" s="6" customFormat="1" x14ac:dyDescent="0.25">
      <c r="A121" s="7"/>
      <c r="B121" s="7"/>
      <c r="C121" s="7"/>
      <c r="D121" s="8"/>
      <c r="E121" s="8"/>
      <c r="G121" s="9" t="s">
        <v>126</v>
      </c>
      <c r="H121" s="139"/>
    </row>
    <row r="122" spans="1:9" s="34" customFormat="1" x14ac:dyDescent="0.25">
      <c r="A122" s="33"/>
      <c r="B122" s="33"/>
      <c r="C122" s="33"/>
      <c r="D122" s="155">
        <f>D120+F120</f>
        <v>330</v>
      </c>
      <c r="E122" s="33">
        <f t="shared" ref="E122:E125" si="15">D122+F122-1</f>
        <v>1177</v>
      </c>
      <c r="F122" s="155">
        <v>848</v>
      </c>
      <c r="G122" s="34" t="s">
        <v>22</v>
      </c>
      <c r="H122" s="148"/>
      <c r="I122" s="148"/>
    </row>
    <row r="123" spans="1:9" s="34" customFormat="1" ht="202.5" customHeight="1" x14ac:dyDescent="0.25">
      <c r="A123" s="33" t="s">
        <v>27</v>
      </c>
      <c r="B123" s="33" t="s">
        <v>27</v>
      </c>
      <c r="C123" s="7" t="s">
        <v>421</v>
      </c>
      <c r="D123" s="33">
        <f>D122+F122</f>
        <v>1178</v>
      </c>
      <c r="E123" s="33">
        <f t="shared" si="15"/>
        <v>1342</v>
      </c>
      <c r="F123" s="33">
        <v>165</v>
      </c>
      <c r="G123" s="34" t="s">
        <v>127</v>
      </c>
      <c r="H123" s="159" t="s">
        <v>725</v>
      </c>
      <c r="I123" s="169" t="s">
        <v>739</v>
      </c>
    </row>
    <row r="124" spans="1:9" s="34" customFormat="1" ht="13.5" customHeight="1" x14ac:dyDescent="0.25">
      <c r="A124" s="33"/>
      <c r="B124" s="33"/>
      <c r="C124" s="33"/>
      <c r="D124" s="33">
        <f t="shared" ref="D124:D125" si="16">D123+F123</f>
        <v>1343</v>
      </c>
      <c r="E124" s="33">
        <f t="shared" si="15"/>
        <v>1347</v>
      </c>
      <c r="F124" s="33">
        <v>5</v>
      </c>
      <c r="G124" s="34" t="s">
        <v>22</v>
      </c>
      <c r="H124" s="159"/>
      <c r="I124" s="169"/>
    </row>
    <row r="125" spans="1:9" s="34" customFormat="1" ht="205.5" customHeight="1" x14ac:dyDescent="0.25">
      <c r="A125" s="33" t="s">
        <v>27</v>
      </c>
      <c r="B125" s="33" t="s">
        <v>27</v>
      </c>
      <c r="C125" s="7" t="s">
        <v>421</v>
      </c>
      <c r="D125" s="33">
        <f t="shared" si="16"/>
        <v>1348</v>
      </c>
      <c r="E125" s="33">
        <f t="shared" si="15"/>
        <v>1497</v>
      </c>
      <c r="F125" s="33">
        <v>150</v>
      </c>
      <c r="G125" s="34" t="s">
        <v>128</v>
      </c>
      <c r="H125" s="159"/>
      <c r="I125" s="169"/>
    </row>
    <row r="126" spans="1:9" s="34" customFormat="1" x14ac:dyDescent="0.25">
      <c r="A126" s="33"/>
      <c r="B126" s="33"/>
      <c r="C126" s="33"/>
      <c r="D126" s="155">
        <f>D125+F125</f>
        <v>1498</v>
      </c>
      <c r="E126" s="33">
        <f>D126+F126-1</f>
        <v>1749</v>
      </c>
      <c r="F126" s="155">
        <v>252</v>
      </c>
      <c r="G126" s="38" t="s">
        <v>22</v>
      </c>
      <c r="H126" s="131"/>
      <c r="I126" s="131"/>
    </row>
    <row r="127" spans="1:9" s="34" customFormat="1" x14ac:dyDescent="0.25">
      <c r="A127" s="33"/>
      <c r="B127" s="33"/>
      <c r="C127" s="33"/>
      <c r="D127" s="33"/>
      <c r="E127" s="33"/>
      <c r="F127" s="33"/>
      <c r="G127" s="5" t="s">
        <v>24</v>
      </c>
      <c r="H127" s="55"/>
      <c r="I127" s="143"/>
    </row>
    <row r="128" spans="1:9" s="34" customFormat="1" ht="52.8" x14ac:dyDescent="0.25">
      <c r="A128" s="33" t="s">
        <v>26</v>
      </c>
      <c r="B128" s="33" t="s">
        <v>26</v>
      </c>
      <c r="C128" s="80" t="s">
        <v>419</v>
      </c>
      <c r="D128" s="33">
        <f>+D126+F126</f>
        <v>1750</v>
      </c>
      <c r="E128" s="33">
        <f t="shared" ref="E128:E133" si="17">D128+F128-1</f>
        <v>1754</v>
      </c>
      <c r="F128" s="33">
        <v>5</v>
      </c>
      <c r="G128" s="74" t="s">
        <v>429</v>
      </c>
      <c r="H128" s="131" t="s">
        <v>302</v>
      </c>
      <c r="I128" s="131" t="s">
        <v>710</v>
      </c>
    </row>
    <row r="129" spans="1:9" s="34" customFormat="1" ht="52.8" x14ac:dyDescent="0.25">
      <c r="A129" s="33" t="s">
        <v>26</v>
      </c>
      <c r="B129" s="33" t="s">
        <v>26</v>
      </c>
      <c r="C129" s="80" t="s">
        <v>414</v>
      </c>
      <c r="D129" s="33">
        <f>D128+F128</f>
        <v>1755</v>
      </c>
      <c r="E129" s="33">
        <f t="shared" si="17"/>
        <v>1757</v>
      </c>
      <c r="F129" s="33">
        <v>3</v>
      </c>
      <c r="G129" s="74" t="s">
        <v>375</v>
      </c>
      <c r="H129" s="131" t="s">
        <v>303</v>
      </c>
      <c r="I129" s="131" t="s">
        <v>713</v>
      </c>
    </row>
    <row r="130" spans="1:9" s="34" customFormat="1" ht="66" x14ac:dyDescent="0.25">
      <c r="A130" s="33" t="s">
        <v>27</v>
      </c>
      <c r="B130" s="33" t="s">
        <v>27</v>
      </c>
      <c r="C130" s="80" t="s">
        <v>414</v>
      </c>
      <c r="D130" s="33">
        <f>D129+F129</f>
        <v>1758</v>
      </c>
      <c r="E130" s="33">
        <f t="shared" si="17"/>
        <v>1760</v>
      </c>
      <c r="F130" s="33">
        <v>3</v>
      </c>
      <c r="G130" s="34" t="s">
        <v>135</v>
      </c>
      <c r="H130" s="131" t="s">
        <v>518</v>
      </c>
      <c r="I130" s="131" t="s">
        <v>635</v>
      </c>
    </row>
    <row r="131" spans="1:9" s="34" customFormat="1" ht="26.4" x14ac:dyDescent="0.25">
      <c r="A131" s="33" t="s">
        <v>27</v>
      </c>
      <c r="B131" s="33" t="s">
        <v>27</v>
      </c>
      <c r="C131" s="80" t="s">
        <v>414</v>
      </c>
      <c r="D131" s="33">
        <f>D130+F130</f>
        <v>1761</v>
      </c>
      <c r="E131" s="33">
        <f t="shared" si="17"/>
        <v>1763</v>
      </c>
      <c r="F131" s="33">
        <v>3</v>
      </c>
      <c r="G131" s="74" t="s">
        <v>454</v>
      </c>
      <c r="H131" s="131" t="s">
        <v>303</v>
      </c>
      <c r="I131" s="159" t="s">
        <v>714</v>
      </c>
    </row>
    <row r="132" spans="1:9" s="34" customFormat="1" ht="26.4" x14ac:dyDescent="0.25">
      <c r="A132" s="33" t="s">
        <v>27</v>
      </c>
      <c r="B132" s="33" t="s">
        <v>27</v>
      </c>
      <c r="C132" s="80" t="s">
        <v>414</v>
      </c>
      <c r="D132" s="33">
        <f>D131+F131</f>
        <v>1764</v>
      </c>
      <c r="E132" s="33">
        <f t="shared" si="17"/>
        <v>1766</v>
      </c>
      <c r="F132" s="33">
        <v>3</v>
      </c>
      <c r="G132" s="74" t="s">
        <v>455</v>
      </c>
      <c r="H132" s="131" t="s">
        <v>303</v>
      </c>
      <c r="I132" s="174"/>
    </row>
    <row r="133" spans="1:9" s="34" customFormat="1" ht="79.2" x14ac:dyDescent="0.25">
      <c r="A133" s="33" t="s">
        <v>26</v>
      </c>
      <c r="B133" s="33" t="s">
        <v>26</v>
      </c>
      <c r="C133" s="80" t="s">
        <v>414</v>
      </c>
      <c r="D133" s="33">
        <f>D132+F132</f>
        <v>1767</v>
      </c>
      <c r="E133" s="33">
        <f t="shared" si="17"/>
        <v>1769</v>
      </c>
      <c r="F133" s="33">
        <v>3</v>
      </c>
      <c r="G133" s="74" t="s">
        <v>376</v>
      </c>
      <c r="H133" s="131" t="s">
        <v>315</v>
      </c>
      <c r="I133" s="131" t="s">
        <v>715</v>
      </c>
    </row>
    <row r="134" spans="1:9" s="34" customFormat="1" x14ac:dyDescent="0.25">
      <c r="A134" s="33"/>
      <c r="B134" s="33"/>
      <c r="C134" s="33"/>
      <c r="D134" s="33"/>
      <c r="E134" s="33"/>
      <c r="F134" s="33"/>
      <c r="G134" s="5" t="s">
        <v>129</v>
      </c>
      <c r="H134" s="133"/>
      <c r="I134" s="141"/>
    </row>
    <row r="135" spans="1:9" s="34" customFormat="1" ht="12.75" customHeight="1" x14ac:dyDescent="0.25">
      <c r="A135" s="33" t="s">
        <v>26</v>
      </c>
      <c r="B135" s="33" t="s">
        <v>26</v>
      </c>
      <c r="C135" s="80" t="s">
        <v>419</v>
      </c>
      <c r="D135" s="33">
        <f>+D133+F133</f>
        <v>1770</v>
      </c>
      <c r="E135" s="33">
        <f t="shared" ref="E135:E140" si="18">D135+F135-1</f>
        <v>1773</v>
      </c>
      <c r="F135" s="33">
        <v>4</v>
      </c>
      <c r="G135" s="37" t="s">
        <v>136</v>
      </c>
      <c r="H135" s="159" t="s">
        <v>304</v>
      </c>
      <c r="I135" s="159" t="s">
        <v>443</v>
      </c>
    </row>
    <row r="136" spans="1:9" s="34" customFormat="1" ht="12.75" customHeight="1" x14ac:dyDescent="0.25">
      <c r="A136" s="33" t="s">
        <v>26</v>
      </c>
      <c r="B136" s="33" t="s">
        <v>26</v>
      </c>
      <c r="C136" s="80" t="s">
        <v>419</v>
      </c>
      <c r="D136" s="33">
        <f>D135+F135</f>
        <v>1774</v>
      </c>
      <c r="E136" s="33">
        <f t="shared" si="18"/>
        <v>1777</v>
      </c>
      <c r="F136" s="33">
        <v>4</v>
      </c>
      <c r="G136" s="37" t="s">
        <v>137</v>
      </c>
      <c r="H136" s="173"/>
      <c r="I136" s="159"/>
    </row>
    <row r="137" spans="1:9" s="34" customFormat="1" ht="12.75" customHeight="1" x14ac:dyDescent="0.25">
      <c r="A137" s="33" t="s">
        <v>26</v>
      </c>
      <c r="B137" s="33" t="s">
        <v>26</v>
      </c>
      <c r="C137" s="80" t="s">
        <v>419</v>
      </c>
      <c r="D137" s="33">
        <f>D136+F136</f>
        <v>1778</v>
      </c>
      <c r="E137" s="33">
        <f t="shared" si="18"/>
        <v>1781</v>
      </c>
      <c r="F137" s="33">
        <v>4</v>
      </c>
      <c r="G137" s="37" t="s">
        <v>138</v>
      </c>
      <c r="H137" s="173"/>
      <c r="I137" s="159"/>
    </row>
    <row r="138" spans="1:9" s="34" customFormat="1" ht="12.75" customHeight="1" x14ac:dyDescent="0.25">
      <c r="A138" s="33" t="s">
        <v>26</v>
      </c>
      <c r="B138" s="33" t="s">
        <v>26</v>
      </c>
      <c r="C138" s="80" t="s">
        <v>419</v>
      </c>
      <c r="D138" s="33">
        <f>D137+F137</f>
        <v>1782</v>
      </c>
      <c r="E138" s="33">
        <f t="shared" si="18"/>
        <v>1785</v>
      </c>
      <c r="F138" s="33">
        <v>4</v>
      </c>
      <c r="G138" s="37" t="s">
        <v>139</v>
      </c>
      <c r="H138" s="173"/>
      <c r="I138" s="159"/>
    </row>
    <row r="139" spans="1:9" s="34" customFormat="1" ht="12.75" customHeight="1" x14ac:dyDescent="0.25">
      <c r="A139" s="33" t="s">
        <v>26</v>
      </c>
      <c r="B139" s="33" t="s">
        <v>26</v>
      </c>
      <c r="C139" s="80" t="s">
        <v>419</v>
      </c>
      <c r="D139" s="33">
        <f>D138+F138</f>
        <v>1786</v>
      </c>
      <c r="E139" s="33">
        <f t="shared" si="18"/>
        <v>1789</v>
      </c>
      <c r="F139" s="33">
        <v>4</v>
      </c>
      <c r="G139" s="37" t="s">
        <v>140</v>
      </c>
      <c r="H139" s="173"/>
      <c r="I139" s="159"/>
    </row>
    <row r="140" spans="1:9" s="74" customFormat="1" x14ac:dyDescent="0.25">
      <c r="A140" s="7"/>
      <c r="B140" s="7"/>
      <c r="C140" s="7"/>
      <c r="D140" s="7">
        <f>D139+F139</f>
        <v>1790</v>
      </c>
      <c r="E140" s="7">
        <f t="shared" si="18"/>
        <v>1801</v>
      </c>
      <c r="F140" s="7">
        <v>12</v>
      </c>
      <c r="G140" s="74" t="s">
        <v>22</v>
      </c>
      <c r="H140" s="131"/>
      <c r="I140" s="131"/>
    </row>
    <row r="141" spans="1:9" s="34" customFormat="1" x14ac:dyDescent="0.25">
      <c r="A141" s="33"/>
      <c r="B141" s="33"/>
      <c r="C141" s="33"/>
      <c r="D141" s="33"/>
      <c r="E141" s="33"/>
      <c r="F141" s="33"/>
      <c r="G141" s="5" t="s">
        <v>130</v>
      </c>
      <c r="H141" s="133"/>
      <c r="I141" s="141"/>
    </row>
    <row r="142" spans="1:9" s="34" customFormat="1" ht="40.5" customHeight="1" x14ac:dyDescent="0.25">
      <c r="A142" s="33" t="s">
        <v>26</v>
      </c>
      <c r="B142" s="33" t="s">
        <v>26</v>
      </c>
      <c r="C142" s="7" t="s">
        <v>419</v>
      </c>
      <c r="D142" s="33">
        <f>+D140+F140</f>
        <v>1802</v>
      </c>
      <c r="E142" s="33">
        <f>D142+F142-1</f>
        <v>1805</v>
      </c>
      <c r="F142" s="33">
        <v>4</v>
      </c>
      <c r="G142" s="37" t="s">
        <v>141</v>
      </c>
      <c r="H142" s="159" t="s">
        <v>305</v>
      </c>
      <c r="I142" s="159" t="s">
        <v>711</v>
      </c>
    </row>
    <row r="143" spans="1:9" s="34" customFormat="1" ht="40.5" customHeight="1" x14ac:dyDescent="0.25">
      <c r="A143" s="7" t="s">
        <v>26</v>
      </c>
      <c r="B143" s="7" t="s">
        <v>26</v>
      </c>
      <c r="C143" s="7" t="s">
        <v>419</v>
      </c>
      <c r="D143" s="7">
        <f>D142+F142</f>
        <v>1806</v>
      </c>
      <c r="E143" s="7">
        <f t="shared" ref="E143:E146" si="19">D143+F143-1</f>
        <v>1809</v>
      </c>
      <c r="F143" s="7">
        <v>4</v>
      </c>
      <c r="G143" s="14" t="s">
        <v>630</v>
      </c>
      <c r="H143" s="159"/>
      <c r="I143" s="159"/>
    </row>
    <row r="144" spans="1:9" s="34" customFormat="1" x14ac:dyDescent="0.25">
      <c r="A144" s="7"/>
      <c r="B144" s="7"/>
      <c r="C144" s="7"/>
      <c r="D144" s="33"/>
      <c r="E144" s="33"/>
      <c r="F144" s="33"/>
      <c r="G144" s="77" t="s">
        <v>131</v>
      </c>
      <c r="H144" s="134"/>
      <c r="I144" s="134"/>
    </row>
    <row r="145" spans="1:9" s="34" customFormat="1" ht="52.8" x14ac:dyDescent="0.25">
      <c r="A145" s="7" t="s">
        <v>26</v>
      </c>
      <c r="B145" s="7" t="s">
        <v>26</v>
      </c>
      <c r="C145" s="7" t="s">
        <v>421</v>
      </c>
      <c r="D145" s="7">
        <f>D143+F143</f>
        <v>1810</v>
      </c>
      <c r="E145" s="7">
        <f t="shared" si="19"/>
        <v>1812</v>
      </c>
      <c r="F145" s="7">
        <v>3</v>
      </c>
      <c r="G145" s="14" t="s">
        <v>132</v>
      </c>
      <c r="H145" s="134" t="s">
        <v>602</v>
      </c>
      <c r="I145" s="158" t="s">
        <v>734</v>
      </c>
    </row>
    <row r="146" spans="1:9" s="34" customFormat="1" ht="52.8" x14ac:dyDescent="0.25">
      <c r="A146" s="7" t="s">
        <v>26</v>
      </c>
      <c r="B146" s="7" t="s">
        <v>26</v>
      </c>
      <c r="C146" s="7" t="s">
        <v>419</v>
      </c>
      <c r="D146" s="7">
        <f>D145+F145</f>
        <v>1813</v>
      </c>
      <c r="E146" s="7">
        <f t="shared" si="19"/>
        <v>1816</v>
      </c>
      <c r="F146" s="7">
        <v>4</v>
      </c>
      <c r="G146" s="14" t="s">
        <v>133</v>
      </c>
      <c r="H146" s="134" t="s">
        <v>601</v>
      </c>
      <c r="I146" s="158" t="s">
        <v>735</v>
      </c>
    </row>
    <row r="147" spans="1:9" s="34" customFormat="1" x14ac:dyDescent="0.25">
      <c r="A147" s="33"/>
      <c r="B147" s="33"/>
      <c r="C147" s="33"/>
      <c r="D147" s="33">
        <f>D146+F146</f>
        <v>1817</v>
      </c>
      <c r="E147" s="33">
        <f>D147+F147-1</f>
        <v>1829</v>
      </c>
      <c r="F147" s="33">
        <v>13</v>
      </c>
      <c r="G147" s="38" t="s">
        <v>22</v>
      </c>
      <c r="H147" s="42"/>
      <c r="I147" s="131"/>
    </row>
    <row r="148" spans="1:9" s="34" customFormat="1" ht="39.6" x14ac:dyDescent="0.25">
      <c r="A148" s="33" t="s">
        <v>27</v>
      </c>
      <c r="B148" s="33" t="s">
        <v>27</v>
      </c>
      <c r="C148" s="33" t="s">
        <v>176</v>
      </c>
      <c r="D148" s="33">
        <f>D147+F147</f>
        <v>1830</v>
      </c>
      <c r="E148" s="33">
        <f>D148+F148-1</f>
        <v>1831</v>
      </c>
      <c r="F148" s="33">
        <v>2</v>
      </c>
      <c r="G148" s="34" t="s">
        <v>142</v>
      </c>
      <c r="H148" s="131" t="s">
        <v>708</v>
      </c>
      <c r="I148" s="131" t="s">
        <v>709</v>
      </c>
    </row>
    <row r="149" spans="1:9" s="34" customFormat="1" x14ac:dyDescent="0.25">
      <c r="A149" s="33"/>
      <c r="B149" s="33"/>
      <c r="C149" s="33"/>
      <c r="D149" s="33">
        <f>D148+F148</f>
        <v>1832</v>
      </c>
      <c r="E149" s="33">
        <f>D149+F149-1</f>
        <v>1836</v>
      </c>
      <c r="F149" s="33">
        <v>5</v>
      </c>
      <c r="G149" s="34" t="s">
        <v>22</v>
      </c>
      <c r="H149" s="133"/>
      <c r="I149" s="131"/>
    </row>
    <row r="150" spans="1:9" s="34" customFormat="1" x14ac:dyDescent="0.25">
      <c r="A150" s="33"/>
      <c r="B150" s="33"/>
      <c r="C150" s="33"/>
      <c r="D150" s="33"/>
      <c r="E150" s="33"/>
      <c r="F150" s="33"/>
      <c r="G150" s="5" t="s">
        <v>25</v>
      </c>
      <c r="H150" s="41"/>
      <c r="I150" s="141"/>
    </row>
    <row r="151" spans="1:9" s="34" customFormat="1" ht="52.8" x14ac:dyDescent="0.25">
      <c r="A151" s="33" t="s">
        <v>26</v>
      </c>
      <c r="B151" s="33" t="s">
        <v>26</v>
      </c>
      <c r="C151" s="7" t="s">
        <v>419</v>
      </c>
      <c r="D151" s="33">
        <f>+D149+F149</f>
        <v>1837</v>
      </c>
      <c r="E151" s="33">
        <f t="shared" ref="E151:E156" si="20">D151+F151-1</f>
        <v>1841</v>
      </c>
      <c r="F151" s="33">
        <v>5</v>
      </c>
      <c r="G151" s="74" t="s">
        <v>430</v>
      </c>
      <c r="H151" s="131" t="s">
        <v>302</v>
      </c>
      <c r="I151" s="131" t="s">
        <v>716</v>
      </c>
    </row>
    <row r="152" spans="1:9" s="34" customFormat="1" ht="66" customHeight="1" x14ac:dyDescent="0.25">
      <c r="A152" s="33" t="s">
        <v>26</v>
      </c>
      <c r="B152" s="33" t="s">
        <v>26</v>
      </c>
      <c r="C152" s="7" t="s">
        <v>414</v>
      </c>
      <c r="D152" s="33">
        <f>D151+F151</f>
        <v>1842</v>
      </c>
      <c r="E152" s="33">
        <f t="shared" si="20"/>
        <v>1844</v>
      </c>
      <c r="F152" s="33">
        <v>3</v>
      </c>
      <c r="G152" s="74" t="s">
        <v>377</v>
      </c>
      <c r="H152" s="131" t="s">
        <v>303</v>
      </c>
      <c r="I152" s="131" t="s">
        <v>717</v>
      </c>
    </row>
    <row r="153" spans="1:9" s="34" customFormat="1" ht="79.2" x14ac:dyDescent="0.25">
      <c r="A153" s="33" t="s">
        <v>27</v>
      </c>
      <c r="B153" s="33" t="s">
        <v>27</v>
      </c>
      <c r="C153" s="7" t="s">
        <v>414</v>
      </c>
      <c r="D153" s="33">
        <f>D152+F152</f>
        <v>1845</v>
      </c>
      <c r="E153" s="33">
        <f t="shared" si="20"/>
        <v>1847</v>
      </c>
      <c r="F153" s="33">
        <v>3</v>
      </c>
      <c r="G153" s="34" t="s">
        <v>143</v>
      </c>
      <c r="H153" s="131" t="s">
        <v>518</v>
      </c>
      <c r="I153" s="131" t="s">
        <v>492</v>
      </c>
    </row>
    <row r="154" spans="1:9" s="34" customFormat="1" ht="26.4" x14ac:dyDescent="0.25">
      <c r="A154" s="33" t="s">
        <v>27</v>
      </c>
      <c r="B154" s="33" t="s">
        <v>27</v>
      </c>
      <c r="C154" s="7" t="s">
        <v>414</v>
      </c>
      <c r="D154" s="33">
        <f>D153+F153</f>
        <v>1848</v>
      </c>
      <c r="E154" s="33">
        <f t="shared" si="20"/>
        <v>1850</v>
      </c>
      <c r="F154" s="33">
        <v>3</v>
      </c>
      <c r="G154" s="74" t="s">
        <v>456</v>
      </c>
      <c r="H154" s="131" t="s">
        <v>303</v>
      </c>
      <c r="I154" s="159" t="s">
        <v>718</v>
      </c>
    </row>
    <row r="155" spans="1:9" s="34" customFormat="1" ht="26.4" x14ac:dyDescent="0.25">
      <c r="A155" s="33" t="s">
        <v>27</v>
      </c>
      <c r="B155" s="33" t="s">
        <v>27</v>
      </c>
      <c r="C155" s="7" t="s">
        <v>414</v>
      </c>
      <c r="D155" s="33">
        <f>D154+F154</f>
        <v>1851</v>
      </c>
      <c r="E155" s="33">
        <f t="shared" si="20"/>
        <v>1853</v>
      </c>
      <c r="F155" s="33">
        <v>3</v>
      </c>
      <c r="G155" s="74" t="s">
        <v>457</v>
      </c>
      <c r="H155" s="131" t="s">
        <v>303</v>
      </c>
      <c r="I155" s="174"/>
    </row>
    <row r="156" spans="1:9" s="34" customFormat="1" ht="79.2" x14ac:dyDescent="0.25">
      <c r="A156" s="33" t="s">
        <v>26</v>
      </c>
      <c r="B156" s="33" t="s">
        <v>26</v>
      </c>
      <c r="C156" s="7" t="s">
        <v>414</v>
      </c>
      <c r="D156" s="33">
        <f>D155+F155</f>
        <v>1854</v>
      </c>
      <c r="E156" s="33">
        <f t="shared" si="20"/>
        <v>1856</v>
      </c>
      <c r="F156" s="33">
        <v>3</v>
      </c>
      <c r="G156" s="74" t="s">
        <v>378</v>
      </c>
      <c r="H156" s="131" t="s">
        <v>315</v>
      </c>
      <c r="I156" s="131" t="s">
        <v>712</v>
      </c>
    </row>
    <row r="157" spans="1:9" s="34" customFormat="1" x14ac:dyDescent="0.25">
      <c r="A157" s="33"/>
      <c r="B157" s="33"/>
      <c r="C157" s="33"/>
      <c r="D157" s="33"/>
      <c r="E157" s="33"/>
      <c r="F157" s="33"/>
      <c r="G157" s="5" t="s">
        <v>129</v>
      </c>
      <c r="H157" s="133"/>
      <c r="I157" s="141"/>
    </row>
    <row r="158" spans="1:9" s="34" customFormat="1" x14ac:dyDescent="0.25">
      <c r="A158" s="33" t="s">
        <v>26</v>
      </c>
      <c r="B158" s="33" t="s">
        <v>26</v>
      </c>
      <c r="C158" s="7" t="s">
        <v>419</v>
      </c>
      <c r="D158" s="33">
        <f>+D156+F156</f>
        <v>1857</v>
      </c>
      <c r="E158" s="33">
        <f>D158+F158-1</f>
        <v>1860</v>
      </c>
      <c r="F158" s="33">
        <v>4</v>
      </c>
      <c r="G158" s="14" t="s">
        <v>450</v>
      </c>
      <c r="H158" s="159" t="s">
        <v>305</v>
      </c>
      <c r="I158" s="159" t="s">
        <v>444</v>
      </c>
    </row>
    <row r="159" spans="1:9" s="34" customFormat="1" x14ac:dyDescent="0.25">
      <c r="A159" s="33" t="s">
        <v>26</v>
      </c>
      <c r="B159" s="33" t="s">
        <v>26</v>
      </c>
      <c r="C159" s="7" t="s">
        <v>419</v>
      </c>
      <c r="D159" s="33">
        <f>D158+F158</f>
        <v>1861</v>
      </c>
      <c r="E159" s="33">
        <f>D159+F159-1</f>
        <v>1864</v>
      </c>
      <c r="F159" s="33">
        <v>4</v>
      </c>
      <c r="G159" s="14" t="s">
        <v>451</v>
      </c>
      <c r="H159" s="173"/>
      <c r="I159" s="159"/>
    </row>
    <row r="160" spans="1:9" s="34" customFormat="1" x14ac:dyDescent="0.25">
      <c r="A160" s="33" t="s">
        <v>26</v>
      </c>
      <c r="B160" s="33" t="s">
        <v>26</v>
      </c>
      <c r="C160" s="7" t="s">
        <v>419</v>
      </c>
      <c r="D160" s="33">
        <f>D159+F159</f>
        <v>1865</v>
      </c>
      <c r="E160" s="33">
        <f>D160+F160-1</f>
        <v>1868</v>
      </c>
      <c r="F160" s="33">
        <v>4</v>
      </c>
      <c r="G160" s="14" t="s">
        <v>452</v>
      </c>
      <c r="H160" s="173"/>
      <c r="I160" s="159"/>
    </row>
    <row r="161" spans="1:9" s="34" customFormat="1" x14ac:dyDescent="0.25">
      <c r="A161" s="33" t="s">
        <v>26</v>
      </c>
      <c r="B161" s="33" t="s">
        <v>26</v>
      </c>
      <c r="C161" s="7" t="s">
        <v>419</v>
      </c>
      <c r="D161" s="33">
        <f>D160+F160</f>
        <v>1869</v>
      </c>
      <c r="E161" s="33">
        <f>D161+F161-1</f>
        <v>1872</v>
      </c>
      <c r="F161" s="33">
        <v>4</v>
      </c>
      <c r="G161" s="14" t="s">
        <v>453</v>
      </c>
      <c r="H161" s="173"/>
      <c r="I161" s="159"/>
    </row>
    <row r="162" spans="1:9" s="74" customFormat="1" x14ac:dyDescent="0.25">
      <c r="A162" s="7"/>
      <c r="B162" s="7"/>
      <c r="C162" s="7"/>
      <c r="D162" s="7">
        <f>D161+F161</f>
        <v>1873</v>
      </c>
      <c r="E162" s="7">
        <f>D162+F162-1</f>
        <v>1888</v>
      </c>
      <c r="F162" s="7">
        <v>16</v>
      </c>
      <c r="G162" s="74" t="s">
        <v>22</v>
      </c>
      <c r="H162" s="131"/>
      <c r="I162" s="131"/>
    </row>
    <row r="163" spans="1:9" s="34" customFormat="1" x14ac:dyDescent="0.25">
      <c r="A163" s="33"/>
      <c r="B163" s="33"/>
      <c r="C163" s="33"/>
      <c r="D163" s="33"/>
      <c r="E163" s="33"/>
      <c r="F163" s="33"/>
      <c r="G163" s="5" t="s">
        <v>130</v>
      </c>
      <c r="H163" s="133"/>
      <c r="I163" s="141"/>
    </row>
    <row r="164" spans="1:9" s="34" customFormat="1" ht="52.5" customHeight="1" x14ac:dyDescent="0.25">
      <c r="A164" s="33" t="s">
        <v>26</v>
      </c>
      <c r="B164" s="33" t="s">
        <v>26</v>
      </c>
      <c r="C164" s="7" t="s">
        <v>419</v>
      </c>
      <c r="D164" s="33">
        <f>+D162+F162</f>
        <v>1889</v>
      </c>
      <c r="E164" s="33">
        <f>D164+F164-1</f>
        <v>1892</v>
      </c>
      <c r="F164" s="33">
        <v>4</v>
      </c>
      <c r="G164" s="14" t="s">
        <v>134</v>
      </c>
      <c r="H164" s="159" t="s">
        <v>305</v>
      </c>
      <c r="I164" s="159" t="s">
        <v>719</v>
      </c>
    </row>
    <row r="165" spans="1:9" s="34" customFormat="1" ht="51.75" customHeight="1" x14ac:dyDescent="0.25">
      <c r="A165" s="7" t="s">
        <v>26</v>
      </c>
      <c r="B165" s="7" t="s">
        <v>26</v>
      </c>
      <c r="C165" s="7" t="s">
        <v>419</v>
      </c>
      <c r="D165" s="7">
        <f>D164+F164</f>
        <v>1893</v>
      </c>
      <c r="E165" s="7">
        <f>D165+F165-1</f>
        <v>1896</v>
      </c>
      <c r="F165" s="7">
        <v>4</v>
      </c>
      <c r="G165" s="14" t="s">
        <v>631</v>
      </c>
      <c r="H165" s="159"/>
      <c r="I165" s="159"/>
    </row>
    <row r="166" spans="1:9" s="34" customFormat="1" x14ac:dyDescent="0.25">
      <c r="A166" s="33"/>
      <c r="B166" s="33"/>
      <c r="C166" s="33"/>
      <c r="D166" s="33">
        <f>D165+F165</f>
        <v>1897</v>
      </c>
      <c r="E166" s="33">
        <f>D166+F166-1</f>
        <v>1900</v>
      </c>
      <c r="F166" s="33">
        <v>4</v>
      </c>
      <c r="G166" s="38" t="s">
        <v>22</v>
      </c>
      <c r="H166" s="42"/>
      <c r="I166" s="131"/>
    </row>
    <row r="167" spans="1:9" s="34" customFormat="1" ht="39.6" x14ac:dyDescent="0.25">
      <c r="A167" s="33" t="s">
        <v>27</v>
      </c>
      <c r="B167" s="33" t="s">
        <v>27</v>
      </c>
      <c r="C167" s="33" t="s">
        <v>176</v>
      </c>
      <c r="D167" s="33">
        <f>D166+F166</f>
        <v>1901</v>
      </c>
      <c r="E167" s="33">
        <f>D167+F167-1</f>
        <v>1902</v>
      </c>
      <c r="F167" s="33">
        <v>2</v>
      </c>
      <c r="G167" s="34" t="s">
        <v>144</v>
      </c>
      <c r="H167" s="131" t="s">
        <v>708</v>
      </c>
      <c r="I167" s="131" t="s">
        <v>709</v>
      </c>
    </row>
    <row r="168" spans="1:9" s="34" customFormat="1" x14ac:dyDescent="0.25">
      <c r="A168" s="33"/>
      <c r="B168" s="33"/>
      <c r="C168" s="33"/>
      <c r="D168" s="33"/>
      <c r="E168" s="33"/>
      <c r="F168" s="33"/>
      <c r="G168" s="77" t="s">
        <v>629</v>
      </c>
      <c r="H168" s="131"/>
      <c r="I168" s="131"/>
    </row>
    <row r="169" spans="1:9" s="34" customFormat="1" ht="52.8" x14ac:dyDescent="0.25">
      <c r="A169" s="7" t="s">
        <v>26</v>
      </c>
      <c r="B169" s="7" t="s">
        <v>26</v>
      </c>
      <c r="C169" s="7" t="s">
        <v>421</v>
      </c>
      <c r="D169" s="7">
        <f>D167+F167</f>
        <v>1903</v>
      </c>
      <c r="E169" s="7">
        <f t="shared" ref="E169:E170" si="21">D169+F169-1</f>
        <v>1905</v>
      </c>
      <c r="F169" s="7">
        <v>3</v>
      </c>
      <c r="G169" s="74" t="s">
        <v>132</v>
      </c>
      <c r="H169" s="131" t="s">
        <v>602</v>
      </c>
      <c r="I169" s="158" t="s">
        <v>732</v>
      </c>
    </row>
    <row r="170" spans="1:9" s="34" customFormat="1" ht="52.8" x14ac:dyDescent="0.25">
      <c r="A170" s="7" t="s">
        <v>26</v>
      </c>
      <c r="B170" s="7" t="s">
        <v>26</v>
      </c>
      <c r="C170" s="7" t="s">
        <v>419</v>
      </c>
      <c r="D170" s="7">
        <f>D169+F169</f>
        <v>1906</v>
      </c>
      <c r="E170" s="7">
        <f t="shared" si="21"/>
        <v>1909</v>
      </c>
      <c r="F170" s="7">
        <v>4</v>
      </c>
      <c r="G170" s="74" t="s">
        <v>133</v>
      </c>
      <c r="H170" s="131" t="s">
        <v>601</v>
      </c>
      <c r="I170" s="158" t="s">
        <v>733</v>
      </c>
    </row>
    <row r="171" spans="1:9" s="34" customFormat="1" x14ac:dyDescent="0.25">
      <c r="A171" s="33"/>
      <c r="B171" s="33"/>
      <c r="C171" s="33"/>
      <c r="D171" s="33">
        <f>D170+F170</f>
        <v>1910</v>
      </c>
      <c r="E171" s="155">
        <f>D171+F171-1</f>
        <v>2019</v>
      </c>
      <c r="F171" s="155">
        <v>110</v>
      </c>
      <c r="G171" s="34" t="s">
        <v>22</v>
      </c>
      <c r="H171" s="133"/>
      <c r="I171" s="132"/>
    </row>
    <row r="172" spans="1:9" s="50" customFormat="1" x14ac:dyDescent="0.25">
      <c r="A172" s="33"/>
      <c r="B172" s="33"/>
      <c r="C172" s="33"/>
      <c r="D172" s="33"/>
      <c r="E172" s="33"/>
      <c r="F172" s="33"/>
      <c r="G172" s="5" t="s">
        <v>30</v>
      </c>
      <c r="H172" s="49"/>
      <c r="I172" s="132"/>
    </row>
    <row r="173" spans="1:9" s="34" customFormat="1" x14ac:dyDescent="0.25">
      <c r="A173" s="33"/>
      <c r="B173" s="33"/>
      <c r="C173" s="33"/>
      <c r="D173" s="33"/>
      <c r="E173" s="33"/>
      <c r="F173" s="33"/>
      <c r="G173" s="51" t="s">
        <v>146</v>
      </c>
      <c r="H173" s="133"/>
      <c r="I173" s="132"/>
    </row>
    <row r="174" spans="1:9" s="34" customFormat="1" ht="51.75" customHeight="1" x14ac:dyDescent="0.25">
      <c r="A174" s="7" t="s">
        <v>26</v>
      </c>
      <c r="B174" s="7" t="s">
        <v>26</v>
      </c>
      <c r="C174" s="7" t="s">
        <v>421</v>
      </c>
      <c r="D174" s="7">
        <f>D171+F171</f>
        <v>2020</v>
      </c>
      <c r="E174" s="7">
        <f t="shared" ref="E174:E175" si="22">D174+F174-1</f>
        <v>2020</v>
      </c>
      <c r="F174" s="7">
        <v>1</v>
      </c>
      <c r="G174" s="74" t="s">
        <v>632</v>
      </c>
      <c r="H174" s="131" t="s">
        <v>431</v>
      </c>
      <c r="I174" s="169" t="s">
        <v>740</v>
      </c>
    </row>
    <row r="175" spans="1:9" s="34" customFormat="1" ht="52.8" x14ac:dyDescent="0.25">
      <c r="A175" s="7" t="s">
        <v>26</v>
      </c>
      <c r="B175" s="7" t="s">
        <v>26</v>
      </c>
      <c r="C175" s="7" t="s">
        <v>421</v>
      </c>
      <c r="D175" s="7">
        <f t="shared" ref="D175" si="23">D174+F174</f>
        <v>2021</v>
      </c>
      <c r="E175" s="7">
        <f t="shared" si="22"/>
        <v>2021</v>
      </c>
      <c r="F175" s="7">
        <v>1</v>
      </c>
      <c r="G175" s="74" t="s">
        <v>633</v>
      </c>
      <c r="H175" s="131" t="s">
        <v>431</v>
      </c>
      <c r="I175" s="169"/>
    </row>
    <row r="176" spans="1:9" s="36" customFormat="1" x14ac:dyDescent="0.25">
      <c r="A176" s="33"/>
      <c r="B176" s="33"/>
      <c r="C176" s="33"/>
      <c r="D176" s="33">
        <f>D175+F175</f>
        <v>2022</v>
      </c>
      <c r="E176" s="155">
        <f>D176+F176-1</f>
        <v>2035</v>
      </c>
      <c r="F176" s="155">
        <v>14</v>
      </c>
      <c r="G176" s="74" t="s">
        <v>22</v>
      </c>
      <c r="H176" s="140"/>
      <c r="I176" s="132"/>
    </row>
    <row r="177" spans="1:9" s="34" customFormat="1" x14ac:dyDescent="0.25">
      <c r="A177" s="33"/>
      <c r="B177" s="33"/>
      <c r="C177" s="33"/>
      <c r="D177" s="33"/>
      <c r="E177" s="33"/>
      <c r="F177" s="33"/>
      <c r="G177" s="51" t="s">
        <v>145</v>
      </c>
      <c r="H177" s="133"/>
      <c r="I177" s="132"/>
    </row>
    <row r="178" spans="1:9" s="34" customFormat="1" ht="26.25" customHeight="1" x14ac:dyDescent="0.25">
      <c r="A178" s="33" t="s">
        <v>26</v>
      </c>
      <c r="B178" s="33" t="s">
        <v>26</v>
      </c>
      <c r="C178" s="33"/>
      <c r="D178" s="33">
        <f>D176+F176</f>
        <v>2036</v>
      </c>
      <c r="E178" s="33">
        <f>D178+F178-1</f>
        <v>2036</v>
      </c>
      <c r="F178" s="33">
        <v>1</v>
      </c>
      <c r="G178" s="74" t="s">
        <v>485</v>
      </c>
      <c r="H178" s="159" t="s">
        <v>247</v>
      </c>
      <c r="I178" s="159" t="s">
        <v>595</v>
      </c>
    </row>
    <row r="179" spans="1:9" s="34" customFormat="1" ht="27" customHeight="1" x14ac:dyDescent="0.25">
      <c r="A179" s="33" t="s">
        <v>26</v>
      </c>
      <c r="B179" s="33" t="s">
        <v>26</v>
      </c>
      <c r="C179" s="33"/>
      <c r="D179" s="33">
        <f>D178+F178</f>
        <v>2037</v>
      </c>
      <c r="E179" s="33">
        <f>D179+F179-1</f>
        <v>2037</v>
      </c>
      <c r="F179" s="33">
        <v>1</v>
      </c>
      <c r="G179" s="74" t="s">
        <v>486</v>
      </c>
      <c r="H179" s="159"/>
      <c r="I179" s="159"/>
    </row>
    <row r="180" spans="1:9" s="34" customFormat="1" x14ac:dyDescent="0.25">
      <c r="A180" s="33"/>
      <c r="B180" s="33"/>
      <c r="C180" s="33"/>
      <c r="D180" s="33">
        <f>D179+F179</f>
        <v>2038</v>
      </c>
      <c r="E180" s="155">
        <f>D180+F180-1</f>
        <v>2044</v>
      </c>
      <c r="F180" s="155">
        <v>7</v>
      </c>
      <c r="G180" s="38" t="s">
        <v>22</v>
      </c>
      <c r="H180" s="133"/>
      <c r="I180" s="132"/>
    </row>
    <row r="181" spans="1:9" s="34" customFormat="1" ht="13.5" customHeight="1" x14ac:dyDescent="0.25">
      <c r="A181" s="33"/>
      <c r="B181" s="33"/>
      <c r="C181" s="33"/>
      <c r="D181" s="33"/>
      <c r="E181" s="33"/>
      <c r="F181" s="33"/>
      <c r="G181" s="51" t="s">
        <v>147</v>
      </c>
      <c r="H181" s="133"/>
      <c r="I181" s="132"/>
    </row>
    <row r="182" spans="1:9" s="34" customFormat="1" ht="26.25" customHeight="1" x14ac:dyDescent="0.25">
      <c r="A182" s="7" t="s">
        <v>27</v>
      </c>
      <c r="B182" s="7" t="s">
        <v>27</v>
      </c>
      <c r="C182" s="33"/>
      <c r="D182" s="33">
        <f>D180+F180</f>
        <v>2045</v>
      </c>
      <c r="E182" s="33">
        <f>D182+F182-1</f>
        <v>2045</v>
      </c>
      <c r="F182" s="33">
        <v>1</v>
      </c>
      <c r="G182" s="74" t="s">
        <v>487</v>
      </c>
      <c r="H182" s="159" t="s">
        <v>248</v>
      </c>
      <c r="I182" s="159" t="s">
        <v>596</v>
      </c>
    </row>
    <row r="183" spans="1:9" s="34" customFormat="1" ht="27" customHeight="1" x14ac:dyDescent="0.25">
      <c r="A183" s="7" t="s">
        <v>27</v>
      </c>
      <c r="B183" s="7" t="s">
        <v>27</v>
      </c>
      <c r="C183" s="33"/>
      <c r="D183" s="33">
        <f>D182+F182</f>
        <v>2046</v>
      </c>
      <c r="E183" s="33">
        <f>D183+F183-1</f>
        <v>2046</v>
      </c>
      <c r="F183" s="33">
        <v>1</v>
      </c>
      <c r="G183" s="74" t="s">
        <v>488</v>
      </c>
      <c r="H183" s="159"/>
      <c r="I183" s="159"/>
    </row>
    <row r="184" spans="1:9" s="34" customFormat="1" x14ac:dyDescent="0.25">
      <c r="A184" s="33"/>
      <c r="B184" s="33"/>
      <c r="C184" s="33"/>
      <c r="D184" s="33">
        <f>D183+F183</f>
        <v>2047</v>
      </c>
      <c r="E184" s="155">
        <f>D184+F184-1</f>
        <v>2053</v>
      </c>
      <c r="F184" s="155">
        <v>7</v>
      </c>
      <c r="G184" s="38" t="s">
        <v>22</v>
      </c>
      <c r="H184" s="133"/>
      <c r="I184" s="132"/>
    </row>
    <row r="185" spans="1:9" s="34" customFormat="1" x14ac:dyDescent="0.25">
      <c r="A185" s="33"/>
      <c r="B185" s="33"/>
      <c r="C185" s="33"/>
      <c r="D185" s="33"/>
      <c r="E185" s="33"/>
      <c r="F185" s="33"/>
      <c r="G185" s="51" t="s">
        <v>148</v>
      </c>
      <c r="H185" s="133"/>
      <c r="I185" s="132"/>
    </row>
    <row r="186" spans="1:9" s="34" customFormat="1" ht="47.25" customHeight="1" x14ac:dyDescent="0.25">
      <c r="A186" s="33" t="s">
        <v>26</v>
      </c>
      <c r="B186" s="33" t="s">
        <v>26</v>
      </c>
      <c r="C186" s="7" t="s">
        <v>419</v>
      </c>
      <c r="D186" s="33">
        <f>D184+F184</f>
        <v>2054</v>
      </c>
      <c r="E186" s="33">
        <f>D186+F186-1</f>
        <v>2054</v>
      </c>
      <c r="F186" s="33">
        <v>1</v>
      </c>
      <c r="G186" s="74" t="s">
        <v>489</v>
      </c>
      <c r="H186" s="159" t="s">
        <v>249</v>
      </c>
      <c r="I186" s="159" t="s">
        <v>720</v>
      </c>
    </row>
    <row r="187" spans="1:9" s="34" customFormat="1" ht="47.25" customHeight="1" x14ac:dyDescent="0.25">
      <c r="A187" s="33" t="s">
        <v>26</v>
      </c>
      <c r="B187" s="33" t="s">
        <v>26</v>
      </c>
      <c r="C187" s="7" t="s">
        <v>419</v>
      </c>
      <c r="D187" s="33">
        <f>D186+F186</f>
        <v>2055</v>
      </c>
      <c r="E187" s="33">
        <f>D187+F187-1</f>
        <v>2055</v>
      </c>
      <c r="F187" s="33">
        <v>1</v>
      </c>
      <c r="G187" s="74" t="s">
        <v>490</v>
      </c>
      <c r="H187" s="159"/>
      <c r="I187" s="159"/>
    </row>
    <row r="188" spans="1:9" s="34" customFormat="1" x14ac:dyDescent="0.25">
      <c r="A188" s="33"/>
      <c r="B188" s="33"/>
      <c r="C188" s="33"/>
      <c r="D188" s="33">
        <f>D187+F187</f>
        <v>2056</v>
      </c>
      <c r="E188" s="155">
        <f>D188+F188-1</f>
        <v>2062</v>
      </c>
      <c r="F188" s="155">
        <v>7</v>
      </c>
      <c r="G188" s="38" t="s">
        <v>22</v>
      </c>
      <c r="H188" s="133"/>
      <c r="I188" s="132"/>
    </row>
    <row r="189" spans="1:9" s="34" customFormat="1" x14ac:dyDescent="0.25">
      <c r="A189" s="33"/>
      <c r="B189" s="33"/>
      <c r="C189" s="33"/>
      <c r="D189" s="33"/>
      <c r="E189" s="33"/>
      <c r="F189" s="33"/>
      <c r="G189" s="51" t="s">
        <v>149</v>
      </c>
      <c r="H189" s="133"/>
      <c r="I189" s="132"/>
    </row>
    <row r="190" spans="1:9" s="34" customFormat="1" ht="48" customHeight="1" x14ac:dyDescent="0.25">
      <c r="A190" s="33" t="s">
        <v>26</v>
      </c>
      <c r="B190" s="33" t="s">
        <v>26</v>
      </c>
      <c r="C190" s="80" t="s">
        <v>421</v>
      </c>
      <c r="D190" s="33">
        <f>D188+F188</f>
        <v>2063</v>
      </c>
      <c r="E190" s="33">
        <f t="shared" ref="E190:E200" si="24">D190+F190-1</f>
        <v>2063</v>
      </c>
      <c r="F190" s="33">
        <v>1</v>
      </c>
      <c r="G190" s="74" t="s">
        <v>379</v>
      </c>
      <c r="H190" s="159" t="s">
        <v>250</v>
      </c>
      <c r="I190" s="159" t="s">
        <v>721</v>
      </c>
    </row>
    <row r="191" spans="1:9" s="34" customFormat="1" ht="48" customHeight="1" x14ac:dyDescent="0.25">
      <c r="A191" s="33" t="s">
        <v>26</v>
      </c>
      <c r="B191" s="33" t="s">
        <v>26</v>
      </c>
      <c r="C191" s="80" t="s">
        <v>421</v>
      </c>
      <c r="D191" s="33">
        <f t="shared" ref="D191:D200" si="25">D190+F190</f>
        <v>2064</v>
      </c>
      <c r="E191" s="33">
        <f t="shared" si="24"/>
        <v>2064</v>
      </c>
      <c r="F191" s="33">
        <v>1</v>
      </c>
      <c r="G191" s="74" t="s">
        <v>380</v>
      </c>
      <c r="H191" s="159"/>
      <c r="I191" s="159"/>
    </row>
    <row r="192" spans="1:9" s="34" customFormat="1" x14ac:dyDescent="0.25">
      <c r="A192" s="33"/>
      <c r="B192" s="33"/>
      <c r="C192" s="80"/>
      <c r="D192" s="33"/>
      <c r="E192" s="33"/>
      <c r="F192" s="33"/>
      <c r="G192" s="77" t="s">
        <v>623</v>
      </c>
      <c r="H192" s="135"/>
      <c r="I192" s="132"/>
    </row>
    <row r="193" spans="1:9" s="34" customFormat="1" ht="12.75" customHeight="1" x14ac:dyDescent="0.25">
      <c r="A193" s="142"/>
      <c r="B193" s="142"/>
      <c r="C193" s="142"/>
      <c r="D193" s="7">
        <f>D191+F191</f>
        <v>2065</v>
      </c>
      <c r="E193" s="155">
        <f t="shared" ref="E193:E195" si="26">D193+F193-1</f>
        <v>2066</v>
      </c>
      <c r="F193" s="155">
        <v>2</v>
      </c>
      <c r="G193" s="157" t="s">
        <v>22</v>
      </c>
      <c r="H193" s="148"/>
      <c r="I193" s="148"/>
    </row>
    <row r="194" spans="1:9" s="34" customFormat="1" ht="26.4" x14ac:dyDescent="0.25">
      <c r="A194" s="7" t="s">
        <v>27</v>
      </c>
      <c r="B194" s="7" t="s">
        <v>27</v>
      </c>
      <c r="C194" s="7" t="s">
        <v>175</v>
      </c>
      <c r="D194" s="7">
        <f>D193+F193</f>
        <v>2067</v>
      </c>
      <c r="E194" s="7">
        <f t="shared" si="26"/>
        <v>2067</v>
      </c>
      <c r="F194" s="7">
        <v>1</v>
      </c>
      <c r="G194" s="74" t="s">
        <v>626</v>
      </c>
      <c r="H194" s="148" t="s">
        <v>624</v>
      </c>
      <c r="I194" s="148" t="s">
        <v>625</v>
      </c>
    </row>
    <row r="195" spans="1:9" s="34" customFormat="1" x14ac:dyDescent="0.25">
      <c r="A195" s="7" t="s">
        <v>27</v>
      </c>
      <c r="B195" s="7" t="s">
        <v>27</v>
      </c>
      <c r="C195" s="7" t="s">
        <v>175</v>
      </c>
      <c r="D195" s="7">
        <f>D194+F194</f>
        <v>2068</v>
      </c>
      <c r="E195" s="7">
        <f t="shared" si="26"/>
        <v>2068</v>
      </c>
      <c r="F195" s="7">
        <v>1</v>
      </c>
      <c r="G195" s="74" t="s">
        <v>627</v>
      </c>
      <c r="H195" s="148"/>
      <c r="I195" s="148"/>
    </row>
    <row r="196" spans="1:9" s="34" customFormat="1" x14ac:dyDescent="0.25">
      <c r="A196" s="33"/>
      <c r="B196" s="33"/>
      <c r="C196" s="33"/>
      <c r="D196" s="33">
        <f>D195+F195</f>
        <v>2069</v>
      </c>
      <c r="E196" s="33">
        <f t="shared" si="24"/>
        <v>2069</v>
      </c>
      <c r="F196" s="33">
        <v>1</v>
      </c>
      <c r="G196" s="37" t="s">
        <v>22</v>
      </c>
      <c r="H196" s="133"/>
      <c r="I196" s="133"/>
    </row>
    <row r="197" spans="1:9" s="34" customFormat="1" ht="195" customHeight="1" x14ac:dyDescent="0.25">
      <c r="A197" s="33" t="s">
        <v>26</v>
      </c>
      <c r="B197" s="33" t="s">
        <v>26</v>
      </c>
      <c r="C197" s="33"/>
      <c r="D197" s="33">
        <f t="shared" si="25"/>
        <v>2070</v>
      </c>
      <c r="E197" s="33">
        <f t="shared" si="24"/>
        <v>2071</v>
      </c>
      <c r="F197" s="33">
        <v>2</v>
      </c>
      <c r="G197" s="34" t="s">
        <v>58</v>
      </c>
      <c r="H197" s="134" t="s">
        <v>597</v>
      </c>
      <c r="I197" s="131" t="s">
        <v>513</v>
      </c>
    </row>
    <row r="198" spans="1:9" s="34" customFormat="1" ht="26.4" x14ac:dyDescent="0.25">
      <c r="A198" s="33" t="s">
        <v>26</v>
      </c>
      <c r="B198" s="33" t="s">
        <v>26</v>
      </c>
      <c r="C198" s="33"/>
      <c r="D198" s="33">
        <f t="shared" si="25"/>
        <v>2072</v>
      </c>
      <c r="E198" s="33">
        <f t="shared" si="24"/>
        <v>2072</v>
      </c>
      <c r="F198" s="33">
        <v>1</v>
      </c>
      <c r="G198" s="34" t="s">
        <v>59</v>
      </c>
      <c r="H198" s="131" t="s">
        <v>478</v>
      </c>
      <c r="I198" s="131" t="s">
        <v>495</v>
      </c>
    </row>
    <row r="199" spans="1:9" s="34" customFormat="1" ht="79.2" x14ac:dyDescent="0.25">
      <c r="A199" s="7" t="s">
        <v>26</v>
      </c>
      <c r="B199" s="7" t="s">
        <v>26</v>
      </c>
      <c r="C199" s="33"/>
      <c r="D199" s="33">
        <f t="shared" si="25"/>
        <v>2073</v>
      </c>
      <c r="E199" s="33">
        <f t="shared" si="24"/>
        <v>2073</v>
      </c>
      <c r="F199" s="33">
        <v>1</v>
      </c>
      <c r="G199" s="74" t="s">
        <v>225</v>
      </c>
      <c r="H199" s="75" t="s">
        <v>227</v>
      </c>
      <c r="I199" s="131" t="s">
        <v>506</v>
      </c>
    </row>
    <row r="200" spans="1:9" s="34" customFormat="1" x14ac:dyDescent="0.25">
      <c r="A200" s="33"/>
      <c r="B200" s="33"/>
      <c r="C200" s="33"/>
      <c r="D200" s="33">
        <f t="shared" si="25"/>
        <v>2074</v>
      </c>
      <c r="E200" s="33">
        <f t="shared" si="24"/>
        <v>2077</v>
      </c>
      <c r="F200" s="33">
        <v>4</v>
      </c>
      <c r="G200" s="37" t="s">
        <v>22</v>
      </c>
      <c r="H200" s="133"/>
      <c r="I200" s="133"/>
    </row>
    <row r="201" spans="1:9" s="36" customFormat="1" x14ac:dyDescent="0.25">
      <c r="A201" s="33"/>
      <c r="B201" s="33"/>
      <c r="C201" s="33"/>
      <c r="D201" s="33"/>
      <c r="E201" s="33"/>
      <c r="F201" s="33"/>
      <c r="G201" s="51" t="s">
        <v>519</v>
      </c>
      <c r="H201" s="138"/>
      <c r="I201" s="53"/>
    </row>
    <row r="202" spans="1:9" s="36" customFormat="1" x14ac:dyDescent="0.25">
      <c r="A202" s="33" t="s">
        <v>26</v>
      </c>
      <c r="B202" s="33" t="s">
        <v>26</v>
      </c>
      <c r="C202" s="33" t="s">
        <v>175</v>
      </c>
      <c r="D202" s="33">
        <f>+D200+F200</f>
        <v>2078</v>
      </c>
      <c r="E202" s="33">
        <f t="shared" ref="E202:E218" si="27">D202+F202-1</f>
        <v>2078</v>
      </c>
      <c r="F202" s="33">
        <v>1</v>
      </c>
      <c r="G202" s="37" t="s">
        <v>155</v>
      </c>
      <c r="H202" s="168" t="s">
        <v>71</v>
      </c>
      <c r="I202" s="159" t="s">
        <v>571</v>
      </c>
    </row>
    <row r="203" spans="1:9" s="36" customFormat="1" x14ac:dyDescent="0.25">
      <c r="A203" s="33" t="s">
        <v>26</v>
      </c>
      <c r="B203" s="33" t="s">
        <v>26</v>
      </c>
      <c r="C203" s="33"/>
      <c r="D203" s="33">
        <f t="shared" ref="D203:D216" si="28">D202+F202</f>
        <v>2079</v>
      </c>
      <c r="E203" s="33">
        <f t="shared" si="27"/>
        <v>2079</v>
      </c>
      <c r="F203" s="33">
        <v>1</v>
      </c>
      <c r="G203" s="37" t="s">
        <v>156</v>
      </c>
      <c r="H203" s="168"/>
      <c r="I203" s="168"/>
    </row>
    <row r="204" spans="1:9" s="36" customFormat="1" x14ac:dyDescent="0.25">
      <c r="A204" s="33" t="s">
        <v>26</v>
      </c>
      <c r="B204" s="33" t="s">
        <v>26</v>
      </c>
      <c r="C204" s="33"/>
      <c r="D204" s="33">
        <f t="shared" si="28"/>
        <v>2080</v>
      </c>
      <c r="E204" s="33">
        <f t="shared" si="27"/>
        <v>2080</v>
      </c>
      <c r="F204" s="33">
        <v>1</v>
      </c>
      <c r="G204" s="37" t="s">
        <v>157</v>
      </c>
      <c r="H204" s="168"/>
      <c r="I204" s="168"/>
    </row>
    <row r="205" spans="1:9" s="36" customFormat="1" x14ac:dyDescent="0.25">
      <c r="A205" s="33" t="s">
        <v>26</v>
      </c>
      <c r="B205" s="33" t="s">
        <v>26</v>
      </c>
      <c r="C205" s="33"/>
      <c r="D205" s="33">
        <f t="shared" si="28"/>
        <v>2081</v>
      </c>
      <c r="E205" s="33">
        <f t="shared" si="27"/>
        <v>2081</v>
      </c>
      <c r="F205" s="33">
        <v>1</v>
      </c>
      <c r="G205" s="37" t="s">
        <v>158</v>
      </c>
      <c r="H205" s="168"/>
      <c r="I205" s="168"/>
    </row>
    <row r="206" spans="1:9" s="36" customFormat="1" x14ac:dyDescent="0.25">
      <c r="A206" s="7" t="s">
        <v>27</v>
      </c>
      <c r="B206" s="7" t="s">
        <v>27</v>
      </c>
      <c r="C206" s="33"/>
      <c r="D206" s="33">
        <f t="shared" si="28"/>
        <v>2082</v>
      </c>
      <c r="E206" s="33">
        <f t="shared" si="27"/>
        <v>2082</v>
      </c>
      <c r="F206" s="33">
        <v>1</v>
      </c>
      <c r="G206" s="14" t="s">
        <v>159</v>
      </c>
      <c r="H206" s="168"/>
      <c r="I206" s="168"/>
    </row>
    <row r="207" spans="1:9" s="36" customFormat="1" x14ac:dyDescent="0.25">
      <c r="A207" s="33" t="s">
        <v>26</v>
      </c>
      <c r="B207" s="33" t="s">
        <v>26</v>
      </c>
      <c r="C207" s="33"/>
      <c r="D207" s="33">
        <f t="shared" si="28"/>
        <v>2083</v>
      </c>
      <c r="E207" s="33">
        <f t="shared" si="27"/>
        <v>2083</v>
      </c>
      <c r="F207" s="33">
        <v>1</v>
      </c>
      <c r="G207" s="37" t="s">
        <v>160</v>
      </c>
      <c r="H207" s="168"/>
      <c r="I207" s="168"/>
    </row>
    <row r="208" spans="1:9" s="36" customFormat="1" x14ac:dyDescent="0.25">
      <c r="A208" s="7" t="s">
        <v>27</v>
      </c>
      <c r="B208" s="7" t="s">
        <v>27</v>
      </c>
      <c r="C208" s="33"/>
      <c r="D208" s="33">
        <f t="shared" si="28"/>
        <v>2084</v>
      </c>
      <c r="E208" s="33">
        <f t="shared" si="27"/>
        <v>2084</v>
      </c>
      <c r="F208" s="33">
        <v>1</v>
      </c>
      <c r="G208" s="37" t="s">
        <v>161</v>
      </c>
      <c r="H208" s="168"/>
      <c r="I208" s="168"/>
    </row>
    <row r="209" spans="1:9" s="36" customFormat="1" x14ac:dyDescent="0.25">
      <c r="A209" s="7" t="s">
        <v>27</v>
      </c>
      <c r="B209" s="7" t="s">
        <v>27</v>
      </c>
      <c r="C209" s="33"/>
      <c r="D209" s="33">
        <f t="shared" si="28"/>
        <v>2085</v>
      </c>
      <c r="E209" s="33">
        <f t="shared" si="27"/>
        <v>2085</v>
      </c>
      <c r="F209" s="33">
        <v>1</v>
      </c>
      <c r="G209" s="37" t="s">
        <v>162</v>
      </c>
      <c r="H209" s="168"/>
      <c r="I209" s="168"/>
    </row>
    <row r="210" spans="1:9" s="36" customFormat="1" x14ac:dyDescent="0.25">
      <c r="A210" s="7" t="s">
        <v>27</v>
      </c>
      <c r="B210" s="7" t="s">
        <v>27</v>
      </c>
      <c r="C210" s="33"/>
      <c r="D210" s="33">
        <f t="shared" si="28"/>
        <v>2086</v>
      </c>
      <c r="E210" s="33">
        <f t="shared" si="27"/>
        <v>2086</v>
      </c>
      <c r="F210" s="33">
        <v>1</v>
      </c>
      <c r="G210" s="37" t="s">
        <v>163</v>
      </c>
      <c r="H210" s="168"/>
      <c r="I210" s="168"/>
    </row>
    <row r="211" spans="1:9" s="36" customFormat="1" x14ac:dyDescent="0.25">
      <c r="A211" s="33" t="s">
        <v>26</v>
      </c>
      <c r="B211" s="33" t="s">
        <v>26</v>
      </c>
      <c r="C211" s="33"/>
      <c r="D211" s="33">
        <f t="shared" si="28"/>
        <v>2087</v>
      </c>
      <c r="E211" s="33">
        <f t="shared" si="27"/>
        <v>2087</v>
      </c>
      <c r="F211" s="33">
        <v>1</v>
      </c>
      <c r="G211" s="37" t="s">
        <v>164</v>
      </c>
      <c r="H211" s="168"/>
      <c r="I211" s="168"/>
    </row>
    <row r="212" spans="1:9" s="36" customFormat="1" x14ac:dyDescent="0.25">
      <c r="A212" s="33" t="s">
        <v>26</v>
      </c>
      <c r="B212" s="33" t="s">
        <v>26</v>
      </c>
      <c r="C212" s="33"/>
      <c r="D212" s="33">
        <f t="shared" si="28"/>
        <v>2088</v>
      </c>
      <c r="E212" s="33">
        <f t="shared" si="27"/>
        <v>2088</v>
      </c>
      <c r="F212" s="33">
        <v>1</v>
      </c>
      <c r="G212" s="37" t="s">
        <v>165</v>
      </c>
      <c r="H212" s="168"/>
      <c r="I212" s="168"/>
    </row>
    <row r="213" spans="1:9" s="36" customFormat="1" x14ac:dyDescent="0.25">
      <c r="A213" s="7" t="s">
        <v>27</v>
      </c>
      <c r="B213" s="7" t="s">
        <v>27</v>
      </c>
      <c r="C213" s="33"/>
      <c r="D213" s="33">
        <f t="shared" si="28"/>
        <v>2089</v>
      </c>
      <c r="E213" s="33">
        <f t="shared" si="27"/>
        <v>2089</v>
      </c>
      <c r="F213" s="33">
        <v>1</v>
      </c>
      <c r="G213" s="37" t="s">
        <v>166</v>
      </c>
      <c r="H213" s="168"/>
      <c r="I213" s="168"/>
    </row>
    <row r="214" spans="1:9" s="36" customFormat="1" x14ac:dyDescent="0.25">
      <c r="A214" s="7" t="s">
        <v>27</v>
      </c>
      <c r="B214" s="7" t="s">
        <v>27</v>
      </c>
      <c r="C214" s="33"/>
      <c r="D214" s="33">
        <f t="shared" si="28"/>
        <v>2090</v>
      </c>
      <c r="E214" s="33">
        <f t="shared" si="27"/>
        <v>2090</v>
      </c>
      <c r="F214" s="33">
        <v>1</v>
      </c>
      <c r="G214" s="14" t="s">
        <v>525</v>
      </c>
      <c r="H214" s="168"/>
      <c r="I214" s="168"/>
    </row>
    <row r="215" spans="1:9" s="36" customFormat="1" x14ac:dyDescent="0.25">
      <c r="A215" s="7" t="s">
        <v>27</v>
      </c>
      <c r="B215" s="7" t="s">
        <v>27</v>
      </c>
      <c r="C215" s="33"/>
      <c r="D215" s="33">
        <f t="shared" si="28"/>
        <v>2091</v>
      </c>
      <c r="E215" s="33">
        <f t="shared" si="27"/>
        <v>2091</v>
      </c>
      <c r="F215" s="33">
        <v>1</v>
      </c>
      <c r="G215" s="37" t="s">
        <v>167</v>
      </c>
      <c r="H215" s="168"/>
      <c r="I215" s="168"/>
    </row>
    <row r="216" spans="1:9" s="36" customFormat="1" x14ac:dyDescent="0.25">
      <c r="A216" s="33"/>
      <c r="B216" s="33"/>
      <c r="C216" s="33"/>
      <c r="D216" s="33">
        <f t="shared" si="28"/>
        <v>2092</v>
      </c>
      <c r="E216" s="33">
        <f t="shared" si="27"/>
        <v>2096</v>
      </c>
      <c r="F216" s="33">
        <v>5</v>
      </c>
      <c r="G216" s="37" t="s">
        <v>22</v>
      </c>
      <c r="H216" s="133"/>
      <c r="I216" s="133"/>
    </row>
    <row r="217" spans="1:9" s="36" customFormat="1" x14ac:dyDescent="0.25">
      <c r="A217" s="33"/>
      <c r="B217" s="33"/>
      <c r="C217" s="33"/>
      <c r="D217" s="33"/>
      <c r="E217" s="33"/>
      <c r="F217" s="33"/>
      <c r="G217" s="51" t="s">
        <v>20</v>
      </c>
      <c r="H217" s="133"/>
      <c r="I217" s="139"/>
    </row>
    <row r="218" spans="1:9" s="36" customFormat="1" x14ac:dyDescent="0.25">
      <c r="A218" s="33"/>
      <c r="B218" s="33"/>
      <c r="C218" s="7"/>
      <c r="D218" s="33">
        <f>D216+F216</f>
        <v>2097</v>
      </c>
      <c r="E218" s="155">
        <f t="shared" si="27"/>
        <v>2098</v>
      </c>
      <c r="F218" s="155">
        <v>2</v>
      </c>
      <c r="G218" s="95" t="s">
        <v>22</v>
      </c>
      <c r="H218" s="131"/>
      <c r="I218" s="94"/>
    </row>
    <row r="219" spans="1:9" s="36" customFormat="1" ht="66" x14ac:dyDescent="0.25">
      <c r="A219" s="7" t="s">
        <v>27</v>
      </c>
      <c r="B219" s="7" t="s">
        <v>27</v>
      </c>
      <c r="C219" s="7" t="s">
        <v>350</v>
      </c>
      <c r="D219" s="33">
        <f>D218+F218</f>
        <v>2099</v>
      </c>
      <c r="E219" s="33">
        <f>D219+F219-1</f>
        <v>2099</v>
      </c>
      <c r="F219" s="33">
        <v>1</v>
      </c>
      <c r="G219" s="74" t="s">
        <v>524</v>
      </c>
      <c r="H219" s="131" t="s">
        <v>71</v>
      </c>
      <c r="I219" s="131" t="s">
        <v>507</v>
      </c>
    </row>
    <row r="220" spans="1:9" s="36" customFormat="1" ht="52.8" x14ac:dyDescent="0.25">
      <c r="A220" s="7" t="s">
        <v>27</v>
      </c>
      <c r="B220" s="7" t="s">
        <v>27</v>
      </c>
      <c r="C220" s="7"/>
      <c r="D220" s="33">
        <f>D219+F219</f>
        <v>2100</v>
      </c>
      <c r="E220" s="33">
        <f>D220+F220-1</f>
        <v>2100</v>
      </c>
      <c r="F220" s="33">
        <v>1</v>
      </c>
      <c r="G220" s="76" t="s">
        <v>432</v>
      </c>
      <c r="H220" s="131" t="s">
        <v>71</v>
      </c>
      <c r="I220" s="76" t="s">
        <v>568</v>
      </c>
    </row>
    <row r="221" spans="1:9" s="36" customFormat="1" x14ac:dyDescent="0.25">
      <c r="A221" s="33"/>
      <c r="B221" s="33"/>
      <c r="C221" s="33"/>
      <c r="D221" s="33">
        <f>D220+F220</f>
        <v>2101</v>
      </c>
      <c r="E221" s="33">
        <f>D221+F221-1</f>
        <v>2101</v>
      </c>
      <c r="F221" s="33">
        <v>1</v>
      </c>
      <c r="G221" s="64" t="s">
        <v>22</v>
      </c>
      <c r="H221" s="133"/>
      <c r="I221" s="133"/>
    </row>
    <row r="222" spans="1:9" s="36" customFormat="1" ht="52.8" x14ac:dyDescent="0.25">
      <c r="A222" s="7" t="s">
        <v>27</v>
      </c>
      <c r="B222" s="7" t="s">
        <v>27</v>
      </c>
      <c r="C222" s="7" t="s">
        <v>350</v>
      </c>
      <c r="D222" s="33">
        <f>D221+F221</f>
        <v>2102</v>
      </c>
      <c r="E222" s="33">
        <f>D222+F222-1</f>
        <v>2102</v>
      </c>
      <c r="F222" s="33">
        <v>1</v>
      </c>
      <c r="G222" s="34" t="s">
        <v>150</v>
      </c>
      <c r="H222" s="131" t="s">
        <v>71</v>
      </c>
      <c r="I222" s="131" t="s">
        <v>569</v>
      </c>
    </row>
    <row r="223" spans="1:9" s="36" customFormat="1" x14ac:dyDescent="0.25">
      <c r="A223" s="33"/>
      <c r="B223" s="33"/>
      <c r="C223" s="33"/>
      <c r="D223" s="33"/>
      <c r="E223" s="33"/>
      <c r="F223" s="7"/>
      <c r="G223" s="51" t="s">
        <v>252</v>
      </c>
      <c r="H223" s="134"/>
      <c r="I223" s="133"/>
    </row>
    <row r="224" spans="1:9" s="36" customFormat="1" ht="66" x14ac:dyDescent="0.25">
      <c r="A224" s="7" t="s">
        <v>27</v>
      </c>
      <c r="B224" s="7" t="s">
        <v>27</v>
      </c>
      <c r="C224" s="78"/>
      <c r="D224" s="33">
        <f>D222+F222</f>
        <v>2103</v>
      </c>
      <c r="E224" s="33">
        <f t="shared" ref="E224:E229" si="29">D224+F224-1</f>
        <v>2103</v>
      </c>
      <c r="F224" s="7">
        <v>1</v>
      </c>
      <c r="G224" s="74" t="s">
        <v>253</v>
      </c>
      <c r="H224" s="134" t="s">
        <v>441</v>
      </c>
      <c r="I224" s="131" t="s">
        <v>436</v>
      </c>
    </row>
    <row r="225" spans="1:9" s="36" customFormat="1" x14ac:dyDescent="0.25">
      <c r="A225" s="7" t="s">
        <v>27</v>
      </c>
      <c r="B225" s="7" t="s">
        <v>27</v>
      </c>
      <c r="C225" s="78"/>
      <c r="D225" s="33">
        <f>D224+F224</f>
        <v>2104</v>
      </c>
      <c r="E225" s="33">
        <f t="shared" si="29"/>
        <v>2104</v>
      </c>
      <c r="F225" s="7">
        <v>1</v>
      </c>
      <c r="G225" s="74" t="s">
        <v>339</v>
      </c>
      <c r="H225" s="170" t="s">
        <v>316</v>
      </c>
      <c r="I225" s="159" t="s">
        <v>436</v>
      </c>
    </row>
    <row r="226" spans="1:9" s="36" customFormat="1" x14ac:dyDescent="0.25">
      <c r="A226" s="7" t="s">
        <v>27</v>
      </c>
      <c r="B226" s="7" t="s">
        <v>27</v>
      </c>
      <c r="C226" s="78"/>
      <c r="D226" s="33">
        <f>D225+F225</f>
        <v>2105</v>
      </c>
      <c r="E226" s="33">
        <f t="shared" si="29"/>
        <v>2105</v>
      </c>
      <c r="F226" s="7">
        <v>1</v>
      </c>
      <c r="G226" s="74" t="s">
        <v>254</v>
      </c>
      <c r="H226" s="170"/>
      <c r="I226" s="168"/>
    </row>
    <row r="227" spans="1:9" s="36" customFormat="1" x14ac:dyDescent="0.25">
      <c r="A227" s="7" t="s">
        <v>27</v>
      </c>
      <c r="B227" s="7" t="s">
        <v>27</v>
      </c>
      <c r="C227" s="78"/>
      <c r="D227" s="33">
        <f>D226+F226</f>
        <v>2106</v>
      </c>
      <c r="E227" s="33">
        <f t="shared" si="29"/>
        <v>2106</v>
      </c>
      <c r="F227" s="7">
        <v>1</v>
      </c>
      <c r="G227" s="74" t="s">
        <v>255</v>
      </c>
      <c r="H227" s="170"/>
      <c r="I227" s="168"/>
    </row>
    <row r="228" spans="1:9" s="36" customFormat="1" x14ac:dyDescent="0.25">
      <c r="A228" s="7" t="s">
        <v>27</v>
      </c>
      <c r="B228" s="7" t="s">
        <v>27</v>
      </c>
      <c r="C228" s="78"/>
      <c r="D228" s="33">
        <f>D227+F227</f>
        <v>2107</v>
      </c>
      <c r="E228" s="33">
        <f t="shared" si="29"/>
        <v>2107</v>
      </c>
      <c r="F228" s="7">
        <v>1</v>
      </c>
      <c r="G228" s="74" t="s">
        <v>256</v>
      </c>
      <c r="H228" s="170"/>
      <c r="I228" s="168"/>
    </row>
    <row r="229" spans="1:9" s="36" customFormat="1" x14ac:dyDescent="0.25">
      <c r="A229" s="7" t="s">
        <v>27</v>
      </c>
      <c r="B229" s="7" t="s">
        <v>27</v>
      </c>
      <c r="C229" s="78"/>
      <c r="D229" s="33">
        <f>D228+F228</f>
        <v>2108</v>
      </c>
      <c r="E229" s="33">
        <f t="shared" si="29"/>
        <v>2108</v>
      </c>
      <c r="F229" s="7">
        <v>1</v>
      </c>
      <c r="G229" s="74" t="s">
        <v>257</v>
      </c>
      <c r="H229" s="170"/>
      <c r="I229" s="168"/>
    </row>
    <row r="230" spans="1:9" s="36" customFormat="1" x14ac:dyDescent="0.25">
      <c r="A230" s="7"/>
      <c r="B230" s="7"/>
      <c r="C230" s="33"/>
      <c r="D230" s="33"/>
      <c r="E230" s="33"/>
      <c r="F230" s="7"/>
      <c r="G230" s="51" t="s">
        <v>258</v>
      </c>
      <c r="H230" s="134"/>
      <c r="I230" s="133"/>
    </row>
    <row r="231" spans="1:9" s="36" customFormat="1" ht="52.8" x14ac:dyDescent="0.25">
      <c r="A231" s="7" t="s">
        <v>27</v>
      </c>
      <c r="B231" s="7" t="s">
        <v>27</v>
      </c>
      <c r="C231" s="33"/>
      <c r="D231" s="33">
        <f>D229+F229</f>
        <v>2109</v>
      </c>
      <c r="E231" s="33">
        <f t="shared" ref="E231:E236" si="30">D231+F231-1</f>
        <v>2109</v>
      </c>
      <c r="F231" s="7">
        <v>1</v>
      </c>
      <c r="G231" s="74" t="s">
        <v>259</v>
      </c>
      <c r="H231" s="158" t="s">
        <v>738</v>
      </c>
      <c r="I231" s="158" t="s">
        <v>730</v>
      </c>
    </row>
    <row r="232" spans="1:9" s="36" customFormat="1" ht="39.6" x14ac:dyDescent="0.25">
      <c r="A232" s="7" t="s">
        <v>27</v>
      </c>
      <c r="B232" s="7" t="s">
        <v>27</v>
      </c>
      <c r="C232" s="33"/>
      <c r="D232" s="33">
        <f t="shared" ref="D232:D237" si="31">D231+F231</f>
        <v>2110</v>
      </c>
      <c r="E232" s="33">
        <f t="shared" si="30"/>
        <v>2110</v>
      </c>
      <c r="F232" s="7">
        <v>1</v>
      </c>
      <c r="G232" s="74" t="s">
        <v>340</v>
      </c>
      <c r="H232" s="134" t="s">
        <v>341</v>
      </c>
      <c r="I232" s="168" t="s">
        <v>445</v>
      </c>
    </row>
    <row r="233" spans="1:9" s="36" customFormat="1" ht="39.6" x14ac:dyDescent="0.25">
      <c r="A233" s="7" t="s">
        <v>27</v>
      </c>
      <c r="B233" s="7" t="s">
        <v>27</v>
      </c>
      <c r="C233" s="33"/>
      <c r="D233" s="33">
        <f t="shared" si="31"/>
        <v>2111</v>
      </c>
      <c r="E233" s="33">
        <f t="shared" si="30"/>
        <v>2111</v>
      </c>
      <c r="F233" s="7">
        <v>1</v>
      </c>
      <c r="G233" s="74" t="s">
        <v>260</v>
      </c>
      <c r="H233" s="134" t="s">
        <v>317</v>
      </c>
      <c r="I233" s="168"/>
    </row>
    <row r="234" spans="1:9" s="36" customFormat="1" ht="39.6" x14ac:dyDescent="0.25">
      <c r="A234" s="7" t="s">
        <v>27</v>
      </c>
      <c r="B234" s="7" t="s">
        <v>27</v>
      </c>
      <c r="C234" s="33"/>
      <c r="D234" s="33">
        <f t="shared" si="31"/>
        <v>2112</v>
      </c>
      <c r="E234" s="33">
        <f t="shared" si="30"/>
        <v>2112</v>
      </c>
      <c r="F234" s="7">
        <v>1</v>
      </c>
      <c r="G234" s="74" t="s">
        <v>261</v>
      </c>
      <c r="H234" s="134" t="s">
        <v>318</v>
      </c>
      <c r="I234" s="168"/>
    </row>
    <row r="235" spans="1:9" s="36" customFormat="1" ht="39.6" x14ac:dyDescent="0.25">
      <c r="A235" s="7" t="s">
        <v>27</v>
      </c>
      <c r="B235" s="7" t="s">
        <v>27</v>
      </c>
      <c r="C235" s="33"/>
      <c r="D235" s="33">
        <f t="shared" si="31"/>
        <v>2113</v>
      </c>
      <c r="E235" s="33">
        <f t="shared" si="30"/>
        <v>2113</v>
      </c>
      <c r="F235" s="7">
        <v>1</v>
      </c>
      <c r="G235" s="74" t="s">
        <v>262</v>
      </c>
      <c r="H235" s="134" t="s">
        <v>319</v>
      </c>
      <c r="I235" s="168"/>
    </row>
    <row r="236" spans="1:9" s="36" customFormat="1" ht="39.6" x14ac:dyDescent="0.25">
      <c r="A236" s="7" t="s">
        <v>27</v>
      </c>
      <c r="B236" s="7" t="s">
        <v>27</v>
      </c>
      <c r="C236" s="33"/>
      <c r="D236" s="33">
        <f t="shared" si="31"/>
        <v>2114</v>
      </c>
      <c r="E236" s="33">
        <f t="shared" si="30"/>
        <v>2114</v>
      </c>
      <c r="F236" s="7">
        <v>1</v>
      </c>
      <c r="G236" s="74" t="s">
        <v>263</v>
      </c>
      <c r="H236" s="134" t="s">
        <v>320</v>
      </c>
      <c r="I236" s="168"/>
    </row>
    <row r="237" spans="1:9" s="54" customFormat="1" x14ac:dyDescent="0.25">
      <c r="A237" s="33"/>
      <c r="B237" s="33"/>
      <c r="C237" s="34"/>
      <c r="D237" s="33">
        <f t="shared" si="31"/>
        <v>2115</v>
      </c>
      <c r="E237" s="155">
        <f>D237+F237-1</f>
        <v>2129</v>
      </c>
      <c r="F237" s="155">
        <v>15</v>
      </c>
      <c r="G237" s="38" t="s">
        <v>22</v>
      </c>
      <c r="H237" s="133"/>
      <c r="I237" s="139"/>
    </row>
    <row r="238" spans="1:9" s="54" customFormat="1" x14ac:dyDescent="0.25">
      <c r="A238" s="33"/>
      <c r="B238" s="33"/>
      <c r="C238" s="34"/>
      <c r="D238" s="33"/>
      <c r="E238" s="33"/>
      <c r="F238" s="33"/>
      <c r="G238" s="51" t="s">
        <v>31</v>
      </c>
      <c r="H238" s="133"/>
      <c r="I238" s="139"/>
    </row>
    <row r="239" spans="1:9" s="36" customFormat="1" ht="52.8" x14ac:dyDescent="0.25">
      <c r="A239" s="7" t="s">
        <v>27</v>
      </c>
      <c r="B239" s="7" t="s">
        <v>27</v>
      </c>
      <c r="C239" s="7"/>
      <c r="D239" s="33">
        <f>D237+F237</f>
        <v>2130</v>
      </c>
      <c r="E239" s="33">
        <f t="shared" ref="E239:E241" si="32">D239+F239-1</f>
        <v>2130</v>
      </c>
      <c r="F239" s="33">
        <v>1</v>
      </c>
      <c r="G239" s="74" t="s">
        <v>498</v>
      </c>
      <c r="H239" s="131" t="s">
        <v>71</v>
      </c>
      <c r="I239" s="131" t="s">
        <v>496</v>
      </c>
    </row>
    <row r="240" spans="1:9" s="54" customFormat="1" x14ac:dyDescent="0.25">
      <c r="A240" s="33"/>
      <c r="B240" s="33"/>
      <c r="C240" s="34"/>
      <c r="D240" s="33">
        <f t="shared" ref="D240:D241" si="33">D239+F239</f>
        <v>2131</v>
      </c>
      <c r="E240" s="33">
        <f t="shared" si="32"/>
        <v>2132</v>
      </c>
      <c r="F240" s="33">
        <v>2</v>
      </c>
      <c r="G240" s="34" t="s">
        <v>22</v>
      </c>
      <c r="H240" s="133"/>
      <c r="I240" s="139"/>
    </row>
    <row r="241" spans="1:9" s="36" customFormat="1" ht="52.8" x14ac:dyDescent="0.25">
      <c r="A241" s="7" t="s">
        <v>27</v>
      </c>
      <c r="B241" s="7" t="s">
        <v>27</v>
      </c>
      <c r="C241" s="7"/>
      <c r="D241" s="33">
        <f t="shared" si="33"/>
        <v>2133</v>
      </c>
      <c r="E241" s="33">
        <f t="shared" si="32"/>
        <v>2133</v>
      </c>
      <c r="F241" s="33">
        <v>1</v>
      </c>
      <c r="G241" s="74" t="s">
        <v>499</v>
      </c>
      <c r="H241" s="131" t="s">
        <v>71</v>
      </c>
      <c r="I241" s="131" t="s">
        <v>497</v>
      </c>
    </row>
    <row r="242" spans="1:9" s="36" customFormat="1" x14ac:dyDescent="0.25">
      <c r="A242" s="33"/>
      <c r="B242" s="33"/>
      <c r="C242" s="33"/>
      <c r="D242" s="33"/>
      <c r="E242" s="33"/>
      <c r="F242" s="33"/>
      <c r="G242" s="11" t="s">
        <v>151</v>
      </c>
      <c r="H242" s="133"/>
      <c r="I242" s="133"/>
    </row>
    <row r="243" spans="1:9" s="34" customFormat="1" x14ac:dyDescent="0.25">
      <c r="A243" s="142"/>
      <c r="B243" s="142"/>
      <c r="C243" s="142"/>
      <c r="D243" s="33">
        <f>D241+F241</f>
        <v>2134</v>
      </c>
      <c r="E243" s="155">
        <f t="shared" ref="E243:E247" si="34">D243+F243-1</f>
        <v>2137</v>
      </c>
      <c r="F243" s="155">
        <v>4</v>
      </c>
      <c r="G243" s="157" t="s">
        <v>22</v>
      </c>
      <c r="H243" s="63"/>
      <c r="I243" s="148"/>
    </row>
    <row r="244" spans="1:9" s="34" customFormat="1" ht="52.8" x14ac:dyDescent="0.25">
      <c r="A244" s="33" t="s">
        <v>26</v>
      </c>
      <c r="B244" s="33" t="s">
        <v>26</v>
      </c>
      <c r="C244" s="80" t="s">
        <v>350</v>
      </c>
      <c r="D244" s="33">
        <f>D243+F243</f>
        <v>2138</v>
      </c>
      <c r="E244" s="33">
        <f t="shared" si="34"/>
        <v>2139</v>
      </c>
      <c r="F244" s="33">
        <v>2</v>
      </c>
      <c r="G244" s="74" t="s">
        <v>381</v>
      </c>
      <c r="H244" s="63" t="s">
        <v>321</v>
      </c>
      <c r="I244" s="148" t="s">
        <v>722</v>
      </c>
    </row>
    <row r="245" spans="1:9" s="34" customFormat="1" x14ac:dyDescent="0.25">
      <c r="A245" s="33" t="s">
        <v>26</v>
      </c>
      <c r="B245" s="33" t="s">
        <v>26</v>
      </c>
      <c r="C245" s="80" t="s">
        <v>350</v>
      </c>
      <c r="D245" s="33">
        <f>D244+F244</f>
        <v>2140</v>
      </c>
      <c r="E245" s="33">
        <f t="shared" si="34"/>
        <v>2141</v>
      </c>
      <c r="F245" s="33">
        <v>2</v>
      </c>
      <c r="G245" s="74" t="s">
        <v>382</v>
      </c>
      <c r="H245" s="63"/>
      <c r="I245" s="148"/>
    </row>
    <row r="246" spans="1:9" s="34" customFormat="1" ht="45" customHeight="1" x14ac:dyDescent="0.25">
      <c r="A246" s="7" t="s">
        <v>26</v>
      </c>
      <c r="B246" s="7" t="s">
        <v>26</v>
      </c>
      <c r="C246" s="7"/>
      <c r="D246" s="7">
        <f>D245+F245</f>
        <v>2142</v>
      </c>
      <c r="E246" s="7">
        <f t="shared" si="34"/>
        <v>2144</v>
      </c>
      <c r="F246" s="7">
        <v>3</v>
      </c>
      <c r="G246" s="74" t="s">
        <v>343</v>
      </c>
      <c r="H246" s="131" t="s">
        <v>508</v>
      </c>
      <c r="I246" s="159" t="s">
        <v>598</v>
      </c>
    </row>
    <row r="247" spans="1:9" s="34" customFormat="1" ht="57.75" customHeight="1" x14ac:dyDescent="0.25">
      <c r="A247" s="7" t="s">
        <v>26</v>
      </c>
      <c r="B247" s="7" t="s">
        <v>26</v>
      </c>
      <c r="C247" s="7"/>
      <c r="D247" s="7">
        <f t="shared" ref="D247:D253" si="35">D246+F246</f>
        <v>2145</v>
      </c>
      <c r="E247" s="7">
        <f t="shared" si="34"/>
        <v>2147</v>
      </c>
      <c r="F247" s="96">
        <v>3</v>
      </c>
      <c r="G247" s="81" t="s">
        <v>342</v>
      </c>
      <c r="H247" s="131" t="s">
        <v>509</v>
      </c>
      <c r="I247" s="159"/>
    </row>
    <row r="248" spans="1:9" s="34" customFormat="1" ht="198" x14ac:dyDescent="0.25">
      <c r="A248" s="7" t="s">
        <v>26</v>
      </c>
      <c r="B248" s="7" t="s">
        <v>26</v>
      </c>
      <c r="C248" s="7"/>
      <c r="D248" s="7">
        <f t="shared" si="35"/>
        <v>2148</v>
      </c>
      <c r="E248" s="7">
        <f t="shared" ref="E248:E252" si="36">D248+F248-1</f>
        <v>2150</v>
      </c>
      <c r="F248" s="7">
        <v>3</v>
      </c>
      <c r="G248" s="74" t="s">
        <v>516</v>
      </c>
      <c r="H248" s="134" t="s">
        <v>566</v>
      </c>
      <c r="I248" s="131" t="s">
        <v>502</v>
      </c>
    </row>
    <row r="249" spans="1:9" s="34" customFormat="1" x14ac:dyDescent="0.25">
      <c r="A249" s="142"/>
      <c r="B249" s="142"/>
      <c r="C249" s="142"/>
      <c r="D249" s="33">
        <f>D248+F248</f>
        <v>2151</v>
      </c>
      <c r="E249" s="155">
        <f t="shared" si="36"/>
        <v>2156</v>
      </c>
      <c r="F249" s="155">
        <v>6</v>
      </c>
      <c r="G249" s="157" t="s">
        <v>22</v>
      </c>
      <c r="H249" s="63"/>
      <c r="I249" s="63"/>
    </row>
    <row r="250" spans="1:9" s="34" customFormat="1" ht="39" customHeight="1" x14ac:dyDescent="0.25">
      <c r="A250" s="33" t="s">
        <v>26</v>
      </c>
      <c r="B250" s="33" t="s">
        <v>26</v>
      </c>
      <c r="C250" s="80" t="s">
        <v>420</v>
      </c>
      <c r="D250" s="33">
        <f t="shared" si="35"/>
        <v>2157</v>
      </c>
      <c r="E250" s="33">
        <f t="shared" si="36"/>
        <v>2159</v>
      </c>
      <c r="F250" s="33">
        <v>3</v>
      </c>
      <c r="G250" s="74" t="s">
        <v>383</v>
      </c>
      <c r="H250" s="159" t="s">
        <v>315</v>
      </c>
      <c r="I250" s="159" t="s">
        <v>723</v>
      </c>
    </row>
    <row r="251" spans="1:9" s="34" customFormat="1" ht="39" customHeight="1" x14ac:dyDescent="0.25">
      <c r="A251" s="33" t="s">
        <v>26</v>
      </c>
      <c r="B251" s="33" t="s">
        <v>26</v>
      </c>
      <c r="C251" s="80" t="s">
        <v>420</v>
      </c>
      <c r="D251" s="33">
        <f t="shared" si="35"/>
        <v>2160</v>
      </c>
      <c r="E251" s="33">
        <f t="shared" si="36"/>
        <v>2162</v>
      </c>
      <c r="F251" s="33">
        <v>3</v>
      </c>
      <c r="G251" s="74" t="s">
        <v>384</v>
      </c>
      <c r="H251" s="159"/>
      <c r="I251" s="159"/>
    </row>
    <row r="252" spans="1:9" s="56" customFormat="1" ht="66" x14ac:dyDescent="0.25">
      <c r="A252" s="7" t="s">
        <v>27</v>
      </c>
      <c r="B252" s="7" t="s">
        <v>27</v>
      </c>
      <c r="C252" s="33"/>
      <c r="D252" s="33">
        <f t="shared" si="35"/>
        <v>2163</v>
      </c>
      <c r="E252" s="33">
        <f t="shared" si="36"/>
        <v>2163</v>
      </c>
      <c r="F252" s="33">
        <v>1</v>
      </c>
      <c r="G252" s="14" t="s">
        <v>152</v>
      </c>
      <c r="H252" s="55" t="s">
        <v>459</v>
      </c>
      <c r="I252" s="131" t="s">
        <v>33</v>
      </c>
    </row>
    <row r="253" spans="1:9" ht="79.2" x14ac:dyDescent="0.25">
      <c r="A253" s="47" t="s">
        <v>26</v>
      </c>
      <c r="B253" s="47" t="s">
        <v>26</v>
      </c>
      <c r="C253" s="7" t="s">
        <v>350</v>
      </c>
      <c r="D253" s="33">
        <f t="shared" si="35"/>
        <v>2164</v>
      </c>
      <c r="E253" s="33">
        <f>D253+F253-1</f>
        <v>2173</v>
      </c>
      <c r="F253" s="33">
        <v>10</v>
      </c>
      <c r="G253" s="14" t="s">
        <v>344</v>
      </c>
      <c r="H253" s="131" t="s">
        <v>268</v>
      </c>
      <c r="I253" s="131" t="s">
        <v>446</v>
      </c>
    </row>
    <row r="254" spans="1:9" s="34" customFormat="1" x14ac:dyDescent="0.25">
      <c r="A254" s="33"/>
      <c r="B254" s="33"/>
      <c r="C254" s="33"/>
      <c r="D254" s="33"/>
      <c r="E254" s="33"/>
      <c r="F254" s="33"/>
      <c r="G254" s="12" t="s">
        <v>153</v>
      </c>
      <c r="H254" s="133"/>
      <c r="I254" s="139"/>
    </row>
    <row r="255" spans="1:9" s="34" customFormat="1" ht="26.4" x14ac:dyDescent="0.25">
      <c r="A255" s="7" t="s">
        <v>27</v>
      </c>
      <c r="B255" s="7" t="s">
        <v>27</v>
      </c>
      <c r="C255" s="33"/>
      <c r="D255" s="33">
        <f>+D253+F253</f>
        <v>2174</v>
      </c>
      <c r="E255" s="33">
        <f>D255+F255-1</f>
        <v>2181</v>
      </c>
      <c r="F255" s="33">
        <v>8</v>
      </c>
      <c r="G255" s="34" t="s">
        <v>13</v>
      </c>
      <c r="H255" s="131" t="s">
        <v>600</v>
      </c>
      <c r="I255" s="62"/>
    </row>
    <row r="256" spans="1:9" s="34" customFormat="1" ht="26.4" x14ac:dyDescent="0.25">
      <c r="A256" s="7" t="s">
        <v>27</v>
      </c>
      <c r="B256" s="7" t="s">
        <v>27</v>
      </c>
      <c r="C256" s="33"/>
      <c r="D256" s="33">
        <f>+D255+F255</f>
        <v>2182</v>
      </c>
      <c r="E256" s="33">
        <f>D256+F256-1</f>
        <v>2187</v>
      </c>
      <c r="F256" s="33">
        <v>6</v>
      </c>
      <c r="G256" s="74" t="s">
        <v>560</v>
      </c>
      <c r="H256" s="134" t="s">
        <v>599</v>
      </c>
      <c r="I256" s="62"/>
    </row>
    <row r="257" spans="1:9" s="34" customFormat="1" x14ac:dyDescent="0.25">
      <c r="A257" s="33"/>
      <c r="B257" s="33"/>
      <c r="C257" s="33"/>
      <c r="D257" s="33">
        <f t="shared" ref="D257:D262" si="37">+D256+F256</f>
        <v>2188</v>
      </c>
      <c r="E257" s="33">
        <f t="shared" ref="E257:E262" si="38">D257+F257-1</f>
        <v>2197</v>
      </c>
      <c r="F257" s="33">
        <v>10</v>
      </c>
      <c r="G257" s="74" t="s">
        <v>22</v>
      </c>
      <c r="H257" s="134"/>
      <c r="I257" s="131"/>
    </row>
    <row r="258" spans="1:9" s="34" customFormat="1" ht="26.4" x14ac:dyDescent="0.25">
      <c r="A258" s="7" t="s">
        <v>27</v>
      </c>
      <c r="B258" s="7" t="s">
        <v>27</v>
      </c>
      <c r="C258" s="33"/>
      <c r="D258" s="33">
        <f t="shared" si="37"/>
        <v>2198</v>
      </c>
      <c r="E258" s="33">
        <f t="shared" si="38"/>
        <v>2204</v>
      </c>
      <c r="F258" s="33">
        <v>7</v>
      </c>
      <c r="G258" s="34" t="s">
        <v>14</v>
      </c>
      <c r="H258" s="137" t="s">
        <v>322</v>
      </c>
      <c r="I258" s="143"/>
    </row>
    <row r="259" spans="1:9" s="34" customFormat="1" x14ac:dyDescent="0.25">
      <c r="A259" s="33"/>
      <c r="B259" s="33"/>
      <c r="C259" s="33"/>
      <c r="D259" s="33">
        <f t="shared" si="37"/>
        <v>2205</v>
      </c>
      <c r="E259" s="33">
        <f t="shared" si="38"/>
        <v>2205</v>
      </c>
      <c r="F259" s="33">
        <v>1</v>
      </c>
      <c r="G259" s="34" t="s">
        <v>22</v>
      </c>
      <c r="H259" s="133"/>
      <c r="I259" s="139"/>
    </row>
    <row r="260" spans="1:9" s="54" customFormat="1" ht="26.4" x14ac:dyDescent="0.25">
      <c r="A260" s="33" t="s">
        <v>26</v>
      </c>
      <c r="B260" s="33" t="s">
        <v>26</v>
      </c>
      <c r="C260" s="65" t="s">
        <v>176</v>
      </c>
      <c r="D260" s="33">
        <f t="shared" si="37"/>
        <v>2206</v>
      </c>
      <c r="E260" s="33">
        <f t="shared" si="38"/>
        <v>2211</v>
      </c>
      <c r="F260" s="33">
        <v>6</v>
      </c>
      <c r="G260" s="38" t="s">
        <v>15</v>
      </c>
      <c r="H260" s="133" t="s">
        <v>34</v>
      </c>
      <c r="I260" s="63" t="s">
        <v>196</v>
      </c>
    </row>
    <row r="261" spans="1:9" s="54" customFormat="1" x14ac:dyDescent="0.25">
      <c r="A261" s="33"/>
      <c r="B261" s="33"/>
      <c r="C261" s="33"/>
      <c r="D261" s="33">
        <f t="shared" si="37"/>
        <v>2212</v>
      </c>
      <c r="E261" s="33">
        <f t="shared" si="38"/>
        <v>2218</v>
      </c>
      <c r="F261" s="33">
        <v>7</v>
      </c>
      <c r="G261" s="54" t="s">
        <v>22</v>
      </c>
      <c r="H261" s="79"/>
    </row>
    <row r="262" spans="1:9" s="54" customFormat="1" ht="26.4" x14ac:dyDescent="0.25">
      <c r="A262" s="33" t="s">
        <v>27</v>
      </c>
      <c r="B262" s="33" t="s">
        <v>27</v>
      </c>
      <c r="C262" s="33"/>
      <c r="D262" s="33">
        <f t="shared" si="37"/>
        <v>2219</v>
      </c>
      <c r="E262" s="33">
        <f t="shared" si="38"/>
        <v>2226</v>
      </c>
      <c r="F262" s="33">
        <v>8</v>
      </c>
      <c r="G262" s="34" t="s">
        <v>16</v>
      </c>
      <c r="H262" s="131" t="s">
        <v>323</v>
      </c>
      <c r="I262" s="133"/>
    </row>
    <row r="263" spans="1:9" s="54" customFormat="1" x14ac:dyDescent="0.25">
      <c r="A263" s="33"/>
      <c r="B263" s="33"/>
      <c r="C263" s="33"/>
      <c r="D263" s="33"/>
      <c r="E263" s="33"/>
      <c r="F263" s="33"/>
      <c r="G263" s="77" t="s">
        <v>327</v>
      </c>
      <c r="H263" s="131"/>
      <c r="I263" s="133"/>
    </row>
    <row r="264" spans="1:9" s="54" customFormat="1" ht="69.75" customHeight="1" x14ac:dyDescent="0.25">
      <c r="A264" s="7" t="s">
        <v>26</v>
      </c>
      <c r="B264" s="7" t="s">
        <v>26</v>
      </c>
      <c r="D264" s="33">
        <f>D262+F262</f>
        <v>2227</v>
      </c>
      <c r="E264" s="33">
        <f t="shared" ref="E264:E267" si="39">D264+F264-1</f>
        <v>2232</v>
      </c>
      <c r="F264" s="33">
        <v>6</v>
      </c>
      <c r="G264" s="74" t="s">
        <v>328</v>
      </c>
      <c r="H264" s="131" t="s">
        <v>510</v>
      </c>
      <c r="I264" s="131" t="s">
        <v>512</v>
      </c>
    </row>
    <row r="265" spans="1:9" s="54" customFormat="1" ht="39.6" x14ac:dyDescent="0.25">
      <c r="A265" s="7" t="s">
        <v>27</v>
      </c>
      <c r="B265" s="7" t="s">
        <v>27</v>
      </c>
      <c r="D265" s="33">
        <f>D264+F264</f>
        <v>2233</v>
      </c>
      <c r="E265" s="33">
        <f t="shared" si="39"/>
        <v>2234</v>
      </c>
      <c r="F265" s="7">
        <v>2</v>
      </c>
      <c r="G265" s="14" t="s">
        <v>345</v>
      </c>
      <c r="H265" s="131" t="s">
        <v>511</v>
      </c>
      <c r="I265" s="82" t="s">
        <v>445</v>
      </c>
    </row>
    <row r="266" spans="1:9" s="54" customFormat="1" ht="39.6" x14ac:dyDescent="0.25">
      <c r="A266" s="7" t="s">
        <v>27</v>
      </c>
      <c r="B266" s="7" t="s">
        <v>27</v>
      </c>
      <c r="D266" s="33">
        <f>D265+F265</f>
        <v>2235</v>
      </c>
      <c r="E266" s="33">
        <f t="shared" si="39"/>
        <v>2242</v>
      </c>
      <c r="F266" s="7">
        <v>8</v>
      </c>
      <c r="G266" s="14" t="s">
        <v>346</v>
      </c>
      <c r="H266" s="131" t="s">
        <v>347</v>
      </c>
      <c r="I266" s="82" t="s">
        <v>445</v>
      </c>
    </row>
    <row r="267" spans="1:9" s="54" customFormat="1" x14ac:dyDescent="0.25">
      <c r="A267" s="7"/>
      <c r="B267" s="7"/>
      <c r="D267" s="33">
        <f>D266+F266</f>
        <v>2243</v>
      </c>
      <c r="E267" s="33">
        <f t="shared" si="39"/>
        <v>2252</v>
      </c>
      <c r="F267" s="7">
        <v>10</v>
      </c>
      <c r="G267" s="14" t="s">
        <v>22</v>
      </c>
      <c r="H267" s="131"/>
      <c r="I267" s="82"/>
    </row>
    <row r="268" spans="1:9" s="34" customFormat="1" x14ac:dyDescent="0.25">
      <c r="A268" s="33" t="s">
        <v>26</v>
      </c>
      <c r="B268" s="33" t="s">
        <v>26</v>
      </c>
      <c r="C268" s="33"/>
      <c r="D268" s="33">
        <f>D267+F267</f>
        <v>2253</v>
      </c>
      <c r="E268" s="33">
        <f t="shared" ref="E268" si="40">D268+F268-1</f>
        <v>2271</v>
      </c>
      <c r="F268" s="33">
        <v>19</v>
      </c>
      <c r="G268" s="34" t="s">
        <v>28</v>
      </c>
      <c r="H268" s="131" t="s">
        <v>433</v>
      </c>
      <c r="I268" s="139" t="s">
        <v>29</v>
      </c>
    </row>
    <row r="269" spans="1:9" ht="15" customHeight="1" x14ac:dyDescent="0.25">
      <c r="A269" s="57"/>
      <c r="B269" s="57"/>
      <c r="C269" s="58"/>
      <c r="D269" s="33"/>
      <c r="E269" s="47"/>
      <c r="F269" s="47"/>
      <c r="G269" s="59"/>
      <c r="H269" s="41"/>
    </row>
    <row r="270" spans="1:9" ht="15.6" x14ac:dyDescent="0.25">
      <c r="D270" s="60" t="s">
        <v>154</v>
      </c>
      <c r="E270" s="3">
        <f>E268</f>
        <v>2271</v>
      </c>
      <c r="F270" s="45"/>
      <c r="G270" s="61"/>
      <c r="H270" s="139"/>
      <c r="I270" s="133"/>
    </row>
    <row r="271" spans="1:9" x14ac:dyDescent="0.25">
      <c r="D271" s="33"/>
      <c r="E271" s="47"/>
      <c r="F271" s="47"/>
      <c r="G271" s="44"/>
      <c r="H271" s="139"/>
    </row>
    <row r="272" spans="1:9" x14ac:dyDescent="0.25">
      <c r="D272" s="33"/>
      <c r="E272" s="33"/>
      <c r="F272" s="47"/>
      <c r="G272" s="44"/>
      <c r="H272" s="139"/>
    </row>
    <row r="273" spans="4:8" x14ac:dyDescent="0.25">
      <c r="D273" s="33"/>
      <c r="E273" s="33"/>
      <c r="F273" s="47"/>
      <c r="G273" s="44"/>
      <c r="H273" s="139"/>
    </row>
    <row r="274" spans="4:8" x14ac:dyDescent="0.25">
      <c r="D274" s="33"/>
      <c r="E274" s="33"/>
      <c r="F274" s="47"/>
      <c r="G274" s="44"/>
      <c r="H274" s="139"/>
    </row>
    <row r="275" spans="4:8" x14ac:dyDescent="0.25">
      <c r="D275" s="33"/>
      <c r="E275" s="33"/>
      <c r="F275" s="47"/>
      <c r="G275" s="44"/>
      <c r="H275" s="139"/>
    </row>
    <row r="276" spans="4:8" x14ac:dyDescent="0.25">
      <c r="D276" s="33"/>
      <c r="E276" s="33"/>
      <c r="F276" s="47"/>
      <c r="G276" s="44"/>
      <c r="H276" s="139"/>
    </row>
    <row r="277" spans="4:8" x14ac:dyDescent="0.25">
      <c r="D277" s="33"/>
      <c r="E277" s="33"/>
      <c r="F277" s="47"/>
      <c r="G277" s="44"/>
      <c r="H277" s="139"/>
    </row>
    <row r="278" spans="4:8" x14ac:dyDescent="0.25">
      <c r="D278" s="33"/>
      <c r="E278" s="33"/>
      <c r="F278" s="47"/>
      <c r="G278" s="44"/>
      <c r="H278" s="139"/>
    </row>
    <row r="279" spans="4:8" x14ac:dyDescent="0.25">
      <c r="D279" s="33"/>
      <c r="E279" s="33"/>
      <c r="F279" s="47"/>
      <c r="G279" s="44"/>
      <c r="H279" s="139"/>
    </row>
    <row r="280" spans="4:8" x14ac:dyDescent="0.25">
      <c r="D280" s="33"/>
      <c r="E280" s="33"/>
      <c r="F280" s="47"/>
      <c r="G280" s="44"/>
      <c r="H280" s="139"/>
    </row>
    <row r="281" spans="4:8" x14ac:dyDescent="0.25">
      <c r="D281" s="33"/>
      <c r="E281" s="33"/>
      <c r="F281" s="47"/>
      <c r="G281" s="44"/>
      <c r="H281" s="139"/>
    </row>
    <row r="282" spans="4:8" x14ac:dyDescent="0.25">
      <c r="D282" s="33"/>
      <c r="E282" s="33"/>
      <c r="F282" s="47"/>
      <c r="G282" s="44"/>
      <c r="H282" s="139"/>
    </row>
    <row r="283" spans="4:8" x14ac:dyDescent="0.25">
      <c r="D283" s="33"/>
      <c r="E283" s="33"/>
      <c r="F283" s="47"/>
      <c r="G283" s="44"/>
      <c r="H283" s="139"/>
    </row>
    <row r="284" spans="4:8" x14ac:dyDescent="0.25">
      <c r="D284" s="33"/>
      <c r="E284" s="33"/>
      <c r="F284" s="47"/>
      <c r="G284" s="44"/>
      <c r="H284" s="139"/>
    </row>
    <row r="285" spans="4:8" x14ac:dyDescent="0.25">
      <c r="D285" s="33"/>
      <c r="E285" s="33"/>
      <c r="F285" s="47"/>
      <c r="G285" s="44"/>
      <c r="H285" s="139"/>
    </row>
    <row r="286" spans="4:8" x14ac:dyDescent="0.25">
      <c r="D286" s="33"/>
      <c r="E286" s="33"/>
      <c r="F286" s="47"/>
      <c r="G286" s="44"/>
      <c r="H286" s="139"/>
    </row>
    <row r="287" spans="4:8" x14ac:dyDescent="0.25">
      <c r="D287" s="33"/>
      <c r="E287" s="33"/>
      <c r="F287" s="47"/>
      <c r="G287" s="44"/>
      <c r="H287" s="139"/>
    </row>
    <row r="288" spans="4:8" x14ac:dyDescent="0.25">
      <c r="D288" s="33"/>
      <c r="E288" s="33"/>
      <c r="F288" s="47"/>
      <c r="G288" s="44"/>
      <c r="H288" s="139"/>
    </row>
    <row r="289" spans="4:9" x14ac:dyDescent="0.25">
      <c r="D289" s="33"/>
      <c r="E289" s="33"/>
      <c r="F289" s="47"/>
      <c r="G289" s="44"/>
      <c r="H289" s="139"/>
    </row>
    <row r="290" spans="4:9" x14ac:dyDescent="0.25">
      <c r="D290" s="33"/>
      <c r="E290" s="33"/>
      <c r="F290" s="47"/>
      <c r="G290" s="44"/>
      <c r="H290" s="139"/>
    </row>
    <row r="291" spans="4:9" x14ac:dyDescent="0.25">
      <c r="D291" s="33"/>
      <c r="E291" s="33"/>
      <c r="F291" s="47"/>
      <c r="G291" s="44"/>
      <c r="H291" s="139"/>
    </row>
    <row r="292" spans="4:9" x14ac:dyDescent="0.25">
      <c r="D292" s="33"/>
      <c r="E292" s="33"/>
      <c r="F292" s="47"/>
      <c r="G292" s="44"/>
      <c r="H292" s="139"/>
    </row>
    <row r="293" spans="4:9" x14ac:dyDescent="0.25">
      <c r="D293" s="33"/>
      <c r="E293" s="33"/>
      <c r="F293" s="47"/>
      <c r="G293" s="44"/>
      <c r="H293" s="139"/>
    </row>
    <row r="294" spans="4:9" x14ac:dyDescent="0.25">
      <c r="D294" s="33"/>
      <c r="E294" s="33"/>
      <c r="F294" s="47"/>
      <c r="G294" s="44"/>
      <c r="H294" s="139"/>
    </row>
    <row r="295" spans="4:9" x14ac:dyDescent="0.25">
      <c r="D295" s="33"/>
      <c r="E295" s="33"/>
      <c r="F295" s="47"/>
      <c r="G295" s="44"/>
      <c r="H295" s="139"/>
    </row>
    <row r="296" spans="4:9" x14ac:dyDescent="0.25">
      <c r="D296" s="33"/>
      <c r="E296" s="33"/>
      <c r="F296" s="47"/>
      <c r="G296" s="44"/>
      <c r="H296" s="139"/>
    </row>
    <row r="297" spans="4:9" x14ac:dyDescent="0.25">
      <c r="D297" s="33"/>
      <c r="E297" s="33"/>
      <c r="F297" s="47"/>
      <c r="G297" s="44"/>
      <c r="H297" s="139"/>
    </row>
    <row r="298" spans="4:9" x14ac:dyDescent="0.25">
      <c r="D298" s="33"/>
      <c r="E298" s="33"/>
      <c r="F298" s="47"/>
      <c r="G298" s="44"/>
      <c r="H298" s="139"/>
    </row>
    <row r="299" spans="4:9" x14ac:dyDescent="0.25">
      <c r="D299" s="33"/>
      <c r="E299" s="33"/>
      <c r="F299" s="47"/>
      <c r="G299" s="44"/>
      <c r="H299" s="139"/>
    </row>
    <row r="300" spans="4:9" x14ac:dyDescent="0.25">
      <c r="D300" s="33"/>
      <c r="E300" s="33"/>
      <c r="F300" s="47"/>
      <c r="G300" s="44"/>
      <c r="H300" s="139"/>
    </row>
    <row r="301" spans="4:9" x14ac:dyDescent="0.25">
      <c r="H301" s="133"/>
      <c r="I301" s="133"/>
    </row>
    <row r="302" spans="4:9" x14ac:dyDescent="0.25">
      <c r="D302" s="33"/>
      <c r="E302" s="33"/>
      <c r="F302" s="47"/>
      <c r="G302" s="44"/>
    </row>
    <row r="303" spans="4:9" x14ac:dyDescent="0.25">
      <c r="D303" s="33"/>
      <c r="E303" s="33"/>
      <c r="F303" s="47"/>
      <c r="G303" s="44"/>
    </row>
    <row r="304" spans="4:9" x14ac:dyDescent="0.25">
      <c r="D304" s="33"/>
      <c r="E304" s="33"/>
      <c r="F304" s="47"/>
      <c r="G304" s="44"/>
    </row>
    <row r="305" spans="4:7" x14ac:dyDescent="0.25">
      <c r="D305" s="33"/>
      <c r="E305" s="33"/>
      <c r="F305" s="47"/>
      <c r="G305" s="44"/>
    </row>
    <row r="306" spans="4:7" x14ac:dyDescent="0.25">
      <c r="D306" s="33"/>
      <c r="E306" s="33"/>
      <c r="F306" s="47"/>
      <c r="G306" s="44"/>
    </row>
    <row r="307" spans="4:7" x14ac:dyDescent="0.25">
      <c r="D307" s="33"/>
      <c r="E307" s="33"/>
      <c r="F307" s="47"/>
      <c r="G307" s="44"/>
    </row>
    <row r="308" spans="4:7" x14ac:dyDescent="0.25">
      <c r="D308" s="33"/>
      <c r="E308" s="33"/>
      <c r="F308" s="47"/>
      <c r="G308" s="44"/>
    </row>
    <row r="309" spans="4:7" x14ac:dyDescent="0.25">
      <c r="D309" s="33"/>
      <c r="E309" s="33"/>
      <c r="F309" s="47"/>
      <c r="G309" s="44"/>
    </row>
    <row r="310" spans="4:7" x14ac:dyDescent="0.25">
      <c r="D310" s="33"/>
      <c r="E310" s="33"/>
      <c r="F310" s="47"/>
      <c r="G310" s="44"/>
    </row>
    <row r="311" spans="4:7" x14ac:dyDescent="0.25">
      <c r="D311" s="33"/>
      <c r="E311" s="33"/>
      <c r="F311" s="47"/>
      <c r="G311" s="44"/>
    </row>
    <row r="312" spans="4:7" x14ac:dyDescent="0.25">
      <c r="D312" s="33"/>
      <c r="E312" s="33"/>
      <c r="F312" s="47"/>
      <c r="G312" s="44"/>
    </row>
    <row r="313" spans="4:7" x14ac:dyDescent="0.25">
      <c r="D313" s="33"/>
      <c r="E313" s="33"/>
      <c r="F313" s="47"/>
      <c r="G313" s="44"/>
    </row>
    <row r="314" spans="4:7" x14ac:dyDescent="0.25">
      <c r="D314" s="33"/>
      <c r="E314" s="33"/>
      <c r="F314" s="47"/>
      <c r="G314" s="44"/>
    </row>
    <row r="315" spans="4:7" x14ac:dyDescent="0.25">
      <c r="D315" s="33"/>
      <c r="E315" s="33"/>
      <c r="F315" s="47"/>
      <c r="G315" s="44"/>
    </row>
    <row r="316" spans="4:7" x14ac:dyDescent="0.25">
      <c r="D316" s="33"/>
      <c r="E316" s="33"/>
      <c r="F316" s="47"/>
      <c r="G316" s="44"/>
    </row>
    <row r="317" spans="4:7" x14ac:dyDescent="0.25">
      <c r="D317" s="33"/>
      <c r="E317" s="33"/>
      <c r="F317" s="47"/>
      <c r="G317" s="44"/>
    </row>
    <row r="318" spans="4:7" x14ac:dyDescent="0.25">
      <c r="D318" s="33"/>
      <c r="E318" s="33"/>
      <c r="F318" s="47"/>
      <c r="G318" s="44"/>
    </row>
    <row r="319" spans="4:7" x14ac:dyDescent="0.25">
      <c r="D319" s="33"/>
      <c r="E319" s="33"/>
      <c r="F319" s="47"/>
      <c r="G319" s="44"/>
    </row>
    <row r="320" spans="4:7" x14ac:dyDescent="0.25">
      <c r="D320" s="33"/>
      <c r="E320" s="33"/>
      <c r="F320" s="47"/>
      <c r="G320" s="44"/>
    </row>
    <row r="321" spans="4:9" x14ac:dyDescent="0.25">
      <c r="D321" s="33"/>
      <c r="E321" s="33"/>
      <c r="F321" s="47"/>
      <c r="G321" s="44"/>
    </row>
    <row r="322" spans="4:9" x14ac:dyDescent="0.25">
      <c r="D322" s="33"/>
      <c r="E322" s="33"/>
      <c r="F322" s="47"/>
      <c r="G322" s="44"/>
    </row>
    <row r="323" spans="4:9" x14ac:dyDescent="0.25">
      <c r="D323" s="33"/>
      <c r="E323" s="33"/>
      <c r="F323" s="47"/>
      <c r="G323" s="44"/>
    </row>
    <row r="324" spans="4:9" x14ac:dyDescent="0.25">
      <c r="D324" s="33"/>
      <c r="E324" s="33"/>
      <c r="F324" s="47"/>
      <c r="G324" s="44"/>
    </row>
    <row r="325" spans="4:9" x14ac:dyDescent="0.25">
      <c r="D325" s="33"/>
      <c r="E325" s="33"/>
      <c r="F325" s="47"/>
      <c r="G325" s="44"/>
    </row>
    <row r="326" spans="4:9" x14ac:dyDescent="0.25">
      <c r="D326" s="33"/>
      <c r="E326" s="33"/>
      <c r="F326" s="47"/>
      <c r="G326" s="44"/>
    </row>
    <row r="327" spans="4:9" x14ac:dyDescent="0.25">
      <c r="D327" s="33"/>
      <c r="E327" s="33"/>
      <c r="F327" s="47"/>
      <c r="G327" s="44"/>
    </row>
    <row r="328" spans="4:9" x14ac:dyDescent="0.25">
      <c r="D328" s="33"/>
      <c r="E328" s="33"/>
      <c r="F328" s="47"/>
      <c r="G328" s="44"/>
    </row>
    <row r="329" spans="4:9" x14ac:dyDescent="0.25">
      <c r="D329" s="33"/>
      <c r="E329" s="33"/>
      <c r="F329" s="47"/>
      <c r="G329" s="44"/>
    </row>
    <row r="330" spans="4:9" x14ac:dyDescent="0.25">
      <c r="D330" s="33"/>
      <c r="E330" s="33"/>
      <c r="F330" s="47"/>
      <c r="G330" s="44"/>
    </row>
    <row r="331" spans="4:9" x14ac:dyDescent="0.25">
      <c r="D331" s="33"/>
      <c r="E331" s="33"/>
      <c r="F331" s="47"/>
      <c r="G331" s="44"/>
    </row>
    <row r="332" spans="4:9" x14ac:dyDescent="0.25">
      <c r="H332" s="139"/>
      <c r="I332" s="133"/>
    </row>
    <row r="333" spans="4:9" x14ac:dyDescent="0.25">
      <c r="D333" s="33"/>
      <c r="E333" s="33"/>
      <c r="F333" s="47"/>
      <c r="G333" s="44"/>
    </row>
    <row r="334" spans="4:9" x14ac:dyDescent="0.25">
      <c r="E334" s="33"/>
      <c r="F334" s="47"/>
      <c r="G334" s="44"/>
    </row>
    <row r="335" spans="4:9" x14ac:dyDescent="0.25">
      <c r="E335" s="33"/>
      <c r="F335" s="47"/>
      <c r="G335" s="44"/>
    </row>
    <row r="336" spans="4:9" x14ac:dyDescent="0.25">
      <c r="E336" s="33"/>
      <c r="F336" s="47"/>
      <c r="G336" s="44"/>
    </row>
    <row r="337" spans="5:7" x14ac:dyDescent="0.25">
      <c r="E337" s="33"/>
      <c r="F337" s="47"/>
      <c r="G337" s="44"/>
    </row>
    <row r="338" spans="5:7" x14ac:dyDescent="0.25">
      <c r="E338" s="33"/>
      <c r="F338" s="47"/>
      <c r="G338" s="44"/>
    </row>
    <row r="339" spans="5:7" x14ac:dyDescent="0.25">
      <c r="E339" s="33"/>
      <c r="F339" s="47"/>
      <c r="G339" s="44"/>
    </row>
    <row r="340" spans="5:7" x14ac:dyDescent="0.25">
      <c r="E340" s="33"/>
      <c r="F340" s="47"/>
      <c r="G340" s="44"/>
    </row>
    <row r="341" spans="5:7" x14ac:dyDescent="0.25">
      <c r="E341" s="33"/>
      <c r="F341" s="47"/>
      <c r="G341" s="44"/>
    </row>
    <row r="342" spans="5:7" x14ac:dyDescent="0.25">
      <c r="E342" s="33"/>
      <c r="F342" s="47"/>
      <c r="G342" s="44"/>
    </row>
    <row r="343" spans="5:7" x14ac:dyDescent="0.25">
      <c r="E343" s="33"/>
      <c r="F343" s="47"/>
      <c r="G343" s="44"/>
    </row>
    <row r="344" spans="5:7" x14ac:dyDescent="0.25">
      <c r="E344" s="33"/>
      <c r="F344" s="47"/>
      <c r="G344" s="44"/>
    </row>
    <row r="345" spans="5:7" x14ac:dyDescent="0.25">
      <c r="E345" s="33"/>
      <c r="F345" s="47"/>
      <c r="G345" s="44"/>
    </row>
    <row r="346" spans="5:7" x14ac:dyDescent="0.25">
      <c r="E346" s="33"/>
      <c r="F346" s="47"/>
      <c r="G346" s="44"/>
    </row>
    <row r="347" spans="5:7" x14ac:dyDescent="0.25">
      <c r="E347" s="33"/>
      <c r="F347" s="47"/>
      <c r="G347" s="44"/>
    </row>
    <row r="348" spans="5:7" x14ac:dyDescent="0.25">
      <c r="E348" s="33"/>
      <c r="F348" s="47"/>
      <c r="G348" s="44"/>
    </row>
    <row r="349" spans="5:7" x14ac:dyDescent="0.25">
      <c r="E349" s="33"/>
      <c r="F349" s="47"/>
      <c r="G349" s="44"/>
    </row>
    <row r="350" spans="5:7" x14ac:dyDescent="0.25">
      <c r="E350" s="33"/>
      <c r="F350" s="47"/>
      <c r="G350" s="44"/>
    </row>
    <row r="351" spans="5:7" x14ac:dyDescent="0.25">
      <c r="E351" s="33"/>
      <c r="F351" s="47"/>
      <c r="G351" s="44"/>
    </row>
    <row r="352" spans="5:7" x14ac:dyDescent="0.25">
      <c r="E352" s="33"/>
      <c r="F352" s="47"/>
      <c r="G352" s="44"/>
    </row>
    <row r="353" spans="5:9" x14ac:dyDescent="0.25">
      <c r="E353" s="33"/>
      <c r="F353" s="47"/>
      <c r="G353" s="44"/>
    </row>
    <row r="354" spans="5:9" x14ac:dyDescent="0.25">
      <c r="E354" s="33"/>
      <c r="F354" s="47"/>
      <c r="G354" s="44"/>
    </row>
    <row r="355" spans="5:9" x14ac:dyDescent="0.25">
      <c r="E355" s="33"/>
      <c r="F355" s="47"/>
      <c r="G355" s="44"/>
    </row>
    <row r="356" spans="5:9" x14ac:dyDescent="0.25">
      <c r="E356" s="33"/>
      <c r="F356" s="47"/>
      <c r="G356" s="44"/>
    </row>
    <row r="357" spans="5:9" x14ac:dyDescent="0.25">
      <c r="E357" s="33"/>
      <c r="F357" s="47"/>
      <c r="G357" s="44"/>
    </row>
    <row r="358" spans="5:9" x14ac:dyDescent="0.25">
      <c r="E358" s="33"/>
      <c r="F358" s="47"/>
      <c r="G358" s="44"/>
    </row>
    <row r="359" spans="5:9" x14ac:dyDescent="0.25">
      <c r="E359" s="33"/>
      <c r="F359" s="47"/>
      <c r="G359" s="44"/>
    </row>
    <row r="360" spans="5:9" x14ac:dyDescent="0.25">
      <c r="E360" s="33"/>
      <c r="F360" s="47"/>
      <c r="G360" s="44"/>
    </row>
    <row r="361" spans="5:9" x14ac:dyDescent="0.25">
      <c r="E361" s="33"/>
      <c r="F361" s="47"/>
      <c r="G361" s="44"/>
    </row>
    <row r="362" spans="5:9" x14ac:dyDescent="0.25">
      <c r="E362" s="33"/>
      <c r="F362" s="47"/>
      <c r="G362" s="44"/>
    </row>
    <row r="363" spans="5:9" x14ac:dyDescent="0.25">
      <c r="H363" s="139"/>
      <c r="I363" s="133"/>
    </row>
    <row r="364" spans="5:9" x14ac:dyDescent="0.25">
      <c r="E364" s="33"/>
      <c r="F364" s="47"/>
      <c r="G364" s="44"/>
    </row>
    <row r="365" spans="5:9" x14ac:dyDescent="0.25">
      <c r="E365" s="33"/>
      <c r="F365" s="47"/>
      <c r="G365" s="44"/>
    </row>
    <row r="366" spans="5:9" x14ac:dyDescent="0.25">
      <c r="E366" s="33"/>
      <c r="F366" s="47"/>
      <c r="G366" s="44"/>
    </row>
    <row r="367" spans="5:9" x14ac:dyDescent="0.25">
      <c r="E367" s="33"/>
      <c r="F367" s="47"/>
      <c r="G367" s="44"/>
    </row>
    <row r="368" spans="5:9" x14ac:dyDescent="0.25">
      <c r="E368" s="33"/>
      <c r="F368" s="47"/>
      <c r="G368" s="44"/>
    </row>
    <row r="369" spans="5:7" x14ac:dyDescent="0.25">
      <c r="E369" s="33"/>
      <c r="F369" s="47"/>
      <c r="G369" s="44"/>
    </row>
    <row r="370" spans="5:7" x14ac:dyDescent="0.25">
      <c r="E370" s="33"/>
      <c r="F370" s="47"/>
      <c r="G370" s="44"/>
    </row>
    <row r="371" spans="5:7" x14ac:dyDescent="0.25">
      <c r="E371" s="33"/>
      <c r="F371" s="47"/>
      <c r="G371" s="44"/>
    </row>
    <row r="372" spans="5:7" x14ac:dyDescent="0.25">
      <c r="E372" s="33"/>
      <c r="F372" s="47"/>
      <c r="G372" s="44"/>
    </row>
    <row r="373" spans="5:7" x14ac:dyDescent="0.25">
      <c r="E373" s="33"/>
      <c r="F373" s="47"/>
      <c r="G373" s="44"/>
    </row>
    <row r="374" spans="5:7" x14ac:dyDescent="0.25">
      <c r="E374" s="33"/>
      <c r="F374" s="47"/>
      <c r="G374" s="44"/>
    </row>
    <row r="375" spans="5:7" x14ac:dyDescent="0.25">
      <c r="E375" s="33"/>
      <c r="F375" s="47"/>
      <c r="G375" s="44"/>
    </row>
    <row r="376" spans="5:7" x14ac:dyDescent="0.25">
      <c r="E376" s="33"/>
      <c r="F376" s="47"/>
      <c r="G376" s="44"/>
    </row>
    <row r="377" spans="5:7" x14ac:dyDescent="0.25">
      <c r="E377" s="33"/>
      <c r="F377" s="47"/>
      <c r="G377" s="44"/>
    </row>
    <row r="378" spans="5:7" x14ac:dyDescent="0.25">
      <c r="E378" s="33"/>
      <c r="F378" s="47"/>
      <c r="G378" s="44"/>
    </row>
    <row r="379" spans="5:7" x14ac:dyDescent="0.25">
      <c r="E379" s="33"/>
      <c r="F379" s="47"/>
      <c r="G379" s="44"/>
    </row>
    <row r="380" spans="5:7" x14ac:dyDescent="0.25">
      <c r="E380" s="33"/>
      <c r="F380" s="47"/>
      <c r="G380" s="44"/>
    </row>
    <row r="381" spans="5:7" x14ac:dyDescent="0.25">
      <c r="E381" s="33"/>
      <c r="F381" s="47"/>
      <c r="G381" s="44"/>
    </row>
    <row r="382" spans="5:7" x14ac:dyDescent="0.25">
      <c r="E382" s="33"/>
      <c r="F382" s="47"/>
      <c r="G382" s="44"/>
    </row>
    <row r="383" spans="5:7" x14ac:dyDescent="0.25">
      <c r="E383" s="33"/>
      <c r="F383" s="47"/>
      <c r="G383" s="44"/>
    </row>
    <row r="384" spans="5:7" x14ac:dyDescent="0.25">
      <c r="E384" s="33"/>
      <c r="F384" s="47"/>
      <c r="G384" s="44"/>
    </row>
    <row r="385" spans="5:9" x14ac:dyDescent="0.25">
      <c r="E385" s="33"/>
      <c r="F385" s="47"/>
      <c r="G385" s="44"/>
    </row>
    <row r="386" spans="5:9" x14ac:dyDescent="0.25">
      <c r="E386" s="33"/>
      <c r="F386" s="47"/>
      <c r="G386" s="44"/>
    </row>
    <row r="387" spans="5:9" x14ac:dyDescent="0.25">
      <c r="E387" s="33"/>
      <c r="F387" s="47"/>
      <c r="G387" s="44"/>
    </row>
    <row r="388" spans="5:9" x14ac:dyDescent="0.25">
      <c r="E388" s="33"/>
      <c r="F388" s="47"/>
      <c r="G388" s="44"/>
    </row>
    <row r="389" spans="5:9" x14ac:dyDescent="0.25">
      <c r="E389" s="33"/>
      <c r="F389" s="47"/>
      <c r="G389" s="44"/>
    </row>
    <row r="390" spans="5:9" x14ac:dyDescent="0.25">
      <c r="E390" s="33"/>
      <c r="F390" s="47"/>
      <c r="G390" s="44"/>
    </row>
    <row r="391" spans="5:9" x14ac:dyDescent="0.25">
      <c r="E391" s="33"/>
      <c r="F391" s="47"/>
      <c r="G391" s="44"/>
    </row>
    <row r="392" spans="5:9" x14ac:dyDescent="0.25">
      <c r="E392" s="33"/>
      <c r="F392" s="47"/>
      <c r="G392" s="44"/>
    </row>
    <row r="393" spans="5:9" x14ac:dyDescent="0.25">
      <c r="E393" s="33"/>
      <c r="F393" s="47"/>
      <c r="G393" s="44"/>
    </row>
    <row r="394" spans="5:9" x14ac:dyDescent="0.25">
      <c r="H394" s="139"/>
      <c r="I394" s="133"/>
    </row>
    <row r="395" spans="5:9" x14ac:dyDescent="0.25">
      <c r="E395" s="33"/>
      <c r="F395" s="47"/>
      <c r="G395" s="44"/>
    </row>
    <row r="396" spans="5:9" x14ac:dyDescent="0.25">
      <c r="E396" s="33"/>
      <c r="F396" s="47"/>
      <c r="G396" s="44"/>
    </row>
    <row r="397" spans="5:9" x14ac:dyDescent="0.25">
      <c r="E397" s="33"/>
      <c r="F397" s="47"/>
      <c r="G397" s="44"/>
    </row>
    <row r="398" spans="5:9" x14ac:dyDescent="0.25">
      <c r="E398" s="33"/>
      <c r="F398" s="47"/>
      <c r="G398" s="44"/>
    </row>
    <row r="399" spans="5:9" x14ac:dyDescent="0.25">
      <c r="E399" s="33"/>
      <c r="F399" s="47"/>
      <c r="G399" s="44"/>
    </row>
    <row r="400" spans="5:9" x14ac:dyDescent="0.25">
      <c r="E400" s="33"/>
      <c r="F400" s="47"/>
      <c r="G400" s="44"/>
    </row>
    <row r="401" spans="5:7" x14ac:dyDescent="0.25">
      <c r="E401" s="33"/>
      <c r="F401" s="47"/>
      <c r="G401" s="44"/>
    </row>
    <row r="402" spans="5:7" x14ac:dyDescent="0.25">
      <c r="E402" s="33"/>
      <c r="F402" s="47"/>
      <c r="G402" s="44"/>
    </row>
    <row r="403" spans="5:7" x14ac:dyDescent="0.25">
      <c r="E403" s="33"/>
      <c r="F403" s="47"/>
      <c r="G403" s="44"/>
    </row>
    <row r="404" spans="5:7" x14ac:dyDescent="0.25">
      <c r="E404" s="33"/>
      <c r="F404" s="47"/>
      <c r="G404" s="44"/>
    </row>
    <row r="405" spans="5:7" x14ac:dyDescent="0.25">
      <c r="E405" s="33"/>
      <c r="F405" s="47"/>
      <c r="G405" s="44"/>
    </row>
    <row r="406" spans="5:7" x14ac:dyDescent="0.25">
      <c r="E406" s="33"/>
      <c r="F406" s="47"/>
      <c r="G406" s="44"/>
    </row>
    <row r="407" spans="5:7" x14ac:dyDescent="0.25">
      <c r="E407" s="33"/>
      <c r="F407" s="47"/>
      <c r="G407" s="44"/>
    </row>
    <row r="408" spans="5:7" x14ac:dyDescent="0.25">
      <c r="E408" s="33"/>
      <c r="F408" s="47"/>
      <c r="G408" s="44"/>
    </row>
    <row r="409" spans="5:7" x14ac:dyDescent="0.25">
      <c r="E409" s="33"/>
      <c r="F409" s="47"/>
      <c r="G409" s="44"/>
    </row>
    <row r="410" spans="5:7" x14ac:dyDescent="0.25">
      <c r="E410" s="33"/>
      <c r="F410" s="47"/>
      <c r="G410" s="44"/>
    </row>
    <row r="411" spans="5:7" x14ac:dyDescent="0.25">
      <c r="E411" s="33"/>
      <c r="F411" s="47"/>
      <c r="G411" s="44"/>
    </row>
    <row r="412" spans="5:7" x14ac:dyDescent="0.25">
      <c r="E412" s="33"/>
      <c r="F412" s="47"/>
      <c r="G412" s="44"/>
    </row>
    <row r="413" spans="5:7" x14ac:dyDescent="0.25">
      <c r="E413" s="33"/>
      <c r="F413" s="47"/>
      <c r="G413" s="44"/>
    </row>
    <row r="414" spans="5:7" x14ac:dyDescent="0.25">
      <c r="E414" s="33"/>
      <c r="F414" s="47"/>
      <c r="G414" s="44"/>
    </row>
    <row r="415" spans="5:7" x14ac:dyDescent="0.25">
      <c r="E415" s="33"/>
      <c r="F415" s="47"/>
      <c r="G415" s="44"/>
    </row>
    <row r="416" spans="5:7" x14ac:dyDescent="0.25">
      <c r="E416" s="33"/>
      <c r="F416" s="47"/>
      <c r="G416" s="44"/>
    </row>
    <row r="417" spans="5:7" x14ac:dyDescent="0.25">
      <c r="E417" s="33"/>
      <c r="F417" s="47"/>
      <c r="G417" s="44"/>
    </row>
    <row r="418" spans="5:7" x14ac:dyDescent="0.25">
      <c r="E418" s="33"/>
      <c r="F418" s="47"/>
      <c r="G418" s="44"/>
    </row>
    <row r="419" spans="5:7" x14ac:dyDescent="0.25">
      <c r="E419" s="33"/>
      <c r="F419" s="47"/>
      <c r="G419" s="44"/>
    </row>
    <row r="420" spans="5:7" x14ac:dyDescent="0.25">
      <c r="E420" s="33"/>
      <c r="F420" s="47"/>
      <c r="G420" s="44"/>
    </row>
    <row r="421" spans="5:7" x14ac:dyDescent="0.25">
      <c r="E421" s="33"/>
      <c r="F421" s="47"/>
      <c r="G421" s="44"/>
    </row>
    <row r="422" spans="5:7" x14ac:dyDescent="0.25">
      <c r="E422" s="33"/>
      <c r="F422" s="47"/>
      <c r="G422" s="44"/>
    </row>
    <row r="423" spans="5:7" x14ac:dyDescent="0.25">
      <c r="E423" s="33"/>
      <c r="F423" s="47"/>
      <c r="G423" s="44"/>
    </row>
    <row r="424" spans="5:7" x14ac:dyDescent="0.25">
      <c r="E424" s="33"/>
      <c r="F424" s="47"/>
      <c r="G424" s="44"/>
    </row>
    <row r="425" spans="5:7" x14ac:dyDescent="0.25">
      <c r="E425" s="33"/>
      <c r="F425" s="47"/>
    </row>
  </sheetData>
  <customSheetViews>
    <customSheetView guid="{7E4D7CCA-1395-44FA-80A0-38FFA0DD8C49}" showPageBreaks="1" fitToPage="1" showRuler="0" topLeftCell="A522">
      <selection activeCell="I534" sqref="I534"/>
      <pageMargins left="0.5" right="0.5" top="0.46" bottom="0.5" header="0.27" footer="0.23"/>
      <printOptions gridLines="1"/>
      <pageSetup scale="61" fitToHeight="20" orientation="landscape" r:id="rId1"/>
      <headerFooter alignWithMargins="0">
        <oddHeader>&amp;L&amp;"Arial,Bold"DRC Confidential&amp;R&amp;"Arial,Bold"&amp;D</oddHeader>
        <oddFooter>&amp;L## Used for a Retest administration only.
** Used for an Operational administration only&amp;CPage &amp;P of &amp;N</oddFooter>
      </headerFooter>
    </customSheetView>
    <customSheetView guid="{B792D786-3755-11D6-AB7B-0050DA2DACD5}" scale="70" showPageBreaks="1" fitToPage="1" showRuler="0" topLeftCell="D15">
      <selection activeCell="G24" sqref="G24"/>
      <pageMargins left="0.75" right="0.75" top="0.46" bottom="0.41" header="0.27" footer="0.23"/>
      <printOptions gridLines="1"/>
      <pageSetup scale="64" fitToHeight="15" orientation="landscape" r:id="rId2"/>
      <headerFooter alignWithMargins="0">
        <oddHeader>&amp;L&amp;"Arial,Bold"DRC Confidential&amp;R&amp;"Arial,Bold"&amp;D</oddHeader>
        <oddFooter>Page &amp;P of &amp;N</oddFooter>
      </headerFooter>
    </customSheetView>
    <customSheetView guid="{E34B366C-36F7-11D6-A24B-0050DA0A5BC6}" scale="85" showPageBreaks="1" fitToPage="1" showRuler="0" topLeftCell="D361">
      <selection activeCell="E361" sqref="E361"/>
      <pageMargins left="0.75" right="0.75" top="0.46" bottom="0.41" header="0.27" footer="0.23"/>
      <printOptions gridLines="1"/>
      <pageSetup scale="65" fitToHeight="15" orientation="landscape" r:id="rId3"/>
      <headerFooter alignWithMargins="0">
        <oddHeader>&amp;L&amp;"Arial,Bold"DRC Confidential&amp;R&amp;"Arial,Bold"&amp;D</oddHeader>
        <oddFooter>Page &amp;P of &amp;N</oddFooter>
      </headerFooter>
    </customSheetView>
    <customSheetView guid="{A5DDCBF3-D6F4-4EB4-918C-ECABFE1A43AD}" fitToPage="1" showRuler="0" topLeftCell="I24">
      <selection activeCell="J33" sqref="J33:J34"/>
      <pageMargins left="0.5" right="0.5" top="0.46" bottom="0.5" header="0.27" footer="0.23"/>
      <printOptions gridLines="1"/>
      <pageSetup scale="59" fitToHeight="20" orientation="landscape" r:id="rId4"/>
      <headerFooter alignWithMargins="0">
        <oddHeader>&amp;L&amp;"Arial,Bold"DRC Confidential&amp;R&amp;"Arial,Bold"&amp;D</oddHeader>
        <oddFooter>&amp;L## Used for a Retest administration only.
** Used for an Operational administration only&amp;CPage &amp;P of &amp;N</oddFooter>
      </headerFooter>
    </customSheetView>
    <customSheetView guid="{711973F9-5431-4922-B46E-FFB4E07E9E58}" fitToPage="1" hiddenColumns="1" showRuler="0" topLeftCell="H32">
      <selection activeCell="H47" sqref="H47"/>
      <pageMargins left="0.5" right="0.5" top="0.46" bottom="0.5" header="0.27" footer="0.23"/>
      <printOptions gridLines="1"/>
      <pageSetup scale="56" fitToHeight="20" orientation="landscape" r:id="rId5"/>
      <headerFooter alignWithMargins="0">
        <oddHeader>&amp;L&amp;"Arial,Bold"DRC Confidential&amp;R&amp;"Arial,Bold"&amp;D</oddHeader>
        <oddFooter>&amp;CPage &amp;P of &amp;N</oddFooter>
      </headerFooter>
    </customSheetView>
  </customSheetViews>
  <mergeCells count="42">
    <mergeCell ref="I232:I236"/>
    <mergeCell ref="H135:H139"/>
    <mergeCell ref="H142:H143"/>
    <mergeCell ref="H182:H183"/>
    <mergeCell ref="I182:I183"/>
    <mergeCell ref="H186:H187"/>
    <mergeCell ref="I186:I187"/>
    <mergeCell ref="H190:H191"/>
    <mergeCell ref="I190:I191"/>
    <mergeCell ref="H158:H161"/>
    <mergeCell ref="I225:I229"/>
    <mergeCell ref="I131:I132"/>
    <mergeCell ref="I154:I155"/>
    <mergeCell ref="I142:I143"/>
    <mergeCell ref="I174:I175"/>
    <mergeCell ref="H202:H215"/>
    <mergeCell ref="I202:I215"/>
    <mergeCell ref="I164:I165"/>
    <mergeCell ref="H164:H165"/>
    <mergeCell ref="H178:H179"/>
    <mergeCell ref="I178:I179"/>
    <mergeCell ref="A1:C1"/>
    <mergeCell ref="D1:H1"/>
    <mergeCell ref="H78:H84"/>
    <mergeCell ref="H65:H75"/>
    <mergeCell ref="H46:H62"/>
    <mergeCell ref="H250:H251"/>
    <mergeCell ref="I250:I251"/>
    <mergeCell ref="I19:I21"/>
    <mergeCell ref="I12:I13"/>
    <mergeCell ref="I7:I8"/>
    <mergeCell ref="I46:I62"/>
    <mergeCell ref="I65:I75"/>
    <mergeCell ref="I78:I84"/>
    <mergeCell ref="I88:I98"/>
    <mergeCell ref="H88:H98"/>
    <mergeCell ref="H123:H125"/>
    <mergeCell ref="I123:I125"/>
    <mergeCell ref="I135:I139"/>
    <mergeCell ref="I158:I161"/>
    <mergeCell ref="H225:H229"/>
    <mergeCell ref="I246:I247"/>
  </mergeCells>
  <phoneticPr fontId="14" type="noConversion"/>
  <printOptions horizontalCentered="1" gridLines="1"/>
  <pageMargins left="0.5" right="0.5" top="0.46" bottom="0.5" header="0.27" footer="0.23"/>
  <pageSetup scale="49" fitToHeight="23" orientation="landscape" r:id="rId6"/>
  <headerFooter alignWithMargins="0">
    <oddHeader>&amp;RLayout provided by Data Recognition Corporation - Proprietary and Confidential</oddHeader>
    <oddFooter>&amp;LK = Key Verification              C = Corrections
E = Equating                        M = Merge&amp;CPage &amp;P of &amp;N&amp;RLast Saved Date: 4/2/2015 4:57:43 PM</oddFooter>
  </headerFooter>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350"/>
  <sheetViews>
    <sheetView topLeftCell="A344" zoomScaleNormal="100" workbookViewId="0">
      <selection activeCell="B352" sqref="B352"/>
    </sheetView>
  </sheetViews>
  <sheetFormatPr defaultColWidth="9.109375" defaultRowHeight="13.2" x14ac:dyDescent="0.25"/>
  <cols>
    <col min="1" max="1" width="11.5546875" style="24" customWidth="1"/>
    <col min="2" max="2" width="68.33203125" style="18" customWidth="1"/>
    <col min="3" max="3" width="17.5546875" style="18" customWidth="1"/>
    <col min="4" max="12" width="9.109375" style="1"/>
    <col min="13" max="13" width="8.88671875" style="1" customWidth="1"/>
    <col min="14" max="16384" width="9.109375" style="1"/>
  </cols>
  <sheetData>
    <row r="1" spans="1:4" ht="30" customHeight="1" x14ac:dyDescent="0.25">
      <c r="A1" s="175" t="s">
        <v>35</v>
      </c>
      <c r="B1" s="175"/>
      <c r="C1" s="175"/>
    </row>
    <row r="2" spans="1:4" ht="26.4" x14ac:dyDescent="0.25">
      <c r="A2" s="19" t="s">
        <v>36</v>
      </c>
      <c r="B2" s="25" t="s">
        <v>37</v>
      </c>
      <c r="C2" s="15" t="s">
        <v>38</v>
      </c>
      <c r="D2" s="2"/>
    </row>
    <row r="3" spans="1:4" x14ac:dyDescent="0.25">
      <c r="A3" s="20">
        <v>38973</v>
      </c>
      <c r="B3" s="26" t="s">
        <v>40</v>
      </c>
      <c r="C3" s="16" t="s">
        <v>39</v>
      </c>
    </row>
    <row r="4" spans="1:4" ht="39.6" x14ac:dyDescent="0.25">
      <c r="A4" s="20">
        <v>39105</v>
      </c>
      <c r="B4" s="26" t="s">
        <v>41</v>
      </c>
      <c r="C4" s="16" t="s">
        <v>39</v>
      </c>
    </row>
    <row r="5" spans="1:4" ht="26.4" x14ac:dyDescent="0.25">
      <c r="A5" s="20">
        <v>39154</v>
      </c>
      <c r="B5" s="26" t="s">
        <v>42</v>
      </c>
      <c r="C5" s="16" t="s">
        <v>39</v>
      </c>
    </row>
    <row r="6" spans="1:4" ht="28.5" customHeight="1" x14ac:dyDescent="0.25">
      <c r="A6" s="21">
        <v>39163</v>
      </c>
      <c r="B6" s="27" t="s">
        <v>50</v>
      </c>
      <c r="C6" s="17" t="s">
        <v>39</v>
      </c>
    </row>
    <row r="7" spans="1:4" x14ac:dyDescent="0.25">
      <c r="A7" s="21"/>
      <c r="B7" s="27" t="s">
        <v>46</v>
      </c>
      <c r="C7" s="17"/>
    </row>
    <row r="8" spans="1:4" x14ac:dyDescent="0.25">
      <c r="A8" s="22"/>
      <c r="B8" s="27" t="s">
        <v>45</v>
      </c>
      <c r="C8" s="17"/>
    </row>
    <row r="9" spans="1:4" ht="26.4" x14ac:dyDescent="0.25">
      <c r="A9" s="22"/>
      <c r="B9" s="27" t="s">
        <v>47</v>
      </c>
      <c r="C9" s="17"/>
    </row>
    <row r="10" spans="1:4" x14ac:dyDescent="0.25">
      <c r="A10" s="22"/>
      <c r="B10" s="27" t="s">
        <v>48</v>
      </c>
      <c r="C10" s="17"/>
    </row>
    <row r="11" spans="1:4" ht="26.4" x14ac:dyDescent="0.25">
      <c r="A11" s="22"/>
      <c r="B11" s="27" t="s">
        <v>49</v>
      </c>
      <c r="C11" s="17"/>
    </row>
    <row r="12" spans="1:4" ht="26.4" x14ac:dyDescent="0.25">
      <c r="A12" s="22"/>
      <c r="B12" s="27" t="s">
        <v>51</v>
      </c>
      <c r="C12" s="17" t="s">
        <v>52</v>
      </c>
    </row>
    <row r="13" spans="1:4" ht="39.6" x14ac:dyDescent="0.25">
      <c r="A13" s="21">
        <v>39175</v>
      </c>
      <c r="B13" s="27" t="s">
        <v>53</v>
      </c>
      <c r="C13" s="17" t="s">
        <v>52</v>
      </c>
    </row>
    <row r="14" spans="1:4" ht="26.4" x14ac:dyDescent="0.25">
      <c r="A14" s="22"/>
      <c r="B14" s="27" t="s">
        <v>54</v>
      </c>
      <c r="C14" s="17"/>
    </row>
    <row r="15" spans="1:4" ht="26.4" x14ac:dyDescent="0.25">
      <c r="A15" s="21">
        <v>39186</v>
      </c>
      <c r="B15" s="27" t="s">
        <v>55</v>
      </c>
      <c r="C15" s="17" t="s">
        <v>52</v>
      </c>
    </row>
    <row r="16" spans="1:4" ht="26.4" x14ac:dyDescent="0.25">
      <c r="A16" s="21">
        <v>39188</v>
      </c>
      <c r="B16" s="27" t="s">
        <v>57</v>
      </c>
      <c r="C16" s="17" t="s">
        <v>56</v>
      </c>
    </row>
    <row r="17" spans="1:3" ht="26.4" x14ac:dyDescent="0.25">
      <c r="A17" s="20">
        <v>39462</v>
      </c>
      <c r="B17" s="26" t="s">
        <v>64</v>
      </c>
      <c r="C17" s="16" t="s">
        <v>65</v>
      </c>
    </row>
    <row r="18" spans="1:3" ht="39.6" x14ac:dyDescent="0.25">
      <c r="A18" s="23"/>
      <c r="B18" s="26" t="s">
        <v>67</v>
      </c>
      <c r="C18" s="16"/>
    </row>
    <row r="19" spans="1:3" ht="26.4" x14ac:dyDescent="0.25">
      <c r="A19" s="23"/>
      <c r="B19" s="26" t="s">
        <v>66</v>
      </c>
      <c r="C19" s="16"/>
    </row>
    <row r="20" spans="1:3" x14ac:dyDescent="0.25">
      <c r="A20" s="23"/>
      <c r="B20" s="26" t="s">
        <v>68</v>
      </c>
      <c r="C20" s="16"/>
    </row>
    <row r="21" spans="1:3" ht="26.4" x14ac:dyDescent="0.25">
      <c r="A21" s="20">
        <v>39464</v>
      </c>
      <c r="B21" s="26" t="s">
        <v>69</v>
      </c>
      <c r="C21" s="16" t="s">
        <v>65</v>
      </c>
    </row>
    <row r="22" spans="1:3" ht="26.4" x14ac:dyDescent="0.25">
      <c r="A22" s="20">
        <v>39507</v>
      </c>
      <c r="B22" s="26" t="s">
        <v>72</v>
      </c>
      <c r="C22" s="16" t="s">
        <v>65</v>
      </c>
    </row>
    <row r="23" spans="1:3" ht="26.4" x14ac:dyDescent="0.25">
      <c r="A23" s="20">
        <v>39527</v>
      </c>
      <c r="B23" s="26" t="s">
        <v>73</v>
      </c>
      <c r="C23" s="16" t="s">
        <v>65</v>
      </c>
    </row>
    <row r="24" spans="1:3" ht="26.4" x14ac:dyDescent="0.25">
      <c r="A24" s="20">
        <v>39839</v>
      </c>
      <c r="B24" s="26" t="s">
        <v>169</v>
      </c>
      <c r="C24" s="16" t="s">
        <v>195</v>
      </c>
    </row>
    <row r="25" spans="1:3" x14ac:dyDescent="0.25">
      <c r="A25" s="20">
        <v>39839</v>
      </c>
      <c r="B25" s="26" t="s">
        <v>168</v>
      </c>
      <c r="C25" s="16" t="s">
        <v>195</v>
      </c>
    </row>
    <row r="26" spans="1:3" ht="26.4" x14ac:dyDescent="0.25">
      <c r="A26" s="20">
        <v>39839</v>
      </c>
      <c r="B26" s="26" t="s">
        <v>171</v>
      </c>
      <c r="C26" s="16" t="s">
        <v>195</v>
      </c>
    </row>
    <row r="27" spans="1:3" ht="26.4" x14ac:dyDescent="0.25">
      <c r="A27" s="20">
        <v>39839</v>
      </c>
      <c r="B27" s="26" t="s">
        <v>174</v>
      </c>
      <c r="C27" s="16" t="s">
        <v>195</v>
      </c>
    </row>
    <row r="28" spans="1:3" x14ac:dyDescent="0.25">
      <c r="A28" s="20">
        <v>39839</v>
      </c>
      <c r="B28" s="26" t="s">
        <v>177</v>
      </c>
      <c r="C28" s="16" t="s">
        <v>195</v>
      </c>
    </row>
    <row r="29" spans="1:3" ht="26.4" x14ac:dyDescent="0.25">
      <c r="A29" s="20">
        <v>39839</v>
      </c>
      <c r="B29" s="26" t="s">
        <v>179</v>
      </c>
      <c r="C29" s="16" t="s">
        <v>195</v>
      </c>
    </row>
    <row r="30" spans="1:3" ht="26.4" x14ac:dyDescent="0.25">
      <c r="A30" s="20">
        <v>39839</v>
      </c>
      <c r="B30" s="26" t="s">
        <v>178</v>
      </c>
      <c r="C30" s="16" t="s">
        <v>195</v>
      </c>
    </row>
    <row r="31" spans="1:3" x14ac:dyDescent="0.25">
      <c r="A31" s="20">
        <v>39853</v>
      </c>
      <c r="B31" s="26" t="s">
        <v>180</v>
      </c>
      <c r="C31" s="16" t="s">
        <v>195</v>
      </c>
    </row>
    <row r="32" spans="1:3" x14ac:dyDescent="0.25">
      <c r="A32" s="20">
        <v>39853</v>
      </c>
      <c r="B32" s="26" t="s">
        <v>181</v>
      </c>
      <c r="C32" s="16" t="s">
        <v>195</v>
      </c>
    </row>
    <row r="33" spans="1:3" ht="26.4" x14ac:dyDescent="0.25">
      <c r="A33" s="20">
        <v>39853</v>
      </c>
      <c r="B33" s="26" t="s">
        <v>182</v>
      </c>
      <c r="C33" s="16" t="s">
        <v>195</v>
      </c>
    </row>
    <row r="34" spans="1:3" ht="26.4" x14ac:dyDescent="0.25">
      <c r="A34" s="20">
        <v>39854</v>
      </c>
      <c r="B34" s="26" t="s">
        <v>183</v>
      </c>
      <c r="C34" s="16" t="s">
        <v>195</v>
      </c>
    </row>
    <row r="35" spans="1:3" x14ac:dyDescent="0.25">
      <c r="A35" s="20">
        <v>39874</v>
      </c>
      <c r="B35" s="26" t="s">
        <v>184</v>
      </c>
      <c r="C35" s="16" t="s">
        <v>195</v>
      </c>
    </row>
    <row r="36" spans="1:3" x14ac:dyDescent="0.25">
      <c r="A36" s="20">
        <v>39874</v>
      </c>
      <c r="B36" s="26" t="s">
        <v>185</v>
      </c>
      <c r="C36" s="16" t="s">
        <v>195</v>
      </c>
    </row>
    <row r="37" spans="1:3" ht="26.4" x14ac:dyDescent="0.25">
      <c r="A37" s="20">
        <v>39876</v>
      </c>
      <c r="B37" s="26" t="s">
        <v>186</v>
      </c>
      <c r="C37" s="16" t="s">
        <v>195</v>
      </c>
    </row>
    <row r="38" spans="1:3" ht="26.4" x14ac:dyDescent="0.25">
      <c r="A38" s="20">
        <v>39917</v>
      </c>
      <c r="B38" s="26" t="s">
        <v>187</v>
      </c>
      <c r="C38" s="16" t="s">
        <v>195</v>
      </c>
    </row>
    <row r="39" spans="1:3" ht="26.4" x14ac:dyDescent="0.25">
      <c r="A39" s="20">
        <v>39918</v>
      </c>
      <c r="B39" s="26" t="s">
        <v>188</v>
      </c>
      <c r="C39" s="16" t="s">
        <v>195</v>
      </c>
    </row>
    <row r="40" spans="1:3" ht="26.4" x14ac:dyDescent="0.25">
      <c r="A40" s="20">
        <v>39932</v>
      </c>
      <c r="B40" s="26" t="s">
        <v>189</v>
      </c>
      <c r="C40" s="16" t="s">
        <v>195</v>
      </c>
    </row>
    <row r="41" spans="1:3" x14ac:dyDescent="0.25">
      <c r="A41" s="20">
        <v>39933</v>
      </c>
      <c r="B41" s="26" t="s">
        <v>190</v>
      </c>
      <c r="C41" s="16" t="s">
        <v>195</v>
      </c>
    </row>
    <row r="42" spans="1:3" ht="26.4" x14ac:dyDescent="0.25">
      <c r="A42" s="20">
        <v>39947</v>
      </c>
      <c r="B42" s="26" t="s">
        <v>193</v>
      </c>
      <c r="C42" s="16" t="s">
        <v>195</v>
      </c>
    </row>
    <row r="43" spans="1:3" ht="26.4" x14ac:dyDescent="0.25">
      <c r="A43" s="20">
        <v>39951</v>
      </c>
      <c r="B43" s="26" t="s">
        <v>192</v>
      </c>
      <c r="C43" s="16" t="s">
        <v>195</v>
      </c>
    </row>
    <row r="44" spans="1:3" ht="39.6" x14ac:dyDescent="0.25">
      <c r="A44" s="20">
        <v>39951</v>
      </c>
      <c r="B44" s="26" t="s">
        <v>191</v>
      </c>
      <c r="C44" s="16" t="s">
        <v>195</v>
      </c>
    </row>
    <row r="45" spans="1:3" ht="26.4" x14ac:dyDescent="0.25">
      <c r="A45" s="20">
        <v>39951</v>
      </c>
      <c r="B45" s="26" t="s">
        <v>194</v>
      </c>
      <c r="C45" s="16" t="s">
        <v>195</v>
      </c>
    </row>
    <row r="46" spans="1:3" ht="26.4" x14ac:dyDescent="0.25">
      <c r="A46" s="20">
        <v>40140</v>
      </c>
      <c r="B46" s="66" t="s">
        <v>203</v>
      </c>
      <c r="C46" s="67" t="s">
        <v>195</v>
      </c>
    </row>
    <row r="47" spans="1:3" ht="39.6" x14ac:dyDescent="0.25">
      <c r="A47" s="20">
        <v>40141</v>
      </c>
      <c r="B47" s="66" t="s">
        <v>204</v>
      </c>
      <c r="C47" s="16" t="s">
        <v>195</v>
      </c>
    </row>
    <row r="48" spans="1:3" ht="39.6" x14ac:dyDescent="0.25">
      <c r="A48" s="20">
        <v>40141</v>
      </c>
      <c r="B48" s="66" t="s">
        <v>205</v>
      </c>
      <c r="C48" s="16" t="s">
        <v>195</v>
      </c>
    </row>
    <row r="49" spans="1:3" ht="52.8" x14ac:dyDescent="0.25">
      <c r="A49" s="20">
        <v>40141</v>
      </c>
      <c r="B49" s="66" t="s">
        <v>206</v>
      </c>
      <c r="C49" s="16" t="s">
        <v>195</v>
      </c>
    </row>
    <row r="50" spans="1:3" ht="39.6" x14ac:dyDescent="0.25">
      <c r="A50" s="20">
        <v>40142</v>
      </c>
      <c r="B50" s="66" t="s">
        <v>207</v>
      </c>
      <c r="C50" s="16" t="s">
        <v>195</v>
      </c>
    </row>
    <row r="51" spans="1:3" ht="26.4" x14ac:dyDescent="0.25">
      <c r="A51" s="20">
        <v>40142</v>
      </c>
      <c r="B51" s="66" t="s">
        <v>210</v>
      </c>
      <c r="C51" s="68" t="s">
        <v>195</v>
      </c>
    </row>
    <row r="52" spans="1:3" ht="39.6" x14ac:dyDescent="0.25">
      <c r="A52" s="20">
        <v>40142</v>
      </c>
      <c r="B52" s="66" t="s">
        <v>209</v>
      </c>
      <c r="C52" s="68" t="s">
        <v>195</v>
      </c>
    </row>
    <row r="53" spans="1:3" ht="26.4" x14ac:dyDescent="0.25">
      <c r="A53" s="20">
        <v>40142</v>
      </c>
      <c r="B53" s="66" t="s">
        <v>208</v>
      </c>
      <c r="C53" s="16" t="s">
        <v>195</v>
      </c>
    </row>
    <row r="54" spans="1:3" ht="26.4" x14ac:dyDescent="0.25">
      <c r="A54" s="20">
        <v>40142</v>
      </c>
      <c r="B54" s="69" t="s">
        <v>198</v>
      </c>
      <c r="C54" s="68" t="s">
        <v>195</v>
      </c>
    </row>
    <row r="55" spans="1:3" ht="26.4" x14ac:dyDescent="0.25">
      <c r="A55" s="20">
        <v>40148</v>
      </c>
      <c r="B55" s="66" t="s">
        <v>211</v>
      </c>
      <c r="C55" s="68" t="s">
        <v>195</v>
      </c>
    </row>
    <row r="56" spans="1:3" ht="39.6" x14ac:dyDescent="0.25">
      <c r="A56" s="20">
        <v>40154</v>
      </c>
      <c r="B56" s="69" t="s">
        <v>199</v>
      </c>
      <c r="C56" s="68" t="s">
        <v>195</v>
      </c>
    </row>
    <row r="57" spans="1:3" ht="39.6" x14ac:dyDescent="0.25">
      <c r="A57" s="20">
        <v>40155</v>
      </c>
      <c r="B57" s="66" t="s">
        <v>214</v>
      </c>
      <c r="C57" s="68" t="s">
        <v>195</v>
      </c>
    </row>
    <row r="58" spans="1:3" ht="26.4" x14ac:dyDescent="0.25">
      <c r="A58" s="20">
        <v>40155</v>
      </c>
      <c r="B58" s="66" t="s">
        <v>213</v>
      </c>
      <c r="C58" s="68" t="s">
        <v>195</v>
      </c>
    </row>
    <row r="59" spans="1:3" ht="26.4" x14ac:dyDescent="0.25">
      <c r="A59" s="20">
        <v>40155</v>
      </c>
      <c r="B59" s="66" t="s">
        <v>212</v>
      </c>
      <c r="C59" s="68" t="s">
        <v>195</v>
      </c>
    </row>
    <row r="60" spans="1:3" ht="26.4" x14ac:dyDescent="0.25">
      <c r="A60" s="20">
        <v>40157</v>
      </c>
      <c r="B60" s="69" t="s">
        <v>200</v>
      </c>
      <c r="C60" s="68" t="s">
        <v>195</v>
      </c>
    </row>
    <row r="61" spans="1:3" ht="26.4" x14ac:dyDescent="0.25">
      <c r="A61" s="20">
        <v>40198</v>
      </c>
      <c r="B61" s="70" t="s">
        <v>201</v>
      </c>
      <c r="C61" s="71" t="s">
        <v>195</v>
      </c>
    </row>
    <row r="62" spans="1:3" ht="26.4" x14ac:dyDescent="0.25">
      <c r="A62" s="20">
        <v>40210</v>
      </c>
      <c r="B62" s="70" t="s">
        <v>202</v>
      </c>
      <c r="C62" s="71" t="s">
        <v>195</v>
      </c>
    </row>
    <row r="63" spans="1:3" ht="26.4" x14ac:dyDescent="0.25">
      <c r="A63" s="20">
        <v>40218</v>
      </c>
      <c r="B63" s="66" t="s">
        <v>215</v>
      </c>
      <c r="C63" s="71" t="s">
        <v>195</v>
      </c>
    </row>
    <row r="64" spans="1:3" ht="26.4" x14ac:dyDescent="0.25">
      <c r="A64" s="72">
        <v>40232</v>
      </c>
      <c r="B64" s="66" t="s">
        <v>217</v>
      </c>
      <c r="C64" s="71" t="s">
        <v>195</v>
      </c>
    </row>
    <row r="65" spans="1:3" ht="26.4" x14ac:dyDescent="0.25">
      <c r="A65" s="72">
        <v>40234</v>
      </c>
      <c r="B65" s="73" t="s">
        <v>218</v>
      </c>
      <c r="C65" s="71" t="s">
        <v>195</v>
      </c>
    </row>
    <row r="66" spans="1:3" ht="39.6" x14ac:dyDescent="0.25">
      <c r="A66" s="20">
        <v>40281</v>
      </c>
      <c r="B66" s="66" t="s">
        <v>221</v>
      </c>
      <c r="C66" s="67" t="s">
        <v>195</v>
      </c>
    </row>
    <row r="67" spans="1:3" ht="52.8" x14ac:dyDescent="0.25">
      <c r="A67" s="20">
        <v>40291</v>
      </c>
      <c r="B67" s="66" t="s">
        <v>222</v>
      </c>
      <c r="C67" s="67" t="s">
        <v>195</v>
      </c>
    </row>
    <row r="68" spans="1:3" ht="39.6" x14ac:dyDescent="0.25">
      <c r="A68" s="20">
        <v>40295</v>
      </c>
      <c r="B68" s="66" t="s">
        <v>223</v>
      </c>
      <c r="C68" s="67" t="s">
        <v>195</v>
      </c>
    </row>
    <row r="69" spans="1:3" ht="26.4" x14ac:dyDescent="0.25">
      <c r="A69" s="20">
        <v>40295</v>
      </c>
      <c r="B69" s="66" t="s">
        <v>224</v>
      </c>
      <c r="C69" s="67" t="s">
        <v>195</v>
      </c>
    </row>
    <row r="70" spans="1:3" ht="39.6" x14ac:dyDescent="0.25">
      <c r="A70" s="20">
        <v>40298</v>
      </c>
      <c r="B70" s="26" t="s">
        <v>220</v>
      </c>
      <c r="C70" s="67" t="s">
        <v>195</v>
      </c>
    </row>
    <row r="71" spans="1:3" ht="26.4" x14ac:dyDescent="0.25">
      <c r="A71" s="20">
        <v>40512</v>
      </c>
      <c r="B71" s="66" t="s">
        <v>236</v>
      </c>
      <c r="C71" s="67" t="s">
        <v>195</v>
      </c>
    </row>
    <row r="72" spans="1:3" ht="52.8" x14ac:dyDescent="0.25">
      <c r="A72" s="20">
        <v>40553</v>
      </c>
      <c r="B72" s="66" t="s">
        <v>282</v>
      </c>
      <c r="C72" s="67" t="s">
        <v>195</v>
      </c>
    </row>
    <row r="73" spans="1:3" ht="26.4" x14ac:dyDescent="0.25">
      <c r="A73" s="20">
        <v>40512</v>
      </c>
      <c r="B73" s="66" t="s">
        <v>266</v>
      </c>
      <c r="C73" s="67" t="s">
        <v>195</v>
      </c>
    </row>
    <row r="74" spans="1:3" x14ac:dyDescent="0.25">
      <c r="A74" s="20">
        <v>40512</v>
      </c>
      <c r="B74" s="66" t="s">
        <v>265</v>
      </c>
      <c r="C74" s="67" t="s">
        <v>195</v>
      </c>
    </row>
    <row r="75" spans="1:3" x14ac:dyDescent="0.25">
      <c r="A75" s="20">
        <v>40563</v>
      </c>
      <c r="B75" s="66" t="s">
        <v>294</v>
      </c>
      <c r="C75" s="67" t="s">
        <v>195</v>
      </c>
    </row>
    <row r="76" spans="1:3" x14ac:dyDescent="0.25">
      <c r="A76" s="20">
        <v>40512</v>
      </c>
      <c r="B76" s="66" t="s">
        <v>267</v>
      </c>
      <c r="C76" s="67" t="s">
        <v>195</v>
      </c>
    </row>
    <row r="77" spans="1:3" x14ac:dyDescent="0.25">
      <c r="A77" s="20">
        <v>40512</v>
      </c>
      <c r="B77" s="66" t="s">
        <v>232</v>
      </c>
      <c r="C77" s="67" t="s">
        <v>195</v>
      </c>
    </row>
    <row r="78" spans="1:3" ht="26.4" x14ac:dyDescent="0.25">
      <c r="A78" s="20">
        <v>40512</v>
      </c>
      <c r="B78" s="66" t="s">
        <v>237</v>
      </c>
      <c r="C78" s="67" t="s">
        <v>195</v>
      </c>
    </row>
    <row r="79" spans="1:3" ht="26.4" x14ac:dyDescent="0.25">
      <c r="A79" s="20">
        <v>40512</v>
      </c>
      <c r="B79" s="66" t="s">
        <v>238</v>
      </c>
      <c r="C79" s="67" t="s">
        <v>195</v>
      </c>
    </row>
    <row r="80" spans="1:3" ht="26.4" x14ac:dyDescent="0.25">
      <c r="A80" s="20">
        <v>40512</v>
      </c>
      <c r="B80" s="66" t="s">
        <v>239</v>
      </c>
      <c r="C80" s="67" t="s">
        <v>195</v>
      </c>
    </row>
    <row r="81" spans="1:3" x14ac:dyDescent="0.25">
      <c r="A81" s="20">
        <v>40512</v>
      </c>
      <c r="B81" s="26" t="s">
        <v>230</v>
      </c>
      <c r="C81" s="67" t="s">
        <v>195</v>
      </c>
    </row>
    <row r="82" spans="1:3" ht="26.4" x14ac:dyDescent="0.25">
      <c r="A82" s="20">
        <v>40561</v>
      </c>
      <c r="B82" s="66" t="s">
        <v>287</v>
      </c>
      <c r="C82" s="67" t="s">
        <v>195</v>
      </c>
    </row>
    <row r="83" spans="1:3" x14ac:dyDescent="0.25">
      <c r="A83" s="20">
        <v>40561</v>
      </c>
      <c r="B83" s="66" t="s">
        <v>288</v>
      </c>
      <c r="C83" s="67" t="s">
        <v>195</v>
      </c>
    </row>
    <row r="84" spans="1:3" x14ac:dyDescent="0.25">
      <c r="A84" s="20">
        <v>40512</v>
      </c>
      <c r="B84" s="26" t="s">
        <v>231</v>
      </c>
      <c r="C84" s="67" t="s">
        <v>195</v>
      </c>
    </row>
    <row r="85" spans="1:3" ht="26.4" x14ac:dyDescent="0.25">
      <c r="A85" s="20">
        <v>40512</v>
      </c>
      <c r="B85" s="66" t="s">
        <v>240</v>
      </c>
      <c r="C85" s="67" t="s">
        <v>195</v>
      </c>
    </row>
    <row r="86" spans="1:3" ht="26.4" x14ac:dyDescent="0.25">
      <c r="A86" s="20">
        <v>40512</v>
      </c>
      <c r="B86" s="66" t="s">
        <v>241</v>
      </c>
      <c r="C86" s="67" t="s">
        <v>195</v>
      </c>
    </row>
    <row r="87" spans="1:3" ht="26.4" x14ac:dyDescent="0.25">
      <c r="A87" s="20">
        <v>40512</v>
      </c>
      <c r="B87" s="66" t="s">
        <v>285</v>
      </c>
      <c r="C87" s="67" t="s">
        <v>195</v>
      </c>
    </row>
    <row r="88" spans="1:3" ht="26.4" x14ac:dyDescent="0.25">
      <c r="A88" s="20">
        <v>40512</v>
      </c>
      <c r="B88" s="66" t="s">
        <v>242</v>
      </c>
      <c r="C88" s="67" t="s">
        <v>195</v>
      </c>
    </row>
    <row r="89" spans="1:3" ht="26.4" x14ac:dyDescent="0.25">
      <c r="A89" s="20">
        <v>40512</v>
      </c>
      <c r="B89" s="66" t="s">
        <v>243</v>
      </c>
      <c r="C89" s="67" t="s">
        <v>195</v>
      </c>
    </row>
    <row r="90" spans="1:3" ht="26.4" x14ac:dyDescent="0.25">
      <c r="A90" s="20">
        <v>40512</v>
      </c>
      <c r="B90" s="66" t="s">
        <v>244</v>
      </c>
      <c r="C90" s="67" t="s">
        <v>195</v>
      </c>
    </row>
    <row r="91" spans="1:3" ht="26.4" x14ac:dyDescent="0.25">
      <c r="A91" s="20">
        <v>40512</v>
      </c>
      <c r="B91" s="66" t="s">
        <v>245</v>
      </c>
      <c r="C91" s="67" t="s">
        <v>195</v>
      </c>
    </row>
    <row r="92" spans="1:3" ht="26.4" x14ac:dyDescent="0.25">
      <c r="A92" s="20">
        <v>40512</v>
      </c>
      <c r="B92" s="66" t="s">
        <v>277</v>
      </c>
      <c r="C92" s="67" t="s">
        <v>195</v>
      </c>
    </row>
    <row r="93" spans="1:3" ht="26.4" x14ac:dyDescent="0.25">
      <c r="A93" s="20">
        <v>40551</v>
      </c>
      <c r="B93" s="66" t="s">
        <v>275</v>
      </c>
      <c r="C93" s="67" t="s">
        <v>195</v>
      </c>
    </row>
    <row r="94" spans="1:3" ht="26.4" x14ac:dyDescent="0.25">
      <c r="A94" s="20" t="s">
        <v>276</v>
      </c>
      <c r="B94" s="66" t="s">
        <v>284</v>
      </c>
      <c r="C94" s="67" t="s">
        <v>195</v>
      </c>
    </row>
    <row r="95" spans="1:3" ht="26.4" x14ac:dyDescent="0.25">
      <c r="A95" s="20">
        <v>40554</v>
      </c>
      <c r="B95" s="66" t="s">
        <v>291</v>
      </c>
      <c r="C95" s="67" t="s">
        <v>195</v>
      </c>
    </row>
    <row r="96" spans="1:3" ht="26.4" x14ac:dyDescent="0.25">
      <c r="A96" s="20">
        <v>40554</v>
      </c>
      <c r="B96" s="66" t="s">
        <v>292</v>
      </c>
      <c r="C96" s="67" t="s">
        <v>195</v>
      </c>
    </row>
    <row r="97" spans="1:3" ht="39.6" x14ac:dyDescent="0.25">
      <c r="A97" s="20">
        <v>40512</v>
      </c>
      <c r="B97" s="66" t="s">
        <v>235</v>
      </c>
      <c r="C97" s="67" t="s">
        <v>195</v>
      </c>
    </row>
    <row r="98" spans="1:3" x14ac:dyDescent="0.25">
      <c r="A98" s="20">
        <v>40554</v>
      </c>
      <c r="B98" s="66" t="s">
        <v>295</v>
      </c>
      <c r="C98" s="67" t="s">
        <v>195</v>
      </c>
    </row>
    <row r="99" spans="1:3" x14ac:dyDescent="0.25">
      <c r="A99" s="20">
        <v>40512</v>
      </c>
      <c r="B99" s="66" t="s">
        <v>226</v>
      </c>
      <c r="C99" s="67" t="s">
        <v>195</v>
      </c>
    </row>
    <row r="100" spans="1:3" ht="39.6" x14ac:dyDescent="0.25">
      <c r="A100" s="20">
        <v>40551</v>
      </c>
      <c r="B100" s="66" t="s">
        <v>274</v>
      </c>
      <c r="C100" s="67" t="s">
        <v>195</v>
      </c>
    </row>
    <row r="101" spans="1:3" ht="39.6" x14ac:dyDescent="0.25">
      <c r="A101" s="20">
        <v>40551</v>
      </c>
      <c r="B101" s="66" t="s">
        <v>280</v>
      </c>
      <c r="C101" s="67" t="s">
        <v>195</v>
      </c>
    </row>
    <row r="102" spans="1:3" ht="26.4" x14ac:dyDescent="0.25">
      <c r="A102" s="20">
        <v>40512</v>
      </c>
      <c r="B102" s="66" t="s">
        <v>246</v>
      </c>
      <c r="C102" s="67" t="s">
        <v>195</v>
      </c>
    </row>
    <row r="103" spans="1:3" ht="39.6" x14ac:dyDescent="0.25">
      <c r="A103" s="20">
        <v>40551</v>
      </c>
      <c r="B103" s="66" t="s">
        <v>278</v>
      </c>
      <c r="C103" s="67" t="s">
        <v>195</v>
      </c>
    </row>
    <row r="104" spans="1:3" ht="26.4" x14ac:dyDescent="0.25">
      <c r="A104" s="20">
        <v>40551</v>
      </c>
      <c r="B104" s="66" t="s">
        <v>279</v>
      </c>
      <c r="C104" s="67" t="s">
        <v>195</v>
      </c>
    </row>
    <row r="105" spans="1:3" x14ac:dyDescent="0.25">
      <c r="A105" s="20">
        <v>40512</v>
      </c>
      <c r="B105" s="66" t="s">
        <v>264</v>
      </c>
      <c r="C105" s="67" t="s">
        <v>195</v>
      </c>
    </row>
    <row r="106" spans="1:3" x14ac:dyDescent="0.25">
      <c r="A106" s="20">
        <v>40512</v>
      </c>
      <c r="B106" s="66" t="s">
        <v>271</v>
      </c>
      <c r="C106" s="67" t="s">
        <v>195</v>
      </c>
    </row>
    <row r="107" spans="1:3" ht="26.4" x14ac:dyDescent="0.25">
      <c r="A107" s="20">
        <v>40561</v>
      </c>
      <c r="B107" s="66" t="s">
        <v>286</v>
      </c>
      <c r="C107" s="67" t="s">
        <v>195</v>
      </c>
    </row>
    <row r="108" spans="1:3" ht="39.6" x14ac:dyDescent="0.25">
      <c r="A108" s="20">
        <v>40551</v>
      </c>
      <c r="B108" s="66" t="s">
        <v>281</v>
      </c>
      <c r="C108" s="67" t="s">
        <v>195</v>
      </c>
    </row>
    <row r="109" spans="1:3" x14ac:dyDescent="0.25">
      <c r="A109" s="20">
        <v>40512</v>
      </c>
      <c r="B109" s="66" t="s">
        <v>272</v>
      </c>
      <c r="C109" s="67" t="s">
        <v>195</v>
      </c>
    </row>
    <row r="110" spans="1:3" x14ac:dyDescent="0.25">
      <c r="A110" s="20">
        <v>40512</v>
      </c>
      <c r="B110" s="66" t="s">
        <v>273</v>
      </c>
      <c r="C110" s="67" t="s">
        <v>195</v>
      </c>
    </row>
    <row r="111" spans="1:3" ht="26.4" x14ac:dyDescent="0.25">
      <c r="A111" s="20">
        <v>40512</v>
      </c>
      <c r="B111" s="83" t="s">
        <v>283</v>
      </c>
      <c r="C111" s="67" t="s">
        <v>195</v>
      </c>
    </row>
    <row r="112" spans="1:3" ht="26.4" x14ac:dyDescent="0.25">
      <c r="A112" s="20">
        <v>40512</v>
      </c>
      <c r="B112" s="66" t="s">
        <v>269</v>
      </c>
      <c r="C112" s="67" t="s">
        <v>195</v>
      </c>
    </row>
    <row r="113" spans="1:3" ht="26.4" x14ac:dyDescent="0.25">
      <c r="A113" s="20">
        <v>40512</v>
      </c>
      <c r="B113" s="66" t="s">
        <v>270</v>
      </c>
      <c r="C113" s="67" t="s">
        <v>195</v>
      </c>
    </row>
    <row r="114" spans="1:3" ht="52.8" x14ac:dyDescent="0.25">
      <c r="A114" s="20">
        <v>40512</v>
      </c>
      <c r="B114" s="84" t="s">
        <v>296</v>
      </c>
      <c r="C114" s="85" t="s">
        <v>195</v>
      </c>
    </row>
    <row r="115" spans="1:3" ht="39.6" x14ac:dyDescent="0.25">
      <c r="A115" s="20">
        <v>40558</v>
      </c>
      <c r="B115" s="84" t="s">
        <v>290</v>
      </c>
      <c r="C115" s="85" t="s">
        <v>195</v>
      </c>
    </row>
    <row r="116" spans="1:3" ht="52.8" x14ac:dyDescent="0.25">
      <c r="A116" s="20">
        <v>40561</v>
      </c>
      <c r="B116" s="84" t="s">
        <v>289</v>
      </c>
      <c r="C116" s="85" t="s">
        <v>195</v>
      </c>
    </row>
    <row r="117" spans="1:3" ht="26.4" x14ac:dyDescent="0.25">
      <c r="A117" s="20">
        <v>40582</v>
      </c>
      <c r="B117" s="84" t="s">
        <v>297</v>
      </c>
      <c r="C117" s="85" t="s">
        <v>195</v>
      </c>
    </row>
    <row r="118" spans="1:3" ht="26.4" x14ac:dyDescent="0.25">
      <c r="A118" s="20">
        <v>40582</v>
      </c>
      <c r="B118" s="84" t="s">
        <v>298</v>
      </c>
      <c r="C118" s="85" t="s">
        <v>195</v>
      </c>
    </row>
    <row r="119" spans="1:3" ht="26.4" x14ac:dyDescent="0.25">
      <c r="A119" s="20">
        <v>40582</v>
      </c>
      <c r="B119" s="84" t="s">
        <v>299</v>
      </c>
      <c r="C119" s="85" t="s">
        <v>195</v>
      </c>
    </row>
    <row r="120" spans="1:3" x14ac:dyDescent="0.25">
      <c r="A120" s="20">
        <v>40582</v>
      </c>
      <c r="B120" s="84" t="s">
        <v>300</v>
      </c>
      <c r="C120" s="85" t="s">
        <v>195</v>
      </c>
    </row>
    <row r="121" spans="1:3" x14ac:dyDescent="0.25">
      <c r="A121" s="20">
        <v>40582</v>
      </c>
      <c r="B121" s="84" t="s">
        <v>301</v>
      </c>
      <c r="C121" s="85" t="s">
        <v>195</v>
      </c>
    </row>
    <row r="122" spans="1:3" ht="26.4" x14ac:dyDescent="0.25">
      <c r="A122" s="20">
        <v>40592</v>
      </c>
      <c r="B122" s="84" t="s">
        <v>324</v>
      </c>
      <c r="C122" s="85" t="s">
        <v>195</v>
      </c>
    </row>
    <row r="123" spans="1:3" ht="26.4" x14ac:dyDescent="0.25">
      <c r="A123" s="20">
        <v>40604</v>
      </c>
      <c r="B123" s="84" t="s">
        <v>325</v>
      </c>
      <c r="C123" s="85" t="s">
        <v>195</v>
      </c>
    </row>
    <row r="124" spans="1:3" x14ac:dyDescent="0.25">
      <c r="A124" s="86">
        <v>40612</v>
      </c>
      <c r="B124" s="66" t="s">
        <v>329</v>
      </c>
      <c r="C124" s="85" t="s">
        <v>326</v>
      </c>
    </row>
    <row r="125" spans="1:3" ht="26.4" x14ac:dyDescent="0.25">
      <c r="A125" s="86">
        <v>40612</v>
      </c>
      <c r="B125" s="66" t="s">
        <v>330</v>
      </c>
      <c r="C125" s="85" t="s">
        <v>326</v>
      </c>
    </row>
    <row r="126" spans="1:3" ht="26.4" x14ac:dyDescent="0.25">
      <c r="A126" s="86">
        <v>40612</v>
      </c>
      <c r="B126" s="66" t="s">
        <v>331</v>
      </c>
      <c r="C126" s="85" t="s">
        <v>326</v>
      </c>
    </row>
    <row r="127" spans="1:3" ht="51" customHeight="1" x14ac:dyDescent="0.25">
      <c r="A127" s="86">
        <v>40625</v>
      </c>
      <c r="B127" s="87" t="s">
        <v>332</v>
      </c>
      <c r="C127" s="88" t="s">
        <v>56</v>
      </c>
    </row>
    <row r="128" spans="1:3" ht="26.4" x14ac:dyDescent="0.25">
      <c r="A128" s="86">
        <v>40883</v>
      </c>
      <c r="B128" s="87" t="s">
        <v>464</v>
      </c>
      <c r="C128" s="88" t="s">
        <v>56</v>
      </c>
    </row>
    <row r="129" spans="1:3" ht="26.4" x14ac:dyDescent="0.25">
      <c r="A129" s="86">
        <v>40883</v>
      </c>
      <c r="B129" s="87" t="s">
        <v>418</v>
      </c>
      <c r="C129" s="88" t="s">
        <v>56</v>
      </c>
    </row>
    <row r="130" spans="1:3" ht="26.25" customHeight="1" x14ac:dyDescent="0.25">
      <c r="A130" s="86">
        <v>40883</v>
      </c>
      <c r="B130" s="87" t="s">
        <v>437</v>
      </c>
      <c r="C130" s="88" t="s">
        <v>56</v>
      </c>
    </row>
    <row r="131" spans="1:3" ht="26.25" customHeight="1" x14ac:dyDescent="0.25">
      <c r="A131" s="86">
        <v>40884</v>
      </c>
      <c r="B131" s="87" t="s">
        <v>447</v>
      </c>
      <c r="C131" s="88" t="s">
        <v>56</v>
      </c>
    </row>
    <row r="132" spans="1:3" x14ac:dyDescent="0.25">
      <c r="A132" s="86">
        <v>40883</v>
      </c>
      <c r="B132" s="87" t="s">
        <v>465</v>
      </c>
      <c r="C132" s="88" t="s">
        <v>56</v>
      </c>
    </row>
    <row r="133" spans="1:3" ht="26.4" x14ac:dyDescent="0.25">
      <c r="A133" s="86">
        <v>40883</v>
      </c>
      <c r="B133" s="87" t="s">
        <v>351</v>
      </c>
      <c r="C133" s="88" t="s">
        <v>56</v>
      </c>
    </row>
    <row r="134" spans="1:3" ht="52.8" x14ac:dyDescent="0.25">
      <c r="A134" s="86">
        <v>40883</v>
      </c>
      <c r="B134" s="87" t="s">
        <v>352</v>
      </c>
      <c r="C134" s="88" t="s">
        <v>56</v>
      </c>
    </row>
    <row r="135" spans="1:3" ht="26.25" customHeight="1" x14ac:dyDescent="0.25">
      <c r="A135" s="86">
        <v>40883</v>
      </c>
      <c r="B135" s="87" t="s">
        <v>358</v>
      </c>
      <c r="C135" s="88" t="s">
        <v>56</v>
      </c>
    </row>
    <row r="136" spans="1:3" ht="52.8" x14ac:dyDescent="0.25">
      <c r="A136" s="86">
        <v>40883</v>
      </c>
      <c r="B136" s="87" t="s">
        <v>359</v>
      </c>
      <c r="C136" s="88" t="s">
        <v>56</v>
      </c>
    </row>
    <row r="137" spans="1:3" ht="26.4" x14ac:dyDescent="0.25">
      <c r="A137" s="86">
        <v>40883</v>
      </c>
      <c r="B137" s="87" t="s">
        <v>360</v>
      </c>
      <c r="C137" s="88" t="s">
        <v>56</v>
      </c>
    </row>
    <row r="138" spans="1:3" ht="26.4" x14ac:dyDescent="0.25">
      <c r="A138" s="86">
        <v>40883</v>
      </c>
      <c r="B138" s="87" t="s">
        <v>361</v>
      </c>
      <c r="C138" s="88" t="s">
        <v>56</v>
      </c>
    </row>
    <row r="139" spans="1:3" ht="26.4" x14ac:dyDescent="0.25">
      <c r="A139" s="86">
        <v>40883</v>
      </c>
      <c r="B139" s="87" t="s">
        <v>362</v>
      </c>
      <c r="C139" s="88" t="s">
        <v>56</v>
      </c>
    </row>
    <row r="140" spans="1:3" ht="52.8" x14ac:dyDescent="0.25">
      <c r="A140" s="86">
        <v>40883</v>
      </c>
      <c r="B140" s="87" t="s">
        <v>369</v>
      </c>
      <c r="C140" s="88" t="s">
        <v>56</v>
      </c>
    </row>
    <row r="141" spans="1:3" ht="52.8" x14ac:dyDescent="0.25">
      <c r="A141" s="86">
        <v>40883</v>
      </c>
      <c r="B141" s="87" t="s">
        <v>370</v>
      </c>
      <c r="C141" s="88" t="s">
        <v>56</v>
      </c>
    </row>
    <row r="142" spans="1:3" ht="26.4" x14ac:dyDescent="0.25">
      <c r="A142" s="86">
        <v>40883</v>
      </c>
      <c r="B142" s="87" t="s">
        <v>363</v>
      </c>
      <c r="C142" s="88" t="s">
        <v>56</v>
      </c>
    </row>
    <row r="143" spans="1:3" ht="52.8" x14ac:dyDescent="0.25">
      <c r="A143" s="86">
        <v>40883</v>
      </c>
      <c r="B143" s="87" t="s">
        <v>371</v>
      </c>
      <c r="C143" s="88" t="s">
        <v>56</v>
      </c>
    </row>
    <row r="144" spans="1:3" ht="39.6" x14ac:dyDescent="0.25">
      <c r="A144" s="86">
        <v>40883</v>
      </c>
      <c r="B144" s="87" t="s">
        <v>353</v>
      </c>
      <c r="C144" s="88" t="s">
        <v>56</v>
      </c>
    </row>
    <row r="145" spans="1:3" ht="39.6" x14ac:dyDescent="0.25">
      <c r="A145" s="86">
        <v>40883</v>
      </c>
      <c r="B145" s="87" t="s">
        <v>417</v>
      </c>
      <c r="C145" s="88" t="s">
        <v>56</v>
      </c>
    </row>
    <row r="146" spans="1:3" ht="26.4" x14ac:dyDescent="0.25">
      <c r="A146" s="86">
        <v>40883</v>
      </c>
      <c r="B146" s="87" t="s">
        <v>364</v>
      </c>
      <c r="C146" s="88" t="s">
        <v>56</v>
      </c>
    </row>
    <row r="147" spans="1:3" ht="39.6" x14ac:dyDescent="0.25">
      <c r="A147" s="86">
        <v>40883</v>
      </c>
      <c r="B147" s="84" t="s">
        <v>385</v>
      </c>
      <c r="C147" s="88" t="s">
        <v>56</v>
      </c>
    </row>
    <row r="148" spans="1:3" ht="39.6" x14ac:dyDescent="0.25">
      <c r="A148" s="86">
        <v>40883</v>
      </c>
      <c r="B148" s="84" t="s">
        <v>386</v>
      </c>
      <c r="C148" s="88" t="s">
        <v>56</v>
      </c>
    </row>
    <row r="149" spans="1:3" ht="39.6" x14ac:dyDescent="0.25">
      <c r="A149" s="86">
        <v>40883</v>
      </c>
      <c r="B149" s="84" t="s">
        <v>387</v>
      </c>
      <c r="C149" s="88" t="s">
        <v>56</v>
      </c>
    </row>
    <row r="150" spans="1:3" ht="39.6" x14ac:dyDescent="0.25">
      <c r="A150" s="86">
        <v>40883</v>
      </c>
      <c r="B150" s="84" t="s">
        <v>388</v>
      </c>
      <c r="C150" s="88" t="s">
        <v>56</v>
      </c>
    </row>
    <row r="151" spans="1:3" ht="39.6" x14ac:dyDescent="0.25">
      <c r="A151" s="86">
        <v>40883</v>
      </c>
      <c r="B151" s="84" t="s">
        <v>389</v>
      </c>
      <c r="C151" s="88" t="s">
        <v>56</v>
      </c>
    </row>
    <row r="152" spans="1:3" ht="39.6" x14ac:dyDescent="0.25">
      <c r="A152" s="86">
        <v>40883</v>
      </c>
      <c r="B152" s="84" t="s">
        <v>390</v>
      </c>
      <c r="C152" s="88" t="s">
        <v>56</v>
      </c>
    </row>
    <row r="153" spans="1:3" ht="39.6" x14ac:dyDescent="0.25">
      <c r="A153" s="86">
        <v>40883</v>
      </c>
      <c r="B153" s="84" t="s">
        <v>391</v>
      </c>
      <c r="C153" s="88" t="s">
        <v>56</v>
      </c>
    </row>
    <row r="154" spans="1:3" ht="39.6" x14ac:dyDescent="0.25">
      <c r="A154" s="86">
        <v>40883</v>
      </c>
      <c r="B154" s="84" t="s">
        <v>392</v>
      </c>
      <c r="C154" s="88" t="s">
        <v>56</v>
      </c>
    </row>
    <row r="155" spans="1:3" ht="39.6" x14ac:dyDescent="0.25">
      <c r="A155" s="86">
        <v>40883</v>
      </c>
      <c r="B155" s="84" t="s">
        <v>393</v>
      </c>
      <c r="C155" s="88" t="s">
        <v>56</v>
      </c>
    </row>
    <row r="156" spans="1:3" ht="39.6" x14ac:dyDescent="0.25">
      <c r="A156" s="86">
        <v>40883</v>
      </c>
      <c r="B156" s="84" t="s">
        <v>394</v>
      </c>
      <c r="C156" s="88" t="s">
        <v>56</v>
      </c>
    </row>
    <row r="157" spans="1:3" ht="39.6" x14ac:dyDescent="0.25">
      <c r="A157" s="86">
        <v>40883</v>
      </c>
      <c r="B157" s="84" t="s">
        <v>395</v>
      </c>
      <c r="C157" s="88" t="s">
        <v>56</v>
      </c>
    </row>
    <row r="158" spans="1:3" ht="39.6" x14ac:dyDescent="0.25">
      <c r="A158" s="86">
        <v>40883</v>
      </c>
      <c r="B158" s="84" t="s">
        <v>396</v>
      </c>
      <c r="C158" s="88" t="s">
        <v>56</v>
      </c>
    </row>
    <row r="159" spans="1:3" ht="39.6" x14ac:dyDescent="0.25">
      <c r="A159" s="86">
        <v>40883</v>
      </c>
      <c r="B159" s="84" t="s">
        <v>397</v>
      </c>
      <c r="C159" s="88" t="s">
        <v>56</v>
      </c>
    </row>
    <row r="160" spans="1:3" ht="39.6" x14ac:dyDescent="0.25">
      <c r="A160" s="86">
        <v>40883</v>
      </c>
      <c r="B160" s="84" t="s">
        <v>403</v>
      </c>
      <c r="C160" s="88" t="s">
        <v>56</v>
      </c>
    </row>
    <row r="161" spans="1:3" ht="39.6" x14ac:dyDescent="0.25">
      <c r="A161" s="86">
        <v>40883</v>
      </c>
      <c r="B161" s="84" t="s">
        <v>398</v>
      </c>
      <c r="C161" s="88" t="s">
        <v>56</v>
      </c>
    </row>
    <row r="162" spans="1:3" ht="39.6" x14ac:dyDescent="0.25">
      <c r="A162" s="86">
        <v>40883</v>
      </c>
      <c r="B162" s="84" t="s">
        <v>399</v>
      </c>
      <c r="C162" s="88" t="s">
        <v>56</v>
      </c>
    </row>
    <row r="163" spans="1:3" ht="39.6" x14ac:dyDescent="0.25">
      <c r="A163" s="86">
        <v>40883</v>
      </c>
      <c r="B163" s="84" t="s">
        <v>400</v>
      </c>
      <c r="C163" s="88" t="s">
        <v>56</v>
      </c>
    </row>
    <row r="164" spans="1:3" ht="39.6" x14ac:dyDescent="0.25">
      <c r="A164" s="86">
        <v>40883</v>
      </c>
      <c r="B164" s="84" t="s">
        <v>401</v>
      </c>
      <c r="C164" s="88" t="s">
        <v>56</v>
      </c>
    </row>
    <row r="165" spans="1:3" ht="39.6" x14ac:dyDescent="0.25">
      <c r="A165" s="86">
        <v>40883</v>
      </c>
      <c r="B165" s="84" t="s">
        <v>402</v>
      </c>
      <c r="C165" s="88" t="s">
        <v>56</v>
      </c>
    </row>
    <row r="166" spans="1:3" ht="39.6" x14ac:dyDescent="0.25">
      <c r="A166" s="86">
        <v>40883</v>
      </c>
      <c r="B166" s="87" t="s">
        <v>471</v>
      </c>
      <c r="C166" s="88" t="s">
        <v>56</v>
      </c>
    </row>
    <row r="167" spans="1:3" ht="26.4" x14ac:dyDescent="0.25">
      <c r="A167" s="86">
        <v>40883</v>
      </c>
      <c r="B167" s="87" t="s">
        <v>373</v>
      </c>
      <c r="C167" s="88" t="s">
        <v>56</v>
      </c>
    </row>
    <row r="168" spans="1:3" ht="52.8" x14ac:dyDescent="0.25">
      <c r="A168" s="86">
        <v>40883</v>
      </c>
      <c r="B168" s="87" t="s">
        <v>374</v>
      </c>
      <c r="C168" s="88" t="s">
        <v>56</v>
      </c>
    </row>
    <row r="169" spans="1:3" ht="39.6" x14ac:dyDescent="0.25">
      <c r="A169" s="86">
        <v>40883</v>
      </c>
      <c r="B169" s="87" t="s">
        <v>404</v>
      </c>
      <c r="C169" s="88" t="s">
        <v>56</v>
      </c>
    </row>
    <row r="170" spans="1:3" ht="39.6" x14ac:dyDescent="0.25">
      <c r="A170" s="86">
        <v>40883</v>
      </c>
      <c r="B170" s="87" t="s">
        <v>416</v>
      </c>
      <c r="C170" s="88" t="s">
        <v>56</v>
      </c>
    </row>
    <row r="171" spans="1:3" ht="39.6" x14ac:dyDescent="0.25">
      <c r="A171" s="86">
        <v>40883</v>
      </c>
      <c r="B171" s="87" t="s">
        <v>405</v>
      </c>
      <c r="C171" s="88" t="s">
        <v>56</v>
      </c>
    </row>
    <row r="172" spans="1:3" ht="39.6" x14ac:dyDescent="0.25">
      <c r="A172" s="86">
        <v>40883</v>
      </c>
      <c r="B172" s="87" t="s">
        <v>406</v>
      </c>
      <c r="C172" s="88" t="s">
        <v>56</v>
      </c>
    </row>
    <row r="173" spans="1:3" ht="52.8" x14ac:dyDescent="0.25">
      <c r="A173" s="86">
        <v>40883</v>
      </c>
      <c r="B173" s="87" t="s">
        <v>407</v>
      </c>
      <c r="C173" s="88" t="s">
        <v>56</v>
      </c>
    </row>
    <row r="174" spans="1:3" ht="52.8" x14ac:dyDescent="0.25">
      <c r="A174" s="86">
        <v>40883</v>
      </c>
      <c r="B174" s="87" t="s">
        <v>354</v>
      </c>
      <c r="C174" s="88" t="s">
        <v>56</v>
      </c>
    </row>
    <row r="175" spans="1:3" ht="52.8" x14ac:dyDescent="0.25">
      <c r="A175" s="86">
        <v>40883</v>
      </c>
      <c r="B175" s="87" t="s">
        <v>355</v>
      </c>
      <c r="C175" s="88" t="s">
        <v>56</v>
      </c>
    </row>
    <row r="176" spans="1:3" ht="39.6" x14ac:dyDescent="0.25">
      <c r="A176" s="86">
        <v>40883</v>
      </c>
      <c r="B176" s="87" t="s">
        <v>408</v>
      </c>
      <c r="C176" s="88" t="s">
        <v>56</v>
      </c>
    </row>
    <row r="177" spans="1:3" ht="39.6" x14ac:dyDescent="0.25">
      <c r="A177" s="86">
        <v>40883</v>
      </c>
      <c r="B177" s="87" t="s">
        <v>409</v>
      </c>
      <c r="C177" s="88" t="s">
        <v>56</v>
      </c>
    </row>
    <row r="178" spans="1:3" ht="39.6" x14ac:dyDescent="0.25">
      <c r="A178" s="86">
        <v>40883</v>
      </c>
      <c r="B178" s="87" t="s">
        <v>410</v>
      </c>
      <c r="C178" s="88" t="s">
        <v>56</v>
      </c>
    </row>
    <row r="179" spans="1:3" ht="52.8" x14ac:dyDescent="0.25">
      <c r="A179" s="86">
        <v>40883</v>
      </c>
      <c r="B179" s="87" t="s">
        <v>411</v>
      </c>
      <c r="C179" s="88" t="s">
        <v>56</v>
      </c>
    </row>
    <row r="180" spans="1:3" ht="39.6" x14ac:dyDescent="0.25">
      <c r="A180" s="86">
        <v>40883</v>
      </c>
      <c r="B180" s="87" t="s">
        <v>356</v>
      </c>
      <c r="C180" s="88" t="s">
        <v>56</v>
      </c>
    </row>
    <row r="181" spans="1:3" ht="39.6" x14ac:dyDescent="0.25">
      <c r="A181" s="86">
        <v>40883</v>
      </c>
      <c r="B181" s="87" t="s">
        <v>357</v>
      </c>
      <c r="C181" s="88" t="s">
        <v>56</v>
      </c>
    </row>
    <row r="182" spans="1:3" ht="66" x14ac:dyDescent="0.25">
      <c r="A182" s="86">
        <v>40883</v>
      </c>
      <c r="B182" s="87" t="s">
        <v>368</v>
      </c>
      <c r="C182" s="88" t="s">
        <v>56</v>
      </c>
    </row>
    <row r="183" spans="1:3" ht="66" x14ac:dyDescent="0.25">
      <c r="A183" s="86">
        <v>40883</v>
      </c>
      <c r="B183" s="87" t="s">
        <v>367</v>
      </c>
      <c r="C183" s="88" t="s">
        <v>56</v>
      </c>
    </row>
    <row r="184" spans="1:3" ht="66" x14ac:dyDescent="0.25">
      <c r="A184" s="86">
        <v>40883</v>
      </c>
      <c r="B184" s="87" t="s">
        <v>366</v>
      </c>
      <c r="C184" s="88" t="s">
        <v>56</v>
      </c>
    </row>
    <row r="185" spans="1:3" ht="66" x14ac:dyDescent="0.25">
      <c r="A185" s="86">
        <v>40883</v>
      </c>
      <c r="B185" s="87" t="s">
        <v>365</v>
      </c>
      <c r="C185" s="88" t="s">
        <v>56</v>
      </c>
    </row>
    <row r="186" spans="1:3" x14ac:dyDescent="0.25">
      <c r="A186" s="86">
        <v>40925</v>
      </c>
      <c r="B186" s="87" t="s">
        <v>412</v>
      </c>
      <c r="C186" s="88" t="s">
        <v>56</v>
      </c>
    </row>
    <row r="187" spans="1:3" ht="26.4" x14ac:dyDescent="0.25">
      <c r="A187" s="86">
        <v>40925</v>
      </c>
      <c r="B187" s="87" t="s">
        <v>413</v>
      </c>
      <c r="C187" s="88" t="s">
        <v>56</v>
      </c>
    </row>
    <row r="188" spans="1:3" ht="52.8" x14ac:dyDescent="0.25">
      <c r="A188" s="89">
        <v>40925</v>
      </c>
      <c r="B188" s="90" t="s">
        <v>415</v>
      </c>
      <c r="C188" s="91" t="s">
        <v>56</v>
      </c>
    </row>
    <row r="189" spans="1:3" ht="52.8" x14ac:dyDescent="0.25">
      <c r="A189" s="89">
        <v>40925</v>
      </c>
      <c r="B189" s="92" t="s">
        <v>472</v>
      </c>
      <c r="C189" s="91" t="s">
        <v>56</v>
      </c>
    </row>
    <row r="190" spans="1:3" ht="52.8" x14ac:dyDescent="0.25">
      <c r="A190" s="86">
        <v>40954</v>
      </c>
      <c r="B190" s="87" t="s">
        <v>466</v>
      </c>
      <c r="C190" s="88" t="s">
        <v>56</v>
      </c>
    </row>
    <row r="191" spans="1:3" ht="51" customHeight="1" x14ac:dyDescent="0.25">
      <c r="A191" s="20">
        <v>40987</v>
      </c>
      <c r="B191" s="26" t="s">
        <v>469</v>
      </c>
      <c r="C191" s="88" t="s">
        <v>56</v>
      </c>
    </row>
    <row r="192" spans="1:3" ht="39" customHeight="1" x14ac:dyDescent="0.25">
      <c r="A192" s="20">
        <v>40987</v>
      </c>
      <c r="B192" s="66" t="s">
        <v>467</v>
      </c>
      <c r="C192" s="88" t="s">
        <v>56</v>
      </c>
    </row>
    <row r="193" spans="1:3" ht="39.6" x14ac:dyDescent="0.25">
      <c r="A193" s="20">
        <v>40987</v>
      </c>
      <c r="B193" s="66" t="s">
        <v>468</v>
      </c>
      <c r="C193" s="88" t="s">
        <v>56</v>
      </c>
    </row>
    <row r="194" spans="1:3" ht="39.6" x14ac:dyDescent="0.25">
      <c r="A194" s="20">
        <v>40987</v>
      </c>
      <c r="B194" s="26" t="s">
        <v>470</v>
      </c>
      <c r="C194" s="88" t="s">
        <v>56</v>
      </c>
    </row>
    <row r="195" spans="1:3" ht="39.6" x14ac:dyDescent="0.25">
      <c r="A195" s="20">
        <v>41066</v>
      </c>
      <c r="B195" s="66" t="s">
        <v>477</v>
      </c>
      <c r="C195" s="67" t="s">
        <v>56</v>
      </c>
    </row>
    <row r="196" spans="1:3" ht="52.8" x14ac:dyDescent="0.25">
      <c r="A196" s="20">
        <v>41067</v>
      </c>
      <c r="B196" s="66" t="s">
        <v>476</v>
      </c>
      <c r="C196" s="67" t="s">
        <v>326</v>
      </c>
    </row>
    <row r="197" spans="1:3" ht="66" x14ac:dyDescent="0.25">
      <c r="A197" s="20">
        <v>41067</v>
      </c>
      <c r="B197" s="93" t="s">
        <v>475</v>
      </c>
      <c r="C197" s="67" t="s">
        <v>326</v>
      </c>
    </row>
    <row r="198" spans="1:3" x14ac:dyDescent="0.25">
      <c r="A198" s="20">
        <v>41316</v>
      </c>
      <c r="B198" s="93" t="s">
        <v>591</v>
      </c>
      <c r="C198" s="67" t="s">
        <v>195</v>
      </c>
    </row>
    <row r="199" spans="1:3" x14ac:dyDescent="0.25">
      <c r="A199" s="20">
        <v>41234</v>
      </c>
      <c r="B199" s="93" t="s">
        <v>479</v>
      </c>
      <c r="C199" s="67" t="s">
        <v>195</v>
      </c>
    </row>
    <row r="200" spans="1:3" ht="26.4" x14ac:dyDescent="0.25">
      <c r="A200" s="20">
        <v>41241</v>
      </c>
      <c r="B200" s="93" t="s">
        <v>550</v>
      </c>
      <c r="C200" s="67" t="s">
        <v>195</v>
      </c>
    </row>
    <row r="201" spans="1:3" ht="26.4" x14ac:dyDescent="0.25">
      <c r="A201" s="20">
        <v>41241</v>
      </c>
      <c r="B201" s="93" t="s">
        <v>572</v>
      </c>
      <c r="C201" s="67" t="s">
        <v>195</v>
      </c>
    </row>
    <row r="202" spans="1:3" ht="26.4" x14ac:dyDescent="0.25">
      <c r="A202" s="20">
        <v>41241</v>
      </c>
      <c r="B202" s="93" t="s">
        <v>551</v>
      </c>
      <c r="C202" s="67" t="s">
        <v>195</v>
      </c>
    </row>
    <row r="203" spans="1:3" ht="158.4" x14ac:dyDescent="0.25">
      <c r="A203" s="20">
        <v>40918</v>
      </c>
      <c r="B203" s="93" t="s">
        <v>589</v>
      </c>
      <c r="C203" s="67" t="s">
        <v>195</v>
      </c>
    </row>
    <row r="204" spans="1:3" ht="184.8" x14ac:dyDescent="0.25">
      <c r="A204" s="20">
        <v>41241</v>
      </c>
      <c r="B204" s="93" t="s">
        <v>573</v>
      </c>
      <c r="C204" s="67" t="s">
        <v>195</v>
      </c>
    </row>
    <row r="205" spans="1:3" ht="26.4" x14ac:dyDescent="0.25">
      <c r="A205" s="20">
        <v>41249</v>
      </c>
      <c r="B205" s="97" t="s">
        <v>526</v>
      </c>
      <c r="C205" s="67" t="s">
        <v>195</v>
      </c>
    </row>
    <row r="206" spans="1:3" ht="26.4" x14ac:dyDescent="0.25">
      <c r="A206" s="20">
        <v>41249</v>
      </c>
      <c r="B206" s="97" t="s">
        <v>527</v>
      </c>
      <c r="C206" s="67" t="s">
        <v>195</v>
      </c>
    </row>
    <row r="207" spans="1:3" ht="26.4" x14ac:dyDescent="0.25">
      <c r="A207" s="20">
        <v>41249</v>
      </c>
      <c r="B207" s="97" t="s">
        <v>528</v>
      </c>
      <c r="C207" s="67" t="s">
        <v>195</v>
      </c>
    </row>
    <row r="208" spans="1:3" ht="39.6" x14ac:dyDescent="0.25">
      <c r="A208" s="20">
        <v>41241</v>
      </c>
      <c r="B208" s="93" t="s">
        <v>552</v>
      </c>
      <c r="C208" s="67" t="s">
        <v>195</v>
      </c>
    </row>
    <row r="209" spans="1:6" ht="39.6" x14ac:dyDescent="0.25">
      <c r="A209" s="20">
        <v>41241</v>
      </c>
      <c r="B209" s="93" t="s">
        <v>501</v>
      </c>
      <c r="C209" s="67" t="s">
        <v>195</v>
      </c>
    </row>
    <row r="210" spans="1:6" ht="39.6" x14ac:dyDescent="0.25">
      <c r="A210" s="20">
        <v>41246</v>
      </c>
      <c r="B210" s="93" t="s">
        <v>517</v>
      </c>
      <c r="C210" s="67" t="s">
        <v>195</v>
      </c>
    </row>
    <row r="211" spans="1:6" ht="39.6" x14ac:dyDescent="0.25">
      <c r="A211" s="20">
        <v>41254</v>
      </c>
      <c r="B211" s="97" t="s">
        <v>555</v>
      </c>
      <c r="C211" s="67" t="s">
        <v>195</v>
      </c>
    </row>
    <row r="212" spans="1:6" ht="39.6" x14ac:dyDescent="0.25">
      <c r="A212" s="20">
        <v>41254</v>
      </c>
      <c r="B212" s="97" t="s">
        <v>548</v>
      </c>
      <c r="C212" s="67" t="s">
        <v>195</v>
      </c>
    </row>
    <row r="213" spans="1:6" ht="92.4" x14ac:dyDescent="0.25">
      <c r="A213" s="20">
        <v>41310</v>
      </c>
      <c r="B213" s="97" t="s">
        <v>564</v>
      </c>
      <c r="C213" s="67" t="s">
        <v>195</v>
      </c>
    </row>
    <row r="214" spans="1:6" ht="66" x14ac:dyDescent="0.25">
      <c r="A214" s="20">
        <v>41310</v>
      </c>
      <c r="B214" s="97" t="s">
        <v>574</v>
      </c>
      <c r="C214" s="67" t="s">
        <v>195</v>
      </c>
    </row>
    <row r="215" spans="1:6" ht="66" x14ac:dyDescent="0.25">
      <c r="A215" s="20">
        <v>41310</v>
      </c>
      <c r="B215" s="97" t="s">
        <v>565</v>
      </c>
      <c r="C215" s="67" t="s">
        <v>195</v>
      </c>
    </row>
    <row r="216" spans="1:6" ht="66" x14ac:dyDescent="0.25">
      <c r="A216" s="20">
        <v>41254</v>
      </c>
      <c r="B216" s="97" t="s">
        <v>549</v>
      </c>
      <c r="C216" s="67" t="s">
        <v>195</v>
      </c>
    </row>
    <row r="217" spans="1:6" ht="39.6" x14ac:dyDescent="0.25">
      <c r="A217" s="20">
        <v>41241</v>
      </c>
      <c r="B217" s="93" t="s">
        <v>480</v>
      </c>
      <c r="C217" s="67" t="s">
        <v>195</v>
      </c>
    </row>
    <row r="218" spans="1:6" ht="39.6" x14ac:dyDescent="0.25">
      <c r="A218" s="20">
        <v>41241</v>
      </c>
      <c r="B218" s="93" t="s">
        <v>483</v>
      </c>
      <c r="C218" s="67" t="s">
        <v>195</v>
      </c>
    </row>
    <row r="219" spans="1:6" ht="39.6" x14ac:dyDescent="0.25">
      <c r="A219" s="20">
        <v>41241</v>
      </c>
      <c r="B219" s="93" t="s">
        <v>482</v>
      </c>
      <c r="C219" s="67" t="s">
        <v>195</v>
      </c>
    </row>
    <row r="220" spans="1:6" ht="26.4" x14ac:dyDescent="0.25">
      <c r="A220" s="20">
        <v>41263</v>
      </c>
      <c r="B220" s="93" t="s">
        <v>557</v>
      </c>
      <c r="C220" s="67" t="s">
        <v>195</v>
      </c>
    </row>
    <row r="221" spans="1:6" ht="52.8" x14ac:dyDescent="0.25">
      <c r="A221" s="20">
        <v>40916</v>
      </c>
      <c r="B221" s="93" t="s">
        <v>559</v>
      </c>
      <c r="C221" s="67" t="s">
        <v>195</v>
      </c>
    </row>
    <row r="222" spans="1:6" ht="52.8" x14ac:dyDescent="0.25">
      <c r="A222" s="20">
        <v>41311</v>
      </c>
      <c r="B222" s="93" t="s">
        <v>570</v>
      </c>
      <c r="C222" s="67" t="s">
        <v>195</v>
      </c>
    </row>
    <row r="223" spans="1:6" ht="26.4" x14ac:dyDescent="0.25">
      <c r="A223" s="20">
        <v>41316</v>
      </c>
      <c r="B223" s="93" t="s">
        <v>590</v>
      </c>
      <c r="C223" s="67"/>
    </row>
    <row r="224" spans="1:6" ht="39.6" x14ac:dyDescent="0.25">
      <c r="A224" s="20">
        <v>41249</v>
      </c>
      <c r="B224" s="97" t="s">
        <v>575</v>
      </c>
      <c r="C224" s="67" t="s">
        <v>195</v>
      </c>
      <c r="F224" s="14"/>
    </row>
    <row r="225" spans="1:6" ht="39.6" x14ac:dyDescent="0.25">
      <c r="A225" s="20">
        <v>41249</v>
      </c>
      <c r="B225" s="97" t="s">
        <v>576</v>
      </c>
      <c r="C225" s="67" t="s">
        <v>195</v>
      </c>
      <c r="F225" s="14"/>
    </row>
    <row r="226" spans="1:6" ht="39.6" x14ac:dyDescent="0.25">
      <c r="A226" s="20">
        <v>41249</v>
      </c>
      <c r="B226" s="97" t="s">
        <v>577</v>
      </c>
      <c r="C226" s="67" t="s">
        <v>195</v>
      </c>
      <c r="F226" s="14"/>
    </row>
    <row r="227" spans="1:6" ht="39.6" x14ac:dyDescent="0.25">
      <c r="A227" s="20">
        <v>41249</v>
      </c>
      <c r="B227" s="97" t="s">
        <v>578</v>
      </c>
      <c r="C227" s="67" t="s">
        <v>195</v>
      </c>
      <c r="F227" s="81"/>
    </row>
    <row r="228" spans="1:6" ht="39.6" x14ac:dyDescent="0.25">
      <c r="A228" s="20">
        <v>41249</v>
      </c>
      <c r="B228" s="97" t="s">
        <v>579</v>
      </c>
      <c r="C228" s="67" t="s">
        <v>195</v>
      </c>
      <c r="F228" s="14"/>
    </row>
    <row r="229" spans="1:6" ht="39.6" x14ac:dyDescent="0.25">
      <c r="A229" s="20">
        <v>41249</v>
      </c>
      <c r="B229" s="97" t="s">
        <v>554</v>
      </c>
      <c r="C229" s="67" t="s">
        <v>195</v>
      </c>
      <c r="F229" s="14"/>
    </row>
    <row r="230" spans="1:6" ht="39.6" x14ac:dyDescent="0.25">
      <c r="A230" s="20">
        <v>41249</v>
      </c>
      <c r="B230" s="97" t="s">
        <v>580</v>
      </c>
      <c r="C230" s="67" t="s">
        <v>195</v>
      </c>
      <c r="F230" s="74"/>
    </row>
    <row r="231" spans="1:6" ht="26.4" x14ac:dyDescent="0.25">
      <c r="A231" s="20">
        <v>41246</v>
      </c>
      <c r="B231" s="93" t="s">
        <v>553</v>
      </c>
      <c r="C231" s="67" t="s">
        <v>195</v>
      </c>
    </row>
    <row r="232" spans="1:6" ht="39.6" x14ac:dyDescent="0.25">
      <c r="A232" s="20">
        <v>41254</v>
      </c>
      <c r="B232" s="97" t="s">
        <v>547</v>
      </c>
      <c r="C232" s="67" t="s">
        <v>195</v>
      </c>
    </row>
    <row r="233" spans="1:6" ht="39.6" x14ac:dyDescent="0.25">
      <c r="A233" s="20">
        <v>41296</v>
      </c>
      <c r="B233" s="97" t="s">
        <v>563</v>
      </c>
      <c r="C233" s="67" t="s">
        <v>195</v>
      </c>
    </row>
    <row r="234" spans="1:6" x14ac:dyDescent="0.25">
      <c r="A234" s="20">
        <v>41249</v>
      </c>
      <c r="B234" s="97" t="s">
        <v>529</v>
      </c>
      <c r="C234" s="67" t="s">
        <v>195</v>
      </c>
    </row>
    <row r="235" spans="1:6" x14ac:dyDescent="0.25">
      <c r="A235" s="20">
        <v>41249</v>
      </c>
      <c r="B235" s="97" t="s">
        <v>556</v>
      </c>
      <c r="C235" s="67" t="s">
        <v>195</v>
      </c>
    </row>
    <row r="236" spans="1:6" ht="26.4" x14ac:dyDescent="0.25">
      <c r="A236" s="20">
        <v>41246</v>
      </c>
      <c r="B236" s="93" t="s">
        <v>588</v>
      </c>
      <c r="C236" s="67" t="s">
        <v>195</v>
      </c>
    </row>
    <row r="237" spans="1:6" ht="26.4" x14ac:dyDescent="0.25">
      <c r="A237" s="20">
        <v>41249</v>
      </c>
      <c r="B237" s="97" t="s">
        <v>530</v>
      </c>
      <c r="C237" s="67" t="s">
        <v>195</v>
      </c>
    </row>
    <row r="238" spans="1:6" x14ac:dyDescent="0.25">
      <c r="A238" s="20">
        <v>41249</v>
      </c>
      <c r="B238" s="97" t="s">
        <v>531</v>
      </c>
      <c r="C238" s="67" t="s">
        <v>195</v>
      </c>
    </row>
    <row r="239" spans="1:6" x14ac:dyDescent="0.25">
      <c r="A239" s="20">
        <v>41249</v>
      </c>
      <c r="B239" s="97" t="s">
        <v>581</v>
      </c>
      <c r="C239" s="67" t="s">
        <v>195</v>
      </c>
    </row>
    <row r="240" spans="1:6" ht="26.4" x14ac:dyDescent="0.25">
      <c r="A240" s="20">
        <v>41249</v>
      </c>
      <c r="B240" s="97" t="s">
        <v>582</v>
      </c>
      <c r="C240" s="67" t="s">
        <v>195</v>
      </c>
    </row>
    <row r="241" spans="1:3" ht="79.2" x14ac:dyDescent="0.25">
      <c r="A241" s="20">
        <v>41241</v>
      </c>
      <c r="B241" s="93" t="s">
        <v>493</v>
      </c>
      <c r="C241" s="67" t="s">
        <v>195</v>
      </c>
    </row>
    <row r="242" spans="1:3" x14ac:dyDescent="0.25">
      <c r="A242" s="20">
        <v>41249</v>
      </c>
      <c r="B242" s="97" t="s">
        <v>532</v>
      </c>
      <c r="C242" s="67" t="s">
        <v>195</v>
      </c>
    </row>
    <row r="243" spans="1:3" x14ac:dyDescent="0.25">
      <c r="A243" s="20">
        <v>41249</v>
      </c>
      <c r="B243" s="97" t="s">
        <v>533</v>
      </c>
      <c r="C243" s="67" t="s">
        <v>195</v>
      </c>
    </row>
    <row r="244" spans="1:3" x14ac:dyDescent="0.25">
      <c r="A244" s="20">
        <v>41249</v>
      </c>
      <c r="B244" s="97" t="s">
        <v>534</v>
      </c>
      <c r="C244" s="67" t="s">
        <v>195</v>
      </c>
    </row>
    <row r="245" spans="1:3" ht="26.4" x14ac:dyDescent="0.25">
      <c r="A245" s="20">
        <v>41249</v>
      </c>
      <c r="B245" s="97" t="s">
        <v>535</v>
      </c>
      <c r="C245" s="67" t="s">
        <v>195</v>
      </c>
    </row>
    <row r="246" spans="1:3" ht="79.2" x14ac:dyDescent="0.25">
      <c r="A246" s="20">
        <v>41241</v>
      </c>
      <c r="B246" s="93" t="s">
        <v>494</v>
      </c>
      <c r="C246" s="67" t="s">
        <v>195</v>
      </c>
    </row>
    <row r="247" spans="1:3" x14ac:dyDescent="0.25">
      <c r="A247" s="20">
        <v>41249</v>
      </c>
      <c r="B247" s="97" t="s">
        <v>536</v>
      </c>
      <c r="C247" s="67" t="s">
        <v>195</v>
      </c>
    </row>
    <row r="248" spans="1:3" ht="39.6" x14ac:dyDescent="0.25">
      <c r="A248" s="20">
        <v>41296</v>
      </c>
      <c r="B248" s="97" t="s">
        <v>562</v>
      </c>
      <c r="C248" s="67" t="s">
        <v>195</v>
      </c>
    </row>
    <row r="249" spans="1:3" x14ac:dyDescent="0.25">
      <c r="A249" s="20">
        <v>41249</v>
      </c>
      <c r="B249" s="97" t="s">
        <v>537</v>
      </c>
      <c r="C249" s="67" t="s">
        <v>195</v>
      </c>
    </row>
    <row r="250" spans="1:3" x14ac:dyDescent="0.25">
      <c r="A250" s="20">
        <v>41249</v>
      </c>
      <c r="B250" s="97" t="s">
        <v>538</v>
      </c>
      <c r="C250" s="67" t="s">
        <v>195</v>
      </c>
    </row>
    <row r="251" spans="1:3" ht="26.4" x14ac:dyDescent="0.25">
      <c r="A251" s="20">
        <v>41249</v>
      </c>
      <c r="B251" s="97" t="s">
        <v>539</v>
      </c>
      <c r="C251" s="67" t="s">
        <v>195</v>
      </c>
    </row>
    <row r="252" spans="1:3" ht="92.4" x14ac:dyDescent="0.25">
      <c r="A252" s="20">
        <v>41241</v>
      </c>
      <c r="B252" s="93" t="s">
        <v>491</v>
      </c>
      <c r="C252" s="67" t="s">
        <v>195</v>
      </c>
    </row>
    <row r="253" spans="1:3" ht="39.6" x14ac:dyDescent="0.25">
      <c r="A253" s="20">
        <v>41296</v>
      </c>
      <c r="B253" s="97" t="s">
        <v>583</v>
      </c>
      <c r="C253" s="67" t="s">
        <v>195</v>
      </c>
    </row>
    <row r="254" spans="1:3" ht="39.6" x14ac:dyDescent="0.25">
      <c r="A254" s="20">
        <v>41241</v>
      </c>
      <c r="B254" s="93" t="s">
        <v>584</v>
      </c>
      <c r="C254" s="67" t="s">
        <v>195</v>
      </c>
    </row>
    <row r="255" spans="1:3" ht="26.4" x14ac:dyDescent="0.25">
      <c r="A255" s="20">
        <v>41241</v>
      </c>
      <c r="B255" s="93" t="s">
        <v>520</v>
      </c>
      <c r="C255" s="67" t="s">
        <v>195</v>
      </c>
    </row>
    <row r="256" spans="1:3" ht="26.4" x14ac:dyDescent="0.25">
      <c r="A256" s="20">
        <v>41249</v>
      </c>
      <c r="B256" s="97" t="s">
        <v>540</v>
      </c>
      <c r="C256" s="67" t="s">
        <v>195</v>
      </c>
    </row>
    <row r="257" spans="1:3" x14ac:dyDescent="0.25">
      <c r="A257" s="20">
        <v>41249</v>
      </c>
      <c r="B257" s="97" t="s">
        <v>541</v>
      </c>
      <c r="C257" s="67" t="s">
        <v>195</v>
      </c>
    </row>
    <row r="258" spans="1:3" ht="26.4" x14ac:dyDescent="0.25">
      <c r="A258" s="20">
        <v>41249</v>
      </c>
      <c r="B258" s="97" t="s">
        <v>542</v>
      </c>
      <c r="C258" s="67" t="s">
        <v>195</v>
      </c>
    </row>
    <row r="259" spans="1:3" ht="26.4" x14ac:dyDescent="0.25">
      <c r="A259" s="20">
        <v>41249</v>
      </c>
      <c r="B259" s="97" t="s">
        <v>543</v>
      </c>
      <c r="C259" s="67" t="s">
        <v>195</v>
      </c>
    </row>
    <row r="260" spans="1:3" ht="26.4" x14ac:dyDescent="0.25">
      <c r="A260" s="20">
        <v>41249</v>
      </c>
      <c r="B260" s="97" t="s">
        <v>544</v>
      </c>
      <c r="C260" s="67" t="s">
        <v>195</v>
      </c>
    </row>
    <row r="261" spans="1:3" ht="26.4" x14ac:dyDescent="0.25">
      <c r="A261" s="20">
        <v>41249</v>
      </c>
      <c r="B261" s="97" t="s">
        <v>545</v>
      </c>
      <c r="C261" s="67" t="s">
        <v>195</v>
      </c>
    </row>
    <row r="262" spans="1:3" ht="26.4" x14ac:dyDescent="0.25">
      <c r="A262" s="20">
        <v>41249</v>
      </c>
      <c r="B262" s="97" t="s">
        <v>546</v>
      </c>
      <c r="C262" s="67" t="s">
        <v>195</v>
      </c>
    </row>
    <row r="263" spans="1:3" ht="52.8" x14ac:dyDescent="0.25">
      <c r="A263" s="20">
        <v>41241</v>
      </c>
      <c r="B263" s="93" t="s">
        <v>514</v>
      </c>
      <c r="C263" s="67" t="s">
        <v>195</v>
      </c>
    </row>
    <row r="264" spans="1:3" ht="26.4" x14ac:dyDescent="0.25">
      <c r="A264" s="20">
        <v>41241</v>
      </c>
      <c r="B264" s="93" t="s">
        <v>515</v>
      </c>
      <c r="C264" s="67" t="s">
        <v>195</v>
      </c>
    </row>
    <row r="265" spans="1:3" ht="26.4" x14ac:dyDescent="0.25">
      <c r="A265" s="20">
        <v>41241</v>
      </c>
      <c r="B265" s="93" t="s">
        <v>567</v>
      </c>
      <c r="C265" s="67" t="s">
        <v>195</v>
      </c>
    </row>
    <row r="266" spans="1:3" ht="52.8" x14ac:dyDescent="0.25">
      <c r="A266" s="20">
        <v>41284</v>
      </c>
      <c r="B266" s="93" t="s">
        <v>585</v>
      </c>
      <c r="C266" s="67" t="s">
        <v>195</v>
      </c>
    </row>
    <row r="267" spans="1:3" ht="39.6" x14ac:dyDescent="0.25">
      <c r="A267" s="20">
        <v>41284</v>
      </c>
      <c r="B267" s="93" t="s">
        <v>586</v>
      </c>
      <c r="C267" s="67" t="s">
        <v>195</v>
      </c>
    </row>
    <row r="268" spans="1:3" ht="66" x14ac:dyDescent="0.25">
      <c r="A268" s="20">
        <v>41311</v>
      </c>
      <c r="B268" s="84" t="s">
        <v>587</v>
      </c>
      <c r="C268" s="67" t="s">
        <v>195</v>
      </c>
    </row>
    <row r="269" spans="1:3" ht="39.6" x14ac:dyDescent="0.25">
      <c r="A269" s="20">
        <v>41294</v>
      </c>
      <c r="B269" s="93" t="s">
        <v>561</v>
      </c>
      <c r="C269" s="67" t="s">
        <v>195</v>
      </c>
    </row>
    <row r="270" spans="1:3" ht="26.4" x14ac:dyDescent="0.25">
      <c r="A270" s="20">
        <v>41320</v>
      </c>
      <c r="B270" s="93" t="s">
        <v>592</v>
      </c>
      <c r="C270" s="67" t="s">
        <v>195</v>
      </c>
    </row>
    <row r="271" spans="1:3" ht="26.4" x14ac:dyDescent="0.25">
      <c r="A271" s="20">
        <v>41346</v>
      </c>
      <c r="B271" s="93" t="s">
        <v>593</v>
      </c>
      <c r="C271" s="67" t="s">
        <v>195</v>
      </c>
    </row>
    <row r="272" spans="1:3" ht="52.8" x14ac:dyDescent="0.25">
      <c r="A272" s="20">
        <v>41396</v>
      </c>
      <c r="B272" s="87" t="s">
        <v>594</v>
      </c>
      <c r="C272" s="98" t="s">
        <v>195</v>
      </c>
    </row>
    <row r="273" spans="1:3" ht="26.4" x14ac:dyDescent="0.25">
      <c r="A273" s="112">
        <v>41577</v>
      </c>
      <c r="B273" s="113" t="s">
        <v>621</v>
      </c>
      <c r="C273" s="67" t="s">
        <v>603</v>
      </c>
    </row>
    <row r="274" spans="1:3" ht="26.4" x14ac:dyDescent="0.25">
      <c r="A274" s="114">
        <v>41584</v>
      </c>
      <c r="B274" s="115" t="s">
        <v>669</v>
      </c>
      <c r="C274" s="116" t="s">
        <v>603</v>
      </c>
    </row>
    <row r="275" spans="1:3" ht="52.8" x14ac:dyDescent="0.25">
      <c r="A275" s="114">
        <v>41660</v>
      </c>
      <c r="B275" s="117" t="s">
        <v>670</v>
      </c>
      <c r="C275" s="88" t="s">
        <v>603</v>
      </c>
    </row>
    <row r="276" spans="1:3" ht="26.4" x14ac:dyDescent="0.25">
      <c r="A276" s="114">
        <v>41585</v>
      </c>
      <c r="B276" s="115" t="s">
        <v>671</v>
      </c>
      <c r="C276" s="116" t="s">
        <v>603</v>
      </c>
    </row>
    <row r="277" spans="1:3" ht="39.6" x14ac:dyDescent="0.25">
      <c r="A277" s="114">
        <v>41660</v>
      </c>
      <c r="B277" s="118" t="s">
        <v>672</v>
      </c>
      <c r="C277" s="116" t="s">
        <v>603</v>
      </c>
    </row>
    <row r="278" spans="1:3" ht="52.8" x14ac:dyDescent="0.25">
      <c r="A278" s="114">
        <v>41660</v>
      </c>
      <c r="B278" s="118" t="s">
        <v>673</v>
      </c>
      <c r="C278" s="116" t="s">
        <v>603</v>
      </c>
    </row>
    <row r="279" spans="1:3" ht="39.6" x14ac:dyDescent="0.25">
      <c r="A279" s="114">
        <v>41584</v>
      </c>
      <c r="B279" s="119" t="s">
        <v>674</v>
      </c>
      <c r="C279" s="116" t="s">
        <v>603</v>
      </c>
    </row>
    <row r="280" spans="1:3" ht="52.8" x14ac:dyDescent="0.25">
      <c r="A280" s="114">
        <v>41584</v>
      </c>
      <c r="B280" s="119" t="s">
        <v>675</v>
      </c>
      <c r="C280" s="116" t="s">
        <v>603</v>
      </c>
    </row>
    <row r="281" spans="1:3" ht="52.8" x14ac:dyDescent="0.25">
      <c r="A281" s="114">
        <v>41660</v>
      </c>
      <c r="B281" s="120" t="s">
        <v>676</v>
      </c>
      <c r="C281" s="116" t="s">
        <v>603</v>
      </c>
    </row>
    <row r="282" spans="1:3" ht="52.8" x14ac:dyDescent="0.25">
      <c r="A282" s="114">
        <v>41584</v>
      </c>
      <c r="B282" s="120" t="s">
        <v>677</v>
      </c>
      <c r="C282" s="116" t="s">
        <v>603</v>
      </c>
    </row>
    <row r="283" spans="1:3" ht="92.4" x14ac:dyDescent="0.25">
      <c r="A283" s="114">
        <v>41585</v>
      </c>
      <c r="B283" s="121" t="s">
        <v>678</v>
      </c>
      <c r="C283" s="116" t="s">
        <v>603</v>
      </c>
    </row>
    <row r="284" spans="1:3" ht="52.8" x14ac:dyDescent="0.25">
      <c r="A284" s="114">
        <v>41577</v>
      </c>
      <c r="B284" s="122" t="s">
        <v>681</v>
      </c>
      <c r="C284" s="116" t="s">
        <v>603</v>
      </c>
    </row>
    <row r="285" spans="1:3" ht="52.8" x14ac:dyDescent="0.25">
      <c r="A285" s="114">
        <v>41577</v>
      </c>
      <c r="B285" s="123" t="s">
        <v>679</v>
      </c>
      <c r="C285" s="116" t="s">
        <v>603</v>
      </c>
    </row>
    <row r="286" spans="1:3" ht="52.8" x14ac:dyDescent="0.25">
      <c r="A286" s="114">
        <v>41577</v>
      </c>
      <c r="B286" s="123" t="s">
        <v>680</v>
      </c>
      <c r="C286" s="116" t="s">
        <v>603</v>
      </c>
    </row>
    <row r="287" spans="1:3" ht="52.8" x14ac:dyDescent="0.25">
      <c r="A287" s="114">
        <v>41577</v>
      </c>
      <c r="B287" s="123" t="s">
        <v>682</v>
      </c>
      <c r="C287" s="116" t="s">
        <v>603</v>
      </c>
    </row>
    <row r="288" spans="1:3" ht="66" x14ac:dyDescent="0.25">
      <c r="A288" s="114">
        <v>41577</v>
      </c>
      <c r="B288" s="123" t="s">
        <v>683</v>
      </c>
      <c r="C288" s="116" t="s">
        <v>603</v>
      </c>
    </row>
    <row r="289" spans="1:3" ht="39.6" x14ac:dyDescent="0.25">
      <c r="A289" s="114">
        <v>41577</v>
      </c>
      <c r="B289" s="122" t="s">
        <v>684</v>
      </c>
      <c r="C289" s="116" t="s">
        <v>603</v>
      </c>
    </row>
    <row r="290" spans="1:3" ht="26.4" x14ac:dyDescent="0.25">
      <c r="A290" s="114">
        <v>41577</v>
      </c>
      <c r="B290" s="122" t="s">
        <v>685</v>
      </c>
      <c r="C290" s="116" t="s">
        <v>603</v>
      </c>
    </row>
    <row r="291" spans="1:3" ht="26.4" x14ac:dyDescent="0.25">
      <c r="A291" s="114">
        <v>41577</v>
      </c>
      <c r="B291" s="122" t="s">
        <v>686</v>
      </c>
      <c r="C291" s="116" t="s">
        <v>603</v>
      </c>
    </row>
    <row r="292" spans="1:3" ht="26.4" x14ac:dyDescent="0.25">
      <c r="A292" s="114">
        <v>41577</v>
      </c>
      <c r="B292" s="122" t="s">
        <v>687</v>
      </c>
      <c r="C292" s="116" t="s">
        <v>603</v>
      </c>
    </row>
    <row r="293" spans="1:3" ht="26.4" x14ac:dyDescent="0.25">
      <c r="A293" s="114">
        <v>41577</v>
      </c>
      <c r="B293" s="122" t="s">
        <v>688</v>
      </c>
      <c r="C293" s="116" t="s">
        <v>603</v>
      </c>
    </row>
    <row r="294" spans="1:3" ht="39.6" x14ac:dyDescent="0.25">
      <c r="A294" s="114">
        <v>41660</v>
      </c>
      <c r="B294" s="123" t="s">
        <v>663</v>
      </c>
      <c r="C294" s="116" t="s">
        <v>603</v>
      </c>
    </row>
    <row r="295" spans="1:3" ht="66" x14ac:dyDescent="0.25">
      <c r="A295" s="114">
        <v>41577</v>
      </c>
      <c r="B295" s="122" t="s">
        <v>666</v>
      </c>
      <c r="C295" s="116" t="s">
        <v>603</v>
      </c>
    </row>
    <row r="296" spans="1:3" ht="39.6" x14ac:dyDescent="0.25">
      <c r="A296" s="114">
        <v>41593</v>
      </c>
      <c r="B296" s="124" t="s">
        <v>667</v>
      </c>
      <c r="C296" s="116" t="s">
        <v>603</v>
      </c>
    </row>
    <row r="297" spans="1:3" ht="39.6" x14ac:dyDescent="0.25">
      <c r="A297" s="114">
        <v>41593</v>
      </c>
      <c r="B297" s="124" t="s">
        <v>668</v>
      </c>
      <c r="C297" s="116" t="s">
        <v>603</v>
      </c>
    </row>
    <row r="298" spans="1:3" ht="39.6" x14ac:dyDescent="0.25">
      <c r="A298" s="114">
        <v>41593</v>
      </c>
      <c r="B298" s="125" t="s">
        <v>664</v>
      </c>
      <c r="C298" s="116" t="s">
        <v>603</v>
      </c>
    </row>
    <row r="299" spans="1:3" ht="52.8" x14ac:dyDescent="0.25">
      <c r="A299" s="114">
        <v>41593</v>
      </c>
      <c r="B299" s="125" t="s">
        <v>665</v>
      </c>
      <c r="C299" s="116" t="s">
        <v>603</v>
      </c>
    </row>
    <row r="300" spans="1:3" ht="26.4" x14ac:dyDescent="0.25">
      <c r="A300" s="114">
        <v>41593</v>
      </c>
      <c r="B300" s="126" t="s">
        <v>662</v>
      </c>
      <c r="C300" s="116" t="s">
        <v>603</v>
      </c>
    </row>
    <row r="301" spans="1:3" ht="132" x14ac:dyDescent="0.25">
      <c r="A301" s="114">
        <v>41577</v>
      </c>
      <c r="B301" s="122" t="s">
        <v>661</v>
      </c>
      <c r="C301" s="116" t="s">
        <v>603</v>
      </c>
    </row>
    <row r="302" spans="1:3" ht="66" x14ac:dyDescent="0.25">
      <c r="A302" s="114">
        <v>41584</v>
      </c>
      <c r="B302" s="120" t="s">
        <v>660</v>
      </c>
      <c r="C302" s="116" t="s">
        <v>603</v>
      </c>
    </row>
    <row r="303" spans="1:3" ht="26.4" x14ac:dyDescent="0.25">
      <c r="A303" s="114">
        <v>41683</v>
      </c>
      <c r="B303" s="122" t="s">
        <v>659</v>
      </c>
      <c r="C303" s="88" t="s">
        <v>195</v>
      </c>
    </row>
    <row r="304" spans="1:3" ht="79.2" x14ac:dyDescent="0.25">
      <c r="A304" s="114">
        <v>41669</v>
      </c>
      <c r="B304" s="122" t="s">
        <v>658</v>
      </c>
      <c r="C304" s="88" t="s">
        <v>603</v>
      </c>
    </row>
    <row r="305" spans="1:3" ht="39.6" x14ac:dyDescent="0.25">
      <c r="A305" s="114">
        <v>41577</v>
      </c>
      <c r="B305" s="122" t="s">
        <v>657</v>
      </c>
      <c r="C305" s="116" t="s">
        <v>603</v>
      </c>
    </row>
    <row r="306" spans="1:3" ht="26.4" x14ac:dyDescent="0.25">
      <c r="A306" s="114">
        <v>41577</v>
      </c>
      <c r="B306" s="122" t="s">
        <v>656</v>
      </c>
      <c r="C306" s="116" t="s">
        <v>603</v>
      </c>
    </row>
    <row r="307" spans="1:3" ht="26.4" x14ac:dyDescent="0.25">
      <c r="A307" s="114">
        <v>41577</v>
      </c>
      <c r="B307" s="122" t="s">
        <v>655</v>
      </c>
      <c r="C307" s="116" t="s">
        <v>603</v>
      </c>
    </row>
    <row r="308" spans="1:3" ht="26.4" x14ac:dyDescent="0.25">
      <c r="A308" s="114">
        <v>41577</v>
      </c>
      <c r="B308" s="122" t="s">
        <v>654</v>
      </c>
      <c r="C308" s="116" t="s">
        <v>603</v>
      </c>
    </row>
    <row r="309" spans="1:3" ht="39.6" x14ac:dyDescent="0.25">
      <c r="A309" s="114">
        <v>41577</v>
      </c>
      <c r="B309" s="122" t="s">
        <v>653</v>
      </c>
      <c r="C309" s="16" t="s">
        <v>603</v>
      </c>
    </row>
    <row r="310" spans="1:3" ht="66" x14ac:dyDescent="0.25">
      <c r="A310" s="114">
        <v>41577</v>
      </c>
      <c r="B310" s="122" t="s">
        <v>652</v>
      </c>
      <c r="C310" s="16" t="s">
        <v>603</v>
      </c>
    </row>
    <row r="311" spans="1:3" ht="79.2" x14ac:dyDescent="0.25">
      <c r="A311" s="114">
        <v>41669</v>
      </c>
      <c r="B311" s="122" t="s">
        <v>651</v>
      </c>
      <c r="C311" s="67" t="s">
        <v>603</v>
      </c>
    </row>
    <row r="312" spans="1:3" ht="79.2" x14ac:dyDescent="0.25">
      <c r="A312" s="114">
        <v>41584</v>
      </c>
      <c r="B312" s="127" t="s">
        <v>650</v>
      </c>
      <c r="C312" s="16" t="s">
        <v>603</v>
      </c>
    </row>
    <row r="313" spans="1:3" ht="52.8" x14ac:dyDescent="0.25">
      <c r="A313" s="114">
        <v>41660</v>
      </c>
      <c r="B313" s="127" t="s">
        <v>649</v>
      </c>
      <c r="C313" s="67" t="s">
        <v>603</v>
      </c>
    </row>
    <row r="314" spans="1:3" ht="52.8" x14ac:dyDescent="0.25">
      <c r="A314" s="114">
        <v>41585</v>
      </c>
      <c r="B314" s="121" t="s">
        <v>647</v>
      </c>
      <c r="C314" s="16" t="s">
        <v>603</v>
      </c>
    </row>
    <row r="315" spans="1:3" ht="52.8" x14ac:dyDescent="0.25">
      <c r="A315" s="114">
        <v>41584</v>
      </c>
      <c r="B315" s="120" t="s">
        <v>648</v>
      </c>
      <c r="C315" s="16" t="s">
        <v>603</v>
      </c>
    </row>
    <row r="316" spans="1:3" ht="79.2" x14ac:dyDescent="0.25">
      <c r="A316" s="114">
        <v>41585</v>
      </c>
      <c r="B316" s="128" t="s">
        <v>646</v>
      </c>
      <c r="C316" s="16" t="s">
        <v>603</v>
      </c>
    </row>
    <row r="317" spans="1:3" ht="26.4" x14ac:dyDescent="0.25">
      <c r="A317" s="20">
        <v>41669</v>
      </c>
      <c r="B317" s="66" t="s">
        <v>641</v>
      </c>
      <c r="C317" s="67" t="s">
        <v>603</v>
      </c>
    </row>
    <row r="318" spans="1:3" ht="26.4" x14ac:dyDescent="0.25">
      <c r="A318" s="20">
        <v>41684</v>
      </c>
      <c r="B318" s="66" t="s">
        <v>642</v>
      </c>
      <c r="C318" s="67" t="s">
        <v>195</v>
      </c>
    </row>
    <row r="319" spans="1:3" ht="26.4" x14ac:dyDescent="0.25">
      <c r="A319" s="20">
        <v>41684</v>
      </c>
      <c r="B319" s="66" t="s">
        <v>643</v>
      </c>
      <c r="C319" s="67" t="s">
        <v>195</v>
      </c>
    </row>
    <row r="320" spans="1:3" ht="39.6" x14ac:dyDescent="0.25">
      <c r="A320" s="20">
        <v>41684</v>
      </c>
      <c r="B320" s="66" t="s">
        <v>644</v>
      </c>
      <c r="C320" s="67" t="s">
        <v>195</v>
      </c>
    </row>
    <row r="321" spans="1:4" ht="92.4" x14ac:dyDescent="0.25">
      <c r="A321" s="20">
        <v>41684</v>
      </c>
      <c r="B321" s="66" t="s">
        <v>645</v>
      </c>
      <c r="C321" s="67" t="s">
        <v>195</v>
      </c>
    </row>
    <row r="322" spans="1:4" ht="26.4" x14ac:dyDescent="0.25">
      <c r="A322" s="20">
        <v>41688</v>
      </c>
      <c r="B322" s="66" t="s">
        <v>640</v>
      </c>
      <c r="C322" s="67" t="s">
        <v>195</v>
      </c>
      <c r="D322" s="18"/>
    </row>
    <row r="323" spans="1:4" ht="39.6" x14ac:dyDescent="0.25">
      <c r="A323" s="20">
        <v>41704</v>
      </c>
      <c r="B323" s="66" t="s">
        <v>639</v>
      </c>
      <c r="C323" s="67" t="s">
        <v>195</v>
      </c>
      <c r="D323" s="18"/>
    </row>
    <row r="324" spans="1:4" ht="26.4" x14ac:dyDescent="0.25">
      <c r="A324" s="20">
        <v>41709</v>
      </c>
      <c r="B324" s="66" t="s">
        <v>638</v>
      </c>
      <c r="C324" s="67" t="s">
        <v>56</v>
      </c>
    </row>
    <row r="325" spans="1:4" ht="158.4" x14ac:dyDescent="0.25">
      <c r="A325" s="20">
        <v>41716</v>
      </c>
      <c r="B325" s="66" t="s">
        <v>636</v>
      </c>
      <c r="C325" s="67" t="s">
        <v>195</v>
      </c>
    </row>
    <row r="326" spans="1:4" ht="39.6" x14ac:dyDescent="0.25">
      <c r="A326" s="89">
        <v>41716</v>
      </c>
      <c r="B326" s="84" t="s">
        <v>637</v>
      </c>
      <c r="C326" s="85" t="s">
        <v>603</v>
      </c>
    </row>
    <row r="327" spans="1:4" x14ac:dyDescent="0.25">
      <c r="A327" s="129">
        <v>41732</v>
      </c>
      <c r="B327" s="130" t="s">
        <v>737</v>
      </c>
      <c r="C327" s="130" t="s">
        <v>634</v>
      </c>
    </row>
    <row r="328" spans="1:4" ht="52.8" x14ac:dyDescent="0.25">
      <c r="A328" s="20">
        <v>41752</v>
      </c>
      <c r="B328" s="66" t="s">
        <v>736</v>
      </c>
      <c r="C328" s="67" t="s">
        <v>56</v>
      </c>
    </row>
    <row r="329" spans="1:4" ht="132" x14ac:dyDescent="0.25">
      <c r="A329" s="20">
        <v>41767</v>
      </c>
      <c r="B329" s="66" t="s">
        <v>689</v>
      </c>
      <c r="C329" s="67" t="s">
        <v>56</v>
      </c>
    </row>
    <row r="330" spans="1:4" ht="26.4" x14ac:dyDescent="0.25">
      <c r="A330" s="21">
        <v>42002</v>
      </c>
      <c r="B330" s="146" t="s">
        <v>728</v>
      </c>
      <c r="C330" s="145" t="s">
        <v>603</v>
      </c>
    </row>
    <row r="331" spans="1:4" ht="52.8" x14ac:dyDescent="0.25">
      <c r="A331" s="21">
        <v>42037</v>
      </c>
      <c r="B331" s="147" t="s">
        <v>741</v>
      </c>
      <c r="C331" s="145" t="s">
        <v>603</v>
      </c>
    </row>
    <row r="332" spans="1:4" ht="39.6" x14ac:dyDescent="0.25">
      <c r="A332" s="21">
        <v>42002</v>
      </c>
      <c r="B332" s="147" t="s">
        <v>727</v>
      </c>
      <c r="C332" s="145" t="s">
        <v>603</v>
      </c>
    </row>
    <row r="333" spans="1:4" ht="66" x14ac:dyDescent="0.25">
      <c r="A333" s="21">
        <v>42037</v>
      </c>
      <c r="B333" s="147" t="s">
        <v>742</v>
      </c>
      <c r="C333" s="145" t="s">
        <v>603</v>
      </c>
    </row>
    <row r="334" spans="1:4" ht="237.6" x14ac:dyDescent="0.25">
      <c r="A334" s="21">
        <v>42037</v>
      </c>
      <c r="B334" s="147" t="s">
        <v>743</v>
      </c>
      <c r="C334" s="145" t="s">
        <v>603</v>
      </c>
    </row>
    <row r="335" spans="1:4" ht="52.8" x14ac:dyDescent="0.25">
      <c r="A335" s="21">
        <v>42037</v>
      </c>
      <c r="B335" s="144" t="s">
        <v>744</v>
      </c>
      <c r="C335" s="145" t="s">
        <v>603</v>
      </c>
    </row>
    <row r="336" spans="1:4" ht="52.8" x14ac:dyDescent="0.25">
      <c r="A336" s="21">
        <v>42037</v>
      </c>
      <c r="B336" s="144" t="s">
        <v>745</v>
      </c>
      <c r="C336" s="145" t="s">
        <v>603</v>
      </c>
    </row>
    <row r="337" spans="1:3" ht="39.6" x14ac:dyDescent="0.25">
      <c r="A337" s="21">
        <v>42037</v>
      </c>
      <c r="B337" s="144" t="s">
        <v>746</v>
      </c>
      <c r="C337" s="145" t="s">
        <v>603</v>
      </c>
    </row>
    <row r="338" spans="1:3" ht="39.6" x14ac:dyDescent="0.25">
      <c r="A338" s="21">
        <v>42037</v>
      </c>
      <c r="B338" s="144" t="s">
        <v>747</v>
      </c>
      <c r="C338" s="145" t="s">
        <v>603</v>
      </c>
    </row>
    <row r="339" spans="1:3" ht="39.6" x14ac:dyDescent="0.25">
      <c r="A339" s="21">
        <v>42037</v>
      </c>
      <c r="B339" s="144" t="s">
        <v>748</v>
      </c>
      <c r="C339" s="145" t="s">
        <v>603</v>
      </c>
    </row>
    <row r="340" spans="1:3" ht="39.6" x14ac:dyDescent="0.25">
      <c r="A340" s="21">
        <v>42037</v>
      </c>
      <c r="B340" s="144" t="s">
        <v>749</v>
      </c>
      <c r="C340" s="145" t="s">
        <v>603</v>
      </c>
    </row>
    <row r="341" spans="1:3" ht="39.6" x14ac:dyDescent="0.25">
      <c r="A341" s="21">
        <v>42037</v>
      </c>
      <c r="B341" s="144" t="s">
        <v>750</v>
      </c>
      <c r="C341" s="145" t="s">
        <v>603</v>
      </c>
    </row>
    <row r="342" spans="1:3" ht="39.6" x14ac:dyDescent="0.25">
      <c r="A342" s="21">
        <v>42037</v>
      </c>
      <c r="B342" s="144" t="s">
        <v>751</v>
      </c>
      <c r="C342" s="145" t="s">
        <v>603</v>
      </c>
    </row>
    <row r="343" spans="1:3" ht="39.6" x14ac:dyDescent="0.25">
      <c r="A343" s="21">
        <v>42037</v>
      </c>
      <c r="B343" s="146" t="s">
        <v>752</v>
      </c>
      <c r="C343" s="145" t="s">
        <v>603</v>
      </c>
    </row>
    <row r="344" spans="1:3" ht="39.6" x14ac:dyDescent="0.25">
      <c r="A344" s="21">
        <v>42002</v>
      </c>
      <c r="B344" s="144" t="s">
        <v>729</v>
      </c>
      <c r="C344" s="145" t="s">
        <v>603</v>
      </c>
    </row>
    <row r="345" spans="1:3" ht="39.6" x14ac:dyDescent="0.25">
      <c r="A345" s="21">
        <v>42017</v>
      </c>
      <c r="B345" s="144" t="s">
        <v>731</v>
      </c>
      <c r="C345" s="145" t="s">
        <v>603</v>
      </c>
    </row>
    <row r="346" spans="1:3" ht="52.8" x14ac:dyDescent="0.25">
      <c r="A346" s="21">
        <v>42037</v>
      </c>
      <c r="B346" s="144" t="s">
        <v>754</v>
      </c>
      <c r="C346" s="145" t="s">
        <v>603</v>
      </c>
    </row>
    <row r="347" spans="1:3" ht="39.6" x14ac:dyDescent="0.25">
      <c r="A347" s="21">
        <v>42002</v>
      </c>
      <c r="B347" s="146" t="s">
        <v>753</v>
      </c>
      <c r="C347" s="145" t="s">
        <v>603</v>
      </c>
    </row>
    <row r="348" spans="1:3" ht="39.6" x14ac:dyDescent="0.25">
      <c r="A348" s="21">
        <v>42037</v>
      </c>
      <c r="B348" s="146" t="s">
        <v>755</v>
      </c>
      <c r="C348" s="145" t="s">
        <v>603</v>
      </c>
    </row>
    <row r="349" spans="1:3" s="150" customFormat="1" ht="39.6" x14ac:dyDescent="0.25">
      <c r="A349" s="151">
        <v>42061</v>
      </c>
      <c r="B349" s="152" t="s">
        <v>759</v>
      </c>
      <c r="C349" s="145" t="s">
        <v>603</v>
      </c>
    </row>
    <row r="350" spans="1:3" ht="39.6" x14ac:dyDescent="0.25">
      <c r="A350" s="151">
        <v>42061</v>
      </c>
      <c r="B350" s="153" t="s">
        <v>760</v>
      </c>
      <c r="C350" s="145" t="s">
        <v>603</v>
      </c>
    </row>
  </sheetData>
  <mergeCells count="1">
    <mergeCell ref="A1:C1"/>
  </mergeCells>
  <phoneticPr fontId="14" type="noConversion"/>
  <pageMargins left="0.5" right="0.5" top="1" bottom="1" header="0.5" footer="0.5"/>
  <pageSetup orientation="portrait" r:id="rId1"/>
  <headerFooter alignWithMargins="0">
    <oddFooter>&amp;RLast Saved Date: 1/15/2015 12:30:03 PM</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7"/>
  <sheetViews>
    <sheetView workbookViewId="0">
      <selection activeCell="B8" sqref="B8"/>
    </sheetView>
  </sheetViews>
  <sheetFormatPr defaultRowHeight="13.2" x14ac:dyDescent="0.25"/>
  <cols>
    <col min="1" max="1" width="19.109375" style="99" customWidth="1"/>
    <col min="2" max="2" width="34.6640625" style="99" customWidth="1"/>
    <col min="3" max="3" width="35.109375" style="99" customWidth="1"/>
  </cols>
  <sheetData>
    <row r="1" spans="1:3" ht="13.8" thickBot="1" x14ac:dyDescent="0.3">
      <c r="A1" s="109" t="s">
        <v>604</v>
      </c>
      <c r="B1" s="110" t="s">
        <v>605</v>
      </c>
      <c r="C1" s="111" t="s">
        <v>606</v>
      </c>
    </row>
    <row r="2" spans="1:3" ht="29.25" customHeight="1" x14ac:dyDescent="0.25">
      <c r="A2" s="100" t="s">
        <v>607</v>
      </c>
      <c r="B2" s="101" t="s">
        <v>608</v>
      </c>
      <c r="C2" s="102" t="s">
        <v>609</v>
      </c>
    </row>
    <row r="3" spans="1:3" ht="29.25" customHeight="1" x14ac:dyDescent="0.25">
      <c r="A3" s="103" t="s">
        <v>610</v>
      </c>
      <c r="B3" s="104" t="s">
        <v>608</v>
      </c>
      <c r="C3" s="105" t="s">
        <v>609</v>
      </c>
    </row>
    <row r="4" spans="1:3" ht="41.25" customHeight="1" x14ac:dyDescent="0.25">
      <c r="A4" s="103" t="s">
        <v>611</v>
      </c>
      <c r="B4" s="104" t="s">
        <v>608</v>
      </c>
      <c r="C4" s="105" t="s">
        <v>612</v>
      </c>
    </row>
    <row r="5" spans="1:3" ht="39.6" x14ac:dyDescent="0.25">
      <c r="A5" s="103" t="s">
        <v>615</v>
      </c>
      <c r="B5" s="104" t="s">
        <v>613</v>
      </c>
      <c r="C5" s="105" t="s">
        <v>614</v>
      </c>
    </row>
    <row r="6" spans="1:3" ht="17.25" customHeight="1" x14ac:dyDescent="0.25">
      <c r="A6" s="103" t="s">
        <v>616</v>
      </c>
      <c r="B6" s="104" t="s">
        <v>619</v>
      </c>
      <c r="C6" s="105" t="s">
        <v>620</v>
      </c>
    </row>
    <row r="7" spans="1:3" ht="27" thickBot="1" x14ac:dyDescent="0.3">
      <c r="A7" s="106" t="s">
        <v>617</v>
      </c>
      <c r="B7" s="107" t="s">
        <v>618</v>
      </c>
      <c r="C7" s="108"/>
    </row>
  </sheetData>
  <hyperlinks>
    <hyperlink ref="C2" r:id="rId1"/>
    <hyperlink ref="C3" r:id="rId2"/>
    <hyperlink ref="C4" r:id="rId3"/>
    <hyperlink ref="C5" r:id="rId4"/>
    <hyperlink ref="C6" r:id="rId5"/>
  </hyperlinks>
  <pageMargins left="0.7" right="0.7" top="0.75" bottom="0.75" header="0.3" footer="0.3"/>
  <pageSetup orientation="portrait" r:id="rId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iLDESTD</vt:lpstr>
      <vt:lpstr>Revision Log</vt:lpstr>
      <vt:lpstr>Reference Locations</vt:lpstr>
      <vt:lpstr>iLDESTD!Print_Titles</vt:lpstr>
    </vt:vector>
  </TitlesOfParts>
  <Company>DOE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fchou</dc:creator>
  <cp:lastModifiedBy>Laura Boudreaux</cp:lastModifiedBy>
  <cp:lastPrinted>2014-12-17T22:44:52Z</cp:lastPrinted>
  <dcterms:created xsi:type="dcterms:W3CDTF">1999-04-08T16:47:24Z</dcterms:created>
  <dcterms:modified xsi:type="dcterms:W3CDTF">2015-05-21T20:16:26Z</dcterms:modified>
</cp:coreProperties>
</file>