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bookViews>
    <workbookView xWindow="0" yWindow="420" windowWidth="15480" windowHeight="10995" tabRatio="604"/>
  </bookViews>
  <sheets>
    <sheet name="LDESTD" sheetId="1" r:id="rId1"/>
    <sheet name="Revision Log" sheetId="2" r:id="rId2"/>
    <sheet name="Reference Locations" sheetId="3" r:id="rId3"/>
  </sheets>
  <definedNames>
    <definedName name="_xlnm._FilterDatabase" localSheetId="0" hidden="1">LDESTD!$A$2:$L$410</definedName>
    <definedName name="_xlnm.Print_Area" localSheetId="0">LDESTD!$A$1:$L$412</definedName>
    <definedName name="_xlnm.Print_Area" localSheetId="1">'Revision Log'!$A$1:$C$485</definedName>
    <definedName name="_xlnm.Print_Titles" localSheetId="0">LDESTD!$1:$2</definedName>
    <definedName name="_xlnm.Print_Titles" localSheetId="1">'Revision Log'!$1:$3</definedName>
    <definedName name="Z_7E4D7CCA_1395_44FA_80A0_38FFA0DD8C49_.wvu.PrintTitles" localSheetId="0" hidden="1">LDESTD!$1:$2</definedName>
    <definedName name="Z_A5DDCBF3_D6F4_4EB4_918C_ECABFE1A43AD_.wvu.PrintTitles" localSheetId="0" hidden="1">LDESTD!$1:$2</definedName>
    <definedName name="Z_B792D786_3755_11D6_AB7B_0050DA2DACD5_.wvu.PrintTitles" localSheetId="0" hidden="1">LDESTD!$1:$2</definedName>
    <definedName name="Z_E34B366C_36F7_11D6_A24B_0050DA0A5BC6_.wvu.PrintTitles" localSheetId="0" hidden="1">LDESTD!$1:$2</definedName>
  </definedNames>
  <calcPr calcId="145621"/>
  <customWorkbookViews>
    <customWorkbookView name="MWille - Personal View" guid="{A5DDCBF3-D6F4-4EB4-918C-ECABFE1A43AD}" mergeInterval="0" personalView="1" maximized="1" windowWidth="987" windowHeight="580" activeSheetId="1"/>
    <customWorkbookView name="DRC - Personal View" guid="{E34B366C-36F7-11D6-A24B-0050DA0A5BC6}" mergeInterval="0" personalView="1" maximized="1" windowWidth="763" windowHeight="438" activeSheetId="1"/>
    <customWorkbookView name="Cathy Stampfle - Personal View" guid="{B792D786-3755-11D6-AB7B-0050DA2DACD5}" mergeInterval="0" personalView="1" maximized="1" windowWidth="732" windowHeight="459" activeSheetId="1" showStatusbar="0"/>
    <customWorkbookView name="CStampfle - Personal View" guid="{7E4D7CCA-1395-44FA-80A0-38FFA0DD8C49}" mergeInterval="0" personalView="1" maximized="1" windowWidth="945" windowHeight="597" activeSheetId="1"/>
  </customWorkbookViews>
</workbook>
</file>

<file path=xl/calcChain.xml><?xml version="1.0" encoding="utf-8"?>
<calcChain xmlns="http://schemas.openxmlformats.org/spreadsheetml/2006/main">
  <c r="G45" i="1" l="1"/>
  <c r="H45" i="1"/>
  <c r="G54" i="1"/>
  <c r="H54" i="1"/>
  <c r="G63" i="1"/>
  <c r="H63" i="1"/>
  <c r="G77" i="1"/>
  <c r="H77" i="1"/>
  <c r="G86" i="1"/>
  <c r="H86" i="1"/>
  <c r="G103" i="1"/>
  <c r="H103" i="1"/>
  <c r="G108" i="1"/>
  <c r="H108" i="1"/>
  <c r="G112" i="1"/>
  <c r="H112" i="1"/>
  <c r="G119" i="1"/>
  <c r="H119" i="1"/>
  <c r="G126" i="1"/>
  <c r="H126" i="1"/>
  <c r="G130" i="1"/>
  <c r="H130" i="1"/>
  <c r="G134" i="1"/>
  <c r="H134" i="1"/>
  <c r="G140" i="1"/>
  <c r="H140" i="1"/>
  <c r="G144" i="1"/>
  <c r="H144" i="1"/>
  <c r="G151" i="1"/>
  <c r="H151" i="1"/>
  <c r="G152" i="1"/>
  <c r="H152" i="1"/>
  <c r="G156" i="1"/>
  <c r="H156" i="1"/>
  <c r="G161" i="1"/>
  <c r="H161" i="1"/>
  <c r="G165" i="1"/>
  <c r="H165" i="1"/>
  <c r="G169" i="1"/>
  <c r="H169" i="1"/>
  <c r="G174" i="1"/>
  <c r="H174" i="1"/>
  <c r="G178" i="1"/>
  <c r="H178" i="1"/>
  <c r="G182" i="1"/>
  <c r="H182" i="1"/>
  <c r="G190" i="1"/>
  <c r="H190" i="1"/>
  <c r="G200" i="1"/>
  <c r="H200" i="1"/>
  <c r="G205" i="1"/>
  <c r="H205" i="1"/>
  <c r="G211" i="1"/>
  <c r="H211" i="1"/>
  <c r="G217" i="1"/>
  <c r="H217" i="1"/>
  <c r="G223" i="1"/>
  <c r="H223" i="1"/>
  <c r="G231" i="1"/>
  <c r="H231" i="1"/>
  <c r="G240" i="1"/>
  <c r="H240" i="1"/>
  <c r="G242" i="1"/>
  <c r="H242" i="1"/>
  <c r="G246" i="1"/>
  <c r="H246" i="1"/>
  <c r="G251" i="1"/>
  <c r="H251" i="1"/>
  <c r="G255" i="1"/>
  <c r="H255" i="1"/>
  <c r="H274" i="1"/>
  <c r="G275" i="1"/>
  <c r="H275" i="1"/>
  <c r="G279" i="1"/>
  <c r="H279" i="1"/>
  <c r="G286" i="1"/>
  <c r="H286" i="1"/>
  <c r="G290" i="1"/>
  <c r="H290" i="1"/>
  <c r="G307" i="1"/>
  <c r="H307" i="1"/>
  <c r="G314" i="1"/>
  <c r="H314" i="1"/>
  <c r="G320" i="1"/>
  <c r="H320" i="1"/>
  <c r="G326" i="1"/>
  <c r="H326" i="1"/>
  <c r="G335" i="1"/>
  <c r="H335" i="1"/>
  <c r="G340" i="1"/>
  <c r="H340" i="1"/>
  <c r="G341" i="1"/>
  <c r="H341" i="1"/>
  <c r="G342" i="1"/>
  <c r="H342" i="1"/>
  <c r="G354" i="1"/>
  <c r="H354" i="1"/>
  <c r="G361" i="1"/>
  <c r="H361" i="1"/>
  <c r="G373" i="1"/>
  <c r="H373" i="1"/>
  <c r="G374" i="1"/>
  <c r="H374" i="1"/>
  <c r="G386" i="1"/>
  <c r="H386" i="1"/>
  <c r="G393" i="1"/>
  <c r="H393" i="1"/>
  <c r="G405" i="1"/>
  <c r="H405" i="1"/>
  <c r="G4" i="1"/>
  <c r="E5" i="1" l="1"/>
  <c r="F4" i="1"/>
  <c r="H4" i="1" s="1"/>
  <c r="F5" i="1" l="1"/>
  <c r="H5" i="1" s="1"/>
  <c r="G5" i="1"/>
  <c r="E6" i="1"/>
  <c r="F6" i="1" l="1"/>
  <c r="H6" i="1" s="1"/>
  <c r="G6" i="1"/>
  <c r="E7" i="1"/>
  <c r="F7" i="1" l="1"/>
  <c r="H7" i="1" s="1"/>
  <c r="G7" i="1"/>
  <c r="E8" i="1"/>
  <c r="E9" i="1" l="1"/>
  <c r="G9" i="1" s="1"/>
  <c r="G8" i="1"/>
  <c r="F8" i="1"/>
  <c r="H8" i="1" s="1"/>
  <c r="F9" i="1"/>
  <c r="H9" i="1" s="1"/>
  <c r="E10" i="1" l="1"/>
  <c r="G10" i="1" s="1"/>
  <c r="F10" i="1"/>
  <c r="H10" i="1" s="1"/>
  <c r="E11" i="1" l="1"/>
  <c r="G11" i="1" s="1"/>
  <c r="F11" i="1"/>
  <c r="H11" i="1" s="1"/>
  <c r="E12" i="1"/>
  <c r="G12" i="1" s="1"/>
  <c r="E13" i="1" l="1"/>
  <c r="G13" i="1" s="1"/>
  <c r="F12" i="1"/>
  <c r="H12" i="1" s="1"/>
  <c r="F13" i="1" l="1"/>
  <c r="H13" i="1" s="1"/>
  <c r="E14" i="1"/>
  <c r="G14" i="1" s="1"/>
  <c r="F14" i="1" l="1"/>
  <c r="H14" i="1" s="1"/>
  <c r="E15" i="1"/>
  <c r="G15" i="1" s="1"/>
  <c r="F15" i="1" l="1"/>
  <c r="H15" i="1" s="1"/>
  <c r="E16" i="1"/>
  <c r="G16" i="1" s="1"/>
  <c r="F16" i="1" l="1"/>
  <c r="H16" i="1" s="1"/>
  <c r="E17" i="1"/>
  <c r="E18" i="1" l="1"/>
  <c r="G18" i="1" s="1"/>
  <c r="G17" i="1"/>
  <c r="F17" i="1"/>
  <c r="H17" i="1" s="1"/>
  <c r="E19" i="1" l="1"/>
  <c r="G19" i="1" s="1"/>
  <c r="F18" i="1"/>
  <c r="H18" i="1" s="1"/>
  <c r="F19" i="1" l="1"/>
  <c r="H19" i="1" s="1"/>
  <c r="E20" i="1"/>
  <c r="G20" i="1" s="1"/>
  <c r="F20" i="1" l="1"/>
  <c r="H20" i="1" s="1"/>
  <c r="E21" i="1"/>
  <c r="G21" i="1" s="1"/>
  <c r="E22" i="1" l="1"/>
  <c r="G22" i="1" s="1"/>
  <c r="F21" i="1"/>
  <c r="H21" i="1" s="1"/>
  <c r="F22" i="1" l="1"/>
  <c r="H22" i="1" s="1"/>
  <c r="E23" i="1"/>
  <c r="G23" i="1" s="1"/>
  <c r="F23" i="1" l="1"/>
  <c r="H23" i="1" s="1"/>
  <c r="E24" i="1"/>
  <c r="G24" i="1" s="1"/>
  <c r="F24" i="1" l="1"/>
  <c r="H24" i="1" s="1"/>
  <c r="E25" i="1"/>
  <c r="G25" i="1" s="1"/>
  <c r="E26" i="1" l="1"/>
  <c r="G26" i="1" s="1"/>
  <c r="F25" i="1"/>
  <c r="H25" i="1" s="1"/>
  <c r="E27" i="1" l="1"/>
  <c r="F26" i="1"/>
  <c r="H26" i="1" s="1"/>
  <c r="E28" i="1" l="1"/>
  <c r="G28" i="1" s="1"/>
  <c r="G27" i="1"/>
  <c r="F27" i="1"/>
  <c r="H27" i="1" s="1"/>
  <c r="E29" i="1" l="1"/>
  <c r="G29" i="1" s="1"/>
  <c r="F28" i="1"/>
  <c r="H28" i="1" s="1"/>
  <c r="E30" i="1" l="1"/>
  <c r="G30" i="1" s="1"/>
  <c r="F29" i="1"/>
  <c r="H29" i="1" s="1"/>
  <c r="F30" i="1" l="1"/>
  <c r="H30" i="1" s="1"/>
  <c r="E31" i="1"/>
  <c r="G31" i="1" s="1"/>
  <c r="F31" i="1" l="1"/>
  <c r="H31" i="1" s="1"/>
  <c r="E32" i="1"/>
  <c r="G32" i="1" s="1"/>
  <c r="F32" i="1" l="1"/>
  <c r="H32" i="1" s="1"/>
  <c r="E33" i="1"/>
  <c r="G33" i="1" s="1"/>
  <c r="F33" i="1" l="1"/>
  <c r="H33" i="1" s="1"/>
  <c r="E34" i="1"/>
  <c r="G34" i="1" s="1"/>
  <c r="E35" i="1" l="1"/>
  <c r="F34" i="1"/>
  <c r="H34" i="1" s="1"/>
  <c r="E36" i="1" l="1"/>
  <c r="G36" i="1" s="1"/>
  <c r="G35" i="1"/>
  <c r="F35" i="1"/>
  <c r="H35" i="1" s="1"/>
  <c r="E37" i="1" l="1"/>
  <c r="G37" i="1" s="1"/>
  <c r="F36" i="1"/>
  <c r="H36" i="1" s="1"/>
  <c r="F37" i="1" l="1"/>
  <c r="H37" i="1" s="1"/>
  <c r="E38" i="1"/>
  <c r="G38" i="1" s="1"/>
  <c r="E39" i="1" l="1"/>
  <c r="G39" i="1" s="1"/>
  <c r="F38" i="1"/>
  <c r="H38" i="1" s="1"/>
  <c r="F39" i="1" l="1"/>
  <c r="H39" i="1" s="1"/>
  <c r="E40" i="1"/>
  <c r="G40" i="1" s="1"/>
  <c r="E41" i="1" l="1"/>
  <c r="G41" i="1" s="1"/>
  <c r="F40" i="1"/>
  <c r="H40" i="1" s="1"/>
  <c r="E42" i="1" l="1"/>
  <c r="G42" i="1" s="1"/>
  <c r="F41" i="1"/>
  <c r="H41" i="1" s="1"/>
  <c r="F42" i="1" l="1"/>
  <c r="H42" i="1" s="1"/>
  <c r="E43" i="1"/>
  <c r="E44" i="1" l="1"/>
  <c r="G44" i="1" s="1"/>
  <c r="G43" i="1"/>
  <c r="F43" i="1"/>
  <c r="H43" i="1" s="1"/>
  <c r="E46" i="1" l="1"/>
  <c r="G46" i="1" s="1"/>
  <c r="F44" i="1"/>
  <c r="H44" i="1" s="1"/>
  <c r="F46" i="1" l="1"/>
  <c r="H46" i="1" s="1"/>
  <c r="E47" i="1"/>
  <c r="G47" i="1" s="1"/>
  <c r="E48" i="1" l="1"/>
  <c r="G48" i="1" s="1"/>
  <c r="F47" i="1"/>
  <c r="H47" i="1" s="1"/>
  <c r="F48" i="1" l="1"/>
  <c r="H48" i="1" s="1"/>
  <c r="E49" i="1"/>
  <c r="G49" i="1" s="1"/>
  <c r="F49" i="1" l="1"/>
  <c r="H49" i="1" s="1"/>
  <c r="E50" i="1"/>
  <c r="G50" i="1" s="1"/>
  <c r="E51" i="1" l="1"/>
  <c r="G51" i="1" s="1"/>
  <c r="F50" i="1"/>
  <c r="H50" i="1" s="1"/>
  <c r="F51" i="1" l="1"/>
  <c r="H51" i="1" s="1"/>
  <c r="E52" i="1"/>
  <c r="G52" i="1" s="1"/>
  <c r="E53" i="1" l="1"/>
  <c r="F52" i="1"/>
  <c r="H52" i="1" s="1"/>
  <c r="E55" i="1" l="1"/>
  <c r="G55" i="1" s="1"/>
  <c r="G53" i="1"/>
  <c r="F53" i="1"/>
  <c r="H53" i="1" s="1"/>
  <c r="E56" i="1" l="1"/>
  <c r="G56" i="1" s="1"/>
  <c r="F55" i="1"/>
  <c r="H55" i="1" s="1"/>
  <c r="F56" i="1" l="1"/>
  <c r="H56" i="1" s="1"/>
  <c r="E57" i="1"/>
  <c r="G57" i="1" s="1"/>
  <c r="F57" i="1" l="1"/>
  <c r="H57" i="1" s="1"/>
  <c r="E58" i="1"/>
  <c r="G58" i="1" s="1"/>
  <c r="F58" i="1" l="1"/>
  <c r="H58" i="1" s="1"/>
  <c r="E59" i="1"/>
  <c r="G59" i="1" s="1"/>
  <c r="E60" i="1" l="1"/>
  <c r="G60" i="1" s="1"/>
  <c r="F59" i="1"/>
  <c r="H59" i="1" s="1"/>
  <c r="F60" i="1" l="1"/>
  <c r="H60" i="1" s="1"/>
  <c r="E61" i="1"/>
  <c r="G61" i="1" s="1"/>
  <c r="F61" i="1" l="1"/>
  <c r="H61" i="1" s="1"/>
  <c r="E62" i="1"/>
  <c r="G62" i="1" s="1"/>
  <c r="E64" i="1" l="1"/>
  <c r="G64" i="1" s="1"/>
  <c r="F62" i="1"/>
  <c r="H62" i="1" s="1"/>
  <c r="F64" i="1" l="1"/>
  <c r="H64" i="1" s="1"/>
  <c r="E65" i="1"/>
  <c r="G65" i="1" s="1"/>
  <c r="E66" i="1" l="1"/>
  <c r="G66" i="1" s="1"/>
  <c r="F65" i="1"/>
  <c r="H65" i="1" s="1"/>
  <c r="F66" i="1" l="1"/>
  <c r="H66" i="1" s="1"/>
  <c r="E67" i="1"/>
  <c r="G67" i="1" s="1"/>
  <c r="E68" i="1" l="1"/>
  <c r="G68" i="1" s="1"/>
  <c r="F67" i="1"/>
  <c r="H67" i="1" s="1"/>
  <c r="E69" i="1" l="1"/>
  <c r="G69" i="1" s="1"/>
  <c r="F68" i="1"/>
  <c r="H68" i="1" s="1"/>
  <c r="E70" i="1" l="1"/>
  <c r="G70" i="1" s="1"/>
  <c r="F69" i="1"/>
  <c r="H69" i="1" s="1"/>
  <c r="F70" i="1" l="1"/>
  <c r="H70" i="1" s="1"/>
  <c r="E71" i="1"/>
  <c r="G71" i="1" s="1"/>
  <c r="F71" i="1" l="1"/>
  <c r="H71" i="1" s="1"/>
  <c r="E72" i="1"/>
  <c r="G72" i="1" s="1"/>
  <c r="E73" i="1" l="1"/>
  <c r="G73" i="1" s="1"/>
  <c r="F72" i="1"/>
  <c r="H72" i="1" s="1"/>
  <c r="E74" i="1" l="1"/>
  <c r="G74" i="1" s="1"/>
  <c r="F73" i="1"/>
  <c r="H73" i="1" s="1"/>
  <c r="F74" i="1" l="1"/>
  <c r="H74" i="1" s="1"/>
  <c r="E75" i="1"/>
  <c r="G75" i="1" s="1"/>
  <c r="F75" i="1" l="1"/>
  <c r="H75" i="1" s="1"/>
  <c r="E76" i="1"/>
  <c r="G76" i="1" s="1"/>
  <c r="E78" i="1" l="1"/>
  <c r="G78" i="1" s="1"/>
  <c r="F76" i="1"/>
  <c r="H76" i="1" s="1"/>
  <c r="F78" i="1" l="1"/>
  <c r="H78" i="1" s="1"/>
  <c r="E79" i="1"/>
  <c r="G79" i="1" s="1"/>
  <c r="E80" i="1" l="1"/>
  <c r="G80" i="1" s="1"/>
  <c r="F79" i="1"/>
  <c r="H79" i="1" s="1"/>
  <c r="F80" i="1" l="1"/>
  <c r="H80" i="1" s="1"/>
  <c r="E81" i="1"/>
  <c r="G81" i="1" s="1"/>
  <c r="F81" i="1" l="1"/>
  <c r="H81" i="1" s="1"/>
  <c r="E82" i="1"/>
  <c r="G82" i="1" s="1"/>
  <c r="F82" i="1" l="1"/>
  <c r="H82" i="1" s="1"/>
  <c r="E83" i="1"/>
  <c r="G83" i="1" s="1"/>
  <c r="F83" i="1" l="1"/>
  <c r="H83" i="1" s="1"/>
  <c r="E84" i="1"/>
  <c r="G84" i="1" s="1"/>
  <c r="E85" i="1" l="1"/>
  <c r="G85" i="1" s="1"/>
  <c r="F84" i="1"/>
  <c r="H84" i="1" s="1"/>
  <c r="F85" i="1" l="1"/>
  <c r="H85" i="1" s="1"/>
  <c r="E87" i="1"/>
  <c r="G87" i="1" s="1"/>
  <c r="F87" i="1" l="1"/>
  <c r="H87" i="1" s="1"/>
  <c r="E88" i="1"/>
  <c r="G88" i="1" s="1"/>
  <c r="E89" i="1" l="1"/>
  <c r="G89" i="1" s="1"/>
  <c r="F88" i="1"/>
  <c r="H88" i="1" s="1"/>
  <c r="E90" i="1" l="1"/>
  <c r="G90" i="1" s="1"/>
  <c r="F89" i="1"/>
  <c r="H89" i="1" s="1"/>
  <c r="E91" i="1" l="1"/>
  <c r="G91" i="1" s="1"/>
  <c r="F90" i="1"/>
  <c r="H90" i="1" s="1"/>
  <c r="E92" i="1" l="1"/>
  <c r="G92" i="1" s="1"/>
  <c r="F91" i="1"/>
  <c r="H91" i="1" s="1"/>
  <c r="F92" i="1" l="1"/>
  <c r="H92" i="1" s="1"/>
  <c r="E93" i="1"/>
  <c r="G93" i="1" s="1"/>
  <c r="F93" i="1" l="1"/>
  <c r="H93" i="1" s="1"/>
  <c r="E94" i="1"/>
  <c r="G94" i="1" s="1"/>
  <c r="E95" i="1" l="1"/>
  <c r="G95" i="1" s="1"/>
  <c r="F94" i="1"/>
  <c r="H94" i="1" s="1"/>
  <c r="F95" i="1" l="1"/>
  <c r="H95" i="1" s="1"/>
  <c r="E96" i="1"/>
  <c r="G96" i="1" s="1"/>
  <c r="F96" i="1" l="1"/>
  <c r="H96" i="1" s="1"/>
  <c r="E97" i="1"/>
  <c r="G97" i="1" s="1"/>
  <c r="E98" i="1" l="1"/>
  <c r="G98" i="1" s="1"/>
  <c r="F97" i="1"/>
  <c r="H97" i="1" s="1"/>
  <c r="F98" i="1" l="1"/>
  <c r="H98" i="1" s="1"/>
  <c r="E99" i="1"/>
  <c r="G99" i="1" s="1"/>
  <c r="E100" i="1" l="1"/>
  <c r="G100" i="1" s="1"/>
  <c r="F99" i="1"/>
  <c r="H99" i="1" s="1"/>
  <c r="E101" i="1" l="1"/>
  <c r="F100" i="1"/>
  <c r="H100" i="1" s="1"/>
  <c r="E102" i="1" l="1"/>
  <c r="G101" i="1"/>
  <c r="F101" i="1"/>
  <c r="H101" i="1" s="1"/>
  <c r="E104" i="1" l="1"/>
  <c r="G104" i="1" s="1"/>
  <c r="G102" i="1"/>
  <c r="F102" i="1"/>
  <c r="H102" i="1" s="1"/>
  <c r="E105" i="1" l="1"/>
  <c r="G105" i="1" s="1"/>
  <c r="F104" i="1"/>
  <c r="H104" i="1" s="1"/>
  <c r="F105" i="1" l="1"/>
  <c r="H105" i="1" s="1"/>
  <c r="E106" i="1"/>
  <c r="E107" i="1" l="1"/>
  <c r="G107" i="1" s="1"/>
  <c r="G106" i="1"/>
  <c r="F106" i="1"/>
  <c r="H106" i="1" s="1"/>
  <c r="E109" i="1" l="1"/>
  <c r="G109" i="1" s="1"/>
  <c r="F107" i="1"/>
  <c r="H107" i="1" s="1"/>
  <c r="F109" i="1" l="1"/>
  <c r="H109" i="1" s="1"/>
  <c r="E110" i="1"/>
  <c r="G110" i="1" s="1"/>
  <c r="E111" i="1" l="1"/>
  <c r="G111" i="1" s="1"/>
  <c r="F110" i="1"/>
  <c r="H110" i="1" s="1"/>
  <c r="E113" i="1" l="1"/>
  <c r="G113" i="1" s="1"/>
  <c r="F111" i="1"/>
  <c r="H111" i="1" s="1"/>
  <c r="F113" i="1" l="1"/>
  <c r="H113" i="1" s="1"/>
  <c r="E114" i="1"/>
  <c r="G114" i="1" s="1"/>
  <c r="E115" i="1" l="1"/>
  <c r="G115" i="1" s="1"/>
  <c r="F114" i="1"/>
  <c r="H114" i="1" s="1"/>
  <c r="F115" i="1" l="1"/>
  <c r="H115" i="1" s="1"/>
  <c r="E116" i="1"/>
  <c r="G116" i="1" s="1"/>
  <c r="F116" i="1" l="1"/>
  <c r="H116" i="1" s="1"/>
  <c r="E117" i="1"/>
  <c r="G117" i="1" s="1"/>
  <c r="F117" i="1" l="1"/>
  <c r="H117" i="1" s="1"/>
  <c r="E118" i="1"/>
  <c r="G118" i="1" s="1"/>
  <c r="F118" i="1" l="1"/>
  <c r="H118" i="1" s="1"/>
  <c r="E120" i="1"/>
  <c r="G120" i="1" s="1"/>
  <c r="F120" i="1" l="1"/>
  <c r="H120" i="1" s="1"/>
  <c r="E121" i="1"/>
  <c r="G121" i="1" s="1"/>
  <c r="E122" i="1" l="1"/>
  <c r="G122" i="1" s="1"/>
  <c r="F121" i="1"/>
  <c r="H121" i="1" s="1"/>
  <c r="E123" i="1" l="1"/>
  <c r="G123" i="1" s="1"/>
  <c r="F122" i="1"/>
  <c r="H122" i="1" s="1"/>
  <c r="F123" i="1" l="1"/>
  <c r="H123" i="1" s="1"/>
  <c r="E124" i="1"/>
  <c r="G124" i="1" s="1"/>
  <c r="E125" i="1" l="1"/>
  <c r="G125" i="1" s="1"/>
  <c r="F124" i="1"/>
  <c r="H124" i="1" s="1"/>
  <c r="F125" i="1" l="1"/>
  <c r="H125" i="1" s="1"/>
  <c r="E127" i="1"/>
  <c r="G127" i="1" s="1"/>
  <c r="E128" i="1" l="1"/>
  <c r="F127" i="1"/>
  <c r="H127" i="1" s="1"/>
  <c r="E129" i="1" l="1"/>
  <c r="G129" i="1" s="1"/>
  <c r="G128" i="1"/>
  <c r="F128" i="1"/>
  <c r="H128" i="1" s="1"/>
  <c r="F129" i="1" l="1"/>
  <c r="H129" i="1" s="1"/>
  <c r="E131" i="1"/>
  <c r="G131" i="1" s="1"/>
  <c r="F131" i="1" l="1"/>
  <c r="H131" i="1" s="1"/>
  <c r="E132" i="1"/>
  <c r="G132" i="1" s="1"/>
  <c r="E133" i="1" l="1"/>
  <c r="G133" i="1" s="1"/>
  <c r="F132" i="1"/>
  <c r="H132" i="1" s="1"/>
  <c r="F133" i="1" l="1"/>
  <c r="H133" i="1" s="1"/>
  <c r="E135" i="1"/>
  <c r="G135" i="1" s="1"/>
  <c r="F135" i="1" l="1"/>
  <c r="H135" i="1" s="1"/>
  <c r="E136" i="1"/>
  <c r="G136" i="1" s="1"/>
  <c r="E137" i="1" l="1"/>
  <c r="G137" i="1" s="1"/>
  <c r="F136" i="1"/>
  <c r="H136" i="1" s="1"/>
  <c r="E138" i="1" l="1"/>
  <c r="G138" i="1" s="1"/>
  <c r="F137" i="1"/>
  <c r="H137" i="1" s="1"/>
  <c r="F138" i="1" l="1"/>
  <c r="H138" i="1" s="1"/>
  <c r="E139" i="1"/>
  <c r="G139" i="1" s="1"/>
  <c r="E141" i="1" l="1"/>
  <c r="G141" i="1" s="1"/>
  <c r="F139" i="1"/>
  <c r="H139" i="1" s="1"/>
  <c r="F141" i="1" l="1"/>
  <c r="H141" i="1" s="1"/>
  <c r="E142" i="1"/>
  <c r="E143" i="1" l="1"/>
  <c r="G143" i="1" s="1"/>
  <c r="G142" i="1"/>
  <c r="F142" i="1"/>
  <c r="H142" i="1" s="1"/>
  <c r="E145" i="1" l="1"/>
  <c r="G145" i="1" s="1"/>
  <c r="F143" i="1"/>
  <c r="H143" i="1" s="1"/>
  <c r="F145" i="1" l="1"/>
  <c r="H145" i="1" s="1"/>
  <c r="E146" i="1"/>
  <c r="G146" i="1" s="1"/>
  <c r="F146" i="1"/>
  <c r="H146" i="1" s="1"/>
  <c r="E147" i="1"/>
  <c r="G147" i="1" s="1"/>
  <c r="F147" i="1" l="1"/>
  <c r="H147" i="1" s="1"/>
  <c r="E148" i="1"/>
  <c r="G148" i="1" s="1"/>
  <c r="F148" i="1" l="1"/>
  <c r="H148" i="1" s="1"/>
  <c r="E149" i="1"/>
  <c r="E150" i="1" l="1"/>
  <c r="G149" i="1"/>
  <c r="F149" i="1"/>
  <c r="H149" i="1" s="1"/>
  <c r="E153" i="1" l="1"/>
  <c r="G153" i="1" s="1"/>
  <c r="G150" i="1"/>
  <c r="F150" i="1"/>
  <c r="H150" i="1" s="1"/>
  <c r="E154" i="1" l="1"/>
  <c r="G154" i="1" s="1"/>
  <c r="F153" i="1"/>
  <c r="H153" i="1" s="1"/>
  <c r="E155" i="1" l="1"/>
  <c r="F154" i="1"/>
  <c r="H154" i="1" s="1"/>
  <c r="E157" i="1" l="1"/>
  <c r="G157" i="1" s="1"/>
  <c r="G155" i="1"/>
  <c r="F155" i="1"/>
  <c r="H155" i="1" s="1"/>
  <c r="E158" i="1" l="1"/>
  <c r="G158" i="1" s="1"/>
  <c r="F157" i="1"/>
  <c r="H157" i="1" s="1"/>
  <c r="F158" i="1" l="1"/>
  <c r="H158" i="1" s="1"/>
  <c r="E159" i="1"/>
  <c r="E160" i="1" l="1"/>
  <c r="G159" i="1"/>
  <c r="F159" i="1"/>
  <c r="H159" i="1" s="1"/>
  <c r="E162" i="1" l="1"/>
  <c r="G162" i="1" s="1"/>
  <c r="G160" i="1"/>
  <c r="F160" i="1"/>
  <c r="H160" i="1" s="1"/>
  <c r="E163" i="1" l="1"/>
  <c r="G163" i="1" s="1"/>
  <c r="F162" i="1"/>
  <c r="H162" i="1" s="1"/>
  <c r="F163" i="1" l="1"/>
  <c r="H163" i="1" s="1"/>
  <c r="E164" i="1"/>
  <c r="E166" i="1" l="1"/>
  <c r="G166" i="1" s="1"/>
  <c r="G164" i="1"/>
  <c r="F164" i="1"/>
  <c r="H164" i="1" s="1"/>
  <c r="F166" i="1" l="1"/>
  <c r="H166" i="1" s="1"/>
  <c r="E167" i="1"/>
  <c r="G167" i="1" s="1"/>
  <c r="F167" i="1" l="1"/>
  <c r="H167" i="1" s="1"/>
  <c r="E168" i="1"/>
  <c r="E170" i="1" l="1"/>
  <c r="G170" i="1" s="1"/>
  <c r="G168" i="1"/>
  <c r="F168" i="1"/>
  <c r="H168" i="1" s="1"/>
  <c r="E171" i="1" l="1"/>
  <c r="G171" i="1" s="1"/>
  <c r="F170" i="1"/>
  <c r="H170" i="1" s="1"/>
  <c r="F171" i="1" l="1"/>
  <c r="H171" i="1" s="1"/>
  <c r="E172" i="1"/>
  <c r="G172" i="1" s="1"/>
  <c r="E173" i="1" l="1"/>
  <c r="F172" i="1"/>
  <c r="H172" i="1" s="1"/>
  <c r="E175" i="1" l="1"/>
  <c r="G175" i="1" s="1"/>
  <c r="G173" i="1"/>
  <c r="F173" i="1"/>
  <c r="H173" i="1" s="1"/>
  <c r="E176" i="1" l="1"/>
  <c r="G176" i="1" s="1"/>
  <c r="F175" i="1"/>
  <c r="H175" i="1" s="1"/>
  <c r="F176" i="1" l="1"/>
  <c r="H176" i="1" s="1"/>
  <c r="E177" i="1"/>
  <c r="E179" i="1" l="1"/>
  <c r="G179" i="1" s="1"/>
  <c r="G177" i="1"/>
  <c r="F177" i="1"/>
  <c r="H177" i="1" s="1"/>
  <c r="E180" i="1" l="1"/>
  <c r="G180" i="1" s="1"/>
  <c r="F179" i="1"/>
  <c r="H179" i="1" s="1"/>
  <c r="F180" i="1" l="1"/>
  <c r="H180" i="1" s="1"/>
  <c r="E181" i="1"/>
  <c r="E183" i="1" l="1"/>
  <c r="G183" i="1" s="1"/>
  <c r="G181" i="1"/>
  <c r="F181" i="1"/>
  <c r="H181" i="1" s="1"/>
  <c r="E184" i="1" l="1"/>
  <c r="G184" i="1" s="1"/>
  <c r="F183" i="1"/>
  <c r="H183" i="1" s="1"/>
  <c r="E185" i="1" l="1"/>
  <c r="G185" i="1" s="1"/>
  <c r="F184" i="1"/>
  <c r="H184" i="1" s="1"/>
  <c r="F185" i="1" l="1"/>
  <c r="H185" i="1" s="1"/>
  <c r="E186" i="1"/>
  <c r="G186" i="1" s="1"/>
  <c r="E187" i="1" l="1"/>
  <c r="G187" i="1" s="1"/>
  <c r="F186" i="1"/>
  <c r="H186" i="1" s="1"/>
  <c r="F187" i="1" l="1"/>
  <c r="H187" i="1" s="1"/>
  <c r="E188" i="1"/>
  <c r="G188" i="1" s="1"/>
  <c r="F188" i="1" l="1"/>
  <c r="H188" i="1" s="1"/>
  <c r="E189" i="1"/>
  <c r="E191" i="1" l="1"/>
  <c r="G191" i="1" s="1"/>
  <c r="G189" i="1"/>
  <c r="F189" i="1"/>
  <c r="H189" i="1" s="1"/>
  <c r="E192" i="1" l="1"/>
  <c r="G192" i="1" s="1"/>
  <c r="F191" i="1"/>
  <c r="H191" i="1" s="1"/>
  <c r="E193" i="1" l="1"/>
  <c r="G193" i="1" s="1"/>
  <c r="F192" i="1"/>
  <c r="H192" i="1" s="1"/>
  <c r="F193" i="1" l="1"/>
  <c r="H193" i="1" s="1"/>
  <c r="E194" i="1"/>
  <c r="G194" i="1" s="1"/>
  <c r="E195" i="1" l="1"/>
  <c r="G195" i="1" s="1"/>
  <c r="F194" i="1"/>
  <c r="H194" i="1" s="1"/>
  <c r="F195" i="1" l="1"/>
  <c r="H195" i="1" s="1"/>
  <c r="E196" i="1"/>
  <c r="G196" i="1" s="1"/>
  <c r="E197" i="1" l="1"/>
  <c r="G197" i="1" s="1"/>
  <c r="F196" i="1"/>
  <c r="H196" i="1" s="1"/>
  <c r="F197" i="1" l="1"/>
  <c r="H197" i="1" s="1"/>
  <c r="E198" i="1"/>
  <c r="G198" i="1" s="1"/>
  <c r="E199" i="1" l="1"/>
  <c r="F198" i="1"/>
  <c r="H198" i="1" s="1"/>
  <c r="E201" i="1" l="1"/>
  <c r="G201" i="1" s="1"/>
  <c r="G199" i="1"/>
  <c r="F199" i="1"/>
  <c r="H199" i="1" s="1"/>
  <c r="F201" i="1" l="1"/>
  <c r="H201" i="1" s="1"/>
  <c r="E202" i="1"/>
  <c r="G202" i="1" s="1"/>
  <c r="F202" i="1" l="1"/>
  <c r="H202" i="1" s="1"/>
  <c r="E203" i="1"/>
  <c r="G203" i="1" s="1"/>
  <c r="F203" i="1" l="1"/>
  <c r="H203" i="1" s="1"/>
  <c r="E204" i="1"/>
  <c r="E206" i="1" l="1"/>
  <c r="G206" i="1" s="1"/>
  <c r="G204" i="1"/>
  <c r="F204" i="1"/>
  <c r="H204" i="1" s="1"/>
  <c r="F206" i="1" l="1"/>
  <c r="H206" i="1" s="1"/>
  <c r="E207" i="1"/>
  <c r="G207" i="1" s="1"/>
  <c r="E208" i="1" l="1"/>
  <c r="G208" i="1" s="1"/>
  <c r="F207" i="1"/>
  <c r="H207" i="1" s="1"/>
  <c r="E209" i="1" l="1"/>
  <c r="G209" i="1" s="1"/>
  <c r="F208" i="1"/>
  <c r="H208" i="1" s="1"/>
  <c r="E210" i="1" l="1"/>
  <c r="G210" i="1" s="1"/>
  <c r="F209" i="1"/>
  <c r="H209" i="1" s="1"/>
  <c r="E212" i="1" l="1"/>
  <c r="G212" i="1" s="1"/>
  <c r="F210" i="1"/>
  <c r="H210" i="1" s="1"/>
  <c r="F212" i="1" l="1"/>
  <c r="H212" i="1" s="1"/>
  <c r="E213" i="1"/>
  <c r="G213" i="1" s="1"/>
  <c r="E214" i="1" l="1"/>
  <c r="G214" i="1" s="1"/>
  <c r="F213" i="1"/>
  <c r="H213" i="1" s="1"/>
  <c r="F214" i="1" l="1"/>
  <c r="H214" i="1" s="1"/>
  <c r="E215" i="1"/>
  <c r="E216" i="1" l="1"/>
  <c r="G216" i="1" s="1"/>
  <c r="G215" i="1"/>
  <c r="F215" i="1"/>
  <c r="H215" i="1" s="1"/>
  <c r="E218" i="1" l="1"/>
  <c r="G218" i="1" s="1"/>
  <c r="F216" i="1"/>
  <c r="H216" i="1" s="1"/>
  <c r="F218" i="1" l="1"/>
  <c r="H218" i="1" s="1"/>
  <c r="E219" i="1"/>
  <c r="G219" i="1" s="1"/>
  <c r="F219" i="1" l="1"/>
  <c r="H219" i="1" s="1"/>
  <c r="E220" i="1"/>
  <c r="G220" i="1" s="1"/>
  <c r="F220" i="1" l="1"/>
  <c r="H220" i="1" s="1"/>
  <c r="E221" i="1"/>
  <c r="G221" i="1" s="1"/>
  <c r="E222" i="1" l="1"/>
  <c r="F221" i="1"/>
  <c r="H221" i="1" s="1"/>
  <c r="E224" i="1" l="1"/>
  <c r="G224" i="1" s="1"/>
  <c r="G222" i="1"/>
  <c r="F222" i="1"/>
  <c r="H222" i="1" s="1"/>
  <c r="E225" i="1" l="1"/>
  <c r="F224" i="1"/>
  <c r="H224" i="1" s="1"/>
  <c r="E226" i="1" l="1"/>
  <c r="G226" i="1" s="1"/>
  <c r="G225" i="1"/>
  <c r="F225" i="1"/>
  <c r="H225" i="1" s="1"/>
  <c r="E227" i="1" l="1"/>
  <c r="G227" i="1" s="1"/>
  <c r="F226" i="1"/>
  <c r="H226" i="1" s="1"/>
  <c r="F227" i="1" l="1"/>
  <c r="H227" i="1" s="1"/>
  <c r="E228" i="1"/>
  <c r="E229" i="1" l="1"/>
  <c r="G229" i="1" s="1"/>
  <c r="G228" i="1"/>
  <c r="F228" i="1"/>
  <c r="H228" i="1" s="1"/>
  <c r="F229" i="1" l="1"/>
  <c r="H229" i="1" s="1"/>
  <c r="E230" i="1"/>
  <c r="E232" i="1" l="1"/>
  <c r="G232" i="1" s="1"/>
  <c r="G230" i="1"/>
  <c r="F230" i="1"/>
  <c r="H230" i="1" s="1"/>
  <c r="F232" i="1" l="1"/>
  <c r="H232" i="1" s="1"/>
  <c r="E233" i="1"/>
  <c r="G233" i="1" s="1"/>
  <c r="F233" i="1" l="1"/>
  <c r="H233" i="1" s="1"/>
  <c r="E234" i="1"/>
  <c r="G234" i="1" s="1"/>
  <c r="F234" i="1" l="1"/>
  <c r="H234" i="1" s="1"/>
  <c r="E235" i="1"/>
  <c r="G235" i="1" s="1"/>
  <c r="F235" i="1" l="1"/>
  <c r="H235" i="1" s="1"/>
  <c r="E236" i="1"/>
  <c r="G236" i="1" s="1"/>
  <c r="F236" i="1" l="1"/>
  <c r="H236" i="1" s="1"/>
  <c r="E237" i="1"/>
  <c r="E238" i="1" l="1"/>
  <c r="G238" i="1" s="1"/>
  <c r="G237" i="1"/>
  <c r="F237" i="1"/>
  <c r="H237" i="1" s="1"/>
  <c r="F238" i="1" l="1"/>
  <c r="H238" i="1" s="1"/>
  <c r="E239" i="1"/>
  <c r="E241" i="1" l="1"/>
  <c r="G241" i="1" s="1"/>
  <c r="G239" i="1"/>
  <c r="F239" i="1"/>
  <c r="H239" i="1" s="1"/>
  <c r="F241" i="1" l="1"/>
  <c r="H241" i="1" s="1"/>
  <c r="E243" i="1"/>
  <c r="G243" i="1" s="1"/>
  <c r="F243" i="1" l="1"/>
  <c r="H243" i="1" s="1"/>
  <c r="E244" i="1"/>
  <c r="G244" i="1" s="1"/>
  <c r="F244" i="1" l="1"/>
  <c r="H244" i="1" s="1"/>
  <c r="E245" i="1"/>
  <c r="G245" i="1" s="1"/>
  <c r="F245" i="1" l="1"/>
  <c r="H245" i="1" s="1"/>
  <c r="E247" i="1"/>
  <c r="G247" i="1" s="1"/>
  <c r="E248" i="1" l="1"/>
  <c r="G248" i="1" s="1"/>
  <c r="F247" i="1"/>
  <c r="H247" i="1" s="1"/>
  <c r="E249" i="1" l="1"/>
  <c r="F248" i="1"/>
  <c r="H248" i="1" s="1"/>
  <c r="E250" i="1" l="1"/>
  <c r="G249" i="1"/>
  <c r="F249" i="1"/>
  <c r="H249" i="1" s="1"/>
  <c r="E252" i="1" l="1"/>
  <c r="G252" i="1" s="1"/>
  <c r="G250" i="1"/>
  <c r="F250" i="1"/>
  <c r="H250" i="1" s="1"/>
  <c r="F252" i="1" l="1"/>
  <c r="H252" i="1" s="1"/>
  <c r="E253" i="1"/>
  <c r="E254" i="1" l="1"/>
  <c r="G253" i="1"/>
  <c r="F253" i="1"/>
  <c r="H253" i="1" s="1"/>
  <c r="E256" i="1" l="1"/>
  <c r="G256" i="1" s="1"/>
  <c r="G254" i="1"/>
  <c r="F254" i="1"/>
  <c r="H254" i="1" s="1"/>
  <c r="E257" i="1" l="1"/>
  <c r="G257" i="1" s="1"/>
  <c r="F256" i="1"/>
  <c r="H256" i="1" s="1"/>
  <c r="E258" i="1" l="1"/>
  <c r="G258" i="1" s="1"/>
  <c r="F257" i="1"/>
  <c r="H257" i="1" s="1"/>
  <c r="F258" i="1" l="1"/>
  <c r="H258" i="1" s="1"/>
  <c r="E259" i="1"/>
  <c r="G259" i="1" s="1"/>
  <c r="F259" i="1" l="1"/>
  <c r="H259" i="1" s="1"/>
  <c r="E260" i="1"/>
  <c r="G260" i="1" s="1"/>
  <c r="E261" i="1" l="1"/>
  <c r="G261" i="1" s="1"/>
  <c r="F260" i="1"/>
  <c r="H260" i="1" s="1"/>
  <c r="F261" i="1" l="1"/>
  <c r="H261" i="1" s="1"/>
  <c r="E262" i="1"/>
  <c r="G262" i="1" s="1"/>
  <c r="E263" i="1" l="1"/>
  <c r="G263" i="1" s="1"/>
  <c r="F262" i="1"/>
  <c r="H262" i="1" s="1"/>
  <c r="E264" i="1" l="1"/>
  <c r="G264" i="1" s="1"/>
  <c r="F263" i="1"/>
  <c r="H263" i="1" s="1"/>
  <c r="F264" i="1" l="1"/>
  <c r="H264" i="1" s="1"/>
  <c r="E265" i="1"/>
  <c r="G265" i="1" s="1"/>
  <c r="E266" i="1" l="1"/>
  <c r="G266" i="1" s="1"/>
  <c r="F265" i="1"/>
  <c r="H265" i="1" s="1"/>
  <c r="F266" i="1" l="1"/>
  <c r="H266" i="1" s="1"/>
  <c r="E267" i="1"/>
  <c r="G267" i="1" s="1"/>
  <c r="E268" i="1" l="1"/>
  <c r="G268" i="1" s="1"/>
  <c r="F267" i="1"/>
  <c r="H267" i="1" s="1"/>
  <c r="E269" i="1" l="1"/>
  <c r="G269" i="1" s="1"/>
  <c r="F268" i="1"/>
  <c r="H268" i="1" s="1"/>
  <c r="E270" i="1" l="1"/>
  <c r="G270" i="1" s="1"/>
  <c r="F269" i="1"/>
  <c r="H269" i="1" s="1"/>
  <c r="F270" i="1" l="1"/>
  <c r="H270" i="1" s="1"/>
  <c r="E271" i="1"/>
  <c r="G271" i="1" s="1"/>
  <c r="F271" i="1" l="1"/>
  <c r="H271" i="1" s="1"/>
  <c r="E272" i="1"/>
  <c r="G272" i="1" s="1"/>
  <c r="F272" i="1" l="1"/>
  <c r="H272" i="1" s="1"/>
  <c r="E273" i="1"/>
  <c r="G273" i="1" s="1"/>
  <c r="F273" i="1" l="1"/>
  <c r="H273" i="1" s="1"/>
  <c r="E274" i="1"/>
  <c r="E276" i="1" l="1"/>
  <c r="G276" i="1" s="1"/>
  <c r="G274" i="1"/>
  <c r="E277" i="1"/>
  <c r="G277" i="1" s="1"/>
  <c r="F276" i="1" l="1"/>
  <c r="H276" i="1" s="1"/>
  <c r="E278" i="1"/>
  <c r="G278" i="1" s="1"/>
  <c r="F277" i="1"/>
  <c r="H277" i="1" s="1"/>
  <c r="E280" i="1" l="1"/>
  <c r="G280" i="1" s="1"/>
  <c r="F278" i="1"/>
  <c r="H278" i="1" s="1"/>
  <c r="E281" i="1" l="1"/>
  <c r="G281" i="1" s="1"/>
  <c r="F280" i="1"/>
  <c r="H280" i="1" s="1"/>
  <c r="F281" i="1" l="1"/>
  <c r="H281" i="1" s="1"/>
  <c r="E282" i="1"/>
  <c r="G282" i="1" s="1"/>
  <c r="E283" i="1" l="1"/>
  <c r="G283" i="1" s="1"/>
  <c r="F282" i="1"/>
  <c r="H282" i="1" s="1"/>
  <c r="E284" i="1" l="1"/>
  <c r="G284" i="1" s="1"/>
  <c r="F283" i="1"/>
  <c r="H283" i="1" s="1"/>
  <c r="E285" i="1" l="1"/>
  <c r="F284" i="1"/>
  <c r="H284" i="1" s="1"/>
  <c r="E287" i="1" l="1"/>
  <c r="G287" i="1" s="1"/>
  <c r="G285" i="1"/>
  <c r="F285" i="1"/>
  <c r="H285" i="1" s="1"/>
  <c r="E288" i="1" l="1"/>
  <c r="G288" i="1" s="1"/>
  <c r="F287" i="1"/>
  <c r="H287" i="1" s="1"/>
  <c r="F288" i="1" l="1"/>
  <c r="H288" i="1" s="1"/>
  <c r="E289" i="1"/>
  <c r="G289" i="1" s="1"/>
  <c r="E291" i="1" l="1"/>
  <c r="G291" i="1" s="1"/>
  <c r="F289" i="1"/>
  <c r="H289" i="1" s="1"/>
  <c r="E292" i="1" l="1"/>
  <c r="G292" i="1" s="1"/>
  <c r="F291" i="1"/>
  <c r="H291" i="1" s="1"/>
  <c r="E293" i="1" l="1"/>
  <c r="G293" i="1" s="1"/>
  <c r="F292" i="1"/>
  <c r="H292" i="1" s="1"/>
  <c r="F293" i="1" l="1"/>
  <c r="H293" i="1" s="1"/>
  <c r="E294" i="1"/>
  <c r="G294" i="1" s="1"/>
  <c r="F294" i="1" l="1"/>
  <c r="H294" i="1" s="1"/>
  <c r="E295" i="1"/>
  <c r="G295" i="1" s="1"/>
  <c r="E296" i="1" l="1"/>
  <c r="G296" i="1" s="1"/>
  <c r="F295" i="1"/>
  <c r="H295" i="1" s="1"/>
  <c r="E297" i="1" l="1"/>
  <c r="G297" i="1" s="1"/>
  <c r="F296" i="1"/>
  <c r="H296" i="1" s="1"/>
  <c r="F297" i="1" l="1"/>
  <c r="H297" i="1" s="1"/>
  <c r="E298" i="1"/>
  <c r="G298" i="1" s="1"/>
  <c r="E299" i="1" l="1"/>
  <c r="G299" i="1" s="1"/>
  <c r="F298" i="1"/>
  <c r="H298" i="1" s="1"/>
  <c r="E300" i="1" l="1"/>
  <c r="G300" i="1" s="1"/>
  <c r="F299" i="1"/>
  <c r="H299" i="1" s="1"/>
  <c r="E301" i="1" l="1"/>
  <c r="G301" i="1" s="1"/>
  <c r="F300" i="1"/>
  <c r="H300" i="1" s="1"/>
  <c r="E302" i="1" l="1"/>
  <c r="G302" i="1" s="1"/>
  <c r="F301" i="1"/>
  <c r="H301" i="1" s="1"/>
  <c r="E303" i="1" l="1"/>
  <c r="G303" i="1" s="1"/>
  <c r="F302" i="1"/>
  <c r="H302" i="1" s="1"/>
  <c r="F303" i="1" l="1"/>
  <c r="H303" i="1" s="1"/>
  <c r="E304" i="1"/>
  <c r="G304" i="1" s="1"/>
  <c r="F304" i="1" l="1"/>
  <c r="H304" i="1" s="1"/>
  <c r="E305" i="1"/>
  <c r="G305" i="1" s="1"/>
  <c r="E306" i="1" l="1"/>
  <c r="F305" i="1"/>
  <c r="H305" i="1" s="1"/>
  <c r="E308" i="1" l="1"/>
  <c r="G308" i="1" s="1"/>
  <c r="G306" i="1"/>
  <c r="F306" i="1"/>
  <c r="H306" i="1" s="1"/>
  <c r="E309" i="1" l="1"/>
  <c r="G309" i="1" s="1"/>
  <c r="F308" i="1"/>
  <c r="H308" i="1" s="1"/>
  <c r="F309" i="1" l="1"/>
  <c r="H309" i="1" s="1"/>
  <c r="E310" i="1"/>
  <c r="G310" i="1" s="1"/>
  <c r="E311" i="1" l="1"/>
  <c r="G311" i="1" s="1"/>
  <c r="F310" i="1"/>
  <c r="H310" i="1" s="1"/>
  <c r="E312" i="1" l="1"/>
  <c r="G312" i="1" s="1"/>
  <c r="F311" i="1"/>
  <c r="H311" i="1" s="1"/>
  <c r="F312" i="1" l="1"/>
  <c r="H312" i="1" s="1"/>
  <c r="E313" i="1"/>
  <c r="E315" i="1" l="1"/>
  <c r="G315" i="1" s="1"/>
  <c r="G313" i="1"/>
  <c r="F313" i="1"/>
  <c r="H313" i="1" s="1"/>
  <c r="E316" i="1" l="1"/>
  <c r="G316" i="1" s="1"/>
  <c r="F315" i="1"/>
  <c r="H315" i="1" s="1"/>
  <c r="E317" i="1" l="1"/>
  <c r="F316" i="1"/>
  <c r="H316" i="1" s="1"/>
  <c r="E318" i="1" l="1"/>
  <c r="G318" i="1" s="1"/>
  <c r="G317" i="1"/>
  <c r="F317" i="1"/>
  <c r="H317" i="1" s="1"/>
  <c r="F318" i="1" l="1"/>
  <c r="H318" i="1" s="1"/>
  <c r="E319" i="1"/>
  <c r="E321" i="1" l="1"/>
  <c r="G319" i="1"/>
  <c r="F319" i="1"/>
  <c r="H319" i="1" s="1"/>
  <c r="F321" i="1" l="1"/>
  <c r="H321" i="1" s="1"/>
  <c r="G321" i="1"/>
  <c r="E322" i="1"/>
  <c r="G322" i="1" s="1"/>
  <c r="E323" i="1" l="1"/>
  <c r="F322" i="1"/>
  <c r="H322" i="1" s="1"/>
  <c r="E324" i="1" l="1"/>
  <c r="G324" i="1" s="1"/>
  <c r="G323" i="1"/>
  <c r="F323" i="1"/>
  <c r="H323" i="1" s="1"/>
  <c r="E325" i="1" l="1"/>
  <c r="F324" i="1"/>
  <c r="H324" i="1" s="1"/>
  <c r="E327" i="1" l="1"/>
  <c r="G327" i="1" s="1"/>
  <c r="G325" i="1"/>
  <c r="F325" i="1"/>
  <c r="H325" i="1" s="1"/>
  <c r="F327" i="1" l="1"/>
  <c r="H327" i="1" s="1"/>
  <c r="E328" i="1"/>
  <c r="G328" i="1" s="1"/>
  <c r="E329" i="1" l="1"/>
  <c r="G329" i="1" s="1"/>
  <c r="F328" i="1"/>
  <c r="H328" i="1" s="1"/>
  <c r="F329" i="1" l="1"/>
  <c r="H329" i="1" s="1"/>
  <c r="E330" i="1"/>
  <c r="G330" i="1" s="1"/>
  <c r="E331" i="1" l="1"/>
  <c r="G331" i="1" s="1"/>
  <c r="F330" i="1"/>
  <c r="H330" i="1" s="1"/>
  <c r="F331" i="1" l="1"/>
  <c r="H331" i="1" s="1"/>
  <c r="E332" i="1"/>
  <c r="E333" i="1" l="1"/>
  <c r="G332" i="1"/>
  <c r="F332" i="1"/>
  <c r="H332" i="1" s="1"/>
  <c r="E334" i="1" l="1"/>
  <c r="G333" i="1"/>
  <c r="F333" i="1"/>
  <c r="H333" i="1" s="1"/>
  <c r="E336" i="1" l="1"/>
  <c r="G336" i="1" s="1"/>
  <c r="G334" i="1"/>
  <c r="F334" i="1"/>
  <c r="H334" i="1" s="1"/>
  <c r="E337" i="1" l="1"/>
  <c r="G337" i="1" s="1"/>
  <c r="F336" i="1"/>
  <c r="H336" i="1" s="1"/>
  <c r="E338" i="1" l="1"/>
  <c r="G338" i="1" s="1"/>
  <c r="F337" i="1"/>
  <c r="H337" i="1" s="1"/>
  <c r="F338" i="1" l="1"/>
  <c r="H338" i="1" s="1"/>
  <c r="E339" i="1"/>
  <c r="E343" i="1" l="1"/>
  <c r="G343" i="1" s="1"/>
  <c r="G339" i="1"/>
  <c r="F339" i="1"/>
  <c r="H339" i="1" s="1"/>
  <c r="F343" i="1" l="1"/>
  <c r="H343" i="1" s="1"/>
  <c r="E344" i="1"/>
  <c r="G344" i="1" s="1"/>
  <c r="F344" i="1" l="1"/>
  <c r="H344" i="1" s="1"/>
  <c r="E345" i="1"/>
  <c r="G345" i="1" s="1"/>
  <c r="F345" i="1" l="1"/>
  <c r="H345" i="1" s="1"/>
  <c r="E346" i="1"/>
  <c r="G346" i="1" s="1"/>
  <c r="F346" i="1" l="1"/>
  <c r="H346" i="1" s="1"/>
  <c r="E347" i="1"/>
  <c r="G347" i="1" s="1"/>
  <c r="F347" i="1" l="1"/>
  <c r="H347" i="1" s="1"/>
  <c r="E348" i="1"/>
  <c r="G348" i="1" s="1"/>
  <c r="E349" i="1" l="1"/>
  <c r="G349" i="1" s="1"/>
  <c r="F348" i="1"/>
  <c r="H348" i="1" s="1"/>
  <c r="E350" i="1" l="1"/>
  <c r="G350" i="1" s="1"/>
  <c r="F349" i="1"/>
  <c r="H349" i="1" s="1"/>
  <c r="E351" i="1" l="1"/>
  <c r="G351" i="1" s="1"/>
  <c r="F350" i="1"/>
  <c r="H350" i="1" s="1"/>
  <c r="E352" i="1" l="1"/>
  <c r="G352" i="1" s="1"/>
  <c r="F351" i="1"/>
  <c r="H351" i="1" s="1"/>
  <c r="E353" i="1" l="1"/>
  <c r="G353" i="1" s="1"/>
  <c r="F352" i="1"/>
  <c r="H352" i="1" s="1"/>
  <c r="E355" i="1" l="1"/>
  <c r="G355" i="1" s="1"/>
  <c r="F353" i="1"/>
  <c r="H353" i="1" s="1"/>
  <c r="E356" i="1" l="1"/>
  <c r="G356" i="1" s="1"/>
  <c r="F355" i="1"/>
  <c r="H355" i="1" s="1"/>
  <c r="E357" i="1" l="1"/>
  <c r="G357" i="1" s="1"/>
  <c r="F356" i="1"/>
  <c r="H356" i="1" s="1"/>
  <c r="E358" i="1" l="1"/>
  <c r="G358" i="1" s="1"/>
  <c r="F357" i="1"/>
  <c r="H357" i="1" s="1"/>
  <c r="E359" i="1" l="1"/>
  <c r="G359" i="1" s="1"/>
  <c r="F358" i="1"/>
  <c r="H358" i="1" s="1"/>
  <c r="E360" i="1" l="1"/>
  <c r="G360" i="1" s="1"/>
  <c r="F359" i="1"/>
  <c r="H359" i="1" s="1"/>
  <c r="F360" i="1" l="1"/>
  <c r="H360" i="1" s="1"/>
  <c r="E362" i="1"/>
  <c r="G362" i="1" s="1"/>
  <c r="F362" i="1" l="1"/>
  <c r="H362" i="1" s="1"/>
  <c r="E363" i="1"/>
  <c r="G363" i="1" s="1"/>
  <c r="F363" i="1" l="1"/>
  <c r="H363" i="1" s="1"/>
  <c r="E364" i="1"/>
  <c r="G364" i="1" s="1"/>
  <c r="F364" i="1" l="1"/>
  <c r="H364" i="1" s="1"/>
  <c r="E365" i="1"/>
  <c r="G365" i="1" s="1"/>
  <c r="E366" i="1" l="1"/>
  <c r="G366" i="1" s="1"/>
  <c r="F365" i="1"/>
  <c r="H365" i="1" s="1"/>
  <c r="E367" i="1" l="1"/>
  <c r="G367" i="1" s="1"/>
  <c r="F366" i="1"/>
  <c r="H366" i="1" s="1"/>
  <c r="E368" i="1" l="1"/>
  <c r="G368" i="1" s="1"/>
  <c r="F367" i="1"/>
  <c r="H367" i="1" s="1"/>
  <c r="F368" i="1" l="1"/>
  <c r="H368" i="1" s="1"/>
  <c r="E369" i="1"/>
  <c r="G369" i="1" s="1"/>
  <c r="F369" i="1" l="1"/>
  <c r="H369" i="1" s="1"/>
  <c r="E370" i="1"/>
  <c r="G370" i="1" s="1"/>
  <c r="F370" i="1" l="1"/>
  <c r="H370" i="1" s="1"/>
  <c r="E371" i="1"/>
  <c r="G371" i="1" s="1"/>
  <c r="F371" i="1" l="1"/>
  <c r="H371" i="1" s="1"/>
  <c r="E372" i="1"/>
  <c r="G372" i="1" s="1"/>
  <c r="F372" i="1" l="1"/>
  <c r="H372" i="1" s="1"/>
  <c r="E375" i="1"/>
  <c r="G375" i="1" s="1"/>
  <c r="E376" i="1" l="1"/>
  <c r="G376" i="1" s="1"/>
  <c r="F375" i="1"/>
  <c r="H375" i="1" s="1"/>
  <c r="F376" i="1" l="1"/>
  <c r="H376" i="1" s="1"/>
  <c r="E377" i="1"/>
  <c r="G377" i="1" s="1"/>
  <c r="F377" i="1" l="1"/>
  <c r="H377" i="1" s="1"/>
  <c r="E378" i="1"/>
  <c r="G378" i="1" s="1"/>
  <c r="F378" i="1" l="1"/>
  <c r="H378" i="1" s="1"/>
  <c r="E379" i="1"/>
  <c r="G379" i="1" s="1"/>
  <c r="E380" i="1" l="1"/>
  <c r="G380" i="1" s="1"/>
  <c r="F379" i="1"/>
  <c r="H379" i="1" s="1"/>
  <c r="F380" i="1" l="1"/>
  <c r="H380" i="1" s="1"/>
  <c r="E381" i="1"/>
  <c r="G381" i="1" s="1"/>
  <c r="E382" i="1" l="1"/>
  <c r="G382" i="1" s="1"/>
  <c r="F381" i="1"/>
  <c r="H381" i="1" s="1"/>
  <c r="F382" i="1" l="1"/>
  <c r="H382" i="1" s="1"/>
  <c r="E383" i="1"/>
  <c r="G383" i="1" s="1"/>
  <c r="E384" i="1" l="1"/>
  <c r="G384" i="1" s="1"/>
  <c r="F383" i="1"/>
  <c r="H383" i="1" s="1"/>
  <c r="E385" i="1" l="1"/>
  <c r="G385" i="1" s="1"/>
  <c r="F384" i="1"/>
  <c r="H384" i="1" s="1"/>
  <c r="E387" i="1" l="1"/>
  <c r="G387" i="1" s="1"/>
  <c r="F385" i="1"/>
  <c r="H385" i="1" s="1"/>
  <c r="E388" i="1" l="1"/>
  <c r="G388" i="1" s="1"/>
  <c r="F387" i="1"/>
  <c r="H387" i="1" s="1"/>
  <c r="E389" i="1" l="1"/>
  <c r="G389" i="1" s="1"/>
  <c r="F388" i="1"/>
  <c r="H388" i="1" s="1"/>
  <c r="E390" i="1" l="1"/>
  <c r="G390" i="1" s="1"/>
  <c r="F389" i="1"/>
  <c r="H389" i="1" s="1"/>
  <c r="F390" i="1" l="1"/>
  <c r="H390" i="1" s="1"/>
  <c r="E391" i="1"/>
  <c r="G391" i="1" s="1"/>
  <c r="E392" i="1" l="1"/>
  <c r="G392" i="1" s="1"/>
  <c r="F391" i="1"/>
  <c r="H391" i="1" s="1"/>
  <c r="E394" i="1" l="1"/>
  <c r="G394" i="1" s="1"/>
  <c r="F392" i="1"/>
  <c r="H392" i="1" s="1"/>
  <c r="F394" i="1" l="1"/>
  <c r="H394" i="1" s="1"/>
  <c r="E395" i="1"/>
  <c r="G395" i="1" s="1"/>
  <c r="E396" i="1" l="1"/>
  <c r="G396" i="1" s="1"/>
  <c r="F395" i="1"/>
  <c r="H395" i="1" s="1"/>
  <c r="E397" i="1" l="1"/>
  <c r="G397" i="1" s="1"/>
  <c r="F396" i="1"/>
  <c r="H396" i="1" s="1"/>
  <c r="E398" i="1" l="1"/>
  <c r="G398" i="1" s="1"/>
  <c r="F397" i="1"/>
  <c r="H397" i="1" s="1"/>
  <c r="E399" i="1" l="1"/>
  <c r="G399" i="1" s="1"/>
  <c r="F398" i="1"/>
  <c r="H398" i="1" s="1"/>
  <c r="F399" i="1" l="1"/>
  <c r="H399" i="1" s="1"/>
  <c r="E400" i="1"/>
  <c r="G400" i="1" s="1"/>
  <c r="F400" i="1" l="1"/>
  <c r="H400" i="1" s="1"/>
  <c r="E401" i="1"/>
  <c r="G401" i="1" s="1"/>
  <c r="F401" i="1" l="1"/>
  <c r="H401" i="1" s="1"/>
  <c r="E402" i="1"/>
  <c r="G402" i="1" s="1"/>
  <c r="E403" i="1" l="1"/>
  <c r="G403" i="1" s="1"/>
  <c r="F402" i="1"/>
  <c r="H402" i="1" s="1"/>
  <c r="F403" i="1" l="1"/>
  <c r="H403" i="1" s="1"/>
  <c r="E404" i="1"/>
  <c r="G404" i="1" s="1"/>
  <c r="E406" i="1" l="1"/>
  <c r="G406" i="1" s="1"/>
  <c r="F404" i="1"/>
  <c r="H404" i="1" s="1"/>
  <c r="E407" i="1" l="1"/>
  <c r="G407" i="1" s="1"/>
  <c r="F406" i="1"/>
  <c r="H406" i="1" s="1"/>
  <c r="E408" i="1" l="1"/>
  <c r="G408" i="1" s="1"/>
  <c r="F407" i="1"/>
  <c r="H407" i="1" s="1"/>
  <c r="F408" i="1" l="1"/>
  <c r="H408" i="1" s="1"/>
  <c r="E409" i="1"/>
  <c r="G409" i="1" s="1"/>
  <c r="E410" i="1" l="1"/>
  <c r="F409" i="1"/>
  <c r="H409" i="1" s="1"/>
  <c r="F410" i="1" l="1"/>
  <c r="G410" i="1"/>
  <c r="F412" i="1" l="1"/>
  <c r="H410" i="1"/>
</calcChain>
</file>

<file path=xl/sharedStrings.xml><?xml version="1.0" encoding="utf-8"?>
<sst xmlns="http://schemas.openxmlformats.org/spreadsheetml/2006/main" count="2936" uniqueCount="1130">
  <si>
    <t>Updated possible values and description columns throughout table for accuracy.</t>
  </si>
  <si>
    <t>Changed Questionnaire Response positions 887 - 906, 1107 - 1126, 1327 - 1346, and 1547 - 1566 to a length of 15, rather than 20.  The Student Questionnaire Responses for each subject are 15 questions.  The remaining length of 5 have been changed to filler.</t>
  </si>
  <si>
    <r>
      <t xml:space="preserve">"HI </t>
    </r>
    <r>
      <rPr>
        <sz val="10"/>
        <rFont val="Lucida Console"/>
        <family val="3"/>
      </rPr>
      <t>–</t>
    </r>
    <r>
      <rPr>
        <sz val="10"/>
        <rFont val="Arial"/>
        <family val="2"/>
      </rPr>
      <t xml:space="preserve"> Deaf", "HI – Hard of Hearing", and Deaf-Blindness have been changed to "HI-Deaf", "HI-Hard of Hearing", and "Deafblindness" as possible values in the following positions: 199 - 200, 328 - 329, 457 - 458, 2476, 2479 - 2480, 2504, 2507 - 2508, 2532, and 2535 - 2536.</t>
    </r>
  </si>
  <si>
    <t>1 = Regular Education
2 = Special Education</t>
  </si>
  <si>
    <t>Record Length:</t>
  </si>
  <si>
    <t>Field Use</t>
  </si>
  <si>
    <t>K, E</t>
  </si>
  <si>
    <t>E</t>
  </si>
  <si>
    <t>Science Item Responses</t>
  </si>
  <si>
    <t>Social Studies Item Responses</t>
  </si>
  <si>
    <t>Raw Score for Each Content Standard</t>
  </si>
  <si>
    <t>Raw Score for Each Subtest</t>
  </si>
  <si>
    <t>Raw Score for Item Type</t>
  </si>
  <si>
    <t>Multiple-Choice Items</t>
  </si>
  <si>
    <t xml:space="preserve">Constructed-Response Items </t>
  </si>
  <si>
    <t>Subtest 1: Multiple-Choice Items</t>
  </si>
  <si>
    <t>Standard 1: Science as Inquiry</t>
  </si>
  <si>
    <t>Standard 2: Physical Science</t>
  </si>
  <si>
    <t>Standard 3: Life Science</t>
  </si>
  <si>
    <t>Standard 4: Earth and Space Science</t>
  </si>
  <si>
    <t>Standard 5: Science and the Environment</t>
  </si>
  <si>
    <t>Subtest 2: Short Answer Items</t>
  </si>
  <si>
    <t>Standard 1: Geography</t>
  </si>
  <si>
    <t>Standard 2: Civics</t>
  </si>
  <si>
    <t>Standard 3: Economics</t>
  </si>
  <si>
    <t>Standard 4: History</t>
  </si>
  <si>
    <t xml:space="preserve">Subtest 1: Multiple-Choice Items </t>
  </si>
  <si>
    <t>Summarized Void Flags</t>
  </si>
  <si>
    <t>Included in N-counts</t>
  </si>
  <si>
    <t>District Void Flags</t>
  </si>
  <si>
    <t>Plagiarism Void Flags</t>
  </si>
  <si>
    <t>Document-Level Summarized Education Classification Flag</t>
  </si>
  <si>
    <t>Summarized Education Classification - Document 3</t>
  </si>
  <si>
    <t>Summarized Education Classification</t>
  </si>
  <si>
    <t>LEP Flag</t>
  </si>
  <si>
    <t>Summarized LEP Status - Document 3</t>
  </si>
  <si>
    <t>Student's school was included in Student Reports (SR).</t>
  </si>
  <si>
    <t>Student's school was included in erasure reports.</t>
  </si>
  <si>
    <t>LDE gets reports of student's district.</t>
  </si>
  <si>
    <t>Student's district gets district reports.</t>
  </si>
  <si>
    <t>Student's school was included in LEA code for district level reporting.</t>
  </si>
  <si>
    <t>1 = Regular
2 = Home Study
3 = Nonpublic School</t>
  </si>
  <si>
    <t>Added Reading Subscore Achievement Level to pos. 558-560</t>
  </si>
  <si>
    <t>Added Reading Subscore Raw Score to pos. 551-554</t>
  </si>
  <si>
    <t>Added Reading Subscore Scaled Score field.  Pos. 555-557</t>
  </si>
  <si>
    <t>The TA Number (positions 2827-2829, 2870-2872, and 2913-2915) will now be included in the Simple and Researcher files.</t>
  </si>
  <si>
    <t xml:space="preserve">Batch Number was updated from 4 to 6 positions.  Filler was used from the surrounding Filler fields.  The following are the three batch number positions: pos. 2137 - 2142, pos. 2162 - 2167, and pos. 2187 - 2192. </t>
  </si>
  <si>
    <t>Changed position 2252 - 2254 to Filler.</t>
  </si>
  <si>
    <t>Y = Yes
N = No
U = Unknown</t>
  </si>
  <si>
    <t>Y = Yes
N = No</t>
  </si>
  <si>
    <t>Student's school was included in Student Labels.</t>
  </si>
  <si>
    <t xml:space="preserve">Y = Yes
N = No    </t>
  </si>
  <si>
    <t>Y = Subject was attempted
N = Subject was not attempted</t>
  </si>
  <si>
    <t>Y = Plagiarism in subject
N = No plagiarism in subject</t>
  </si>
  <si>
    <t>Y = Include student in summary
      N-counts for subject
N = Do not include student in summary 
      N-counts for subject</t>
  </si>
  <si>
    <r>
      <t>BLK = Test History found and was blank
UNS = Unsatisfactory
APP = Approaching Basic
BAS = Basic
MAS = Mastery
ADV = Advanced
NOT = No Test History</t>
    </r>
    <r>
      <rPr>
        <strike/>
        <sz val="10"/>
        <rFont val="Arial"/>
        <family val="2"/>
      </rPr>
      <t/>
    </r>
  </si>
  <si>
    <t>COMMON DEMOGRAPHIC INFORMATION</t>
  </si>
  <si>
    <t>RESPONSE STRINGS BY SUBJECT</t>
  </si>
  <si>
    <t>SCIENCE SCORING INFORMATION</t>
  </si>
  <si>
    <t>SOCIAL STUDIES SCORING INFORMATION</t>
  </si>
  <si>
    <t>Removed Cleanup Flag fields from pos. 2767-2771 and pos. 2773-2777.  All were changed to Filler and combined with surrounding Filler fields to create one row.</t>
  </si>
  <si>
    <t>Added possible value of "03" to position 2116 - 2117 for "LEP but passed first part of ELDA".</t>
  </si>
  <si>
    <t>Changed position 135 to filler.  The Barcode/Student Precode Number was a length of 10 for positions 126 - 135, and it should only be 9.</t>
  </si>
  <si>
    <t>Updated possible values for position 149-152, to reflect revised values of 0, 8 and 9 for the decade years on answer documents.</t>
  </si>
  <si>
    <t>Y = Void in subject
N = No void in subject</t>
  </si>
  <si>
    <t>Y = District void in subject
N = No district void in subject</t>
  </si>
  <si>
    <t xml:space="preserve">Removed grades 03, 05 - 07, and 09 as possible values in positions 94 - 95.  Updated the Comments field to remove the DRC LAP Update note. </t>
  </si>
  <si>
    <t>STUDENT FLAGS BY SUBJECT</t>
  </si>
  <si>
    <t>Jennifer Klein</t>
  </si>
  <si>
    <t>As flagged on the LAP file.
Blank for a hand-coded document that could not be matched back to the LAP file.</t>
  </si>
  <si>
    <t>At 2557 Added bubbled diploma endorsement fields (4)</t>
  </si>
  <si>
    <t>Y = Yes, student classified as a straggler 
N = No, student not classified as a straggler</t>
  </si>
  <si>
    <t xml:space="preserve"> </t>
  </si>
  <si>
    <t>Changed Disaster Code field to Filler in position 182-183 because it is not used this year.</t>
  </si>
  <si>
    <t>Repeating Grade</t>
  </si>
  <si>
    <t>Added ART and AA to Interested Parties column for DRC Unique Student ID</t>
  </si>
  <si>
    <t>Updated Value Descriptions for Disaster Code and TA Number fields</t>
  </si>
  <si>
    <t>Removed ** footnote (Used for am Operational administration only) from the 'Updated Accountability Code' fields in positions 2238-2245</t>
  </si>
  <si>
    <t>Test Date Month</t>
  </si>
  <si>
    <t>Test Date Year</t>
  </si>
  <si>
    <t>Straggler</t>
  </si>
  <si>
    <t>District Code</t>
  </si>
  <si>
    <t>School Code</t>
  </si>
  <si>
    <t>District Name</t>
  </si>
  <si>
    <t>School Name</t>
  </si>
  <si>
    <t>Summarized Grade</t>
  </si>
  <si>
    <t>Student Last Name</t>
  </si>
  <si>
    <t>Student First Name</t>
  </si>
  <si>
    <t>Student Middle Initial</t>
  </si>
  <si>
    <t>State ID</t>
  </si>
  <si>
    <t>Barcode/Student Precode Number</t>
  </si>
  <si>
    <t>Summarized DOB Month</t>
  </si>
  <si>
    <t>Summarized DOB Day</t>
  </si>
  <si>
    <t>Summarized DOB Year</t>
  </si>
  <si>
    <t>Summarized Gender</t>
  </si>
  <si>
    <t>Summarized Lunch Status</t>
  </si>
  <si>
    <t>LAP March Update Flag</t>
  </si>
  <si>
    <t>Summarized Migrant Status</t>
  </si>
  <si>
    <t>Security Barcode Number</t>
  </si>
  <si>
    <t>Bubbled Migrant Status</t>
  </si>
  <si>
    <t>Bubbled Lunch Status</t>
  </si>
  <si>
    <t>Bubbled Education Classification</t>
  </si>
  <si>
    <t>RSD was split into two assess gropus: RLA and RNO.  The possible value of "RSD" was removed and "RLA" and "RNO" were added to position 2132-2133.</t>
  </si>
  <si>
    <t>Bubbled Special Education Test Accommodations</t>
  </si>
  <si>
    <t>No Accommodations</t>
  </si>
  <si>
    <t>Braille</t>
  </si>
  <si>
    <t>Large Print</t>
  </si>
  <si>
    <t>Answers Recorded</t>
  </si>
  <si>
    <t>Assistive Technology</t>
  </si>
  <si>
    <t>Extended Time</t>
  </si>
  <si>
    <t>Communication Assistance (Exception: ELA Reading &amp; Responding)</t>
  </si>
  <si>
    <t>Transferred Answers</t>
  </si>
  <si>
    <t>Individual/Small Group Administration</t>
  </si>
  <si>
    <t>Tests Read Aloud (Exception: ELA Reading &amp; Responding)</t>
  </si>
  <si>
    <t>Other</t>
  </si>
  <si>
    <t>Bubbled Limited English Proficient (LEP) Status</t>
  </si>
  <si>
    <t>Bubbled LEP Test Accommodations</t>
  </si>
  <si>
    <t>Test Administered by ESL Teacher or Individual Providing Language Services</t>
  </si>
  <si>
    <t>Bubbled Section 504 Status</t>
  </si>
  <si>
    <t>Bubbled Section 504 Test Accommodations</t>
  </si>
  <si>
    <t>Bubbled Optional Local Use</t>
  </si>
  <si>
    <t>Bubbled Accountability Code</t>
  </si>
  <si>
    <t>Multiple Choice / Constructed Response Items Attempted Flag</t>
  </si>
  <si>
    <t>Provision of English/Native Language Word-to-Word Dictionary (No Definitions)</t>
  </si>
  <si>
    <t>DOCUMENT 3 DEMOGRAPHIC INFORMATION</t>
  </si>
  <si>
    <t>Changed position 2151, 2176, and 2201 to filler.  The lithocode was previously a length of 8 with a leading zero, and should only be a length of 7.</t>
  </si>
  <si>
    <t>Two fields from LAP file (pos. 2106-2107 and 2108-2109) will be included in every admin's LDESTD file and not spring only.</t>
  </si>
  <si>
    <t>Y</t>
  </si>
  <si>
    <t>N</t>
  </si>
  <si>
    <t>Removed possible values "18", "19", and "20" from position 2108 - 2109.  Values equal to "18", "19", or "20" were due to the LAP update process.</t>
  </si>
  <si>
    <t>Changed Footnote: Diploma Endorsement positions 2789, 2799, 2809, and 2819 to filler.</t>
  </si>
  <si>
    <t>Changed Footnote: Eligible for Waiver positions 2795 and 2805 to filler.</t>
  </si>
  <si>
    <t>Removed possible values "3" from position 2130.  If value was equal to 3, it was due to the LAP update process.</t>
  </si>
  <si>
    <t>Changed position 171 to Filler with the removal of the March DRC Precode Update Flag.</t>
  </si>
  <si>
    <t>Removed ELA/Math and Science/Social Studies Technical Education fields from pos. 2096 and 2097.  All were changed to Filler and combined with surrounding Filler fields to create one row.</t>
  </si>
  <si>
    <t>WEB HISTORY BY SUBJECT</t>
  </si>
  <si>
    <t>File Creation Date and Time Stamp</t>
  </si>
  <si>
    <t>Jamie Kubik</t>
  </si>
  <si>
    <t>Set default values to dashes (-) for pos. 145-152</t>
  </si>
  <si>
    <t>Set default values to blank for pos. 2238-2251</t>
  </si>
  <si>
    <t>Added a flag to identify students as stragglers in position 7</t>
  </si>
  <si>
    <t>Changed references of "Bob K." to "AA"</t>
  </si>
  <si>
    <t>Reduced Summarized Spec. Ed. Fields to one 2-digit field (starting positions 199, 328, and 457)</t>
  </si>
  <si>
    <t>Added footnote for SEM high and low to show that they are used only in Spring</t>
  </si>
  <si>
    <t>At 1692, 1813, 1934 and 2055, added value description "Blank = No document returned".</t>
  </si>
  <si>
    <t>At 2392-2395, added value description "U = Unknown".</t>
  </si>
  <si>
    <t>Added 'Waiver' Footnote Flag to pos. 2795 and 2805</t>
  </si>
  <si>
    <t>ASSESSMENT ROLLUP AND INCLUSION FLAGS</t>
  </si>
  <si>
    <t>Student's scores were summarized in the State totals.</t>
  </si>
  <si>
    <t>Student's school was included in the district level media reports.</t>
  </si>
  <si>
    <t>Date the file was generated</t>
  </si>
  <si>
    <t>Added possible value of "RES" to positions 2132 - 2133 and 2252 - 2254.</t>
  </si>
  <si>
    <t>At 190, 310 &amp; 439 Changed back to FILLER and moved the Test Administrator Numbers by subject to the end of the file by the Test Administrator Names.</t>
  </si>
  <si>
    <t xml:space="preserve">Updated field 2756 with values used for form letters
1 = student passed all subjects
2 = student did not pass at least one subject
3 = grade 4 passed eligible for remediation
N = student will not be included on the form letter
</t>
  </si>
  <si>
    <t>Precoded' fields added as follows:  Precoded Gender (pos. 167), Precoded Ethnicity (pos. 168), Precoded Migrant Status (pos. 178), Precoded LEP Status (pos. 2114)</t>
  </si>
  <si>
    <t>Add Migrant Precode, Bubbled, and Summary flags to pos. 196, 325, 454, 179, and 180</t>
  </si>
  <si>
    <t>Add LDE Unique ID to pos. 3001-3007</t>
  </si>
  <si>
    <t>Change pos. 2130 to LAP LEAP Repeater flag</t>
  </si>
  <si>
    <t>Add Summarized Repeater flag to pos. 2135</t>
  </si>
  <si>
    <t>At 159, changed Teacher LASIP trained to Filler.</t>
  </si>
  <si>
    <t>At 299 &amp; 428,  Added the Career Tech of General CTE.  This pushed the Career-Major field down one into the filler that used to be the teacher name.</t>
  </si>
  <si>
    <t>Changed Initial Test status to be used in all administrations.</t>
  </si>
  <si>
    <t>M = Male
F = Female
I = Invalid</t>
  </si>
  <si>
    <t>1 = Free
2 = Reduced
0 = Paid
9 = Unknown</t>
  </si>
  <si>
    <t>"E" has been populated in the field use column for the following positions: 2092-2095 Include in N-counts and 2733 Roll up to State.  These fields will be used by PS in the Equating file.</t>
  </si>
  <si>
    <t>LDE Precoded LEP Status field expanded to two positions, pos. 2116-2117</t>
  </si>
  <si>
    <t>LDE Precode File LEP 2 Yr Flag moved from pos. 2117 to pos. 2118.</t>
  </si>
  <si>
    <t>At 2787, 2797, 2807 &amp; 2817:  Changed the first two footnote flags to filler.  Used to be "No Attempts" and "Valid Accountability Code".  Changed the third footnote flag to "Diploma Endorsement".  Used to be "Verify Option 2 Status"</t>
  </si>
  <si>
    <t>At 175 - Moved the Routing school number to 2246 and removed the Actual District and School numbers that were there.</t>
  </si>
  <si>
    <t>All tests administered as makeup fields were changed to filler.  Positions: 195-197, 324-325, 453-454.</t>
  </si>
  <si>
    <t>Denise Gunderson</t>
  </si>
  <si>
    <t>Added District Void flag fields in positions 2079-2082</t>
  </si>
  <si>
    <t>Remove "0=888 schl (unknown) from the description of the Homeschool/Non-public Flag in current position 2134.</t>
  </si>
  <si>
    <t>Updates from Layout Review with LDE.</t>
  </si>
  <si>
    <t>Y = LEP
N = Not LEP</t>
  </si>
  <si>
    <t>Y = 504
N = Not 504</t>
  </si>
  <si>
    <t>Added comments to the document demographics information for all subjects.  Valid values to include spaces if we did not receive an answer document.</t>
  </si>
  <si>
    <t>After correcting some cell errors in the from/to columns the actual new record length is 3030.</t>
  </si>
  <si>
    <t>Changed positions 2065-2068 (Erasure Analysis Void Flag) to filler.  Erasure is no longer a possible reason flag for voiding a student.</t>
  </si>
  <si>
    <t xml:space="preserve">Corrected formulas at the end of the spreadsheet for the Unique Student ID, Date/time stamp and the end of the file. </t>
  </si>
  <si>
    <t>Bubbled Gender</t>
  </si>
  <si>
    <t>Removed Science/Social Studies Career and Technical Education fields from pos. 421-430.  All were changed to Filler and combined with surrounding Filler fields to create one row.</t>
  </si>
  <si>
    <t>Removed possible values of "No" and "*" from the following, since the 'No' bubbles were removed from the answer documents: 
   Calculator Use - position 156
   LEP - positions 239, 368, and 497
   Section 504 - positions 251, 380, and 509</t>
  </si>
  <si>
    <t>SUBJECT PREVIOUSLY TAKEN FLAGS</t>
  </si>
  <si>
    <t>Description/Comments</t>
  </si>
  <si>
    <t>Possible Values</t>
  </si>
  <si>
    <t>SEM High</t>
  </si>
  <si>
    <t>SEM Low</t>
  </si>
  <si>
    <t>At 1673, Moved the scores up in the file a few characters in order to get the SEM High and SEM Low scores together and in the same order for all subjects.</t>
  </si>
  <si>
    <t>At 1685, 1806, 1917 &amp; 2048, added SEM High and SEM Low</t>
  </si>
  <si>
    <t>Added additional form numbers to the valid form fields.  1 = Regular and 2 = Braille.</t>
  </si>
  <si>
    <t>Starting Location</t>
  </si>
  <si>
    <t>Ending Location</t>
  </si>
  <si>
    <t>At 2428, added February Test Scores loaded in retest admins.</t>
  </si>
  <si>
    <t>Student's school was included in Assessment Group Code for district level reporting.</t>
  </si>
  <si>
    <t>Corrected description of "bubbled" lunch status to include "blanks"</t>
  </si>
  <si>
    <t>STUDENT LEVEL REPORTING FLAGS</t>
  </si>
  <si>
    <t>Changed position 2772 to filler</t>
  </si>
  <si>
    <t>Entered
By</t>
  </si>
  <si>
    <t>Cathy Stampfle</t>
  </si>
  <si>
    <t xml:space="preserve">    Revision:</t>
  </si>
  <si>
    <t>Date
Revised:</t>
  </si>
  <si>
    <t>Position 172:  Expanded Field Name from "LEAP 21 Status" to "LEAP 21 Promotional Status", and added "Met BSE Promotion Policy" in the Comments column.</t>
  </si>
  <si>
    <r>
      <t>Keep this log intact (</t>
    </r>
    <r>
      <rPr>
        <b/>
        <sz val="8"/>
        <color indexed="10"/>
        <rFont val="Arial"/>
        <family val="2"/>
      </rPr>
      <t>even when carrying forward to a new administration</t>
    </r>
    <r>
      <rPr>
        <b/>
        <sz val="10"/>
        <color indexed="10"/>
        <rFont val="Arial"/>
        <family val="2"/>
      </rPr>
      <t xml:space="preserve">) to serve as a historical reference.  </t>
    </r>
  </si>
  <si>
    <t>This logging process implemented on 12/7/04</t>
  </si>
  <si>
    <t>filler at end of layout increased from 34 to 38 bytes</t>
  </si>
  <si>
    <t>Kevin Bushey</t>
  </si>
  <si>
    <t>Added column "Interested Parties"</t>
  </si>
  <si>
    <t>Sherry Schlick</t>
  </si>
  <si>
    <t>At 182, Added Hurricane code</t>
  </si>
  <si>
    <t>At 420, Changed Science LASIP to FILLER</t>
  </si>
  <si>
    <t>Added Student Level Reporting Flags for ISRs, Labels, Form letters and Cleanup reports.</t>
  </si>
  <si>
    <t>Admin.</t>
  </si>
  <si>
    <t>At 188, the start and end location numbers did not continue correctly.  Fixed it to work right and removed some filler at the end of the file.</t>
  </si>
  <si>
    <t>FOOTNOTE FLAGS BY SUBJECT - SCIENCE</t>
  </si>
  <si>
    <t>FOOTNOTE FLAGS BY SUBJECT - SOCIAL STUDIES</t>
  </si>
  <si>
    <t>Added Subject level footnote flags</t>
  </si>
  <si>
    <t>Adjusted/Added filler before and after footnotes</t>
  </si>
  <si>
    <t>At 181, changed the value for Paid lunch to be zero instead of blank.</t>
  </si>
  <si>
    <t>Summarized LEP Status</t>
  </si>
  <si>
    <t>Section 504 Flag</t>
  </si>
  <si>
    <t>Summarized Section 504 Status - Document 3</t>
  </si>
  <si>
    <t>Summarized Section 504 Status</t>
  </si>
  <si>
    <t>Student Testing Status Flags</t>
  </si>
  <si>
    <t>Minor updates to the Admin column per the Spring LDESTD file layout review.</t>
  </si>
  <si>
    <t>Added "99 = Unknown (multiple responses)" to the Summarized Special Education Category positions 199-200, 328-329, and 457-458.</t>
  </si>
  <si>
    <t>School Type Flags</t>
  </si>
  <si>
    <t>Updated description for position 2074-2077 to remove the Erasure void.</t>
  </si>
  <si>
    <t>The layout and format of the LDESTD file layout has been updated.</t>
  </si>
  <si>
    <t>The possible value of OYD was updated to OJJ, and the possible value of NPS was added to position 2132-2133.</t>
  </si>
  <si>
    <t>Home Study/Nonpublic Flag</t>
  </si>
  <si>
    <t>DOCUMENT 3 SCAN INFORMATION</t>
  </si>
  <si>
    <t>Document Type Returned - Document 3</t>
  </si>
  <si>
    <t>Science Testing History</t>
  </si>
  <si>
    <t>O</t>
  </si>
  <si>
    <t>O, S</t>
  </si>
  <si>
    <t>Highest Previous Science Scaled Score</t>
  </si>
  <si>
    <t>Highest Previous Science Administration</t>
  </si>
  <si>
    <t>Social Studies Testing History</t>
  </si>
  <si>
    <t>Highest Previous Social Studies Scaled Score</t>
  </si>
  <si>
    <t>Highest Previous Social Studies Administration</t>
  </si>
  <si>
    <t>LAP Gender</t>
  </si>
  <si>
    <t>Filler position 171 was changed to LAP Gender.</t>
  </si>
  <si>
    <t>Precoded Gender</t>
  </si>
  <si>
    <t>Precoded Migrant Status</t>
  </si>
  <si>
    <t>Precoded LEP Status</t>
  </si>
  <si>
    <t>D = student no longer enrolled in Louisiana
        schools since submission of Nov. LAP
        file.
N = student newly enrolled in Louisiana
        schools since submission of Nov. LAP
        file.
Blank = student enrollment status 
         unchanged since submission 
         of Nov LAP file.</t>
  </si>
  <si>
    <t>Rollup to State</t>
  </si>
  <si>
    <t>Include in District Media Reports</t>
  </si>
  <si>
    <t>Include in School Media Reports</t>
  </si>
  <si>
    <t>Summarize to Assessment Group Code for district level reporting</t>
  </si>
  <si>
    <t>Show 'N/A' in place of district results on school reports</t>
  </si>
  <si>
    <t>Schools summarized to LEA Code for district level reporting</t>
  </si>
  <si>
    <t>District reports go to district</t>
  </si>
  <si>
    <t>District report goes to LDE</t>
  </si>
  <si>
    <t>Cleanup reports</t>
  </si>
  <si>
    <t>Summary Reports</t>
  </si>
  <si>
    <t>Erasure Reports</t>
  </si>
  <si>
    <t>Roster Reports</t>
  </si>
  <si>
    <t>Remediation Reports</t>
  </si>
  <si>
    <t>Student Labels</t>
  </si>
  <si>
    <t xml:space="preserve">Student Label </t>
  </si>
  <si>
    <t>Document 3 Test Administrator Information</t>
  </si>
  <si>
    <t>This is the last 8 digits of the document security barcode number.</t>
  </si>
  <si>
    <t>Removed possible values of "No" and "*" from the following, since the 'No' bubbles were removed from the answer documents: 
   Attended ELA Remediation - position 160
   Attended Math Remediation - position 161
   Attended Sci/Soc Remediation - position 162</t>
  </si>
  <si>
    <t>At 1577, 1698, 1819 and 1940: Added comment that if the field is blank there was no score for this student for this subject.</t>
  </si>
  <si>
    <t>At 2132, School type COR changed to OYD.</t>
  </si>
  <si>
    <t>Free Lunch field - Changed Unknown from 3 to 9</t>
  </si>
  <si>
    <t>At 135 - Text changes to remove DRC administration specific numbers (195, etc.)</t>
  </si>
  <si>
    <t>DOCUMENT TYPE RETURNED</t>
  </si>
  <si>
    <t>Add March LAP file update flag to pos. 170</t>
  </si>
  <si>
    <t>Add March DRC Precode file update flag to pos. 171.</t>
  </si>
  <si>
    <t>Add Precoded Ethnicity value to pos. 169</t>
  </si>
  <si>
    <t>Add Precoded Education Classification to pos. 2104</t>
  </si>
  <si>
    <t>At 290 &amp; 419 - Routing site code that was bubbled on the answer document.</t>
  </si>
  <si>
    <t>At 182, 302 &amp; 414:  Added Answer Document Security Barcode number.  Only the 8 significant digits (from the right) are being stored here.  The Security checklists that the district receives only carry the 8 digits as well.</t>
  </si>
  <si>
    <t>At 190, 310 &amp; 439 added Test Administrator Number by subject.</t>
  </si>
  <si>
    <t>At 199,328,457,2473,2501 &amp; 2529: Changed the order and text for the Education Classifications.  They now match the answer document.  Went from 18 categories down to 17.  (16 was blank now 18 is blank.)</t>
  </si>
  <si>
    <t>At 197, 326 &amp; 455 the Bubbled Free Lunch is scanned into our files with a 3 for paid lunch.  If this field is used in the summarized lunch field we will leave this field as a 3 and convert the summarized field to a zero .</t>
  </si>
  <si>
    <t>Added DRC Unique Student ID number.  It will remain at the end of the record with the date/time stamp.</t>
  </si>
  <si>
    <t>DRC Unique Student ID</t>
  </si>
  <si>
    <t>Student Reports</t>
  </si>
  <si>
    <t>History Achievement fields - History is now looked up by demographics for handgridded documents now too.</t>
  </si>
  <si>
    <t>Adjusted record length to 2848</t>
  </si>
  <si>
    <t>Simple and Researcher files will NOT contain the bubbled free lunch status fields.</t>
  </si>
  <si>
    <t>School Type indicator (2133) enlarged to be 2 characters using 2132</t>
  </si>
  <si>
    <t>Changed several Research and Simple file indicators to Yes (see yellow)</t>
  </si>
  <si>
    <t>Student Questionnaire response string fields changed to filler.  (pos. 887-911, 1107-1131, 1327-1351, 1547-1571)</t>
  </si>
  <si>
    <t>At 175 - District/School the student was actually routed to.</t>
  </si>
  <si>
    <t>At 165, 166, 168 &amp; 170:  Moved the Updated Accountability codes BACK to 2238.</t>
  </si>
  <si>
    <t>Filler position 182 was changed to the LAP Homeless Flag.</t>
  </si>
  <si>
    <t>At 2733, Added the Test Administrator number, last name, first name for each possible subject combination.  This pushed the end of file fields out to make our new record length at 2930.</t>
  </si>
  <si>
    <t>Summer Test Form fields changed to filler.  (pos. 2402-2403, 2410-2411, 2418-2419, 2426-2427)</t>
  </si>
  <si>
    <t>Eligible for Appeal flags for SCI and SOC changed to filler.  (pos. 2810, 2820)</t>
  </si>
  <si>
    <t>Passed with Summer Remediation Optional flags for SCI and SOC changed to filler.  (pos. 2812, 2822)</t>
  </si>
  <si>
    <t>Added Student Level Routing School at position 175</t>
  </si>
  <si>
    <t>Added Routing School Number still invalid flag at position 2777</t>
  </si>
  <si>
    <t>Somewhere above the record length was changed to 2860</t>
  </si>
  <si>
    <t>At 197, 326 and 455 convert the paid lunch bubble from a 3 to a zero to match the precoded and summarized lunch fields.  This will NOT change the data in the DRC student demographics file.</t>
  </si>
  <si>
    <t>Column 3 - Changed SSA to ART and DM to AA.</t>
  </si>
  <si>
    <t>Changed to new LEAP/GEE logos.</t>
  </si>
  <si>
    <t xml:space="preserve">FILLER </t>
  </si>
  <si>
    <t>Added 'LDE Precode File LEP Status' to position 2116</t>
  </si>
  <si>
    <t>Corrected description of Summary Special Ed Categories.  If more than one bubble in 1-17 the student will receive 17-Other Multiple.</t>
  </si>
  <si>
    <t>Length</t>
  </si>
  <si>
    <t>Field Name</t>
  </si>
  <si>
    <t>FILLER</t>
  </si>
  <si>
    <t>Filler positions 201, 330, and 459 were changed to Bubbled Gender.</t>
  </si>
  <si>
    <t>Filler positions 202, 331, and 460 were changed to Bubbled Ethnicity.</t>
  </si>
  <si>
    <t>At 155, Changed field definition to be the SUMMARIZED lunch status.</t>
  </si>
  <si>
    <t>At 181, Added a one character field to hold the PRECODED lunch status value.</t>
  </si>
  <si>
    <t>Changed filler at 197, 326 and 455 to represent the BUBBLED response on each answer document for the Free Lunch status.</t>
  </si>
  <si>
    <t>Year of test</t>
  </si>
  <si>
    <t>Add LDE Precode File LEP 2 Yr Flag to pos. 2117.</t>
  </si>
  <si>
    <t>Y = Classified as a Migrant Student
N = Not classified as a Migrant Student</t>
  </si>
  <si>
    <t>Added Spring Accountability Code fields in pos. 2230-2237.</t>
  </si>
  <si>
    <t>Unique number generated at the time the student record is converted into the DRC Student File.  (Starts over each administration.)
Blank for Equating file.</t>
  </si>
  <si>
    <t xml:space="preserve">"*", "-", and "_" values are changed to spaces, and then the spaces are removed by compressing the values from the name field. </t>
  </si>
  <si>
    <t>Student's SSN
"*" and " " values are changed to "-".</t>
  </si>
  <si>
    <t>Summarized Test Taken Flag</t>
  </si>
  <si>
    <t>Updated Accountability Code - Document 3</t>
  </si>
  <si>
    <t>Bubbled Previously Attempted Tests - Document 3 (SCI/SOC)</t>
  </si>
  <si>
    <t>Document Site code</t>
  </si>
  <si>
    <t>Site code - Document 3</t>
  </si>
  <si>
    <t>Summarized Accommodations by Subject</t>
  </si>
  <si>
    <t xml:space="preserve">      Summarized Special Ed Test Accommodations</t>
  </si>
  <si>
    <t xml:space="preserve">      Summarized LEP Test Accommodations</t>
  </si>
  <si>
    <t xml:space="preserve">      Summarized Section 504 Test Accommodations</t>
  </si>
  <si>
    <t>SCIENCE</t>
  </si>
  <si>
    <t>SOCIAL STUDIES</t>
  </si>
  <si>
    <t>Y = Student has the Test Accommodation
N = Student does not have the Test 
        Accommodation</t>
  </si>
  <si>
    <t>Breanna Squire</t>
  </si>
  <si>
    <t>Summarized Previously Attempted Tests - SCI/SOC</t>
  </si>
  <si>
    <t>Total points earned for each Science content standard.
Blank when content standard is not assessed (zero points possible), or when the Raw Score Total for Science is blank.</t>
  </si>
  <si>
    <t>Total points earned for each Social Studies content standard.
Blank when content standard is not assessed (zero points possible), or when the Raw Score Total for Social Studies is blank.</t>
  </si>
  <si>
    <t>"*", "-", and "_" values are changed to spaces</t>
  </si>
  <si>
    <t>Precoded Ethnicity/Race</t>
  </si>
  <si>
    <t>Bubbled Ethnicity/Race</t>
  </si>
  <si>
    <t>Hispanic/Latino</t>
  </si>
  <si>
    <t>Asian</t>
  </si>
  <si>
    <t>Black or African American</t>
  </si>
  <si>
    <t>Native Hawaiian or Other Pacific Islander</t>
  </si>
  <si>
    <t>White</t>
  </si>
  <si>
    <t>LAP Ethnicity/Race</t>
  </si>
  <si>
    <t>Ethnicity/Race Flag</t>
  </si>
  <si>
    <t>LAP Hispanic/Latino</t>
  </si>
  <si>
    <t>LAP Asian</t>
  </si>
  <si>
    <t>LAP Black or African American</t>
  </si>
  <si>
    <t>LAP Native Hawaiian or Other Pacific Islander</t>
  </si>
  <si>
    <t>LAP White</t>
  </si>
  <si>
    <t>Summarized Ethnicity/Race - Document 3</t>
  </si>
  <si>
    <t>Precoded McKinney-Vento Act (Homeless)</t>
  </si>
  <si>
    <t>Summarized McKinney-Vento Act (Homeless)</t>
  </si>
  <si>
    <t>Bubbled McKinney-Vento Act (Homeless)</t>
  </si>
  <si>
    <r>
      <rPr>
        <b/>
        <sz val="10"/>
        <rFont val="Arial"/>
        <family val="2"/>
      </rPr>
      <t xml:space="preserve">(Fall 2010) </t>
    </r>
    <r>
      <rPr>
        <sz val="10"/>
        <rFont val="Arial"/>
        <family val="2"/>
      </rPr>
      <t>Updated field name for Summarized Ethnicity in position 154 to Summarized Ethnicity/Race and updated possible values from 1-5 and I to 1-7 and I with the new federal possible values.</t>
    </r>
  </si>
  <si>
    <r>
      <rPr>
        <b/>
        <sz val="10"/>
        <rFont val="Arial"/>
        <family val="2"/>
      </rPr>
      <t xml:space="preserve">(Fall 2010) </t>
    </r>
    <r>
      <rPr>
        <sz val="10"/>
        <rFont val="Arial"/>
        <family val="2"/>
      </rPr>
      <t xml:space="preserve">Updated field name for Precoded Ethnicity in position 168 to Precoded Ethnicity/Race and changed the 'Include in Research file' and 'Include in Final file' fields from 'Y' to 'N'. </t>
    </r>
  </si>
  <si>
    <r>
      <rPr>
        <b/>
        <sz val="10"/>
        <rFont val="Arial"/>
        <family val="2"/>
      </rPr>
      <t xml:space="preserve">(Fall 2010) </t>
    </r>
    <r>
      <rPr>
        <sz val="10"/>
        <rFont val="Arial"/>
        <family val="2"/>
      </rPr>
      <t>Changed position 169, LAP Ethnicity, to FILLER.</t>
    </r>
  </si>
  <si>
    <r>
      <rPr>
        <b/>
        <sz val="10"/>
        <rFont val="Arial"/>
        <family val="2"/>
      </rPr>
      <t>(Fall 2010)</t>
    </r>
    <r>
      <rPr>
        <sz val="10"/>
        <rFont val="Arial"/>
        <family val="2"/>
      </rPr>
      <t xml:space="preserve"> Changed position 184, FILLER, to Summarized McKinney-Vento Act (Homeless).</t>
    </r>
  </si>
  <si>
    <r>
      <rPr>
        <b/>
        <sz val="10"/>
        <rFont val="Arial"/>
        <family val="2"/>
      </rPr>
      <t>(Fall 2010)</t>
    </r>
    <r>
      <rPr>
        <sz val="10"/>
        <rFont val="Arial"/>
        <family val="2"/>
      </rPr>
      <t xml:space="preserve"> Changed position 183, FILLER, to Precoded McKinney-Vento Act (Homeless).</t>
    </r>
  </si>
  <si>
    <r>
      <rPr>
        <b/>
        <sz val="10"/>
        <rFont val="Arial"/>
        <family val="2"/>
      </rPr>
      <t>(Fall 2010)</t>
    </r>
    <r>
      <rPr>
        <sz val="10"/>
        <rFont val="Arial"/>
        <family val="2"/>
      </rPr>
      <t xml:space="preserve"> Changed position 202, Bubbled Ethnicity for Document 1, to FILLER.</t>
    </r>
  </si>
  <si>
    <r>
      <rPr>
        <b/>
        <sz val="10"/>
        <rFont val="Arial"/>
        <family val="2"/>
      </rPr>
      <t xml:space="preserve">(Fall 2010) </t>
    </r>
    <r>
      <rPr>
        <sz val="10"/>
        <rFont val="Arial"/>
        <family val="2"/>
      </rPr>
      <t>Changed position 204-209, FILLER, to Bubbled Ethnicity/Race for Document 1.</t>
    </r>
  </si>
  <si>
    <r>
      <rPr>
        <b/>
        <sz val="10"/>
        <rFont val="Arial"/>
        <family val="2"/>
      </rPr>
      <t>(Fall 2010)</t>
    </r>
    <r>
      <rPr>
        <sz val="10"/>
        <rFont val="Arial"/>
        <family val="2"/>
      </rPr>
      <t xml:space="preserve"> Changed position 210, FILLER, to Bubbled McKinney-Vento Act (Homeless) for Document 1.</t>
    </r>
  </si>
  <si>
    <r>
      <rPr>
        <b/>
        <sz val="10"/>
        <rFont val="Arial"/>
        <family val="2"/>
      </rPr>
      <t>(Fall 2010)</t>
    </r>
    <r>
      <rPr>
        <sz val="10"/>
        <rFont val="Arial"/>
        <family val="2"/>
      </rPr>
      <t xml:space="preserve"> Changed position 331, Bubbled Ethnicity for Document 2, to FILLER.</t>
    </r>
  </si>
  <si>
    <r>
      <rPr>
        <b/>
        <sz val="10"/>
        <rFont val="Arial"/>
        <family val="2"/>
      </rPr>
      <t xml:space="preserve">(Fall 2010) </t>
    </r>
    <r>
      <rPr>
        <sz val="10"/>
        <rFont val="Arial"/>
        <family val="2"/>
      </rPr>
      <t>Changed position 333-338, FILLER, to Bubbled Ethnicity/Race for Document 2.</t>
    </r>
  </si>
  <si>
    <r>
      <rPr>
        <b/>
        <sz val="10"/>
        <rFont val="Arial"/>
        <family val="2"/>
      </rPr>
      <t>(Fall 2010)</t>
    </r>
    <r>
      <rPr>
        <sz val="10"/>
        <rFont val="Arial"/>
        <family val="2"/>
      </rPr>
      <t xml:space="preserve"> Changed position 339, FILLER, to Bubbled McKinney-Vento Act (Homeless) for Document 2.</t>
    </r>
  </si>
  <si>
    <r>
      <rPr>
        <b/>
        <sz val="10"/>
        <rFont val="Arial"/>
        <family val="2"/>
      </rPr>
      <t xml:space="preserve">(Fall 2010) </t>
    </r>
    <r>
      <rPr>
        <sz val="10"/>
        <rFont val="Arial"/>
        <family val="2"/>
      </rPr>
      <t>Changed position 460, Bubbled Ethnicity for Document 3, to FILLER.</t>
    </r>
  </si>
  <si>
    <r>
      <rPr>
        <b/>
        <sz val="10"/>
        <rFont val="Arial"/>
        <family val="2"/>
      </rPr>
      <t>(Fall 2010)</t>
    </r>
    <r>
      <rPr>
        <sz val="10"/>
        <rFont val="Arial"/>
        <family val="2"/>
      </rPr>
      <t xml:space="preserve"> Changed position 462-467, FILLER, to Bubbled Ethnicity/Race for Document 3.</t>
    </r>
  </si>
  <si>
    <r>
      <rPr>
        <b/>
        <sz val="10"/>
        <rFont val="Arial"/>
        <family val="2"/>
      </rPr>
      <t xml:space="preserve">(Fall 2010) </t>
    </r>
    <r>
      <rPr>
        <sz val="10"/>
        <rFont val="Arial"/>
        <family val="2"/>
      </rPr>
      <t>Changed position 468, FILLER, to Bubbled McKinney-Vento Act (Homeless) for Document 3.</t>
    </r>
  </si>
  <si>
    <r>
      <rPr>
        <b/>
        <sz val="10"/>
        <rFont val="Arial"/>
        <family val="2"/>
      </rPr>
      <t>(Fall 2010)</t>
    </r>
    <r>
      <rPr>
        <sz val="10"/>
        <rFont val="Arial"/>
        <family val="2"/>
      </rPr>
      <t xml:space="preserve"> Changed position 590, Bubbled Ethnicity for Document 4, and positions 591-595, FILLER, to Bubbled Ethnicity/Race for Document 4..</t>
    </r>
  </si>
  <si>
    <r>
      <rPr>
        <b/>
        <sz val="10"/>
        <rFont val="Arial"/>
        <family val="2"/>
      </rPr>
      <t>(Fall 2010)</t>
    </r>
    <r>
      <rPr>
        <sz val="10"/>
        <rFont val="Arial"/>
        <family val="2"/>
      </rPr>
      <t xml:space="preserve"> Changed position 596, FILLER, to Bubbled McKinney-Vento Act (Homeless) for Document 4.</t>
    </r>
  </si>
  <si>
    <r>
      <rPr>
        <b/>
        <sz val="10"/>
        <rFont val="Arial"/>
        <family val="2"/>
      </rPr>
      <t>(Fall 2010)</t>
    </r>
    <r>
      <rPr>
        <sz val="10"/>
        <rFont val="Arial"/>
        <family val="2"/>
      </rPr>
      <t xml:space="preserve"> Changed position 2633-2638, FILLER, to LAP Ethnicity/Race.</t>
    </r>
  </si>
  <si>
    <r>
      <rPr>
        <b/>
        <sz val="10"/>
        <rFont val="Arial"/>
        <family val="2"/>
      </rPr>
      <t>(Fall 2010)</t>
    </r>
    <r>
      <rPr>
        <sz val="10"/>
        <rFont val="Arial"/>
        <family val="2"/>
      </rPr>
      <t xml:space="preserve"> Changed position 2639-2642, FILLER, to Ethnicity/Race Flag for Document 1-4 Level Summary fields.</t>
    </r>
  </si>
  <si>
    <t>Include in LDE Staff &amp; Contractors file?</t>
  </si>
  <si>
    <t>LDESTD File Layout - Final file_Assessment and Accountability Staff</t>
  </si>
  <si>
    <t>Include in Researcher file?</t>
  </si>
  <si>
    <r>
      <rPr>
        <b/>
        <sz val="10"/>
        <rFont val="Arial"/>
        <family val="2"/>
      </rPr>
      <t>(Fall)</t>
    </r>
    <r>
      <rPr>
        <sz val="10"/>
        <rFont val="Arial"/>
        <family val="2"/>
      </rPr>
      <t xml:space="preserve"> Updated the file heading from 'Complete' to 'Final file_Assessment and Accountability Staff'.</t>
    </r>
  </si>
  <si>
    <r>
      <rPr>
        <b/>
        <sz val="10"/>
        <rFont val="Arial"/>
        <family val="2"/>
      </rPr>
      <t>(Fall)</t>
    </r>
    <r>
      <rPr>
        <sz val="10"/>
        <rFont val="Arial"/>
        <family val="2"/>
      </rPr>
      <t xml:space="preserve"> Updated the Research and Final (Simple) column fields to be Researcher and LDE Staff &amp; Contractors.</t>
    </r>
  </si>
  <si>
    <r>
      <rPr>
        <b/>
        <sz val="10"/>
        <rFont val="Arial"/>
        <family val="2"/>
      </rPr>
      <t xml:space="preserve">(Summer) </t>
    </r>
    <r>
      <rPr>
        <sz val="10"/>
        <rFont val="Arial"/>
        <family val="2"/>
      </rPr>
      <t>Updated field name for Accountability Codes from Spring fields in positions 2230-2237 to use 'document' instead of 'subject'.</t>
    </r>
  </si>
  <si>
    <r>
      <rPr>
        <b/>
        <sz val="10"/>
        <rFont val="Arial"/>
        <family val="2"/>
      </rPr>
      <t xml:space="preserve">(Summer) </t>
    </r>
    <r>
      <rPr>
        <sz val="10"/>
        <rFont val="Arial"/>
        <family val="2"/>
      </rPr>
      <t>Added four footnote subject flags for the new partial footnote that will appear on the School Roster Report in positions 2789, 2799, 2809, and 2819.</t>
    </r>
  </si>
  <si>
    <r>
      <rPr>
        <b/>
        <sz val="10"/>
        <rFont val="Arial"/>
        <family val="2"/>
      </rPr>
      <t xml:space="preserve">(Spring) </t>
    </r>
    <r>
      <rPr>
        <sz val="10"/>
        <rFont val="Arial"/>
        <family val="2"/>
      </rPr>
      <t>Changed position 2246-2251 from "Updated Routing Site-code" to FILLER.</t>
    </r>
  </si>
  <si>
    <r>
      <rPr>
        <b/>
        <sz val="10"/>
        <rFont val="Arial"/>
        <family val="2"/>
      </rPr>
      <t xml:space="preserve">(Spring) </t>
    </r>
    <r>
      <rPr>
        <sz val="10"/>
        <rFont val="Arial"/>
        <family val="2"/>
      </rPr>
      <t>Added Spring 'O' to the Administration field for Document Type Returned - Document 3 position 2269.</t>
    </r>
  </si>
  <si>
    <r>
      <rPr>
        <b/>
        <sz val="10"/>
        <rFont val="Arial"/>
        <family val="2"/>
      </rPr>
      <t xml:space="preserve">(Spring) </t>
    </r>
    <r>
      <rPr>
        <sz val="10"/>
        <rFont val="Arial"/>
        <family val="2"/>
      </rPr>
      <t>Added Summarized Document Type Returned - Document 4 to position 2270.</t>
    </r>
  </si>
  <si>
    <r>
      <rPr>
        <b/>
        <sz val="10"/>
        <rFont val="Arial"/>
        <family val="2"/>
      </rPr>
      <t xml:space="preserve">(Spring) </t>
    </r>
    <r>
      <rPr>
        <sz val="10"/>
        <rFont val="Arial"/>
        <family val="2"/>
      </rPr>
      <t>Added Document 4 Bubbled Special Education Categories to positions 2557-2573.</t>
    </r>
  </si>
  <si>
    <r>
      <rPr>
        <b/>
        <sz val="10"/>
        <rFont val="Arial"/>
        <family val="2"/>
      </rPr>
      <t xml:space="preserve">(Spring)) </t>
    </r>
    <r>
      <rPr>
        <sz val="10"/>
        <rFont val="Arial"/>
        <family val="2"/>
      </rPr>
      <t>Added Filler to positions 2574-2584 to match the filler positions after each documents Bubbled Special Education Categories.</t>
    </r>
  </si>
  <si>
    <r>
      <rPr>
        <b/>
        <sz val="10"/>
        <rFont val="Arial"/>
        <family val="2"/>
      </rPr>
      <t xml:space="preserve">(Spring) </t>
    </r>
    <r>
      <rPr>
        <sz val="10"/>
        <rFont val="Arial"/>
        <family val="2"/>
      </rPr>
      <t>Renamed 'Testing Site Code' to 'Document Site Code' for positions 2609-2632.</t>
    </r>
  </si>
  <si>
    <r>
      <rPr>
        <b/>
        <sz val="10"/>
        <rFont val="Arial"/>
        <family val="2"/>
      </rPr>
      <t xml:space="preserve">(Spring) </t>
    </r>
    <r>
      <rPr>
        <sz val="10"/>
        <rFont val="Arial"/>
        <family val="2"/>
      </rPr>
      <t>Added Spring 'O' to Bubbled Test Administrator number in position 2913-2915, Test Administrator Last Name in positions 2916-2935, and Test Administrator First Name in positions 2936-2955.</t>
    </r>
  </si>
  <si>
    <r>
      <rPr>
        <b/>
        <sz val="10"/>
        <rFont val="Arial"/>
        <family val="2"/>
      </rPr>
      <t xml:space="preserve">(Spring) </t>
    </r>
    <r>
      <rPr>
        <sz val="10"/>
        <rFont val="Arial"/>
        <family val="2"/>
      </rPr>
      <t>Added Document 4 Test Administrator Information in positions 2956-2998.</t>
    </r>
  </si>
  <si>
    <r>
      <rPr>
        <b/>
        <sz val="10"/>
        <rFont val="Arial"/>
        <family val="2"/>
      </rPr>
      <t xml:space="preserve">(Spring) </t>
    </r>
    <r>
      <rPr>
        <sz val="10"/>
        <rFont val="Arial"/>
        <family val="2"/>
      </rPr>
      <t>Added Summarized Special Education Category by Subject to positions 3106-3113.</t>
    </r>
  </si>
  <si>
    <r>
      <rPr>
        <b/>
        <sz val="10"/>
        <rFont val="Arial"/>
        <family val="2"/>
      </rPr>
      <t xml:space="preserve">(Spring) </t>
    </r>
    <r>
      <rPr>
        <sz val="10"/>
        <rFont val="Arial"/>
        <family val="2"/>
      </rPr>
      <t>Added Filler to positions 3014-3121.</t>
    </r>
  </si>
  <si>
    <r>
      <rPr>
        <b/>
        <sz val="10"/>
        <rFont val="Arial"/>
        <family val="2"/>
      </rPr>
      <t xml:space="preserve">(Spring) </t>
    </r>
    <r>
      <rPr>
        <sz val="10"/>
        <rFont val="Arial"/>
        <family val="2"/>
      </rPr>
      <t>Added Summarized Accommodations by Subject for Special Ed, LEP, and Section 504 to positions 3122-3233.</t>
    </r>
  </si>
  <si>
    <r>
      <rPr>
        <b/>
        <sz val="10"/>
        <rFont val="Arial"/>
        <family val="2"/>
      </rPr>
      <t xml:space="preserve">(Spring) </t>
    </r>
    <r>
      <rPr>
        <sz val="10"/>
        <rFont val="Arial"/>
        <family val="2"/>
      </rPr>
      <t>Updated possible values Summarized Test Accommodations by Subject and some analysis of other overall Summarized values within the LDESTD file, it was determined that the possible values for these fields in the LDESTD file layout should be changed from ‘1 = Yes’ and ‘blank = ’ to ‘Y’ and ‘N’.</t>
    </r>
  </si>
  <si>
    <r>
      <rPr>
        <b/>
        <sz val="10"/>
        <rFont val="Arial"/>
        <family val="2"/>
      </rPr>
      <t xml:space="preserve">(Spring) </t>
    </r>
    <r>
      <rPr>
        <sz val="10"/>
        <rFont val="Arial"/>
        <family val="2"/>
      </rPr>
      <t>The Summarized Special Education Category by document fields (199-200, 328-329, 457-458, and 587-588) and the Summarized Special Education Category by Subject fields (3106-3113) in the LDESTD file layout had the possible value of ‘Blank = document not returned’ which was changed to ‘Blank = student has no special education category’.  This change was necessary because at the document level summary if the document was returned or not returned the summary value is ‘blank’, so the definition wasn’t correct.</t>
    </r>
  </si>
  <si>
    <r>
      <rPr>
        <b/>
        <sz val="10"/>
        <rFont val="Arial"/>
        <family val="2"/>
      </rPr>
      <t xml:space="preserve">(Spring) </t>
    </r>
    <r>
      <rPr>
        <sz val="10"/>
        <rFont val="Arial"/>
        <family val="2"/>
      </rPr>
      <t>The Serial Number by document field's (2143-2148, 2168-2173, 2193-2198, and 2215-2220) was previously '00000000' if the document was not returned, which was inconsistent with the Batch and Lithocode fields being 'blank' when the document was not returned.  The length was changed to be more accurate from 8 to 6, as this is only a 6 position value.  The FILLER fields that follow the Serial Number fields were lengthened by 2.</t>
    </r>
  </si>
  <si>
    <r>
      <rPr>
        <b/>
        <sz val="10"/>
        <rFont val="Arial"/>
        <family val="2"/>
      </rPr>
      <t xml:space="preserve">(Spring) </t>
    </r>
    <r>
      <rPr>
        <sz val="10"/>
        <rFont val="Arial"/>
        <family val="2"/>
      </rPr>
      <t>The value of ‘O’ has been added within the ‘Admin’ column for positions 2428-2451 for the February Achievement Level and February Scaled Scores for all subjects, to show these values will be populated within the Spring LDESTD file.</t>
    </r>
  </si>
  <si>
    <r>
      <rPr>
        <b/>
        <sz val="10"/>
        <rFont val="Arial"/>
        <family val="2"/>
      </rPr>
      <t xml:space="preserve">(Spring) </t>
    </r>
    <r>
      <rPr>
        <sz val="10"/>
        <rFont val="Arial"/>
        <family val="2"/>
      </rPr>
      <t>References to the 'Summarized Special Education Exceptionalities' section of the Processing Rules were updated to the correct name of 'Summarized Special Education Category' for the description/notes column for the following positions: 199-200, 328-329, 457-458, 587-588, and 3106-3113.</t>
    </r>
  </si>
  <si>
    <r>
      <rPr>
        <b/>
        <sz val="10"/>
        <rFont val="Arial"/>
        <family val="2"/>
      </rPr>
      <t xml:space="preserve">(Spring) </t>
    </r>
    <r>
      <rPr>
        <sz val="10"/>
        <rFont val="Arial"/>
        <family val="2"/>
      </rPr>
      <t>Position 3103 - Added Summarized Subject(s) for LEAP Tutoring</t>
    </r>
  </si>
  <si>
    <r>
      <rPr>
        <b/>
        <sz val="10"/>
        <rFont val="Arial"/>
        <family val="2"/>
      </rPr>
      <t xml:space="preserve">(Spring) </t>
    </r>
    <r>
      <rPr>
        <sz val="10"/>
        <rFont val="Arial"/>
        <family val="2"/>
      </rPr>
      <t>Position 3104 - Added Summarized Previously Attempted Tests – ELA/Math</t>
    </r>
  </si>
  <si>
    <r>
      <rPr>
        <b/>
        <sz val="10"/>
        <rFont val="Arial"/>
        <family val="2"/>
      </rPr>
      <t xml:space="preserve">(Spring) </t>
    </r>
    <r>
      <rPr>
        <sz val="10"/>
        <rFont val="Arial"/>
        <family val="2"/>
      </rPr>
      <t>Position 3105 – Added Summarized Previously Attempted Tests – SCI/SOC</t>
    </r>
  </si>
  <si>
    <r>
      <rPr>
        <b/>
        <sz val="10"/>
        <rFont val="Arial"/>
        <family val="2"/>
      </rPr>
      <t xml:space="preserve">(Spring) </t>
    </r>
    <r>
      <rPr>
        <sz val="10"/>
        <rFont val="Arial"/>
        <family val="2"/>
      </rPr>
      <t>Clarified when the fields in the ELA, Math, Science, and Social Studies Scoring Information section, 1572-1985, values are blank.</t>
    </r>
  </si>
  <si>
    <r>
      <rPr>
        <b/>
        <sz val="10"/>
        <rFont val="Arial"/>
        <family val="2"/>
      </rPr>
      <t xml:space="preserve">(Spring) </t>
    </r>
    <r>
      <rPr>
        <sz val="10"/>
        <rFont val="Arial"/>
        <family val="2"/>
      </rPr>
      <t>Clarified when the &lt;Subject&gt; Test Form fields in positions 1692, 1813, 1934, and 2055 are blank, now that there are up to two documents containing each subject.</t>
    </r>
  </si>
  <si>
    <r>
      <rPr>
        <b/>
        <sz val="10"/>
        <rFont val="Arial"/>
        <family val="2"/>
      </rPr>
      <t>(Spring)</t>
    </r>
    <r>
      <rPr>
        <sz val="10"/>
        <rFont val="Arial"/>
        <family val="2"/>
      </rPr>
      <t xml:space="preserve"> Updated field name for Updated Accountability Codes in positions 2238-2245 to use 'document' instead of 'subject'.</t>
    </r>
  </si>
  <si>
    <r>
      <rPr>
        <b/>
        <sz val="10"/>
        <rFont val="Arial"/>
        <family val="2"/>
      </rPr>
      <t>(Spring)</t>
    </r>
    <r>
      <rPr>
        <sz val="10"/>
        <rFont val="Arial"/>
        <family val="2"/>
      </rPr>
      <t>Added Document 4 Scan Information for Batch Number in position 2209-2214, Serial Number in position 2215-2222, and Lithocode in position 2223-2229.</t>
    </r>
  </si>
  <si>
    <r>
      <rPr>
        <b/>
        <sz val="10"/>
        <rFont val="Arial"/>
        <family val="2"/>
      </rPr>
      <t>(Spring)</t>
    </r>
    <r>
      <rPr>
        <sz val="10"/>
        <rFont val="Arial"/>
        <family val="2"/>
      </rPr>
      <t>Added Spring 'O' to Batch Number, Serial Number, and Lithocode for Document 3 Scan Information in positions 2187-2192, 2193-2200, and 2202-2208.</t>
    </r>
  </si>
  <si>
    <r>
      <rPr>
        <b/>
        <sz val="10"/>
        <rFont val="Arial"/>
        <family val="2"/>
      </rPr>
      <t>(Spring)</t>
    </r>
    <r>
      <rPr>
        <sz val="10"/>
        <rFont val="Arial"/>
        <family val="2"/>
      </rPr>
      <t>Added Summarized Section 504 Status - Document 4 to position 2124.</t>
    </r>
  </si>
  <si>
    <r>
      <rPr>
        <b/>
        <sz val="10"/>
        <rFont val="Arial"/>
        <family val="2"/>
      </rPr>
      <t>(Spring)</t>
    </r>
    <r>
      <rPr>
        <sz val="10"/>
        <rFont val="Arial"/>
        <family val="2"/>
      </rPr>
      <t>Added Spring 'O' to the Administration field for Summarized Section 504 Status - Document 3 position 2123.</t>
    </r>
  </si>
  <si>
    <r>
      <rPr>
        <b/>
        <sz val="10"/>
        <rFont val="Arial"/>
        <family val="2"/>
      </rPr>
      <t>(Spring)</t>
    </r>
    <r>
      <rPr>
        <sz val="10"/>
        <rFont val="Arial"/>
        <family val="2"/>
      </rPr>
      <t>Added Summarized LEP Status - Document 4 to position 2119.</t>
    </r>
  </si>
  <si>
    <r>
      <rPr>
        <b/>
        <sz val="10"/>
        <rFont val="Arial"/>
        <family val="2"/>
      </rPr>
      <t xml:space="preserve">(Spring) </t>
    </r>
    <r>
      <rPr>
        <sz val="10"/>
        <rFont val="Arial"/>
        <family val="2"/>
      </rPr>
      <t>Added Spring 'O' to the Administration field for Summarized LEP Status - Document 3 position 2103.</t>
    </r>
  </si>
  <si>
    <r>
      <rPr>
        <b/>
        <sz val="10"/>
        <rFont val="Arial"/>
        <family val="2"/>
      </rPr>
      <t xml:space="preserve">(Spring) </t>
    </r>
    <r>
      <rPr>
        <sz val="10"/>
        <rFont val="Arial"/>
        <family val="2"/>
      </rPr>
      <t>Added Summarized Education Classification - Document 4 to position 2110.</t>
    </r>
  </si>
  <si>
    <r>
      <rPr>
        <b/>
        <sz val="10"/>
        <rFont val="Arial"/>
        <family val="2"/>
      </rPr>
      <t xml:space="preserve">(Spring) </t>
    </r>
    <r>
      <rPr>
        <sz val="10"/>
        <rFont val="Arial"/>
        <family val="2"/>
      </rPr>
      <t>Changed position 156 from "Bubbled Calculator Use (Math Only)" to FILLER.  There are now two documents in Spring that have this field.  Three positions have been added within the file layout for "Bubbled Calculator Use (Math Only)" into the document demographic information sections: document 1 is position 203, document 2 is position 332, and document 3 is position 461.</t>
    </r>
  </si>
  <si>
    <r>
      <rPr>
        <b/>
        <sz val="10"/>
        <rFont val="Arial"/>
        <family val="2"/>
      </rPr>
      <t xml:space="preserve">(Spring) </t>
    </r>
    <r>
      <rPr>
        <sz val="10"/>
        <rFont val="Arial"/>
        <family val="2"/>
      </rPr>
      <t>Renamed position 157 &amp; 158 to use "Document" instead of subject.  Updated the description/comments with description of phase/subject within each document.</t>
    </r>
  </si>
  <si>
    <r>
      <rPr>
        <b/>
        <sz val="10"/>
        <rFont val="Arial"/>
        <family val="2"/>
      </rPr>
      <t xml:space="preserve">(Spring) </t>
    </r>
    <r>
      <rPr>
        <sz val="10"/>
        <rFont val="Arial"/>
        <family val="2"/>
      </rPr>
      <t>Changed position 159, Filler, to 'Bubbled Previously Attempted Tests - Document 3 (ELA/Math)'.  Possible values and description/comments were updated for phase/subject.</t>
    </r>
  </si>
  <si>
    <r>
      <rPr>
        <b/>
        <sz val="10"/>
        <rFont val="Arial"/>
        <family val="2"/>
      </rPr>
      <t xml:space="preserve">(Spring) </t>
    </r>
    <r>
      <rPr>
        <sz val="10"/>
        <rFont val="Arial"/>
        <family val="2"/>
      </rPr>
      <t>Changed position 163, Filler, to 'Bubbled Previously Attempted Tests - Document 3 (SCI/SOC)'.  Possible values and description/comments were updated for phase/subject.</t>
    </r>
  </si>
  <si>
    <r>
      <rPr>
        <b/>
        <sz val="10"/>
        <rFont val="Arial"/>
        <family val="2"/>
      </rPr>
      <t xml:space="preserve">(Spring) </t>
    </r>
    <r>
      <rPr>
        <sz val="10"/>
        <rFont val="Arial"/>
        <family val="2"/>
      </rPr>
      <t>Changed position 164, Filler, to 'Bubbled Previously Attempted Tests - Document 4'.  Possible values and description/comments were updated for phase/subject.</t>
    </r>
  </si>
  <si>
    <r>
      <rPr>
        <b/>
        <sz val="10"/>
        <rFont val="Arial"/>
        <family val="2"/>
      </rPr>
      <t xml:space="preserve">(Spring) </t>
    </r>
    <r>
      <rPr>
        <sz val="10"/>
        <rFont val="Arial"/>
        <family val="2"/>
      </rPr>
      <t>Changed the 'Include in Research file' and 'Include in Simple file' fields from 'Y' to 'N' for positions 222-232, 240-245, and 252-262.</t>
    </r>
  </si>
  <si>
    <r>
      <rPr>
        <b/>
        <sz val="10"/>
        <rFont val="Arial"/>
        <family val="2"/>
      </rPr>
      <t xml:space="preserve">(Spring) </t>
    </r>
    <r>
      <rPr>
        <sz val="10"/>
        <rFont val="Arial"/>
        <family val="2"/>
      </rPr>
      <t>Added Bubbled Accountability Code for document 3 and 4 in Spring for positions 522-523 and 671-672.</t>
    </r>
  </si>
  <si>
    <r>
      <rPr>
        <b/>
        <sz val="10"/>
        <rFont val="Arial"/>
        <family val="2"/>
      </rPr>
      <t xml:space="preserve">(Spring) </t>
    </r>
    <r>
      <rPr>
        <sz val="10"/>
        <rFont val="Arial"/>
        <family val="2"/>
      </rPr>
      <t>Added possible value of '------ = no response (document returned)' for Bubbled Routing Information in positions 285-290, 414-419, 524-529, and 673-678.  LEAP/GEE project was translating dashes to blank in the LDESTD file, and now LEAP/GEE will match all other Spring project’s and use the possible value of all dashes.</t>
    </r>
  </si>
  <si>
    <r>
      <rPr>
        <b/>
        <sz val="10"/>
        <rFont val="Arial"/>
        <family val="2"/>
      </rPr>
      <t xml:space="preserve">(Spring) </t>
    </r>
    <r>
      <rPr>
        <sz val="10"/>
        <rFont val="Arial"/>
        <family val="2"/>
      </rPr>
      <t>Renamed position 301 to use "Bubbled".</t>
    </r>
  </si>
  <si>
    <r>
      <rPr>
        <b/>
        <sz val="10"/>
        <rFont val="Arial"/>
        <family val="2"/>
      </rPr>
      <t xml:space="preserve">(Spring) </t>
    </r>
    <r>
      <rPr>
        <sz val="10"/>
        <rFont val="Arial"/>
        <family val="2"/>
      </rPr>
      <t>Changed the 'Include in Research file' and 'Include in Simple file' fields from 'Y' to 'N' for positions 351-361, 369-374, and 381-391.</t>
    </r>
  </si>
  <si>
    <r>
      <rPr>
        <b/>
        <sz val="10"/>
        <rFont val="Arial"/>
        <family val="2"/>
      </rPr>
      <t xml:space="preserve">(Spring) </t>
    </r>
    <r>
      <rPr>
        <sz val="10"/>
        <rFont val="Arial"/>
        <family val="2"/>
      </rPr>
      <t>Added Spring 'O' to the Administration field for document 3 positions 431-520 (not including filler).</t>
    </r>
  </si>
  <si>
    <r>
      <rPr>
        <b/>
        <sz val="10"/>
        <rFont val="Arial"/>
        <family val="2"/>
      </rPr>
      <t xml:space="preserve">(Spring) </t>
    </r>
    <r>
      <rPr>
        <sz val="10"/>
        <rFont val="Arial"/>
        <family val="2"/>
      </rPr>
      <t>Changed the 'Include in Research file' and 'Include in Simple file' fields from 'Y' to 'N' for positions 480-490, 498-503, and 510-520.</t>
    </r>
  </si>
  <si>
    <r>
      <rPr>
        <b/>
        <sz val="10"/>
        <rFont val="Arial"/>
        <family val="2"/>
      </rPr>
      <t>(Spring)</t>
    </r>
    <r>
      <rPr>
        <sz val="10"/>
        <rFont val="Arial"/>
        <family val="2"/>
      </rPr>
      <t xml:space="preserve"> Added Bubbled Subjects for LEAP Tutoring for Document 3 position 521.</t>
    </r>
  </si>
  <si>
    <r>
      <rPr>
        <b/>
        <sz val="10"/>
        <rFont val="Arial"/>
        <family val="2"/>
      </rPr>
      <t xml:space="preserve">(Spring) </t>
    </r>
    <r>
      <rPr>
        <sz val="10"/>
        <rFont val="Arial"/>
        <family val="2"/>
      </rPr>
      <t>Added Bubbled Accountability Code for document 3 in Spring to positions 522-523.</t>
    </r>
  </si>
  <si>
    <r>
      <rPr>
        <b/>
        <sz val="10"/>
        <rFont val="Arial"/>
        <family val="2"/>
      </rPr>
      <t xml:space="preserve">(Spring) </t>
    </r>
    <r>
      <rPr>
        <sz val="10"/>
        <rFont val="Arial"/>
        <family val="2"/>
      </rPr>
      <t>Added Bubbled Routing Information for document 3 in Spring to positions 524-529.</t>
    </r>
  </si>
  <si>
    <r>
      <rPr>
        <b/>
        <sz val="10"/>
        <rFont val="Arial"/>
        <family val="2"/>
      </rPr>
      <t xml:space="preserve">(Spring) </t>
    </r>
    <r>
      <rPr>
        <sz val="10"/>
        <rFont val="Arial"/>
        <family val="2"/>
      </rPr>
      <t>Added Spring 'O' to the Administration field for Bubbled Optional Local Use for document 3 positions 531-540 (not including filler).</t>
    </r>
  </si>
  <si>
    <r>
      <rPr>
        <b/>
        <sz val="10"/>
        <rFont val="Arial"/>
        <family val="2"/>
      </rPr>
      <t xml:space="preserve">(Spring) </t>
    </r>
    <r>
      <rPr>
        <sz val="10"/>
        <rFont val="Arial"/>
        <family val="2"/>
      </rPr>
      <t>Added Bubbled Enrolled or Completed a Career and Technical Education Course for document 3 in Spring to position 541.</t>
    </r>
  </si>
  <si>
    <r>
      <rPr>
        <b/>
        <sz val="10"/>
        <rFont val="Arial"/>
        <family val="2"/>
      </rPr>
      <t xml:space="preserve">(Spring) </t>
    </r>
    <r>
      <rPr>
        <sz val="10"/>
        <rFont val="Arial"/>
        <family val="2"/>
      </rPr>
      <t>Added Bubbled Career and Technical Education Program for document 3 in Spring to positions 542-549.</t>
    </r>
  </si>
  <si>
    <r>
      <rPr>
        <b/>
        <sz val="10"/>
        <rFont val="Arial"/>
        <family val="2"/>
      </rPr>
      <t xml:space="preserve">(Spring) </t>
    </r>
    <r>
      <rPr>
        <sz val="10"/>
        <rFont val="Arial"/>
        <family val="2"/>
      </rPr>
      <t>Added Bubbled Career Major for document 3 in Spring to position 550.</t>
    </r>
  </si>
  <si>
    <r>
      <rPr>
        <b/>
        <sz val="10"/>
        <rFont val="Arial"/>
        <family val="2"/>
      </rPr>
      <t xml:space="preserve">(Spring) </t>
    </r>
    <r>
      <rPr>
        <sz val="10"/>
        <rFont val="Arial"/>
        <family val="2"/>
      </rPr>
      <t>Added demographic information for document 4 to positions 561-678.</t>
    </r>
  </si>
  <si>
    <r>
      <rPr>
        <b/>
        <sz val="10"/>
        <rFont val="Arial"/>
        <family val="2"/>
      </rPr>
      <t xml:space="preserve">(Spring) </t>
    </r>
    <r>
      <rPr>
        <sz val="10"/>
        <rFont val="Arial"/>
        <family val="2"/>
      </rPr>
      <t>Renamed positions 2056-2059 to Summarized Test Taken Flags.</t>
    </r>
  </si>
  <si>
    <r>
      <rPr>
        <b/>
        <sz val="10"/>
        <rFont val="Arial"/>
        <family val="2"/>
      </rPr>
      <t xml:space="preserve">(Spring) </t>
    </r>
    <r>
      <rPr>
        <sz val="10"/>
        <rFont val="Arial"/>
        <family val="2"/>
      </rPr>
      <t>Added Test Taken Flag - Phase 1 to positions 2064-2067.  Added Blank as a possible value for LEAP subjects Science and Social Studies for phase 1.</t>
    </r>
  </si>
  <si>
    <r>
      <rPr>
        <b/>
        <sz val="10"/>
        <rFont val="Arial"/>
        <family val="2"/>
      </rPr>
      <t xml:space="preserve">(Spring) </t>
    </r>
    <r>
      <rPr>
        <sz val="10"/>
        <rFont val="Arial"/>
        <family val="2"/>
      </rPr>
      <t>Added Test Taken Flag - Phase 2 to positions 2068-2071.</t>
    </r>
  </si>
  <si>
    <r>
      <rPr>
        <b/>
        <sz val="10"/>
        <rFont val="Arial"/>
        <family val="2"/>
      </rPr>
      <t xml:space="preserve">(Spring) </t>
    </r>
    <r>
      <rPr>
        <sz val="10"/>
        <rFont val="Arial"/>
        <family val="2"/>
      </rPr>
      <t>Added Summarized Technical Education - Document 1 to position 2096.</t>
    </r>
  </si>
  <si>
    <r>
      <rPr>
        <b/>
        <sz val="10"/>
        <rFont val="Arial"/>
        <family val="2"/>
      </rPr>
      <t xml:space="preserve">(Spring) </t>
    </r>
    <r>
      <rPr>
        <sz val="10"/>
        <rFont val="Arial"/>
        <family val="2"/>
      </rPr>
      <t>Added Summarized Technical Education - Document 2 to position 2097.</t>
    </r>
  </si>
  <si>
    <r>
      <rPr>
        <b/>
        <sz val="10"/>
        <rFont val="Arial"/>
        <family val="2"/>
      </rPr>
      <t xml:space="preserve">(Spring) </t>
    </r>
    <r>
      <rPr>
        <sz val="10"/>
        <rFont val="Arial"/>
        <family val="2"/>
      </rPr>
      <t>Added Summarized Career Major to position 2098.</t>
    </r>
  </si>
  <si>
    <r>
      <rPr>
        <b/>
        <sz val="10"/>
        <rFont val="Arial"/>
        <family val="2"/>
      </rPr>
      <t xml:space="preserve">(Spring) </t>
    </r>
    <r>
      <rPr>
        <sz val="10"/>
        <rFont val="Arial"/>
        <family val="2"/>
      </rPr>
      <t>Moved Summarized Techinical Education from position 2100 to 2099.</t>
    </r>
  </si>
  <si>
    <r>
      <rPr>
        <b/>
        <sz val="10"/>
        <rFont val="Arial"/>
        <family val="2"/>
      </rPr>
      <t xml:space="preserve">(Spring) </t>
    </r>
    <r>
      <rPr>
        <sz val="10"/>
        <rFont val="Arial"/>
        <family val="2"/>
      </rPr>
      <t>Added Spring 'O' to the Administration field for Summarized Education Classification - Document 3 position 2103.</t>
    </r>
  </si>
  <si>
    <r>
      <rPr>
        <b/>
        <sz val="10"/>
        <rFont val="Arial"/>
        <family val="2"/>
      </rPr>
      <t xml:space="preserve">(February) </t>
    </r>
    <r>
      <rPr>
        <sz val="10"/>
        <rFont val="Arial"/>
        <family val="2"/>
      </rPr>
      <t>File length was extended to 3250.</t>
    </r>
  </si>
  <si>
    <r>
      <rPr>
        <b/>
        <sz val="10"/>
        <rFont val="Arial"/>
        <family val="2"/>
      </rPr>
      <t xml:space="preserve">(February) </t>
    </r>
    <r>
      <rPr>
        <sz val="10"/>
        <rFont val="Arial"/>
        <family val="2"/>
      </rPr>
      <t>Moved Filler from 3030 to 3250 to keep one byte of filler at the end of the file.</t>
    </r>
  </si>
  <si>
    <r>
      <rPr>
        <b/>
        <sz val="10"/>
        <rFont val="Arial"/>
        <family val="2"/>
      </rPr>
      <t xml:space="preserve">(February) </t>
    </r>
    <r>
      <rPr>
        <sz val="10"/>
        <rFont val="Arial"/>
        <family val="2"/>
      </rPr>
      <t>Added Filler to positions 3014-3233 for Summarized Accommodations by Subject to be added in Spring.</t>
    </r>
  </si>
  <si>
    <r>
      <rPr>
        <b/>
        <sz val="10"/>
        <rFont val="Arial"/>
        <family val="2"/>
      </rPr>
      <t xml:space="preserve">(February) </t>
    </r>
    <r>
      <rPr>
        <sz val="10"/>
        <rFont val="Arial"/>
        <family val="2"/>
      </rPr>
      <t>File length was extended, so the File Creation Date and Time Stamp was moved from position 3014-3029 to positions 3234-3249 to keep it at the end of the file.</t>
    </r>
  </si>
  <si>
    <r>
      <rPr>
        <b/>
        <sz val="10"/>
        <rFont val="Arial"/>
        <family val="2"/>
      </rPr>
      <t xml:space="preserve">(February) </t>
    </r>
    <r>
      <rPr>
        <sz val="10"/>
        <rFont val="Arial"/>
        <family val="2"/>
      </rPr>
      <t>Added a clarification to the description/comments column for Footnote/Verbiage:  Previously Passed Subject in positions 2793, 2803, 2813, and 2823 to indicate that this flag is 'N' whenthe summarized void flag (by subject) = 'Y'.</t>
    </r>
  </si>
  <si>
    <r>
      <rPr>
        <b/>
        <sz val="10"/>
        <rFont val="Arial"/>
        <family val="2"/>
      </rPr>
      <t xml:space="preserve">(February) </t>
    </r>
    <r>
      <rPr>
        <sz val="10"/>
        <rFont val="Arial"/>
        <family val="2"/>
      </rPr>
      <t>Added Filler for Document 4 Bubbled Special Education Categories and 11 bytes of filler to be added in Spring to positions 2557-2584.</t>
    </r>
  </si>
  <si>
    <r>
      <rPr>
        <b/>
        <sz val="10"/>
        <rFont val="Arial"/>
        <family val="2"/>
      </rPr>
      <t xml:space="preserve">(February) </t>
    </r>
    <r>
      <rPr>
        <sz val="10"/>
        <rFont val="Arial"/>
        <family val="2"/>
      </rPr>
      <t>Moved Bubbled Diploma Endorsement from 2557-2560 to 2585-2588 for programming reasons to keep all four document Bubbled Special Education Categories in sequential order.</t>
    </r>
  </si>
  <si>
    <r>
      <rPr>
        <b/>
        <sz val="10"/>
        <rFont val="Arial"/>
        <family val="2"/>
      </rPr>
      <t xml:space="preserve">(February) </t>
    </r>
    <r>
      <rPr>
        <sz val="10"/>
        <rFont val="Arial"/>
        <family val="2"/>
      </rPr>
      <t xml:space="preserve">Added possible value of "4 = Career Diploma Pathway/Track" to position 2130.  </t>
    </r>
  </si>
  <si>
    <r>
      <rPr>
        <b/>
        <sz val="10"/>
        <rFont val="Arial"/>
        <family val="2"/>
      </rPr>
      <t xml:space="preserve">(February) </t>
    </r>
    <r>
      <rPr>
        <sz val="10"/>
        <rFont val="Arial"/>
        <family val="2"/>
      </rPr>
      <t>Added possible value of "3 = LEP current year" to position 2118.</t>
    </r>
  </si>
  <si>
    <r>
      <rPr>
        <b/>
        <sz val="10"/>
        <rFont val="Arial"/>
        <family val="2"/>
      </rPr>
      <t xml:space="preserve">(February) </t>
    </r>
    <r>
      <rPr>
        <sz val="10"/>
        <rFont val="Arial"/>
        <family val="2"/>
      </rPr>
      <t>Removed possible value of "03 = LEP but passed first parts of ELDA" from position 2116-2117.</t>
    </r>
  </si>
  <si>
    <r>
      <rPr>
        <b/>
        <sz val="10"/>
        <rFont val="Arial"/>
        <family val="2"/>
      </rPr>
      <t xml:space="preserve">(February) </t>
    </r>
    <r>
      <rPr>
        <sz val="10"/>
        <rFont val="Arial"/>
        <family val="2"/>
      </rPr>
      <t>Added possible values of 01-34 for position 2106-2107, LAP Special Education Primary Exceptionality.</t>
    </r>
  </si>
  <si>
    <r>
      <rPr>
        <b/>
        <sz val="10"/>
        <rFont val="Arial"/>
        <family val="2"/>
      </rPr>
      <t xml:space="preserve">(February) </t>
    </r>
    <r>
      <rPr>
        <sz val="10"/>
        <rFont val="Arial"/>
        <family val="2"/>
      </rPr>
      <t>Updated the Scoring Information for each subject to further clarify the possible values for Raw Score Total and Raw Scores (Reading Subscore, Content Standards, Subject, Writing, Subtest, and Item Type).</t>
    </r>
  </si>
  <si>
    <r>
      <rPr>
        <b/>
        <sz val="10"/>
        <rFont val="Arial"/>
        <family val="2"/>
      </rPr>
      <t xml:space="preserve">(February) </t>
    </r>
    <r>
      <rPr>
        <sz val="10"/>
        <rFont val="Arial"/>
        <family val="2"/>
      </rPr>
      <t>Updated positions 692-1571 to further clarify the possible values (added blank) and descrption/comments for the Response String by Subject.</t>
    </r>
  </si>
  <si>
    <r>
      <rPr>
        <b/>
        <sz val="10"/>
        <rFont val="Arial"/>
        <family val="2"/>
      </rPr>
      <t xml:space="preserve">(February) </t>
    </r>
    <r>
      <rPr>
        <sz val="10"/>
        <rFont val="Arial"/>
        <family val="2"/>
      </rPr>
      <t>Clarified Bubbled Accountability Code possible value of '2 digit number' as '0-9, -, or * in each position' and also added '--' as a possible value for positions 283-284 and 412-413.</t>
    </r>
  </si>
  <si>
    <r>
      <rPr>
        <b/>
        <sz val="10"/>
        <rFont val="Arial"/>
        <family val="2"/>
      </rPr>
      <t xml:space="preserve">(February) </t>
    </r>
    <r>
      <rPr>
        <sz val="10"/>
        <rFont val="Arial"/>
        <family val="2"/>
      </rPr>
      <t>Added additional detail to the description/comments column for positions 145-152 that "*" and " " values are changed to "-".</t>
    </r>
  </si>
  <si>
    <r>
      <rPr>
        <b/>
        <sz val="10"/>
        <rFont val="Arial"/>
        <family val="2"/>
      </rPr>
      <t xml:space="preserve">(February) </t>
    </r>
    <r>
      <rPr>
        <sz val="10"/>
        <rFont val="Arial"/>
        <family val="2"/>
      </rPr>
      <t>Changed position 136-144, LA Generated ID, to Filler.</t>
    </r>
  </si>
  <si>
    <r>
      <rPr>
        <b/>
        <sz val="10"/>
        <rFont val="Arial"/>
        <family val="2"/>
      </rPr>
      <t xml:space="preserve">(February) </t>
    </r>
    <r>
      <rPr>
        <sz val="10"/>
        <rFont val="Arial"/>
        <family val="2"/>
      </rPr>
      <t>Added possible values and detail to the description/comments column for positions 117-125 that "*" and " " values are changed to "-".</t>
    </r>
  </si>
  <si>
    <r>
      <rPr>
        <b/>
        <sz val="10"/>
        <rFont val="Arial"/>
        <family val="2"/>
      </rPr>
      <t xml:space="preserve">(February) </t>
    </r>
    <r>
      <rPr>
        <sz val="10"/>
        <rFont val="Arial"/>
        <family val="2"/>
      </rPr>
      <t>Added additional detail to the descrption/comments column for positions 96-115 that "*", "-", and "_" values are changed to spaces, and then the spaces are removed by compressing the values from the name fields.</t>
    </r>
  </si>
  <si>
    <r>
      <rPr>
        <b/>
        <sz val="10"/>
        <rFont val="Arial"/>
        <family val="2"/>
      </rPr>
      <t>(Fall 2010)</t>
    </r>
    <r>
      <rPr>
        <sz val="10"/>
        <rFont val="Arial"/>
        <family val="2"/>
      </rPr>
      <t xml:space="preserve"> Added description of "Void due to plagiarism." to positions 2083-2086.</t>
    </r>
  </si>
  <si>
    <t>Charter Type</t>
  </si>
  <si>
    <t>1 = Type 1 Charter
2 = Type 2 Charter
3 = Type 3 Charter
4 = Type 4 Charter
5 = Type 5 Charter
Blank = Not a Charter School</t>
  </si>
  <si>
    <r>
      <rPr>
        <b/>
        <sz val="10"/>
        <rFont val="Arial"/>
        <family val="2"/>
      </rPr>
      <t xml:space="preserve">(Spring 2011) </t>
    </r>
    <r>
      <rPr>
        <sz val="10"/>
        <rFont val="Arial"/>
        <family val="2"/>
      </rPr>
      <t>Added Charter Type field to position 2136.</t>
    </r>
  </si>
  <si>
    <t>Precoded Section 504 Status</t>
  </si>
  <si>
    <r>
      <rPr>
        <b/>
        <sz val="10"/>
        <rFont val="Arial"/>
        <family val="2"/>
      </rPr>
      <t>(Spring 2011)</t>
    </r>
    <r>
      <rPr>
        <sz val="10"/>
        <rFont val="Arial"/>
        <family val="2"/>
      </rPr>
      <t xml:space="preserve"> Added LAP Section 504 field to position 2119.</t>
    </r>
  </si>
  <si>
    <r>
      <rPr>
        <b/>
        <sz val="10"/>
        <rFont val="Arial"/>
        <family val="2"/>
      </rPr>
      <t>(Spring 2011)</t>
    </r>
    <r>
      <rPr>
        <sz val="10"/>
        <rFont val="Arial"/>
        <family val="2"/>
      </rPr>
      <t xml:space="preserve"> Added Precoded Section 504 field to position 2120.</t>
    </r>
  </si>
  <si>
    <r>
      <rPr>
        <b/>
        <sz val="10"/>
        <rFont val="Arial"/>
        <family val="2"/>
      </rPr>
      <t>(Spring 2011)</t>
    </r>
    <r>
      <rPr>
        <sz val="10"/>
        <rFont val="Arial"/>
        <family val="2"/>
      </rPr>
      <t xml:space="preserve"> Updated the Include in N-Counts business rule to reference the new Include in N-Counts section in the Scoring Processing Rules for how the flags are set positions 2092-2095.</t>
    </r>
  </si>
  <si>
    <r>
      <rPr>
        <b/>
        <sz val="10"/>
        <rFont val="Arial"/>
        <family val="2"/>
      </rPr>
      <t>(Spring 2011)</t>
    </r>
    <r>
      <rPr>
        <sz val="10"/>
        <rFont val="Arial"/>
        <family val="2"/>
      </rPr>
      <t xml:space="preserve"> Added LDE Unique ID (GUID) to positions 3014-3023 and changed the field length to 10.</t>
    </r>
  </si>
  <si>
    <r>
      <rPr>
        <b/>
        <sz val="10"/>
        <rFont val="Arial"/>
        <family val="2"/>
      </rPr>
      <t xml:space="preserve">(Spring 2011) </t>
    </r>
    <r>
      <rPr>
        <sz val="10"/>
        <rFont val="Arial"/>
        <family val="2"/>
      </rPr>
      <t>Added Non-traditional Flag field to position 2087.</t>
    </r>
  </si>
  <si>
    <t>Summarized Accountability Code - Science</t>
  </si>
  <si>
    <t>Summarized Accountability Code - Social Studies</t>
  </si>
  <si>
    <r>
      <rPr>
        <b/>
        <sz val="10"/>
        <rFont val="Arial"/>
        <family val="2"/>
      </rPr>
      <t>(Spring 2011)</t>
    </r>
    <r>
      <rPr>
        <sz val="10"/>
        <rFont val="Arial"/>
        <family val="2"/>
      </rPr>
      <t xml:space="preserve"> Added Home-base District Site Code to positions 2271-2273.</t>
    </r>
  </si>
  <si>
    <r>
      <rPr>
        <b/>
        <sz val="10"/>
        <rFont val="Arial"/>
        <family val="2"/>
      </rPr>
      <t>(Spring 2011)</t>
    </r>
    <r>
      <rPr>
        <sz val="10"/>
        <rFont val="Arial"/>
        <family val="2"/>
      </rPr>
      <t xml:space="preserve"> Added Home-base School Site Code to positions 2274-2276.</t>
    </r>
  </si>
  <si>
    <r>
      <rPr>
        <b/>
        <sz val="10"/>
        <rFont val="Arial"/>
        <family val="2"/>
      </rPr>
      <t xml:space="preserve">(Spring 2011) </t>
    </r>
    <r>
      <rPr>
        <sz val="10"/>
        <rFont val="Arial"/>
        <family val="2"/>
      </rPr>
      <t>Added Summarized Accountability Code by Subject fields to 2246-2253.</t>
    </r>
  </si>
  <si>
    <r>
      <rPr>
        <b/>
        <sz val="10"/>
        <rFont val="Arial"/>
        <family val="2"/>
      </rPr>
      <t xml:space="preserve">(Spring 2011) </t>
    </r>
    <r>
      <rPr>
        <sz val="10"/>
        <rFont val="Arial"/>
        <family val="2"/>
      </rPr>
      <t>Struck though the "W" values in the Admin Column and also in the legend with the removal of the February Retest.</t>
    </r>
  </si>
  <si>
    <r>
      <rPr>
        <b/>
        <sz val="10"/>
        <rFont val="Arial"/>
        <family val="2"/>
      </rPr>
      <t>(Spring 2011)</t>
    </r>
    <r>
      <rPr>
        <sz val="10"/>
        <rFont val="Arial"/>
        <family val="2"/>
      </rPr>
      <t xml:space="preserve"> Changed the 'Include in Researcher file?' and 'Include in LDE Staff &amp; Contractors file?' values from 'Y' to 'N' for position 2083-2086, Plagiarism Void Flags, per the RWS.</t>
    </r>
  </si>
  <si>
    <r>
      <rPr>
        <b/>
        <sz val="10"/>
        <rFont val="Arial"/>
        <family val="2"/>
      </rPr>
      <t>(Spring 2011)</t>
    </r>
    <r>
      <rPr>
        <sz val="10"/>
        <rFont val="Arial"/>
        <family val="2"/>
      </rPr>
      <t xml:space="preserve"> Changed the 'Include in Researcher file?' and 'Include in LDE Staff &amp; Contractors file?' values from 'Y' to 'N' for position 2079-2082, District Void Flags, per the RWS.</t>
    </r>
  </si>
  <si>
    <r>
      <rPr>
        <b/>
        <sz val="10"/>
        <rFont val="Arial"/>
        <family val="2"/>
      </rPr>
      <t xml:space="preserve">(Spring) </t>
    </r>
    <r>
      <rPr>
        <sz val="10"/>
        <rFont val="Arial"/>
        <family val="2"/>
      </rPr>
      <t>Clarified that the document site code fields are blank when no document is returned within the description/comments column for positions 2609-2632.</t>
    </r>
  </si>
  <si>
    <t>Previously Taken Subject - Science</t>
  </si>
  <si>
    <t>Previously Taken Subject - Social Studies</t>
  </si>
  <si>
    <r>
      <rPr>
        <b/>
        <sz val="10"/>
        <rFont val="Arial"/>
        <family val="2"/>
      </rPr>
      <t xml:space="preserve">(Spring 2011) </t>
    </r>
    <r>
      <rPr>
        <sz val="10"/>
        <rFont val="Arial"/>
        <family val="2"/>
      </rPr>
      <t>Added Precode Site code to position 2603-2608.</t>
    </r>
  </si>
  <si>
    <r>
      <rPr>
        <b/>
        <sz val="10"/>
        <rFont val="Arial"/>
        <family val="2"/>
      </rPr>
      <t xml:space="preserve">(Spring 2011) </t>
    </r>
    <r>
      <rPr>
        <sz val="10"/>
        <rFont val="Arial"/>
        <family val="2"/>
      </rPr>
      <t>Renamed Subject Previously Taken Flags to "Previouly Taken Subject - &lt;Subject&gt;" in positions 2392-2395.</t>
    </r>
  </si>
  <si>
    <r>
      <rPr>
        <b/>
        <sz val="10"/>
        <rFont val="Arial"/>
        <family val="2"/>
      </rPr>
      <t xml:space="preserve">(Spring 2011) </t>
    </r>
    <r>
      <rPr>
        <sz val="10"/>
        <rFont val="Arial"/>
        <family val="2"/>
      </rPr>
      <t>Changed the 'Include in Researcher file?' and 'Include in LDE Staff &amp; Contractors file?' values from 'Y' to 'N' for positions 2267-2270, Document Type Returned, per the RWS.</t>
    </r>
  </si>
  <si>
    <r>
      <rPr>
        <b/>
        <sz val="10"/>
        <rFont val="Arial"/>
        <family val="2"/>
      </rPr>
      <t xml:space="preserve">(Spring 2011) </t>
    </r>
    <r>
      <rPr>
        <sz val="10"/>
        <rFont val="Arial"/>
        <family val="2"/>
      </rPr>
      <t>Changed the 'Include in Researcher file?' and 'Include in LDE Staff &amp; Contractors file?' values from 'Y' to 'N' for positions 2152-2158, 2177-2183, 2202-2208, 2223-2229, Lithocode, per the RWS.</t>
    </r>
  </si>
  <si>
    <r>
      <rPr>
        <b/>
        <sz val="10"/>
        <rFont val="Arial"/>
        <family val="2"/>
      </rPr>
      <t>(Spring 2011)</t>
    </r>
    <r>
      <rPr>
        <sz val="10"/>
        <rFont val="Arial"/>
        <family val="2"/>
      </rPr>
      <t xml:space="preserve"> Changed the 'Include in Researcher file?' and 'Include in LDE Staff &amp; Contractors file?' values from 'Y' to 'N' for positions 2143-2148, 2168-2173, 2193-2198, 2215-2220, Serial Number, per the RWS.</t>
    </r>
  </si>
  <si>
    <r>
      <rPr>
        <b/>
        <sz val="10"/>
        <rFont val="Arial"/>
        <family val="2"/>
      </rPr>
      <t xml:space="preserve">(Spring 2011) </t>
    </r>
    <r>
      <rPr>
        <sz val="10"/>
        <rFont val="Arial"/>
        <family val="2"/>
      </rPr>
      <t>Changed the 'Include in Researcher file?' and 'Include in LDE Staff &amp; Contractors file?' values from 'Y' to 'N' for positions 2137-2142, 2162-2167, 2187-2192, 2209-2214, Batch Number, per the RWS.</t>
    </r>
  </si>
  <si>
    <r>
      <rPr>
        <b/>
        <sz val="10"/>
        <rFont val="Arial"/>
        <family val="2"/>
      </rPr>
      <t xml:space="preserve">(Spring 2011) </t>
    </r>
    <r>
      <rPr>
        <sz val="10"/>
        <rFont val="Arial"/>
        <family val="2"/>
      </rPr>
      <t>Removed possible value of "02 = February Retest" from position 1-2 Test Date Month.</t>
    </r>
  </si>
  <si>
    <r>
      <rPr>
        <b/>
        <sz val="10"/>
        <rFont val="Arial"/>
        <family val="2"/>
      </rPr>
      <t>(Spring 2011)</t>
    </r>
    <r>
      <rPr>
        <sz val="10"/>
        <rFont val="Arial"/>
        <family val="2"/>
      </rPr>
      <t xml:space="preserve"> Struck though references to "February" within the Description/Notes column.</t>
    </r>
  </si>
  <si>
    <r>
      <rPr>
        <b/>
        <sz val="10"/>
        <rFont val="Arial"/>
        <family val="2"/>
      </rPr>
      <t xml:space="preserve">(Spring 2011) </t>
    </r>
    <r>
      <rPr>
        <sz val="10"/>
        <rFont val="Arial"/>
        <family val="2"/>
      </rPr>
      <t>Changed the 'Include in Researcher file?' and 'Include in LDE Staff &amp; Contractors file?' values from 'Y' to 'N' for positions 2794, 2804, 2814, 2824, per the RWS.</t>
    </r>
  </si>
  <si>
    <r>
      <rPr>
        <b/>
        <sz val="10"/>
        <rFont val="Arial"/>
        <family val="2"/>
      </rPr>
      <t xml:space="preserve">(Spring 2011) </t>
    </r>
    <r>
      <rPr>
        <sz val="10"/>
        <rFont val="Arial"/>
        <family val="2"/>
      </rPr>
      <t>Changed position 2999-3007, LDE Unique Student ID, to FILLER.</t>
    </r>
  </si>
  <si>
    <t>As flagged on the LAP file.
Blank for a hand coded document that could not be matched back to the LAP file.</t>
  </si>
  <si>
    <r>
      <rPr>
        <b/>
        <sz val="10"/>
        <rFont val="Arial"/>
        <family val="2"/>
      </rPr>
      <t>(Spring 2011)</t>
    </r>
    <r>
      <rPr>
        <sz val="10"/>
        <rFont val="Arial"/>
        <family val="2"/>
      </rPr>
      <t xml:space="preserve"> Clarified the Description/Notes column for position 126 for when the "P" or "L" are populated for the Barcode/Student Precode Number field.</t>
    </r>
  </si>
  <si>
    <r>
      <rPr>
        <b/>
        <sz val="10"/>
        <rFont val="Arial"/>
        <family val="2"/>
      </rPr>
      <t xml:space="preserve">(Spring 2011) </t>
    </r>
    <r>
      <rPr>
        <sz val="10"/>
        <rFont val="Arial"/>
        <family val="2"/>
      </rPr>
      <t>Added a reference to the Rules to Determine Demographic Values section of the Processing Rules - Materials and Scoring document for logic to determine summarized values in positions 94, 145-155, 179, 2096-2099, 2100-2103, 2105, 2110-2113, 2115, 2121-2125, 2639-2642, 3103-3105, 3122-3233.</t>
    </r>
  </si>
  <si>
    <r>
      <rPr>
        <b/>
        <sz val="10"/>
        <rFont val="Arial"/>
        <family val="2"/>
      </rPr>
      <t>(Spring 2011)</t>
    </r>
    <r>
      <rPr>
        <sz val="10"/>
        <rFont val="Arial"/>
        <family val="2"/>
      </rPr>
      <t xml:space="preserve"> Changed position 2426-2472, February Test Scores, to FILLER with the removal of the February Retest.</t>
    </r>
  </si>
  <si>
    <r>
      <rPr>
        <b/>
        <sz val="10"/>
        <rFont val="Arial"/>
        <family val="2"/>
      </rPr>
      <t>(Spring 2011)</t>
    </r>
    <r>
      <rPr>
        <sz val="10"/>
        <rFont val="Arial"/>
        <family val="2"/>
      </rPr>
      <t xml:space="preserve"> Changed the 'Include in Researcher file?' and 'Include in LDE Staff &amp; Contractors file?' values from 'Y' to 'N' per the RWS (only Summarized values will be included vs. bubbled or LAP, unless there is only a LAP field then LAP value is included) for the following fields: position 167, 171, 178, 180, 181, 182, 199-200, 328-329, 457-458, 587-588, 2096-2097, 2114, 2116-2117, 2473-2573</t>
    </r>
  </si>
  <si>
    <r>
      <rPr>
        <b/>
        <sz val="10"/>
        <rFont val="Arial"/>
        <family val="2"/>
      </rPr>
      <t xml:space="preserve">(Spring 2011) </t>
    </r>
    <r>
      <rPr>
        <sz val="10"/>
        <rFont val="Arial"/>
        <family val="2"/>
      </rPr>
      <t>Changed the 'Include in Researcher file?' and 'Include in LDE Staff &amp; Contractors file?' values from 'Y' to 'N' for positions 2737, 2739-2741, 2743-2756, per the RWS.</t>
    </r>
  </si>
  <si>
    <r>
      <rPr>
        <b/>
        <sz val="10"/>
        <rFont val="Arial"/>
        <family val="2"/>
      </rPr>
      <t>(Spring 2011)</t>
    </r>
    <r>
      <rPr>
        <sz val="10"/>
        <rFont val="Arial"/>
        <family val="2"/>
      </rPr>
      <t xml:space="preserve"> Added a reference to the Processing Rules - Materials and Scoring document for the rules/logic for setting the following flag and footnotes or defined how they are set: 1691, 1812, 1933, 2054, 2056, 2131, 2392-2395, 2749-2755, 2789-2792, 2794, 2799-2802, 2804, 2809, 2811, 2814, 2819, 2821, 2824. </t>
    </r>
  </si>
  <si>
    <r>
      <rPr>
        <b/>
        <sz val="10"/>
        <rFont val="Arial"/>
        <family val="2"/>
      </rPr>
      <t xml:space="preserve">(Spring 2011) </t>
    </r>
    <r>
      <rPr>
        <sz val="10"/>
        <rFont val="Arial"/>
        <family val="2"/>
      </rPr>
      <t>Updated the possible values for position 168, Precoded Ethnicity/Race, to use the new Ethnicity/Race values from the LAP file.</t>
    </r>
  </si>
  <si>
    <r>
      <t xml:space="preserve">(Spring 2011) </t>
    </r>
    <r>
      <rPr>
        <sz val="10"/>
        <rFont val="Arial"/>
        <family val="2"/>
      </rPr>
      <t>Struck though the "O" values in the Admin Column for the Auto Rescore Flags by subject, with the removal of Automatic Rescores for Spring in positions 1691, 1812, 1933, and 2054.</t>
    </r>
  </si>
  <si>
    <r>
      <rPr>
        <b/>
        <sz val="10"/>
        <rFont val="Arial"/>
        <family val="2"/>
      </rPr>
      <t xml:space="preserve">(Spring 2011) </t>
    </r>
    <r>
      <rPr>
        <sz val="10"/>
        <rFont val="Arial"/>
        <family val="2"/>
      </rPr>
      <t>Changed the 'Include in Researcher file?' and 'Include in LDE Staff &amp; Contractors file?' values from 'Y' to 'N' for position 2108-2109, LAP Special Education Category, per the RWS.</t>
    </r>
  </si>
  <si>
    <r>
      <rPr>
        <b/>
        <sz val="10"/>
        <rFont val="Arial"/>
        <family val="2"/>
      </rPr>
      <t xml:space="preserve">(Spring 2011) </t>
    </r>
    <r>
      <rPr>
        <sz val="10"/>
        <rFont val="Arial"/>
        <family val="2"/>
      </rPr>
      <t>Added a reference to the Processing Rules - Materials and Scoring document for the rules/logic for setting the Home Study/Nonpublic Flag in position 2134.</t>
    </r>
  </si>
  <si>
    <t>Y = Hispanic or Latino
N = Not Hispanic or Latino
Blank</t>
  </si>
  <si>
    <t>Y = Asian
N = Not Asian
Blank</t>
  </si>
  <si>
    <t>Y = Black or African American
N = Not Black or African American
Blank</t>
  </si>
  <si>
    <t>Y = White
N = Not White
Blank</t>
  </si>
  <si>
    <r>
      <t xml:space="preserve">(Spring 2011) </t>
    </r>
    <r>
      <rPr>
        <sz val="10"/>
        <rFont val="Arial"/>
        <family val="2"/>
      </rPr>
      <t>Removed possible value of blank from Footnote:  Retesting Subject in positions 2791, 2801, 2811, and 2821 since this field is only blank during a retest, which is covered within the 'Admin' column of when to populate this field.</t>
    </r>
  </si>
  <si>
    <t>1 = Science
2 = Social Studies
3 = Both Subjects
- = No response (document returned)
Blank = document not returned</t>
  </si>
  <si>
    <t>1 = Yes
- = No response (document returned)
Blank = document not returned</t>
  </si>
  <si>
    <t>M = Male
F = Female
I = Invalid
Blank</t>
  </si>
  <si>
    <t>F = Female
M = Male
Blank</t>
  </si>
  <si>
    <t>Y = Classified as a Migrant Student
N = Not classified as a Migrant Student
Blank</t>
  </si>
  <si>
    <t>1 = Free
2 = Reduced 
0 = Paid
Blank = Unknown</t>
  </si>
  <si>
    <t>1 = Shelter
2 = Double-up
3 = Unsheltered
4 = Hotels/Motels
5 = Unknown
Blank</t>
  </si>
  <si>
    <t>Y = Yes
N = No
Blank</t>
  </si>
  <si>
    <t>8 digit number
Blank = document not returned</t>
  </si>
  <si>
    <t>Y = Yes
- = No response (document returned)
Blank = document not returned</t>
  </si>
  <si>
    <t>1 = Free
2 = Reduced 
0 = Paid 
* = Multiple responses
- = No response (document returned)
Blank = document not returned</t>
  </si>
  <si>
    <t>1 = Regular
2 = Special
- = No response (document returned)
* = Multiple Response
Blank = document not returned</t>
  </si>
  <si>
    <t>1 = Male
2 = Female
* = Multiple responses
- = No response (document returned)
Blank = document not returned</t>
  </si>
  <si>
    <t>0-9, -, or * in each position
-- = No response (document returned)
Blank = document not returned</t>
  </si>
  <si>
    <t>00.0-99.5
Blank</t>
  </si>
  <si>
    <t>100-500
Blank</t>
  </si>
  <si>
    <t>000.0-999.5
Blank</t>
  </si>
  <si>
    <t>000-999
Blank</t>
  </si>
  <si>
    <t>1 = Regular Education
2 = Special Education
Blank = document not returned</t>
  </si>
  <si>
    <t>0 = Regular 
1 = With Disabilities
2 = Gifted or Talented
Blank</t>
  </si>
  <si>
    <t>01-34
Blank</t>
  </si>
  <si>
    <t>01-17
Blank</t>
  </si>
  <si>
    <t>Y = LEP
N = Not LEP
Blank = document not returned</t>
  </si>
  <si>
    <t>Y = LEP
N = Not LEP
Blank</t>
  </si>
  <si>
    <t>01 = Not LEP
02 = LEP
Blank</t>
  </si>
  <si>
    <t>0 = in SIS, not LEP prior 2 yrs
1 = LEP 1 yr prior
2 = LEP 2 yrs prior
3 = LEP current year
Blank = not in SIS prior 2 years or student 
               is not on the LAP file</t>
  </si>
  <si>
    <t>Y = Section 504
N = Not Section 504
Blank</t>
  </si>
  <si>
    <t>Y = Section 504
N = Not Section 504
Blank = document not returned</t>
  </si>
  <si>
    <t>Y = Repeating Grade
N = Not Repeating Grade
Blank</t>
  </si>
  <si>
    <t>000001-999999
Blank = document not returned</t>
  </si>
  <si>
    <t>0000001-9999999
Blank = document not returned</t>
  </si>
  <si>
    <t>01-99
Blank (default value)</t>
  </si>
  <si>
    <t>UNS = Unsatisfactory
APP = Approaching Basic
BAS = Basic
MAS = Mastery
ADV = Advanced
Blank</t>
  </si>
  <si>
    <t>3 digit district code for the home-base Site 
Blank</t>
  </si>
  <si>
    <t>3 digit school code for the home-base Site 
Blank</t>
  </si>
  <si>
    <t>Numeric value with leading zeros
Blank</t>
  </si>
  <si>
    <t>0000000000-9999999999
Blank</t>
  </si>
  <si>
    <r>
      <t xml:space="preserve">(Spring 2011) </t>
    </r>
    <r>
      <rPr>
        <sz val="10"/>
        <rFont val="Arial"/>
        <family val="2"/>
      </rPr>
      <t>Removed possible value of blank from positions 2735, 2741, and 2742since this field is only blank during a retest, which is covered within the 'Admin' column of when to populate these fields.</t>
    </r>
  </si>
  <si>
    <r>
      <rPr>
        <b/>
        <sz val="10"/>
        <rFont val="Arial"/>
        <family val="2"/>
      </rPr>
      <t xml:space="preserve">(Spring 2011) </t>
    </r>
    <r>
      <rPr>
        <sz val="10"/>
        <rFont val="Arial"/>
        <family val="2"/>
      </rPr>
      <t>Added "JUV" as a possible value to School Type in position 2132.</t>
    </r>
  </si>
  <si>
    <t>ASSESSMENT/ACCOUNTABILITY INFORMATION</t>
  </si>
  <si>
    <r>
      <rPr>
        <b/>
        <sz val="10"/>
        <rFont val="Arial"/>
        <family val="2"/>
      </rPr>
      <t>(Spring 2011)</t>
    </r>
    <r>
      <rPr>
        <sz val="10"/>
        <rFont val="Arial"/>
        <family val="2"/>
      </rPr>
      <t xml:space="preserve"> Added "Entry Code", "Entry Date", "Exit Code", and "Exit Date" fields in positions 3234-3253.</t>
    </r>
  </si>
  <si>
    <r>
      <rPr>
        <b/>
        <sz val="10"/>
        <rFont val="Arial"/>
        <family val="2"/>
      </rPr>
      <t>(Spring 2011)</t>
    </r>
    <r>
      <rPr>
        <sz val="10"/>
        <rFont val="Arial"/>
        <family val="2"/>
      </rPr>
      <t xml:space="preserve"> Extended the file layout from </t>
    </r>
    <r>
      <rPr>
        <b/>
        <sz val="10"/>
        <rFont val="Arial"/>
        <family val="2"/>
      </rPr>
      <t>3250</t>
    </r>
    <r>
      <rPr>
        <sz val="10"/>
        <rFont val="Arial"/>
        <family val="2"/>
      </rPr>
      <t xml:space="preserve"> to </t>
    </r>
    <r>
      <rPr>
        <b/>
        <sz val="10"/>
        <rFont val="Arial"/>
        <family val="2"/>
      </rPr>
      <t>3270</t>
    </r>
    <r>
      <rPr>
        <sz val="10"/>
        <rFont val="Arial"/>
        <family val="2"/>
      </rPr>
      <t>.</t>
    </r>
  </si>
  <si>
    <t>Precoded Site code</t>
  </si>
  <si>
    <r>
      <rPr>
        <b/>
        <sz val="10"/>
        <rFont val="Arial"/>
        <family val="2"/>
      </rPr>
      <t>(Spring 2011)</t>
    </r>
    <r>
      <rPr>
        <sz val="10"/>
        <rFont val="Arial"/>
        <family val="2"/>
      </rPr>
      <t xml:space="preserve"> Renamed "Precode Site Code" in positions 2603-2608 to "Precoded Site Code", and updated the Description/Comments.</t>
    </r>
  </si>
  <si>
    <r>
      <rPr>
        <b/>
        <sz val="10"/>
        <rFont val="Arial"/>
        <family val="2"/>
      </rPr>
      <t>(Spring 2011)</t>
    </r>
    <r>
      <rPr>
        <sz val="10"/>
        <rFont val="Arial"/>
        <family val="2"/>
      </rPr>
      <t xml:space="preserve"> Moved File Creation Date and Timestamp from 3234-3249 to positions 3254-3269.</t>
    </r>
  </si>
  <si>
    <r>
      <rPr>
        <b/>
        <sz val="10"/>
        <rFont val="Arial"/>
        <family val="2"/>
      </rPr>
      <t>(Spring 2011)</t>
    </r>
    <r>
      <rPr>
        <sz val="10"/>
        <rFont val="Arial"/>
        <family val="2"/>
      </rPr>
      <t xml:space="preserve"> Added "LAP Grade" in positions 135-136.</t>
    </r>
  </si>
  <si>
    <r>
      <rPr>
        <b/>
        <sz val="10"/>
        <rFont val="Arial"/>
        <family val="2"/>
      </rPr>
      <t>(Spring 2011)</t>
    </r>
    <r>
      <rPr>
        <sz val="10"/>
        <rFont val="Arial"/>
        <family val="2"/>
      </rPr>
      <t xml:space="preserve"> Clarified the Homebased Site Code Description/Comments in positions 2271-2276.</t>
    </r>
  </si>
  <si>
    <t>Heidi Bjugstad</t>
  </si>
  <si>
    <r>
      <rPr>
        <b/>
        <sz val="10"/>
        <rFont val="Arial"/>
        <family val="2"/>
      </rPr>
      <t>(Spring 2011)</t>
    </r>
    <r>
      <rPr>
        <sz val="10"/>
        <rFont val="Arial"/>
        <family val="2"/>
      </rPr>
      <t xml:space="preserve"> The Entry and Exit Dates were received on the March LAP file in the incorrect format of MMDDYYYY.  The LDESTD file layout for the Entry Date (3236-3243) and Exit Date (3246-3253)  have been changed to MMDDYYYY for Spring 2011 processing in order to accommodate the pass through of LAP file information. </t>
    </r>
  </si>
  <si>
    <t>K, E, M</t>
  </si>
  <si>
    <t>M</t>
  </si>
  <si>
    <r>
      <rPr>
        <b/>
        <sz val="10"/>
        <rFont val="Arial"/>
        <family val="2"/>
      </rPr>
      <t xml:space="preserve">(Spring 2011) </t>
    </r>
    <r>
      <rPr>
        <sz val="10"/>
        <rFont val="Arial"/>
        <family val="2"/>
      </rPr>
      <t>The Field Use column was updated for multiple fields to show when each field is changed during the application of merge or requested rescore results.</t>
    </r>
  </si>
  <si>
    <r>
      <rPr>
        <b/>
        <sz val="10"/>
        <rFont val="Arial"/>
        <family val="2"/>
      </rPr>
      <t xml:space="preserve">(Spring 2011) </t>
    </r>
    <r>
      <rPr>
        <sz val="10"/>
        <rFont val="Arial"/>
        <family val="2"/>
      </rPr>
      <t>Possible Values and Description/Comments columns were updated to show fields that are blanked out when applying merge/rescore results.  These include Item Response Strings (692-1546), Non-Scorable Code for Writing (1676), Raw Scores by Item Type (1677-1683 and 1923-1929), and MC/CR Items Attempted Flags (2060-2063).</t>
    </r>
  </si>
  <si>
    <r>
      <rPr>
        <b/>
        <sz val="10"/>
        <rFont val="Arial"/>
        <family val="2"/>
      </rPr>
      <t>(Fall 2010)</t>
    </r>
    <r>
      <rPr>
        <sz val="10"/>
        <rFont val="Arial"/>
        <family val="2"/>
      </rPr>
      <t xml:space="preserve"> Renamed position 182, LAP Homeless Flag, to LAP McKinney Vento Act (Homeless) Flag.</t>
    </r>
  </si>
  <si>
    <r>
      <rPr>
        <b/>
        <sz val="10"/>
        <rFont val="Arial"/>
        <family val="2"/>
      </rPr>
      <t>(Summer 2011)</t>
    </r>
    <r>
      <rPr>
        <sz val="10"/>
        <rFont val="Arial"/>
        <family val="2"/>
      </rPr>
      <t xml:space="preserve"> Pulled forward for Spring 2011 Administration and removed any strikethrough.</t>
    </r>
  </si>
  <si>
    <r>
      <t xml:space="preserve">(Spring 2011) </t>
    </r>
    <r>
      <rPr>
        <sz val="10"/>
        <rFont val="Arial"/>
        <family val="2"/>
      </rPr>
      <t>The Description/Comments column was updated to show fields that are set to 'N' for the secondary record when applying score merge results.  These include Footnote: Retesting Subject (2791, 2801, 2811, and 2821) and Footnote/Verbiage: Previously Passed (2793, 2803, 2813, and 2823).</t>
    </r>
  </si>
  <si>
    <r>
      <t xml:space="preserve">(Spring 2011) </t>
    </r>
    <r>
      <rPr>
        <sz val="10"/>
        <rFont val="Arial"/>
        <family val="2"/>
      </rPr>
      <t>The Field Use column was updated to show fields that are updated after applying score merge results.  These include LEAP Promotional Status (172), LEAP Remediation Eligibility (173), and LEAP Summer Test Eligibility (174).</t>
    </r>
  </si>
  <si>
    <t>LAP Entry Date</t>
  </si>
  <si>
    <t>LAP Entry Code</t>
  </si>
  <si>
    <r>
      <rPr>
        <b/>
        <sz val="10"/>
        <rFont val="Arial"/>
        <family val="2"/>
      </rPr>
      <t>(Fall 2011)</t>
    </r>
    <r>
      <rPr>
        <sz val="10"/>
        <rFont val="Arial"/>
        <family val="2"/>
      </rPr>
      <t xml:space="preserve"> Modified all Ethnicity/Race fields to update "Alaskan Native" to "Alaska Native" (Pos 154, 168, 205, 334, 463, 591, 2634, 2639-2642)</t>
    </r>
  </si>
  <si>
    <r>
      <rPr>
        <b/>
        <sz val="10"/>
        <rFont val="Arial"/>
        <family val="2"/>
      </rPr>
      <t>(Fall 2011)</t>
    </r>
    <r>
      <rPr>
        <sz val="10"/>
        <rFont val="Arial"/>
        <family val="2"/>
      </rPr>
      <t xml:space="preserve"> Modified the DOB Month, Day, and Year fields to remove "(Default)" (Pos 145-152)</t>
    </r>
  </si>
  <si>
    <r>
      <rPr>
        <b/>
        <sz val="10"/>
        <rFont val="Arial"/>
        <family val="2"/>
      </rPr>
      <t>(Fall 2011)</t>
    </r>
    <r>
      <rPr>
        <sz val="10"/>
        <rFont val="Arial"/>
        <family val="2"/>
      </rPr>
      <t xml:space="preserve"> Modified the Charter Type (Pos 2136) Description/Comments to clarify that this field will be blank for 888, 998, and 999 schools as these sites are not received on the School Master File.</t>
    </r>
  </si>
  <si>
    <t>Summarized Special Education Exceptionality Category</t>
  </si>
  <si>
    <r>
      <rPr>
        <b/>
        <sz val="10"/>
        <rFont val="Arial"/>
        <family val="2"/>
      </rPr>
      <t>(Fall 2011)</t>
    </r>
    <r>
      <rPr>
        <sz val="10"/>
        <rFont val="Arial"/>
        <family val="2"/>
      </rPr>
      <t xml:space="preserve"> Updated the "LAP Special Education Category" to "LAP Exceptionality Category" to be consistent with other administrations (pos 2108-2109)</t>
    </r>
  </si>
  <si>
    <r>
      <rPr>
        <b/>
        <sz val="10"/>
        <rFont val="Arial"/>
        <family val="2"/>
      </rPr>
      <t>(Fall 2011)</t>
    </r>
    <r>
      <rPr>
        <sz val="10"/>
        <rFont val="Arial"/>
        <family val="2"/>
      </rPr>
      <t xml:space="preserve"> Updated the headings for the "Bubbled Special Education Categories" fields to read "Bubbled Special Exceptionality" for all documents to be consistent with other administrations (starts above pos 2473)</t>
    </r>
  </si>
  <si>
    <t>Summarized Special Education Exceptionality Category by Subject</t>
  </si>
  <si>
    <t>Summarized Special Education Exceptionality Category - Science</t>
  </si>
  <si>
    <t>Summarized Special Education Exceptionality Category - Social Studies</t>
  </si>
  <si>
    <r>
      <rPr>
        <b/>
        <sz val="10"/>
        <rFont val="Arial"/>
        <family val="2"/>
      </rPr>
      <t>(Fall 2011)</t>
    </r>
    <r>
      <rPr>
        <sz val="10"/>
        <rFont val="Arial"/>
        <family val="2"/>
      </rPr>
      <t xml:space="preserve"> Changed all instances of "Summarized Special Education Category" to "Summarized Special Education Exceptionality Category" to be consistent with other administrations (pos 199-200, 328-329, 457-458, 587-588, 3106-3113)</t>
    </r>
  </si>
  <si>
    <t>Summarized Ethnicity/Race</t>
  </si>
  <si>
    <t>American Indian or Alaska Native</t>
  </si>
  <si>
    <t>LAP American Indian or Alaska Native</t>
  </si>
  <si>
    <t>Y = American Indian or Alaska Native
N = Not American Indian or Alaska Native
Blank</t>
  </si>
  <si>
    <t>Document 3 Bubbled Special Education Exceptionality</t>
  </si>
  <si>
    <r>
      <rPr>
        <b/>
        <sz val="10"/>
        <rFont val="Arial"/>
        <family val="2"/>
      </rPr>
      <t>(Fall 2011)</t>
    </r>
    <r>
      <rPr>
        <sz val="10"/>
        <rFont val="Arial"/>
        <family val="2"/>
      </rPr>
      <t xml:space="preserve"> Updated the Possible Values for the DOB Day and Year fields to clarify that dashes may occur (0-9 or - in any position) (pos 147-152)</t>
    </r>
  </si>
  <si>
    <t>Charter type as listed in the School Master File.
Blank for 888, 998, and 999 school types.</t>
  </si>
  <si>
    <r>
      <rPr>
        <b/>
        <sz val="10"/>
        <rFont val="Arial"/>
        <family val="2"/>
      </rPr>
      <t>(Fall 2011)</t>
    </r>
    <r>
      <rPr>
        <sz val="10"/>
        <rFont val="Arial"/>
        <family val="2"/>
      </rPr>
      <t xml:space="preserve"> Updated Business Rules for Bubbled Accountability Code, Routing Information, Subjects for LEAP Tutoring, and Enrolled or Completed a C&amp;T Education course fields (pos 283-292) to remove wording for " and the ELA answer document in a retest.", as these fields are for Spring Operational only.</t>
    </r>
  </si>
  <si>
    <r>
      <rPr>
        <b/>
        <sz val="10"/>
        <rFont val="Arial"/>
        <family val="2"/>
      </rPr>
      <t>(Fall 2011)</t>
    </r>
    <r>
      <rPr>
        <sz val="10"/>
        <rFont val="Arial"/>
        <family val="2"/>
      </rPr>
      <t xml:space="preserve"> Changed the name of Entry and Exit Date and Code fields to "LAP Entry Code", "LAP Exit Code", "LAP Entry Date" and "LAP Exit Date" as they come from the LAP file (pos 3234 - 3253)</t>
    </r>
  </si>
  <si>
    <r>
      <rPr>
        <b/>
        <sz val="10"/>
        <rFont val="Arial"/>
        <family val="2"/>
      </rPr>
      <t>(Fall 2011)</t>
    </r>
    <r>
      <rPr>
        <sz val="10"/>
        <rFont val="Arial"/>
        <family val="2"/>
      </rPr>
      <t xml:space="preserve"> Added a note to the Description/Comments column for the District Void Flags to clarify when the District Void flags will be set (pos 2079-2082).</t>
    </r>
  </si>
  <si>
    <r>
      <rPr>
        <b/>
        <sz val="10"/>
        <rFont val="Arial"/>
        <family val="2"/>
      </rPr>
      <t xml:space="preserve">(Fall 2011) </t>
    </r>
    <r>
      <rPr>
        <sz val="10"/>
        <rFont val="Arial"/>
        <family val="2"/>
      </rPr>
      <t>Removed the reference to the retests from the Description/Notes column for the Bubbled Accountability Code Fields in positions 412-413, 522-523</t>
    </r>
  </si>
  <si>
    <r>
      <rPr>
        <b/>
        <sz val="10"/>
        <rFont val="Arial"/>
        <family val="2"/>
      </rPr>
      <t xml:space="preserve">(Fall 2011) </t>
    </r>
    <r>
      <rPr>
        <sz val="10"/>
        <rFont val="Arial"/>
        <family val="2"/>
      </rPr>
      <t xml:space="preserve">Removed the reference to the retests from the Description/Notes column for the Bubbled Routing Information fields in positions 414-419, 524-529, </t>
    </r>
  </si>
  <si>
    <r>
      <rPr>
        <b/>
        <sz val="10"/>
        <rFont val="Arial"/>
        <family val="2"/>
      </rPr>
      <t xml:space="preserve">(Fall 2011) </t>
    </r>
    <r>
      <rPr>
        <sz val="10"/>
        <rFont val="Arial"/>
        <family val="2"/>
      </rPr>
      <t>Removed the reference to the retests from the Description/Notes column for the Bubbled Subjects for LEAP Tutoring fields in position 521.</t>
    </r>
  </si>
  <si>
    <r>
      <rPr>
        <b/>
        <sz val="10"/>
        <rFont val="Arial"/>
        <family val="2"/>
      </rPr>
      <t xml:space="preserve">(Fall 2011) </t>
    </r>
    <r>
      <rPr>
        <sz val="10"/>
        <rFont val="Arial"/>
        <family val="2"/>
      </rPr>
      <t>Removed the reference to the retests from the Description/Notes column for the Bubbled Career and Technical Education Program fields in positions 293-301, 541-550</t>
    </r>
  </si>
  <si>
    <r>
      <rPr>
        <b/>
        <sz val="10"/>
        <rFont val="Arial"/>
        <family val="2"/>
      </rPr>
      <t>(Fall 2011)</t>
    </r>
    <r>
      <rPr>
        <sz val="10"/>
        <rFont val="Arial"/>
        <family val="2"/>
      </rPr>
      <t xml:space="preserve"> Removed "S" and "F" in the Field Use column for the Home-based Site Code fields (pos 2271-2276) as these values come from the LAP file and are not used in retests.</t>
    </r>
  </si>
  <si>
    <r>
      <rPr>
        <b/>
        <sz val="10"/>
        <rFont val="Arial"/>
        <family val="2"/>
      </rPr>
      <t>(Fall 2011)</t>
    </r>
    <r>
      <rPr>
        <sz val="10"/>
        <rFont val="Arial"/>
        <family val="2"/>
      </rPr>
      <t xml:space="preserve"> Added Field Use "F" to the Test Date Month field in positions 1-2 as the month is included in the Fall file.</t>
    </r>
  </si>
  <si>
    <t>Value of "Y" will only appear in the final LDESTD file</t>
  </si>
  <si>
    <t>Reports to student's school showed "N/A" instead of district results.</t>
  </si>
  <si>
    <r>
      <t xml:space="preserve">If field value = "Y", then student will receive a Student Label.
The Student Label flag will be set to "Y", if the student meets the selection criteria defined within the </t>
    </r>
    <r>
      <rPr>
        <b/>
        <u/>
        <sz val="10"/>
        <rFont val="Arial"/>
        <family val="2"/>
      </rPr>
      <t>Student Label</t>
    </r>
    <r>
      <rPr>
        <sz val="10"/>
        <rFont val="Arial"/>
        <family val="2"/>
      </rPr>
      <t xml:space="preserve"> section of the Processing Rules – Reporting document.</t>
    </r>
  </si>
  <si>
    <t>If field value = "Y", then student will be receiving this footnote.
The Test Security Violation (Void) footnote will be set to "Y", if the Summarized Void Flag for the Science = "Y".</t>
  </si>
  <si>
    <t>If field value = "Y", then student will be receiving this footnote.
The Test Security Violation (Void) footnote will be set to "Y", if the Summarized Void Flag for the Social Studies = "Y".</t>
  </si>
  <si>
    <r>
      <rPr>
        <b/>
        <sz val="10"/>
        <rFont val="Arial"/>
        <family val="2"/>
      </rPr>
      <t>(Fall 2011)</t>
    </r>
    <r>
      <rPr>
        <sz val="10"/>
        <rFont val="Arial"/>
        <family val="2"/>
      </rPr>
      <t xml:space="preserve"> The Summarized DOB Year (pos. 149-152) Possible Values was updated to just be "0-9 or 0 in any position".  The range of "1980-2010" was removed as that range only apply to the bubbled DOB Year value.  Since this field is summarized and may come from the LAP DOB Year value, it's possible that we'd receive values outside of the bubbled value range that was previously listed. "---- (default)" was removed as it was an inaccurate statement.</t>
    </r>
  </si>
  <si>
    <r>
      <rPr>
        <b/>
        <sz val="10"/>
        <rFont val="Arial"/>
        <family val="2"/>
      </rPr>
      <t>(Fall 2011)</t>
    </r>
    <r>
      <rPr>
        <sz val="10"/>
        <rFont val="Arial"/>
        <family val="2"/>
      </rPr>
      <t xml:space="preserve"> The Summarized DOB Day (pos. 147-148) Possible Values was updated to be "00-39 (0-9 or - any position)".  "-- (default)" was removed as it was an inaccurate statement.</t>
    </r>
  </si>
  <si>
    <t>Student's school was included in the school level media reports.</t>
  </si>
  <si>
    <t>Student's school was included in cleanup reports.</t>
  </si>
  <si>
    <t>Student's school was included in summary reports.</t>
  </si>
  <si>
    <r>
      <t xml:space="preserve">If field value = "Y", then student will appear on the Science and Social Studies Student Report (SR).
The Student Report for SCI/SOC flag will be set to "Y", if the student meets the selection criteria defined within the </t>
    </r>
    <r>
      <rPr>
        <b/>
        <u/>
        <sz val="10"/>
        <rFont val="Arial"/>
        <family val="2"/>
      </rPr>
      <t>Student Reports</t>
    </r>
    <r>
      <rPr>
        <sz val="10"/>
        <rFont val="Arial"/>
        <family val="2"/>
      </rPr>
      <t xml:space="preserve"> section of the Processing Rules – Reporting document for SCI and/or SOC.</t>
    </r>
  </si>
  <si>
    <r>
      <rPr>
        <b/>
        <sz val="10"/>
        <rFont val="Arial"/>
        <family val="2"/>
      </rPr>
      <t>(Fall 2011)</t>
    </r>
    <r>
      <rPr>
        <sz val="10"/>
        <rFont val="Arial"/>
        <family val="2"/>
      </rPr>
      <t xml:space="preserve"> Updated the Field Use column for the Math Scaled Score and Achievement Level to remove "E" as these fields do not get included in the Equating file in positions 1698-1703.</t>
    </r>
  </si>
  <si>
    <r>
      <rPr>
        <b/>
        <sz val="10"/>
        <rFont val="Arial"/>
        <family val="2"/>
      </rPr>
      <t>(Fall 2011)</t>
    </r>
    <r>
      <rPr>
        <sz val="10"/>
        <rFont val="Arial"/>
        <family val="2"/>
      </rPr>
      <t xml:space="preserve"> Clarified the Bubbled Optional Local Use field description/notes and possible values in positions 273-282, 402-411, 531-540, and 661-670.  Removed the following note from the Descriptions/Comments "Any of the positions may be blank or valued, so values such as "999 99  99" are valid." as it is incorrect.  Updated the Possible Values from "0000000000-9999999999" to "0-9, - , or *  in each position",  "---------- = No response (document returned)", and "Blank = document not returned".</t>
    </r>
  </si>
  <si>
    <t>C</t>
  </si>
  <si>
    <t>E, C</t>
  </si>
  <si>
    <t>M, C</t>
  </si>
  <si>
    <t>2 digit code
Blank</t>
  </si>
  <si>
    <t>MMDDYYYY
Blank</t>
  </si>
  <si>
    <t>0-9 or - in any position</t>
  </si>
  <si>
    <t>100-899 = School Level
900-999 = District Level
--- = No response (document returned)
* = Multiple Response
Blank = document not returned</t>
  </si>
  <si>
    <t>LAP Education Classification Flag</t>
  </si>
  <si>
    <t>LAP Free/Reduced Lunch</t>
  </si>
  <si>
    <t>LAP Migrant Flag</t>
  </si>
  <si>
    <t>LAP Primary Exceptionality</t>
  </si>
  <si>
    <t>LAP LEP Code</t>
  </si>
  <si>
    <t>LAP LEP Indicator Code</t>
  </si>
  <si>
    <t>LAP Section 504 Flag</t>
  </si>
  <si>
    <t>LAP Option Code</t>
  </si>
  <si>
    <r>
      <rPr>
        <b/>
        <sz val="10"/>
        <rFont val="Arial"/>
        <family val="2"/>
      </rPr>
      <t xml:space="preserve">(Spring 2012)  </t>
    </r>
    <r>
      <rPr>
        <sz val="10"/>
        <rFont val="Arial"/>
        <family val="2"/>
      </rPr>
      <t>Changed "LAP Education Classification" to "LAP Education Classification Flag" in position 2104 to match the field name used in the LAP File Layout.</t>
    </r>
  </si>
  <si>
    <r>
      <rPr>
        <b/>
        <sz val="10"/>
        <rFont val="Arial"/>
        <family val="2"/>
      </rPr>
      <t xml:space="preserve">(Spring 2012) </t>
    </r>
    <r>
      <rPr>
        <sz val="10"/>
        <rFont val="Arial"/>
        <family val="2"/>
      </rPr>
      <t xml:space="preserve"> Changed "LAP McKinney-Vento Act (Homeless) Flag" to "LAP McKinney-Vento (Homeless)" in position 182 to match the field name used in the LAP File Layout.</t>
    </r>
  </si>
  <si>
    <r>
      <rPr>
        <b/>
        <sz val="10"/>
        <rFont val="Arial"/>
        <family val="2"/>
      </rPr>
      <t xml:space="preserve">(Spring 2012) </t>
    </r>
    <r>
      <rPr>
        <sz val="10"/>
        <rFont val="Arial"/>
        <family val="2"/>
      </rPr>
      <t xml:space="preserve"> Changed "LAP Special Education Primary Exceptionality" to "LAP Primary Exceptionality" in position 2106-2107 to match the field name used in the LAP File Layout.</t>
    </r>
  </si>
  <si>
    <r>
      <rPr>
        <b/>
        <sz val="10"/>
        <rFont val="Arial"/>
        <family val="2"/>
      </rPr>
      <t>(Spring 2012)</t>
    </r>
    <r>
      <rPr>
        <sz val="10"/>
        <rFont val="Arial"/>
        <family val="2"/>
      </rPr>
      <t xml:space="preserve">  Changed "LAP LEP Status" to "LAP LEP Code" in position 2116-2117 to match the field name used in the LAP File Layout.</t>
    </r>
  </si>
  <si>
    <r>
      <rPr>
        <b/>
        <sz val="10"/>
        <rFont val="Arial"/>
        <family val="2"/>
      </rPr>
      <t xml:space="preserve">(Spring 2012) </t>
    </r>
    <r>
      <rPr>
        <sz val="10"/>
        <rFont val="Arial"/>
        <family val="2"/>
      </rPr>
      <t xml:space="preserve"> Changed "LAP LEP 2 Yr Flag" to "LAP LEP Indicator Code" in position 2118 to match the field name used in the LAP File Layout.</t>
    </r>
  </si>
  <si>
    <t>LAP Grade Placement</t>
  </si>
  <si>
    <r>
      <rPr>
        <b/>
        <sz val="10"/>
        <rFont val="Arial"/>
        <family val="2"/>
      </rPr>
      <t xml:space="preserve">(Spring 2012)  </t>
    </r>
    <r>
      <rPr>
        <sz val="10"/>
        <rFont val="Arial"/>
        <family val="2"/>
      </rPr>
      <t>Changed "LAP Grade" to "LAP Grade Placement" in position 135-136 to match the field name used in the LAP File Layout.</t>
    </r>
  </si>
  <si>
    <t>LAP LDE Unique ID (GUID)</t>
  </si>
  <si>
    <r>
      <rPr>
        <b/>
        <sz val="10"/>
        <rFont val="Arial"/>
        <family val="2"/>
      </rPr>
      <t xml:space="preserve">(Spring 2012) </t>
    </r>
    <r>
      <rPr>
        <sz val="10"/>
        <rFont val="Arial"/>
        <family val="2"/>
      </rPr>
      <t xml:space="preserve"> Changed "LDE Unique Student ID (GUID)" to "LAP LDE Unique ID (GUID)" in position 3014-3023 to match the field name used in the LAP File Layout.</t>
    </r>
  </si>
  <si>
    <r>
      <rPr>
        <b/>
        <sz val="10"/>
        <rFont val="Arial"/>
        <family val="2"/>
      </rPr>
      <t>(Spring 2012)</t>
    </r>
    <r>
      <rPr>
        <sz val="10"/>
        <rFont val="Arial"/>
        <family val="2"/>
      </rPr>
      <t xml:space="preserve">  Removed the following from the Description/Notes column for the Updated Accountability Code fields in positions 2238-2245 as the logic also exists in the Processing Rules - Materials and Scoring Document: 
"Prior to Online Corrections – use the Bubbled Accountability Code value (if valid bubbled code and Test Taken Flag = "N"), or an accountability code applied by DRC, otherwise blank.
After Online Corrections – this is the updated value taken from the OCS extract file."</t>
    </r>
  </si>
  <si>
    <t>LAP Home-base Site District Code</t>
  </si>
  <si>
    <t>LAP Home-base Site School Code</t>
  </si>
  <si>
    <r>
      <rPr>
        <b/>
        <sz val="10"/>
        <rFont val="Arial"/>
        <family val="2"/>
      </rPr>
      <t xml:space="preserve">(Spring 2012) </t>
    </r>
    <r>
      <rPr>
        <sz val="10"/>
        <rFont val="Arial"/>
        <family val="2"/>
      </rPr>
      <t xml:space="preserve"> Changed "Home-base School Site Code" to "LAP Home-base Site School Code" in position 2274-2276 to match the field name used in the LAP File Layout.</t>
    </r>
  </si>
  <si>
    <r>
      <rPr>
        <b/>
        <sz val="10"/>
        <rFont val="Arial"/>
        <family val="2"/>
      </rPr>
      <t xml:space="preserve">(Spring 2012) </t>
    </r>
    <r>
      <rPr>
        <sz val="10"/>
        <rFont val="Arial"/>
        <family val="2"/>
      </rPr>
      <t>Changed "ELA Accountability Achievement Level" to "Accountability Achievement Level - ELA" in position 2255-2257 for consistency across projects within the Source Location column of the Accountability File layout.</t>
    </r>
  </si>
  <si>
    <r>
      <rPr>
        <b/>
        <sz val="10"/>
        <rFont val="Arial"/>
        <family val="2"/>
      </rPr>
      <t xml:space="preserve">(Spring 2012) </t>
    </r>
    <r>
      <rPr>
        <sz val="10"/>
        <rFont val="Arial"/>
        <family val="2"/>
      </rPr>
      <t>Changed "Math Accountability Achievement Level" to "Accountability Achievement Level - Math" in position 2258-2260 for consistency across projects within the Source Location column of the Accountability File layout.</t>
    </r>
  </si>
  <si>
    <r>
      <rPr>
        <b/>
        <sz val="10"/>
        <rFont val="Arial"/>
        <family val="2"/>
      </rPr>
      <t xml:space="preserve">(Spring 2012) </t>
    </r>
    <r>
      <rPr>
        <sz val="10"/>
        <rFont val="Arial"/>
        <family val="2"/>
      </rPr>
      <t>Changed "Science Accountability Achievement Level" to "Accountability Achievement Level - Science" in position 2261-2263 for consistency across projects within the Source Location column of the Accountability File layout.</t>
    </r>
  </si>
  <si>
    <r>
      <rPr>
        <b/>
        <sz val="10"/>
        <rFont val="Arial"/>
        <family val="2"/>
      </rPr>
      <t xml:space="preserve">(Spring 2012) </t>
    </r>
    <r>
      <rPr>
        <sz val="10"/>
        <rFont val="Arial"/>
        <family val="2"/>
      </rPr>
      <t>Changed "Social Studies Accountability Achievement Level" to "Accountability Achievement Level - Social Studies" in position 2264-2266 for consistency across projects within the Source Location column of the Accountability File layout.</t>
    </r>
  </si>
  <si>
    <t>Accountability Achievement Level - Science</t>
  </si>
  <si>
    <t>Accountability Achievement Level - Social Studies</t>
  </si>
  <si>
    <r>
      <rPr>
        <b/>
        <sz val="10"/>
        <rFont val="Arial"/>
        <family val="2"/>
      </rPr>
      <t xml:space="preserve">(Spring 2012) </t>
    </r>
    <r>
      <rPr>
        <sz val="10"/>
        <rFont val="Arial"/>
        <family val="2"/>
      </rPr>
      <t>Changed "English Language Arts" to "Test Taken Flag - ELA" in position 2056 for consistency across projects within the Source Location column of the Accountability File layout.</t>
    </r>
  </si>
  <si>
    <t>Summarized Test Taken Flag - Science</t>
  </si>
  <si>
    <t>Summarized Test Taken Flag - Social Studies</t>
  </si>
  <si>
    <r>
      <rPr>
        <b/>
        <sz val="10"/>
        <rFont val="Arial"/>
        <family val="2"/>
      </rPr>
      <t xml:space="preserve">(Spring 2012) </t>
    </r>
    <r>
      <rPr>
        <sz val="10"/>
        <rFont val="Arial"/>
        <family val="2"/>
      </rPr>
      <t>Changed "Raw Score Total" to "Raw Score Total - ELA" in position 1572-1576 for consistency across projects within the Source Location column of the Accountability File layout.</t>
    </r>
  </si>
  <si>
    <r>
      <rPr>
        <b/>
        <sz val="10"/>
        <rFont val="Arial"/>
        <family val="2"/>
      </rPr>
      <t xml:space="preserve">(Spring 2012) </t>
    </r>
    <r>
      <rPr>
        <sz val="10"/>
        <rFont val="Arial"/>
        <family val="2"/>
      </rPr>
      <t>Changed "Scaled Score" to "Scaled Score - ELA" in position 1577-1579 for consistency across projects within the Source Location column of the Accountability File layout.</t>
    </r>
  </si>
  <si>
    <r>
      <rPr>
        <b/>
        <sz val="10"/>
        <rFont val="Arial"/>
        <family val="2"/>
      </rPr>
      <t xml:space="preserve">(Spring 2012) </t>
    </r>
    <r>
      <rPr>
        <sz val="10"/>
        <rFont val="Arial"/>
        <family val="2"/>
      </rPr>
      <t>Changed "Achievement Level" to "Assessment Achievement Level - ELA" in position 1580-1582 for consistency across projects within the Source Location column of the Accountability File layout.</t>
    </r>
  </si>
  <si>
    <r>
      <rPr>
        <b/>
        <sz val="10"/>
        <rFont val="Arial"/>
        <family val="2"/>
      </rPr>
      <t xml:space="preserve">(Spring 2012) </t>
    </r>
    <r>
      <rPr>
        <sz val="10"/>
        <rFont val="Arial"/>
        <family val="2"/>
      </rPr>
      <t>Changed "Math" to "Test Taken Flag - Math" in position 2057 for consistency across projects within the Source Location column of the Accountability File layout.</t>
    </r>
  </si>
  <si>
    <r>
      <rPr>
        <b/>
        <sz val="10"/>
        <rFont val="Arial"/>
        <family val="2"/>
      </rPr>
      <t xml:space="preserve">(Spring 2012) </t>
    </r>
    <r>
      <rPr>
        <sz val="10"/>
        <rFont val="Arial"/>
        <family val="2"/>
      </rPr>
      <t>Changed "Science" to "Test Taken Flag - Science" in position 2058 for consistency across projects within the Source Location column of the Accountability File layout.</t>
    </r>
  </si>
  <si>
    <r>
      <rPr>
        <b/>
        <sz val="10"/>
        <rFont val="Arial"/>
        <family val="2"/>
      </rPr>
      <t xml:space="preserve">(Spring 2012) </t>
    </r>
    <r>
      <rPr>
        <sz val="10"/>
        <rFont val="Arial"/>
        <family val="2"/>
      </rPr>
      <t>Changed "Social Studies" to "Test Taken Flag - Social Studies" in position 2059 for consistency across projects within the Source Location column of the Accountability File layout.</t>
    </r>
  </si>
  <si>
    <r>
      <rPr>
        <b/>
        <sz val="10"/>
        <rFont val="Arial"/>
        <family val="2"/>
      </rPr>
      <t xml:space="preserve">(Spring 2012) </t>
    </r>
    <r>
      <rPr>
        <sz val="10"/>
        <rFont val="Arial"/>
        <family val="2"/>
      </rPr>
      <t>Changed "Raw Score Total" to "Raw Score Total - Math" in position 1693-1697 for consistency across projects within the Source Location column of the Accountability File layout.</t>
    </r>
  </si>
  <si>
    <r>
      <rPr>
        <b/>
        <sz val="10"/>
        <rFont val="Arial"/>
        <family val="2"/>
      </rPr>
      <t xml:space="preserve">(Spring 2012) </t>
    </r>
    <r>
      <rPr>
        <sz val="10"/>
        <rFont val="Arial"/>
        <family val="2"/>
      </rPr>
      <t>Changed "Scaled Score" to "Scaled Score - Math" in position 1698-1700 for consistency across projects within the Source Location column of the Accountability File layout.</t>
    </r>
  </si>
  <si>
    <r>
      <rPr>
        <b/>
        <sz val="10"/>
        <rFont val="Arial"/>
        <family val="2"/>
      </rPr>
      <t xml:space="preserve">(Spring 2012) </t>
    </r>
    <r>
      <rPr>
        <sz val="10"/>
        <rFont val="Arial"/>
        <family val="2"/>
      </rPr>
      <t>Changed "Achievement Level" to "Assessment Achievement Level - Math" in position 1701-1703 for consistency across projects within the Source Location column of the Accountability File layout.</t>
    </r>
  </si>
  <si>
    <t>Scaled Score - Science</t>
  </si>
  <si>
    <t>Assessment Achievement Level - Science</t>
  </si>
  <si>
    <r>
      <rPr>
        <b/>
        <sz val="10"/>
        <rFont val="Arial"/>
        <family val="2"/>
      </rPr>
      <t xml:space="preserve">(Spring 2012) </t>
    </r>
    <r>
      <rPr>
        <sz val="10"/>
        <rFont val="Arial"/>
        <family val="2"/>
      </rPr>
      <t>Changed "Scaled Score" to "Scaled Score - Science" in position 1819-1821 for consistency across projects within the Source Location column of the Accountability File layout.</t>
    </r>
  </si>
  <si>
    <r>
      <rPr>
        <b/>
        <sz val="10"/>
        <rFont val="Arial"/>
        <family val="2"/>
      </rPr>
      <t xml:space="preserve">(Spring 2012) </t>
    </r>
    <r>
      <rPr>
        <sz val="10"/>
        <rFont val="Arial"/>
        <family val="2"/>
      </rPr>
      <t>Changed "Achievement Level" to "Assessment Achievement Level - Science" in position 1822-1824 for consistency across projects within the Source Location column of the Accountability File layout.</t>
    </r>
  </si>
  <si>
    <r>
      <rPr>
        <b/>
        <sz val="10"/>
        <rFont val="Arial"/>
        <family val="2"/>
      </rPr>
      <t xml:space="preserve">(Spring 2012) </t>
    </r>
    <r>
      <rPr>
        <sz val="10"/>
        <rFont val="Arial"/>
        <family val="2"/>
      </rPr>
      <t>Changed "Raw Score Total" to "Raw Score Total - Science" in position 1814-1818 for consistency across projects within the Source Location column of the Accountability File layout.</t>
    </r>
  </si>
  <si>
    <r>
      <rPr>
        <b/>
        <sz val="10"/>
        <rFont val="Arial"/>
        <family val="2"/>
      </rPr>
      <t xml:space="preserve">(Spring 2012) </t>
    </r>
    <r>
      <rPr>
        <sz val="10"/>
        <rFont val="Arial"/>
        <family val="2"/>
      </rPr>
      <t>Changed "Raw Score Total" to "Raw Score Total - Social Studies" in position 1935-1939 for consistency across projects within the Source Location column of the Accountability File layout.</t>
    </r>
  </si>
  <si>
    <r>
      <rPr>
        <b/>
        <sz val="10"/>
        <rFont val="Arial"/>
        <family val="2"/>
      </rPr>
      <t xml:space="preserve">(Spring 2012) </t>
    </r>
    <r>
      <rPr>
        <sz val="10"/>
        <rFont val="Arial"/>
        <family val="2"/>
      </rPr>
      <t>Changed "Scaled Score" to "Scaled Score - Social Studies" in position 1940-1942 for consistency across projects within the Source Location column of the Accountability File layout.</t>
    </r>
  </si>
  <si>
    <r>
      <rPr>
        <b/>
        <sz val="10"/>
        <rFont val="Arial"/>
        <family val="2"/>
      </rPr>
      <t xml:space="preserve">(Spring 2012) </t>
    </r>
    <r>
      <rPr>
        <sz val="10"/>
        <rFont val="Arial"/>
        <family val="2"/>
      </rPr>
      <t>Changed "Achievement Level" to "Assessment Achievement Level - Social Studies" in position 1943-1945 for consistency across projects within the Source Location column of the Accountability File layout.</t>
    </r>
  </si>
  <si>
    <r>
      <rPr>
        <b/>
        <sz val="10"/>
        <rFont val="Arial"/>
        <family val="2"/>
      </rPr>
      <t xml:space="preserve">(Spring 2012) </t>
    </r>
    <r>
      <rPr>
        <sz val="10"/>
        <rFont val="Arial"/>
        <family val="2"/>
      </rPr>
      <t>Changed "Raw Score Total" to "Raw Score Total - Reading Subscore" in position 551-554 for consistency across projects within the Source Location column of the Accountability File layout.</t>
    </r>
  </si>
  <si>
    <r>
      <rPr>
        <b/>
        <sz val="10"/>
        <rFont val="Arial"/>
        <family val="2"/>
      </rPr>
      <t xml:space="preserve">(Spring 2012) </t>
    </r>
    <r>
      <rPr>
        <sz val="10"/>
        <rFont val="Arial"/>
        <family val="2"/>
      </rPr>
      <t>Changed "Scaled Score" to "Scaled Score - Reading Subscore" in position 555-557 for consistency across projects within the Source Location column of the Accountability File layout.</t>
    </r>
  </si>
  <si>
    <r>
      <rPr>
        <b/>
        <sz val="10"/>
        <rFont val="Arial"/>
        <family val="2"/>
      </rPr>
      <t xml:space="preserve">(Spring 2012) </t>
    </r>
    <r>
      <rPr>
        <sz val="10"/>
        <rFont val="Arial"/>
        <family val="2"/>
      </rPr>
      <t>Changed "Achievement Level" to "Assessment Achievement Level - Reading Subscore" in position 558-560 for consistency across projects within the Source Location column of the Accountability File layout.</t>
    </r>
  </si>
  <si>
    <t>6 digit site code
Blank</t>
  </si>
  <si>
    <r>
      <rPr>
        <b/>
        <sz val="10"/>
        <rFont val="Arial"/>
        <family val="2"/>
      </rPr>
      <t>(Spring 2012)</t>
    </r>
    <r>
      <rPr>
        <sz val="10"/>
        <rFont val="Arial"/>
        <family val="2"/>
      </rPr>
      <t xml:space="preserve"> Added "Blank" as a possible value to the LAP Entry Date, LAP Exit Date, LAP Entry Code, and LAP Exit Code fields in positions 3234-3253 for hand coded records that could not be matched back to the LAP file, and clarified the Description/Comments to include when the value will be blank for positions.</t>
    </r>
  </si>
  <si>
    <r>
      <rPr>
        <b/>
        <sz val="10"/>
        <rFont val="Arial"/>
        <family val="2"/>
      </rPr>
      <t>(Spring 2012)</t>
    </r>
    <r>
      <rPr>
        <sz val="10"/>
        <rFont val="Arial"/>
        <family val="2"/>
      </rPr>
      <t xml:space="preserve"> Added "M, R" within the Field Use column of the Initial Tester for the most recent Spring Test field in position 2131, as these values will be recalculated after a score merge or rescore is completed.  Also, added "O" within the Admin column to show this value is populated for Spring now.</t>
    </r>
  </si>
  <si>
    <t>1 = Hispanic/Latino
2 = American Indian or Alaska Native
3 = Asian
4 = Black or African American
5 = Native Hawaiian or Other Pacific
       Islander
6 = White
7 = Two or more races
 I = Invalid
Blank</t>
  </si>
  <si>
    <t>1 = Hispanic/Latino
2 = American Indian or Alaska Native
3 = Asian
4 = Black or African American
5 = Native Hawaiian or Other Pacific
       Islander
6 = White
7 = Two or more races
 I = Invalid</t>
  </si>
  <si>
    <t>Y = Native Hawaiian or Other Pacific 
        Islander
N = Not Native Hawaiian or Other Pacific 
        Islander
Blank</t>
  </si>
  <si>
    <t>1 = Hispanic/Latino
2 = American Indian or Alaska Native
3 = Asian
4 = Black or African American
5 = Native Hawaiian or Other Pacific
       Islander
6 = White
7 = Two or more races
I = Invalid
Blank = document not returned</t>
  </si>
  <si>
    <t>1 = Science
2 = Social Studies
3 = Both Subjects
Blank = student has no previously 
                 attempted tests for these subjects</t>
  </si>
  <si>
    <t>E, M</t>
  </si>
  <si>
    <r>
      <rPr>
        <b/>
        <sz val="10"/>
        <rFont val="Arial"/>
        <family val="2"/>
      </rPr>
      <t xml:space="preserve">(Spring 2012) </t>
    </r>
    <r>
      <rPr>
        <sz val="10"/>
        <rFont val="Arial"/>
        <family val="2"/>
      </rPr>
      <t xml:space="preserve"> Added the following reference within the Description/Comments column for the District and School Code fields in positions 8-13, "Refer to the Capturing Site Codes section of the Processing Rules - Materials and Scoring document for logic to determine the Reporting Site-Code value."</t>
    </r>
  </si>
  <si>
    <r>
      <rPr>
        <b/>
        <sz val="10"/>
        <rFont val="Arial"/>
        <family val="2"/>
      </rPr>
      <t xml:space="preserve">(Spring 2012) </t>
    </r>
    <r>
      <rPr>
        <sz val="10"/>
        <rFont val="Arial"/>
        <family val="2"/>
      </rPr>
      <t xml:space="preserve"> Added the following reference within the Description/Comments column for the Document Site Code fields in positions 2609-2632, "Refer to the Capturing Site Codes section of the Processing Rules - Materials and Scoring document for logic to determine the Document Site-Code value."</t>
    </r>
  </si>
  <si>
    <t>LAP McKinney-Vento (Homeless) Flag</t>
  </si>
  <si>
    <t>0-9, - , or * in each position
---------- = No response (document returned)
Blank = document not returned</t>
  </si>
  <si>
    <t>Raw Score Total - Science</t>
  </si>
  <si>
    <t>Raw Score Total - Social Studies</t>
  </si>
  <si>
    <t>Scaled Score - Social Studies</t>
  </si>
  <si>
    <t>Assessment Achievement Level - Social Studies</t>
  </si>
  <si>
    <r>
      <t>LAP</t>
    </r>
    <r>
      <rPr>
        <sz val="10"/>
        <rFont val="Arial"/>
        <family val="2"/>
      </rPr>
      <t xml:space="preserve"> Exceptionality Category</t>
    </r>
  </si>
  <si>
    <t>ACCOUNTABILITY INFORMATION</t>
  </si>
  <si>
    <r>
      <rPr>
        <b/>
        <sz val="10"/>
        <rFont val="Arial"/>
        <family val="2"/>
      </rPr>
      <t>(Spring 2012)</t>
    </r>
    <r>
      <rPr>
        <sz val="10"/>
        <rFont val="Arial"/>
        <family val="2"/>
      </rPr>
      <t xml:space="preserve"> Added Possible Values and "Blank when the record could not be matched back to the DRC precode file." rule to the Description/Notes column for the Precoded Site Code in positions 2603-2608.</t>
    </r>
  </si>
  <si>
    <r>
      <rPr>
        <b/>
        <sz val="10"/>
        <rFont val="Arial"/>
        <family val="2"/>
      </rPr>
      <t>(Spring 2012)</t>
    </r>
    <r>
      <rPr>
        <sz val="10"/>
        <rFont val="Arial"/>
        <family val="2"/>
      </rPr>
      <t xml:space="preserve"> Changed</t>
    </r>
    <r>
      <rPr>
        <sz val="10"/>
        <rFont val="Arial"/>
        <family val="2"/>
      </rPr>
      <t xml:space="preserve"> "Home-base District Site Code" to "LAP Home-base District Site Code" in position 2271-2273 to match the field name used in the LAP File Layout.</t>
    </r>
  </si>
  <si>
    <r>
      <rPr>
        <b/>
        <sz val="10"/>
        <rFont val="Arial"/>
        <family val="2"/>
      </rPr>
      <t>(Spring 2012)</t>
    </r>
    <r>
      <rPr>
        <sz val="10"/>
        <rFont val="Arial"/>
        <family val="2"/>
      </rPr>
      <t xml:space="preserve"> Removed the possible value of "U = Unknown" from the Testing Status by subject fields.  Since the logic for the Testing Status was updated, "U" is no longer a possible value.</t>
    </r>
  </si>
  <si>
    <t>As flagged on the LAP file.
Unique number generated by LDE, and provided on the LAP file.  This is used to match students from the original LAP file with students from the updated LAP file.
Blank for a hand-coded document that could not be matched back to the LAP file.</t>
  </si>
  <si>
    <r>
      <rPr>
        <b/>
        <sz val="10"/>
        <rFont val="Arial"/>
        <family val="2"/>
      </rPr>
      <t>(Spring 2012)</t>
    </r>
    <r>
      <rPr>
        <sz val="10"/>
        <rFont val="Arial"/>
        <family val="2"/>
      </rPr>
      <t xml:space="preserve"> Added "As flagged on the LAP file." within the Description/Comments column for every LAP value if it wasn't already documented.  (This clarification was not highlighted.)</t>
    </r>
  </si>
  <si>
    <r>
      <rPr>
        <b/>
        <sz val="10"/>
        <rFont val="Arial"/>
        <family val="2"/>
      </rPr>
      <t xml:space="preserve">(Spring 2012) </t>
    </r>
    <r>
      <rPr>
        <sz val="10"/>
        <rFont val="Arial"/>
        <family val="2"/>
      </rPr>
      <t xml:space="preserve"> Changed "LAP File Option Code" to "LAP Option Code" in position 2130 to match the field name used in the LAP File Layout.  Added possible values "5 = Non-Diploma Bound" and "6 = Student Enrolled in Connections Process".</t>
    </r>
  </si>
  <si>
    <r>
      <t xml:space="preserve">Refer to the </t>
    </r>
    <r>
      <rPr>
        <b/>
        <u/>
        <sz val="10"/>
        <rFont val="Arial"/>
        <family val="2"/>
      </rPr>
      <t>Reporting Summarization and Delivery Table</t>
    </r>
    <r>
      <rPr>
        <sz val="10"/>
        <rFont val="Arial"/>
        <family val="2"/>
      </rPr>
      <t xml:space="preserve"> and the </t>
    </r>
    <r>
      <rPr>
        <b/>
        <u/>
        <sz val="10"/>
        <rFont val="Arial"/>
        <family val="2"/>
      </rPr>
      <t xml:space="preserve">Table of District/School Types Included on Each Report </t>
    </r>
    <r>
      <rPr>
        <sz val="10"/>
        <rFont val="Arial"/>
        <family val="2"/>
      </rPr>
      <t>in the Common Louisiana Processing Rules - Reporting document for further details.</t>
    </r>
  </si>
  <si>
    <r>
      <rPr>
        <b/>
        <sz val="10"/>
        <rFont val="Arial"/>
        <family val="2"/>
      </rPr>
      <t>(Spring 2012)</t>
    </r>
    <r>
      <rPr>
        <sz val="10"/>
        <rFont val="Arial"/>
        <family val="2"/>
      </rPr>
      <t xml:space="preserve"> Changed field position 2748 from Assessment Rollup and Inclusion on Reports - Career and Technical Reports to FILLER, as we no longer receive this field on the School Master File.</t>
    </r>
  </si>
  <si>
    <r>
      <rPr>
        <b/>
        <sz val="10"/>
        <rFont val="Arial"/>
        <family val="2"/>
      </rPr>
      <t>(Spring 2012)</t>
    </r>
    <r>
      <rPr>
        <sz val="10"/>
        <rFont val="Arial"/>
        <family val="2"/>
      </rPr>
      <t xml:space="preserve"> Added a reference within the Description/Comments column in position 2733-2748, Assessment Rollup and Inclusion Flags, to provide the new location of the Reporting Summarization and Delivery Table and Table of Districts/School Types Included on Each Report as they are now in the Common Louisiana Processing Rules - Reporting document.</t>
    </r>
  </si>
  <si>
    <t>0 = Neither MC nor CR taken
1 = MC only taken
2 = CR only taken
3 = Both MC and CR taken
Blank</t>
  </si>
  <si>
    <r>
      <rPr>
        <b/>
        <sz val="10"/>
        <rFont val="Arial"/>
        <family val="2"/>
      </rPr>
      <t>(Summer 2012)</t>
    </r>
    <r>
      <rPr>
        <sz val="10"/>
        <rFont val="Arial"/>
        <family val="2"/>
      </rPr>
      <t xml:space="preserve"> Change field positions 2230-2237 from Accountability Code from Spring - Document &lt;#&gt; to "Summarized Accountability Code from Spring - &lt;subject&gt;".  These fields contain the Summarized Accountability Code by Subject value.  The file layout documentation was not updated when the change was made in 2011 to make the precode flow charts use the Summarized Accountability Code by Subject values in the Summer 2011 Processing Rules - Materials and Scoring document.  The business rule was updated to remove the information related to documents.</t>
    </r>
  </si>
  <si>
    <t>Format: "YYYY-MM-DD HH:MM:SS"</t>
  </si>
  <si>
    <r>
      <rPr>
        <b/>
        <sz val="10"/>
        <rFont val="Arial"/>
        <family val="2"/>
      </rPr>
      <t>(Spring 2012)</t>
    </r>
    <r>
      <rPr>
        <sz val="10"/>
        <rFont val="Arial"/>
        <family val="2"/>
      </rPr>
      <t xml:space="preserve"> The record length has been updated from 3270 to 3273, due to the length changing on the File Creation Date and Time Stamp in position 3254-3272.</t>
    </r>
  </si>
  <si>
    <r>
      <rPr>
        <b/>
        <sz val="10"/>
        <rFont val="Arial"/>
        <family val="2"/>
      </rPr>
      <t>(Spring 2012)</t>
    </r>
    <r>
      <rPr>
        <sz val="10"/>
        <rFont val="Arial"/>
        <family val="2"/>
      </rPr>
      <t xml:space="preserve"> Added a reference within the Description/Comments column in position 172, LEAP Promotional Status, position 173, LEAP Remediation Eligibility, and position 174, LEAP Summer Test Eligibility, to provide the location within the Processing Rules - Reporting document of where the logic is for determining these values.</t>
    </r>
  </si>
  <si>
    <r>
      <rPr>
        <b/>
        <sz val="10"/>
        <rFont val="Arial"/>
        <family val="2"/>
      </rPr>
      <t>(Spring 2012)</t>
    </r>
    <r>
      <rPr>
        <sz val="10"/>
        <rFont val="Arial"/>
        <family val="2"/>
      </rPr>
      <t xml:space="preserve"> Updated field position 3254-3269, File Creation Date and Time Stamp, updated the format from "mm/dd/yyyy hh:mm" to "YYYY-MM-DD HH:MM:SS" for consistency with the other projects.  The field position is now 19 bytes instead of 16.</t>
    </r>
  </si>
  <si>
    <r>
      <rPr>
        <b/>
        <sz val="10"/>
        <rFont val="Arial"/>
        <family val="2"/>
      </rPr>
      <t xml:space="preserve">(Spring 2012) </t>
    </r>
    <r>
      <rPr>
        <sz val="10"/>
        <rFont val="Arial"/>
        <family val="2"/>
      </rPr>
      <t>Removed the rule within the Description/Comments column in position 551-554, Raw Score Total - Reading Subscore, that stated "Blank if the student's Summarized Void Flag = 'Y'.  This rule is inaccurate, as the Processing Rules states that for Voided students we set the Raw Score Total for Reading Subscore to '0'.</t>
    </r>
  </si>
  <si>
    <r>
      <rPr>
        <b/>
        <sz val="10"/>
        <rFont val="Arial"/>
        <family val="2"/>
      </rPr>
      <t>(Spring 2012)</t>
    </r>
    <r>
      <rPr>
        <sz val="10"/>
        <rFont val="Arial"/>
        <family val="2"/>
      </rPr>
      <t xml:space="preserve"> Added "M" to the Field Use Column for the Summarized Accountability Code by Subject fields in positions 2246-2253.  These values may be set to blank after a score merge when a subject now has both phases attempted and receives an Accountability Achievement Level value.</t>
    </r>
  </si>
  <si>
    <r>
      <rPr>
        <b/>
        <sz val="10"/>
        <rFont val="Arial"/>
        <family val="2"/>
      </rPr>
      <t xml:space="preserve">(Spring 2012) </t>
    </r>
    <r>
      <rPr>
        <sz val="10"/>
        <rFont val="Arial"/>
        <family val="2"/>
      </rPr>
      <t>Added "M" to the Field Use Column for the Testing Status by Subject fields in positions 2126-2129.  Added a rule to show that the Testing Status value on the secondary record will be changed to an "N" for subjects involved in a score merge.  Secondary record subjects involved in a score merge already have their Include in N-counts flag set to "N" and are already excluded from Summary Reports/Annual Reports.  This rule change is to prevent the Assessment Achievement Level from being set to "INC" and the Accountability Achievement Level from being set to "UNS" for the subjects on the secondary record.</t>
    </r>
  </si>
  <si>
    <t>Mallory Johannes</t>
  </si>
  <si>
    <t>1 = Yes
2 = No
* = Multiple response
- = No response (document returned)
Blank = document not returned</t>
  </si>
  <si>
    <t>UNS = Unsatisfactory
APP = Approaching Basic
BAS = Basic
MAS = Mastery
ADV = Advanced
INC = Include in reports
Blank</t>
  </si>
  <si>
    <t>MC / CR Taken - Science</t>
  </si>
  <si>
    <t>MC / CR Taken - Social Studies</t>
  </si>
  <si>
    <t>District Void Flag - Science</t>
  </si>
  <si>
    <t>District Void Flag - Social Studies</t>
  </si>
  <si>
    <t>Summarized Void Flag - Science</t>
  </si>
  <si>
    <t>Summarized Void Flag - Social Studies</t>
  </si>
  <si>
    <t>Plagiarism Void Flag - Science</t>
  </si>
  <si>
    <t>Plagiarism Void Flag - Social Studies</t>
  </si>
  <si>
    <t>Include in N-counts - Science</t>
  </si>
  <si>
    <t>Include in N-counts - Social Studies</t>
  </si>
  <si>
    <t>Testing Status - Science</t>
  </si>
  <si>
    <t>Testing Status - Social Studies</t>
  </si>
  <si>
    <t>Batch Number - Document 3</t>
  </si>
  <si>
    <t>Serial Number - Document 3</t>
  </si>
  <si>
    <t>Lithocode - Document 3</t>
  </si>
  <si>
    <t>Gifted</t>
  </si>
  <si>
    <t>Talented</t>
  </si>
  <si>
    <t>Autism</t>
  </si>
  <si>
    <t>Deafblindness</t>
  </si>
  <si>
    <t>Developmental Delay</t>
  </si>
  <si>
    <t>Emotional Disturbance</t>
  </si>
  <si>
    <t>HI-Hard of Hearing</t>
  </si>
  <si>
    <t>HI-Deaf</t>
  </si>
  <si>
    <t>Moderate Mental Disabilities</t>
  </si>
  <si>
    <t>Mild Mental Disability</t>
  </si>
  <si>
    <t>Other Health Impairments</t>
  </si>
  <si>
    <t>Orthopedic Impairment</t>
  </si>
  <si>
    <t>Specific Learning Disabilities</t>
  </si>
  <si>
    <t>Speech or Language Impairment</t>
  </si>
  <si>
    <t>Traumatic Brain Injury</t>
  </si>
  <si>
    <t>Visual Impairment</t>
  </si>
  <si>
    <t>Footnote: Retesting Subject - Science</t>
  </si>
  <si>
    <t>Footnote: Test Security Violation (Void) - Science</t>
  </si>
  <si>
    <t>Footnote: Retesting Subject - Social Studies</t>
  </si>
  <si>
    <t>Footnote: Test Security Violation (Void) - Social Studies</t>
  </si>
  <si>
    <t>Bubbled Test Administrator Number - Document 3</t>
  </si>
  <si>
    <t>Test Administrator Last Name - Document 3</t>
  </si>
  <si>
    <t>Test Administrator First Name - Document 3</t>
  </si>
  <si>
    <r>
      <t xml:space="preserve">(Fall 2012) </t>
    </r>
    <r>
      <rPr>
        <sz val="10"/>
        <rFont val="Arial"/>
        <family val="2"/>
      </rPr>
      <t>Updated the Student Flags by Subject fields to include "- &lt;subject&gt;" in the field name for positions 2056-2095 for clarification.</t>
    </r>
  </si>
  <si>
    <r>
      <rPr>
        <b/>
        <sz val="10"/>
        <rFont val="Arial"/>
        <family val="2"/>
      </rPr>
      <t xml:space="preserve">(Fall 2012) </t>
    </r>
    <r>
      <rPr>
        <sz val="10"/>
        <rFont val="Arial"/>
        <family val="2"/>
      </rPr>
      <t>Updated the Test Administrator Information fields to include " - Document &lt;#&gt;" in the field name for positions 2827-2579 for clarification.</t>
    </r>
  </si>
  <si>
    <r>
      <rPr>
        <b/>
        <sz val="10"/>
        <rFont val="Arial"/>
        <family val="2"/>
      </rPr>
      <t xml:space="preserve">(Fall 2012) </t>
    </r>
    <r>
      <rPr>
        <sz val="10"/>
        <rFont val="Arial"/>
        <family val="2"/>
      </rPr>
      <t>Updated the Footnote Flags by Subject fields to include "- &lt;subject&gt;" in the field name for positions 2789-2824 for clarification.</t>
    </r>
  </si>
  <si>
    <r>
      <rPr>
        <b/>
        <sz val="10"/>
        <rFont val="Arial"/>
        <family val="2"/>
      </rPr>
      <t xml:space="preserve">(Fall 2012) </t>
    </r>
    <r>
      <rPr>
        <sz val="10"/>
        <rFont val="Arial"/>
        <family val="2"/>
      </rPr>
      <t>Updated the Scan Information fields to include "- Document &lt;#&gt;" in the field name for positions 2137-2223 for clarification.</t>
    </r>
  </si>
  <si>
    <r>
      <rPr>
        <b/>
        <sz val="10"/>
        <rFont val="Arial"/>
        <family val="2"/>
      </rPr>
      <t xml:space="preserve">(Fall 2012) (Logic change) </t>
    </r>
    <r>
      <rPr>
        <sz val="10"/>
        <rFont val="Arial"/>
        <family val="2"/>
      </rPr>
      <t>The existing Student Report field in position 2756 will be used to indicate if a student will be receiving a Student Report for a Retest.  The field will be blank in Spring so the "O" was removed from the Admin. column.  Possible values updated to be just "Y", "N" or Blank.</t>
    </r>
  </si>
  <si>
    <t>Highest Previous Science Assessment Achievement Level</t>
  </si>
  <si>
    <t>Highest Previous Social Studies Assessment Achievement Level</t>
  </si>
  <si>
    <t>Precoded Science</t>
  </si>
  <si>
    <t>Precoded Social Studies</t>
  </si>
  <si>
    <t>Y = Precoded for Science
N = Not Precoded for Science
Blank</t>
  </si>
  <si>
    <t>Y = Precoded for Social Studies
N = Not Precoded for Social Studies
Blank</t>
  </si>
  <si>
    <t>Blank when a record could not be matched back to the DRC Precode file.</t>
  </si>
  <si>
    <r>
      <rPr>
        <b/>
        <sz val="10"/>
        <rFont val="Arial"/>
        <family val="2"/>
      </rPr>
      <t>(Fall 2012) (Logic change)</t>
    </r>
    <r>
      <rPr>
        <sz val="10"/>
        <rFont val="Arial"/>
        <family val="2"/>
      </rPr>
      <t xml:space="preserve"> New fields to indicate if the student record was precoded for each subject were added to positions 137-140 (which was FILLER).  The FILLER field length changed from 8 to 4.</t>
    </r>
  </si>
  <si>
    <r>
      <rPr>
        <b/>
        <sz val="10"/>
        <rFont val="Arial"/>
        <family val="2"/>
      </rPr>
      <t>(Fall 2012) (Logic change)</t>
    </r>
    <r>
      <rPr>
        <sz val="10"/>
        <rFont val="Arial"/>
        <family val="2"/>
      </rPr>
      <t xml:space="preserve"> A new field was added in position 2757 called Student Report Link.  This field will be used in all administrations to show which link the Student Report will be posted in LEAPweb under.  </t>
    </r>
  </si>
  <si>
    <r>
      <t xml:space="preserve">(Fall 2012) </t>
    </r>
    <r>
      <rPr>
        <sz val="10"/>
        <rFont val="Arial"/>
        <family val="2"/>
      </rPr>
      <t>Updated the Testing Status Flags fields to include "- &lt;subject&gt;" in the field name for positions 2126-2129 for clarification.</t>
    </r>
  </si>
  <si>
    <r>
      <t xml:space="preserve">(Fall 2012) (Logic change) </t>
    </r>
    <r>
      <rPr>
        <sz val="10"/>
        <rFont val="Arial"/>
        <family val="2"/>
      </rPr>
      <t>The Testing Status Flags had the possible value of "N" (Not expected to test) removed.  The Testing Status Flag flow charts were updated and "N" is no longer a possible value.  Secondary records involved in a Score Merge will keep their Testing Status value as-is.  They will not be updated to an "N" as there is no value in doing so.  The Field Use column was updated to remove "M".</t>
    </r>
  </si>
  <si>
    <r>
      <rPr>
        <b/>
        <sz val="10"/>
        <rFont val="Arial"/>
        <family val="2"/>
      </rPr>
      <t>(Fall 2012) (Logic change)</t>
    </r>
    <r>
      <rPr>
        <sz val="10"/>
        <rFont val="Arial"/>
        <family val="2"/>
      </rPr>
      <t xml:space="preserve"> The Accountability Achievement Level fields in position 2255-2266 will be blank for GEE records in all administrations and blank for LEAP Summer as these records are not used by the LDE Accountability Group.  The Admin. Column was updated to remove "F" and "S" since the fields are only needed for LEAP Spring.</t>
    </r>
  </si>
  <si>
    <t>01 = LEA
02 = LAB
03 = CHA
04 = TRI
05 = NPB
06 = STA
08 = BSE
09 = OJJ
10 = MAR
12 = RES
13 = NPS
14 = RLA
15 = RNO
16 = JUV
17 = RBR</t>
  </si>
  <si>
    <r>
      <rPr>
        <b/>
        <sz val="10"/>
        <rFont val="Arial"/>
        <family val="2"/>
      </rPr>
      <t>(Fall 2012) (Logic change)</t>
    </r>
    <r>
      <rPr>
        <sz val="10"/>
        <rFont val="Arial"/>
        <family val="2"/>
      </rPr>
      <t xml:space="preserve"> Added a new School Type possible value of "17 = RBR" to position 2132-2133.</t>
    </r>
  </si>
  <si>
    <r>
      <rPr>
        <b/>
        <sz val="10"/>
        <rFont val="Arial"/>
        <family val="2"/>
      </rPr>
      <t>(Fall 2012)</t>
    </r>
    <r>
      <rPr>
        <sz val="10"/>
        <rFont val="Arial"/>
        <family val="2"/>
      </rPr>
      <t xml:space="preserve"> Added "K" for Keycheck to the Field Use column in pos. 1736-1739 for the Math Subtest 1: Multiple Choice Items field as it was missing. </t>
    </r>
  </si>
  <si>
    <r>
      <rPr>
        <b/>
        <sz val="10"/>
        <rFont val="Arial"/>
        <family val="2"/>
      </rPr>
      <t>(Fall 2012) (Logic change)</t>
    </r>
    <r>
      <rPr>
        <sz val="10"/>
        <rFont val="Arial"/>
        <family val="2"/>
      </rPr>
      <t xml:space="preserve"> Removed "F" (Fall) from the Admin column in pos. 2749-2752 for the School Roster and Remediation Report Flags since GEE will no longer have these reports produced.  This means that the values will be Blank in the LDESTD file for all GEE Fall 2012 records.</t>
    </r>
  </si>
  <si>
    <t>Jennifer Stanchfield</t>
  </si>
  <si>
    <r>
      <rPr>
        <b/>
        <sz val="10"/>
        <rFont val="Arial"/>
        <family val="2"/>
      </rPr>
      <t>(Spring 2013)</t>
    </r>
    <r>
      <rPr>
        <sz val="10"/>
        <rFont val="Arial"/>
        <family val="2"/>
      </rPr>
      <t xml:space="preserve"> </t>
    </r>
    <r>
      <rPr>
        <b/>
        <sz val="10"/>
        <rFont val="Arial"/>
        <family val="2"/>
      </rPr>
      <t xml:space="preserve">(Logic change) </t>
    </r>
    <r>
      <rPr>
        <sz val="10"/>
        <rFont val="Arial"/>
        <family val="2"/>
      </rPr>
      <t>Changed field position 2588, Diploma Endorsement - Document 4, to FILLER, as there is no longer a Document 4 for GEE Spring.</t>
    </r>
  </si>
  <si>
    <r>
      <rPr>
        <b/>
        <sz val="10"/>
        <rFont val="Arial"/>
        <family val="2"/>
      </rPr>
      <t>(Spring 2013)</t>
    </r>
    <r>
      <rPr>
        <sz val="10"/>
        <rFont val="Arial"/>
        <family val="2"/>
      </rPr>
      <t xml:space="preserve"> </t>
    </r>
    <r>
      <rPr>
        <b/>
        <sz val="10"/>
        <rFont val="Arial"/>
        <family val="2"/>
      </rPr>
      <t>(Logic change)</t>
    </r>
    <r>
      <rPr>
        <sz val="10"/>
        <rFont val="Arial"/>
        <family val="2"/>
      </rPr>
      <t xml:space="preserve"> Changed field position 164, Bubbled Previously Attempted Tests - Document 4 (SCI/SOC), to FILLER, as there is no longer a Document 4 for GEE Spring.</t>
    </r>
  </si>
  <si>
    <r>
      <rPr>
        <b/>
        <sz val="10"/>
        <rFont val="Arial"/>
        <family val="2"/>
      </rPr>
      <t xml:space="preserve">(Spring 2013) (Logic change) </t>
    </r>
    <r>
      <rPr>
        <sz val="10"/>
        <rFont val="Arial"/>
        <family val="2"/>
      </rPr>
      <t>Changed fields in positions 561-678, Document 4 Demographic Information, to FILLER, as there is no longer a Document 4 for GEE Spring.</t>
    </r>
  </si>
  <si>
    <r>
      <rPr>
        <b/>
        <sz val="10"/>
        <rFont val="Arial"/>
        <family val="2"/>
      </rPr>
      <t>(Spring 2013)</t>
    </r>
    <r>
      <rPr>
        <sz val="10"/>
        <rFont val="Arial"/>
        <family val="2"/>
      </rPr>
      <t xml:space="preserve"> Changed field position 2103, Summarized Education Classification - Document 4, to FILLER, as there is no longer a Document 4 for GEE Spring.</t>
    </r>
  </si>
  <si>
    <r>
      <rPr>
        <b/>
        <sz val="10"/>
        <rFont val="Arial"/>
        <family val="2"/>
      </rPr>
      <t>(Spring 2013)</t>
    </r>
    <r>
      <rPr>
        <sz val="10"/>
        <rFont val="Arial"/>
        <family val="2"/>
      </rPr>
      <t xml:space="preserve"> </t>
    </r>
    <r>
      <rPr>
        <b/>
        <sz val="10"/>
        <rFont val="Arial"/>
        <family val="2"/>
      </rPr>
      <t xml:space="preserve">(Logic change) </t>
    </r>
    <r>
      <rPr>
        <sz val="10"/>
        <rFont val="Arial"/>
        <family val="2"/>
      </rPr>
      <t>Changed field position 2113, Summarized LEP Status - Document 4, to FILLER, as there is no longer a Document 4 for GEE Spring.</t>
    </r>
  </si>
  <si>
    <r>
      <rPr>
        <b/>
        <sz val="10"/>
        <rFont val="Arial"/>
        <family val="2"/>
      </rPr>
      <t>(Spring 2013)</t>
    </r>
    <r>
      <rPr>
        <sz val="10"/>
        <rFont val="Arial"/>
        <family val="2"/>
      </rPr>
      <t xml:space="preserve"> </t>
    </r>
    <r>
      <rPr>
        <b/>
        <sz val="10"/>
        <rFont val="Arial"/>
        <family val="2"/>
      </rPr>
      <t xml:space="preserve">(Logic change) </t>
    </r>
    <r>
      <rPr>
        <sz val="10"/>
        <rFont val="Arial"/>
        <family val="2"/>
      </rPr>
      <t>Changed field position 2124, Summarized Section 504 Status - Document 4, to FILLER, as there is no longer a Document 4 for GEE Spring.</t>
    </r>
  </si>
  <si>
    <r>
      <rPr>
        <b/>
        <sz val="10"/>
        <rFont val="Arial"/>
        <family val="2"/>
      </rPr>
      <t>(Spring 2013)</t>
    </r>
    <r>
      <rPr>
        <sz val="10"/>
        <rFont val="Arial"/>
        <family val="2"/>
      </rPr>
      <t xml:space="preserve"> </t>
    </r>
    <r>
      <rPr>
        <b/>
        <sz val="10"/>
        <rFont val="Arial"/>
        <family val="2"/>
      </rPr>
      <t xml:space="preserve">(Logic change) </t>
    </r>
    <r>
      <rPr>
        <sz val="10"/>
        <rFont val="Arial"/>
        <family val="2"/>
      </rPr>
      <t>Changed fields in positions 2209-2214, Batch Number - Document 4, to FILLER, as there is no longer a Document 4 for GEE Spring.</t>
    </r>
  </si>
  <si>
    <r>
      <rPr>
        <b/>
        <sz val="10"/>
        <rFont val="Arial"/>
        <family val="2"/>
      </rPr>
      <t>(Spring 2013)</t>
    </r>
    <r>
      <rPr>
        <sz val="10"/>
        <rFont val="Arial"/>
        <family val="2"/>
      </rPr>
      <t xml:space="preserve"> </t>
    </r>
    <r>
      <rPr>
        <b/>
        <sz val="10"/>
        <rFont val="Arial"/>
        <family val="2"/>
      </rPr>
      <t xml:space="preserve">(Logic change) </t>
    </r>
    <r>
      <rPr>
        <sz val="10"/>
        <rFont val="Arial"/>
        <family val="2"/>
      </rPr>
      <t>Changed field position 2215-2220, Serial Number - Document 4, to FILLER, as there is no longer a Document 4 for GEE Spring.</t>
    </r>
  </si>
  <si>
    <r>
      <rPr>
        <b/>
        <sz val="10"/>
        <rFont val="Arial"/>
        <family val="2"/>
      </rPr>
      <t>(Spring 2013)</t>
    </r>
    <r>
      <rPr>
        <sz val="10"/>
        <rFont val="Arial"/>
        <family val="2"/>
      </rPr>
      <t xml:space="preserve"> </t>
    </r>
    <r>
      <rPr>
        <b/>
        <sz val="10"/>
        <rFont val="Arial"/>
        <family val="2"/>
      </rPr>
      <t xml:space="preserve">(Logic change) </t>
    </r>
    <r>
      <rPr>
        <sz val="10"/>
        <rFont val="Arial"/>
        <family val="2"/>
      </rPr>
      <t>Changed field position 2223-2229, Lithocode - Document 4, to FILLER, as there is no longer a Document 4 for GEE Spring.</t>
    </r>
  </si>
  <si>
    <r>
      <rPr>
        <b/>
        <sz val="10"/>
        <rFont val="Arial"/>
        <family val="2"/>
      </rPr>
      <t>(Spring 2013)</t>
    </r>
    <r>
      <rPr>
        <sz val="10"/>
        <rFont val="Arial"/>
        <family val="2"/>
      </rPr>
      <t xml:space="preserve"> </t>
    </r>
    <r>
      <rPr>
        <b/>
        <sz val="10"/>
        <rFont val="Arial"/>
        <family val="2"/>
      </rPr>
      <t xml:space="preserve">(Logic change) </t>
    </r>
    <r>
      <rPr>
        <sz val="10"/>
        <rFont val="Arial"/>
        <family val="2"/>
      </rPr>
      <t>Changed field position 2244-2245, Updated Accountability Code - Document 4, to FILLER, as there is no longer a Document 4 for GEE Spring.</t>
    </r>
  </si>
  <si>
    <r>
      <rPr>
        <b/>
        <sz val="10"/>
        <rFont val="Arial"/>
        <family val="2"/>
      </rPr>
      <t>(Spring 2013)</t>
    </r>
    <r>
      <rPr>
        <sz val="10"/>
        <rFont val="Arial"/>
        <family val="2"/>
      </rPr>
      <t xml:space="preserve"> </t>
    </r>
    <r>
      <rPr>
        <b/>
        <sz val="10"/>
        <rFont val="Arial"/>
        <family val="2"/>
      </rPr>
      <t xml:space="preserve">(Logic change) </t>
    </r>
    <r>
      <rPr>
        <sz val="10"/>
        <rFont val="Arial"/>
        <family val="2"/>
      </rPr>
      <t>Changed field position 2270, Document Type Returned - Document 4, to FILLER, as there is no longer a Document 4 for GEE Spring.</t>
    </r>
  </si>
  <si>
    <r>
      <rPr>
        <b/>
        <sz val="10"/>
        <rFont val="Arial"/>
        <family val="2"/>
      </rPr>
      <t xml:space="preserve">(Spring 2013) (Logic change) </t>
    </r>
    <r>
      <rPr>
        <sz val="10"/>
        <rFont val="Arial"/>
        <family val="2"/>
      </rPr>
      <t>Changed fields in positions 2956-2958, 2959-2978, 2979-2998 for Bubbled Test Administrator Number and Names for Document 4, to FILLER, as there is no longer a Document 4 for GEE Spring.</t>
    </r>
  </si>
  <si>
    <r>
      <rPr>
        <b/>
        <sz val="10"/>
        <rFont val="Arial"/>
        <family val="2"/>
      </rPr>
      <t xml:space="preserve">(Spring 2013) (Logic change) </t>
    </r>
    <r>
      <rPr>
        <sz val="10"/>
        <rFont val="Arial"/>
        <family val="2"/>
      </rPr>
      <t>Changed field position 158, Bubbled Previously Attempted Tests - Document 2 (SCI/SOC), to FILLER, as there is no longer a Document 2 containing SCI/SOC for GEE Spring.</t>
    </r>
  </si>
  <si>
    <r>
      <rPr>
        <b/>
        <sz val="10"/>
        <rFont val="Arial"/>
        <family val="2"/>
      </rPr>
      <t>(Spring 2013) (Logic change)</t>
    </r>
    <r>
      <rPr>
        <sz val="10"/>
        <rFont val="Arial"/>
        <family val="2"/>
      </rPr>
      <t xml:space="preserve"> Changed field positions 292 Bubbled Enrolled or Completed a Career and Technical Education Course, 293-300 Bubbled Career and Technical Education Program, and 301 Career Major, to FILLER, as these fields are no longer on the answer document for GEE Spring.</t>
    </r>
  </si>
  <si>
    <r>
      <rPr>
        <b/>
        <sz val="10"/>
        <rFont val="Arial"/>
        <family val="2"/>
      </rPr>
      <t>(Spring 2013) (Logic change)</t>
    </r>
    <r>
      <rPr>
        <sz val="10"/>
        <rFont val="Arial"/>
        <family val="2"/>
      </rPr>
      <t xml:space="preserve"> Changed field positions 541 Bubbled Enrolled or Completed a Career and Technical Education Course, 542-549 Bubbled Career and Technical Education Program, and 550 Career Major, to FILLER, as these fields are no longer on the answer document for GEE Spring.</t>
    </r>
  </si>
  <si>
    <r>
      <rPr>
        <b/>
        <sz val="10"/>
        <rFont val="Arial"/>
        <family val="2"/>
      </rPr>
      <t>(Spring 2013) (Logic change)</t>
    </r>
    <r>
      <rPr>
        <sz val="10"/>
        <rFont val="Arial"/>
        <family val="2"/>
      </rPr>
      <t xml:space="preserve"> Changed field positions 2087, Nontraditional flag, to FILLER, as this field no longer applies to GEE Spring.</t>
    </r>
  </si>
  <si>
    <r>
      <rPr>
        <b/>
        <sz val="10"/>
        <rFont val="Arial"/>
        <family val="2"/>
      </rPr>
      <t>(Spring 2013) (Logic change)</t>
    </r>
    <r>
      <rPr>
        <sz val="10"/>
        <rFont val="Arial"/>
        <family val="2"/>
      </rPr>
      <t xml:space="preserve"> Changed field positions 2096 Summarized Technical Education - Document 1, 2097 Summarized Technical Education - Document 3, 2098 Summarized Career Major, and 2099 Summarized Technical Education, to FILLER, as these fields no longer apply for GEE Spring.</t>
    </r>
  </si>
  <si>
    <r>
      <rPr>
        <b/>
        <sz val="10"/>
        <rFont val="Arial"/>
        <family val="2"/>
      </rPr>
      <t xml:space="preserve">(Spring 2013) (Logic change) </t>
    </r>
    <r>
      <rPr>
        <sz val="10"/>
        <rFont val="Arial"/>
        <family val="2"/>
      </rPr>
      <t>Changed field positions 412-413, Bubbled Accountability Code, to FILLER, as this field is no longer on the answer document for GEE Spring.</t>
    </r>
  </si>
  <si>
    <r>
      <rPr>
        <b/>
        <sz val="10"/>
        <rFont val="Arial"/>
        <family val="2"/>
      </rPr>
      <t xml:space="preserve">(Spring 2013) (Logic change) </t>
    </r>
    <r>
      <rPr>
        <sz val="10"/>
        <rFont val="Arial"/>
        <family val="2"/>
      </rPr>
      <t>Changed field positions 414-419, Bubbled Routing Information for Document 2, to FILLER as this field is no longer on the answer documents for GEE or LEAP Spring. Routing will no longer be done within the Accountability file.</t>
    </r>
  </si>
  <si>
    <r>
      <rPr>
        <b/>
        <sz val="10"/>
        <rFont val="Arial"/>
        <family val="2"/>
      </rPr>
      <t xml:space="preserve">(Spring 2013) (Logic change) </t>
    </r>
    <r>
      <rPr>
        <sz val="10"/>
        <rFont val="Arial"/>
        <family val="2"/>
      </rPr>
      <t>Changed field positions 285-290, Bubbled Routing Information Document 1, to FILLER as this field is no longer on the answer documents for GEE or LEAP Spring. Routing will no longer be done within the Accountability file.</t>
    </r>
  </si>
  <si>
    <t>Assess Group Type</t>
  </si>
  <si>
    <t>Remediation Report - Science/Social Studies</t>
  </si>
  <si>
    <t>Student Report - Science/Social</t>
  </si>
  <si>
    <r>
      <rPr>
        <b/>
        <sz val="10"/>
        <rFont val="Arial"/>
        <family val="2"/>
      </rPr>
      <t>(Spring 2013)</t>
    </r>
    <r>
      <rPr>
        <sz val="10"/>
        <rFont val="Arial"/>
        <family val="2"/>
      </rPr>
      <t xml:space="preserve"> </t>
    </r>
    <r>
      <rPr>
        <b/>
        <sz val="10"/>
        <rFont val="Arial"/>
        <family val="2"/>
      </rPr>
      <t xml:space="preserve">(Logic change) </t>
    </r>
    <r>
      <rPr>
        <sz val="10"/>
        <rFont val="Arial"/>
        <family val="2"/>
      </rPr>
      <t>Changed field position 2557-2573, Document 4 Bubbled Special Education Exceptionality, to FILLER, as there is no longer a Document 4 for LEAP or GEE Spring.</t>
    </r>
  </si>
  <si>
    <r>
      <rPr>
        <b/>
        <sz val="10"/>
        <rFont val="Arial"/>
        <family val="2"/>
      </rPr>
      <t xml:space="preserve">(Spring 2013) </t>
    </r>
    <r>
      <rPr>
        <sz val="10"/>
        <rFont val="Arial"/>
        <family val="2"/>
      </rPr>
      <t>Updated the field name "ELA/Math on Roster" to "School Roster - ELA/Math" in field position 2749 for consistency across projects.</t>
    </r>
  </si>
  <si>
    <r>
      <rPr>
        <b/>
        <sz val="10"/>
        <rFont val="Arial"/>
        <family val="2"/>
      </rPr>
      <t xml:space="preserve">(Spring 2013) </t>
    </r>
    <r>
      <rPr>
        <sz val="10"/>
        <rFont val="Arial"/>
        <family val="2"/>
      </rPr>
      <t>Updated the field name "Science/Social Studies on Roster" to "School Roster - Science/Social Studies" in field position 2750 for consistency across projects.</t>
    </r>
  </si>
  <si>
    <r>
      <rPr>
        <b/>
        <sz val="10"/>
        <rFont val="Arial"/>
        <family val="2"/>
      </rPr>
      <t xml:space="preserve">(Spring 2013) </t>
    </r>
    <r>
      <rPr>
        <sz val="10"/>
        <rFont val="Arial"/>
        <family val="2"/>
      </rPr>
      <t>Updated the field name "ELA/Math on Remediation report" to "Remediation Report - ELA/Math" in field position 2751 for consistency across projects.</t>
    </r>
  </si>
  <si>
    <r>
      <rPr>
        <b/>
        <sz val="10"/>
        <rFont val="Arial"/>
        <family val="2"/>
      </rPr>
      <t xml:space="preserve">(Spring 2013) </t>
    </r>
    <r>
      <rPr>
        <sz val="10"/>
        <rFont val="Arial"/>
        <family val="2"/>
      </rPr>
      <t>Updated the field name "Science/Social Studies on Remediation report" to "Remediation Report - Science/Social Studies" in field position 2752 for consistency across projects.</t>
    </r>
  </si>
  <si>
    <r>
      <rPr>
        <b/>
        <sz val="10"/>
        <rFont val="Arial"/>
        <family val="2"/>
      </rPr>
      <t>(Spring 2013) (Logic change)</t>
    </r>
    <r>
      <rPr>
        <sz val="10"/>
        <rFont val="Arial"/>
        <family val="2"/>
      </rPr>
      <t xml:space="preserve"> Changed field position 2809 and 2819, Footnote: Partial Score for Science and Social Studies to FILLER, as these fields do not apply to LEAP Spring and GEE is no longer phase testing in Spring.</t>
    </r>
  </si>
  <si>
    <r>
      <t xml:space="preserve">(Spring 2013) (Logic change) </t>
    </r>
    <r>
      <rPr>
        <sz val="10"/>
        <rFont val="Arial"/>
        <family val="2"/>
      </rPr>
      <t>Removed the business rule "Blank in Spring for GEE." for field position 3103, Summarized Subject for LEAP Tutoring, as these fields apply to LEAP Spring only.</t>
    </r>
  </si>
  <si>
    <r>
      <t>(Spring 2013)</t>
    </r>
    <r>
      <rPr>
        <sz val="10"/>
        <rFont val="Arial"/>
        <family val="2"/>
      </rPr>
      <t xml:space="preserve"> Added "G" to the Admin column for any fields that should be populated within the LDESTD file for the GEE Spring Retest. Updated the Key in the Footer to change the description of "O = Spring Operational" to "O = LEAP Spring" and added "G = GEE Spring".</t>
    </r>
  </si>
  <si>
    <r>
      <t>(Spring 2013)</t>
    </r>
    <r>
      <rPr>
        <sz val="10"/>
        <rFont val="Arial"/>
        <family val="2"/>
      </rPr>
      <t xml:space="preserve"> Removed "O" from the admin column for all fields related to document two as they are no longer populated for LEAP Spring.</t>
    </r>
  </si>
  <si>
    <r>
      <rPr>
        <b/>
        <sz val="10"/>
        <rFont val="Arial"/>
        <family val="2"/>
      </rPr>
      <t xml:space="preserve">(Spring 2012) </t>
    </r>
    <r>
      <rPr>
        <sz val="10"/>
        <rFont val="Arial"/>
        <family val="2"/>
      </rPr>
      <t xml:space="preserve"> Added "C" to the Field Use Column for the fields that are updated when the OCS Extract is applied.</t>
    </r>
  </si>
  <si>
    <r>
      <rPr>
        <b/>
        <sz val="10"/>
        <rFont val="Arial"/>
        <family val="2"/>
      </rPr>
      <t xml:space="preserve">(Spring 2012) </t>
    </r>
    <r>
      <rPr>
        <sz val="10"/>
        <rFont val="Arial"/>
        <family val="2"/>
      </rPr>
      <t xml:space="preserve"> Changed "LAP Migrant Status to "LAP Migrant Flag" in position 180 to match the field name used in the LAP File Layout.   Updated the Description/Notes rule about when the value can be blank to include if the student is in the NPS assess group, as NPS students on the LAP file do not have values populated for the LAP Migrant Flag.</t>
    </r>
  </si>
  <si>
    <r>
      <rPr>
        <b/>
        <sz val="10"/>
        <rFont val="Arial"/>
        <family val="2"/>
      </rPr>
      <t>(Spring 2012)</t>
    </r>
    <r>
      <rPr>
        <sz val="10"/>
        <rFont val="Arial"/>
        <family val="2"/>
      </rPr>
      <t xml:space="preserve">  Changed "LAP Lunch Status" to "LAP Free/Reduced Lunch" in position 181 to match the field name used in the LAP File Layout.  Updated the Description/Notes rule about when the value can be blank to include if the student is in the NPS assess group, as NPS students on the LAP file do not have values populated for the LAP Free/Reduced Lunch field.</t>
    </r>
  </si>
  <si>
    <r>
      <rPr>
        <b/>
        <sz val="10"/>
        <rFont val="Arial"/>
        <family val="2"/>
      </rPr>
      <t xml:space="preserve">(Spring 2012) </t>
    </r>
    <r>
      <rPr>
        <sz val="10"/>
        <rFont val="Arial"/>
        <family val="2"/>
      </rPr>
      <t>Updated the reference within the Description/Comments column in position 283-284, 412-413, 522-523, and 671-672, Bubbled Accountability Code, to provide the new location of the  Accountability Codes List in it's own document on the FTP site.</t>
    </r>
  </si>
  <si>
    <r>
      <rPr>
        <b/>
        <sz val="10"/>
        <rFont val="Arial"/>
        <family val="2"/>
      </rPr>
      <t>(Spring 2012)</t>
    </r>
    <r>
      <rPr>
        <sz val="10"/>
        <rFont val="Arial"/>
        <family val="2"/>
      </rPr>
      <t xml:space="preserve">  Changed "LAP Section 504 Status" to "LAP Section 504 Flag" in position 2119 to match the field name used in the LAP File Layout.  Updated the Description/Notes rule about when the value can be blank to include if the student is in the NPS assess group, as NPS students on the LAP file do not have values populated for the LAP Section 504 Flag.</t>
    </r>
  </si>
  <si>
    <r>
      <rPr>
        <b/>
        <sz val="10"/>
        <rFont val="Arial"/>
        <family val="2"/>
      </rPr>
      <t xml:space="preserve">(Spring 2012) </t>
    </r>
    <r>
      <rPr>
        <sz val="10"/>
        <rFont val="Arial"/>
        <family val="2"/>
      </rPr>
      <t>Updated the reference within the Description/Comments column in position 2238-2245, Updated Accountability Code, to provide the new location of the  Accountability Codes List, which is in its own document on the FTP site.</t>
    </r>
  </si>
  <si>
    <r>
      <rPr>
        <b/>
        <sz val="10"/>
        <rFont val="Arial"/>
        <family val="2"/>
      </rPr>
      <t xml:space="preserve">(Spring 2012) </t>
    </r>
    <r>
      <rPr>
        <sz val="10"/>
        <rFont val="Arial"/>
        <family val="2"/>
      </rPr>
      <t>Updated the reference within the Description/Comments column in position 2246-2253, Summarized Accountability Code, to provide the new location of the  Accountability Codes List, which is in its own document on the FTP site.</t>
    </r>
  </si>
  <si>
    <r>
      <rPr>
        <b/>
        <sz val="10"/>
        <rFont val="Arial"/>
        <family val="2"/>
      </rPr>
      <t xml:space="preserve">(Summer 2012) </t>
    </r>
    <r>
      <rPr>
        <sz val="10"/>
        <rFont val="Arial"/>
        <family val="2"/>
      </rPr>
      <t>Clarifications were added to the Student Report description/comments field in position 2756 to help show the relationship between the possible values and the links that they Student Report will display under in LEAPweb.  A rule was documented to show that "3" is only valid for LEAP Spring records.</t>
    </r>
  </si>
  <si>
    <r>
      <rPr>
        <b/>
        <sz val="10"/>
        <rFont val="Arial"/>
        <family val="2"/>
      </rPr>
      <t>(Fall 2012)</t>
    </r>
    <r>
      <rPr>
        <sz val="10"/>
        <rFont val="Arial"/>
        <family val="2"/>
      </rPr>
      <t xml:space="preserve"> Updated the Spring Achievement - &lt;subject&gt; fields to be named Spring Assessment Achievement Level - &lt;subject&gt; for clarification in positions 2367-2369, 2373-2375, 2379-2381, and 2379-2381.</t>
    </r>
  </si>
  <si>
    <r>
      <rPr>
        <b/>
        <sz val="10"/>
        <rFont val="Arial"/>
        <family val="2"/>
      </rPr>
      <t>(Fall 2012)</t>
    </r>
    <r>
      <rPr>
        <sz val="10"/>
        <rFont val="Arial"/>
        <family val="2"/>
      </rPr>
      <t xml:space="preserve"> Updated the SUMMER Achievement - &lt;subject&gt; fields to be named Summer Assessment Achievement Level - &lt;subject&gt; for clarification in positions 2399-2401, 2407-2409, 2415-2417, and 2423-2425.</t>
    </r>
  </si>
  <si>
    <t>LAP Scholarship Student Flag</t>
  </si>
  <si>
    <t>As flagged on the LAP file.
Blank for a hand-coded document that could not be matched back to the LAP file, or if the value was blank on the LAP file.</t>
  </si>
  <si>
    <t>Y = indicates student has an approved 
        scholarship
N = indicates student does not have an 
        approved scholarship
Blank</t>
  </si>
  <si>
    <r>
      <rPr>
        <b/>
        <sz val="10"/>
        <rFont val="Arial"/>
        <family val="2"/>
      </rPr>
      <t>(Spring 2013) (Logic change)</t>
    </r>
    <r>
      <rPr>
        <sz val="10"/>
        <rFont val="Arial"/>
        <family val="2"/>
      </rPr>
      <t xml:space="preserve"> Added the LAP Scholaship Site Code field in position 2278-2283 (previously FILLER).</t>
    </r>
  </si>
  <si>
    <r>
      <rPr>
        <b/>
        <sz val="10"/>
        <rFont val="Arial"/>
        <family val="2"/>
      </rPr>
      <t>(Spring 2013) (Logic change)</t>
    </r>
    <r>
      <rPr>
        <sz val="10"/>
        <rFont val="Arial"/>
        <family val="2"/>
      </rPr>
      <t xml:space="preserve"> Added the LAP Scholarship Student Flag field in position 2277 (previously FILLER). </t>
    </r>
  </si>
  <si>
    <r>
      <rPr>
        <b/>
        <sz val="10"/>
        <rFont val="Arial"/>
        <family val="2"/>
      </rPr>
      <t xml:space="preserve">(Spring 2013) (Logic change) </t>
    </r>
    <r>
      <rPr>
        <sz val="10"/>
        <rFont val="Arial"/>
        <family val="2"/>
      </rPr>
      <t>Added the LAP Residence_LEA field in position 2284-2286 (previously FILLER).</t>
    </r>
  </si>
  <si>
    <r>
      <rPr>
        <b/>
        <sz val="10"/>
        <rFont val="Arial"/>
        <family val="2"/>
      </rPr>
      <t xml:space="preserve">(Spring 2013) </t>
    </r>
    <r>
      <rPr>
        <sz val="10"/>
        <rFont val="Arial"/>
        <family val="2"/>
      </rPr>
      <t>Updated the field name "Student Report for ELA/Math" to "Student Report - ELA/Math" in field position 2753 for consistency across projects.  Removed Blank as a possible value, as blank is not a possible value in LEAP Spring.  This field is blank (not populated) for GEE Spring, Summer, and Fall based on the Admin column only having an "O".</t>
    </r>
  </si>
  <si>
    <r>
      <rPr>
        <b/>
        <sz val="10"/>
        <rFont val="Arial"/>
        <family val="2"/>
      </rPr>
      <t xml:space="preserve">(Spring 2013) </t>
    </r>
    <r>
      <rPr>
        <sz val="10"/>
        <rFont val="Arial"/>
        <family val="2"/>
      </rPr>
      <t>Updated the field name "Student Report for Science/Social" to "Student Report - Science/Social" in field position 2754 for consistency across projects. Removed Blank as a possible value, as blank is not a possible value in LEAP Spring.  This field is blank (not populated) for GEE Spring, Summer, and Fall based on the Admin column only having an "O".</t>
    </r>
  </si>
  <si>
    <r>
      <rPr>
        <b/>
        <sz val="10"/>
        <rFont val="Arial"/>
        <family val="2"/>
      </rPr>
      <t>(Spring 2013) (Logic change)</t>
    </r>
    <r>
      <rPr>
        <sz val="10"/>
        <rFont val="Arial"/>
        <family val="2"/>
      </rPr>
      <t xml:space="preserve"> Removed Blank as a possible value and the rule "Blank in Spring for GEE." for field position 2792 and 2802, Footnote: Passed, Summer remediation is optional for ELA and Math, as these fields apply to LEAP Spring only.</t>
    </r>
  </si>
  <si>
    <t>6 digit site code
Blank = document not returned</t>
  </si>
  <si>
    <r>
      <rPr>
        <b/>
        <sz val="10"/>
        <rFont val="Arial"/>
        <family val="2"/>
      </rPr>
      <t xml:space="preserve">(Spring 2013) (Logic change) </t>
    </r>
    <r>
      <rPr>
        <sz val="10"/>
        <rFont val="Arial"/>
        <family val="2"/>
      </rPr>
      <t>Moved the Serial Number - Document 2 field from the starting and ending position of 2168-2173 to 2170-2175 to accommodate the extention of the Batch Number - Document 1 field.  The FILLER in position 2174-2176 was reduced to 1 byte.</t>
    </r>
  </si>
  <si>
    <r>
      <rPr>
        <b/>
        <sz val="10"/>
        <rFont val="Arial"/>
        <family val="2"/>
      </rPr>
      <t xml:space="preserve">(Spring 2013) (Logic change) </t>
    </r>
    <r>
      <rPr>
        <sz val="10"/>
        <rFont val="Arial"/>
        <family val="2"/>
      </rPr>
      <t>Moved the Serial Number - Document 2 field from the starting and ending position of 2193-2198 to 2195-2200 to accommodate the extention of the Batch Number - Document 1 field.  The FILLER in position 2199-2201 was reduced to 1 byte.</t>
    </r>
  </si>
  <si>
    <r>
      <rPr>
        <b/>
        <sz val="10"/>
        <rFont val="Arial"/>
        <family val="2"/>
      </rPr>
      <t xml:space="preserve">(Spring 2013) (Logic change) </t>
    </r>
    <r>
      <rPr>
        <sz val="10"/>
        <rFont val="Arial"/>
        <family val="2"/>
      </rPr>
      <t>Moved the Serial Number - Document 1 field from the starting and ending position of 2143-2148 to 2145-2150 to accommodate the extention of the Batch Number - Document 1 field.  The FILLER in position 2149-2151 was reduced to 1 byte.</t>
    </r>
  </si>
  <si>
    <t>Month of test</t>
  </si>
  <si>
    <r>
      <rPr>
        <b/>
        <sz val="10"/>
        <rFont val="Arial"/>
        <family val="2"/>
      </rPr>
      <t xml:space="preserve">(Spring 2013) </t>
    </r>
    <r>
      <rPr>
        <sz val="10"/>
        <rFont val="Arial"/>
        <family val="2"/>
      </rPr>
      <t>Updated the description of what subjects are contained within answer document 3 to remove GEE ELA/Math within the Description/Comments column for field position 159, Bubbled Previously Attempted Tests - Document 3 (ELA/Math), as these subjects are no longer contained within document 3 for GEE Spring.</t>
    </r>
  </si>
  <si>
    <r>
      <rPr>
        <b/>
        <sz val="10"/>
        <rFont val="Arial"/>
        <family val="2"/>
      </rPr>
      <t>(Spring 2013)</t>
    </r>
    <r>
      <rPr>
        <sz val="10"/>
        <rFont val="Arial"/>
        <family val="2"/>
      </rPr>
      <t xml:space="preserve"> Updated the business rules within the Description/Comments column for position 94-95, Summarized Grade, to split out the Spring rules into LEAP Spring and GEE Spring.</t>
    </r>
  </si>
  <si>
    <r>
      <rPr>
        <b/>
        <sz val="10"/>
        <rFont val="Arial"/>
        <family val="2"/>
      </rPr>
      <t xml:space="preserve">(Spring 2013) (Logic change) </t>
    </r>
    <r>
      <rPr>
        <sz val="10"/>
        <rFont val="Arial"/>
        <family val="2"/>
      </rPr>
      <t>Updated the business rule within the Description/Comments column for field position 126-134 to remove "-&gt;Doc4" from the logic for populating the Bar-code/Student Precode Number for hand-coded documents on the first non-blank answer document.</t>
    </r>
  </si>
  <si>
    <r>
      <rPr>
        <b/>
        <sz val="10"/>
        <rFont val="Arial"/>
        <family val="2"/>
      </rPr>
      <t xml:space="preserve">(Spring 2013) (Logic change) </t>
    </r>
    <r>
      <rPr>
        <sz val="10"/>
        <rFont val="Arial"/>
        <family val="2"/>
      </rPr>
      <t>Removed the business rule "Blank for GEE in Spring." within the Description/Comments column for field position 163, Bubbled Previously Attempted Tests - Document 3 (SCI/SOC),as this field only applies to LEAP Spring now.</t>
    </r>
  </si>
  <si>
    <r>
      <t>(Spring 2013)</t>
    </r>
    <r>
      <rPr>
        <sz val="10"/>
        <rFont val="Arial"/>
        <family val="2"/>
      </rPr>
      <t xml:space="preserve"> Clarified the business rule within the Description/Comments column for field position 167, Precoded Gender, that "Spring" (the value from the LAP file) is now "GEE Spring/LEAP Spring".</t>
    </r>
  </si>
  <si>
    <r>
      <t>(Spring 2013)</t>
    </r>
    <r>
      <rPr>
        <sz val="10"/>
        <rFont val="Arial"/>
        <family val="2"/>
      </rPr>
      <t xml:space="preserve"> Updated the business rule within the Description/Comments column for field position 172, LEAP Promotional Status, from "Blank for GEE" to "Blank for GEE in Summer." since this field no longer applies to GEE Spring.</t>
    </r>
  </si>
  <si>
    <r>
      <rPr>
        <b/>
        <sz val="10"/>
        <rFont val="Arial"/>
        <family val="2"/>
      </rPr>
      <t xml:space="preserve">(Spring 2013) (Logic change) </t>
    </r>
    <r>
      <rPr>
        <sz val="10"/>
        <rFont val="Arial"/>
        <family val="2"/>
      </rPr>
      <t>Removed the business rule within the Description/Comments column "Blank for GEE." from field positions 173-174, LEAP Remediation Eligibility and LEAP Summer Test Eligibility, as these fields only apply to LEAP Spring now.</t>
    </r>
  </si>
  <si>
    <r>
      <rPr>
        <b/>
        <sz val="10"/>
        <rFont val="Arial"/>
        <family val="2"/>
      </rPr>
      <t xml:space="preserve">(Spring 2013) (Logic change) </t>
    </r>
    <r>
      <rPr>
        <sz val="10"/>
        <rFont val="Arial"/>
        <family val="2"/>
      </rPr>
      <t>Removed GEE ELA/Math from the description of what subjects are contained within answer document 1 within the Description/Comments column for field positions 283-284, Bubbled Accountability Code, as codes no longer apply to GEE Spring.</t>
    </r>
  </si>
  <si>
    <r>
      <rPr>
        <b/>
        <sz val="10"/>
        <rFont val="Arial"/>
        <family val="2"/>
      </rPr>
      <t xml:space="preserve">(Spring 2013) (Logic change) </t>
    </r>
    <r>
      <rPr>
        <sz val="10"/>
        <rFont val="Arial"/>
        <family val="2"/>
      </rPr>
      <t>Removed the business rule within the Description/Comments column "Blank for GEE." from field position 291, Bubbled Subjects for LEAP Tutoring, as these fields only apply to LEAP Spring.</t>
    </r>
  </si>
  <si>
    <r>
      <rPr>
        <b/>
        <sz val="10"/>
        <rFont val="Arial"/>
        <family val="2"/>
      </rPr>
      <t>(Spring 2013)</t>
    </r>
    <r>
      <rPr>
        <sz val="10"/>
        <rFont val="Arial"/>
        <family val="2"/>
      </rPr>
      <t xml:space="preserve"> Updated the description of what subjects are contained within answer document 2 to remove GEE SCI/SOC within the Description/Comments column for field positions 325-330 and 333-411, DOCUMENT 2 DEMOGRAPHIC INFORMATION.</t>
    </r>
  </si>
  <si>
    <r>
      <rPr>
        <b/>
        <sz val="10"/>
        <rFont val="Arial"/>
        <family val="2"/>
      </rPr>
      <t xml:space="preserve">(Spring 2013) </t>
    </r>
    <r>
      <rPr>
        <sz val="10"/>
        <rFont val="Arial"/>
        <family val="2"/>
      </rPr>
      <t>Updated the description of what subjects are contained within answer document 3 to remove GEE ELA/Math within the Description/Comments column for field positions 454-520 and 531-540, DOCUMENT 3 DEMOGRAPHIC INFORMATION.</t>
    </r>
  </si>
  <si>
    <r>
      <rPr>
        <b/>
        <sz val="10"/>
        <rFont val="Arial"/>
        <family val="2"/>
      </rPr>
      <t xml:space="preserve">(Spring 2013) (Logic change) </t>
    </r>
    <r>
      <rPr>
        <sz val="10"/>
        <rFont val="Arial"/>
        <family val="2"/>
      </rPr>
      <t>Removed the business rule within the Description/Comments column "Blank for GEE." from field position 521, Bubbled Subjects for LEAP Tutoring, as these fields only apply to LEAP Spring.</t>
    </r>
  </si>
  <si>
    <r>
      <rPr>
        <b/>
        <sz val="10"/>
        <rFont val="Arial"/>
        <family val="2"/>
      </rPr>
      <t xml:space="preserve">(Spring 2013) (Logic change) </t>
    </r>
    <r>
      <rPr>
        <sz val="10"/>
        <rFont val="Arial"/>
        <family val="2"/>
      </rPr>
      <t>Removed GEE ELA/Math from the description of what subjects are contained within answer document 3 within the Description/Comments column for field positions 522-523, Bubbled Accountability Code, as codes no longer apply to GEE Spring.</t>
    </r>
  </si>
  <si>
    <r>
      <t>(Spring 2013)</t>
    </r>
    <r>
      <rPr>
        <sz val="10"/>
        <rFont val="Arial"/>
        <family val="2"/>
      </rPr>
      <t xml:space="preserve"> Added a business rule within the Description/Comments column for field position 551-554, Raw Score Total - Reading Subscore, to note that this field is Blank when the Raw Score Total for ELA is blank.</t>
    </r>
  </si>
  <si>
    <r>
      <t>(Spring 2013)</t>
    </r>
    <r>
      <rPr>
        <sz val="10"/>
        <rFont val="Arial"/>
        <family val="2"/>
      </rPr>
      <t xml:space="preserve"> Added a business rule within the Description/Comments column for field position 555-557, Scaled Score - Reading Subscore, to note that this field is Blank when the Raw Score Total for ELA is blank.</t>
    </r>
  </si>
  <si>
    <r>
      <t>(Spring 2013)</t>
    </r>
    <r>
      <rPr>
        <sz val="10"/>
        <rFont val="Arial"/>
        <family val="2"/>
      </rPr>
      <t xml:space="preserve"> Added a business rule within the Description/Comments column for field position 558-560, Assessment Achievement Level - Reading Subscore, to note that this field is Blank when the Raw Score Total for ELA is blank.</t>
    </r>
  </si>
  <si>
    <r>
      <rPr>
        <b/>
        <sz val="10"/>
        <rFont val="Arial"/>
        <family val="2"/>
      </rPr>
      <t xml:space="preserve">(Spring 2013) (Logic change) </t>
    </r>
    <r>
      <rPr>
        <sz val="10"/>
        <rFont val="Arial"/>
        <family val="2"/>
      </rPr>
      <t>Added the following note within the Description/Comments column regarding the field test items for field positions 692-1546, Response Strings by Subject, "Field Test Items will be included in the Item Responses for Math, Science, and Social Studies in LEAP Spring."</t>
    </r>
  </si>
  <si>
    <r>
      <t>(Spring 2013) (Logic change)</t>
    </r>
    <r>
      <rPr>
        <sz val="10"/>
        <rFont val="Arial"/>
        <family val="2"/>
      </rPr>
      <t xml:space="preserve"> Added the following note within the Description/Comments column regarding the field test items for field positions 1693-1697, 1810-1814, 1931-1935, Raw Score Total by Subject (Math, Science, Social Studies), "Field Test Items are not included when determining the Raw Score Total - &lt;Subject&gt; in LEAP Spring."</t>
    </r>
  </si>
  <si>
    <r>
      <rPr>
        <b/>
        <sz val="10"/>
        <rFont val="Arial"/>
        <family val="2"/>
      </rPr>
      <t xml:space="preserve">(Spring 2013) (Logic change) </t>
    </r>
    <r>
      <rPr>
        <sz val="10"/>
        <rFont val="Arial"/>
        <family val="2"/>
      </rPr>
      <t>Updated the business rule within the Description/Comments column for field position 1806-1811, SEM High and SEM Low for Math, to clarify that when these values are blank in Spring its referring to LEAP Spring.</t>
    </r>
  </si>
  <si>
    <r>
      <rPr>
        <b/>
        <sz val="10"/>
        <rFont val="Arial"/>
        <family val="2"/>
      </rPr>
      <t xml:space="preserve">(Spring 2013) (Logic change) </t>
    </r>
    <r>
      <rPr>
        <sz val="10"/>
        <rFont val="Arial"/>
        <family val="2"/>
      </rPr>
      <t>Updated the business rule within the Description/Comments column for field position 1917-1922, SEM High and SEM Low for Science, to clarify that when these values are blank in Spring its referring to LEAP Spring.</t>
    </r>
  </si>
  <si>
    <r>
      <rPr>
        <b/>
        <sz val="10"/>
        <rFont val="Arial"/>
        <family val="2"/>
      </rPr>
      <t xml:space="preserve">(Spring 2013) (Logic change) </t>
    </r>
    <r>
      <rPr>
        <sz val="10"/>
        <rFont val="Arial"/>
        <family val="2"/>
      </rPr>
      <t>Updated the business rule within the Description/Comments column for field position 2048-2053, SEM High and SEM Low for Social Studies, to clarify that when these values are blank in Spring its referring to LEAP Spring.</t>
    </r>
  </si>
  <si>
    <r>
      <t xml:space="preserve">(Spring 2013) (Logic change) </t>
    </r>
    <r>
      <rPr>
        <sz val="10"/>
        <rFont val="Arial"/>
        <family val="2"/>
      </rPr>
      <t>Added the following note within the Description/Comments column regarding the field test items for field positions 2060-2063, MC/CR Taken Flags for Math, Science, and Social Studies, "Field Test Items are not included when determining the Raw Score Total for Math, Science, and Social Studies in LEAP Spring."</t>
    </r>
  </si>
  <si>
    <r>
      <t xml:space="preserve">(Spring 2013) (Logic change) </t>
    </r>
    <r>
      <rPr>
        <sz val="10"/>
        <rFont val="Arial"/>
        <family val="2"/>
      </rPr>
      <t>Updated the business rule within the Description/Comments column for field positions 2079-2082, District Void Flags by Subject, from "The District Void flag for the subject will be set to "Y" if the student is included on the Final District and Plagiarism Void Spreadsheet for the subject and the Type of Void column contains "DISTRICT"." to "The District Void flag for the subject will be set to "Y" if the student has a row in the LDE approved Void .CSV file for the subject, and the LDE Type of Void field contains "District" or "DIST"."</t>
    </r>
  </si>
  <si>
    <r>
      <t xml:space="preserve">(Spring 2013) (Logic change) </t>
    </r>
    <r>
      <rPr>
        <sz val="10"/>
        <rFont val="Arial"/>
        <family val="2"/>
      </rPr>
      <t>Added the following business rule within the Description/Comments column for field positions 2083-2086, Plagiarism Void Flags by Subject, "The Plagiarism Void flag for the subject will be set to "Y" if the student has a row in the LDE approved Void .CSV file for the subject, and the LDE Type of Void field contains "Plagiarism" or "PLAG"."</t>
    </r>
  </si>
  <si>
    <r>
      <rPr>
        <b/>
        <sz val="10"/>
        <rFont val="Arial"/>
        <family val="2"/>
      </rPr>
      <t xml:space="preserve">(Spring 2013) </t>
    </r>
    <r>
      <rPr>
        <sz val="10"/>
        <rFont val="Arial"/>
        <family val="2"/>
      </rPr>
      <t>Updated the description of what subjects are contained within the different answer documents and removed document 4 within the Description/Comments column for fields in positions 2110-2112, Summarized LEP Status - Document 1-3, as there is no longer a Document 4 for GEE Spring.</t>
    </r>
  </si>
  <si>
    <r>
      <t>(Spring 2013)</t>
    </r>
    <r>
      <rPr>
        <sz val="10"/>
        <rFont val="Arial"/>
        <family val="2"/>
      </rPr>
      <t xml:space="preserve"> Clarified the business rule within the Description/Comments column for field position 2114, Precoded LEP Status, that "Spring" (the value from the LAP file) is now "GEE Spring/LEAP Spring".</t>
    </r>
  </si>
  <si>
    <r>
      <t>(Spring 2013)</t>
    </r>
    <r>
      <rPr>
        <sz val="10"/>
        <rFont val="Arial"/>
        <family val="2"/>
      </rPr>
      <t xml:space="preserve"> Clarified the business rule within the Description/Comments column for field position 2120, Precoded Section 504 Status, that "Spring" (the value from the LAP file) is now "GEE Spring/LEAP Spring".</t>
    </r>
  </si>
  <si>
    <r>
      <rPr>
        <b/>
        <sz val="10"/>
        <rFont val="Arial"/>
        <family val="2"/>
      </rPr>
      <t xml:space="preserve">(Spring 2013) </t>
    </r>
    <r>
      <rPr>
        <sz val="10"/>
        <rFont val="Arial"/>
        <family val="2"/>
      </rPr>
      <t>Updated the field name "School Type" to "Assess Group Type" in field position 2132-2133 for consistency across projects.  Updated the business rule within the Description/Comments column for clarity from "Assess group codes as listed in the School Master File." to "The numeric type for the Assess Group Code value from the School Master File for the school the student is being reported to."</t>
    </r>
  </si>
  <si>
    <r>
      <t>(Spring 2013)</t>
    </r>
    <r>
      <rPr>
        <sz val="10"/>
        <rFont val="Arial"/>
        <family val="2"/>
      </rPr>
      <t xml:space="preserve"> Updated the business rules within the Description/Comments column for field position 2135, Repeating Grade, from "Valued for LEAP students in Summer." to "Valued for LEAP students in Spring and Summer" and updated "Blank in Spring and Summer for GEE." to "Blank in Summer for GEE." as this field is no longer populated for GEE Spring.</t>
    </r>
  </si>
  <si>
    <r>
      <t>(Spring 2013)</t>
    </r>
    <r>
      <rPr>
        <sz val="10"/>
        <rFont val="Arial"/>
        <family val="2"/>
      </rPr>
      <t xml:space="preserve"> Clarified the business rule within the Description/Comments column for field position 2246-2253, Summarized Accountability Code by Subject, to clarify that "Spring" is LEAP Spring, and GEE will follow the Retest logic.</t>
    </r>
  </si>
  <si>
    <r>
      <rPr>
        <b/>
        <sz val="10"/>
        <rFont val="Arial"/>
        <family val="2"/>
      </rPr>
      <t>(Spring 2013) (Logic change)</t>
    </r>
    <r>
      <rPr>
        <sz val="10"/>
        <rFont val="Arial"/>
        <family val="2"/>
      </rPr>
      <t xml:space="preserve"> Removed the business rule within the Description/Comments column "Blank for GEE and LEAP Summer." in field positions 2255-2266, Accountability Achievement Level, as this field is only populated in LEAP Spring per the "O" in the Admin column.</t>
    </r>
  </si>
  <si>
    <r>
      <rPr>
        <b/>
        <sz val="10"/>
        <rFont val="Arial"/>
        <family val="2"/>
      </rPr>
      <t xml:space="preserve">(Spring 2013) </t>
    </r>
    <r>
      <rPr>
        <sz val="10"/>
        <rFont val="Arial"/>
        <family val="2"/>
      </rPr>
      <t>Updated the description of what subjects are contained within the different answer documents within the Description/Comments column for fields in positions 2473-2545, Bubbled Special Education Exceptionality Documents 1-3, as there is no longer a Document 4 for GEE Spring.</t>
    </r>
  </si>
  <si>
    <r>
      <rPr>
        <b/>
        <sz val="10"/>
        <rFont val="Arial"/>
        <family val="2"/>
      </rPr>
      <t xml:space="preserve">(Spring 2013) </t>
    </r>
    <r>
      <rPr>
        <sz val="10"/>
        <rFont val="Arial"/>
        <family val="2"/>
      </rPr>
      <t>Updated the description of what subjects are contained within the different answer documents and removed document 4 within the Description/Comments column for fields in positions 2585-2587, Diploma Endorsement - Document 1-3, as there is no longer a Document 4 for GEE Spring.</t>
    </r>
  </si>
  <si>
    <r>
      <rPr>
        <b/>
        <sz val="10"/>
        <rFont val="Arial"/>
        <family val="2"/>
      </rPr>
      <t xml:space="preserve">(Spring 2013) </t>
    </r>
    <r>
      <rPr>
        <sz val="10"/>
        <rFont val="Arial"/>
        <family val="2"/>
      </rPr>
      <t>Added possible values of 6-digit code and Blank = document not returned for field position 2609-2626, Site code - Document 1-3, and removed the business rule within the Description/Comments column of "Blank when no document returned.".</t>
    </r>
  </si>
  <si>
    <r>
      <t xml:space="preserve">(Spring 2013) </t>
    </r>
    <r>
      <rPr>
        <sz val="10"/>
        <rFont val="Arial"/>
        <family val="2"/>
      </rPr>
      <t>Updated the description of what subjects are contained within the different answer documents and removed document 4 within the Description/Comments column for fields in positions 2609-2626, Site code - Document 1-3, as there is no longer a Document 4 for GEE Spring.</t>
    </r>
  </si>
  <si>
    <r>
      <rPr>
        <b/>
        <sz val="10"/>
        <rFont val="Arial"/>
        <family val="2"/>
      </rPr>
      <t xml:space="preserve">(Spring 2013) </t>
    </r>
    <r>
      <rPr>
        <sz val="10"/>
        <rFont val="Arial"/>
        <family val="2"/>
      </rPr>
      <t>Updated the description of what subjects are contained within the different answer documents and removed document 4 within the Description/Comments column for fields in positions 2639, Summarized Ethnicity/Race - Document  1-3, as there is no longer a Document 4 for GEE Spring.</t>
    </r>
  </si>
  <si>
    <r>
      <t xml:space="preserve">(Spring 2013) </t>
    </r>
    <r>
      <rPr>
        <sz val="10"/>
        <rFont val="Arial"/>
        <family val="2"/>
      </rPr>
      <t>Updated the description of what subjects are contained within the different answer documents within the Description/Comments column for fields in positions 2827-2955, Test Administrator Information for Document 1-3, as there is no longer a Document 4 for GEE Spring.</t>
    </r>
  </si>
  <si>
    <r>
      <rPr>
        <b/>
        <sz val="10"/>
        <rFont val="Arial"/>
        <family val="2"/>
      </rPr>
      <t xml:space="preserve">(Spring 2013) </t>
    </r>
    <r>
      <rPr>
        <sz val="10"/>
        <rFont val="Arial"/>
        <family val="2"/>
      </rPr>
      <t>Updated the description of what subjects are contained within answer document 1 within the Description/Comments column to remove GEE ELA/Math for field position 157, Bubbled Previously Attempted Tests - Document 1 (ELA/Math), as these subjects are no longer contained within document 1 for GEE Spring.</t>
    </r>
  </si>
  <si>
    <r>
      <rPr>
        <b/>
        <sz val="10"/>
        <rFont val="Arial"/>
        <family val="2"/>
      </rPr>
      <t xml:space="preserve">(Spring 2013) </t>
    </r>
    <r>
      <rPr>
        <sz val="10"/>
        <rFont val="Arial"/>
        <family val="2"/>
      </rPr>
      <t>Updated the description of what subjects are contained within answer document 1 within the Description/Comments column to remove GEE ELA/Math for field positions 188-282, DOCUMENT 1 DEMOGRAPHIC INFORMATION.</t>
    </r>
  </si>
  <si>
    <r>
      <rPr>
        <b/>
        <sz val="10"/>
        <rFont val="Arial"/>
        <family val="2"/>
      </rPr>
      <t xml:space="preserve">(Spring 2013) (Logic change) </t>
    </r>
    <r>
      <rPr>
        <sz val="10"/>
        <rFont val="Arial"/>
        <family val="2"/>
      </rPr>
      <t>Updated the description of what subjects are contained within the different answer documents and removed document 4 within the Description/Comments column for fields in positions 2121-2123, Summarized Section 504 Status - Document 1-3, as there is no longer a Document 4 for GEE Spring.</t>
    </r>
  </si>
  <si>
    <r>
      <rPr>
        <b/>
        <sz val="10"/>
        <rFont val="Arial"/>
        <family val="2"/>
      </rPr>
      <t xml:space="preserve">(Spring 2013) </t>
    </r>
    <r>
      <rPr>
        <sz val="10"/>
        <rFont val="Arial"/>
        <family val="2"/>
      </rPr>
      <t>Updated the description of what subjects are contained within the different answer documents and removed document 4 within the Description/Comments column for fields in positions 2267-2269, Document Type Returned - Document 1-3, as there is no longer a Document 4 for GEE Spring.</t>
    </r>
  </si>
  <si>
    <r>
      <rPr>
        <b/>
        <sz val="10"/>
        <rFont val="Arial"/>
        <family val="2"/>
      </rPr>
      <t xml:space="preserve">(Fall 2012) </t>
    </r>
    <r>
      <rPr>
        <sz val="10"/>
        <rFont val="Arial"/>
        <family val="2"/>
      </rPr>
      <t>Clarified the note within the Descriptions/Comments column in field positions 2300-2363, Web History by Subject, to note that these are the overall highest history values.  Added a business rule for when the Scaled Score value is set to Blank, as this was not previously documented.</t>
    </r>
  </si>
  <si>
    <r>
      <rPr>
        <b/>
        <sz val="10"/>
        <rFont val="Arial"/>
        <family val="2"/>
      </rPr>
      <t>(Fall 2012)</t>
    </r>
    <r>
      <rPr>
        <sz val="10"/>
        <rFont val="Arial"/>
        <family val="2"/>
      </rPr>
      <t xml:space="preserve"> Removed the reference to the Achievement History - In the LDESTD File section of the Processing Rules - Materials and Scoring document in field position 2364-2387, Spring Test Scores, as this section was removed from the Processing Rules.  Updated the existing business rules to clarify when the Scaled Score is set to "000", and when the Achievement Level will be Blank.</t>
    </r>
  </si>
  <si>
    <r>
      <rPr>
        <b/>
        <sz val="10"/>
        <rFont val="Arial"/>
        <family val="2"/>
      </rPr>
      <t>(Fall 2012)</t>
    </r>
    <r>
      <rPr>
        <sz val="10"/>
        <rFont val="Arial"/>
        <family val="2"/>
      </rPr>
      <t xml:space="preserve"> Removed the reference to the Achievement History - In the LDESTD File section of the Processing Rules - Materials and Scoring document in field position 2396-2425, Summer Test Scores, as this section was removed from the Processing Rules.  Added business rules to clarify when the Scaled Score is set to "000", and when the Achievement Level will be Blank.</t>
    </r>
  </si>
  <si>
    <r>
      <rPr>
        <b/>
        <sz val="10"/>
        <rFont val="Arial"/>
        <family val="2"/>
      </rPr>
      <t>(Spring 2013) (Logic change)</t>
    </r>
    <r>
      <rPr>
        <sz val="10"/>
        <rFont val="Arial"/>
        <family val="2"/>
      </rPr>
      <t xml:space="preserve"> Updated the business rule "Blank for a hand-coded document that could not be matched back to the LAP file." to "Blank for a hand-coded document that could not be matched back to the LAP file, or if the value was blank on the LAP file." within the Description/Comments column for fields in positions 2106-2107, LAP Primary Exceptionality, to clarify when the LAP file has "Blank" as a possible value.</t>
    </r>
  </si>
  <si>
    <r>
      <rPr>
        <b/>
        <sz val="10"/>
        <rFont val="Arial"/>
        <family val="2"/>
      </rPr>
      <t xml:space="preserve">(Spring 2013) </t>
    </r>
    <r>
      <rPr>
        <sz val="10"/>
        <rFont val="Arial"/>
        <family val="2"/>
      </rPr>
      <t>Updated the business rule "Blank for a hand-coded document that could not be matched back to the LAP file." to "Blank for a hand-coded document that could not be matched back to the LAP file, or if the value was blank on the LAP file." within the Description/Comments column for fields in positions 2106-2107, LAP Primary Exceptionality, to clarify when the LAP file has "Blank" as a possible value.</t>
    </r>
  </si>
  <si>
    <r>
      <rPr>
        <b/>
        <sz val="10"/>
        <rFont val="Arial"/>
        <family val="2"/>
      </rPr>
      <t xml:space="preserve">(Spring 2013) </t>
    </r>
    <r>
      <rPr>
        <sz val="10"/>
        <rFont val="Arial"/>
        <family val="2"/>
      </rPr>
      <t>Updated the business rule "Blank for a hand-coded document that could not be matched back to the LAP file." to "Blank for a hand-coded document that could not be matched back to the LAP file, or if the value was blank on the LAP file." within the Description/Comments column for fields in positions 2108-2109, LAP Exceptionality Category, to clarify when the LAP file has "Blank" as a possible value.</t>
    </r>
  </si>
  <si>
    <r>
      <t xml:space="preserve">(Spring 2013) </t>
    </r>
    <r>
      <rPr>
        <sz val="10"/>
        <rFont val="Arial"/>
        <family val="2"/>
      </rPr>
      <t>Updated the business rule "Blank for a hand-coded document that could not be matched back to the LAP file." to "Blank for a hand-coded document that could not be matched back to the LAP file, or if the value was blank on the LAP file." within the Description/Comments column for fields in positions 2118, LAP LEP Indicator Code, to clarify when the LAP file has "Blank" as a possible value.</t>
    </r>
  </si>
  <si>
    <r>
      <t xml:space="preserve">(Spring 2013) </t>
    </r>
    <r>
      <rPr>
        <sz val="10"/>
        <rFont val="Arial"/>
        <family val="2"/>
      </rPr>
      <t>Updated the business rule "Blank for a hand-coded document that could not be matched back to the LAP file." to "Blank for a hand-coded document that could not be matched back to the LAP file, or if the value was blank on the LAP file." within the Description/Comments column for fields in positions 2116-2117, LAP LEP Code, to clarify when the LAP file has "Blank" as a possible value.</t>
    </r>
  </si>
  <si>
    <r>
      <t xml:space="preserve">(Spring 2013) </t>
    </r>
    <r>
      <rPr>
        <sz val="10"/>
        <rFont val="Arial"/>
        <family val="2"/>
      </rPr>
      <t>Updated the business rule "Blank for a hand-coded document that could not be matched back to the LAP file." to "Blank for a hand-coded document that could not be matched back to the LAP file, or if the value was blank on the LAP file." within the Description/Comments column for fields in positions 2119, LAP Section 504 Flag, to clarify when the LAP file has "Blank" as a possible value.</t>
    </r>
  </si>
  <si>
    <r>
      <rPr>
        <b/>
        <sz val="10"/>
        <rFont val="Arial"/>
        <family val="2"/>
      </rPr>
      <t xml:space="preserve">(Spring 2013) </t>
    </r>
    <r>
      <rPr>
        <sz val="10"/>
        <rFont val="Arial"/>
        <family val="2"/>
      </rPr>
      <t>Updated the business rule "Blank for a hand-coded document that could not be matched back to the LAP file." to "Blank for a hand-coded document that could not be matched back to the LAP file, or if the value was blank on the LAP file." within the Description/Comments column for fields in positions 180, LAP Migrant Flag, to clarify when the LAP file has "Blank" as a possible value.</t>
    </r>
  </si>
  <si>
    <r>
      <rPr>
        <b/>
        <sz val="10"/>
        <rFont val="Arial"/>
        <family val="2"/>
      </rPr>
      <t xml:space="preserve">(Spring 2013) </t>
    </r>
    <r>
      <rPr>
        <sz val="10"/>
        <rFont val="Arial"/>
        <family val="2"/>
      </rPr>
      <t>Updated the business rule "Blank for a hand-coded document that could not be matched back to the LAP file." to "Blank for a hand-coded document that could not be matched back to the LAP file, or if the value was blank on the LAP file." within the Description/Comments column for fields in positions 181, LAP Free/Reduced Lunch, to clarify when the LAP file has "Blank" as a possible value.</t>
    </r>
  </si>
  <si>
    <r>
      <rPr>
        <b/>
        <sz val="10"/>
        <rFont val="Arial"/>
        <family val="2"/>
      </rPr>
      <t xml:space="preserve">(Spring 2013) </t>
    </r>
    <r>
      <rPr>
        <sz val="10"/>
        <rFont val="Arial"/>
        <family val="2"/>
      </rPr>
      <t>Updated the business rule "Blank for a hand-coded document that could not be matched back to the LAP file." to "Blank for a hand-coded document that could not be matched back to the LAP file, or if the value was blank on the LAP file." within the Description/Comments column for fields in positions 182, LAP McKinney-Vento (Homeless) Flag, to clarify when the LAP file has "Blank" as a possible value.</t>
    </r>
  </si>
  <si>
    <r>
      <rPr>
        <b/>
        <sz val="10"/>
        <rFont val="Arial"/>
        <family val="2"/>
      </rPr>
      <t>(Spring 2013)</t>
    </r>
    <r>
      <rPr>
        <sz val="10"/>
        <rFont val="Arial"/>
        <family val="2"/>
      </rPr>
      <t xml:space="preserve"> Updated the business rule "Blank for a hand-coded document that could not be matched back to the LAP file." to "Blank for a hand-coded document that could not be matched back to the LAP file, or if the value was blank on the LAP file." within the Description/Comments column for fields in positions 2130, LAP Option Code, to clarify when the LAP file has "Blank" as a possible value.</t>
    </r>
  </si>
  <si>
    <r>
      <t xml:space="preserve">(Spring 2013) </t>
    </r>
    <r>
      <rPr>
        <sz val="10"/>
        <rFont val="Arial"/>
        <family val="2"/>
      </rPr>
      <t>Updated the business rule "Blank for a hand-coded document that could not be matched back to the LAP file." to "Blank for a hand-coded document that could not be matched back to the LAP file, or if the value was blank on the LAP file." within the Description/Comments column for fields in positions 170, LAP March Update Flag, to clarify when the LAP file has "Blank" as a possible value.</t>
    </r>
  </si>
  <si>
    <r>
      <rPr>
        <b/>
        <sz val="10"/>
        <rFont val="Arial"/>
        <family val="2"/>
      </rPr>
      <t>(Spring 2013)</t>
    </r>
    <r>
      <rPr>
        <sz val="10"/>
        <rFont val="Arial"/>
        <family val="2"/>
      </rPr>
      <t xml:space="preserve"> Updated the business rule "Blank for a hand-coded document that could not be matched back to the LAP file." to "Blank for a hand-coded document that could not be matched back to the LAP file, or if the value was blank on the LAP file." within the Description/Comments column for fields in positions 2271-2276, LAP Home-base Site District Code and Home-base Site School Code, to clarify when the LAP file has "Blank" as a possible value.</t>
    </r>
  </si>
  <si>
    <r>
      <t xml:space="preserve">(Spring 2013) </t>
    </r>
    <r>
      <rPr>
        <sz val="10"/>
        <rFont val="Arial"/>
        <family val="2"/>
      </rPr>
      <t>Updated the business rule "Blank for a hand-coded document that could not be matched back to the LAP file." to "Blank for a hand-coded document that could not be matched back to the LAP file, or if the value was blank on the LAP file." within the Description/Comments column for fields in positions 3244-3253, LAP Exit Code and LAP Exit Date, to clarify when the LAP file has "Blank" as a possible value.</t>
    </r>
  </si>
  <si>
    <r>
      <rPr>
        <b/>
        <sz val="10"/>
        <rFont val="Arial"/>
        <family val="2"/>
      </rPr>
      <t xml:space="preserve">(Spring 2013) (Logic change) </t>
    </r>
    <r>
      <rPr>
        <sz val="10"/>
        <rFont val="Arial"/>
        <family val="2"/>
      </rPr>
      <t>Changed field positions 524-529, Bubbled Routing Information for Document 3, to FILLER as this field is no longer on the answer documents for GEE or LEAP Spring. Routing will no longer be done within the Accountability file.</t>
    </r>
  </si>
  <si>
    <r>
      <rPr>
        <b/>
        <sz val="10"/>
        <rFont val="Arial"/>
        <family val="2"/>
      </rPr>
      <t xml:space="preserve">(Spring 2013) (Logic change) </t>
    </r>
    <r>
      <rPr>
        <sz val="10"/>
        <rFont val="Arial"/>
        <family val="2"/>
      </rPr>
      <t>Updated the field name in position 1676, from "Non-Scorable Code for Writing" to "Non-Score Code for Writing" to match the description within the Processing Rules - Materials and Scoring document.  Added the possible value of "7 = Copied Passage", as there is a new non-score code this year to account for copied passage text in grades 4 and 8. Responses receiving this code would not be scored for the “FUMS .  Added a reference to the Constructed Response Items section of the Processing Rules for more info on assigning non-score codes.</t>
    </r>
  </si>
  <si>
    <r>
      <rPr>
        <b/>
        <sz val="10"/>
        <rFont val="Arial"/>
        <family val="2"/>
      </rPr>
      <t xml:space="preserve">(Spring 2013) (Logic change) </t>
    </r>
    <r>
      <rPr>
        <sz val="10"/>
        <rFont val="Arial"/>
        <family val="2"/>
      </rPr>
      <t>Updated the business rule within the Description/Comments column for field position 1685-1690, SEM High and SEM Low for ELA, to clarify that when these values are blank in Spring it's referring to LEAP Spring.</t>
    </r>
  </si>
  <si>
    <r>
      <t>(Spring 2013)</t>
    </r>
    <r>
      <rPr>
        <sz val="10"/>
        <rFont val="Arial"/>
        <family val="2"/>
      </rPr>
      <t xml:space="preserve"> Clarified the business rule within the Description/Comments column for field position 2238-2243, Updated Accountability Code by Subject, to clarify that "Spring" is LEAP Spring, and GEE will follow the Retest logic.</t>
    </r>
  </si>
  <si>
    <r>
      <t>(Spring 2013)</t>
    </r>
    <r>
      <rPr>
        <sz val="10"/>
        <rFont val="Arial"/>
        <family val="2"/>
      </rPr>
      <t xml:space="preserve"> Updated the business rule within the Description/Comments column for field position 2230-2237, Summarized Accountability Code by Document, to clarify that "Spring" is GEE or LEAP Spring.</t>
    </r>
  </si>
  <si>
    <r>
      <rPr>
        <b/>
        <sz val="10"/>
        <rFont val="Arial"/>
        <family val="2"/>
      </rPr>
      <t>(Spring 2013) (Logic change)</t>
    </r>
    <r>
      <rPr>
        <sz val="10"/>
        <rFont val="Arial"/>
        <family val="2"/>
      </rPr>
      <t xml:space="preserve"> Removed the "O" from the Admin column for field position 2793, 2803, 2813, and 2823, Footnote/Verbiage: Previously Passed Subject for &lt;Subject&gt;, as this field does not apply to LEAP Spring.</t>
    </r>
  </si>
  <si>
    <r>
      <rPr>
        <b/>
        <sz val="10"/>
        <rFont val="Arial"/>
        <family val="2"/>
      </rPr>
      <t>(Spring 2013)</t>
    </r>
    <r>
      <rPr>
        <sz val="10"/>
        <rFont val="Arial"/>
        <family val="2"/>
      </rPr>
      <t xml:space="preserve"> </t>
    </r>
    <r>
      <rPr>
        <b/>
        <sz val="10"/>
        <rFont val="Arial"/>
        <family val="2"/>
      </rPr>
      <t xml:space="preserve">(Logic change) </t>
    </r>
    <r>
      <rPr>
        <sz val="10"/>
        <rFont val="Arial"/>
        <family val="2"/>
      </rPr>
      <t>Changed field position 3244-3245, LAP Exit Code, to FILLER, as this field is only populated in the June version of the LAP file.</t>
    </r>
  </si>
  <si>
    <r>
      <rPr>
        <b/>
        <sz val="10"/>
        <rFont val="Arial"/>
        <family val="2"/>
      </rPr>
      <t>(Spring 2013)</t>
    </r>
    <r>
      <rPr>
        <sz val="10"/>
        <rFont val="Arial"/>
        <family val="2"/>
      </rPr>
      <t xml:space="preserve"> </t>
    </r>
    <r>
      <rPr>
        <b/>
        <sz val="10"/>
        <rFont val="Arial"/>
        <family val="2"/>
      </rPr>
      <t xml:space="preserve">(Logic change) </t>
    </r>
    <r>
      <rPr>
        <sz val="10"/>
        <rFont val="Arial"/>
        <family val="2"/>
      </rPr>
      <t>Changed field position 3246-3253, LAP Exit Date, to FILLER, as this field is only populated in the June version of the LAP file.</t>
    </r>
  </si>
  <si>
    <r>
      <t>(Spring 2013)</t>
    </r>
    <r>
      <rPr>
        <sz val="10"/>
        <rFont val="Arial"/>
        <family val="2"/>
      </rPr>
      <t xml:space="preserve"> Added the following reference within the Description/Comments column for field positions 2064-2071, Test Taken Flag – Phase &lt;X&gt; - &lt;Subject&gt; fields, “Refer to the Test Taken section of the Processing Rules - Materials and Scoring document for rules on populating these values.”</t>
    </r>
  </si>
  <si>
    <r>
      <t>(Spring 2013) (Logic change)</t>
    </r>
    <r>
      <rPr>
        <sz val="10"/>
        <rFont val="Arial"/>
        <family val="2"/>
      </rPr>
      <t xml:space="preserve"> Changed fields in positions 1692, 1809, 1930, and 2051, Test Form by Subject, to FILLER, as these fields are by subject and the forms for the field test items are by document.  The Lithocode value will be used to determine the form the student tested the field test items on.</t>
    </r>
  </si>
  <si>
    <t>00000001-99999999
Blank = document not returned</t>
  </si>
  <si>
    <r>
      <rPr>
        <b/>
        <sz val="10"/>
        <rFont val="Arial"/>
        <family val="2"/>
      </rPr>
      <t>(Spring 2013) (Logic change)</t>
    </r>
    <r>
      <rPr>
        <sz val="10"/>
        <rFont val="Arial"/>
        <family val="2"/>
      </rPr>
      <t xml:space="preserve"> Updated the Batch Number - Document 1 field from a length of 6 to 8, and extended the possible values.  The ending position was updated from 2142 to 2144.</t>
    </r>
  </si>
  <si>
    <r>
      <rPr>
        <b/>
        <sz val="10"/>
        <rFont val="Arial"/>
        <family val="2"/>
      </rPr>
      <t>(Spring 2013) (Logic change)</t>
    </r>
    <r>
      <rPr>
        <sz val="10"/>
        <rFont val="Arial"/>
        <family val="2"/>
      </rPr>
      <t xml:space="preserve"> Updated the Batch Number - Document 2 field from a length of 6 to 8, and extended the possible values.  The ending position was updated from 2167 to 2169.</t>
    </r>
  </si>
  <si>
    <r>
      <rPr>
        <b/>
        <sz val="10"/>
        <rFont val="Arial"/>
        <family val="2"/>
      </rPr>
      <t>(Spring 2013) (Logic change)</t>
    </r>
    <r>
      <rPr>
        <sz val="10"/>
        <rFont val="Arial"/>
        <family val="2"/>
      </rPr>
      <t xml:space="preserve"> Updated the Batch Number - Document 2 field from a length of 6 to 8, and extended the possible values.  The ending position was updated from 2192 to 2194.</t>
    </r>
  </si>
  <si>
    <r>
      <rPr>
        <b/>
        <sz val="10"/>
        <rFont val="Arial"/>
        <family val="2"/>
      </rPr>
      <t xml:space="preserve">(Spring 2013) </t>
    </r>
    <r>
      <rPr>
        <sz val="10"/>
        <rFont val="Arial"/>
        <family val="2"/>
      </rPr>
      <t>Added the following note within the Description/Comments column for field position 2202-2208, Lithocode - Document 3, "LEAP Spring: The first position of the Lithocode value indicates the grade/form of the answer document as follows:
   "1" = Grade 4 Form A
   "2" = Grade 8 Form A
   "3" = Grade 4 Form B
   "4" = Grade 8 Form B"</t>
    </r>
  </si>
  <si>
    <r>
      <rPr>
        <b/>
        <sz val="10"/>
        <rFont val="Arial"/>
        <family val="2"/>
      </rPr>
      <t xml:space="preserve">(Spring 2013) </t>
    </r>
    <r>
      <rPr>
        <sz val="10"/>
        <rFont val="Arial"/>
        <family val="2"/>
      </rPr>
      <t>Added the following note within the Description/Comments column for field position 2152-2158, Lithocode - Document 1, "LEAP Spring: The first position of the Lithocode value indicates the grade/form of the answer document as follows:
   "1" = Grade 4 Form A
   "2" = Grade 8 Form A
   "3" = Grade 4 Form B
   "4" = Grade 8 Form B"</t>
    </r>
  </si>
  <si>
    <r>
      <t>(Spring 2013) (Logic change)</t>
    </r>
    <r>
      <rPr>
        <sz val="10"/>
        <rFont val="Arial"/>
        <family val="2"/>
      </rPr>
      <t xml:space="preserve"> Updated the Math Content Standards to also include Reporting Categories in field positions 1704-1731.  These fields will either be the Math Content Standards for GEE or the Math Reporting Categories for LEAP.  The order of the Reporting Categories will match the order reflected in the DOTS file.  Updated the Description/Comments column to note that the Reporting Categories are for LEAP and the Content Standards are for GEE.</t>
    </r>
  </si>
  <si>
    <r>
      <t>(Spring 2013)</t>
    </r>
    <r>
      <rPr>
        <sz val="10"/>
        <rFont val="Arial"/>
        <family val="2"/>
      </rPr>
      <t xml:space="preserve"> The format of the LDESTD file layout has been updated from ".xls" to ".xlsm".</t>
    </r>
  </si>
  <si>
    <r>
      <rPr>
        <b/>
        <sz val="10"/>
        <rFont val="Arial"/>
        <family val="2"/>
      </rPr>
      <t xml:space="preserve">(Spring 2013) (Logic change) </t>
    </r>
    <r>
      <rPr>
        <sz val="10"/>
        <rFont val="Arial"/>
        <family val="2"/>
      </rPr>
      <t>Changed field position 2627-2632, Site code - Document 4, to FILLER, as there is no longer a Document 4 for GEE Spring.</t>
    </r>
  </si>
  <si>
    <r>
      <rPr>
        <b/>
        <sz val="10"/>
        <rFont val="Arial"/>
        <family val="2"/>
      </rPr>
      <t xml:space="preserve">(Spring 2013) (Logic change) </t>
    </r>
    <r>
      <rPr>
        <sz val="10"/>
        <rFont val="Arial"/>
        <family val="2"/>
      </rPr>
      <t>Changed field position 2642, Summarized Ethnicity/Race - Document 4, to FILLER, as there is no longer a Document 4 for GEE Spring.</t>
    </r>
  </si>
  <si>
    <r>
      <rPr>
        <b/>
        <sz val="10"/>
        <rFont val="Arial"/>
        <family val="2"/>
      </rPr>
      <t xml:space="preserve">(Spring 2013) </t>
    </r>
    <r>
      <rPr>
        <sz val="10"/>
        <rFont val="Arial"/>
        <family val="2"/>
      </rPr>
      <t>Updated the business rules for field position 2757, Student Report Link, to show that the field will be set to "N" if the Student Report flag = "N".</t>
    </r>
  </si>
  <si>
    <r>
      <t>(Spring 2013)</t>
    </r>
    <r>
      <rPr>
        <sz val="10"/>
        <rFont val="Arial"/>
        <family val="2"/>
      </rPr>
      <t xml:space="preserve"> Added the following business rule within the Description/Comments column for field positions 2056-2059, Summarized Test Taken Flags, to add the following rule:</t>
    </r>
    <r>
      <rPr>
        <b/>
        <sz val="10"/>
        <rFont val="Arial"/>
        <family val="2"/>
      </rPr>
      <t xml:space="preserve"> </t>
    </r>
    <r>
      <rPr>
        <sz val="10"/>
        <rFont val="Arial"/>
        <family val="2"/>
      </rPr>
      <t>"The Test Taken Flag will be set to "N" if the subject was the secondary record involved in a score merge."</t>
    </r>
  </si>
  <si>
    <r>
      <t>(Spring 2013)</t>
    </r>
    <r>
      <rPr>
        <sz val="10"/>
        <rFont val="Arial"/>
        <family val="2"/>
      </rPr>
      <t xml:space="preserve"> Added the following business rule within the Description/Comments column for field positions 2255-2266, Accountability Achievement Level, to add the following rule:</t>
    </r>
    <r>
      <rPr>
        <b/>
        <sz val="10"/>
        <rFont val="Arial"/>
        <family val="2"/>
      </rPr>
      <t xml:space="preserve"> </t>
    </r>
    <r>
      <rPr>
        <sz val="10"/>
        <rFont val="Arial"/>
        <family val="2"/>
      </rPr>
      <t>"The Accountability Achievement Level will be set to Blank if the subject was the secondary record involved in a score merge."</t>
    </r>
  </si>
  <si>
    <r>
      <t>(Spring 2013)</t>
    </r>
    <r>
      <rPr>
        <sz val="10"/>
        <rFont val="Arial"/>
        <family val="2"/>
      </rPr>
      <t xml:space="preserve"> Added the following business rule within the Description/Comments column for field positions 2068-2071, Test Taken Flags - Phase 2, to add the following rule:</t>
    </r>
    <r>
      <rPr>
        <b/>
        <sz val="10"/>
        <rFont val="Arial"/>
        <family val="2"/>
      </rPr>
      <t xml:space="preserve"> "</t>
    </r>
    <r>
      <rPr>
        <sz val="10"/>
        <rFont val="Arial"/>
        <family val="2"/>
      </rPr>
      <t>The Test Taken Flag - Phase 2 will be set to "N" if the subject was the secondary record involved in a score merge."</t>
    </r>
  </si>
  <si>
    <r>
      <t>(Spring 2013)</t>
    </r>
    <r>
      <rPr>
        <sz val="10"/>
        <rFont val="Arial"/>
        <family val="2"/>
      </rPr>
      <t xml:space="preserve"> Added the following business rule within the Description/Comments column for field positions 2064-2067, Test Taken Flags - Phase 1, to add the following rule:</t>
    </r>
    <r>
      <rPr>
        <b/>
        <sz val="10"/>
        <rFont val="Arial"/>
        <family val="2"/>
      </rPr>
      <t xml:space="preserve"> </t>
    </r>
    <r>
      <rPr>
        <sz val="10"/>
        <rFont val="Arial"/>
        <family val="2"/>
      </rPr>
      <t>"The Test Taken Flag - Phase 1 will be set to "N" if the subject was the secondary record involved in a score merge."</t>
    </r>
  </si>
  <si>
    <t>As flagged on the LAP file.
Blank for a hand coded document that could not be matched back to the LAP file, or if the value was blank on the LAP file.</t>
  </si>
  <si>
    <t>From Raw Score to Scaled Score tables.
Blank in LEAP Spring if the student's Science Summarized Void Flag = "Y", or if the student's Science Summarized Test Taken Flag = "N".</t>
  </si>
  <si>
    <t>From Raw Score to Scaled Score tables.
Blank in LEAP Spring if the student's Social Studies Summarized Void Flag = "Y", or if the student's Social Studies Summarized Test Taken Flag = "N".</t>
  </si>
  <si>
    <t>Void due to cheating or administrative error, that was identified by the District.
The District Void flag for the subject will be set to "Y" if the student has a row in the LDE approved Void .CSV file for the subject, and the LDE Type of Void field contains "District" or "DIST".</t>
  </si>
  <si>
    <t>Void due to plagiarism.
The Plagiarism Void flag for the subject will be set to "Y" if the student has a row in the LDE approved Void .CSV file for the subject, and the LDE Type of Void field contains "Plagiarism" or "PLAG".</t>
  </si>
  <si>
    <t>LEP for all subjects.
As flagged on the LAP file.
Blank for a hand-coded document that could not be matched back to the LAP file, or if the value was blank on the LAP file.</t>
  </si>
  <si>
    <t>As flagged on the LAP file.
Site code provided by LDE on the LAP file, which is used to route assessment data back to a student’s "home" site for accountability purposes when students are non-full academic year (non-FAY).  This is a required code for students attending alternative schools.
Blank for a hand-coded document that could not be matched back to the LAP file, or if the value was blank on the LAP file.</t>
  </si>
  <si>
    <t>The numeric type for the Assess Group Code value from the School Master File for the school the student is being reported to.</t>
  </si>
  <si>
    <t>1 = Option 1 (Repeater)
4 = Career Diploma Pathway/Track
5 = Non-Diploma Bound
6 = Student Enrolled in Connections
       Process
7 = Student Pursuing State approved Skills 
       Certificate after participation in 
       Connections Process
8 = Student Pursuing GED after 
       participation in Connections Process
Blank</t>
  </si>
  <si>
    <r>
      <t xml:space="preserve">District and school where student is enrolled and where the student is reported to.
Refer to the </t>
    </r>
    <r>
      <rPr>
        <b/>
        <u/>
        <sz val="10"/>
        <rFont val="Arial"/>
        <family val="2"/>
      </rPr>
      <t>Capturing Site Codes</t>
    </r>
    <r>
      <rPr>
        <sz val="10"/>
        <rFont val="Arial"/>
        <family val="2"/>
      </rPr>
      <t xml:space="preserve"> section of the Processing Rules - Scoring document for logic to determine the Reporting Site-Code value.</t>
    </r>
  </si>
  <si>
    <r>
      <t xml:space="preserve">Student's gender
Refer to the </t>
    </r>
    <r>
      <rPr>
        <b/>
        <u/>
        <sz val="10"/>
        <rFont val="Arial"/>
        <family val="2"/>
      </rPr>
      <t xml:space="preserve">Rules to Determine Demographic Values </t>
    </r>
    <r>
      <rPr>
        <sz val="10"/>
        <rFont val="Arial"/>
        <family val="2"/>
      </rPr>
      <t>section of the Processing Rules - Scoring document for logic to determine this value based on values from the LAP file and the answer document.</t>
    </r>
  </si>
  <si>
    <r>
      <t xml:space="preserve">Student's summarized ethnicity/race.
Refer to the </t>
    </r>
    <r>
      <rPr>
        <b/>
        <u/>
        <sz val="10"/>
        <rFont val="Arial"/>
        <family val="2"/>
      </rPr>
      <t xml:space="preserve">Rules to Determine Demographic Values </t>
    </r>
    <r>
      <rPr>
        <sz val="10"/>
        <rFont val="Arial"/>
        <family val="2"/>
      </rPr>
      <t>section of the Processing Rules - Scoring document for logic to determine this value based on values from the LAP file and the answer document.</t>
    </r>
  </si>
  <si>
    <r>
      <t xml:space="preserve">Taken from either the LAP file or the bubbled lunch status on the answer documents.
Refer to the </t>
    </r>
    <r>
      <rPr>
        <b/>
        <u/>
        <sz val="10"/>
        <rFont val="Arial"/>
        <family val="2"/>
      </rPr>
      <t>Rules to Determine Demographic Values</t>
    </r>
    <r>
      <rPr>
        <sz val="10"/>
        <rFont val="Arial"/>
        <family val="2"/>
      </rPr>
      <t xml:space="preserve"> section of the Processing Rules - Scoring document for logic to determine this value based on values from the LAP file and the answer document.</t>
    </r>
  </si>
  <si>
    <r>
      <t xml:space="preserve">Refer to the </t>
    </r>
    <r>
      <rPr>
        <b/>
        <u/>
        <sz val="10"/>
        <rFont val="Arial"/>
        <family val="2"/>
      </rPr>
      <t>Rules to Determine Demographic Values</t>
    </r>
    <r>
      <rPr>
        <sz val="10"/>
        <rFont val="Arial"/>
        <family val="2"/>
      </rPr>
      <t xml:space="preserve"> section of the Processing Rules - Scoring document for logic to determine this value based on values from the LAP file and the answer document.</t>
    </r>
  </si>
  <si>
    <r>
      <t xml:space="preserve">Include student in summarization.
Refer to the </t>
    </r>
    <r>
      <rPr>
        <b/>
        <u/>
        <sz val="10"/>
        <rFont val="Arial"/>
        <family val="2"/>
      </rPr>
      <t>Include in N-Counts</t>
    </r>
    <r>
      <rPr>
        <sz val="10"/>
        <rFont val="Arial"/>
        <family val="2"/>
      </rPr>
      <t xml:space="preserve"> section of the Processing Rules - Scoring document for rules on populating these values.</t>
    </r>
  </si>
  <si>
    <r>
      <t xml:space="preserve">Education classification flag for all subjects.
Refer to the </t>
    </r>
    <r>
      <rPr>
        <b/>
        <u/>
        <sz val="10"/>
        <rFont val="Arial"/>
        <family val="2"/>
      </rPr>
      <t>Rules to Determine Demographic Values</t>
    </r>
    <r>
      <rPr>
        <sz val="10"/>
        <rFont val="Arial"/>
        <family val="2"/>
      </rPr>
      <t xml:space="preserve"> section of the Processing Rules - Scoring document for logic to determine this value based on values from the LAP file and the answer document.</t>
    </r>
  </si>
  <si>
    <r>
      <t xml:space="preserve">As flagged on the LAP file.
Refer to </t>
    </r>
    <r>
      <rPr>
        <b/>
        <u/>
        <sz val="10"/>
        <rFont val="Arial"/>
        <family val="2"/>
      </rPr>
      <t>Special Education Exceptionality Categories and Codes</t>
    </r>
    <r>
      <rPr>
        <sz val="10"/>
        <rFont val="Arial"/>
        <family val="2"/>
      </rPr>
      <t xml:space="preserve"> section of the current administration's Processing Rules - Scoring document for a list of Student Primary Exceptionalities.
Blank for a hand-coded document that could not be matched back to the LAP file, or if the value was blank on the LAP file.</t>
    </r>
  </si>
  <si>
    <r>
      <t xml:space="preserve">LEP for all subjects.
Refer to the </t>
    </r>
    <r>
      <rPr>
        <b/>
        <u/>
        <sz val="10"/>
        <rFont val="Arial"/>
        <family val="2"/>
      </rPr>
      <t>Rules to Determine Demographic Values</t>
    </r>
    <r>
      <rPr>
        <sz val="10"/>
        <rFont val="Arial"/>
        <family val="2"/>
      </rPr>
      <t xml:space="preserve"> section of the Processing Rules - Scoring document for logic to determine this value based on values from the LAP file and the answer document.</t>
    </r>
  </si>
  <si>
    <r>
      <t>Section 504 for all subjects.
Refer to the</t>
    </r>
    <r>
      <rPr>
        <b/>
        <sz val="10"/>
        <rFont val="Arial"/>
        <family val="2"/>
      </rPr>
      <t xml:space="preserve"> </t>
    </r>
    <r>
      <rPr>
        <b/>
        <u/>
        <sz val="10"/>
        <rFont val="Arial"/>
        <family val="2"/>
      </rPr>
      <t>Rules to Determine Demographic Values</t>
    </r>
    <r>
      <rPr>
        <sz val="10"/>
        <rFont val="Arial"/>
        <family val="2"/>
      </rPr>
      <t xml:space="preserve"> section of the Processing Rules - Scoring document for logic to determine this value based on values from the LAP file and the answer document.</t>
    </r>
  </si>
  <si>
    <r>
      <t xml:space="preserve">Refer to the </t>
    </r>
    <r>
      <rPr>
        <b/>
        <u/>
        <sz val="10"/>
        <rFont val="Arial"/>
        <family val="2"/>
      </rPr>
      <t>Home Study/Nonpublic Flag</t>
    </r>
    <r>
      <rPr>
        <sz val="10"/>
        <rFont val="Arial"/>
        <family val="2"/>
      </rPr>
      <t xml:space="preserve"> section of the Processing Rules - Scoring document for rules on populating these values.</t>
    </r>
  </si>
  <si>
    <r>
      <t xml:space="preserve">Overall highest history for the subject as found in Web History for this student.  
Refer to the </t>
    </r>
    <r>
      <rPr>
        <b/>
        <u/>
        <sz val="10"/>
        <rFont val="Arial"/>
        <family val="2"/>
      </rPr>
      <t>History Data</t>
    </r>
    <r>
      <rPr>
        <sz val="10"/>
        <rFont val="Arial"/>
        <family val="2"/>
      </rPr>
      <t xml:space="preserve"> section of the Processing Rules - Scoring for the rules to determine how the values are found in Web History.
Scaled Score is set to Blank when Highest Previous Assessment Achievement Level from Web History = "NOT" or "BLK", or when student did not match to Web History.</t>
    </r>
  </si>
  <si>
    <r>
      <t xml:space="preserve">Currently taken from result of Web history achievement level fields.
Refer to the </t>
    </r>
    <r>
      <rPr>
        <b/>
        <u/>
        <sz val="10"/>
        <rFont val="Arial"/>
        <family val="2"/>
      </rPr>
      <t>Previously Taken Subject Flags</t>
    </r>
    <r>
      <rPr>
        <sz val="10"/>
        <rFont val="Arial"/>
        <family val="2"/>
      </rPr>
      <t xml:space="preserve"> section of the Processing Rules - Scoring document for logic to determine this value .</t>
    </r>
  </si>
  <si>
    <r>
      <t xml:space="preserve">This is a compilation of the codes from LDE's precode file and the bubbled categories.  
Refer to the </t>
    </r>
    <r>
      <rPr>
        <b/>
        <u/>
        <sz val="10"/>
        <rFont val="Arial"/>
        <family val="2"/>
      </rPr>
      <t>Rules to Determine Demographic Values</t>
    </r>
    <r>
      <rPr>
        <sz val="10"/>
        <rFont val="Arial"/>
        <family val="2"/>
      </rPr>
      <t xml:space="preserve"> section of the Processing Rules - Scoring document for logic to determine this value based on values from the LAP file and the answer document.</t>
    </r>
  </si>
  <si>
    <r>
      <t xml:space="preserve">Refer to the </t>
    </r>
    <r>
      <rPr>
        <b/>
        <u/>
        <sz val="10"/>
        <rFont val="Arial"/>
        <family val="2"/>
      </rPr>
      <t>Test Taken</t>
    </r>
    <r>
      <rPr>
        <sz val="10"/>
        <rFont val="Arial"/>
        <family val="2"/>
      </rPr>
      <t xml:space="preserve"> section of the Processing Rules - Scoring document for rules on populating these values.
The Summarized Test Taken Flag will be set to "N" if the subject was the secondary record involved in a score merge.</t>
    </r>
  </si>
  <si>
    <t>Student's school was included in Remediation Reports.</t>
  </si>
  <si>
    <t>Student's school was included in Roster Reports.</t>
  </si>
  <si>
    <t>Document Name</t>
  </si>
  <si>
    <t>LDE SFTP Location</t>
  </si>
  <si>
    <t>DRC Location</t>
  </si>
  <si>
    <t>Processing Rules - Scoring</t>
  </si>
  <si>
    <t>Louisiana/&lt;YYYY&gt; - &lt;Admin&gt;/Processing Rules - Final</t>
  </si>
  <si>
    <t>Processing Rules - Reporting</t>
  </si>
  <si>
    <t>Louisiana/&lt;YYYY&gt;-&lt;Admin&gt;/Processing Rules - Final</t>
  </si>
  <si>
    <t>Common Louisiana Processing Rules - Reporting</t>
  </si>
  <si>
    <t>Accountability Codes for Testing</t>
  </si>
  <si>
    <t>Louisiana/Accountability Data/Accountability Codes Chart/YYYY-YYYY/</t>
  </si>
  <si>
    <t>http://drcdirect/informationsystems/eis/dteam/Louisiana/</t>
  </si>
  <si>
    <t>http://drcdirect/informationsystems/eis/dteam/Louisiana/Accountability/</t>
  </si>
  <si>
    <r>
      <rPr>
        <b/>
        <sz val="10"/>
        <rFont val="Arial"/>
        <family val="2"/>
      </rPr>
      <t>(Summer)</t>
    </r>
    <r>
      <rPr>
        <sz val="10"/>
        <rFont val="Arial"/>
        <family val="2"/>
      </rPr>
      <t xml:space="preserve">  Added a "Reference Locations" tab to show the SFTP and DRC locations of documents referred to in the LDESTD File Layout.</t>
    </r>
  </si>
  <si>
    <t>School Roster  - Science/Social Studies</t>
  </si>
  <si>
    <t>&lt;Project&gt; = "Spring", "Summer", "Fall"</t>
  </si>
  <si>
    <t>&lt;Admin&gt; = "GEE March Retest", "LEAP Spring" "LEAP_GEE Summer Retest", "GEE Fall Retest"</t>
  </si>
  <si>
    <t xml:space="preserve">                       LEAP_GEE &lt;Project&gt;/ </t>
  </si>
  <si>
    <t>Common Louisiana &lt;Project&gt;/Reporting/</t>
  </si>
  <si>
    <r>
      <rPr>
        <b/>
        <sz val="10"/>
        <rFont val="Arial"/>
        <family val="2"/>
      </rPr>
      <t xml:space="preserve">(Summer) </t>
    </r>
    <r>
      <rPr>
        <sz val="10"/>
        <rFont val="Arial"/>
        <family val="2"/>
      </rPr>
      <t xml:space="preserve"> Updated header to "Project: 2013 LEAP/GEE Summer".</t>
    </r>
  </si>
  <si>
    <r>
      <rPr>
        <b/>
        <sz val="10"/>
        <rFont val="Arial"/>
        <family val="2"/>
      </rPr>
      <t>(Summer)</t>
    </r>
    <r>
      <rPr>
        <sz val="10"/>
        <rFont val="Arial"/>
        <family val="2"/>
      </rPr>
      <t xml:space="preserve">  Updated references to the document "Processing Rules - Materials and Scoring" to read "Processing Rules - Scoring".  (multiple locations)</t>
    </r>
  </si>
  <si>
    <r>
      <rPr>
        <b/>
        <sz val="10"/>
        <color theme="1"/>
        <rFont val="Arial"/>
        <family val="2"/>
      </rPr>
      <t xml:space="preserve">(Summer) (Logic Change) </t>
    </r>
    <r>
      <rPr>
        <sz val="10"/>
        <color theme="1"/>
        <rFont val="Arial"/>
        <family val="2"/>
      </rPr>
      <t>Position 162, Bubbled Attended Remediation - Document 3 (SCI/SOC) was updated to FILLER. The bubbles for Attended Remediation are no longer included on the GEE Summer Answer Documents.</t>
    </r>
  </si>
  <si>
    <r>
      <rPr>
        <b/>
        <sz val="10"/>
        <color theme="1"/>
        <rFont val="Arial"/>
        <family val="2"/>
      </rPr>
      <t xml:space="preserve">(Summer) </t>
    </r>
    <r>
      <rPr>
        <sz val="10"/>
        <color theme="1"/>
        <rFont val="Arial"/>
        <family val="2"/>
      </rPr>
      <t>Removed the "Blank when all documents containing ELA were not returned, or returned with ELA not attempted." rule and replaced with a reference to the Resulting LDESTD Values by Subject table within the Processing Rules - Scoring document for the Raw Score Total fields for ELA, Math, Science, and Social Studies in pos. 1572-1576, 1693-1697, 1814-1818, and 1935-1939.  The rules to set the Raw Score are already documented in the table and it was redundant to have them listed in the file layout as well.</t>
    </r>
  </si>
  <si>
    <r>
      <rPr>
        <b/>
        <sz val="10"/>
        <color theme="1"/>
        <rFont val="Arial"/>
        <family val="2"/>
      </rPr>
      <t xml:space="preserve">(Summer) </t>
    </r>
    <r>
      <rPr>
        <sz val="10"/>
        <color theme="1"/>
        <rFont val="Arial"/>
        <family val="2"/>
      </rPr>
      <t xml:space="preserve">Removed the "Blank when Raw Score Total for &lt;subject&gt; is blank." rule and replaced with a reference to the Resulting LDESTD Values by Subject table within the Processing Rules - Scoring document for the Scaled Score fields for ELA, Math, Science, and Social Studies in pos. 1577-1579, 1698-1700, 1819-1821, and 1940-1942. </t>
    </r>
  </si>
  <si>
    <r>
      <rPr>
        <b/>
        <sz val="10"/>
        <color theme="1"/>
        <rFont val="Arial"/>
        <family val="2"/>
      </rPr>
      <t xml:space="preserve">(Summer) </t>
    </r>
    <r>
      <rPr>
        <sz val="10"/>
        <color theme="1"/>
        <rFont val="Arial"/>
        <family val="2"/>
      </rPr>
      <t>Removed the "Blank when Raw Score Total for &lt;subject&gt; is blank, and the student was not expected to test." rule and replaced with a reference to the Resulting LDESTD Values by Subject table within the Processing Rules - Scoring document for the Assessment Achievement Level fields for ELA, Math, Science, and Social Studies in pos. 1580-1582, 1701-1703,  1822-1824, and 1943-1945.</t>
    </r>
  </si>
  <si>
    <r>
      <rPr>
        <b/>
        <sz val="10"/>
        <color theme="1"/>
        <rFont val="Arial"/>
        <family val="2"/>
      </rPr>
      <t xml:space="preserve">(Summer) </t>
    </r>
    <r>
      <rPr>
        <sz val="10"/>
        <color theme="1"/>
        <rFont val="Arial"/>
        <family val="2"/>
      </rPr>
      <t>Added the business rule ""N" for LEAP in Summer." to the &lt;Subject&gt; Auto Rescore Flag fields in pos. 1691, 1812, 1933, and 2054 for clarification.</t>
    </r>
  </si>
  <si>
    <r>
      <rPr>
        <b/>
        <sz val="10"/>
        <rFont val="Arial"/>
        <family val="2"/>
      </rPr>
      <t>Spring (Logic Change)</t>
    </r>
    <r>
      <rPr>
        <sz val="10"/>
        <rFont val="Arial"/>
        <family val="2"/>
      </rPr>
      <t xml:space="preserve"> Updated the "Include in Researcher file?" and "Include in LDE Staff &amp; Contractors" file from N to Y in  (Pos.2277, 2278-2283, 2284-2286 - LAP Scholoarship Student Flag, LAP Scholarship Site Code and LAP Residence_LEA).</t>
    </r>
  </si>
  <si>
    <r>
      <t xml:space="preserve">If field value = "Y", then student will appear on the Science and Social Studies School Roster.
The SCI/SOC on Roster flag will be set to "Y", if the student meets the selection criteria defined within the </t>
    </r>
    <r>
      <rPr>
        <b/>
        <u/>
        <sz val="10"/>
        <rFont val="Arial"/>
        <family val="2"/>
      </rPr>
      <t>School Roster Report</t>
    </r>
    <r>
      <rPr>
        <sz val="10"/>
        <rFont val="Arial"/>
        <family val="2"/>
      </rPr>
      <t xml:space="preserve"> section of the Processing Rules – Reporting document for SCI and/or SOC.</t>
    </r>
  </si>
  <si>
    <r>
      <t xml:space="preserve">If field value = "Y", then student will appear on the Science and Social Studies Remediation Report.
The SCI/SOC on Remediation report flag will be set to "Y", if the student meets the selection criteria defined within the </t>
    </r>
    <r>
      <rPr>
        <b/>
        <u/>
        <sz val="10"/>
        <rFont val="Arial"/>
        <family val="2"/>
      </rPr>
      <t>School Remediation Report</t>
    </r>
    <r>
      <rPr>
        <sz val="10"/>
        <rFont val="Arial"/>
        <family val="2"/>
      </rPr>
      <t xml:space="preserve"> section of the Processing Rules – Reporting document for SCI and/or SOC.</t>
    </r>
  </si>
  <si>
    <r>
      <t xml:space="preserve">(Summer) </t>
    </r>
    <r>
      <rPr>
        <sz val="10"/>
        <color theme="1"/>
        <rFont val="Arial"/>
        <family val="2"/>
      </rPr>
      <t>Added the business rule ""N" for GEE in Summer" to the Student Level Roster and Remediation fields in positions 2749 and 2751.</t>
    </r>
  </si>
  <si>
    <r>
      <t xml:space="preserve">(Summer) (Logic Change) </t>
    </r>
    <r>
      <rPr>
        <sz val="10"/>
        <color theme="1"/>
        <rFont val="Arial"/>
        <family val="2"/>
      </rPr>
      <t>Removed the "S" from the Admin column for the School Roster - Science/Social Studies (pos. 2750) and Remediation Report - Science/Social Studies (pos. 2752). Roster and Remediation Reports are no longer produced for GEE and Sciene/Social Studies does not apply to LEAP in summer.</t>
    </r>
  </si>
  <si>
    <t>Handscoring Complete Flags</t>
  </si>
  <si>
    <t>Handscoring Complete Flag - Science</t>
  </si>
  <si>
    <t xml:space="preserve">Handscoring Complete Flag - Social Studies </t>
  </si>
  <si>
    <t>Y = Handscoring is complete
N = Handscoring is not complete</t>
  </si>
  <si>
    <t>The Handscoring Complete Flag for the subject will be set to "Y" if handscoring has been completed for the subject.</t>
  </si>
  <si>
    <r>
      <rPr>
        <b/>
        <sz val="10"/>
        <color theme="1"/>
        <rFont val="Arial"/>
        <family val="2"/>
      </rPr>
      <t xml:space="preserve">(Summer) (Logic Change) </t>
    </r>
    <r>
      <rPr>
        <sz val="10"/>
        <color theme="1"/>
        <rFont val="Arial"/>
        <family val="2"/>
      </rPr>
      <t>Four new fields were added in positions, 2096, 2097, 2098, and 2099 called "Handscoring Complete Flag - &lt;Subject&gt;" These fields will be set to "Y" when Handscoring is complete for a subject.</t>
    </r>
  </si>
  <si>
    <r>
      <rPr>
        <b/>
        <sz val="10"/>
        <color theme="1"/>
        <rFont val="Arial"/>
        <family val="2"/>
      </rPr>
      <t xml:space="preserve">(Summer) (Logic Change) </t>
    </r>
    <r>
      <rPr>
        <sz val="10"/>
        <color theme="1"/>
        <rFont val="Arial"/>
        <family val="2"/>
      </rPr>
      <t xml:space="preserve">The note "Value is set to zero (000.0) on the Equating file for PS if the subject's handscoring is incomplete" was removed from the Raw Score Total - &lt;Subject&gt; fields in positions 1572-1576, 1693-1997, 1814-1818, and 1935-1939. We will no longer set raw scores to "000.0" when handscoring is not complete instead PS will use the new Handscoring Complete flag fields by subject to only include those with the flag set to "Y" when equating. </t>
    </r>
  </si>
  <si>
    <r>
      <rPr>
        <b/>
        <sz val="10"/>
        <color theme="1"/>
        <rFont val="Arial"/>
        <family val="2"/>
      </rPr>
      <t xml:space="preserve">(Summer) (Logic Change) </t>
    </r>
    <r>
      <rPr>
        <sz val="10"/>
        <color theme="1"/>
        <rFont val="Arial"/>
        <family val="2"/>
      </rPr>
      <t>Struck through "or GEE" in the Business Rules column of positions 160 and 161, Bubbled Attended Remediation - Document 1 (ELA) and Bubble Attended Remediation - Document 2 (Math). The bubbles for Attended Remeidation are no longer included on the GEE Summer Answer Documents.</t>
    </r>
  </si>
  <si>
    <r>
      <t xml:space="preserve">(Summer) (Logic Change) </t>
    </r>
    <r>
      <rPr>
        <sz val="10"/>
        <rFont val="Arial"/>
        <family val="2"/>
      </rPr>
      <t>Added Blank as a possible value for the Student Testing Status Flags in fields 2126 - 2130. A business rule was added to note that Testing Status - Science and Testing Status - Social Studies will be blank in LEAP Summer. These subjects are not tested for LEAP in summer so these values will be blank.</t>
    </r>
  </si>
  <si>
    <r>
      <t xml:space="preserve">Scaled score for Science
Refer to the </t>
    </r>
    <r>
      <rPr>
        <b/>
        <u/>
        <sz val="10"/>
        <rFont val="Arial"/>
        <family val="2"/>
      </rPr>
      <t>Resulting LDESTD Values by Subject</t>
    </r>
    <r>
      <rPr>
        <sz val="10"/>
        <rFont val="Arial"/>
        <family val="2"/>
      </rPr>
      <t xml:space="preserve"> section within the LEAP/GEE Processing Rules - Scoring document for the logic used to set the Scaled Score value.</t>
    </r>
  </si>
  <si>
    <r>
      <t xml:space="preserve">Assessment achievement level for Science.  
INC when a student was expected to test (this subject) and did not, and a valid accountability code was not applied.  These students will still be included in some reports.
Refer to the </t>
    </r>
    <r>
      <rPr>
        <b/>
        <u/>
        <sz val="10"/>
        <rFont val="Arial"/>
        <family val="2"/>
      </rPr>
      <t>Resulting LDESTD Values by Subject</t>
    </r>
    <r>
      <rPr>
        <sz val="10"/>
        <rFont val="Arial"/>
        <family val="2"/>
      </rPr>
      <t xml:space="preserve"> section within the LEAP/GEE Processing Rules - Scoring document for the logic used to set the Assessment Achievement Level  value.</t>
    </r>
  </si>
  <si>
    <r>
      <t xml:space="preserve">Scaled score for Social Studies
Refer to the </t>
    </r>
    <r>
      <rPr>
        <b/>
        <u/>
        <sz val="10"/>
        <rFont val="Arial"/>
        <family val="2"/>
      </rPr>
      <t>Resulting LDESTD Values by Subject</t>
    </r>
    <r>
      <rPr>
        <sz val="10"/>
        <rFont val="Arial"/>
        <family val="2"/>
      </rPr>
      <t xml:space="preserve"> section within the LEAP/GEE Processing Rules - Scoring document for the logic used to set the Scaled Score value.</t>
    </r>
  </si>
  <si>
    <r>
      <t xml:space="preserve">Assessment achievement level for Social Studies.  
INC when a student was expected to test (this subject) and did not, and a valid accountability code was not applied.  These students will still be included in some reports.
Refer to the </t>
    </r>
    <r>
      <rPr>
        <b/>
        <u/>
        <sz val="10"/>
        <rFont val="Arial"/>
        <family val="2"/>
      </rPr>
      <t>Resulting LDESTD Values by Subject</t>
    </r>
    <r>
      <rPr>
        <sz val="10"/>
        <rFont val="Arial"/>
        <family val="2"/>
      </rPr>
      <t xml:space="preserve"> section within the LEAP/GEE Processing Rules - Scoring document for the logic used to set the Assessment Achievement Level  value.</t>
    </r>
  </si>
  <si>
    <r>
      <t xml:space="preserve">(Fall 2013) </t>
    </r>
    <r>
      <rPr>
        <sz val="10"/>
        <color theme="1"/>
        <rFont val="Arial"/>
        <family val="2"/>
      </rPr>
      <t>Updated header to "Project: 2013 GEE Fall Retest".</t>
    </r>
  </si>
  <si>
    <r>
      <rPr>
        <b/>
        <sz val="10"/>
        <color theme="1"/>
        <rFont val="Arial"/>
        <family val="2"/>
      </rPr>
      <t xml:space="preserve">(Fall 2013) (Logic Change) </t>
    </r>
    <r>
      <rPr>
        <sz val="10"/>
        <color theme="1"/>
        <rFont val="Arial"/>
        <family val="2"/>
      </rPr>
      <t>Changed fields in position 2585, 2586, 2587 for Diploma Endorsement - Document &lt;#&gt; , to FILLER, as the Diploma Endorsement bubble has been removed from the GEE Asnwer Documents.</t>
    </r>
  </si>
  <si>
    <r>
      <t xml:space="preserve">(Fall 2013) (Logic Change) </t>
    </r>
    <r>
      <rPr>
        <sz val="10"/>
        <color theme="1"/>
        <rFont val="Arial"/>
        <family val="2"/>
      </rPr>
      <t>The length of FILLER in position 2546-2584 was updated from "39" to "57". The FILLER previously in position 2588-2602 has been removed as it is now part of the FILLER field starting in 2546.</t>
    </r>
  </si>
  <si>
    <r>
      <rPr>
        <b/>
        <sz val="10"/>
        <rFont val="Arial"/>
        <family val="2"/>
      </rPr>
      <t xml:space="preserve">(Spring 2013) </t>
    </r>
    <r>
      <rPr>
        <sz val="10"/>
        <rFont val="Arial"/>
        <family val="2"/>
      </rPr>
      <t>Extended the Social Studies Item Response String from 195 to 207, as there are 69 items that use 3 bytes each.  The FILLER in positions 1559 to 1571 was shortened from 25 bytes to 13.</t>
    </r>
    <r>
      <rPr>
        <b/>
        <sz val="10"/>
        <rFont val="Arial"/>
        <family val="2"/>
      </rPr>
      <t xml:space="preserve">
</t>
    </r>
  </si>
  <si>
    <r>
      <t xml:space="preserve">01 = Gifted 
02 = Talented
03 = Autism
04 = Deafblindness
05 = Developmental Delay
06 = Emotional Disturbance
07 = HI-Deaf
08 = HI-Hard of Hearing
09 = Mild Mental Disability
10 = Moderate Mental Disability
11 = Orthopedic Impairment
12 = Other Health Impairment
13 = Specific Learning Disability
14 = Speech or Language Impairment
15 = Traumatic Brain Injury 
16 = Visual Impairment
17 = Other (Mult Disabilities, </t>
    </r>
    <r>
      <rPr>
        <sz val="10"/>
        <rFont val="Arial"/>
        <family val="2"/>
      </rPr>
      <t>Severe Mental Dis.)
99 = Unknown (Multiple Responses)
Blank = student has no special education 
                category</t>
    </r>
  </si>
  <si>
    <t>LAP Twin Flag</t>
  </si>
  <si>
    <r>
      <t xml:space="preserve">Accountability Achievement Level for the given subject. 
Refer to the </t>
    </r>
    <r>
      <rPr>
        <b/>
        <u/>
        <sz val="10"/>
        <rFont val="Arial"/>
        <family val="2"/>
      </rPr>
      <t xml:space="preserve">Resulting LDESTD Values by Subject </t>
    </r>
    <r>
      <rPr>
        <sz val="10"/>
        <rFont val="Arial"/>
        <family val="2"/>
      </rPr>
      <t>table within the Processing Rules - Scoring document for the logic to set these fields.</t>
    </r>
    <r>
      <rPr>
        <strike/>
        <sz val="10"/>
        <rFont val="Arial"/>
        <family val="2"/>
      </rPr>
      <t xml:space="preserve">
</t>
    </r>
    <r>
      <rPr>
        <sz val="10"/>
        <rFont val="Arial"/>
        <family val="2"/>
      </rPr>
      <t>The Accountability Achievement Level fields will be set to Blank if the subject was the secondary record involved in a score merge.</t>
    </r>
  </si>
  <si>
    <r>
      <t xml:space="preserve">(Spring 2014) (Logic Change) </t>
    </r>
    <r>
      <rPr>
        <sz val="10"/>
        <color theme="1"/>
        <rFont val="Arial"/>
        <family val="2"/>
      </rPr>
      <t>Removed  the possible value "Blank = does not apply" in positions 173-174 (LEAP Remediation Eligibility and LEAP Summer Test Eligibility) since this field is only populated for LEAP Spring and  this field will not be blank for LEAP.</t>
    </r>
  </si>
  <si>
    <r>
      <t>(Spring 2014)</t>
    </r>
    <r>
      <rPr>
        <sz val="10"/>
        <color theme="1"/>
        <rFont val="Arial"/>
        <family val="2"/>
      </rPr>
      <t xml:space="preserve"> Removed the reference to the actual location of the Accountability Codes for Testing document state as the location is now shown on the Reference Location tab. (Pos. 283-284, 522-523, 2238-2243, and 2246-2253).</t>
    </r>
  </si>
  <si>
    <r>
      <t xml:space="preserve">(Spring 2014) (Logic Change) </t>
    </r>
    <r>
      <rPr>
        <sz val="10"/>
        <color theme="1"/>
        <rFont val="Arial"/>
        <family val="2"/>
      </rPr>
      <t xml:space="preserve">Removed the Field Test note in the Description/Comments column from the Response Strings by Subject (Pos.692-1558) as there are no field test items in 2014. </t>
    </r>
  </si>
  <si>
    <r>
      <rPr>
        <b/>
        <sz val="10"/>
        <color theme="1"/>
        <rFont val="Arial"/>
        <family val="2"/>
      </rPr>
      <t xml:space="preserve">(Spring 2014) (Logic Change) </t>
    </r>
    <r>
      <rPr>
        <sz val="10"/>
        <color theme="1"/>
        <rFont val="Arial"/>
        <family val="2"/>
      </rPr>
      <t>Added the following note within the Description/Comments column regarding the external anchor items for field position 1572-1576, Raw Score Total - ELA, "External Anchor Items are not included when determining the Raw Score Total - ELA in LEAP Spring."</t>
    </r>
  </si>
  <si>
    <r>
      <t xml:space="preserve">(Spring 2014) (Logic change) </t>
    </r>
    <r>
      <rPr>
        <sz val="10"/>
        <rFont val="Arial"/>
        <family val="2"/>
      </rPr>
      <t>Removed the following note within the Description/Comments column regarding the field test items for field positions 2060-2063, MC/CR Taken Flags for Math, Science, and Social Studies, "Field Test Items are not included when determining the MC / CR Taken flags for Math, Science, and Social Studies in LEAP Spring."</t>
    </r>
  </si>
  <si>
    <r>
      <t xml:space="preserve">(Spring 2014) (Logic change) </t>
    </r>
    <r>
      <rPr>
        <sz val="10"/>
        <rFont val="Arial"/>
        <family val="2"/>
      </rPr>
      <t>Added the following note within the Description/Comments column regarding the external anchor items for field positions 2060-2063, MC/CR Taken Flags for ELA, "External Anchor Items are not included when determining the MC/CR Taken Flags for ELA in LEAP Spring."</t>
    </r>
  </si>
  <si>
    <r>
      <rPr>
        <b/>
        <sz val="10"/>
        <rFont val="Arial"/>
        <family val="2"/>
      </rPr>
      <t xml:space="preserve">(Spring 2014) </t>
    </r>
    <r>
      <rPr>
        <sz val="10"/>
        <rFont val="Arial"/>
        <family val="2"/>
      </rPr>
      <t>Removed the following note within the Description/Comments column for field position 2152-2158, Lithocode - Document 1, and 2202-2208, Lithocode - Document 3 "LEAP Spring: The first position of the Lithocode value indicates the grade/form of the answer document as follows:
   "1" = Grade 4 Form A
   "2" = Grade 8 Form A
   "3" = Grade 4 Form B
   "4" = Grade 8 Form B"</t>
    </r>
  </si>
  <si>
    <r>
      <rPr>
        <b/>
        <sz val="10"/>
        <color theme="1"/>
        <rFont val="Arial"/>
        <family val="2"/>
      </rPr>
      <t xml:space="preserve">(Spring 2014) (Logic Change) </t>
    </r>
    <r>
      <rPr>
        <sz val="10"/>
        <color theme="1"/>
        <rFont val="Arial"/>
        <family val="2"/>
      </rPr>
      <t>Added "LAP Twin Flag" in Position 2287. (previously FILLER).</t>
    </r>
  </si>
  <si>
    <r>
      <t xml:space="preserve">01 = Gifted 
02 = Talented
03 = Autism
04 = Deafblindness
05 = Developmental Delay
06 = Emotional Disturbance
07 = HI-Deaf
08 = HI-Hard of Hearing
09 = Mild Mental Disability
10 = Moderate Mental Disability
11 = Orthopedic Impairment
12 = Other Health Impairment
13 = Specific Learning Disability
14 = Speech or Language Impairment
15 = Traumatic Brain Injury
16 = Visual impairment
17 = Other (Mult Disabilities, </t>
    </r>
    <r>
      <rPr>
        <sz val="10"/>
        <rFont val="Arial"/>
        <family val="2"/>
      </rPr>
      <t>Severe Mental Dis.)
99 = Unknown (Multiple Response) 
Blank = student has no special education 
                category</t>
    </r>
  </si>
  <si>
    <r>
      <t xml:space="preserve">(Fall 2013) </t>
    </r>
    <r>
      <rPr>
        <sz val="10"/>
        <rFont val="Arial"/>
        <family val="2"/>
      </rPr>
      <t>Updated the definition for Possible Value "17" to remove "Profound Mental Dis." in the Summarized Special Education Exceptionality Category field for each document (Pos. 199-200, 328-329, 457-458, 3106-3113). Profound Mental Disability is no longer a valid Special Ed. Exceptionality.</t>
    </r>
  </si>
  <si>
    <r>
      <rPr>
        <b/>
        <sz val="10"/>
        <color theme="1"/>
        <rFont val="Arial"/>
        <family val="2"/>
      </rPr>
      <t xml:space="preserve">(Spring 2014) </t>
    </r>
    <r>
      <rPr>
        <sz val="10"/>
        <color theme="1"/>
        <rFont val="Arial"/>
        <family val="2"/>
      </rPr>
      <t>Removed the "Blank in a retest" rule in pos. 2811, Footnote: Retesting Subject - Science and in pos. 2821, Footnote: Retesting Subject - Social Studies. Per the Admin column these fields are only populated in LEAP Spring so this rule does not apply.</t>
    </r>
  </si>
  <si>
    <r>
      <t>Raw Score for Eac</t>
    </r>
    <r>
      <rPr>
        <b/>
        <sz val="10"/>
        <color rgb="FF0000FF"/>
        <rFont val="Arial"/>
        <family val="2"/>
      </rPr>
      <t>h Subtest</t>
    </r>
  </si>
  <si>
    <r>
      <rPr>
        <b/>
        <sz val="10"/>
        <color theme="1"/>
        <rFont val="Arial"/>
        <family val="2"/>
      </rPr>
      <t>(Spring 2014)</t>
    </r>
    <r>
      <rPr>
        <sz val="10"/>
        <color theme="1"/>
        <rFont val="Arial"/>
        <family val="2"/>
      </rPr>
      <t xml:space="preserve"> </t>
    </r>
    <r>
      <rPr>
        <b/>
        <sz val="10"/>
        <color theme="1"/>
        <rFont val="Arial"/>
        <family val="2"/>
      </rPr>
      <t xml:space="preserve">(Logic change) </t>
    </r>
    <r>
      <rPr>
        <sz val="10"/>
        <color theme="1"/>
        <rFont val="Arial"/>
        <family val="2"/>
      </rPr>
      <t>The Raw Score Total - Reading Subscore field in position 551-554 was updated to FILLER since Reading Subscore will not be calculated in Spring 2014.</t>
    </r>
  </si>
  <si>
    <r>
      <rPr>
        <b/>
        <sz val="10"/>
        <color theme="1"/>
        <rFont val="Arial"/>
        <family val="2"/>
      </rPr>
      <t xml:space="preserve">(Spring 2014) (Logic change) </t>
    </r>
    <r>
      <rPr>
        <sz val="10"/>
        <color theme="1"/>
        <rFont val="Arial"/>
        <family val="2"/>
      </rPr>
      <t>The Scaled Score - Reading Subscore field in position 555-557 was updated to FILLER since Reading Subscore will not be calculated in Spring 2014.</t>
    </r>
  </si>
  <si>
    <r>
      <t xml:space="preserve">(Spring 2014) (Logic change) </t>
    </r>
    <r>
      <rPr>
        <sz val="10"/>
        <color theme="1"/>
        <rFont val="Arial"/>
        <family val="2"/>
      </rPr>
      <t>The Assessment Achievement Level - Reading Subscore field in position 558-560 was updated to FILLER since Reading Subscore will not be calculated in Spring 2014.</t>
    </r>
  </si>
  <si>
    <r>
      <t xml:space="preserve">(Spring 2014) (Logic change) </t>
    </r>
    <r>
      <rPr>
        <sz val="10"/>
        <color theme="1"/>
        <rFont val="Arial"/>
        <family val="2"/>
      </rPr>
      <t>The length and starting position for FILLER in position 561-691 was updated to a length of "151" and a starting position "541" to absorb the FILLER previously in 541-550 and the Reading Subscore fields in positions 551-560.</t>
    </r>
  </si>
  <si>
    <r>
      <rPr>
        <b/>
        <sz val="10"/>
        <color theme="1"/>
        <rFont val="Arial"/>
        <family val="2"/>
      </rPr>
      <t xml:space="preserve">(Spring 2014) (Logic Change) </t>
    </r>
    <r>
      <rPr>
        <sz val="10"/>
        <color theme="1"/>
        <rFont val="Arial"/>
        <family val="2"/>
      </rPr>
      <t>Removed the following note within the Description/Comments column regarding the field test items for field positions 1693-1997, 1814-1818, 1935-1939, Raw Score Total by Subject (Math, Science, Social Studies), "Field Test Items are no included when determining the Raw Score Total - &lt;Subject&gt; in LEAP Spring.</t>
    </r>
  </si>
  <si>
    <r>
      <t xml:space="preserve">(Spring 2014) </t>
    </r>
    <r>
      <rPr>
        <sz val="10"/>
        <color theme="1"/>
        <rFont val="Arial"/>
        <family val="2"/>
      </rPr>
      <t xml:space="preserve">Added "99" as a possible value to the Summarized Date of Birth - Month (Pos. 145-146) and the Summarized Date of Birth - Day (Pos. 147-148) and a business rule to note that this value is only valid after OCS has been applied since this is a valid OCS value and will appear in post OCS files. </t>
    </r>
  </si>
  <si>
    <r>
      <t xml:space="preserve">(Spring 2014) (Logic Change) </t>
    </r>
    <r>
      <rPr>
        <sz val="10"/>
        <color theme="1"/>
        <rFont val="Arial"/>
        <family val="2"/>
      </rPr>
      <t>Added the following note within the Description/Comments column regarding the external anchor items for field positions 692-1558, Response Strings by Subject, "External Anchor Items will be included in the Item Responses for ELA in LEAP Spring, but will not be scored."</t>
    </r>
  </si>
  <si>
    <t>Y = Indicated as one of the twins
N = Not Indicated as one of the twins
Blank</t>
  </si>
  <si>
    <t>Raw Score for Each Item Type</t>
  </si>
  <si>
    <t xml:space="preserve">Subtest 2: Constructed-Response Items </t>
  </si>
  <si>
    <r>
      <t xml:space="preserve">(Spring 2014) (Logic change) </t>
    </r>
    <r>
      <rPr>
        <sz val="10"/>
        <rFont val="Arial"/>
        <family val="2"/>
      </rPr>
      <t>The "G" and "F" were removed from the Admin column for the Social Studies Subtest 1 (Pos. 1978-1981) and Subtest 2 (Pos. 1982-1985) fields. These fields will not be populated for GEE. The GEE total MC Raw Score will now be populated in the Multiple-Choice Items Item Type field (Pos. 1990-1992) and the CR Raw Score will now be populated in the Constructed-Response Items Item Type field (Pos. 1993-1995).</t>
    </r>
  </si>
  <si>
    <r>
      <t xml:space="preserve">(Spring 2014) (Logic change) </t>
    </r>
    <r>
      <rPr>
        <sz val="10"/>
        <rFont val="Arial"/>
        <family val="2"/>
      </rPr>
      <t>The "K" was removed from the Field Use column for Social Studies Subtest 1: Mulitple-Choice Items (Pos. 1978-1981). The new Multiple-Choice Items (Pos. 1990-1992) Item Type field will be used for Key Check.</t>
    </r>
  </si>
  <si>
    <r>
      <t xml:space="preserve">(Spring 2014) (Logic change) </t>
    </r>
    <r>
      <rPr>
        <sz val="10"/>
        <rFont val="Arial"/>
        <family val="2"/>
      </rPr>
      <t>Raw Score for Social Studies Item Types fields were added to display the total raw score for all MC items and the total raw score for all CR items. Pos. 1990-1992, Mulitiple-Choice Items, and Pos. 1993-1995, Constructed-Response Items, were added. These fields were previously FILLER. The starting location and length of FILLER in position 1986-2047 were updated to "1997" and "51".</t>
    </r>
  </si>
  <si>
    <r>
      <rPr>
        <b/>
        <sz val="10"/>
        <color theme="1"/>
        <rFont val="Arial"/>
        <family val="2"/>
      </rPr>
      <t xml:space="preserve">(Spring 2014) (Logic Change) </t>
    </r>
    <r>
      <rPr>
        <sz val="10"/>
        <color theme="1"/>
        <rFont val="Arial"/>
        <family val="2"/>
      </rPr>
      <t>Updated the Math Content Standards to remove Reporting Categories and add Domains in field positions 1704-1731. These fields will either be the Math Content Standards for GEE or the Math Domains for LEAP. Updated the Description/Comments and Admin columns to note that the Domains are for LEAP and the Content Standards and for GEE. Added a business rule to note which fields will be blank in summer. Field position 1732-1735: FILLER was replaced with "Domain: Functions"</t>
    </r>
  </si>
  <si>
    <t>Subtest 3: Task Items</t>
  </si>
  <si>
    <r>
      <t xml:space="preserve">(Spring 2014) (Logic change) </t>
    </r>
    <r>
      <rPr>
        <sz val="10"/>
        <rFont val="Arial"/>
        <family val="2"/>
      </rPr>
      <t xml:space="preserve">In 2014, a Social Studies performance task was added within the LEAP Social Studies test, similar to science. Subtest 3: Task Items was added in pos. 1986-1989 to show the total raw score for the Social Studies task.
</t>
    </r>
  </si>
  <si>
    <r>
      <t xml:space="preserve">(Spring 2014) (Logic Change) </t>
    </r>
    <r>
      <rPr>
        <sz val="10"/>
        <color theme="1"/>
        <rFont val="Arial"/>
        <family val="2"/>
      </rPr>
      <t>The ELA Constructed Response Raw Score field (pos. 1680-1683) will now include the Writing Item score for LEAP. Previously the Raw Score total for the writing item was not included in this total.</t>
    </r>
  </si>
  <si>
    <r>
      <t xml:space="preserve">(Spring 2014) (Logic Change) </t>
    </r>
    <r>
      <rPr>
        <sz val="10"/>
        <color theme="1"/>
        <rFont val="Arial"/>
        <family val="2"/>
      </rPr>
      <t>Updated the ELA Content Standards to also include Test Sessions in field positions 1583-1598. These fields will either be the ELA Content Standards for GEE or the ELA Test Sessions for LEAP. Updated the Description/Comments column to note that the Test Sessions are for LEAP and the Content Standards are for GEE. Also added a business rule to note which fields will be blank in summer.</t>
    </r>
  </si>
  <si>
    <r>
      <t xml:space="preserve">(Spring 2014) </t>
    </r>
    <r>
      <rPr>
        <sz val="10"/>
        <rFont val="Arial"/>
        <family val="2"/>
      </rPr>
      <t xml:space="preserve">Pos. 1865-1868 and 1986-1989 Raw Score for Subtest 3: Task Items for both Science and Social Studies were updated to include the following note within the Descriptions/Comments. “The Raw Score for Subtest: 2 Task Item contains the score for the MC and CR items contained within the Task Item.  Refer to the DOTS for the number of MC Items and the maximum points possible per CR item contained in the Task Item.” </t>
    </r>
  </si>
  <si>
    <r>
      <t xml:space="preserve">(Spring 2014) </t>
    </r>
    <r>
      <rPr>
        <sz val="10"/>
        <rFont val="Arial"/>
        <family val="2"/>
      </rPr>
      <t>Pos. 2284-2286, LAP Residence_LEA field was changed to FILLER. This field is no longer populated in the LAP file.</t>
    </r>
  </si>
  <si>
    <r>
      <t>(Spring 2014)</t>
    </r>
    <r>
      <rPr>
        <sz val="10"/>
        <rFont val="Arial"/>
        <family val="2"/>
      </rPr>
      <t xml:space="preserve"> Added a note to the business rules column in pos. 1677-1679, ELA Multiple Choice Items, to show that this total will include Multiple Choice and Enhanced Selected Response (ESR) items.</t>
    </r>
  </si>
  <si>
    <t>01-12
-- 
99</t>
  </si>
  <si>
    <t>00-39 (0-9 or - in any position)
99</t>
  </si>
  <si>
    <r>
      <t xml:space="preserve">Month, Day, Year of student's birth
"*" and " " values are changed to "-".
Refer to the </t>
    </r>
    <r>
      <rPr>
        <b/>
        <u/>
        <sz val="10"/>
        <rFont val="Arial"/>
        <family val="2"/>
      </rPr>
      <t>Rules to Determine Demographic Values</t>
    </r>
    <r>
      <rPr>
        <sz val="10"/>
        <rFont val="Arial"/>
        <family val="2"/>
      </rPr>
      <t xml:space="preserve"> section of the Processing Rules - Scoring document for logic to determine these values based on values from the LAP file and the answer document.
"99" is only valid after the Online Corrections System (OCS)  has been applied.</t>
    </r>
  </si>
  <si>
    <r>
      <t xml:space="preserve">Total raw score for Science.
Refer to the </t>
    </r>
    <r>
      <rPr>
        <b/>
        <u/>
        <sz val="10"/>
        <rFont val="Arial"/>
        <family val="2"/>
      </rPr>
      <t>Resulting LDESTD Values by Subject</t>
    </r>
    <r>
      <rPr>
        <sz val="10"/>
        <rFont val="Arial"/>
        <family val="2"/>
      </rPr>
      <t xml:space="preserve"> section within the LEAP/GEE Processing Rules - Scoring document for the logic used to set the Raw Score value.</t>
    </r>
  </si>
  <si>
    <t>Total points earned for each Science subtest.
The Raw Score for Subtest 3: Task Item contains the score for the MC and CR items contained within the Task Item.  Refer to the DOTS for the number of MC Items and the maximum points possible per CR item contained in the Task Item.
Blank when subtest is not assessed (zero points possible), or when the Raw Score Total for Science is blank.</t>
  </si>
  <si>
    <r>
      <t xml:space="preserve">Subtest 3: </t>
    </r>
    <r>
      <rPr>
        <sz val="10"/>
        <rFont val="Arial"/>
        <family val="2"/>
      </rPr>
      <t>Task Items</t>
    </r>
  </si>
  <si>
    <r>
      <t xml:space="preserve">Total raw score for Social Studies.
Refer to the </t>
    </r>
    <r>
      <rPr>
        <b/>
        <u/>
        <sz val="10"/>
        <rFont val="Arial"/>
        <family val="2"/>
      </rPr>
      <t>Resulting LDESTD Values by Subject</t>
    </r>
    <r>
      <rPr>
        <sz val="10"/>
        <rFont val="Arial"/>
        <family val="2"/>
      </rPr>
      <t xml:space="preserve"> section within the LEAP/GEE Processing Rules - Scoring document for the logic used to set the Raw Score value.</t>
    </r>
  </si>
  <si>
    <t>If field value = "Y", then student will be receiving this footnote.
The Footnote: Retesting Subject will be set to "Y" if the Science Testing Status = "R".
When a subject is updated because of a score merge, the Footnote: Retesting Subject will be set to "N" for the secondary record.</t>
  </si>
  <si>
    <t>If field value = "Y", then student will be receiving this footnote.
The Footnote: Retesting Subject will be set to "Y" if the Social Studies Testing Status = "R".
When a subject is updated because of a score merge, the Footnote: Retesting Subject will be set to "N" for the secondary record.</t>
  </si>
  <si>
    <t>Project: 2015 LEAP Spring</t>
  </si>
  <si>
    <r>
      <t xml:space="preserve">04 = Grade 4
08 = Grade 8 
</t>
    </r>
    <r>
      <rPr>
        <strike/>
        <sz val="10"/>
        <color rgb="FFFF0000"/>
        <rFont val="Arial"/>
        <family val="2"/>
      </rPr>
      <t>10 = Grade 10 (preidentified student)
11 = Grade 11 (preidentified student)
12 = Grade 12 (preidentified student)
HS = High School (Grade 10, 11 or 12
        hand-coded document)</t>
    </r>
  </si>
  <si>
    <r>
      <t xml:space="preserve">04 = Grade 4
08 = Grade 8
</t>
    </r>
    <r>
      <rPr>
        <strike/>
        <sz val="10"/>
        <color rgb="FFFF0000"/>
        <rFont val="Arial"/>
        <family val="2"/>
      </rPr>
      <t>10 = Grade 10
11 = Grade 11
12 = Grade 12</t>
    </r>
    <r>
      <rPr>
        <sz val="10"/>
        <rFont val="Arial"/>
        <family val="2"/>
      </rPr>
      <t xml:space="preserve">
Blank</t>
    </r>
  </si>
  <si>
    <r>
      <rPr>
        <b/>
        <sz val="10"/>
        <rFont val="Arial"/>
        <family val="2"/>
      </rPr>
      <t xml:space="preserve">(Spring 2015) </t>
    </r>
    <r>
      <rPr>
        <sz val="10"/>
        <rFont val="Arial"/>
        <family val="2"/>
      </rPr>
      <t>Struck through any GEE specific business rules from all fields as they no longer apply.</t>
    </r>
  </si>
  <si>
    <r>
      <rPr>
        <b/>
        <sz val="10"/>
        <rFont val="Arial"/>
        <family val="2"/>
      </rPr>
      <t xml:space="preserve">(Spring 2015) (Logic change) </t>
    </r>
    <r>
      <rPr>
        <sz val="10"/>
        <rFont val="Arial"/>
        <family val="2"/>
      </rPr>
      <t>The Science Auto Rescore Flag, pos. 1933, was updated to FILLER as it was only populated for GEE.</t>
    </r>
  </si>
  <si>
    <r>
      <rPr>
        <b/>
        <sz val="10"/>
        <rFont val="Arial"/>
        <family val="2"/>
      </rPr>
      <t xml:space="preserve">(Spring 2015) (Logic change) </t>
    </r>
    <r>
      <rPr>
        <sz val="10"/>
        <rFont val="Arial"/>
        <family val="2"/>
      </rPr>
      <t>The Social Studies Auto Rescore Flag, pos. 2054, was updated to FILLER as it was only populated for GEE.</t>
    </r>
  </si>
  <si>
    <r>
      <rPr>
        <b/>
        <sz val="10"/>
        <rFont val="Arial"/>
        <family val="2"/>
      </rPr>
      <t xml:space="preserve">(Spring 2015) </t>
    </r>
    <r>
      <rPr>
        <sz val="10"/>
        <rFont val="Arial"/>
        <family val="2"/>
      </rPr>
      <t>The Testing Status - &lt;Subject&gt; fields' possible values were updated to remove "10, 11, or 12" from the "R" description as these grades will no longer be tested (Pos. 2126-2129).</t>
    </r>
  </si>
  <si>
    <r>
      <rPr>
        <b/>
        <sz val="10"/>
        <rFont val="Arial"/>
        <family val="2"/>
      </rPr>
      <t xml:space="preserve">(Spring 2015) (Logic change) </t>
    </r>
    <r>
      <rPr>
        <sz val="10"/>
        <rFont val="Arial"/>
        <family val="2"/>
      </rPr>
      <t>The Summer Test Scores fields were all updated to FILLER as they were only populated for GEE Fall which is no longer administered. This includes the Summer Scaled Score - &lt;Subject&gt; fields (pos. 2396-2398, 2404-2406, 2412-2414, 2420-2422) and the Summer Assessment Achievement Level - &lt;Subject&gt; fields (pos. 2399-2401, 2407-2409, 2415-2417, 2423-2425).</t>
    </r>
  </si>
  <si>
    <r>
      <t xml:space="preserve">(Spring 2015) (Logic change) </t>
    </r>
    <r>
      <rPr>
        <sz val="10"/>
        <rFont val="Arial"/>
        <family val="2"/>
      </rPr>
      <t>Updated pos. 461, Document 3 Bubbled Calculator Use (Math Only), to FILLER since this bubble doesn't exist on the answer document in 2015.</t>
    </r>
  </si>
  <si>
    <r>
      <t xml:space="preserve">(Spring 2015) (Logic change) </t>
    </r>
    <r>
      <rPr>
        <sz val="10"/>
        <rFont val="Arial"/>
        <family val="2"/>
      </rPr>
      <t>Updated pos. 521, Bubbled Subjects for LEAP Tutoring, to FILLER since these bubble doesn't exist on the answer docment in 2015.</t>
    </r>
  </si>
  <si>
    <r>
      <t xml:space="preserve">(Spring 2015) (Logic change) </t>
    </r>
    <r>
      <rPr>
        <sz val="10"/>
        <rFont val="Arial"/>
        <family val="2"/>
      </rPr>
      <t>Updated the possible values in pos. 1580-1582, Assessment Acheivement Level - ELA to be blank. Blank is the only possible value for this field in 2015.</t>
    </r>
  </si>
  <si>
    <r>
      <rPr>
        <b/>
        <sz val="10"/>
        <rFont val="Arial"/>
        <family val="2"/>
      </rPr>
      <t xml:space="preserve">(Spring 2015) (Logic change) </t>
    </r>
    <r>
      <rPr>
        <sz val="10"/>
        <rFont val="Arial"/>
        <family val="2"/>
      </rPr>
      <t>Struck through the external anchor note in pos. 2060-2063 since it no longer applies.</t>
    </r>
  </si>
  <si>
    <r>
      <rPr>
        <b/>
        <sz val="10"/>
        <rFont val="Arial"/>
        <family val="2"/>
      </rPr>
      <t xml:space="preserve">(Spring 2015) (Logic change) </t>
    </r>
    <r>
      <rPr>
        <sz val="10"/>
        <rFont val="Arial"/>
        <family val="2"/>
      </rPr>
      <t>Updated pos. 2126-2127, Testing Status - ELA and Testing Status - Math, to FILLER since these fields do not apply in 2015.</t>
    </r>
  </si>
  <si>
    <r>
      <t xml:space="preserve">(Spring 2015) (Logic change) </t>
    </r>
    <r>
      <rPr>
        <sz val="10"/>
        <rFont val="Arial"/>
        <family val="2"/>
      </rPr>
      <t>Updated pos. 2131, Initial Tester for the most recent Spring test, to be FILLER. The logic for this field only looks at ELA and Math and those subjects will not be assessed in 2015.</t>
    </r>
  </si>
  <si>
    <r>
      <t xml:space="preserve">(Spring 2015) (Logic change) </t>
    </r>
    <r>
      <rPr>
        <sz val="10"/>
        <rFont val="Arial"/>
        <family val="2"/>
      </rPr>
      <t>Updated pos. 2246-2249, Summarized Accountability Code - ELA and Summarized Accountability Code - Math, to be FILLER since these fields do not apply in 2015.</t>
    </r>
  </si>
  <si>
    <r>
      <t xml:space="preserve">(Spring 2015) (Logic change) </t>
    </r>
    <r>
      <rPr>
        <sz val="10"/>
        <rFont val="Arial"/>
        <family val="2"/>
      </rPr>
      <t>Updated pos. 2278-2283, LAP Scholarship Site Code to be FILLER since this value is no longer populated on the LAP file.</t>
    </r>
  </si>
  <si>
    <r>
      <rPr>
        <b/>
        <sz val="10"/>
        <rFont val="Arial"/>
        <family val="2"/>
      </rPr>
      <t>(Spring 2015) (Logic change)</t>
    </r>
    <r>
      <rPr>
        <sz val="10"/>
        <rFont val="Arial"/>
        <family val="2"/>
      </rPr>
      <t xml:space="preserve"> Updated pos. 2757, Student Report Link to FILLER since there will only be 1 report link in 2015.</t>
    </r>
  </si>
  <si>
    <r>
      <rPr>
        <b/>
        <sz val="10"/>
        <rFont val="Arial"/>
        <family val="2"/>
      </rPr>
      <t>(Spring 2014) (Logic change)</t>
    </r>
    <r>
      <rPr>
        <sz val="10"/>
        <rFont val="Arial"/>
        <family val="2"/>
      </rPr>
      <t xml:space="preserve"> Added "C" to the Field Use column for LAP LDE Unique ID GUID in pos. 2164-2173 as the value may be updated (from blank to valued) after the OCS Extract has been applied.  This is due to the new process of applying the May LAP File to the LDESTD data that is used to load the OCS application.  Any hand-coded records that match back to the May LAP file will have their LDE Unique ID GUID value updated from blank to the value in the May LAP file.  Those hand-coded records are then loaded to the OCS system, and the LDE Unique ID GUID values are passed through on the OCS Extract to be updated in the LDESTD file so that the data eventually ends up in the Accountability File.  </t>
    </r>
    <r>
      <rPr>
        <b/>
        <sz val="10"/>
        <rFont val="Arial"/>
        <family val="2"/>
      </rPr>
      <t>Note:</t>
    </r>
    <r>
      <rPr>
        <sz val="10"/>
        <rFont val="Arial"/>
        <family val="2"/>
      </rPr>
      <t xml:space="preserve"> The values are only updated with the value from the May LAP file if the LDE Unique ID GUID value was blank prior to applying the May LAP file.</t>
    </r>
  </si>
  <si>
    <r>
      <t xml:space="preserve">(Spring 2014) (Logic change) </t>
    </r>
    <r>
      <rPr>
        <sz val="10"/>
        <rFont val="Arial"/>
        <family val="2"/>
      </rPr>
      <t>Removed the "Blank when ELA was updated because of a score merge or requested rescore" note from the ELA Raw Score for Item Type fields (1677-1683). Since these values are reported on the Performance Report, they will need to be updated in the event of a merge or rescore.</t>
    </r>
  </si>
  <si>
    <r>
      <rPr>
        <b/>
        <sz val="10"/>
        <rFont val="Arial"/>
        <family val="2"/>
      </rPr>
      <t xml:space="preserve">(Summer 2014) </t>
    </r>
    <r>
      <rPr>
        <sz val="10"/>
        <rFont val="Arial"/>
        <family val="2"/>
      </rPr>
      <t>Clarified the External Anchor business rule in the ELA MC / CR Taken Flag (Pos. 2060), ELA Item Response String (692-886), and ELA Taw Score Total (Pos. 1172-1176) fields to note that the rule applies to both LEAP Spring and LEAP Summer.</t>
    </r>
  </si>
  <si>
    <r>
      <t>K, E, M</t>
    </r>
    <r>
      <rPr>
        <strike/>
        <sz val="10"/>
        <color rgb="FFFF0000"/>
        <rFont val="Arial"/>
        <family val="2"/>
      </rPr>
      <t>, R</t>
    </r>
  </si>
  <si>
    <r>
      <t>E, M</t>
    </r>
    <r>
      <rPr>
        <strike/>
        <sz val="10"/>
        <color rgb="FFFF0000"/>
        <rFont val="Arial"/>
        <family val="2"/>
      </rPr>
      <t>, R</t>
    </r>
  </si>
  <si>
    <r>
      <t>M</t>
    </r>
    <r>
      <rPr>
        <strike/>
        <sz val="10"/>
        <color rgb="FFFF0000"/>
        <rFont val="Arial"/>
        <family val="2"/>
      </rPr>
      <t>, R</t>
    </r>
  </si>
  <si>
    <r>
      <t>M,</t>
    </r>
    <r>
      <rPr>
        <strike/>
        <sz val="10"/>
        <color rgb="FFFF0000"/>
        <rFont val="Arial"/>
        <family val="2"/>
      </rPr>
      <t xml:space="preserve"> R, </t>
    </r>
    <r>
      <rPr>
        <sz val="10"/>
        <rFont val="Arial"/>
        <family val="2"/>
      </rPr>
      <t>C</t>
    </r>
  </si>
  <si>
    <r>
      <t xml:space="preserve">M, </t>
    </r>
    <r>
      <rPr>
        <strike/>
        <sz val="10"/>
        <color rgb="FFFF0000"/>
        <rFont val="Arial"/>
        <family val="2"/>
      </rPr>
      <t>R,</t>
    </r>
    <r>
      <rPr>
        <sz val="10"/>
        <rFont val="Arial"/>
        <family val="2"/>
      </rPr>
      <t xml:space="preserve"> C</t>
    </r>
  </si>
  <si>
    <r>
      <t xml:space="preserve"> E, M</t>
    </r>
    <r>
      <rPr>
        <strike/>
        <sz val="10"/>
        <color rgb="FFFF0000"/>
        <rFont val="Arial"/>
        <family val="2"/>
      </rPr>
      <t>, R</t>
    </r>
  </si>
  <si>
    <r>
      <t xml:space="preserve">As bubbled on the </t>
    </r>
    <r>
      <rPr>
        <strike/>
        <sz val="10"/>
        <color rgb="FFFF0000"/>
        <rFont val="Arial"/>
        <family val="2"/>
      </rPr>
      <t>Phase 2</t>
    </r>
    <r>
      <rPr>
        <sz val="10"/>
        <rFont val="Arial"/>
        <family val="2"/>
      </rPr>
      <t xml:space="preserve"> SCI/SOC answer document in LEAP spring.
If both of the Science and Social Studies bubbles were filled in on the answer document the value is "3".</t>
    </r>
  </si>
  <si>
    <r>
      <t xml:space="preserve">This is the </t>
    </r>
    <r>
      <rPr>
        <strike/>
        <sz val="10"/>
        <color rgb="FFFF0000"/>
        <rFont val="Arial"/>
        <family val="2"/>
      </rPr>
      <t>Phase 2 ELA/Math/</t>
    </r>
    <r>
      <rPr>
        <sz val="10"/>
        <rFont val="Arial"/>
        <family val="2"/>
      </rPr>
      <t>SCI/SOC answer document in LEAP spring</t>
    </r>
    <r>
      <rPr>
        <strike/>
        <sz val="10"/>
        <color rgb="FFFF0000"/>
        <rFont val="Arial"/>
        <family val="2"/>
      </rPr>
      <t>, and the GEE SCI/SOC answer document in a retest</t>
    </r>
    <r>
      <rPr>
        <sz val="10"/>
        <rFont val="Arial"/>
        <family val="2"/>
      </rPr>
      <t>.</t>
    </r>
  </si>
  <si>
    <r>
      <t xml:space="preserve">As bubbled on the </t>
    </r>
    <r>
      <rPr>
        <strike/>
        <sz val="10"/>
        <color rgb="FFFF0000"/>
        <rFont val="Arial"/>
        <family val="2"/>
      </rPr>
      <t>Phase 2 ELA/Math/</t>
    </r>
    <r>
      <rPr>
        <sz val="10"/>
        <rFont val="Arial"/>
        <family val="2"/>
      </rPr>
      <t>SCI/SOC answer document in LEAP spring</t>
    </r>
    <r>
      <rPr>
        <strike/>
        <sz val="10"/>
        <color rgb="FFFF0000"/>
        <rFont val="Arial"/>
        <family val="2"/>
      </rPr>
      <t>, and the GEE SCI/SOC answer document in a retest</t>
    </r>
    <r>
      <rPr>
        <sz val="10"/>
        <rFont val="Arial"/>
        <family val="2"/>
      </rPr>
      <t>.</t>
    </r>
  </si>
  <si>
    <r>
      <t xml:space="preserve">This is a compilation of the codes from the LAP file and the bubbled categories (on the </t>
    </r>
    <r>
      <rPr>
        <strike/>
        <sz val="10"/>
        <color rgb="FFFF0000"/>
        <rFont val="Arial"/>
        <family val="2"/>
      </rPr>
      <t>Phase 2 ELA/Math/</t>
    </r>
    <r>
      <rPr>
        <sz val="10"/>
        <rFont val="Arial"/>
        <family val="2"/>
      </rPr>
      <t>SCI/SOC answer document in LEAP spring</t>
    </r>
    <r>
      <rPr>
        <strike/>
        <sz val="10"/>
        <color rgb="FFFF0000"/>
        <rFont val="Arial"/>
        <family val="2"/>
      </rPr>
      <t>, and the GEE SCI/SOC answer document in a retest</t>
    </r>
    <r>
      <rPr>
        <strike/>
        <sz val="10"/>
        <rFont val="Arial"/>
        <family val="2"/>
      </rPr>
      <t>)</t>
    </r>
    <r>
      <rPr>
        <sz val="10"/>
        <rFont val="Arial"/>
        <family val="2"/>
      </rPr>
      <t xml:space="preserve">. 
Refer to the </t>
    </r>
    <r>
      <rPr>
        <b/>
        <u/>
        <sz val="10"/>
        <rFont val="Arial"/>
        <family val="2"/>
      </rPr>
      <t>Rules to Determine Demographic Values</t>
    </r>
    <r>
      <rPr>
        <sz val="10"/>
        <rFont val="Arial"/>
        <family val="2"/>
      </rPr>
      <t xml:space="preserve"> section of the Processing Rules - Scoring document for logic to determine this value based on values from the LAP file and the answer document.</t>
    </r>
  </si>
  <si>
    <r>
      <t xml:space="preserve">As bubbled on </t>
    </r>
    <r>
      <rPr>
        <sz val="10"/>
        <color rgb="FFFF0000"/>
        <rFont val="Arial"/>
        <family val="2"/>
      </rPr>
      <t xml:space="preserve">the </t>
    </r>
    <r>
      <rPr>
        <strike/>
        <sz val="10"/>
        <color rgb="FFFF0000"/>
        <rFont val="Arial"/>
        <family val="2"/>
      </rPr>
      <t>Phase 2 ELA/Math/</t>
    </r>
    <r>
      <rPr>
        <sz val="10"/>
        <rFont val="Arial"/>
        <family val="2"/>
      </rPr>
      <t>SCI/SOC answer document in LEAP spring</t>
    </r>
    <r>
      <rPr>
        <strike/>
        <sz val="10"/>
        <color rgb="FFFF0000"/>
        <rFont val="Arial"/>
        <family val="2"/>
      </rPr>
      <t>, and the GEE SCI/SOC answer document in a retest</t>
    </r>
    <r>
      <rPr>
        <sz val="10"/>
        <rFont val="Arial"/>
        <family val="2"/>
      </rPr>
      <t>.</t>
    </r>
  </si>
  <si>
    <r>
      <t>As bubbled on the</t>
    </r>
    <r>
      <rPr>
        <strike/>
        <sz val="10"/>
        <color rgb="FFFF0000"/>
        <rFont val="Arial"/>
        <family val="2"/>
      </rPr>
      <t xml:space="preserve"> Phase 2 ELA/Math/</t>
    </r>
    <r>
      <rPr>
        <sz val="10"/>
        <rFont val="Arial"/>
        <family val="2"/>
      </rPr>
      <t>SCI/SOC answer document in LEAP spring</t>
    </r>
    <r>
      <rPr>
        <strike/>
        <sz val="10"/>
        <color rgb="FFFF0000"/>
        <rFont val="Arial"/>
        <family val="2"/>
      </rPr>
      <t>, and the GEE SCI/SOC answer document in a retest</t>
    </r>
    <r>
      <rPr>
        <sz val="10"/>
        <rFont val="Arial"/>
        <family val="2"/>
      </rPr>
      <t>.</t>
    </r>
  </si>
  <si>
    <r>
      <t>As bubbled on the</t>
    </r>
    <r>
      <rPr>
        <strike/>
        <sz val="10"/>
        <color rgb="FFFF0000"/>
        <rFont val="Arial"/>
        <family val="2"/>
      </rPr>
      <t xml:space="preserve"> Phase 2 LEAP ELA/Math/</t>
    </r>
    <r>
      <rPr>
        <sz val="10"/>
        <rFont val="Arial"/>
        <family val="2"/>
      </rPr>
      <t xml:space="preserve">SCI/SOC answer document in LEAP spring.
Refer to the Accountability Codes for Testing document for valid values. 
Refer to the </t>
    </r>
    <r>
      <rPr>
        <b/>
        <u/>
        <sz val="10"/>
        <rFont val="Arial"/>
        <family val="2"/>
      </rPr>
      <t>Bubbled and Updated Accountability Codes</t>
    </r>
    <r>
      <rPr>
        <sz val="10"/>
        <rFont val="Arial"/>
        <family val="2"/>
      </rPr>
      <t xml:space="preserve"> section of the Processing Rules - Scoring document for the logic for setting these values (pre and post OCS) </t>
    </r>
    <r>
      <rPr>
        <strike/>
        <sz val="10"/>
        <color rgb="FFFF0000"/>
        <rFont val="Arial"/>
        <family val="2"/>
      </rPr>
      <t/>
    </r>
  </si>
  <si>
    <r>
      <t xml:space="preserve">As bubbled on the </t>
    </r>
    <r>
      <rPr>
        <strike/>
        <sz val="10"/>
        <color rgb="FFFF0000"/>
        <rFont val="Arial"/>
        <family val="2"/>
      </rPr>
      <t>Phase 2 LEAP ELA/Math/</t>
    </r>
    <r>
      <rPr>
        <sz val="10"/>
        <rFont val="Arial"/>
        <family val="2"/>
      </rPr>
      <t>SCI/SOC answer document in LEAP spring</t>
    </r>
    <r>
      <rPr>
        <strike/>
        <sz val="10"/>
        <color rgb="FFFF0000"/>
        <rFont val="Arial"/>
        <family val="2"/>
      </rPr>
      <t>, and the GEE SCI/SOC answer document in a retest</t>
    </r>
    <r>
      <rPr>
        <sz val="10"/>
        <rFont val="Arial"/>
        <family val="2"/>
      </rPr>
      <t>.</t>
    </r>
  </si>
  <si>
    <r>
      <t xml:space="preserve">This is the </t>
    </r>
    <r>
      <rPr>
        <strike/>
        <sz val="10"/>
        <color rgb="FFFF0000"/>
        <rFont val="Arial"/>
        <family val="2"/>
      </rPr>
      <t>Phase 2 ELA/Math/</t>
    </r>
    <r>
      <rPr>
        <sz val="10"/>
        <rFont val="Arial"/>
        <family val="2"/>
      </rPr>
      <t>SCI/SOC answer document in LEAP Spring</t>
    </r>
    <r>
      <rPr>
        <strike/>
        <sz val="10"/>
        <color rgb="FFFF0000"/>
        <rFont val="Arial"/>
        <family val="2"/>
      </rPr>
      <t>, and GEE SCI/SOC answer document in a retest</t>
    </r>
    <r>
      <rPr>
        <sz val="10"/>
        <rFont val="Arial"/>
        <family val="2"/>
      </rPr>
      <t>.</t>
    </r>
  </si>
  <si>
    <r>
      <t xml:space="preserve">As bubbled on the </t>
    </r>
    <r>
      <rPr>
        <strike/>
        <sz val="10"/>
        <color rgb="FFFF0000"/>
        <rFont val="Arial"/>
        <family val="2"/>
      </rPr>
      <t>Phase 2 ELA/Math/</t>
    </r>
    <r>
      <rPr>
        <sz val="10"/>
        <rFont val="Arial"/>
        <family val="2"/>
      </rPr>
      <t>SCI/SOC answer document in LEAP Spring</t>
    </r>
    <r>
      <rPr>
        <strike/>
        <sz val="10"/>
        <color rgb="FFFF0000"/>
        <rFont val="Arial"/>
        <family val="2"/>
      </rPr>
      <t>, and GEE SCI/SOC answer document in a retest</t>
    </r>
    <r>
      <rPr>
        <sz val="10"/>
        <rFont val="Arial"/>
        <family val="2"/>
      </rPr>
      <t>.</t>
    </r>
  </si>
  <si>
    <r>
      <rPr>
        <b/>
        <sz val="10"/>
        <rFont val="Arial"/>
        <family val="2"/>
      </rPr>
      <t xml:space="preserve">(Spring 2015) (Logic change) </t>
    </r>
    <r>
      <rPr>
        <sz val="10"/>
        <rFont val="Arial"/>
        <family val="2"/>
      </rPr>
      <t>Struck through the "G" and the "F" from all Admin fields. The GEE Spring and GEE Fall tests are no longer being administered. Updated the key in the footer to remove "G = GEE Spring" and "F = Fall".</t>
    </r>
  </si>
  <si>
    <r>
      <rPr>
        <b/>
        <sz val="10"/>
        <rFont val="Arial"/>
        <family val="2"/>
      </rPr>
      <t xml:space="preserve">(Spring 2015) (Logic change) </t>
    </r>
    <r>
      <rPr>
        <sz val="10"/>
        <rFont val="Arial"/>
        <family val="2"/>
      </rPr>
      <t>Struck through the possible value "10 = Fall Retest" from the Test Date Month field in starting location 1. The Fall Retest is no longer administered.</t>
    </r>
  </si>
  <si>
    <r>
      <rPr>
        <b/>
        <sz val="10"/>
        <rFont val="Arial"/>
        <family val="2"/>
      </rPr>
      <t xml:space="preserve">(Spring 2015) (Logic change) </t>
    </r>
    <r>
      <rPr>
        <sz val="10"/>
        <rFont val="Arial"/>
        <family val="2"/>
      </rPr>
      <t>Struck through the Possible values of "10", "11", "12", "HS" and the corresponding business rules from the Summarized Grade field in starting location 94, and the LAP Grade Placement field in starting location 135 since the GEE test is no longer being administered.</t>
    </r>
  </si>
  <si>
    <r>
      <rPr>
        <b/>
        <sz val="10"/>
        <rFont val="Arial"/>
        <family val="2"/>
      </rPr>
      <t xml:space="preserve">(Spring 2015) (Logic change) </t>
    </r>
    <r>
      <rPr>
        <sz val="10"/>
        <rFont val="Arial"/>
        <family val="2"/>
      </rPr>
      <t>Udpated the definition of Document 1 to remove "Phase 1 ELA/Math in LEAP Spring". Document 1 will be ELA in retest. Updated the definition of Document 3 to remove "Phase 2 ELA/Math". Document 3 will be Sci/Soc for LEAP Spring.</t>
    </r>
  </si>
  <si>
    <r>
      <rPr>
        <strike/>
        <sz val="10"/>
        <color rgb="FFFF0000"/>
        <rFont val="Arial"/>
        <family val="2"/>
      </rPr>
      <t>000000000-999999999
---------</t>
    </r>
    <r>
      <rPr>
        <sz val="10"/>
        <rFont val="Arial"/>
        <family val="2"/>
      </rPr>
      <t xml:space="preserve">
0-9, A-Z, or - in any position</t>
    </r>
  </si>
  <si>
    <r>
      <t xml:space="preserve">(Spring 2015) (Logic change) </t>
    </r>
    <r>
      <rPr>
        <sz val="10"/>
        <color theme="1"/>
        <rFont val="Arial"/>
        <family val="2"/>
      </rPr>
      <t>Updated the possible values in pos. 117-125, State ID, to note that alpha characters are possible.</t>
    </r>
  </si>
  <si>
    <r>
      <t>As flagged on the LAP file.
Blank for a hand-coded document that could not be matched back to the LAP file</t>
    </r>
    <r>
      <rPr>
        <sz val="10"/>
        <color rgb="FFFF0000"/>
        <rFont val="Arial"/>
        <family val="2"/>
      </rPr>
      <t>, or if the value was blank on the LAP file.</t>
    </r>
  </si>
  <si>
    <r>
      <rPr>
        <b/>
        <sz val="10"/>
        <rFont val="Arial"/>
        <family val="2"/>
      </rPr>
      <t xml:space="preserve">(Spring 2015) (Logic change) </t>
    </r>
    <r>
      <rPr>
        <sz val="10"/>
        <rFont val="Arial"/>
        <family val="2"/>
      </rPr>
      <t>Updated the business rule in pos. 2633, LAP Hispanic/Latino, to note that this field will be blank when the value was blank on the LAP file since blank was added as a possible value to the LAP file.</t>
    </r>
  </si>
  <si>
    <r>
      <t xml:space="preserve">Total correct Science multiple choice items
Blank when Raw Score Total for Science is blank, or if Science was updated because of a score merge </t>
    </r>
    <r>
      <rPr>
        <strike/>
        <sz val="10"/>
        <color rgb="FFFF0000"/>
        <rFont val="Arial"/>
        <family val="2"/>
      </rPr>
      <t>or requested rescore</t>
    </r>
    <r>
      <rPr>
        <sz val="10"/>
        <rFont val="Arial"/>
        <family val="2"/>
      </rPr>
      <t>.</t>
    </r>
  </si>
  <si>
    <r>
      <t>Total correct Science constructed-response items (includes short answer items and essay)
Blank when Raw Score Total for Science is blank, or if Science was updated because of a score merge</t>
    </r>
    <r>
      <rPr>
        <strike/>
        <sz val="10"/>
        <color rgb="FFFF0000"/>
        <rFont val="Arial"/>
        <family val="2"/>
      </rPr>
      <t xml:space="preserve"> or requested rescore</t>
    </r>
    <r>
      <rPr>
        <sz val="10"/>
        <rFont val="Arial"/>
        <family val="2"/>
      </rPr>
      <t>.</t>
    </r>
  </si>
  <si>
    <r>
      <t>Total correct Social Studies multiple choice items
Blank when Raw Score Total for Social Studies is blank, or if Social Studies was updated because of a score merge</t>
    </r>
    <r>
      <rPr>
        <strike/>
        <sz val="10"/>
        <color rgb="FFFF0000"/>
        <rFont val="Arial"/>
        <family val="2"/>
      </rPr>
      <t xml:space="preserve"> or requested rescore</t>
    </r>
    <r>
      <rPr>
        <sz val="10"/>
        <rFont val="Arial"/>
        <family val="2"/>
      </rPr>
      <t>.</t>
    </r>
  </si>
  <si>
    <r>
      <t xml:space="preserve">Total correct Social Studies constructed-response items (includes short answer items and essay)
Blank when Raw Score Total for Social Studies is blank, or if Social Studies was updated because of a score merge </t>
    </r>
    <r>
      <rPr>
        <strike/>
        <sz val="10"/>
        <color rgb="FFFF0000"/>
        <rFont val="Arial"/>
        <family val="2"/>
      </rPr>
      <t>or requested rescore</t>
    </r>
    <r>
      <rPr>
        <sz val="10"/>
        <rFont val="Arial"/>
        <family val="2"/>
      </rPr>
      <t>.</t>
    </r>
  </si>
  <si>
    <r>
      <t>Within each subject, indicates whether a student attempted any MC or CR type items on the test.
Blank if the subject was updated because of a score merge</t>
    </r>
    <r>
      <rPr>
        <strike/>
        <sz val="10"/>
        <color rgb="FFFF0000"/>
        <rFont val="Arial"/>
        <family val="2"/>
      </rPr>
      <t xml:space="preserve"> or requested rescore</t>
    </r>
    <r>
      <rPr>
        <sz val="10"/>
        <rFont val="Arial"/>
        <family val="2"/>
      </rPr>
      <t xml:space="preserve">.
</t>
    </r>
    <r>
      <rPr>
        <strike/>
        <sz val="10"/>
        <color rgb="FFFF0000"/>
        <rFont val="Arial"/>
        <family val="2"/>
      </rPr>
      <t xml:space="preserve">
External Anchor Items are not included when determining the MC / CR Taken flags for ELA for LEAP. </t>
    </r>
  </si>
  <si>
    <r>
      <rPr>
        <b/>
        <sz val="10"/>
        <rFont val="Arial"/>
        <family val="2"/>
      </rPr>
      <t xml:space="preserve">(Spring 2015) (Logic change) </t>
    </r>
    <r>
      <rPr>
        <sz val="10"/>
        <rFont val="Arial"/>
        <family val="2"/>
      </rPr>
      <t>Struck through the "R" in the Field Use column for all fields. Updated the key in the footer to remove "R = Rescore" since there will be no rescores for LEAP 2015. Also updated any business rules that referenced rescores.</t>
    </r>
  </si>
  <si>
    <r>
      <t xml:space="preserve">(Spring 2015) </t>
    </r>
    <r>
      <rPr>
        <sz val="10"/>
        <rFont val="Arial"/>
        <family val="2"/>
      </rPr>
      <t>Struck through the "M" in the field use column in pos. 2250-2253 Science and Social Studies Summarized Accountability Codes since these fields will not be updated in the manual merge process.</t>
    </r>
  </si>
  <si>
    <r>
      <rPr>
        <strike/>
        <sz val="10"/>
        <color rgb="FFFF0000"/>
        <rFont val="Arial"/>
        <family val="2"/>
      </rPr>
      <t>External Anchor Items will be included in the Item Responses for ELA for LEAP.</t>
    </r>
    <r>
      <rPr>
        <sz val="10"/>
        <rFont val="Arial"/>
        <family val="2"/>
      </rPr>
      <t xml:space="preserve">
"0.0" when the CR item was attempted and no points were received.
Refer to the </t>
    </r>
    <r>
      <rPr>
        <b/>
        <u/>
        <sz val="10"/>
        <rFont val="Arial"/>
        <family val="2"/>
      </rPr>
      <t>Automatic Points Given</t>
    </r>
    <r>
      <rPr>
        <sz val="10"/>
        <rFont val="Arial"/>
        <family val="2"/>
      </rPr>
      <t xml:space="preserve"> section of the Processing Rules – Scoring document for rules on populating these values.
</t>
    </r>
    <r>
      <rPr>
        <strike/>
        <sz val="10"/>
        <color rgb="FFFF0000"/>
        <rFont val="Arial"/>
        <family val="2"/>
      </rPr>
      <t xml:space="preserve">
For English Language Arts, multiple choice and constructed response string, only 45 bytes used.  Item 1 will always be a dash.  The Writing score is located in the Total Score for Writing field.
For Mathematics, multiple choice and constructed response string, only 64 bytes used.
</t>
    </r>
    <r>
      <rPr>
        <sz val="10"/>
        <rFont val="Arial"/>
        <family val="2"/>
      </rPr>
      <t xml:space="preserve">
For Science, multiple choice and constructed response string, only 48 bytes used.
For Social Studies, multiple choice and constructed response string, only 64 bytes used.
When a subject is updated because of a score merge </t>
    </r>
    <r>
      <rPr>
        <strike/>
        <sz val="10"/>
        <color rgb="FFFF0000"/>
        <rFont val="Arial"/>
        <family val="2"/>
      </rPr>
      <t>or requested rescore</t>
    </r>
    <r>
      <rPr>
        <sz val="10"/>
        <rFont val="Arial"/>
        <family val="2"/>
      </rPr>
      <t>, the item response string is changed to blank.</t>
    </r>
  </si>
  <si>
    <r>
      <t xml:space="preserve">First character ("P" or "L"), followed by the last 8 digits of the number.
"P" when the answer document is precoded, or when a hand-coded answer document matches by 4 demographics to a precode record.
"L" when a hand-coded answer document does not match to a precode record by 4 demographics.  </t>
    </r>
    <r>
      <rPr>
        <strike/>
        <sz val="10"/>
        <color rgb="FFFF0000"/>
        <rFont val="Arial"/>
        <family val="2"/>
      </rPr>
      <t>The first non-blank answer document (Doc1-&gt;Doc2-&gt;Doc3) will have the documents Barcode/Student Precode Number populated.</t>
    </r>
  </si>
  <si>
    <r>
      <rPr>
        <strike/>
        <sz val="10"/>
        <color rgb="FFFF0000"/>
        <rFont val="Arial"/>
        <family val="2"/>
      </rPr>
      <t>Document 1 = Phase 1 ELA/Math answer document in LEAP spring, and ELA answer 
                             document in a retest.
Document 2 = Math answer document in a retest.</t>
    </r>
    <r>
      <rPr>
        <sz val="10"/>
        <rFont val="Arial"/>
        <family val="2"/>
      </rPr>
      <t xml:space="preserve">
Document 3 = </t>
    </r>
    <r>
      <rPr>
        <strike/>
        <sz val="10"/>
        <color rgb="FFFF0000"/>
        <rFont val="Arial"/>
        <family val="2"/>
      </rPr>
      <t>Phase 2 ELA/Math/</t>
    </r>
    <r>
      <rPr>
        <sz val="10"/>
        <rFont val="Arial"/>
        <family val="2"/>
      </rPr>
      <t>SCI/SOC answer document in LEAP spring</t>
    </r>
    <r>
      <rPr>
        <strike/>
        <sz val="10"/>
        <color rgb="FFFF0000"/>
        <rFont val="Arial"/>
        <family val="2"/>
      </rPr>
      <t xml:space="preserve">, and 
</t>
    </r>
    <r>
      <rPr>
        <sz val="10"/>
        <color rgb="FFFF0000"/>
        <rFont val="Arial"/>
        <family val="2"/>
      </rPr>
      <t xml:space="preserve">                              </t>
    </r>
    <r>
      <rPr>
        <strike/>
        <sz val="10"/>
        <color rgb="FFFF0000"/>
        <rFont val="Arial"/>
        <family val="2"/>
      </rPr>
      <t>GEE SCI/SOC answer document in a retest</t>
    </r>
    <r>
      <rPr>
        <sz val="10"/>
        <rFont val="Arial"/>
        <family val="2"/>
      </rPr>
      <t xml:space="preserve">.
Refer to the </t>
    </r>
    <r>
      <rPr>
        <b/>
        <u/>
        <sz val="10"/>
        <rFont val="Arial"/>
        <family val="2"/>
      </rPr>
      <t>Rules to Determine Demographic Values</t>
    </r>
    <r>
      <rPr>
        <sz val="10"/>
        <rFont val="Arial"/>
        <family val="2"/>
      </rPr>
      <t xml:space="preserve"> section of the Processing Rules - Scoring document for logic to determine this value based on values from the LAP file and the answer document.</t>
    </r>
  </si>
  <si>
    <r>
      <t xml:space="preserve">District and School where student was tested for this subject.
Refer to the </t>
    </r>
    <r>
      <rPr>
        <b/>
        <u/>
        <sz val="10"/>
        <rFont val="Arial"/>
        <family val="2"/>
      </rPr>
      <t>Capturing Site Codes</t>
    </r>
    <r>
      <rPr>
        <sz val="10"/>
        <rFont val="Arial"/>
        <family val="2"/>
      </rPr>
      <t xml:space="preserve"> section of the Processing Rules - Scoring document for logic to determine the Document Site-Code value.
</t>
    </r>
    <r>
      <rPr>
        <strike/>
        <sz val="10"/>
        <color rgb="FFFF0000"/>
        <rFont val="Arial"/>
        <family val="2"/>
      </rPr>
      <t>Document 1 = Phase 1 ELA/Math answer document in LEAP spring, and ELA answer 
                             document in a retest.
Document 2 = Math answer document in a retest.</t>
    </r>
    <r>
      <rPr>
        <sz val="10"/>
        <rFont val="Arial"/>
        <family val="2"/>
      </rPr>
      <t xml:space="preserve">
Document 3 = </t>
    </r>
    <r>
      <rPr>
        <strike/>
        <sz val="10"/>
        <color rgb="FFFF0000"/>
        <rFont val="Arial"/>
        <family val="2"/>
      </rPr>
      <t>Phase 2 ELA/Math/</t>
    </r>
    <r>
      <rPr>
        <sz val="10"/>
        <rFont val="Arial"/>
        <family val="2"/>
      </rPr>
      <t>SCI/SOC answer document in LEAP spring</t>
    </r>
    <r>
      <rPr>
        <strike/>
        <sz val="10"/>
        <color rgb="FFFF0000"/>
        <rFont val="Arial"/>
        <family val="2"/>
      </rPr>
      <t xml:space="preserve">, and 
</t>
    </r>
    <r>
      <rPr>
        <sz val="10"/>
        <color rgb="FFFF0000"/>
        <rFont val="Arial"/>
        <family val="2"/>
      </rPr>
      <t xml:space="preserve">                              </t>
    </r>
    <r>
      <rPr>
        <strike/>
        <sz val="10"/>
        <color rgb="FFFF0000"/>
        <rFont val="Arial"/>
        <family val="2"/>
      </rPr>
      <t>GEE SCI/SOC answer document in a retest</t>
    </r>
    <r>
      <rPr>
        <sz val="10"/>
        <rFont val="Arial"/>
        <family val="2"/>
      </rPr>
      <t>.</t>
    </r>
  </si>
  <si>
    <r>
      <t>For 'Item Responses' strings, each item uses three characters of space.
If the item is multiple choice, the first character of the three is populated with the student's response with the remaining two positions as filler.  
1-4
A
B
C
D
- = No response (document returned)
* = Multiple Response
Blank = document not returned or subject 
       was updated for score merge</t>
    </r>
    <r>
      <rPr>
        <strike/>
        <sz val="10"/>
        <color rgb="FFFF0000"/>
        <rFont val="Arial"/>
        <family val="2"/>
      </rPr>
      <t>/was 
       rescored</t>
    </r>
    <r>
      <rPr>
        <sz val="10"/>
        <rFont val="Arial"/>
        <family val="2"/>
      </rPr>
      <t xml:space="preserve">
If the item is constructed response, all three characters are used and the student's score for the constructed response item is represented as a decimal to the tenths:
0.0, 0.5, 1.0, 1.5, 2.0, 2.5, 3.0, 3.5, 4.0
B = subject within the document was sent to 
        Performance Assessment group and 
        there was no attempt for the CR item
- = No response (document returned and 
      was not sent to Performance 
      Assessment group)
Blank = document not returned or subject 
       was updated for score merge</t>
    </r>
    <r>
      <rPr>
        <strike/>
        <sz val="10"/>
        <color rgb="FFFF0000"/>
        <rFont val="Arial"/>
        <family val="2"/>
      </rPr>
      <t xml:space="preserve">/was 
</t>
    </r>
    <r>
      <rPr>
        <sz val="10"/>
        <color rgb="FFFF0000"/>
        <rFont val="Arial"/>
        <family val="2"/>
      </rPr>
      <t xml:space="preserve">      </t>
    </r>
    <r>
      <rPr>
        <strike/>
        <sz val="10"/>
        <color rgb="FFFF0000"/>
        <rFont val="Arial"/>
        <family val="2"/>
      </rPr>
      <t xml:space="preserve"> rescored</t>
    </r>
  </si>
  <si>
    <t>Summary of District Void and Plagiarism flags in each subject. If any of these 2 flags are "Y" in a subject, then the Summarized flag will be "Y" for that subject.</t>
  </si>
  <si>
    <r>
      <t xml:space="preserve">N = No Document Returned For 
      Precoded Record
</t>
    </r>
    <r>
      <rPr>
        <strike/>
        <sz val="10"/>
        <color rgb="FFFF0000"/>
        <rFont val="Arial"/>
        <family val="2"/>
      </rPr>
      <t>X = No Document Returned For Manual 
      Record</t>
    </r>
    <r>
      <rPr>
        <sz val="10"/>
        <rFont val="Arial"/>
        <family val="2"/>
      </rPr>
      <t xml:space="preserve">
M = Manually Coded Document 
       Returned
P = Precoded Document Returned 
O = Manually Coded Document 
       matched back to Precode Record.</t>
    </r>
  </si>
  <si>
    <r>
      <t xml:space="preserve">Indicates whether a document was returned and whether it was manually completed for demographics or precoded with student label.
</t>
    </r>
    <r>
      <rPr>
        <strike/>
        <sz val="10"/>
        <color rgb="FFFF0000"/>
        <rFont val="Arial"/>
        <family val="2"/>
      </rPr>
      <t xml:space="preserve">Document 1 = Phase 1 ELA/Math answer document in LEAP spring, and ELA answer 
</t>
    </r>
    <r>
      <rPr>
        <sz val="10"/>
        <color rgb="FFFF0000"/>
        <rFont val="Arial"/>
        <family val="2"/>
      </rPr>
      <t xml:space="preserve">                           </t>
    </r>
    <r>
      <rPr>
        <strike/>
        <sz val="10"/>
        <color rgb="FFFF0000"/>
        <rFont val="Arial"/>
        <family val="2"/>
      </rPr>
      <t xml:space="preserve">  document in a retest.
Document 2 = Math answer document in a retest.</t>
    </r>
    <r>
      <rPr>
        <sz val="10"/>
        <rFont val="Arial"/>
        <family val="2"/>
      </rPr>
      <t xml:space="preserve">
Document 3 = Phase 2 ELA/Math/SCI/SOC answer document in LEAP spring</t>
    </r>
    <r>
      <rPr>
        <strike/>
        <sz val="10"/>
        <color rgb="FFFF0000"/>
        <rFont val="Arial"/>
        <family val="2"/>
      </rPr>
      <t xml:space="preserve">, and 
</t>
    </r>
    <r>
      <rPr>
        <sz val="10"/>
        <color rgb="FFFF0000"/>
        <rFont val="Arial"/>
        <family val="2"/>
      </rPr>
      <t xml:space="preserve">                             </t>
    </r>
    <r>
      <rPr>
        <strike/>
        <sz val="10"/>
        <color rgb="FFFF0000"/>
        <rFont val="Arial"/>
        <family val="2"/>
      </rPr>
      <t>GEE SCI/SOC answer document in a retest</t>
    </r>
    <r>
      <rPr>
        <sz val="10"/>
        <rFont val="Arial"/>
        <family val="2"/>
      </rPr>
      <t>.</t>
    </r>
  </si>
  <si>
    <r>
      <rPr>
        <b/>
        <sz val="10"/>
        <rFont val="Arial"/>
        <family val="2"/>
      </rPr>
      <t>(Spring 2015) (Logic change) P</t>
    </r>
    <r>
      <rPr>
        <sz val="10"/>
        <rFont val="Arial"/>
        <family val="2"/>
      </rPr>
      <t>os. 137-138, Precoded ELA and Precoded Math were udpated to FILLER since these subjects will not be assessed in 2015.</t>
    </r>
  </si>
  <si>
    <r>
      <rPr>
        <b/>
        <sz val="10"/>
        <rFont val="Arial"/>
        <family val="2"/>
      </rPr>
      <t xml:space="preserve">(Spring 2015) (Logic change) </t>
    </r>
    <r>
      <rPr>
        <sz val="10"/>
        <rFont val="Arial"/>
        <family val="2"/>
      </rPr>
      <t xml:space="preserve">Updated pos. 157, Bubbled Previously Attempted Tests Doucment 1 (ELA/Math), pos. 159, Bubbled Previously Attempted Tests Document 3 (ELA/Math), pos. 160, bubled Attended Remediation - Document 1 (ELA), and pos. 161, Bubbled Attended Remediation - Document 2 (Math) to FILLER. FILLER fields in pos. 156-162 were combined into one field. </t>
    </r>
  </si>
  <si>
    <r>
      <rPr>
        <b/>
        <sz val="10"/>
        <rFont val="Arial"/>
        <family val="2"/>
      </rPr>
      <t xml:space="preserve">(Spring 2015) (Logic change) </t>
    </r>
    <r>
      <rPr>
        <sz val="10"/>
        <rFont val="Arial"/>
        <family val="2"/>
      </rPr>
      <t>Updated pos. 172, LEAP Promotional Status, pos. 173, LEAP Remediation Eligibility, and pos. 174, LEAP Summer Test Eligibility to FILLER since these fields will not apply in 2015.</t>
    </r>
  </si>
  <si>
    <r>
      <rPr>
        <b/>
        <sz val="10"/>
        <rFont val="Arial"/>
        <family val="2"/>
      </rPr>
      <t xml:space="preserve">(Spring 2015) (Logic change) </t>
    </r>
    <r>
      <rPr>
        <sz val="10"/>
        <rFont val="Arial"/>
        <family val="2"/>
      </rPr>
      <t xml:space="preserve">The Document 1 and Document 2 Demographic Information was updated to FILLER since only document 3 will be used in 2015. The following fields were updated and combined into 1 FILLER field (pos. 185-430).
</t>
    </r>
    <r>
      <rPr>
        <b/>
        <sz val="10"/>
        <rFont val="Arial"/>
        <family val="2"/>
      </rPr>
      <t>Document 1:</t>
    </r>
    <r>
      <rPr>
        <sz val="10"/>
        <rFont val="Arial"/>
        <family val="2"/>
      </rPr>
      <t xml:space="preserve"> Security Barcode (188-195), Bubbled Migrant Status (196), Bubbled Lunch Status (197), BUbbled Education Classification (198), Summarized Special Education Exceptionality Category (199-200), Bubbled Gender (201), Bubbled Calculator Use (203) Bubbled Ethnicity Race fields (204-209), Bubbled McKinney Vento Act (Homeless) (210), Bubbled Special Education Test Accommodations fields (222-232), Bubbled LEP Status (239), Bubbled LEP Test Accommodation fields (240-245), Bubbled Section 504 Status (251), Bubbled Section 504 Test Accommodation fields (252-262), Bubbled Optional Local Use (273-282), Bubbled Accountability Code (283-284), Bubbled Subjects for LEAP tutoring (291)
</t>
    </r>
    <r>
      <rPr>
        <b/>
        <sz val="10"/>
        <rFont val="Arial"/>
        <family val="2"/>
      </rPr>
      <t xml:space="preserve">Document 2:  </t>
    </r>
    <r>
      <rPr>
        <sz val="10"/>
        <rFont val="Arial"/>
        <family val="2"/>
      </rPr>
      <t>Security Barcode (302-309), Bubbled Migrant Status (325), Bubbled Lunch Status (326), Bubbled Education Classification (327), Summarized Special Education Exceptionality Category (328-329), Bubbled Gender (330), Bubbled Calculator Use (332) Bubbled Ethnicity Race fields (333-338), Bubbled McKinney Vento Act (Homeless) (339), Bubbled Special Education Test Accommodations fields (351-361), Bubbled LEP Status (368), Bubbled LEP Test Accommodation fields (369-374), Bubbled Section 504 Status (380), Bubbled Section 504 Test Accommodation fields (381-391), Bubbled Optional Local Use (402-411)</t>
    </r>
  </si>
  <si>
    <r>
      <t xml:space="preserve">(Spring 2015) (Logic change) </t>
    </r>
    <r>
      <rPr>
        <sz val="10"/>
        <rFont val="Arial"/>
        <family val="2"/>
      </rPr>
      <t>Updated the ELA Item Response (692-886) and Math Item Response (912-1106) to FILLER since these subjects will not be assessed. All consecutive FILLER fields were updated to be one field (541-1131).</t>
    </r>
  </si>
  <si>
    <r>
      <rPr>
        <b/>
        <sz val="10"/>
        <rFont val="Arial"/>
        <family val="2"/>
      </rPr>
      <t xml:space="preserve">(Spring 2015) (Logic change) </t>
    </r>
    <r>
      <rPr>
        <sz val="10"/>
        <rFont val="Arial"/>
        <family val="2"/>
      </rPr>
      <t xml:space="preserve">The ELA and Math Scoring Information fields were updated to FILLER. The following fields were combined into 1 FILLER field (1559-1813).
</t>
    </r>
    <r>
      <rPr>
        <b/>
        <sz val="10"/>
        <rFont val="Arial"/>
        <family val="2"/>
      </rPr>
      <t xml:space="preserve">ELA: </t>
    </r>
    <r>
      <rPr>
        <sz val="10"/>
        <rFont val="Arial"/>
        <family val="2"/>
      </rPr>
      <t xml:space="preserve">Raw Score Total (1572-1576), Scaled Score (1577-1579), Assessment Achievement Level (1580-1582), Content Standard/Test Session Raw Score fields (1583-1610), Subtest Raw Score fields (1615-1630), Raw Scores for Writing Dimensions fields (1639-1662), Total Score for Writing (1671-1675), Non Score Code for Writing (1676), Raw Score for Item Type fields (1677-1683), SEM High/Low (1685-1690), ELA Auto Rescore Flag (1691)
</t>
    </r>
    <r>
      <rPr>
        <b/>
        <sz val="10"/>
        <rFont val="Arial"/>
        <family val="2"/>
      </rPr>
      <t>Math:</t>
    </r>
    <r>
      <rPr>
        <sz val="10"/>
        <rFont val="Arial"/>
        <family val="2"/>
      </rPr>
      <t xml:space="preserve">  Raw Score Total (1693-1697), Scaled Score (1698-1700), Assessment Achievement Level (1701-1703), Content Standard/Domains Raw Score fields (1704-1735), Subtest Raw Score fields (1736-1743), SEM High/Low (1806-1811), Math Auto Rescore Flag (1812)</t>
    </r>
  </si>
  <si>
    <r>
      <rPr>
        <b/>
        <sz val="10"/>
        <rFont val="Arial"/>
        <family val="2"/>
      </rPr>
      <t xml:space="preserve">(Spring 2015) (Logic change) </t>
    </r>
    <r>
      <rPr>
        <sz val="10"/>
        <rFont val="Arial"/>
        <family val="2"/>
      </rPr>
      <t>Updated pos. 2056-2057, Summarized Test Taken - ELA and Summarized Test Taken - Math, to FILLER since these fields do not apply in 2015.</t>
    </r>
  </si>
  <si>
    <r>
      <rPr>
        <b/>
        <sz val="10"/>
        <rFont val="Arial"/>
        <family val="2"/>
      </rPr>
      <t xml:space="preserve">(Spring 2015) (Logic change) </t>
    </r>
    <r>
      <rPr>
        <sz val="10"/>
        <rFont val="Arial"/>
        <family val="2"/>
      </rPr>
      <t>Updated pos. 2060-2061, MC/CR Taken - ELA and MC/CR Taken - Math, to FILLER since these fields do not apply in 2015.</t>
    </r>
  </si>
  <si>
    <r>
      <rPr>
        <b/>
        <sz val="10"/>
        <rFont val="Arial"/>
        <family val="2"/>
      </rPr>
      <t xml:space="preserve">(Spring 2015) (Logic change) </t>
    </r>
    <r>
      <rPr>
        <sz val="10"/>
        <rFont val="Arial"/>
        <family val="2"/>
      </rPr>
      <t>Updated  the Phase 1 and Phase 2 ELA, Math, Science, and Social Studies Test Taken fields (2064 -2071) to FILLER since there will only be one phase in 2015.</t>
    </r>
  </si>
  <si>
    <r>
      <rPr>
        <b/>
        <sz val="10"/>
        <rFont val="Arial"/>
        <family val="2"/>
      </rPr>
      <t xml:space="preserve">(Spring 2015) (Logic change) </t>
    </r>
    <r>
      <rPr>
        <sz val="10"/>
        <rFont val="Arial"/>
        <family val="2"/>
      </rPr>
      <t>Updated pos. 2074-2075, Summarized Void Flag - ELA and Summarized Void Flag - Math, to FILLER since these fields do not apply in 2015.</t>
    </r>
  </si>
  <si>
    <r>
      <rPr>
        <b/>
        <sz val="10"/>
        <rFont val="Arial"/>
        <family val="2"/>
      </rPr>
      <t xml:space="preserve">(Spring 2015) (Logic change) </t>
    </r>
    <r>
      <rPr>
        <sz val="10"/>
        <rFont val="Arial"/>
        <family val="2"/>
      </rPr>
      <t>Updated pos. 2079-2080, District Void Flag - ELA and District Void Flag - Math, to FILLER since these fields do not apply in 2015.</t>
    </r>
  </si>
  <si>
    <r>
      <rPr>
        <b/>
        <sz val="10"/>
        <rFont val="Arial"/>
        <family val="2"/>
      </rPr>
      <t xml:space="preserve">(Spring 2015) (Logic change) </t>
    </r>
    <r>
      <rPr>
        <sz val="10"/>
        <rFont val="Arial"/>
        <family val="2"/>
      </rPr>
      <t>Updated pos. 2083-2084, Plagiarism Void Flag - ELA and Plagiarism Void Flag - Math, to FILLER since these fields do not apply in 2015.</t>
    </r>
  </si>
  <si>
    <r>
      <rPr>
        <b/>
        <sz val="10"/>
        <rFont val="Arial"/>
        <family val="2"/>
      </rPr>
      <t xml:space="preserve">(Spring 2015) (Logic change) </t>
    </r>
    <r>
      <rPr>
        <sz val="10"/>
        <rFont val="Arial"/>
        <family val="2"/>
      </rPr>
      <t>Updated pos. 2092-2093, Include in N-counts - ELA and Include in N-counts - Math, to FILLER since these fields do not apply in 2015.</t>
    </r>
  </si>
  <si>
    <r>
      <rPr>
        <b/>
        <sz val="10"/>
        <rFont val="Arial"/>
        <family val="2"/>
      </rPr>
      <t xml:space="preserve">(Spring 2015) (Logic change) </t>
    </r>
    <r>
      <rPr>
        <sz val="10"/>
        <rFont val="Arial"/>
        <family val="2"/>
      </rPr>
      <t>Updated pos. 2096-2097, Handscoring Complete Flag - ELA and Handscoring Complete Flag - Math, to FILLER since these fields do not apply in 2015.</t>
    </r>
  </si>
  <si>
    <r>
      <rPr>
        <b/>
        <sz val="10"/>
        <rFont val="Arial"/>
        <family val="2"/>
      </rPr>
      <t xml:space="preserve">(Spring 2015) (Logic change) </t>
    </r>
    <r>
      <rPr>
        <sz val="10"/>
        <rFont val="Arial"/>
        <family val="2"/>
      </rPr>
      <t>Updated pos. 2100-2101, Summarized Education Classification - Document 1 and Summarized Education Classification - Document 2 to FILLER since only document 3 will be used in 2015.</t>
    </r>
  </si>
  <si>
    <r>
      <rPr>
        <b/>
        <sz val="10"/>
        <rFont val="Arial"/>
        <family val="2"/>
      </rPr>
      <t xml:space="preserve">(Spring 2015) (Logic change) </t>
    </r>
    <r>
      <rPr>
        <sz val="10"/>
        <rFont val="Arial"/>
        <family val="2"/>
      </rPr>
      <t>Updated pos. 2110-2111, Summarized LEP Status - Document 1 and Summarized LEP Status - Document 2 to FILLER since only document 3 will be used in 2015.</t>
    </r>
  </si>
  <si>
    <r>
      <rPr>
        <b/>
        <sz val="10"/>
        <rFont val="Arial"/>
        <family val="2"/>
      </rPr>
      <t xml:space="preserve">(Spring 2015) (Logic change) </t>
    </r>
    <r>
      <rPr>
        <sz val="10"/>
        <rFont val="Arial"/>
        <family val="2"/>
      </rPr>
      <t>Updated pos. 2121-2122, Summarized Section 504 Status - Document 1 and Summarized Section 504 Status - Document 2 to FILLER since only document 3 will be used in 2015.</t>
    </r>
  </si>
  <si>
    <r>
      <t xml:space="preserve">(Spring 2015) (Logic change) </t>
    </r>
    <r>
      <rPr>
        <sz val="10"/>
        <rFont val="Arial"/>
        <family val="2"/>
      </rPr>
      <t xml:space="preserve">The Document 1 and Document 2 Scan Information was updated to FILLER since only document 3 will be used in 2015. The following fields were combined into 1 FILLER field (2137-2186).
</t>
    </r>
    <r>
      <rPr>
        <b/>
        <sz val="10"/>
        <rFont val="Arial"/>
        <family val="2"/>
      </rPr>
      <t xml:space="preserve">Document 1: </t>
    </r>
    <r>
      <rPr>
        <sz val="10"/>
        <rFont val="Arial"/>
        <family val="2"/>
      </rPr>
      <t xml:space="preserve">Batch Number (2137-2144), Serial Number (2145-2150), and Lithocode (2152-2158)
</t>
    </r>
    <r>
      <rPr>
        <b/>
        <sz val="10"/>
        <rFont val="Arial"/>
        <family val="2"/>
      </rPr>
      <t xml:space="preserve">Document 2: </t>
    </r>
    <r>
      <rPr>
        <sz val="10"/>
        <rFont val="Arial"/>
        <family val="2"/>
      </rPr>
      <t>Batch Number (2162-2169), Serial Number (2170-2175), and Lithocode (2177-2183)</t>
    </r>
  </si>
  <si>
    <r>
      <t xml:space="preserve">(Spring 2015) (Logic change) </t>
    </r>
    <r>
      <rPr>
        <sz val="10"/>
        <rFont val="Arial"/>
        <family val="2"/>
      </rPr>
      <t>Updated the Summarized Accountability Code from Spring fields for ELA, Math, Science, and Social Studies (2230-2237) to FILLER.</t>
    </r>
  </si>
  <si>
    <r>
      <t xml:space="preserve">(Spring 2015) (Logic change) </t>
    </r>
    <r>
      <rPr>
        <sz val="10"/>
        <rFont val="Arial"/>
        <family val="2"/>
      </rPr>
      <t>Updated the Updated Accountability Code - Document 1 (2238-2239) and the Updated Accountability Code - Document 2 (2240-2241) to FILLER.</t>
    </r>
  </si>
  <si>
    <r>
      <t xml:space="preserve">(Spring 2015) (Logic change) </t>
    </r>
    <r>
      <rPr>
        <sz val="10"/>
        <rFont val="Arial"/>
        <family val="2"/>
      </rPr>
      <t>Updated the Accountability Achievement Level - ELA (2255-2257) and the Accountability Achievement Level - Math (2258-2260) to FILLER.</t>
    </r>
  </si>
  <si>
    <r>
      <rPr>
        <b/>
        <sz val="10"/>
        <rFont val="Arial"/>
        <family val="2"/>
      </rPr>
      <t xml:space="preserve">(Spring 2015) (Logic change) </t>
    </r>
    <r>
      <rPr>
        <sz val="10"/>
        <rFont val="Arial"/>
        <family val="2"/>
      </rPr>
      <t xml:space="preserve">Updated Document Type Returned - Document 1 (2267) and Document Type Returned - Document 2 (2268) to FILLER. </t>
    </r>
  </si>
  <si>
    <r>
      <rPr>
        <b/>
        <sz val="10"/>
        <rFont val="Arial"/>
        <family val="2"/>
      </rPr>
      <t xml:space="preserve">(Spring 2015) (Logic change) </t>
    </r>
    <r>
      <rPr>
        <sz val="10"/>
        <rFont val="Arial"/>
        <family val="2"/>
      </rPr>
      <t>Struck through "X" as a possible value in pos. 2269, Document Type Returned - Document 3. Since only one document will be used this value is not possible.</t>
    </r>
  </si>
  <si>
    <r>
      <rPr>
        <b/>
        <sz val="10"/>
        <rFont val="Arial"/>
        <family val="2"/>
      </rPr>
      <t xml:space="preserve">(Spring 2015) (Logic change) </t>
    </r>
    <r>
      <rPr>
        <sz val="10"/>
        <rFont val="Arial"/>
        <family val="2"/>
      </rPr>
      <t xml:space="preserve">The ELA and Math Testing History was updated FILLER since they will not be assessed. The following fields were combined into 1 FILLER field (2288-2331).
</t>
    </r>
    <r>
      <rPr>
        <b/>
        <sz val="10"/>
        <rFont val="Arial"/>
        <family val="2"/>
      </rPr>
      <t xml:space="preserve">ELA: </t>
    </r>
    <r>
      <rPr>
        <sz val="10"/>
        <rFont val="Arial"/>
        <family val="2"/>
      </rPr>
      <t xml:space="preserve">Highest Previous ELA Scaled Score (2300-2302), Highest Previous ELA Assessment Achievement Level (2303-2305), Highest Previous ELA Administration (2306-2315)
</t>
    </r>
    <r>
      <rPr>
        <b/>
        <sz val="10"/>
        <rFont val="Arial"/>
        <family val="2"/>
      </rPr>
      <t xml:space="preserve">Math: </t>
    </r>
    <r>
      <rPr>
        <sz val="10"/>
        <rFont val="Arial"/>
        <family val="2"/>
      </rPr>
      <t>Highest Previous Math Scaled Score (2316-2318), Highest Previous Math Assessment Achievement Level (2319-2321), Highest Previous Math Administration (2322-2331)</t>
    </r>
  </si>
  <si>
    <r>
      <rPr>
        <b/>
        <sz val="10"/>
        <rFont val="Arial"/>
        <family val="2"/>
      </rPr>
      <t xml:space="preserve">(Spring 2015) (Logic change) </t>
    </r>
    <r>
      <rPr>
        <sz val="10"/>
        <rFont val="Arial"/>
        <family val="2"/>
      </rPr>
      <t>The SSpring Test Scores fields were all updated to FILLER. This includes the Spring Scaled Score - &lt;Subject&gt; fields (pos. 2364-2366, 2370-2372, 2376-2378, 2382-2384) and the Spring Assessment Achievement Level - &lt;Subject&gt; fields (pos. 2367-2369, 2373-2375, 2379-2381, 2385-2387).</t>
    </r>
  </si>
  <si>
    <t>Updated Previously Taken Subject - ELA (2392) and Previously Taken Subject - Math (2393) to FILLER.</t>
  </si>
  <si>
    <r>
      <rPr>
        <b/>
        <sz val="10"/>
        <rFont val="Arial"/>
        <family val="2"/>
      </rPr>
      <t xml:space="preserve">(Spring 2015) (Logic change) </t>
    </r>
    <r>
      <rPr>
        <sz val="10"/>
        <rFont val="Arial"/>
        <family val="2"/>
      </rPr>
      <t>The Document 1 Bubbled Special Education Exceptionality fields (2473-2489) and the Document 2 Bubbled Special Education Exceptionality fields (2501-2517) were updated to FILLER since these documents are no longer used.</t>
    </r>
  </si>
  <si>
    <r>
      <rPr>
        <b/>
        <sz val="10"/>
        <rFont val="Arial"/>
        <family val="2"/>
      </rPr>
      <t xml:space="preserve">(Spring 2015) (Logic change) </t>
    </r>
    <r>
      <rPr>
        <sz val="10"/>
        <rFont val="Arial"/>
        <family val="2"/>
      </rPr>
      <t>Updated the Site code - Document 1 (2609-2614) and Site Code - Document 2 (2615-2620) to FILLER.</t>
    </r>
  </si>
  <si>
    <r>
      <rPr>
        <b/>
        <sz val="10"/>
        <rFont val="Arial"/>
        <family val="2"/>
      </rPr>
      <t xml:space="preserve">(Spring 2015) </t>
    </r>
    <r>
      <rPr>
        <sz val="10"/>
        <rFont val="Arial"/>
        <family val="2"/>
      </rPr>
      <t>Updated the blank rule for LAP Hispanic/Latino (2633) to note that this will be blank if the value was blank on the LAP file.</t>
    </r>
  </si>
  <si>
    <r>
      <t xml:space="preserve">(Spring 2015) (Logic change) </t>
    </r>
    <r>
      <rPr>
        <sz val="10"/>
        <rFont val="Arial"/>
        <family val="2"/>
      </rPr>
      <t>Updated the Summarized Ethnicity/Race - Document 1 (2639) and Summarized Ethnicity/Race - Document 2 (2640) to FILLER.</t>
    </r>
  </si>
  <si>
    <r>
      <t xml:space="preserve">(Spring 2015) (Logic change) </t>
    </r>
    <r>
      <rPr>
        <sz val="10"/>
        <rFont val="Arial"/>
        <family val="2"/>
      </rPr>
      <t>The following student level reporting flags were updated to FILLER because ELA and Math will not be assessed in 2015.
School Roster - ELA/Math (2749), Remediation Report - ELA/Math (2751), Student Report - ELA/Math (2753), Student Report (2757).</t>
    </r>
  </si>
  <si>
    <r>
      <rPr>
        <b/>
        <sz val="10"/>
        <rFont val="Arial"/>
        <family val="2"/>
      </rPr>
      <t xml:space="preserve">(Spring 2015) (Logic change) </t>
    </r>
    <r>
      <rPr>
        <sz val="10"/>
        <rFont val="Arial"/>
        <family val="2"/>
      </rPr>
      <t xml:space="preserve">Updated the ELA and Math Footnote Flags to FILLER since the subjects will not be assessed. The following fields were combined into 1 FILLER field.
</t>
    </r>
    <r>
      <rPr>
        <b/>
        <sz val="10"/>
        <rFont val="Arial"/>
        <family val="2"/>
      </rPr>
      <t xml:space="preserve">ELA: </t>
    </r>
    <r>
      <rPr>
        <sz val="10"/>
        <rFont val="Arial"/>
        <family val="2"/>
      </rPr>
      <t xml:space="preserve">Footnote Partial Score (2789), Footnote: Eligible for Appeal (2790), Footnote: Retaking Subject (2791), Footnote: Passed, Summer remediation is optional (2792), Footnote/Verbiage: Previoulsy Passed Subject (2793), Footnote: Test Security Violation (Void) (2794)
</t>
    </r>
    <r>
      <rPr>
        <b/>
        <sz val="10"/>
        <rFont val="Arial"/>
        <family val="2"/>
      </rPr>
      <t xml:space="preserve">Math: </t>
    </r>
    <r>
      <rPr>
        <sz val="10"/>
        <rFont val="Arial"/>
        <family val="2"/>
      </rPr>
      <t>Footnote Partial Score (2799), Footnote: Eligible for Appeal (2800), Footnote: Retaking Subject (2801), Footnote: Passed, Summer remediation is optional (2802), Footnote/Verbiage: Previoulsy Passed Subject (2803), Footnote: Test Security Violation (Void) (2804)</t>
    </r>
  </si>
  <si>
    <r>
      <t xml:space="preserve">(Spring 2015) (Logic change) </t>
    </r>
    <r>
      <rPr>
        <sz val="10"/>
        <rFont val="Arial"/>
        <family val="2"/>
      </rPr>
      <t>The Document 1 TA Number (2827-2829), TA Last Name (2830-2849) and TA First Name (2850-2869) and the Document 2  TA Number (2870-2872), TA Last Name (2873-2892), and TA First Name (2893-2912) were updated to FILLER.</t>
    </r>
  </si>
  <si>
    <r>
      <t xml:space="preserve">(Spring 2015) (Logic change) </t>
    </r>
    <r>
      <rPr>
        <sz val="10"/>
        <rFont val="Arial"/>
        <family val="2"/>
      </rPr>
      <t>The Summarized Subject for LEAP Tutoring (3103) and Summarized Previously Attempted Tests - ELA/Math (3104) were updated to FILLER since they only applied to ELA and Math.</t>
    </r>
  </si>
  <si>
    <r>
      <t xml:space="preserve">(Spring 2015) (Logic change) </t>
    </r>
    <r>
      <rPr>
        <sz val="10"/>
        <rFont val="Arial"/>
        <family val="2"/>
      </rPr>
      <t>The Summarized Special Education Exceptionality Category - ELA (3106) and Summarized Special Education Exceptionality Category - Math (3107) were updated to FILLER.</t>
    </r>
  </si>
  <si>
    <r>
      <t xml:space="preserve">(Spring 2015) (Logic change) </t>
    </r>
    <r>
      <rPr>
        <sz val="10"/>
        <rFont val="Arial"/>
        <family val="2"/>
      </rPr>
      <t xml:space="preserve">The ELA and Math Summarized Accommodations by Subject fields were updated to FILLER. The following fields were combined into 1 FILLER field (3114-3177).
</t>
    </r>
    <r>
      <rPr>
        <b/>
        <sz val="10"/>
        <rFont val="Arial"/>
        <family val="2"/>
      </rPr>
      <t xml:space="preserve">ELA: </t>
    </r>
    <r>
      <rPr>
        <sz val="10"/>
        <rFont val="Arial"/>
        <family val="2"/>
      </rPr>
      <t xml:space="preserve">Summarized Special Ed Test Accommodations (3122-3132), Summarized LEP Test Accommodations (3133-3138), Summarized Section 504 Test Accommodations (3139-3149)
</t>
    </r>
    <r>
      <rPr>
        <b/>
        <sz val="10"/>
        <rFont val="Arial"/>
        <family val="2"/>
      </rPr>
      <t xml:space="preserve">Math:  </t>
    </r>
    <r>
      <rPr>
        <sz val="10"/>
        <rFont val="Arial"/>
        <family val="2"/>
      </rPr>
      <t>Summarized Special Ed Test Accommodations (3150-3160), Summarized LEP Test Accommodations (3161-3166), Summarized Section 504 Test Accommodations (3167-3177)</t>
    </r>
  </si>
  <si>
    <t>G, O, S, F</t>
  </si>
  <si>
    <t>O, S, F</t>
  </si>
  <si>
    <t>G, O</t>
  </si>
  <si>
    <r>
      <t xml:space="preserve">03 = Spring
</t>
    </r>
    <r>
      <rPr>
        <strike/>
        <sz val="10"/>
        <color rgb="FFFF0000"/>
        <rFont val="Arial"/>
        <family val="2"/>
      </rPr>
      <t>07 = Summer Retest</t>
    </r>
    <r>
      <rPr>
        <sz val="10"/>
        <rFont val="Arial"/>
        <family val="2"/>
      </rPr>
      <t xml:space="preserve">
</t>
    </r>
    <r>
      <rPr>
        <strike/>
        <sz val="10"/>
        <color rgb="FFFF0000"/>
        <rFont val="Arial"/>
        <family val="2"/>
      </rPr>
      <t>10 = Fall Retest</t>
    </r>
  </si>
  <si>
    <r>
      <rPr>
        <sz val="10"/>
        <rFont val="Arial"/>
        <family val="2"/>
      </rPr>
      <t xml:space="preserve">Refer to the </t>
    </r>
    <r>
      <rPr>
        <b/>
        <u/>
        <sz val="10"/>
        <rFont val="Arial"/>
        <family val="2"/>
      </rPr>
      <t>Rules to Determine Demographic Values</t>
    </r>
    <r>
      <rPr>
        <sz val="10"/>
        <rFont val="Arial"/>
        <family val="2"/>
      </rPr>
      <t xml:space="preserve"> section of the Processing Rules - Scoring document for logic to determine this value based on the values from the LAP file and the answer document.</t>
    </r>
    <r>
      <rPr>
        <b/>
        <sz val="10"/>
        <rFont val="Arial"/>
        <family val="2"/>
      </rPr>
      <t xml:space="preserve">
LEAP Spring:</t>
    </r>
    <r>
      <rPr>
        <sz val="10"/>
        <rFont val="Arial"/>
        <family val="2"/>
      </rPr>
      <t xml:space="preserve"> Values 04 &amp; 08 are derived from type of booklet for a hand-coded document, or from LAP file for a preidentified document.
For students who tested in a grade that differs from their grade on the LAP file, the grade level of the document will be populated here.
</t>
    </r>
    <r>
      <rPr>
        <b/>
        <strike/>
        <sz val="10"/>
        <color rgb="FFFF0000"/>
        <rFont val="Arial"/>
        <family val="2"/>
      </rPr>
      <t xml:space="preserve">GEE Spring: </t>
    </r>
    <r>
      <rPr>
        <strike/>
        <sz val="10"/>
        <color rgb="FFFF0000"/>
        <rFont val="Arial"/>
        <family val="2"/>
      </rPr>
      <t>Values 10, 11, &amp; 12 come only from LAP file for a preidentified document. 
For students who tested in a grade that differs from their grade on the LAP file, the grade level of the document will be populated here.</t>
    </r>
    <r>
      <rPr>
        <sz val="10"/>
        <rFont val="Arial"/>
        <family val="2"/>
      </rPr>
      <t xml:space="preserve">
</t>
    </r>
    <r>
      <rPr>
        <b/>
        <strike/>
        <sz val="10"/>
        <color rgb="FFFF0000"/>
        <rFont val="Arial"/>
        <family val="2"/>
      </rPr>
      <t>Retest:</t>
    </r>
    <r>
      <rPr>
        <strike/>
        <sz val="10"/>
        <color rgb="FFFF0000"/>
        <rFont val="Arial"/>
        <family val="2"/>
      </rPr>
      <t xml:space="preserve"> Values 04 &amp; 08 are derived from type of booklet for a hand-coded document, or from the LAP file for a Summer preidentified document.
Values 10, 11, &amp; 12 come only from the LAP file for a Spring preidentified document.
For students who tested in a grade that differs from their grade on the LAP file, the grade level of the document will be populated here.</t>
    </r>
  </si>
  <si>
    <r>
      <rPr>
        <strike/>
        <sz val="10"/>
        <color rgb="FFFF0000"/>
        <rFont val="Arial"/>
        <family val="2"/>
      </rPr>
      <t>GEE Spring/</t>
    </r>
    <r>
      <rPr>
        <sz val="10"/>
        <rFont val="Arial"/>
        <family val="2"/>
      </rPr>
      <t xml:space="preserve">LEAP Spring = This is the value from the LAP file.
</t>
    </r>
    <r>
      <rPr>
        <strike/>
        <sz val="10"/>
        <color rgb="FFFF0000"/>
        <rFont val="Arial"/>
        <family val="2"/>
      </rPr>
      <t>Summer/Fall = This is the student-level summarized value from the previous admin.</t>
    </r>
    <r>
      <rPr>
        <sz val="10"/>
        <rFont val="Arial"/>
        <family val="2"/>
      </rPr>
      <t xml:space="preserve">
Blank when the record could not be matched back to the DRC precode file.</t>
    </r>
  </si>
  <si>
    <r>
      <rPr>
        <strike/>
        <sz val="10"/>
        <color rgb="FFFF0000"/>
        <rFont val="Arial"/>
        <family val="2"/>
      </rPr>
      <t>GEE Spring/LEAP Spring =</t>
    </r>
    <r>
      <rPr>
        <sz val="10"/>
        <rFont val="Arial"/>
        <family val="2"/>
      </rPr>
      <t xml:space="preserve"> This is the value from the LAP file.
</t>
    </r>
    <r>
      <rPr>
        <strike/>
        <sz val="10"/>
        <color rgb="FFFF0000"/>
        <rFont val="Arial"/>
        <family val="2"/>
      </rPr>
      <t>Summer/Fall = This is the student-level summarized value from the previous admin.</t>
    </r>
    <r>
      <rPr>
        <sz val="10"/>
        <rFont val="Arial"/>
        <family val="2"/>
      </rPr>
      <t xml:space="preserve">
Blank when the record could not be matched back to the DRC precode file.</t>
    </r>
  </si>
  <si>
    <r>
      <rPr>
        <strike/>
        <sz val="10"/>
        <color rgb="FFFF0000"/>
        <rFont val="Arial"/>
        <family val="2"/>
      </rPr>
      <t>GEE Spring/LEAP Spring =</t>
    </r>
    <r>
      <rPr>
        <sz val="10"/>
        <rFont val="Arial"/>
        <family val="2"/>
      </rPr>
      <t xml:space="preserve"> This is the value from the LAP file where if the LAP value is 1-5, set this field in the DRC Precode File to "Y".
</t>
    </r>
    <r>
      <rPr>
        <strike/>
        <sz val="10"/>
        <color rgb="FFFF0000"/>
        <rFont val="Arial"/>
        <family val="2"/>
      </rPr>
      <t>Summer/Fall = This is the student-level summarized value from the previous admin.</t>
    </r>
    <r>
      <rPr>
        <sz val="10"/>
        <rFont val="Arial"/>
        <family val="2"/>
      </rPr>
      <t xml:space="preserve">
Blank for a hand-coded document that could not be matched back to the LAP file.</t>
    </r>
  </si>
  <si>
    <r>
      <rPr>
        <strike/>
        <sz val="10"/>
        <color rgb="FFFF0000"/>
        <rFont val="Arial"/>
        <family val="2"/>
      </rPr>
      <t>Document 1 = Phase 1 ELA/Math answer document in LEAP spring, and ELA answer 
                             document in a retest.
Document 2 = Math answer document in a retest.</t>
    </r>
    <r>
      <rPr>
        <sz val="10"/>
        <rFont val="Arial"/>
        <family val="2"/>
      </rPr>
      <t xml:space="preserve">
Document 3 = Phase 2 ELA/Math/SCI/SOC answer document in LEAP spring</t>
    </r>
    <r>
      <rPr>
        <strike/>
        <sz val="10"/>
        <color rgb="FFFF0000"/>
        <rFont val="Arial"/>
        <family val="2"/>
      </rPr>
      <t>, and GEE SCI/SOC answer document in a retest.</t>
    </r>
    <r>
      <rPr>
        <sz val="10"/>
        <rFont val="Arial"/>
        <family val="2"/>
      </rPr>
      <t xml:space="preserve">
Refer to the </t>
    </r>
    <r>
      <rPr>
        <b/>
        <u/>
        <sz val="10"/>
        <rFont val="Arial"/>
        <family val="2"/>
      </rPr>
      <t>Rules to Determine Demographic Values</t>
    </r>
    <r>
      <rPr>
        <sz val="10"/>
        <rFont val="Arial"/>
        <family val="2"/>
      </rPr>
      <t xml:space="preserve"> section of the Processing Rules - Scoring document for logic to determine this value based on values from the LAP file and the answer document.</t>
    </r>
  </si>
  <si>
    <r>
      <rPr>
        <strike/>
        <sz val="10"/>
        <color rgb="FFFF0000"/>
        <rFont val="Arial"/>
        <family val="2"/>
      </rPr>
      <t>Document 1 = Phase 1 ELA/Math answer document in LEAP spring, and ELA answer 
                             document in a retest.
Document 2 = Math answer document in a retest.</t>
    </r>
    <r>
      <rPr>
        <sz val="10"/>
        <rFont val="Arial"/>
        <family val="2"/>
      </rPr>
      <t xml:space="preserve">
Document 3 = Phase 2 ELA/Math/SCI/SOC answer document in LEAP spring</t>
    </r>
    <r>
      <rPr>
        <strike/>
        <sz val="10"/>
        <color rgb="FFFF0000"/>
        <rFont val="Arial"/>
        <family val="2"/>
      </rPr>
      <t>, and GEE SCI/SOC answer document in a retest</t>
    </r>
    <r>
      <rPr>
        <sz val="10"/>
        <rFont val="Arial"/>
        <family val="2"/>
      </rPr>
      <t xml:space="preserve">.
Refer to the </t>
    </r>
    <r>
      <rPr>
        <b/>
        <u/>
        <sz val="10"/>
        <rFont val="Arial"/>
        <family val="2"/>
      </rPr>
      <t>Rules to Determine Demographic Values</t>
    </r>
    <r>
      <rPr>
        <sz val="10"/>
        <rFont val="Arial"/>
        <family val="2"/>
      </rPr>
      <t xml:space="preserve"> section of the Processing Rules - Scoring document for logic to determine this value based on values from the LAP file and the answer document.</t>
    </r>
  </si>
  <si>
    <r>
      <rPr>
        <strike/>
        <sz val="10"/>
        <color rgb="FFFF0000"/>
        <rFont val="Arial"/>
        <family val="2"/>
      </rPr>
      <t>P = Previously Passed</t>
    </r>
    <r>
      <rPr>
        <sz val="10"/>
        <rFont val="Arial"/>
        <family val="2"/>
      </rPr>
      <t xml:space="preserve">
I = Initial Tester
R = Retesting Grade 4 </t>
    </r>
    <r>
      <rPr>
        <sz val="10"/>
        <color rgb="FFFF0000"/>
        <rFont val="Arial"/>
        <family val="2"/>
      </rPr>
      <t>or</t>
    </r>
    <r>
      <rPr>
        <sz val="10"/>
        <rFont val="Arial"/>
        <family val="2"/>
      </rPr>
      <t xml:space="preserve"> 8</t>
    </r>
    <r>
      <rPr>
        <strike/>
        <sz val="10"/>
        <color rgb="FFFF0000"/>
        <rFont val="Arial"/>
        <family val="2"/>
      </rPr>
      <t>, 10, 11, or 12</t>
    </r>
    <r>
      <rPr>
        <sz val="10"/>
        <rFont val="Arial"/>
        <family val="2"/>
      </rPr>
      <t xml:space="preserve">
Blank</t>
    </r>
  </si>
  <si>
    <r>
      <rPr>
        <strike/>
        <sz val="10"/>
        <color rgb="FFFF0000"/>
        <rFont val="Arial"/>
        <family val="2"/>
      </rPr>
      <t xml:space="preserve">Valued for LEAP students in Spring and Summer.  </t>
    </r>
    <r>
      <rPr>
        <sz val="10"/>
        <color theme="1"/>
        <rFont val="Arial"/>
        <family val="2"/>
      </rPr>
      <t xml:space="preserve">
Refer to the </t>
    </r>
    <r>
      <rPr>
        <b/>
        <u/>
        <sz val="10"/>
        <color theme="1"/>
        <rFont val="Arial"/>
        <family val="2"/>
      </rPr>
      <t>LDESTD Retester/Repeater Flags</t>
    </r>
    <r>
      <rPr>
        <sz val="10"/>
        <color theme="1"/>
        <rFont val="Arial"/>
        <family val="2"/>
      </rPr>
      <t xml:space="preserve"> section of the Processing Rules – Scoring document for logic.
</t>
    </r>
    <r>
      <rPr>
        <strike/>
        <sz val="10"/>
        <color rgb="FFFF0000"/>
        <rFont val="Arial"/>
        <family val="2"/>
      </rPr>
      <t xml:space="preserve">
Blank in Summer for GEE.</t>
    </r>
  </si>
  <si>
    <r>
      <t>This is the</t>
    </r>
    <r>
      <rPr>
        <strike/>
        <sz val="10"/>
        <color rgb="FFFF0000"/>
        <rFont val="Arial"/>
        <family val="2"/>
      </rPr>
      <t xml:space="preserve"> Phase 2 ELA/Math/</t>
    </r>
    <r>
      <rPr>
        <sz val="10"/>
        <rFont val="Arial"/>
        <family val="2"/>
      </rPr>
      <t>SCI/SOC answer document in LEAP Spring</t>
    </r>
    <r>
      <rPr>
        <strike/>
        <sz val="10"/>
        <color rgb="FFFF0000"/>
        <rFont val="Arial"/>
        <family val="2"/>
      </rPr>
      <t>, and the GEE SCI/SOC answer document in a retest</t>
    </r>
    <r>
      <rPr>
        <sz val="10"/>
        <rFont val="Arial"/>
        <family val="2"/>
      </rPr>
      <t>.</t>
    </r>
  </si>
  <si>
    <r>
      <t>LEAP Spring</t>
    </r>
    <r>
      <rPr>
        <sz val="10"/>
        <rFont val="Arial"/>
        <family val="2"/>
      </rPr>
      <t xml:space="preserve">
Refer to the Accountability Codes for Testing document for valid values. 
Refer to the </t>
    </r>
    <r>
      <rPr>
        <b/>
        <u/>
        <sz val="10"/>
        <rFont val="Arial"/>
        <family val="2"/>
      </rPr>
      <t>Bubbled and Updated Accountability Codes</t>
    </r>
    <r>
      <rPr>
        <sz val="10"/>
        <rFont val="Arial"/>
        <family val="2"/>
      </rPr>
      <t xml:space="preserve"> section of the Processing Rules - Scoring document for the logic for setting these values (pre and post OCS).
</t>
    </r>
    <r>
      <rPr>
        <b/>
        <strike/>
        <u/>
        <sz val="10"/>
        <color rgb="FFFF0000"/>
        <rFont val="Arial"/>
        <family val="2"/>
      </rPr>
      <t>Retests</t>
    </r>
    <r>
      <rPr>
        <strike/>
        <sz val="10"/>
        <color rgb="FFFF0000"/>
        <rFont val="Arial"/>
        <family val="2"/>
      </rPr>
      <t xml:space="preserve">
These fields will only be populated with code 86 when applied by DRC.</t>
    </r>
  </si>
  <si>
    <r>
      <t>LEAP Spring</t>
    </r>
    <r>
      <rPr>
        <sz val="10"/>
        <rFont val="Arial"/>
        <family val="2"/>
      </rPr>
      <t xml:space="preserve">
Refer to the Accountability Codes for Testing document for valid values. 
Refer to the </t>
    </r>
    <r>
      <rPr>
        <b/>
        <u/>
        <sz val="10"/>
        <rFont val="Arial"/>
        <family val="2"/>
      </rPr>
      <t>Summarized Accountability Codes by Subject</t>
    </r>
    <r>
      <rPr>
        <b/>
        <sz val="10"/>
        <rFont val="Arial"/>
        <family val="2"/>
      </rPr>
      <t xml:space="preserve"> </t>
    </r>
    <r>
      <rPr>
        <sz val="10"/>
        <rFont val="Arial"/>
        <family val="2"/>
      </rPr>
      <t xml:space="preserve">section of the Processing Rules - Scoring document for rules on populating these values.
</t>
    </r>
    <r>
      <rPr>
        <b/>
        <strike/>
        <u/>
        <sz val="10"/>
        <color rgb="FFFF0000"/>
        <rFont val="Arial"/>
        <family val="2"/>
      </rPr>
      <t>Retests</t>
    </r>
    <r>
      <rPr>
        <strike/>
        <sz val="10"/>
        <color rgb="FFFF0000"/>
        <rFont val="Arial"/>
        <family val="2"/>
      </rPr>
      <t xml:space="preserve">
These fields will only be populated with code 86 when applied by DRC. </t>
    </r>
  </si>
  <si>
    <r>
      <t xml:space="preserve">The precoded site code is the site where the student received preidentified answer documents.
Blank when the record could not be matched back to the DRC precode file.
</t>
    </r>
    <r>
      <rPr>
        <strike/>
        <sz val="10"/>
        <color rgb="FFFF0000"/>
        <rFont val="Arial"/>
        <family val="2"/>
      </rPr>
      <t>GEE Spring/</t>
    </r>
    <r>
      <rPr>
        <sz val="10"/>
        <rFont val="Arial"/>
        <family val="2"/>
      </rPr>
      <t xml:space="preserve">LEAP Spring: Site code from the LAP file, which will match the site code on the DRC Precode File.
</t>
    </r>
    <r>
      <rPr>
        <strike/>
        <sz val="10"/>
        <color rgb="FFFF0000"/>
        <rFont val="Arial"/>
        <family val="2"/>
      </rPr>
      <t>Summer/Fall:</t>
    </r>
    <r>
      <rPr>
        <b/>
        <strike/>
        <sz val="10"/>
        <color rgb="FFFF0000"/>
        <rFont val="Arial"/>
        <family val="2"/>
      </rPr>
      <t xml:space="preserve"> </t>
    </r>
    <r>
      <rPr>
        <strike/>
        <sz val="10"/>
        <color rgb="FFFF0000"/>
        <rFont val="Arial"/>
        <family val="2"/>
      </rPr>
      <t xml:space="preserve">Site code from the DRC Precode File.  </t>
    </r>
  </si>
  <si>
    <r>
      <t xml:space="preserve">As bubbled on the </t>
    </r>
    <r>
      <rPr>
        <strike/>
        <sz val="10"/>
        <color rgb="FFFF0000"/>
        <rFont val="Arial"/>
        <family val="2"/>
      </rPr>
      <t>Phase 2 ELA/Math/</t>
    </r>
    <r>
      <rPr>
        <sz val="10"/>
        <rFont val="Arial"/>
        <family val="2"/>
      </rPr>
      <t>SCI/SOC answer document in LEAP Spring</t>
    </r>
    <r>
      <rPr>
        <strike/>
        <sz val="10"/>
        <color rgb="FFFF0000"/>
        <rFont val="Arial"/>
        <family val="2"/>
      </rPr>
      <t>, and the GEE SCI/SOC answer document in a retest</t>
    </r>
    <r>
      <rPr>
        <sz val="10"/>
        <rFont val="Arial"/>
        <family val="2"/>
      </rPr>
      <t>.</t>
    </r>
  </si>
  <si>
    <r>
      <t xml:space="preserve">This is the </t>
    </r>
    <r>
      <rPr>
        <strike/>
        <sz val="10"/>
        <color rgb="FFFF0000"/>
        <rFont val="Arial"/>
        <family val="2"/>
      </rPr>
      <t>Phase 2 ELA/Math/</t>
    </r>
    <r>
      <rPr>
        <sz val="10"/>
        <rFont val="Arial"/>
        <family val="2"/>
      </rPr>
      <t>SCI/SOC answer document in LEAP Spring</t>
    </r>
    <r>
      <rPr>
        <strike/>
        <sz val="10"/>
        <color rgb="FFFF0000"/>
        <rFont val="Arial"/>
        <family val="2"/>
      </rPr>
      <t>, and the GEE SCI/SOC answer document in a retest</t>
    </r>
    <r>
      <rPr>
        <sz val="10"/>
        <rFont val="Arial"/>
        <family val="2"/>
      </rPr>
      <t>.</t>
    </r>
  </si>
  <si>
    <r>
      <rPr>
        <b/>
        <sz val="10"/>
        <rFont val="Arial"/>
        <family val="2"/>
      </rPr>
      <t xml:space="preserve">(Spring 2015) (Logic change) </t>
    </r>
    <r>
      <rPr>
        <sz val="10"/>
        <rFont val="Arial"/>
        <family val="2"/>
      </rPr>
      <t>Updated the Footnote/Verbiage: Previously Passed Subject - Science (2813) and the Footnote/Verbiage: Previously Passed Subject - Social Stuides (2823) to FILLER since they were only populated for retests.</t>
    </r>
  </si>
  <si>
    <r>
      <t xml:space="preserve">Refer to the </t>
    </r>
    <r>
      <rPr>
        <b/>
        <u/>
        <sz val="10"/>
        <rFont val="Arial"/>
        <family val="2"/>
      </rPr>
      <t>Testing Status Flags</t>
    </r>
    <r>
      <rPr>
        <sz val="10"/>
        <rFont val="Arial"/>
        <family val="2"/>
      </rPr>
      <t xml:space="preserve"> section of the Processing Rules -  Scoring document for possible values during each administration.
</t>
    </r>
    <r>
      <rPr>
        <strike/>
        <sz val="10"/>
        <color rgb="FFFF0000"/>
        <rFont val="Arial"/>
        <family val="2"/>
      </rPr>
      <t xml:space="preserve">Testing Status - Science and Testing Status - Social Studies will be Blank in LEAP Summer. </t>
    </r>
  </si>
  <si>
    <r>
      <t xml:space="preserve">Total points earned for each Social Studies subtest.
The Raw Score for Subtest 3: Task Items contains the score for the MC and CR items contained within the Task Item.  Refer to the DOTS for the number of MC Items and the maximum points possible per CR item contained in the Task Item.
Blank when subtest is not assessed (zero points possible), or when the Raw Score Total for Social Studies is blank.
</t>
    </r>
    <r>
      <rPr>
        <strike/>
        <sz val="10"/>
        <color rgb="FFFF0000"/>
        <rFont val="Arial"/>
        <family val="2"/>
      </rPr>
      <t>Blank for GEE in Summer.</t>
    </r>
  </si>
  <si>
    <t>SPSS Start</t>
  </si>
  <si>
    <t>SPSS End</t>
  </si>
</sst>
</file>

<file path=xl/styles.xml><?xml version="1.0" encoding="utf-8"?>
<styleSheet xmlns="http://schemas.openxmlformats.org/spreadsheetml/2006/main" xmlns:mc="http://schemas.openxmlformats.org/markup-compatibility/2006" xmlns:x14ac="http://schemas.microsoft.com/office/spreadsheetml/2009/9/ac" mc:Ignorable="x14ac">
  <fonts count="50" x14ac:knownFonts="1">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0"/>
      <name val="Arial"/>
      <family val="2"/>
    </font>
    <font>
      <sz val="10"/>
      <name val="Arial"/>
      <family val="2"/>
    </font>
    <font>
      <sz val="10"/>
      <color indexed="10"/>
      <name val="Arial"/>
      <family val="2"/>
    </font>
    <font>
      <sz val="10"/>
      <name val="Arial"/>
      <family val="2"/>
    </font>
    <font>
      <i/>
      <sz val="10"/>
      <name val="Arial"/>
      <family val="2"/>
    </font>
    <font>
      <b/>
      <sz val="10"/>
      <name val="Arial"/>
      <family val="2"/>
    </font>
    <font>
      <sz val="10"/>
      <name val="Arial"/>
      <family val="2"/>
    </font>
    <font>
      <sz val="10"/>
      <color indexed="8"/>
      <name val="Arial"/>
      <family val="2"/>
    </font>
    <font>
      <sz val="10"/>
      <color indexed="17"/>
      <name val="Arial"/>
      <family val="2"/>
    </font>
    <font>
      <i/>
      <sz val="10"/>
      <color indexed="17"/>
      <name val="Arial"/>
      <family val="2"/>
    </font>
    <font>
      <sz val="8"/>
      <name val="Arial"/>
      <family val="2"/>
    </font>
    <font>
      <b/>
      <sz val="10"/>
      <color indexed="10"/>
      <name val="Arial"/>
      <family val="2"/>
    </font>
    <font>
      <b/>
      <sz val="8"/>
      <color indexed="10"/>
      <name val="Arial"/>
      <family val="2"/>
    </font>
    <font>
      <sz val="7"/>
      <name val="Arial"/>
      <family val="2"/>
    </font>
    <font>
      <strike/>
      <sz val="10"/>
      <name val="Arial"/>
      <family val="2"/>
    </font>
    <font>
      <b/>
      <sz val="12"/>
      <name val="Arial"/>
      <family val="2"/>
    </font>
    <font>
      <sz val="10"/>
      <name val="Lucida Console"/>
      <family val="3"/>
    </font>
    <font>
      <sz val="10"/>
      <color indexed="8"/>
      <name val="Arial"/>
      <family val="2"/>
    </font>
    <font>
      <b/>
      <sz val="16"/>
      <name val="Arial"/>
      <family val="2"/>
    </font>
    <font>
      <b/>
      <sz val="10"/>
      <color indexed="12"/>
      <name val="Arial"/>
      <family val="2"/>
    </font>
    <font>
      <b/>
      <u/>
      <sz val="10"/>
      <name val="Arial"/>
      <family val="2"/>
    </font>
    <font>
      <sz val="10"/>
      <name val="Arial"/>
      <family val="2"/>
    </font>
    <font>
      <sz val="11"/>
      <color theme="1"/>
      <name val="Calibri"/>
      <family val="2"/>
      <scheme val="minor"/>
    </font>
    <font>
      <b/>
      <sz val="10"/>
      <color rgb="FF0000FF"/>
      <name val="Arial"/>
      <family val="2"/>
    </font>
    <font>
      <sz val="10"/>
      <color rgb="FFFF0000"/>
      <name val="Arial"/>
      <family val="2"/>
    </font>
    <font>
      <u/>
      <sz val="10"/>
      <color theme="10"/>
      <name val="Arial"/>
      <family val="2"/>
    </font>
    <font>
      <sz val="10"/>
      <color theme="1"/>
      <name val="Arial"/>
      <family val="2"/>
    </font>
    <font>
      <b/>
      <sz val="10"/>
      <color theme="1"/>
      <name val="Arial"/>
      <family val="2"/>
    </font>
    <font>
      <strike/>
      <sz val="10"/>
      <color rgb="FFFF0000"/>
      <name val="Arial"/>
      <family val="2"/>
    </font>
    <font>
      <sz val="10"/>
      <name val="Arial"/>
      <family val="2"/>
    </font>
    <font>
      <sz val="10"/>
      <name val="Arial"/>
      <family val="2"/>
    </font>
    <font>
      <b/>
      <strike/>
      <sz val="10"/>
      <color rgb="FFFF0000"/>
      <name val="Arial"/>
      <family val="2"/>
    </font>
    <font>
      <b/>
      <u/>
      <sz val="10"/>
      <color theme="1"/>
      <name val="Arial"/>
      <family val="2"/>
    </font>
    <font>
      <b/>
      <strike/>
      <u/>
      <sz val="10"/>
      <color rgb="FFFF0000"/>
      <name val="Arial"/>
      <family val="2"/>
    </font>
    <font>
      <b/>
      <strike/>
      <sz val="12"/>
      <color rgb="FFFF0000"/>
      <name val="Arial"/>
      <family val="2"/>
    </font>
    <font>
      <b/>
      <sz val="10"/>
      <color rgb="FFFF0000"/>
      <name val="Arial"/>
      <family val="2"/>
    </font>
    <font>
      <b/>
      <sz val="10"/>
      <color indexed="17"/>
      <name val="Arial"/>
      <family val="2"/>
    </font>
    <font>
      <b/>
      <sz val="10"/>
      <color indexed="8"/>
      <name val="Arial"/>
      <family val="2"/>
    </font>
  </fonts>
  <fills count="9">
    <fill>
      <patternFill patternType="none"/>
    </fill>
    <fill>
      <patternFill patternType="gray125"/>
    </fill>
    <fill>
      <patternFill patternType="solid">
        <fgColor indexed="22"/>
        <bgColor indexed="64"/>
      </patternFill>
    </fill>
    <fill>
      <patternFill patternType="solid">
        <fgColor theme="2"/>
        <bgColor indexed="64"/>
      </patternFill>
    </fill>
    <fill>
      <patternFill patternType="solid">
        <fgColor theme="0" tint="-0.14999847407452621"/>
        <bgColor indexed="64"/>
      </patternFill>
    </fill>
    <fill>
      <patternFill patternType="solid">
        <fgColor rgb="FFFFFF99"/>
        <bgColor indexed="64"/>
      </patternFill>
    </fill>
    <fill>
      <patternFill patternType="solid">
        <fgColor theme="0"/>
        <bgColor indexed="64"/>
      </patternFill>
    </fill>
    <fill>
      <patternFill patternType="solid">
        <fgColor theme="4" tint="0.59999389629810485"/>
        <bgColor indexed="64"/>
      </patternFill>
    </fill>
    <fill>
      <patternFill patternType="solid">
        <fgColor theme="6" tint="0.59999389629810485"/>
        <bgColor indexed="64"/>
      </patternFill>
    </fill>
  </fills>
  <borders count="10">
    <border>
      <left/>
      <right/>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right/>
      <top/>
      <bottom style="thin">
        <color indexed="64"/>
      </bottom>
      <diagonal/>
    </border>
    <border>
      <left/>
      <right/>
      <top style="thin">
        <color indexed="64"/>
      </top>
      <bottom style="thin">
        <color indexed="64"/>
      </bottom>
      <diagonal/>
    </border>
    <border>
      <left style="thin">
        <color indexed="64"/>
      </left>
      <right style="thin">
        <color indexed="64"/>
      </right>
      <top/>
      <bottom/>
      <diagonal/>
    </border>
    <border>
      <left style="hair">
        <color auto="1"/>
      </left>
      <right style="hair">
        <color auto="1"/>
      </right>
      <top style="hair">
        <color auto="1"/>
      </top>
      <bottom style="hair">
        <color auto="1"/>
      </bottom>
      <diagonal/>
    </border>
    <border>
      <left style="hair">
        <color auto="1"/>
      </left>
      <right/>
      <top style="hair">
        <color auto="1"/>
      </top>
      <bottom style="hair">
        <color auto="1"/>
      </bottom>
      <diagonal/>
    </border>
  </borders>
  <cellStyleXfs count="1690">
    <xf numFmtId="0" fontId="0" fillId="0" borderId="0"/>
    <xf numFmtId="0" fontId="12" fillId="0" borderId="0"/>
    <xf numFmtId="0" fontId="12" fillId="0" borderId="0"/>
    <xf numFmtId="0" fontId="34" fillId="0" borderId="0"/>
    <xf numFmtId="0" fontId="12" fillId="0" borderId="0"/>
    <xf numFmtId="0" fontId="33" fillId="0" borderId="0"/>
    <xf numFmtId="0" fontId="12" fillId="0" borderId="0"/>
    <xf numFmtId="0" fontId="12" fillId="0" borderId="0"/>
    <xf numFmtId="0" fontId="12" fillId="0" borderId="0"/>
    <xf numFmtId="0" fontId="12" fillId="0" borderId="0"/>
    <xf numFmtId="0" fontId="33" fillId="0" borderId="0"/>
    <xf numFmtId="0" fontId="12" fillId="0" borderId="0"/>
    <xf numFmtId="0" fontId="33" fillId="0" borderId="0"/>
    <xf numFmtId="0" fontId="12" fillId="0" borderId="0"/>
    <xf numFmtId="0" fontId="33" fillId="0" borderId="0"/>
    <xf numFmtId="0" fontId="12" fillId="0" borderId="0"/>
    <xf numFmtId="0" fontId="12" fillId="0" borderId="0"/>
    <xf numFmtId="0" fontId="11" fillId="0" borderId="0"/>
    <xf numFmtId="0" fontId="11" fillId="0" borderId="0"/>
    <xf numFmtId="0" fontId="37" fillId="0" borderId="0" applyNumberFormat="0" applyFill="0" applyBorder="0" applyAlignment="0" applyProtection="0"/>
    <xf numFmtId="0" fontId="10" fillId="0" borderId="0"/>
    <xf numFmtId="0" fontId="9" fillId="0" borderId="0"/>
    <xf numFmtId="0" fontId="12" fillId="0" borderId="0"/>
    <xf numFmtId="0" fontId="9" fillId="0" borderId="0"/>
    <xf numFmtId="0" fontId="9" fillId="0" borderId="0"/>
    <xf numFmtId="0" fontId="9" fillId="0" borderId="0"/>
    <xf numFmtId="0" fontId="9" fillId="0" borderId="0"/>
    <xf numFmtId="0" fontId="8" fillId="0" borderId="0"/>
    <xf numFmtId="0" fontId="12"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7" fillId="0" borderId="0"/>
    <xf numFmtId="0" fontId="41"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6" fillId="0" borderId="0"/>
    <xf numFmtId="0" fontId="5" fillId="0" borderId="0"/>
    <xf numFmtId="0" fontId="42"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12"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3" fillId="0" borderId="0"/>
    <xf numFmtId="0" fontId="12"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2" fillId="0" borderId="0"/>
    <xf numFmtId="0" fontId="2" fillId="0" borderId="0"/>
    <xf numFmtId="0" fontId="2" fillId="0" borderId="0"/>
    <xf numFmtId="0" fontId="2" fillId="0" borderId="0"/>
    <xf numFmtId="0" fontId="2" fillId="0" borderId="0"/>
    <xf numFmtId="0" fontId="12" fillId="0" borderId="0"/>
    <xf numFmtId="0" fontId="1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1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1" fillId="0" borderId="0"/>
    <xf numFmtId="0" fontId="12"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cellStyleXfs>
  <cellXfs count="269">
    <xf numFmtId="0" fontId="0" fillId="0" borderId="0" xfId="0"/>
    <xf numFmtId="0" fontId="0" fillId="0" borderId="0" xfId="0" applyProtection="1">
      <protection locked="0"/>
    </xf>
    <xf numFmtId="14" fontId="0" fillId="0" borderId="1" xfId="0" applyNumberFormat="1" applyBorder="1" applyAlignment="1" applyProtection="1">
      <alignment horizontal="center" vertical="top"/>
      <protection locked="0"/>
    </xf>
    <xf numFmtId="0" fontId="0" fillId="0" borderId="1" xfId="0" applyBorder="1" applyAlignment="1" applyProtection="1">
      <alignment vertical="top" wrapText="1"/>
      <protection locked="0"/>
    </xf>
    <xf numFmtId="14" fontId="0" fillId="0" borderId="1" xfId="0" applyNumberFormat="1" applyFill="1" applyBorder="1" applyAlignment="1" applyProtection="1">
      <alignment horizontal="center" vertical="top"/>
      <protection locked="0"/>
    </xf>
    <xf numFmtId="0" fontId="0" fillId="0" borderId="1" xfId="0" applyFill="1" applyBorder="1" applyAlignment="1" applyProtection="1">
      <alignment vertical="top" wrapText="1"/>
      <protection locked="0"/>
    </xf>
    <xf numFmtId="0" fontId="0" fillId="0" borderId="1" xfId="0" applyBorder="1" applyAlignment="1" applyProtection="1">
      <alignment vertical="top"/>
      <protection locked="0"/>
    </xf>
    <xf numFmtId="0" fontId="0" fillId="0" borderId="1" xfId="0" applyFill="1" applyBorder="1" applyAlignment="1" applyProtection="1">
      <alignment vertical="top"/>
      <protection locked="0"/>
    </xf>
    <xf numFmtId="0" fontId="0" fillId="2" borderId="1" xfId="0" applyFill="1" applyBorder="1" applyAlignment="1" applyProtection="1">
      <alignment horizontal="center" vertical="top" wrapText="1"/>
    </xf>
    <xf numFmtId="0" fontId="0" fillId="2" borderId="1" xfId="0" applyFill="1" applyBorder="1" applyAlignment="1" applyProtection="1">
      <alignment vertical="top" wrapText="1"/>
    </xf>
    <xf numFmtId="0" fontId="0" fillId="0" borderId="0" xfId="0" applyAlignment="1" applyProtection="1">
      <alignment horizontal="center" vertical="top"/>
      <protection locked="0"/>
    </xf>
    <xf numFmtId="0" fontId="0" fillId="0" borderId="0" xfId="0" applyAlignment="1" applyProtection="1">
      <alignment vertical="top" wrapText="1"/>
      <protection locked="0"/>
    </xf>
    <xf numFmtId="0" fontId="0" fillId="0" borderId="0" xfId="0" applyAlignment="1" applyProtection="1">
      <alignment vertical="top"/>
      <protection locked="0"/>
    </xf>
    <xf numFmtId="0" fontId="0" fillId="0" borderId="1" xfId="0" applyFill="1" applyBorder="1" applyAlignment="1" applyProtection="1">
      <alignment horizontal="center" vertical="top"/>
      <protection locked="0"/>
    </xf>
    <xf numFmtId="0" fontId="0" fillId="0" borderId="1" xfId="0" applyFill="1" applyBorder="1" applyAlignment="1" applyProtection="1">
      <alignment horizontal="left" vertical="top"/>
      <protection locked="0"/>
    </xf>
    <xf numFmtId="0" fontId="29" fillId="2" borderId="1" xfId="0" applyFont="1" applyFill="1" applyBorder="1" applyAlignment="1" applyProtection="1">
      <alignment vertical="top" wrapText="1"/>
    </xf>
    <xf numFmtId="0" fontId="29" fillId="0" borderId="1" xfId="0" applyFont="1" applyBorder="1" applyAlignment="1" applyProtection="1">
      <alignment vertical="top" wrapText="1"/>
      <protection locked="0"/>
    </xf>
    <xf numFmtId="0" fontId="29" fillId="0" borderId="1" xfId="0" applyFont="1" applyFill="1" applyBorder="1" applyAlignment="1" applyProtection="1">
      <alignment vertical="top" wrapText="1"/>
      <protection locked="0"/>
    </xf>
    <xf numFmtId="0" fontId="29" fillId="0" borderId="0" xfId="0" applyFont="1" applyFill="1" applyAlignment="1">
      <alignment vertical="top" wrapText="1"/>
    </xf>
    <xf numFmtId="0" fontId="29" fillId="0" borderId="0" xfId="0" applyFont="1" applyFill="1" applyAlignment="1">
      <alignment horizontal="left" vertical="top" wrapText="1"/>
    </xf>
    <xf numFmtId="0" fontId="27" fillId="0" borderId="0" xfId="0" applyFont="1" applyFill="1" applyBorder="1" applyAlignment="1"/>
    <xf numFmtId="0" fontId="27" fillId="0" borderId="0" xfId="0" applyFont="1" applyFill="1" applyBorder="1" applyAlignment="1">
      <alignment wrapText="1"/>
    </xf>
    <xf numFmtId="0" fontId="27" fillId="0" borderId="0" xfId="0" applyFont="1" applyFill="1" applyBorder="1" applyAlignment="1">
      <alignment horizontal="center" vertical="top"/>
    </xf>
    <xf numFmtId="0" fontId="27" fillId="0" borderId="0" xfId="0" applyFont="1" applyFill="1" applyBorder="1" applyAlignment="1">
      <alignment vertical="top"/>
    </xf>
    <xf numFmtId="14" fontId="0" fillId="0" borderId="1" xfId="0" applyNumberFormat="1" applyBorder="1" applyAlignment="1" applyProtection="1">
      <alignment vertical="top" wrapText="1"/>
      <protection locked="0"/>
    </xf>
    <xf numFmtId="49" fontId="12" fillId="0" borderId="0" xfId="0" applyNumberFormat="1" applyFont="1" applyFill="1" applyBorder="1" applyAlignment="1">
      <alignment horizontal="left" vertical="center" wrapText="1"/>
    </xf>
    <xf numFmtId="0" fontId="0" fillId="0" borderId="0" xfId="0" applyFill="1" applyProtection="1">
      <protection locked="0"/>
    </xf>
    <xf numFmtId="14" fontId="0" fillId="0" borderId="1" xfId="0" applyNumberFormat="1" applyFill="1" applyBorder="1" applyAlignment="1" applyProtection="1">
      <alignment vertical="top" wrapText="1"/>
      <protection locked="0"/>
    </xf>
    <xf numFmtId="0" fontId="0" fillId="0" borderId="1" xfId="0" quotePrefix="1" applyFill="1" applyBorder="1" applyAlignment="1" applyProtection="1">
      <alignment vertical="top" wrapText="1"/>
      <protection locked="0"/>
    </xf>
    <xf numFmtId="0" fontId="30" fillId="0" borderId="0" xfId="0" applyFont="1" applyFill="1" applyBorder="1"/>
    <xf numFmtId="0" fontId="0" fillId="0" borderId="0" xfId="0" applyFill="1" applyBorder="1" applyAlignment="1">
      <alignment horizontal="center" vertical="top"/>
    </xf>
    <xf numFmtId="0" fontId="0" fillId="0" borderId="0" xfId="0" applyFill="1" applyBorder="1" applyAlignment="1">
      <alignment vertical="top"/>
    </xf>
    <xf numFmtId="0" fontId="31" fillId="0" borderId="0" xfId="0" applyFont="1" applyFill="1" applyBorder="1" applyAlignment="1">
      <alignment vertical="top"/>
    </xf>
    <xf numFmtId="0" fontId="0" fillId="0" borderId="0" xfId="0" applyFill="1" applyBorder="1" applyAlignment="1">
      <alignment vertical="top" wrapText="1"/>
    </xf>
    <xf numFmtId="0" fontId="15" fillId="0" borderId="0" xfId="0" applyFont="1" applyFill="1" applyBorder="1" applyAlignment="1">
      <alignment horizontal="center" vertical="top"/>
    </xf>
    <xf numFmtId="0" fontId="15" fillId="0" borderId="0" xfId="0" applyFont="1" applyFill="1" applyBorder="1" applyAlignment="1">
      <alignment vertical="top"/>
    </xf>
    <xf numFmtId="0" fontId="15" fillId="0" borderId="0" xfId="0" applyFont="1" applyFill="1" applyBorder="1" applyAlignment="1">
      <alignment vertical="top" wrapText="1"/>
    </xf>
    <xf numFmtId="0" fontId="15" fillId="0" borderId="0" xfId="0" applyFont="1" applyFill="1" applyBorder="1"/>
    <xf numFmtId="0" fontId="15" fillId="0" borderId="0" xfId="0" applyFont="1" applyFill="1" applyBorder="1" applyAlignment="1">
      <alignment vertical="center"/>
    </xf>
    <xf numFmtId="0" fontId="31" fillId="0" borderId="0" xfId="0" applyFont="1" applyFill="1" applyBorder="1" applyAlignment="1">
      <alignment vertical="top" wrapText="1"/>
    </xf>
    <xf numFmtId="0" fontId="19" fillId="0" borderId="0" xfId="0" applyFont="1" applyFill="1" applyBorder="1" applyAlignment="1">
      <alignment vertical="top"/>
    </xf>
    <xf numFmtId="0" fontId="14" fillId="0" borderId="0" xfId="0" applyFont="1" applyFill="1" applyBorder="1" applyAlignment="1">
      <alignment horizontal="center" vertical="top"/>
    </xf>
    <xf numFmtId="0" fontId="14" fillId="0" borderId="0" xfId="0" applyFont="1" applyFill="1" applyBorder="1" applyAlignment="1">
      <alignment vertical="top"/>
    </xf>
    <xf numFmtId="0" fontId="14" fillId="0" borderId="0" xfId="0" applyFont="1" applyFill="1" applyBorder="1" applyAlignment="1">
      <alignment vertical="top" wrapText="1"/>
    </xf>
    <xf numFmtId="0" fontId="35" fillId="0" borderId="0" xfId="0" applyFont="1" applyFill="1" applyBorder="1" applyAlignment="1">
      <alignment vertical="top"/>
    </xf>
    <xf numFmtId="0" fontId="13" fillId="0" borderId="0" xfId="0" applyFont="1" applyFill="1" applyBorder="1" applyAlignment="1">
      <alignment vertical="top" wrapText="1"/>
    </xf>
    <xf numFmtId="0" fontId="16" fillId="0" borderId="0" xfId="0" applyFont="1" applyFill="1" applyBorder="1" applyAlignment="1">
      <alignment horizontal="left" vertical="top" wrapText="1"/>
    </xf>
    <xf numFmtId="0" fontId="13" fillId="0" borderId="0" xfId="0" applyFont="1" applyFill="1" applyBorder="1" applyAlignment="1">
      <alignment horizontal="center" vertical="top"/>
    </xf>
    <xf numFmtId="0" fontId="13" fillId="0" borderId="0" xfId="0" applyFont="1" applyFill="1" applyBorder="1" applyAlignment="1">
      <alignment vertical="top"/>
    </xf>
    <xf numFmtId="0" fontId="20" fillId="0" borderId="0" xfId="0" applyFont="1" applyFill="1" applyBorder="1" applyAlignment="1">
      <alignment horizontal="center" vertical="top"/>
    </xf>
    <xf numFmtId="0" fontId="20" fillId="0" borderId="0" xfId="0" applyFont="1" applyFill="1" applyBorder="1" applyAlignment="1">
      <alignment vertical="top"/>
    </xf>
    <xf numFmtId="0" fontId="21" fillId="0" borderId="0" xfId="0" applyFont="1" applyFill="1" applyBorder="1" applyAlignment="1">
      <alignment horizontal="left" vertical="top" wrapText="1"/>
    </xf>
    <xf numFmtId="0" fontId="18" fillId="0" borderId="0" xfId="0" applyFont="1" applyFill="1" applyBorder="1" applyAlignment="1">
      <alignment horizontal="center" vertical="top"/>
    </xf>
    <xf numFmtId="0" fontId="18" fillId="0" borderId="0" xfId="0" applyFont="1" applyFill="1" applyBorder="1" applyAlignment="1">
      <alignment vertical="top"/>
    </xf>
    <xf numFmtId="0" fontId="16" fillId="0" borderId="0" xfId="0" applyFont="1" applyFill="1" applyBorder="1" applyAlignment="1">
      <alignment vertical="top"/>
    </xf>
    <xf numFmtId="0" fontId="14" fillId="0" borderId="0" xfId="0" applyFont="1" applyFill="1" applyBorder="1" applyAlignment="1">
      <alignment horizontal="left" vertical="center" wrapText="1"/>
    </xf>
    <xf numFmtId="0" fontId="0" fillId="0" borderId="0" xfId="0" applyFill="1" applyBorder="1"/>
    <xf numFmtId="0" fontId="0" fillId="0" borderId="0" xfId="0" applyFill="1" applyBorder="1" applyAlignment="1">
      <alignment horizontal="center"/>
    </xf>
    <xf numFmtId="0" fontId="27" fillId="0" borderId="0" xfId="0" applyFont="1" applyFill="1" applyBorder="1" applyAlignment="1">
      <alignment horizontal="right" vertical="top"/>
    </xf>
    <xf numFmtId="0" fontId="0" fillId="0" borderId="0" xfId="0" applyFill="1" applyBorder="1" applyAlignment="1">
      <alignment wrapText="1"/>
    </xf>
    <xf numFmtId="0" fontId="16" fillId="0" borderId="0" xfId="0" applyFont="1" applyFill="1" applyBorder="1"/>
    <xf numFmtId="0" fontId="35" fillId="0" borderId="0" xfId="0" applyFont="1" applyFill="1" applyBorder="1" applyAlignment="1">
      <alignment vertical="top" wrapText="1"/>
    </xf>
    <xf numFmtId="49" fontId="15" fillId="0" borderId="0" xfId="0" applyNumberFormat="1" applyFont="1" applyFill="1" applyBorder="1" applyAlignment="1">
      <alignment horizontal="left" vertical="center" wrapText="1"/>
    </xf>
    <xf numFmtId="0" fontId="30" fillId="0" borderId="0" xfId="0" applyFont="1" applyFill="1" applyBorder="1" applyAlignment="1">
      <alignment horizontal="center"/>
    </xf>
    <xf numFmtId="0" fontId="12" fillId="0" borderId="0" xfId="0" applyFont="1" applyFill="1" applyBorder="1" applyAlignment="1">
      <alignment horizontal="center" vertical="top"/>
    </xf>
    <xf numFmtId="0" fontId="12" fillId="0" borderId="0" xfId="0" applyFont="1" applyFill="1" applyBorder="1" applyAlignment="1">
      <alignment vertical="top" wrapText="1"/>
    </xf>
    <xf numFmtId="0" fontId="12" fillId="0" borderId="0" xfId="0" applyFont="1" applyFill="1" applyBorder="1" applyAlignment="1">
      <alignment vertical="top"/>
    </xf>
    <xf numFmtId="16" fontId="12" fillId="0" borderId="0" xfId="0" applyNumberFormat="1" applyFont="1" applyFill="1" applyBorder="1" applyAlignment="1">
      <alignment horizontal="left" vertical="center" wrapText="1"/>
    </xf>
    <xf numFmtId="0" fontId="0" fillId="0" borderId="0" xfId="0" applyFill="1" applyBorder="1" applyAlignment="1">
      <alignment vertical="center" wrapText="1"/>
    </xf>
    <xf numFmtId="49" fontId="0" fillId="0" borderId="0" xfId="0" applyNumberFormat="1" applyFill="1" applyBorder="1" applyAlignment="1">
      <alignment horizontal="left" vertical="center" wrapText="1"/>
    </xf>
    <xf numFmtId="0" fontId="17" fillId="0" borderId="0" xfId="0" applyFont="1" applyFill="1" applyBorder="1" applyAlignment="1">
      <alignment vertical="center" wrapText="1"/>
    </xf>
    <xf numFmtId="0" fontId="14" fillId="0" borderId="0" xfId="0" applyFont="1" applyFill="1" applyBorder="1" applyAlignment="1">
      <alignment vertical="center" wrapText="1"/>
    </xf>
    <xf numFmtId="0" fontId="19" fillId="0" borderId="0" xfId="0" applyFont="1" applyFill="1" applyBorder="1" applyAlignment="1">
      <alignment vertical="center" wrapText="1"/>
    </xf>
    <xf numFmtId="0" fontId="20" fillId="0" borderId="0" xfId="0" applyFont="1" applyFill="1" applyBorder="1" applyAlignment="1">
      <alignment vertical="center" wrapText="1"/>
    </xf>
    <xf numFmtId="0" fontId="16" fillId="0" borderId="0" xfId="0" applyFont="1" applyFill="1" applyBorder="1" applyAlignment="1">
      <alignment vertical="center"/>
    </xf>
    <xf numFmtId="0" fontId="15" fillId="0" borderId="0" xfId="0" applyFont="1" applyFill="1" applyBorder="1" applyAlignment="1">
      <alignment horizontal="center" vertical="center" wrapText="1"/>
    </xf>
    <xf numFmtId="49" fontId="12" fillId="0" borderId="0" xfId="1" applyNumberFormat="1" applyFont="1" applyFill="1" applyBorder="1" applyAlignment="1">
      <alignment horizontal="left" vertical="center" wrapText="1"/>
    </xf>
    <xf numFmtId="49" fontId="12" fillId="0" borderId="0" xfId="0" applyNumberFormat="1" applyFont="1" applyFill="1" applyBorder="1" applyAlignment="1">
      <alignment horizontal="left" vertical="top" wrapText="1"/>
    </xf>
    <xf numFmtId="0" fontId="19" fillId="0" borderId="0" xfId="0" applyFont="1" applyFill="1" applyBorder="1" applyAlignment="1">
      <alignment vertical="top" wrapText="1"/>
    </xf>
    <xf numFmtId="0" fontId="12" fillId="0" borderId="0" xfId="0" applyFont="1" applyFill="1" applyBorder="1" applyAlignment="1">
      <alignment wrapText="1"/>
    </xf>
    <xf numFmtId="0" fontId="12" fillId="0" borderId="1" xfId="0" applyFont="1" applyFill="1" applyBorder="1" applyAlignment="1" applyProtection="1">
      <alignment vertical="top" wrapText="1"/>
      <protection locked="0"/>
    </xf>
    <xf numFmtId="0" fontId="0" fillId="0" borderId="2" xfId="0" applyFill="1" applyBorder="1" applyAlignment="1" applyProtection="1">
      <alignment vertical="top"/>
      <protection locked="0"/>
    </xf>
    <xf numFmtId="0" fontId="15" fillId="0" borderId="2" xfId="0" applyFont="1" applyFill="1" applyBorder="1" applyAlignment="1" applyProtection="1">
      <alignment vertical="top"/>
      <protection locked="0"/>
    </xf>
    <xf numFmtId="0" fontId="12" fillId="0" borderId="1" xfId="0" applyFont="1" applyFill="1" applyBorder="1" applyAlignment="1">
      <alignment wrapText="1"/>
    </xf>
    <xf numFmtId="0" fontId="12" fillId="0" borderId="1" xfId="0" applyNumberFormat="1" applyFont="1" applyFill="1" applyBorder="1" applyAlignment="1" applyProtection="1">
      <alignment vertical="top" wrapText="1"/>
      <protection locked="0"/>
    </xf>
    <xf numFmtId="14" fontId="13" fillId="0" borderId="1" xfId="0" applyNumberFormat="1" applyFont="1" applyFill="1" applyBorder="1" applyAlignment="1" applyProtection="1">
      <alignment horizontal="center" vertical="top"/>
      <protection locked="0"/>
    </xf>
    <xf numFmtId="0" fontId="12" fillId="0" borderId="0" xfId="0" applyFont="1" applyFill="1" applyAlignment="1">
      <alignment wrapText="1"/>
    </xf>
    <xf numFmtId="0" fontId="12" fillId="0" borderId="1" xfId="0" applyFont="1" applyFill="1" applyBorder="1"/>
    <xf numFmtId="0" fontId="13" fillId="0" borderId="1" xfId="0" applyFont="1" applyFill="1" applyBorder="1" applyAlignment="1" applyProtection="1">
      <alignment vertical="top"/>
      <protection locked="0"/>
    </xf>
    <xf numFmtId="0" fontId="13" fillId="0" borderId="1" xfId="0" applyFont="1" applyFill="1" applyBorder="1" applyAlignment="1">
      <alignment wrapText="1"/>
    </xf>
    <xf numFmtId="0" fontId="12" fillId="0" borderId="1" xfId="0" applyFont="1" applyFill="1" applyBorder="1" applyAlignment="1" applyProtection="1">
      <alignment vertical="top"/>
      <protection locked="0"/>
    </xf>
    <xf numFmtId="14" fontId="12" fillId="0" borderId="1" xfId="0" applyNumberFormat="1" applyFont="1" applyFill="1" applyBorder="1" applyAlignment="1" applyProtection="1">
      <alignment horizontal="center" vertical="top"/>
      <protection locked="0"/>
    </xf>
    <xf numFmtId="0" fontId="17" fillId="0" borderId="1" xfId="0" applyFont="1" applyFill="1" applyBorder="1" applyAlignment="1" applyProtection="1">
      <alignment vertical="top" wrapText="1"/>
      <protection locked="0"/>
    </xf>
    <xf numFmtId="0" fontId="12" fillId="0" borderId="1" xfId="0" applyFont="1" applyFill="1" applyBorder="1" applyAlignment="1" applyProtection="1">
      <alignment vertical="center" wrapText="1"/>
      <protection locked="0"/>
    </xf>
    <xf numFmtId="0" fontId="12" fillId="0" borderId="1" xfId="0" applyFont="1" applyFill="1" applyBorder="1" applyProtection="1">
      <protection locked="0"/>
    </xf>
    <xf numFmtId="0" fontId="17" fillId="0" borderId="1" xfId="0" applyFont="1" applyFill="1" applyBorder="1" applyAlignment="1" applyProtection="1">
      <alignment wrapText="1"/>
      <protection locked="0"/>
    </xf>
    <xf numFmtId="0" fontId="12" fillId="0" borderId="1" xfId="0" applyFont="1" applyFill="1" applyBorder="1" applyAlignment="1" applyProtection="1">
      <alignment wrapText="1"/>
      <protection locked="0"/>
    </xf>
    <xf numFmtId="14" fontId="0" fillId="0" borderId="1" xfId="0" applyNumberFormat="1" applyFill="1" applyBorder="1" applyProtection="1">
      <protection locked="0"/>
    </xf>
    <xf numFmtId="14" fontId="12" fillId="0" borderId="1" xfId="0" applyNumberFormat="1" applyFont="1" applyFill="1" applyBorder="1" applyAlignment="1" applyProtection="1">
      <alignment wrapText="1"/>
      <protection locked="0"/>
    </xf>
    <xf numFmtId="14" fontId="0" fillId="0" borderId="3" xfId="0" applyNumberFormat="1" applyFill="1" applyBorder="1" applyProtection="1">
      <protection locked="0"/>
    </xf>
    <xf numFmtId="14" fontId="12" fillId="0" borderId="3" xfId="0" applyNumberFormat="1" applyFont="1" applyFill="1" applyBorder="1" applyAlignment="1" applyProtection="1">
      <alignment wrapText="1"/>
      <protection locked="0"/>
    </xf>
    <xf numFmtId="0" fontId="12" fillId="0" borderId="3" xfId="0" applyFont="1" applyFill="1" applyBorder="1" applyAlignment="1" applyProtection="1">
      <alignment vertical="top"/>
      <protection locked="0"/>
    </xf>
    <xf numFmtId="14" fontId="12" fillId="0" borderId="1" xfId="0" applyNumberFormat="1" applyFont="1" applyFill="1" applyBorder="1" applyAlignment="1">
      <alignment horizontal="right"/>
    </xf>
    <xf numFmtId="0" fontId="17" fillId="0" borderId="1" xfId="0" applyFont="1" applyFill="1" applyBorder="1" applyAlignment="1">
      <alignment wrapText="1"/>
    </xf>
    <xf numFmtId="0" fontId="12" fillId="0" borderId="1" xfId="0" applyFont="1" applyFill="1" applyBorder="1" applyAlignment="1">
      <alignment vertical="top"/>
    </xf>
    <xf numFmtId="14" fontId="12" fillId="0" borderId="1" xfId="0" applyNumberFormat="1" applyFont="1" applyFill="1" applyBorder="1" applyAlignment="1">
      <alignment horizontal="left"/>
    </xf>
    <xf numFmtId="14" fontId="0" fillId="0" borderId="1" xfId="0" applyNumberFormat="1" applyFill="1" applyBorder="1" applyAlignment="1" applyProtection="1">
      <alignment horizontal="left" vertical="top"/>
      <protection locked="0"/>
    </xf>
    <xf numFmtId="0" fontId="36" fillId="0" borderId="0" xfId="0" applyFont="1" applyFill="1" applyProtection="1">
      <protection locked="0"/>
    </xf>
    <xf numFmtId="0" fontId="12" fillId="0" borderId="0" xfId="0" applyFont="1" applyFill="1" applyBorder="1" applyAlignment="1">
      <alignment horizontal="left" vertical="top" wrapText="1"/>
    </xf>
    <xf numFmtId="0" fontId="12" fillId="0" borderId="0" xfId="0" applyFont="1" applyFill="1" applyBorder="1" applyAlignment="1" applyProtection="1">
      <alignment vertical="center" wrapText="1"/>
      <protection locked="0"/>
    </xf>
    <xf numFmtId="0" fontId="12" fillId="0" borderId="0" xfId="0" applyFont="1" applyFill="1" applyBorder="1" applyAlignment="1">
      <alignment horizontal="left" vertical="center" wrapText="1"/>
    </xf>
    <xf numFmtId="0" fontId="12" fillId="0" borderId="0" xfId="0" applyFont="1" applyFill="1" applyBorder="1" applyAlignment="1">
      <alignment vertical="center" wrapText="1"/>
    </xf>
    <xf numFmtId="0" fontId="17" fillId="3" borderId="1" xfId="0" applyFont="1" applyFill="1" applyBorder="1"/>
    <xf numFmtId="0" fontId="12" fillId="0" borderId="1" xfId="0" applyFont="1" applyBorder="1" applyAlignment="1">
      <alignment wrapText="1"/>
    </xf>
    <xf numFmtId="0" fontId="37" fillId="0" borderId="1" xfId="19" applyBorder="1" applyAlignment="1">
      <alignment wrapText="1"/>
    </xf>
    <xf numFmtId="0" fontId="0" fillId="0" borderId="0" xfId="0" applyAlignment="1">
      <alignment wrapText="1"/>
    </xf>
    <xf numFmtId="0" fontId="37" fillId="0" borderId="7" xfId="19" applyBorder="1" applyAlignment="1">
      <alignment wrapText="1"/>
    </xf>
    <xf numFmtId="0" fontId="12" fillId="0" borderId="7" xfId="19" applyFont="1" applyBorder="1" applyAlignment="1">
      <alignment wrapText="1"/>
    </xf>
    <xf numFmtId="0" fontId="37" fillId="0" borderId="3" xfId="19" applyBorder="1" applyAlignment="1">
      <alignment wrapText="1"/>
    </xf>
    <xf numFmtId="0" fontId="12" fillId="0" borderId="4" xfId="19" applyFont="1" applyBorder="1" applyAlignment="1">
      <alignment wrapText="1"/>
    </xf>
    <xf numFmtId="0" fontId="15" fillId="0" borderId="0" xfId="0" applyFont="1" applyFill="1" applyBorder="1" applyAlignment="1">
      <alignment horizontal="left" vertical="center" wrapText="1"/>
    </xf>
    <xf numFmtId="0" fontId="12" fillId="0" borderId="0" xfId="0" applyFont="1" applyFill="1" applyBorder="1" applyAlignment="1">
      <alignment horizontal="left" vertical="center" wrapText="1"/>
    </xf>
    <xf numFmtId="0" fontId="15" fillId="0" borderId="0" xfId="0" applyFont="1" applyFill="1" applyBorder="1" applyAlignment="1">
      <alignment vertical="center" wrapText="1"/>
    </xf>
    <xf numFmtId="0" fontId="13" fillId="0" borderId="0" xfId="0" applyFont="1" applyFill="1" applyBorder="1" applyAlignment="1">
      <alignment vertical="center" wrapText="1"/>
    </xf>
    <xf numFmtId="0" fontId="0" fillId="0" borderId="0" xfId="0" applyFill="1" applyBorder="1" applyAlignment="1">
      <alignment vertical="center" wrapText="1"/>
    </xf>
    <xf numFmtId="49" fontId="12" fillId="0" borderId="0" xfId="0" applyNumberFormat="1" applyFont="1" applyFill="1" applyBorder="1" applyAlignment="1">
      <alignment vertical="center" wrapText="1"/>
    </xf>
    <xf numFmtId="0" fontId="12" fillId="0" borderId="0" xfId="0" applyFont="1" applyFill="1" applyBorder="1" applyAlignment="1">
      <alignment vertical="center" wrapText="1"/>
    </xf>
    <xf numFmtId="0" fontId="0" fillId="0" borderId="0" xfId="0" applyFill="1" applyBorder="1" applyAlignment="1">
      <alignment horizontal="left" vertical="center" wrapText="1"/>
    </xf>
    <xf numFmtId="0" fontId="0" fillId="0" borderId="0" xfId="0" applyFill="1" applyBorder="1" applyAlignment="1">
      <alignment vertical="center"/>
    </xf>
    <xf numFmtId="14" fontId="12" fillId="0" borderId="1" xfId="14" applyNumberFormat="1" applyFont="1" applyFill="1" applyBorder="1" applyAlignment="1" applyProtection="1">
      <alignment horizontal="center" vertical="top"/>
      <protection locked="0"/>
    </xf>
    <xf numFmtId="0" fontId="17" fillId="0" borderId="1" xfId="14" applyFont="1" applyFill="1" applyBorder="1" applyAlignment="1" applyProtection="1">
      <alignment vertical="top" wrapText="1"/>
      <protection locked="0"/>
    </xf>
    <xf numFmtId="0" fontId="12" fillId="0" borderId="1" xfId="14" applyFont="1" applyFill="1" applyBorder="1" applyAlignment="1" applyProtection="1">
      <alignment vertical="top"/>
      <protection locked="0"/>
    </xf>
    <xf numFmtId="14" fontId="12" fillId="0" borderId="1" xfId="4" applyNumberFormat="1" applyFont="1" applyFill="1" applyBorder="1" applyAlignment="1" applyProtection="1">
      <alignment horizontal="center" vertical="top"/>
      <protection locked="0"/>
    </xf>
    <xf numFmtId="0" fontId="12" fillId="0" borderId="1" xfId="4" applyFont="1" applyFill="1" applyBorder="1" applyAlignment="1" applyProtection="1">
      <alignment vertical="top" wrapText="1"/>
      <protection locked="0"/>
    </xf>
    <xf numFmtId="0" fontId="12" fillId="0" borderId="1" xfId="4" applyFont="1" applyFill="1" applyBorder="1" applyAlignment="1" applyProtection="1">
      <alignment vertical="top"/>
      <protection locked="0"/>
    </xf>
    <xf numFmtId="14" fontId="12" fillId="0" borderId="1" xfId="5" applyNumberFormat="1" applyFont="1" applyFill="1" applyBorder="1" applyAlignment="1" applyProtection="1">
      <alignment horizontal="center" vertical="top"/>
      <protection locked="0"/>
    </xf>
    <xf numFmtId="0" fontId="17" fillId="0" borderId="1" xfId="5" applyFont="1" applyFill="1" applyBorder="1" applyAlignment="1" applyProtection="1">
      <alignment vertical="top" wrapText="1"/>
      <protection locked="0"/>
    </xf>
    <xf numFmtId="0" fontId="12" fillId="0" borderId="1" xfId="5" applyFont="1" applyFill="1" applyBorder="1" applyAlignment="1" applyProtection="1">
      <alignment vertical="top"/>
      <protection locked="0"/>
    </xf>
    <xf numFmtId="0" fontId="17" fillId="0" borderId="1" xfId="5" applyNumberFormat="1" applyFont="1" applyFill="1" applyBorder="1" applyAlignment="1" applyProtection="1">
      <alignment vertical="top" wrapText="1"/>
      <protection locked="0"/>
    </xf>
    <xf numFmtId="0" fontId="12" fillId="0" borderId="4" xfId="0" applyFont="1" applyFill="1" applyBorder="1" applyAlignment="1" applyProtection="1">
      <alignment vertical="top" wrapText="1"/>
      <protection locked="0"/>
    </xf>
    <xf numFmtId="0" fontId="12" fillId="0" borderId="4" xfId="0" applyFont="1" applyFill="1" applyBorder="1" applyAlignment="1" applyProtection="1">
      <alignment vertical="center" wrapText="1"/>
      <protection locked="0"/>
    </xf>
    <xf numFmtId="0" fontId="12" fillId="0" borderId="1" xfId="16" applyFont="1" applyFill="1" applyBorder="1" applyAlignment="1" applyProtection="1">
      <alignment vertical="top" wrapText="1"/>
      <protection locked="0"/>
    </xf>
    <xf numFmtId="14" fontId="12" fillId="0" borderId="1" xfId="6" applyNumberFormat="1" applyFont="1" applyFill="1" applyBorder="1" applyAlignment="1" applyProtection="1">
      <alignment horizontal="center" vertical="top"/>
      <protection locked="0"/>
    </xf>
    <xf numFmtId="0" fontId="12" fillId="0" borderId="1" xfId="6" applyFont="1" applyFill="1" applyBorder="1" applyAlignment="1" applyProtection="1">
      <alignment vertical="top" wrapText="1"/>
      <protection locked="0"/>
    </xf>
    <xf numFmtId="0" fontId="12" fillId="0" borderId="1" xfId="6" applyFont="1" applyFill="1" applyBorder="1" applyAlignment="1" applyProtection="1">
      <alignment vertical="top"/>
      <protection locked="0"/>
    </xf>
    <xf numFmtId="0" fontId="17" fillId="0" borderId="1" xfId="12" applyFont="1" applyFill="1" applyBorder="1" applyAlignment="1" applyProtection="1">
      <alignment vertical="top" wrapText="1"/>
      <protection locked="0"/>
    </xf>
    <xf numFmtId="0" fontId="12" fillId="0" borderId="1" xfId="4" applyFont="1" applyFill="1" applyBorder="1" applyAlignment="1" applyProtection="1">
      <alignment vertical="center" wrapText="1"/>
      <protection locked="0"/>
    </xf>
    <xf numFmtId="0" fontId="38" fillId="0" borderId="1" xfId="17" applyFont="1" applyFill="1" applyBorder="1" applyAlignment="1">
      <alignment wrapText="1"/>
    </xf>
    <xf numFmtId="0" fontId="39" fillId="0" borderId="1" xfId="17" applyFont="1" applyFill="1" applyBorder="1" applyAlignment="1">
      <alignment wrapText="1"/>
    </xf>
    <xf numFmtId="0" fontId="38" fillId="0" borderId="1" xfId="20" applyFont="1" applyFill="1" applyBorder="1" applyAlignment="1">
      <alignment wrapText="1"/>
    </xf>
    <xf numFmtId="14" fontId="12" fillId="4" borderId="1" xfId="0" applyNumberFormat="1" applyFont="1" applyFill="1" applyBorder="1" applyAlignment="1" applyProtection="1">
      <alignment horizontal="center" vertical="top"/>
      <protection locked="0"/>
    </xf>
    <xf numFmtId="0" fontId="39" fillId="4" borderId="1" xfId="21" applyFont="1" applyFill="1" applyBorder="1"/>
    <xf numFmtId="0" fontId="12" fillId="4" borderId="1" xfId="0" applyFont="1" applyFill="1" applyBorder="1" applyAlignment="1" applyProtection="1">
      <alignment vertical="top"/>
      <protection locked="0"/>
    </xf>
    <xf numFmtId="0" fontId="17" fillId="4" borderId="1" xfId="22" applyFont="1" applyFill="1" applyBorder="1" applyAlignment="1" applyProtection="1">
      <alignment vertical="top" wrapText="1"/>
      <protection locked="0"/>
    </xf>
    <xf numFmtId="0" fontId="38" fillId="4" borderId="1" xfId="21" applyFont="1" applyFill="1" applyBorder="1" applyAlignment="1">
      <alignment wrapText="1"/>
    </xf>
    <xf numFmtId="0" fontId="39" fillId="4" borderId="1" xfId="21" applyFont="1" applyFill="1" applyBorder="1" applyAlignment="1">
      <alignment wrapText="1"/>
    </xf>
    <xf numFmtId="0" fontId="12" fillId="0" borderId="0" xfId="0" applyFont="1" applyFill="1" applyBorder="1" applyAlignment="1">
      <alignment vertical="center" wrapText="1"/>
    </xf>
    <xf numFmtId="0" fontId="12" fillId="0" borderId="0" xfId="0" applyFont="1" applyFill="1" applyBorder="1" applyAlignment="1">
      <alignment vertical="center" wrapText="1"/>
    </xf>
    <xf numFmtId="0" fontId="12" fillId="0" borderId="1" xfId="0" applyFont="1" applyBorder="1" applyAlignment="1" applyProtection="1">
      <alignment vertical="top"/>
      <protection locked="0"/>
    </xf>
    <xf numFmtId="0" fontId="38" fillId="0" borderId="1" xfId="81" applyFont="1" applyBorder="1" applyAlignment="1">
      <alignment wrapText="1"/>
    </xf>
    <xf numFmtId="0" fontId="39" fillId="0" borderId="1" xfId="81" applyFont="1" applyBorder="1" applyAlignment="1">
      <alignment wrapText="1"/>
    </xf>
    <xf numFmtId="0" fontId="17" fillId="0" borderId="1" xfId="6" applyNumberFormat="1" applyFont="1" applyFill="1" applyBorder="1" applyAlignment="1" applyProtection="1">
      <alignment vertical="top" wrapText="1"/>
      <protection locked="0"/>
    </xf>
    <xf numFmtId="0" fontId="12" fillId="0" borderId="1" xfId="22" applyFont="1" applyFill="1" applyBorder="1" applyAlignment="1" applyProtection="1">
      <alignment vertical="top" wrapText="1"/>
      <protection locked="0"/>
    </xf>
    <xf numFmtId="0" fontId="38" fillId="0" borderId="1" xfId="102" applyFont="1" applyBorder="1" applyAlignment="1">
      <alignment wrapText="1"/>
    </xf>
    <xf numFmtId="0" fontId="39" fillId="0" borderId="1" xfId="102" applyFont="1" applyBorder="1" applyAlignment="1">
      <alignment wrapText="1"/>
    </xf>
    <xf numFmtId="14" fontId="42" fillId="0" borderId="1" xfId="61" applyNumberFormat="1" applyBorder="1" applyAlignment="1" applyProtection="1">
      <alignment horizontal="center" vertical="top"/>
      <protection locked="0"/>
    </xf>
    <xf numFmtId="0" fontId="39" fillId="0" borderId="1" xfId="97" applyFont="1" applyFill="1" applyBorder="1" applyAlignment="1">
      <alignment vertical="top" wrapText="1"/>
    </xf>
    <xf numFmtId="0" fontId="39" fillId="0" borderId="1" xfId="21" applyFont="1" applyFill="1" applyBorder="1" applyAlignment="1">
      <alignment wrapText="1"/>
    </xf>
    <xf numFmtId="0" fontId="38" fillId="4" borderId="1" xfId="92" applyFont="1" applyFill="1" applyBorder="1" applyAlignment="1">
      <alignment wrapText="1"/>
    </xf>
    <xf numFmtId="0" fontId="17" fillId="4" borderId="1" xfId="6" applyNumberFormat="1" applyFont="1" applyFill="1" applyBorder="1" applyAlignment="1" applyProtection="1">
      <alignment vertical="top" wrapText="1"/>
      <protection locked="0"/>
    </xf>
    <xf numFmtId="0" fontId="39" fillId="4" borderId="1" xfId="97" applyFont="1" applyFill="1" applyBorder="1" applyAlignment="1">
      <alignment wrapText="1"/>
    </xf>
    <xf numFmtId="14" fontId="0" fillId="4" borderId="1" xfId="0" applyNumberFormat="1" applyFill="1" applyBorder="1" applyAlignment="1" applyProtection="1">
      <alignment horizontal="center" vertical="top"/>
      <protection locked="0"/>
    </xf>
    <xf numFmtId="0" fontId="17" fillId="4" borderId="1" xfId="0" applyFont="1" applyFill="1" applyBorder="1" applyAlignment="1" applyProtection="1">
      <alignment vertical="top" wrapText="1"/>
      <protection locked="0"/>
    </xf>
    <xf numFmtId="0" fontId="12" fillId="4" borderId="1" xfId="0" applyFont="1" applyFill="1" applyBorder="1" applyAlignment="1" applyProtection="1">
      <alignment vertical="center" wrapText="1"/>
      <protection locked="0"/>
    </xf>
    <xf numFmtId="0" fontId="12" fillId="0" borderId="0" xfId="0" applyFont="1" applyFill="1" applyBorder="1" applyAlignment="1">
      <alignment horizontal="left" vertical="center" wrapText="1"/>
    </xf>
    <xf numFmtId="0" fontId="15" fillId="0" borderId="0" xfId="0" applyFont="1" applyFill="1" applyBorder="1" applyAlignment="1">
      <alignment horizontal="left" vertical="center" wrapText="1"/>
    </xf>
    <xf numFmtId="0" fontId="12" fillId="0" borderId="0" xfId="0" applyFont="1" applyFill="1" applyBorder="1" applyAlignment="1">
      <alignment vertical="center" wrapText="1"/>
    </xf>
    <xf numFmtId="0" fontId="15" fillId="0" borderId="0" xfId="0" applyFont="1" applyFill="1" applyBorder="1" applyAlignment="1">
      <alignment vertical="center" wrapText="1"/>
    </xf>
    <xf numFmtId="0" fontId="12" fillId="0" borderId="0" xfId="0" applyFont="1" applyFill="1" applyBorder="1" applyAlignment="1">
      <alignment vertical="top" wrapText="1"/>
    </xf>
    <xf numFmtId="0" fontId="40" fillId="0" borderId="0" xfId="0" applyFont="1" applyFill="1" applyBorder="1" applyAlignment="1">
      <alignment vertical="center" wrapText="1"/>
    </xf>
    <xf numFmtId="0" fontId="40" fillId="0" borderId="0" xfId="0" applyFont="1" applyFill="1" applyBorder="1" applyAlignment="1">
      <alignment horizontal="center" vertical="top"/>
    </xf>
    <xf numFmtId="0" fontId="12" fillId="4" borderId="1" xfId="0" applyFont="1" applyFill="1" applyBorder="1" applyAlignment="1" applyProtection="1">
      <alignment vertical="top" wrapText="1"/>
      <protection locked="0"/>
    </xf>
    <xf numFmtId="0" fontId="12" fillId="6" borderId="1" xfId="0" applyFont="1" applyFill="1" applyBorder="1" applyAlignment="1" applyProtection="1">
      <alignment vertical="top"/>
      <protection locked="0"/>
    </xf>
    <xf numFmtId="0" fontId="12" fillId="5" borderId="0" xfId="0" applyFont="1" applyFill="1" applyBorder="1" applyAlignment="1">
      <alignment vertical="center" wrapText="1"/>
    </xf>
    <xf numFmtId="0" fontId="12" fillId="5" borderId="0" xfId="0" applyFont="1" applyFill="1" applyBorder="1" applyAlignment="1">
      <alignment horizontal="left" vertical="center" wrapText="1"/>
    </xf>
    <xf numFmtId="0" fontId="12" fillId="5" borderId="0" xfId="0" applyFont="1" applyFill="1" applyBorder="1" applyAlignment="1">
      <alignment horizontal="center" vertical="top"/>
    </xf>
    <xf numFmtId="0" fontId="12" fillId="5" borderId="0" xfId="0" applyFont="1" applyFill="1" applyBorder="1" applyAlignment="1">
      <alignment vertical="center" wrapText="1"/>
    </xf>
    <xf numFmtId="0" fontId="12" fillId="5" borderId="0" xfId="0" applyFont="1" applyFill="1" applyBorder="1" applyAlignment="1">
      <alignment horizontal="center" vertical="top" wrapText="1"/>
    </xf>
    <xf numFmtId="0" fontId="17" fillId="0" borderId="1" xfId="104" applyFont="1" applyFill="1" applyBorder="1" applyAlignment="1" applyProtection="1">
      <alignment vertical="top" wrapText="1"/>
      <protection locked="0"/>
    </xf>
    <xf numFmtId="14" fontId="12" fillId="0" borderId="1" xfId="188" applyNumberFormat="1" applyBorder="1" applyAlignment="1" applyProtection="1">
      <alignment horizontal="center" vertical="top"/>
      <protection locked="0"/>
    </xf>
    <xf numFmtId="0" fontId="12" fillId="0" borderId="1" xfId="104" applyFont="1" applyFill="1" applyBorder="1" applyAlignment="1" applyProtection="1">
      <alignment vertical="top" wrapText="1"/>
      <protection locked="0"/>
    </xf>
    <xf numFmtId="0" fontId="12" fillId="0" borderId="7" xfId="104" applyFont="1" applyFill="1" applyBorder="1" applyAlignment="1" applyProtection="1">
      <alignment vertical="top" wrapText="1"/>
      <protection locked="0"/>
    </xf>
    <xf numFmtId="14" fontId="38" fillId="0" borderId="0" xfId="187" applyNumberFormat="1" applyFont="1"/>
    <xf numFmtId="14" fontId="38" fillId="0" borderId="1" xfId="187" applyNumberFormat="1" applyFont="1" applyBorder="1"/>
    <xf numFmtId="0" fontId="12" fillId="5" borderId="0" xfId="0" applyFont="1" applyFill="1" applyBorder="1" applyAlignment="1">
      <alignment vertical="center" wrapText="1"/>
    </xf>
    <xf numFmtId="0" fontId="39" fillId="0" borderId="1" xfId="529" applyFont="1" applyBorder="1" applyAlignment="1">
      <alignment wrapText="1"/>
    </xf>
    <xf numFmtId="0" fontId="12" fillId="5" borderId="0" xfId="0" applyFont="1" applyFill="1" applyBorder="1" applyAlignment="1">
      <alignment horizontal="left" vertical="center" wrapText="1"/>
    </xf>
    <xf numFmtId="0" fontId="12" fillId="5" borderId="0" xfId="0" applyFont="1" applyFill="1" applyBorder="1" applyAlignment="1">
      <alignment vertical="center" wrapText="1"/>
    </xf>
    <xf numFmtId="14" fontId="12" fillId="0" borderId="6" xfId="188" applyNumberFormat="1" applyBorder="1" applyAlignment="1" applyProtection="1">
      <alignment horizontal="center" vertical="top"/>
      <protection locked="0"/>
    </xf>
    <xf numFmtId="0" fontId="12" fillId="0" borderId="0" xfId="0" applyFont="1" applyFill="1" applyBorder="1" applyAlignment="1">
      <alignment horizontal="left" vertical="center" wrapText="1"/>
    </xf>
    <xf numFmtId="0" fontId="12" fillId="5" borderId="0" xfId="0" applyFont="1" applyFill="1" applyBorder="1" applyAlignment="1">
      <alignment vertical="center" wrapText="1"/>
    </xf>
    <xf numFmtId="0" fontId="12" fillId="5" borderId="0" xfId="0" applyFont="1" applyFill="1" applyBorder="1" applyAlignment="1">
      <alignment horizontal="left" vertical="center" wrapText="1"/>
    </xf>
    <xf numFmtId="0" fontId="12" fillId="0" borderId="0" xfId="0" applyFont="1" applyFill="1" applyBorder="1" applyAlignment="1">
      <alignment vertical="center" wrapText="1"/>
    </xf>
    <xf numFmtId="0" fontId="40" fillId="0" borderId="0" xfId="0" applyFont="1" applyFill="1" applyBorder="1" applyAlignment="1">
      <alignment vertical="center" wrapText="1"/>
    </xf>
    <xf numFmtId="0" fontId="40" fillId="0" borderId="0" xfId="0" applyFont="1" applyFill="1" applyBorder="1" applyAlignment="1">
      <alignment horizontal="left" vertical="center" wrapText="1"/>
    </xf>
    <xf numFmtId="0" fontId="12" fillId="0" borderId="0" xfId="0" applyFont="1" applyFill="1" applyBorder="1" applyAlignment="1">
      <alignment vertical="top" wrapText="1"/>
    </xf>
    <xf numFmtId="0" fontId="17" fillId="7" borderId="1" xfId="104" applyFont="1" applyFill="1" applyBorder="1" applyAlignment="1" applyProtection="1">
      <alignment vertical="top" wrapText="1"/>
      <protection locked="0"/>
    </xf>
    <xf numFmtId="0" fontId="12" fillId="0" borderId="1" xfId="104" applyFont="1" applyFill="1" applyBorder="1" applyAlignment="1" applyProtection="1">
      <alignment vertical="top" wrapText="1"/>
      <protection locked="0"/>
    </xf>
    <xf numFmtId="0" fontId="15" fillId="0" borderId="0" xfId="0" applyFont="1" applyFill="1" applyBorder="1" applyAlignment="1">
      <alignment horizontal="left" vertical="center" wrapText="1"/>
    </xf>
    <xf numFmtId="0" fontId="12" fillId="0" borderId="0" xfId="17" applyFont="1" applyFill="1" applyBorder="1" applyAlignment="1">
      <alignment vertical="center" wrapText="1"/>
    </xf>
    <xf numFmtId="0" fontId="12" fillId="0" borderId="0" xfId="0" applyFont="1" applyFill="1" applyBorder="1" applyAlignment="1">
      <alignment horizontal="left" vertical="center" wrapText="1"/>
    </xf>
    <xf numFmtId="0" fontId="15" fillId="0" borderId="0" xfId="0" applyFont="1" applyFill="1" applyBorder="1" applyAlignment="1">
      <alignment vertical="center" wrapText="1"/>
    </xf>
    <xf numFmtId="0" fontId="12" fillId="0" borderId="0" xfId="0" applyFont="1" applyFill="1" applyBorder="1" applyAlignment="1">
      <alignment vertical="top" wrapText="1"/>
    </xf>
    <xf numFmtId="0" fontId="12" fillId="0" borderId="0" xfId="0" applyFont="1" applyFill="1" applyBorder="1" applyAlignment="1">
      <alignment vertical="center" wrapText="1"/>
    </xf>
    <xf numFmtId="0" fontId="12" fillId="5" borderId="0" xfId="0" applyFont="1" applyFill="1" applyAlignment="1">
      <alignment vertical="center" wrapText="1"/>
    </xf>
    <xf numFmtId="0" fontId="0" fillId="0" borderId="0" xfId="0" applyFill="1" applyAlignment="1">
      <alignment vertical="center" wrapText="1"/>
    </xf>
    <xf numFmtId="0" fontId="12" fillId="0" borderId="0" xfId="0" applyFont="1" applyFill="1" applyAlignment="1">
      <alignment vertical="center" wrapText="1"/>
    </xf>
    <xf numFmtId="0" fontId="12" fillId="5" borderId="0" xfId="0" applyFont="1" applyFill="1" applyBorder="1" applyAlignment="1">
      <alignment vertical="center" wrapText="1"/>
    </xf>
    <xf numFmtId="0" fontId="0" fillId="0" borderId="0" xfId="0" applyFill="1" applyBorder="1" applyAlignment="1">
      <alignment vertical="center" wrapText="1"/>
    </xf>
    <xf numFmtId="0" fontId="13" fillId="0" borderId="0" xfId="0" applyFont="1" applyFill="1" applyBorder="1" applyAlignment="1">
      <alignment vertical="center" wrapText="1"/>
    </xf>
    <xf numFmtId="49" fontId="12" fillId="5" borderId="0" xfId="0" applyNumberFormat="1" applyFont="1" applyFill="1" applyBorder="1" applyAlignment="1">
      <alignment horizontal="left" vertical="center" wrapText="1"/>
    </xf>
    <xf numFmtId="0" fontId="17" fillId="5" borderId="0" xfId="0" applyFont="1" applyFill="1" applyBorder="1" applyAlignment="1">
      <alignment horizontal="left" vertical="center" wrapText="1"/>
    </xf>
    <xf numFmtId="0" fontId="12" fillId="5" borderId="0" xfId="0" applyFont="1" applyFill="1" applyBorder="1" applyAlignment="1">
      <alignment vertical="center" wrapText="1"/>
    </xf>
    <xf numFmtId="0" fontId="12" fillId="5" borderId="0" xfId="0" applyFont="1" applyFill="1" applyBorder="1" applyAlignment="1">
      <alignment horizontal="left" vertical="center" wrapText="1"/>
    </xf>
    <xf numFmtId="0" fontId="15" fillId="5" borderId="0" xfId="0" applyFont="1" applyFill="1" applyBorder="1" applyAlignment="1">
      <alignment vertical="top"/>
    </xf>
    <xf numFmtId="0" fontId="36" fillId="5" borderId="0" xfId="0" applyFont="1" applyFill="1" applyBorder="1" applyAlignment="1">
      <alignment vertical="top"/>
    </xf>
    <xf numFmtId="0" fontId="36" fillId="5" borderId="0" xfId="0" applyFont="1" applyFill="1" applyBorder="1" applyAlignment="1">
      <alignment vertical="top" wrapText="1"/>
    </xf>
    <xf numFmtId="0" fontId="38" fillId="5" borderId="0" xfId="0" applyFont="1" applyFill="1" applyBorder="1" applyAlignment="1">
      <alignment vertical="center" wrapText="1"/>
    </xf>
    <xf numFmtId="0" fontId="32" fillId="5" borderId="0" xfId="0" applyFont="1" applyFill="1" applyBorder="1" applyAlignment="1">
      <alignment vertical="center" wrapText="1"/>
    </xf>
    <xf numFmtId="0" fontId="40" fillId="5" borderId="0" xfId="0" applyFont="1" applyFill="1" applyBorder="1" applyAlignment="1">
      <alignment horizontal="center" vertical="top"/>
    </xf>
    <xf numFmtId="0" fontId="46" fillId="5" borderId="0" xfId="0" applyFont="1" applyFill="1" applyBorder="1" applyAlignment="1">
      <alignment wrapText="1"/>
    </xf>
    <xf numFmtId="0" fontId="40" fillId="5" borderId="0" xfId="0" applyFont="1" applyFill="1" applyBorder="1" applyAlignment="1">
      <alignment horizontal="center"/>
    </xf>
    <xf numFmtId="0" fontId="40" fillId="0" borderId="0" xfId="0" applyFont="1" applyFill="1" applyBorder="1" applyAlignment="1">
      <alignment horizontal="center"/>
    </xf>
    <xf numFmtId="0" fontId="46" fillId="0" borderId="0" xfId="0" applyFont="1" applyFill="1" applyBorder="1" applyAlignment="1">
      <alignment vertical="top"/>
    </xf>
    <xf numFmtId="0" fontId="30" fillId="0" borderId="0" xfId="0" applyFont="1" applyFill="1" applyBorder="1" applyAlignment="1">
      <alignment horizontal="left"/>
    </xf>
    <xf numFmtId="0" fontId="0" fillId="0" borderId="0" xfId="0" applyFill="1" applyBorder="1" applyAlignment="1"/>
    <xf numFmtId="0" fontId="13" fillId="0" borderId="0" xfId="0" applyFont="1" applyFill="1" applyBorder="1" applyAlignment="1">
      <alignment vertical="center" wrapText="1"/>
    </xf>
    <xf numFmtId="0" fontId="0" fillId="0" borderId="0" xfId="0" applyFill="1" applyBorder="1" applyAlignment="1">
      <alignment vertical="center" wrapText="1"/>
    </xf>
    <xf numFmtId="0" fontId="12" fillId="5" borderId="0" xfId="0" applyFont="1" applyFill="1" applyBorder="1" applyAlignment="1">
      <alignment vertical="center" wrapText="1"/>
    </xf>
    <xf numFmtId="0" fontId="15" fillId="0" borderId="0" xfId="0" applyFont="1" applyFill="1" applyBorder="1" applyAlignment="1">
      <alignment horizontal="left" vertical="center" wrapText="1"/>
    </xf>
    <xf numFmtId="0" fontId="0" fillId="0" borderId="0" xfId="0" applyFill="1" applyBorder="1" applyAlignment="1">
      <alignment horizontal="left" vertical="center" wrapText="1"/>
    </xf>
    <xf numFmtId="0" fontId="30" fillId="5" borderId="0" xfId="0" applyFont="1" applyFill="1" applyBorder="1" applyAlignment="1">
      <alignment horizontal="left"/>
    </xf>
    <xf numFmtId="49" fontId="12" fillId="0" borderId="0" xfId="0" applyNumberFormat="1" applyFont="1" applyFill="1" applyBorder="1" applyAlignment="1">
      <alignment vertical="center" wrapText="1"/>
    </xf>
    <xf numFmtId="0" fontId="12" fillId="0" borderId="0" xfId="0" applyFont="1" applyFill="1" applyBorder="1" applyAlignment="1">
      <alignment vertical="center" wrapText="1"/>
    </xf>
    <xf numFmtId="0" fontId="12" fillId="0" borderId="0" xfId="0" applyFont="1" applyFill="1" applyBorder="1" applyAlignment="1">
      <alignment horizontal="left" vertical="center" wrapText="1"/>
    </xf>
    <xf numFmtId="0" fontId="12" fillId="5" borderId="0" xfId="0" applyFont="1" applyFill="1" applyBorder="1" applyAlignment="1">
      <alignment horizontal="left" vertical="center" wrapText="1"/>
    </xf>
    <xf numFmtId="0" fontId="12" fillId="0" borderId="0" xfId="0" applyFont="1" applyFill="1" applyBorder="1" applyAlignment="1">
      <alignment horizontal="left" vertical="top" wrapText="1"/>
    </xf>
    <xf numFmtId="0" fontId="12" fillId="0" borderId="0" xfId="17" applyFont="1" applyFill="1" applyBorder="1" applyAlignment="1">
      <alignment horizontal="left" vertical="center" wrapText="1"/>
    </xf>
    <xf numFmtId="0" fontId="38" fillId="5" borderId="0" xfId="0" applyFont="1" applyFill="1" applyBorder="1" applyAlignment="1">
      <alignment horizontal="left" vertical="center" wrapText="1"/>
    </xf>
    <xf numFmtId="0" fontId="32" fillId="5" borderId="0" xfId="0" applyFont="1" applyFill="1" applyBorder="1" applyAlignment="1">
      <alignment horizontal="left" vertical="center" wrapText="1"/>
    </xf>
    <xf numFmtId="0" fontId="23" fillId="0" borderId="5" xfId="0" applyFont="1" applyBorder="1" applyAlignment="1" applyProtection="1">
      <alignment horizontal="left" vertical="top" wrapText="1"/>
    </xf>
    <xf numFmtId="0" fontId="25" fillId="0" borderId="6" xfId="0" applyFont="1" applyBorder="1" applyAlignment="1" applyProtection="1">
      <alignment horizontal="left" vertical="top"/>
    </xf>
    <xf numFmtId="0" fontId="0" fillId="0" borderId="6" xfId="0" applyBorder="1" applyAlignment="1" applyProtection="1">
      <alignment horizontal="left" vertical="top"/>
    </xf>
    <xf numFmtId="0" fontId="0" fillId="0" borderId="0" xfId="0" applyAlignment="1">
      <alignment horizontal="left"/>
    </xf>
    <xf numFmtId="0" fontId="12" fillId="0" borderId="3" xfId="0" applyFont="1" applyBorder="1" applyAlignment="1">
      <alignment horizontal="left" wrapText="1"/>
    </xf>
    <xf numFmtId="0" fontId="12" fillId="0" borderId="4" xfId="0" applyFont="1" applyBorder="1" applyAlignment="1">
      <alignment horizontal="left" wrapText="1"/>
    </xf>
    <xf numFmtId="0" fontId="12" fillId="0" borderId="0" xfId="0" applyFont="1" applyAlignment="1">
      <alignment horizontal="left" vertical="top" wrapText="1"/>
    </xf>
    <xf numFmtId="0" fontId="27" fillId="0" borderId="8" xfId="0" applyFont="1" applyFill="1" applyBorder="1" applyAlignment="1">
      <alignment horizontal="center"/>
    </xf>
    <xf numFmtId="0" fontId="17" fillId="0" borderId="8" xfId="0" applyFont="1" applyFill="1" applyBorder="1" applyAlignment="1">
      <alignment horizontal="center" vertical="top"/>
    </xf>
    <xf numFmtId="0" fontId="17" fillId="8" borderId="8" xfId="0" applyFont="1" applyFill="1" applyBorder="1" applyAlignment="1">
      <alignment horizontal="center" vertical="top"/>
    </xf>
    <xf numFmtId="0" fontId="17" fillId="8" borderId="9" xfId="0" applyFont="1" applyFill="1" applyBorder="1" applyAlignment="1">
      <alignment horizontal="center" vertical="top"/>
    </xf>
    <xf numFmtId="0" fontId="47" fillId="5" borderId="8" xfId="0" applyFont="1" applyFill="1" applyBorder="1" applyAlignment="1">
      <alignment horizontal="center" vertical="top"/>
    </xf>
    <xf numFmtId="0" fontId="17" fillId="5" borderId="8" xfId="0" applyFont="1" applyFill="1" applyBorder="1" applyAlignment="1">
      <alignment horizontal="center" vertical="top"/>
    </xf>
    <xf numFmtId="0" fontId="23" fillId="0" borderId="8" xfId="0" applyFont="1" applyFill="1" applyBorder="1" applyAlignment="1">
      <alignment horizontal="center" vertical="top"/>
    </xf>
    <xf numFmtId="0" fontId="48" fillId="0" borderId="8" xfId="0" applyFont="1" applyFill="1" applyBorder="1" applyAlignment="1">
      <alignment horizontal="center" vertical="top"/>
    </xf>
    <xf numFmtId="0" fontId="17" fillId="0" borderId="8" xfId="0" applyFont="1" applyFill="1" applyBorder="1" applyAlignment="1">
      <alignment horizontal="center" vertical="top" wrapText="1"/>
    </xf>
    <xf numFmtId="0" fontId="49" fillId="0" borderId="8" xfId="0" applyFont="1" applyFill="1" applyBorder="1" applyAlignment="1">
      <alignment horizontal="center" vertical="top"/>
    </xf>
    <xf numFmtId="0" fontId="27" fillId="8" borderId="0" xfId="0" applyFont="1" applyFill="1" applyBorder="1" applyAlignment="1">
      <alignment horizontal="center" wrapText="1"/>
    </xf>
    <xf numFmtId="0" fontId="0" fillId="8" borderId="0" xfId="0" applyFill="1" applyBorder="1" applyAlignment="1">
      <alignment horizontal="center" vertical="top"/>
    </xf>
  </cellXfs>
  <cellStyles count="1690">
    <cellStyle name="Hyperlink" xfId="19" builtinId="8"/>
    <cellStyle name="Normal" xfId="0" builtinId="0"/>
    <cellStyle name="Normal 10" xfId="17"/>
    <cellStyle name="Normal 10 10" xfId="861"/>
    <cellStyle name="Normal 10 2" xfId="24"/>
    <cellStyle name="Normal 10 2 2" xfId="35"/>
    <cellStyle name="Normal 10 2 2 2" xfId="56"/>
    <cellStyle name="Normal 10 2 2 2 2" xfId="99"/>
    <cellStyle name="Normal 10 2 2 2 2 2" xfId="183"/>
    <cellStyle name="Normal 10 2 2 2 2 2 2" xfId="348"/>
    <cellStyle name="Normal 10 2 2 2 2 2 2 2" xfId="854"/>
    <cellStyle name="Normal 10 2 2 2 2 2 2 2 2" xfId="1686"/>
    <cellStyle name="Normal 10 2 2 2 2 2 2 3" xfId="1183"/>
    <cellStyle name="Normal 10 2 2 2 2 2 3" xfId="690"/>
    <cellStyle name="Normal 10 2 2 2 2 2 3 2" xfId="1522"/>
    <cellStyle name="Normal 10 2 2 2 2 2 4" xfId="526"/>
    <cellStyle name="Normal 10 2 2 2 2 2 4 2" xfId="1359"/>
    <cellStyle name="Normal 10 2 2 2 2 2 5" xfId="1019"/>
    <cellStyle name="Normal 10 2 2 2 2 3" xfId="266"/>
    <cellStyle name="Normal 10 2 2 2 2 3 2" xfId="772"/>
    <cellStyle name="Normal 10 2 2 2 2 3 2 2" xfId="1604"/>
    <cellStyle name="Normal 10 2 2 2 2 3 3" xfId="1101"/>
    <cellStyle name="Normal 10 2 2 2 2 4" xfId="608"/>
    <cellStyle name="Normal 10 2 2 2 2 4 2" xfId="1440"/>
    <cellStyle name="Normal 10 2 2 2 2 5" xfId="438"/>
    <cellStyle name="Normal 10 2 2 2 2 5 2" xfId="1271"/>
    <cellStyle name="Normal 10 2 2 2 2 6" xfId="937"/>
    <cellStyle name="Normal 10 2 2 2 3" xfId="141"/>
    <cellStyle name="Normal 10 2 2 2 3 2" xfId="307"/>
    <cellStyle name="Normal 10 2 2 2 3 2 2" xfId="813"/>
    <cellStyle name="Normal 10 2 2 2 3 2 2 2" xfId="1645"/>
    <cellStyle name="Normal 10 2 2 2 3 2 3" xfId="1142"/>
    <cellStyle name="Normal 10 2 2 2 3 3" xfId="649"/>
    <cellStyle name="Normal 10 2 2 2 3 3 2" xfId="1481"/>
    <cellStyle name="Normal 10 2 2 2 3 4" xfId="482"/>
    <cellStyle name="Normal 10 2 2 2 3 4 2" xfId="1315"/>
    <cellStyle name="Normal 10 2 2 2 3 5" xfId="978"/>
    <cellStyle name="Normal 10 2 2 2 4" xfId="225"/>
    <cellStyle name="Normal 10 2 2 2 4 2" xfId="731"/>
    <cellStyle name="Normal 10 2 2 2 4 2 2" xfId="1563"/>
    <cellStyle name="Normal 10 2 2 2 4 3" xfId="1060"/>
    <cellStyle name="Normal 10 2 2 2 5" xfId="567"/>
    <cellStyle name="Normal 10 2 2 2 5 2" xfId="1399"/>
    <cellStyle name="Normal 10 2 2 2 6" xfId="394"/>
    <cellStyle name="Normal 10 2 2 2 6 2" xfId="1227"/>
    <cellStyle name="Normal 10 2 2 2 7" xfId="896"/>
    <cellStyle name="Normal 10 2 2 3" xfId="78"/>
    <cellStyle name="Normal 10 2 2 3 2" xfId="163"/>
    <cellStyle name="Normal 10 2 2 3 2 2" xfId="328"/>
    <cellStyle name="Normal 10 2 2 3 2 2 2" xfId="834"/>
    <cellStyle name="Normal 10 2 2 3 2 2 2 2" xfId="1666"/>
    <cellStyle name="Normal 10 2 2 3 2 2 3" xfId="1163"/>
    <cellStyle name="Normal 10 2 2 3 2 3" xfId="670"/>
    <cellStyle name="Normal 10 2 2 3 2 3 2" xfId="1502"/>
    <cellStyle name="Normal 10 2 2 3 2 4" xfId="506"/>
    <cellStyle name="Normal 10 2 2 3 2 4 2" xfId="1339"/>
    <cellStyle name="Normal 10 2 2 3 2 5" xfId="999"/>
    <cellStyle name="Normal 10 2 2 3 3" xfId="246"/>
    <cellStyle name="Normal 10 2 2 3 3 2" xfId="752"/>
    <cellStyle name="Normal 10 2 2 3 3 2 2" xfId="1584"/>
    <cellStyle name="Normal 10 2 2 3 3 3" xfId="1081"/>
    <cellStyle name="Normal 10 2 2 3 4" xfId="588"/>
    <cellStyle name="Normal 10 2 2 3 4 2" xfId="1420"/>
    <cellStyle name="Normal 10 2 2 3 5" xfId="418"/>
    <cellStyle name="Normal 10 2 2 3 5 2" xfId="1251"/>
    <cellStyle name="Normal 10 2 2 3 6" xfId="917"/>
    <cellStyle name="Normal 10 2 2 4" xfId="121"/>
    <cellStyle name="Normal 10 2 2 4 2" xfId="287"/>
    <cellStyle name="Normal 10 2 2 4 2 2" xfId="793"/>
    <cellStyle name="Normal 10 2 2 4 2 2 2" xfId="1625"/>
    <cellStyle name="Normal 10 2 2 4 2 3" xfId="1122"/>
    <cellStyle name="Normal 10 2 2 4 3" xfId="629"/>
    <cellStyle name="Normal 10 2 2 4 3 2" xfId="1461"/>
    <cellStyle name="Normal 10 2 2 4 4" xfId="462"/>
    <cellStyle name="Normal 10 2 2 4 4 2" xfId="1295"/>
    <cellStyle name="Normal 10 2 2 4 5" xfId="958"/>
    <cellStyle name="Normal 10 2 2 5" xfId="205"/>
    <cellStyle name="Normal 10 2 2 5 2" xfId="711"/>
    <cellStyle name="Normal 10 2 2 5 2 2" xfId="1543"/>
    <cellStyle name="Normal 10 2 2 5 3" xfId="1040"/>
    <cellStyle name="Normal 10 2 2 6" xfId="547"/>
    <cellStyle name="Normal 10 2 2 6 2" xfId="1379"/>
    <cellStyle name="Normal 10 2 2 7" xfId="374"/>
    <cellStyle name="Normal 10 2 2 7 2" xfId="1207"/>
    <cellStyle name="Normal 10 2 2 8" xfId="876"/>
    <cellStyle name="Normal 10 2 3" xfId="46"/>
    <cellStyle name="Normal 10 2 3 2" xfId="89"/>
    <cellStyle name="Normal 10 2 3 2 2" xfId="173"/>
    <cellStyle name="Normal 10 2 3 2 2 2" xfId="338"/>
    <cellStyle name="Normal 10 2 3 2 2 2 2" xfId="844"/>
    <cellStyle name="Normal 10 2 3 2 2 2 2 2" xfId="1676"/>
    <cellStyle name="Normal 10 2 3 2 2 2 3" xfId="1173"/>
    <cellStyle name="Normal 10 2 3 2 2 3" xfId="680"/>
    <cellStyle name="Normal 10 2 3 2 2 3 2" xfId="1512"/>
    <cellStyle name="Normal 10 2 3 2 2 4" xfId="516"/>
    <cellStyle name="Normal 10 2 3 2 2 4 2" xfId="1349"/>
    <cellStyle name="Normal 10 2 3 2 2 5" xfId="1009"/>
    <cellStyle name="Normal 10 2 3 2 3" xfId="256"/>
    <cellStyle name="Normal 10 2 3 2 3 2" xfId="762"/>
    <cellStyle name="Normal 10 2 3 2 3 2 2" xfId="1594"/>
    <cellStyle name="Normal 10 2 3 2 3 3" xfId="1091"/>
    <cellStyle name="Normal 10 2 3 2 4" xfId="598"/>
    <cellStyle name="Normal 10 2 3 2 4 2" xfId="1430"/>
    <cellStyle name="Normal 10 2 3 2 5" xfId="428"/>
    <cellStyle name="Normal 10 2 3 2 5 2" xfId="1261"/>
    <cellStyle name="Normal 10 2 3 2 6" xfId="927"/>
    <cellStyle name="Normal 10 2 3 3" xfId="131"/>
    <cellStyle name="Normal 10 2 3 3 2" xfId="297"/>
    <cellStyle name="Normal 10 2 3 3 2 2" xfId="803"/>
    <cellStyle name="Normal 10 2 3 3 2 2 2" xfId="1635"/>
    <cellStyle name="Normal 10 2 3 3 2 3" xfId="1132"/>
    <cellStyle name="Normal 10 2 3 3 3" xfId="639"/>
    <cellStyle name="Normal 10 2 3 3 3 2" xfId="1471"/>
    <cellStyle name="Normal 10 2 3 3 4" xfId="472"/>
    <cellStyle name="Normal 10 2 3 3 4 2" xfId="1305"/>
    <cellStyle name="Normal 10 2 3 3 5" xfId="968"/>
    <cellStyle name="Normal 10 2 3 4" xfId="215"/>
    <cellStyle name="Normal 10 2 3 4 2" xfId="721"/>
    <cellStyle name="Normal 10 2 3 4 2 2" xfId="1553"/>
    <cellStyle name="Normal 10 2 3 4 3" xfId="1050"/>
    <cellStyle name="Normal 10 2 3 5" xfId="557"/>
    <cellStyle name="Normal 10 2 3 5 2" xfId="1389"/>
    <cellStyle name="Normal 10 2 3 6" xfId="384"/>
    <cellStyle name="Normal 10 2 3 6 2" xfId="1217"/>
    <cellStyle name="Normal 10 2 3 7" xfId="886"/>
    <cellStyle name="Normal 10 2 4" xfId="68"/>
    <cellStyle name="Normal 10 2 4 2" xfId="153"/>
    <cellStyle name="Normal 10 2 4 2 2" xfId="318"/>
    <cellStyle name="Normal 10 2 4 2 2 2" xfId="824"/>
    <cellStyle name="Normal 10 2 4 2 2 2 2" xfId="1656"/>
    <cellStyle name="Normal 10 2 4 2 2 3" xfId="1153"/>
    <cellStyle name="Normal 10 2 4 2 3" xfId="660"/>
    <cellStyle name="Normal 10 2 4 2 3 2" xfId="1492"/>
    <cellStyle name="Normal 10 2 4 2 4" xfId="496"/>
    <cellStyle name="Normal 10 2 4 2 4 2" xfId="1329"/>
    <cellStyle name="Normal 10 2 4 2 5" xfId="989"/>
    <cellStyle name="Normal 10 2 4 3" xfId="236"/>
    <cellStyle name="Normal 10 2 4 3 2" xfId="742"/>
    <cellStyle name="Normal 10 2 4 3 2 2" xfId="1574"/>
    <cellStyle name="Normal 10 2 4 3 3" xfId="1071"/>
    <cellStyle name="Normal 10 2 4 4" xfId="578"/>
    <cellStyle name="Normal 10 2 4 4 2" xfId="1410"/>
    <cellStyle name="Normal 10 2 4 5" xfId="408"/>
    <cellStyle name="Normal 10 2 4 5 2" xfId="1241"/>
    <cellStyle name="Normal 10 2 4 6" xfId="907"/>
    <cellStyle name="Normal 10 2 5" xfId="111"/>
    <cellStyle name="Normal 10 2 5 2" xfId="277"/>
    <cellStyle name="Normal 10 2 5 2 2" xfId="783"/>
    <cellStyle name="Normal 10 2 5 2 2 2" xfId="1615"/>
    <cellStyle name="Normal 10 2 5 2 3" xfId="1112"/>
    <cellStyle name="Normal 10 2 5 3" xfId="619"/>
    <cellStyle name="Normal 10 2 5 3 2" xfId="1451"/>
    <cellStyle name="Normal 10 2 5 4" xfId="452"/>
    <cellStyle name="Normal 10 2 5 4 2" xfId="1285"/>
    <cellStyle name="Normal 10 2 5 5" xfId="948"/>
    <cellStyle name="Normal 10 2 6" xfId="195"/>
    <cellStyle name="Normal 10 2 6 2" xfId="701"/>
    <cellStyle name="Normal 10 2 6 2 2" xfId="1533"/>
    <cellStyle name="Normal 10 2 6 3" xfId="1030"/>
    <cellStyle name="Normal 10 2 7" xfId="537"/>
    <cellStyle name="Normal 10 2 7 2" xfId="1369"/>
    <cellStyle name="Normal 10 2 8" xfId="364"/>
    <cellStyle name="Normal 10 2 8 2" xfId="1197"/>
    <cellStyle name="Normal 10 2 9" xfId="866"/>
    <cellStyle name="Normal 10 3" xfId="30"/>
    <cellStyle name="Normal 10 3 2" xfId="51"/>
    <cellStyle name="Normal 10 3 2 2" xfId="94"/>
    <cellStyle name="Normal 10 3 2 2 2" xfId="178"/>
    <cellStyle name="Normal 10 3 2 2 2 2" xfId="343"/>
    <cellStyle name="Normal 10 3 2 2 2 2 2" xfId="849"/>
    <cellStyle name="Normal 10 3 2 2 2 2 2 2" xfId="1681"/>
    <cellStyle name="Normal 10 3 2 2 2 2 3" xfId="1178"/>
    <cellStyle name="Normal 10 3 2 2 2 3" xfId="685"/>
    <cellStyle name="Normal 10 3 2 2 2 3 2" xfId="1517"/>
    <cellStyle name="Normal 10 3 2 2 2 4" xfId="521"/>
    <cellStyle name="Normal 10 3 2 2 2 4 2" xfId="1354"/>
    <cellStyle name="Normal 10 3 2 2 2 5" xfId="1014"/>
    <cellStyle name="Normal 10 3 2 2 3" xfId="261"/>
    <cellStyle name="Normal 10 3 2 2 3 2" xfId="767"/>
    <cellStyle name="Normal 10 3 2 2 3 2 2" xfId="1599"/>
    <cellStyle name="Normal 10 3 2 2 3 3" xfId="1096"/>
    <cellStyle name="Normal 10 3 2 2 4" xfId="603"/>
    <cellStyle name="Normal 10 3 2 2 4 2" xfId="1435"/>
    <cellStyle name="Normal 10 3 2 2 5" xfId="433"/>
    <cellStyle name="Normal 10 3 2 2 5 2" xfId="1266"/>
    <cellStyle name="Normal 10 3 2 2 6" xfId="932"/>
    <cellStyle name="Normal 10 3 2 3" xfId="136"/>
    <cellStyle name="Normal 10 3 2 3 2" xfId="302"/>
    <cellStyle name="Normal 10 3 2 3 2 2" xfId="808"/>
    <cellStyle name="Normal 10 3 2 3 2 2 2" xfId="1640"/>
    <cellStyle name="Normal 10 3 2 3 2 3" xfId="1137"/>
    <cellStyle name="Normal 10 3 2 3 3" xfId="644"/>
    <cellStyle name="Normal 10 3 2 3 3 2" xfId="1476"/>
    <cellStyle name="Normal 10 3 2 3 4" xfId="477"/>
    <cellStyle name="Normal 10 3 2 3 4 2" xfId="1310"/>
    <cellStyle name="Normal 10 3 2 3 5" xfId="973"/>
    <cellStyle name="Normal 10 3 2 4" xfId="220"/>
    <cellStyle name="Normal 10 3 2 4 2" xfId="726"/>
    <cellStyle name="Normal 10 3 2 4 2 2" xfId="1558"/>
    <cellStyle name="Normal 10 3 2 4 3" xfId="1055"/>
    <cellStyle name="Normal 10 3 2 5" xfId="562"/>
    <cellStyle name="Normal 10 3 2 5 2" xfId="1394"/>
    <cellStyle name="Normal 10 3 2 6" xfId="389"/>
    <cellStyle name="Normal 10 3 2 6 2" xfId="1222"/>
    <cellStyle name="Normal 10 3 2 7" xfId="891"/>
    <cellStyle name="Normal 10 3 3" xfId="73"/>
    <cellStyle name="Normal 10 3 3 2" xfId="158"/>
    <cellStyle name="Normal 10 3 3 2 2" xfId="323"/>
    <cellStyle name="Normal 10 3 3 2 2 2" xfId="829"/>
    <cellStyle name="Normal 10 3 3 2 2 2 2" xfId="1661"/>
    <cellStyle name="Normal 10 3 3 2 2 3" xfId="1158"/>
    <cellStyle name="Normal 10 3 3 2 3" xfId="665"/>
    <cellStyle name="Normal 10 3 3 2 3 2" xfId="1497"/>
    <cellStyle name="Normal 10 3 3 2 4" xfId="501"/>
    <cellStyle name="Normal 10 3 3 2 4 2" xfId="1334"/>
    <cellStyle name="Normal 10 3 3 2 5" xfId="994"/>
    <cellStyle name="Normal 10 3 3 3" xfId="241"/>
    <cellStyle name="Normal 10 3 3 3 2" xfId="747"/>
    <cellStyle name="Normal 10 3 3 3 2 2" xfId="1579"/>
    <cellStyle name="Normal 10 3 3 3 3" xfId="1076"/>
    <cellStyle name="Normal 10 3 3 4" xfId="583"/>
    <cellStyle name="Normal 10 3 3 4 2" xfId="1415"/>
    <cellStyle name="Normal 10 3 3 5" xfId="413"/>
    <cellStyle name="Normal 10 3 3 5 2" xfId="1246"/>
    <cellStyle name="Normal 10 3 3 6" xfId="912"/>
    <cellStyle name="Normal 10 3 4" xfId="116"/>
    <cellStyle name="Normal 10 3 4 2" xfId="282"/>
    <cellStyle name="Normal 10 3 4 2 2" xfId="788"/>
    <cellStyle name="Normal 10 3 4 2 2 2" xfId="1620"/>
    <cellStyle name="Normal 10 3 4 2 3" xfId="1117"/>
    <cellStyle name="Normal 10 3 4 3" xfId="624"/>
    <cellStyle name="Normal 10 3 4 3 2" xfId="1456"/>
    <cellStyle name="Normal 10 3 4 4" xfId="457"/>
    <cellStyle name="Normal 10 3 4 4 2" xfId="1290"/>
    <cellStyle name="Normal 10 3 4 5" xfId="953"/>
    <cellStyle name="Normal 10 3 5" xfId="200"/>
    <cellStyle name="Normal 10 3 5 2" xfId="706"/>
    <cellStyle name="Normal 10 3 5 2 2" xfId="1538"/>
    <cellStyle name="Normal 10 3 5 3" xfId="1035"/>
    <cellStyle name="Normal 10 3 6" xfId="542"/>
    <cellStyle name="Normal 10 3 6 2" xfId="1374"/>
    <cellStyle name="Normal 10 3 7" xfId="369"/>
    <cellStyle name="Normal 10 3 7 2" xfId="1202"/>
    <cellStyle name="Normal 10 3 8" xfId="871"/>
    <cellStyle name="Normal 10 4" xfId="41"/>
    <cellStyle name="Normal 10 4 2" xfId="84"/>
    <cellStyle name="Normal 10 4 2 2" xfId="168"/>
    <cellStyle name="Normal 10 4 2 2 2" xfId="333"/>
    <cellStyle name="Normal 10 4 2 2 2 2" xfId="839"/>
    <cellStyle name="Normal 10 4 2 2 2 2 2" xfId="1671"/>
    <cellStyle name="Normal 10 4 2 2 2 3" xfId="1168"/>
    <cellStyle name="Normal 10 4 2 2 3" xfId="675"/>
    <cellStyle name="Normal 10 4 2 2 3 2" xfId="1507"/>
    <cellStyle name="Normal 10 4 2 2 4" xfId="511"/>
    <cellStyle name="Normal 10 4 2 2 4 2" xfId="1344"/>
    <cellStyle name="Normal 10 4 2 2 5" xfId="1004"/>
    <cellStyle name="Normal 10 4 2 3" xfId="251"/>
    <cellStyle name="Normal 10 4 2 3 2" xfId="757"/>
    <cellStyle name="Normal 10 4 2 3 2 2" xfId="1589"/>
    <cellStyle name="Normal 10 4 2 3 3" xfId="1086"/>
    <cellStyle name="Normal 10 4 2 4" xfId="593"/>
    <cellStyle name="Normal 10 4 2 4 2" xfId="1425"/>
    <cellStyle name="Normal 10 4 2 5" xfId="423"/>
    <cellStyle name="Normal 10 4 2 5 2" xfId="1256"/>
    <cellStyle name="Normal 10 4 2 6" xfId="922"/>
    <cellStyle name="Normal 10 4 3" xfId="126"/>
    <cellStyle name="Normal 10 4 3 2" xfId="292"/>
    <cellStyle name="Normal 10 4 3 2 2" xfId="798"/>
    <cellStyle name="Normal 10 4 3 2 2 2" xfId="1630"/>
    <cellStyle name="Normal 10 4 3 2 3" xfId="1127"/>
    <cellStyle name="Normal 10 4 3 3" xfId="634"/>
    <cellStyle name="Normal 10 4 3 3 2" xfId="1466"/>
    <cellStyle name="Normal 10 4 3 4" xfId="467"/>
    <cellStyle name="Normal 10 4 3 4 2" xfId="1300"/>
    <cellStyle name="Normal 10 4 3 5" xfId="963"/>
    <cellStyle name="Normal 10 4 4" xfId="210"/>
    <cellStyle name="Normal 10 4 4 2" xfId="716"/>
    <cellStyle name="Normal 10 4 4 2 2" xfId="1548"/>
    <cellStyle name="Normal 10 4 4 3" xfId="1045"/>
    <cellStyle name="Normal 10 4 5" xfId="552"/>
    <cellStyle name="Normal 10 4 5 2" xfId="1384"/>
    <cellStyle name="Normal 10 4 6" xfId="379"/>
    <cellStyle name="Normal 10 4 6 2" xfId="1212"/>
    <cellStyle name="Normal 10 4 7" xfId="881"/>
    <cellStyle name="Normal 10 5" xfId="63"/>
    <cellStyle name="Normal 10 5 2" xfId="148"/>
    <cellStyle name="Normal 10 5 2 2" xfId="313"/>
    <cellStyle name="Normal 10 5 2 2 2" xfId="819"/>
    <cellStyle name="Normal 10 5 2 2 2 2" xfId="1651"/>
    <cellStyle name="Normal 10 5 2 2 3" xfId="1148"/>
    <cellStyle name="Normal 10 5 2 3" xfId="655"/>
    <cellStyle name="Normal 10 5 2 3 2" xfId="1487"/>
    <cellStyle name="Normal 10 5 2 4" xfId="491"/>
    <cellStyle name="Normal 10 5 2 4 2" xfId="1324"/>
    <cellStyle name="Normal 10 5 2 5" xfId="984"/>
    <cellStyle name="Normal 10 5 3" xfId="231"/>
    <cellStyle name="Normal 10 5 3 2" xfId="737"/>
    <cellStyle name="Normal 10 5 3 2 2" xfId="1569"/>
    <cellStyle name="Normal 10 5 3 3" xfId="1066"/>
    <cellStyle name="Normal 10 5 4" xfId="573"/>
    <cellStyle name="Normal 10 5 4 2" xfId="1405"/>
    <cellStyle name="Normal 10 5 5" xfId="403"/>
    <cellStyle name="Normal 10 5 5 2" xfId="1236"/>
    <cellStyle name="Normal 10 5 6" xfId="902"/>
    <cellStyle name="Normal 10 6" xfId="106"/>
    <cellStyle name="Normal 10 6 2" xfId="272"/>
    <cellStyle name="Normal 10 6 2 2" xfId="778"/>
    <cellStyle name="Normal 10 6 2 2 2" xfId="1610"/>
    <cellStyle name="Normal 10 6 2 3" xfId="1107"/>
    <cellStyle name="Normal 10 6 3" xfId="614"/>
    <cellStyle name="Normal 10 6 3 2" xfId="1446"/>
    <cellStyle name="Normal 10 6 4" xfId="447"/>
    <cellStyle name="Normal 10 6 4 2" xfId="1280"/>
    <cellStyle name="Normal 10 6 5" xfId="943"/>
    <cellStyle name="Normal 10 7" xfId="190"/>
    <cellStyle name="Normal 10 7 2" xfId="696"/>
    <cellStyle name="Normal 10 7 2 2" xfId="1528"/>
    <cellStyle name="Normal 10 7 3" xfId="1025"/>
    <cellStyle name="Normal 10 8" xfId="532"/>
    <cellStyle name="Normal 10 8 2" xfId="1364"/>
    <cellStyle name="Normal 10 9" xfId="359"/>
    <cellStyle name="Normal 10 9 2" xfId="1192"/>
    <cellStyle name="Normal 11" xfId="20"/>
    <cellStyle name="Normal 11 10" xfId="863"/>
    <cellStyle name="Normal 11 2" xfId="26"/>
    <cellStyle name="Normal 11 2 2" xfId="37"/>
    <cellStyle name="Normal 11 2 2 2" xfId="58"/>
    <cellStyle name="Normal 11 2 2 2 2" xfId="101"/>
    <cellStyle name="Normal 11 2 2 2 2 2" xfId="185"/>
    <cellStyle name="Normal 11 2 2 2 2 2 2" xfId="350"/>
    <cellStyle name="Normal 11 2 2 2 2 2 2 2" xfId="856"/>
    <cellStyle name="Normal 11 2 2 2 2 2 2 2 2" xfId="1688"/>
    <cellStyle name="Normal 11 2 2 2 2 2 2 3" xfId="1185"/>
    <cellStyle name="Normal 11 2 2 2 2 2 3" xfId="692"/>
    <cellStyle name="Normal 11 2 2 2 2 2 3 2" xfId="1524"/>
    <cellStyle name="Normal 11 2 2 2 2 2 4" xfId="528"/>
    <cellStyle name="Normal 11 2 2 2 2 2 4 2" xfId="1361"/>
    <cellStyle name="Normal 11 2 2 2 2 2 5" xfId="1021"/>
    <cellStyle name="Normal 11 2 2 2 2 3" xfId="268"/>
    <cellStyle name="Normal 11 2 2 2 2 3 2" xfId="774"/>
    <cellStyle name="Normal 11 2 2 2 2 3 2 2" xfId="1606"/>
    <cellStyle name="Normal 11 2 2 2 2 3 3" xfId="1103"/>
    <cellStyle name="Normal 11 2 2 2 2 4" xfId="610"/>
    <cellStyle name="Normal 11 2 2 2 2 4 2" xfId="1442"/>
    <cellStyle name="Normal 11 2 2 2 2 5" xfId="440"/>
    <cellStyle name="Normal 11 2 2 2 2 5 2" xfId="1273"/>
    <cellStyle name="Normal 11 2 2 2 2 6" xfId="939"/>
    <cellStyle name="Normal 11 2 2 2 3" xfId="143"/>
    <cellStyle name="Normal 11 2 2 2 3 2" xfId="309"/>
    <cellStyle name="Normal 11 2 2 2 3 2 2" xfId="815"/>
    <cellStyle name="Normal 11 2 2 2 3 2 2 2" xfId="1647"/>
    <cellStyle name="Normal 11 2 2 2 3 2 3" xfId="1144"/>
    <cellStyle name="Normal 11 2 2 2 3 3" xfId="651"/>
    <cellStyle name="Normal 11 2 2 2 3 3 2" xfId="1483"/>
    <cellStyle name="Normal 11 2 2 2 3 4" xfId="484"/>
    <cellStyle name="Normal 11 2 2 2 3 4 2" xfId="1317"/>
    <cellStyle name="Normal 11 2 2 2 3 5" xfId="980"/>
    <cellStyle name="Normal 11 2 2 2 4" xfId="227"/>
    <cellStyle name="Normal 11 2 2 2 4 2" xfId="733"/>
    <cellStyle name="Normal 11 2 2 2 4 2 2" xfId="1565"/>
    <cellStyle name="Normal 11 2 2 2 4 3" xfId="1062"/>
    <cellStyle name="Normal 11 2 2 2 5" xfId="569"/>
    <cellStyle name="Normal 11 2 2 2 5 2" xfId="1401"/>
    <cellStyle name="Normal 11 2 2 2 6" xfId="396"/>
    <cellStyle name="Normal 11 2 2 2 6 2" xfId="1229"/>
    <cellStyle name="Normal 11 2 2 2 7" xfId="898"/>
    <cellStyle name="Normal 11 2 2 3" xfId="80"/>
    <cellStyle name="Normal 11 2 2 3 2" xfId="165"/>
    <cellStyle name="Normal 11 2 2 3 2 2" xfId="330"/>
    <cellStyle name="Normal 11 2 2 3 2 2 2" xfId="836"/>
    <cellStyle name="Normal 11 2 2 3 2 2 2 2" xfId="1668"/>
    <cellStyle name="Normal 11 2 2 3 2 2 3" xfId="1165"/>
    <cellStyle name="Normal 11 2 2 3 2 3" xfId="672"/>
    <cellStyle name="Normal 11 2 2 3 2 3 2" xfId="1504"/>
    <cellStyle name="Normal 11 2 2 3 2 4" xfId="508"/>
    <cellStyle name="Normal 11 2 2 3 2 4 2" xfId="1341"/>
    <cellStyle name="Normal 11 2 2 3 2 5" xfId="1001"/>
    <cellStyle name="Normal 11 2 2 3 3" xfId="248"/>
    <cellStyle name="Normal 11 2 2 3 3 2" xfId="754"/>
    <cellStyle name="Normal 11 2 2 3 3 2 2" xfId="1586"/>
    <cellStyle name="Normal 11 2 2 3 3 3" xfId="1083"/>
    <cellStyle name="Normal 11 2 2 3 4" xfId="590"/>
    <cellStyle name="Normal 11 2 2 3 4 2" xfId="1422"/>
    <cellStyle name="Normal 11 2 2 3 5" xfId="420"/>
    <cellStyle name="Normal 11 2 2 3 5 2" xfId="1253"/>
    <cellStyle name="Normal 11 2 2 3 6" xfId="919"/>
    <cellStyle name="Normal 11 2 2 4" xfId="123"/>
    <cellStyle name="Normal 11 2 2 4 2" xfId="289"/>
    <cellStyle name="Normal 11 2 2 4 2 2" xfId="795"/>
    <cellStyle name="Normal 11 2 2 4 2 2 2" xfId="1627"/>
    <cellStyle name="Normal 11 2 2 4 2 3" xfId="1124"/>
    <cellStyle name="Normal 11 2 2 4 3" xfId="631"/>
    <cellStyle name="Normal 11 2 2 4 3 2" xfId="1463"/>
    <cellStyle name="Normal 11 2 2 4 4" xfId="464"/>
    <cellStyle name="Normal 11 2 2 4 4 2" xfId="1297"/>
    <cellStyle name="Normal 11 2 2 4 5" xfId="960"/>
    <cellStyle name="Normal 11 2 2 5" xfId="207"/>
    <cellStyle name="Normal 11 2 2 5 2" xfId="713"/>
    <cellStyle name="Normal 11 2 2 5 2 2" xfId="1545"/>
    <cellStyle name="Normal 11 2 2 5 3" xfId="1042"/>
    <cellStyle name="Normal 11 2 2 6" xfId="549"/>
    <cellStyle name="Normal 11 2 2 6 2" xfId="1381"/>
    <cellStyle name="Normal 11 2 2 7" xfId="376"/>
    <cellStyle name="Normal 11 2 2 7 2" xfId="1209"/>
    <cellStyle name="Normal 11 2 2 8" xfId="878"/>
    <cellStyle name="Normal 11 2 3" xfId="48"/>
    <cellStyle name="Normal 11 2 3 2" xfId="91"/>
    <cellStyle name="Normal 11 2 3 2 2" xfId="175"/>
    <cellStyle name="Normal 11 2 3 2 2 2" xfId="340"/>
    <cellStyle name="Normal 11 2 3 2 2 2 2" xfId="846"/>
    <cellStyle name="Normal 11 2 3 2 2 2 2 2" xfId="1678"/>
    <cellStyle name="Normal 11 2 3 2 2 2 3" xfId="1175"/>
    <cellStyle name="Normal 11 2 3 2 2 3" xfId="682"/>
    <cellStyle name="Normal 11 2 3 2 2 3 2" xfId="1514"/>
    <cellStyle name="Normal 11 2 3 2 2 4" xfId="518"/>
    <cellStyle name="Normal 11 2 3 2 2 4 2" xfId="1351"/>
    <cellStyle name="Normal 11 2 3 2 2 5" xfId="1011"/>
    <cellStyle name="Normal 11 2 3 2 3" xfId="258"/>
    <cellStyle name="Normal 11 2 3 2 3 2" xfId="764"/>
    <cellStyle name="Normal 11 2 3 2 3 2 2" xfId="1596"/>
    <cellStyle name="Normal 11 2 3 2 3 3" xfId="1093"/>
    <cellStyle name="Normal 11 2 3 2 4" xfId="600"/>
    <cellStyle name="Normal 11 2 3 2 4 2" xfId="1432"/>
    <cellStyle name="Normal 11 2 3 2 5" xfId="430"/>
    <cellStyle name="Normal 11 2 3 2 5 2" xfId="1263"/>
    <cellStyle name="Normal 11 2 3 2 6" xfId="929"/>
    <cellStyle name="Normal 11 2 3 3" xfId="133"/>
    <cellStyle name="Normal 11 2 3 3 2" xfId="299"/>
    <cellStyle name="Normal 11 2 3 3 2 2" xfId="805"/>
    <cellStyle name="Normal 11 2 3 3 2 2 2" xfId="1637"/>
    <cellStyle name="Normal 11 2 3 3 2 3" xfId="1134"/>
    <cellStyle name="Normal 11 2 3 3 3" xfId="641"/>
    <cellStyle name="Normal 11 2 3 3 3 2" xfId="1473"/>
    <cellStyle name="Normal 11 2 3 3 4" xfId="474"/>
    <cellStyle name="Normal 11 2 3 3 4 2" xfId="1307"/>
    <cellStyle name="Normal 11 2 3 3 5" xfId="970"/>
    <cellStyle name="Normal 11 2 3 4" xfId="217"/>
    <cellStyle name="Normal 11 2 3 4 2" xfId="723"/>
    <cellStyle name="Normal 11 2 3 4 2 2" xfId="1555"/>
    <cellStyle name="Normal 11 2 3 4 3" xfId="1052"/>
    <cellStyle name="Normal 11 2 3 5" xfId="559"/>
    <cellStyle name="Normal 11 2 3 5 2" xfId="1391"/>
    <cellStyle name="Normal 11 2 3 6" xfId="386"/>
    <cellStyle name="Normal 11 2 3 6 2" xfId="1219"/>
    <cellStyle name="Normal 11 2 3 7" xfId="888"/>
    <cellStyle name="Normal 11 2 4" xfId="70"/>
    <cellStyle name="Normal 11 2 4 2" xfId="155"/>
    <cellStyle name="Normal 11 2 4 2 2" xfId="320"/>
    <cellStyle name="Normal 11 2 4 2 2 2" xfId="826"/>
    <cellStyle name="Normal 11 2 4 2 2 2 2" xfId="1658"/>
    <cellStyle name="Normal 11 2 4 2 2 3" xfId="1155"/>
    <cellStyle name="Normal 11 2 4 2 3" xfId="662"/>
    <cellStyle name="Normal 11 2 4 2 3 2" xfId="1494"/>
    <cellStyle name="Normal 11 2 4 2 4" xfId="498"/>
    <cellStyle name="Normal 11 2 4 2 4 2" xfId="1331"/>
    <cellStyle name="Normal 11 2 4 2 5" xfId="991"/>
    <cellStyle name="Normal 11 2 4 3" xfId="238"/>
    <cellStyle name="Normal 11 2 4 3 2" xfId="744"/>
    <cellStyle name="Normal 11 2 4 3 2 2" xfId="1576"/>
    <cellStyle name="Normal 11 2 4 3 3" xfId="1073"/>
    <cellStyle name="Normal 11 2 4 4" xfId="580"/>
    <cellStyle name="Normal 11 2 4 4 2" xfId="1412"/>
    <cellStyle name="Normal 11 2 4 5" xfId="410"/>
    <cellStyle name="Normal 11 2 4 5 2" xfId="1243"/>
    <cellStyle name="Normal 11 2 4 6" xfId="909"/>
    <cellStyle name="Normal 11 2 5" xfId="113"/>
    <cellStyle name="Normal 11 2 5 2" xfId="279"/>
    <cellStyle name="Normal 11 2 5 2 2" xfId="785"/>
    <cellStyle name="Normal 11 2 5 2 2 2" xfId="1617"/>
    <cellStyle name="Normal 11 2 5 2 3" xfId="1114"/>
    <cellStyle name="Normal 11 2 5 3" xfId="621"/>
    <cellStyle name="Normal 11 2 5 3 2" xfId="1453"/>
    <cellStyle name="Normal 11 2 5 4" xfId="454"/>
    <cellStyle name="Normal 11 2 5 4 2" xfId="1287"/>
    <cellStyle name="Normal 11 2 5 5" xfId="950"/>
    <cellStyle name="Normal 11 2 6" xfId="197"/>
    <cellStyle name="Normal 11 2 6 2" xfId="703"/>
    <cellStyle name="Normal 11 2 6 2 2" xfId="1535"/>
    <cellStyle name="Normal 11 2 6 3" xfId="1032"/>
    <cellStyle name="Normal 11 2 7" xfId="539"/>
    <cellStyle name="Normal 11 2 7 2" xfId="1371"/>
    <cellStyle name="Normal 11 2 8" xfId="366"/>
    <cellStyle name="Normal 11 2 8 2" xfId="1199"/>
    <cellStyle name="Normal 11 2 9" xfId="868"/>
    <cellStyle name="Normal 11 3" xfId="32"/>
    <cellStyle name="Normal 11 3 2" xfId="53"/>
    <cellStyle name="Normal 11 3 2 2" xfId="96"/>
    <cellStyle name="Normal 11 3 2 2 2" xfId="180"/>
    <cellStyle name="Normal 11 3 2 2 2 2" xfId="345"/>
    <cellStyle name="Normal 11 3 2 2 2 2 2" xfId="851"/>
    <cellStyle name="Normal 11 3 2 2 2 2 2 2" xfId="1683"/>
    <cellStyle name="Normal 11 3 2 2 2 2 3" xfId="1180"/>
    <cellStyle name="Normal 11 3 2 2 2 3" xfId="687"/>
    <cellStyle name="Normal 11 3 2 2 2 3 2" xfId="1519"/>
    <cellStyle name="Normal 11 3 2 2 2 4" xfId="523"/>
    <cellStyle name="Normal 11 3 2 2 2 4 2" xfId="1356"/>
    <cellStyle name="Normal 11 3 2 2 2 5" xfId="1016"/>
    <cellStyle name="Normal 11 3 2 2 3" xfId="263"/>
    <cellStyle name="Normal 11 3 2 2 3 2" xfId="769"/>
    <cellStyle name="Normal 11 3 2 2 3 2 2" xfId="1601"/>
    <cellStyle name="Normal 11 3 2 2 3 3" xfId="1098"/>
    <cellStyle name="Normal 11 3 2 2 4" xfId="605"/>
    <cellStyle name="Normal 11 3 2 2 4 2" xfId="1437"/>
    <cellStyle name="Normal 11 3 2 2 5" xfId="435"/>
    <cellStyle name="Normal 11 3 2 2 5 2" xfId="1268"/>
    <cellStyle name="Normal 11 3 2 2 6" xfId="934"/>
    <cellStyle name="Normal 11 3 2 3" xfId="138"/>
    <cellStyle name="Normal 11 3 2 3 2" xfId="304"/>
    <cellStyle name="Normal 11 3 2 3 2 2" xfId="810"/>
    <cellStyle name="Normal 11 3 2 3 2 2 2" xfId="1642"/>
    <cellStyle name="Normal 11 3 2 3 2 3" xfId="1139"/>
    <cellStyle name="Normal 11 3 2 3 3" xfId="646"/>
    <cellStyle name="Normal 11 3 2 3 3 2" xfId="1478"/>
    <cellStyle name="Normal 11 3 2 3 4" xfId="479"/>
    <cellStyle name="Normal 11 3 2 3 4 2" xfId="1312"/>
    <cellStyle name="Normal 11 3 2 3 5" xfId="975"/>
    <cellStyle name="Normal 11 3 2 4" xfId="222"/>
    <cellStyle name="Normal 11 3 2 4 2" xfId="728"/>
    <cellStyle name="Normal 11 3 2 4 2 2" xfId="1560"/>
    <cellStyle name="Normal 11 3 2 4 3" xfId="1057"/>
    <cellStyle name="Normal 11 3 2 5" xfId="564"/>
    <cellStyle name="Normal 11 3 2 5 2" xfId="1396"/>
    <cellStyle name="Normal 11 3 2 6" xfId="391"/>
    <cellStyle name="Normal 11 3 2 6 2" xfId="1224"/>
    <cellStyle name="Normal 11 3 2 7" xfId="893"/>
    <cellStyle name="Normal 11 3 3" xfId="75"/>
    <cellStyle name="Normal 11 3 3 2" xfId="160"/>
    <cellStyle name="Normal 11 3 3 2 2" xfId="325"/>
    <cellStyle name="Normal 11 3 3 2 2 2" xfId="831"/>
    <cellStyle name="Normal 11 3 3 2 2 2 2" xfId="1663"/>
    <cellStyle name="Normal 11 3 3 2 2 3" xfId="1160"/>
    <cellStyle name="Normal 11 3 3 2 3" xfId="667"/>
    <cellStyle name="Normal 11 3 3 2 3 2" xfId="1499"/>
    <cellStyle name="Normal 11 3 3 2 4" xfId="503"/>
    <cellStyle name="Normal 11 3 3 2 4 2" xfId="1336"/>
    <cellStyle name="Normal 11 3 3 2 5" xfId="996"/>
    <cellStyle name="Normal 11 3 3 3" xfId="243"/>
    <cellStyle name="Normal 11 3 3 3 2" xfId="749"/>
    <cellStyle name="Normal 11 3 3 3 2 2" xfId="1581"/>
    <cellStyle name="Normal 11 3 3 3 3" xfId="1078"/>
    <cellStyle name="Normal 11 3 3 4" xfId="585"/>
    <cellStyle name="Normal 11 3 3 4 2" xfId="1417"/>
    <cellStyle name="Normal 11 3 3 5" xfId="415"/>
    <cellStyle name="Normal 11 3 3 5 2" xfId="1248"/>
    <cellStyle name="Normal 11 3 3 6" xfId="914"/>
    <cellStyle name="Normal 11 3 4" xfId="118"/>
    <cellStyle name="Normal 11 3 4 2" xfId="284"/>
    <cellStyle name="Normal 11 3 4 2 2" xfId="790"/>
    <cellStyle name="Normal 11 3 4 2 2 2" xfId="1622"/>
    <cellStyle name="Normal 11 3 4 2 3" xfId="1119"/>
    <cellStyle name="Normal 11 3 4 3" xfId="626"/>
    <cellStyle name="Normal 11 3 4 3 2" xfId="1458"/>
    <cellStyle name="Normal 11 3 4 4" xfId="459"/>
    <cellStyle name="Normal 11 3 4 4 2" xfId="1292"/>
    <cellStyle name="Normal 11 3 4 5" xfId="955"/>
    <cellStyle name="Normal 11 3 5" xfId="202"/>
    <cellStyle name="Normal 11 3 5 2" xfId="708"/>
    <cellStyle name="Normal 11 3 5 2 2" xfId="1540"/>
    <cellStyle name="Normal 11 3 5 3" xfId="1037"/>
    <cellStyle name="Normal 11 3 6" xfId="544"/>
    <cellStyle name="Normal 11 3 6 2" xfId="1376"/>
    <cellStyle name="Normal 11 3 7" xfId="371"/>
    <cellStyle name="Normal 11 3 7 2" xfId="1204"/>
    <cellStyle name="Normal 11 3 8" xfId="873"/>
    <cellStyle name="Normal 11 4" xfId="43"/>
    <cellStyle name="Normal 11 4 2" xfId="86"/>
    <cellStyle name="Normal 11 4 2 2" xfId="170"/>
    <cellStyle name="Normal 11 4 2 2 2" xfId="335"/>
    <cellStyle name="Normal 11 4 2 2 2 2" xfId="841"/>
    <cellStyle name="Normal 11 4 2 2 2 2 2" xfId="1673"/>
    <cellStyle name="Normal 11 4 2 2 2 3" xfId="1170"/>
    <cellStyle name="Normal 11 4 2 2 3" xfId="677"/>
    <cellStyle name="Normal 11 4 2 2 3 2" xfId="1509"/>
    <cellStyle name="Normal 11 4 2 2 4" xfId="513"/>
    <cellStyle name="Normal 11 4 2 2 4 2" xfId="1346"/>
    <cellStyle name="Normal 11 4 2 2 5" xfId="1006"/>
    <cellStyle name="Normal 11 4 2 3" xfId="253"/>
    <cellStyle name="Normal 11 4 2 3 2" xfId="759"/>
    <cellStyle name="Normal 11 4 2 3 2 2" xfId="1591"/>
    <cellStyle name="Normal 11 4 2 3 3" xfId="1088"/>
    <cellStyle name="Normal 11 4 2 4" xfId="595"/>
    <cellStyle name="Normal 11 4 2 4 2" xfId="1427"/>
    <cellStyle name="Normal 11 4 2 5" xfId="425"/>
    <cellStyle name="Normal 11 4 2 5 2" xfId="1258"/>
    <cellStyle name="Normal 11 4 2 6" xfId="924"/>
    <cellStyle name="Normal 11 4 3" xfId="128"/>
    <cellStyle name="Normal 11 4 3 2" xfId="294"/>
    <cellStyle name="Normal 11 4 3 2 2" xfId="800"/>
    <cellStyle name="Normal 11 4 3 2 2 2" xfId="1632"/>
    <cellStyle name="Normal 11 4 3 2 3" xfId="1129"/>
    <cellStyle name="Normal 11 4 3 3" xfId="636"/>
    <cellStyle name="Normal 11 4 3 3 2" xfId="1468"/>
    <cellStyle name="Normal 11 4 3 4" xfId="469"/>
    <cellStyle name="Normal 11 4 3 4 2" xfId="1302"/>
    <cellStyle name="Normal 11 4 3 5" xfId="965"/>
    <cellStyle name="Normal 11 4 4" xfId="212"/>
    <cellStyle name="Normal 11 4 4 2" xfId="718"/>
    <cellStyle name="Normal 11 4 4 2 2" xfId="1550"/>
    <cellStyle name="Normal 11 4 4 3" xfId="1047"/>
    <cellStyle name="Normal 11 4 5" xfId="554"/>
    <cellStyle name="Normal 11 4 5 2" xfId="1386"/>
    <cellStyle name="Normal 11 4 6" xfId="381"/>
    <cellStyle name="Normal 11 4 6 2" xfId="1214"/>
    <cellStyle name="Normal 11 4 7" xfId="883"/>
    <cellStyle name="Normal 11 5" xfId="65"/>
    <cellStyle name="Normal 11 5 2" xfId="150"/>
    <cellStyle name="Normal 11 5 2 2" xfId="315"/>
    <cellStyle name="Normal 11 5 2 2 2" xfId="821"/>
    <cellStyle name="Normal 11 5 2 2 2 2" xfId="1653"/>
    <cellStyle name="Normal 11 5 2 2 3" xfId="1150"/>
    <cellStyle name="Normal 11 5 2 3" xfId="657"/>
    <cellStyle name="Normal 11 5 2 3 2" xfId="1489"/>
    <cellStyle name="Normal 11 5 2 4" xfId="493"/>
    <cellStyle name="Normal 11 5 2 4 2" xfId="1326"/>
    <cellStyle name="Normal 11 5 2 5" xfId="986"/>
    <cellStyle name="Normal 11 5 3" xfId="233"/>
    <cellStyle name="Normal 11 5 3 2" xfId="739"/>
    <cellStyle name="Normal 11 5 3 2 2" xfId="1571"/>
    <cellStyle name="Normal 11 5 3 3" xfId="1068"/>
    <cellStyle name="Normal 11 5 4" xfId="575"/>
    <cellStyle name="Normal 11 5 4 2" xfId="1407"/>
    <cellStyle name="Normal 11 5 5" xfId="405"/>
    <cellStyle name="Normal 11 5 5 2" xfId="1238"/>
    <cellStyle name="Normal 11 5 6" xfId="904"/>
    <cellStyle name="Normal 11 6" xfId="108"/>
    <cellStyle name="Normal 11 6 2" xfId="274"/>
    <cellStyle name="Normal 11 6 2 2" xfId="780"/>
    <cellStyle name="Normal 11 6 2 2 2" xfId="1612"/>
    <cellStyle name="Normal 11 6 2 3" xfId="1109"/>
    <cellStyle name="Normal 11 6 3" xfId="616"/>
    <cellStyle name="Normal 11 6 3 2" xfId="1448"/>
    <cellStyle name="Normal 11 6 4" xfId="449"/>
    <cellStyle name="Normal 11 6 4 2" xfId="1282"/>
    <cellStyle name="Normal 11 6 5" xfId="945"/>
    <cellStyle name="Normal 11 7" xfId="192"/>
    <cellStyle name="Normal 11 7 2" xfId="698"/>
    <cellStyle name="Normal 11 7 2 2" xfId="1530"/>
    <cellStyle name="Normal 11 7 3" xfId="1027"/>
    <cellStyle name="Normal 11 8" xfId="534"/>
    <cellStyle name="Normal 11 8 2" xfId="1366"/>
    <cellStyle name="Normal 11 9" xfId="361"/>
    <cellStyle name="Normal 11 9 2" xfId="1194"/>
    <cellStyle name="Normal 12" xfId="22"/>
    <cellStyle name="Normal 13" xfId="21"/>
    <cellStyle name="Normal 13 2" xfId="33"/>
    <cellStyle name="Normal 13 2 2" xfId="54"/>
    <cellStyle name="Normal 13 2 2 2" xfId="97"/>
    <cellStyle name="Normal 13 2 2 2 2" xfId="181"/>
    <cellStyle name="Normal 13 2 2 2 2 2" xfId="346"/>
    <cellStyle name="Normal 13 2 2 2 2 2 2" xfId="852"/>
    <cellStyle name="Normal 13 2 2 2 2 2 2 2" xfId="1684"/>
    <cellStyle name="Normal 13 2 2 2 2 2 3" xfId="1181"/>
    <cellStyle name="Normal 13 2 2 2 2 3" xfId="688"/>
    <cellStyle name="Normal 13 2 2 2 2 3 2" xfId="1520"/>
    <cellStyle name="Normal 13 2 2 2 2 4" xfId="524"/>
    <cellStyle name="Normal 13 2 2 2 2 4 2" xfId="1357"/>
    <cellStyle name="Normal 13 2 2 2 2 5" xfId="1017"/>
    <cellStyle name="Normal 13 2 2 2 3" xfId="264"/>
    <cellStyle name="Normal 13 2 2 2 3 2" xfId="770"/>
    <cellStyle name="Normal 13 2 2 2 3 2 2" xfId="1602"/>
    <cellStyle name="Normal 13 2 2 2 3 3" xfId="1099"/>
    <cellStyle name="Normal 13 2 2 2 4" xfId="606"/>
    <cellStyle name="Normal 13 2 2 2 4 2" xfId="1438"/>
    <cellStyle name="Normal 13 2 2 2 5" xfId="436"/>
    <cellStyle name="Normal 13 2 2 2 5 2" xfId="1269"/>
    <cellStyle name="Normal 13 2 2 2 6" xfId="935"/>
    <cellStyle name="Normal 13 2 2 3" xfId="139"/>
    <cellStyle name="Normal 13 2 2 3 2" xfId="305"/>
    <cellStyle name="Normal 13 2 2 3 2 2" xfId="811"/>
    <cellStyle name="Normal 13 2 2 3 2 2 2" xfId="1643"/>
    <cellStyle name="Normal 13 2 2 3 2 3" xfId="1140"/>
    <cellStyle name="Normal 13 2 2 3 3" xfId="647"/>
    <cellStyle name="Normal 13 2 2 3 3 2" xfId="1479"/>
    <cellStyle name="Normal 13 2 2 3 4" xfId="480"/>
    <cellStyle name="Normal 13 2 2 3 4 2" xfId="1313"/>
    <cellStyle name="Normal 13 2 2 3 5" xfId="976"/>
    <cellStyle name="Normal 13 2 2 4" xfId="223"/>
    <cellStyle name="Normal 13 2 2 4 2" xfId="729"/>
    <cellStyle name="Normal 13 2 2 4 2 2" xfId="1561"/>
    <cellStyle name="Normal 13 2 2 4 3" xfId="1058"/>
    <cellStyle name="Normal 13 2 2 5" xfId="565"/>
    <cellStyle name="Normal 13 2 2 5 2" xfId="1397"/>
    <cellStyle name="Normal 13 2 2 6" xfId="392"/>
    <cellStyle name="Normal 13 2 2 6 2" xfId="1225"/>
    <cellStyle name="Normal 13 2 2 7" xfId="894"/>
    <cellStyle name="Normal 13 2 3" xfId="76"/>
    <cellStyle name="Normal 13 2 3 2" xfId="161"/>
    <cellStyle name="Normal 13 2 3 2 2" xfId="326"/>
    <cellStyle name="Normal 13 2 3 2 2 2" xfId="832"/>
    <cellStyle name="Normal 13 2 3 2 2 2 2" xfId="1664"/>
    <cellStyle name="Normal 13 2 3 2 2 3" xfId="1161"/>
    <cellStyle name="Normal 13 2 3 2 3" xfId="668"/>
    <cellStyle name="Normal 13 2 3 2 3 2" xfId="1500"/>
    <cellStyle name="Normal 13 2 3 2 4" xfId="504"/>
    <cellStyle name="Normal 13 2 3 2 4 2" xfId="1337"/>
    <cellStyle name="Normal 13 2 3 2 5" xfId="997"/>
    <cellStyle name="Normal 13 2 3 3" xfId="244"/>
    <cellStyle name="Normal 13 2 3 3 2" xfId="750"/>
    <cellStyle name="Normal 13 2 3 3 2 2" xfId="1582"/>
    <cellStyle name="Normal 13 2 3 3 3" xfId="1079"/>
    <cellStyle name="Normal 13 2 3 4" xfId="586"/>
    <cellStyle name="Normal 13 2 3 4 2" xfId="1418"/>
    <cellStyle name="Normal 13 2 3 5" xfId="416"/>
    <cellStyle name="Normal 13 2 3 5 2" xfId="1249"/>
    <cellStyle name="Normal 13 2 3 6" xfId="915"/>
    <cellStyle name="Normal 13 2 4" xfId="119"/>
    <cellStyle name="Normal 13 2 4 2" xfId="285"/>
    <cellStyle name="Normal 13 2 4 2 2" xfId="791"/>
    <cellStyle name="Normal 13 2 4 2 2 2" xfId="1623"/>
    <cellStyle name="Normal 13 2 4 2 3" xfId="1120"/>
    <cellStyle name="Normal 13 2 4 3" xfId="627"/>
    <cellStyle name="Normal 13 2 4 3 2" xfId="1459"/>
    <cellStyle name="Normal 13 2 4 4" xfId="460"/>
    <cellStyle name="Normal 13 2 4 4 2" xfId="1293"/>
    <cellStyle name="Normal 13 2 4 5" xfId="956"/>
    <cellStyle name="Normal 13 2 5" xfId="203"/>
    <cellStyle name="Normal 13 2 5 2" xfId="709"/>
    <cellStyle name="Normal 13 2 5 2 2" xfId="1541"/>
    <cellStyle name="Normal 13 2 5 3" xfId="1038"/>
    <cellStyle name="Normal 13 2 6" xfId="545"/>
    <cellStyle name="Normal 13 2 6 2" xfId="1377"/>
    <cellStyle name="Normal 13 2 7" xfId="372"/>
    <cellStyle name="Normal 13 2 7 2" xfId="1205"/>
    <cellStyle name="Normal 13 2 8" xfId="874"/>
    <cellStyle name="Normal 13 3" xfId="44"/>
    <cellStyle name="Normal 13 3 2" xfId="87"/>
    <cellStyle name="Normal 13 3 2 2" xfId="171"/>
    <cellStyle name="Normal 13 3 2 2 2" xfId="336"/>
    <cellStyle name="Normal 13 3 2 2 2 2" xfId="842"/>
    <cellStyle name="Normal 13 3 2 2 2 2 2" xfId="1674"/>
    <cellStyle name="Normal 13 3 2 2 2 3" xfId="1171"/>
    <cellStyle name="Normal 13 3 2 2 3" xfId="678"/>
    <cellStyle name="Normal 13 3 2 2 3 2" xfId="1510"/>
    <cellStyle name="Normal 13 3 2 2 4" xfId="514"/>
    <cellStyle name="Normal 13 3 2 2 4 2" xfId="1347"/>
    <cellStyle name="Normal 13 3 2 2 5" xfId="1007"/>
    <cellStyle name="Normal 13 3 2 3" xfId="254"/>
    <cellStyle name="Normal 13 3 2 3 2" xfId="760"/>
    <cellStyle name="Normal 13 3 2 3 2 2" xfId="1592"/>
    <cellStyle name="Normal 13 3 2 3 3" xfId="1089"/>
    <cellStyle name="Normal 13 3 2 4" xfId="596"/>
    <cellStyle name="Normal 13 3 2 4 2" xfId="1428"/>
    <cellStyle name="Normal 13 3 2 5" xfId="426"/>
    <cellStyle name="Normal 13 3 2 5 2" xfId="1259"/>
    <cellStyle name="Normal 13 3 2 6" xfId="925"/>
    <cellStyle name="Normal 13 3 3" xfId="129"/>
    <cellStyle name="Normal 13 3 3 2" xfId="295"/>
    <cellStyle name="Normal 13 3 3 2 2" xfId="801"/>
    <cellStyle name="Normal 13 3 3 2 2 2" xfId="1633"/>
    <cellStyle name="Normal 13 3 3 2 3" xfId="1130"/>
    <cellStyle name="Normal 13 3 3 3" xfId="637"/>
    <cellStyle name="Normal 13 3 3 3 2" xfId="1469"/>
    <cellStyle name="Normal 13 3 3 4" xfId="470"/>
    <cellStyle name="Normal 13 3 3 4 2" xfId="1303"/>
    <cellStyle name="Normal 13 3 3 5" xfId="966"/>
    <cellStyle name="Normal 13 3 4" xfId="213"/>
    <cellStyle name="Normal 13 3 4 2" xfId="719"/>
    <cellStyle name="Normal 13 3 4 2 2" xfId="1551"/>
    <cellStyle name="Normal 13 3 4 3" xfId="1048"/>
    <cellStyle name="Normal 13 3 5" xfId="555"/>
    <cellStyle name="Normal 13 3 5 2" xfId="1387"/>
    <cellStyle name="Normal 13 3 6" xfId="382"/>
    <cellStyle name="Normal 13 3 6 2" xfId="1215"/>
    <cellStyle name="Normal 13 3 7" xfId="884"/>
    <cellStyle name="Normal 13 4" xfId="66"/>
    <cellStyle name="Normal 13 4 2" xfId="151"/>
    <cellStyle name="Normal 13 4 2 2" xfId="316"/>
    <cellStyle name="Normal 13 4 2 2 2" xfId="822"/>
    <cellStyle name="Normal 13 4 2 2 2 2" xfId="1654"/>
    <cellStyle name="Normal 13 4 2 2 3" xfId="1151"/>
    <cellStyle name="Normal 13 4 2 3" xfId="658"/>
    <cellStyle name="Normal 13 4 2 3 2" xfId="1490"/>
    <cellStyle name="Normal 13 4 2 4" xfId="494"/>
    <cellStyle name="Normal 13 4 2 4 2" xfId="1327"/>
    <cellStyle name="Normal 13 4 2 5" xfId="987"/>
    <cellStyle name="Normal 13 4 3" xfId="234"/>
    <cellStyle name="Normal 13 4 3 2" xfId="740"/>
    <cellStyle name="Normal 13 4 3 2 2" xfId="1572"/>
    <cellStyle name="Normal 13 4 3 3" xfId="1069"/>
    <cellStyle name="Normal 13 4 4" xfId="576"/>
    <cellStyle name="Normal 13 4 4 2" xfId="1408"/>
    <cellStyle name="Normal 13 4 5" xfId="406"/>
    <cellStyle name="Normal 13 4 5 2" xfId="1239"/>
    <cellStyle name="Normal 13 4 6" xfId="905"/>
    <cellStyle name="Normal 13 5" xfId="109"/>
    <cellStyle name="Normal 13 5 2" xfId="275"/>
    <cellStyle name="Normal 13 5 2 2" xfId="781"/>
    <cellStyle name="Normal 13 5 2 2 2" xfId="1613"/>
    <cellStyle name="Normal 13 5 2 3" xfId="1110"/>
    <cellStyle name="Normal 13 5 3" xfId="617"/>
    <cellStyle name="Normal 13 5 3 2" xfId="1449"/>
    <cellStyle name="Normal 13 5 4" xfId="450"/>
    <cellStyle name="Normal 13 5 4 2" xfId="1283"/>
    <cellStyle name="Normal 13 5 5" xfId="946"/>
    <cellStyle name="Normal 13 6" xfId="193"/>
    <cellStyle name="Normal 13 6 2" xfId="699"/>
    <cellStyle name="Normal 13 6 2 2" xfId="1531"/>
    <cellStyle name="Normal 13 6 3" xfId="1028"/>
    <cellStyle name="Normal 13 7" xfId="535"/>
    <cellStyle name="Normal 13 7 2" xfId="1367"/>
    <cellStyle name="Normal 13 8" xfId="362"/>
    <cellStyle name="Normal 13 8 2" xfId="1195"/>
    <cellStyle name="Normal 13 9" xfId="864"/>
    <cellStyle name="Normal 14" xfId="28"/>
    <cellStyle name="Normal 15" xfId="27"/>
    <cellStyle name="Normal 15 2" xfId="49"/>
    <cellStyle name="Normal 15 2 2" xfId="92"/>
    <cellStyle name="Normal 15 2 2 2" xfId="176"/>
    <cellStyle name="Normal 15 2 2 2 2" xfId="341"/>
    <cellStyle name="Normal 15 2 2 2 2 2" xfId="847"/>
    <cellStyle name="Normal 15 2 2 2 2 2 2" xfId="1679"/>
    <cellStyle name="Normal 15 2 2 2 2 3" xfId="1176"/>
    <cellStyle name="Normal 15 2 2 2 3" xfId="683"/>
    <cellStyle name="Normal 15 2 2 2 3 2" xfId="1515"/>
    <cellStyle name="Normal 15 2 2 2 4" xfId="519"/>
    <cellStyle name="Normal 15 2 2 2 4 2" xfId="1352"/>
    <cellStyle name="Normal 15 2 2 2 5" xfId="1012"/>
    <cellStyle name="Normal 15 2 2 3" xfId="259"/>
    <cellStyle name="Normal 15 2 2 3 2" xfId="765"/>
    <cellStyle name="Normal 15 2 2 3 2 2" xfId="1597"/>
    <cellStyle name="Normal 15 2 2 3 3" xfId="1094"/>
    <cellStyle name="Normal 15 2 2 4" xfId="601"/>
    <cellStyle name="Normal 15 2 2 4 2" xfId="1433"/>
    <cellStyle name="Normal 15 2 2 5" xfId="431"/>
    <cellStyle name="Normal 15 2 2 5 2" xfId="1264"/>
    <cellStyle name="Normal 15 2 2 6" xfId="930"/>
    <cellStyle name="Normal 15 2 3" xfId="134"/>
    <cellStyle name="Normal 15 2 3 2" xfId="300"/>
    <cellStyle name="Normal 15 2 3 2 2" xfId="806"/>
    <cellStyle name="Normal 15 2 3 2 2 2" xfId="1638"/>
    <cellStyle name="Normal 15 2 3 2 3" xfId="1135"/>
    <cellStyle name="Normal 15 2 3 3" xfId="642"/>
    <cellStyle name="Normal 15 2 3 3 2" xfId="1474"/>
    <cellStyle name="Normal 15 2 3 4" xfId="475"/>
    <cellStyle name="Normal 15 2 3 4 2" xfId="1308"/>
    <cellStyle name="Normal 15 2 3 5" xfId="971"/>
    <cellStyle name="Normal 15 2 4" xfId="218"/>
    <cellStyle name="Normal 15 2 4 2" xfId="724"/>
    <cellStyle name="Normal 15 2 4 2 2" xfId="1556"/>
    <cellStyle name="Normal 15 2 4 3" xfId="1053"/>
    <cellStyle name="Normal 15 2 5" xfId="560"/>
    <cellStyle name="Normal 15 2 5 2" xfId="1392"/>
    <cellStyle name="Normal 15 2 6" xfId="387"/>
    <cellStyle name="Normal 15 2 6 2" xfId="1220"/>
    <cellStyle name="Normal 15 2 7" xfId="889"/>
    <cellStyle name="Normal 15 3" xfId="71"/>
    <cellStyle name="Normal 15 3 2" xfId="156"/>
    <cellStyle name="Normal 15 3 2 2" xfId="321"/>
    <cellStyle name="Normal 15 3 2 2 2" xfId="827"/>
    <cellStyle name="Normal 15 3 2 2 2 2" xfId="1659"/>
    <cellStyle name="Normal 15 3 2 2 3" xfId="1156"/>
    <cellStyle name="Normal 15 3 2 3" xfId="663"/>
    <cellStyle name="Normal 15 3 2 3 2" xfId="1495"/>
    <cellStyle name="Normal 15 3 2 4" xfId="499"/>
    <cellStyle name="Normal 15 3 2 4 2" xfId="1332"/>
    <cellStyle name="Normal 15 3 2 5" xfId="992"/>
    <cellStyle name="Normal 15 3 3" xfId="239"/>
    <cellStyle name="Normal 15 3 3 2" xfId="745"/>
    <cellStyle name="Normal 15 3 3 2 2" xfId="1577"/>
    <cellStyle name="Normal 15 3 3 3" xfId="1074"/>
    <cellStyle name="Normal 15 3 4" xfId="581"/>
    <cellStyle name="Normal 15 3 4 2" xfId="1413"/>
    <cellStyle name="Normal 15 3 5" xfId="411"/>
    <cellStyle name="Normal 15 3 5 2" xfId="1244"/>
    <cellStyle name="Normal 15 3 6" xfId="910"/>
    <cellStyle name="Normal 15 4" xfId="114"/>
    <cellStyle name="Normal 15 4 2" xfId="280"/>
    <cellStyle name="Normal 15 4 2 2" xfId="786"/>
    <cellStyle name="Normal 15 4 2 2 2" xfId="1618"/>
    <cellStyle name="Normal 15 4 2 3" xfId="1115"/>
    <cellStyle name="Normal 15 4 3" xfId="622"/>
    <cellStyle name="Normal 15 4 3 2" xfId="1454"/>
    <cellStyle name="Normal 15 4 4" xfId="455"/>
    <cellStyle name="Normal 15 4 4 2" xfId="1288"/>
    <cellStyle name="Normal 15 4 5" xfId="951"/>
    <cellStyle name="Normal 15 5" xfId="198"/>
    <cellStyle name="Normal 15 5 2" xfId="704"/>
    <cellStyle name="Normal 15 5 2 2" xfId="1536"/>
    <cellStyle name="Normal 15 5 3" xfId="1033"/>
    <cellStyle name="Normal 15 6" xfId="540"/>
    <cellStyle name="Normal 15 6 2" xfId="1372"/>
    <cellStyle name="Normal 15 7" xfId="367"/>
    <cellStyle name="Normal 15 7 2" xfId="1200"/>
    <cellStyle name="Normal 15 8" xfId="869"/>
    <cellStyle name="Normal 16" xfId="39"/>
    <cellStyle name="Normal 16 2" xfId="82"/>
    <cellStyle name="Normal 17" xfId="38"/>
    <cellStyle name="Normal 17 2" xfId="81"/>
    <cellStyle name="Normal 17 2 2" xfId="166"/>
    <cellStyle name="Normal 17 2 2 2" xfId="331"/>
    <cellStyle name="Normal 17 2 2 2 2" xfId="837"/>
    <cellStyle name="Normal 17 2 2 2 2 2" xfId="1669"/>
    <cellStyle name="Normal 17 2 2 2 3" xfId="1166"/>
    <cellStyle name="Normal 17 2 2 3" xfId="673"/>
    <cellStyle name="Normal 17 2 2 3 2" xfId="1505"/>
    <cellStyle name="Normal 17 2 2 4" xfId="509"/>
    <cellStyle name="Normal 17 2 2 4 2" xfId="1342"/>
    <cellStyle name="Normal 17 2 2 5" xfId="1002"/>
    <cellStyle name="Normal 17 2 3" xfId="249"/>
    <cellStyle name="Normal 17 2 3 2" xfId="755"/>
    <cellStyle name="Normal 17 2 3 2 2" xfId="1587"/>
    <cellStyle name="Normal 17 2 3 3" xfId="1084"/>
    <cellStyle name="Normal 17 2 4" xfId="591"/>
    <cellStyle name="Normal 17 2 4 2" xfId="1423"/>
    <cellStyle name="Normal 17 2 5" xfId="421"/>
    <cellStyle name="Normal 17 2 5 2" xfId="1254"/>
    <cellStyle name="Normal 17 2 6" xfId="920"/>
    <cellStyle name="Normal 17 3" xfId="124"/>
    <cellStyle name="Normal 17 3 2" xfId="290"/>
    <cellStyle name="Normal 17 3 2 2" xfId="796"/>
    <cellStyle name="Normal 17 3 2 2 2" xfId="1628"/>
    <cellStyle name="Normal 17 3 2 3" xfId="1125"/>
    <cellStyle name="Normal 17 3 3" xfId="632"/>
    <cellStyle name="Normal 17 3 3 2" xfId="1464"/>
    <cellStyle name="Normal 17 3 4" xfId="465"/>
    <cellStyle name="Normal 17 3 4 2" xfId="1298"/>
    <cellStyle name="Normal 17 3 5" xfId="961"/>
    <cellStyle name="Normal 17 4" xfId="208"/>
    <cellStyle name="Normal 17 4 2" xfId="714"/>
    <cellStyle name="Normal 17 4 2 2" xfId="1546"/>
    <cellStyle name="Normal 17 4 3" xfId="1043"/>
    <cellStyle name="Normal 17 5" xfId="550"/>
    <cellStyle name="Normal 17 5 2" xfId="1382"/>
    <cellStyle name="Normal 17 6" xfId="377"/>
    <cellStyle name="Normal 17 6 2" xfId="1210"/>
    <cellStyle name="Normal 17 7" xfId="879"/>
    <cellStyle name="Normal 18" xfId="59"/>
    <cellStyle name="Normal 18 2" xfId="102"/>
    <cellStyle name="Normal 18 2 2" xfId="186"/>
    <cellStyle name="Normal 18 2 2 2" xfId="351"/>
    <cellStyle name="Normal 18 2 2 2 2" xfId="857"/>
    <cellStyle name="Normal 18 2 2 2 2 2" xfId="1689"/>
    <cellStyle name="Normal 18 2 2 2 3" xfId="1186"/>
    <cellStyle name="Normal 18 2 2 3" xfId="693"/>
    <cellStyle name="Normal 18 2 2 3 2" xfId="1525"/>
    <cellStyle name="Normal 18 2 2 4" xfId="488"/>
    <cellStyle name="Normal 18 2 2 4 2" xfId="1321"/>
    <cellStyle name="Normal 18 2 2 5" xfId="1022"/>
    <cellStyle name="Normal 18 2 3" xfId="269"/>
    <cellStyle name="Normal 18 2 3 2" xfId="775"/>
    <cellStyle name="Normal 18 2 3 2 2" xfId="1607"/>
    <cellStyle name="Normal 18 2 3 3" xfId="1104"/>
    <cellStyle name="Normal 18 2 4" xfId="611"/>
    <cellStyle name="Normal 18 2 4 2" xfId="1443"/>
    <cellStyle name="Normal 18 2 5" xfId="400"/>
    <cellStyle name="Normal 18 2 5 2" xfId="1233"/>
    <cellStyle name="Normal 18 2 6" xfId="940"/>
    <cellStyle name="Normal 18 3" xfId="144"/>
    <cellStyle name="Normal 18 3 2" xfId="310"/>
    <cellStyle name="Normal 18 3 2 2" xfId="816"/>
    <cellStyle name="Normal 18 3 2 2 2" xfId="1648"/>
    <cellStyle name="Normal 18 3 2 3" xfId="1145"/>
    <cellStyle name="Normal 18 3 3" xfId="652"/>
    <cellStyle name="Normal 18 3 3 2" xfId="1484"/>
    <cellStyle name="Normal 18 3 4" xfId="444"/>
    <cellStyle name="Normal 18 3 4 2" xfId="1277"/>
    <cellStyle name="Normal 18 3 5" xfId="981"/>
    <cellStyle name="Normal 18 4" xfId="228"/>
    <cellStyle name="Normal 18 4 2" xfId="734"/>
    <cellStyle name="Normal 18 4 2 2" xfId="1566"/>
    <cellStyle name="Normal 18 4 3" xfId="1063"/>
    <cellStyle name="Normal 18 5" xfId="570"/>
    <cellStyle name="Normal 18 5 2" xfId="1402"/>
    <cellStyle name="Normal 18 6" xfId="354"/>
    <cellStyle name="Normal 18 6 2" xfId="1189"/>
    <cellStyle name="Normal 18 7" xfId="899"/>
    <cellStyle name="Normal 19" xfId="61"/>
    <cellStyle name="Normal 19 2" xfId="146"/>
    <cellStyle name="Normal 2" xfId="1"/>
    <cellStyle name="Normal 20" xfId="60"/>
    <cellStyle name="Normal 20 2" xfId="145"/>
    <cellStyle name="Normal 20 2 2" xfId="311"/>
    <cellStyle name="Normal 20 2 2 2" xfId="817"/>
    <cellStyle name="Normal 20 2 2 2 2" xfId="1649"/>
    <cellStyle name="Normal 20 2 2 3" xfId="1146"/>
    <cellStyle name="Normal 20 2 3" xfId="653"/>
    <cellStyle name="Normal 20 2 3 2" xfId="1485"/>
    <cellStyle name="Normal 20 2 4" xfId="485"/>
    <cellStyle name="Normal 20 2 4 2" xfId="1318"/>
    <cellStyle name="Normal 20 2 5" xfId="982"/>
    <cellStyle name="Normal 20 3" xfId="229"/>
    <cellStyle name="Normal 20 3 2" xfId="735"/>
    <cellStyle name="Normal 20 3 2 2" xfId="1567"/>
    <cellStyle name="Normal 20 3 3" xfId="1064"/>
    <cellStyle name="Normal 20 4" xfId="571"/>
    <cellStyle name="Normal 20 4 2" xfId="1403"/>
    <cellStyle name="Normal 20 5" xfId="397"/>
    <cellStyle name="Normal 20 5 2" xfId="1230"/>
    <cellStyle name="Normal 20 6" xfId="900"/>
    <cellStyle name="Normal 21" xfId="104"/>
    <cellStyle name="Normal 22" xfId="103"/>
    <cellStyle name="Normal 22 2" xfId="270"/>
    <cellStyle name="Normal 22 2 2" xfId="776"/>
    <cellStyle name="Normal 22 2 2 2" xfId="1608"/>
    <cellStyle name="Normal 22 2 3" xfId="1105"/>
    <cellStyle name="Normal 22 3" xfId="612"/>
    <cellStyle name="Normal 22 3 2" xfId="1444"/>
    <cellStyle name="Normal 22 4" xfId="441"/>
    <cellStyle name="Normal 22 4 2" xfId="1274"/>
    <cellStyle name="Normal 22 5" xfId="941"/>
    <cellStyle name="Normal 23" xfId="188"/>
    <cellStyle name="Normal 24" xfId="187"/>
    <cellStyle name="Normal 24 2" xfId="694"/>
    <cellStyle name="Normal 24 2 2" xfId="1526"/>
    <cellStyle name="Normal 24 3" xfId="1023"/>
    <cellStyle name="Normal 25" xfId="530"/>
    <cellStyle name="Normal 26" xfId="529"/>
    <cellStyle name="Normal 26 2" xfId="1362"/>
    <cellStyle name="Normal 27" xfId="859"/>
    <cellStyle name="Normal 28" xfId="858"/>
    <cellStyle name="Normal 3" xfId="2"/>
    <cellStyle name="Normal 4" xfId="3"/>
    <cellStyle name="Normal 4 10" xfId="352"/>
    <cellStyle name="Normal 4 10 2" xfId="1187"/>
    <cellStyle name="Normal 4 11" xfId="860"/>
    <cellStyle name="Normal 4 2" xfId="18"/>
    <cellStyle name="Normal 4 2 10" xfId="862"/>
    <cellStyle name="Normal 4 2 2" xfId="25"/>
    <cellStyle name="Normal 4 2 2 2" xfId="36"/>
    <cellStyle name="Normal 4 2 2 2 2" xfId="57"/>
    <cellStyle name="Normal 4 2 2 2 2 2" xfId="100"/>
    <cellStyle name="Normal 4 2 2 2 2 2 2" xfId="184"/>
    <cellStyle name="Normal 4 2 2 2 2 2 2 2" xfId="349"/>
    <cellStyle name="Normal 4 2 2 2 2 2 2 2 2" xfId="855"/>
    <cellStyle name="Normal 4 2 2 2 2 2 2 2 2 2" xfId="1687"/>
    <cellStyle name="Normal 4 2 2 2 2 2 2 2 3" xfId="1184"/>
    <cellStyle name="Normal 4 2 2 2 2 2 2 3" xfId="691"/>
    <cellStyle name="Normal 4 2 2 2 2 2 2 3 2" xfId="1523"/>
    <cellStyle name="Normal 4 2 2 2 2 2 2 4" xfId="527"/>
    <cellStyle name="Normal 4 2 2 2 2 2 2 4 2" xfId="1360"/>
    <cellStyle name="Normal 4 2 2 2 2 2 2 5" xfId="1020"/>
    <cellStyle name="Normal 4 2 2 2 2 2 3" xfId="267"/>
    <cellStyle name="Normal 4 2 2 2 2 2 3 2" xfId="773"/>
    <cellStyle name="Normal 4 2 2 2 2 2 3 2 2" xfId="1605"/>
    <cellStyle name="Normal 4 2 2 2 2 2 3 3" xfId="1102"/>
    <cellStyle name="Normal 4 2 2 2 2 2 4" xfId="609"/>
    <cellStyle name="Normal 4 2 2 2 2 2 4 2" xfId="1441"/>
    <cellStyle name="Normal 4 2 2 2 2 2 5" xfId="439"/>
    <cellStyle name="Normal 4 2 2 2 2 2 5 2" xfId="1272"/>
    <cellStyle name="Normal 4 2 2 2 2 2 6" xfId="938"/>
    <cellStyle name="Normal 4 2 2 2 2 3" xfId="142"/>
    <cellStyle name="Normal 4 2 2 2 2 3 2" xfId="308"/>
    <cellStyle name="Normal 4 2 2 2 2 3 2 2" xfId="814"/>
    <cellStyle name="Normal 4 2 2 2 2 3 2 2 2" xfId="1646"/>
    <cellStyle name="Normal 4 2 2 2 2 3 2 3" xfId="1143"/>
    <cellStyle name="Normal 4 2 2 2 2 3 3" xfId="650"/>
    <cellStyle name="Normal 4 2 2 2 2 3 3 2" xfId="1482"/>
    <cellStyle name="Normal 4 2 2 2 2 3 4" xfId="483"/>
    <cellStyle name="Normal 4 2 2 2 2 3 4 2" xfId="1316"/>
    <cellStyle name="Normal 4 2 2 2 2 3 5" xfId="979"/>
    <cellStyle name="Normal 4 2 2 2 2 4" xfId="226"/>
    <cellStyle name="Normal 4 2 2 2 2 4 2" xfId="732"/>
    <cellStyle name="Normal 4 2 2 2 2 4 2 2" xfId="1564"/>
    <cellStyle name="Normal 4 2 2 2 2 4 3" xfId="1061"/>
    <cellStyle name="Normal 4 2 2 2 2 5" xfId="568"/>
    <cellStyle name="Normal 4 2 2 2 2 5 2" xfId="1400"/>
    <cellStyle name="Normal 4 2 2 2 2 6" xfId="395"/>
    <cellStyle name="Normal 4 2 2 2 2 6 2" xfId="1228"/>
    <cellStyle name="Normal 4 2 2 2 2 7" xfId="897"/>
    <cellStyle name="Normal 4 2 2 2 3" xfId="79"/>
    <cellStyle name="Normal 4 2 2 2 3 2" xfId="164"/>
    <cellStyle name="Normal 4 2 2 2 3 2 2" xfId="329"/>
    <cellStyle name="Normal 4 2 2 2 3 2 2 2" xfId="835"/>
    <cellStyle name="Normal 4 2 2 2 3 2 2 2 2" xfId="1667"/>
    <cellStyle name="Normal 4 2 2 2 3 2 2 3" xfId="1164"/>
    <cellStyle name="Normal 4 2 2 2 3 2 3" xfId="671"/>
    <cellStyle name="Normal 4 2 2 2 3 2 3 2" xfId="1503"/>
    <cellStyle name="Normal 4 2 2 2 3 2 4" xfId="507"/>
    <cellStyle name="Normal 4 2 2 2 3 2 4 2" xfId="1340"/>
    <cellStyle name="Normal 4 2 2 2 3 2 5" xfId="1000"/>
    <cellStyle name="Normal 4 2 2 2 3 3" xfId="247"/>
    <cellStyle name="Normal 4 2 2 2 3 3 2" xfId="753"/>
    <cellStyle name="Normal 4 2 2 2 3 3 2 2" xfId="1585"/>
    <cellStyle name="Normal 4 2 2 2 3 3 3" xfId="1082"/>
    <cellStyle name="Normal 4 2 2 2 3 4" xfId="589"/>
    <cellStyle name="Normal 4 2 2 2 3 4 2" xfId="1421"/>
    <cellStyle name="Normal 4 2 2 2 3 5" xfId="419"/>
    <cellStyle name="Normal 4 2 2 2 3 5 2" xfId="1252"/>
    <cellStyle name="Normal 4 2 2 2 3 6" xfId="918"/>
    <cellStyle name="Normal 4 2 2 2 4" xfId="122"/>
    <cellStyle name="Normal 4 2 2 2 4 2" xfId="288"/>
    <cellStyle name="Normal 4 2 2 2 4 2 2" xfId="794"/>
    <cellStyle name="Normal 4 2 2 2 4 2 2 2" xfId="1626"/>
    <cellStyle name="Normal 4 2 2 2 4 2 3" xfId="1123"/>
    <cellStyle name="Normal 4 2 2 2 4 3" xfId="630"/>
    <cellStyle name="Normal 4 2 2 2 4 3 2" xfId="1462"/>
    <cellStyle name="Normal 4 2 2 2 4 4" xfId="463"/>
    <cellStyle name="Normal 4 2 2 2 4 4 2" xfId="1296"/>
    <cellStyle name="Normal 4 2 2 2 4 5" xfId="959"/>
    <cellStyle name="Normal 4 2 2 2 5" xfId="206"/>
    <cellStyle name="Normal 4 2 2 2 5 2" xfId="712"/>
    <cellStyle name="Normal 4 2 2 2 5 2 2" xfId="1544"/>
    <cellStyle name="Normal 4 2 2 2 5 3" xfId="1041"/>
    <cellStyle name="Normal 4 2 2 2 6" xfId="548"/>
    <cellStyle name="Normal 4 2 2 2 6 2" xfId="1380"/>
    <cellStyle name="Normal 4 2 2 2 7" xfId="375"/>
    <cellStyle name="Normal 4 2 2 2 7 2" xfId="1208"/>
    <cellStyle name="Normal 4 2 2 2 8" xfId="877"/>
    <cellStyle name="Normal 4 2 2 3" xfId="47"/>
    <cellStyle name="Normal 4 2 2 3 2" xfId="90"/>
    <cellStyle name="Normal 4 2 2 3 2 2" xfId="174"/>
    <cellStyle name="Normal 4 2 2 3 2 2 2" xfId="339"/>
    <cellStyle name="Normal 4 2 2 3 2 2 2 2" xfId="845"/>
    <cellStyle name="Normal 4 2 2 3 2 2 2 2 2" xfId="1677"/>
    <cellStyle name="Normal 4 2 2 3 2 2 2 3" xfId="1174"/>
    <cellStyle name="Normal 4 2 2 3 2 2 3" xfId="681"/>
    <cellStyle name="Normal 4 2 2 3 2 2 3 2" xfId="1513"/>
    <cellStyle name="Normal 4 2 2 3 2 2 4" xfId="517"/>
    <cellStyle name="Normal 4 2 2 3 2 2 4 2" xfId="1350"/>
    <cellStyle name="Normal 4 2 2 3 2 2 5" xfId="1010"/>
    <cellStyle name="Normal 4 2 2 3 2 3" xfId="257"/>
    <cellStyle name="Normal 4 2 2 3 2 3 2" xfId="763"/>
    <cellStyle name="Normal 4 2 2 3 2 3 2 2" xfId="1595"/>
    <cellStyle name="Normal 4 2 2 3 2 3 3" xfId="1092"/>
    <cellStyle name="Normal 4 2 2 3 2 4" xfId="599"/>
    <cellStyle name="Normal 4 2 2 3 2 4 2" xfId="1431"/>
    <cellStyle name="Normal 4 2 2 3 2 5" xfId="429"/>
    <cellStyle name="Normal 4 2 2 3 2 5 2" xfId="1262"/>
    <cellStyle name="Normal 4 2 2 3 2 6" xfId="928"/>
    <cellStyle name="Normal 4 2 2 3 3" xfId="132"/>
    <cellStyle name="Normal 4 2 2 3 3 2" xfId="298"/>
    <cellStyle name="Normal 4 2 2 3 3 2 2" xfId="804"/>
    <cellStyle name="Normal 4 2 2 3 3 2 2 2" xfId="1636"/>
    <cellStyle name="Normal 4 2 2 3 3 2 3" xfId="1133"/>
    <cellStyle name="Normal 4 2 2 3 3 3" xfId="640"/>
    <cellStyle name="Normal 4 2 2 3 3 3 2" xfId="1472"/>
    <cellStyle name="Normal 4 2 2 3 3 4" xfId="473"/>
    <cellStyle name="Normal 4 2 2 3 3 4 2" xfId="1306"/>
    <cellStyle name="Normal 4 2 2 3 3 5" xfId="969"/>
    <cellStyle name="Normal 4 2 2 3 4" xfId="216"/>
    <cellStyle name="Normal 4 2 2 3 4 2" xfId="722"/>
    <cellStyle name="Normal 4 2 2 3 4 2 2" xfId="1554"/>
    <cellStyle name="Normal 4 2 2 3 4 3" xfId="1051"/>
    <cellStyle name="Normal 4 2 2 3 5" xfId="558"/>
    <cellStyle name="Normal 4 2 2 3 5 2" xfId="1390"/>
    <cellStyle name="Normal 4 2 2 3 6" xfId="385"/>
    <cellStyle name="Normal 4 2 2 3 6 2" xfId="1218"/>
    <cellStyle name="Normal 4 2 2 3 7" xfId="887"/>
    <cellStyle name="Normal 4 2 2 4" xfId="69"/>
    <cellStyle name="Normal 4 2 2 4 2" xfId="154"/>
    <cellStyle name="Normal 4 2 2 4 2 2" xfId="319"/>
    <cellStyle name="Normal 4 2 2 4 2 2 2" xfId="825"/>
    <cellStyle name="Normal 4 2 2 4 2 2 2 2" xfId="1657"/>
    <cellStyle name="Normal 4 2 2 4 2 2 3" xfId="1154"/>
    <cellStyle name="Normal 4 2 2 4 2 3" xfId="661"/>
    <cellStyle name="Normal 4 2 2 4 2 3 2" xfId="1493"/>
    <cellStyle name="Normal 4 2 2 4 2 4" xfId="497"/>
    <cellStyle name="Normal 4 2 2 4 2 4 2" xfId="1330"/>
    <cellStyle name="Normal 4 2 2 4 2 5" xfId="990"/>
    <cellStyle name="Normal 4 2 2 4 3" xfId="237"/>
    <cellStyle name="Normal 4 2 2 4 3 2" xfId="743"/>
    <cellStyle name="Normal 4 2 2 4 3 2 2" xfId="1575"/>
    <cellStyle name="Normal 4 2 2 4 3 3" xfId="1072"/>
    <cellStyle name="Normal 4 2 2 4 4" xfId="579"/>
    <cellStyle name="Normal 4 2 2 4 4 2" xfId="1411"/>
    <cellStyle name="Normal 4 2 2 4 5" xfId="409"/>
    <cellStyle name="Normal 4 2 2 4 5 2" xfId="1242"/>
    <cellStyle name="Normal 4 2 2 4 6" xfId="908"/>
    <cellStyle name="Normal 4 2 2 5" xfId="112"/>
    <cellStyle name="Normal 4 2 2 5 2" xfId="278"/>
    <cellStyle name="Normal 4 2 2 5 2 2" xfId="784"/>
    <cellStyle name="Normal 4 2 2 5 2 2 2" xfId="1616"/>
    <cellStyle name="Normal 4 2 2 5 2 3" xfId="1113"/>
    <cellStyle name="Normal 4 2 2 5 3" xfId="620"/>
    <cellStyle name="Normal 4 2 2 5 3 2" xfId="1452"/>
    <cellStyle name="Normal 4 2 2 5 4" xfId="453"/>
    <cellStyle name="Normal 4 2 2 5 4 2" xfId="1286"/>
    <cellStyle name="Normal 4 2 2 5 5" xfId="949"/>
    <cellStyle name="Normal 4 2 2 6" xfId="196"/>
    <cellStyle name="Normal 4 2 2 6 2" xfId="702"/>
    <cellStyle name="Normal 4 2 2 6 2 2" xfId="1534"/>
    <cellStyle name="Normal 4 2 2 6 3" xfId="1031"/>
    <cellStyle name="Normal 4 2 2 7" xfId="538"/>
    <cellStyle name="Normal 4 2 2 7 2" xfId="1370"/>
    <cellStyle name="Normal 4 2 2 8" xfId="365"/>
    <cellStyle name="Normal 4 2 2 8 2" xfId="1198"/>
    <cellStyle name="Normal 4 2 2 9" xfId="867"/>
    <cellStyle name="Normal 4 2 3" xfId="31"/>
    <cellStyle name="Normal 4 2 3 2" xfId="52"/>
    <cellStyle name="Normal 4 2 3 2 2" xfId="95"/>
    <cellStyle name="Normal 4 2 3 2 2 2" xfId="179"/>
    <cellStyle name="Normal 4 2 3 2 2 2 2" xfId="344"/>
    <cellStyle name="Normal 4 2 3 2 2 2 2 2" xfId="850"/>
    <cellStyle name="Normal 4 2 3 2 2 2 2 2 2" xfId="1682"/>
    <cellStyle name="Normal 4 2 3 2 2 2 2 3" xfId="1179"/>
    <cellStyle name="Normal 4 2 3 2 2 2 3" xfId="686"/>
    <cellStyle name="Normal 4 2 3 2 2 2 3 2" xfId="1518"/>
    <cellStyle name="Normal 4 2 3 2 2 2 4" xfId="522"/>
    <cellStyle name="Normal 4 2 3 2 2 2 4 2" xfId="1355"/>
    <cellStyle name="Normal 4 2 3 2 2 2 5" xfId="1015"/>
    <cellStyle name="Normal 4 2 3 2 2 3" xfId="262"/>
    <cellStyle name="Normal 4 2 3 2 2 3 2" xfId="768"/>
    <cellStyle name="Normal 4 2 3 2 2 3 2 2" xfId="1600"/>
    <cellStyle name="Normal 4 2 3 2 2 3 3" xfId="1097"/>
    <cellStyle name="Normal 4 2 3 2 2 4" xfId="604"/>
    <cellStyle name="Normal 4 2 3 2 2 4 2" xfId="1436"/>
    <cellStyle name="Normal 4 2 3 2 2 5" xfId="434"/>
    <cellStyle name="Normal 4 2 3 2 2 5 2" xfId="1267"/>
    <cellStyle name="Normal 4 2 3 2 2 6" xfId="933"/>
    <cellStyle name="Normal 4 2 3 2 3" xfId="137"/>
    <cellStyle name="Normal 4 2 3 2 3 2" xfId="303"/>
    <cellStyle name="Normal 4 2 3 2 3 2 2" xfId="809"/>
    <cellStyle name="Normal 4 2 3 2 3 2 2 2" xfId="1641"/>
    <cellStyle name="Normal 4 2 3 2 3 2 3" xfId="1138"/>
    <cellStyle name="Normal 4 2 3 2 3 3" xfId="645"/>
    <cellStyle name="Normal 4 2 3 2 3 3 2" xfId="1477"/>
    <cellStyle name="Normal 4 2 3 2 3 4" xfId="478"/>
    <cellStyle name="Normal 4 2 3 2 3 4 2" xfId="1311"/>
    <cellStyle name="Normal 4 2 3 2 3 5" xfId="974"/>
    <cellStyle name="Normal 4 2 3 2 4" xfId="221"/>
    <cellStyle name="Normal 4 2 3 2 4 2" xfId="727"/>
    <cellStyle name="Normal 4 2 3 2 4 2 2" xfId="1559"/>
    <cellStyle name="Normal 4 2 3 2 4 3" xfId="1056"/>
    <cellStyle name="Normal 4 2 3 2 5" xfId="563"/>
    <cellStyle name="Normal 4 2 3 2 5 2" xfId="1395"/>
    <cellStyle name="Normal 4 2 3 2 6" xfId="390"/>
    <cellStyle name="Normal 4 2 3 2 6 2" xfId="1223"/>
    <cellStyle name="Normal 4 2 3 2 7" xfId="892"/>
    <cellStyle name="Normal 4 2 3 3" xfId="74"/>
    <cellStyle name="Normal 4 2 3 3 2" xfId="159"/>
    <cellStyle name="Normal 4 2 3 3 2 2" xfId="324"/>
    <cellStyle name="Normal 4 2 3 3 2 2 2" xfId="830"/>
    <cellStyle name="Normal 4 2 3 3 2 2 2 2" xfId="1662"/>
    <cellStyle name="Normal 4 2 3 3 2 2 3" xfId="1159"/>
    <cellStyle name="Normal 4 2 3 3 2 3" xfId="666"/>
    <cellStyle name="Normal 4 2 3 3 2 3 2" xfId="1498"/>
    <cellStyle name="Normal 4 2 3 3 2 4" xfId="502"/>
    <cellStyle name="Normal 4 2 3 3 2 4 2" xfId="1335"/>
    <cellStyle name="Normal 4 2 3 3 2 5" xfId="995"/>
    <cellStyle name="Normal 4 2 3 3 3" xfId="242"/>
    <cellStyle name="Normal 4 2 3 3 3 2" xfId="748"/>
    <cellStyle name="Normal 4 2 3 3 3 2 2" xfId="1580"/>
    <cellStyle name="Normal 4 2 3 3 3 3" xfId="1077"/>
    <cellStyle name="Normal 4 2 3 3 4" xfId="584"/>
    <cellStyle name="Normal 4 2 3 3 4 2" xfId="1416"/>
    <cellStyle name="Normal 4 2 3 3 5" xfId="414"/>
    <cellStyle name="Normal 4 2 3 3 5 2" xfId="1247"/>
    <cellStyle name="Normal 4 2 3 3 6" xfId="913"/>
    <cellStyle name="Normal 4 2 3 4" xfId="117"/>
    <cellStyle name="Normal 4 2 3 4 2" xfId="283"/>
    <cellStyle name="Normal 4 2 3 4 2 2" xfId="789"/>
    <cellStyle name="Normal 4 2 3 4 2 2 2" xfId="1621"/>
    <cellStyle name="Normal 4 2 3 4 2 3" xfId="1118"/>
    <cellStyle name="Normal 4 2 3 4 3" xfId="625"/>
    <cellStyle name="Normal 4 2 3 4 3 2" xfId="1457"/>
    <cellStyle name="Normal 4 2 3 4 4" xfId="458"/>
    <cellStyle name="Normal 4 2 3 4 4 2" xfId="1291"/>
    <cellStyle name="Normal 4 2 3 4 5" xfId="954"/>
    <cellStyle name="Normal 4 2 3 5" xfId="201"/>
    <cellStyle name="Normal 4 2 3 5 2" xfId="707"/>
    <cellStyle name="Normal 4 2 3 5 2 2" xfId="1539"/>
    <cellStyle name="Normal 4 2 3 5 3" xfId="1036"/>
    <cellStyle name="Normal 4 2 3 6" xfId="543"/>
    <cellStyle name="Normal 4 2 3 6 2" xfId="1375"/>
    <cellStyle name="Normal 4 2 3 7" xfId="370"/>
    <cellStyle name="Normal 4 2 3 7 2" xfId="1203"/>
    <cellStyle name="Normal 4 2 3 8" xfId="872"/>
    <cellStyle name="Normal 4 2 4" xfId="42"/>
    <cellStyle name="Normal 4 2 4 2" xfId="85"/>
    <cellStyle name="Normal 4 2 4 2 2" xfId="169"/>
    <cellStyle name="Normal 4 2 4 2 2 2" xfId="334"/>
    <cellStyle name="Normal 4 2 4 2 2 2 2" xfId="840"/>
    <cellStyle name="Normal 4 2 4 2 2 2 2 2" xfId="1672"/>
    <cellStyle name="Normal 4 2 4 2 2 2 3" xfId="1169"/>
    <cellStyle name="Normal 4 2 4 2 2 3" xfId="676"/>
    <cellStyle name="Normal 4 2 4 2 2 3 2" xfId="1508"/>
    <cellStyle name="Normal 4 2 4 2 2 4" xfId="512"/>
    <cellStyle name="Normal 4 2 4 2 2 4 2" xfId="1345"/>
    <cellStyle name="Normal 4 2 4 2 2 5" xfId="1005"/>
    <cellStyle name="Normal 4 2 4 2 3" xfId="252"/>
    <cellStyle name="Normal 4 2 4 2 3 2" xfId="758"/>
    <cellStyle name="Normal 4 2 4 2 3 2 2" xfId="1590"/>
    <cellStyle name="Normal 4 2 4 2 3 3" xfId="1087"/>
    <cellStyle name="Normal 4 2 4 2 4" xfId="594"/>
    <cellStyle name="Normal 4 2 4 2 4 2" xfId="1426"/>
    <cellStyle name="Normal 4 2 4 2 5" xfId="424"/>
    <cellStyle name="Normal 4 2 4 2 5 2" xfId="1257"/>
    <cellStyle name="Normal 4 2 4 2 6" xfId="923"/>
    <cellStyle name="Normal 4 2 4 3" xfId="127"/>
    <cellStyle name="Normal 4 2 4 3 2" xfId="293"/>
    <cellStyle name="Normal 4 2 4 3 2 2" xfId="799"/>
    <cellStyle name="Normal 4 2 4 3 2 2 2" xfId="1631"/>
    <cellStyle name="Normal 4 2 4 3 2 3" xfId="1128"/>
    <cellStyle name="Normal 4 2 4 3 3" xfId="635"/>
    <cellStyle name="Normal 4 2 4 3 3 2" xfId="1467"/>
    <cellStyle name="Normal 4 2 4 3 4" xfId="468"/>
    <cellStyle name="Normal 4 2 4 3 4 2" xfId="1301"/>
    <cellStyle name="Normal 4 2 4 3 5" xfId="964"/>
    <cellStyle name="Normal 4 2 4 4" xfId="211"/>
    <cellStyle name="Normal 4 2 4 4 2" xfId="717"/>
    <cellStyle name="Normal 4 2 4 4 2 2" xfId="1549"/>
    <cellStyle name="Normal 4 2 4 4 3" xfId="1046"/>
    <cellStyle name="Normal 4 2 4 5" xfId="553"/>
    <cellStyle name="Normal 4 2 4 5 2" xfId="1385"/>
    <cellStyle name="Normal 4 2 4 6" xfId="380"/>
    <cellStyle name="Normal 4 2 4 6 2" xfId="1213"/>
    <cellStyle name="Normal 4 2 4 7" xfId="882"/>
    <cellStyle name="Normal 4 2 5" xfId="64"/>
    <cellStyle name="Normal 4 2 5 2" xfId="149"/>
    <cellStyle name="Normal 4 2 5 2 2" xfId="314"/>
    <cellStyle name="Normal 4 2 5 2 2 2" xfId="820"/>
    <cellStyle name="Normal 4 2 5 2 2 2 2" xfId="1652"/>
    <cellStyle name="Normal 4 2 5 2 2 3" xfId="1149"/>
    <cellStyle name="Normal 4 2 5 2 3" xfId="656"/>
    <cellStyle name="Normal 4 2 5 2 3 2" xfId="1488"/>
    <cellStyle name="Normal 4 2 5 2 4" xfId="492"/>
    <cellStyle name="Normal 4 2 5 2 4 2" xfId="1325"/>
    <cellStyle name="Normal 4 2 5 2 5" xfId="985"/>
    <cellStyle name="Normal 4 2 5 3" xfId="232"/>
    <cellStyle name="Normal 4 2 5 3 2" xfId="738"/>
    <cellStyle name="Normal 4 2 5 3 2 2" xfId="1570"/>
    <cellStyle name="Normal 4 2 5 3 3" xfId="1067"/>
    <cellStyle name="Normal 4 2 5 4" xfId="574"/>
    <cellStyle name="Normal 4 2 5 4 2" xfId="1406"/>
    <cellStyle name="Normal 4 2 5 5" xfId="404"/>
    <cellStyle name="Normal 4 2 5 5 2" xfId="1237"/>
    <cellStyle name="Normal 4 2 5 6" xfId="903"/>
    <cellStyle name="Normal 4 2 6" xfId="107"/>
    <cellStyle name="Normal 4 2 6 2" xfId="273"/>
    <cellStyle name="Normal 4 2 6 2 2" xfId="779"/>
    <cellStyle name="Normal 4 2 6 2 2 2" xfId="1611"/>
    <cellStyle name="Normal 4 2 6 2 3" xfId="1108"/>
    <cellStyle name="Normal 4 2 6 3" xfId="615"/>
    <cellStyle name="Normal 4 2 6 3 2" xfId="1447"/>
    <cellStyle name="Normal 4 2 6 4" xfId="448"/>
    <cellStyle name="Normal 4 2 6 4 2" xfId="1281"/>
    <cellStyle name="Normal 4 2 6 5" xfId="944"/>
    <cellStyle name="Normal 4 2 7" xfId="191"/>
    <cellStyle name="Normal 4 2 7 2" xfId="697"/>
    <cellStyle name="Normal 4 2 7 2 2" xfId="1529"/>
    <cellStyle name="Normal 4 2 7 3" xfId="1026"/>
    <cellStyle name="Normal 4 2 8" xfId="533"/>
    <cellStyle name="Normal 4 2 8 2" xfId="1365"/>
    <cellStyle name="Normal 4 2 9" xfId="360"/>
    <cellStyle name="Normal 4 2 9 2" xfId="1193"/>
    <cellStyle name="Normal 4 3" xfId="23"/>
    <cellStyle name="Normal 4 3 2" xfId="34"/>
    <cellStyle name="Normal 4 3 2 2" xfId="55"/>
    <cellStyle name="Normal 4 3 2 2 2" xfId="98"/>
    <cellStyle name="Normal 4 3 2 2 2 2" xfId="182"/>
    <cellStyle name="Normal 4 3 2 2 2 2 2" xfId="347"/>
    <cellStyle name="Normal 4 3 2 2 2 2 2 2" xfId="853"/>
    <cellStyle name="Normal 4 3 2 2 2 2 2 2 2" xfId="1685"/>
    <cellStyle name="Normal 4 3 2 2 2 2 2 3" xfId="1182"/>
    <cellStyle name="Normal 4 3 2 2 2 2 3" xfId="689"/>
    <cellStyle name="Normal 4 3 2 2 2 2 3 2" xfId="1521"/>
    <cellStyle name="Normal 4 3 2 2 2 2 4" xfId="525"/>
    <cellStyle name="Normal 4 3 2 2 2 2 4 2" xfId="1358"/>
    <cellStyle name="Normal 4 3 2 2 2 2 5" xfId="1018"/>
    <cellStyle name="Normal 4 3 2 2 2 3" xfId="265"/>
    <cellStyle name="Normal 4 3 2 2 2 3 2" xfId="771"/>
    <cellStyle name="Normal 4 3 2 2 2 3 2 2" xfId="1603"/>
    <cellStyle name="Normal 4 3 2 2 2 3 3" xfId="1100"/>
    <cellStyle name="Normal 4 3 2 2 2 4" xfId="607"/>
    <cellStyle name="Normal 4 3 2 2 2 4 2" xfId="1439"/>
    <cellStyle name="Normal 4 3 2 2 2 5" xfId="437"/>
    <cellStyle name="Normal 4 3 2 2 2 5 2" xfId="1270"/>
    <cellStyle name="Normal 4 3 2 2 2 6" xfId="936"/>
    <cellStyle name="Normal 4 3 2 2 3" xfId="140"/>
    <cellStyle name="Normal 4 3 2 2 3 2" xfId="306"/>
    <cellStyle name="Normal 4 3 2 2 3 2 2" xfId="812"/>
    <cellStyle name="Normal 4 3 2 2 3 2 2 2" xfId="1644"/>
    <cellStyle name="Normal 4 3 2 2 3 2 3" xfId="1141"/>
    <cellStyle name="Normal 4 3 2 2 3 3" xfId="648"/>
    <cellStyle name="Normal 4 3 2 2 3 3 2" xfId="1480"/>
    <cellStyle name="Normal 4 3 2 2 3 4" xfId="481"/>
    <cellStyle name="Normal 4 3 2 2 3 4 2" xfId="1314"/>
    <cellStyle name="Normal 4 3 2 2 3 5" xfId="977"/>
    <cellStyle name="Normal 4 3 2 2 4" xfId="224"/>
    <cellStyle name="Normal 4 3 2 2 4 2" xfId="730"/>
    <cellStyle name="Normal 4 3 2 2 4 2 2" xfId="1562"/>
    <cellStyle name="Normal 4 3 2 2 4 3" xfId="1059"/>
    <cellStyle name="Normal 4 3 2 2 5" xfId="566"/>
    <cellStyle name="Normal 4 3 2 2 5 2" xfId="1398"/>
    <cellStyle name="Normal 4 3 2 2 6" xfId="393"/>
    <cellStyle name="Normal 4 3 2 2 6 2" xfId="1226"/>
    <cellStyle name="Normal 4 3 2 2 7" xfId="895"/>
    <cellStyle name="Normal 4 3 2 3" xfId="77"/>
    <cellStyle name="Normal 4 3 2 3 2" xfId="162"/>
    <cellStyle name="Normal 4 3 2 3 2 2" xfId="327"/>
    <cellStyle name="Normal 4 3 2 3 2 2 2" xfId="833"/>
    <cellStyle name="Normal 4 3 2 3 2 2 2 2" xfId="1665"/>
    <cellStyle name="Normal 4 3 2 3 2 2 3" xfId="1162"/>
    <cellStyle name="Normal 4 3 2 3 2 3" xfId="669"/>
    <cellStyle name="Normal 4 3 2 3 2 3 2" xfId="1501"/>
    <cellStyle name="Normal 4 3 2 3 2 4" xfId="505"/>
    <cellStyle name="Normal 4 3 2 3 2 4 2" xfId="1338"/>
    <cellStyle name="Normal 4 3 2 3 2 5" xfId="998"/>
    <cellStyle name="Normal 4 3 2 3 3" xfId="245"/>
    <cellStyle name="Normal 4 3 2 3 3 2" xfId="751"/>
    <cellStyle name="Normal 4 3 2 3 3 2 2" xfId="1583"/>
    <cellStyle name="Normal 4 3 2 3 3 3" xfId="1080"/>
    <cellStyle name="Normal 4 3 2 3 4" xfId="587"/>
    <cellStyle name="Normal 4 3 2 3 4 2" xfId="1419"/>
    <cellStyle name="Normal 4 3 2 3 5" xfId="417"/>
    <cellStyle name="Normal 4 3 2 3 5 2" xfId="1250"/>
    <cellStyle name="Normal 4 3 2 3 6" xfId="916"/>
    <cellStyle name="Normal 4 3 2 4" xfId="120"/>
    <cellStyle name="Normal 4 3 2 4 2" xfId="286"/>
    <cellStyle name="Normal 4 3 2 4 2 2" xfId="792"/>
    <cellStyle name="Normal 4 3 2 4 2 2 2" xfId="1624"/>
    <cellStyle name="Normal 4 3 2 4 2 3" xfId="1121"/>
    <cellStyle name="Normal 4 3 2 4 3" xfId="628"/>
    <cellStyle name="Normal 4 3 2 4 3 2" xfId="1460"/>
    <cellStyle name="Normal 4 3 2 4 4" xfId="461"/>
    <cellStyle name="Normal 4 3 2 4 4 2" xfId="1294"/>
    <cellStyle name="Normal 4 3 2 4 5" xfId="957"/>
    <cellStyle name="Normal 4 3 2 5" xfId="204"/>
    <cellStyle name="Normal 4 3 2 5 2" xfId="710"/>
    <cellStyle name="Normal 4 3 2 5 2 2" xfId="1542"/>
    <cellStyle name="Normal 4 3 2 5 3" xfId="1039"/>
    <cellStyle name="Normal 4 3 2 6" xfId="546"/>
    <cellStyle name="Normal 4 3 2 6 2" xfId="1378"/>
    <cellStyle name="Normal 4 3 2 7" xfId="373"/>
    <cellStyle name="Normal 4 3 2 7 2" xfId="1206"/>
    <cellStyle name="Normal 4 3 2 8" xfId="875"/>
    <cellStyle name="Normal 4 3 3" xfId="45"/>
    <cellStyle name="Normal 4 3 3 2" xfId="88"/>
    <cellStyle name="Normal 4 3 3 2 2" xfId="172"/>
    <cellStyle name="Normal 4 3 3 2 2 2" xfId="337"/>
    <cellStyle name="Normal 4 3 3 2 2 2 2" xfId="843"/>
    <cellStyle name="Normal 4 3 3 2 2 2 2 2" xfId="1675"/>
    <cellStyle name="Normal 4 3 3 2 2 2 3" xfId="1172"/>
    <cellStyle name="Normal 4 3 3 2 2 3" xfId="679"/>
    <cellStyle name="Normal 4 3 3 2 2 3 2" xfId="1511"/>
    <cellStyle name="Normal 4 3 3 2 2 4" xfId="515"/>
    <cellStyle name="Normal 4 3 3 2 2 4 2" xfId="1348"/>
    <cellStyle name="Normal 4 3 3 2 2 5" xfId="1008"/>
    <cellStyle name="Normal 4 3 3 2 3" xfId="255"/>
    <cellStyle name="Normal 4 3 3 2 3 2" xfId="761"/>
    <cellStyle name="Normal 4 3 3 2 3 2 2" xfId="1593"/>
    <cellStyle name="Normal 4 3 3 2 3 3" xfId="1090"/>
    <cellStyle name="Normal 4 3 3 2 4" xfId="597"/>
    <cellStyle name="Normal 4 3 3 2 4 2" xfId="1429"/>
    <cellStyle name="Normal 4 3 3 2 5" xfId="427"/>
    <cellStyle name="Normal 4 3 3 2 5 2" xfId="1260"/>
    <cellStyle name="Normal 4 3 3 2 6" xfId="926"/>
    <cellStyle name="Normal 4 3 3 3" xfId="130"/>
    <cellStyle name="Normal 4 3 3 3 2" xfId="296"/>
    <cellStyle name="Normal 4 3 3 3 2 2" xfId="802"/>
    <cellStyle name="Normal 4 3 3 3 2 2 2" xfId="1634"/>
    <cellStyle name="Normal 4 3 3 3 2 3" xfId="1131"/>
    <cellStyle name="Normal 4 3 3 3 3" xfId="638"/>
    <cellStyle name="Normal 4 3 3 3 3 2" xfId="1470"/>
    <cellStyle name="Normal 4 3 3 3 4" xfId="471"/>
    <cellStyle name="Normal 4 3 3 3 4 2" xfId="1304"/>
    <cellStyle name="Normal 4 3 3 3 5" xfId="967"/>
    <cellStyle name="Normal 4 3 3 4" xfId="214"/>
    <cellStyle name="Normal 4 3 3 4 2" xfId="720"/>
    <cellStyle name="Normal 4 3 3 4 2 2" xfId="1552"/>
    <cellStyle name="Normal 4 3 3 4 3" xfId="1049"/>
    <cellStyle name="Normal 4 3 3 5" xfId="556"/>
    <cellStyle name="Normal 4 3 3 5 2" xfId="1388"/>
    <cellStyle name="Normal 4 3 3 6" xfId="383"/>
    <cellStyle name="Normal 4 3 3 6 2" xfId="1216"/>
    <cellStyle name="Normal 4 3 3 7" xfId="885"/>
    <cellStyle name="Normal 4 3 4" xfId="67"/>
    <cellStyle name="Normal 4 3 4 2" xfId="152"/>
    <cellStyle name="Normal 4 3 4 2 2" xfId="317"/>
    <cellStyle name="Normal 4 3 4 2 2 2" xfId="823"/>
    <cellStyle name="Normal 4 3 4 2 2 2 2" xfId="1655"/>
    <cellStyle name="Normal 4 3 4 2 2 3" xfId="1152"/>
    <cellStyle name="Normal 4 3 4 2 3" xfId="659"/>
    <cellStyle name="Normal 4 3 4 2 3 2" xfId="1491"/>
    <cellStyle name="Normal 4 3 4 2 4" xfId="495"/>
    <cellStyle name="Normal 4 3 4 2 4 2" xfId="1328"/>
    <cellStyle name="Normal 4 3 4 2 5" xfId="988"/>
    <cellStyle name="Normal 4 3 4 3" xfId="235"/>
    <cellStyle name="Normal 4 3 4 3 2" xfId="741"/>
    <cellStyle name="Normal 4 3 4 3 2 2" xfId="1573"/>
    <cellStyle name="Normal 4 3 4 3 3" xfId="1070"/>
    <cellStyle name="Normal 4 3 4 4" xfId="577"/>
    <cellStyle name="Normal 4 3 4 4 2" xfId="1409"/>
    <cellStyle name="Normal 4 3 4 5" xfId="407"/>
    <cellStyle name="Normal 4 3 4 5 2" xfId="1240"/>
    <cellStyle name="Normal 4 3 4 6" xfId="906"/>
    <cellStyle name="Normal 4 3 5" xfId="110"/>
    <cellStyle name="Normal 4 3 5 2" xfId="276"/>
    <cellStyle name="Normal 4 3 5 2 2" xfId="782"/>
    <cellStyle name="Normal 4 3 5 2 2 2" xfId="1614"/>
    <cellStyle name="Normal 4 3 5 2 3" xfId="1111"/>
    <cellStyle name="Normal 4 3 5 3" xfId="618"/>
    <cellStyle name="Normal 4 3 5 3 2" xfId="1450"/>
    <cellStyle name="Normal 4 3 5 4" xfId="451"/>
    <cellStyle name="Normal 4 3 5 4 2" xfId="1284"/>
    <cellStyle name="Normal 4 3 5 5" xfId="947"/>
    <cellStyle name="Normal 4 3 6" xfId="194"/>
    <cellStyle name="Normal 4 3 6 2" xfId="700"/>
    <cellStyle name="Normal 4 3 6 2 2" xfId="1532"/>
    <cellStyle name="Normal 4 3 6 3" xfId="1029"/>
    <cellStyle name="Normal 4 3 7" xfId="536"/>
    <cellStyle name="Normal 4 3 7 2" xfId="1368"/>
    <cellStyle name="Normal 4 3 8" xfId="363"/>
    <cellStyle name="Normal 4 3 8 2" xfId="1196"/>
    <cellStyle name="Normal 4 3 9" xfId="865"/>
    <cellStyle name="Normal 4 4" xfId="29"/>
    <cellStyle name="Normal 4 4 2" xfId="50"/>
    <cellStyle name="Normal 4 4 2 2" xfId="93"/>
    <cellStyle name="Normal 4 4 2 2 2" xfId="177"/>
    <cellStyle name="Normal 4 4 2 2 2 2" xfId="342"/>
    <cellStyle name="Normal 4 4 2 2 2 2 2" xfId="848"/>
    <cellStyle name="Normal 4 4 2 2 2 2 2 2" xfId="1680"/>
    <cellStyle name="Normal 4 4 2 2 2 2 3" xfId="1177"/>
    <cellStyle name="Normal 4 4 2 2 2 3" xfId="684"/>
    <cellStyle name="Normal 4 4 2 2 2 3 2" xfId="1516"/>
    <cellStyle name="Normal 4 4 2 2 2 4" xfId="520"/>
    <cellStyle name="Normal 4 4 2 2 2 4 2" xfId="1353"/>
    <cellStyle name="Normal 4 4 2 2 2 5" xfId="1013"/>
    <cellStyle name="Normal 4 4 2 2 3" xfId="260"/>
    <cellStyle name="Normal 4 4 2 2 3 2" xfId="766"/>
    <cellStyle name="Normal 4 4 2 2 3 2 2" xfId="1598"/>
    <cellStyle name="Normal 4 4 2 2 3 3" xfId="1095"/>
    <cellStyle name="Normal 4 4 2 2 4" xfId="602"/>
    <cellStyle name="Normal 4 4 2 2 4 2" xfId="1434"/>
    <cellStyle name="Normal 4 4 2 2 5" xfId="432"/>
    <cellStyle name="Normal 4 4 2 2 5 2" xfId="1265"/>
    <cellStyle name="Normal 4 4 2 2 6" xfId="931"/>
    <cellStyle name="Normal 4 4 2 3" xfId="135"/>
    <cellStyle name="Normal 4 4 2 3 2" xfId="301"/>
    <cellStyle name="Normal 4 4 2 3 2 2" xfId="807"/>
    <cellStyle name="Normal 4 4 2 3 2 2 2" xfId="1639"/>
    <cellStyle name="Normal 4 4 2 3 2 3" xfId="1136"/>
    <cellStyle name="Normal 4 4 2 3 3" xfId="643"/>
    <cellStyle name="Normal 4 4 2 3 3 2" xfId="1475"/>
    <cellStyle name="Normal 4 4 2 3 4" xfId="476"/>
    <cellStyle name="Normal 4 4 2 3 4 2" xfId="1309"/>
    <cellStyle name="Normal 4 4 2 3 5" xfId="972"/>
    <cellStyle name="Normal 4 4 2 4" xfId="219"/>
    <cellStyle name="Normal 4 4 2 4 2" xfId="725"/>
    <cellStyle name="Normal 4 4 2 4 2 2" xfId="1557"/>
    <cellStyle name="Normal 4 4 2 4 3" xfId="1054"/>
    <cellStyle name="Normal 4 4 2 5" xfId="561"/>
    <cellStyle name="Normal 4 4 2 5 2" xfId="1393"/>
    <cellStyle name="Normal 4 4 2 6" xfId="388"/>
    <cellStyle name="Normal 4 4 2 6 2" xfId="1221"/>
    <cellStyle name="Normal 4 4 2 7" xfId="890"/>
    <cellStyle name="Normal 4 4 3" xfId="72"/>
    <cellStyle name="Normal 4 4 3 2" xfId="157"/>
    <cellStyle name="Normal 4 4 3 2 2" xfId="322"/>
    <cellStyle name="Normal 4 4 3 2 2 2" xfId="828"/>
    <cellStyle name="Normal 4 4 3 2 2 2 2" xfId="1660"/>
    <cellStyle name="Normal 4 4 3 2 2 3" xfId="1157"/>
    <cellStyle name="Normal 4 4 3 2 3" xfId="664"/>
    <cellStyle name="Normal 4 4 3 2 3 2" xfId="1496"/>
    <cellStyle name="Normal 4 4 3 2 4" xfId="500"/>
    <cellStyle name="Normal 4 4 3 2 4 2" xfId="1333"/>
    <cellStyle name="Normal 4 4 3 2 5" xfId="993"/>
    <cellStyle name="Normal 4 4 3 3" xfId="240"/>
    <cellStyle name="Normal 4 4 3 3 2" xfId="746"/>
    <cellStyle name="Normal 4 4 3 3 2 2" xfId="1578"/>
    <cellStyle name="Normal 4 4 3 3 3" xfId="1075"/>
    <cellStyle name="Normal 4 4 3 4" xfId="582"/>
    <cellStyle name="Normal 4 4 3 4 2" xfId="1414"/>
    <cellStyle name="Normal 4 4 3 5" xfId="412"/>
    <cellStyle name="Normal 4 4 3 5 2" xfId="1245"/>
    <cellStyle name="Normal 4 4 3 6" xfId="911"/>
    <cellStyle name="Normal 4 4 4" xfId="115"/>
    <cellStyle name="Normal 4 4 4 2" xfId="281"/>
    <cellStyle name="Normal 4 4 4 2 2" xfId="787"/>
    <cellStyle name="Normal 4 4 4 2 2 2" xfId="1619"/>
    <cellStyle name="Normal 4 4 4 2 3" xfId="1116"/>
    <cellStyle name="Normal 4 4 4 3" xfId="623"/>
    <cellStyle name="Normal 4 4 4 3 2" xfId="1455"/>
    <cellStyle name="Normal 4 4 4 4" xfId="456"/>
    <cellStyle name="Normal 4 4 4 4 2" xfId="1289"/>
    <cellStyle name="Normal 4 4 4 5" xfId="952"/>
    <cellStyle name="Normal 4 4 5" xfId="199"/>
    <cellStyle name="Normal 4 4 5 2" xfId="705"/>
    <cellStyle name="Normal 4 4 5 2 2" xfId="1537"/>
    <cellStyle name="Normal 4 4 5 3" xfId="1034"/>
    <cellStyle name="Normal 4 4 6" xfId="541"/>
    <cellStyle name="Normal 4 4 6 2" xfId="1373"/>
    <cellStyle name="Normal 4 4 7" xfId="368"/>
    <cellStyle name="Normal 4 4 7 2" xfId="1201"/>
    <cellStyle name="Normal 4 4 8" xfId="870"/>
    <cellStyle name="Normal 4 5" xfId="40"/>
    <cellStyle name="Normal 4 5 2" xfId="83"/>
    <cellStyle name="Normal 4 5 2 2" xfId="167"/>
    <cellStyle name="Normal 4 5 2 2 2" xfId="332"/>
    <cellStyle name="Normal 4 5 2 2 2 2" xfId="838"/>
    <cellStyle name="Normal 4 5 2 2 2 2 2" xfId="1670"/>
    <cellStyle name="Normal 4 5 2 2 2 3" xfId="1167"/>
    <cellStyle name="Normal 4 5 2 2 3" xfId="674"/>
    <cellStyle name="Normal 4 5 2 2 3 2" xfId="1506"/>
    <cellStyle name="Normal 4 5 2 2 4" xfId="510"/>
    <cellStyle name="Normal 4 5 2 2 4 2" xfId="1343"/>
    <cellStyle name="Normal 4 5 2 2 5" xfId="1003"/>
    <cellStyle name="Normal 4 5 2 3" xfId="250"/>
    <cellStyle name="Normal 4 5 2 3 2" xfId="756"/>
    <cellStyle name="Normal 4 5 2 3 2 2" xfId="1588"/>
    <cellStyle name="Normal 4 5 2 3 3" xfId="1085"/>
    <cellStyle name="Normal 4 5 2 4" xfId="592"/>
    <cellStyle name="Normal 4 5 2 4 2" xfId="1424"/>
    <cellStyle name="Normal 4 5 2 5" xfId="422"/>
    <cellStyle name="Normal 4 5 2 5 2" xfId="1255"/>
    <cellStyle name="Normal 4 5 2 6" xfId="921"/>
    <cellStyle name="Normal 4 5 3" xfId="125"/>
    <cellStyle name="Normal 4 5 3 2" xfId="291"/>
    <cellStyle name="Normal 4 5 3 2 2" xfId="797"/>
    <cellStyle name="Normal 4 5 3 2 2 2" xfId="1629"/>
    <cellStyle name="Normal 4 5 3 2 3" xfId="1126"/>
    <cellStyle name="Normal 4 5 3 3" xfId="633"/>
    <cellStyle name="Normal 4 5 3 3 2" xfId="1465"/>
    <cellStyle name="Normal 4 5 3 4" xfId="466"/>
    <cellStyle name="Normal 4 5 3 4 2" xfId="1299"/>
    <cellStyle name="Normal 4 5 3 5" xfId="962"/>
    <cellStyle name="Normal 4 5 4" xfId="209"/>
    <cellStyle name="Normal 4 5 4 2" xfId="715"/>
    <cellStyle name="Normal 4 5 4 2 2" xfId="1547"/>
    <cellStyle name="Normal 4 5 4 3" xfId="1044"/>
    <cellStyle name="Normal 4 5 5" xfId="551"/>
    <cellStyle name="Normal 4 5 5 2" xfId="1383"/>
    <cellStyle name="Normal 4 5 6" xfId="378"/>
    <cellStyle name="Normal 4 5 6 2" xfId="1211"/>
    <cellStyle name="Normal 4 5 7" xfId="880"/>
    <cellStyle name="Normal 4 6" xfId="62"/>
    <cellStyle name="Normal 4 6 2" xfId="147"/>
    <cellStyle name="Normal 4 6 2 2" xfId="312"/>
    <cellStyle name="Normal 4 6 2 2 2" xfId="818"/>
    <cellStyle name="Normal 4 6 2 2 2 2" xfId="1650"/>
    <cellStyle name="Normal 4 6 2 2 3" xfId="489"/>
    <cellStyle name="Normal 4 6 2 2 3 2" xfId="1322"/>
    <cellStyle name="Normal 4 6 2 2 4" xfId="1147"/>
    <cellStyle name="Normal 4 6 2 3" xfId="654"/>
    <cellStyle name="Normal 4 6 2 3 2" xfId="1486"/>
    <cellStyle name="Normal 4 6 2 4" xfId="401"/>
    <cellStyle name="Normal 4 6 2 4 2" xfId="1234"/>
    <cellStyle name="Normal 4 6 2 5" xfId="983"/>
    <cellStyle name="Normal 4 6 3" xfId="230"/>
    <cellStyle name="Normal 4 6 3 2" xfId="736"/>
    <cellStyle name="Normal 4 6 3 2 2" xfId="1568"/>
    <cellStyle name="Normal 4 6 3 3" xfId="445"/>
    <cellStyle name="Normal 4 6 3 3 2" xfId="1278"/>
    <cellStyle name="Normal 4 6 3 4" xfId="1065"/>
    <cellStyle name="Normal 4 6 4" xfId="572"/>
    <cellStyle name="Normal 4 6 4 2" xfId="1404"/>
    <cellStyle name="Normal 4 6 5" xfId="355"/>
    <cellStyle name="Normal 4 6 5 2" xfId="1190"/>
    <cellStyle name="Normal 4 6 6" xfId="901"/>
    <cellStyle name="Normal 4 7" xfId="105"/>
    <cellStyle name="Normal 4 7 2" xfId="271"/>
    <cellStyle name="Normal 4 7 2 2" xfId="777"/>
    <cellStyle name="Normal 4 7 2 2 2" xfId="1609"/>
    <cellStyle name="Normal 4 7 2 3" xfId="486"/>
    <cellStyle name="Normal 4 7 2 3 2" xfId="1319"/>
    <cellStyle name="Normal 4 7 2 4" xfId="1106"/>
    <cellStyle name="Normal 4 7 3" xfId="613"/>
    <cellStyle name="Normal 4 7 3 2" xfId="1445"/>
    <cellStyle name="Normal 4 7 4" xfId="398"/>
    <cellStyle name="Normal 4 7 4 2" xfId="1231"/>
    <cellStyle name="Normal 4 7 5" xfId="942"/>
    <cellStyle name="Normal 4 8" xfId="189"/>
    <cellStyle name="Normal 4 8 2" xfId="695"/>
    <cellStyle name="Normal 4 8 2 2" xfId="1527"/>
    <cellStyle name="Normal 4 8 3" xfId="442"/>
    <cellStyle name="Normal 4 8 3 2" xfId="1275"/>
    <cellStyle name="Normal 4 8 4" xfId="1024"/>
    <cellStyle name="Normal 4 9" xfId="531"/>
    <cellStyle name="Normal 4 9 2" xfId="1363"/>
    <cellStyle name="Normal 5" xfId="4"/>
    <cellStyle name="Normal 5 2" xfId="5"/>
    <cellStyle name="Normal 5 2 2" xfId="6"/>
    <cellStyle name="Normal 5 2 3" xfId="7"/>
    <cellStyle name="Normal 5 3" xfId="357"/>
    <cellStyle name="Normal 5 4" xfId="356"/>
    <cellStyle name="Normal 5 4 2" xfId="402"/>
    <cellStyle name="Normal 5 4 2 2" xfId="490"/>
    <cellStyle name="Normal 5 4 2 2 2" xfId="1323"/>
    <cellStyle name="Normal 5 4 2 3" xfId="1235"/>
    <cellStyle name="Normal 5 4 3" xfId="446"/>
    <cellStyle name="Normal 5 4 3 2" xfId="1279"/>
    <cellStyle name="Normal 5 4 4" xfId="1191"/>
    <cellStyle name="Normal 5 5" xfId="399"/>
    <cellStyle name="Normal 5 5 2" xfId="487"/>
    <cellStyle name="Normal 5 5 2 2" xfId="1320"/>
    <cellStyle name="Normal 5 5 3" xfId="1232"/>
    <cellStyle name="Normal 5 6" xfId="443"/>
    <cellStyle name="Normal 5 6 2" xfId="1276"/>
    <cellStyle name="Normal 5 7" xfId="353"/>
    <cellStyle name="Normal 5 7 2" xfId="1188"/>
    <cellStyle name="Normal 6" xfId="8"/>
    <cellStyle name="Normal 6 2" xfId="9"/>
    <cellStyle name="Normal 6 3" xfId="10"/>
    <cellStyle name="Normal 6 3 2" xfId="11"/>
    <cellStyle name="Normal 6 4" xfId="358"/>
    <cellStyle name="Normal 7" xfId="12"/>
    <cellStyle name="Normal 7 2" xfId="13"/>
    <cellStyle name="Normal 8" xfId="14"/>
    <cellStyle name="Normal 8 2" xfId="15"/>
    <cellStyle name="Normal 9" xfId="16"/>
  </cellStyles>
  <dxfs count="1">
    <dxf>
      <fill>
        <patternFill patternType="solid">
          <fgColor rgb="FFFFFF99"/>
          <bgColor rgb="FF000000"/>
        </patternFill>
      </fill>
    </dxf>
  </dxfs>
  <tableStyles count="0" defaultTableStyle="TableStyleMedium9" defaultPivotStyle="PivotStyleLight16"/>
  <colors>
    <mruColors>
      <color rgb="FFFFFF99"/>
      <color rgb="FF0000FF"/>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drawing1.xml><?xml version="1.0" encoding="utf-8"?>
<xdr:wsDr xmlns:xdr="http://schemas.openxmlformats.org/drawingml/2006/spreadsheetDrawing" xmlns:a="http://schemas.openxmlformats.org/drawingml/2006/main">
  <xdr:twoCellAnchor>
    <xdr:from>
      <xdr:col>11</xdr:col>
      <xdr:colOff>0</xdr:colOff>
      <xdr:row>0</xdr:row>
      <xdr:rowOff>180975</xdr:rowOff>
    </xdr:from>
    <xdr:to>
      <xdr:col>11</xdr:col>
      <xdr:colOff>0</xdr:colOff>
      <xdr:row>1</xdr:row>
      <xdr:rowOff>0</xdr:rowOff>
    </xdr:to>
    <xdr:sp macro="" textlink="">
      <xdr:nvSpPr>
        <xdr:cNvPr id="3134" name="Rectangle 1"/>
        <xdr:cNvSpPr>
          <a:spLocks noChangeArrowheads="1"/>
        </xdr:cNvSpPr>
      </xdr:nvSpPr>
      <xdr:spPr bwMode="auto">
        <a:xfrm>
          <a:off x="12763500" y="180975"/>
          <a:ext cx="0" cy="95250"/>
        </a:xfrm>
        <a:prstGeom prst="rect">
          <a:avLst/>
        </a:prstGeom>
        <a:solidFill>
          <a:srgbClr val="C0C0C0"/>
        </a:solidFill>
        <a:ln w="9525">
          <a:noFill/>
          <a:miter lim="800000"/>
          <a:headEnd/>
          <a:tailEnd/>
        </a:ln>
      </xdr:spPr>
    </xdr:sp>
    <xdr:clientData/>
  </xdr:twoCellAnchor>
  <xdr:twoCellAnchor>
    <xdr:from>
      <xdr:col>11</xdr:col>
      <xdr:colOff>0</xdr:colOff>
      <xdr:row>0</xdr:row>
      <xdr:rowOff>180975</xdr:rowOff>
    </xdr:from>
    <xdr:to>
      <xdr:col>11</xdr:col>
      <xdr:colOff>0</xdr:colOff>
      <xdr:row>1</xdr:row>
      <xdr:rowOff>0</xdr:rowOff>
    </xdr:to>
    <xdr:sp macro="" textlink="">
      <xdr:nvSpPr>
        <xdr:cNvPr id="3135" name="Rectangle 1"/>
        <xdr:cNvSpPr>
          <a:spLocks noChangeArrowheads="1"/>
        </xdr:cNvSpPr>
      </xdr:nvSpPr>
      <xdr:spPr bwMode="auto">
        <a:xfrm>
          <a:off x="12763500" y="180975"/>
          <a:ext cx="0" cy="95250"/>
        </a:xfrm>
        <a:prstGeom prst="rect">
          <a:avLst/>
        </a:prstGeom>
        <a:solidFill>
          <a:srgbClr val="C0C0C0"/>
        </a:solidFill>
        <a:ln w="9525">
          <a:noFill/>
          <a:miter lim="800000"/>
          <a:headEnd/>
          <a:tailEnd/>
        </a:ln>
      </xdr:spPr>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printerSettings" Target="../printerSettings/printerSettings3.bin"/><Relationship Id="rId2" Type="http://schemas.openxmlformats.org/officeDocument/2006/relationships/printerSettings" Target="../printerSettings/printerSettings2.bin"/><Relationship Id="rId1" Type="http://schemas.openxmlformats.org/officeDocument/2006/relationships/printerSettings" Target="../printerSettings/printerSettings1.bin"/><Relationship Id="rId6" Type="http://schemas.openxmlformats.org/officeDocument/2006/relationships/drawing" Target="../drawings/drawing1.xml"/><Relationship Id="rId5" Type="http://schemas.openxmlformats.org/officeDocument/2006/relationships/printerSettings" Target="../printerSettings/printerSettings5.bin"/><Relationship Id="rId4" Type="http://schemas.openxmlformats.org/officeDocument/2006/relationships/printerSettings" Target="../printerSettings/printerSettings4.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3.xml.rels><?xml version="1.0" encoding="UTF-8" standalone="yes"?>
<Relationships xmlns="http://schemas.openxmlformats.org/package/2006/relationships"><Relationship Id="rId3" Type="http://schemas.openxmlformats.org/officeDocument/2006/relationships/hyperlink" Target="http://drcdirect/informationsystems/eis/dteam/Louisiana/" TargetMode="External"/><Relationship Id="rId2" Type="http://schemas.openxmlformats.org/officeDocument/2006/relationships/hyperlink" Target="http://drcdirect/informationsystems/eis/dteam/Louisiana/Accountability/" TargetMode="External"/><Relationship Id="rId1" Type="http://schemas.openxmlformats.org/officeDocument/2006/relationships/hyperlink" Target="http://drcdirect/informationsystems/eis/dteam/Louisiana/" TargetMode="External"/><Relationship Id="rId5" Type="http://schemas.openxmlformats.org/officeDocument/2006/relationships/printerSettings" Target="../printerSettings/printerSettings7.bin"/><Relationship Id="rId4" Type="http://schemas.openxmlformats.org/officeDocument/2006/relationships/hyperlink" Target="http://drcdirect/informationsystems/eis/dteam/Louisiana/"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N537"/>
  <sheetViews>
    <sheetView tabSelected="1" topLeftCell="G1" zoomScale="70" zoomScaleNormal="70" zoomScaleSheetLayoutView="50" workbookViewId="0">
      <selection activeCell="G53" sqref="G53"/>
    </sheetView>
  </sheetViews>
  <sheetFormatPr defaultColWidth="9.140625" defaultRowHeight="12.75" x14ac:dyDescent="0.2"/>
  <cols>
    <col min="1" max="1" width="7.5703125" style="57" customWidth="1"/>
    <col min="2" max="2" width="15" style="57" customWidth="1"/>
    <col min="3" max="3" width="11.85546875" style="57" customWidth="1"/>
    <col min="4" max="4" width="9.28515625" style="232" customWidth="1"/>
    <col min="5" max="5" width="10.85546875" style="56" customWidth="1"/>
    <col min="6" max="6" width="11" style="56" bestFit="1" customWidth="1"/>
    <col min="7" max="8" width="11" style="57" customWidth="1"/>
    <col min="9" max="9" width="9.140625" style="57"/>
    <col min="10" max="10" width="72.5703125" style="59" bestFit="1" customWidth="1"/>
    <col min="11" max="11" width="37.5703125" style="60" customWidth="1"/>
    <col min="12" max="12" width="73.140625" style="79" customWidth="1"/>
    <col min="13" max="16384" width="9.140625" style="56"/>
  </cols>
  <sheetData>
    <row r="1" spans="1:13" s="29" customFormat="1" ht="21.75" customHeight="1" x14ac:dyDescent="0.3">
      <c r="A1" s="63"/>
      <c r="B1" s="63"/>
      <c r="C1" s="234" t="s">
        <v>373</v>
      </c>
      <c r="D1" s="235"/>
      <c r="E1" s="235"/>
      <c r="F1" s="235"/>
      <c r="G1" s="235"/>
      <c r="H1" s="235"/>
      <c r="I1" s="235"/>
      <c r="J1" s="235"/>
      <c r="K1" s="241" t="s">
        <v>1012</v>
      </c>
      <c r="L1" s="241"/>
    </row>
    <row r="2" spans="1:13" s="23" customFormat="1" ht="64.5" customHeight="1" x14ac:dyDescent="0.25">
      <c r="A2" s="21" t="s">
        <v>374</v>
      </c>
      <c r="B2" s="21" t="s">
        <v>372</v>
      </c>
      <c r="C2" s="21" t="s">
        <v>5</v>
      </c>
      <c r="D2" s="230" t="s">
        <v>212</v>
      </c>
      <c r="E2" s="21" t="s">
        <v>191</v>
      </c>
      <c r="F2" s="21" t="s">
        <v>192</v>
      </c>
      <c r="G2" s="267" t="s">
        <v>1128</v>
      </c>
      <c r="H2" s="267" t="s">
        <v>1129</v>
      </c>
      <c r="I2" s="257" t="s">
        <v>304</v>
      </c>
      <c r="J2" s="20" t="s">
        <v>305</v>
      </c>
      <c r="K2" s="21" t="s">
        <v>185</v>
      </c>
      <c r="L2" s="21" t="s">
        <v>184</v>
      </c>
      <c r="M2" s="22"/>
    </row>
    <row r="3" spans="1:13" s="31" customFormat="1" x14ac:dyDescent="0.2">
      <c r="A3" s="30"/>
      <c r="B3" s="30"/>
      <c r="C3" s="30"/>
      <c r="D3" s="229"/>
      <c r="G3" s="268"/>
      <c r="H3" s="268"/>
      <c r="I3" s="258"/>
      <c r="J3" s="32" t="s">
        <v>56</v>
      </c>
      <c r="K3" s="68"/>
      <c r="L3" s="110"/>
    </row>
    <row r="4" spans="1:13" s="35" customFormat="1" ht="38.25" x14ac:dyDescent="0.2">
      <c r="A4" s="34" t="s">
        <v>127</v>
      </c>
      <c r="B4" s="34" t="s">
        <v>127</v>
      </c>
      <c r="C4" s="34"/>
      <c r="D4" s="229" t="s">
        <v>1107</v>
      </c>
      <c r="E4" s="35">
        <v>1</v>
      </c>
      <c r="F4" s="35">
        <f t="shared" ref="F4:F11" si="0">E4+I4-1</f>
        <v>2</v>
      </c>
      <c r="G4" s="259">
        <f>E4-1</f>
        <v>0</v>
      </c>
      <c r="H4" s="260">
        <f>F4-1</f>
        <v>1</v>
      </c>
      <c r="I4" s="258">
        <v>2</v>
      </c>
      <c r="J4" s="35" t="s">
        <v>78</v>
      </c>
      <c r="K4" s="200" t="s">
        <v>1110</v>
      </c>
      <c r="L4" s="121" t="s">
        <v>811</v>
      </c>
    </row>
    <row r="5" spans="1:13" s="35" customFormat="1" x14ac:dyDescent="0.2">
      <c r="A5" s="34" t="s">
        <v>127</v>
      </c>
      <c r="B5" s="34" t="s">
        <v>127</v>
      </c>
      <c r="C5" s="34"/>
      <c r="D5" s="229" t="s">
        <v>1107</v>
      </c>
      <c r="E5" s="35">
        <f t="shared" ref="E5:E11" si="1">E4+I4</f>
        <v>3</v>
      </c>
      <c r="F5" s="35">
        <f t="shared" si="0"/>
        <v>6</v>
      </c>
      <c r="G5" s="259">
        <f t="shared" ref="G5:G68" si="2">E5-1</f>
        <v>2</v>
      </c>
      <c r="H5" s="260">
        <f t="shared" ref="H5:H68" si="3">F5-1</f>
        <v>5</v>
      </c>
      <c r="I5" s="258">
        <v>4</v>
      </c>
      <c r="J5" s="66" t="s">
        <v>79</v>
      </c>
      <c r="K5" s="122"/>
      <c r="L5" s="121" t="s">
        <v>312</v>
      </c>
    </row>
    <row r="6" spans="1:13" s="35" customFormat="1" ht="31.5" customHeight="1" x14ac:dyDescent="0.2">
      <c r="A6" s="34" t="s">
        <v>127</v>
      </c>
      <c r="B6" s="34" t="s">
        <v>127</v>
      </c>
      <c r="C6" s="34"/>
      <c r="D6" s="229" t="s">
        <v>1107</v>
      </c>
      <c r="E6" s="35">
        <f t="shared" si="1"/>
        <v>7</v>
      </c>
      <c r="F6" s="35">
        <f t="shared" si="0"/>
        <v>7</v>
      </c>
      <c r="G6" s="259">
        <f t="shared" si="2"/>
        <v>6</v>
      </c>
      <c r="H6" s="260">
        <f t="shared" si="3"/>
        <v>6</v>
      </c>
      <c r="I6" s="258">
        <v>1</v>
      </c>
      <c r="J6" s="35" t="s">
        <v>80</v>
      </c>
      <c r="K6" s="122" t="s">
        <v>71</v>
      </c>
      <c r="L6" s="121" t="s">
        <v>586</v>
      </c>
    </row>
    <row r="7" spans="1:13" s="35" customFormat="1" ht="27" customHeight="1" x14ac:dyDescent="0.2">
      <c r="A7" s="34" t="s">
        <v>127</v>
      </c>
      <c r="B7" s="34" t="s">
        <v>127</v>
      </c>
      <c r="C7" s="34" t="s">
        <v>7</v>
      </c>
      <c r="D7" s="229" t="s">
        <v>1107</v>
      </c>
      <c r="E7" s="35">
        <f t="shared" si="1"/>
        <v>8</v>
      </c>
      <c r="F7" s="35">
        <f t="shared" si="0"/>
        <v>10</v>
      </c>
      <c r="G7" s="259">
        <f t="shared" si="2"/>
        <v>7</v>
      </c>
      <c r="H7" s="260">
        <f t="shared" si="3"/>
        <v>9</v>
      </c>
      <c r="I7" s="258">
        <v>3</v>
      </c>
      <c r="J7" s="35" t="s">
        <v>81</v>
      </c>
      <c r="K7" s="122"/>
      <c r="L7" s="242" t="s">
        <v>903</v>
      </c>
    </row>
    <row r="8" spans="1:13" s="35" customFormat="1" ht="27" customHeight="1" x14ac:dyDescent="0.2">
      <c r="A8" s="34" t="s">
        <v>127</v>
      </c>
      <c r="B8" s="34" t="s">
        <v>127</v>
      </c>
      <c r="C8" s="34" t="s">
        <v>7</v>
      </c>
      <c r="D8" s="229" t="s">
        <v>1107</v>
      </c>
      <c r="E8" s="35">
        <f t="shared" si="1"/>
        <v>11</v>
      </c>
      <c r="F8" s="35">
        <f t="shared" si="0"/>
        <v>13</v>
      </c>
      <c r="G8" s="259">
        <f t="shared" si="2"/>
        <v>10</v>
      </c>
      <c r="H8" s="260">
        <f t="shared" si="3"/>
        <v>12</v>
      </c>
      <c r="I8" s="258">
        <v>3</v>
      </c>
      <c r="J8" s="35" t="s">
        <v>82</v>
      </c>
      <c r="K8" s="122"/>
      <c r="L8" s="243"/>
    </row>
    <row r="9" spans="1:13" s="35" customFormat="1" x14ac:dyDescent="0.2">
      <c r="A9" s="34" t="s">
        <v>127</v>
      </c>
      <c r="B9" s="34" t="s">
        <v>127</v>
      </c>
      <c r="C9" s="34"/>
      <c r="D9" s="229" t="s">
        <v>1107</v>
      </c>
      <c r="E9" s="35">
        <f t="shared" si="1"/>
        <v>14</v>
      </c>
      <c r="F9" s="35">
        <f t="shared" si="0"/>
        <v>53</v>
      </c>
      <c r="G9" s="259">
        <f t="shared" si="2"/>
        <v>13</v>
      </c>
      <c r="H9" s="260">
        <f t="shared" si="3"/>
        <v>52</v>
      </c>
      <c r="I9" s="258">
        <v>40</v>
      </c>
      <c r="J9" s="35" t="s">
        <v>83</v>
      </c>
      <c r="K9" s="122"/>
      <c r="L9" s="121"/>
    </row>
    <row r="10" spans="1:13" s="35" customFormat="1" x14ac:dyDescent="0.2">
      <c r="A10" s="34" t="s">
        <v>127</v>
      </c>
      <c r="B10" s="34" t="s">
        <v>127</v>
      </c>
      <c r="C10" s="34"/>
      <c r="D10" s="229" t="s">
        <v>1107</v>
      </c>
      <c r="E10" s="35">
        <f t="shared" si="1"/>
        <v>54</v>
      </c>
      <c r="F10" s="35">
        <f t="shared" si="0"/>
        <v>93</v>
      </c>
      <c r="G10" s="259">
        <f t="shared" si="2"/>
        <v>53</v>
      </c>
      <c r="H10" s="260">
        <f t="shared" si="3"/>
        <v>92</v>
      </c>
      <c r="I10" s="258">
        <v>40</v>
      </c>
      <c r="J10" s="35" t="s">
        <v>84</v>
      </c>
      <c r="K10" s="122"/>
      <c r="L10" s="121"/>
    </row>
    <row r="11" spans="1:13" s="35" customFormat="1" ht="234.75" customHeight="1" x14ac:dyDescent="0.2">
      <c r="A11" s="34" t="s">
        <v>127</v>
      </c>
      <c r="B11" s="34" t="s">
        <v>127</v>
      </c>
      <c r="C11" s="34" t="s">
        <v>6</v>
      </c>
      <c r="D11" s="229" t="s">
        <v>1107</v>
      </c>
      <c r="E11" s="35">
        <f t="shared" si="1"/>
        <v>94</v>
      </c>
      <c r="F11" s="35">
        <f t="shared" si="0"/>
        <v>95</v>
      </c>
      <c r="G11" s="259">
        <f t="shared" si="2"/>
        <v>93</v>
      </c>
      <c r="H11" s="260">
        <f t="shared" si="3"/>
        <v>94</v>
      </c>
      <c r="I11" s="258">
        <v>2</v>
      </c>
      <c r="J11" s="66" t="s">
        <v>85</v>
      </c>
      <c r="K11" s="200" t="s">
        <v>1013</v>
      </c>
      <c r="L11" s="221" t="s">
        <v>1111</v>
      </c>
      <c r="M11" s="37"/>
    </row>
    <row r="12" spans="1:13" s="35" customFormat="1" x14ac:dyDescent="0.2">
      <c r="A12" s="34" t="s">
        <v>128</v>
      </c>
      <c r="B12" s="34" t="s">
        <v>127</v>
      </c>
      <c r="C12" s="64" t="s">
        <v>599</v>
      </c>
      <c r="D12" s="229" t="s">
        <v>1107</v>
      </c>
      <c r="E12" s="35">
        <f t="shared" ref="E12:E17" si="4">E11+I11</f>
        <v>96</v>
      </c>
      <c r="F12" s="35">
        <f t="shared" ref="F12:F17" si="5">E12+I12-1</f>
        <v>107</v>
      </c>
      <c r="G12" s="259">
        <f t="shared" si="2"/>
        <v>95</v>
      </c>
      <c r="H12" s="260">
        <f t="shared" si="3"/>
        <v>106</v>
      </c>
      <c r="I12" s="258">
        <v>12</v>
      </c>
      <c r="J12" s="35" t="s">
        <v>86</v>
      </c>
      <c r="K12" s="122"/>
      <c r="L12" s="244" t="s">
        <v>317</v>
      </c>
    </row>
    <row r="13" spans="1:13" s="35" customFormat="1" x14ac:dyDescent="0.2">
      <c r="A13" s="34" t="s">
        <v>128</v>
      </c>
      <c r="B13" s="34" t="s">
        <v>127</v>
      </c>
      <c r="C13" s="64" t="s">
        <v>599</v>
      </c>
      <c r="D13" s="229" t="s">
        <v>1107</v>
      </c>
      <c r="E13" s="35">
        <f t="shared" si="4"/>
        <v>108</v>
      </c>
      <c r="F13" s="35">
        <f t="shared" si="5"/>
        <v>115</v>
      </c>
      <c r="G13" s="259">
        <f t="shared" si="2"/>
        <v>107</v>
      </c>
      <c r="H13" s="260">
        <f t="shared" si="3"/>
        <v>114</v>
      </c>
      <c r="I13" s="258">
        <v>8</v>
      </c>
      <c r="J13" s="35" t="s">
        <v>87</v>
      </c>
      <c r="K13" s="122"/>
      <c r="L13" s="244"/>
    </row>
    <row r="14" spans="1:13" s="35" customFormat="1" x14ac:dyDescent="0.2">
      <c r="A14" s="34" t="s">
        <v>128</v>
      </c>
      <c r="B14" s="34" t="s">
        <v>127</v>
      </c>
      <c r="C14" s="64" t="s">
        <v>599</v>
      </c>
      <c r="D14" s="229" t="s">
        <v>1107</v>
      </c>
      <c r="E14" s="35">
        <f t="shared" si="4"/>
        <v>116</v>
      </c>
      <c r="F14" s="35">
        <f t="shared" si="5"/>
        <v>116</v>
      </c>
      <c r="G14" s="259">
        <f t="shared" si="2"/>
        <v>115</v>
      </c>
      <c r="H14" s="260">
        <f t="shared" si="3"/>
        <v>115</v>
      </c>
      <c r="I14" s="258">
        <v>1</v>
      </c>
      <c r="J14" s="35" t="s">
        <v>88</v>
      </c>
      <c r="K14" s="122"/>
      <c r="L14" s="121" t="s">
        <v>335</v>
      </c>
    </row>
    <row r="15" spans="1:13" s="35" customFormat="1" ht="38.25" x14ac:dyDescent="0.2">
      <c r="A15" s="34" t="s">
        <v>128</v>
      </c>
      <c r="B15" s="34" t="s">
        <v>127</v>
      </c>
      <c r="C15" s="64" t="s">
        <v>599</v>
      </c>
      <c r="D15" s="229" t="s">
        <v>1107</v>
      </c>
      <c r="E15" s="35">
        <f t="shared" si="4"/>
        <v>117</v>
      </c>
      <c r="F15" s="35">
        <f t="shared" si="5"/>
        <v>125</v>
      </c>
      <c r="G15" s="259">
        <f t="shared" si="2"/>
        <v>116</v>
      </c>
      <c r="H15" s="260">
        <f t="shared" si="3"/>
        <v>124</v>
      </c>
      <c r="I15" s="258">
        <v>9</v>
      </c>
      <c r="J15" s="35" t="s">
        <v>89</v>
      </c>
      <c r="K15" s="186" t="s">
        <v>1052</v>
      </c>
      <c r="L15" s="121" t="s">
        <v>318</v>
      </c>
    </row>
    <row r="16" spans="1:13" s="35" customFormat="1" ht="104.25" customHeight="1" x14ac:dyDescent="0.2">
      <c r="A16" s="34" t="s">
        <v>128</v>
      </c>
      <c r="B16" s="34" t="s">
        <v>128</v>
      </c>
      <c r="C16" s="34"/>
      <c r="D16" s="229" t="s">
        <v>1107</v>
      </c>
      <c r="E16" s="35">
        <f t="shared" si="4"/>
        <v>126</v>
      </c>
      <c r="F16" s="35">
        <f t="shared" si="5"/>
        <v>134</v>
      </c>
      <c r="G16" s="259">
        <f t="shared" si="2"/>
        <v>125</v>
      </c>
      <c r="H16" s="260">
        <f t="shared" si="3"/>
        <v>133</v>
      </c>
      <c r="I16" s="258">
        <v>9</v>
      </c>
      <c r="J16" s="66" t="s">
        <v>90</v>
      </c>
      <c r="K16" s="122"/>
      <c r="L16" s="201" t="s">
        <v>1064</v>
      </c>
    </row>
    <row r="17" spans="1:12" s="35" customFormat="1" ht="76.5" x14ac:dyDescent="0.2">
      <c r="A17" s="64" t="s">
        <v>128</v>
      </c>
      <c r="B17" s="64" t="s">
        <v>128</v>
      </c>
      <c r="C17" s="34"/>
      <c r="D17" s="229" t="s">
        <v>1107</v>
      </c>
      <c r="E17" s="35">
        <f t="shared" si="4"/>
        <v>135</v>
      </c>
      <c r="F17" s="35">
        <f t="shared" si="5"/>
        <v>136</v>
      </c>
      <c r="G17" s="259">
        <f t="shared" si="2"/>
        <v>134</v>
      </c>
      <c r="H17" s="260">
        <f t="shared" si="3"/>
        <v>135</v>
      </c>
      <c r="I17" s="258">
        <v>2</v>
      </c>
      <c r="J17" s="66" t="s">
        <v>619</v>
      </c>
      <c r="K17" s="220" t="s">
        <v>1014</v>
      </c>
      <c r="L17" s="121" t="s">
        <v>69</v>
      </c>
    </row>
    <row r="18" spans="1:12" s="35" customFormat="1" x14ac:dyDescent="0.2">
      <c r="A18" s="180"/>
      <c r="B18" s="180"/>
      <c r="C18" s="180"/>
      <c r="D18" s="229"/>
      <c r="E18" s="224">
        <f>E17+I17</f>
        <v>137</v>
      </c>
      <c r="F18" s="224">
        <f>E18+I18-1</f>
        <v>138</v>
      </c>
      <c r="G18" s="259">
        <f t="shared" si="2"/>
        <v>136</v>
      </c>
      <c r="H18" s="260">
        <f t="shared" si="3"/>
        <v>137</v>
      </c>
      <c r="I18" s="261">
        <v>2</v>
      </c>
      <c r="J18" s="225" t="s">
        <v>306</v>
      </c>
      <c r="K18" s="203"/>
      <c r="L18" s="213"/>
    </row>
    <row r="19" spans="1:12" s="35" customFormat="1" ht="38.25" x14ac:dyDescent="0.2">
      <c r="A19" s="34" t="s">
        <v>127</v>
      </c>
      <c r="B19" s="34" t="s">
        <v>127</v>
      </c>
      <c r="C19" s="34"/>
      <c r="D19" s="229" t="s">
        <v>1107</v>
      </c>
      <c r="E19" s="35">
        <f>E18+I18</f>
        <v>139</v>
      </c>
      <c r="F19" s="35">
        <f>E19+I19-1</f>
        <v>139</v>
      </c>
      <c r="G19" s="259">
        <f t="shared" si="2"/>
        <v>138</v>
      </c>
      <c r="H19" s="260">
        <f t="shared" si="3"/>
        <v>138</v>
      </c>
      <c r="I19" s="258">
        <v>1</v>
      </c>
      <c r="J19" s="66" t="s">
        <v>741</v>
      </c>
      <c r="K19" s="126" t="s">
        <v>743</v>
      </c>
      <c r="L19" s="213" t="s">
        <v>745</v>
      </c>
    </row>
    <row r="20" spans="1:12" s="35" customFormat="1" ht="38.25" x14ac:dyDescent="0.2">
      <c r="A20" s="34" t="s">
        <v>127</v>
      </c>
      <c r="B20" s="34" t="s">
        <v>127</v>
      </c>
      <c r="C20" s="34"/>
      <c r="D20" s="229" t="s">
        <v>1107</v>
      </c>
      <c r="E20" s="35">
        <f>E19+I19</f>
        <v>140</v>
      </c>
      <c r="F20" s="35">
        <f>E20+I20-1</f>
        <v>140</v>
      </c>
      <c r="G20" s="259">
        <f t="shared" si="2"/>
        <v>139</v>
      </c>
      <c r="H20" s="260">
        <f t="shared" si="3"/>
        <v>139</v>
      </c>
      <c r="I20" s="258">
        <v>1</v>
      </c>
      <c r="J20" s="66" t="s">
        <v>742</v>
      </c>
      <c r="K20" s="126" t="s">
        <v>744</v>
      </c>
      <c r="L20" s="213"/>
    </row>
    <row r="21" spans="1:12" s="35" customFormat="1" x14ac:dyDescent="0.2">
      <c r="A21" s="34"/>
      <c r="B21" s="34"/>
      <c r="C21" s="34"/>
      <c r="D21" s="229" t="s">
        <v>1107</v>
      </c>
      <c r="E21" s="35">
        <f t="shared" ref="E21:E43" si="6">E20+I20</f>
        <v>141</v>
      </c>
      <c r="F21" s="35">
        <f t="shared" ref="F21:F43" si="7">E21+I21-1</f>
        <v>144</v>
      </c>
      <c r="G21" s="259">
        <f t="shared" si="2"/>
        <v>140</v>
      </c>
      <c r="H21" s="260">
        <f t="shared" si="3"/>
        <v>143</v>
      </c>
      <c r="I21" s="258">
        <v>4</v>
      </c>
      <c r="J21" s="35" t="s">
        <v>306</v>
      </c>
      <c r="K21" s="122"/>
      <c r="L21" s="121"/>
    </row>
    <row r="22" spans="1:12" s="35" customFormat="1" ht="38.25" x14ac:dyDescent="0.2">
      <c r="A22" s="34" t="s">
        <v>127</v>
      </c>
      <c r="B22" s="34" t="s">
        <v>127</v>
      </c>
      <c r="C22" s="64" t="s">
        <v>599</v>
      </c>
      <c r="D22" s="229" t="s">
        <v>1107</v>
      </c>
      <c r="E22" s="35">
        <f t="shared" si="6"/>
        <v>145</v>
      </c>
      <c r="F22" s="35">
        <f t="shared" si="7"/>
        <v>146</v>
      </c>
      <c r="G22" s="259">
        <f t="shared" si="2"/>
        <v>144</v>
      </c>
      <c r="H22" s="260">
        <f t="shared" si="3"/>
        <v>145</v>
      </c>
      <c r="I22" s="258">
        <v>2</v>
      </c>
      <c r="J22" s="35" t="s">
        <v>91</v>
      </c>
      <c r="K22" s="76" t="s">
        <v>1003</v>
      </c>
      <c r="L22" s="244" t="s">
        <v>1005</v>
      </c>
    </row>
    <row r="23" spans="1:12" s="35" customFormat="1" ht="25.5" x14ac:dyDescent="0.2">
      <c r="A23" s="34" t="s">
        <v>127</v>
      </c>
      <c r="B23" s="34" t="s">
        <v>127</v>
      </c>
      <c r="C23" s="64" t="s">
        <v>599</v>
      </c>
      <c r="D23" s="229" t="s">
        <v>1107</v>
      </c>
      <c r="E23" s="35">
        <f t="shared" si="6"/>
        <v>147</v>
      </c>
      <c r="F23" s="35">
        <f t="shared" si="7"/>
        <v>148</v>
      </c>
      <c r="G23" s="259">
        <f t="shared" si="2"/>
        <v>146</v>
      </c>
      <c r="H23" s="260">
        <f t="shared" si="3"/>
        <v>147</v>
      </c>
      <c r="I23" s="258">
        <v>2</v>
      </c>
      <c r="J23" s="35" t="s">
        <v>92</v>
      </c>
      <c r="K23" s="76" t="s">
        <v>1004</v>
      </c>
      <c r="L23" s="244"/>
    </row>
    <row r="24" spans="1:12" s="35" customFormat="1" ht="54" customHeight="1" x14ac:dyDescent="0.2">
      <c r="A24" s="34" t="s">
        <v>127</v>
      </c>
      <c r="B24" s="34" t="s">
        <v>127</v>
      </c>
      <c r="C24" s="64" t="s">
        <v>599</v>
      </c>
      <c r="D24" s="229" t="s">
        <v>1107</v>
      </c>
      <c r="E24" s="35">
        <f t="shared" si="6"/>
        <v>149</v>
      </c>
      <c r="F24" s="35">
        <f t="shared" si="7"/>
        <v>152</v>
      </c>
      <c r="G24" s="259">
        <f t="shared" si="2"/>
        <v>148</v>
      </c>
      <c r="H24" s="260">
        <f t="shared" si="3"/>
        <v>151</v>
      </c>
      <c r="I24" s="258">
        <v>4</v>
      </c>
      <c r="J24" s="35" t="s">
        <v>93</v>
      </c>
      <c r="K24" s="76" t="s">
        <v>604</v>
      </c>
      <c r="L24" s="244"/>
    </row>
    <row r="25" spans="1:12" s="35" customFormat="1" ht="63.75" x14ac:dyDescent="0.2">
      <c r="A25" s="34" t="s">
        <v>127</v>
      </c>
      <c r="B25" s="34" t="s">
        <v>127</v>
      </c>
      <c r="C25" s="64" t="s">
        <v>600</v>
      </c>
      <c r="D25" s="229" t="s">
        <v>1107</v>
      </c>
      <c r="E25" s="35">
        <f t="shared" si="6"/>
        <v>153</v>
      </c>
      <c r="F25" s="35">
        <f t="shared" si="7"/>
        <v>153</v>
      </c>
      <c r="G25" s="259">
        <f t="shared" si="2"/>
        <v>152</v>
      </c>
      <c r="H25" s="260">
        <f t="shared" si="3"/>
        <v>152</v>
      </c>
      <c r="I25" s="258">
        <v>1</v>
      </c>
      <c r="J25" s="35" t="s">
        <v>94</v>
      </c>
      <c r="K25" s="126" t="s">
        <v>162</v>
      </c>
      <c r="L25" s="121" t="s">
        <v>904</v>
      </c>
    </row>
    <row r="26" spans="1:12" s="35" customFormat="1" ht="115.5" customHeight="1" x14ac:dyDescent="0.2">
      <c r="A26" s="34" t="s">
        <v>127</v>
      </c>
      <c r="B26" s="34" t="s">
        <v>127</v>
      </c>
      <c r="C26" s="64" t="s">
        <v>600</v>
      </c>
      <c r="D26" s="229" t="s">
        <v>1107</v>
      </c>
      <c r="E26" s="35">
        <f t="shared" si="6"/>
        <v>154</v>
      </c>
      <c r="F26" s="35">
        <f t="shared" si="7"/>
        <v>154</v>
      </c>
      <c r="G26" s="259">
        <f t="shared" si="2"/>
        <v>153</v>
      </c>
      <c r="H26" s="260">
        <f t="shared" si="3"/>
        <v>153</v>
      </c>
      <c r="I26" s="258">
        <v>1</v>
      </c>
      <c r="J26" s="66" t="s">
        <v>570</v>
      </c>
      <c r="K26" s="126" t="s">
        <v>660</v>
      </c>
      <c r="L26" s="121" t="s">
        <v>905</v>
      </c>
    </row>
    <row r="27" spans="1:12" s="35" customFormat="1" ht="66.75" customHeight="1" x14ac:dyDescent="0.2">
      <c r="A27" s="34" t="s">
        <v>127</v>
      </c>
      <c r="B27" s="34" t="s">
        <v>127</v>
      </c>
      <c r="C27" s="34" t="s">
        <v>7</v>
      </c>
      <c r="D27" s="229" t="s">
        <v>1107</v>
      </c>
      <c r="E27" s="35">
        <f t="shared" si="6"/>
        <v>155</v>
      </c>
      <c r="F27" s="35">
        <f t="shared" si="7"/>
        <v>155</v>
      </c>
      <c r="G27" s="259">
        <f t="shared" si="2"/>
        <v>154</v>
      </c>
      <c r="H27" s="260">
        <f t="shared" si="3"/>
        <v>154</v>
      </c>
      <c r="I27" s="258">
        <v>1</v>
      </c>
      <c r="J27" s="35" t="s">
        <v>95</v>
      </c>
      <c r="K27" s="122" t="s">
        <v>163</v>
      </c>
      <c r="L27" s="121" t="s">
        <v>906</v>
      </c>
    </row>
    <row r="28" spans="1:12" s="35" customFormat="1" x14ac:dyDescent="0.2">
      <c r="A28" s="34"/>
      <c r="B28" s="34"/>
      <c r="C28" s="34"/>
      <c r="D28" s="229"/>
      <c r="E28" s="225">
        <f>E27+I27</f>
        <v>156</v>
      </c>
      <c r="F28" s="35">
        <f t="shared" si="7"/>
        <v>162</v>
      </c>
      <c r="G28" s="259">
        <f t="shared" si="2"/>
        <v>155</v>
      </c>
      <c r="H28" s="260">
        <f t="shared" si="3"/>
        <v>161</v>
      </c>
      <c r="I28" s="261">
        <v>7</v>
      </c>
      <c r="J28" s="66" t="s">
        <v>306</v>
      </c>
      <c r="K28" s="122"/>
      <c r="L28" s="121"/>
    </row>
    <row r="29" spans="1:12" s="35" customFormat="1" ht="63.75" x14ac:dyDescent="0.2">
      <c r="A29" s="34" t="s">
        <v>128</v>
      </c>
      <c r="B29" s="34" t="s">
        <v>128</v>
      </c>
      <c r="C29" s="34"/>
      <c r="D29" s="229" t="s">
        <v>234</v>
      </c>
      <c r="E29" s="35">
        <f t="shared" si="6"/>
        <v>163</v>
      </c>
      <c r="F29" s="35">
        <f t="shared" si="7"/>
        <v>163</v>
      </c>
      <c r="G29" s="259">
        <f t="shared" si="2"/>
        <v>162</v>
      </c>
      <c r="H29" s="260">
        <f t="shared" si="3"/>
        <v>162</v>
      </c>
      <c r="I29" s="258">
        <v>1</v>
      </c>
      <c r="J29" s="35" t="s">
        <v>321</v>
      </c>
      <c r="K29" s="126" t="s">
        <v>501</v>
      </c>
      <c r="L29" s="184" t="s">
        <v>1038</v>
      </c>
    </row>
    <row r="30" spans="1:12" s="35" customFormat="1" x14ac:dyDescent="0.2">
      <c r="A30" s="34"/>
      <c r="B30" s="34"/>
      <c r="C30" s="34"/>
      <c r="D30" s="229"/>
      <c r="E30" s="35">
        <f t="shared" si="6"/>
        <v>164</v>
      </c>
      <c r="F30" s="35">
        <f t="shared" si="7"/>
        <v>166</v>
      </c>
      <c r="G30" s="259">
        <f t="shared" si="2"/>
        <v>163</v>
      </c>
      <c r="H30" s="260">
        <f t="shared" si="3"/>
        <v>165</v>
      </c>
      <c r="I30" s="258">
        <v>3</v>
      </c>
      <c r="J30" s="35" t="s">
        <v>306</v>
      </c>
      <c r="K30" s="120"/>
      <c r="L30" s="121"/>
    </row>
    <row r="31" spans="1:12" s="35" customFormat="1" ht="51" x14ac:dyDescent="0.2">
      <c r="A31" s="64" t="s">
        <v>128</v>
      </c>
      <c r="B31" s="64" t="s">
        <v>128</v>
      </c>
      <c r="C31" s="34"/>
      <c r="D31" s="229" t="s">
        <v>1107</v>
      </c>
      <c r="E31" s="35">
        <f t="shared" si="6"/>
        <v>167</v>
      </c>
      <c r="F31" s="35">
        <f t="shared" si="7"/>
        <v>167</v>
      </c>
      <c r="G31" s="259">
        <f t="shared" si="2"/>
        <v>166</v>
      </c>
      <c r="H31" s="260">
        <f t="shared" si="3"/>
        <v>166</v>
      </c>
      <c r="I31" s="258">
        <v>1</v>
      </c>
      <c r="J31" s="35" t="s">
        <v>243</v>
      </c>
      <c r="K31" s="122" t="s">
        <v>503</v>
      </c>
      <c r="L31" s="223" t="s">
        <v>1113</v>
      </c>
    </row>
    <row r="32" spans="1:12" s="35" customFormat="1" ht="129.75" customHeight="1" x14ac:dyDescent="0.2">
      <c r="A32" s="47" t="s">
        <v>128</v>
      </c>
      <c r="B32" s="47" t="s">
        <v>128</v>
      </c>
      <c r="C32" s="34"/>
      <c r="D32" s="229" t="s">
        <v>1107</v>
      </c>
      <c r="E32" s="35">
        <f t="shared" si="6"/>
        <v>168</v>
      </c>
      <c r="F32" s="35">
        <f t="shared" si="7"/>
        <v>168</v>
      </c>
      <c r="G32" s="259">
        <f t="shared" si="2"/>
        <v>167</v>
      </c>
      <c r="H32" s="260">
        <f t="shared" si="3"/>
        <v>167</v>
      </c>
      <c r="I32" s="258">
        <v>1</v>
      </c>
      <c r="J32" s="48" t="s">
        <v>336</v>
      </c>
      <c r="K32" s="126" t="s">
        <v>659</v>
      </c>
      <c r="L32" s="223" t="s">
        <v>1113</v>
      </c>
    </row>
    <row r="33" spans="1:13" s="35" customFormat="1" x14ac:dyDescent="0.2">
      <c r="A33" s="34"/>
      <c r="B33" s="34"/>
      <c r="C33" s="34"/>
      <c r="D33" s="229"/>
      <c r="E33" s="35">
        <f t="shared" si="6"/>
        <v>169</v>
      </c>
      <c r="F33" s="35">
        <f t="shared" si="7"/>
        <v>169</v>
      </c>
      <c r="G33" s="259">
        <f t="shared" si="2"/>
        <v>168</v>
      </c>
      <c r="H33" s="260">
        <f t="shared" si="3"/>
        <v>168</v>
      </c>
      <c r="I33" s="258">
        <v>1</v>
      </c>
      <c r="J33" s="48" t="s">
        <v>306</v>
      </c>
      <c r="K33" s="126"/>
      <c r="L33" s="126"/>
    </row>
    <row r="34" spans="1:13" s="35" customFormat="1" ht="123" customHeight="1" x14ac:dyDescent="0.2">
      <c r="A34" s="34" t="s">
        <v>128</v>
      </c>
      <c r="B34" s="34" t="s">
        <v>128</v>
      </c>
      <c r="C34" s="34"/>
      <c r="D34" s="229" t="s">
        <v>1107</v>
      </c>
      <c r="E34" s="35">
        <f t="shared" si="6"/>
        <v>170</v>
      </c>
      <c r="F34" s="35">
        <f t="shared" si="7"/>
        <v>170</v>
      </c>
      <c r="G34" s="259">
        <f t="shared" si="2"/>
        <v>169</v>
      </c>
      <c r="H34" s="260">
        <f t="shared" si="3"/>
        <v>169</v>
      </c>
      <c r="I34" s="258">
        <v>1</v>
      </c>
      <c r="J34" s="66" t="s">
        <v>96</v>
      </c>
      <c r="K34" s="157" t="s">
        <v>246</v>
      </c>
      <c r="L34" s="126" t="s">
        <v>799</v>
      </c>
    </row>
    <row r="35" spans="1:13" s="35" customFormat="1" ht="38.25" x14ac:dyDescent="0.2">
      <c r="A35" s="64" t="s">
        <v>128</v>
      </c>
      <c r="B35" s="64" t="s">
        <v>128</v>
      </c>
      <c r="C35" s="34"/>
      <c r="D35" s="229" t="s">
        <v>1107</v>
      </c>
      <c r="E35" s="35">
        <f t="shared" si="6"/>
        <v>171</v>
      </c>
      <c r="F35" s="35">
        <f t="shared" si="7"/>
        <v>171</v>
      </c>
      <c r="G35" s="259">
        <f t="shared" si="2"/>
        <v>170</v>
      </c>
      <c r="H35" s="260">
        <f t="shared" si="3"/>
        <v>170</v>
      </c>
      <c r="I35" s="258">
        <v>1</v>
      </c>
      <c r="J35" s="35" t="s">
        <v>241</v>
      </c>
      <c r="K35" s="25" t="s">
        <v>504</v>
      </c>
      <c r="L35" s="126" t="s">
        <v>485</v>
      </c>
    </row>
    <row r="36" spans="1:13" s="35" customFormat="1" x14ac:dyDescent="0.2">
      <c r="A36" s="34"/>
      <c r="B36" s="34"/>
      <c r="C36" s="34"/>
      <c r="D36" s="229"/>
      <c r="E36" s="224">
        <f>E35+I35</f>
        <v>172</v>
      </c>
      <c r="F36" s="35">
        <f t="shared" si="7"/>
        <v>177</v>
      </c>
      <c r="G36" s="259">
        <f t="shared" si="2"/>
        <v>171</v>
      </c>
      <c r="H36" s="260">
        <f t="shared" si="3"/>
        <v>176</v>
      </c>
      <c r="I36" s="262">
        <v>6</v>
      </c>
      <c r="J36" s="35" t="s">
        <v>306</v>
      </c>
      <c r="K36" s="122"/>
      <c r="L36" s="126"/>
    </row>
    <row r="37" spans="1:13" s="35" customFormat="1" ht="51" x14ac:dyDescent="0.2">
      <c r="A37" s="64" t="s">
        <v>128</v>
      </c>
      <c r="B37" s="64" t="s">
        <v>128</v>
      </c>
      <c r="C37" s="34"/>
      <c r="D37" s="229" t="s">
        <v>1107</v>
      </c>
      <c r="E37" s="35">
        <f t="shared" si="6"/>
        <v>178</v>
      </c>
      <c r="F37" s="35">
        <f t="shared" si="7"/>
        <v>178</v>
      </c>
      <c r="G37" s="259">
        <f t="shared" si="2"/>
        <v>177</v>
      </c>
      <c r="H37" s="260">
        <f t="shared" si="3"/>
        <v>177</v>
      </c>
      <c r="I37" s="258">
        <v>1</v>
      </c>
      <c r="J37" s="35" t="s">
        <v>244</v>
      </c>
      <c r="K37" s="122" t="s">
        <v>505</v>
      </c>
      <c r="L37" s="223" t="s">
        <v>1113</v>
      </c>
    </row>
    <row r="38" spans="1:13" s="35" customFormat="1" ht="45.75" customHeight="1" x14ac:dyDescent="0.2">
      <c r="A38" s="34" t="s">
        <v>127</v>
      </c>
      <c r="B38" s="34" t="s">
        <v>127</v>
      </c>
      <c r="C38" s="34" t="s">
        <v>7</v>
      </c>
      <c r="D38" s="229" t="s">
        <v>1107</v>
      </c>
      <c r="E38" s="35">
        <f t="shared" si="6"/>
        <v>179</v>
      </c>
      <c r="F38" s="35">
        <f t="shared" si="7"/>
        <v>179</v>
      </c>
      <c r="G38" s="259">
        <f t="shared" si="2"/>
        <v>178</v>
      </c>
      <c r="H38" s="260">
        <f t="shared" si="3"/>
        <v>178</v>
      </c>
      <c r="I38" s="258">
        <v>1</v>
      </c>
      <c r="J38" s="35" t="s">
        <v>97</v>
      </c>
      <c r="K38" s="122" t="s">
        <v>314</v>
      </c>
      <c r="L38" s="126" t="s">
        <v>907</v>
      </c>
    </row>
    <row r="39" spans="1:13" s="35" customFormat="1" ht="51" x14ac:dyDescent="0.2">
      <c r="A39" s="64" t="s">
        <v>128</v>
      </c>
      <c r="B39" s="64" t="s">
        <v>128</v>
      </c>
      <c r="C39" s="34"/>
      <c r="D39" s="229" t="s">
        <v>1107</v>
      </c>
      <c r="E39" s="35">
        <f t="shared" si="6"/>
        <v>180</v>
      </c>
      <c r="F39" s="35">
        <f t="shared" si="7"/>
        <v>180</v>
      </c>
      <c r="G39" s="259">
        <f t="shared" si="2"/>
        <v>179</v>
      </c>
      <c r="H39" s="260">
        <f t="shared" si="3"/>
        <v>179</v>
      </c>
      <c r="I39" s="258">
        <v>1</v>
      </c>
      <c r="J39" s="66" t="s">
        <v>608</v>
      </c>
      <c r="K39" s="122" t="s">
        <v>505</v>
      </c>
      <c r="L39" s="126" t="s">
        <v>799</v>
      </c>
    </row>
    <row r="40" spans="1:13" s="35" customFormat="1" ht="52.5" customHeight="1" x14ac:dyDescent="0.2">
      <c r="A40" s="64" t="s">
        <v>128</v>
      </c>
      <c r="B40" s="64" t="s">
        <v>128</v>
      </c>
      <c r="C40" s="34"/>
      <c r="D40" s="229" t="s">
        <v>1107</v>
      </c>
      <c r="E40" s="35">
        <f t="shared" si="6"/>
        <v>181</v>
      </c>
      <c r="F40" s="35">
        <f t="shared" si="7"/>
        <v>181</v>
      </c>
      <c r="G40" s="259">
        <f t="shared" si="2"/>
        <v>180</v>
      </c>
      <c r="H40" s="260">
        <f t="shared" si="3"/>
        <v>180</v>
      </c>
      <c r="I40" s="258">
        <v>1</v>
      </c>
      <c r="J40" s="66" t="s">
        <v>607</v>
      </c>
      <c r="K40" s="122" t="s">
        <v>506</v>
      </c>
      <c r="L40" s="126" t="s">
        <v>799</v>
      </c>
    </row>
    <row r="41" spans="1:13" s="35" customFormat="1" ht="76.5" x14ac:dyDescent="0.2">
      <c r="A41" s="64" t="s">
        <v>128</v>
      </c>
      <c r="B41" s="64" t="s">
        <v>128</v>
      </c>
      <c r="C41" s="34"/>
      <c r="D41" s="229" t="s">
        <v>1107</v>
      </c>
      <c r="E41" s="35">
        <f t="shared" si="6"/>
        <v>182</v>
      </c>
      <c r="F41" s="35">
        <f t="shared" si="7"/>
        <v>182</v>
      </c>
      <c r="G41" s="259">
        <f t="shared" si="2"/>
        <v>181</v>
      </c>
      <c r="H41" s="260">
        <f t="shared" si="3"/>
        <v>181</v>
      </c>
      <c r="I41" s="258">
        <v>1</v>
      </c>
      <c r="J41" s="66" t="s">
        <v>667</v>
      </c>
      <c r="K41" s="126" t="s">
        <v>507</v>
      </c>
      <c r="L41" s="25" t="s">
        <v>894</v>
      </c>
    </row>
    <row r="42" spans="1:13" s="35" customFormat="1" ht="63.75" x14ac:dyDescent="0.2">
      <c r="A42" s="47" t="s">
        <v>128</v>
      </c>
      <c r="B42" s="47" t="s">
        <v>128</v>
      </c>
      <c r="C42" s="34"/>
      <c r="D42" s="229" t="s">
        <v>1107</v>
      </c>
      <c r="E42" s="35">
        <f t="shared" si="6"/>
        <v>183</v>
      </c>
      <c r="F42" s="35">
        <f t="shared" si="7"/>
        <v>183</v>
      </c>
      <c r="G42" s="259">
        <f t="shared" si="2"/>
        <v>182</v>
      </c>
      <c r="H42" s="260">
        <f t="shared" si="3"/>
        <v>182</v>
      </c>
      <c r="I42" s="258">
        <v>1</v>
      </c>
      <c r="J42" s="48" t="s">
        <v>351</v>
      </c>
      <c r="K42" s="123" t="s">
        <v>508</v>
      </c>
      <c r="L42" s="222" t="s">
        <v>1114</v>
      </c>
      <c r="M42" s="65"/>
    </row>
    <row r="43" spans="1:13" s="35" customFormat="1" ht="42" customHeight="1" x14ac:dyDescent="0.2">
      <c r="A43" s="47" t="s">
        <v>127</v>
      </c>
      <c r="B43" s="47" t="s">
        <v>127</v>
      </c>
      <c r="C43" s="34"/>
      <c r="D43" s="229" t="s">
        <v>1107</v>
      </c>
      <c r="E43" s="35">
        <f t="shared" si="6"/>
        <v>184</v>
      </c>
      <c r="F43" s="35">
        <f t="shared" si="7"/>
        <v>184</v>
      </c>
      <c r="G43" s="259">
        <f t="shared" si="2"/>
        <v>183</v>
      </c>
      <c r="H43" s="260">
        <f t="shared" si="3"/>
        <v>183</v>
      </c>
      <c r="I43" s="258">
        <v>1</v>
      </c>
      <c r="J43" s="48" t="s">
        <v>352</v>
      </c>
      <c r="K43" s="123" t="s">
        <v>49</v>
      </c>
      <c r="L43" s="126" t="s">
        <v>907</v>
      </c>
    </row>
    <row r="44" spans="1:13" s="35" customFormat="1" x14ac:dyDescent="0.2">
      <c r="A44" s="34"/>
      <c r="B44" s="34"/>
      <c r="C44" s="34"/>
      <c r="D44" s="229"/>
      <c r="E44" s="225">
        <f>E43+I43</f>
        <v>185</v>
      </c>
      <c r="F44" s="35">
        <f>E44+I44-1</f>
        <v>430</v>
      </c>
      <c r="G44" s="259">
        <f t="shared" si="2"/>
        <v>184</v>
      </c>
      <c r="H44" s="260">
        <f t="shared" si="3"/>
        <v>429</v>
      </c>
      <c r="I44" s="261">
        <v>246</v>
      </c>
      <c r="J44" s="35" t="s">
        <v>306</v>
      </c>
      <c r="K44" s="122"/>
      <c r="L44" s="199"/>
    </row>
    <row r="45" spans="1:13" s="42" customFormat="1" ht="25.5" x14ac:dyDescent="0.2">
      <c r="A45" s="41"/>
      <c r="B45" s="41"/>
      <c r="C45" s="41"/>
      <c r="D45" s="229"/>
      <c r="G45" s="259">
        <f t="shared" si="2"/>
        <v>-1</v>
      </c>
      <c r="H45" s="260">
        <f t="shared" si="3"/>
        <v>-1</v>
      </c>
      <c r="I45" s="263"/>
      <c r="J45" s="39" t="s">
        <v>124</v>
      </c>
      <c r="K45" s="70"/>
      <c r="L45" s="222" t="s">
        <v>1039</v>
      </c>
    </row>
    <row r="46" spans="1:13" s="42" customFormat="1" ht="25.5" x14ac:dyDescent="0.2">
      <c r="A46" s="34" t="s">
        <v>128</v>
      </c>
      <c r="B46" s="34" t="s">
        <v>128</v>
      </c>
      <c r="C46" s="34"/>
      <c r="D46" s="229" t="s">
        <v>1107</v>
      </c>
      <c r="E46" s="35">
        <f>E44+I44</f>
        <v>431</v>
      </c>
      <c r="F46" s="35">
        <f t="shared" ref="F46:F62" si="8">E46+I46-1</f>
        <v>438</v>
      </c>
      <c r="G46" s="259">
        <f t="shared" si="2"/>
        <v>430</v>
      </c>
      <c r="H46" s="260">
        <f t="shared" si="3"/>
        <v>437</v>
      </c>
      <c r="I46" s="258">
        <v>8</v>
      </c>
      <c r="J46" s="35" t="s">
        <v>98</v>
      </c>
      <c r="K46" s="122" t="s">
        <v>509</v>
      </c>
      <c r="L46" s="202" t="s">
        <v>263</v>
      </c>
    </row>
    <row r="47" spans="1:13" s="42" customFormat="1" x14ac:dyDescent="0.2">
      <c r="A47" s="34"/>
      <c r="B47" s="34"/>
      <c r="C47" s="34"/>
      <c r="D47" s="229"/>
      <c r="E47" s="35">
        <f t="shared" ref="E47:E53" si="9">E46+I46</f>
        <v>439</v>
      </c>
      <c r="F47" s="35">
        <f t="shared" si="8"/>
        <v>453</v>
      </c>
      <c r="G47" s="259">
        <f t="shared" si="2"/>
        <v>438</v>
      </c>
      <c r="H47" s="260">
        <f t="shared" si="3"/>
        <v>452</v>
      </c>
      <c r="I47" s="258">
        <v>15</v>
      </c>
      <c r="J47" s="35" t="s">
        <v>301</v>
      </c>
      <c r="K47" s="122"/>
      <c r="L47" s="202"/>
    </row>
    <row r="48" spans="1:13" s="42" customFormat="1" ht="38.25" x14ac:dyDescent="0.2">
      <c r="A48" s="34" t="s">
        <v>128</v>
      </c>
      <c r="B48" s="34" t="s">
        <v>128</v>
      </c>
      <c r="C48" s="34"/>
      <c r="D48" s="229" t="s">
        <v>1107</v>
      </c>
      <c r="E48" s="35">
        <f t="shared" si="9"/>
        <v>454</v>
      </c>
      <c r="F48" s="35">
        <f t="shared" si="8"/>
        <v>454</v>
      </c>
      <c r="G48" s="259">
        <f t="shared" si="2"/>
        <v>453</v>
      </c>
      <c r="H48" s="260">
        <f t="shared" si="3"/>
        <v>453</v>
      </c>
      <c r="I48" s="258">
        <v>1</v>
      </c>
      <c r="J48" s="40" t="s">
        <v>99</v>
      </c>
      <c r="K48" s="122" t="s">
        <v>510</v>
      </c>
      <c r="L48" s="223" t="s">
        <v>1040</v>
      </c>
    </row>
    <row r="49" spans="1:12" s="42" customFormat="1" ht="76.5" x14ac:dyDescent="0.2">
      <c r="A49" s="34" t="s">
        <v>128</v>
      </c>
      <c r="B49" s="34" t="s">
        <v>128</v>
      </c>
      <c r="C49" s="34"/>
      <c r="D49" s="229" t="s">
        <v>1107</v>
      </c>
      <c r="E49" s="35">
        <f t="shared" si="9"/>
        <v>455</v>
      </c>
      <c r="F49" s="35">
        <f t="shared" si="8"/>
        <v>455</v>
      </c>
      <c r="G49" s="259">
        <f t="shared" si="2"/>
        <v>454</v>
      </c>
      <c r="H49" s="260">
        <f t="shared" si="3"/>
        <v>454</v>
      </c>
      <c r="I49" s="258">
        <v>1</v>
      </c>
      <c r="J49" s="35" t="s">
        <v>100</v>
      </c>
      <c r="K49" s="126" t="s">
        <v>511</v>
      </c>
      <c r="L49" s="223" t="s">
        <v>1040</v>
      </c>
    </row>
    <row r="50" spans="1:12" s="42" customFormat="1" ht="63.75" x14ac:dyDescent="0.2">
      <c r="A50" s="34" t="s">
        <v>128</v>
      </c>
      <c r="B50" s="34" t="s">
        <v>128</v>
      </c>
      <c r="C50" s="34"/>
      <c r="D50" s="229" t="s">
        <v>1107</v>
      </c>
      <c r="E50" s="35">
        <f t="shared" si="9"/>
        <v>456</v>
      </c>
      <c r="F50" s="35">
        <f t="shared" si="8"/>
        <v>456</v>
      </c>
      <c r="G50" s="259">
        <f t="shared" si="2"/>
        <v>455</v>
      </c>
      <c r="H50" s="260">
        <f t="shared" si="3"/>
        <v>455</v>
      </c>
      <c r="I50" s="258">
        <v>1</v>
      </c>
      <c r="J50" s="35" t="s">
        <v>101</v>
      </c>
      <c r="K50" s="122" t="s">
        <v>512</v>
      </c>
      <c r="L50" s="223" t="s">
        <v>1040</v>
      </c>
    </row>
    <row r="51" spans="1:12" s="42" customFormat="1" ht="274.5" customHeight="1" x14ac:dyDescent="0.2">
      <c r="A51" s="64" t="s">
        <v>128</v>
      </c>
      <c r="B51" s="64" t="s">
        <v>128</v>
      </c>
      <c r="C51" s="34" t="s">
        <v>7</v>
      </c>
      <c r="D51" s="229" t="s">
        <v>1107</v>
      </c>
      <c r="E51" s="35">
        <f t="shared" si="9"/>
        <v>457</v>
      </c>
      <c r="F51" s="35">
        <f t="shared" si="8"/>
        <v>458</v>
      </c>
      <c r="G51" s="259">
        <f t="shared" si="2"/>
        <v>456</v>
      </c>
      <c r="H51" s="260">
        <f t="shared" si="3"/>
        <v>457</v>
      </c>
      <c r="I51" s="258">
        <v>2</v>
      </c>
      <c r="J51" s="66" t="s">
        <v>563</v>
      </c>
      <c r="K51" s="176" t="s">
        <v>967</v>
      </c>
      <c r="L51" s="223" t="s">
        <v>1041</v>
      </c>
    </row>
    <row r="52" spans="1:12" s="42" customFormat="1" ht="66" customHeight="1" x14ac:dyDescent="0.2">
      <c r="A52" s="34" t="s">
        <v>128</v>
      </c>
      <c r="B52" s="34" t="s">
        <v>128</v>
      </c>
      <c r="C52" s="34"/>
      <c r="D52" s="229" t="s">
        <v>1107</v>
      </c>
      <c r="E52" s="35">
        <f t="shared" si="9"/>
        <v>459</v>
      </c>
      <c r="F52" s="35">
        <f t="shared" si="8"/>
        <v>459</v>
      </c>
      <c r="G52" s="259">
        <f t="shared" si="2"/>
        <v>458</v>
      </c>
      <c r="H52" s="260">
        <f t="shared" si="3"/>
        <v>458</v>
      </c>
      <c r="I52" s="258">
        <v>1</v>
      </c>
      <c r="J52" s="35" t="s">
        <v>180</v>
      </c>
      <c r="K52" s="122" t="s">
        <v>513</v>
      </c>
      <c r="L52" s="223" t="s">
        <v>1040</v>
      </c>
    </row>
    <row r="53" spans="1:12" s="42" customFormat="1" x14ac:dyDescent="0.2">
      <c r="A53" s="34"/>
      <c r="B53" s="34"/>
      <c r="C53" s="34"/>
      <c r="D53" s="229"/>
      <c r="E53" s="35">
        <f t="shared" si="9"/>
        <v>460</v>
      </c>
      <c r="F53" s="225">
        <f t="shared" si="8"/>
        <v>461</v>
      </c>
      <c r="G53" s="259">
        <f t="shared" si="2"/>
        <v>459</v>
      </c>
      <c r="H53" s="260">
        <f t="shared" si="3"/>
        <v>460</v>
      </c>
      <c r="I53" s="261">
        <v>2</v>
      </c>
      <c r="J53" s="48" t="s">
        <v>306</v>
      </c>
      <c r="K53" s="122"/>
      <c r="L53" s="199"/>
    </row>
    <row r="54" spans="1:12" s="35" customFormat="1" x14ac:dyDescent="0.2">
      <c r="A54" s="34"/>
      <c r="B54" s="34"/>
      <c r="C54" s="34"/>
      <c r="D54" s="229"/>
      <c r="G54" s="259">
        <f t="shared" si="2"/>
        <v>-1</v>
      </c>
      <c r="H54" s="260">
        <f t="shared" si="3"/>
        <v>-1</v>
      </c>
      <c r="I54" s="258"/>
      <c r="J54" s="44" t="s">
        <v>337</v>
      </c>
      <c r="K54" s="122"/>
      <c r="L54" s="121"/>
    </row>
    <row r="55" spans="1:12" s="35" customFormat="1" ht="63.75" x14ac:dyDescent="0.2">
      <c r="A55" s="47" t="s">
        <v>128</v>
      </c>
      <c r="B55" s="47" t="s">
        <v>128</v>
      </c>
      <c r="C55" s="34"/>
      <c r="D55" s="229" t="s">
        <v>1107</v>
      </c>
      <c r="E55" s="35">
        <f>E53+I53</f>
        <v>462</v>
      </c>
      <c r="F55" s="35">
        <f>E55+I55-1</f>
        <v>462</v>
      </c>
      <c r="G55" s="259">
        <f t="shared" si="2"/>
        <v>461</v>
      </c>
      <c r="H55" s="260">
        <f t="shared" si="3"/>
        <v>461</v>
      </c>
      <c r="I55" s="258">
        <v>1</v>
      </c>
      <c r="J55" s="48" t="s">
        <v>338</v>
      </c>
      <c r="K55" s="126" t="s">
        <v>694</v>
      </c>
      <c r="L55" s="184" t="s">
        <v>1040</v>
      </c>
    </row>
    <row r="56" spans="1:12" s="35" customFormat="1" x14ac:dyDescent="0.2">
      <c r="A56" s="47" t="s">
        <v>128</v>
      </c>
      <c r="B56" s="47" t="s">
        <v>128</v>
      </c>
      <c r="C56" s="34"/>
      <c r="D56" s="229" t="s">
        <v>1107</v>
      </c>
      <c r="E56" s="35">
        <f>E55+I55</f>
        <v>463</v>
      </c>
      <c r="F56" s="35">
        <f t="shared" ref="F56:F61" si="10">E56+I56-1</f>
        <v>463</v>
      </c>
      <c r="G56" s="259">
        <f t="shared" si="2"/>
        <v>462</v>
      </c>
      <c r="H56" s="260">
        <f t="shared" si="3"/>
        <v>462</v>
      </c>
      <c r="I56" s="258">
        <v>1</v>
      </c>
      <c r="J56" s="66" t="s">
        <v>571</v>
      </c>
      <c r="K56" s="236" t="s">
        <v>502</v>
      </c>
      <c r="L56" s="245" t="s">
        <v>1042</v>
      </c>
    </row>
    <row r="57" spans="1:12" s="35" customFormat="1" x14ac:dyDescent="0.2">
      <c r="A57" s="47" t="s">
        <v>128</v>
      </c>
      <c r="B57" s="47" t="s">
        <v>128</v>
      </c>
      <c r="C57" s="34"/>
      <c r="D57" s="229" t="s">
        <v>1107</v>
      </c>
      <c r="E57" s="35">
        <f t="shared" ref="E57:E62" si="11">E56+I56</f>
        <v>464</v>
      </c>
      <c r="F57" s="35">
        <f t="shared" si="10"/>
        <v>464</v>
      </c>
      <c r="G57" s="259">
        <f t="shared" si="2"/>
        <v>463</v>
      </c>
      <c r="H57" s="260">
        <f t="shared" si="3"/>
        <v>463</v>
      </c>
      <c r="I57" s="258">
        <v>1</v>
      </c>
      <c r="J57" s="48" t="s">
        <v>339</v>
      </c>
      <c r="K57" s="237"/>
      <c r="L57" s="245"/>
    </row>
    <row r="58" spans="1:12" s="35" customFormat="1" x14ac:dyDescent="0.2">
      <c r="A58" s="47" t="s">
        <v>128</v>
      </c>
      <c r="B58" s="47" t="s">
        <v>128</v>
      </c>
      <c r="C58" s="34"/>
      <c r="D58" s="229" t="s">
        <v>1107</v>
      </c>
      <c r="E58" s="35">
        <f t="shared" si="11"/>
        <v>465</v>
      </c>
      <c r="F58" s="35">
        <f t="shared" si="10"/>
        <v>465</v>
      </c>
      <c r="G58" s="259">
        <f t="shared" si="2"/>
        <v>464</v>
      </c>
      <c r="H58" s="260">
        <f t="shared" si="3"/>
        <v>464</v>
      </c>
      <c r="I58" s="258">
        <v>1</v>
      </c>
      <c r="J58" s="48" t="s">
        <v>340</v>
      </c>
      <c r="K58" s="237"/>
      <c r="L58" s="245"/>
    </row>
    <row r="59" spans="1:12" s="35" customFormat="1" x14ac:dyDescent="0.2">
      <c r="A59" s="47" t="s">
        <v>128</v>
      </c>
      <c r="B59" s="47" t="s">
        <v>128</v>
      </c>
      <c r="C59" s="34"/>
      <c r="D59" s="229" t="s">
        <v>1107</v>
      </c>
      <c r="E59" s="35">
        <f t="shared" si="11"/>
        <v>466</v>
      </c>
      <c r="F59" s="35">
        <f t="shared" si="10"/>
        <v>466</v>
      </c>
      <c r="G59" s="259">
        <f t="shared" si="2"/>
        <v>465</v>
      </c>
      <c r="H59" s="260">
        <f t="shared" si="3"/>
        <v>465</v>
      </c>
      <c r="I59" s="258">
        <v>1</v>
      </c>
      <c r="J59" s="48" t="s">
        <v>341</v>
      </c>
      <c r="K59" s="237"/>
      <c r="L59" s="245"/>
    </row>
    <row r="60" spans="1:12" s="35" customFormat="1" x14ac:dyDescent="0.2">
      <c r="A60" s="47" t="s">
        <v>128</v>
      </c>
      <c r="B60" s="47" t="s">
        <v>128</v>
      </c>
      <c r="C60" s="34"/>
      <c r="D60" s="229" t="s">
        <v>1107</v>
      </c>
      <c r="E60" s="35">
        <f t="shared" si="11"/>
        <v>467</v>
      </c>
      <c r="F60" s="35">
        <f t="shared" si="10"/>
        <v>467</v>
      </c>
      <c r="G60" s="259">
        <f t="shared" si="2"/>
        <v>466</v>
      </c>
      <c r="H60" s="260">
        <f t="shared" si="3"/>
        <v>466</v>
      </c>
      <c r="I60" s="258">
        <v>1</v>
      </c>
      <c r="J60" s="48" t="s">
        <v>342</v>
      </c>
      <c r="K60" s="237"/>
      <c r="L60" s="245"/>
    </row>
    <row r="61" spans="1:12" s="35" customFormat="1" ht="38.25" x14ac:dyDescent="0.2">
      <c r="A61" s="47" t="s">
        <v>128</v>
      </c>
      <c r="B61" s="47" t="s">
        <v>128</v>
      </c>
      <c r="C61" s="34"/>
      <c r="D61" s="229" t="s">
        <v>1107</v>
      </c>
      <c r="E61" s="35">
        <f t="shared" si="11"/>
        <v>468</v>
      </c>
      <c r="F61" s="35">
        <f t="shared" si="10"/>
        <v>468</v>
      </c>
      <c r="G61" s="259">
        <f t="shared" si="2"/>
        <v>467</v>
      </c>
      <c r="H61" s="260">
        <f t="shared" si="3"/>
        <v>467</v>
      </c>
      <c r="I61" s="258">
        <v>1</v>
      </c>
      <c r="J61" s="48" t="s">
        <v>353</v>
      </c>
      <c r="K61" s="123" t="s">
        <v>502</v>
      </c>
      <c r="L61" s="184" t="s">
        <v>1043</v>
      </c>
    </row>
    <row r="62" spans="1:12" s="42" customFormat="1" x14ac:dyDescent="0.2">
      <c r="A62" s="34"/>
      <c r="B62" s="34"/>
      <c r="C62" s="34"/>
      <c r="D62" s="229"/>
      <c r="E62" s="35">
        <f t="shared" si="11"/>
        <v>469</v>
      </c>
      <c r="F62" s="35">
        <f t="shared" si="8"/>
        <v>479</v>
      </c>
      <c r="G62" s="259">
        <f t="shared" si="2"/>
        <v>468</v>
      </c>
      <c r="H62" s="260">
        <f t="shared" si="3"/>
        <v>478</v>
      </c>
      <c r="I62" s="258">
        <v>11</v>
      </c>
      <c r="J62" s="40" t="s">
        <v>306</v>
      </c>
      <c r="K62" s="38"/>
      <c r="L62" s="126"/>
    </row>
    <row r="63" spans="1:12" s="42" customFormat="1" x14ac:dyDescent="0.2">
      <c r="A63" s="34"/>
      <c r="B63" s="34"/>
      <c r="C63" s="34"/>
      <c r="D63" s="229"/>
      <c r="E63" s="35"/>
      <c r="F63" s="35"/>
      <c r="G63" s="259">
        <f t="shared" si="2"/>
        <v>-1</v>
      </c>
      <c r="H63" s="260">
        <f t="shared" si="3"/>
        <v>-1</v>
      </c>
      <c r="I63" s="258"/>
      <c r="J63" s="32" t="s">
        <v>103</v>
      </c>
      <c r="K63" s="71"/>
      <c r="L63" s="126"/>
    </row>
    <row r="64" spans="1:12" s="42" customFormat="1" ht="13.5" customHeight="1" x14ac:dyDescent="0.2">
      <c r="A64" s="34" t="s">
        <v>128</v>
      </c>
      <c r="B64" s="34" t="s">
        <v>128</v>
      </c>
      <c r="C64" s="34" t="s">
        <v>7</v>
      </c>
      <c r="D64" s="229" t="s">
        <v>1107</v>
      </c>
      <c r="E64" s="35">
        <f>E62+I62</f>
        <v>480</v>
      </c>
      <c r="F64" s="35">
        <f>E64+I64-1</f>
        <v>480</v>
      </c>
      <c r="G64" s="259">
        <f t="shared" si="2"/>
        <v>479</v>
      </c>
      <c r="H64" s="260">
        <f t="shared" si="3"/>
        <v>479</v>
      </c>
      <c r="I64" s="258">
        <v>1</v>
      </c>
      <c r="J64" s="35" t="s">
        <v>104</v>
      </c>
      <c r="K64" s="244" t="s">
        <v>502</v>
      </c>
      <c r="L64" s="238" t="s">
        <v>1040</v>
      </c>
    </row>
    <row r="65" spans="1:12" s="42" customFormat="1" x14ac:dyDescent="0.2">
      <c r="A65" s="34" t="s">
        <v>128</v>
      </c>
      <c r="B65" s="34" t="s">
        <v>128</v>
      </c>
      <c r="C65" s="34" t="s">
        <v>7</v>
      </c>
      <c r="D65" s="229" t="s">
        <v>1107</v>
      </c>
      <c r="E65" s="35">
        <f t="shared" ref="E65:E76" si="12">E64+I64</f>
        <v>481</v>
      </c>
      <c r="F65" s="35">
        <f t="shared" ref="F65:F76" si="13">E65+I65-1</f>
        <v>481</v>
      </c>
      <c r="G65" s="259">
        <f t="shared" si="2"/>
        <v>480</v>
      </c>
      <c r="H65" s="260">
        <f t="shared" si="3"/>
        <v>480</v>
      </c>
      <c r="I65" s="258">
        <v>1</v>
      </c>
      <c r="J65" s="35" t="s">
        <v>105</v>
      </c>
      <c r="K65" s="239"/>
      <c r="L65" s="238"/>
    </row>
    <row r="66" spans="1:12" s="42" customFormat="1" x14ac:dyDescent="0.2">
      <c r="A66" s="34" t="s">
        <v>128</v>
      </c>
      <c r="B66" s="34" t="s">
        <v>128</v>
      </c>
      <c r="C66" s="34" t="s">
        <v>7</v>
      </c>
      <c r="D66" s="229" t="s">
        <v>1107</v>
      </c>
      <c r="E66" s="35">
        <f t="shared" si="12"/>
        <v>482</v>
      </c>
      <c r="F66" s="35">
        <f t="shared" si="13"/>
        <v>482</v>
      </c>
      <c r="G66" s="259">
        <f t="shared" si="2"/>
        <v>481</v>
      </c>
      <c r="H66" s="260">
        <f t="shared" si="3"/>
        <v>481</v>
      </c>
      <c r="I66" s="258">
        <v>1</v>
      </c>
      <c r="J66" s="35" t="s">
        <v>106</v>
      </c>
      <c r="K66" s="239"/>
      <c r="L66" s="238"/>
    </row>
    <row r="67" spans="1:12" s="42" customFormat="1" x14ac:dyDescent="0.2">
      <c r="A67" s="34" t="s">
        <v>128</v>
      </c>
      <c r="B67" s="34" t="s">
        <v>128</v>
      </c>
      <c r="C67" s="34" t="s">
        <v>7</v>
      </c>
      <c r="D67" s="229" t="s">
        <v>1107</v>
      </c>
      <c r="E67" s="35">
        <f t="shared" si="12"/>
        <v>483</v>
      </c>
      <c r="F67" s="35">
        <f t="shared" si="13"/>
        <v>483</v>
      </c>
      <c r="G67" s="259">
        <f t="shared" si="2"/>
        <v>482</v>
      </c>
      <c r="H67" s="260">
        <f t="shared" si="3"/>
        <v>482</v>
      </c>
      <c r="I67" s="258">
        <v>1</v>
      </c>
      <c r="J67" s="35" t="s">
        <v>107</v>
      </c>
      <c r="K67" s="239"/>
      <c r="L67" s="238"/>
    </row>
    <row r="68" spans="1:12" s="42" customFormat="1" x14ac:dyDescent="0.2">
      <c r="A68" s="34" t="s">
        <v>128</v>
      </c>
      <c r="B68" s="34" t="s">
        <v>128</v>
      </c>
      <c r="C68" s="34" t="s">
        <v>7</v>
      </c>
      <c r="D68" s="229" t="s">
        <v>1107</v>
      </c>
      <c r="E68" s="35">
        <f t="shared" si="12"/>
        <v>484</v>
      </c>
      <c r="F68" s="35">
        <f t="shared" si="13"/>
        <v>484</v>
      </c>
      <c r="G68" s="259">
        <f t="shared" si="2"/>
        <v>483</v>
      </c>
      <c r="H68" s="260">
        <f t="shared" si="3"/>
        <v>483</v>
      </c>
      <c r="I68" s="258">
        <v>1</v>
      </c>
      <c r="J68" s="35" t="s">
        <v>108</v>
      </c>
      <c r="K68" s="239"/>
      <c r="L68" s="238"/>
    </row>
    <row r="69" spans="1:12" s="42" customFormat="1" x14ac:dyDescent="0.2">
      <c r="A69" s="34" t="s">
        <v>128</v>
      </c>
      <c r="B69" s="34" t="s">
        <v>128</v>
      </c>
      <c r="C69" s="34" t="s">
        <v>7</v>
      </c>
      <c r="D69" s="229" t="s">
        <v>1107</v>
      </c>
      <c r="E69" s="35">
        <f t="shared" si="12"/>
        <v>485</v>
      </c>
      <c r="F69" s="35">
        <f t="shared" si="13"/>
        <v>485</v>
      </c>
      <c r="G69" s="259">
        <f t="shared" ref="G69:G132" si="14">E69-1</f>
        <v>484</v>
      </c>
      <c r="H69" s="260">
        <f t="shared" ref="H69:H132" si="15">F69-1</f>
        <v>484</v>
      </c>
      <c r="I69" s="258">
        <v>1</v>
      </c>
      <c r="J69" s="35" t="s">
        <v>109</v>
      </c>
      <c r="K69" s="239"/>
      <c r="L69" s="238"/>
    </row>
    <row r="70" spans="1:12" s="42" customFormat="1" ht="12.75" customHeight="1" x14ac:dyDescent="0.2">
      <c r="A70" s="34" t="s">
        <v>128</v>
      </c>
      <c r="B70" s="34" t="s">
        <v>128</v>
      </c>
      <c r="C70" s="34" t="s">
        <v>7</v>
      </c>
      <c r="D70" s="229" t="s">
        <v>1107</v>
      </c>
      <c r="E70" s="35">
        <f t="shared" si="12"/>
        <v>486</v>
      </c>
      <c r="F70" s="35">
        <f t="shared" si="13"/>
        <v>486</v>
      </c>
      <c r="G70" s="259">
        <f t="shared" si="14"/>
        <v>485</v>
      </c>
      <c r="H70" s="260">
        <f t="shared" si="15"/>
        <v>485</v>
      </c>
      <c r="I70" s="258">
        <v>1</v>
      </c>
      <c r="J70" s="36" t="s">
        <v>110</v>
      </c>
      <c r="K70" s="239"/>
      <c r="L70" s="238"/>
    </row>
    <row r="71" spans="1:12" s="42" customFormat="1" x14ac:dyDescent="0.2">
      <c r="A71" s="34" t="s">
        <v>128</v>
      </c>
      <c r="B71" s="34" t="s">
        <v>128</v>
      </c>
      <c r="C71" s="34" t="s">
        <v>7</v>
      </c>
      <c r="D71" s="229" t="s">
        <v>1107</v>
      </c>
      <c r="E71" s="35">
        <f t="shared" si="12"/>
        <v>487</v>
      </c>
      <c r="F71" s="35">
        <f t="shared" si="13"/>
        <v>487</v>
      </c>
      <c r="G71" s="259">
        <f t="shared" si="14"/>
        <v>486</v>
      </c>
      <c r="H71" s="260">
        <f t="shared" si="15"/>
        <v>486</v>
      </c>
      <c r="I71" s="258">
        <v>1</v>
      </c>
      <c r="J71" s="35" t="s">
        <v>111</v>
      </c>
      <c r="K71" s="239"/>
      <c r="L71" s="238"/>
    </row>
    <row r="72" spans="1:12" s="42" customFormat="1" x14ac:dyDescent="0.2">
      <c r="A72" s="34" t="s">
        <v>128</v>
      </c>
      <c r="B72" s="34" t="s">
        <v>128</v>
      </c>
      <c r="C72" s="34" t="s">
        <v>7</v>
      </c>
      <c r="D72" s="229" t="s">
        <v>1107</v>
      </c>
      <c r="E72" s="35">
        <f t="shared" si="12"/>
        <v>488</v>
      </c>
      <c r="F72" s="35">
        <f t="shared" si="13"/>
        <v>488</v>
      </c>
      <c r="G72" s="259">
        <f t="shared" si="14"/>
        <v>487</v>
      </c>
      <c r="H72" s="260">
        <f t="shared" si="15"/>
        <v>487</v>
      </c>
      <c r="I72" s="258">
        <v>1</v>
      </c>
      <c r="J72" s="35" t="s">
        <v>112</v>
      </c>
      <c r="K72" s="239"/>
      <c r="L72" s="238"/>
    </row>
    <row r="73" spans="1:12" s="42" customFormat="1" x14ac:dyDescent="0.2">
      <c r="A73" s="34" t="s">
        <v>128</v>
      </c>
      <c r="B73" s="34" t="s">
        <v>128</v>
      </c>
      <c r="C73" s="34" t="s">
        <v>7</v>
      </c>
      <c r="D73" s="229" t="s">
        <v>1107</v>
      </c>
      <c r="E73" s="35">
        <f t="shared" si="12"/>
        <v>489</v>
      </c>
      <c r="F73" s="35">
        <f t="shared" si="13"/>
        <v>489</v>
      </c>
      <c r="G73" s="259">
        <f t="shared" si="14"/>
        <v>488</v>
      </c>
      <c r="H73" s="260">
        <f t="shared" si="15"/>
        <v>488</v>
      </c>
      <c r="I73" s="258">
        <v>1</v>
      </c>
      <c r="J73" s="35" t="s">
        <v>113</v>
      </c>
      <c r="K73" s="239"/>
      <c r="L73" s="238"/>
    </row>
    <row r="74" spans="1:12" s="42" customFormat="1" x14ac:dyDescent="0.2">
      <c r="A74" s="34" t="s">
        <v>128</v>
      </c>
      <c r="B74" s="34" t="s">
        <v>128</v>
      </c>
      <c r="C74" s="34" t="s">
        <v>7</v>
      </c>
      <c r="D74" s="229" t="s">
        <v>1107</v>
      </c>
      <c r="E74" s="35">
        <f t="shared" si="12"/>
        <v>490</v>
      </c>
      <c r="F74" s="35">
        <f t="shared" si="13"/>
        <v>490</v>
      </c>
      <c r="G74" s="259">
        <f t="shared" si="14"/>
        <v>489</v>
      </c>
      <c r="H74" s="260">
        <f t="shared" si="15"/>
        <v>489</v>
      </c>
      <c r="I74" s="258">
        <v>1</v>
      </c>
      <c r="J74" s="35" t="s">
        <v>114</v>
      </c>
      <c r="K74" s="239"/>
      <c r="L74" s="238"/>
    </row>
    <row r="75" spans="1:12" s="42" customFormat="1" x14ac:dyDescent="0.2">
      <c r="A75" s="34"/>
      <c r="B75" s="34"/>
      <c r="C75" s="34"/>
      <c r="D75" s="229"/>
      <c r="E75" s="35">
        <f>E74+I74</f>
        <v>491</v>
      </c>
      <c r="F75" s="35">
        <f t="shared" si="13"/>
        <v>496</v>
      </c>
      <c r="G75" s="259">
        <f t="shared" si="14"/>
        <v>490</v>
      </c>
      <c r="H75" s="260">
        <f t="shared" si="15"/>
        <v>495</v>
      </c>
      <c r="I75" s="258">
        <v>6</v>
      </c>
      <c r="J75" s="35" t="s">
        <v>306</v>
      </c>
      <c r="K75" s="122"/>
      <c r="L75" s="126"/>
    </row>
    <row r="76" spans="1:12" s="42" customFormat="1" ht="38.25" x14ac:dyDescent="0.2">
      <c r="A76" s="34" t="s">
        <v>128</v>
      </c>
      <c r="B76" s="34" t="s">
        <v>128</v>
      </c>
      <c r="C76" s="34"/>
      <c r="D76" s="229" t="s">
        <v>1107</v>
      </c>
      <c r="E76" s="35">
        <f t="shared" si="12"/>
        <v>497</v>
      </c>
      <c r="F76" s="35">
        <f t="shared" si="13"/>
        <v>497</v>
      </c>
      <c r="G76" s="259">
        <f t="shared" si="14"/>
        <v>496</v>
      </c>
      <c r="H76" s="260">
        <f t="shared" si="15"/>
        <v>496</v>
      </c>
      <c r="I76" s="258">
        <v>1</v>
      </c>
      <c r="J76" s="35" t="s">
        <v>115</v>
      </c>
      <c r="K76" s="122" t="s">
        <v>502</v>
      </c>
      <c r="L76" s="183" t="s">
        <v>1043</v>
      </c>
    </row>
    <row r="77" spans="1:12" s="42" customFormat="1" x14ac:dyDescent="0.2">
      <c r="A77" s="34"/>
      <c r="B77" s="34"/>
      <c r="C77" s="34"/>
      <c r="D77" s="229"/>
      <c r="E77" s="35"/>
      <c r="F77" s="35"/>
      <c r="G77" s="259">
        <f t="shared" si="14"/>
        <v>-1</v>
      </c>
      <c r="H77" s="260">
        <f t="shared" si="15"/>
        <v>-1</v>
      </c>
      <c r="I77" s="258"/>
      <c r="J77" s="32" t="s">
        <v>116</v>
      </c>
      <c r="K77" s="71"/>
      <c r="L77" s="126"/>
    </row>
    <row r="78" spans="1:12" s="42" customFormat="1" ht="13.5" customHeight="1" x14ac:dyDescent="0.2">
      <c r="A78" s="34" t="s">
        <v>128</v>
      </c>
      <c r="B78" s="34" t="s">
        <v>128</v>
      </c>
      <c r="C78" s="34" t="s">
        <v>7</v>
      </c>
      <c r="D78" s="229" t="s">
        <v>1107</v>
      </c>
      <c r="E78" s="35">
        <f>E76+I76</f>
        <v>498</v>
      </c>
      <c r="F78" s="35">
        <f t="shared" ref="F78:F83" si="16">E78+I78-1</f>
        <v>498</v>
      </c>
      <c r="G78" s="259">
        <f t="shared" si="14"/>
        <v>497</v>
      </c>
      <c r="H78" s="260">
        <f t="shared" si="15"/>
        <v>497</v>
      </c>
      <c r="I78" s="258">
        <v>1</v>
      </c>
      <c r="J78" s="35" t="s">
        <v>104</v>
      </c>
      <c r="K78" s="244" t="s">
        <v>502</v>
      </c>
      <c r="L78" s="238" t="s">
        <v>1040</v>
      </c>
    </row>
    <row r="79" spans="1:12" s="42" customFormat="1" x14ac:dyDescent="0.2">
      <c r="A79" s="34" t="s">
        <v>128</v>
      </c>
      <c r="B79" s="34" t="s">
        <v>128</v>
      </c>
      <c r="C79" s="34" t="s">
        <v>7</v>
      </c>
      <c r="D79" s="229" t="s">
        <v>1107</v>
      </c>
      <c r="E79" s="35">
        <f t="shared" ref="E79:E85" si="17">E78+I78</f>
        <v>499</v>
      </c>
      <c r="F79" s="35">
        <f t="shared" si="16"/>
        <v>499</v>
      </c>
      <c r="G79" s="259">
        <f t="shared" si="14"/>
        <v>498</v>
      </c>
      <c r="H79" s="260">
        <f t="shared" si="15"/>
        <v>498</v>
      </c>
      <c r="I79" s="258">
        <v>1</v>
      </c>
      <c r="J79" s="35" t="s">
        <v>109</v>
      </c>
      <c r="K79" s="239"/>
      <c r="L79" s="238"/>
    </row>
    <row r="80" spans="1:12" s="42" customFormat="1" x14ac:dyDescent="0.2">
      <c r="A80" s="34" t="s">
        <v>128</v>
      </c>
      <c r="B80" s="34" t="s">
        <v>128</v>
      </c>
      <c r="C80" s="34" t="s">
        <v>7</v>
      </c>
      <c r="D80" s="229" t="s">
        <v>1107</v>
      </c>
      <c r="E80" s="35">
        <f t="shared" si="17"/>
        <v>500</v>
      </c>
      <c r="F80" s="35">
        <f t="shared" si="16"/>
        <v>500</v>
      </c>
      <c r="G80" s="259">
        <f t="shared" si="14"/>
        <v>499</v>
      </c>
      <c r="H80" s="260">
        <f t="shared" si="15"/>
        <v>499</v>
      </c>
      <c r="I80" s="258">
        <v>1</v>
      </c>
      <c r="J80" s="35" t="s">
        <v>112</v>
      </c>
      <c r="K80" s="239"/>
      <c r="L80" s="238"/>
    </row>
    <row r="81" spans="1:12" s="42" customFormat="1" x14ac:dyDescent="0.2">
      <c r="A81" s="34" t="s">
        <v>128</v>
      </c>
      <c r="B81" s="34" t="s">
        <v>128</v>
      </c>
      <c r="C81" s="34" t="s">
        <v>7</v>
      </c>
      <c r="D81" s="229" t="s">
        <v>1107</v>
      </c>
      <c r="E81" s="35">
        <f t="shared" si="17"/>
        <v>501</v>
      </c>
      <c r="F81" s="35">
        <f t="shared" si="16"/>
        <v>501</v>
      </c>
      <c r="G81" s="259">
        <f t="shared" si="14"/>
        <v>500</v>
      </c>
      <c r="H81" s="260">
        <f t="shared" si="15"/>
        <v>500</v>
      </c>
      <c r="I81" s="258">
        <v>1</v>
      </c>
      <c r="J81" s="36" t="s">
        <v>123</v>
      </c>
      <c r="K81" s="239"/>
      <c r="L81" s="238"/>
    </row>
    <row r="82" spans="1:12" s="42" customFormat="1" x14ac:dyDescent="0.2">
      <c r="A82" s="34" t="s">
        <v>128</v>
      </c>
      <c r="B82" s="34" t="s">
        <v>128</v>
      </c>
      <c r="C82" s="34" t="s">
        <v>7</v>
      </c>
      <c r="D82" s="229" t="s">
        <v>1107</v>
      </c>
      <c r="E82" s="35">
        <f t="shared" si="17"/>
        <v>502</v>
      </c>
      <c r="F82" s="35">
        <f t="shared" si="16"/>
        <v>502</v>
      </c>
      <c r="G82" s="259">
        <f t="shared" si="14"/>
        <v>501</v>
      </c>
      <c r="H82" s="260">
        <f t="shared" si="15"/>
        <v>501</v>
      </c>
      <c r="I82" s="258">
        <v>1</v>
      </c>
      <c r="J82" s="36" t="s">
        <v>117</v>
      </c>
      <c r="K82" s="239"/>
      <c r="L82" s="238"/>
    </row>
    <row r="83" spans="1:12" s="42" customFormat="1" x14ac:dyDescent="0.2">
      <c r="A83" s="34" t="s">
        <v>128</v>
      </c>
      <c r="B83" s="34" t="s">
        <v>128</v>
      </c>
      <c r="C83" s="34" t="s">
        <v>7</v>
      </c>
      <c r="D83" s="229" t="s">
        <v>1107</v>
      </c>
      <c r="E83" s="35">
        <f t="shared" si="17"/>
        <v>503</v>
      </c>
      <c r="F83" s="35">
        <f t="shared" si="16"/>
        <v>503</v>
      </c>
      <c r="G83" s="259">
        <f t="shared" si="14"/>
        <v>502</v>
      </c>
      <c r="H83" s="260">
        <f t="shared" si="15"/>
        <v>502</v>
      </c>
      <c r="I83" s="258">
        <v>1</v>
      </c>
      <c r="J83" s="35" t="s">
        <v>113</v>
      </c>
      <c r="K83" s="239"/>
      <c r="L83" s="238"/>
    </row>
    <row r="84" spans="1:12" s="42" customFormat="1" x14ac:dyDescent="0.2">
      <c r="A84" s="34"/>
      <c r="B84" s="34"/>
      <c r="C84" s="34"/>
      <c r="D84" s="229"/>
      <c r="E84" s="35">
        <f>E83+I83</f>
        <v>504</v>
      </c>
      <c r="F84" s="35">
        <f>E84+I84-1</f>
        <v>508</v>
      </c>
      <c r="G84" s="259">
        <f t="shared" si="14"/>
        <v>503</v>
      </c>
      <c r="H84" s="260">
        <f t="shared" si="15"/>
        <v>507</v>
      </c>
      <c r="I84" s="258">
        <v>5</v>
      </c>
      <c r="J84" s="35" t="s">
        <v>306</v>
      </c>
      <c r="K84" s="122"/>
      <c r="L84" s="126"/>
    </row>
    <row r="85" spans="1:12" s="42" customFormat="1" ht="38.25" x14ac:dyDescent="0.2">
      <c r="A85" s="34" t="s">
        <v>128</v>
      </c>
      <c r="B85" s="34" t="s">
        <v>128</v>
      </c>
      <c r="C85" s="34"/>
      <c r="D85" s="229" t="s">
        <v>1107</v>
      </c>
      <c r="E85" s="35">
        <f t="shared" si="17"/>
        <v>509</v>
      </c>
      <c r="F85" s="35">
        <f>E85+I85-1</f>
        <v>509</v>
      </c>
      <c r="G85" s="259">
        <f t="shared" si="14"/>
        <v>508</v>
      </c>
      <c r="H85" s="260">
        <f t="shared" si="15"/>
        <v>508</v>
      </c>
      <c r="I85" s="258">
        <v>1</v>
      </c>
      <c r="J85" s="35" t="s">
        <v>118</v>
      </c>
      <c r="K85" s="122" t="s">
        <v>502</v>
      </c>
      <c r="L85" s="183" t="s">
        <v>1040</v>
      </c>
    </row>
    <row r="86" spans="1:12" s="42" customFormat="1" x14ac:dyDescent="0.2">
      <c r="A86" s="34"/>
      <c r="B86" s="34"/>
      <c r="C86" s="34"/>
      <c r="D86" s="229"/>
      <c r="E86" s="35"/>
      <c r="F86" s="35"/>
      <c r="G86" s="259">
        <f t="shared" si="14"/>
        <v>-1</v>
      </c>
      <c r="H86" s="260">
        <f t="shared" si="15"/>
        <v>-1</v>
      </c>
      <c r="I86" s="258"/>
      <c r="J86" s="32" t="s">
        <v>119</v>
      </c>
      <c r="K86" s="71"/>
      <c r="L86" s="126"/>
    </row>
    <row r="87" spans="1:12" s="42" customFormat="1" ht="13.5" customHeight="1" x14ac:dyDescent="0.2">
      <c r="A87" s="34" t="s">
        <v>128</v>
      </c>
      <c r="B87" s="34" t="s">
        <v>128</v>
      </c>
      <c r="C87" s="34" t="s">
        <v>7</v>
      </c>
      <c r="D87" s="229" t="s">
        <v>1107</v>
      </c>
      <c r="E87" s="35">
        <f>E85+I85</f>
        <v>510</v>
      </c>
      <c r="F87" s="35">
        <f>E87+I87-1</f>
        <v>510</v>
      </c>
      <c r="G87" s="259">
        <f t="shared" si="14"/>
        <v>509</v>
      </c>
      <c r="H87" s="260">
        <f t="shared" si="15"/>
        <v>509</v>
      </c>
      <c r="I87" s="258">
        <v>1</v>
      </c>
      <c r="J87" s="35" t="s">
        <v>104</v>
      </c>
      <c r="K87" s="244" t="s">
        <v>502</v>
      </c>
      <c r="L87" s="238" t="s">
        <v>1043</v>
      </c>
    </row>
    <row r="88" spans="1:12" s="42" customFormat="1" x14ac:dyDescent="0.2">
      <c r="A88" s="34" t="s">
        <v>128</v>
      </c>
      <c r="B88" s="34" t="s">
        <v>128</v>
      </c>
      <c r="C88" s="34" t="s">
        <v>7</v>
      </c>
      <c r="D88" s="229" t="s">
        <v>1107</v>
      </c>
      <c r="E88" s="35">
        <f t="shared" ref="E88:E96" si="18">E87+I87</f>
        <v>511</v>
      </c>
      <c r="F88" s="35">
        <f t="shared" ref="F88:F96" si="19">E88+I88-1</f>
        <v>511</v>
      </c>
      <c r="G88" s="259">
        <f t="shared" si="14"/>
        <v>510</v>
      </c>
      <c r="H88" s="260">
        <f t="shared" si="15"/>
        <v>510</v>
      </c>
      <c r="I88" s="258">
        <v>1</v>
      </c>
      <c r="J88" s="35" t="s">
        <v>105</v>
      </c>
      <c r="K88" s="239"/>
      <c r="L88" s="238"/>
    </row>
    <row r="89" spans="1:12" s="42" customFormat="1" x14ac:dyDescent="0.2">
      <c r="A89" s="34" t="s">
        <v>128</v>
      </c>
      <c r="B89" s="34" t="s">
        <v>128</v>
      </c>
      <c r="C89" s="34" t="s">
        <v>7</v>
      </c>
      <c r="D89" s="229" t="s">
        <v>1107</v>
      </c>
      <c r="E89" s="35">
        <f t="shared" si="18"/>
        <v>512</v>
      </c>
      <c r="F89" s="35">
        <f t="shared" si="19"/>
        <v>512</v>
      </c>
      <c r="G89" s="259">
        <f t="shared" si="14"/>
        <v>511</v>
      </c>
      <c r="H89" s="260">
        <f t="shared" si="15"/>
        <v>511</v>
      </c>
      <c r="I89" s="258">
        <v>1</v>
      </c>
      <c r="J89" s="35" t="s">
        <v>106</v>
      </c>
      <c r="K89" s="239"/>
      <c r="L89" s="238"/>
    </row>
    <row r="90" spans="1:12" s="42" customFormat="1" x14ac:dyDescent="0.2">
      <c r="A90" s="34" t="s">
        <v>128</v>
      </c>
      <c r="B90" s="34" t="s">
        <v>128</v>
      </c>
      <c r="C90" s="34" t="s">
        <v>7</v>
      </c>
      <c r="D90" s="229" t="s">
        <v>1107</v>
      </c>
      <c r="E90" s="35">
        <f t="shared" si="18"/>
        <v>513</v>
      </c>
      <c r="F90" s="35">
        <f t="shared" si="19"/>
        <v>513</v>
      </c>
      <c r="G90" s="259">
        <f t="shared" si="14"/>
        <v>512</v>
      </c>
      <c r="H90" s="260">
        <f t="shared" si="15"/>
        <v>512</v>
      </c>
      <c r="I90" s="258">
        <v>1</v>
      </c>
      <c r="J90" s="35" t="s">
        <v>107</v>
      </c>
      <c r="K90" s="239"/>
      <c r="L90" s="238"/>
    </row>
    <row r="91" spans="1:12" s="42" customFormat="1" x14ac:dyDescent="0.2">
      <c r="A91" s="34" t="s">
        <v>128</v>
      </c>
      <c r="B91" s="34" t="s">
        <v>128</v>
      </c>
      <c r="C91" s="34" t="s">
        <v>7</v>
      </c>
      <c r="D91" s="229" t="s">
        <v>1107</v>
      </c>
      <c r="E91" s="35">
        <f t="shared" si="18"/>
        <v>514</v>
      </c>
      <c r="F91" s="35">
        <f t="shared" si="19"/>
        <v>514</v>
      </c>
      <c r="G91" s="259">
        <f t="shared" si="14"/>
        <v>513</v>
      </c>
      <c r="H91" s="260">
        <f t="shared" si="15"/>
        <v>513</v>
      </c>
      <c r="I91" s="258">
        <v>1</v>
      </c>
      <c r="J91" s="35" t="s">
        <v>108</v>
      </c>
      <c r="K91" s="239"/>
      <c r="L91" s="238"/>
    </row>
    <row r="92" spans="1:12" s="42" customFormat="1" x14ac:dyDescent="0.2">
      <c r="A92" s="34" t="s">
        <v>128</v>
      </c>
      <c r="B92" s="34" t="s">
        <v>128</v>
      </c>
      <c r="C92" s="34" t="s">
        <v>7</v>
      </c>
      <c r="D92" s="229" t="s">
        <v>1107</v>
      </c>
      <c r="E92" s="35">
        <f t="shared" si="18"/>
        <v>515</v>
      </c>
      <c r="F92" s="35">
        <f t="shared" si="19"/>
        <v>515</v>
      </c>
      <c r="G92" s="259">
        <f t="shared" si="14"/>
        <v>514</v>
      </c>
      <c r="H92" s="260">
        <f t="shared" si="15"/>
        <v>514</v>
      </c>
      <c r="I92" s="258">
        <v>1</v>
      </c>
      <c r="J92" s="35" t="s">
        <v>109</v>
      </c>
      <c r="K92" s="239"/>
      <c r="L92" s="238"/>
    </row>
    <row r="93" spans="1:12" s="42" customFormat="1" x14ac:dyDescent="0.2">
      <c r="A93" s="34" t="s">
        <v>128</v>
      </c>
      <c r="B93" s="34" t="s">
        <v>128</v>
      </c>
      <c r="C93" s="34" t="s">
        <v>7</v>
      </c>
      <c r="D93" s="229" t="s">
        <v>1107</v>
      </c>
      <c r="E93" s="35">
        <f t="shared" si="18"/>
        <v>516</v>
      </c>
      <c r="F93" s="35">
        <f t="shared" si="19"/>
        <v>516</v>
      </c>
      <c r="G93" s="259">
        <f t="shared" si="14"/>
        <v>515</v>
      </c>
      <c r="H93" s="260">
        <f t="shared" si="15"/>
        <v>515</v>
      </c>
      <c r="I93" s="258">
        <v>1</v>
      </c>
      <c r="J93" s="35" t="s">
        <v>110</v>
      </c>
      <c r="K93" s="239"/>
      <c r="L93" s="238"/>
    </row>
    <row r="94" spans="1:12" s="42" customFormat="1" x14ac:dyDescent="0.2">
      <c r="A94" s="34" t="s">
        <v>128</v>
      </c>
      <c r="B94" s="34" t="s">
        <v>128</v>
      </c>
      <c r="C94" s="34" t="s">
        <v>7</v>
      </c>
      <c r="D94" s="229" t="s">
        <v>1107</v>
      </c>
      <c r="E94" s="35">
        <f t="shared" si="18"/>
        <v>517</v>
      </c>
      <c r="F94" s="35">
        <f t="shared" si="19"/>
        <v>517</v>
      </c>
      <c r="G94" s="259">
        <f t="shared" si="14"/>
        <v>516</v>
      </c>
      <c r="H94" s="260">
        <f t="shared" si="15"/>
        <v>516</v>
      </c>
      <c r="I94" s="258">
        <v>1</v>
      </c>
      <c r="J94" s="35" t="s">
        <v>111</v>
      </c>
      <c r="K94" s="239"/>
      <c r="L94" s="238"/>
    </row>
    <row r="95" spans="1:12" s="42" customFormat="1" x14ac:dyDescent="0.2">
      <c r="A95" s="34" t="s">
        <v>128</v>
      </c>
      <c r="B95" s="34" t="s">
        <v>128</v>
      </c>
      <c r="C95" s="34" t="s">
        <v>7</v>
      </c>
      <c r="D95" s="229" t="s">
        <v>1107</v>
      </c>
      <c r="E95" s="35">
        <f t="shared" si="18"/>
        <v>518</v>
      </c>
      <c r="F95" s="35">
        <f t="shared" si="19"/>
        <v>518</v>
      </c>
      <c r="G95" s="259">
        <f t="shared" si="14"/>
        <v>517</v>
      </c>
      <c r="H95" s="260">
        <f t="shared" si="15"/>
        <v>517</v>
      </c>
      <c r="I95" s="258">
        <v>1</v>
      </c>
      <c r="J95" s="35" t="s">
        <v>112</v>
      </c>
      <c r="K95" s="239"/>
      <c r="L95" s="238"/>
    </row>
    <row r="96" spans="1:12" s="42" customFormat="1" x14ac:dyDescent="0.2">
      <c r="A96" s="34" t="s">
        <v>128</v>
      </c>
      <c r="B96" s="34" t="s">
        <v>128</v>
      </c>
      <c r="C96" s="34" t="s">
        <v>7</v>
      </c>
      <c r="D96" s="229" t="s">
        <v>1107</v>
      </c>
      <c r="E96" s="35">
        <f t="shared" si="18"/>
        <v>519</v>
      </c>
      <c r="F96" s="35">
        <f t="shared" si="19"/>
        <v>519</v>
      </c>
      <c r="G96" s="259">
        <f t="shared" si="14"/>
        <v>518</v>
      </c>
      <c r="H96" s="260">
        <f t="shared" si="15"/>
        <v>518</v>
      </c>
      <c r="I96" s="258">
        <v>1</v>
      </c>
      <c r="J96" s="35" t="s">
        <v>113</v>
      </c>
      <c r="K96" s="239"/>
      <c r="L96" s="238"/>
    </row>
    <row r="97" spans="1:12" s="42" customFormat="1" x14ac:dyDescent="0.2">
      <c r="A97" s="34" t="s">
        <v>128</v>
      </c>
      <c r="B97" s="34" t="s">
        <v>128</v>
      </c>
      <c r="C97" s="34" t="s">
        <v>7</v>
      </c>
      <c r="D97" s="229" t="s">
        <v>1107</v>
      </c>
      <c r="E97" s="35">
        <f t="shared" ref="E97:E101" si="20">E96+I96</f>
        <v>520</v>
      </c>
      <c r="F97" s="35">
        <f t="shared" ref="F97:F101" si="21">E97+I97-1</f>
        <v>520</v>
      </c>
      <c r="G97" s="259">
        <f t="shared" si="14"/>
        <v>519</v>
      </c>
      <c r="H97" s="260">
        <f t="shared" si="15"/>
        <v>519</v>
      </c>
      <c r="I97" s="258">
        <v>1</v>
      </c>
      <c r="J97" s="35" t="s">
        <v>114</v>
      </c>
      <c r="K97" s="239"/>
      <c r="L97" s="238"/>
    </row>
    <row r="98" spans="1:12" s="42" customFormat="1" x14ac:dyDescent="0.2">
      <c r="A98" s="180"/>
      <c r="B98" s="180"/>
      <c r="C98" s="180"/>
      <c r="D98" s="229"/>
      <c r="E98" s="35">
        <f t="shared" si="20"/>
        <v>521</v>
      </c>
      <c r="F98" s="35">
        <f t="shared" si="21"/>
        <v>521</v>
      </c>
      <c r="G98" s="259">
        <f t="shared" si="14"/>
        <v>520</v>
      </c>
      <c r="H98" s="260">
        <f t="shared" si="15"/>
        <v>520</v>
      </c>
      <c r="I98" s="258">
        <v>1</v>
      </c>
      <c r="J98" s="225" t="s">
        <v>306</v>
      </c>
      <c r="K98" s="203"/>
      <c r="L98" s="203"/>
    </row>
    <row r="99" spans="1:12" s="42" customFormat="1" ht="109.5" customHeight="1" x14ac:dyDescent="0.2">
      <c r="A99" s="34" t="s">
        <v>127</v>
      </c>
      <c r="B99" s="34" t="s">
        <v>127</v>
      </c>
      <c r="C99" s="34"/>
      <c r="D99" s="229" t="s">
        <v>234</v>
      </c>
      <c r="E99" s="35">
        <f t="shared" si="20"/>
        <v>522</v>
      </c>
      <c r="F99" s="35">
        <f t="shared" si="21"/>
        <v>523</v>
      </c>
      <c r="G99" s="259">
        <f t="shared" si="14"/>
        <v>521</v>
      </c>
      <c r="H99" s="260">
        <f t="shared" si="15"/>
        <v>522</v>
      </c>
      <c r="I99" s="258">
        <v>2</v>
      </c>
      <c r="J99" s="35" t="s">
        <v>121</v>
      </c>
      <c r="K99" s="126" t="s">
        <v>514</v>
      </c>
      <c r="L99" s="183" t="s">
        <v>1044</v>
      </c>
    </row>
    <row r="100" spans="1:12" s="42" customFormat="1" x14ac:dyDescent="0.2">
      <c r="A100" s="34"/>
      <c r="B100" s="34"/>
      <c r="C100" s="34"/>
      <c r="D100" s="229"/>
      <c r="E100" s="35">
        <f t="shared" si="20"/>
        <v>524</v>
      </c>
      <c r="F100" s="35">
        <f t="shared" si="21"/>
        <v>530</v>
      </c>
      <c r="G100" s="259">
        <f t="shared" si="14"/>
        <v>523</v>
      </c>
      <c r="H100" s="260">
        <f t="shared" si="15"/>
        <v>529</v>
      </c>
      <c r="I100" s="258">
        <v>7</v>
      </c>
      <c r="J100" s="35" t="s">
        <v>306</v>
      </c>
      <c r="K100" s="122"/>
      <c r="L100" s="126"/>
    </row>
    <row r="101" spans="1:12" s="42" customFormat="1" ht="54" customHeight="1" x14ac:dyDescent="0.2">
      <c r="A101" s="34" t="s">
        <v>127</v>
      </c>
      <c r="B101" s="34" t="s">
        <v>127</v>
      </c>
      <c r="C101" s="34"/>
      <c r="D101" s="229" t="s">
        <v>1107</v>
      </c>
      <c r="E101" s="35">
        <f t="shared" si="20"/>
        <v>531</v>
      </c>
      <c r="F101" s="35">
        <f t="shared" si="21"/>
        <v>540</v>
      </c>
      <c r="G101" s="259">
        <f t="shared" si="14"/>
        <v>530</v>
      </c>
      <c r="H101" s="260">
        <f t="shared" si="15"/>
        <v>539</v>
      </c>
      <c r="I101" s="258">
        <v>10</v>
      </c>
      <c r="J101" s="35" t="s">
        <v>120</v>
      </c>
      <c r="K101" s="69" t="s">
        <v>668</v>
      </c>
      <c r="L101" s="183" t="s">
        <v>1045</v>
      </c>
    </row>
    <row r="102" spans="1:12" s="42" customFormat="1" x14ac:dyDescent="0.2">
      <c r="A102" s="34"/>
      <c r="B102" s="34"/>
      <c r="C102" s="34"/>
      <c r="D102" s="229"/>
      <c r="E102" s="35">
        <f>E101+I101</f>
        <v>541</v>
      </c>
      <c r="F102" s="225">
        <f>E102+I102-1</f>
        <v>1131</v>
      </c>
      <c r="G102" s="259">
        <f t="shared" si="14"/>
        <v>540</v>
      </c>
      <c r="H102" s="260">
        <f t="shared" si="15"/>
        <v>1130</v>
      </c>
      <c r="I102" s="261">
        <v>591</v>
      </c>
      <c r="J102" s="36" t="s">
        <v>306</v>
      </c>
      <c r="K102" s="122"/>
      <c r="L102" s="126"/>
    </row>
    <row r="103" spans="1:12" s="35" customFormat="1" x14ac:dyDescent="0.2">
      <c r="A103" s="34"/>
      <c r="B103" s="34"/>
      <c r="C103" s="34"/>
      <c r="D103" s="229"/>
      <c r="G103" s="259">
        <f t="shared" si="14"/>
        <v>-1</v>
      </c>
      <c r="H103" s="260">
        <f t="shared" si="15"/>
        <v>-1</v>
      </c>
      <c r="I103" s="258"/>
      <c r="J103" s="32" t="s">
        <v>57</v>
      </c>
      <c r="K103" s="122"/>
      <c r="L103" s="126"/>
    </row>
    <row r="104" spans="1:12" s="35" customFormat="1" ht="225" customHeight="1" x14ac:dyDescent="0.2">
      <c r="A104" s="34" t="s">
        <v>128</v>
      </c>
      <c r="B104" s="34" t="s">
        <v>128</v>
      </c>
      <c r="C104" s="185" t="s">
        <v>1032</v>
      </c>
      <c r="D104" s="229" t="s">
        <v>1107</v>
      </c>
      <c r="E104" s="35">
        <f>E102+I102</f>
        <v>1132</v>
      </c>
      <c r="F104" s="35">
        <f t="shared" ref="F104:F106" si="22">E104+I104-1</f>
        <v>1326</v>
      </c>
      <c r="G104" s="259">
        <f t="shared" si="14"/>
        <v>1131</v>
      </c>
      <c r="H104" s="260">
        <f t="shared" si="15"/>
        <v>1325</v>
      </c>
      <c r="I104" s="258">
        <v>195</v>
      </c>
      <c r="J104" s="35" t="s">
        <v>8</v>
      </c>
      <c r="K104" s="245" t="s">
        <v>1067</v>
      </c>
      <c r="L104" s="245" t="s">
        <v>1063</v>
      </c>
    </row>
    <row r="105" spans="1:12" s="35" customFormat="1" ht="12.75" customHeight="1" x14ac:dyDescent="0.2">
      <c r="A105" s="34"/>
      <c r="B105" s="34"/>
      <c r="C105" s="34"/>
      <c r="D105" s="229"/>
      <c r="E105" s="35">
        <f t="shared" ref="E105:E106" si="23">E104+I104</f>
        <v>1327</v>
      </c>
      <c r="F105" s="35">
        <f t="shared" si="22"/>
        <v>1351</v>
      </c>
      <c r="G105" s="259">
        <f t="shared" si="14"/>
        <v>1326</v>
      </c>
      <c r="H105" s="260">
        <f t="shared" si="15"/>
        <v>1350</v>
      </c>
      <c r="I105" s="258">
        <v>25</v>
      </c>
      <c r="J105" s="35" t="s">
        <v>306</v>
      </c>
      <c r="K105" s="245"/>
      <c r="L105" s="245"/>
    </row>
    <row r="106" spans="1:12" s="35" customFormat="1" ht="225" customHeight="1" x14ac:dyDescent="0.2">
      <c r="A106" s="34" t="s">
        <v>128</v>
      </c>
      <c r="B106" s="34" t="s">
        <v>128</v>
      </c>
      <c r="C106" s="185" t="s">
        <v>1032</v>
      </c>
      <c r="D106" s="229" t="s">
        <v>1107</v>
      </c>
      <c r="E106" s="35">
        <f t="shared" si="23"/>
        <v>1352</v>
      </c>
      <c r="F106" s="35">
        <f t="shared" si="22"/>
        <v>1558</v>
      </c>
      <c r="G106" s="259">
        <f t="shared" si="14"/>
        <v>1351</v>
      </c>
      <c r="H106" s="260">
        <f t="shared" si="15"/>
        <v>1557</v>
      </c>
      <c r="I106" s="258">
        <v>207</v>
      </c>
      <c r="J106" s="35" t="s">
        <v>9</v>
      </c>
      <c r="K106" s="245"/>
      <c r="L106" s="245"/>
    </row>
    <row r="107" spans="1:12" s="35" customFormat="1" x14ac:dyDescent="0.2">
      <c r="A107" s="34"/>
      <c r="B107" s="34"/>
      <c r="C107" s="64"/>
      <c r="D107" s="229"/>
      <c r="E107" s="225">
        <f>E106+I106</f>
        <v>1559</v>
      </c>
      <c r="F107" s="35">
        <f t="shared" ref="F107" si="24">E107+I107-1</f>
        <v>1813</v>
      </c>
      <c r="G107" s="259">
        <f t="shared" si="14"/>
        <v>1558</v>
      </c>
      <c r="H107" s="260">
        <f t="shared" si="15"/>
        <v>1812</v>
      </c>
      <c r="I107" s="261">
        <v>255</v>
      </c>
      <c r="J107" s="66" t="s">
        <v>306</v>
      </c>
      <c r="K107" s="72"/>
      <c r="L107" s="121"/>
    </row>
    <row r="108" spans="1:12" s="35" customFormat="1" ht="12.75" customHeight="1" x14ac:dyDescent="0.2">
      <c r="A108" s="34"/>
      <c r="B108" s="34"/>
      <c r="C108" s="34"/>
      <c r="D108" s="229"/>
      <c r="G108" s="259">
        <f t="shared" si="14"/>
        <v>-1</v>
      </c>
      <c r="H108" s="260">
        <f t="shared" si="15"/>
        <v>-1</v>
      </c>
      <c r="I108" s="258"/>
      <c r="J108" s="32" t="s">
        <v>58</v>
      </c>
      <c r="K108" s="122"/>
      <c r="L108" s="126"/>
    </row>
    <row r="109" spans="1:12" s="35" customFormat="1" ht="51" x14ac:dyDescent="0.2">
      <c r="A109" s="34" t="s">
        <v>127</v>
      </c>
      <c r="B109" s="34" t="s">
        <v>127</v>
      </c>
      <c r="C109" s="185" t="s">
        <v>1033</v>
      </c>
      <c r="D109" s="229" t="s">
        <v>1107</v>
      </c>
      <c r="E109" s="35">
        <f>E107+I107</f>
        <v>1814</v>
      </c>
      <c r="F109" s="35">
        <f>E109+I109-1</f>
        <v>1818</v>
      </c>
      <c r="G109" s="259">
        <f t="shared" si="14"/>
        <v>1813</v>
      </c>
      <c r="H109" s="260">
        <f t="shared" si="15"/>
        <v>1817</v>
      </c>
      <c r="I109" s="258">
        <v>5</v>
      </c>
      <c r="J109" s="66" t="s">
        <v>669</v>
      </c>
      <c r="K109" s="122" t="s">
        <v>517</v>
      </c>
      <c r="L109" s="176" t="s">
        <v>1006</v>
      </c>
    </row>
    <row r="110" spans="1:12" s="35" customFormat="1" ht="63.75" x14ac:dyDescent="0.2">
      <c r="A110" s="34" t="s">
        <v>127</v>
      </c>
      <c r="B110" s="34" t="s">
        <v>127</v>
      </c>
      <c r="C110" s="185" t="s">
        <v>1034</v>
      </c>
      <c r="D110" s="229" t="s">
        <v>1107</v>
      </c>
      <c r="E110" s="35">
        <f>E109+I109</f>
        <v>1819</v>
      </c>
      <c r="F110" s="35">
        <f>E110+I110-1</f>
        <v>1821</v>
      </c>
      <c r="G110" s="259">
        <f t="shared" si="14"/>
        <v>1818</v>
      </c>
      <c r="H110" s="260">
        <f t="shared" si="15"/>
        <v>1820</v>
      </c>
      <c r="I110" s="258">
        <v>3</v>
      </c>
      <c r="J110" s="66" t="s">
        <v>645</v>
      </c>
      <c r="K110" s="122" t="s">
        <v>516</v>
      </c>
      <c r="L110" s="126" t="s">
        <v>959</v>
      </c>
    </row>
    <row r="111" spans="1:12" s="35" customFormat="1" ht="114" customHeight="1" x14ac:dyDescent="0.2">
      <c r="A111" s="34" t="s">
        <v>127</v>
      </c>
      <c r="B111" s="34" t="s">
        <v>127</v>
      </c>
      <c r="C111" s="185" t="s">
        <v>1035</v>
      </c>
      <c r="D111" s="229" t="s">
        <v>1107</v>
      </c>
      <c r="E111" s="35">
        <f>E110+I110</f>
        <v>1822</v>
      </c>
      <c r="F111" s="35">
        <f>E111+I111-1</f>
        <v>1824</v>
      </c>
      <c r="G111" s="259">
        <f t="shared" si="14"/>
        <v>1821</v>
      </c>
      <c r="H111" s="260">
        <f t="shared" si="15"/>
        <v>1823</v>
      </c>
      <c r="I111" s="258">
        <v>3</v>
      </c>
      <c r="J111" s="66" t="s">
        <v>646</v>
      </c>
      <c r="K111" s="126" t="s">
        <v>695</v>
      </c>
      <c r="L111" s="121" t="s">
        <v>960</v>
      </c>
    </row>
    <row r="112" spans="1:12" s="35" customFormat="1" ht="12.75" customHeight="1" x14ac:dyDescent="0.2">
      <c r="A112" s="34"/>
      <c r="B112" s="34"/>
      <c r="C112" s="34"/>
      <c r="D112" s="229"/>
      <c r="G112" s="259">
        <f t="shared" si="14"/>
        <v>-1</v>
      </c>
      <c r="H112" s="260">
        <f t="shared" si="15"/>
        <v>-1</v>
      </c>
      <c r="I112" s="258"/>
      <c r="J112" s="32" t="s">
        <v>10</v>
      </c>
      <c r="K112" s="122"/>
      <c r="L112" s="126"/>
    </row>
    <row r="113" spans="1:13" s="35" customFormat="1" ht="12.75" customHeight="1" x14ac:dyDescent="0.2">
      <c r="A113" s="34" t="s">
        <v>127</v>
      </c>
      <c r="B113" s="34" t="s">
        <v>127</v>
      </c>
      <c r="C113" s="185" t="s">
        <v>1033</v>
      </c>
      <c r="D113" s="229" t="s">
        <v>1107</v>
      </c>
      <c r="E113" s="35">
        <f>E111+I111</f>
        <v>1825</v>
      </c>
      <c r="F113" s="35">
        <f t="shared" ref="F113:F118" si="25">E113+I113-1</f>
        <v>1828</v>
      </c>
      <c r="G113" s="259">
        <f t="shared" si="14"/>
        <v>1824</v>
      </c>
      <c r="H113" s="260">
        <f t="shared" si="15"/>
        <v>1827</v>
      </c>
      <c r="I113" s="258">
        <v>4</v>
      </c>
      <c r="J113" s="36" t="s">
        <v>16</v>
      </c>
      <c r="K113" s="239" t="s">
        <v>515</v>
      </c>
      <c r="L113" s="244" t="s">
        <v>333</v>
      </c>
    </row>
    <row r="114" spans="1:13" s="35" customFormat="1" ht="12.75" customHeight="1" x14ac:dyDescent="0.2">
      <c r="A114" s="34" t="s">
        <v>127</v>
      </c>
      <c r="B114" s="34" t="s">
        <v>127</v>
      </c>
      <c r="C114" s="185" t="s">
        <v>1033</v>
      </c>
      <c r="D114" s="229" t="s">
        <v>1107</v>
      </c>
      <c r="E114" s="35">
        <f>E113+I113</f>
        <v>1829</v>
      </c>
      <c r="F114" s="35">
        <f t="shared" si="25"/>
        <v>1832</v>
      </c>
      <c r="G114" s="259">
        <f t="shared" si="14"/>
        <v>1828</v>
      </c>
      <c r="H114" s="260">
        <f t="shared" si="15"/>
        <v>1831</v>
      </c>
      <c r="I114" s="258">
        <v>4</v>
      </c>
      <c r="J114" s="36" t="s">
        <v>17</v>
      </c>
      <c r="K114" s="239"/>
      <c r="L114" s="244"/>
    </row>
    <row r="115" spans="1:13" s="35" customFormat="1" ht="12.75" customHeight="1" x14ac:dyDescent="0.2">
      <c r="A115" s="34" t="s">
        <v>127</v>
      </c>
      <c r="B115" s="34" t="s">
        <v>127</v>
      </c>
      <c r="C115" s="185" t="s">
        <v>1033</v>
      </c>
      <c r="D115" s="229" t="s">
        <v>1107</v>
      </c>
      <c r="E115" s="35">
        <f>E114+I114</f>
        <v>1833</v>
      </c>
      <c r="F115" s="35">
        <f t="shared" si="25"/>
        <v>1836</v>
      </c>
      <c r="G115" s="259">
        <f t="shared" si="14"/>
        <v>1832</v>
      </c>
      <c r="H115" s="260">
        <f t="shared" si="15"/>
        <v>1835</v>
      </c>
      <c r="I115" s="258">
        <v>4</v>
      </c>
      <c r="J115" s="36" t="s">
        <v>18</v>
      </c>
      <c r="K115" s="239"/>
      <c r="L115" s="244"/>
    </row>
    <row r="116" spans="1:13" s="35" customFormat="1" ht="12.75" customHeight="1" x14ac:dyDescent="0.2">
      <c r="A116" s="34" t="s">
        <v>127</v>
      </c>
      <c r="B116" s="34" t="s">
        <v>127</v>
      </c>
      <c r="C116" s="185" t="s">
        <v>1033</v>
      </c>
      <c r="D116" s="229" t="s">
        <v>1107</v>
      </c>
      <c r="E116" s="35">
        <f>E115+I115</f>
        <v>1837</v>
      </c>
      <c r="F116" s="35">
        <f t="shared" si="25"/>
        <v>1840</v>
      </c>
      <c r="G116" s="259">
        <f t="shared" si="14"/>
        <v>1836</v>
      </c>
      <c r="H116" s="260">
        <f t="shared" si="15"/>
        <v>1839</v>
      </c>
      <c r="I116" s="258">
        <v>4</v>
      </c>
      <c r="J116" s="36" t="s">
        <v>19</v>
      </c>
      <c r="K116" s="239"/>
      <c r="L116" s="244"/>
    </row>
    <row r="117" spans="1:13" s="35" customFormat="1" ht="12.75" customHeight="1" x14ac:dyDescent="0.2">
      <c r="A117" s="34" t="s">
        <v>127</v>
      </c>
      <c r="B117" s="34" t="s">
        <v>127</v>
      </c>
      <c r="C117" s="185" t="s">
        <v>1033</v>
      </c>
      <c r="D117" s="229" t="s">
        <v>1107</v>
      </c>
      <c r="E117" s="35">
        <f>E116+I116</f>
        <v>1841</v>
      </c>
      <c r="F117" s="35">
        <f t="shared" si="25"/>
        <v>1844</v>
      </c>
      <c r="G117" s="259">
        <f t="shared" si="14"/>
        <v>1840</v>
      </c>
      <c r="H117" s="260">
        <f t="shared" si="15"/>
        <v>1843</v>
      </c>
      <c r="I117" s="258">
        <v>4</v>
      </c>
      <c r="J117" s="36" t="s">
        <v>20</v>
      </c>
      <c r="K117" s="239"/>
      <c r="L117" s="244"/>
    </row>
    <row r="118" spans="1:13" s="35" customFormat="1" ht="12.75" customHeight="1" x14ac:dyDescent="0.2">
      <c r="A118" s="34"/>
      <c r="B118" s="34"/>
      <c r="C118" s="34"/>
      <c r="D118" s="229"/>
      <c r="E118" s="35">
        <f>E117+I117</f>
        <v>1845</v>
      </c>
      <c r="F118" s="35">
        <f t="shared" si="25"/>
        <v>1856</v>
      </c>
      <c r="G118" s="259">
        <f t="shared" si="14"/>
        <v>1844</v>
      </c>
      <c r="H118" s="260">
        <f t="shared" si="15"/>
        <v>1855</v>
      </c>
      <c r="I118" s="258">
        <v>12</v>
      </c>
      <c r="J118" s="40" t="s">
        <v>306</v>
      </c>
      <c r="K118" s="122"/>
      <c r="L118" s="121"/>
    </row>
    <row r="119" spans="1:13" s="35" customFormat="1" ht="12.75" customHeight="1" x14ac:dyDescent="0.2">
      <c r="A119" s="34"/>
      <c r="B119" s="34"/>
      <c r="C119" s="34"/>
      <c r="D119" s="229"/>
      <c r="G119" s="259">
        <f t="shared" si="14"/>
        <v>-1</v>
      </c>
      <c r="H119" s="260">
        <f t="shared" si="15"/>
        <v>-1</v>
      </c>
      <c r="I119" s="258"/>
      <c r="J119" s="32" t="s">
        <v>11</v>
      </c>
      <c r="K119" s="122"/>
      <c r="L119" s="126"/>
    </row>
    <row r="120" spans="1:13" s="35" customFormat="1" ht="33" customHeight="1" x14ac:dyDescent="0.2">
      <c r="A120" s="34" t="s">
        <v>127</v>
      </c>
      <c r="B120" s="34" t="s">
        <v>127</v>
      </c>
      <c r="C120" s="185" t="s">
        <v>1033</v>
      </c>
      <c r="D120" s="229" t="s">
        <v>1107</v>
      </c>
      <c r="E120" s="35">
        <f>E118+I118</f>
        <v>1857</v>
      </c>
      <c r="F120" s="35">
        <f t="shared" ref="F120:F125" si="26">E120+I120-1</f>
        <v>1860</v>
      </c>
      <c r="G120" s="259">
        <f t="shared" si="14"/>
        <v>1856</v>
      </c>
      <c r="H120" s="260">
        <f t="shared" si="15"/>
        <v>1859</v>
      </c>
      <c r="I120" s="258">
        <v>4</v>
      </c>
      <c r="J120" s="36" t="s">
        <v>15</v>
      </c>
      <c r="K120" s="239" t="s">
        <v>515</v>
      </c>
      <c r="L120" s="244" t="s">
        <v>1007</v>
      </c>
    </row>
    <row r="121" spans="1:13" s="35" customFormat="1" ht="37.5" customHeight="1" x14ac:dyDescent="0.2">
      <c r="A121" s="34" t="s">
        <v>127</v>
      </c>
      <c r="B121" s="34" t="s">
        <v>127</v>
      </c>
      <c r="C121" s="185" t="s">
        <v>1033</v>
      </c>
      <c r="D121" s="229" t="s">
        <v>1107</v>
      </c>
      <c r="E121" s="35">
        <f>E120+I120</f>
        <v>1861</v>
      </c>
      <c r="F121" s="35">
        <f t="shared" si="26"/>
        <v>1864</v>
      </c>
      <c r="G121" s="259">
        <f t="shared" si="14"/>
        <v>1860</v>
      </c>
      <c r="H121" s="260">
        <f t="shared" si="15"/>
        <v>1863</v>
      </c>
      <c r="I121" s="258">
        <v>4</v>
      </c>
      <c r="J121" s="36" t="s">
        <v>21</v>
      </c>
      <c r="K121" s="240"/>
      <c r="L121" s="244"/>
    </row>
    <row r="122" spans="1:13" s="35" customFormat="1" ht="33" customHeight="1" x14ac:dyDescent="0.2">
      <c r="A122" s="34" t="s">
        <v>127</v>
      </c>
      <c r="B122" s="34" t="s">
        <v>127</v>
      </c>
      <c r="C122" s="185" t="s">
        <v>1033</v>
      </c>
      <c r="D122" s="229" t="s">
        <v>1107</v>
      </c>
      <c r="E122" s="35">
        <f>E121+I121</f>
        <v>1865</v>
      </c>
      <c r="F122" s="35">
        <f t="shared" si="26"/>
        <v>1868</v>
      </c>
      <c r="G122" s="259">
        <f t="shared" si="14"/>
        <v>1864</v>
      </c>
      <c r="H122" s="260">
        <f t="shared" si="15"/>
        <v>1867</v>
      </c>
      <c r="I122" s="258">
        <v>4</v>
      </c>
      <c r="J122" s="178" t="s">
        <v>1008</v>
      </c>
      <c r="K122" s="240"/>
      <c r="L122" s="244"/>
    </row>
    <row r="123" spans="1:13" s="35" customFormat="1" ht="12.75" customHeight="1" x14ac:dyDescent="0.2">
      <c r="A123" s="34"/>
      <c r="B123" s="34"/>
      <c r="C123" s="34"/>
      <c r="D123" s="229"/>
      <c r="E123" s="35">
        <f>E122+I122</f>
        <v>1869</v>
      </c>
      <c r="F123" s="35">
        <f t="shared" si="26"/>
        <v>1916</v>
      </c>
      <c r="G123" s="259">
        <f t="shared" si="14"/>
        <v>1868</v>
      </c>
      <c r="H123" s="260">
        <f t="shared" si="15"/>
        <v>1915</v>
      </c>
      <c r="I123" s="258">
        <v>48</v>
      </c>
      <c r="J123" s="40" t="s">
        <v>306</v>
      </c>
      <c r="K123" s="122"/>
      <c r="L123" s="121"/>
    </row>
    <row r="124" spans="1:13" s="35" customFormat="1" ht="27.75" customHeight="1" x14ac:dyDescent="0.2">
      <c r="A124" s="34" t="s">
        <v>128</v>
      </c>
      <c r="B124" s="34" t="s">
        <v>128</v>
      </c>
      <c r="C124" s="185" t="s">
        <v>1034</v>
      </c>
      <c r="D124" s="229" t="s">
        <v>234</v>
      </c>
      <c r="E124" s="35">
        <f>E123+I123</f>
        <v>1917</v>
      </c>
      <c r="F124" s="35">
        <f t="shared" si="26"/>
        <v>1919</v>
      </c>
      <c r="G124" s="259">
        <f t="shared" si="14"/>
        <v>1916</v>
      </c>
      <c r="H124" s="260">
        <f t="shared" si="15"/>
        <v>1918</v>
      </c>
      <c r="I124" s="258">
        <v>3</v>
      </c>
      <c r="J124" s="40" t="s">
        <v>186</v>
      </c>
      <c r="K124" s="239" t="s">
        <v>516</v>
      </c>
      <c r="L124" s="244" t="s">
        <v>895</v>
      </c>
    </row>
    <row r="125" spans="1:13" s="35" customFormat="1" ht="27" customHeight="1" x14ac:dyDescent="0.2">
      <c r="A125" s="34" t="s">
        <v>128</v>
      </c>
      <c r="B125" s="34" t="s">
        <v>128</v>
      </c>
      <c r="C125" s="185" t="s">
        <v>1034</v>
      </c>
      <c r="D125" s="229" t="s">
        <v>234</v>
      </c>
      <c r="E125" s="35">
        <f>E124+I124</f>
        <v>1920</v>
      </c>
      <c r="F125" s="35">
        <f t="shared" si="26"/>
        <v>1922</v>
      </c>
      <c r="G125" s="259">
        <f t="shared" si="14"/>
        <v>1919</v>
      </c>
      <c r="H125" s="260">
        <f t="shared" si="15"/>
        <v>1921</v>
      </c>
      <c r="I125" s="258">
        <v>3</v>
      </c>
      <c r="J125" s="35" t="s">
        <v>187</v>
      </c>
      <c r="K125" s="239"/>
      <c r="L125" s="244"/>
    </row>
    <row r="126" spans="1:13" s="35" customFormat="1" ht="12.75" customHeight="1" x14ac:dyDescent="0.2">
      <c r="A126" s="34"/>
      <c r="B126" s="34"/>
      <c r="C126" s="34"/>
      <c r="D126" s="229"/>
      <c r="G126" s="259">
        <f t="shared" si="14"/>
        <v>-1</v>
      </c>
      <c r="H126" s="260">
        <f t="shared" si="15"/>
        <v>-1</v>
      </c>
      <c r="I126" s="258"/>
      <c r="J126" s="32" t="s">
        <v>12</v>
      </c>
      <c r="K126" s="122"/>
      <c r="L126" s="126"/>
    </row>
    <row r="127" spans="1:13" s="35" customFormat="1" ht="53.25" customHeight="1" x14ac:dyDescent="0.2">
      <c r="A127" s="34" t="s">
        <v>127</v>
      </c>
      <c r="B127" s="34" t="s">
        <v>127</v>
      </c>
      <c r="C127" s="185" t="s">
        <v>1032</v>
      </c>
      <c r="D127" s="229" t="s">
        <v>1107</v>
      </c>
      <c r="E127" s="35">
        <f>E125+I125</f>
        <v>1923</v>
      </c>
      <c r="F127" s="35">
        <f>E127+I127-1</f>
        <v>1925</v>
      </c>
      <c r="G127" s="259">
        <f t="shared" si="14"/>
        <v>1922</v>
      </c>
      <c r="H127" s="260">
        <f t="shared" si="15"/>
        <v>1924</v>
      </c>
      <c r="I127" s="258">
        <v>3</v>
      </c>
      <c r="J127" s="35" t="s">
        <v>13</v>
      </c>
      <c r="K127" s="120" t="s">
        <v>518</v>
      </c>
      <c r="L127" s="197" t="s">
        <v>1056</v>
      </c>
    </row>
    <row r="128" spans="1:13" s="35" customFormat="1" ht="63.75" x14ac:dyDescent="0.2">
      <c r="A128" s="34" t="s">
        <v>127</v>
      </c>
      <c r="B128" s="34" t="s">
        <v>127</v>
      </c>
      <c r="C128" s="185" t="s">
        <v>1033</v>
      </c>
      <c r="D128" s="229" t="s">
        <v>1107</v>
      </c>
      <c r="E128" s="35">
        <f>E127+I127</f>
        <v>1926</v>
      </c>
      <c r="F128" s="35">
        <f>E128+I128-1</f>
        <v>1929</v>
      </c>
      <c r="G128" s="259">
        <f t="shared" si="14"/>
        <v>1925</v>
      </c>
      <c r="H128" s="260">
        <f t="shared" si="15"/>
        <v>1928</v>
      </c>
      <c r="I128" s="258">
        <v>4</v>
      </c>
      <c r="J128" s="35" t="s">
        <v>14</v>
      </c>
      <c r="K128" s="120" t="s">
        <v>515</v>
      </c>
      <c r="L128" s="196" t="s">
        <v>1057</v>
      </c>
      <c r="M128" s="46"/>
    </row>
    <row r="129" spans="1:12" s="35" customFormat="1" x14ac:dyDescent="0.2">
      <c r="A129" s="34"/>
      <c r="B129" s="34"/>
      <c r="C129" s="64"/>
      <c r="D129" s="229"/>
      <c r="E129" s="225">
        <f>E128+I128</f>
        <v>1930</v>
      </c>
      <c r="F129" s="35">
        <f>E129+I129-1</f>
        <v>1934</v>
      </c>
      <c r="G129" s="259">
        <f t="shared" si="14"/>
        <v>1929</v>
      </c>
      <c r="H129" s="260">
        <f t="shared" si="15"/>
        <v>1933</v>
      </c>
      <c r="I129" s="261">
        <v>5</v>
      </c>
      <c r="J129" s="66" t="s">
        <v>306</v>
      </c>
      <c r="K129" s="72"/>
      <c r="L129" s="121"/>
    </row>
    <row r="130" spans="1:12" s="35" customFormat="1" x14ac:dyDescent="0.2">
      <c r="A130" s="34"/>
      <c r="B130" s="34"/>
      <c r="C130" s="34"/>
      <c r="D130" s="229"/>
      <c r="G130" s="259">
        <f t="shared" si="14"/>
        <v>-1</v>
      </c>
      <c r="H130" s="260">
        <f t="shared" si="15"/>
        <v>-1</v>
      </c>
      <c r="I130" s="258"/>
      <c r="J130" s="32" t="s">
        <v>59</v>
      </c>
      <c r="K130" s="122"/>
      <c r="L130" s="126"/>
    </row>
    <row r="131" spans="1:12" s="35" customFormat="1" ht="178.5" customHeight="1" x14ac:dyDescent="0.2">
      <c r="A131" s="34" t="s">
        <v>127</v>
      </c>
      <c r="B131" s="34" t="s">
        <v>127</v>
      </c>
      <c r="C131" s="185" t="s">
        <v>1033</v>
      </c>
      <c r="D131" s="229" t="s">
        <v>1107</v>
      </c>
      <c r="E131" s="35">
        <f>E129+I129</f>
        <v>1935</v>
      </c>
      <c r="F131" s="35">
        <f>E131+I131-1</f>
        <v>1939</v>
      </c>
      <c r="G131" s="259">
        <f t="shared" si="14"/>
        <v>1934</v>
      </c>
      <c r="H131" s="260">
        <f t="shared" si="15"/>
        <v>1938</v>
      </c>
      <c r="I131" s="258">
        <v>5</v>
      </c>
      <c r="J131" s="66" t="s">
        <v>670</v>
      </c>
      <c r="K131" s="122" t="s">
        <v>517</v>
      </c>
      <c r="L131" s="176" t="s">
        <v>1009</v>
      </c>
    </row>
    <row r="132" spans="1:12" s="35" customFormat="1" ht="63.75" x14ac:dyDescent="0.2">
      <c r="A132" s="34" t="s">
        <v>127</v>
      </c>
      <c r="B132" s="34" t="s">
        <v>127</v>
      </c>
      <c r="C132" s="185" t="s">
        <v>1034</v>
      </c>
      <c r="D132" s="229" t="s">
        <v>1107</v>
      </c>
      <c r="E132" s="35">
        <f>E131+I131</f>
        <v>1940</v>
      </c>
      <c r="F132" s="35">
        <f>E132+I132-1</f>
        <v>1942</v>
      </c>
      <c r="G132" s="259">
        <f t="shared" si="14"/>
        <v>1939</v>
      </c>
      <c r="H132" s="260">
        <f t="shared" si="15"/>
        <v>1941</v>
      </c>
      <c r="I132" s="258">
        <v>3</v>
      </c>
      <c r="J132" s="66" t="s">
        <v>671</v>
      </c>
      <c r="K132" s="122" t="s">
        <v>516</v>
      </c>
      <c r="L132" s="126" t="s">
        <v>961</v>
      </c>
    </row>
    <row r="133" spans="1:12" s="35" customFormat="1" ht="114.75" x14ac:dyDescent="0.2">
      <c r="A133" s="34" t="s">
        <v>127</v>
      </c>
      <c r="B133" s="34" t="s">
        <v>127</v>
      </c>
      <c r="C133" s="185" t="s">
        <v>1036</v>
      </c>
      <c r="D133" s="229" t="s">
        <v>1107</v>
      </c>
      <c r="E133" s="35">
        <f>E132+I132</f>
        <v>1943</v>
      </c>
      <c r="F133" s="35">
        <f>E133+I133-1</f>
        <v>1945</v>
      </c>
      <c r="G133" s="259">
        <f t="shared" ref="G133:G196" si="27">E133-1</f>
        <v>1942</v>
      </c>
      <c r="H133" s="260">
        <f t="shared" ref="H133:H196" si="28">F133-1</f>
        <v>1944</v>
      </c>
      <c r="I133" s="258">
        <v>3</v>
      </c>
      <c r="J133" s="66" t="s">
        <v>672</v>
      </c>
      <c r="K133" s="126" t="s">
        <v>695</v>
      </c>
      <c r="L133" s="121" t="s">
        <v>962</v>
      </c>
    </row>
    <row r="134" spans="1:12" s="35" customFormat="1" ht="12.75" customHeight="1" x14ac:dyDescent="0.2">
      <c r="A134" s="34"/>
      <c r="B134" s="34"/>
      <c r="C134" s="34"/>
      <c r="D134" s="229"/>
      <c r="G134" s="259">
        <f t="shared" si="27"/>
        <v>-1</v>
      </c>
      <c r="H134" s="260">
        <f t="shared" si="28"/>
        <v>-1</v>
      </c>
      <c r="I134" s="258"/>
      <c r="J134" s="32" t="s">
        <v>10</v>
      </c>
      <c r="K134" s="122"/>
      <c r="L134" s="126"/>
    </row>
    <row r="135" spans="1:12" s="35" customFormat="1" ht="12.75" customHeight="1" x14ac:dyDescent="0.2">
      <c r="A135" s="34" t="s">
        <v>127</v>
      </c>
      <c r="B135" s="34" t="s">
        <v>127</v>
      </c>
      <c r="C135" s="185" t="s">
        <v>1033</v>
      </c>
      <c r="D135" s="229" t="s">
        <v>1107</v>
      </c>
      <c r="E135" s="35">
        <f>E133+I133</f>
        <v>1946</v>
      </c>
      <c r="F135" s="35">
        <f>E135+I135-1</f>
        <v>1949</v>
      </c>
      <c r="G135" s="259">
        <f t="shared" si="27"/>
        <v>1945</v>
      </c>
      <c r="H135" s="260">
        <f t="shared" si="28"/>
        <v>1948</v>
      </c>
      <c r="I135" s="258">
        <v>4</v>
      </c>
      <c r="J135" s="36" t="s">
        <v>22</v>
      </c>
      <c r="K135" s="239" t="s">
        <v>515</v>
      </c>
      <c r="L135" s="244" t="s">
        <v>334</v>
      </c>
    </row>
    <row r="136" spans="1:12" s="35" customFormat="1" ht="12.75" customHeight="1" x14ac:dyDescent="0.2">
      <c r="A136" s="34" t="s">
        <v>127</v>
      </c>
      <c r="B136" s="34" t="s">
        <v>127</v>
      </c>
      <c r="C136" s="185" t="s">
        <v>1033</v>
      </c>
      <c r="D136" s="229" t="s">
        <v>1107</v>
      </c>
      <c r="E136" s="35">
        <f>E135+I135</f>
        <v>1950</v>
      </c>
      <c r="F136" s="35">
        <f>E136+I136-1</f>
        <v>1953</v>
      </c>
      <c r="G136" s="259">
        <f t="shared" si="27"/>
        <v>1949</v>
      </c>
      <c r="H136" s="260">
        <f t="shared" si="28"/>
        <v>1952</v>
      </c>
      <c r="I136" s="258">
        <v>4</v>
      </c>
      <c r="J136" s="36" t="s">
        <v>23</v>
      </c>
      <c r="K136" s="239"/>
      <c r="L136" s="244"/>
    </row>
    <row r="137" spans="1:12" s="35" customFormat="1" ht="12.75" customHeight="1" x14ac:dyDescent="0.2">
      <c r="A137" s="34" t="s">
        <v>127</v>
      </c>
      <c r="B137" s="34" t="s">
        <v>127</v>
      </c>
      <c r="C137" s="185" t="s">
        <v>1033</v>
      </c>
      <c r="D137" s="229" t="s">
        <v>1107</v>
      </c>
      <c r="E137" s="35">
        <f>E136+I136</f>
        <v>1954</v>
      </c>
      <c r="F137" s="35">
        <f>E137+I137-1</f>
        <v>1957</v>
      </c>
      <c r="G137" s="259">
        <f t="shared" si="27"/>
        <v>1953</v>
      </c>
      <c r="H137" s="260">
        <f t="shared" si="28"/>
        <v>1956</v>
      </c>
      <c r="I137" s="258">
        <v>4</v>
      </c>
      <c r="J137" s="36" t="s">
        <v>24</v>
      </c>
      <c r="K137" s="239"/>
      <c r="L137" s="244"/>
    </row>
    <row r="138" spans="1:12" s="35" customFormat="1" ht="12.75" customHeight="1" x14ac:dyDescent="0.2">
      <c r="A138" s="34" t="s">
        <v>127</v>
      </c>
      <c r="B138" s="34" t="s">
        <v>127</v>
      </c>
      <c r="C138" s="185" t="s">
        <v>1033</v>
      </c>
      <c r="D138" s="229" t="s">
        <v>1107</v>
      </c>
      <c r="E138" s="35">
        <f>E137+I137</f>
        <v>1958</v>
      </c>
      <c r="F138" s="35">
        <f>E138+I138-1</f>
        <v>1961</v>
      </c>
      <c r="G138" s="259">
        <f t="shared" si="27"/>
        <v>1957</v>
      </c>
      <c r="H138" s="260">
        <f t="shared" si="28"/>
        <v>1960</v>
      </c>
      <c r="I138" s="258">
        <v>4</v>
      </c>
      <c r="J138" s="36" t="s">
        <v>25</v>
      </c>
      <c r="K138" s="239"/>
      <c r="L138" s="244"/>
    </row>
    <row r="139" spans="1:12" s="35" customFormat="1" ht="12.75" customHeight="1" x14ac:dyDescent="0.2">
      <c r="A139" s="34"/>
      <c r="B139" s="34"/>
      <c r="C139" s="34"/>
      <c r="D139" s="229"/>
      <c r="E139" s="35">
        <f>E138+I138</f>
        <v>1962</v>
      </c>
      <c r="F139" s="35">
        <f>E139+I139-1</f>
        <v>1977</v>
      </c>
      <c r="G139" s="259">
        <f t="shared" si="27"/>
        <v>1961</v>
      </c>
      <c r="H139" s="260">
        <f t="shared" si="28"/>
        <v>1976</v>
      </c>
      <c r="I139" s="258">
        <v>16</v>
      </c>
      <c r="J139" s="40" t="s">
        <v>306</v>
      </c>
      <c r="K139" s="122"/>
      <c r="L139" s="121"/>
    </row>
    <row r="140" spans="1:12" s="35" customFormat="1" ht="12.75" customHeight="1" x14ac:dyDescent="0.2">
      <c r="A140" s="34"/>
      <c r="B140" s="34"/>
      <c r="C140" s="34"/>
      <c r="D140" s="229"/>
      <c r="G140" s="259">
        <f t="shared" si="27"/>
        <v>-1</v>
      </c>
      <c r="H140" s="260">
        <f t="shared" si="28"/>
        <v>-1</v>
      </c>
      <c r="I140" s="258"/>
      <c r="J140" s="32" t="s">
        <v>981</v>
      </c>
      <c r="K140" s="122"/>
      <c r="L140" s="126"/>
    </row>
    <row r="141" spans="1:12" s="35" customFormat="1" ht="43.5" customHeight="1" x14ac:dyDescent="0.2">
      <c r="A141" s="34" t="s">
        <v>127</v>
      </c>
      <c r="B141" s="34" t="s">
        <v>127</v>
      </c>
      <c r="C141" s="187" t="s">
        <v>1037</v>
      </c>
      <c r="D141" s="229" t="s">
        <v>1108</v>
      </c>
      <c r="E141" s="35">
        <f>E139+I139</f>
        <v>1978</v>
      </c>
      <c r="F141" s="35">
        <f t="shared" ref="F141:F150" si="29">E141+I141-1</f>
        <v>1981</v>
      </c>
      <c r="G141" s="259">
        <f t="shared" si="27"/>
        <v>1977</v>
      </c>
      <c r="H141" s="260">
        <f t="shared" si="28"/>
        <v>1980</v>
      </c>
      <c r="I141" s="258">
        <v>4</v>
      </c>
      <c r="J141" s="36" t="s">
        <v>26</v>
      </c>
      <c r="K141" s="239" t="s">
        <v>515</v>
      </c>
      <c r="L141" s="248" t="s">
        <v>1127</v>
      </c>
    </row>
    <row r="142" spans="1:12" s="35" customFormat="1" ht="42.75" customHeight="1" x14ac:dyDescent="0.2">
      <c r="A142" s="34" t="s">
        <v>127</v>
      </c>
      <c r="B142" s="34" t="s">
        <v>127</v>
      </c>
      <c r="C142" s="187" t="s">
        <v>1037</v>
      </c>
      <c r="D142" s="229" t="s">
        <v>1108</v>
      </c>
      <c r="E142" s="35">
        <f t="shared" ref="E142:E149" si="30">E141+I141</f>
        <v>1982</v>
      </c>
      <c r="F142" s="35">
        <f t="shared" si="29"/>
        <v>1985</v>
      </c>
      <c r="G142" s="259">
        <f t="shared" si="27"/>
        <v>1981</v>
      </c>
      <c r="H142" s="260">
        <f t="shared" si="28"/>
        <v>1984</v>
      </c>
      <c r="I142" s="258">
        <v>4</v>
      </c>
      <c r="J142" s="178" t="s">
        <v>991</v>
      </c>
      <c r="K142" s="239"/>
      <c r="L142" s="248"/>
    </row>
    <row r="143" spans="1:12" s="35" customFormat="1" ht="46.5" customHeight="1" x14ac:dyDescent="0.2">
      <c r="A143" s="34" t="s">
        <v>127</v>
      </c>
      <c r="B143" s="34" t="s">
        <v>127</v>
      </c>
      <c r="C143" s="187" t="s">
        <v>1037</v>
      </c>
      <c r="D143" s="229" t="s">
        <v>1108</v>
      </c>
      <c r="E143" s="35">
        <f>E142+I142</f>
        <v>1986</v>
      </c>
      <c r="F143" s="35">
        <f t="shared" si="29"/>
        <v>1989</v>
      </c>
      <c r="G143" s="259">
        <f t="shared" si="27"/>
        <v>1985</v>
      </c>
      <c r="H143" s="260">
        <f t="shared" si="28"/>
        <v>1988</v>
      </c>
      <c r="I143" s="258">
        <v>4</v>
      </c>
      <c r="J143" s="178" t="s">
        <v>996</v>
      </c>
      <c r="K143" s="239"/>
      <c r="L143" s="248"/>
    </row>
    <row r="144" spans="1:12" s="35" customFormat="1" x14ac:dyDescent="0.2">
      <c r="A144" s="34"/>
      <c r="B144" s="34"/>
      <c r="C144" s="64"/>
      <c r="D144" s="229"/>
      <c r="G144" s="259">
        <f t="shared" si="27"/>
        <v>-1</v>
      </c>
      <c r="H144" s="260">
        <f t="shared" si="28"/>
        <v>-1</v>
      </c>
      <c r="I144" s="258"/>
      <c r="J144" s="61" t="s">
        <v>990</v>
      </c>
      <c r="K144" s="175"/>
      <c r="L144" s="174"/>
    </row>
    <row r="145" spans="1:12" s="35" customFormat="1" ht="51" x14ac:dyDescent="0.2">
      <c r="A145" s="34" t="s">
        <v>127</v>
      </c>
      <c r="B145" s="34" t="s">
        <v>127</v>
      </c>
      <c r="C145" s="185" t="s">
        <v>1032</v>
      </c>
      <c r="D145" s="229" t="s">
        <v>1107</v>
      </c>
      <c r="E145" s="35">
        <f>E143+I143</f>
        <v>1990</v>
      </c>
      <c r="F145" s="35">
        <f t="shared" si="29"/>
        <v>1992</v>
      </c>
      <c r="G145" s="259">
        <f t="shared" si="27"/>
        <v>1989</v>
      </c>
      <c r="H145" s="260">
        <f t="shared" si="28"/>
        <v>1991</v>
      </c>
      <c r="I145" s="258">
        <v>3</v>
      </c>
      <c r="J145" s="178" t="s">
        <v>13</v>
      </c>
      <c r="K145" s="175" t="s">
        <v>518</v>
      </c>
      <c r="L145" s="197" t="s">
        <v>1058</v>
      </c>
    </row>
    <row r="146" spans="1:12" s="35" customFormat="1" ht="63.75" x14ac:dyDescent="0.2">
      <c r="A146" s="34" t="s">
        <v>127</v>
      </c>
      <c r="B146" s="34" t="s">
        <v>127</v>
      </c>
      <c r="C146" s="185" t="s">
        <v>1033</v>
      </c>
      <c r="D146" s="229" t="s">
        <v>1107</v>
      </c>
      <c r="E146" s="35">
        <f t="shared" si="30"/>
        <v>1993</v>
      </c>
      <c r="F146" s="35">
        <f t="shared" si="29"/>
        <v>1996</v>
      </c>
      <c r="G146" s="259">
        <f t="shared" si="27"/>
        <v>1992</v>
      </c>
      <c r="H146" s="260">
        <f t="shared" si="28"/>
        <v>1995</v>
      </c>
      <c r="I146" s="258">
        <v>4</v>
      </c>
      <c r="J146" s="178" t="s">
        <v>14</v>
      </c>
      <c r="K146" s="175" t="s">
        <v>515</v>
      </c>
      <c r="L146" s="196" t="s">
        <v>1059</v>
      </c>
    </row>
    <row r="147" spans="1:12" s="35" customFormat="1" ht="12.75" customHeight="1" x14ac:dyDescent="0.2">
      <c r="A147" s="34"/>
      <c r="B147" s="34"/>
      <c r="C147" s="34"/>
      <c r="D147" s="229"/>
      <c r="E147" s="35">
        <f>E146+I146</f>
        <v>1997</v>
      </c>
      <c r="F147" s="35">
        <f t="shared" si="29"/>
        <v>2047</v>
      </c>
      <c r="G147" s="259">
        <f t="shared" si="27"/>
        <v>1996</v>
      </c>
      <c r="H147" s="260">
        <f t="shared" si="28"/>
        <v>2046</v>
      </c>
      <c r="I147" s="258">
        <v>51</v>
      </c>
      <c r="J147" s="40" t="s">
        <v>306</v>
      </c>
      <c r="K147" s="177"/>
      <c r="L147" s="174"/>
    </row>
    <row r="148" spans="1:12" s="35" customFormat="1" ht="25.5" customHeight="1" x14ac:dyDescent="0.2">
      <c r="A148" s="34" t="s">
        <v>128</v>
      </c>
      <c r="B148" s="34" t="s">
        <v>128</v>
      </c>
      <c r="C148" s="185" t="s">
        <v>1034</v>
      </c>
      <c r="D148" s="229" t="s">
        <v>234</v>
      </c>
      <c r="E148" s="35">
        <f t="shared" si="30"/>
        <v>2048</v>
      </c>
      <c r="F148" s="35">
        <f t="shared" si="29"/>
        <v>2050</v>
      </c>
      <c r="G148" s="259">
        <f t="shared" si="27"/>
        <v>2047</v>
      </c>
      <c r="H148" s="260">
        <f t="shared" si="28"/>
        <v>2049</v>
      </c>
      <c r="I148" s="258">
        <v>3</v>
      </c>
      <c r="J148" s="40" t="s">
        <v>186</v>
      </c>
      <c r="K148" s="239" t="s">
        <v>516</v>
      </c>
      <c r="L148" s="244" t="s">
        <v>896</v>
      </c>
    </row>
    <row r="149" spans="1:12" s="35" customFormat="1" ht="57" customHeight="1" x14ac:dyDescent="0.2">
      <c r="A149" s="34" t="s">
        <v>128</v>
      </c>
      <c r="B149" s="34" t="s">
        <v>128</v>
      </c>
      <c r="C149" s="185" t="s">
        <v>1034</v>
      </c>
      <c r="D149" s="229" t="s">
        <v>234</v>
      </c>
      <c r="E149" s="35">
        <f t="shared" si="30"/>
        <v>2051</v>
      </c>
      <c r="F149" s="35">
        <f t="shared" si="29"/>
        <v>2053</v>
      </c>
      <c r="G149" s="259">
        <f t="shared" si="27"/>
        <v>2050</v>
      </c>
      <c r="H149" s="260">
        <f t="shared" si="28"/>
        <v>2052</v>
      </c>
      <c r="I149" s="258">
        <v>3</v>
      </c>
      <c r="J149" s="35" t="s">
        <v>187</v>
      </c>
      <c r="K149" s="239"/>
      <c r="L149" s="244"/>
    </row>
    <row r="150" spans="1:12" s="35" customFormat="1" x14ac:dyDescent="0.2">
      <c r="A150" s="34"/>
      <c r="B150" s="34"/>
      <c r="C150" s="64"/>
      <c r="D150" s="229"/>
      <c r="E150" s="225">
        <f>E149+I149</f>
        <v>2054</v>
      </c>
      <c r="F150" s="35">
        <f t="shared" si="29"/>
        <v>2055</v>
      </c>
      <c r="G150" s="259">
        <f t="shared" si="27"/>
        <v>2053</v>
      </c>
      <c r="H150" s="260">
        <f t="shared" si="28"/>
        <v>2054</v>
      </c>
      <c r="I150" s="261">
        <v>2</v>
      </c>
      <c r="J150" s="66" t="s">
        <v>306</v>
      </c>
      <c r="K150" s="72"/>
      <c r="L150" s="121"/>
    </row>
    <row r="151" spans="1:12" s="35" customFormat="1" x14ac:dyDescent="0.2">
      <c r="A151" s="34"/>
      <c r="B151" s="34"/>
      <c r="C151" s="34"/>
      <c r="D151" s="229"/>
      <c r="G151" s="259">
        <f t="shared" si="27"/>
        <v>-1</v>
      </c>
      <c r="H151" s="260">
        <f t="shared" si="28"/>
        <v>-1</v>
      </c>
      <c r="I151" s="258"/>
      <c r="J151" s="32" t="s">
        <v>67</v>
      </c>
      <c r="K151" s="122"/>
      <c r="L151" s="126"/>
    </row>
    <row r="152" spans="1:12" s="35" customFormat="1" x14ac:dyDescent="0.2">
      <c r="A152" s="34"/>
      <c r="B152" s="34"/>
      <c r="C152" s="34"/>
      <c r="D152" s="229"/>
      <c r="G152" s="259">
        <f t="shared" si="27"/>
        <v>-1</v>
      </c>
      <c r="H152" s="260">
        <f t="shared" si="28"/>
        <v>-1</v>
      </c>
      <c r="I152" s="258"/>
      <c r="J152" s="32" t="s">
        <v>319</v>
      </c>
      <c r="K152" s="122"/>
      <c r="L152" s="126"/>
    </row>
    <row r="153" spans="1:12" s="35" customFormat="1" ht="15.75" customHeight="1" x14ac:dyDescent="0.2">
      <c r="A153" s="180"/>
      <c r="B153" s="180"/>
      <c r="C153" s="180"/>
      <c r="D153" s="229"/>
      <c r="E153" s="225">
        <f>E150+I150</f>
        <v>2056</v>
      </c>
      <c r="F153" s="225">
        <f>E153+I153-1</f>
        <v>2057</v>
      </c>
      <c r="G153" s="259">
        <f t="shared" si="27"/>
        <v>2055</v>
      </c>
      <c r="H153" s="260">
        <f t="shared" si="28"/>
        <v>2056</v>
      </c>
      <c r="I153" s="261">
        <v>2</v>
      </c>
      <c r="J153" s="225" t="s">
        <v>306</v>
      </c>
      <c r="K153" s="211"/>
      <c r="L153" s="209"/>
    </row>
    <row r="154" spans="1:12" s="35" customFormat="1" ht="33" customHeight="1" x14ac:dyDescent="0.2">
      <c r="A154" s="34" t="s">
        <v>127</v>
      </c>
      <c r="B154" s="34" t="s">
        <v>127</v>
      </c>
      <c r="C154" s="64" t="s">
        <v>550</v>
      </c>
      <c r="D154" s="229" t="s">
        <v>1107</v>
      </c>
      <c r="E154" s="35">
        <f>E153+I153</f>
        <v>2058</v>
      </c>
      <c r="F154" s="35">
        <f>E154+I154-1</f>
        <v>2058</v>
      </c>
      <c r="G154" s="259">
        <f t="shared" si="27"/>
        <v>2057</v>
      </c>
      <c r="H154" s="260">
        <f t="shared" si="28"/>
        <v>2057</v>
      </c>
      <c r="I154" s="258">
        <v>1</v>
      </c>
      <c r="J154" s="66" t="s">
        <v>634</v>
      </c>
      <c r="K154" s="239" t="s">
        <v>52</v>
      </c>
      <c r="L154" s="247" t="s">
        <v>917</v>
      </c>
    </row>
    <row r="155" spans="1:12" s="35" customFormat="1" ht="33" customHeight="1" x14ac:dyDescent="0.2">
      <c r="A155" s="34" t="s">
        <v>127</v>
      </c>
      <c r="B155" s="34" t="s">
        <v>127</v>
      </c>
      <c r="C155" s="64" t="s">
        <v>550</v>
      </c>
      <c r="D155" s="229" t="s">
        <v>1107</v>
      </c>
      <c r="E155" s="35">
        <f>E154+I154</f>
        <v>2059</v>
      </c>
      <c r="F155" s="35">
        <f>E155+I155-1</f>
        <v>2059</v>
      </c>
      <c r="G155" s="259">
        <f t="shared" si="27"/>
        <v>2058</v>
      </c>
      <c r="H155" s="260">
        <f t="shared" si="28"/>
        <v>2058</v>
      </c>
      <c r="I155" s="258">
        <v>1</v>
      </c>
      <c r="J155" s="66" t="s">
        <v>635</v>
      </c>
      <c r="K155" s="239"/>
      <c r="L155" s="247"/>
    </row>
    <row r="156" spans="1:12" s="35" customFormat="1" x14ac:dyDescent="0.2">
      <c r="A156" s="34"/>
      <c r="B156" s="34"/>
      <c r="C156" s="34"/>
      <c r="D156" s="229"/>
      <c r="G156" s="259">
        <f t="shared" si="27"/>
        <v>-1</v>
      </c>
      <c r="H156" s="260">
        <f t="shared" si="28"/>
        <v>-1</v>
      </c>
      <c r="I156" s="258"/>
      <c r="J156" s="32" t="s">
        <v>122</v>
      </c>
      <c r="K156" s="122"/>
      <c r="L156" s="126"/>
    </row>
    <row r="157" spans="1:12" s="35" customFormat="1" x14ac:dyDescent="0.2">
      <c r="A157" s="180"/>
      <c r="B157" s="180"/>
      <c r="C157" s="180"/>
      <c r="D157" s="229"/>
      <c r="E157" s="225">
        <f>E155+I155</f>
        <v>2060</v>
      </c>
      <c r="F157" s="225">
        <f>E157+I157-1</f>
        <v>2061</v>
      </c>
      <c r="G157" s="259">
        <f t="shared" si="27"/>
        <v>2059</v>
      </c>
      <c r="H157" s="260">
        <f t="shared" si="28"/>
        <v>2060</v>
      </c>
      <c r="I157" s="261">
        <v>2</v>
      </c>
      <c r="J157" s="225" t="s">
        <v>306</v>
      </c>
      <c r="K157" s="211"/>
      <c r="L157" s="213"/>
    </row>
    <row r="158" spans="1:12" s="35" customFormat="1" ht="46.5" customHeight="1" x14ac:dyDescent="0.2">
      <c r="A158" s="34" t="s">
        <v>127</v>
      </c>
      <c r="B158" s="34" t="s">
        <v>127</v>
      </c>
      <c r="C158" s="185" t="s">
        <v>1032</v>
      </c>
      <c r="D158" s="229" t="s">
        <v>1107</v>
      </c>
      <c r="E158" s="35">
        <f>E157+I157</f>
        <v>2062</v>
      </c>
      <c r="F158" s="35">
        <f>E158+I158-1</f>
        <v>2062</v>
      </c>
      <c r="G158" s="259">
        <f t="shared" si="27"/>
        <v>2061</v>
      </c>
      <c r="H158" s="260">
        <f t="shared" si="28"/>
        <v>2061</v>
      </c>
      <c r="I158" s="258">
        <v>1</v>
      </c>
      <c r="J158" s="66" t="s">
        <v>696</v>
      </c>
      <c r="K158" s="244" t="s">
        <v>684</v>
      </c>
      <c r="L158" s="245" t="s">
        <v>1060</v>
      </c>
    </row>
    <row r="159" spans="1:12" s="35" customFormat="1" ht="46.5" customHeight="1" x14ac:dyDescent="0.2">
      <c r="A159" s="34" t="s">
        <v>127</v>
      </c>
      <c r="B159" s="34" t="s">
        <v>127</v>
      </c>
      <c r="C159" s="185" t="s">
        <v>1032</v>
      </c>
      <c r="D159" s="229" t="s">
        <v>1107</v>
      </c>
      <c r="E159" s="35">
        <f>E158+I158</f>
        <v>2063</v>
      </c>
      <c r="F159" s="35">
        <f>E159+I159-1</f>
        <v>2063</v>
      </c>
      <c r="G159" s="259">
        <f t="shared" si="27"/>
        <v>2062</v>
      </c>
      <c r="H159" s="260">
        <f t="shared" si="28"/>
        <v>2062</v>
      </c>
      <c r="I159" s="258">
        <v>1</v>
      </c>
      <c r="J159" s="66" t="s">
        <v>697</v>
      </c>
      <c r="K159" s="244"/>
      <c r="L159" s="245"/>
    </row>
    <row r="160" spans="1:12" s="35" customFormat="1" x14ac:dyDescent="0.2">
      <c r="A160" s="34"/>
      <c r="B160" s="34"/>
      <c r="C160" s="34"/>
      <c r="D160" s="229"/>
      <c r="E160" s="225">
        <f>E159+I159</f>
        <v>2064</v>
      </c>
      <c r="F160" s="225">
        <f t="shared" ref="F160" si="31">E160+I160-1</f>
        <v>2075</v>
      </c>
      <c r="G160" s="259">
        <f t="shared" si="27"/>
        <v>2063</v>
      </c>
      <c r="H160" s="260">
        <f t="shared" si="28"/>
        <v>2074</v>
      </c>
      <c r="I160" s="261">
        <v>12</v>
      </c>
      <c r="J160" s="40" t="s">
        <v>306</v>
      </c>
      <c r="K160" s="71"/>
      <c r="L160" s="126"/>
    </row>
    <row r="161" spans="1:12" s="35" customFormat="1" x14ac:dyDescent="0.2">
      <c r="A161" s="34"/>
      <c r="B161" s="34"/>
      <c r="C161" s="34"/>
      <c r="D161" s="229"/>
      <c r="G161" s="259">
        <f t="shared" si="27"/>
        <v>-1</v>
      </c>
      <c r="H161" s="260">
        <f t="shared" si="28"/>
        <v>-1</v>
      </c>
      <c r="I161" s="258"/>
      <c r="J161" s="32" t="s">
        <v>27</v>
      </c>
      <c r="K161" s="122"/>
      <c r="L161" s="126"/>
    </row>
    <row r="162" spans="1:12" s="35" customFormat="1" x14ac:dyDescent="0.2">
      <c r="A162" s="34" t="s">
        <v>127</v>
      </c>
      <c r="B162" s="34" t="s">
        <v>127</v>
      </c>
      <c r="C162" s="64"/>
      <c r="D162" s="229" t="s">
        <v>1107</v>
      </c>
      <c r="E162" s="35">
        <f>E160+I160</f>
        <v>2076</v>
      </c>
      <c r="F162" s="35">
        <f>E162+I162-1</f>
        <v>2076</v>
      </c>
      <c r="G162" s="259">
        <f t="shared" si="27"/>
        <v>2075</v>
      </c>
      <c r="H162" s="260">
        <f t="shared" si="28"/>
        <v>2075</v>
      </c>
      <c r="I162" s="258">
        <v>1</v>
      </c>
      <c r="J162" s="66" t="s">
        <v>700</v>
      </c>
      <c r="K162" s="244" t="s">
        <v>64</v>
      </c>
      <c r="L162" s="244" t="s">
        <v>1068</v>
      </c>
    </row>
    <row r="163" spans="1:12" s="35" customFormat="1" x14ac:dyDescent="0.2">
      <c r="A163" s="34" t="s">
        <v>127</v>
      </c>
      <c r="B163" s="34" t="s">
        <v>127</v>
      </c>
      <c r="C163" s="64"/>
      <c r="D163" s="229" t="s">
        <v>1107</v>
      </c>
      <c r="E163" s="35">
        <f>E162+I162</f>
        <v>2077</v>
      </c>
      <c r="F163" s="35">
        <f>E163+I163-1</f>
        <v>2077</v>
      </c>
      <c r="G163" s="259">
        <f t="shared" si="27"/>
        <v>2076</v>
      </c>
      <c r="H163" s="260">
        <f t="shared" si="28"/>
        <v>2076</v>
      </c>
      <c r="I163" s="258">
        <v>1</v>
      </c>
      <c r="J163" s="66" t="s">
        <v>701</v>
      </c>
      <c r="K163" s="239"/>
      <c r="L163" s="244"/>
    </row>
    <row r="164" spans="1:12" s="35" customFormat="1" x14ac:dyDescent="0.2">
      <c r="A164" s="34"/>
      <c r="B164" s="34"/>
      <c r="C164" s="34"/>
      <c r="D164" s="229"/>
      <c r="E164" s="35">
        <f>E163+I163</f>
        <v>2078</v>
      </c>
      <c r="F164" s="35">
        <f>E164+I164-1</f>
        <v>2078</v>
      </c>
      <c r="G164" s="259">
        <f t="shared" si="27"/>
        <v>2077</v>
      </c>
      <c r="H164" s="260">
        <f t="shared" si="28"/>
        <v>2077</v>
      </c>
      <c r="I164" s="258">
        <v>1</v>
      </c>
      <c r="J164" s="40" t="s">
        <v>306</v>
      </c>
      <c r="K164" s="122"/>
      <c r="L164" s="126"/>
    </row>
    <row r="165" spans="1:12" s="35" customFormat="1" x14ac:dyDescent="0.2">
      <c r="A165" s="34"/>
      <c r="B165" s="34"/>
      <c r="C165" s="34"/>
      <c r="D165" s="229"/>
      <c r="G165" s="259">
        <f t="shared" si="27"/>
        <v>-1</v>
      </c>
      <c r="H165" s="260">
        <f t="shared" si="28"/>
        <v>-1</v>
      </c>
      <c r="I165" s="258"/>
      <c r="J165" s="32" t="s">
        <v>29</v>
      </c>
      <c r="K165" s="122"/>
      <c r="L165" s="126"/>
    </row>
    <row r="166" spans="1:12" s="35" customFormat="1" x14ac:dyDescent="0.2">
      <c r="A166" s="180"/>
      <c r="B166" s="180"/>
      <c r="C166" s="180"/>
      <c r="D166" s="229"/>
      <c r="E166" s="225">
        <f>E164+I164</f>
        <v>2079</v>
      </c>
      <c r="F166" s="225">
        <f>E166+I166-1</f>
        <v>2080</v>
      </c>
      <c r="G166" s="259">
        <f t="shared" si="27"/>
        <v>2078</v>
      </c>
      <c r="H166" s="260">
        <f t="shared" si="28"/>
        <v>2079</v>
      </c>
      <c r="I166" s="261">
        <v>2</v>
      </c>
      <c r="J166" s="225" t="s">
        <v>306</v>
      </c>
      <c r="K166" s="211"/>
      <c r="L166" s="212"/>
    </row>
    <row r="167" spans="1:12" s="35" customFormat="1" ht="32.25" customHeight="1" x14ac:dyDescent="0.2">
      <c r="A167" s="64" t="s">
        <v>128</v>
      </c>
      <c r="B167" s="64" t="s">
        <v>128</v>
      </c>
      <c r="C167" s="34"/>
      <c r="D167" s="229" t="s">
        <v>1107</v>
      </c>
      <c r="E167" s="35">
        <f>E166+I166</f>
        <v>2081</v>
      </c>
      <c r="F167" s="35">
        <f>E167+I167-1</f>
        <v>2081</v>
      </c>
      <c r="G167" s="259">
        <f t="shared" si="27"/>
        <v>2080</v>
      </c>
      <c r="H167" s="260">
        <f t="shared" si="28"/>
        <v>2080</v>
      </c>
      <c r="I167" s="258">
        <v>1</v>
      </c>
      <c r="J167" s="66" t="s">
        <v>698</v>
      </c>
      <c r="K167" s="239" t="s">
        <v>65</v>
      </c>
      <c r="L167" s="246" t="s">
        <v>897</v>
      </c>
    </row>
    <row r="168" spans="1:12" s="35" customFormat="1" ht="32.25" customHeight="1" x14ac:dyDescent="0.2">
      <c r="A168" s="64" t="s">
        <v>128</v>
      </c>
      <c r="B168" s="64" t="s">
        <v>128</v>
      </c>
      <c r="C168" s="34"/>
      <c r="D168" s="229" t="s">
        <v>1107</v>
      </c>
      <c r="E168" s="35">
        <f>E167+I167</f>
        <v>2082</v>
      </c>
      <c r="F168" s="35">
        <f>E168+I168-1</f>
        <v>2082</v>
      </c>
      <c r="G168" s="259">
        <f t="shared" si="27"/>
        <v>2081</v>
      </c>
      <c r="H168" s="260">
        <f t="shared" si="28"/>
        <v>2081</v>
      </c>
      <c r="I168" s="258">
        <v>1</v>
      </c>
      <c r="J168" s="66" t="s">
        <v>699</v>
      </c>
      <c r="K168" s="239"/>
      <c r="L168" s="246"/>
    </row>
    <row r="169" spans="1:12" s="35" customFormat="1" x14ac:dyDescent="0.2">
      <c r="A169" s="34"/>
      <c r="B169" s="34"/>
      <c r="C169" s="34"/>
      <c r="D169" s="229"/>
      <c r="G169" s="259">
        <f t="shared" si="27"/>
        <v>-1</v>
      </c>
      <c r="H169" s="260">
        <f t="shared" si="28"/>
        <v>-1</v>
      </c>
      <c r="I169" s="258"/>
      <c r="J169" s="32" t="s">
        <v>30</v>
      </c>
      <c r="K169" s="122"/>
      <c r="L169" s="126"/>
    </row>
    <row r="170" spans="1:12" s="35" customFormat="1" x14ac:dyDescent="0.2">
      <c r="A170" s="180"/>
      <c r="B170" s="180"/>
      <c r="C170" s="180"/>
      <c r="D170" s="229"/>
      <c r="E170" s="225">
        <f>E168+I168</f>
        <v>2083</v>
      </c>
      <c r="F170" s="225">
        <f>E170+I170-1</f>
        <v>2084</v>
      </c>
      <c r="G170" s="259">
        <f t="shared" si="27"/>
        <v>2082</v>
      </c>
      <c r="H170" s="260">
        <f t="shared" si="28"/>
        <v>2083</v>
      </c>
      <c r="I170" s="261">
        <v>2</v>
      </c>
      <c r="J170" s="225" t="s">
        <v>306</v>
      </c>
      <c r="K170" s="211"/>
      <c r="L170" s="213"/>
    </row>
    <row r="171" spans="1:12" s="35" customFormat="1" ht="34.5" customHeight="1" x14ac:dyDescent="0.2">
      <c r="A171" s="64" t="s">
        <v>128</v>
      </c>
      <c r="B171" s="64" t="s">
        <v>128</v>
      </c>
      <c r="C171" s="34"/>
      <c r="D171" s="229" t="s">
        <v>1107</v>
      </c>
      <c r="E171" s="35">
        <f>E170+I170</f>
        <v>2085</v>
      </c>
      <c r="F171" s="35">
        <f>E171+I171-1</f>
        <v>2085</v>
      </c>
      <c r="G171" s="259">
        <f t="shared" si="27"/>
        <v>2084</v>
      </c>
      <c r="H171" s="260">
        <f t="shared" si="28"/>
        <v>2084</v>
      </c>
      <c r="I171" s="258">
        <v>1</v>
      </c>
      <c r="J171" s="66" t="s">
        <v>702</v>
      </c>
      <c r="K171" s="244" t="s">
        <v>53</v>
      </c>
      <c r="L171" s="244" t="s">
        <v>898</v>
      </c>
    </row>
    <row r="172" spans="1:12" s="35" customFormat="1" ht="34.5" customHeight="1" x14ac:dyDescent="0.2">
      <c r="A172" s="64" t="s">
        <v>128</v>
      </c>
      <c r="B172" s="64" t="s">
        <v>128</v>
      </c>
      <c r="C172" s="34"/>
      <c r="D172" s="229" t="s">
        <v>1107</v>
      </c>
      <c r="E172" s="35">
        <f>E171+I171</f>
        <v>2086</v>
      </c>
      <c r="F172" s="35">
        <f>E172+I172-1</f>
        <v>2086</v>
      </c>
      <c r="G172" s="259">
        <f t="shared" si="27"/>
        <v>2085</v>
      </c>
      <c r="H172" s="260">
        <f t="shared" si="28"/>
        <v>2085</v>
      </c>
      <c r="I172" s="258">
        <v>1</v>
      </c>
      <c r="J172" s="66" t="s">
        <v>703</v>
      </c>
      <c r="K172" s="244"/>
      <c r="L172" s="244"/>
    </row>
    <row r="173" spans="1:12" s="35" customFormat="1" x14ac:dyDescent="0.2">
      <c r="A173" s="34"/>
      <c r="B173" s="34"/>
      <c r="C173" s="34"/>
      <c r="D173" s="229"/>
      <c r="E173" s="35">
        <f>E172+I172</f>
        <v>2087</v>
      </c>
      <c r="F173" s="35">
        <f>E173+I173-1</f>
        <v>2091</v>
      </c>
      <c r="G173" s="259">
        <f t="shared" si="27"/>
        <v>2086</v>
      </c>
      <c r="H173" s="260">
        <f t="shared" si="28"/>
        <v>2090</v>
      </c>
      <c r="I173" s="258">
        <v>5</v>
      </c>
      <c r="J173" s="40" t="s">
        <v>306</v>
      </c>
      <c r="K173" s="122"/>
      <c r="L173" s="126"/>
    </row>
    <row r="174" spans="1:12" s="35" customFormat="1" x14ac:dyDescent="0.2">
      <c r="A174" s="34"/>
      <c r="B174" s="34"/>
      <c r="C174" s="34"/>
      <c r="D174" s="229"/>
      <c r="G174" s="259">
        <f t="shared" si="27"/>
        <v>-1</v>
      </c>
      <c r="H174" s="260">
        <f t="shared" si="28"/>
        <v>-1</v>
      </c>
      <c r="I174" s="258"/>
      <c r="J174" s="32" t="s">
        <v>28</v>
      </c>
      <c r="K174" s="122"/>
      <c r="L174" s="126"/>
    </row>
    <row r="175" spans="1:12" s="35" customFormat="1" x14ac:dyDescent="0.2">
      <c r="A175" s="180"/>
      <c r="B175" s="180"/>
      <c r="C175" s="180"/>
      <c r="D175" s="229"/>
      <c r="E175" s="225">
        <f>E173+I173</f>
        <v>2092</v>
      </c>
      <c r="F175" s="225">
        <f>E175+I175-1</f>
        <v>2093</v>
      </c>
      <c r="G175" s="259">
        <f t="shared" si="27"/>
        <v>2091</v>
      </c>
      <c r="H175" s="260">
        <f t="shared" si="28"/>
        <v>2092</v>
      </c>
      <c r="I175" s="261">
        <v>2</v>
      </c>
      <c r="J175" s="225" t="s">
        <v>306</v>
      </c>
      <c r="K175" s="211"/>
      <c r="L175" s="213"/>
    </row>
    <row r="176" spans="1:12" s="35" customFormat="1" ht="25.5" customHeight="1" x14ac:dyDescent="0.2">
      <c r="A176" s="34" t="s">
        <v>127</v>
      </c>
      <c r="B176" s="34" t="s">
        <v>127</v>
      </c>
      <c r="C176" s="64" t="s">
        <v>664</v>
      </c>
      <c r="D176" s="229" t="s">
        <v>1107</v>
      </c>
      <c r="E176" s="35">
        <f>E175+I175</f>
        <v>2094</v>
      </c>
      <c r="F176" s="35">
        <f>E176+I176-1</f>
        <v>2094</v>
      </c>
      <c r="G176" s="259">
        <f t="shared" si="27"/>
        <v>2093</v>
      </c>
      <c r="H176" s="260">
        <f t="shared" si="28"/>
        <v>2093</v>
      </c>
      <c r="I176" s="258">
        <v>1</v>
      </c>
      <c r="J176" s="66" t="s">
        <v>704</v>
      </c>
      <c r="K176" s="244" t="s">
        <v>54</v>
      </c>
      <c r="L176" s="244" t="s">
        <v>908</v>
      </c>
    </row>
    <row r="177" spans="1:12" s="35" customFormat="1" ht="25.5" customHeight="1" x14ac:dyDescent="0.2">
      <c r="A177" s="34" t="s">
        <v>127</v>
      </c>
      <c r="B177" s="34" t="s">
        <v>127</v>
      </c>
      <c r="C177" s="64" t="s">
        <v>664</v>
      </c>
      <c r="D177" s="229" t="s">
        <v>1107</v>
      </c>
      <c r="E177" s="35">
        <f>E176+I176</f>
        <v>2095</v>
      </c>
      <c r="F177" s="35">
        <f>E177+I177-1</f>
        <v>2095</v>
      </c>
      <c r="G177" s="259">
        <f t="shared" si="27"/>
        <v>2094</v>
      </c>
      <c r="H177" s="260">
        <f t="shared" si="28"/>
        <v>2094</v>
      </c>
      <c r="I177" s="258">
        <v>1</v>
      </c>
      <c r="J177" s="66" t="s">
        <v>705</v>
      </c>
      <c r="K177" s="244"/>
      <c r="L177" s="244"/>
    </row>
    <row r="178" spans="1:12" s="35" customFormat="1" ht="12.75" customHeight="1" x14ac:dyDescent="0.2">
      <c r="A178" s="34"/>
      <c r="B178" s="34"/>
      <c r="C178" s="64"/>
      <c r="D178" s="229"/>
      <c r="G178" s="259">
        <f t="shared" si="27"/>
        <v>-1</v>
      </c>
      <c r="H178" s="260">
        <f t="shared" si="28"/>
        <v>-1</v>
      </c>
      <c r="I178" s="258"/>
      <c r="J178" s="32" t="s">
        <v>950</v>
      </c>
      <c r="K178" s="120"/>
      <c r="L178" s="121"/>
    </row>
    <row r="179" spans="1:12" s="35" customFormat="1" ht="12.75" customHeight="1" x14ac:dyDescent="0.2">
      <c r="A179" s="180"/>
      <c r="B179" s="180"/>
      <c r="C179" s="180"/>
      <c r="D179" s="229"/>
      <c r="E179" s="225">
        <f>E177+I177</f>
        <v>2096</v>
      </c>
      <c r="F179" s="225">
        <f t="shared" ref="F179:F180" si="32">E179+I179-1</f>
        <v>2097</v>
      </c>
      <c r="G179" s="259">
        <f t="shared" si="27"/>
        <v>2095</v>
      </c>
      <c r="H179" s="260">
        <f t="shared" si="28"/>
        <v>2096</v>
      </c>
      <c r="I179" s="261">
        <v>2</v>
      </c>
      <c r="J179" s="225" t="s">
        <v>306</v>
      </c>
      <c r="K179" s="208"/>
      <c r="L179" s="210"/>
    </row>
    <row r="180" spans="1:12" s="35" customFormat="1" ht="12.75" customHeight="1" x14ac:dyDescent="0.2">
      <c r="A180" s="64" t="s">
        <v>128</v>
      </c>
      <c r="B180" s="64" t="s">
        <v>128</v>
      </c>
      <c r="C180" s="64" t="s">
        <v>7</v>
      </c>
      <c r="D180" s="229" t="s">
        <v>1107</v>
      </c>
      <c r="E180" s="35">
        <f t="shared" ref="E180" si="33">E179+I179</f>
        <v>2098</v>
      </c>
      <c r="F180" s="35">
        <f t="shared" si="32"/>
        <v>2098</v>
      </c>
      <c r="G180" s="259">
        <f t="shared" si="27"/>
        <v>2097</v>
      </c>
      <c r="H180" s="260">
        <f t="shared" si="28"/>
        <v>2097</v>
      </c>
      <c r="I180" s="258">
        <v>1</v>
      </c>
      <c r="J180" s="66" t="s">
        <v>951</v>
      </c>
      <c r="K180" s="244" t="s">
        <v>953</v>
      </c>
      <c r="L180" s="244" t="s">
        <v>954</v>
      </c>
    </row>
    <row r="181" spans="1:12" s="35" customFormat="1" x14ac:dyDescent="0.2">
      <c r="A181" s="64" t="s">
        <v>128</v>
      </c>
      <c r="B181" s="64" t="s">
        <v>128</v>
      </c>
      <c r="C181" s="64" t="s">
        <v>7</v>
      </c>
      <c r="D181" s="229" t="s">
        <v>1107</v>
      </c>
      <c r="E181" s="35">
        <f>E180+I180</f>
        <v>2099</v>
      </c>
      <c r="F181" s="35">
        <f>E181+I181-1</f>
        <v>2099</v>
      </c>
      <c r="G181" s="259">
        <f t="shared" si="27"/>
        <v>2098</v>
      </c>
      <c r="H181" s="260">
        <f t="shared" si="28"/>
        <v>2098</v>
      </c>
      <c r="I181" s="258">
        <v>1</v>
      </c>
      <c r="J181" s="66" t="s">
        <v>952</v>
      </c>
      <c r="K181" s="244"/>
      <c r="L181" s="244"/>
    </row>
    <row r="182" spans="1:12" s="35" customFormat="1" x14ac:dyDescent="0.2">
      <c r="A182" s="34"/>
      <c r="B182" s="34"/>
      <c r="C182" s="34"/>
      <c r="D182" s="229"/>
      <c r="G182" s="259">
        <f t="shared" si="27"/>
        <v>-1</v>
      </c>
      <c r="H182" s="260">
        <f t="shared" si="28"/>
        <v>-1</v>
      </c>
      <c r="I182" s="258"/>
      <c r="J182" s="32" t="s">
        <v>31</v>
      </c>
      <c r="K182" s="122"/>
      <c r="L182" s="126"/>
    </row>
    <row r="183" spans="1:12" s="35" customFormat="1" x14ac:dyDescent="0.2">
      <c r="A183" s="180"/>
      <c r="B183" s="180"/>
      <c r="C183" s="180"/>
      <c r="D183" s="229"/>
      <c r="E183" s="225">
        <f>E181+I181</f>
        <v>2100</v>
      </c>
      <c r="F183" s="225">
        <f>E183+I183-1</f>
        <v>2101</v>
      </c>
      <c r="G183" s="259">
        <f t="shared" si="27"/>
        <v>2099</v>
      </c>
      <c r="H183" s="260">
        <f t="shared" si="28"/>
        <v>2100</v>
      </c>
      <c r="I183" s="261">
        <v>2</v>
      </c>
      <c r="J183" s="226" t="s">
        <v>306</v>
      </c>
      <c r="K183" s="216"/>
      <c r="L183" s="216"/>
    </row>
    <row r="184" spans="1:12" s="35" customFormat="1" ht="127.5" x14ac:dyDescent="0.2">
      <c r="A184" s="34" t="s">
        <v>128</v>
      </c>
      <c r="B184" s="34" t="s">
        <v>128</v>
      </c>
      <c r="C184" s="34"/>
      <c r="D184" s="229" t="s">
        <v>1107</v>
      </c>
      <c r="E184" s="35">
        <f t="shared" ref="E184:E189" si="34">E183+I183</f>
        <v>2102</v>
      </c>
      <c r="F184" s="35">
        <f t="shared" ref="F184:F189" si="35">E184+I184-1</f>
        <v>2102</v>
      </c>
      <c r="G184" s="259">
        <f t="shared" si="27"/>
        <v>2101</v>
      </c>
      <c r="H184" s="260">
        <f t="shared" si="28"/>
        <v>2101</v>
      </c>
      <c r="I184" s="258">
        <v>1</v>
      </c>
      <c r="J184" s="36" t="s">
        <v>32</v>
      </c>
      <c r="K184" s="219" t="s">
        <v>519</v>
      </c>
      <c r="L184" s="217" t="s">
        <v>1065</v>
      </c>
    </row>
    <row r="185" spans="1:12" s="35" customFormat="1" x14ac:dyDescent="0.2">
      <c r="A185" s="34"/>
      <c r="B185" s="34"/>
      <c r="C185" s="34"/>
      <c r="D185" s="229"/>
      <c r="E185" s="35">
        <f t="shared" si="34"/>
        <v>2103</v>
      </c>
      <c r="F185" s="35">
        <f t="shared" si="35"/>
        <v>2103</v>
      </c>
      <c r="G185" s="259">
        <f t="shared" si="27"/>
        <v>2102</v>
      </c>
      <c r="H185" s="260">
        <f t="shared" si="28"/>
        <v>2102</v>
      </c>
      <c r="I185" s="258">
        <v>1</v>
      </c>
      <c r="J185" s="40" t="s">
        <v>306</v>
      </c>
      <c r="K185" s="124"/>
      <c r="L185" s="126"/>
    </row>
    <row r="186" spans="1:12" s="35" customFormat="1" ht="51" x14ac:dyDescent="0.2">
      <c r="A186" s="34" t="s">
        <v>128</v>
      </c>
      <c r="B186" s="34" t="s">
        <v>128</v>
      </c>
      <c r="C186" s="34"/>
      <c r="D186" s="229" t="s">
        <v>1107</v>
      </c>
      <c r="E186" s="35">
        <f t="shared" si="34"/>
        <v>2104</v>
      </c>
      <c r="F186" s="35">
        <f t="shared" si="35"/>
        <v>2104</v>
      </c>
      <c r="G186" s="259">
        <f t="shared" si="27"/>
        <v>2103</v>
      </c>
      <c r="H186" s="260">
        <f t="shared" si="28"/>
        <v>2103</v>
      </c>
      <c r="I186" s="258">
        <v>1</v>
      </c>
      <c r="J186" s="66" t="s">
        <v>606</v>
      </c>
      <c r="K186" s="122" t="s">
        <v>520</v>
      </c>
      <c r="L186" s="126" t="s">
        <v>69</v>
      </c>
    </row>
    <row r="187" spans="1:12" s="35" customFormat="1" ht="63.75" x14ac:dyDescent="0.2">
      <c r="A187" s="34" t="s">
        <v>127</v>
      </c>
      <c r="B187" s="34" t="s">
        <v>127</v>
      </c>
      <c r="C187" s="64" t="s">
        <v>600</v>
      </c>
      <c r="D187" s="229" t="s">
        <v>1107</v>
      </c>
      <c r="E187" s="35">
        <f t="shared" si="34"/>
        <v>2105</v>
      </c>
      <c r="F187" s="35">
        <f t="shared" si="35"/>
        <v>2105</v>
      </c>
      <c r="G187" s="259">
        <f t="shared" si="27"/>
        <v>2104</v>
      </c>
      <c r="H187" s="260">
        <f t="shared" si="28"/>
        <v>2104</v>
      </c>
      <c r="I187" s="258">
        <v>1</v>
      </c>
      <c r="J187" s="35" t="s">
        <v>33</v>
      </c>
      <c r="K187" s="122" t="s">
        <v>3</v>
      </c>
      <c r="L187" s="121" t="s">
        <v>909</v>
      </c>
    </row>
    <row r="188" spans="1:12" s="35" customFormat="1" ht="102" x14ac:dyDescent="0.2">
      <c r="A188" s="34" t="s">
        <v>127</v>
      </c>
      <c r="B188" s="34" t="s">
        <v>127</v>
      </c>
      <c r="C188" s="34"/>
      <c r="D188" s="229" t="s">
        <v>1107</v>
      </c>
      <c r="E188" s="35">
        <f t="shared" si="34"/>
        <v>2106</v>
      </c>
      <c r="F188" s="35">
        <f t="shared" si="35"/>
        <v>2107</v>
      </c>
      <c r="G188" s="259">
        <f t="shared" si="27"/>
        <v>2105</v>
      </c>
      <c r="H188" s="260">
        <f t="shared" si="28"/>
        <v>2106</v>
      </c>
      <c r="I188" s="258">
        <v>2</v>
      </c>
      <c r="J188" s="66" t="s">
        <v>609</v>
      </c>
      <c r="K188" s="62" t="s">
        <v>521</v>
      </c>
      <c r="L188" s="126" t="s">
        <v>910</v>
      </c>
    </row>
    <row r="189" spans="1:12" s="35" customFormat="1" ht="102" x14ac:dyDescent="0.2">
      <c r="A189" s="64" t="s">
        <v>128</v>
      </c>
      <c r="B189" s="64" t="s">
        <v>128</v>
      </c>
      <c r="C189" s="34"/>
      <c r="D189" s="229" t="s">
        <v>1107</v>
      </c>
      <c r="E189" s="35">
        <f t="shared" si="34"/>
        <v>2108</v>
      </c>
      <c r="F189" s="35">
        <f t="shared" si="35"/>
        <v>2109</v>
      </c>
      <c r="G189" s="259">
        <f t="shared" si="27"/>
        <v>2107</v>
      </c>
      <c r="H189" s="260">
        <f t="shared" si="28"/>
        <v>2108</v>
      </c>
      <c r="I189" s="258">
        <v>2</v>
      </c>
      <c r="J189" s="66" t="s">
        <v>673</v>
      </c>
      <c r="K189" s="125" t="s">
        <v>522</v>
      </c>
      <c r="L189" s="126" t="s">
        <v>910</v>
      </c>
    </row>
    <row r="190" spans="1:12" s="35" customFormat="1" x14ac:dyDescent="0.2">
      <c r="A190" s="34"/>
      <c r="B190" s="34"/>
      <c r="C190" s="34"/>
      <c r="D190" s="229"/>
      <c r="G190" s="259">
        <f t="shared" si="27"/>
        <v>-1</v>
      </c>
      <c r="H190" s="260">
        <f t="shared" si="28"/>
        <v>-1</v>
      </c>
      <c r="I190" s="258"/>
      <c r="J190" s="32" t="s">
        <v>34</v>
      </c>
      <c r="K190" s="122"/>
      <c r="L190" s="126"/>
    </row>
    <row r="191" spans="1:12" s="35" customFormat="1" x14ac:dyDescent="0.2">
      <c r="A191" s="180"/>
      <c r="B191" s="180"/>
      <c r="C191" s="180"/>
      <c r="D191" s="229"/>
      <c r="E191" s="225">
        <f>E189+I189</f>
        <v>2110</v>
      </c>
      <c r="F191" s="225">
        <f t="shared" ref="F191:F199" si="36">E191+I191-1</f>
        <v>2111</v>
      </c>
      <c r="G191" s="259">
        <f t="shared" si="27"/>
        <v>2109</v>
      </c>
      <c r="H191" s="260">
        <f t="shared" si="28"/>
        <v>2110</v>
      </c>
      <c r="I191" s="261">
        <v>2</v>
      </c>
      <c r="J191" s="226" t="s">
        <v>306</v>
      </c>
      <c r="K191" s="211"/>
      <c r="L191" s="214"/>
    </row>
    <row r="192" spans="1:12" s="35" customFormat="1" ht="127.5" x14ac:dyDescent="0.2">
      <c r="A192" s="34" t="s">
        <v>128</v>
      </c>
      <c r="B192" s="64" t="s">
        <v>128</v>
      </c>
      <c r="C192" s="34"/>
      <c r="D192" s="229" t="s">
        <v>1107</v>
      </c>
      <c r="E192" s="35">
        <f t="shared" ref="E192:E199" si="37">E191+I191</f>
        <v>2112</v>
      </c>
      <c r="F192" s="35">
        <f t="shared" si="36"/>
        <v>2112</v>
      </c>
      <c r="G192" s="259">
        <f t="shared" si="27"/>
        <v>2111</v>
      </c>
      <c r="H192" s="260">
        <f t="shared" si="28"/>
        <v>2111</v>
      </c>
      <c r="I192" s="258">
        <v>1</v>
      </c>
      <c r="J192" s="36" t="s">
        <v>35</v>
      </c>
      <c r="K192" s="211" t="s">
        <v>523</v>
      </c>
      <c r="L192" s="217" t="s">
        <v>1115</v>
      </c>
    </row>
    <row r="193" spans="1:12" s="35" customFormat="1" x14ac:dyDescent="0.2">
      <c r="A193" s="34"/>
      <c r="B193" s="34"/>
      <c r="C193" s="34"/>
      <c r="D193" s="229"/>
      <c r="E193" s="35">
        <f t="shared" si="37"/>
        <v>2113</v>
      </c>
      <c r="F193" s="35">
        <f t="shared" si="36"/>
        <v>2113</v>
      </c>
      <c r="G193" s="259">
        <f t="shared" si="27"/>
        <v>2112</v>
      </c>
      <c r="H193" s="260">
        <f t="shared" si="28"/>
        <v>2112</v>
      </c>
      <c r="I193" s="258">
        <v>1</v>
      </c>
      <c r="J193" s="66" t="s">
        <v>306</v>
      </c>
      <c r="K193" s="124"/>
      <c r="L193" s="121"/>
    </row>
    <row r="194" spans="1:12" s="35" customFormat="1" ht="55.5" customHeight="1" x14ac:dyDescent="0.2">
      <c r="A194" s="64" t="s">
        <v>128</v>
      </c>
      <c r="B194" s="64" t="s">
        <v>128</v>
      </c>
      <c r="C194" s="34"/>
      <c r="D194" s="229" t="s">
        <v>1107</v>
      </c>
      <c r="E194" s="35">
        <f t="shared" si="37"/>
        <v>2114</v>
      </c>
      <c r="F194" s="35">
        <f t="shared" si="36"/>
        <v>2114</v>
      </c>
      <c r="G194" s="259">
        <f t="shared" si="27"/>
        <v>2113</v>
      </c>
      <c r="H194" s="260">
        <f t="shared" si="28"/>
        <v>2113</v>
      </c>
      <c r="I194" s="258">
        <v>1</v>
      </c>
      <c r="J194" s="35" t="s">
        <v>245</v>
      </c>
      <c r="K194" s="122" t="s">
        <v>524</v>
      </c>
      <c r="L194" s="223" t="s">
        <v>1112</v>
      </c>
    </row>
    <row r="195" spans="1:12" s="35" customFormat="1" ht="63.75" x14ac:dyDescent="0.2">
      <c r="A195" s="34" t="s">
        <v>127</v>
      </c>
      <c r="B195" s="34" t="s">
        <v>127</v>
      </c>
      <c r="C195" s="34" t="s">
        <v>7</v>
      </c>
      <c r="D195" s="229" t="s">
        <v>1107</v>
      </c>
      <c r="E195" s="35">
        <f t="shared" si="37"/>
        <v>2115</v>
      </c>
      <c r="F195" s="35">
        <f t="shared" si="36"/>
        <v>2115</v>
      </c>
      <c r="G195" s="259">
        <f t="shared" si="27"/>
        <v>2114</v>
      </c>
      <c r="H195" s="260">
        <f t="shared" si="28"/>
        <v>2114</v>
      </c>
      <c r="I195" s="258">
        <v>1</v>
      </c>
      <c r="J195" s="35" t="s">
        <v>219</v>
      </c>
      <c r="K195" s="122" t="s">
        <v>174</v>
      </c>
      <c r="L195" s="126" t="s">
        <v>911</v>
      </c>
    </row>
    <row r="196" spans="1:12" s="35" customFormat="1" ht="76.5" x14ac:dyDescent="0.2">
      <c r="A196" s="64" t="s">
        <v>128</v>
      </c>
      <c r="B196" s="64" t="s">
        <v>128</v>
      </c>
      <c r="C196" s="34"/>
      <c r="D196" s="229" t="s">
        <v>1107</v>
      </c>
      <c r="E196" s="35">
        <f t="shared" si="37"/>
        <v>2116</v>
      </c>
      <c r="F196" s="35">
        <f t="shared" si="36"/>
        <v>2117</v>
      </c>
      <c r="G196" s="259">
        <f t="shared" si="27"/>
        <v>2115</v>
      </c>
      <c r="H196" s="260">
        <f t="shared" si="28"/>
        <v>2116</v>
      </c>
      <c r="I196" s="258">
        <v>2</v>
      </c>
      <c r="J196" s="66" t="s">
        <v>610</v>
      </c>
      <c r="K196" s="122" t="s">
        <v>525</v>
      </c>
      <c r="L196" s="126" t="s">
        <v>899</v>
      </c>
    </row>
    <row r="197" spans="1:12" s="35" customFormat="1" ht="76.5" x14ac:dyDescent="0.2">
      <c r="A197" s="64" t="s">
        <v>127</v>
      </c>
      <c r="B197" s="34" t="s">
        <v>127</v>
      </c>
      <c r="C197" s="34"/>
      <c r="D197" s="229" t="s">
        <v>1107</v>
      </c>
      <c r="E197" s="35">
        <f t="shared" si="37"/>
        <v>2118</v>
      </c>
      <c r="F197" s="35">
        <f t="shared" si="36"/>
        <v>2118</v>
      </c>
      <c r="G197" s="259">
        <f t="shared" ref="G197:G260" si="38">E197-1</f>
        <v>2117</v>
      </c>
      <c r="H197" s="260">
        <f t="shared" ref="H197:H260" si="39">F197-1</f>
        <v>2117</v>
      </c>
      <c r="I197" s="258">
        <v>1</v>
      </c>
      <c r="J197" s="66" t="s">
        <v>611</v>
      </c>
      <c r="K197" s="122" t="s">
        <v>526</v>
      </c>
      <c r="L197" s="126" t="s">
        <v>799</v>
      </c>
    </row>
    <row r="198" spans="1:12" s="35" customFormat="1" ht="51" x14ac:dyDescent="0.2">
      <c r="A198" s="64" t="s">
        <v>128</v>
      </c>
      <c r="B198" s="64" t="s">
        <v>128</v>
      </c>
      <c r="C198" s="34"/>
      <c r="D198" s="229" t="s">
        <v>1107</v>
      </c>
      <c r="E198" s="35">
        <f t="shared" si="37"/>
        <v>2119</v>
      </c>
      <c r="F198" s="35">
        <f t="shared" si="36"/>
        <v>2119</v>
      </c>
      <c r="G198" s="259">
        <f t="shared" si="38"/>
        <v>2118</v>
      </c>
      <c r="H198" s="260">
        <f t="shared" si="39"/>
        <v>2118</v>
      </c>
      <c r="I198" s="258">
        <v>1</v>
      </c>
      <c r="J198" s="77" t="s">
        <v>612</v>
      </c>
      <c r="K198" s="126" t="s">
        <v>527</v>
      </c>
      <c r="L198" s="121" t="s">
        <v>799</v>
      </c>
    </row>
    <row r="199" spans="1:12" s="35" customFormat="1" ht="54" customHeight="1" x14ac:dyDescent="0.2">
      <c r="A199" s="64" t="s">
        <v>128</v>
      </c>
      <c r="B199" s="64" t="s">
        <v>128</v>
      </c>
      <c r="C199" s="34"/>
      <c r="D199" s="229" t="s">
        <v>1107</v>
      </c>
      <c r="E199" s="35">
        <f t="shared" si="37"/>
        <v>2120</v>
      </c>
      <c r="F199" s="35">
        <f t="shared" si="36"/>
        <v>2120</v>
      </c>
      <c r="G199" s="259">
        <f t="shared" si="38"/>
        <v>2119</v>
      </c>
      <c r="H199" s="260">
        <f t="shared" si="39"/>
        <v>2119</v>
      </c>
      <c r="I199" s="258">
        <v>1</v>
      </c>
      <c r="J199" s="40" t="s">
        <v>458</v>
      </c>
      <c r="K199" s="121" t="s">
        <v>527</v>
      </c>
      <c r="L199" s="223" t="s">
        <v>1112</v>
      </c>
    </row>
    <row r="200" spans="1:12" s="35" customFormat="1" x14ac:dyDescent="0.2">
      <c r="A200" s="34"/>
      <c r="B200" s="34"/>
      <c r="C200" s="34"/>
      <c r="D200" s="229"/>
      <c r="G200" s="259">
        <f t="shared" si="38"/>
        <v>-1</v>
      </c>
      <c r="H200" s="260">
        <f t="shared" si="39"/>
        <v>-1</v>
      </c>
      <c r="I200" s="258"/>
      <c r="J200" s="32" t="s">
        <v>220</v>
      </c>
      <c r="K200" s="122"/>
      <c r="L200" s="126"/>
    </row>
    <row r="201" spans="1:12" s="35" customFormat="1" x14ac:dyDescent="0.2">
      <c r="A201" s="180"/>
      <c r="B201" s="180"/>
      <c r="C201" s="180"/>
      <c r="D201" s="229"/>
      <c r="E201" s="225">
        <f>E199+I199</f>
        <v>2121</v>
      </c>
      <c r="F201" s="225">
        <f>E201+I201-1</f>
        <v>2122</v>
      </c>
      <c r="G201" s="259">
        <f t="shared" si="38"/>
        <v>2120</v>
      </c>
      <c r="H201" s="260">
        <f t="shared" si="39"/>
        <v>2121</v>
      </c>
      <c r="I201" s="261">
        <v>2</v>
      </c>
      <c r="J201" s="226" t="s">
        <v>306</v>
      </c>
      <c r="K201" s="211"/>
      <c r="L201" s="216"/>
    </row>
    <row r="202" spans="1:12" s="35" customFormat="1" ht="127.5" x14ac:dyDescent="0.2">
      <c r="A202" s="34" t="s">
        <v>128</v>
      </c>
      <c r="B202" s="34" t="s">
        <v>128</v>
      </c>
      <c r="C202" s="34"/>
      <c r="D202" s="229" t="s">
        <v>1107</v>
      </c>
      <c r="E202" s="35">
        <f>E201+I201</f>
        <v>2123</v>
      </c>
      <c r="F202" s="35">
        <f>E202+I202-1</f>
        <v>2123</v>
      </c>
      <c r="G202" s="259">
        <f t="shared" si="38"/>
        <v>2122</v>
      </c>
      <c r="H202" s="260">
        <f t="shared" si="39"/>
        <v>2122</v>
      </c>
      <c r="I202" s="258">
        <v>1</v>
      </c>
      <c r="J202" s="36" t="s">
        <v>221</v>
      </c>
      <c r="K202" s="211" t="s">
        <v>528</v>
      </c>
      <c r="L202" s="217" t="s">
        <v>1116</v>
      </c>
    </row>
    <row r="203" spans="1:12" s="35" customFormat="1" x14ac:dyDescent="0.2">
      <c r="A203" s="34"/>
      <c r="B203" s="34"/>
      <c r="C203" s="34"/>
      <c r="D203" s="229"/>
      <c r="E203" s="35">
        <f>E202+I202</f>
        <v>2124</v>
      </c>
      <c r="F203" s="35">
        <f>E203+I203-1</f>
        <v>2124</v>
      </c>
      <c r="G203" s="259">
        <f t="shared" si="38"/>
        <v>2123</v>
      </c>
      <c r="H203" s="260">
        <f t="shared" si="39"/>
        <v>2123</v>
      </c>
      <c r="I203" s="258">
        <v>1</v>
      </c>
      <c r="J203" s="40" t="s">
        <v>306</v>
      </c>
      <c r="K203" s="124"/>
      <c r="L203" s="126"/>
    </row>
    <row r="204" spans="1:12" s="35" customFormat="1" ht="63.75" x14ac:dyDescent="0.2">
      <c r="A204" s="34" t="s">
        <v>127</v>
      </c>
      <c r="B204" s="34" t="s">
        <v>127</v>
      </c>
      <c r="C204" s="34" t="s">
        <v>7</v>
      </c>
      <c r="D204" s="229" t="s">
        <v>1107</v>
      </c>
      <c r="E204" s="35">
        <f>E203+I203</f>
        <v>2125</v>
      </c>
      <c r="F204" s="35">
        <f>E204+I204-1</f>
        <v>2125</v>
      </c>
      <c r="G204" s="259">
        <f t="shared" si="38"/>
        <v>2124</v>
      </c>
      <c r="H204" s="260">
        <f t="shared" si="39"/>
        <v>2124</v>
      </c>
      <c r="I204" s="258">
        <v>1</v>
      </c>
      <c r="J204" s="35" t="s">
        <v>222</v>
      </c>
      <c r="K204" s="122" t="s">
        <v>175</v>
      </c>
      <c r="L204" s="126" t="s">
        <v>912</v>
      </c>
    </row>
    <row r="205" spans="1:12" s="35" customFormat="1" x14ac:dyDescent="0.2">
      <c r="A205" s="34"/>
      <c r="B205" s="34"/>
      <c r="C205" s="34"/>
      <c r="D205" s="229"/>
      <c r="G205" s="259">
        <f t="shared" si="38"/>
        <v>-1</v>
      </c>
      <c r="H205" s="260">
        <f t="shared" si="39"/>
        <v>-1</v>
      </c>
      <c r="I205" s="258"/>
      <c r="J205" s="32" t="s">
        <v>223</v>
      </c>
      <c r="K205" s="122"/>
      <c r="L205" s="126"/>
    </row>
    <row r="206" spans="1:12" s="35" customFormat="1" x14ac:dyDescent="0.2">
      <c r="A206" s="180"/>
      <c r="B206" s="180"/>
      <c r="C206" s="180"/>
      <c r="D206" s="229"/>
      <c r="E206" s="225">
        <f>E204+I204</f>
        <v>2126</v>
      </c>
      <c r="F206" s="225">
        <f t="shared" ref="F206:F210" si="40">E206+I206-1</f>
        <v>2127</v>
      </c>
      <c r="G206" s="259">
        <f t="shared" si="38"/>
        <v>2125</v>
      </c>
      <c r="H206" s="260">
        <f t="shared" si="39"/>
        <v>2126</v>
      </c>
      <c r="I206" s="261">
        <v>2</v>
      </c>
      <c r="J206" s="226" t="s">
        <v>306</v>
      </c>
      <c r="K206" s="213"/>
      <c r="L206" s="213"/>
    </row>
    <row r="207" spans="1:12" s="35" customFormat="1" ht="34.5" customHeight="1" x14ac:dyDescent="0.2">
      <c r="A207" s="34" t="s">
        <v>127</v>
      </c>
      <c r="B207" s="34" t="s">
        <v>127</v>
      </c>
      <c r="C207" s="64" t="s">
        <v>600</v>
      </c>
      <c r="D207" s="229" t="s">
        <v>1107</v>
      </c>
      <c r="E207" s="35">
        <f>E206+I206</f>
        <v>2128</v>
      </c>
      <c r="F207" s="35">
        <f t="shared" si="40"/>
        <v>2128</v>
      </c>
      <c r="G207" s="259">
        <f t="shared" si="38"/>
        <v>2127</v>
      </c>
      <c r="H207" s="260">
        <f t="shared" si="39"/>
        <v>2127</v>
      </c>
      <c r="I207" s="258">
        <v>1</v>
      </c>
      <c r="J207" s="66" t="s">
        <v>706</v>
      </c>
      <c r="K207" s="245" t="s">
        <v>1117</v>
      </c>
      <c r="L207" s="245" t="s">
        <v>1126</v>
      </c>
    </row>
    <row r="208" spans="1:12" s="35" customFormat="1" ht="33.75" customHeight="1" x14ac:dyDescent="0.2">
      <c r="A208" s="34" t="s">
        <v>127</v>
      </c>
      <c r="B208" s="34" t="s">
        <v>127</v>
      </c>
      <c r="C208" s="64" t="s">
        <v>600</v>
      </c>
      <c r="D208" s="229" t="s">
        <v>1107</v>
      </c>
      <c r="E208" s="35">
        <f>E207+I207</f>
        <v>2129</v>
      </c>
      <c r="F208" s="35">
        <f t="shared" si="40"/>
        <v>2129</v>
      </c>
      <c r="G208" s="259">
        <f t="shared" si="38"/>
        <v>2128</v>
      </c>
      <c r="H208" s="260">
        <f t="shared" si="39"/>
        <v>2128</v>
      </c>
      <c r="I208" s="258">
        <v>1</v>
      </c>
      <c r="J208" s="66" t="s">
        <v>707</v>
      </c>
      <c r="K208" s="245"/>
      <c r="L208" s="245"/>
    </row>
    <row r="209" spans="1:13" s="35" customFormat="1" ht="140.25" x14ac:dyDescent="0.2">
      <c r="A209" s="34" t="s">
        <v>127</v>
      </c>
      <c r="B209" s="34" t="s">
        <v>127</v>
      </c>
      <c r="C209" s="34"/>
      <c r="D209" s="229" t="s">
        <v>1107</v>
      </c>
      <c r="E209" s="35">
        <f>E208+I208</f>
        <v>2130</v>
      </c>
      <c r="F209" s="35">
        <f t="shared" si="40"/>
        <v>2130</v>
      </c>
      <c r="G209" s="259">
        <f t="shared" si="38"/>
        <v>2129</v>
      </c>
      <c r="H209" s="260">
        <f t="shared" si="39"/>
        <v>2129</v>
      </c>
      <c r="I209" s="258">
        <v>1</v>
      </c>
      <c r="J209" s="66" t="s">
        <v>613</v>
      </c>
      <c r="K209" s="126" t="s">
        <v>902</v>
      </c>
      <c r="L209" s="121" t="s">
        <v>799</v>
      </c>
    </row>
    <row r="210" spans="1:13" s="35" customFormat="1" x14ac:dyDescent="0.2">
      <c r="A210" s="180"/>
      <c r="B210" s="180"/>
      <c r="C210" s="180"/>
      <c r="D210" s="229"/>
      <c r="E210" s="35">
        <f>E209+I209</f>
        <v>2131</v>
      </c>
      <c r="F210" s="35">
        <f t="shared" si="40"/>
        <v>2131</v>
      </c>
      <c r="G210" s="259">
        <f t="shared" si="38"/>
        <v>2130</v>
      </c>
      <c r="H210" s="260">
        <f t="shared" si="39"/>
        <v>2130</v>
      </c>
      <c r="I210" s="258">
        <v>1</v>
      </c>
      <c r="J210" s="226" t="s">
        <v>306</v>
      </c>
      <c r="K210" s="203"/>
      <c r="L210" s="203"/>
    </row>
    <row r="211" spans="1:13" s="35" customFormat="1" ht="14.25" customHeight="1" x14ac:dyDescent="0.2">
      <c r="A211" s="34"/>
      <c r="B211" s="34"/>
      <c r="C211" s="34"/>
      <c r="D211" s="229"/>
      <c r="G211" s="259">
        <f t="shared" si="38"/>
        <v>-1</v>
      </c>
      <c r="H211" s="260">
        <f t="shared" si="39"/>
        <v>-1</v>
      </c>
      <c r="I211" s="258"/>
      <c r="J211" s="32" t="s">
        <v>226</v>
      </c>
      <c r="K211" s="120"/>
      <c r="L211" s="121"/>
      <c r="M211" s="46"/>
    </row>
    <row r="212" spans="1:13" s="35" customFormat="1" ht="195" customHeight="1" x14ac:dyDescent="0.2">
      <c r="A212" s="34" t="s">
        <v>127</v>
      </c>
      <c r="B212" s="34" t="s">
        <v>127</v>
      </c>
      <c r="C212" s="34"/>
      <c r="D212" s="229" t="s">
        <v>1107</v>
      </c>
      <c r="E212" s="35">
        <f>E210+I210</f>
        <v>2132</v>
      </c>
      <c r="F212" s="35">
        <f>E212+I212-1</f>
        <v>2133</v>
      </c>
      <c r="G212" s="259">
        <f t="shared" si="38"/>
        <v>2131</v>
      </c>
      <c r="H212" s="260">
        <f t="shared" si="39"/>
        <v>2132</v>
      </c>
      <c r="I212" s="258">
        <v>2</v>
      </c>
      <c r="J212" s="66" t="s">
        <v>776</v>
      </c>
      <c r="K212" s="126" t="s">
        <v>751</v>
      </c>
      <c r="L212" s="126" t="s">
        <v>901</v>
      </c>
    </row>
    <row r="213" spans="1:13" s="35" customFormat="1" ht="39.75" customHeight="1" x14ac:dyDescent="0.2">
      <c r="A213" s="34" t="s">
        <v>127</v>
      </c>
      <c r="B213" s="34" t="s">
        <v>127</v>
      </c>
      <c r="C213" s="34"/>
      <c r="D213" s="229" t="s">
        <v>1107</v>
      </c>
      <c r="E213" s="35">
        <f>E212+I212</f>
        <v>2134</v>
      </c>
      <c r="F213" s="35">
        <f>E213+I213-1</f>
        <v>2134</v>
      </c>
      <c r="G213" s="259">
        <f t="shared" si="38"/>
        <v>2133</v>
      </c>
      <c r="H213" s="260">
        <f t="shared" si="39"/>
        <v>2133</v>
      </c>
      <c r="I213" s="258">
        <v>1</v>
      </c>
      <c r="J213" s="35" t="s">
        <v>230</v>
      </c>
      <c r="K213" s="122" t="s">
        <v>41</v>
      </c>
      <c r="L213" s="126" t="s">
        <v>913</v>
      </c>
    </row>
    <row r="214" spans="1:13" s="35" customFormat="1" ht="76.5" x14ac:dyDescent="0.2">
      <c r="A214" s="34" t="s">
        <v>127</v>
      </c>
      <c r="B214" s="34" t="s">
        <v>127</v>
      </c>
      <c r="C214" s="64" t="s">
        <v>599</v>
      </c>
      <c r="D214" s="229" t="s">
        <v>235</v>
      </c>
      <c r="E214" s="35">
        <f>E213+I213</f>
        <v>2135</v>
      </c>
      <c r="F214" s="35">
        <f>E214+I214-1</f>
        <v>2135</v>
      </c>
      <c r="G214" s="259">
        <f t="shared" si="38"/>
        <v>2134</v>
      </c>
      <c r="H214" s="260">
        <f t="shared" si="39"/>
        <v>2134</v>
      </c>
      <c r="I214" s="258">
        <v>1</v>
      </c>
      <c r="J214" s="40" t="s">
        <v>74</v>
      </c>
      <c r="K214" s="122" t="s">
        <v>529</v>
      </c>
      <c r="L214" s="227" t="s">
        <v>1118</v>
      </c>
    </row>
    <row r="215" spans="1:13" s="35" customFormat="1" ht="76.5" x14ac:dyDescent="0.2">
      <c r="A215" s="64" t="s">
        <v>127</v>
      </c>
      <c r="B215" s="64" t="s">
        <v>127</v>
      </c>
      <c r="C215" s="34"/>
      <c r="D215" s="229" t="s">
        <v>1107</v>
      </c>
      <c r="E215" s="35">
        <f>E214+I214</f>
        <v>2136</v>
      </c>
      <c r="F215" s="35">
        <f t="shared" ref="F215" si="41">E215+I215-1</f>
        <v>2136</v>
      </c>
      <c r="G215" s="259">
        <f t="shared" si="38"/>
        <v>2135</v>
      </c>
      <c r="H215" s="260">
        <f t="shared" si="39"/>
        <v>2135</v>
      </c>
      <c r="I215" s="258">
        <v>1</v>
      </c>
      <c r="J215" s="66" t="s">
        <v>455</v>
      </c>
      <c r="K215" s="67" t="s">
        <v>456</v>
      </c>
      <c r="L215" s="126" t="s">
        <v>576</v>
      </c>
    </row>
    <row r="216" spans="1:13" s="35" customFormat="1" x14ac:dyDescent="0.2">
      <c r="A216" s="34"/>
      <c r="B216" s="34"/>
      <c r="C216" s="34"/>
      <c r="D216" s="229"/>
      <c r="E216" s="225">
        <f>E215+I215</f>
        <v>2137</v>
      </c>
      <c r="F216" s="35">
        <f>E216+I216-1</f>
        <v>2186</v>
      </c>
      <c r="G216" s="259">
        <f t="shared" si="38"/>
        <v>2136</v>
      </c>
      <c r="H216" s="260">
        <f t="shared" si="39"/>
        <v>2185</v>
      </c>
      <c r="I216" s="261">
        <v>50</v>
      </c>
      <c r="J216" s="40" t="s">
        <v>306</v>
      </c>
      <c r="K216" s="122"/>
      <c r="L216" s="176"/>
    </row>
    <row r="217" spans="1:13" s="42" customFormat="1" ht="25.5" x14ac:dyDescent="0.2">
      <c r="A217" s="41"/>
      <c r="B217" s="41"/>
      <c r="C217" s="41"/>
      <c r="D217" s="229"/>
      <c r="G217" s="259">
        <f t="shared" si="38"/>
        <v>-1</v>
      </c>
      <c r="H217" s="260">
        <f t="shared" si="39"/>
        <v>-1</v>
      </c>
      <c r="I217" s="263"/>
      <c r="J217" s="39" t="s">
        <v>231</v>
      </c>
      <c r="K217" s="71"/>
      <c r="L217" s="222" t="s">
        <v>1119</v>
      </c>
    </row>
    <row r="218" spans="1:13" s="42" customFormat="1" ht="25.5" x14ac:dyDescent="0.2">
      <c r="A218" s="64" t="s">
        <v>128</v>
      </c>
      <c r="B218" s="64" t="s">
        <v>128</v>
      </c>
      <c r="C218" s="34"/>
      <c r="D218" s="229" t="s">
        <v>1107</v>
      </c>
      <c r="E218" s="35">
        <f>E216+I216</f>
        <v>2187</v>
      </c>
      <c r="F218" s="35">
        <f>E218+I218-1</f>
        <v>2194</v>
      </c>
      <c r="G218" s="259">
        <f t="shared" si="38"/>
        <v>2186</v>
      </c>
      <c r="H218" s="260">
        <f t="shared" si="39"/>
        <v>2193</v>
      </c>
      <c r="I218" s="258">
        <v>8</v>
      </c>
      <c r="J218" s="66" t="s">
        <v>708</v>
      </c>
      <c r="K218" s="126" t="s">
        <v>879</v>
      </c>
      <c r="L218" s="176"/>
    </row>
    <row r="219" spans="1:13" s="42" customFormat="1" ht="25.5" x14ac:dyDescent="0.2">
      <c r="A219" s="64" t="s">
        <v>128</v>
      </c>
      <c r="B219" s="64" t="s">
        <v>128</v>
      </c>
      <c r="C219" s="34"/>
      <c r="D219" s="229" t="s">
        <v>1107</v>
      </c>
      <c r="E219" s="35">
        <f>E218+I218</f>
        <v>2195</v>
      </c>
      <c r="F219" s="35">
        <f>E219+I219-1</f>
        <v>2200</v>
      </c>
      <c r="G219" s="259">
        <f t="shared" si="38"/>
        <v>2194</v>
      </c>
      <c r="H219" s="260">
        <f t="shared" si="39"/>
        <v>2199</v>
      </c>
      <c r="I219" s="258">
        <v>6</v>
      </c>
      <c r="J219" s="66" t="s">
        <v>709</v>
      </c>
      <c r="K219" s="123" t="s">
        <v>530</v>
      </c>
      <c r="L219" s="176"/>
    </row>
    <row r="220" spans="1:13" s="42" customFormat="1" x14ac:dyDescent="0.2">
      <c r="A220" s="34"/>
      <c r="B220" s="34"/>
      <c r="C220" s="34"/>
      <c r="D220" s="229"/>
      <c r="E220" s="35">
        <f>E219+I219</f>
        <v>2201</v>
      </c>
      <c r="F220" s="35">
        <f>E220+I220-1</f>
        <v>2201</v>
      </c>
      <c r="G220" s="259">
        <f t="shared" si="38"/>
        <v>2200</v>
      </c>
      <c r="H220" s="260">
        <f t="shared" si="39"/>
        <v>2200</v>
      </c>
      <c r="I220" s="258">
        <v>1</v>
      </c>
      <c r="J220" s="35" t="s">
        <v>306</v>
      </c>
      <c r="K220" s="122"/>
      <c r="L220" s="176"/>
    </row>
    <row r="221" spans="1:13" s="42" customFormat="1" ht="25.5" x14ac:dyDescent="0.2">
      <c r="A221" s="64" t="s">
        <v>128</v>
      </c>
      <c r="B221" s="64" t="s">
        <v>128</v>
      </c>
      <c r="C221" s="34"/>
      <c r="D221" s="229" t="s">
        <v>1107</v>
      </c>
      <c r="E221" s="35">
        <f>E220+I220</f>
        <v>2202</v>
      </c>
      <c r="F221" s="35">
        <f>E221+I221-1</f>
        <v>2208</v>
      </c>
      <c r="G221" s="259">
        <f t="shared" si="38"/>
        <v>2201</v>
      </c>
      <c r="H221" s="260">
        <f t="shared" si="39"/>
        <v>2207</v>
      </c>
      <c r="I221" s="258">
        <v>7</v>
      </c>
      <c r="J221" s="66" t="s">
        <v>710</v>
      </c>
      <c r="K221" s="123" t="s">
        <v>531</v>
      </c>
      <c r="L221" s="179"/>
    </row>
    <row r="222" spans="1:13" s="42" customFormat="1" x14ac:dyDescent="0.2">
      <c r="A222" s="64"/>
      <c r="B222" s="64"/>
      <c r="C222" s="34"/>
      <c r="D222" s="229"/>
      <c r="E222" s="35">
        <f>E221+I221</f>
        <v>2209</v>
      </c>
      <c r="F222" s="225">
        <f>E222+I222-1</f>
        <v>2241</v>
      </c>
      <c r="G222" s="259">
        <f t="shared" si="38"/>
        <v>2208</v>
      </c>
      <c r="H222" s="260">
        <f t="shared" si="39"/>
        <v>2240</v>
      </c>
      <c r="I222" s="261">
        <v>33</v>
      </c>
      <c r="J222" s="66" t="s">
        <v>306</v>
      </c>
      <c r="K222" s="123"/>
      <c r="L222" s="176"/>
    </row>
    <row r="223" spans="1:13" s="35" customFormat="1" x14ac:dyDescent="0.2">
      <c r="A223" s="34"/>
      <c r="B223" s="34"/>
      <c r="C223" s="34"/>
      <c r="D223" s="229"/>
      <c r="G223" s="259">
        <f t="shared" si="38"/>
        <v>-1</v>
      </c>
      <c r="H223" s="260">
        <f t="shared" si="39"/>
        <v>-1</v>
      </c>
      <c r="I223" s="258"/>
      <c r="J223" s="32" t="s">
        <v>674</v>
      </c>
      <c r="K223" s="122"/>
      <c r="L223" s="176"/>
    </row>
    <row r="224" spans="1:13" s="35" customFormat="1" ht="114.75" x14ac:dyDescent="0.2">
      <c r="A224" s="34" t="s">
        <v>127</v>
      </c>
      <c r="B224" s="34" t="s">
        <v>127</v>
      </c>
      <c r="C224" s="64" t="s">
        <v>599</v>
      </c>
      <c r="D224" s="229" t="s">
        <v>1107</v>
      </c>
      <c r="E224" s="35">
        <f>E222+I222</f>
        <v>2242</v>
      </c>
      <c r="F224" s="35">
        <f t="shared" ref="F224:F225" si="42">E224+I224-1</f>
        <v>2243</v>
      </c>
      <c r="G224" s="259">
        <f t="shared" si="38"/>
        <v>2241</v>
      </c>
      <c r="H224" s="260">
        <f t="shared" si="39"/>
        <v>2242</v>
      </c>
      <c r="I224" s="258">
        <v>2</v>
      </c>
      <c r="J224" s="35" t="s">
        <v>320</v>
      </c>
      <c r="K224" s="213" t="s">
        <v>532</v>
      </c>
      <c r="L224" s="228" t="s">
        <v>1120</v>
      </c>
    </row>
    <row r="225" spans="1:13" s="35" customFormat="1" x14ac:dyDescent="0.2">
      <c r="A225" s="34"/>
      <c r="B225" s="34"/>
      <c r="C225" s="64"/>
      <c r="D225" s="229"/>
      <c r="E225" s="35">
        <f t="shared" ref="E225" si="43">E224+I224</f>
        <v>2244</v>
      </c>
      <c r="F225" s="225">
        <f t="shared" si="42"/>
        <v>2249</v>
      </c>
      <c r="G225" s="259">
        <f t="shared" si="38"/>
        <v>2243</v>
      </c>
      <c r="H225" s="260">
        <f t="shared" si="39"/>
        <v>2248</v>
      </c>
      <c r="I225" s="261">
        <v>6</v>
      </c>
      <c r="J225" s="66" t="s">
        <v>306</v>
      </c>
      <c r="K225" s="120"/>
      <c r="L225" s="223"/>
    </row>
    <row r="226" spans="1:13" s="35" customFormat="1" ht="52.5" customHeight="1" x14ac:dyDescent="0.2">
      <c r="A226" s="64" t="s">
        <v>127</v>
      </c>
      <c r="B226" s="64" t="s">
        <v>127</v>
      </c>
      <c r="C226" s="64" t="s">
        <v>601</v>
      </c>
      <c r="D226" s="229" t="s">
        <v>1107</v>
      </c>
      <c r="E226" s="35">
        <f>E225+I225</f>
        <v>2250</v>
      </c>
      <c r="F226" s="35">
        <f>E226+I226-1</f>
        <v>2251</v>
      </c>
      <c r="G226" s="259">
        <f t="shared" si="38"/>
        <v>2249</v>
      </c>
      <c r="H226" s="260">
        <f t="shared" si="39"/>
        <v>2250</v>
      </c>
      <c r="I226" s="258">
        <v>2</v>
      </c>
      <c r="J226" s="66" t="s">
        <v>464</v>
      </c>
      <c r="K226" s="244" t="s">
        <v>532</v>
      </c>
      <c r="L226" s="249" t="s">
        <v>1121</v>
      </c>
    </row>
    <row r="227" spans="1:13" s="35" customFormat="1" ht="52.5" customHeight="1" x14ac:dyDescent="0.2">
      <c r="A227" s="64" t="s">
        <v>127</v>
      </c>
      <c r="B227" s="64" t="s">
        <v>127</v>
      </c>
      <c r="C227" s="64" t="s">
        <v>601</v>
      </c>
      <c r="D227" s="229" t="s">
        <v>1107</v>
      </c>
      <c r="E227" s="35">
        <f t="shared" ref="E227:E230" si="44">E226+I226</f>
        <v>2252</v>
      </c>
      <c r="F227" s="35">
        <f t="shared" ref="F227:F230" si="45">E227+I227-1</f>
        <v>2253</v>
      </c>
      <c r="G227" s="259">
        <f t="shared" si="38"/>
        <v>2251</v>
      </c>
      <c r="H227" s="260">
        <f t="shared" si="39"/>
        <v>2252</v>
      </c>
      <c r="I227" s="258">
        <v>2</v>
      </c>
      <c r="J227" s="66" t="s">
        <v>465</v>
      </c>
      <c r="K227" s="244"/>
      <c r="L227" s="249"/>
    </row>
    <row r="228" spans="1:13" s="35" customFormat="1" ht="15.75" customHeight="1" x14ac:dyDescent="0.2">
      <c r="A228" s="34"/>
      <c r="B228" s="34"/>
      <c r="C228" s="34"/>
      <c r="D228" s="229"/>
      <c r="E228" s="35">
        <f t="shared" si="44"/>
        <v>2254</v>
      </c>
      <c r="F228" s="225">
        <f t="shared" si="45"/>
        <v>2260</v>
      </c>
      <c r="G228" s="259">
        <f t="shared" si="38"/>
        <v>2253</v>
      </c>
      <c r="H228" s="260">
        <f t="shared" si="39"/>
        <v>2259</v>
      </c>
      <c r="I228" s="261">
        <v>7</v>
      </c>
      <c r="J228" s="35" t="s">
        <v>306</v>
      </c>
      <c r="K228" s="122"/>
      <c r="L228" s="121"/>
    </row>
    <row r="229" spans="1:13" s="35" customFormat="1" ht="49.5" customHeight="1" x14ac:dyDescent="0.2">
      <c r="A229" s="34" t="s">
        <v>127</v>
      </c>
      <c r="B229" s="34" t="s">
        <v>127</v>
      </c>
      <c r="C229" s="185" t="s">
        <v>1036</v>
      </c>
      <c r="D229" s="229" t="s">
        <v>234</v>
      </c>
      <c r="E229" s="35">
        <f>E228+I228</f>
        <v>2261</v>
      </c>
      <c r="F229" s="35">
        <f t="shared" si="45"/>
        <v>2263</v>
      </c>
      <c r="G229" s="259">
        <f t="shared" si="38"/>
        <v>2260</v>
      </c>
      <c r="H229" s="260">
        <f t="shared" si="39"/>
        <v>2262</v>
      </c>
      <c r="I229" s="258">
        <v>3</v>
      </c>
      <c r="J229" s="66" t="s">
        <v>631</v>
      </c>
      <c r="K229" s="239" t="s">
        <v>533</v>
      </c>
      <c r="L229" s="244" t="s">
        <v>969</v>
      </c>
    </row>
    <row r="230" spans="1:13" s="35" customFormat="1" ht="49.5" customHeight="1" x14ac:dyDescent="0.2">
      <c r="A230" s="34" t="s">
        <v>127</v>
      </c>
      <c r="B230" s="34" t="s">
        <v>127</v>
      </c>
      <c r="C230" s="185" t="s">
        <v>1036</v>
      </c>
      <c r="D230" s="229" t="s">
        <v>234</v>
      </c>
      <c r="E230" s="35">
        <f t="shared" si="44"/>
        <v>2264</v>
      </c>
      <c r="F230" s="35">
        <f t="shared" si="45"/>
        <v>2266</v>
      </c>
      <c r="G230" s="259">
        <f t="shared" si="38"/>
        <v>2263</v>
      </c>
      <c r="H230" s="260">
        <f t="shared" si="39"/>
        <v>2265</v>
      </c>
      <c r="I230" s="258">
        <v>3</v>
      </c>
      <c r="J230" s="66" t="s">
        <v>632</v>
      </c>
      <c r="K230" s="239"/>
      <c r="L230" s="244"/>
    </row>
    <row r="231" spans="1:13" s="50" customFormat="1" x14ac:dyDescent="0.2">
      <c r="A231" s="49"/>
      <c r="B231" s="49"/>
      <c r="C231" s="49"/>
      <c r="D231" s="229"/>
      <c r="G231" s="259">
        <f t="shared" si="38"/>
        <v>-1</v>
      </c>
      <c r="H231" s="260">
        <f t="shared" si="39"/>
        <v>-1</v>
      </c>
      <c r="I231" s="264"/>
      <c r="J231" s="32" t="s">
        <v>269</v>
      </c>
      <c r="K231" s="73"/>
      <c r="L231" s="126"/>
    </row>
    <row r="232" spans="1:13" s="50" customFormat="1" x14ac:dyDescent="0.2">
      <c r="A232" s="180"/>
      <c r="B232" s="180"/>
      <c r="C232" s="180"/>
      <c r="D232" s="229"/>
      <c r="E232" s="225">
        <f>E230+I230</f>
        <v>2267</v>
      </c>
      <c r="F232" s="225">
        <f t="shared" ref="F232:F237" si="46">E232+I232-1</f>
        <v>2268</v>
      </c>
      <c r="G232" s="259">
        <f t="shared" si="38"/>
        <v>2266</v>
      </c>
      <c r="H232" s="260">
        <f t="shared" si="39"/>
        <v>2267</v>
      </c>
      <c r="I232" s="261">
        <v>2</v>
      </c>
      <c r="J232" s="226" t="s">
        <v>306</v>
      </c>
      <c r="K232" s="211"/>
      <c r="L232" s="216"/>
      <c r="M232" s="51"/>
    </row>
    <row r="233" spans="1:13" s="50" customFormat="1" ht="114.75" x14ac:dyDescent="0.2">
      <c r="A233" s="64" t="s">
        <v>128</v>
      </c>
      <c r="B233" s="64" t="s">
        <v>128</v>
      </c>
      <c r="C233" s="34"/>
      <c r="D233" s="229" t="s">
        <v>1107</v>
      </c>
      <c r="E233" s="35">
        <f t="shared" ref="E233:E237" si="47">E232+I232</f>
        <v>2269</v>
      </c>
      <c r="F233" s="35">
        <f t="shared" si="46"/>
        <v>2269</v>
      </c>
      <c r="G233" s="259">
        <f t="shared" si="38"/>
        <v>2268</v>
      </c>
      <c r="H233" s="260">
        <f t="shared" si="39"/>
        <v>2268</v>
      </c>
      <c r="I233" s="258">
        <v>1</v>
      </c>
      <c r="J233" s="36" t="s">
        <v>232</v>
      </c>
      <c r="K233" s="222" t="s">
        <v>1069</v>
      </c>
      <c r="L233" s="222" t="s">
        <v>1070</v>
      </c>
      <c r="M233" s="51"/>
    </row>
    <row r="234" spans="1:13" s="50" customFormat="1" x14ac:dyDescent="0.2">
      <c r="A234" s="64"/>
      <c r="B234" s="64"/>
      <c r="C234" s="34"/>
      <c r="D234" s="229"/>
      <c r="E234" s="35">
        <f t="shared" si="47"/>
        <v>2270</v>
      </c>
      <c r="F234" s="35">
        <f t="shared" si="46"/>
        <v>2270</v>
      </c>
      <c r="G234" s="259">
        <f t="shared" si="38"/>
        <v>2269</v>
      </c>
      <c r="H234" s="260">
        <f t="shared" si="39"/>
        <v>2269</v>
      </c>
      <c r="I234" s="258">
        <v>1</v>
      </c>
      <c r="J234" s="65" t="s">
        <v>306</v>
      </c>
      <c r="K234" s="127"/>
      <c r="L234" s="121"/>
      <c r="M234" s="51"/>
    </row>
    <row r="235" spans="1:13" s="50" customFormat="1" ht="60.75" customHeight="1" x14ac:dyDescent="0.2">
      <c r="A235" s="64" t="s">
        <v>127</v>
      </c>
      <c r="B235" s="64" t="s">
        <v>127</v>
      </c>
      <c r="C235" s="34"/>
      <c r="D235" s="229" t="s">
        <v>1109</v>
      </c>
      <c r="E235" s="35">
        <f t="shared" si="47"/>
        <v>2271</v>
      </c>
      <c r="F235" s="35">
        <f t="shared" si="46"/>
        <v>2273</v>
      </c>
      <c r="G235" s="259">
        <f t="shared" si="38"/>
        <v>2270</v>
      </c>
      <c r="H235" s="260">
        <f t="shared" si="39"/>
        <v>2272</v>
      </c>
      <c r="I235" s="258">
        <v>3</v>
      </c>
      <c r="J235" s="66" t="s">
        <v>624</v>
      </c>
      <c r="K235" s="121" t="s">
        <v>534</v>
      </c>
      <c r="L235" s="244" t="s">
        <v>900</v>
      </c>
      <c r="M235" s="51"/>
    </row>
    <row r="236" spans="1:13" s="50" customFormat="1" ht="60.75" customHeight="1" x14ac:dyDescent="0.2">
      <c r="A236" s="64" t="s">
        <v>127</v>
      </c>
      <c r="B236" s="64" t="s">
        <v>127</v>
      </c>
      <c r="C236" s="34"/>
      <c r="D236" s="229" t="s">
        <v>1109</v>
      </c>
      <c r="E236" s="35">
        <f t="shared" si="47"/>
        <v>2274</v>
      </c>
      <c r="F236" s="35">
        <f t="shared" si="46"/>
        <v>2276</v>
      </c>
      <c r="G236" s="259">
        <f t="shared" si="38"/>
        <v>2273</v>
      </c>
      <c r="H236" s="260">
        <f t="shared" si="39"/>
        <v>2275</v>
      </c>
      <c r="I236" s="265">
        <v>3</v>
      </c>
      <c r="J236" s="108" t="s">
        <v>625</v>
      </c>
      <c r="K236" s="121" t="s">
        <v>535</v>
      </c>
      <c r="L236" s="244"/>
      <c r="M236" s="51"/>
    </row>
    <row r="237" spans="1:13" s="50" customFormat="1" ht="63.75" x14ac:dyDescent="0.2">
      <c r="A237" s="64" t="s">
        <v>127</v>
      </c>
      <c r="B237" s="64" t="s">
        <v>127</v>
      </c>
      <c r="C237" s="34"/>
      <c r="D237" s="229" t="s">
        <v>1107</v>
      </c>
      <c r="E237" s="35">
        <f t="shared" si="47"/>
        <v>2277</v>
      </c>
      <c r="F237" s="35">
        <f t="shared" si="46"/>
        <v>2277</v>
      </c>
      <c r="G237" s="259">
        <f t="shared" si="38"/>
        <v>2276</v>
      </c>
      <c r="H237" s="260">
        <f t="shared" si="39"/>
        <v>2276</v>
      </c>
      <c r="I237" s="258">
        <v>1</v>
      </c>
      <c r="J237" s="66" t="s">
        <v>798</v>
      </c>
      <c r="K237" s="121" t="s">
        <v>800</v>
      </c>
      <c r="L237" s="121" t="s">
        <v>69</v>
      </c>
      <c r="M237" s="51"/>
    </row>
    <row r="238" spans="1:13" s="50" customFormat="1" x14ac:dyDescent="0.2">
      <c r="A238" s="64"/>
      <c r="B238" s="64"/>
      <c r="C238" s="34"/>
      <c r="D238" s="229"/>
      <c r="E238" s="225">
        <f>E237+I237</f>
        <v>2278</v>
      </c>
      <c r="F238" s="35">
        <f>E238+I238-1</f>
        <v>2286</v>
      </c>
      <c r="G238" s="259">
        <f t="shared" si="38"/>
        <v>2277</v>
      </c>
      <c r="H238" s="260">
        <f t="shared" si="39"/>
        <v>2285</v>
      </c>
      <c r="I238" s="261">
        <v>9</v>
      </c>
      <c r="J238" s="66" t="s">
        <v>306</v>
      </c>
      <c r="K238" s="174"/>
      <c r="L238" s="174"/>
      <c r="M238" s="51"/>
    </row>
    <row r="239" spans="1:13" s="50" customFormat="1" ht="38.25" x14ac:dyDescent="0.2">
      <c r="A239" s="64" t="s">
        <v>128</v>
      </c>
      <c r="B239" s="64" t="s">
        <v>127</v>
      </c>
      <c r="C239" s="64"/>
      <c r="D239" s="229" t="s">
        <v>1107</v>
      </c>
      <c r="E239" s="66">
        <f>E238+I238</f>
        <v>2287</v>
      </c>
      <c r="F239" s="66">
        <f>E239+I239-1</f>
        <v>2287</v>
      </c>
      <c r="G239" s="259">
        <f t="shared" si="38"/>
        <v>2286</v>
      </c>
      <c r="H239" s="260">
        <f t="shared" si="39"/>
        <v>2286</v>
      </c>
      <c r="I239" s="258">
        <v>1</v>
      </c>
      <c r="J239" s="66" t="s">
        <v>968</v>
      </c>
      <c r="K239" s="174" t="s">
        <v>989</v>
      </c>
      <c r="L239" s="174" t="s">
        <v>69</v>
      </c>
      <c r="M239" s="51"/>
    </row>
    <row r="240" spans="1:13" s="35" customFormat="1" x14ac:dyDescent="0.2">
      <c r="A240" s="34"/>
      <c r="B240" s="34"/>
      <c r="C240" s="34"/>
      <c r="D240" s="229"/>
      <c r="G240" s="259">
        <f t="shared" si="38"/>
        <v>-1</v>
      </c>
      <c r="H240" s="260">
        <f t="shared" si="39"/>
        <v>-1</v>
      </c>
      <c r="I240" s="258"/>
      <c r="J240" s="32" t="s">
        <v>135</v>
      </c>
      <c r="K240" s="122"/>
      <c r="L240" s="156"/>
    </row>
    <row r="241" spans="1:12" s="35" customFormat="1" ht="12.75" customHeight="1" x14ac:dyDescent="0.2">
      <c r="A241" s="180"/>
      <c r="B241" s="180"/>
      <c r="C241" s="180"/>
      <c r="D241" s="229"/>
      <c r="E241" s="66">
        <f>E239+I239</f>
        <v>2288</v>
      </c>
      <c r="F241" s="225">
        <f>E241+I241-1</f>
        <v>2331</v>
      </c>
      <c r="G241" s="259">
        <f t="shared" si="38"/>
        <v>2287</v>
      </c>
      <c r="H241" s="260">
        <f t="shared" si="39"/>
        <v>2330</v>
      </c>
      <c r="I241" s="261">
        <v>44</v>
      </c>
      <c r="J241" s="66" t="s">
        <v>306</v>
      </c>
      <c r="K241" s="203"/>
      <c r="L241" s="213"/>
    </row>
    <row r="242" spans="1:12" s="35" customFormat="1" x14ac:dyDescent="0.2">
      <c r="A242" s="34"/>
      <c r="B242" s="34"/>
      <c r="C242" s="34"/>
      <c r="D242" s="229"/>
      <c r="G242" s="259">
        <f t="shared" si="38"/>
        <v>-1</v>
      </c>
      <c r="H242" s="260">
        <f t="shared" si="39"/>
        <v>-1</v>
      </c>
      <c r="I242" s="258"/>
      <c r="J242" s="32" t="s">
        <v>233</v>
      </c>
      <c r="K242" s="122"/>
      <c r="L242" s="213"/>
    </row>
    <row r="243" spans="1:12" s="35" customFormat="1" ht="27.75" customHeight="1" x14ac:dyDescent="0.2">
      <c r="A243" s="34" t="s">
        <v>128</v>
      </c>
      <c r="B243" s="34" t="s">
        <v>128</v>
      </c>
      <c r="C243" s="64" t="s">
        <v>599</v>
      </c>
      <c r="D243" s="229" t="s">
        <v>1107</v>
      </c>
      <c r="E243" s="35">
        <f>E241+I241</f>
        <v>2332</v>
      </c>
      <c r="F243" s="35">
        <f>E243+I243-1</f>
        <v>2334</v>
      </c>
      <c r="G243" s="259">
        <f t="shared" si="38"/>
        <v>2331</v>
      </c>
      <c r="H243" s="260">
        <f t="shared" si="39"/>
        <v>2333</v>
      </c>
      <c r="I243" s="258">
        <v>3</v>
      </c>
      <c r="J243" s="35" t="s">
        <v>236</v>
      </c>
      <c r="K243" s="122" t="s">
        <v>516</v>
      </c>
      <c r="L243" s="244" t="s">
        <v>914</v>
      </c>
    </row>
    <row r="244" spans="1:12" s="35" customFormat="1" ht="93.75" customHeight="1" x14ac:dyDescent="0.2">
      <c r="A244" s="34" t="s">
        <v>128</v>
      </c>
      <c r="B244" s="34" t="s">
        <v>128</v>
      </c>
      <c r="C244" s="64" t="s">
        <v>599</v>
      </c>
      <c r="D244" s="229" t="s">
        <v>1107</v>
      </c>
      <c r="E244" s="35">
        <f>E243+I243</f>
        <v>2335</v>
      </c>
      <c r="F244" s="35">
        <f>E244+I244-1</f>
        <v>2337</v>
      </c>
      <c r="G244" s="259">
        <f t="shared" si="38"/>
        <v>2334</v>
      </c>
      <c r="H244" s="260">
        <f t="shared" si="39"/>
        <v>2336</v>
      </c>
      <c r="I244" s="258">
        <v>3</v>
      </c>
      <c r="J244" s="66" t="s">
        <v>739</v>
      </c>
      <c r="K244" s="72" t="s">
        <v>55</v>
      </c>
      <c r="L244" s="244"/>
    </row>
    <row r="245" spans="1:12" s="35" customFormat="1" ht="12.75" customHeight="1" x14ac:dyDescent="0.2">
      <c r="A245" s="34" t="s">
        <v>128</v>
      </c>
      <c r="B245" s="34" t="s">
        <v>128</v>
      </c>
      <c r="C245" s="64" t="s">
        <v>599</v>
      </c>
      <c r="D245" s="229" t="s">
        <v>1107</v>
      </c>
      <c r="E245" s="35">
        <f>E244+I244</f>
        <v>2338</v>
      </c>
      <c r="F245" s="35">
        <f>E245+I245-1</f>
        <v>2347</v>
      </c>
      <c r="G245" s="259">
        <f t="shared" si="38"/>
        <v>2337</v>
      </c>
      <c r="H245" s="260">
        <f t="shared" si="39"/>
        <v>2346</v>
      </c>
      <c r="I245" s="258">
        <v>10</v>
      </c>
      <c r="J245" s="35" t="s">
        <v>237</v>
      </c>
      <c r="K245" s="122"/>
      <c r="L245" s="244"/>
    </row>
    <row r="246" spans="1:12" s="35" customFormat="1" x14ac:dyDescent="0.2">
      <c r="A246" s="34"/>
      <c r="B246" s="34"/>
      <c r="C246" s="34"/>
      <c r="D246" s="229"/>
      <c r="G246" s="259">
        <f t="shared" si="38"/>
        <v>-1</v>
      </c>
      <c r="H246" s="260">
        <f t="shared" si="39"/>
        <v>-1</v>
      </c>
      <c r="I246" s="258"/>
      <c r="J246" s="32" t="s">
        <v>238</v>
      </c>
      <c r="K246" s="122"/>
      <c r="L246" s="244"/>
    </row>
    <row r="247" spans="1:12" s="35" customFormat="1" ht="27.75" customHeight="1" x14ac:dyDescent="0.2">
      <c r="A247" s="34" t="s">
        <v>128</v>
      </c>
      <c r="B247" s="34" t="s">
        <v>128</v>
      </c>
      <c r="C247" s="64" t="s">
        <v>599</v>
      </c>
      <c r="D247" s="229" t="s">
        <v>1107</v>
      </c>
      <c r="E247" s="35">
        <f>E245+I245</f>
        <v>2348</v>
      </c>
      <c r="F247" s="35">
        <f>E247+I247-1</f>
        <v>2350</v>
      </c>
      <c r="G247" s="259">
        <f t="shared" si="38"/>
        <v>2347</v>
      </c>
      <c r="H247" s="260">
        <f t="shared" si="39"/>
        <v>2349</v>
      </c>
      <c r="I247" s="258">
        <v>3</v>
      </c>
      <c r="J247" s="35" t="s">
        <v>239</v>
      </c>
      <c r="K247" s="122" t="s">
        <v>516</v>
      </c>
      <c r="L247" s="244"/>
    </row>
    <row r="248" spans="1:12" s="35" customFormat="1" ht="92.25" customHeight="1" x14ac:dyDescent="0.2">
      <c r="A248" s="34" t="s">
        <v>128</v>
      </c>
      <c r="B248" s="34" t="s">
        <v>128</v>
      </c>
      <c r="C248" s="64" t="s">
        <v>599</v>
      </c>
      <c r="D248" s="229" t="s">
        <v>1107</v>
      </c>
      <c r="E248" s="35">
        <f>E247+I247</f>
        <v>2351</v>
      </c>
      <c r="F248" s="35">
        <f>E248+I248-1</f>
        <v>2353</v>
      </c>
      <c r="G248" s="259">
        <f t="shared" si="38"/>
        <v>2350</v>
      </c>
      <c r="H248" s="260">
        <f t="shared" si="39"/>
        <v>2352</v>
      </c>
      <c r="I248" s="258">
        <v>3</v>
      </c>
      <c r="J248" s="66" t="s">
        <v>740</v>
      </c>
      <c r="K248" s="72" t="s">
        <v>55</v>
      </c>
      <c r="L248" s="244"/>
    </row>
    <row r="249" spans="1:12" s="35" customFormat="1" ht="12.75" customHeight="1" x14ac:dyDescent="0.2">
      <c r="A249" s="34" t="s">
        <v>128</v>
      </c>
      <c r="B249" s="34" t="s">
        <v>128</v>
      </c>
      <c r="C249" s="64" t="s">
        <v>599</v>
      </c>
      <c r="D249" s="229" t="s">
        <v>1107</v>
      </c>
      <c r="E249" s="35">
        <f>E248+I248</f>
        <v>2354</v>
      </c>
      <c r="F249" s="35">
        <f>E249+I249-1</f>
        <v>2363</v>
      </c>
      <c r="G249" s="259">
        <f t="shared" si="38"/>
        <v>2353</v>
      </c>
      <c r="H249" s="260">
        <f t="shared" si="39"/>
        <v>2362</v>
      </c>
      <c r="I249" s="258">
        <v>10</v>
      </c>
      <c r="J249" s="35" t="s">
        <v>240</v>
      </c>
      <c r="K249" s="122"/>
      <c r="L249" s="244"/>
    </row>
    <row r="250" spans="1:12" s="35" customFormat="1" x14ac:dyDescent="0.2">
      <c r="A250" s="34"/>
      <c r="B250" s="34"/>
      <c r="C250" s="34"/>
      <c r="D250" s="229"/>
      <c r="E250" s="225">
        <f>E249+I249</f>
        <v>2364</v>
      </c>
      <c r="F250" s="35">
        <f>E250+I250-1</f>
        <v>2393</v>
      </c>
      <c r="G250" s="259">
        <f t="shared" si="38"/>
        <v>2363</v>
      </c>
      <c r="H250" s="260">
        <f t="shared" si="39"/>
        <v>2392</v>
      </c>
      <c r="I250" s="261">
        <v>30</v>
      </c>
      <c r="J250" s="40" t="s">
        <v>306</v>
      </c>
      <c r="K250" s="38"/>
      <c r="L250" s="126"/>
    </row>
    <row r="251" spans="1:12" s="35" customFormat="1" x14ac:dyDescent="0.2">
      <c r="A251" s="52"/>
      <c r="B251" s="52"/>
      <c r="C251" s="52"/>
      <c r="D251" s="229"/>
      <c r="G251" s="259">
        <f t="shared" si="38"/>
        <v>-1</v>
      </c>
      <c r="H251" s="260">
        <f t="shared" si="39"/>
        <v>-1</v>
      </c>
      <c r="I251" s="258"/>
      <c r="J251" s="32" t="s">
        <v>183</v>
      </c>
      <c r="K251" s="38"/>
      <c r="L251" s="126"/>
    </row>
    <row r="252" spans="1:12" s="53" customFormat="1" ht="27.75" customHeight="1" x14ac:dyDescent="0.2">
      <c r="A252" s="34" t="s">
        <v>128</v>
      </c>
      <c r="B252" s="34" t="s">
        <v>128</v>
      </c>
      <c r="C252" s="64" t="s">
        <v>599</v>
      </c>
      <c r="D252" s="229" t="s">
        <v>1107</v>
      </c>
      <c r="E252" s="35">
        <f>E250+I250</f>
        <v>2394</v>
      </c>
      <c r="F252" s="35">
        <f>E252+I252-1</f>
        <v>2394</v>
      </c>
      <c r="G252" s="259">
        <f t="shared" si="38"/>
        <v>2393</v>
      </c>
      <c r="H252" s="260">
        <f t="shared" si="39"/>
        <v>2393</v>
      </c>
      <c r="I252" s="258">
        <v>1</v>
      </c>
      <c r="J252" s="66" t="s">
        <v>473</v>
      </c>
      <c r="K252" s="239" t="s">
        <v>48</v>
      </c>
      <c r="L252" s="244" t="s">
        <v>915</v>
      </c>
    </row>
    <row r="253" spans="1:12" s="53" customFormat="1" ht="27.75" customHeight="1" x14ac:dyDescent="0.2">
      <c r="A253" s="34" t="s">
        <v>128</v>
      </c>
      <c r="B253" s="34" t="s">
        <v>128</v>
      </c>
      <c r="C253" s="64" t="s">
        <v>599</v>
      </c>
      <c r="D253" s="229" t="s">
        <v>1107</v>
      </c>
      <c r="E253" s="35">
        <f>E252+I252</f>
        <v>2395</v>
      </c>
      <c r="F253" s="35">
        <f>E253+I253-1</f>
        <v>2395</v>
      </c>
      <c r="G253" s="259">
        <f t="shared" si="38"/>
        <v>2394</v>
      </c>
      <c r="H253" s="260">
        <f t="shared" si="39"/>
        <v>2394</v>
      </c>
      <c r="I253" s="258">
        <v>1</v>
      </c>
      <c r="J253" s="66" t="s">
        <v>474</v>
      </c>
      <c r="K253" s="239"/>
      <c r="L253" s="244"/>
    </row>
    <row r="254" spans="1:12" s="35" customFormat="1" x14ac:dyDescent="0.2">
      <c r="A254" s="34"/>
      <c r="B254" s="34"/>
      <c r="C254" s="34"/>
      <c r="D254" s="229"/>
      <c r="E254" s="225">
        <f>E253+I253</f>
        <v>2396</v>
      </c>
      <c r="F254" s="35">
        <f t="shared" ref="F254" si="48">E254+I254-1</f>
        <v>2528</v>
      </c>
      <c r="G254" s="259">
        <f t="shared" si="38"/>
        <v>2395</v>
      </c>
      <c r="H254" s="260">
        <f t="shared" si="39"/>
        <v>2527</v>
      </c>
      <c r="I254" s="261">
        <v>133</v>
      </c>
      <c r="J254" s="35" t="s">
        <v>306</v>
      </c>
      <c r="K254" s="122" t="s">
        <v>72</v>
      </c>
      <c r="L254" s="126"/>
    </row>
    <row r="255" spans="1:12" s="42" customFormat="1" ht="25.5" x14ac:dyDescent="0.2">
      <c r="A255" s="41"/>
      <c r="B255" s="41"/>
      <c r="C255" s="41"/>
      <c r="D255" s="229"/>
      <c r="G255" s="259">
        <f t="shared" si="38"/>
        <v>-1</v>
      </c>
      <c r="H255" s="260">
        <f t="shared" si="39"/>
        <v>-1</v>
      </c>
      <c r="I255" s="263"/>
      <c r="J255" s="32" t="s">
        <v>574</v>
      </c>
      <c r="K255" s="122"/>
      <c r="L255" s="222" t="s">
        <v>1046</v>
      </c>
    </row>
    <row r="256" spans="1:12" s="42" customFormat="1" ht="12.75" customHeight="1" x14ac:dyDescent="0.2">
      <c r="A256" s="64" t="s">
        <v>128</v>
      </c>
      <c r="B256" s="64" t="s">
        <v>128</v>
      </c>
      <c r="C256" s="34"/>
      <c r="D256" s="229" t="s">
        <v>1107</v>
      </c>
      <c r="E256" s="35">
        <f>E254+I254</f>
        <v>2529</v>
      </c>
      <c r="F256" s="35">
        <f t="shared" ref="F256:F273" si="49">E256+I256-1</f>
        <v>2529</v>
      </c>
      <c r="G256" s="259">
        <f t="shared" si="38"/>
        <v>2528</v>
      </c>
      <c r="H256" s="260">
        <f t="shared" si="39"/>
        <v>2528</v>
      </c>
      <c r="I256" s="258">
        <v>1</v>
      </c>
      <c r="J256" s="66" t="s">
        <v>711</v>
      </c>
      <c r="K256" s="244" t="s">
        <v>502</v>
      </c>
      <c r="L256" s="245" t="s">
        <v>1047</v>
      </c>
    </row>
    <row r="257" spans="1:12" s="42" customFormat="1" x14ac:dyDescent="0.2">
      <c r="A257" s="64" t="s">
        <v>128</v>
      </c>
      <c r="B257" s="64" t="s">
        <v>128</v>
      </c>
      <c r="C257" s="34"/>
      <c r="D257" s="229" t="s">
        <v>1107</v>
      </c>
      <c r="E257" s="35">
        <f t="shared" ref="E257:E273" si="50">E256+I256</f>
        <v>2530</v>
      </c>
      <c r="F257" s="35">
        <f t="shared" si="49"/>
        <v>2530</v>
      </c>
      <c r="G257" s="259">
        <f t="shared" si="38"/>
        <v>2529</v>
      </c>
      <c r="H257" s="260">
        <f t="shared" si="39"/>
        <v>2529</v>
      </c>
      <c r="I257" s="258">
        <v>1</v>
      </c>
      <c r="J257" s="66" t="s">
        <v>712</v>
      </c>
      <c r="K257" s="239"/>
      <c r="L257" s="245"/>
    </row>
    <row r="258" spans="1:12" s="42" customFormat="1" x14ac:dyDescent="0.2">
      <c r="A258" s="64" t="s">
        <v>128</v>
      </c>
      <c r="B258" s="64" t="s">
        <v>128</v>
      </c>
      <c r="C258" s="34"/>
      <c r="D258" s="229" t="s">
        <v>1107</v>
      </c>
      <c r="E258" s="35">
        <f t="shared" si="50"/>
        <v>2531</v>
      </c>
      <c r="F258" s="35">
        <f t="shared" si="49"/>
        <v>2531</v>
      </c>
      <c r="G258" s="259">
        <f t="shared" si="38"/>
        <v>2530</v>
      </c>
      <c r="H258" s="260">
        <f t="shared" si="39"/>
        <v>2530</v>
      </c>
      <c r="I258" s="258">
        <v>1</v>
      </c>
      <c r="J258" s="66" t="s">
        <v>713</v>
      </c>
      <c r="K258" s="239"/>
      <c r="L258" s="245"/>
    </row>
    <row r="259" spans="1:12" s="42" customFormat="1" x14ac:dyDescent="0.2">
      <c r="A259" s="64" t="s">
        <v>128</v>
      </c>
      <c r="B259" s="64" t="s">
        <v>128</v>
      </c>
      <c r="C259" s="34"/>
      <c r="D259" s="229" t="s">
        <v>1107</v>
      </c>
      <c r="E259" s="35">
        <f t="shared" si="50"/>
        <v>2532</v>
      </c>
      <c r="F259" s="35">
        <f t="shared" si="49"/>
        <v>2532</v>
      </c>
      <c r="G259" s="259">
        <f t="shared" si="38"/>
        <v>2531</v>
      </c>
      <c r="H259" s="260">
        <f t="shared" si="39"/>
        <v>2531</v>
      </c>
      <c r="I259" s="258">
        <v>1</v>
      </c>
      <c r="J259" s="66" t="s">
        <v>714</v>
      </c>
      <c r="K259" s="239"/>
      <c r="L259" s="245"/>
    </row>
    <row r="260" spans="1:12" s="42" customFormat="1" x14ac:dyDescent="0.2">
      <c r="A260" s="64" t="s">
        <v>128</v>
      </c>
      <c r="B260" s="64" t="s">
        <v>128</v>
      </c>
      <c r="C260" s="34"/>
      <c r="D260" s="229" t="s">
        <v>1107</v>
      </c>
      <c r="E260" s="35">
        <f t="shared" si="50"/>
        <v>2533</v>
      </c>
      <c r="F260" s="35">
        <f t="shared" si="49"/>
        <v>2533</v>
      </c>
      <c r="G260" s="259">
        <f t="shared" si="38"/>
        <v>2532</v>
      </c>
      <c r="H260" s="260">
        <f t="shared" si="39"/>
        <v>2532</v>
      </c>
      <c r="I260" s="258">
        <v>1</v>
      </c>
      <c r="J260" s="66" t="s">
        <v>715</v>
      </c>
      <c r="K260" s="239"/>
      <c r="L260" s="245"/>
    </row>
    <row r="261" spans="1:12" s="42" customFormat="1" x14ac:dyDescent="0.2">
      <c r="A261" s="64" t="s">
        <v>128</v>
      </c>
      <c r="B261" s="64" t="s">
        <v>128</v>
      </c>
      <c r="C261" s="34"/>
      <c r="D261" s="229" t="s">
        <v>1107</v>
      </c>
      <c r="E261" s="35">
        <f t="shared" si="50"/>
        <v>2534</v>
      </c>
      <c r="F261" s="35">
        <f t="shared" si="49"/>
        <v>2534</v>
      </c>
      <c r="G261" s="259">
        <f t="shared" ref="G261:G324" si="51">E261-1</f>
        <v>2533</v>
      </c>
      <c r="H261" s="260">
        <f t="shared" ref="H261:H324" si="52">F261-1</f>
        <v>2533</v>
      </c>
      <c r="I261" s="258">
        <v>1</v>
      </c>
      <c r="J261" s="66" t="s">
        <v>716</v>
      </c>
      <c r="K261" s="239"/>
      <c r="L261" s="245"/>
    </row>
    <row r="262" spans="1:12" s="42" customFormat="1" x14ac:dyDescent="0.2">
      <c r="A262" s="64" t="s">
        <v>128</v>
      </c>
      <c r="B262" s="64" t="s">
        <v>128</v>
      </c>
      <c r="C262" s="34"/>
      <c r="D262" s="229" t="s">
        <v>1107</v>
      </c>
      <c r="E262" s="35">
        <f t="shared" si="50"/>
        <v>2535</v>
      </c>
      <c r="F262" s="35">
        <f t="shared" si="49"/>
        <v>2535</v>
      </c>
      <c r="G262" s="259">
        <f t="shared" si="51"/>
        <v>2534</v>
      </c>
      <c r="H262" s="260">
        <f t="shared" si="52"/>
        <v>2534</v>
      </c>
      <c r="I262" s="258">
        <v>1</v>
      </c>
      <c r="J262" s="66" t="s">
        <v>718</v>
      </c>
      <c r="K262" s="239"/>
      <c r="L262" s="245"/>
    </row>
    <row r="263" spans="1:12" s="42" customFormat="1" x14ac:dyDescent="0.2">
      <c r="A263" s="64" t="s">
        <v>128</v>
      </c>
      <c r="B263" s="64" t="s">
        <v>128</v>
      </c>
      <c r="C263" s="34"/>
      <c r="D263" s="229" t="s">
        <v>1107</v>
      </c>
      <c r="E263" s="35">
        <f t="shared" si="50"/>
        <v>2536</v>
      </c>
      <c r="F263" s="35">
        <f t="shared" si="49"/>
        <v>2536</v>
      </c>
      <c r="G263" s="259">
        <f t="shared" si="51"/>
        <v>2535</v>
      </c>
      <c r="H263" s="260">
        <f t="shared" si="52"/>
        <v>2535</v>
      </c>
      <c r="I263" s="258">
        <v>1</v>
      </c>
      <c r="J263" s="66" t="s">
        <v>717</v>
      </c>
      <c r="K263" s="239"/>
      <c r="L263" s="245"/>
    </row>
    <row r="264" spans="1:12" s="42" customFormat="1" x14ac:dyDescent="0.2">
      <c r="A264" s="64" t="s">
        <v>128</v>
      </c>
      <c r="B264" s="64" t="s">
        <v>128</v>
      </c>
      <c r="C264" s="34"/>
      <c r="D264" s="229" t="s">
        <v>1107</v>
      </c>
      <c r="E264" s="35">
        <f t="shared" si="50"/>
        <v>2537</v>
      </c>
      <c r="F264" s="35">
        <f t="shared" si="49"/>
        <v>2537</v>
      </c>
      <c r="G264" s="259">
        <f t="shared" si="51"/>
        <v>2536</v>
      </c>
      <c r="H264" s="260">
        <f t="shared" si="52"/>
        <v>2536</v>
      </c>
      <c r="I264" s="258">
        <v>1</v>
      </c>
      <c r="J264" s="66" t="s">
        <v>720</v>
      </c>
      <c r="K264" s="239"/>
      <c r="L264" s="245"/>
    </row>
    <row r="265" spans="1:12" s="42" customFormat="1" x14ac:dyDescent="0.2">
      <c r="A265" s="64" t="s">
        <v>128</v>
      </c>
      <c r="B265" s="64" t="s">
        <v>128</v>
      </c>
      <c r="C265" s="34"/>
      <c r="D265" s="229" t="s">
        <v>1107</v>
      </c>
      <c r="E265" s="35">
        <f t="shared" si="50"/>
        <v>2538</v>
      </c>
      <c r="F265" s="35">
        <f t="shared" si="49"/>
        <v>2538</v>
      </c>
      <c r="G265" s="259">
        <f t="shared" si="51"/>
        <v>2537</v>
      </c>
      <c r="H265" s="260">
        <f t="shared" si="52"/>
        <v>2537</v>
      </c>
      <c r="I265" s="258">
        <v>1</v>
      </c>
      <c r="J265" s="66" t="s">
        <v>719</v>
      </c>
      <c r="K265" s="239"/>
      <c r="L265" s="245"/>
    </row>
    <row r="266" spans="1:12" s="42" customFormat="1" x14ac:dyDescent="0.2">
      <c r="A266" s="64" t="s">
        <v>128</v>
      </c>
      <c r="B266" s="64" t="s">
        <v>128</v>
      </c>
      <c r="C266" s="34"/>
      <c r="D266" s="229" t="s">
        <v>1107</v>
      </c>
      <c r="E266" s="35">
        <f t="shared" si="50"/>
        <v>2539</v>
      </c>
      <c r="F266" s="35">
        <f t="shared" si="49"/>
        <v>2539</v>
      </c>
      <c r="G266" s="259">
        <f t="shared" si="51"/>
        <v>2538</v>
      </c>
      <c r="H266" s="260">
        <f t="shared" si="52"/>
        <v>2538</v>
      </c>
      <c r="I266" s="258">
        <v>1</v>
      </c>
      <c r="J266" s="66" t="s">
        <v>722</v>
      </c>
      <c r="K266" s="239"/>
      <c r="L266" s="245"/>
    </row>
    <row r="267" spans="1:12" s="42" customFormat="1" x14ac:dyDescent="0.2">
      <c r="A267" s="64" t="s">
        <v>128</v>
      </c>
      <c r="B267" s="64" t="s">
        <v>128</v>
      </c>
      <c r="C267" s="34"/>
      <c r="D267" s="229" t="s">
        <v>1107</v>
      </c>
      <c r="E267" s="35">
        <f t="shared" si="50"/>
        <v>2540</v>
      </c>
      <c r="F267" s="35">
        <f t="shared" si="49"/>
        <v>2540</v>
      </c>
      <c r="G267" s="259">
        <f t="shared" si="51"/>
        <v>2539</v>
      </c>
      <c r="H267" s="260">
        <f t="shared" si="52"/>
        <v>2539</v>
      </c>
      <c r="I267" s="258">
        <v>1</v>
      </c>
      <c r="J267" s="66" t="s">
        <v>721</v>
      </c>
      <c r="K267" s="239"/>
      <c r="L267" s="245"/>
    </row>
    <row r="268" spans="1:12" s="42" customFormat="1" x14ac:dyDescent="0.2">
      <c r="A268" s="64" t="s">
        <v>128</v>
      </c>
      <c r="B268" s="64" t="s">
        <v>128</v>
      </c>
      <c r="C268" s="34"/>
      <c r="D268" s="229" t="s">
        <v>1107</v>
      </c>
      <c r="E268" s="35">
        <f t="shared" si="50"/>
        <v>2541</v>
      </c>
      <c r="F268" s="35">
        <f t="shared" si="49"/>
        <v>2541</v>
      </c>
      <c r="G268" s="259">
        <f t="shared" si="51"/>
        <v>2540</v>
      </c>
      <c r="H268" s="260">
        <f t="shared" si="52"/>
        <v>2540</v>
      </c>
      <c r="I268" s="258">
        <v>1</v>
      </c>
      <c r="J268" s="66" t="s">
        <v>723</v>
      </c>
      <c r="K268" s="239"/>
      <c r="L268" s="245"/>
    </row>
    <row r="269" spans="1:12" s="42" customFormat="1" x14ac:dyDescent="0.2">
      <c r="A269" s="64" t="s">
        <v>128</v>
      </c>
      <c r="B269" s="64" t="s">
        <v>128</v>
      </c>
      <c r="C269" s="34"/>
      <c r="D269" s="229" t="s">
        <v>1107</v>
      </c>
      <c r="E269" s="35">
        <f t="shared" si="50"/>
        <v>2542</v>
      </c>
      <c r="F269" s="35">
        <f t="shared" si="49"/>
        <v>2542</v>
      </c>
      <c r="G269" s="259">
        <f t="shared" si="51"/>
        <v>2541</v>
      </c>
      <c r="H269" s="260">
        <f t="shared" si="52"/>
        <v>2541</v>
      </c>
      <c r="I269" s="258">
        <v>1</v>
      </c>
      <c r="J269" s="66" t="s">
        <v>724</v>
      </c>
      <c r="K269" s="239"/>
      <c r="L269" s="245"/>
    </row>
    <row r="270" spans="1:12" s="42" customFormat="1" x14ac:dyDescent="0.2">
      <c r="A270" s="64" t="s">
        <v>128</v>
      </c>
      <c r="B270" s="64" t="s">
        <v>128</v>
      </c>
      <c r="C270" s="34"/>
      <c r="D270" s="229" t="s">
        <v>1107</v>
      </c>
      <c r="E270" s="35">
        <f t="shared" si="50"/>
        <v>2543</v>
      </c>
      <c r="F270" s="35">
        <f t="shared" si="49"/>
        <v>2543</v>
      </c>
      <c r="G270" s="259">
        <f t="shared" si="51"/>
        <v>2542</v>
      </c>
      <c r="H270" s="260">
        <f t="shared" si="52"/>
        <v>2542</v>
      </c>
      <c r="I270" s="258">
        <v>1</v>
      </c>
      <c r="J270" s="66" t="s">
        <v>725</v>
      </c>
      <c r="K270" s="239"/>
      <c r="L270" s="245"/>
    </row>
    <row r="271" spans="1:12" s="42" customFormat="1" x14ac:dyDescent="0.2">
      <c r="A271" s="64" t="s">
        <v>128</v>
      </c>
      <c r="B271" s="64" t="s">
        <v>128</v>
      </c>
      <c r="C271" s="34"/>
      <c r="D271" s="229" t="s">
        <v>1107</v>
      </c>
      <c r="E271" s="35">
        <f t="shared" si="50"/>
        <v>2544</v>
      </c>
      <c r="F271" s="35">
        <f t="shared" si="49"/>
        <v>2544</v>
      </c>
      <c r="G271" s="259">
        <f t="shared" si="51"/>
        <v>2543</v>
      </c>
      <c r="H271" s="260">
        <f t="shared" si="52"/>
        <v>2543</v>
      </c>
      <c r="I271" s="258">
        <v>1</v>
      </c>
      <c r="J271" s="66" t="s">
        <v>726</v>
      </c>
      <c r="K271" s="239"/>
      <c r="L271" s="245"/>
    </row>
    <row r="272" spans="1:12" s="42" customFormat="1" x14ac:dyDescent="0.2">
      <c r="A272" s="64" t="s">
        <v>128</v>
      </c>
      <c r="B272" s="64" t="s">
        <v>128</v>
      </c>
      <c r="C272" s="34"/>
      <c r="D272" s="229" t="s">
        <v>1107</v>
      </c>
      <c r="E272" s="35">
        <f t="shared" si="50"/>
        <v>2545</v>
      </c>
      <c r="F272" s="35">
        <f t="shared" si="49"/>
        <v>2545</v>
      </c>
      <c r="G272" s="259">
        <f t="shared" si="51"/>
        <v>2544</v>
      </c>
      <c r="H272" s="260">
        <f t="shared" si="52"/>
        <v>2544</v>
      </c>
      <c r="I272" s="258">
        <v>1</v>
      </c>
      <c r="J272" s="66" t="s">
        <v>114</v>
      </c>
      <c r="K272" s="239"/>
      <c r="L272" s="245"/>
    </row>
    <row r="273" spans="1:12" s="42" customFormat="1" x14ac:dyDescent="0.2">
      <c r="A273" s="34"/>
      <c r="B273" s="34"/>
      <c r="C273" s="34"/>
      <c r="D273" s="229"/>
      <c r="E273" s="35">
        <f t="shared" si="50"/>
        <v>2546</v>
      </c>
      <c r="F273" s="35">
        <f t="shared" si="49"/>
        <v>2602</v>
      </c>
      <c r="G273" s="259">
        <f t="shared" si="51"/>
        <v>2545</v>
      </c>
      <c r="H273" s="260">
        <f t="shared" si="52"/>
        <v>2601</v>
      </c>
      <c r="I273" s="258">
        <v>57</v>
      </c>
      <c r="J273" s="35" t="s">
        <v>306</v>
      </c>
      <c r="K273" s="120"/>
      <c r="L273" s="121"/>
    </row>
    <row r="274" spans="1:12" s="42" customFormat="1" ht="117" customHeight="1" x14ac:dyDescent="0.2">
      <c r="A274" s="34" t="s">
        <v>127</v>
      </c>
      <c r="B274" s="34" t="s">
        <v>127</v>
      </c>
      <c r="C274" s="34"/>
      <c r="D274" s="229" t="s">
        <v>1107</v>
      </c>
      <c r="E274" s="35">
        <f>E273+I273</f>
        <v>2603</v>
      </c>
      <c r="F274" s="35">
        <v>2608</v>
      </c>
      <c r="G274" s="259">
        <f t="shared" si="51"/>
        <v>2602</v>
      </c>
      <c r="H274" s="260">
        <f t="shared" si="52"/>
        <v>2607</v>
      </c>
      <c r="I274" s="258">
        <v>6</v>
      </c>
      <c r="J274" s="40" t="s">
        <v>543</v>
      </c>
      <c r="K274" s="126" t="s">
        <v>656</v>
      </c>
      <c r="L274" s="222" t="s">
        <v>1122</v>
      </c>
    </row>
    <row r="275" spans="1:12" s="42" customFormat="1" ht="12.75" customHeight="1" x14ac:dyDescent="0.2">
      <c r="A275" s="34"/>
      <c r="B275" s="34"/>
      <c r="C275" s="34"/>
      <c r="D275" s="229"/>
      <c r="E275" s="35"/>
      <c r="F275" s="35"/>
      <c r="G275" s="259">
        <f t="shared" si="51"/>
        <v>-1</v>
      </c>
      <c r="H275" s="260">
        <f t="shared" si="52"/>
        <v>-1</v>
      </c>
      <c r="I275" s="258"/>
      <c r="J275" s="32" t="s">
        <v>322</v>
      </c>
      <c r="K275" s="55"/>
      <c r="L275" s="121"/>
    </row>
    <row r="276" spans="1:12" s="42" customFormat="1" x14ac:dyDescent="0.2">
      <c r="A276" s="180"/>
      <c r="B276" s="180"/>
      <c r="C276" s="180"/>
      <c r="D276" s="229"/>
      <c r="E276" s="225">
        <f>E274+I274</f>
        <v>2609</v>
      </c>
      <c r="F276" s="225">
        <f>E276+I276-1</f>
        <v>2620</v>
      </c>
      <c r="G276" s="259">
        <f t="shared" si="51"/>
        <v>2608</v>
      </c>
      <c r="H276" s="260">
        <f t="shared" si="52"/>
        <v>2619</v>
      </c>
      <c r="I276" s="261">
        <v>12</v>
      </c>
      <c r="J276" s="226" t="s">
        <v>306</v>
      </c>
      <c r="K276" s="216"/>
      <c r="L276" s="216"/>
    </row>
    <row r="277" spans="1:12" s="42" customFormat="1" ht="140.25" x14ac:dyDescent="0.2">
      <c r="A277" s="34" t="s">
        <v>127</v>
      </c>
      <c r="B277" s="34" t="s">
        <v>127</v>
      </c>
      <c r="C277" s="34"/>
      <c r="D277" s="229" t="s">
        <v>1107</v>
      </c>
      <c r="E277" s="35">
        <f>+E276+I276</f>
        <v>2621</v>
      </c>
      <c r="F277" s="35">
        <f>E277+I277-1</f>
        <v>2626</v>
      </c>
      <c r="G277" s="259">
        <f t="shared" si="51"/>
        <v>2620</v>
      </c>
      <c r="H277" s="260">
        <f t="shared" si="52"/>
        <v>2625</v>
      </c>
      <c r="I277" s="258">
        <v>6</v>
      </c>
      <c r="J277" s="36" t="s">
        <v>323</v>
      </c>
      <c r="K277" s="213" t="s">
        <v>807</v>
      </c>
      <c r="L277" s="217" t="s">
        <v>1066</v>
      </c>
    </row>
    <row r="278" spans="1:12" s="42" customFormat="1" x14ac:dyDescent="0.2">
      <c r="A278" s="34"/>
      <c r="B278" s="34"/>
      <c r="C278" s="34"/>
      <c r="D278" s="229"/>
      <c r="E278" s="35">
        <f>+E277+I277</f>
        <v>2627</v>
      </c>
      <c r="F278" s="35">
        <f>E278+I278-1</f>
        <v>2632</v>
      </c>
      <c r="G278" s="259">
        <f t="shared" si="51"/>
        <v>2626</v>
      </c>
      <c r="H278" s="260">
        <f t="shared" si="52"/>
        <v>2631</v>
      </c>
      <c r="I278" s="258">
        <v>6</v>
      </c>
      <c r="J278" s="65" t="s">
        <v>306</v>
      </c>
      <c r="K278" s="122"/>
      <c r="L278" s="121"/>
    </row>
    <row r="279" spans="1:12" s="42" customFormat="1" x14ac:dyDescent="0.2">
      <c r="A279" s="34"/>
      <c r="B279" s="34"/>
      <c r="C279" s="34"/>
      <c r="D279" s="229"/>
      <c r="E279" s="35"/>
      <c r="F279" s="35"/>
      <c r="G279" s="259">
        <f t="shared" si="51"/>
        <v>-1</v>
      </c>
      <c r="H279" s="260">
        <f t="shared" si="52"/>
        <v>-1</v>
      </c>
      <c r="I279" s="258"/>
      <c r="J279" s="61" t="s">
        <v>343</v>
      </c>
      <c r="K279" s="122"/>
      <c r="L279" s="121"/>
    </row>
    <row r="280" spans="1:12" s="42" customFormat="1" ht="51" x14ac:dyDescent="0.2">
      <c r="A280" s="47" t="s">
        <v>128</v>
      </c>
      <c r="B280" s="47" t="s">
        <v>128</v>
      </c>
      <c r="C280" s="34"/>
      <c r="D280" s="229" t="s">
        <v>1107</v>
      </c>
      <c r="E280" s="35">
        <f>E278+I278</f>
        <v>2633</v>
      </c>
      <c r="F280" s="35">
        <f t="shared" ref="F280:F285" si="53">E280+I280-1</f>
        <v>2633</v>
      </c>
      <c r="G280" s="259">
        <f t="shared" si="51"/>
        <v>2632</v>
      </c>
      <c r="H280" s="260">
        <f t="shared" si="52"/>
        <v>2632</v>
      </c>
      <c r="I280" s="258">
        <v>1</v>
      </c>
      <c r="J280" s="45" t="s">
        <v>345</v>
      </c>
      <c r="K280" s="126" t="s">
        <v>496</v>
      </c>
      <c r="L280" s="194" t="s">
        <v>1054</v>
      </c>
    </row>
    <row r="281" spans="1:12" s="42" customFormat="1" ht="39" customHeight="1" x14ac:dyDescent="0.2">
      <c r="A281" s="47" t="s">
        <v>128</v>
      </c>
      <c r="B281" s="47" t="s">
        <v>128</v>
      </c>
      <c r="C281" s="34"/>
      <c r="D281" s="229" t="s">
        <v>1107</v>
      </c>
      <c r="E281" s="35">
        <f>E280+I280</f>
        <v>2634</v>
      </c>
      <c r="F281" s="35">
        <f t="shared" si="53"/>
        <v>2634</v>
      </c>
      <c r="G281" s="259">
        <f t="shared" si="51"/>
        <v>2633</v>
      </c>
      <c r="H281" s="260">
        <f t="shared" si="52"/>
        <v>2633</v>
      </c>
      <c r="I281" s="258">
        <v>1</v>
      </c>
      <c r="J281" s="65" t="s">
        <v>572</v>
      </c>
      <c r="K281" s="126" t="s">
        <v>573</v>
      </c>
      <c r="L281" s="244" t="s">
        <v>69</v>
      </c>
    </row>
    <row r="282" spans="1:12" s="42" customFormat="1" ht="38.25" x14ac:dyDescent="0.2">
      <c r="A282" s="47" t="s">
        <v>128</v>
      </c>
      <c r="B282" s="47" t="s">
        <v>128</v>
      </c>
      <c r="C282" s="34"/>
      <c r="D282" s="229" t="s">
        <v>1107</v>
      </c>
      <c r="E282" s="35">
        <f>E281+I281</f>
        <v>2635</v>
      </c>
      <c r="F282" s="35">
        <f t="shared" si="53"/>
        <v>2635</v>
      </c>
      <c r="G282" s="259">
        <f t="shared" si="51"/>
        <v>2634</v>
      </c>
      <c r="H282" s="260">
        <f t="shared" si="52"/>
        <v>2634</v>
      </c>
      <c r="I282" s="258">
        <v>1</v>
      </c>
      <c r="J282" s="45" t="s">
        <v>346</v>
      </c>
      <c r="K282" s="126" t="s">
        <v>497</v>
      </c>
      <c r="L282" s="244"/>
    </row>
    <row r="283" spans="1:12" s="42" customFormat="1" ht="38.25" x14ac:dyDescent="0.2">
      <c r="A283" s="47" t="s">
        <v>128</v>
      </c>
      <c r="B283" s="47" t="s">
        <v>128</v>
      </c>
      <c r="C283" s="34"/>
      <c r="D283" s="229" t="s">
        <v>1107</v>
      </c>
      <c r="E283" s="35">
        <f>E282+I282</f>
        <v>2636</v>
      </c>
      <c r="F283" s="35">
        <f t="shared" si="53"/>
        <v>2636</v>
      </c>
      <c r="G283" s="259">
        <f t="shared" si="51"/>
        <v>2635</v>
      </c>
      <c r="H283" s="260">
        <f t="shared" si="52"/>
        <v>2635</v>
      </c>
      <c r="I283" s="258">
        <v>1</v>
      </c>
      <c r="J283" s="45" t="s">
        <v>347</v>
      </c>
      <c r="K283" s="126" t="s">
        <v>498</v>
      </c>
      <c r="L283" s="244"/>
    </row>
    <row r="284" spans="1:12" s="42" customFormat="1" ht="63.75" x14ac:dyDescent="0.2">
      <c r="A284" s="47" t="s">
        <v>128</v>
      </c>
      <c r="B284" s="47" t="s">
        <v>128</v>
      </c>
      <c r="C284" s="34"/>
      <c r="D284" s="229" t="s">
        <v>1107</v>
      </c>
      <c r="E284" s="35">
        <f>E283+I283</f>
        <v>2637</v>
      </c>
      <c r="F284" s="35">
        <f t="shared" si="53"/>
        <v>2637</v>
      </c>
      <c r="G284" s="259">
        <f t="shared" si="51"/>
        <v>2636</v>
      </c>
      <c r="H284" s="260">
        <f t="shared" si="52"/>
        <v>2636</v>
      </c>
      <c r="I284" s="258">
        <v>1</v>
      </c>
      <c r="J284" s="45" t="s">
        <v>348</v>
      </c>
      <c r="K284" s="126" t="s">
        <v>661</v>
      </c>
      <c r="L284" s="244"/>
    </row>
    <row r="285" spans="1:12" s="42" customFormat="1" ht="38.25" x14ac:dyDescent="0.2">
      <c r="A285" s="47" t="s">
        <v>128</v>
      </c>
      <c r="B285" s="47" t="s">
        <v>128</v>
      </c>
      <c r="C285" s="34"/>
      <c r="D285" s="229" t="s">
        <v>1107</v>
      </c>
      <c r="E285" s="35">
        <f>E284+I284</f>
        <v>2638</v>
      </c>
      <c r="F285" s="35">
        <f t="shared" si="53"/>
        <v>2638</v>
      </c>
      <c r="G285" s="259">
        <f t="shared" si="51"/>
        <v>2637</v>
      </c>
      <c r="H285" s="260">
        <f t="shared" si="52"/>
        <v>2637</v>
      </c>
      <c r="I285" s="258">
        <v>1</v>
      </c>
      <c r="J285" s="45" t="s">
        <v>349</v>
      </c>
      <c r="K285" s="126" t="s">
        <v>499</v>
      </c>
      <c r="L285" s="244"/>
    </row>
    <row r="286" spans="1:12" s="42" customFormat="1" x14ac:dyDescent="0.2">
      <c r="A286" s="34"/>
      <c r="B286" s="34"/>
      <c r="C286" s="34"/>
      <c r="D286" s="229"/>
      <c r="E286" s="35"/>
      <c r="F286" s="35"/>
      <c r="G286" s="259">
        <f t="shared" si="51"/>
        <v>-1</v>
      </c>
      <c r="H286" s="260">
        <f t="shared" si="52"/>
        <v>-1</v>
      </c>
      <c r="I286" s="258"/>
      <c r="J286" s="61" t="s">
        <v>344</v>
      </c>
      <c r="K286" s="122"/>
      <c r="L286" s="121"/>
    </row>
    <row r="287" spans="1:12" s="42" customFormat="1" x14ac:dyDescent="0.2">
      <c r="A287" s="180"/>
      <c r="B287" s="180"/>
      <c r="C287" s="180"/>
      <c r="D287" s="229"/>
      <c r="E287" s="225">
        <f>E285+I285</f>
        <v>2639</v>
      </c>
      <c r="F287" s="225">
        <f>E287+I287-1</f>
        <v>2640</v>
      </c>
      <c r="G287" s="259">
        <f t="shared" si="51"/>
        <v>2638</v>
      </c>
      <c r="H287" s="260">
        <f t="shared" si="52"/>
        <v>2639</v>
      </c>
      <c r="I287" s="261">
        <v>2</v>
      </c>
      <c r="J287" s="226" t="s">
        <v>306</v>
      </c>
      <c r="K287" s="215"/>
      <c r="L287" s="216"/>
    </row>
    <row r="288" spans="1:12" s="42" customFormat="1" ht="127.5" x14ac:dyDescent="0.2">
      <c r="A288" s="47" t="s">
        <v>128</v>
      </c>
      <c r="B288" s="47" t="s">
        <v>128</v>
      </c>
      <c r="C288" s="34"/>
      <c r="D288" s="229" t="s">
        <v>1107</v>
      </c>
      <c r="E288" s="35">
        <f>E287+I287</f>
        <v>2641</v>
      </c>
      <c r="F288" s="35">
        <f>E288+I288-1</f>
        <v>2641</v>
      </c>
      <c r="G288" s="259">
        <f t="shared" si="51"/>
        <v>2640</v>
      </c>
      <c r="H288" s="260">
        <f t="shared" si="52"/>
        <v>2640</v>
      </c>
      <c r="I288" s="258">
        <v>1</v>
      </c>
      <c r="J288" s="45" t="s">
        <v>350</v>
      </c>
      <c r="K288" s="213" t="s">
        <v>662</v>
      </c>
      <c r="L288" s="222" t="s">
        <v>1065</v>
      </c>
    </row>
    <row r="289" spans="1:14" s="42" customFormat="1" x14ac:dyDescent="0.2">
      <c r="A289" s="34"/>
      <c r="B289" s="34"/>
      <c r="C289" s="34"/>
      <c r="D289" s="229"/>
      <c r="E289" s="35">
        <f>E288+I288</f>
        <v>2642</v>
      </c>
      <c r="F289" s="35">
        <f>E289+I289-1</f>
        <v>2732</v>
      </c>
      <c r="G289" s="259">
        <f t="shared" si="51"/>
        <v>2641</v>
      </c>
      <c r="H289" s="260">
        <f t="shared" si="52"/>
        <v>2731</v>
      </c>
      <c r="I289" s="258">
        <v>91</v>
      </c>
      <c r="J289" s="35" t="s">
        <v>306</v>
      </c>
      <c r="K289" s="122"/>
      <c r="L289" s="126"/>
    </row>
    <row r="290" spans="1:14" s="42" customFormat="1" ht="38.25" x14ac:dyDescent="0.2">
      <c r="A290" s="34"/>
      <c r="B290" s="34"/>
      <c r="C290" s="34"/>
      <c r="D290" s="229"/>
      <c r="E290" s="35"/>
      <c r="F290" s="35"/>
      <c r="G290" s="259">
        <f t="shared" si="51"/>
        <v>-1</v>
      </c>
      <c r="H290" s="260">
        <f t="shared" si="52"/>
        <v>-1</v>
      </c>
      <c r="I290" s="258"/>
      <c r="J290" s="32" t="s">
        <v>147</v>
      </c>
      <c r="K290" s="122"/>
      <c r="L290" s="126" t="s">
        <v>681</v>
      </c>
    </row>
    <row r="291" spans="1:14" s="42" customFormat="1" ht="25.5" x14ac:dyDescent="0.2">
      <c r="A291" s="34" t="s">
        <v>127</v>
      </c>
      <c r="B291" s="34" t="s">
        <v>127</v>
      </c>
      <c r="C291" s="34" t="s">
        <v>7</v>
      </c>
      <c r="D291" s="229" t="s">
        <v>1107</v>
      </c>
      <c r="E291" s="35">
        <f>E289+I289</f>
        <v>2733</v>
      </c>
      <c r="F291" s="35">
        <f>E291+I291-1</f>
        <v>2733</v>
      </c>
      <c r="G291" s="259">
        <f t="shared" si="51"/>
        <v>2732</v>
      </c>
      <c r="H291" s="260">
        <f t="shared" si="52"/>
        <v>2732</v>
      </c>
      <c r="I291" s="258">
        <v>1</v>
      </c>
      <c r="J291" s="35" t="s">
        <v>247</v>
      </c>
      <c r="K291" s="120" t="s">
        <v>49</v>
      </c>
      <c r="L291" s="121" t="s">
        <v>148</v>
      </c>
    </row>
    <row r="292" spans="1:14" s="42" customFormat="1" ht="25.5" x14ac:dyDescent="0.2">
      <c r="A292" s="34" t="s">
        <v>127</v>
      </c>
      <c r="B292" s="34" t="s">
        <v>127</v>
      </c>
      <c r="C292" s="34"/>
      <c r="D292" s="229" t="s">
        <v>1107</v>
      </c>
      <c r="E292" s="35">
        <f>E291+I291</f>
        <v>2734</v>
      </c>
      <c r="F292" s="35">
        <f>E292+I292-1</f>
        <v>2734</v>
      </c>
      <c r="G292" s="259">
        <f t="shared" si="51"/>
        <v>2733</v>
      </c>
      <c r="H292" s="260">
        <f t="shared" si="52"/>
        <v>2733</v>
      </c>
      <c r="I292" s="258">
        <v>1</v>
      </c>
      <c r="J292" s="35" t="s">
        <v>248</v>
      </c>
      <c r="K292" s="120" t="s">
        <v>49</v>
      </c>
      <c r="L292" s="121" t="s">
        <v>149</v>
      </c>
    </row>
    <row r="293" spans="1:14" s="42" customFormat="1" ht="25.5" x14ac:dyDescent="0.2">
      <c r="A293" s="34" t="s">
        <v>127</v>
      </c>
      <c r="B293" s="34" t="s">
        <v>127</v>
      </c>
      <c r="C293" s="34"/>
      <c r="D293" s="229" t="s">
        <v>234</v>
      </c>
      <c r="E293" s="35">
        <f>E292+I292</f>
        <v>2735</v>
      </c>
      <c r="F293" s="35">
        <f>E293+I293-1</f>
        <v>2735</v>
      </c>
      <c r="G293" s="259">
        <f t="shared" si="51"/>
        <v>2734</v>
      </c>
      <c r="H293" s="260">
        <f t="shared" si="52"/>
        <v>2734</v>
      </c>
      <c r="I293" s="258">
        <v>1</v>
      </c>
      <c r="J293" s="66" t="s">
        <v>249</v>
      </c>
      <c r="K293" s="126" t="s">
        <v>49</v>
      </c>
      <c r="L293" s="121" t="s">
        <v>593</v>
      </c>
    </row>
    <row r="294" spans="1:14" s="42" customFormat="1" ht="25.5" x14ac:dyDescent="0.2">
      <c r="A294" s="34" t="s">
        <v>127</v>
      </c>
      <c r="B294" s="34" t="s">
        <v>127</v>
      </c>
      <c r="C294" s="34"/>
      <c r="D294" s="229" t="s">
        <v>1107</v>
      </c>
      <c r="E294" s="35">
        <f>E293+I293</f>
        <v>2736</v>
      </c>
      <c r="F294" s="35">
        <f>E294+I294-1</f>
        <v>2736</v>
      </c>
      <c r="G294" s="259">
        <f t="shared" si="51"/>
        <v>2735</v>
      </c>
      <c r="H294" s="260">
        <f t="shared" si="52"/>
        <v>2735</v>
      </c>
      <c r="I294" s="258">
        <v>1</v>
      </c>
      <c r="J294" s="35" t="s">
        <v>250</v>
      </c>
      <c r="K294" s="120" t="s">
        <v>49</v>
      </c>
      <c r="L294" s="121" t="s">
        <v>194</v>
      </c>
    </row>
    <row r="295" spans="1:14" s="42" customFormat="1" ht="25.5" x14ac:dyDescent="0.2">
      <c r="A295" s="64" t="s">
        <v>128</v>
      </c>
      <c r="B295" s="64" t="s">
        <v>128</v>
      </c>
      <c r="C295" s="34"/>
      <c r="D295" s="229" t="s">
        <v>1107</v>
      </c>
      <c r="E295" s="35">
        <f t="shared" ref="E295:E311" si="54">E294+I294</f>
        <v>2737</v>
      </c>
      <c r="F295" s="35">
        <f t="shared" ref="F295:F311" si="55">E295+I295-1</f>
        <v>2737</v>
      </c>
      <c r="G295" s="259">
        <f t="shared" si="51"/>
        <v>2736</v>
      </c>
      <c r="H295" s="260">
        <f t="shared" si="52"/>
        <v>2736</v>
      </c>
      <c r="I295" s="258">
        <v>1</v>
      </c>
      <c r="J295" s="35" t="s">
        <v>251</v>
      </c>
      <c r="K295" s="120" t="s">
        <v>49</v>
      </c>
      <c r="L295" s="121" t="s">
        <v>587</v>
      </c>
    </row>
    <row r="296" spans="1:14" s="42" customFormat="1" ht="25.5" x14ac:dyDescent="0.2">
      <c r="A296" s="64" t="s">
        <v>127</v>
      </c>
      <c r="B296" s="64" t="s">
        <v>127</v>
      </c>
      <c r="C296" s="34"/>
      <c r="D296" s="229" t="s">
        <v>1107</v>
      </c>
      <c r="E296" s="35">
        <f t="shared" si="54"/>
        <v>2738</v>
      </c>
      <c r="F296" s="35">
        <f t="shared" si="55"/>
        <v>2738</v>
      </c>
      <c r="G296" s="259">
        <f t="shared" si="51"/>
        <v>2737</v>
      </c>
      <c r="H296" s="260">
        <f t="shared" si="52"/>
        <v>2737</v>
      </c>
      <c r="I296" s="258">
        <v>1</v>
      </c>
      <c r="J296" s="35" t="s">
        <v>252</v>
      </c>
      <c r="K296" s="120" t="s">
        <v>49</v>
      </c>
      <c r="L296" s="121" t="s">
        <v>40</v>
      </c>
    </row>
    <row r="297" spans="1:14" s="42" customFormat="1" ht="25.5" x14ac:dyDescent="0.2">
      <c r="A297" s="64" t="s">
        <v>128</v>
      </c>
      <c r="B297" s="64" t="s">
        <v>128</v>
      </c>
      <c r="C297" s="34"/>
      <c r="D297" s="229" t="s">
        <v>1107</v>
      </c>
      <c r="E297" s="35">
        <f t="shared" si="54"/>
        <v>2739</v>
      </c>
      <c r="F297" s="35">
        <f t="shared" si="55"/>
        <v>2739</v>
      </c>
      <c r="G297" s="259">
        <f t="shared" si="51"/>
        <v>2738</v>
      </c>
      <c r="H297" s="260">
        <f t="shared" si="52"/>
        <v>2738</v>
      </c>
      <c r="I297" s="258">
        <v>1</v>
      </c>
      <c r="J297" s="35" t="s">
        <v>253</v>
      </c>
      <c r="K297" s="120" t="s">
        <v>49</v>
      </c>
      <c r="L297" s="121" t="s">
        <v>39</v>
      </c>
    </row>
    <row r="298" spans="1:14" s="31" customFormat="1" ht="25.5" x14ac:dyDescent="0.2">
      <c r="A298" s="64" t="s">
        <v>128</v>
      </c>
      <c r="B298" s="64" t="s">
        <v>128</v>
      </c>
      <c r="C298" s="34"/>
      <c r="D298" s="229" t="s">
        <v>1107</v>
      </c>
      <c r="E298" s="35">
        <f t="shared" si="54"/>
        <v>2740</v>
      </c>
      <c r="F298" s="35">
        <f t="shared" si="55"/>
        <v>2740</v>
      </c>
      <c r="G298" s="259">
        <f t="shared" si="51"/>
        <v>2739</v>
      </c>
      <c r="H298" s="260">
        <f t="shared" si="52"/>
        <v>2739</v>
      </c>
      <c r="I298" s="258">
        <v>1</v>
      </c>
      <c r="J298" s="35" t="s">
        <v>254</v>
      </c>
      <c r="K298" s="120" t="s">
        <v>49</v>
      </c>
      <c r="L298" s="121" t="s">
        <v>38</v>
      </c>
      <c r="M298" s="35"/>
      <c r="N298" s="35"/>
    </row>
    <row r="299" spans="1:14" s="35" customFormat="1" x14ac:dyDescent="0.2">
      <c r="A299" s="64" t="s">
        <v>128</v>
      </c>
      <c r="B299" s="64" t="s">
        <v>128</v>
      </c>
      <c r="C299" s="34"/>
      <c r="D299" s="229" t="s">
        <v>234</v>
      </c>
      <c r="E299" s="35">
        <f t="shared" si="54"/>
        <v>2741</v>
      </c>
      <c r="F299" s="35">
        <f t="shared" si="55"/>
        <v>2741</v>
      </c>
      <c r="G299" s="259">
        <f t="shared" si="51"/>
        <v>2740</v>
      </c>
      <c r="H299" s="260">
        <f t="shared" si="52"/>
        <v>2740</v>
      </c>
      <c r="I299" s="258">
        <v>1</v>
      </c>
      <c r="J299" s="35" t="s">
        <v>255</v>
      </c>
      <c r="K299" s="244" t="s">
        <v>49</v>
      </c>
      <c r="L299" s="121" t="s">
        <v>594</v>
      </c>
    </row>
    <row r="300" spans="1:14" s="42" customFormat="1" x14ac:dyDescent="0.2">
      <c r="A300" s="34" t="s">
        <v>127</v>
      </c>
      <c r="B300" s="34" t="s">
        <v>127</v>
      </c>
      <c r="C300" s="34"/>
      <c r="D300" s="229" t="s">
        <v>234</v>
      </c>
      <c r="E300" s="35">
        <f t="shared" si="54"/>
        <v>2742</v>
      </c>
      <c r="F300" s="35">
        <f t="shared" si="55"/>
        <v>2742</v>
      </c>
      <c r="G300" s="259">
        <f t="shared" si="51"/>
        <v>2741</v>
      </c>
      <c r="H300" s="260">
        <f t="shared" si="52"/>
        <v>2741</v>
      </c>
      <c r="I300" s="258">
        <v>1</v>
      </c>
      <c r="J300" s="35" t="s">
        <v>256</v>
      </c>
      <c r="K300" s="239"/>
      <c r="L300" s="121" t="s">
        <v>595</v>
      </c>
    </row>
    <row r="301" spans="1:14" s="42" customFormat="1" ht="25.5" x14ac:dyDescent="0.2">
      <c r="A301" s="64" t="s">
        <v>128</v>
      </c>
      <c r="B301" s="64" t="s">
        <v>128</v>
      </c>
      <c r="C301" s="64"/>
      <c r="D301" s="229" t="s">
        <v>1107</v>
      </c>
      <c r="E301" s="66">
        <f t="shared" si="54"/>
        <v>2743</v>
      </c>
      <c r="F301" s="66">
        <f t="shared" si="55"/>
        <v>2743</v>
      </c>
      <c r="G301" s="259">
        <f t="shared" si="51"/>
        <v>2742</v>
      </c>
      <c r="H301" s="260">
        <f t="shared" si="52"/>
        <v>2742</v>
      </c>
      <c r="I301" s="258">
        <v>1</v>
      </c>
      <c r="J301" s="66" t="s">
        <v>257</v>
      </c>
      <c r="K301" s="121" t="s">
        <v>49</v>
      </c>
      <c r="L301" s="121" t="s">
        <v>37</v>
      </c>
    </row>
    <row r="302" spans="1:14" s="42" customFormat="1" ht="25.5" x14ac:dyDescent="0.2">
      <c r="A302" s="64" t="s">
        <v>128</v>
      </c>
      <c r="B302" s="64" t="s">
        <v>128</v>
      </c>
      <c r="C302" s="34"/>
      <c r="D302" s="229" t="s">
        <v>1107</v>
      </c>
      <c r="E302" s="35">
        <f t="shared" si="54"/>
        <v>2744</v>
      </c>
      <c r="F302" s="35">
        <f t="shared" si="55"/>
        <v>2744</v>
      </c>
      <c r="G302" s="259">
        <f t="shared" si="51"/>
        <v>2743</v>
      </c>
      <c r="H302" s="260">
        <f t="shared" si="52"/>
        <v>2743</v>
      </c>
      <c r="I302" s="258">
        <v>1</v>
      </c>
      <c r="J302" s="66" t="s">
        <v>258</v>
      </c>
      <c r="K302" s="121" t="s">
        <v>49</v>
      </c>
      <c r="L302" s="121" t="s">
        <v>919</v>
      </c>
    </row>
    <row r="303" spans="1:14" s="42" customFormat="1" ht="25.5" x14ac:dyDescent="0.2">
      <c r="A303" s="64" t="s">
        <v>128</v>
      </c>
      <c r="B303" s="64" t="s">
        <v>128</v>
      </c>
      <c r="C303" s="34"/>
      <c r="D303" s="229" t="s">
        <v>1107</v>
      </c>
      <c r="E303" s="35">
        <f t="shared" si="54"/>
        <v>2745</v>
      </c>
      <c r="F303" s="35">
        <f t="shared" si="55"/>
        <v>2745</v>
      </c>
      <c r="G303" s="259">
        <f t="shared" si="51"/>
        <v>2744</v>
      </c>
      <c r="H303" s="260">
        <f t="shared" si="52"/>
        <v>2744</v>
      </c>
      <c r="I303" s="258">
        <v>1</v>
      </c>
      <c r="J303" s="66" t="s">
        <v>259</v>
      </c>
      <c r="K303" s="121" t="s">
        <v>49</v>
      </c>
      <c r="L303" s="121" t="s">
        <v>918</v>
      </c>
    </row>
    <row r="304" spans="1:14" s="42" customFormat="1" ht="25.5" x14ac:dyDescent="0.2">
      <c r="A304" s="64" t="s">
        <v>128</v>
      </c>
      <c r="B304" s="64" t="s">
        <v>128</v>
      </c>
      <c r="C304" s="34"/>
      <c r="D304" s="229" t="s">
        <v>1107</v>
      </c>
      <c r="E304" s="35">
        <f t="shared" si="54"/>
        <v>2746</v>
      </c>
      <c r="F304" s="35">
        <f t="shared" si="55"/>
        <v>2746</v>
      </c>
      <c r="G304" s="259">
        <f t="shared" si="51"/>
        <v>2745</v>
      </c>
      <c r="H304" s="260">
        <f t="shared" si="52"/>
        <v>2745</v>
      </c>
      <c r="I304" s="258">
        <v>1</v>
      </c>
      <c r="J304" s="66" t="s">
        <v>281</v>
      </c>
      <c r="K304" s="120" t="s">
        <v>49</v>
      </c>
      <c r="L304" s="121" t="s">
        <v>36</v>
      </c>
    </row>
    <row r="305" spans="1:14" s="42" customFormat="1" ht="25.5" x14ac:dyDescent="0.2">
      <c r="A305" s="64" t="s">
        <v>128</v>
      </c>
      <c r="B305" s="64" t="s">
        <v>128</v>
      </c>
      <c r="C305" s="34"/>
      <c r="D305" s="229" t="s">
        <v>1107</v>
      </c>
      <c r="E305" s="35">
        <f t="shared" si="54"/>
        <v>2747</v>
      </c>
      <c r="F305" s="35">
        <f t="shared" si="55"/>
        <v>2747</v>
      </c>
      <c r="G305" s="259">
        <f t="shared" si="51"/>
        <v>2746</v>
      </c>
      <c r="H305" s="260">
        <f t="shared" si="52"/>
        <v>2746</v>
      </c>
      <c r="I305" s="258">
        <v>1</v>
      </c>
      <c r="J305" s="48" t="s">
        <v>260</v>
      </c>
      <c r="K305" s="120" t="s">
        <v>49</v>
      </c>
      <c r="L305" s="121" t="s">
        <v>50</v>
      </c>
    </row>
    <row r="306" spans="1:14" s="31" customFormat="1" x14ac:dyDescent="0.2">
      <c r="A306" s="64"/>
      <c r="B306" s="64"/>
      <c r="C306" s="34"/>
      <c r="D306" s="229"/>
      <c r="E306" s="35">
        <f t="shared" si="54"/>
        <v>2748</v>
      </c>
      <c r="F306" s="225">
        <f t="shared" si="55"/>
        <v>2749</v>
      </c>
      <c r="G306" s="259">
        <f t="shared" si="51"/>
        <v>2747</v>
      </c>
      <c r="H306" s="260">
        <f t="shared" si="52"/>
        <v>2748</v>
      </c>
      <c r="I306" s="261">
        <v>2</v>
      </c>
      <c r="J306" s="66" t="s">
        <v>306</v>
      </c>
      <c r="K306" s="126"/>
      <c r="L306" s="121"/>
      <c r="M306" s="35"/>
      <c r="N306" s="35"/>
    </row>
    <row r="307" spans="1:14" s="35" customFormat="1" ht="12.75" customHeight="1" x14ac:dyDescent="0.2">
      <c r="A307" s="34"/>
      <c r="B307" s="34"/>
      <c r="C307" s="34"/>
      <c r="D307" s="229"/>
      <c r="G307" s="259">
        <f t="shared" si="51"/>
        <v>-1</v>
      </c>
      <c r="H307" s="260">
        <f t="shared" si="52"/>
        <v>-1</v>
      </c>
      <c r="I307" s="258"/>
      <c r="J307" s="32" t="s">
        <v>196</v>
      </c>
      <c r="K307" s="75"/>
      <c r="L307" s="121"/>
    </row>
    <row r="308" spans="1:14" s="42" customFormat="1" ht="76.5" x14ac:dyDescent="0.2">
      <c r="A308" s="64" t="s">
        <v>128</v>
      </c>
      <c r="B308" s="64" t="s">
        <v>128</v>
      </c>
      <c r="C308" s="64" t="s">
        <v>601</v>
      </c>
      <c r="D308" s="229" t="s">
        <v>234</v>
      </c>
      <c r="E308" s="35">
        <f>E306+I306</f>
        <v>2750</v>
      </c>
      <c r="F308" s="35">
        <f t="shared" si="55"/>
        <v>2750</v>
      </c>
      <c r="G308" s="259">
        <f t="shared" si="51"/>
        <v>2749</v>
      </c>
      <c r="H308" s="260">
        <f t="shared" si="52"/>
        <v>2749</v>
      </c>
      <c r="I308" s="258">
        <v>1</v>
      </c>
      <c r="J308" s="66" t="s">
        <v>933</v>
      </c>
      <c r="K308" s="120" t="s">
        <v>49</v>
      </c>
      <c r="L308" s="121" t="s">
        <v>946</v>
      </c>
    </row>
    <row r="309" spans="1:14" s="42" customFormat="1" x14ac:dyDescent="0.2">
      <c r="A309" s="180"/>
      <c r="B309" s="180"/>
      <c r="C309" s="180"/>
      <c r="D309" s="229"/>
      <c r="E309" s="35">
        <f t="shared" si="54"/>
        <v>2751</v>
      </c>
      <c r="F309" s="35">
        <f t="shared" si="55"/>
        <v>2751</v>
      </c>
      <c r="G309" s="259">
        <f t="shared" si="51"/>
        <v>2750</v>
      </c>
      <c r="H309" s="260">
        <f t="shared" si="52"/>
        <v>2750</v>
      </c>
      <c r="I309" s="258">
        <v>1</v>
      </c>
      <c r="J309" s="225" t="s">
        <v>306</v>
      </c>
      <c r="K309" s="204"/>
      <c r="L309" s="204"/>
    </row>
    <row r="310" spans="1:14" s="42" customFormat="1" ht="76.5" x14ac:dyDescent="0.2">
      <c r="A310" s="64" t="s">
        <v>128</v>
      </c>
      <c r="B310" s="64" t="s">
        <v>128</v>
      </c>
      <c r="C310" s="185" t="s">
        <v>1036</v>
      </c>
      <c r="D310" s="229" t="s">
        <v>234</v>
      </c>
      <c r="E310" s="35">
        <f t="shared" si="54"/>
        <v>2752</v>
      </c>
      <c r="F310" s="35">
        <f t="shared" si="55"/>
        <v>2752</v>
      </c>
      <c r="G310" s="259">
        <f t="shared" si="51"/>
        <v>2751</v>
      </c>
      <c r="H310" s="260">
        <f t="shared" si="52"/>
        <v>2751</v>
      </c>
      <c r="I310" s="258">
        <v>1</v>
      </c>
      <c r="J310" s="66" t="s">
        <v>777</v>
      </c>
      <c r="K310" s="120" t="s">
        <v>49</v>
      </c>
      <c r="L310" s="121" t="s">
        <v>947</v>
      </c>
    </row>
    <row r="311" spans="1:14" s="42" customFormat="1" x14ac:dyDescent="0.2">
      <c r="A311" s="180"/>
      <c r="B311" s="180"/>
      <c r="C311" s="180"/>
      <c r="D311" s="229"/>
      <c r="E311" s="35">
        <f t="shared" si="54"/>
        <v>2753</v>
      </c>
      <c r="F311" s="35">
        <f t="shared" si="55"/>
        <v>2753</v>
      </c>
      <c r="G311" s="259">
        <f t="shared" si="51"/>
        <v>2752</v>
      </c>
      <c r="H311" s="260">
        <f t="shared" si="52"/>
        <v>2752</v>
      </c>
      <c r="I311" s="258">
        <v>1</v>
      </c>
      <c r="J311" s="225" t="s">
        <v>306</v>
      </c>
      <c r="K311" s="204"/>
      <c r="L311" s="204"/>
    </row>
    <row r="312" spans="1:14" s="42" customFormat="1" ht="76.5" x14ac:dyDescent="0.2">
      <c r="A312" s="64" t="s">
        <v>128</v>
      </c>
      <c r="B312" s="64" t="s">
        <v>128</v>
      </c>
      <c r="C312" s="64" t="s">
        <v>551</v>
      </c>
      <c r="D312" s="229" t="s">
        <v>234</v>
      </c>
      <c r="E312" s="35">
        <f>E311+I311</f>
        <v>2754</v>
      </c>
      <c r="F312" s="35">
        <f>E312+I312-1</f>
        <v>2754</v>
      </c>
      <c r="G312" s="259">
        <f t="shared" si="51"/>
        <v>2753</v>
      </c>
      <c r="H312" s="260">
        <f t="shared" si="52"/>
        <v>2753</v>
      </c>
      <c r="I312" s="258">
        <v>1</v>
      </c>
      <c r="J312" s="66" t="s">
        <v>778</v>
      </c>
      <c r="K312" s="121" t="s">
        <v>49</v>
      </c>
      <c r="L312" s="121" t="s">
        <v>596</v>
      </c>
    </row>
    <row r="313" spans="1:14" s="31" customFormat="1" ht="63.75" x14ac:dyDescent="0.2">
      <c r="A313" s="64" t="s">
        <v>128</v>
      </c>
      <c r="B313" s="64" t="s">
        <v>128</v>
      </c>
      <c r="C313" s="64" t="s">
        <v>601</v>
      </c>
      <c r="D313" s="229" t="s">
        <v>1107</v>
      </c>
      <c r="E313" s="35">
        <f>E312+I312</f>
        <v>2755</v>
      </c>
      <c r="F313" s="35">
        <f>E313+I313-1</f>
        <v>2755</v>
      </c>
      <c r="G313" s="259">
        <f t="shared" si="51"/>
        <v>2754</v>
      </c>
      <c r="H313" s="260">
        <f t="shared" si="52"/>
        <v>2754</v>
      </c>
      <c r="I313" s="258">
        <v>1</v>
      </c>
      <c r="J313" s="35" t="s">
        <v>261</v>
      </c>
      <c r="K313" s="120" t="s">
        <v>49</v>
      </c>
      <c r="L313" s="121" t="s">
        <v>588</v>
      </c>
      <c r="M313" s="35"/>
      <c r="N313" s="35"/>
    </row>
    <row r="314" spans="1:14" s="35" customFormat="1" x14ac:dyDescent="0.2">
      <c r="A314" s="34"/>
      <c r="B314" s="34"/>
      <c r="C314" s="34"/>
      <c r="D314" s="229"/>
      <c r="G314" s="259">
        <f t="shared" si="51"/>
        <v>-1</v>
      </c>
      <c r="H314" s="260">
        <f t="shared" si="52"/>
        <v>-1</v>
      </c>
      <c r="I314" s="258"/>
      <c r="J314" s="32" t="s">
        <v>214</v>
      </c>
      <c r="K314" s="122"/>
      <c r="L314" s="126"/>
    </row>
    <row r="315" spans="1:14" s="35" customFormat="1" x14ac:dyDescent="0.2">
      <c r="A315" s="34"/>
      <c r="B315" s="34"/>
      <c r="C315" s="34"/>
      <c r="D315" s="229"/>
      <c r="E315" s="225">
        <f>E313+I313</f>
        <v>2756</v>
      </c>
      <c r="F315" s="35">
        <f t="shared" ref="F315:F319" si="56">E315+I315-1</f>
        <v>2810</v>
      </c>
      <c r="G315" s="259">
        <f t="shared" si="51"/>
        <v>2755</v>
      </c>
      <c r="H315" s="260">
        <f t="shared" si="52"/>
        <v>2809</v>
      </c>
      <c r="I315" s="261">
        <v>55</v>
      </c>
      <c r="J315" s="40" t="s">
        <v>306</v>
      </c>
      <c r="K315" s="122"/>
      <c r="L315" s="121"/>
    </row>
    <row r="316" spans="1:14" s="35" customFormat="1" ht="89.25" x14ac:dyDescent="0.2">
      <c r="A316" s="34" t="s">
        <v>127</v>
      </c>
      <c r="B316" s="34" t="s">
        <v>127</v>
      </c>
      <c r="C316" s="64" t="s">
        <v>601</v>
      </c>
      <c r="D316" s="229" t="s">
        <v>234</v>
      </c>
      <c r="E316" s="35">
        <f>E315+I315</f>
        <v>2811</v>
      </c>
      <c r="F316" s="35">
        <f t="shared" si="56"/>
        <v>2811</v>
      </c>
      <c r="G316" s="259">
        <f t="shared" si="51"/>
        <v>2810</v>
      </c>
      <c r="H316" s="260">
        <f t="shared" si="52"/>
        <v>2810</v>
      </c>
      <c r="I316" s="258">
        <v>1</v>
      </c>
      <c r="J316" s="66" t="s">
        <v>727</v>
      </c>
      <c r="K316" s="126" t="s">
        <v>49</v>
      </c>
      <c r="L316" s="174" t="s">
        <v>1010</v>
      </c>
    </row>
    <row r="317" spans="1:14" s="35" customFormat="1" x14ac:dyDescent="0.2">
      <c r="A317" s="34"/>
      <c r="B317" s="34"/>
      <c r="C317" s="34"/>
      <c r="D317" s="229"/>
      <c r="E317" s="35">
        <f>E316+I316</f>
        <v>2812</v>
      </c>
      <c r="F317" s="225">
        <f t="shared" si="56"/>
        <v>2813</v>
      </c>
      <c r="G317" s="259">
        <f t="shared" si="51"/>
        <v>2811</v>
      </c>
      <c r="H317" s="260">
        <f t="shared" si="52"/>
        <v>2812</v>
      </c>
      <c r="I317" s="261">
        <v>2</v>
      </c>
      <c r="J317" s="40" t="s">
        <v>306</v>
      </c>
      <c r="K317" s="122"/>
      <c r="L317" s="121"/>
    </row>
    <row r="318" spans="1:14" s="35" customFormat="1" ht="51" x14ac:dyDescent="0.2">
      <c r="A318" s="64" t="s">
        <v>128</v>
      </c>
      <c r="B318" s="64" t="s">
        <v>128</v>
      </c>
      <c r="C318" s="64"/>
      <c r="D318" s="229" t="s">
        <v>1107</v>
      </c>
      <c r="E318" s="35">
        <f>E317+I317</f>
        <v>2814</v>
      </c>
      <c r="F318" s="35">
        <f t="shared" si="56"/>
        <v>2814</v>
      </c>
      <c r="G318" s="259">
        <f t="shared" si="51"/>
        <v>2813</v>
      </c>
      <c r="H318" s="260">
        <f t="shared" si="52"/>
        <v>2813</v>
      </c>
      <c r="I318" s="258">
        <v>1</v>
      </c>
      <c r="J318" s="66" t="s">
        <v>728</v>
      </c>
      <c r="K318" s="121" t="s">
        <v>49</v>
      </c>
      <c r="L318" s="121" t="s">
        <v>589</v>
      </c>
    </row>
    <row r="319" spans="1:14" s="35" customFormat="1" x14ac:dyDescent="0.2">
      <c r="A319" s="34"/>
      <c r="B319" s="34"/>
      <c r="C319" s="34"/>
      <c r="D319" s="229"/>
      <c r="E319" s="35">
        <f>E318+I318</f>
        <v>2815</v>
      </c>
      <c r="F319" s="35">
        <f t="shared" si="56"/>
        <v>2818</v>
      </c>
      <c r="G319" s="259">
        <f t="shared" si="51"/>
        <v>2814</v>
      </c>
      <c r="H319" s="260">
        <f t="shared" si="52"/>
        <v>2817</v>
      </c>
      <c r="I319" s="258">
        <v>4</v>
      </c>
      <c r="J319" s="40" t="s">
        <v>306</v>
      </c>
      <c r="K319" s="122"/>
      <c r="L319" s="65"/>
    </row>
    <row r="320" spans="1:14" s="35" customFormat="1" x14ac:dyDescent="0.2">
      <c r="A320" s="34"/>
      <c r="B320" s="34"/>
      <c r="C320" s="34"/>
      <c r="D320" s="229"/>
      <c r="G320" s="259">
        <f t="shared" si="51"/>
        <v>-1</v>
      </c>
      <c r="H320" s="260">
        <f t="shared" si="52"/>
        <v>-1</v>
      </c>
      <c r="I320" s="266"/>
      <c r="J320" s="32" t="s">
        <v>215</v>
      </c>
      <c r="K320" s="122"/>
      <c r="L320" s="126"/>
    </row>
    <row r="321" spans="1:14" s="35" customFormat="1" x14ac:dyDescent="0.2">
      <c r="A321" s="34"/>
      <c r="B321" s="34"/>
      <c r="C321" s="34"/>
      <c r="D321" s="229"/>
      <c r="E321" s="35">
        <f>E319+I319</f>
        <v>2819</v>
      </c>
      <c r="F321" s="35">
        <f t="shared" ref="F321:F325" si="57">E321+I321-1</f>
        <v>2820</v>
      </c>
      <c r="G321" s="259">
        <f t="shared" si="51"/>
        <v>2818</v>
      </c>
      <c r="H321" s="260">
        <f t="shared" si="52"/>
        <v>2819</v>
      </c>
      <c r="I321" s="266">
        <v>2</v>
      </c>
      <c r="J321" s="40" t="s">
        <v>306</v>
      </c>
      <c r="K321" s="122"/>
      <c r="L321" s="121"/>
    </row>
    <row r="322" spans="1:14" s="35" customFormat="1" ht="116.25" customHeight="1" x14ac:dyDescent="0.2">
      <c r="A322" s="34" t="s">
        <v>127</v>
      </c>
      <c r="B322" s="34" t="s">
        <v>127</v>
      </c>
      <c r="C322" s="64" t="s">
        <v>601</v>
      </c>
      <c r="D322" s="229" t="s">
        <v>234</v>
      </c>
      <c r="E322" s="35">
        <f>E321+I321</f>
        <v>2821</v>
      </c>
      <c r="F322" s="35">
        <f t="shared" si="57"/>
        <v>2821</v>
      </c>
      <c r="G322" s="259">
        <f t="shared" si="51"/>
        <v>2820</v>
      </c>
      <c r="H322" s="260">
        <f t="shared" si="52"/>
        <v>2820</v>
      </c>
      <c r="I322" s="266">
        <v>1</v>
      </c>
      <c r="J322" s="66" t="s">
        <v>729</v>
      </c>
      <c r="K322" s="126" t="s">
        <v>49</v>
      </c>
      <c r="L322" s="174" t="s">
        <v>1011</v>
      </c>
    </row>
    <row r="323" spans="1:14" s="31" customFormat="1" x14ac:dyDescent="0.2">
      <c r="A323" s="34"/>
      <c r="B323" s="34"/>
      <c r="C323" s="34"/>
      <c r="D323" s="229"/>
      <c r="E323" s="35">
        <f>E322+I322</f>
        <v>2822</v>
      </c>
      <c r="F323" s="225">
        <f t="shared" si="57"/>
        <v>2823</v>
      </c>
      <c r="G323" s="259">
        <f t="shared" si="51"/>
        <v>2821</v>
      </c>
      <c r="H323" s="260">
        <f t="shared" si="52"/>
        <v>2822</v>
      </c>
      <c r="I323" s="261">
        <v>2</v>
      </c>
      <c r="J323" s="40" t="s">
        <v>306</v>
      </c>
      <c r="K323" s="122"/>
      <c r="L323" s="121"/>
      <c r="M323" s="35"/>
      <c r="N323" s="35"/>
    </row>
    <row r="324" spans="1:14" s="35" customFormat="1" ht="51" x14ac:dyDescent="0.2">
      <c r="A324" s="64" t="s">
        <v>128</v>
      </c>
      <c r="B324" s="64" t="s">
        <v>128</v>
      </c>
      <c r="C324" s="64"/>
      <c r="D324" s="229" t="s">
        <v>1107</v>
      </c>
      <c r="E324" s="35">
        <f>E323+I323</f>
        <v>2824</v>
      </c>
      <c r="F324" s="35">
        <f t="shared" si="57"/>
        <v>2824</v>
      </c>
      <c r="G324" s="259">
        <f t="shared" si="51"/>
        <v>2823</v>
      </c>
      <c r="H324" s="260">
        <f t="shared" si="52"/>
        <v>2823</v>
      </c>
      <c r="I324" s="258">
        <v>1</v>
      </c>
      <c r="J324" s="66" t="s">
        <v>730</v>
      </c>
      <c r="K324" s="120" t="s">
        <v>51</v>
      </c>
      <c r="L324" s="121" t="s">
        <v>590</v>
      </c>
    </row>
    <row r="325" spans="1:14" s="31" customFormat="1" x14ac:dyDescent="0.2">
      <c r="A325" s="34"/>
      <c r="B325" s="34"/>
      <c r="C325" s="34"/>
      <c r="D325" s="229"/>
      <c r="E325" s="35">
        <f>E324+I324</f>
        <v>2825</v>
      </c>
      <c r="F325" s="225">
        <f t="shared" si="57"/>
        <v>2912</v>
      </c>
      <c r="G325" s="259">
        <f t="shared" ref="G325:G388" si="58">E325-1</f>
        <v>2824</v>
      </c>
      <c r="H325" s="260">
        <f t="shared" ref="H325:H388" si="59">F325-1</f>
        <v>2911</v>
      </c>
      <c r="I325" s="261">
        <v>88</v>
      </c>
      <c r="J325" s="40" t="s">
        <v>306</v>
      </c>
      <c r="K325" s="122"/>
      <c r="L325" s="126"/>
      <c r="M325" s="35"/>
      <c r="N325" s="35"/>
    </row>
    <row r="326" spans="1:14" ht="25.5" x14ac:dyDescent="0.2">
      <c r="A326" s="34"/>
      <c r="B326" s="34"/>
      <c r="C326" s="34"/>
      <c r="D326" s="229"/>
      <c r="E326" s="35"/>
      <c r="F326" s="35"/>
      <c r="G326" s="259">
        <f t="shared" si="58"/>
        <v>-1</v>
      </c>
      <c r="H326" s="260">
        <f t="shared" si="59"/>
        <v>-1</v>
      </c>
      <c r="I326" s="258"/>
      <c r="J326" s="39" t="s">
        <v>262</v>
      </c>
      <c r="K326" s="122"/>
      <c r="L326" s="222" t="s">
        <v>1124</v>
      </c>
    </row>
    <row r="327" spans="1:14" ht="63.75" x14ac:dyDescent="0.2">
      <c r="A327" s="34" t="s">
        <v>127</v>
      </c>
      <c r="B327" s="34" t="s">
        <v>127</v>
      </c>
      <c r="C327" s="34"/>
      <c r="D327" s="229" t="s">
        <v>1107</v>
      </c>
      <c r="E327" s="35">
        <f>E325+I325</f>
        <v>2913</v>
      </c>
      <c r="F327" s="35">
        <f>E327+I327-1</f>
        <v>2915</v>
      </c>
      <c r="G327" s="259">
        <f t="shared" si="58"/>
        <v>2912</v>
      </c>
      <c r="H327" s="260">
        <f t="shared" si="59"/>
        <v>2914</v>
      </c>
      <c r="I327" s="258">
        <v>3</v>
      </c>
      <c r="J327" s="66" t="s">
        <v>731</v>
      </c>
      <c r="K327" s="126" t="s">
        <v>605</v>
      </c>
      <c r="L327" s="222" t="s">
        <v>1123</v>
      </c>
    </row>
    <row r="328" spans="1:14" x14ac:dyDescent="0.2">
      <c r="A328" s="34" t="s">
        <v>128</v>
      </c>
      <c r="B328" s="34" t="s">
        <v>128</v>
      </c>
      <c r="C328" s="34"/>
      <c r="D328" s="229" t="s">
        <v>1107</v>
      </c>
      <c r="E328" s="35">
        <f>E327+I327</f>
        <v>2916</v>
      </c>
      <c r="F328" s="35">
        <f>E328+I328-1</f>
        <v>2935</v>
      </c>
      <c r="G328" s="259">
        <f t="shared" si="58"/>
        <v>2915</v>
      </c>
      <c r="H328" s="260">
        <f t="shared" si="59"/>
        <v>2934</v>
      </c>
      <c r="I328" s="258">
        <v>20</v>
      </c>
      <c r="J328" s="66" t="s">
        <v>732</v>
      </c>
      <c r="K328" s="122"/>
      <c r="L328" s="126"/>
    </row>
    <row r="329" spans="1:14" x14ac:dyDescent="0.2">
      <c r="A329" s="34" t="s">
        <v>128</v>
      </c>
      <c r="B329" s="34" t="s">
        <v>128</v>
      </c>
      <c r="C329" s="34"/>
      <c r="D329" s="229" t="s">
        <v>1107</v>
      </c>
      <c r="E329" s="35">
        <f>E328+I328</f>
        <v>2936</v>
      </c>
      <c r="F329" s="35">
        <f>E329+I329-1</f>
        <v>2955</v>
      </c>
      <c r="G329" s="259">
        <f t="shared" si="58"/>
        <v>2935</v>
      </c>
      <c r="H329" s="260">
        <f t="shared" si="59"/>
        <v>2954</v>
      </c>
      <c r="I329" s="258">
        <v>20</v>
      </c>
      <c r="J329" s="66" t="s">
        <v>733</v>
      </c>
      <c r="K329" s="122"/>
      <c r="L329" s="126"/>
    </row>
    <row r="330" spans="1:14" x14ac:dyDescent="0.2">
      <c r="D330" s="231"/>
      <c r="E330" s="35">
        <f>E329+I329</f>
        <v>2956</v>
      </c>
      <c r="F330" s="35">
        <f t="shared" ref="F330:F334" si="60">E330+I330-1</f>
        <v>3007</v>
      </c>
      <c r="G330" s="259">
        <f t="shared" si="58"/>
        <v>2955</v>
      </c>
      <c r="H330" s="260">
        <f t="shared" si="59"/>
        <v>3006</v>
      </c>
      <c r="I330" s="258">
        <v>52</v>
      </c>
      <c r="J330" s="66" t="s">
        <v>306</v>
      </c>
      <c r="K330" s="74"/>
    </row>
    <row r="331" spans="1:14" ht="51" x14ac:dyDescent="0.2">
      <c r="A331" s="34" t="s">
        <v>127</v>
      </c>
      <c r="B331" s="34" t="s">
        <v>127</v>
      </c>
      <c r="C331" s="34"/>
      <c r="D331" s="229" t="s">
        <v>1107</v>
      </c>
      <c r="E331" s="35">
        <f t="shared" ref="E331:E332" si="61">E330+I330</f>
        <v>3008</v>
      </c>
      <c r="F331" s="35">
        <f t="shared" si="60"/>
        <v>3013</v>
      </c>
      <c r="G331" s="259">
        <f t="shared" si="58"/>
        <v>3007</v>
      </c>
      <c r="H331" s="260">
        <f t="shared" si="59"/>
        <v>3012</v>
      </c>
      <c r="I331" s="258">
        <v>6</v>
      </c>
      <c r="J331" s="40" t="s">
        <v>280</v>
      </c>
      <c r="K331" s="123" t="s">
        <v>536</v>
      </c>
      <c r="L331" s="126" t="s">
        <v>316</v>
      </c>
    </row>
    <row r="332" spans="1:14" ht="76.5" x14ac:dyDescent="0.2">
      <c r="A332" s="34" t="s">
        <v>127</v>
      </c>
      <c r="B332" s="34" t="s">
        <v>127</v>
      </c>
      <c r="C332" s="64" t="s">
        <v>599</v>
      </c>
      <c r="D332" s="229" t="s">
        <v>1107</v>
      </c>
      <c r="E332" s="35">
        <f t="shared" si="61"/>
        <v>3014</v>
      </c>
      <c r="F332" s="35">
        <f t="shared" si="60"/>
        <v>3023</v>
      </c>
      <c r="G332" s="259">
        <f t="shared" si="58"/>
        <v>3013</v>
      </c>
      <c r="H332" s="260">
        <f t="shared" si="59"/>
        <v>3022</v>
      </c>
      <c r="I332" s="258">
        <v>10</v>
      </c>
      <c r="J332" s="40" t="s">
        <v>621</v>
      </c>
      <c r="K332" s="121" t="s">
        <v>537</v>
      </c>
      <c r="L332" s="126" t="s">
        <v>678</v>
      </c>
    </row>
    <row r="333" spans="1:14" x14ac:dyDescent="0.2">
      <c r="A333" s="34"/>
      <c r="B333" s="34"/>
      <c r="C333" s="34"/>
      <c r="D333" s="229"/>
      <c r="E333" s="35">
        <f>E332+I332</f>
        <v>3024</v>
      </c>
      <c r="F333" s="225">
        <f t="shared" si="60"/>
        <v>3104</v>
      </c>
      <c r="G333" s="259">
        <f t="shared" si="58"/>
        <v>3023</v>
      </c>
      <c r="H333" s="260">
        <f t="shared" si="59"/>
        <v>3103</v>
      </c>
      <c r="I333" s="261">
        <v>81</v>
      </c>
      <c r="J333" s="40" t="s">
        <v>306</v>
      </c>
      <c r="K333" s="128"/>
    </row>
    <row r="334" spans="1:14" ht="76.5" x14ac:dyDescent="0.2">
      <c r="A334" s="47" t="s">
        <v>127</v>
      </c>
      <c r="B334" s="47" t="s">
        <v>127</v>
      </c>
      <c r="C334" s="34"/>
      <c r="D334" s="229" t="s">
        <v>234</v>
      </c>
      <c r="E334" s="35">
        <f>E333+I333</f>
        <v>3105</v>
      </c>
      <c r="F334" s="35">
        <f t="shared" si="60"/>
        <v>3105</v>
      </c>
      <c r="G334" s="259">
        <f t="shared" si="58"/>
        <v>3104</v>
      </c>
      <c r="H334" s="260">
        <f t="shared" si="59"/>
        <v>3104</v>
      </c>
      <c r="I334" s="258">
        <v>1</v>
      </c>
      <c r="J334" s="40" t="s">
        <v>332</v>
      </c>
      <c r="K334" s="126" t="s">
        <v>663</v>
      </c>
      <c r="L334" s="210" t="s">
        <v>907</v>
      </c>
    </row>
    <row r="335" spans="1:14" x14ac:dyDescent="0.2">
      <c r="A335" s="34"/>
      <c r="B335" s="34"/>
      <c r="C335" s="34"/>
      <c r="D335" s="229"/>
      <c r="E335" s="35"/>
      <c r="F335" s="35"/>
      <c r="G335" s="259">
        <f t="shared" si="58"/>
        <v>-1</v>
      </c>
      <c r="H335" s="260">
        <f t="shared" si="59"/>
        <v>-1</v>
      </c>
      <c r="I335" s="258"/>
      <c r="J335" s="44" t="s">
        <v>566</v>
      </c>
      <c r="K335" s="122"/>
      <c r="L335" s="126"/>
    </row>
    <row r="336" spans="1:14" x14ac:dyDescent="0.2">
      <c r="A336" s="180"/>
      <c r="B336" s="180"/>
      <c r="C336" s="180"/>
      <c r="D336" s="229"/>
      <c r="E336" s="225">
        <f>E334+I334</f>
        <v>3106</v>
      </c>
      <c r="F336" s="225">
        <f>E336+I336-1</f>
        <v>3109</v>
      </c>
      <c r="G336" s="259">
        <f t="shared" si="58"/>
        <v>3105</v>
      </c>
      <c r="H336" s="260">
        <f t="shared" si="59"/>
        <v>3108</v>
      </c>
      <c r="I336" s="261">
        <v>4</v>
      </c>
      <c r="J336" s="226" t="s">
        <v>306</v>
      </c>
      <c r="K336" s="218"/>
      <c r="L336" s="213"/>
    </row>
    <row r="337" spans="1:12" ht="138.75" customHeight="1" x14ac:dyDescent="0.2">
      <c r="A337" s="34" t="s">
        <v>127</v>
      </c>
      <c r="B337" s="34" t="s">
        <v>127</v>
      </c>
      <c r="C337" s="34"/>
      <c r="D337" s="229" t="s">
        <v>1107</v>
      </c>
      <c r="E337" s="35">
        <f>E336+I336</f>
        <v>3110</v>
      </c>
      <c r="F337" s="35">
        <f>E337+I337-1</f>
        <v>3111</v>
      </c>
      <c r="G337" s="259">
        <f t="shared" si="58"/>
        <v>3109</v>
      </c>
      <c r="H337" s="260">
        <f t="shared" si="59"/>
        <v>3110</v>
      </c>
      <c r="I337" s="258">
        <v>2</v>
      </c>
      <c r="J337" s="78" t="s">
        <v>567</v>
      </c>
      <c r="K337" s="244" t="s">
        <v>978</v>
      </c>
      <c r="L337" s="244" t="s">
        <v>916</v>
      </c>
    </row>
    <row r="338" spans="1:12" ht="139.5" customHeight="1" x14ac:dyDescent="0.2">
      <c r="A338" s="34" t="s">
        <v>127</v>
      </c>
      <c r="B338" s="34" t="s">
        <v>127</v>
      </c>
      <c r="C338" s="34"/>
      <c r="D338" s="229" t="s">
        <v>1107</v>
      </c>
      <c r="E338" s="35">
        <f>E337+I337</f>
        <v>3112</v>
      </c>
      <c r="F338" s="35">
        <f>E338+I338-1</f>
        <v>3113</v>
      </c>
      <c r="G338" s="259">
        <f t="shared" si="58"/>
        <v>3111</v>
      </c>
      <c r="H338" s="260">
        <f t="shared" si="59"/>
        <v>3112</v>
      </c>
      <c r="I338" s="258">
        <v>2</v>
      </c>
      <c r="J338" s="78" t="s">
        <v>568</v>
      </c>
      <c r="K338" s="244"/>
      <c r="L338" s="244"/>
    </row>
    <row r="339" spans="1:12" x14ac:dyDescent="0.2">
      <c r="A339" s="34"/>
      <c r="B339" s="34"/>
      <c r="C339" s="34"/>
      <c r="D339" s="229"/>
      <c r="E339" s="35">
        <f>E338+I338</f>
        <v>3114</v>
      </c>
      <c r="F339" s="225">
        <f>E339+I339-1</f>
        <v>3177</v>
      </c>
      <c r="G339" s="259">
        <f t="shared" si="58"/>
        <v>3113</v>
      </c>
      <c r="H339" s="260">
        <f t="shared" si="59"/>
        <v>3176</v>
      </c>
      <c r="I339" s="261">
        <v>64</v>
      </c>
      <c r="J339" s="40" t="s">
        <v>306</v>
      </c>
      <c r="K339" s="124"/>
      <c r="L339" s="126"/>
    </row>
    <row r="340" spans="1:12" s="35" customFormat="1" x14ac:dyDescent="0.2">
      <c r="A340" s="34"/>
      <c r="B340" s="34"/>
      <c r="C340" s="34"/>
      <c r="D340" s="229"/>
      <c r="G340" s="259">
        <f t="shared" si="58"/>
        <v>-1</v>
      </c>
      <c r="H340" s="260">
        <f t="shared" si="59"/>
        <v>-1</v>
      </c>
      <c r="I340" s="258"/>
      <c r="J340" s="44" t="s">
        <v>324</v>
      </c>
      <c r="K340" s="124"/>
      <c r="L340" s="126"/>
    </row>
    <row r="341" spans="1:12" s="35" customFormat="1" x14ac:dyDescent="0.2">
      <c r="A341" s="34"/>
      <c r="B341" s="34"/>
      <c r="C341" s="34"/>
      <c r="D341" s="229"/>
      <c r="G341" s="259">
        <f t="shared" si="58"/>
        <v>-1</v>
      </c>
      <c r="H341" s="260">
        <f t="shared" si="59"/>
        <v>-1</v>
      </c>
      <c r="I341" s="258"/>
      <c r="J341" s="44" t="s">
        <v>328</v>
      </c>
      <c r="K341" s="122"/>
      <c r="L341" s="126"/>
    </row>
    <row r="342" spans="1:12" s="42" customFormat="1" x14ac:dyDescent="0.2">
      <c r="A342" s="34"/>
      <c r="B342" s="34"/>
      <c r="C342" s="34"/>
      <c r="D342" s="229"/>
      <c r="E342" s="35"/>
      <c r="F342" s="35"/>
      <c r="G342" s="259">
        <f t="shared" si="58"/>
        <v>-1</v>
      </c>
      <c r="H342" s="260">
        <f t="shared" si="59"/>
        <v>-1</v>
      </c>
      <c r="I342" s="258"/>
      <c r="J342" s="44" t="s">
        <v>325</v>
      </c>
      <c r="K342" s="71"/>
      <c r="L342" s="121"/>
    </row>
    <row r="343" spans="1:12" s="42" customFormat="1" ht="12.75" customHeight="1" x14ac:dyDescent="0.2">
      <c r="A343" s="34" t="s">
        <v>127</v>
      </c>
      <c r="B343" s="34" t="s">
        <v>127</v>
      </c>
      <c r="C343" s="34" t="s">
        <v>7</v>
      </c>
      <c r="D343" s="229" t="s">
        <v>1107</v>
      </c>
      <c r="E343" s="35">
        <f>E339+I339</f>
        <v>3178</v>
      </c>
      <c r="F343" s="35">
        <f>E343+I343-1</f>
        <v>3178</v>
      </c>
      <c r="G343" s="259">
        <f t="shared" si="58"/>
        <v>3177</v>
      </c>
      <c r="H343" s="260">
        <f t="shared" si="59"/>
        <v>3177</v>
      </c>
      <c r="I343" s="258">
        <v>1</v>
      </c>
      <c r="J343" s="35" t="s">
        <v>104</v>
      </c>
      <c r="K343" s="239" t="s">
        <v>330</v>
      </c>
      <c r="L343" s="244" t="s">
        <v>907</v>
      </c>
    </row>
    <row r="344" spans="1:12" s="42" customFormat="1" x14ac:dyDescent="0.2">
      <c r="A344" s="34" t="s">
        <v>127</v>
      </c>
      <c r="B344" s="34" t="s">
        <v>127</v>
      </c>
      <c r="C344" s="34" t="s">
        <v>7</v>
      </c>
      <c r="D344" s="229" t="s">
        <v>1107</v>
      </c>
      <c r="E344" s="35">
        <f t="shared" ref="E344:E353" si="62">E343+I343</f>
        <v>3179</v>
      </c>
      <c r="F344" s="35">
        <f t="shared" ref="F344:F353" si="63">E344+I344-1</f>
        <v>3179</v>
      </c>
      <c r="G344" s="259">
        <f t="shared" si="58"/>
        <v>3178</v>
      </c>
      <c r="H344" s="260">
        <f t="shared" si="59"/>
        <v>3178</v>
      </c>
      <c r="I344" s="258">
        <v>1</v>
      </c>
      <c r="J344" s="35" t="s">
        <v>105</v>
      </c>
      <c r="K344" s="239"/>
      <c r="L344" s="244"/>
    </row>
    <row r="345" spans="1:12" s="42" customFormat="1" x14ac:dyDescent="0.2">
      <c r="A345" s="34" t="s">
        <v>127</v>
      </c>
      <c r="B345" s="34" t="s">
        <v>127</v>
      </c>
      <c r="C345" s="34" t="s">
        <v>7</v>
      </c>
      <c r="D345" s="229" t="s">
        <v>1107</v>
      </c>
      <c r="E345" s="35">
        <f t="shared" si="62"/>
        <v>3180</v>
      </c>
      <c r="F345" s="35">
        <f t="shared" si="63"/>
        <v>3180</v>
      </c>
      <c r="G345" s="259">
        <f t="shared" si="58"/>
        <v>3179</v>
      </c>
      <c r="H345" s="260">
        <f t="shared" si="59"/>
        <v>3179</v>
      </c>
      <c r="I345" s="258">
        <v>1</v>
      </c>
      <c r="J345" s="35" t="s">
        <v>106</v>
      </c>
      <c r="K345" s="239"/>
      <c r="L345" s="244"/>
    </row>
    <row r="346" spans="1:12" s="42" customFormat="1" x14ac:dyDescent="0.2">
      <c r="A346" s="34" t="s">
        <v>127</v>
      </c>
      <c r="B346" s="34" t="s">
        <v>127</v>
      </c>
      <c r="C346" s="34" t="s">
        <v>7</v>
      </c>
      <c r="D346" s="229" t="s">
        <v>1107</v>
      </c>
      <c r="E346" s="35">
        <f t="shared" si="62"/>
        <v>3181</v>
      </c>
      <c r="F346" s="35">
        <f t="shared" si="63"/>
        <v>3181</v>
      </c>
      <c r="G346" s="259">
        <f t="shared" si="58"/>
        <v>3180</v>
      </c>
      <c r="H346" s="260">
        <f t="shared" si="59"/>
        <v>3180</v>
      </c>
      <c r="I346" s="258">
        <v>1</v>
      </c>
      <c r="J346" s="35" t="s">
        <v>107</v>
      </c>
      <c r="K346" s="239"/>
      <c r="L346" s="244"/>
    </row>
    <row r="347" spans="1:12" s="42" customFormat="1" x14ac:dyDescent="0.2">
      <c r="A347" s="34" t="s">
        <v>127</v>
      </c>
      <c r="B347" s="34" t="s">
        <v>127</v>
      </c>
      <c r="C347" s="34" t="s">
        <v>7</v>
      </c>
      <c r="D347" s="229" t="s">
        <v>1107</v>
      </c>
      <c r="E347" s="35">
        <f t="shared" si="62"/>
        <v>3182</v>
      </c>
      <c r="F347" s="35">
        <f t="shared" si="63"/>
        <v>3182</v>
      </c>
      <c r="G347" s="259">
        <f t="shared" si="58"/>
        <v>3181</v>
      </c>
      <c r="H347" s="260">
        <f t="shared" si="59"/>
        <v>3181</v>
      </c>
      <c r="I347" s="258">
        <v>1</v>
      </c>
      <c r="J347" s="35" t="s">
        <v>108</v>
      </c>
      <c r="K347" s="239"/>
      <c r="L347" s="244"/>
    </row>
    <row r="348" spans="1:12" s="42" customFormat="1" x14ac:dyDescent="0.2">
      <c r="A348" s="34" t="s">
        <v>127</v>
      </c>
      <c r="B348" s="34" t="s">
        <v>127</v>
      </c>
      <c r="C348" s="34" t="s">
        <v>7</v>
      </c>
      <c r="D348" s="229" t="s">
        <v>1107</v>
      </c>
      <c r="E348" s="35">
        <f t="shared" si="62"/>
        <v>3183</v>
      </c>
      <c r="F348" s="35">
        <f t="shared" si="63"/>
        <v>3183</v>
      </c>
      <c r="G348" s="259">
        <f t="shared" si="58"/>
        <v>3182</v>
      </c>
      <c r="H348" s="260">
        <f t="shared" si="59"/>
        <v>3182</v>
      </c>
      <c r="I348" s="258">
        <v>1</v>
      </c>
      <c r="J348" s="35" t="s">
        <v>109</v>
      </c>
      <c r="K348" s="239"/>
      <c r="L348" s="244"/>
    </row>
    <row r="349" spans="1:12" s="42" customFormat="1" ht="12.75" customHeight="1" x14ac:dyDescent="0.2">
      <c r="A349" s="34" t="s">
        <v>127</v>
      </c>
      <c r="B349" s="34" t="s">
        <v>127</v>
      </c>
      <c r="C349" s="34" t="s">
        <v>7</v>
      </c>
      <c r="D349" s="229" t="s">
        <v>1107</v>
      </c>
      <c r="E349" s="35">
        <f t="shared" si="62"/>
        <v>3184</v>
      </c>
      <c r="F349" s="35">
        <f t="shared" si="63"/>
        <v>3184</v>
      </c>
      <c r="G349" s="259">
        <f t="shared" si="58"/>
        <v>3183</v>
      </c>
      <c r="H349" s="260">
        <f t="shared" si="59"/>
        <v>3183</v>
      </c>
      <c r="I349" s="258">
        <v>1</v>
      </c>
      <c r="J349" s="36" t="s">
        <v>110</v>
      </c>
      <c r="K349" s="239"/>
      <c r="L349" s="244"/>
    </row>
    <row r="350" spans="1:12" s="42" customFormat="1" x14ac:dyDescent="0.2">
      <c r="A350" s="34" t="s">
        <v>127</v>
      </c>
      <c r="B350" s="34" t="s">
        <v>127</v>
      </c>
      <c r="C350" s="34" t="s">
        <v>7</v>
      </c>
      <c r="D350" s="229" t="s">
        <v>1107</v>
      </c>
      <c r="E350" s="35">
        <f t="shared" si="62"/>
        <v>3185</v>
      </c>
      <c r="F350" s="35">
        <f t="shared" si="63"/>
        <v>3185</v>
      </c>
      <c r="G350" s="259">
        <f t="shared" si="58"/>
        <v>3184</v>
      </c>
      <c r="H350" s="260">
        <f t="shared" si="59"/>
        <v>3184</v>
      </c>
      <c r="I350" s="258">
        <v>1</v>
      </c>
      <c r="J350" s="35" t="s">
        <v>111</v>
      </c>
      <c r="K350" s="239"/>
      <c r="L350" s="244"/>
    </row>
    <row r="351" spans="1:12" s="42" customFormat="1" x14ac:dyDescent="0.2">
      <c r="A351" s="34" t="s">
        <v>127</v>
      </c>
      <c r="B351" s="34" t="s">
        <v>127</v>
      </c>
      <c r="C351" s="34" t="s">
        <v>7</v>
      </c>
      <c r="D351" s="229" t="s">
        <v>1107</v>
      </c>
      <c r="E351" s="35">
        <f t="shared" si="62"/>
        <v>3186</v>
      </c>
      <c r="F351" s="35">
        <f t="shared" si="63"/>
        <v>3186</v>
      </c>
      <c r="G351" s="259">
        <f t="shared" si="58"/>
        <v>3185</v>
      </c>
      <c r="H351" s="260">
        <f t="shared" si="59"/>
        <v>3185</v>
      </c>
      <c r="I351" s="258">
        <v>1</v>
      </c>
      <c r="J351" s="35" t="s">
        <v>112</v>
      </c>
      <c r="K351" s="239"/>
      <c r="L351" s="244"/>
    </row>
    <row r="352" spans="1:12" s="42" customFormat="1" x14ac:dyDescent="0.2">
      <c r="A352" s="34" t="s">
        <v>127</v>
      </c>
      <c r="B352" s="34" t="s">
        <v>127</v>
      </c>
      <c r="C352" s="34" t="s">
        <v>7</v>
      </c>
      <c r="D352" s="229" t="s">
        <v>1107</v>
      </c>
      <c r="E352" s="35">
        <f t="shared" si="62"/>
        <v>3187</v>
      </c>
      <c r="F352" s="35">
        <f t="shared" si="63"/>
        <v>3187</v>
      </c>
      <c r="G352" s="259">
        <f t="shared" si="58"/>
        <v>3186</v>
      </c>
      <c r="H352" s="260">
        <f t="shared" si="59"/>
        <v>3186</v>
      </c>
      <c r="I352" s="258">
        <v>1</v>
      </c>
      <c r="J352" s="35" t="s">
        <v>113</v>
      </c>
      <c r="K352" s="239"/>
      <c r="L352" s="244"/>
    </row>
    <row r="353" spans="1:12" s="42" customFormat="1" x14ac:dyDescent="0.2">
      <c r="A353" s="34" t="s">
        <v>127</v>
      </c>
      <c r="B353" s="34" t="s">
        <v>127</v>
      </c>
      <c r="C353" s="34" t="s">
        <v>7</v>
      </c>
      <c r="D353" s="229" t="s">
        <v>1107</v>
      </c>
      <c r="E353" s="35">
        <f t="shared" si="62"/>
        <v>3188</v>
      </c>
      <c r="F353" s="35">
        <f t="shared" si="63"/>
        <v>3188</v>
      </c>
      <c r="G353" s="259">
        <f t="shared" si="58"/>
        <v>3187</v>
      </c>
      <c r="H353" s="260">
        <f t="shared" si="59"/>
        <v>3187</v>
      </c>
      <c r="I353" s="258">
        <v>1</v>
      </c>
      <c r="J353" s="35" t="s">
        <v>114</v>
      </c>
      <c r="K353" s="239"/>
      <c r="L353" s="244"/>
    </row>
    <row r="354" spans="1:12" s="42" customFormat="1" x14ac:dyDescent="0.2">
      <c r="A354" s="34"/>
      <c r="B354" s="34"/>
      <c r="C354" s="34"/>
      <c r="D354" s="229"/>
      <c r="E354" s="35"/>
      <c r="F354" s="35"/>
      <c r="G354" s="259">
        <f t="shared" si="58"/>
        <v>-1</v>
      </c>
      <c r="H354" s="260">
        <f t="shared" si="59"/>
        <v>-1</v>
      </c>
      <c r="I354" s="258"/>
      <c r="J354" s="32" t="s">
        <v>326</v>
      </c>
      <c r="K354" s="71"/>
      <c r="L354" s="121"/>
    </row>
    <row r="355" spans="1:12" s="42" customFormat="1" ht="12.75" customHeight="1" x14ac:dyDescent="0.2">
      <c r="A355" s="34" t="s">
        <v>127</v>
      </c>
      <c r="B355" s="34" t="s">
        <v>127</v>
      </c>
      <c r="C355" s="34" t="s">
        <v>7</v>
      </c>
      <c r="D355" s="229" t="s">
        <v>1107</v>
      </c>
      <c r="E355" s="35">
        <f>E353+I353</f>
        <v>3189</v>
      </c>
      <c r="F355" s="35">
        <f t="shared" ref="F355:F360" si="64">E355+I355-1</f>
        <v>3189</v>
      </c>
      <c r="G355" s="259">
        <f t="shared" si="58"/>
        <v>3188</v>
      </c>
      <c r="H355" s="260">
        <f t="shared" si="59"/>
        <v>3188</v>
      </c>
      <c r="I355" s="258">
        <v>1</v>
      </c>
      <c r="J355" s="35" t="s">
        <v>104</v>
      </c>
      <c r="K355" s="239" t="s">
        <v>330</v>
      </c>
      <c r="L355" s="244" t="s">
        <v>907</v>
      </c>
    </row>
    <row r="356" spans="1:12" s="42" customFormat="1" x14ac:dyDescent="0.2">
      <c r="A356" s="34" t="s">
        <v>127</v>
      </c>
      <c r="B356" s="34" t="s">
        <v>127</v>
      </c>
      <c r="C356" s="34" t="s">
        <v>7</v>
      </c>
      <c r="D356" s="229" t="s">
        <v>1107</v>
      </c>
      <c r="E356" s="35">
        <f>E355+I355</f>
        <v>3190</v>
      </c>
      <c r="F356" s="35">
        <f t="shared" si="64"/>
        <v>3190</v>
      </c>
      <c r="G356" s="259">
        <f t="shared" si="58"/>
        <v>3189</v>
      </c>
      <c r="H356" s="260">
        <f t="shared" si="59"/>
        <v>3189</v>
      </c>
      <c r="I356" s="258">
        <v>1</v>
      </c>
      <c r="J356" s="35" t="s">
        <v>109</v>
      </c>
      <c r="K356" s="239"/>
      <c r="L356" s="244"/>
    </row>
    <row r="357" spans="1:12" s="42" customFormat="1" x14ac:dyDescent="0.2">
      <c r="A357" s="34" t="s">
        <v>127</v>
      </c>
      <c r="B357" s="34" t="s">
        <v>127</v>
      </c>
      <c r="C357" s="34" t="s">
        <v>7</v>
      </c>
      <c r="D357" s="229" t="s">
        <v>1107</v>
      </c>
      <c r="E357" s="35">
        <f>E356+I356</f>
        <v>3191</v>
      </c>
      <c r="F357" s="35">
        <f t="shared" si="64"/>
        <v>3191</v>
      </c>
      <c r="G357" s="259">
        <f t="shared" si="58"/>
        <v>3190</v>
      </c>
      <c r="H357" s="260">
        <f t="shared" si="59"/>
        <v>3190</v>
      </c>
      <c r="I357" s="258">
        <v>1</v>
      </c>
      <c r="J357" s="35" t="s">
        <v>112</v>
      </c>
      <c r="K357" s="239"/>
      <c r="L357" s="244"/>
    </row>
    <row r="358" spans="1:12" s="42" customFormat="1" x14ac:dyDescent="0.2">
      <c r="A358" s="34" t="s">
        <v>127</v>
      </c>
      <c r="B358" s="34" t="s">
        <v>127</v>
      </c>
      <c r="C358" s="34" t="s">
        <v>7</v>
      </c>
      <c r="D358" s="229" t="s">
        <v>1107</v>
      </c>
      <c r="E358" s="35">
        <f>E357+I357</f>
        <v>3192</v>
      </c>
      <c r="F358" s="35">
        <f t="shared" si="64"/>
        <v>3192</v>
      </c>
      <c r="G358" s="259">
        <f t="shared" si="58"/>
        <v>3191</v>
      </c>
      <c r="H358" s="260">
        <f t="shared" si="59"/>
        <v>3191</v>
      </c>
      <c r="I358" s="258">
        <v>1</v>
      </c>
      <c r="J358" s="36" t="s">
        <v>123</v>
      </c>
      <c r="K358" s="239"/>
      <c r="L358" s="244"/>
    </row>
    <row r="359" spans="1:12" s="42" customFormat="1" x14ac:dyDescent="0.2">
      <c r="A359" s="34" t="s">
        <v>127</v>
      </c>
      <c r="B359" s="34" t="s">
        <v>127</v>
      </c>
      <c r="C359" s="34" t="s">
        <v>7</v>
      </c>
      <c r="D359" s="229" t="s">
        <v>1107</v>
      </c>
      <c r="E359" s="35">
        <f>E358+I358</f>
        <v>3193</v>
      </c>
      <c r="F359" s="35">
        <f t="shared" si="64"/>
        <v>3193</v>
      </c>
      <c r="G359" s="259">
        <f t="shared" si="58"/>
        <v>3192</v>
      </c>
      <c r="H359" s="260">
        <f t="shared" si="59"/>
        <v>3192</v>
      </c>
      <c r="I359" s="258">
        <v>1</v>
      </c>
      <c r="J359" s="36" t="s">
        <v>117</v>
      </c>
      <c r="K359" s="239"/>
      <c r="L359" s="244"/>
    </row>
    <row r="360" spans="1:12" s="42" customFormat="1" x14ac:dyDescent="0.2">
      <c r="A360" s="34" t="s">
        <v>127</v>
      </c>
      <c r="B360" s="34" t="s">
        <v>127</v>
      </c>
      <c r="C360" s="34" t="s">
        <v>7</v>
      </c>
      <c r="D360" s="229" t="s">
        <v>1107</v>
      </c>
      <c r="E360" s="35">
        <f>E359+I359</f>
        <v>3194</v>
      </c>
      <c r="F360" s="35">
        <f t="shared" si="64"/>
        <v>3194</v>
      </c>
      <c r="G360" s="259">
        <f t="shared" si="58"/>
        <v>3193</v>
      </c>
      <c r="H360" s="260">
        <f t="shared" si="59"/>
        <v>3193</v>
      </c>
      <c r="I360" s="258">
        <v>1</v>
      </c>
      <c r="J360" s="35" t="s">
        <v>113</v>
      </c>
      <c r="K360" s="239"/>
      <c r="L360" s="244"/>
    </row>
    <row r="361" spans="1:12" s="42" customFormat="1" x14ac:dyDescent="0.2">
      <c r="A361" s="34"/>
      <c r="B361" s="34"/>
      <c r="C361" s="34"/>
      <c r="D361" s="229"/>
      <c r="E361" s="35"/>
      <c r="F361" s="35"/>
      <c r="G361" s="259">
        <f t="shared" si="58"/>
        <v>-1</v>
      </c>
      <c r="H361" s="260">
        <f t="shared" si="59"/>
        <v>-1</v>
      </c>
      <c r="I361" s="258"/>
      <c r="J361" s="32" t="s">
        <v>327</v>
      </c>
      <c r="K361" s="71"/>
      <c r="L361" s="121"/>
    </row>
    <row r="362" spans="1:12" s="42" customFormat="1" ht="12.75" customHeight="1" x14ac:dyDescent="0.2">
      <c r="A362" s="34" t="s">
        <v>127</v>
      </c>
      <c r="B362" s="34" t="s">
        <v>127</v>
      </c>
      <c r="C362" s="34" t="s">
        <v>7</v>
      </c>
      <c r="D362" s="229" t="s">
        <v>1107</v>
      </c>
      <c r="E362" s="35">
        <f>E360+I360</f>
        <v>3195</v>
      </c>
      <c r="F362" s="35">
        <f t="shared" ref="F362:F372" si="65">E362+I362-1</f>
        <v>3195</v>
      </c>
      <c r="G362" s="259">
        <f t="shared" si="58"/>
        <v>3194</v>
      </c>
      <c r="H362" s="260">
        <f t="shared" si="59"/>
        <v>3194</v>
      </c>
      <c r="I362" s="258">
        <v>1</v>
      </c>
      <c r="J362" s="35" t="s">
        <v>104</v>
      </c>
      <c r="K362" s="239" t="s">
        <v>330</v>
      </c>
      <c r="L362" s="244" t="s">
        <v>907</v>
      </c>
    </row>
    <row r="363" spans="1:12" s="42" customFormat="1" x14ac:dyDescent="0.2">
      <c r="A363" s="34" t="s">
        <v>127</v>
      </c>
      <c r="B363" s="34" t="s">
        <v>127</v>
      </c>
      <c r="C363" s="34" t="s">
        <v>7</v>
      </c>
      <c r="D363" s="229" t="s">
        <v>1107</v>
      </c>
      <c r="E363" s="35">
        <f t="shared" ref="E363:E372" si="66">E362+I362</f>
        <v>3196</v>
      </c>
      <c r="F363" s="35">
        <f t="shared" si="65"/>
        <v>3196</v>
      </c>
      <c r="G363" s="259">
        <f t="shared" si="58"/>
        <v>3195</v>
      </c>
      <c r="H363" s="260">
        <f t="shared" si="59"/>
        <v>3195</v>
      </c>
      <c r="I363" s="258">
        <v>1</v>
      </c>
      <c r="J363" s="35" t="s">
        <v>105</v>
      </c>
      <c r="K363" s="239"/>
      <c r="L363" s="244"/>
    </row>
    <row r="364" spans="1:12" s="42" customFormat="1" x14ac:dyDescent="0.2">
      <c r="A364" s="34" t="s">
        <v>127</v>
      </c>
      <c r="B364" s="34" t="s">
        <v>127</v>
      </c>
      <c r="C364" s="34" t="s">
        <v>7</v>
      </c>
      <c r="D364" s="229" t="s">
        <v>1107</v>
      </c>
      <c r="E364" s="35">
        <f t="shared" si="66"/>
        <v>3197</v>
      </c>
      <c r="F364" s="35">
        <f t="shared" si="65"/>
        <v>3197</v>
      </c>
      <c r="G364" s="259">
        <f t="shared" si="58"/>
        <v>3196</v>
      </c>
      <c r="H364" s="260">
        <f t="shared" si="59"/>
        <v>3196</v>
      </c>
      <c r="I364" s="258">
        <v>1</v>
      </c>
      <c r="J364" s="35" t="s">
        <v>106</v>
      </c>
      <c r="K364" s="239"/>
      <c r="L364" s="244"/>
    </row>
    <row r="365" spans="1:12" s="42" customFormat="1" x14ac:dyDescent="0.2">
      <c r="A365" s="34" t="s">
        <v>127</v>
      </c>
      <c r="B365" s="34" t="s">
        <v>127</v>
      </c>
      <c r="C365" s="34" t="s">
        <v>7</v>
      </c>
      <c r="D365" s="229" t="s">
        <v>1107</v>
      </c>
      <c r="E365" s="35">
        <f t="shared" si="66"/>
        <v>3198</v>
      </c>
      <c r="F365" s="35">
        <f t="shared" si="65"/>
        <v>3198</v>
      </c>
      <c r="G365" s="259">
        <f t="shared" si="58"/>
        <v>3197</v>
      </c>
      <c r="H365" s="260">
        <f t="shared" si="59"/>
        <v>3197</v>
      </c>
      <c r="I365" s="258">
        <v>1</v>
      </c>
      <c r="J365" s="35" t="s">
        <v>107</v>
      </c>
      <c r="K365" s="239"/>
      <c r="L365" s="244"/>
    </row>
    <row r="366" spans="1:12" s="42" customFormat="1" x14ac:dyDescent="0.2">
      <c r="A366" s="34" t="s">
        <v>127</v>
      </c>
      <c r="B366" s="34" t="s">
        <v>127</v>
      </c>
      <c r="C366" s="34" t="s">
        <v>7</v>
      </c>
      <c r="D366" s="229" t="s">
        <v>1107</v>
      </c>
      <c r="E366" s="35">
        <f t="shared" si="66"/>
        <v>3199</v>
      </c>
      <c r="F366" s="35">
        <f t="shared" si="65"/>
        <v>3199</v>
      </c>
      <c r="G366" s="259">
        <f t="shared" si="58"/>
        <v>3198</v>
      </c>
      <c r="H366" s="260">
        <f t="shared" si="59"/>
        <v>3198</v>
      </c>
      <c r="I366" s="258">
        <v>1</v>
      </c>
      <c r="J366" s="35" t="s">
        <v>108</v>
      </c>
      <c r="K366" s="239"/>
      <c r="L366" s="244"/>
    </row>
    <row r="367" spans="1:12" s="42" customFormat="1" x14ac:dyDescent="0.2">
      <c r="A367" s="34" t="s">
        <v>127</v>
      </c>
      <c r="B367" s="34" t="s">
        <v>127</v>
      </c>
      <c r="C367" s="34" t="s">
        <v>7</v>
      </c>
      <c r="D367" s="229" t="s">
        <v>1107</v>
      </c>
      <c r="E367" s="35">
        <f t="shared" si="66"/>
        <v>3200</v>
      </c>
      <c r="F367" s="35">
        <f t="shared" si="65"/>
        <v>3200</v>
      </c>
      <c r="G367" s="259">
        <f t="shared" si="58"/>
        <v>3199</v>
      </c>
      <c r="H367" s="260">
        <f t="shared" si="59"/>
        <v>3199</v>
      </c>
      <c r="I367" s="258">
        <v>1</v>
      </c>
      <c r="J367" s="35" t="s">
        <v>109</v>
      </c>
      <c r="K367" s="239"/>
      <c r="L367" s="244"/>
    </row>
    <row r="368" spans="1:12" s="42" customFormat="1" x14ac:dyDescent="0.2">
      <c r="A368" s="34" t="s">
        <v>127</v>
      </c>
      <c r="B368" s="34" t="s">
        <v>127</v>
      </c>
      <c r="C368" s="34" t="s">
        <v>7</v>
      </c>
      <c r="D368" s="229" t="s">
        <v>1107</v>
      </c>
      <c r="E368" s="35">
        <f t="shared" si="66"/>
        <v>3201</v>
      </c>
      <c r="F368" s="35">
        <f t="shared" si="65"/>
        <v>3201</v>
      </c>
      <c r="G368" s="259">
        <f t="shared" si="58"/>
        <v>3200</v>
      </c>
      <c r="H368" s="260">
        <f t="shared" si="59"/>
        <v>3200</v>
      </c>
      <c r="I368" s="258">
        <v>1</v>
      </c>
      <c r="J368" s="35" t="s">
        <v>110</v>
      </c>
      <c r="K368" s="239"/>
      <c r="L368" s="244"/>
    </row>
    <row r="369" spans="1:12" s="42" customFormat="1" x14ac:dyDescent="0.2">
      <c r="A369" s="34" t="s">
        <v>127</v>
      </c>
      <c r="B369" s="34" t="s">
        <v>127</v>
      </c>
      <c r="C369" s="34" t="s">
        <v>7</v>
      </c>
      <c r="D369" s="229" t="s">
        <v>1107</v>
      </c>
      <c r="E369" s="35">
        <f t="shared" si="66"/>
        <v>3202</v>
      </c>
      <c r="F369" s="35">
        <f t="shared" si="65"/>
        <v>3202</v>
      </c>
      <c r="G369" s="259">
        <f t="shared" si="58"/>
        <v>3201</v>
      </c>
      <c r="H369" s="260">
        <f t="shared" si="59"/>
        <v>3201</v>
      </c>
      <c r="I369" s="258">
        <v>1</v>
      </c>
      <c r="J369" s="35" t="s">
        <v>111</v>
      </c>
      <c r="K369" s="239"/>
      <c r="L369" s="244"/>
    </row>
    <row r="370" spans="1:12" s="42" customFormat="1" x14ac:dyDescent="0.2">
      <c r="A370" s="34" t="s">
        <v>127</v>
      </c>
      <c r="B370" s="34" t="s">
        <v>127</v>
      </c>
      <c r="C370" s="34" t="s">
        <v>7</v>
      </c>
      <c r="D370" s="229" t="s">
        <v>1107</v>
      </c>
      <c r="E370" s="35">
        <f t="shared" si="66"/>
        <v>3203</v>
      </c>
      <c r="F370" s="35">
        <f t="shared" si="65"/>
        <v>3203</v>
      </c>
      <c r="G370" s="259">
        <f t="shared" si="58"/>
        <v>3202</v>
      </c>
      <c r="H370" s="260">
        <f t="shared" si="59"/>
        <v>3202</v>
      </c>
      <c r="I370" s="258">
        <v>1</v>
      </c>
      <c r="J370" s="35" t="s">
        <v>112</v>
      </c>
      <c r="K370" s="239"/>
      <c r="L370" s="244"/>
    </row>
    <row r="371" spans="1:12" s="42" customFormat="1" x14ac:dyDescent="0.2">
      <c r="A371" s="34" t="s">
        <v>127</v>
      </c>
      <c r="B371" s="34" t="s">
        <v>127</v>
      </c>
      <c r="C371" s="34" t="s">
        <v>7</v>
      </c>
      <c r="D371" s="229" t="s">
        <v>1107</v>
      </c>
      <c r="E371" s="35">
        <f t="shared" si="66"/>
        <v>3204</v>
      </c>
      <c r="F371" s="35">
        <f t="shared" si="65"/>
        <v>3204</v>
      </c>
      <c r="G371" s="259">
        <f t="shared" si="58"/>
        <v>3203</v>
      </c>
      <c r="H371" s="260">
        <f t="shared" si="59"/>
        <v>3203</v>
      </c>
      <c r="I371" s="258">
        <v>1</v>
      </c>
      <c r="J371" s="35" t="s">
        <v>113</v>
      </c>
      <c r="K371" s="239"/>
      <c r="L371" s="244"/>
    </row>
    <row r="372" spans="1:12" s="42" customFormat="1" x14ac:dyDescent="0.2">
      <c r="A372" s="34" t="s">
        <v>127</v>
      </c>
      <c r="B372" s="34" t="s">
        <v>127</v>
      </c>
      <c r="C372" s="34" t="s">
        <v>7</v>
      </c>
      <c r="D372" s="229" t="s">
        <v>1107</v>
      </c>
      <c r="E372" s="35">
        <f t="shared" si="66"/>
        <v>3205</v>
      </c>
      <c r="F372" s="35">
        <f t="shared" si="65"/>
        <v>3205</v>
      </c>
      <c r="G372" s="259">
        <f t="shared" si="58"/>
        <v>3204</v>
      </c>
      <c r="H372" s="260">
        <f t="shared" si="59"/>
        <v>3204</v>
      </c>
      <c r="I372" s="258">
        <v>1</v>
      </c>
      <c r="J372" s="35" t="s">
        <v>114</v>
      </c>
      <c r="K372" s="239"/>
      <c r="L372" s="244"/>
    </row>
    <row r="373" spans="1:12" s="35" customFormat="1" x14ac:dyDescent="0.2">
      <c r="A373" s="34"/>
      <c r="B373" s="34"/>
      <c r="C373" s="34"/>
      <c r="D373" s="229"/>
      <c r="G373" s="259">
        <f t="shared" si="58"/>
        <v>-1</v>
      </c>
      <c r="H373" s="260">
        <f t="shared" si="59"/>
        <v>-1</v>
      </c>
      <c r="I373" s="258"/>
      <c r="J373" s="44" t="s">
        <v>329</v>
      </c>
      <c r="K373" s="122"/>
      <c r="L373" s="126"/>
    </row>
    <row r="374" spans="1:12" s="42" customFormat="1" x14ac:dyDescent="0.2">
      <c r="A374" s="34"/>
      <c r="B374" s="34"/>
      <c r="C374" s="34"/>
      <c r="D374" s="229"/>
      <c r="E374" s="35"/>
      <c r="F374" s="35"/>
      <c r="G374" s="259">
        <f t="shared" si="58"/>
        <v>-1</v>
      </c>
      <c r="H374" s="260">
        <f t="shared" si="59"/>
        <v>-1</v>
      </c>
      <c r="I374" s="258"/>
      <c r="J374" s="44" t="s">
        <v>325</v>
      </c>
      <c r="K374" s="71"/>
      <c r="L374" s="121"/>
    </row>
    <row r="375" spans="1:12" s="42" customFormat="1" ht="12.75" customHeight="1" x14ac:dyDescent="0.2">
      <c r="A375" s="34" t="s">
        <v>127</v>
      </c>
      <c r="B375" s="34" t="s">
        <v>127</v>
      </c>
      <c r="C375" s="34" t="s">
        <v>7</v>
      </c>
      <c r="D375" s="229" t="s">
        <v>1107</v>
      </c>
      <c r="E375" s="35">
        <f>E372+I372</f>
        <v>3206</v>
      </c>
      <c r="F375" s="35">
        <f>E375+I375-1</f>
        <v>3206</v>
      </c>
      <c r="G375" s="259">
        <f t="shared" si="58"/>
        <v>3205</v>
      </c>
      <c r="H375" s="260">
        <f t="shared" si="59"/>
        <v>3205</v>
      </c>
      <c r="I375" s="258">
        <v>1</v>
      </c>
      <c r="J375" s="35" t="s">
        <v>104</v>
      </c>
      <c r="K375" s="239" t="s">
        <v>330</v>
      </c>
      <c r="L375" s="244" t="s">
        <v>907</v>
      </c>
    </row>
    <row r="376" spans="1:12" s="42" customFormat="1" x14ac:dyDescent="0.2">
      <c r="A376" s="34" t="s">
        <v>127</v>
      </c>
      <c r="B376" s="34" t="s">
        <v>127</v>
      </c>
      <c r="C376" s="34" t="s">
        <v>7</v>
      </c>
      <c r="D376" s="229" t="s">
        <v>1107</v>
      </c>
      <c r="E376" s="35">
        <f t="shared" ref="E376:E385" si="67">E375+I375</f>
        <v>3207</v>
      </c>
      <c r="F376" s="35">
        <f t="shared" ref="F376:F385" si="68">E376+I376-1</f>
        <v>3207</v>
      </c>
      <c r="G376" s="259">
        <f t="shared" si="58"/>
        <v>3206</v>
      </c>
      <c r="H376" s="260">
        <f t="shared" si="59"/>
        <v>3206</v>
      </c>
      <c r="I376" s="258">
        <v>1</v>
      </c>
      <c r="J376" s="35" t="s">
        <v>105</v>
      </c>
      <c r="K376" s="239"/>
      <c r="L376" s="244"/>
    </row>
    <row r="377" spans="1:12" s="42" customFormat="1" x14ac:dyDescent="0.2">
      <c r="A377" s="34" t="s">
        <v>127</v>
      </c>
      <c r="B377" s="34" t="s">
        <v>127</v>
      </c>
      <c r="C377" s="34" t="s">
        <v>7</v>
      </c>
      <c r="D377" s="229" t="s">
        <v>1107</v>
      </c>
      <c r="E377" s="35">
        <f t="shared" si="67"/>
        <v>3208</v>
      </c>
      <c r="F377" s="35">
        <f t="shared" si="68"/>
        <v>3208</v>
      </c>
      <c r="G377" s="259">
        <f t="shared" si="58"/>
        <v>3207</v>
      </c>
      <c r="H377" s="260">
        <f t="shared" si="59"/>
        <v>3207</v>
      </c>
      <c r="I377" s="258">
        <v>1</v>
      </c>
      <c r="J377" s="35" t="s">
        <v>106</v>
      </c>
      <c r="K377" s="239"/>
      <c r="L377" s="244"/>
    </row>
    <row r="378" spans="1:12" s="42" customFormat="1" x14ac:dyDescent="0.2">
      <c r="A378" s="34" t="s">
        <v>127</v>
      </c>
      <c r="B378" s="34" t="s">
        <v>127</v>
      </c>
      <c r="C378" s="34" t="s">
        <v>7</v>
      </c>
      <c r="D378" s="229" t="s">
        <v>1107</v>
      </c>
      <c r="E378" s="35">
        <f t="shared" si="67"/>
        <v>3209</v>
      </c>
      <c r="F378" s="35">
        <f t="shared" si="68"/>
        <v>3209</v>
      </c>
      <c r="G378" s="259">
        <f t="shared" si="58"/>
        <v>3208</v>
      </c>
      <c r="H378" s="260">
        <f t="shared" si="59"/>
        <v>3208</v>
      </c>
      <c r="I378" s="258">
        <v>1</v>
      </c>
      <c r="J378" s="35" t="s">
        <v>107</v>
      </c>
      <c r="K378" s="239"/>
      <c r="L378" s="244"/>
    </row>
    <row r="379" spans="1:12" s="42" customFormat="1" x14ac:dyDescent="0.2">
      <c r="A379" s="34" t="s">
        <v>127</v>
      </c>
      <c r="B379" s="34" t="s">
        <v>127</v>
      </c>
      <c r="C379" s="34" t="s">
        <v>7</v>
      </c>
      <c r="D379" s="229" t="s">
        <v>1107</v>
      </c>
      <c r="E379" s="35">
        <f t="shared" si="67"/>
        <v>3210</v>
      </c>
      <c r="F379" s="35">
        <f t="shared" si="68"/>
        <v>3210</v>
      </c>
      <c r="G379" s="259">
        <f t="shared" si="58"/>
        <v>3209</v>
      </c>
      <c r="H379" s="260">
        <f t="shared" si="59"/>
        <v>3209</v>
      </c>
      <c r="I379" s="258">
        <v>1</v>
      </c>
      <c r="J379" s="35" t="s">
        <v>108</v>
      </c>
      <c r="K379" s="239"/>
      <c r="L379" s="244"/>
    </row>
    <row r="380" spans="1:12" s="42" customFormat="1" x14ac:dyDescent="0.2">
      <c r="A380" s="34" t="s">
        <v>127</v>
      </c>
      <c r="B380" s="34" t="s">
        <v>127</v>
      </c>
      <c r="C380" s="34" t="s">
        <v>7</v>
      </c>
      <c r="D380" s="229" t="s">
        <v>1107</v>
      </c>
      <c r="E380" s="35">
        <f t="shared" si="67"/>
        <v>3211</v>
      </c>
      <c r="F380" s="35">
        <f t="shared" si="68"/>
        <v>3211</v>
      </c>
      <c r="G380" s="259">
        <f t="shared" si="58"/>
        <v>3210</v>
      </c>
      <c r="H380" s="260">
        <f t="shared" si="59"/>
        <v>3210</v>
      </c>
      <c r="I380" s="258">
        <v>1</v>
      </c>
      <c r="J380" s="35" t="s">
        <v>109</v>
      </c>
      <c r="K380" s="239"/>
      <c r="L380" s="244"/>
    </row>
    <row r="381" spans="1:12" s="42" customFormat="1" ht="12.75" customHeight="1" x14ac:dyDescent="0.2">
      <c r="A381" s="34" t="s">
        <v>127</v>
      </c>
      <c r="B381" s="34" t="s">
        <v>127</v>
      </c>
      <c r="C381" s="34" t="s">
        <v>7</v>
      </c>
      <c r="D381" s="229" t="s">
        <v>1107</v>
      </c>
      <c r="E381" s="35">
        <f t="shared" si="67"/>
        <v>3212</v>
      </c>
      <c r="F381" s="35">
        <f t="shared" si="68"/>
        <v>3212</v>
      </c>
      <c r="G381" s="259">
        <f t="shared" si="58"/>
        <v>3211</v>
      </c>
      <c r="H381" s="260">
        <f t="shared" si="59"/>
        <v>3211</v>
      </c>
      <c r="I381" s="258">
        <v>1</v>
      </c>
      <c r="J381" s="36" t="s">
        <v>110</v>
      </c>
      <c r="K381" s="239"/>
      <c r="L381" s="244"/>
    </row>
    <row r="382" spans="1:12" s="42" customFormat="1" x14ac:dyDescent="0.2">
      <c r="A382" s="34" t="s">
        <v>127</v>
      </c>
      <c r="B382" s="34" t="s">
        <v>127</v>
      </c>
      <c r="C382" s="34" t="s">
        <v>7</v>
      </c>
      <c r="D382" s="229" t="s">
        <v>1107</v>
      </c>
      <c r="E382" s="35">
        <f t="shared" si="67"/>
        <v>3213</v>
      </c>
      <c r="F382" s="35">
        <f t="shared" si="68"/>
        <v>3213</v>
      </c>
      <c r="G382" s="259">
        <f t="shared" si="58"/>
        <v>3212</v>
      </c>
      <c r="H382" s="260">
        <f t="shared" si="59"/>
        <v>3212</v>
      </c>
      <c r="I382" s="258">
        <v>1</v>
      </c>
      <c r="J382" s="35" t="s">
        <v>111</v>
      </c>
      <c r="K382" s="239"/>
      <c r="L382" s="244"/>
    </row>
    <row r="383" spans="1:12" s="42" customFormat="1" x14ac:dyDescent="0.2">
      <c r="A383" s="34" t="s">
        <v>127</v>
      </c>
      <c r="B383" s="34" t="s">
        <v>127</v>
      </c>
      <c r="C383" s="34" t="s">
        <v>7</v>
      </c>
      <c r="D383" s="229" t="s">
        <v>1107</v>
      </c>
      <c r="E383" s="35">
        <f t="shared" si="67"/>
        <v>3214</v>
      </c>
      <c r="F383" s="35">
        <f t="shared" si="68"/>
        <v>3214</v>
      </c>
      <c r="G383" s="259">
        <f t="shared" si="58"/>
        <v>3213</v>
      </c>
      <c r="H383" s="260">
        <f t="shared" si="59"/>
        <v>3213</v>
      </c>
      <c r="I383" s="258">
        <v>1</v>
      </c>
      <c r="J383" s="35" t="s">
        <v>112</v>
      </c>
      <c r="K383" s="239"/>
      <c r="L383" s="244"/>
    </row>
    <row r="384" spans="1:12" s="42" customFormat="1" x14ac:dyDescent="0.2">
      <c r="A384" s="34" t="s">
        <v>127</v>
      </c>
      <c r="B384" s="34" t="s">
        <v>127</v>
      </c>
      <c r="C384" s="34" t="s">
        <v>7</v>
      </c>
      <c r="D384" s="229" t="s">
        <v>1107</v>
      </c>
      <c r="E384" s="35">
        <f t="shared" si="67"/>
        <v>3215</v>
      </c>
      <c r="F384" s="35">
        <f t="shared" si="68"/>
        <v>3215</v>
      </c>
      <c r="G384" s="259">
        <f t="shared" si="58"/>
        <v>3214</v>
      </c>
      <c r="H384" s="260">
        <f t="shared" si="59"/>
        <v>3214</v>
      </c>
      <c r="I384" s="258">
        <v>1</v>
      </c>
      <c r="J384" s="35" t="s">
        <v>113</v>
      </c>
      <c r="K384" s="239"/>
      <c r="L384" s="244"/>
    </row>
    <row r="385" spans="1:12" s="42" customFormat="1" x14ac:dyDescent="0.2">
      <c r="A385" s="34" t="s">
        <v>127</v>
      </c>
      <c r="B385" s="34" t="s">
        <v>127</v>
      </c>
      <c r="C385" s="34" t="s">
        <v>7</v>
      </c>
      <c r="D385" s="229" t="s">
        <v>1107</v>
      </c>
      <c r="E385" s="35">
        <f t="shared" si="67"/>
        <v>3216</v>
      </c>
      <c r="F385" s="35">
        <f t="shared" si="68"/>
        <v>3216</v>
      </c>
      <c r="G385" s="259">
        <f t="shared" si="58"/>
        <v>3215</v>
      </c>
      <c r="H385" s="260">
        <f t="shared" si="59"/>
        <v>3215</v>
      </c>
      <c r="I385" s="258">
        <v>1</v>
      </c>
      <c r="J385" s="35" t="s">
        <v>114</v>
      </c>
      <c r="K385" s="239"/>
      <c r="L385" s="244"/>
    </row>
    <row r="386" spans="1:12" s="42" customFormat="1" x14ac:dyDescent="0.2">
      <c r="A386" s="34"/>
      <c r="B386" s="34"/>
      <c r="C386" s="34"/>
      <c r="D386" s="229"/>
      <c r="E386" s="35"/>
      <c r="F386" s="35"/>
      <c r="G386" s="259">
        <f t="shared" si="58"/>
        <v>-1</v>
      </c>
      <c r="H386" s="260">
        <f t="shared" si="59"/>
        <v>-1</v>
      </c>
      <c r="I386" s="258"/>
      <c r="J386" s="32" t="s">
        <v>326</v>
      </c>
      <c r="K386" s="71"/>
      <c r="L386" s="121"/>
    </row>
    <row r="387" spans="1:12" s="42" customFormat="1" ht="12.75" customHeight="1" x14ac:dyDescent="0.2">
      <c r="A387" s="34" t="s">
        <v>127</v>
      </c>
      <c r="B387" s="34" t="s">
        <v>127</v>
      </c>
      <c r="C387" s="34" t="s">
        <v>7</v>
      </c>
      <c r="D387" s="229" t="s">
        <v>1107</v>
      </c>
      <c r="E387" s="35">
        <f>E385+I385</f>
        <v>3217</v>
      </c>
      <c r="F387" s="35">
        <f t="shared" ref="F387:F392" si="69">E387+I387-1</f>
        <v>3217</v>
      </c>
      <c r="G387" s="259">
        <f t="shared" si="58"/>
        <v>3216</v>
      </c>
      <c r="H387" s="260">
        <f t="shared" si="59"/>
        <v>3216</v>
      </c>
      <c r="I387" s="258">
        <v>1</v>
      </c>
      <c r="J387" s="35" t="s">
        <v>104</v>
      </c>
      <c r="K387" s="239" t="s">
        <v>330</v>
      </c>
      <c r="L387" s="244" t="s">
        <v>907</v>
      </c>
    </row>
    <row r="388" spans="1:12" s="42" customFormat="1" x14ac:dyDescent="0.2">
      <c r="A388" s="34" t="s">
        <v>127</v>
      </c>
      <c r="B388" s="34" t="s">
        <v>127</v>
      </c>
      <c r="C388" s="34" t="s">
        <v>7</v>
      </c>
      <c r="D388" s="229" t="s">
        <v>1107</v>
      </c>
      <c r="E388" s="35">
        <f>E387+I387</f>
        <v>3218</v>
      </c>
      <c r="F388" s="35">
        <f t="shared" si="69"/>
        <v>3218</v>
      </c>
      <c r="G388" s="259">
        <f t="shared" si="58"/>
        <v>3217</v>
      </c>
      <c r="H388" s="260">
        <f t="shared" si="59"/>
        <v>3217</v>
      </c>
      <c r="I388" s="258">
        <v>1</v>
      </c>
      <c r="J388" s="35" t="s">
        <v>109</v>
      </c>
      <c r="K388" s="239"/>
      <c r="L388" s="244"/>
    </row>
    <row r="389" spans="1:12" s="42" customFormat="1" x14ac:dyDescent="0.2">
      <c r="A389" s="34" t="s">
        <v>127</v>
      </c>
      <c r="B389" s="34" t="s">
        <v>127</v>
      </c>
      <c r="C389" s="34" t="s">
        <v>7</v>
      </c>
      <c r="D389" s="229" t="s">
        <v>1107</v>
      </c>
      <c r="E389" s="35">
        <f>E388+I388</f>
        <v>3219</v>
      </c>
      <c r="F389" s="35">
        <f t="shared" si="69"/>
        <v>3219</v>
      </c>
      <c r="G389" s="259">
        <f t="shared" ref="G389:G410" si="70">E389-1</f>
        <v>3218</v>
      </c>
      <c r="H389" s="260">
        <f t="shared" ref="H389:H410" si="71">F389-1</f>
        <v>3218</v>
      </c>
      <c r="I389" s="258">
        <v>1</v>
      </c>
      <c r="J389" s="35" t="s">
        <v>112</v>
      </c>
      <c r="K389" s="239"/>
      <c r="L389" s="244"/>
    </row>
    <row r="390" spans="1:12" s="42" customFormat="1" x14ac:dyDescent="0.2">
      <c r="A390" s="34" t="s">
        <v>127</v>
      </c>
      <c r="B390" s="34" t="s">
        <v>127</v>
      </c>
      <c r="C390" s="34" t="s">
        <v>7</v>
      </c>
      <c r="D390" s="229" t="s">
        <v>1107</v>
      </c>
      <c r="E390" s="35">
        <f>E389+I389</f>
        <v>3220</v>
      </c>
      <c r="F390" s="35">
        <f t="shared" si="69"/>
        <v>3220</v>
      </c>
      <c r="G390" s="259">
        <f t="shared" si="70"/>
        <v>3219</v>
      </c>
      <c r="H390" s="260">
        <f t="shared" si="71"/>
        <v>3219</v>
      </c>
      <c r="I390" s="258">
        <v>1</v>
      </c>
      <c r="J390" s="205" t="s">
        <v>105</v>
      </c>
      <c r="K390" s="239"/>
      <c r="L390" s="244"/>
    </row>
    <row r="391" spans="1:12" s="42" customFormat="1" x14ac:dyDescent="0.2">
      <c r="A391" s="34" t="s">
        <v>127</v>
      </c>
      <c r="B391" s="34" t="s">
        <v>127</v>
      </c>
      <c r="C391" s="34" t="s">
        <v>7</v>
      </c>
      <c r="D391" s="229" t="s">
        <v>1107</v>
      </c>
      <c r="E391" s="35">
        <f>E390+I390</f>
        <v>3221</v>
      </c>
      <c r="F391" s="35">
        <f t="shared" si="69"/>
        <v>3221</v>
      </c>
      <c r="G391" s="259">
        <f t="shared" si="70"/>
        <v>3220</v>
      </c>
      <c r="H391" s="260">
        <f t="shared" si="71"/>
        <v>3220</v>
      </c>
      <c r="I391" s="258">
        <v>1</v>
      </c>
      <c r="J391" s="36" t="s">
        <v>117</v>
      </c>
      <c r="K391" s="239"/>
      <c r="L391" s="244"/>
    </row>
    <row r="392" spans="1:12" s="42" customFormat="1" x14ac:dyDescent="0.2">
      <c r="A392" s="34" t="s">
        <v>127</v>
      </c>
      <c r="B392" s="34" t="s">
        <v>127</v>
      </c>
      <c r="C392" s="34" t="s">
        <v>7</v>
      </c>
      <c r="D392" s="229" t="s">
        <v>1107</v>
      </c>
      <c r="E392" s="35">
        <f>E391+I391</f>
        <v>3222</v>
      </c>
      <c r="F392" s="35">
        <f t="shared" si="69"/>
        <v>3222</v>
      </c>
      <c r="G392" s="259">
        <f t="shared" si="70"/>
        <v>3221</v>
      </c>
      <c r="H392" s="260">
        <f t="shared" si="71"/>
        <v>3221</v>
      </c>
      <c r="I392" s="258">
        <v>1</v>
      </c>
      <c r="J392" s="35" t="s">
        <v>113</v>
      </c>
      <c r="K392" s="239"/>
      <c r="L392" s="244"/>
    </row>
    <row r="393" spans="1:12" s="42" customFormat="1" x14ac:dyDescent="0.2">
      <c r="A393" s="34"/>
      <c r="B393" s="34"/>
      <c r="C393" s="34"/>
      <c r="D393" s="229"/>
      <c r="E393" s="35"/>
      <c r="F393" s="35"/>
      <c r="G393" s="259">
        <f t="shared" si="70"/>
        <v>-1</v>
      </c>
      <c r="H393" s="260">
        <f t="shared" si="71"/>
        <v>-1</v>
      </c>
      <c r="I393" s="258"/>
      <c r="J393" s="32" t="s">
        <v>327</v>
      </c>
      <c r="K393" s="71"/>
      <c r="L393" s="121"/>
    </row>
    <row r="394" spans="1:12" s="42" customFormat="1" ht="12.75" customHeight="1" x14ac:dyDescent="0.2">
      <c r="A394" s="34" t="s">
        <v>127</v>
      </c>
      <c r="B394" s="34" t="s">
        <v>127</v>
      </c>
      <c r="C394" s="34" t="s">
        <v>7</v>
      </c>
      <c r="D394" s="229" t="s">
        <v>1107</v>
      </c>
      <c r="E394" s="35">
        <f>E392+I392</f>
        <v>3223</v>
      </c>
      <c r="F394" s="35">
        <f t="shared" ref="F394:F404" si="72">E394+I394-1</f>
        <v>3223</v>
      </c>
      <c r="G394" s="259">
        <f t="shared" si="70"/>
        <v>3222</v>
      </c>
      <c r="H394" s="260">
        <f t="shared" si="71"/>
        <v>3222</v>
      </c>
      <c r="I394" s="258">
        <v>1</v>
      </c>
      <c r="J394" s="35" t="s">
        <v>104</v>
      </c>
      <c r="K394" s="239" t="s">
        <v>330</v>
      </c>
      <c r="L394" s="244" t="s">
        <v>907</v>
      </c>
    </row>
    <row r="395" spans="1:12" s="42" customFormat="1" x14ac:dyDescent="0.2">
      <c r="A395" s="34" t="s">
        <v>127</v>
      </c>
      <c r="B395" s="34" t="s">
        <v>127</v>
      </c>
      <c r="C395" s="34" t="s">
        <v>7</v>
      </c>
      <c r="D395" s="229" t="s">
        <v>1107</v>
      </c>
      <c r="E395" s="35">
        <f t="shared" ref="E395:E404" si="73">E394+I394</f>
        <v>3224</v>
      </c>
      <c r="F395" s="35">
        <f t="shared" si="72"/>
        <v>3224</v>
      </c>
      <c r="G395" s="259">
        <f t="shared" si="70"/>
        <v>3223</v>
      </c>
      <c r="H395" s="260">
        <f t="shared" si="71"/>
        <v>3223</v>
      </c>
      <c r="I395" s="258">
        <v>1</v>
      </c>
      <c r="J395" s="35" t="s">
        <v>105</v>
      </c>
      <c r="K395" s="239"/>
      <c r="L395" s="244"/>
    </row>
    <row r="396" spans="1:12" s="42" customFormat="1" x14ac:dyDescent="0.2">
      <c r="A396" s="34" t="s">
        <v>127</v>
      </c>
      <c r="B396" s="34" t="s">
        <v>127</v>
      </c>
      <c r="C396" s="34" t="s">
        <v>7</v>
      </c>
      <c r="D396" s="229" t="s">
        <v>1107</v>
      </c>
      <c r="E396" s="35">
        <f t="shared" si="73"/>
        <v>3225</v>
      </c>
      <c r="F396" s="35">
        <f t="shared" si="72"/>
        <v>3225</v>
      </c>
      <c r="G396" s="259">
        <f t="shared" si="70"/>
        <v>3224</v>
      </c>
      <c r="H396" s="260">
        <f t="shared" si="71"/>
        <v>3224</v>
      </c>
      <c r="I396" s="258">
        <v>1</v>
      </c>
      <c r="J396" s="35" t="s">
        <v>106</v>
      </c>
      <c r="K396" s="239"/>
      <c r="L396" s="244"/>
    </row>
    <row r="397" spans="1:12" s="42" customFormat="1" x14ac:dyDescent="0.2">
      <c r="A397" s="34" t="s">
        <v>127</v>
      </c>
      <c r="B397" s="34" t="s">
        <v>127</v>
      </c>
      <c r="C397" s="34" t="s">
        <v>7</v>
      </c>
      <c r="D397" s="229" t="s">
        <v>1107</v>
      </c>
      <c r="E397" s="35">
        <f t="shared" si="73"/>
        <v>3226</v>
      </c>
      <c r="F397" s="35">
        <f t="shared" si="72"/>
        <v>3226</v>
      </c>
      <c r="G397" s="259">
        <f t="shared" si="70"/>
        <v>3225</v>
      </c>
      <c r="H397" s="260">
        <f t="shared" si="71"/>
        <v>3225</v>
      </c>
      <c r="I397" s="258">
        <v>1</v>
      </c>
      <c r="J397" s="35" t="s">
        <v>107</v>
      </c>
      <c r="K397" s="239"/>
      <c r="L397" s="244"/>
    </row>
    <row r="398" spans="1:12" s="42" customFormat="1" x14ac:dyDescent="0.2">
      <c r="A398" s="34" t="s">
        <v>127</v>
      </c>
      <c r="B398" s="34" t="s">
        <v>127</v>
      </c>
      <c r="C398" s="34" t="s">
        <v>7</v>
      </c>
      <c r="D398" s="229" t="s">
        <v>1107</v>
      </c>
      <c r="E398" s="35">
        <f t="shared" si="73"/>
        <v>3227</v>
      </c>
      <c r="F398" s="35">
        <f t="shared" si="72"/>
        <v>3227</v>
      </c>
      <c r="G398" s="259">
        <f t="shared" si="70"/>
        <v>3226</v>
      </c>
      <c r="H398" s="260">
        <f t="shared" si="71"/>
        <v>3226</v>
      </c>
      <c r="I398" s="258">
        <v>1</v>
      </c>
      <c r="J398" s="35" t="s">
        <v>108</v>
      </c>
      <c r="K398" s="239"/>
      <c r="L398" s="244"/>
    </row>
    <row r="399" spans="1:12" s="42" customFormat="1" x14ac:dyDescent="0.2">
      <c r="A399" s="34" t="s">
        <v>127</v>
      </c>
      <c r="B399" s="34" t="s">
        <v>127</v>
      </c>
      <c r="C399" s="34" t="s">
        <v>7</v>
      </c>
      <c r="D399" s="229" t="s">
        <v>1107</v>
      </c>
      <c r="E399" s="35">
        <f t="shared" si="73"/>
        <v>3228</v>
      </c>
      <c r="F399" s="35">
        <f t="shared" si="72"/>
        <v>3228</v>
      </c>
      <c r="G399" s="259">
        <f t="shared" si="70"/>
        <v>3227</v>
      </c>
      <c r="H399" s="260">
        <f t="shared" si="71"/>
        <v>3227</v>
      </c>
      <c r="I399" s="258">
        <v>1</v>
      </c>
      <c r="J399" s="35" t="s">
        <v>109</v>
      </c>
      <c r="K399" s="239"/>
      <c r="L399" s="244"/>
    </row>
    <row r="400" spans="1:12" s="42" customFormat="1" x14ac:dyDescent="0.2">
      <c r="A400" s="34" t="s">
        <v>127</v>
      </c>
      <c r="B400" s="34" t="s">
        <v>127</v>
      </c>
      <c r="C400" s="34" t="s">
        <v>7</v>
      </c>
      <c r="D400" s="229" t="s">
        <v>1107</v>
      </c>
      <c r="E400" s="35">
        <f t="shared" si="73"/>
        <v>3229</v>
      </c>
      <c r="F400" s="35">
        <f t="shared" si="72"/>
        <v>3229</v>
      </c>
      <c r="G400" s="259">
        <f t="shared" si="70"/>
        <v>3228</v>
      </c>
      <c r="H400" s="260">
        <f t="shared" si="71"/>
        <v>3228</v>
      </c>
      <c r="I400" s="258">
        <v>1</v>
      </c>
      <c r="J400" s="35" t="s">
        <v>110</v>
      </c>
      <c r="K400" s="239"/>
      <c r="L400" s="244"/>
    </row>
    <row r="401" spans="1:12" s="42" customFormat="1" x14ac:dyDescent="0.2">
      <c r="A401" s="34" t="s">
        <v>127</v>
      </c>
      <c r="B401" s="34" t="s">
        <v>127</v>
      </c>
      <c r="C401" s="34" t="s">
        <v>7</v>
      </c>
      <c r="D401" s="229" t="s">
        <v>1107</v>
      </c>
      <c r="E401" s="35">
        <f t="shared" si="73"/>
        <v>3230</v>
      </c>
      <c r="F401" s="35">
        <f t="shared" si="72"/>
        <v>3230</v>
      </c>
      <c r="G401" s="259">
        <f t="shared" si="70"/>
        <v>3229</v>
      </c>
      <c r="H401" s="260">
        <f t="shared" si="71"/>
        <v>3229</v>
      </c>
      <c r="I401" s="258">
        <v>1</v>
      </c>
      <c r="J401" s="35" t="s">
        <v>111</v>
      </c>
      <c r="K401" s="239"/>
      <c r="L401" s="244"/>
    </row>
    <row r="402" spans="1:12" s="42" customFormat="1" x14ac:dyDescent="0.2">
      <c r="A402" s="34" t="s">
        <v>127</v>
      </c>
      <c r="B402" s="34" t="s">
        <v>127</v>
      </c>
      <c r="C402" s="34" t="s">
        <v>7</v>
      </c>
      <c r="D402" s="229" t="s">
        <v>1107</v>
      </c>
      <c r="E402" s="35">
        <f t="shared" si="73"/>
        <v>3231</v>
      </c>
      <c r="F402" s="35">
        <f t="shared" si="72"/>
        <v>3231</v>
      </c>
      <c r="G402" s="259">
        <f t="shared" si="70"/>
        <v>3230</v>
      </c>
      <c r="H402" s="260">
        <f t="shared" si="71"/>
        <v>3230</v>
      </c>
      <c r="I402" s="258">
        <v>1</v>
      </c>
      <c r="J402" s="35" t="s">
        <v>112</v>
      </c>
      <c r="K402" s="239"/>
      <c r="L402" s="244"/>
    </row>
    <row r="403" spans="1:12" s="42" customFormat="1" x14ac:dyDescent="0.2">
      <c r="A403" s="34" t="s">
        <v>127</v>
      </c>
      <c r="B403" s="34" t="s">
        <v>127</v>
      </c>
      <c r="C403" s="34" t="s">
        <v>7</v>
      </c>
      <c r="D403" s="229" t="s">
        <v>1107</v>
      </c>
      <c r="E403" s="35">
        <f t="shared" si="73"/>
        <v>3232</v>
      </c>
      <c r="F403" s="35">
        <f t="shared" si="72"/>
        <v>3232</v>
      </c>
      <c r="G403" s="259">
        <f t="shared" si="70"/>
        <v>3231</v>
      </c>
      <c r="H403" s="260">
        <f t="shared" si="71"/>
        <v>3231</v>
      </c>
      <c r="I403" s="258">
        <v>1</v>
      </c>
      <c r="J403" s="35" t="s">
        <v>113</v>
      </c>
      <c r="K403" s="239"/>
      <c r="L403" s="244"/>
    </row>
    <row r="404" spans="1:12" s="42" customFormat="1" x14ac:dyDescent="0.2">
      <c r="A404" s="34" t="s">
        <v>127</v>
      </c>
      <c r="B404" s="34" t="s">
        <v>127</v>
      </c>
      <c r="C404" s="34" t="s">
        <v>7</v>
      </c>
      <c r="D404" s="229" t="s">
        <v>1107</v>
      </c>
      <c r="E404" s="35">
        <f t="shared" si="73"/>
        <v>3233</v>
      </c>
      <c r="F404" s="35">
        <f t="shared" si="72"/>
        <v>3233</v>
      </c>
      <c r="G404" s="259">
        <f t="shared" si="70"/>
        <v>3232</v>
      </c>
      <c r="H404" s="260">
        <f t="shared" si="71"/>
        <v>3232</v>
      </c>
      <c r="I404" s="258">
        <v>1</v>
      </c>
      <c r="J404" s="35" t="s">
        <v>114</v>
      </c>
      <c r="K404" s="239"/>
      <c r="L404" s="244"/>
    </row>
    <row r="405" spans="1:12" s="42" customFormat="1" x14ac:dyDescent="0.2">
      <c r="A405" s="34"/>
      <c r="B405" s="34"/>
      <c r="C405" s="34"/>
      <c r="D405" s="229"/>
      <c r="E405" s="35"/>
      <c r="F405" s="35"/>
      <c r="G405" s="259">
        <f t="shared" si="70"/>
        <v>-1</v>
      </c>
      <c r="H405" s="260">
        <f t="shared" si="71"/>
        <v>-1</v>
      </c>
      <c r="I405" s="258"/>
      <c r="J405" s="44" t="s">
        <v>540</v>
      </c>
      <c r="K405" s="120"/>
      <c r="L405" s="121"/>
    </row>
    <row r="406" spans="1:12" s="42" customFormat="1" ht="38.25" x14ac:dyDescent="0.2">
      <c r="A406" s="64" t="s">
        <v>128</v>
      </c>
      <c r="B406" s="64" t="s">
        <v>128</v>
      </c>
      <c r="C406" s="34"/>
      <c r="D406" s="229" t="s">
        <v>234</v>
      </c>
      <c r="E406" s="35">
        <f>E404+I404</f>
        <v>3234</v>
      </c>
      <c r="F406" s="35">
        <f t="shared" ref="F406:F410" si="74">E406+I406-1</f>
        <v>3235</v>
      </c>
      <c r="G406" s="259">
        <f t="shared" si="70"/>
        <v>3233</v>
      </c>
      <c r="H406" s="260">
        <f t="shared" si="71"/>
        <v>3234</v>
      </c>
      <c r="I406" s="258">
        <v>2</v>
      </c>
      <c r="J406" s="65" t="s">
        <v>559</v>
      </c>
      <c r="K406" s="121" t="s">
        <v>602</v>
      </c>
      <c r="L406" s="79" t="s">
        <v>69</v>
      </c>
    </row>
    <row r="407" spans="1:12" s="42" customFormat="1" ht="38.25" x14ac:dyDescent="0.2">
      <c r="A407" s="64" t="s">
        <v>128</v>
      </c>
      <c r="B407" s="64" t="s">
        <v>128</v>
      </c>
      <c r="C407" s="34"/>
      <c r="D407" s="229" t="s">
        <v>234</v>
      </c>
      <c r="E407" s="35">
        <f>E406+I406</f>
        <v>3236</v>
      </c>
      <c r="F407" s="35">
        <f t="shared" si="74"/>
        <v>3243</v>
      </c>
      <c r="G407" s="259">
        <f t="shared" si="70"/>
        <v>3235</v>
      </c>
      <c r="H407" s="260">
        <f t="shared" si="71"/>
        <v>3242</v>
      </c>
      <c r="I407" s="258">
        <v>8</v>
      </c>
      <c r="J407" s="65" t="s">
        <v>558</v>
      </c>
      <c r="K407" s="121" t="s">
        <v>603</v>
      </c>
      <c r="L407" s="79" t="s">
        <v>69</v>
      </c>
    </row>
    <row r="408" spans="1:12" s="42" customFormat="1" x14ac:dyDescent="0.2">
      <c r="A408" s="64"/>
      <c r="B408" s="64"/>
      <c r="C408" s="34"/>
      <c r="D408" s="229"/>
      <c r="E408" s="35">
        <f>E407+I407</f>
        <v>3244</v>
      </c>
      <c r="F408" s="35">
        <f t="shared" si="74"/>
        <v>3253</v>
      </c>
      <c r="G408" s="259">
        <f t="shared" si="70"/>
        <v>3243</v>
      </c>
      <c r="H408" s="260">
        <f t="shared" si="71"/>
        <v>3252</v>
      </c>
      <c r="I408" s="258">
        <v>10</v>
      </c>
      <c r="J408" s="65" t="s">
        <v>306</v>
      </c>
      <c r="K408" s="121"/>
      <c r="L408" s="79"/>
    </row>
    <row r="409" spans="1:12" x14ac:dyDescent="0.2">
      <c r="A409" s="34" t="s">
        <v>127</v>
      </c>
      <c r="B409" s="34" t="s">
        <v>127</v>
      </c>
      <c r="C409" s="34"/>
      <c r="D409" s="229" t="s">
        <v>1107</v>
      </c>
      <c r="E409" s="35">
        <f>E408+I408</f>
        <v>3254</v>
      </c>
      <c r="F409" s="35">
        <f t="shared" si="74"/>
        <v>3272</v>
      </c>
      <c r="G409" s="259">
        <f t="shared" si="70"/>
        <v>3253</v>
      </c>
      <c r="H409" s="260">
        <f t="shared" si="71"/>
        <v>3271</v>
      </c>
      <c r="I409" s="258">
        <v>19</v>
      </c>
      <c r="J409" s="35" t="s">
        <v>136</v>
      </c>
      <c r="K409" s="121" t="s">
        <v>686</v>
      </c>
      <c r="L409" s="126" t="s">
        <v>150</v>
      </c>
    </row>
    <row r="410" spans="1:12" x14ac:dyDescent="0.2">
      <c r="A410" s="34"/>
      <c r="B410" s="34"/>
      <c r="C410" s="34"/>
      <c r="D410" s="180"/>
      <c r="E410" s="35">
        <f>E409+I409</f>
        <v>3273</v>
      </c>
      <c r="F410" s="35">
        <f t="shared" si="74"/>
        <v>3273</v>
      </c>
      <c r="G410" s="259">
        <f t="shared" si="70"/>
        <v>3272</v>
      </c>
      <c r="H410" s="260">
        <f t="shared" si="71"/>
        <v>3272</v>
      </c>
      <c r="I410" s="258">
        <v>1</v>
      </c>
      <c r="J410" s="40" t="s">
        <v>306</v>
      </c>
      <c r="K410" s="36"/>
      <c r="L410" s="126"/>
    </row>
    <row r="411" spans="1:12" x14ac:dyDescent="0.2">
      <c r="E411" s="31"/>
      <c r="F411" s="31"/>
      <c r="G411" s="30"/>
      <c r="H411" s="30"/>
      <c r="I411" s="30"/>
      <c r="J411" s="33"/>
      <c r="K411" s="54"/>
      <c r="L411" s="126"/>
    </row>
    <row r="412" spans="1:12" ht="15.75" x14ac:dyDescent="0.2">
      <c r="D412" s="233"/>
      <c r="E412" s="58" t="s">
        <v>4</v>
      </c>
      <c r="F412" s="23">
        <f>F410</f>
        <v>3273</v>
      </c>
      <c r="G412" s="22"/>
      <c r="H412" s="22"/>
      <c r="I412" s="30"/>
      <c r="J412" s="33"/>
      <c r="K412" s="54"/>
      <c r="L412" s="126"/>
    </row>
    <row r="413" spans="1:12" x14ac:dyDescent="0.2">
      <c r="E413" s="31"/>
      <c r="F413" s="31"/>
      <c r="G413" s="30"/>
      <c r="H413" s="30"/>
      <c r="I413" s="30"/>
      <c r="J413" s="43"/>
      <c r="K413" s="54"/>
      <c r="L413" s="111"/>
    </row>
    <row r="414" spans="1:12" x14ac:dyDescent="0.2">
      <c r="E414" s="31"/>
      <c r="F414" s="31"/>
      <c r="G414" s="30"/>
      <c r="H414" s="30"/>
      <c r="I414" s="30"/>
      <c r="J414" s="33"/>
      <c r="K414" s="54"/>
      <c r="L414" s="111"/>
    </row>
    <row r="415" spans="1:12" x14ac:dyDescent="0.2">
      <c r="E415" s="31"/>
      <c r="F415" s="31"/>
      <c r="G415" s="30"/>
      <c r="H415" s="30"/>
      <c r="I415" s="30"/>
      <c r="J415" s="33"/>
      <c r="K415" s="54"/>
      <c r="L415" s="111"/>
    </row>
    <row r="416" spans="1:12" x14ac:dyDescent="0.2">
      <c r="E416" s="31"/>
      <c r="F416" s="31"/>
      <c r="G416" s="30"/>
      <c r="H416" s="30"/>
      <c r="I416" s="30"/>
      <c r="J416" s="33"/>
      <c r="K416" s="54"/>
      <c r="L416" s="111"/>
    </row>
    <row r="417" spans="5:12" x14ac:dyDescent="0.2">
      <c r="E417" s="31"/>
      <c r="F417" s="31"/>
      <c r="G417" s="30"/>
      <c r="H417" s="30"/>
      <c r="I417" s="30"/>
      <c r="J417" s="33"/>
      <c r="K417" s="54"/>
      <c r="L417" s="111"/>
    </row>
    <row r="418" spans="5:12" x14ac:dyDescent="0.2">
      <c r="E418" s="31"/>
      <c r="F418" s="31"/>
      <c r="G418" s="30"/>
      <c r="H418" s="30"/>
      <c r="I418" s="30"/>
      <c r="J418" s="33"/>
      <c r="K418" s="54"/>
      <c r="L418" s="111"/>
    </row>
    <row r="419" spans="5:12" x14ac:dyDescent="0.2">
      <c r="E419" s="31"/>
      <c r="F419" s="31"/>
      <c r="G419" s="30"/>
      <c r="H419" s="30"/>
      <c r="I419" s="30"/>
      <c r="J419" s="33"/>
      <c r="K419" s="54"/>
      <c r="L419" s="111"/>
    </row>
    <row r="420" spans="5:12" x14ac:dyDescent="0.2">
      <c r="E420" s="31"/>
      <c r="F420" s="31"/>
      <c r="G420" s="30"/>
      <c r="H420" s="30"/>
      <c r="I420" s="30"/>
      <c r="J420" s="33"/>
      <c r="K420" s="54"/>
      <c r="L420" s="111"/>
    </row>
    <row r="421" spans="5:12" x14ac:dyDescent="0.2">
      <c r="E421" s="31"/>
      <c r="F421" s="31"/>
      <c r="G421" s="30"/>
      <c r="H421" s="30"/>
      <c r="I421" s="30"/>
      <c r="J421" s="33"/>
      <c r="K421" s="54"/>
      <c r="L421" s="111"/>
    </row>
    <row r="422" spans="5:12" x14ac:dyDescent="0.2">
      <c r="E422" s="31"/>
      <c r="F422" s="31"/>
      <c r="G422" s="30"/>
      <c r="H422" s="30"/>
      <c r="I422" s="30"/>
      <c r="J422" s="33"/>
      <c r="K422" s="54"/>
      <c r="L422" s="111"/>
    </row>
    <row r="423" spans="5:12" x14ac:dyDescent="0.2">
      <c r="E423" s="31"/>
      <c r="F423" s="31"/>
      <c r="G423" s="30"/>
      <c r="H423" s="30"/>
      <c r="I423" s="30"/>
      <c r="J423" s="33"/>
      <c r="K423" s="54"/>
      <c r="L423" s="111"/>
    </row>
    <row r="424" spans="5:12" x14ac:dyDescent="0.2">
      <c r="E424" s="31"/>
      <c r="F424" s="31"/>
      <c r="G424" s="30"/>
      <c r="H424" s="30"/>
      <c r="I424" s="30"/>
      <c r="J424" s="33"/>
      <c r="K424" s="54"/>
      <c r="L424" s="111"/>
    </row>
    <row r="425" spans="5:12" x14ac:dyDescent="0.2">
      <c r="L425" s="111"/>
    </row>
    <row r="426" spans="5:12" x14ac:dyDescent="0.2">
      <c r="L426" s="111"/>
    </row>
    <row r="427" spans="5:12" x14ac:dyDescent="0.2">
      <c r="L427" s="111"/>
    </row>
    <row r="428" spans="5:12" x14ac:dyDescent="0.2">
      <c r="L428" s="111"/>
    </row>
    <row r="429" spans="5:12" x14ac:dyDescent="0.2">
      <c r="L429" s="111"/>
    </row>
    <row r="430" spans="5:12" x14ac:dyDescent="0.2">
      <c r="L430" s="111"/>
    </row>
    <row r="431" spans="5:12" x14ac:dyDescent="0.2">
      <c r="L431" s="111"/>
    </row>
    <row r="432" spans="5:12" x14ac:dyDescent="0.2">
      <c r="L432" s="111"/>
    </row>
    <row r="433" spans="12:12" x14ac:dyDescent="0.2">
      <c r="L433" s="111"/>
    </row>
    <row r="434" spans="12:12" x14ac:dyDescent="0.2">
      <c r="L434" s="111"/>
    </row>
    <row r="435" spans="12:12" x14ac:dyDescent="0.2">
      <c r="L435" s="111"/>
    </row>
    <row r="436" spans="12:12" x14ac:dyDescent="0.2">
      <c r="L436" s="111"/>
    </row>
    <row r="437" spans="12:12" x14ac:dyDescent="0.2">
      <c r="L437" s="111"/>
    </row>
    <row r="438" spans="12:12" x14ac:dyDescent="0.2">
      <c r="L438" s="111"/>
    </row>
    <row r="439" spans="12:12" x14ac:dyDescent="0.2">
      <c r="L439" s="111"/>
    </row>
    <row r="440" spans="12:12" x14ac:dyDescent="0.2">
      <c r="L440" s="111"/>
    </row>
    <row r="441" spans="12:12" x14ac:dyDescent="0.2">
      <c r="L441" s="111"/>
    </row>
    <row r="442" spans="12:12" x14ac:dyDescent="0.2">
      <c r="L442" s="111"/>
    </row>
    <row r="443" spans="12:12" x14ac:dyDescent="0.2">
      <c r="L443" s="111"/>
    </row>
    <row r="444" spans="12:12" x14ac:dyDescent="0.2">
      <c r="L444" s="111"/>
    </row>
    <row r="445" spans="12:12" x14ac:dyDescent="0.2">
      <c r="L445" s="111"/>
    </row>
    <row r="446" spans="12:12" x14ac:dyDescent="0.2">
      <c r="L446" s="111"/>
    </row>
    <row r="447" spans="12:12" x14ac:dyDescent="0.2">
      <c r="L447" s="111"/>
    </row>
    <row r="448" spans="12:12" x14ac:dyDescent="0.2">
      <c r="L448" s="111"/>
    </row>
    <row r="449" spans="12:12" x14ac:dyDescent="0.2">
      <c r="L449" s="111"/>
    </row>
    <row r="450" spans="12:12" x14ac:dyDescent="0.2">
      <c r="L450" s="111"/>
    </row>
    <row r="451" spans="12:12" x14ac:dyDescent="0.2">
      <c r="L451" s="111"/>
    </row>
    <row r="452" spans="12:12" x14ac:dyDescent="0.2">
      <c r="L452" s="111"/>
    </row>
    <row r="453" spans="12:12" x14ac:dyDescent="0.2">
      <c r="L453" s="111"/>
    </row>
    <row r="454" spans="12:12" x14ac:dyDescent="0.2">
      <c r="L454" s="111"/>
    </row>
    <row r="455" spans="12:12" x14ac:dyDescent="0.2">
      <c r="L455" s="111"/>
    </row>
    <row r="456" spans="12:12" x14ac:dyDescent="0.2">
      <c r="L456" s="111"/>
    </row>
    <row r="457" spans="12:12" x14ac:dyDescent="0.2">
      <c r="L457" s="111"/>
    </row>
    <row r="458" spans="12:12" x14ac:dyDescent="0.2">
      <c r="L458" s="111"/>
    </row>
    <row r="459" spans="12:12" x14ac:dyDescent="0.2">
      <c r="L459" s="111"/>
    </row>
    <row r="460" spans="12:12" x14ac:dyDescent="0.2">
      <c r="L460" s="111"/>
    </row>
    <row r="461" spans="12:12" x14ac:dyDescent="0.2">
      <c r="L461" s="111"/>
    </row>
    <row r="462" spans="12:12" x14ac:dyDescent="0.2">
      <c r="L462" s="111"/>
    </row>
    <row r="463" spans="12:12" x14ac:dyDescent="0.2">
      <c r="L463" s="111"/>
    </row>
    <row r="464" spans="12:12" x14ac:dyDescent="0.2">
      <c r="L464" s="111"/>
    </row>
    <row r="465" spans="12:12" x14ac:dyDescent="0.2">
      <c r="L465" s="111"/>
    </row>
    <row r="466" spans="12:12" x14ac:dyDescent="0.2">
      <c r="L466" s="111"/>
    </row>
    <row r="467" spans="12:12" x14ac:dyDescent="0.2">
      <c r="L467" s="111"/>
    </row>
    <row r="468" spans="12:12" x14ac:dyDescent="0.2">
      <c r="L468" s="111"/>
    </row>
    <row r="469" spans="12:12" x14ac:dyDescent="0.2">
      <c r="L469" s="111"/>
    </row>
    <row r="470" spans="12:12" x14ac:dyDescent="0.2">
      <c r="L470" s="111"/>
    </row>
    <row r="471" spans="12:12" x14ac:dyDescent="0.2">
      <c r="L471" s="111"/>
    </row>
    <row r="472" spans="12:12" x14ac:dyDescent="0.2">
      <c r="L472" s="111"/>
    </row>
    <row r="473" spans="12:12" x14ac:dyDescent="0.2">
      <c r="L473" s="111"/>
    </row>
    <row r="474" spans="12:12" x14ac:dyDescent="0.2">
      <c r="L474" s="111"/>
    </row>
    <row r="475" spans="12:12" x14ac:dyDescent="0.2">
      <c r="L475" s="111"/>
    </row>
    <row r="476" spans="12:12" x14ac:dyDescent="0.2">
      <c r="L476" s="111"/>
    </row>
    <row r="477" spans="12:12" x14ac:dyDescent="0.2">
      <c r="L477" s="111"/>
    </row>
    <row r="478" spans="12:12" x14ac:dyDescent="0.2">
      <c r="L478" s="111"/>
    </row>
    <row r="479" spans="12:12" x14ac:dyDescent="0.2">
      <c r="L479" s="111"/>
    </row>
    <row r="480" spans="12:12" x14ac:dyDescent="0.2">
      <c r="L480" s="111"/>
    </row>
    <row r="481" spans="12:12" x14ac:dyDescent="0.2">
      <c r="L481" s="111"/>
    </row>
    <row r="482" spans="12:12" x14ac:dyDescent="0.2">
      <c r="L482" s="111"/>
    </row>
    <row r="483" spans="12:12" x14ac:dyDescent="0.2">
      <c r="L483" s="111"/>
    </row>
    <row r="484" spans="12:12" x14ac:dyDescent="0.2">
      <c r="L484" s="111"/>
    </row>
    <row r="485" spans="12:12" x14ac:dyDescent="0.2">
      <c r="L485" s="111"/>
    </row>
    <row r="486" spans="12:12" x14ac:dyDescent="0.2">
      <c r="L486" s="111"/>
    </row>
    <row r="487" spans="12:12" x14ac:dyDescent="0.2">
      <c r="L487" s="111"/>
    </row>
    <row r="488" spans="12:12" x14ac:dyDescent="0.2">
      <c r="L488" s="111"/>
    </row>
    <row r="489" spans="12:12" x14ac:dyDescent="0.2">
      <c r="L489" s="111"/>
    </row>
    <row r="490" spans="12:12" x14ac:dyDescent="0.2">
      <c r="L490" s="111"/>
    </row>
    <row r="491" spans="12:12" x14ac:dyDescent="0.2">
      <c r="L491" s="111"/>
    </row>
    <row r="492" spans="12:12" x14ac:dyDescent="0.2">
      <c r="L492" s="111"/>
    </row>
    <row r="493" spans="12:12" x14ac:dyDescent="0.2">
      <c r="L493" s="111"/>
    </row>
    <row r="494" spans="12:12" x14ac:dyDescent="0.2">
      <c r="L494" s="111"/>
    </row>
    <row r="495" spans="12:12" x14ac:dyDescent="0.2">
      <c r="L495" s="111"/>
    </row>
    <row r="496" spans="12:12" x14ac:dyDescent="0.2">
      <c r="L496" s="111"/>
    </row>
    <row r="497" spans="12:12" x14ac:dyDescent="0.2">
      <c r="L497" s="111"/>
    </row>
    <row r="498" spans="12:12" x14ac:dyDescent="0.2">
      <c r="L498" s="111"/>
    </row>
    <row r="499" spans="12:12" x14ac:dyDescent="0.2">
      <c r="L499" s="111"/>
    </row>
    <row r="500" spans="12:12" x14ac:dyDescent="0.2">
      <c r="L500" s="111"/>
    </row>
    <row r="501" spans="12:12" x14ac:dyDescent="0.2">
      <c r="L501" s="111"/>
    </row>
    <row r="502" spans="12:12" x14ac:dyDescent="0.2">
      <c r="L502" s="111"/>
    </row>
    <row r="503" spans="12:12" x14ac:dyDescent="0.2">
      <c r="L503" s="111"/>
    </row>
    <row r="504" spans="12:12" x14ac:dyDescent="0.2">
      <c r="L504" s="111"/>
    </row>
    <row r="505" spans="12:12" x14ac:dyDescent="0.2">
      <c r="L505" s="111"/>
    </row>
    <row r="506" spans="12:12" x14ac:dyDescent="0.2">
      <c r="L506" s="111"/>
    </row>
    <row r="507" spans="12:12" x14ac:dyDescent="0.2">
      <c r="L507" s="111"/>
    </row>
    <row r="508" spans="12:12" x14ac:dyDescent="0.2">
      <c r="L508" s="111"/>
    </row>
    <row r="509" spans="12:12" x14ac:dyDescent="0.2">
      <c r="L509" s="111"/>
    </row>
    <row r="510" spans="12:12" x14ac:dyDescent="0.2">
      <c r="L510" s="111"/>
    </row>
    <row r="511" spans="12:12" x14ac:dyDescent="0.2">
      <c r="L511" s="111"/>
    </row>
    <row r="512" spans="12:12" x14ac:dyDescent="0.2">
      <c r="L512" s="111"/>
    </row>
    <row r="513" spans="12:12" x14ac:dyDescent="0.2">
      <c r="L513" s="111"/>
    </row>
    <row r="514" spans="12:12" x14ac:dyDescent="0.2">
      <c r="L514" s="111"/>
    </row>
    <row r="515" spans="12:12" x14ac:dyDescent="0.2">
      <c r="L515" s="111"/>
    </row>
    <row r="516" spans="12:12" x14ac:dyDescent="0.2">
      <c r="L516" s="111"/>
    </row>
    <row r="517" spans="12:12" x14ac:dyDescent="0.2">
      <c r="L517" s="111"/>
    </row>
    <row r="518" spans="12:12" x14ac:dyDescent="0.2">
      <c r="L518" s="111"/>
    </row>
    <row r="519" spans="12:12" x14ac:dyDescent="0.2">
      <c r="L519" s="111"/>
    </row>
    <row r="520" spans="12:12" x14ac:dyDescent="0.2">
      <c r="L520" s="111"/>
    </row>
    <row r="521" spans="12:12" x14ac:dyDescent="0.2">
      <c r="L521" s="111"/>
    </row>
    <row r="522" spans="12:12" x14ac:dyDescent="0.2">
      <c r="L522" s="111"/>
    </row>
    <row r="523" spans="12:12" x14ac:dyDescent="0.2">
      <c r="L523" s="111"/>
    </row>
    <row r="524" spans="12:12" x14ac:dyDescent="0.2">
      <c r="L524" s="111"/>
    </row>
    <row r="525" spans="12:12" x14ac:dyDescent="0.2">
      <c r="L525" s="111"/>
    </row>
    <row r="526" spans="12:12" x14ac:dyDescent="0.2">
      <c r="L526" s="111"/>
    </row>
    <row r="527" spans="12:12" x14ac:dyDescent="0.2">
      <c r="L527" s="111"/>
    </row>
    <row r="528" spans="12:12" x14ac:dyDescent="0.2">
      <c r="L528" s="111"/>
    </row>
    <row r="529" spans="12:12" x14ac:dyDescent="0.2">
      <c r="L529" s="111"/>
    </row>
    <row r="530" spans="12:12" x14ac:dyDescent="0.2">
      <c r="L530" s="111"/>
    </row>
    <row r="531" spans="12:12" x14ac:dyDescent="0.2">
      <c r="L531" s="111"/>
    </row>
    <row r="532" spans="12:12" x14ac:dyDescent="0.2">
      <c r="L532" s="111"/>
    </row>
    <row r="533" spans="12:12" x14ac:dyDescent="0.2">
      <c r="L533" s="111"/>
    </row>
    <row r="534" spans="12:12" x14ac:dyDescent="0.2">
      <c r="L534" s="111"/>
    </row>
    <row r="535" spans="12:12" x14ac:dyDescent="0.2">
      <c r="L535" s="111"/>
    </row>
    <row r="536" spans="12:12" x14ac:dyDescent="0.2">
      <c r="L536" s="111"/>
    </row>
    <row r="537" spans="12:12" x14ac:dyDescent="0.2">
      <c r="L537" s="111"/>
    </row>
  </sheetData>
  <customSheetViews>
    <customSheetView guid="{A5DDCBF3-D6F4-4EB4-918C-ECABFE1A43AD}" fitToPage="1" showRuler="0" topLeftCell="I24">
      <selection activeCell="J33" sqref="J33:J34"/>
      <pageMargins left="0.5" right="0.5" top="0.46" bottom="0.5" header="0.27" footer="0.23"/>
      <printOptions gridLines="1"/>
      <pageSetup scale="59" fitToHeight="20" orientation="landscape" r:id="rId1"/>
      <headerFooter alignWithMargins="0">
        <oddHeader>&amp;L&amp;"Arial,Bold"DRC Confidential&amp;R&amp;"Arial,Bold"&amp;D</oddHeader>
        <oddFooter>&amp;L## Used for a Retest administration only.
** Used for an Operational administration only&amp;CPage &amp;P of &amp;N</oddFooter>
      </headerFooter>
    </customSheetView>
    <customSheetView guid="{E34B366C-36F7-11D6-A24B-0050DA0A5BC6}" scale="85" showPageBreaks="1" fitToPage="1" showRuler="0" topLeftCell="D361">
      <selection activeCell="E361" sqref="E361"/>
      <pageMargins left="0.75" right="0.75" top="0.46" bottom="0.41" header="0.27" footer="0.23"/>
      <printOptions gridLines="1"/>
      <pageSetup scale="65" fitToHeight="15" orientation="landscape" r:id="rId2"/>
      <headerFooter alignWithMargins="0">
        <oddHeader>&amp;L&amp;"Arial,Bold"DRC Confidential&amp;R&amp;"Arial,Bold"&amp;D</oddHeader>
        <oddFooter>Page &amp;P of &amp;N</oddFooter>
      </headerFooter>
    </customSheetView>
    <customSheetView guid="{B792D786-3755-11D6-AB7B-0050DA2DACD5}" scale="70" showPageBreaks="1" fitToPage="1" showRuler="0" topLeftCell="D15">
      <selection activeCell="G24" sqref="G24"/>
      <pageMargins left="0.75" right="0.75" top="0.46" bottom="0.41" header="0.27" footer="0.23"/>
      <printOptions gridLines="1"/>
      <pageSetup scale="64" fitToHeight="15" orientation="landscape" r:id="rId3"/>
      <headerFooter alignWithMargins="0">
        <oddHeader>&amp;L&amp;"Arial,Bold"DRC Confidential&amp;R&amp;"Arial,Bold"&amp;D</oddHeader>
        <oddFooter>Page &amp;P of &amp;N</oddFooter>
      </headerFooter>
    </customSheetView>
    <customSheetView guid="{7E4D7CCA-1395-44FA-80A0-38FFA0DD8C49}" showPageBreaks="1" fitToPage="1" showRuler="0" topLeftCell="A522">
      <selection activeCell="I534" sqref="I534"/>
      <pageMargins left="0.5" right="0.5" top="0.46" bottom="0.5" header="0.27" footer="0.23"/>
      <printOptions gridLines="1"/>
      <pageSetup scale="61" fitToHeight="20" orientation="landscape" r:id="rId4"/>
      <headerFooter alignWithMargins="0">
        <oddHeader>&amp;L&amp;"Arial,Bold"DRC Confidential&amp;R&amp;"Arial,Bold"&amp;D</oddHeader>
        <oddFooter>&amp;L## Used for a Retest administration only.
** Used for an Operational administration only&amp;CPage &amp;P of &amp;N</oddFooter>
      </headerFooter>
    </customSheetView>
  </customSheetViews>
  <mergeCells count="69">
    <mergeCell ref="L243:L249"/>
    <mergeCell ref="K252:K253"/>
    <mergeCell ref="L252:L253"/>
    <mergeCell ref="K337:K338"/>
    <mergeCell ref="L337:L338"/>
    <mergeCell ref="K226:K227"/>
    <mergeCell ref="L226:L227"/>
    <mergeCell ref="K229:K230"/>
    <mergeCell ref="L229:L230"/>
    <mergeCell ref="L171:L172"/>
    <mergeCell ref="K176:K177"/>
    <mergeCell ref="L176:L177"/>
    <mergeCell ref="K180:K181"/>
    <mergeCell ref="L180:L181"/>
    <mergeCell ref="L78:L83"/>
    <mergeCell ref="K141:K143"/>
    <mergeCell ref="L141:L143"/>
    <mergeCell ref="L124:L125"/>
    <mergeCell ref="L113:L117"/>
    <mergeCell ref="L120:L122"/>
    <mergeCell ref="K124:K125"/>
    <mergeCell ref="L235:L236"/>
    <mergeCell ref="K135:K138"/>
    <mergeCell ref="K148:K149"/>
    <mergeCell ref="L135:L138"/>
    <mergeCell ref="L148:L149"/>
    <mergeCell ref="K158:K159"/>
    <mergeCell ref="L158:L159"/>
    <mergeCell ref="K167:K168"/>
    <mergeCell ref="L167:L168"/>
    <mergeCell ref="K171:K172"/>
    <mergeCell ref="K162:K163"/>
    <mergeCell ref="L162:L163"/>
    <mergeCell ref="K154:K155"/>
    <mergeCell ref="L154:L155"/>
    <mergeCell ref="K207:K208"/>
    <mergeCell ref="L207:L208"/>
    <mergeCell ref="L394:L404"/>
    <mergeCell ref="L343:L353"/>
    <mergeCell ref="K375:K385"/>
    <mergeCell ref="K299:K300"/>
    <mergeCell ref="K256:K272"/>
    <mergeCell ref="K394:K404"/>
    <mergeCell ref="K343:K353"/>
    <mergeCell ref="K355:K360"/>
    <mergeCell ref="K362:K372"/>
    <mergeCell ref="K387:K392"/>
    <mergeCell ref="L387:L392"/>
    <mergeCell ref="L362:L372"/>
    <mergeCell ref="L355:L360"/>
    <mergeCell ref="L375:L385"/>
    <mergeCell ref="L256:L272"/>
    <mergeCell ref="L281:L285"/>
    <mergeCell ref="C1:J1"/>
    <mergeCell ref="K56:K60"/>
    <mergeCell ref="L87:L97"/>
    <mergeCell ref="K120:K122"/>
    <mergeCell ref="K1:L1"/>
    <mergeCell ref="L7:L8"/>
    <mergeCell ref="L22:L24"/>
    <mergeCell ref="L12:L13"/>
    <mergeCell ref="L56:L60"/>
    <mergeCell ref="L64:L74"/>
    <mergeCell ref="K104:K106"/>
    <mergeCell ref="L104:L106"/>
    <mergeCell ref="K113:K117"/>
    <mergeCell ref="K78:K83"/>
    <mergeCell ref="K87:K97"/>
    <mergeCell ref="K64:K74"/>
  </mergeCells>
  <phoneticPr fontId="22" type="noConversion"/>
  <printOptions horizontalCentered="1" gridLines="1"/>
  <pageMargins left="0.5" right="0.5" top="0.46" bottom="0.54" header="0.27" footer="0.28999999999999998"/>
  <pageSetup scale="46" fitToHeight="100" orientation="landscape" r:id="rId5"/>
  <headerFooter alignWithMargins="0">
    <oddHeader>&amp;RLayout provided by Data Recognition Corporation - Proprietary and Confidential</oddHeader>
    <oddFooter>&amp;LK = Key Verification   E = Equating   M = Merge     &amp;S&amp;KFF0000R = Rescore&amp;S&amp;K000000
C = Corrections   &amp;S&amp;KFF0000G = GEE Spring&amp;S&amp;K000000   O = LEAP Spring   S = Summer&amp;KFF0000     &amp;SF = Fall&amp;CPage &amp;P of &amp;N&amp;RLast Saved Date: 5/22/2015 8:40:55 AM</oddFooter>
  </headerFooter>
  <rowBreaks count="6" manualBreakCount="6">
    <brk id="62" max="16383" man="1"/>
    <brk id="102" max="16383" man="1"/>
    <brk id="129" max="16383" man="1"/>
    <brk id="180" max="16383" man="1"/>
    <brk id="208" max="16383" man="1"/>
    <brk id="247" max="16383" man="1"/>
  </rowBreaks>
  <drawing r:id="rId6"/>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E598"/>
  <sheetViews>
    <sheetView topLeftCell="A590" zoomScaleNormal="100" zoomScaleSheetLayoutView="100" workbookViewId="0">
      <selection activeCell="E595" sqref="E595"/>
    </sheetView>
  </sheetViews>
  <sheetFormatPr defaultColWidth="9.140625" defaultRowHeight="12.75" x14ac:dyDescent="0.2"/>
  <cols>
    <col min="1" max="1" width="10.7109375" style="10" customWidth="1"/>
    <col min="2" max="2" width="72.5703125" style="11" customWidth="1"/>
    <col min="3" max="3" width="16.7109375" style="12" customWidth="1"/>
    <col min="4" max="4" width="9.140625" style="1"/>
    <col min="5" max="5" width="62.28515625" style="1" customWidth="1"/>
    <col min="6" max="16384" width="9.140625" style="1"/>
  </cols>
  <sheetData>
    <row r="1" spans="1:3" ht="30" customHeight="1" x14ac:dyDescent="0.2">
      <c r="A1" s="250" t="s">
        <v>203</v>
      </c>
      <c r="B1" s="250"/>
      <c r="C1" s="250"/>
    </row>
    <row r="2" spans="1:3" x14ac:dyDescent="0.2">
      <c r="A2" s="251" t="s">
        <v>204</v>
      </c>
      <c r="B2" s="252"/>
      <c r="C2" s="252"/>
    </row>
    <row r="3" spans="1:3" ht="25.5" x14ac:dyDescent="0.2">
      <c r="A3" s="8" t="s">
        <v>201</v>
      </c>
      <c r="B3" s="15" t="s">
        <v>200</v>
      </c>
      <c r="C3" s="9" t="s">
        <v>198</v>
      </c>
    </row>
    <row r="4" spans="1:3" ht="42" customHeight="1" x14ac:dyDescent="0.2">
      <c r="A4" s="2">
        <v>38328</v>
      </c>
      <c r="B4" s="16" t="s">
        <v>202</v>
      </c>
      <c r="C4" s="6" t="s">
        <v>199</v>
      </c>
    </row>
    <row r="5" spans="1:3" x14ac:dyDescent="0.2">
      <c r="A5" s="2">
        <v>38376</v>
      </c>
      <c r="B5" s="16" t="s">
        <v>205</v>
      </c>
      <c r="C5" s="6" t="s">
        <v>206</v>
      </c>
    </row>
    <row r="6" spans="1:3" x14ac:dyDescent="0.2">
      <c r="A6" s="2">
        <v>38405</v>
      </c>
      <c r="B6" s="16" t="s">
        <v>207</v>
      </c>
      <c r="C6" s="6" t="s">
        <v>208</v>
      </c>
    </row>
    <row r="7" spans="1:3" ht="29.25" customHeight="1" x14ac:dyDescent="0.2">
      <c r="A7" s="2">
        <v>38405</v>
      </c>
      <c r="B7" s="16" t="s">
        <v>211</v>
      </c>
      <c r="C7" s="6" t="s">
        <v>208</v>
      </c>
    </row>
    <row r="8" spans="1:3" x14ac:dyDescent="0.2">
      <c r="A8" s="2">
        <v>38405</v>
      </c>
      <c r="B8" s="16" t="s">
        <v>216</v>
      </c>
      <c r="C8" s="6" t="s">
        <v>208</v>
      </c>
    </row>
    <row r="9" spans="1:3" x14ac:dyDescent="0.2">
      <c r="A9" s="2">
        <v>38405</v>
      </c>
      <c r="B9" s="16" t="s">
        <v>217</v>
      </c>
      <c r="C9" s="6" t="s">
        <v>208</v>
      </c>
    </row>
    <row r="10" spans="1:3" x14ac:dyDescent="0.2">
      <c r="A10" s="2">
        <v>38405</v>
      </c>
      <c r="B10" s="16" t="s">
        <v>283</v>
      </c>
      <c r="C10" s="6" t="s">
        <v>208</v>
      </c>
    </row>
    <row r="11" spans="1:3" x14ac:dyDescent="0.2">
      <c r="A11" s="2">
        <v>38406</v>
      </c>
      <c r="B11" s="16" t="s">
        <v>286</v>
      </c>
      <c r="C11" s="6" t="s">
        <v>208</v>
      </c>
    </row>
    <row r="12" spans="1:3" x14ac:dyDescent="0.2">
      <c r="A12" s="2">
        <v>38447</v>
      </c>
      <c r="B12" s="16" t="s">
        <v>295</v>
      </c>
      <c r="C12" s="6" t="s">
        <v>208</v>
      </c>
    </row>
    <row r="13" spans="1:3" x14ac:dyDescent="0.2">
      <c r="A13" s="2">
        <v>38447</v>
      </c>
      <c r="B13" s="16" t="s">
        <v>296</v>
      </c>
      <c r="C13" s="6" t="s">
        <v>208</v>
      </c>
    </row>
    <row r="14" spans="1:3" x14ac:dyDescent="0.2">
      <c r="A14" s="2">
        <v>38447</v>
      </c>
      <c r="B14" s="16" t="s">
        <v>297</v>
      </c>
      <c r="C14" s="6" t="s">
        <v>208</v>
      </c>
    </row>
    <row r="15" spans="1:3" x14ac:dyDescent="0.2">
      <c r="A15" s="2">
        <v>38469</v>
      </c>
      <c r="B15" s="16" t="s">
        <v>285</v>
      </c>
      <c r="C15" s="6" t="s">
        <v>208</v>
      </c>
    </row>
    <row r="16" spans="1:3" x14ac:dyDescent="0.2">
      <c r="A16" s="4">
        <v>38489</v>
      </c>
      <c r="B16" s="17" t="s">
        <v>267</v>
      </c>
      <c r="C16" s="7" t="s">
        <v>208</v>
      </c>
    </row>
    <row r="17" spans="1:3" ht="28.5" customHeight="1" x14ac:dyDescent="0.2">
      <c r="A17" s="4">
        <v>38489</v>
      </c>
      <c r="B17" s="17" t="s">
        <v>279</v>
      </c>
      <c r="C17" s="7" t="s">
        <v>208</v>
      </c>
    </row>
    <row r="18" spans="1:3" ht="28.5" customHeight="1" x14ac:dyDescent="0.2">
      <c r="A18" s="4">
        <v>38489</v>
      </c>
      <c r="B18" s="17" t="s">
        <v>282</v>
      </c>
      <c r="C18" s="7" t="s">
        <v>208</v>
      </c>
    </row>
    <row r="19" spans="1:3" ht="28.5" customHeight="1" x14ac:dyDescent="0.2">
      <c r="A19" s="4">
        <v>38496</v>
      </c>
      <c r="B19" s="17" t="s">
        <v>268</v>
      </c>
      <c r="C19" s="7" t="s">
        <v>208</v>
      </c>
    </row>
    <row r="20" spans="1:3" x14ac:dyDescent="0.2">
      <c r="A20" s="4">
        <v>38496</v>
      </c>
      <c r="B20" s="17" t="s">
        <v>288</v>
      </c>
      <c r="C20" s="7" t="s">
        <v>208</v>
      </c>
    </row>
    <row r="21" spans="1:3" ht="28.5" customHeight="1" x14ac:dyDescent="0.2">
      <c r="A21" s="4">
        <v>38496</v>
      </c>
      <c r="B21" s="18" t="s">
        <v>274</v>
      </c>
      <c r="C21" s="7" t="s">
        <v>208</v>
      </c>
    </row>
    <row r="22" spans="1:3" ht="28.5" customHeight="1" x14ac:dyDescent="0.2">
      <c r="A22" s="4">
        <v>38504</v>
      </c>
      <c r="B22" s="17" t="s">
        <v>179</v>
      </c>
      <c r="C22" s="7" t="s">
        <v>208</v>
      </c>
    </row>
    <row r="23" spans="1:3" ht="42" customHeight="1" x14ac:dyDescent="0.2">
      <c r="A23" s="4">
        <v>38504</v>
      </c>
      <c r="B23" s="17" t="s">
        <v>176</v>
      </c>
      <c r="C23" s="7" t="s">
        <v>208</v>
      </c>
    </row>
    <row r="24" spans="1:3" ht="28.5" customHeight="1" x14ac:dyDescent="0.2">
      <c r="A24" s="4">
        <v>38530</v>
      </c>
      <c r="B24" s="17" t="s">
        <v>169</v>
      </c>
      <c r="C24" s="7" t="s">
        <v>170</v>
      </c>
    </row>
    <row r="25" spans="1:3" x14ac:dyDescent="0.2">
      <c r="A25" s="4">
        <v>38555</v>
      </c>
      <c r="B25" s="17" t="s">
        <v>161</v>
      </c>
      <c r="C25" s="7" t="s">
        <v>170</v>
      </c>
    </row>
    <row r="26" spans="1:3" ht="76.5" x14ac:dyDescent="0.2">
      <c r="A26" s="4">
        <v>38565</v>
      </c>
      <c r="B26" s="19" t="s">
        <v>153</v>
      </c>
      <c r="C26" s="7" t="s">
        <v>170</v>
      </c>
    </row>
    <row r="27" spans="1:3" ht="29.25" customHeight="1" x14ac:dyDescent="0.2">
      <c r="A27" s="4">
        <v>38602</v>
      </c>
      <c r="B27" s="17" t="s">
        <v>144</v>
      </c>
      <c r="C27" s="7" t="s">
        <v>208</v>
      </c>
    </row>
    <row r="28" spans="1:3" x14ac:dyDescent="0.2">
      <c r="A28" s="4">
        <v>38602</v>
      </c>
      <c r="B28" s="17" t="s">
        <v>145</v>
      </c>
      <c r="C28" s="7" t="s">
        <v>208</v>
      </c>
    </row>
    <row r="29" spans="1:3" x14ac:dyDescent="0.2">
      <c r="A29" s="4">
        <v>38714</v>
      </c>
      <c r="B29" s="17" t="s">
        <v>309</v>
      </c>
      <c r="C29" s="7" t="s">
        <v>208</v>
      </c>
    </row>
    <row r="30" spans="1:3" ht="30" customHeight="1" x14ac:dyDescent="0.2">
      <c r="A30" s="4">
        <v>38714</v>
      </c>
      <c r="B30" s="17" t="s">
        <v>310</v>
      </c>
      <c r="C30" s="7" t="s">
        <v>208</v>
      </c>
    </row>
    <row r="31" spans="1:3" ht="28.5" customHeight="1" x14ac:dyDescent="0.2">
      <c r="A31" s="4">
        <v>38714</v>
      </c>
      <c r="B31" s="17" t="s">
        <v>311</v>
      </c>
      <c r="C31" s="7" t="s">
        <v>208</v>
      </c>
    </row>
    <row r="32" spans="1:3" ht="28.5" customHeight="1" x14ac:dyDescent="0.2">
      <c r="A32" s="4">
        <v>38769</v>
      </c>
      <c r="B32" s="17" t="s">
        <v>284</v>
      </c>
      <c r="C32" s="7" t="s">
        <v>208</v>
      </c>
    </row>
    <row r="33" spans="1:3" x14ac:dyDescent="0.2">
      <c r="A33" s="4">
        <v>38771</v>
      </c>
      <c r="B33" s="17" t="s">
        <v>218</v>
      </c>
      <c r="C33" s="7" t="s">
        <v>208</v>
      </c>
    </row>
    <row r="34" spans="1:3" ht="42" customHeight="1" x14ac:dyDescent="0.2">
      <c r="A34" s="4">
        <v>38771</v>
      </c>
      <c r="B34" s="17" t="s">
        <v>278</v>
      </c>
      <c r="C34" s="7" t="s">
        <v>208</v>
      </c>
    </row>
    <row r="35" spans="1:3" ht="27.75" customHeight="1" x14ac:dyDescent="0.2">
      <c r="A35" s="4">
        <v>38771</v>
      </c>
      <c r="B35" s="17" t="s">
        <v>265</v>
      </c>
      <c r="C35" s="7" t="s">
        <v>208</v>
      </c>
    </row>
    <row r="36" spans="1:3" x14ac:dyDescent="0.2">
      <c r="A36" s="4">
        <v>38771</v>
      </c>
      <c r="B36" s="17" t="s">
        <v>266</v>
      </c>
      <c r="C36" s="7" t="s">
        <v>208</v>
      </c>
    </row>
    <row r="37" spans="1:3" ht="41.25" customHeight="1" x14ac:dyDescent="0.2">
      <c r="A37" s="4">
        <v>38771</v>
      </c>
      <c r="B37" s="17" t="s">
        <v>188</v>
      </c>
      <c r="C37" s="7" t="s">
        <v>208</v>
      </c>
    </row>
    <row r="38" spans="1:3" ht="41.25" customHeight="1" x14ac:dyDescent="0.2">
      <c r="A38" s="4">
        <v>38771</v>
      </c>
      <c r="B38" s="17" t="s">
        <v>277</v>
      </c>
      <c r="C38" s="7" t="s">
        <v>208</v>
      </c>
    </row>
    <row r="39" spans="1:3" x14ac:dyDescent="0.2">
      <c r="A39" s="4">
        <v>38771</v>
      </c>
      <c r="B39" s="17" t="s">
        <v>189</v>
      </c>
      <c r="C39" s="7" t="s">
        <v>208</v>
      </c>
    </row>
    <row r="40" spans="1:3" x14ac:dyDescent="0.2">
      <c r="A40" s="4">
        <v>38771</v>
      </c>
      <c r="B40" s="17" t="s">
        <v>193</v>
      </c>
      <c r="C40" s="7" t="s">
        <v>208</v>
      </c>
    </row>
    <row r="41" spans="1:3" x14ac:dyDescent="0.2">
      <c r="A41" s="4">
        <v>38785</v>
      </c>
      <c r="B41" s="17" t="s">
        <v>159</v>
      </c>
      <c r="C41" s="7" t="s">
        <v>208</v>
      </c>
    </row>
    <row r="42" spans="1:3" ht="25.5" x14ac:dyDescent="0.2">
      <c r="A42" s="13"/>
      <c r="B42" s="17" t="s">
        <v>160</v>
      </c>
      <c r="C42" s="7" t="s">
        <v>208</v>
      </c>
    </row>
    <row r="43" spans="1:3" ht="38.25" x14ac:dyDescent="0.2">
      <c r="A43" s="13"/>
      <c r="B43" s="17" t="s">
        <v>275</v>
      </c>
      <c r="C43" s="7" t="s">
        <v>208</v>
      </c>
    </row>
    <row r="44" spans="1:3" x14ac:dyDescent="0.2">
      <c r="A44" s="13"/>
      <c r="B44" s="17" t="s">
        <v>276</v>
      </c>
      <c r="C44" s="7" t="s">
        <v>208</v>
      </c>
    </row>
    <row r="45" spans="1:3" ht="55.5" customHeight="1" x14ac:dyDescent="0.2">
      <c r="A45" s="4">
        <v>38792</v>
      </c>
      <c r="B45" s="17" t="s">
        <v>167</v>
      </c>
      <c r="C45" s="7" t="s">
        <v>208</v>
      </c>
    </row>
    <row r="46" spans="1:3" x14ac:dyDescent="0.2">
      <c r="A46" s="4">
        <v>38793</v>
      </c>
      <c r="B46" s="17" t="s">
        <v>289</v>
      </c>
      <c r="C46" s="7" t="s">
        <v>208</v>
      </c>
    </row>
    <row r="47" spans="1:3" ht="25.5" x14ac:dyDescent="0.2">
      <c r="A47" s="13"/>
      <c r="B47" s="17" t="s">
        <v>168</v>
      </c>
      <c r="C47" s="7" t="s">
        <v>208</v>
      </c>
    </row>
    <row r="48" spans="1:3" ht="25.5" x14ac:dyDescent="0.2">
      <c r="A48" s="13"/>
      <c r="B48" s="17" t="s">
        <v>152</v>
      </c>
      <c r="C48" s="7" t="s">
        <v>208</v>
      </c>
    </row>
    <row r="49" spans="1:3" ht="40.5" customHeight="1" x14ac:dyDescent="0.2">
      <c r="A49" s="13"/>
      <c r="B49" s="17" t="s">
        <v>291</v>
      </c>
      <c r="C49" s="7" t="s">
        <v>208</v>
      </c>
    </row>
    <row r="50" spans="1:3" x14ac:dyDescent="0.2">
      <c r="A50" s="4">
        <v>38796</v>
      </c>
      <c r="B50" s="17" t="s">
        <v>299</v>
      </c>
      <c r="C50" s="7" t="s">
        <v>208</v>
      </c>
    </row>
    <row r="51" spans="1:3" x14ac:dyDescent="0.2">
      <c r="A51" s="13"/>
      <c r="B51" s="17" t="s">
        <v>300</v>
      </c>
      <c r="C51" s="7" t="s">
        <v>208</v>
      </c>
    </row>
    <row r="52" spans="1:3" x14ac:dyDescent="0.2">
      <c r="A52" s="4">
        <v>38798</v>
      </c>
      <c r="B52" s="17" t="s">
        <v>209</v>
      </c>
      <c r="C52" s="14" t="s">
        <v>208</v>
      </c>
    </row>
    <row r="53" spans="1:3" x14ac:dyDescent="0.2">
      <c r="A53" s="13"/>
      <c r="B53" s="17" t="s">
        <v>210</v>
      </c>
      <c r="C53" s="7" t="s">
        <v>208</v>
      </c>
    </row>
    <row r="54" spans="1:3" x14ac:dyDescent="0.2">
      <c r="A54" s="4">
        <v>38799</v>
      </c>
      <c r="B54" s="17" t="s">
        <v>70</v>
      </c>
      <c r="C54" s="7" t="s">
        <v>208</v>
      </c>
    </row>
    <row r="55" spans="1:3" ht="38.25" x14ac:dyDescent="0.2">
      <c r="A55" s="4">
        <v>38800</v>
      </c>
      <c r="B55" s="17" t="s">
        <v>298</v>
      </c>
      <c r="C55" s="14" t="s">
        <v>208</v>
      </c>
    </row>
    <row r="56" spans="1:3" ht="26.25" customHeight="1" x14ac:dyDescent="0.2">
      <c r="A56" s="4">
        <v>38807</v>
      </c>
      <c r="B56" s="17" t="s">
        <v>213</v>
      </c>
      <c r="C56" s="7" t="s">
        <v>208</v>
      </c>
    </row>
    <row r="57" spans="1:3" ht="25.5" x14ac:dyDescent="0.2">
      <c r="A57" s="4"/>
      <c r="B57" s="17" t="s">
        <v>177</v>
      </c>
      <c r="C57" s="7" t="s">
        <v>208</v>
      </c>
    </row>
    <row r="58" spans="1:3" x14ac:dyDescent="0.2">
      <c r="A58" s="4">
        <v>38820</v>
      </c>
      <c r="B58" s="17" t="s">
        <v>190</v>
      </c>
      <c r="C58" s="7" t="s">
        <v>208</v>
      </c>
    </row>
    <row r="59" spans="1:3" x14ac:dyDescent="0.2">
      <c r="A59" s="4">
        <v>38826</v>
      </c>
      <c r="B59" s="17" t="s">
        <v>173</v>
      </c>
      <c r="C59" s="7" t="s">
        <v>208</v>
      </c>
    </row>
    <row r="60" spans="1:3" ht="25.5" x14ac:dyDescent="0.2">
      <c r="A60" s="4">
        <v>38834</v>
      </c>
      <c r="B60" s="17" t="s">
        <v>303</v>
      </c>
      <c r="C60" s="7" t="s">
        <v>208</v>
      </c>
    </row>
    <row r="61" spans="1:3" x14ac:dyDescent="0.2">
      <c r="A61" s="4">
        <v>38848</v>
      </c>
      <c r="B61" s="17" t="s">
        <v>195</v>
      </c>
      <c r="C61" s="7" t="s">
        <v>208</v>
      </c>
    </row>
    <row r="62" spans="1:3" ht="25.5" x14ac:dyDescent="0.2">
      <c r="A62" s="4">
        <v>38869</v>
      </c>
      <c r="B62" s="17" t="s">
        <v>172</v>
      </c>
      <c r="C62" s="7" t="s">
        <v>208</v>
      </c>
    </row>
    <row r="63" spans="1:3" x14ac:dyDescent="0.2">
      <c r="A63" s="4">
        <v>38884</v>
      </c>
      <c r="B63" s="17" t="s">
        <v>75</v>
      </c>
      <c r="C63" s="7" t="s">
        <v>137</v>
      </c>
    </row>
    <row r="64" spans="1:3" x14ac:dyDescent="0.2">
      <c r="A64" s="4">
        <v>38908</v>
      </c>
      <c r="B64" s="17" t="s">
        <v>141</v>
      </c>
      <c r="C64" s="7" t="s">
        <v>137</v>
      </c>
    </row>
    <row r="65" spans="1:3" ht="25.5" x14ac:dyDescent="0.2">
      <c r="A65" s="4"/>
      <c r="B65" s="17" t="s">
        <v>142</v>
      </c>
      <c r="C65" s="7"/>
    </row>
    <row r="66" spans="1:3" x14ac:dyDescent="0.2">
      <c r="A66" s="4"/>
      <c r="B66" s="17" t="s">
        <v>143</v>
      </c>
      <c r="C66" s="7"/>
    </row>
    <row r="67" spans="1:3" x14ac:dyDescent="0.2">
      <c r="A67" s="4">
        <v>38916</v>
      </c>
      <c r="B67" s="17" t="s">
        <v>76</v>
      </c>
      <c r="C67" s="7" t="s">
        <v>137</v>
      </c>
    </row>
    <row r="68" spans="1:3" x14ac:dyDescent="0.2">
      <c r="A68" s="4"/>
      <c r="B68" s="17" t="s">
        <v>302</v>
      </c>
      <c r="C68" s="7"/>
    </row>
    <row r="69" spans="1:3" ht="25.5" x14ac:dyDescent="0.2">
      <c r="A69" s="4">
        <v>38931</v>
      </c>
      <c r="B69" s="17" t="s">
        <v>77</v>
      </c>
      <c r="C69" s="7" t="s">
        <v>137</v>
      </c>
    </row>
    <row r="70" spans="1:3" x14ac:dyDescent="0.2">
      <c r="A70" s="4">
        <v>38978</v>
      </c>
      <c r="B70" s="17" t="s">
        <v>171</v>
      </c>
      <c r="C70" s="7" t="s">
        <v>137</v>
      </c>
    </row>
    <row r="71" spans="1:3" x14ac:dyDescent="0.2">
      <c r="A71" s="4"/>
      <c r="B71" s="17" t="s">
        <v>138</v>
      </c>
      <c r="C71" s="7"/>
    </row>
    <row r="72" spans="1:3" x14ac:dyDescent="0.2">
      <c r="A72" s="4"/>
      <c r="B72" s="17" t="s">
        <v>139</v>
      </c>
      <c r="C72" s="7"/>
    </row>
    <row r="73" spans="1:3" x14ac:dyDescent="0.2">
      <c r="A73" s="4">
        <v>38979</v>
      </c>
      <c r="B73" s="17" t="s">
        <v>140</v>
      </c>
      <c r="C73" s="7" t="s">
        <v>137</v>
      </c>
    </row>
    <row r="74" spans="1:3" x14ac:dyDescent="0.2">
      <c r="A74" s="4">
        <v>39006</v>
      </c>
      <c r="B74" s="17" t="s">
        <v>0</v>
      </c>
      <c r="C74" s="7" t="s">
        <v>137</v>
      </c>
    </row>
    <row r="75" spans="1:3" x14ac:dyDescent="0.2">
      <c r="A75" s="4">
        <v>39015</v>
      </c>
      <c r="B75" s="17" t="s">
        <v>197</v>
      </c>
      <c r="C75" s="7" t="s">
        <v>137</v>
      </c>
    </row>
    <row r="76" spans="1:3" ht="25.5" x14ac:dyDescent="0.2">
      <c r="A76" s="4">
        <v>39114</v>
      </c>
      <c r="B76" s="17" t="s">
        <v>126</v>
      </c>
      <c r="C76" s="7" t="s">
        <v>137</v>
      </c>
    </row>
    <row r="77" spans="1:3" x14ac:dyDescent="0.2">
      <c r="A77" s="4">
        <v>39114</v>
      </c>
      <c r="B77" s="17" t="s">
        <v>313</v>
      </c>
      <c r="C77" s="7" t="s">
        <v>137</v>
      </c>
    </row>
    <row r="78" spans="1:3" x14ac:dyDescent="0.2">
      <c r="A78" s="4">
        <v>39114</v>
      </c>
      <c r="B78" s="17" t="s">
        <v>156</v>
      </c>
      <c r="C78" s="7" t="s">
        <v>137</v>
      </c>
    </row>
    <row r="79" spans="1:3" ht="25.5" x14ac:dyDescent="0.2">
      <c r="A79" s="4">
        <v>39114</v>
      </c>
      <c r="B79" s="17" t="s">
        <v>155</v>
      </c>
      <c r="C79" s="7" t="s">
        <v>137</v>
      </c>
    </row>
    <row r="80" spans="1:3" x14ac:dyDescent="0.2">
      <c r="A80" s="4">
        <v>39120</v>
      </c>
      <c r="B80" s="17" t="s">
        <v>270</v>
      </c>
      <c r="C80" s="7" t="s">
        <v>137</v>
      </c>
    </row>
    <row r="81" spans="1:3" x14ac:dyDescent="0.2">
      <c r="A81" s="4">
        <v>39120</v>
      </c>
      <c r="B81" s="17" t="s">
        <v>157</v>
      </c>
      <c r="C81" s="7" t="s">
        <v>137</v>
      </c>
    </row>
    <row r="82" spans="1:3" x14ac:dyDescent="0.2">
      <c r="A82" s="4">
        <v>39120</v>
      </c>
      <c r="B82" s="5" t="s">
        <v>158</v>
      </c>
      <c r="C82" s="7" t="s">
        <v>137</v>
      </c>
    </row>
    <row r="83" spans="1:3" x14ac:dyDescent="0.2">
      <c r="A83" s="4">
        <v>39125</v>
      </c>
      <c r="B83" s="5" t="s">
        <v>271</v>
      </c>
      <c r="C83" s="7" t="s">
        <v>137</v>
      </c>
    </row>
    <row r="84" spans="1:3" x14ac:dyDescent="0.2">
      <c r="A84" s="4">
        <v>39125</v>
      </c>
      <c r="B84" s="5" t="s">
        <v>272</v>
      </c>
      <c r="C84" s="7" t="s">
        <v>137</v>
      </c>
    </row>
    <row r="85" spans="1:3" x14ac:dyDescent="0.2">
      <c r="A85" s="4">
        <v>39125</v>
      </c>
      <c r="B85" s="5" t="s">
        <v>273</v>
      </c>
      <c r="C85" s="7" t="s">
        <v>137</v>
      </c>
    </row>
    <row r="86" spans="1:3" ht="25.5" x14ac:dyDescent="0.2">
      <c r="A86" s="4">
        <v>39127</v>
      </c>
      <c r="B86" s="5" t="s">
        <v>73</v>
      </c>
      <c r="C86" s="7" t="s">
        <v>137</v>
      </c>
    </row>
    <row r="87" spans="1:3" x14ac:dyDescent="0.2">
      <c r="A87" s="4">
        <v>39127</v>
      </c>
      <c r="B87" s="5" t="s">
        <v>165</v>
      </c>
      <c r="C87" s="7" t="s">
        <v>137</v>
      </c>
    </row>
    <row r="88" spans="1:3" x14ac:dyDescent="0.2">
      <c r="A88" s="4">
        <v>39127</v>
      </c>
      <c r="B88" s="5" t="s">
        <v>166</v>
      </c>
      <c r="C88" s="7" t="s">
        <v>137</v>
      </c>
    </row>
    <row r="89" spans="1:3" x14ac:dyDescent="0.2">
      <c r="A89" s="4">
        <v>39134</v>
      </c>
      <c r="B89" s="5" t="s">
        <v>43</v>
      </c>
      <c r="C89" s="7" t="s">
        <v>137</v>
      </c>
    </row>
    <row r="90" spans="1:3" x14ac:dyDescent="0.2">
      <c r="A90" s="4">
        <v>39134</v>
      </c>
      <c r="B90" s="5" t="s">
        <v>44</v>
      </c>
      <c r="C90" s="7" t="s">
        <v>137</v>
      </c>
    </row>
    <row r="91" spans="1:3" x14ac:dyDescent="0.2">
      <c r="A91" s="4">
        <v>39134</v>
      </c>
      <c r="B91" s="5" t="s">
        <v>42</v>
      </c>
      <c r="C91" s="7" t="s">
        <v>137</v>
      </c>
    </row>
    <row r="92" spans="1:3" ht="25.5" x14ac:dyDescent="0.2">
      <c r="A92" s="4">
        <v>39162</v>
      </c>
      <c r="B92" s="5" t="s">
        <v>60</v>
      </c>
      <c r="C92" s="7" t="s">
        <v>137</v>
      </c>
    </row>
    <row r="93" spans="1:3" x14ac:dyDescent="0.2">
      <c r="A93" s="4">
        <v>39231</v>
      </c>
      <c r="B93" s="5" t="s">
        <v>146</v>
      </c>
      <c r="C93" s="7" t="s">
        <v>137</v>
      </c>
    </row>
    <row r="94" spans="1:3" x14ac:dyDescent="0.2">
      <c r="A94" s="4">
        <v>39231</v>
      </c>
      <c r="B94" s="5" t="s">
        <v>315</v>
      </c>
      <c r="C94" s="7" t="s">
        <v>137</v>
      </c>
    </row>
    <row r="95" spans="1:3" ht="38.25" x14ac:dyDescent="0.2">
      <c r="A95" s="4">
        <v>39360</v>
      </c>
      <c r="B95" s="5" t="s">
        <v>181</v>
      </c>
      <c r="C95" s="7" t="s">
        <v>68</v>
      </c>
    </row>
    <row r="96" spans="1:3" ht="38.25" x14ac:dyDescent="0.2">
      <c r="A96" s="4">
        <v>39360</v>
      </c>
      <c r="B96" s="5" t="s">
        <v>134</v>
      </c>
      <c r="C96" s="7" t="s">
        <v>68</v>
      </c>
    </row>
    <row r="97" spans="1:3" ht="38.25" x14ac:dyDescent="0.2">
      <c r="A97" s="4">
        <v>39388</v>
      </c>
      <c r="B97" s="5" t="s">
        <v>46</v>
      </c>
      <c r="C97" s="7" t="s">
        <v>68</v>
      </c>
    </row>
    <row r="98" spans="1:3" x14ac:dyDescent="0.2">
      <c r="A98" s="4">
        <v>39393</v>
      </c>
      <c r="B98" s="5" t="s">
        <v>151</v>
      </c>
      <c r="C98" s="7" t="s">
        <v>68</v>
      </c>
    </row>
    <row r="99" spans="1:3" x14ac:dyDescent="0.2">
      <c r="A99" s="4">
        <v>39421</v>
      </c>
      <c r="B99" s="5" t="s">
        <v>47</v>
      </c>
      <c r="C99" s="7" t="s">
        <v>68</v>
      </c>
    </row>
    <row r="100" spans="1:3" ht="51" x14ac:dyDescent="0.2">
      <c r="A100" s="4">
        <v>39435</v>
      </c>
      <c r="B100" s="5" t="s">
        <v>2</v>
      </c>
      <c r="C100" s="7" t="s">
        <v>68</v>
      </c>
    </row>
    <row r="101" spans="1:3" ht="63.75" x14ac:dyDescent="0.2">
      <c r="A101" s="4">
        <v>39435</v>
      </c>
      <c r="B101" s="11" t="s">
        <v>182</v>
      </c>
      <c r="C101" s="7" t="s">
        <v>68</v>
      </c>
    </row>
    <row r="102" spans="1:3" ht="51" x14ac:dyDescent="0.2">
      <c r="A102" s="4">
        <v>39435</v>
      </c>
      <c r="B102" s="3" t="s">
        <v>1</v>
      </c>
      <c r="C102" s="7" t="s">
        <v>68</v>
      </c>
    </row>
    <row r="103" spans="1:3" ht="25.5" x14ac:dyDescent="0.2">
      <c r="A103" s="2">
        <v>39444</v>
      </c>
      <c r="B103" s="3" t="s">
        <v>129</v>
      </c>
      <c r="C103" s="6" t="s">
        <v>68</v>
      </c>
    </row>
    <row r="104" spans="1:3" ht="25.5" x14ac:dyDescent="0.2">
      <c r="A104" s="2">
        <v>39444</v>
      </c>
      <c r="B104" s="3" t="s">
        <v>132</v>
      </c>
      <c r="C104" s="6" t="s">
        <v>68</v>
      </c>
    </row>
    <row r="105" spans="1:3" ht="25.5" x14ac:dyDescent="0.2">
      <c r="A105" s="2">
        <v>39444</v>
      </c>
      <c r="B105" s="3" t="s">
        <v>133</v>
      </c>
      <c r="C105" s="6" t="s">
        <v>68</v>
      </c>
    </row>
    <row r="106" spans="1:3" ht="25.5" x14ac:dyDescent="0.2">
      <c r="A106" s="2">
        <v>39470</v>
      </c>
      <c r="B106" s="3" t="s">
        <v>61</v>
      </c>
      <c r="C106" s="6" t="s">
        <v>68</v>
      </c>
    </row>
    <row r="107" spans="1:3" ht="25.5" x14ac:dyDescent="0.2">
      <c r="A107" s="2">
        <v>39470</v>
      </c>
      <c r="B107" s="3" t="s">
        <v>62</v>
      </c>
      <c r="C107" s="6" t="s">
        <v>68</v>
      </c>
    </row>
    <row r="108" spans="1:3" ht="25.5" x14ac:dyDescent="0.2">
      <c r="A108" s="2">
        <v>39470</v>
      </c>
      <c r="B108" s="3" t="s">
        <v>63</v>
      </c>
      <c r="C108" s="6" t="s">
        <v>68</v>
      </c>
    </row>
    <row r="109" spans="1:3" ht="25.5" x14ac:dyDescent="0.2">
      <c r="A109" s="2">
        <v>39470</v>
      </c>
      <c r="B109" s="3" t="s">
        <v>66</v>
      </c>
      <c r="C109" s="6" t="s">
        <v>68</v>
      </c>
    </row>
    <row r="110" spans="1:3" ht="25.5" x14ac:dyDescent="0.2">
      <c r="A110" s="2">
        <v>39500</v>
      </c>
      <c r="B110" s="3" t="s">
        <v>125</v>
      </c>
      <c r="C110" s="6" t="s">
        <v>68</v>
      </c>
    </row>
    <row r="111" spans="1:3" ht="25.5" x14ac:dyDescent="0.2">
      <c r="A111" s="4">
        <v>39507</v>
      </c>
      <c r="B111" s="5" t="s">
        <v>45</v>
      </c>
      <c r="C111" s="7" t="s">
        <v>68</v>
      </c>
    </row>
    <row r="112" spans="1:3" ht="63.75" x14ac:dyDescent="0.2">
      <c r="A112" s="4">
        <v>39580</v>
      </c>
      <c r="B112" s="5" t="s">
        <v>264</v>
      </c>
      <c r="C112" s="7" t="s">
        <v>68</v>
      </c>
    </row>
    <row r="113" spans="1:3" ht="25.5" x14ac:dyDescent="0.2">
      <c r="A113" s="4">
        <v>39598</v>
      </c>
      <c r="B113" s="5" t="s">
        <v>287</v>
      </c>
      <c r="C113" s="7" t="s">
        <v>137</v>
      </c>
    </row>
    <row r="114" spans="1:3" ht="25.5" x14ac:dyDescent="0.2">
      <c r="A114" s="4">
        <v>39598</v>
      </c>
      <c r="B114" s="5" t="s">
        <v>292</v>
      </c>
      <c r="C114" s="7" t="s">
        <v>137</v>
      </c>
    </row>
    <row r="115" spans="1:3" x14ac:dyDescent="0.2">
      <c r="A115" s="4">
        <v>39598</v>
      </c>
      <c r="B115" s="5" t="s">
        <v>293</v>
      </c>
      <c r="C115" s="7" t="s">
        <v>137</v>
      </c>
    </row>
    <row r="116" spans="1:3" ht="25.5" x14ac:dyDescent="0.2">
      <c r="A116" s="4">
        <v>39598</v>
      </c>
      <c r="B116" s="5" t="s">
        <v>294</v>
      </c>
      <c r="C116" s="7" t="s">
        <v>137</v>
      </c>
    </row>
    <row r="117" spans="1:3" ht="25.5" x14ac:dyDescent="0.2">
      <c r="A117" s="4">
        <v>39708</v>
      </c>
      <c r="B117" s="5" t="s">
        <v>178</v>
      </c>
      <c r="C117" s="7" t="s">
        <v>68</v>
      </c>
    </row>
    <row r="118" spans="1:3" x14ac:dyDescent="0.2">
      <c r="A118" s="4">
        <v>39770</v>
      </c>
      <c r="B118" s="5" t="s">
        <v>228</v>
      </c>
      <c r="C118" s="7" t="s">
        <v>137</v>
      </c>
    </row>
    <row r="119" spans="1:3" x14ac:dyDescent="0.2">
      <c r="A119" s="4">
        <v>39783</v>
      </c>
      <c r="B119" s="5" t="s">
        <v>227</v>
      </c>
      <c r="C119" s="7" t="s">
        <v>68</v>
      </c>
    </row>
    <row r="120" spans="1:3" ht="25.5" x14ac:dyDescent="0.2">
      <c r="A120" s="4"/>
      <c r="B120" s="5" t="s">
        <v>229</v>
      </c>
      <c r="C120" s="7" t="s">
        <v>68</v>
      </c>
    </row>
    <row r="121" spans="1:3" ht="25.5" x14ac:dyDescent="0.2">
      <c r="A121" s="4">
        <v>39800</v>
      </c>
      <c r="B121" s="5" t="s">
        <v>130</v>
      </c>
      <c r="C121" s="7" t="s">
        <v>68</v>
      </c>
    </row>
    <row r="122" spans="1:3" x14ac:dyDescent="0.2">
      <c r="A122" s="4">
        <v>39800</v>
      </c>
      <c r="B122" s="5" t="s">
        <v>131</v>
      </c>
      <c r="C122" s="7" t="s">
        <v>68</v>
      </c>
    </row>
    <row r="123" spans="1:3" x14ac:dyDescent="0.2">
      <c r="A123" s="4">
        <v>39818</v>
      </c>
      <c r="B123" s="5" t="s">
        <v>290</v>
      </c>
      <c r="C123" s="7" t="s">
        <v>68</v>
      </c>
    </row>
    <row r="124" spans="1:3" x14ac:dyDescent="0.2">
      <c r="A124" s="4">
        <v>39836</v>
      </c>
      <c r="B124" s="5" t="s">
        <v>242</v>
      </c>
      <c r="C124" s="7" t="s">
        <v>68</v>
      </c>
    </row>
    <row r="125" spans="1:3" x14ac:dyDescent="0.2">
      <c r="A125" s="4">
        <v>39836</v>
      </c>
      <c r="B125" s="5" t="s">
        <v>307</v>
      </c>
      <c r="C125" s="7" t="s">
        <v>68</v>
      </c>
    </row>
    <row r="126" spans="1:3" x14ac:dyDescent="0.2">
      <c r="A126" s="4">
        <v>39836</v>
      </c>
      <c r="B126" s="5" t="s">
        <v>308</v>
      </c>
      <c r="C126" s="7" t="s">
        <v>68</v>
      </c>
    </row>
    <row r="127" spans="1:3" x14ac:dyDescent="0.2">
      <c r="A127" s="4">
        <v>39850</v>
      </c>
      <c r="B127" s="26" t="s">
        <v>224</v>
      </c>
      <c r="C127" s="7" t="s">
        <v>68</v>
      </c>
    </row>
    <row r="128" spans="1:3" ht="25.5" x14ac:dyDescent="0.2">
      <c r="A128" s="4">
        <v>39850</v>
      </c>
      <c r="B128" s="5" t="s">
        <v>225</v>
      </c>
      <c r="C128" s="7" t="s">
        <v>68</v>
      </c>
    </row>
    <row r="129" spans="1:3" ht="25.5" x14ac:dyDescent="0.2">
      <c r="A129" s="24">
        <v>39871</v>
      </c>
      <c r="B129" s="5" t="s">
        <v>102</v>
      </c>
      <c r="C129" s="6" t="s">
        <v>68</v>
      </c>
    </row>
    <row r="130" spans="1:3" ht="38.25" x14ac:dyDescent="0.2">
      <c r="A130" s="24">
        <v>39885</v>
      </c>
      <c r="B130" s="3" t="s">
        <v>164</v>
      </c>
      <c r="C130" s="6" t="s">
        <v>68</v>
      </c>
    </row>
    <row r="131" spans="1:3" ht="25.5" x14ac:dyDescent="0.2">
      <c r="A131" s="27">
        <v>39944</v>
      </c>
      <c r="B131" s="28" t="s">
        <v>154</v>
      </c>
      <c r="C131" s="7" t="s">
        <v>137</v>
      </c>
    </row>
    <row r="132" spans="1:3" ht="38.25" x14ac:dyDescent="0.2">
      <c r="A132" s="27">
        <v>40142</v>
      </c>
      <c r="B132" s="80" t="s">
        <v>453</v>
      </c>
      <c r="C132" s="7" t="s">
        <v>68</v>
      </c>
    </row>
    <row r="133" spans="1:3" ht="25.5" x14ac:dyDescent="0.2">
      <c r="A133" s="27">
        <v>40142</v>
      </c>
      <c r="B133" s="80" t="s">
        <v>452</v>
      </c>
      <c r="C133" s="7" t="s">
        <v>68</v>
      </c>
    </row>
    <row r="134" spans="1:3" x14ac:dyDescent="0.2">
      <c r="A134" s="27">
        <v>40142</v>
      </c>
      <c r="B134" s="80" t="s">
        <v>451</v>
      </c>
      <c r="C134" s="7" t="s">
        <v>68</v>
      </c>
    </row>
    <row r="135" spans="1:3" ht="25.5" x14ac:dyDescent="0.2">
      <c r="A135" s="27">
        <v>40142</v>
      </c>
      <c r="B135" s="80" t="s">
        <v>450</v>
      </c>
      <c r="C135" s="7" t="s">
        <v>68</v>
      </c>
    </row>
    <row r="136" spans="1:3" ht="38.25" x14ac:dyDescent="0.2">
      <c r="A136" s="27">
        <v>40142</v>
      </c>
      <c r="B136" s="80" t="s">
        <v>449</v>
      </c>
      <c r="C136" s="7" t="s">
        <v>68</v>
      </c>
    </row>
    <row r="137" spans="1:3" ht="25.5" x14ac:dyDescent="0.2">
      <c r="A137" s="27">
        <v>40142</v>
      </c>
      <c r="B137" s="80" t="s">
        <v>448</v>
      </c>
      <c r="C137" s="7" t="s">
        <v>68</v>
      </c>
    </row>
    <row r="138" spans="1:3" ht="38.25" x14ac:dyDescent="0.2">
      <c r="A138" s="27">
        <v>40142</v>
      </c>
      <c r="B138" s="80" t="s">
        <v>447</v>
      </c>
      <c r="C138" s="7" t="s">
        <v>68</v>
      </c>
    </row>
    <row r="139" spans="1:3" ht="25.5" x14ac:dyDescent="0.2">
      <c r="A139" s="27">
        <v>40142</v>
      </c>
      <c r="B139" s="80" t="s">
        <v>446</v>
      </c>
      <c r="C139" s="7" t="s">
        <v>68</v>
      </c>
    </row>
    <row r="140" spans="1:3" ht="25.5" x14ac:dyDescent="0.2">
      <c r="A140" s="27">
        <v>40142</v>
      </c>
      <c r="B140" s="80" t="s">
        <v>445</v>
      </c>
      <c r="C140" s="7" t="s">
        <v>68</v>
      </c>
    </row>
    <row r="141" spans="1:3" x14ac:dyDescent="0.2">
      <c r="A141" s="27">
        <v>40142</v>
      </c>
      <c r="B141" s="80" t="s">
        <v>444</v>
      </c>
      <c r="C141" s="7" t="s">
        <v>68</v>
      </c>
    </row>
    <row r="142" spans="1:3" ht="25.5" x14ac:dyDescent="0.2">
      <c r="A142" s="27">
        <v>40142</v>
      </c>
      <c r="B142" s="80" t="s">
        <v>443</v>
      </c>
      <c r="C142" s="7" t="s">
        <v>68</v>
      </c>
    </row>
    <row r="143" spans="1:3" ht="38.25" x14ac:dyDescent="0.2">
      <c r="A143" s="27">
        <v>40142</v>
      </c>
      <c r="B143" s="80" t="s">
        <v>442</v>
      </c>
      <c r="C143" s="7" t="s">
        <v>68</v>
      </c>
    </row>
    <row r="144" spans="1:3" ht="25.5" x14ac:dyDescent="0.2">
      <c r="A144" s="27">
        <v>40142</v>
      </c>
      <c r="B144" s="80" t="s">
        <v>441</v>
      </c>
      <c r="C144" s="7" t="s">
        <v>68</v>
      </c>
    </row>
    <row r="145" spans="1:3" ht="38.25" x14ac:dyDescent="0.2">
      <c r="A145" s="27">
        <v>40142</v>
      </c>
      <c r="B145" s="80" t="s">
        <v>440</v>
      </c>
      <c r="C145" s="7" t="s">
        <v>68</v>
      </c>
    </row>
    <row r="146" spans="1:3" ht="38.25" x14ac:dyDescent="0.2">
      <c r="A146" s="27">
        <v>40142</v>
      </c>
      <c r="B146" s="80" t="s">
        <v>439</v>
      </c>
      <c r="C146" s="7" t="s">
        <v>68</v>
      </c>
    </row>
    <row r="147" spans="1:3" ht="25.5" x14ac:dyDescent="0.2">
      <c r="A147" s="27">
        <v>40142</v>
      </c>
      <c r="B147" s="80" t="s">
        <v>438</v>
      </c>
      <c r="C147" s="7" t="s">
        <v>68</v>
      </c>
    </row>
    <row r="148" spans="1:3" ht="25.5" x14ac:dyDescent="0.2">
      <c r="A148" s="27">
        <v>40142</v>
      </c>
      <c r="B148" s="80" t="s">
        <v>437</v>
      </c>
      <c r="C148" s="7" t="s">
        <v>68</v>
      </c>
    </row>
    <row r="149" spans="1:3" x14ac:dyDescent="0.2">
      <c r="A149" s="27">
        <v>40142</v>
      </c>
      <c r="B149" s="80" t="s">
        <v>436</v>
      </c>
      <c r="C149" s="7" t="s">
        <v>68</v>
      </c>
    </row>
    <row r="150" spans="1:3" ht="63.75" x14ac:dyDescent="0.2">
      <c r="A150" s="27">
        <v>40135</v>
      </c>
      <c r="B150" s="80" t="s">
        <v>408</v>
      </c>
      <c r="C150" s="7" t="s">
        <v>68</v>
      </c>
    </row>
    <row r="151" spans="1:3" ht="38.25" x14ac:dyDescent="0.2">
      <c r="A151" s="27">
        <v>40135</v>
      </c>
      <c r="B151" s="80" t="s">
        <v>409</v>
      </c>
      <c r="C151" s="7" t="s">
        <v>68</v>
      </c>
    </row>
    <row r="152" spans="1:3" ht="26.25" customHeight="1" x14ac:dyDescent="0.2">
      <c r="A152" s="27">
        <v>40135</v>
      </c>
      <c r="B152" s="80" t="s">
        <v>410</v>
      </c>
      <c r="C152" s="7" t="s">
        <v>68</v>
      </c>
    </row>
    <row r="153" spans="1:3" ht="25.5" customHeight="1" x14ac:dyDescent="0.2">
      <c r="A153" s="27">
        <v>40135</v>
      </c>
      <c r="B153" s="80" t="s">
        <v>411</v>
      </c>
      <c r="C153" s="7" t="s">
        <v>68</v>
      </c>
    </row>
    <row r="154" spans="1:3" ht="38.25" x14ac:dyDescent="0.2">
      <c r="A154" s="27">
        <v>40135</v>
      </c>
      <c r="B154" s="80" t="s">
        <v>412</v>
      </c>
      <c r="C154" s="7" t="s">
        <v>68</v>
      </c>
    </row>
    <row r="155" spans="1:3" ht="25.5" x14ac:dyDescent="0.2">
      <c r="A155" s="27">
        <v>40135</v>
      </c>
      <c r="B155" s="80" t="s">
        <v>413</v>
      </c>
      <c r="C155" s="7" t="s">
        <v>68</v>
      </c>
    </row>
    <row r="156" spans="1:3" ht="25.5" x14ac:dyDescent="0.2">
      <c r="A156" s="27">
        <v>40142</v>
      </c>
      <c r="B156" s="80" t="s">
        <v>414</v>
      </c>
      <c r="C156" s="7" t="s">
        <v>68</v>
      </c>
    </row>
    <row r="157" spans="1:3" ht="54" customHeight="1" x14ac:dyDescent="0.2">
      <c r="A157" s="27">
        <v>40142</v>
      </c>
      <c r="B157" s="80" t="s">
        <v>415</v>
      </c>
      <c r="C157" s="7" t="s">
        <v>68</v>
      </c>
    </row>
    <row r="158" spans="1:3" x14ac:dyDescent="0.2">
      <c r="A158" s="27">
        <v>40135</v>
      </c>
      <c r="B158" s="80" t="s">
        <v>416</v>
      </c>
      <c r="C158" s="7" t="s">
        <v>68</v>
      </c>
    </row>
    <row r="159" spans="1:3" ht="25.5" x14ac:dyDescent="0.2">
      <c r="A159" s="27">
        <v>40135</v>
      </c>
      <c r="B159" s="80" t="s">
        <v>417</v>
      </c>
      <c r="C159" s="7" t="s">
        <v>68</v>
      </c>
    </row>
    <row r="160" spans="1:3" ht="25.5" x14ac:dyDescent="0.2">
      <c r="A160" s="27">
        <v>40135</v>
      </c>
      <c r="B160" s="80" t="s">
        <v>418</v>
      </c>
      <c r="C160" s="7" t="s">
        <v>68</v>
      </c>
    </row>
    <row r="161" spans="1:3" ht="25.5" x14ac:dyDescent="0.2">
      <c r="A161" s="27">
        <v>40135</v>
      </c>
      <c r="B161" s="80" t="s">
        <v>419</v>
      </c>
      <c r="C161" s="7" t="s">
        <v>68</v>
      </c>
    </row>
    <row r="162" spans="1:3" x14ac:dyDescent="0.2">
      <c r="A162" s="27">
        <v>40135</v>
      </c>
      <c r="B162" s="80" t="s">
        <v>420</v>
      </c>
      <c r="C162" s="7" t="s">
        <v>68</v>
      </c>
    </row>
    <row r="163" spans="1:3" ht="25.5" x14ac:dyDescent="0.2">
      <c r="A163" s="27">
        <v>40135</v>
      </c>
      <c r="B163" s="80" t="s">
        <v>421</v>
      </c>
      <c r="C163" s="7" t="s">
        <v>68</v>
      </c>
    </row>
    <row r="164" spans="1:3" ht="25.5" x14ac:dyDescent="0.2">
      <c r="A164" s="27">
        <v>40135</v>
      </c>
      <c r="B164" s="80" t="s">
        <v>422</v>
      </c>
      <c r="C164" s="7" t="s">
        <v>68</v>
      </c>
    </row>
    <row r="165" spans="1:3" ht="25.5" x14ac:dyDescent="0.2">
      <c r="A165" s="27">
        <v>40135</v>
      </c>
      <c r="B165" s="80" t="s">
        <v>423</v>
      </c>
      <c r="C165" s="7" t="s">
        <v>68</v>
      </c>
    </row>
    <row r="166" spans="1:3" ht="25.5" x14ac:dyDescent="0.2">
      <c r="A166" s="27">
        <v>40135</v>
      </c>
      <c r="B166" s="80" t="s">
        <v>424</v>
      </c>
      <c r="C166" s="7" t="s">
        <v>68</v>
      </c>
    </row>
    <row r="167" spans="1:3" ht="25.5" x14ac:dyDescent="0.2">
      <c r="A167" s="27">
        <v>40135</v>
      </c>
      <c r="B167" s="80" t="s">
        <v>425</v>
      </c>
      <c r="C167" s="7" t="s">
        <v>68</v>
      </c>
    </row>
    <row r="168" spans="1:3" x14ac:dyDescent="0.2">
      <c r="A168" s="27">
        <v>40135</v>
      </c>
      <c r="B168" s="80" t="s">
        <v>426</v>
      </c>
      <c r="C168" s="7" t="s">
        <v>68</v>
      </c>
    </row>
    <row r="169" spans="1:3" x14ac:dyDescent="0.2">
      <c r="A169" s="27">
        <v>40135</v>
      </c>
      <c r="B169" s="80" t="s">
        <v>427</v>
      </c>
      <c r="C169" s="7" t="s">
        <v>68</v>
      </c>
    </row>
    <row r="170" spans="1:3" x14ac:dyDescent="0.2">
      <c r="A170" s="27">
        <v>40135</v>
      </c>
      <c r="B170" s="80" t="s">
        <v>428</v>
      </c>
      <c r="C170" s="7" t="s">
        <v>68</v>
      </c>
    </row>
    <row r="171" spans="1:3" ht="25.5" x14ac:dyDescent="0.2">
      <c r="A171" s="27">
        <v>40135</v>
      </c>
      <c r="B171" s="80" t="s">
        <v>429</v>
      </c>
      <c r="C171" s="7" t="s">
        <v>68</v>
      </c>
    </row>
    <row r="172" spans="1:3" x14ac:dyDescent="0.2">
      <c r="A172" s="27">
        <v>40135</v>
      </c>
      <c r="B172" s="80" t="s">
        <v>430</v>
      </c>
      <c r="C172" s="7" t="s">
        <v>68</v>
      </c>
    </row>
    <row r="173" spans="1:3" x14ac:dyDescent="0.2">
      <c r="A173" s="27">
        <v>40135</v>
      </c>
      <c r="B173" s="80" t="s">
        <v>431</v>
      </c>
      <c r="C173" s="7" t="s">
        <v>68</v>
      </c>
    </row>
    <row r="174" spans="1:3" x14ac:dyDescent="0.2">
      <c r="A174" s="27">
        <v>40135</v>
      </c>
      <c r="B174" s="80" t="s">
        <v>432</v>
      </c>
      <c r="C174" s="7" t="s">
        <v>68</v>
      </c>
    </row>
    <row r="175" spans="1:3" x14ac:dyDescent="0.2">
      <c r="A175" s="27">
        <v>40135</v>
      </c>
      <c r="B175" s="80" t="s">
        <v>433</v>
      </c>
      <c r="C175" s="7" t="s">
        <v>68</v>
      </c>
    </row>
    <row r="176" spans="1:3" x14ac:dyDescent="0.2">
      <c r="A176" s="27">
        <v>40211</v>
      </c>
      <c r="B176" s="80" t="s">
        <v>434</v>
      </c>
      <c r="C176" s="7" t="s">
        <v>68</v>
      </c>
    </row>
    <row r="177" spans="1:3" ht="26.25" customHeight="1" x14ac:dyDescent="0.2">
      <c r="A177" s="27">
        <v>40135</v>
      </c>
      <c r="B177" s="80" t="s">
        <v>435</v>
      </c>
      <c r="C177" s="7" t="s">
        <v>68</v>
      </c>
    </row>
    <row r="178" spans="1:3" ht="25.5" x14ac:dyDescent="0.2">
      <c r="A178" s="27">
        <v>40135</v>
      </c>
      <c r="B178" s="80" t="s">
        <v>407</v>
      </c>
      <c r="C178" s="7" t="s">
        <v>68</v>
      </c>
    </row>
    <row r="179" spans="1:3" ht="25.5" x14ac:dyDescent="0.2">
      <c r="A179" s="27">
        <v>40135</v>
      </c>
      <c r="B179" s="80" t="s">
        <v>406</v>
      </c>
      <c r="C179" s="7" t="s">
        <v>68</v>
      </c>
    </row>
    <row r="180" spans="1:3" x14ac:dyDescent="0.2">
      <c r="A180" s="27">
        <v>40135</v>
      </c>
      <c r="B180" s="80" t="s">
        <v>405</v>
      </c>
      <c r="C180" s="7" t="s">
        <v>68</v>
      </c>
    </row>
    <row r="181" spans="1:3" ht="25.5" x14ac:dyDescent="0.2">
      <c r="A181" s="27">
        <v>40135</v>
      </c>
      <c r="B181" s="80" t="s">
        <v>404</v>
      </c>
      <c r="C181" s="81" t="s">
        <v>68</v>
      </c>
    </row>
    <row r="182" spans="1:3" x14ac:dyDescent="0.2">
      <c r="A182" s="27">
        <v>40135</v>
      </c>
      <c r="B182" s="80" t="s">
        <v>403</v>
      </c>
      <c r="C182" s="81" t="s">
        <v>68</v>
      </c>
    </row>
    <row r="183" spans="1:3" ht="25.5" x14ac:dyDescent="0.2">
      <c r="A183" s="27">
        <v>40135</v>
      </c>
      <c r="B183" s="80" t="s">
        <v>402</v>
      </c>
      <c r="C183" s="81" t="s">
        <v>68</v>
      </c>
    </row>
    <row r="184" spans="1:3" ht="25.5" x14ac:dyDescent="0.2">
      <c r="A184" s="27">
        <v>40135</v>
      </c>
      <c r="B184" s="80" t="s">
        <v>401</v>
      </c>
      <c r="C184" s="81" t="s">
        <v>68</v>
      </c>
    </row>
    <row r="185" spans="1:3" ht="25.5" x14ac:dyDescent="0.2">
      <c r="A185" s="27">
        <v>40196</v>
      </c>
      <c r="B185" s="80" t="s">
        <v>400</v>
      </c>
      <c r="C185" s="82" t="s">
        <v>68</v>
      </c>
    </row>
    <row r="186" spans="1:3" x14ac:dyDescent="0.2">
      <c r="A186" s="27">
        <v>40135</v>
      </c>
      <c r="B186" s="80" t="s">
        <v>379</v>
      </c>
      <c r="C186" s="81" t="s">
        <v>68</v>
      </c>
    </row>
    <row r="187" spans="1:3" ht="25.5" x14ac:dyDescent="0.2">
      <c r="A187" s="27">
        <v>40135</v>
      </c>
      <c r="B187" s="80" t="s">
        <v>380</v>
      </c>
      <c r="C187" s="81" t="s">
        <v>68</v>
      </c>
    </row>
    <row r="188" spans="1:3" ht="25.5" x14ac:dyDescent="0.2">
      <c r="A188" s="27">
        <v>40135</v>
      </c>
      <c r="B188" s="80" t="s">
        <v>381</v>
      </c>
      <c r="C188" s="81" t="s">
        <v>68</v>
      </c>
    </row>
    <row r="189" spans="1:3" ht="25.5" x14ac:dyDescent="0.2">
      <c r="A189" s="27">
        <v>40135</v>
      </c>
      <c r="B189" s="80" t="s">
        <v>382</v>
      </c>
      <c r="C189" s="81" t="s">
        <v>68</v>
      </c>
    </row>
    <row r="190" spans="1:3" ht="25.5" x14ac:dyDescent="0.2">
      <c r="A190" s="27">
        <v>40135</v>
      </c>
      <c r="B190" s="80" t="s">
        <v>383</v>
      </c>
      <c r="C190" s="81" t="s">
        <v>68</v>
      </c>
    </row>
    <row r="191" spans="1:3" ht="25.5" x14ac:dyDescent="0.2">
      <c r="A191" s="27">
        <v>40135</v>
      </c>
      <c r="B191" s="80" t="s">
        <v>384</v>
      </c>
      <c r="C191" s="81" t="s">
        <v>68</v>
      </c>
    </row>
    <row r="192" spans="1:3" ht="38.25" x14ac:dyDescent="0.2">
      <c r="A192" s="27">
        <v>40135</v>
      </c>
      <c r="B192" s="80" t="s">
        <v>385</v>
      </c>
      <c r="C192" s="81" t="s">
        <v>68</v>
      </c>
    </row>
    <row r="193" spans="1:3" x14ac:dyDescent="0.2">
      <c r="A193" s="27">
        <v>40135</v>
      </c>
      <c r="B193" s="80" t="s">
        <v>386</v>
      </c>
      <c r="C193" s="81" t="s">
        <v>68</v>
      </c>
    </row>
    <row r="194" spans="1:3" ht="25.5" x14ac:dyDescent="0.2">
      <c r="A194" s="27">
        <v>40213</v>
      </c>
      <c r="B194" s="80" t="s">
        <v>387</v>
      </c>
      <c r="C194" s="81" t="s">
        <v>68</v>
      </c>
    </row>
    <row r="195" spans="1:3" x14ac:dyDescent="0.2">
      <c r="A195" s="27">
        <v>40213</v>
      </c>
      <c r="B195" s="80" t="s">
        <v>388</v>
      </c>
      <c r="C195" s="81" t="s">
        <v>68</v>
      </c>
    </row>
    <row r="196" spans="1:3" ht="25.5" x14ac:dyDescent="0.2">
      <c r="A196" s="27">
        <v>40135</v>
      </c>
      <c r="B196" s="80" t="s">
        <v>389</v>
      </c>
      <c r="C196" s="81" t="s">
        <v>68</v>
      </c>
    </row>
    <row r="197" spans="1:3" ht="51" x14ac:dyDescent="0.2">
      <c r="A197" s="27">
        <v>40218</v>
      </c>
      <c r="B197" s="80" t="s">
        <v>390</v>
      </c>
      <c r="C197" s="81" t="s">
        <v>68</v>
      </c>
    </row>
    <row r="198" spans="1:3" ht="89.25" x14ac:dyDescent="0.2">
      <c r="A198" s="27">
        <v>40218</v>
      </c>
      <c r="B198" s="83" t="s">
        <v>391</v>
      </c>
      <c r="C198" s="7" t="s">
        <v>68</v>
      </c>
    </row>
    <row r="199" spans="1:3" ht="76.5" x14ac:dyDescent="0.2">
      <c r="A199" s="27">
        <v>40232</v>
      </c>
      <c r="B199" s="84" t="s">
        <v>392</v>
      </c>
      <c r="C199" s="7" t="s">
        <v>331</v>
      </c>
    </row>
    <row r="200" spans="1:3" ht="38.25" x14ac:dyDescent="0.2">
      <c r="A200" s="27">
        <v>40233</v>
      </c>
      <c r="B200" s="80" t="s">
        <v>393</v>
      </c>
      <c r="C200" s="7" t="s">
        <v>68</v>
      </c>
    </row>
    <row r="201" spans="1:3" ht="51" x14ac:dyDescent="0.2">
      <c r="A201" s="27">
        <v>40234</v>
      </c>
      <c r="B201" s="80" t="s">
        <v>394</v>
      </c>
      <c r="C201" s="7" t="s">
        <v>68</v>
      </c>
    </row>
    <row r="202" spans="1:3" ht="25.5" x14ac:dyDescent="0.2">
      <c r="A202" s="85">
        <v>40241</v>
      </c>
      <c r="B202" s="86" t="s">
        <v>378</v>
      </c>
      <c r="C202" s="7" t="s">
        <v>68</v>
      </c>
    </row>
    <row r="203" spans="1:3" x14ac:dyDescent="0.2">
      <c r="A203" s="85">
        <v>40255</v>
      </c>
      <c r="B203" s="87" t="s">
        <v>395</v>
      </c>
      <c r="C203" s="7" t="s">
        <v>68</v>
      </c>
    </row>
    <row r="204" spans="1:3" x14ac:dyDescent="0.2">
      <c r="A204" s="85">
        <v>40255</v>
      </c>
      <c r="B204" s="87" t="s">
        <v>396</v>
      </c>
      <c r="C204" s="7" t="s">
        <v>68</v>
      </c>
    </row>
    <row r="205" spans="1:3" x14ac:dyDescent="0.2">
      <c r="A205" s="85">
        <v>40255</v>
      </c>
      <c r="B205" s="87" t="s">
        <v>397</v>
      </c>
      <c r="C205" s="7" t="s">
        <v>68</v>
      </c>
    </row>
    <row r="206" spans="1:3" ht="25.5" x14ac:dyDescent="0.2">
      <c r="A206" s="85">
        <v>40259</v>
      </c>
      <c r="B206" s="83" t="s">
        <v>472</v>
      </c>
      <c r="C206" s="88" t="s">
        <v>68</v>
      </c>
    </row>
    <row r="207" spans="1:3" ht="25.5" x14ac:dyDescent="0.2">
      <c r="A207" s="85">
        <v>40267</v>
      </c>
      <c r="B207" s="83" t="s">
        <v>398</v>
      </c>
      <c r="C207" s="88" t="s">
        <v>68</v>
      </c>
    </row>
    <row r="208" spans="1:3" ht="26.25" customHeight="1" x14ac:dyDescent="0.2">
      <c r="A208" s="85">
        <v>40295</v>
      </c>
      <c r="B208" s="83" t="s">
        <v>399</v>
      </c>
      <c r="C208" s="88" t="s">
        <v>68</v>
      </c>
    </row>
    <row r="209" spans="1:3" ht="25.5" x14ac:dyDescent="0.2">
      <c r="A209" s="85">
        <v>40309</v>
      </c>
      <c r="B209" s="83" t="s">
        <v>377</v>
      </c>
      <c r="C209" s="88" t="s">
        <v>68</v>
      </c>
    </row>
    <row r="210" spans="1:3" ht="25.5" x14ac:dyDescent="0.2">
      <c r="A210" s="85">
        <v>40420</v>
      </c>
      <c r="B210" s="83" t="s">
        <v>375</v>
      </c>
      <c r="C210" s="88" t="s">
        <v>68</v>
      </c>
    </row>
    <row r="211" spans="1:3" ht="25.5" x14ac:dyDescent="0.2">
      <c r="A211" s="85">
        <v>40420</v>
      </c>
      <c r="B211" s="83" t="s">
        <v>376</v>
      </c>
      <c r="C211" s="88" t="s">
        <v>68</v>
      </c>
    </row>
    <row r="212" spans="1:3" ht="38.25" x14ac:dyDescent="0.2">
      <c r="A212" s="85">
        <v>40420</v>
      </c>
      <c r="B212" s="89" t="s">
        <v>354</v>
      </c>
      <c r="C212" s="88" t="s">
        <v>68</v>
      </c>
    </row>
    <row r="213" spans="1:3" ht="38.25" x14ac:dyDescent="0.2">
      <c r="A213" s="85">
        <v>40420</v>
      </c>
      <c r="B213" s="89" t="s">
        <v>355</v>
      </c>
      <c r="C213" s="88" t="s">
        <v>68</v>
      </c>
    </row>
    <row r="214" spans="1:3" x14ac:dyDescent="0.2">
      <c r="A214" s="85">
        <v>40420</v>
      </c>
      <c r="B214" s="89" t="s">
        <v>356</v>
      </c>
      <c r="C214" s="88" t="s">
        <v>68</v>
      </c>
    </row>
    <row r="215" spans="1:3" ht="25.5" x14ac:dyDescent="0.2">
      <c r="A215" s="85">
        <v>40420</v>
      </c>
      <c r="B215" s="83" t="s">
        <v>554</v>
      </c>
      <c r="C215" s="90" t="s">
        <v>68</v>
      </c>
    </row>
    <row r="216" spans="1:3" ht="25.5" x14ac:dyDescent="0.2">
      <c r="A216" s="85">
        <v>40420</v>
      </c>
      <c r="B216" s="89" t="s">
        <v>358</v>
      </c>
      <c r="C216" s="88" t="s">
        <v>68</v>
      </c>
    </row>
    <row r="217" spans="1:3" ht="25.5" x14ac:dyDescent="0.2">
      <c r="A217" s="85">
        <v>40420</v>
      </c>
      <c r="B217" s="89" t="s">
        <v>357</v>
      </c>
      <c r="C217" s="88" t="s">
        <v>68</v>
      </c>
    </row>
    <row r="218" spans="1:3" x14ac:dyDescent="0.2">
      <c r="A218" s="85">
        <v>40420</v>
      </c>
      <c r="B218" s="89" t="s">
        <v>359</v>
      </c>
      <c r="C218" s="88" t="s">
        <v>68</v>
      </c>
    </row>
    <row r="219" spans="1:3" ht="25.5" x14ac:dyDescent="0.2">
      <c r="A219" s="85">
        <v>40420</v>
      </c>
      <c r="B219" s="89" t="s">
        <v>360</v>
      </c>
      <c r="C219" s="88" t="s">
        <v>68</v>
      </c>
    </row>
    <row r="220" spans="1:3" ht="25.5" x14ac:dyDescent="0.2">
      <c r="A220" s="85">
        <v>40420</v>
      </c>
      <c r="B220" s="89" t="s">
        <v>361</v>
      </c>
      <c r="C220" s="88" t="s">
        <v>68</v>
      </c>
    </row>
    <row r="221" spans="1:3" x14ac:dyDescent="0.2">
      <c r="A221" s="85">
        <v>40420</v>
      </c>
      <c r="B221" s="89" t="s">
        <v>362</v>
      </c>
      <c r="C221" s="88" t="s">
        <v>68</v>
      </c>
    </row>
    <row r="222" spans="1:3" ht="25.5" x14ac:dyDescent="0.2">
      <c r="A222" s="85">
        <v>40420</v>
      </c>
      <c r="B222" s="89" t="s">
        <v>363</v>
      </c>
      <c r="C222" s="88" t="s">
        <v>68</v>
      </c>
    </row>
    <row r="223" spans="1:3" ht="25.5" x14ac:dyDescent="0.2">
      <c r="A223" s="85">
        <v>40420</v>
      </c>
      <c r="B223" s="89" t="s">
        <v>364</v>
      </c>
      <c r="C223" s="88" t="s">
        <v>68</v>
      </c>
    </row>
    <row r="224" spans="1:3" x14ac:dyDescent="0.2">
      <c r="A224" s="85">
        <v>40420</v>
      </c>
      <c r="B224" s="89" t="s">
        <v>365</v>
      </c>
      <c r="C224" s="88" t="s">
        <v>68</v>
      </c>
    </row>
    <row r="225" spans="1:3" ht="25.5" x14ac:dyDescent="0.2">
      <c r="A225" s="85">
        <v>40420</v>
      </c>
      <c r="B225" s="89" t="s">
        <v>366</v>
      </c>
      <c r="C225" s="88" t="s">
        <v>68</v>
      </c>
    </row>
    <row r="226" spans="1:3" ht="25.5" x14ac:dyDescent="0.2">
      <c r="A226" s="85">
        <v>40420</v>
      </c>
      <c r="B226" s="89" t="s">
        <v>367</v>
      </c>
      <c r="C226" s="88" t="s">
        <v>68</v>
      </c>
    </row>
    <row r="227" spans="1:3" ht="25.5" x14ac:dyDescent="0.2">
      <c r="A227" s="85">
        <v>40420</v>
      </c>
      <c r="B227" s="89" t="s">
        <v>368</v>
      </c>
      <c r="C227" s="88" t="s">
        <v>68</v>
      </c>
    </row>
    <row r="228" spans="1:3" ht="25.5" x14ac:dyDescent="0.2">
      <c r="A228" s="85">
        <v>40420</v>
      </c>
      <c r="B228" s="89" t="s">
        <v>369</v>
      </c>
      <c r="C228" s="88" t="s">
        <v>68</v>
      </c>
    </row>
    <row r="229" spans="1:3" x14ac:dyDescent="0.2">
      <c r="A229" s="85">
        <v>40420</v>
      </c>
      <c r="B229" s="89" t="s">
        <v>370</v>
      </c>
      <c r="C229" s="88" t="s">
        <v>68</v>
      </c>
    </row>
    <row r="230" spans="1:3" ht="25.5" x14ac:dyDescent="0.2">
      <c r="A230" s="85">
        <v>40420</v>
      </c>
      <c r="B230" s="89" t="s">
        <v>371</v>
      </c>
      <c r="C230" s="88" t="s">
        <v>68</v>
      </c>
    </row>
    <row r="231" spans="1:3" x14ac:dyDescent="0.2">
      <c r="A231" s="91">
        <v>40449</v>
      </c>
      <c r="B231" s="83" t="s">
        <v>454</v>
      </c>
      <c r="C231" s="90" t="s">
        <v>68</v>
      </c>
    </row>
    <row r="232" spans="1:3" ht="25.5" x14ac:dyDescent="0.2">
      <c r="A232" s="91">
        <v>40559</v>
      </c>
      <c r="B232" s="83" t="s">
        <v>469</v>
      </c>
      <c r="C232" s="90" t="s">
        <v>68</v>
      </c>
    </row>
    <row r="233" spans="1:3" ht="25.5" x14ac:dyDescent="0.2">
      <c r="A233" s="91">
        <v>40559</v>
      </c>
      <c r="B233" s="83" t="s">
        <v>482</v>
      </c>
      <c r="C233" s="90" t="s">
        <v>68</v>
      </c>
    </row>
    <row r="234" spans="1:3" ht="25.5" x14ac:dyDescent="0.2">
      <c r="A234" s="91">
        <v>40559</v>
      </c>
      <c r="B234" s="80" t="s">
        <v>481</v>
      </c>
      <c r="C234" s="90" t="s">
        <v>68</v>
      </c>
    </row>
    <row r="235" spans="1:3" ht="51" x14ac:dyDescent="0.2">
      <c r="A235" s="91">
        <v>40559</v>
      </c>
      <c r="B235" s="80" t="s">
        <v>487</v>
      </c>
      <c r="C235" s="90" t="s">
        <v>68</v>
      </c>
    </row>
    <row r="236" spans="1:3" ht="25.5" x14ac:dyDescent="0.2">
      <c r="A236" s="91">
        <v>40559</v>
      </c>
      <c r="B236" s="80" t="s">
        <v>486</v>
      </c>
      <c r="C236" s="90" t="s">
        <v>68</v>
      </c>
    </row>
    <row r="237" spans="1:3" ht="63.75" x14ac:dyDescent="0.2">
      <c r="A237" s="91">
        <v>40559</v>
      </c>
      <c r="B237" s="80" t="s">
        <v>489</v>
      </c>
      <c r="C237" s="90" t="s">
        <v>68</v>
      </c>
    </row>
    <row r="238" spans="1:3" ht="25.5" x14ac:dyDescent="0.2">
      <c r="A238" s="91">
        <v>40564</v>
      </c>
      <c r="B238" s="80" t="s">
        <v>492</v>
      </c>
      <c r="C238" s="90" t="s">
        <v>68</v>
      </c>
    </row>
    <row r="239" spans="1:3" ht="38.25" x14ac:dyDescent="0.2">
      <c r="A239" s="91">
        <v>40564</v>
      </c>
      <c r="B239" s="92" t="s">
        <v>493</v>
      </c>
      <c r="C239" s="90" t="s">
        <v>68</v>
      </c>
    </row>
    <row r="240" spans="1:3" ht="51" x14ac:dyDescent="0.2">
      <c r="A240" s="91">
        <v>40559</v>
      </c>
      <c r="B240" s="80" t="s">
        <v>491</v>
      </c>
      <c r="C240" s="90" t="s">
        <v>68</v>
      </c>
    </row>
    <row r="241" spans="1:3" ht="38.25" x14ac:dyDescent="0.2">
      <c r="A241" s="91">
        <v>40559</v>
      </c>
      <c r="B241" s="80" t="s">
        <v>471</v>
      </c>
      <c r="C241" s="90" t="s">
        <v>68</v>
      </c>
    </row>
    <row r="242" spans="1:3" ht="38.25" x14ac:dyDescent="0.2">
      <c r="A242" s="91">
        <v>40559</v>
      </c>
      <c r="B242" s="80" t="s">
        <v>470</v>
      </c>
      <c r="C242" s="90" t="s">
        <v>68</v>
      </c>
    </row>
    <row r="243" spans="1:3" x14ac:dyDescent="0.2">
      <c r="A243" s="4">
        <v>40513</v>
      </c>
      <c r="B243" s="83" t="s">
        <v>463</v>
      </c>
      <c r="C243" s="90" t="s">
        <v>331</v>
      </c>
    </row>
    <row r="244" spans="1:3" ht="38.25" x14ac:dyDescent="0.2">
      <c r="A244" s="4">
        <v>40513</v>
      </c>
      <c r="B244" s="93" t="s">
        <v>461</v>
      </c>
      <c r="C244" s="90" t="s">
        <v>331</v>
      </c>
    </row>
    <row r="245" spans="1:3" ht="38.25" x14ac:dyDescent="0.2">
      <c r="A245" s="4">
        <v>40513</v>
      </c>
      <c r="B245" s="83" t="s">
        <v>494</v>
      </c>
      <c r="C245" s="90" t="s">
        <v>331</v>
      </c>
    </row>
    <row r="246" spans="1:3" x14ac:dyDescent="0.2">
      <c r="A246" s="4">
        <v>40513</v>
      </c>
      <c r="B246" s="80" t="s">
        <v>459</v>
      </c>
      <c r="C246" s="90" t="s">
        <v>331</v>
      </c>
    </row>
    <row r="247" spans="1:3" x14ac:dyDescent="0.2">
      <c r="A247" s="4">
        <v>40513</v>
      </c>
      <c r="B247" s="80" t="s">
        <v>460</v>
      </c>
      <c r="C247" s="90" t="s">
        <v>331</v>
      </c>
    </row>
    <row r="248" spans="1:3" ht="38.25" x14ac:dyDescent="0.2">
      <c r="A248" s="4">
        <v>40564</v>
      </c>
      <c r="B248" s="80" t="s">
        <v>495</v>
      </c>
      <c r="C248" s="90" t="s">
        <v>68</v>
      </c>
    </row>
    <row r="249" spans="1:3" x14ac:dyDescent="0.2">
      <c r="A249" s="4">
        <v>40513</v>
      </c>
      <c r="B249" s="93" t="s">
        <v>457</v>
      </c>
      <c r="C249" s="90" t="s">
        <v>331</v>
      </c>
    </row>
    <row r="250" spans="1:3" ht="38.25" x14ac:dyDescent="0.2">
      <c r="A250" s="4">
        <v>40513</v>
      </c>
      <c r="B250" s="83" t="s">
        <v>480</v>
      </c>
      <c r="C250" s="90" t="s">
        <v>331</v>
      </c>
    </row>
    <row r="251" spans="1:3" ht="38.25" x14ac:dyDescent="0.2">
      <c r="A251" s="4">
        <v>40513</v>
      </c>
      <c r="B251" s="83" t="s">
        <v>479</v>
      </c>
      <c r="C251" s="90" t="s">
        <v>331</v>
      </c>
    </row>
    <row r="252" spans="1:3" ht="38.25" x14ac:dyDescent="0.2">
      <c r="A252" s="4">
        <v>40513</v>
      </c>
      <c r="B252" s="83" t="s">
        <v>478</v>
      </c>
      <c r="C252" s="90" t="s">
        <v>331</v>
      </c>
    </row>
    <row r="253" spans="1:3" ht="12" customHeight="1" x14ac:dyDescent="0.2">
      <c r="A253" s="4">
        <v>40513</v>
      </c>
      <c r="B253" s="80" t="s">
        <v>468</v>
      </c>
      <c r="C253" s="90" t="s">
        <v>331</v>
      </c>
    </row>
    <row r="254" spans="1:3" ht="38.25" x14ac:dyDescent="0.2">
      <c r="A254" s="4">
        <v>40513</v>
      </c>
      <c r="B254" s="83" t="s">
        <v>477</v>
      </c>
      <c r="C254" s="90" t="s">
        <v>331</v>
      </c>
    </row>
    <row r="255" spans="1:3" x14ac:dyDescent="0.2">
      <c r="A255" s="4">
        <v>40513</v>
      </c>
      <c r="B255" s="93" t="s">
        <v>466</v>
      </c>
      <c r="C255" s="90" t="s">
        <v>331</v>
      </c>
    </row>
    <row r="256" spans="1:3" x14ac:dyDescent="0.2">
      <c r="A256" s="4">
        <v>40513</v>
      </c>
      <c r="B256" s="93" t="s">
        <v>467</v>
      </c>
      <c r="C256" s="90" t="s">
        <v>331</v>
      </c>
    </row>
    <row r="257" spans="1:3" ht="25.5" x14ac:dyDescent="0.2">
      <c r="A257" s="4">
        <v>40559</v>
      </c>
      <c r="B257" s="93" t="s">
        <v>476</v>
      </c>
      <c r="C257" s="90" t="s">
        <v>68</v>
      </c>
    </row>
    <row r="258" spans="1:3" ht="25.5" x14ac:dyDescent="0.2">
      <c r="A258" s="4">
        <v>40559</v>
      </c>
      <c r="B258" s="80" t="s">
        <v>488</v>
      </c>
      <c r="C258" s="90" t="s">
        <v>68</v>
      </c>
    </row>
    <row r="259" spans="1:3" x14ac:dyDescent="0.2">
      <c r="A259" s="4">
        <v>40559</v>
      </c>
      <c r="B259" s="94" t="s">
        <v>475</v>
      </c>
      <c r="C259" s="90" t="s">
        <v>68</v>
      </c>
    </row>
    <row r="260" spans="1:3" ht="38.25" x14ac:dyDescent="0.2">
      <c r="A260" s="4">
        <v>40559</v>
      </c>
      <c r="B260" s="95" t="s">
        <v>538</v>
      </c>
      <c r="C260" s="90" t="s">
        <v>68</v>
      </c>
    </row>
    <row r="261" spans="1:3" ht="38.25" x14ac:dyDescent="0.2">
      <c r="A261" s="4">
        <v>40559</v>
      </c>
      <c r="B261" s="96" t="s">
        <v>490</v>
      </c>
      <c r="C261" s="90" t="s">
        <v>68</v>
      </c>
    </row>
    <row r="262" spans="1:3" ht="38.25" x14ac:dyDescent="0.2">
      <c r="A262" s="4">
        <v>40559</v>
      </c>
      <c r="B262" s="95" t="s">
        <v>500</v>
      </c>
      <c r="C262" s="90" t="s">
        <v>68</v>
      </c>
    </row>
    <row r="263" spans="1:3" ht="38.25" x14ac:dyDescent="0.2">
      <c r="A263" s="4">
        <v>40559</v>
      </c>
      <c r="B263" s="96" t="s">
        <v>483</v>
      </c>
      <c r="C263" s="90" t="s">
        <v>68</v>
      </c>
    </row>
    <row r="264" spans="1:3" x14ac:dyDescent="0.2">
      <c r="A264" s="4">
        <v>40513</v>
      </c>
      <c r="B264" s="96" t="s">
        <v>484</v>
      </c>
      <c r="C264" s="90" t="s">
        <v>331</v>
      </c>
    </row>
    <row r="265" spans="1:3" ht="25.5" x14ac:dyDescent="0.2">
      <c r="A265" s="4">
        <v>40513</v>
      </c>
      <c r="B265" s="80" t="s">
        <v>462</v>
      </c>
      <c r="C265" s="90" t="s">
        <v>331</v>
      </c>
    </row>
    <row r="266" spans="1:3" x14ac:dyDescent="0.2">
      <c r="A266" s="97">
        <v>40591</v>
      </c>
      <c r="B266" s="93" t="s">
        <v>539</v>
      </c>
      <c r="C266" s="90" t="s">
        <v>68</v>
      </c>
    </row>
    <row r="267" spans="1:3" ht="25.5" x14ac:dyDescent="0.2">
      <c r="A267" s="97">
        <v>40612</v>
      </c>
      <c r="B267" s="93" t="s">
        <v>547</v>
      </c>
      <c r="C267" s="90" t="s">
        <v>68</v>
      </c>
    </row>
    <row r="268" spans="1:3" x14ac:dyDescent="0.2">
      <c r="A268" s="97">
        <v>40612</v>
      </c>
      <c r="B268" s="93" t="s">
        <v>546</v>
      </c>
      <c r="C268" s="90" t="s">
        <v>68</v>
      </c>
    </row>
    <row r="269" spans="1:3" ht="25.5" x14ac:dyDescent="0.2">
      <c r="A269" s="97">
        <v>40612</v>
      </c>
      <c r="B269" s="93" t="s">
        <v>544</v>
      </c>
      <c r="C269" s="90" t="s">
        <v>68</v>
      </c>
    </row>
    <row r="270" spans="1:3" x14ac:dyDescent="0.2">
      <c r="A270" s="97">
        <v>40612</v>
      </c>
      <c r="B270" s="93" t="s">
        <v>542</v>
      </c>
      <c r="C270" s="90" t="s">
        <v>68</v>
      </c>
    </row>
    <row r="271" spans="1:3" ht="25.5" x14ac:dyDescent="0.2">
      <c r="A271" s="97">
        <v>40612</v>
      </c>
      <c r="B271" s="93" t="s">
        <v>541</v>
      </c>
      <c r="C271" s="90" t="s">
        <v>68</v>
      </c>
    </row>
    <row r="272" spans="1:3" ht="25.5" x14ac:dyDescent="0.2">
      <c r="A272" s="97">
        <v>40612</v>
      </c>
      <c r="B272" s="93" t="s">
        <v>545</v>
      </c>
      <c r="C272" s="90" t="s">
        <v>68</v>
      </c>
    </row>
    <row r="273" spans="1:3" ht="51" x14ac:dyDescent="0.2">
      <c r="A273" s="97">
        <v>40626</v>
      </c>
      <c r="B273" s="98" t="s">
        <v>549</v>
      </c>
      <c r="C273" s="90" t="s">
        <v>548</v>
      </c>
    </row>
    <row r="274" spans="1:3" ht="25.5" x14ac:dyDescent="0.2">
      <c r="A274" s="97">
        <v>40683</v>
      </c>
      <c r="B274" s="98" t="s">
        <v>552</v>
      </c>
      <c r="C274" s="90" t="s">
        <v>137</v>
      </c>
    </row>
    <row r="275" spans="1:3" ht="63.75" x14ac:dyDescent="0.2">
      <c r="A275" s="99">
        <v>40683</v>
      </c>
      <c r="B275" s="100" t="s">
        <v>553</v>
      </c>
      <c r="C275" s="101" t="s">
        <v>137</v>
      </c>
    </row>
    <row r="276" spans="1:3" ht="51" x14ac:dyDescent="0.2">
      <c r="A276" s="102">
        <v>40709</v>
      </c>
      <c r="B276" s="103" t="s">
        <v>556</v>
      </c>
      <c r="C276" s="104" t="s">
        <v>68</v>
      </c>
    </row>
    <row r="277" spans="1:3" ht="38.25" x14ac:dyDescent="0.2">
      <c r="A277" s="102">
        <v>40709</v>
      </c>
      <c r="B277" s="103" t="s">
        <v>557</v>
      </c>
      <c r="C277" s="104" t="s">
        <v>68</v>
      </c>
    </row>
    <row r="278" spans="1:3" ht="25.5" x14ac:dyDescent="0.2">
      <c r="A278" s="102">
        <v>40700</v>
      </c>
      <c r="B278" s="103" t="s">
        <v>555</v>
      </c>
      <c r="C278" s="104" t="s">
        <v>548</v>
      </c>
    </row>
    <row r="279" spans="1:3" ht="51" x14ac:dyDescent="0.2">
      <c r="A279" s="102">
        <v>40779</v>
      </c>
      <c r="B279" s="80" t="s">
        <v>577</v>
      </c>
      <c r="C279" s="90" t="s">
        <v>548</v>
      </c>
    </row>
    <row r="280" spans="1:3" ht="38.25" x14ac:dyDescent="0.2">
      <c r="A280" s="102">
        <v>40785</v>
      </c>
      <c r="B280" s="80" t="s">
        <v>578</v>
      </c>
      <c r="C280" s="90" t="s">
        <v>548</v>
      </c>
    </row>
    <row r="281" spans="1:3" ht="25.5" x14ac:dyDescent="0.2">
      <c r="A281" s="102">
        <v>40785</v>
      </c>
      <c r="B281" s="80" t="s">
        <v>560</v>
      </c>
      <c r="C281" s="90" t="s">
        <v>548</v>
      </c>
    </row>
    <row r="282" spans="1:3" ht="25.5" x14ac:dyDescent="0.2">
      <c r="A282" s="102">
        <v>40785</v>
      </c>
      <c r="B282" s="80" t="s">
        <v>561</v>
      </c>
      <c r="C282" s="90" t="s">
        <v>548</v>
      </c>
    </row>
    <row r="283" spans="1:3" ht="38.25" x14ac:dyDescent="0.2">
      <c r="A283" s="102">
        <v>40785</v>
      </c>
      <c r="B283" s="80" t="s">
        <v>562</v>
      </c>
      <c r="C283" s="90" t="s">
        <v>548</v>
      </c>
    </row>
    <row r="284" spans="1:3" ht="38.25" x14ac:dyDescent="0.2">
      <c r="A284" s="102">
        <v>40788</v>
      </c>
      <c r="B284" s="80" t="s">
        <v>565</v>
      </c>
      <c r="C284" s="90" t="s">
        <v>548</v>
      </c>
    </row>
    <row r="285" spans="1:3" ht="25.5" x14ac:dyDescent="0.2">
      <c r="A285" s="102">
        <v>40788</v>
      </c>
      <c r="B285" s="80" t="s">
        <v>564</v>
      </c>
      <c r="C285" s="90" t="s">
        <v>548</v>
      </c>
    </row>
    <row r="286" spans="1:3" ht="38.25" x14ac:dyDescent="0.2">
      <c r="A286" s="102">
        <v>40788</v>
      </c>
      <c r="B286" s="80" t="s">
        <v>569</v>
      </c>
      <c r="C286" s="90" t="s">
        <v>548</v>
      </c>
    </row>
    <row r="287" spans="1:3" ht="25.5" x14ac:dyDescent="0.2">
      <c r="A287" s="102">
        <v>40799</v>
      </c>
      <c r="B287" s="80" t="s">
        <v>575</v>
      </c>
      <c r="C287" s="90" t="s">
        <v>548</v>
      </c>
    </row>
    <row r="288" spans="1:3" ht="25.5" x14ac:dyDescent="0.2">
      <c r="A288" s="102">
        <v>40799</v>
      </c>
      <c r="B288" s="80" t="s">
        <v>579</v>
      </c>
      <c r="C288" s="90" t="s">
        <v>548</v>
      </c>
    </row>
    <row r="289" spans="1:3" ht="38.25" x14ac:dyDescent="0.2">
      <c r="A289" s="105">
        <v>40851</v>
      </c>
      <c r="B289" s="80" t="s">
        <v>584</v>
      </c>
      <c r="C289" s="90" t="s">
        <v>548</v>
      </c>
    </row>
    <row r="290" spans="1:3" ht="38.25" x14ac:dyDescent="0.2">
      <c r="A290" s="105">
        <v>40862</v>
      </c>
      <c r="B290" s="80" t="s">
        <v>583</v>
      </c>
      <c r="C290" s="90" t="s">
        <v>331</v>
      </c>
    </row>
    <row r="291" spans="1:3" ht="25.5" x14ac:dyDescent="0.2">
      <c r="A291" s="105">
        <v>40862</v>
      </c>
      <c r="B291" s="80" t="s">
        <v>580</v>
      </c>
      <c r="C291" s="90" t="s">
        <v>331</v>
      </c>
    </row>
    <row r="292" spans="1:3" ht="25.5" x14ac:dyDescent="0.2">
      <c r="A292" s="105">
        <v>40862</v>
      </c>
      <c r="B292" s="80" t="s">
        <v>581</v>
      </c>
      <c r="C292" s="90" t="s">
        <v>331</v>
      </c>
    </row>
    <row r="293" spans="1:3" ht="25.5" x14ac:dyDescent="0.2">
      <c r="A293" s="105">
        <v>40862</v>
      </c>
      <c r="B293" s="80" t="s">
        <v>582</v>
      </c>
      <c r="C293" s="90" t="s">
        <v>331</v>
      </c>
    </row>
    <row r="294" spans="1:3" ht="38.25" x14ac:dyDescent="0.2">
      <c r="A294" s="105">
        <v>40862</v>
      </c>
      <c r="B294" s="80" t="s">
        <v>597</v>
      </c>
      <c r="C294" s="90" t="s">
        <v>331</v>
      </c>
    </row>
    <row r="295" spans="1:3" ht="25.5" x14ac:dyDescent="0.2">
      <c r="A295" s="106">
        <v>40862</v>
      </c>
      <c r="B295" s="80" t="s">
        <v>585</v>
      </c>
      <c r="C295" s="7" t="s">
        <v>331</v>
      </c>
    </row>
    <row r="296" spans="1:3" ht="76.5" x14ac:dyDescent="0.2">
      <c r="A296" s="106">
        <v>40865</v>
      </c>
      <c r="B296" s="80" t="s">
        <v>591</v>
      </c>
      <c r="C296" s="90" t="s">
        <v>331</v>
      </c>
    </row>
    <row r="297" spans="1:3" ht="38.25" x14ac:dyDescent="0.2">
      <c r="A297" s="106">
        <v>40865</v>
      </c>
      <c r="B297" s="80" t="s">
        <v>592</v>
      </c>
      <c r="C297" s="90" t="s">
        <v>331</v>
      </c>
    </row>
    <row r="298" spans="1:3" ht="27.75" customHeight="1" x14ac:dyDescent="0.2">
      <c r="A298" s="106">
        <v>40876</v>
      </c>
      <c r="B298" s="80" t="s">
        <v>598</v>
      </c>
      <c r="C298" s="90" t="s">
        <v>331</v>
      </c>
    </row>
    <row r="299" spans="1:3" ht="25.5" x14ac:dyDescent="0.2">
      <c r="A299" s="4">
        <v>40878</v>
      </c>
      <c r="B299" s="80" t="s">
        <v>788</v>
      </c>
      <c r="C299" s="90" t="s">
        <v>68</v>
      </c>
    </row>
    <row r="300" spans="1:3" ht="51" x14ac:dyDescent="0.2">
      <c r="A300" s="4">
        <v>40878</v>
      </c>
      <c r="B300" s="80" t="s">
        <v>665</v>
      </c>
      <c r="C300" s="90" t="s">
        <v>68</v>
      </c>
    </row>
    <row r="301" spans="1:3" ht="25.5" x14ac:dyDescent="0.2">
      <c r="A301" s="4">
        <v>40878</v>
      </c>
      <c r="B301" s="80" t="s">
        <v>620</v>
      </c>
      <c r="C301" s="90" t="s">
        <v>68</v>
      </c>
    </row>
    <row r="302" spans="1:3" ht="63.75" x14ac:dyDescent="0.2">
      <c r="A302" s="4">
        <v>40878</v>
      </c>
      <c r="B302" s="80" t="s">
        <v>789</v>
      </c>
      <c r="C302" s="90" t="s">
        <v>68</v>
      </c>
    </row>
    <row r="303" spans="1:3" ht="63.75" x14ac:dyDescent="0.2">
      <c r="A303" s="4">
        <v>40878</v>
      </c>
      <c r="B303" s="80" t="s">
        <v>790</v>
      </c>
      <c r="C303" s="90" t="s">
        <v>68</v>
      </c>
    </row>
    <row r="304" spans="1:3" ht="38.25" x14ac:dyDescent="0.2">
      <c r="A304" s="4">
        <v>40878</v>
      </c>
      <c r="B304" s="80" t="s">
        <v>615</v>
      </c>
      <c r="C304" s="90" t="s">
        <v>68</v>
      </c>
    </row>
    <row r="305" spans="1:3" ht="51" x14ac:dyDescent="0.2">
      <c r="A305" s="4">
        <v>40878</v>
      </c>
      <c r="B305" s="96" t="s">
        <v>791</v>
      </c>
      <c r="C305" s="90" t="s">
        <v>68</v>
      </c>
    </row>
    <row r="306" spans="1:3" ht="38.25" x14ac:dyDescent="0.2">
      <c r="A306" s="4">
        <v>40878</v>
      </c>
      <c r="B306" s="80" t="s">
        <v>653</v>
      </c>
      <c r="C306" s="90" t="s">
        <v>68</v>
      </c>
    </row>
    <row r="307" spans="1:3" ht="38.25" x14ac:dyDescent="0.2">
      <c r="A307" s="4">
        <v>40878</v>
      </c>
      <c r="B307" s="80" t="s">
        <v>654</v>
      </c>
      <c r="C307" s="90" t="s">
        <v>68</v>
      </c>
    </row>
    <row r="308" spans="1:3" ht="38.25" x14ac:dyDescent="0.2">
      <c r="A308" s="4">
        <v>40878</v>
      </c>
      <c r="B308" s="80" t="s">
        <v>655</v>
      </c>
      <c r="C308" s="90" t="s">
        <v>68</v>
      </c>
    </row>
    <row r="309" spans="1:3" ht="38.25" x14ac:dyDescent="0.2">
      <c r="A309" s="4">
        <v>40878</v>
      </c>
      <c r="B309" s="80" t="s">
        <v>636</v>
      </c>
      <c r="C309" s="90" t="s">
        <v>68</v>
      </c>
    </row>
    <row r="310" spans="1:3" ht="38.25" x14ac:dyDescent="0.2">
      <c r="A310" s="4">
        <v>40878</v>
      </c>
      <c r="B310" s="80" t="s">
        <v>637</v>
      </c>
      <c r="C310" s="90" t="s">
        <v>68</v>
      </c>
    </row>
    <row r="311" spans="1:3" ht="38.25" x14ac:dyDescent="0.2">
      <c r="A311" s="4">
        <v>40878</v>
      </c>
      <c r="B311" s="80" t="s">
        <v>638</v>
      </c>
      <c r="C311" s="90" t="s">
        <v>68</v>
      </c>
    </row>
    <row r="312" spans="1:3" ht="38.25" x14ac:dyDescent="0.2">
      <c r="A312" s="4">
        <v>40878</v>
      </c>
      <c r="B312" s="80" t="s">
        <v>642</v>
      </c>
      <c r="C312" s="90" t="s">
        <v>68</v>
      </c>
    </row>
    <row r="313" spans="1:3" ht="38.25" x14ac:dyDescent="0.2">
      <c r="A313" s="4">
        <v>40878</v>
      </c>
      <c r="B313" s="80" t="s">
        <v>643</v>
      </c>
      <c r="C313" s="90" t="s">
        <v>68</v>
      </c>
    </row>
    <row r="314" spans="1:3" ht="38.25" x14ac:dyDescent="0.2">
      <c r="A314" s="4">
        <v>40878</v>
      </c>
      <c r="B314" s="80" t="s">
        <v>644</v>
      </c>
      <c r="C314" s="90" t="s">
        <v>68</v>
      </c>
    </row>
    <row r="315" spans="1:3" ht="38.25" x14ac:dyDescent="0.2">
      <c r="A315" s="4">
        <v>40878</v>
      </c>
      <c r="B315" s="80" t="s">
        <v>649</v>
      </c>
      <c r="C315" s="90" t="s">
        <v>68</v>
      </c>
    </row>
    <row r="316" spans="1:3" ht="38.25" x14ac:dyDescent="0.2">
      <c r="A316" s="4">
        <v>40878</v>
      </c>
      <c r="B316" s="80" t="s">
        <v>647</v>
      </c>
      <c r="C316" s="90" t="s">
        <v>68</v>
      </c>
    </row>
    <row r="317" spans="1:3" ht="38.25" x14ac:dyDescent="0.2">
      <c r="A317" s="4">
        <v>40878</v>
      </c>
      <c r="B317" s="80" t="s">
        <v>648</v>
      </c>
      <c r="C317" s="90" t="s">
        <v>68</v>
      </c>
    </row>
    <row r="318" spans="1:3" ht="38.25" x14ac:dyDescent="0.2">
      <c r="A318" s="4">
        <v>40878</v>
      </c>
      <c r="B318" s="80" t="s">
        <v>650</v>
      </c>
      <c r="C318" s="90" t="s">
        <v>68</v>
      </c>
    </row>
    <row r="319" spans="1:3" ht="38.25" x14ac:dyDescent="0.2">
      <c r="A319" s="4">
        <v>40878</v>
      </c>
      <c r="B319" s="80" t="s">
        <v>651</v>
      </c>
      <c r="C319" s="90" t="s">
        <v>68</v>
      </c>
    </row>
    <row r="320" spans="1:3" ht="38.25" x14ac:dyDescent="0.2">
      <c r="A320" s="4">
        <v>40878</v>
      </c>
      <c r="B320" s="80" t="s">
        <v>652</v>
      </c>
      <c r="C320" s="90" t="s">
        <v>68</v>
      </c>
    </row>
    <row r="321" spans="1:3" ht="38.25" x14ac:dyDescent="0.2">
      <c r="A321" s="4">
        <v>40878</v>
      </c>
      <c r="B321" s="80" t="s">
        <v>633</v>
      </c>
      <c r="C321" s="90" t="s">
        <v>68</v>
      </c>
    </row>
    <row r="322" spans="1:3" ht="38.25" x14ac:dyDescent="0.2">
      <c r="A322" s="4">
        <v>40878</v>
      </c>
      <c r="B322" s="80" t="s">
        <v>639</v>
      </c>
      <c r="C322" s="90" t="s">
        <v>68</v>
      </c>
    </row>
    <row r="323" spans="1:3" ht="38.25" x14ac:dyDescent="0.2">
      <c r="A323" s="4">
        <v>40878</v>
      </c>
      <c r="B323" s="80" t="s">
        <v>640</v>
      </c>
      <c r="C323" s="90" t="s">
        <v>68</v>
      </c>
    </row>
    <row r="324" spans="1:3" ht="38.25" x14ac:dyDescent="0.2">
      <c r="A324" s="4">
        <v>40878</v>
      </c>
      <c r="B324" s="80" t="s">
        <v>641</v>
      </c>
      <c r="C324" s="90" t="s">
        <v>68</v>
      </c>
    </row>
    <row r="325" spans="1:3" ht="38.25" x14ac:dyDescent="0.2">
      <c r="A325" s="4">
        <v>40878</v>
      </c>
      <c r="B325" s="80" t="s">
        <v>614</v>
      </c>
      <c r="C325" s="90" t="s">
        <v>68</v>
      </c>
    </row>
    <row r="326" spans="1:3" ht="38.25" x14ac:dyDescent="0.2">
      <c r="A326" s="4">
        <v>40878</v>
      </c>
      <c r="B326" s="80" t="s">
        <v>616</v>
      </c>
      <c r="C326" s="90" t="s">
        <v>68</v>
      </c>
    </row>
    <row r="327" spans="1:3" ht="25.5" x14ac:dyDescent="0.2">
      <c r="A327" s="4">
        <v>40878</v>
      </c>
      <c r="B327" s="80" t="s">
        <v>617</v>
      </c>
      <c r="C327" s="90" t="s">
        <v>68</v>
      </c>
    </row>
    <row r="328" spans="1:3" ht="25.5" x14ac:dyDescent="0.2">
      <c r="A328" s="4">
        <v>40878</v>
      </c>
      <c r="B328" s="80" t="s">
        <v>618</v>
      </c>
      <c r="C328" s="90" t="s">
        <v>68</v>
      </c>
    </row>
    <row r="329" spans="1:3" ht="63.75" x14ac:dyDescent="0.2">
      <c r="A329" s="4">
        <v>40878</v>
      </c>
      <c r="B329" s="80" t="s">
        <v>792</v>
      </c>
      <c r="C329" s="90" t="s">
        <v>68</v>
      </c>
    </row>
    <row r="330" spans="1:3" ht="38.25" x14ac:dyDescent="0.2">
      <c r="A330" s="4">
        <v>40878</v>
      </c>
      <c r="B330" s="80" t="s">
        <v>680</v>
      </c>
      <c r="C330" s="90" t="s">
        <v>68</v>
      </c>
    </row>
    <row r="331" spans="1:3" ht="38.25" x14ac:dyDescent="0.2">
      <c r="A331" s="4">
        <v>40878</v>
      </c>
      <c r="B331" s="80" t="s">
        <v>677</v>
      </c>
      <c r="C331" s="90" t="s">
        <v>68</v>
      </c>
    </row>
    <row r="332" spans="1:3" ht="51" x14ac:dyDescent="0.2">
      <c r="A332" s="4">
        <v>40878</v>
      </c>
      <c r="B332" s="96" t="s">
        <v>658</v>
      </c>
      <c r="C332" s="90" t="s">
        <v>68</v>
      </c>
    </row>
    <row r="333" spans="1:3" ht="114.75" x14ac:dyDescent="0.2">
      <c r="A333" s="4">
        <v>40878</v>
      </c>
      <c r="B333" s="96" t="s">
        <v>623</v>
      </c>
      <c r="C333" s="90" t="s">
        <v>68</v>
      </c>
    </row>
    <row r="334" spans="1:3" ht="38.25" x14ac:dyDescent="0.2">
      <c r="A334" s="4">
        <v>40878</v>
      </c>
      <c r="B334" s="96" t="s">
        <v>793</v>
      </c>
      <c r="C334" s="90" t="s">
        <v>68</v>
      </c>
    </row>
    <row r="335" spans="1:3" ht="38.25" x14ac:dyDescent="0.2">
      <c r="A335" s="4">
        <v>40878</v>
      </c>
      <c r="B335" s="96" t="s">
        <v>794</v>
      </c>
      <c r="C335" s="90" t="s">
        <v>68</v>
      </c>
    </row>
    <row r="336" spans="1:3" ht="38.25" x14ac:dyDescent="0.2">
      <c r="A336" s="4">
        <v>40878</v>
      </c>
      <c r="B336" s="80" t="s">
        <v>627</v>
      </c>
      <c r="C336" s="90" t="s">
        <v>68</v>
      </c>
    </row>
    <row r="337" spans="1:3" ht="38.25" x14ac:dyDescent="0.2">
      <c r="A337" s="4">
        <v>40878</v>
      </c>
      <c r="B337" s="80" t="s">
        <v>628</v>
      </c>
      <c r="C337" s="90" t="s">
        <v>68</v>
      </c>
    </row>
    <row r="338" spans="1:3" ht="38.25" x14ac:dyDescent="0.2">
      <c r="A338" s="4">
        <v>40878</v>
      </c>
      <c r="B338" s="80" t="s">
        <v>629</v>
      </c>
      <c r="C338" s="90" t="s">
        <v>68</v>
      </c>
    </row>
    <row r="339" spans="1:3" ht="51" x14ac:dyDescent="0.2">
      <c r="A339" s="4">
        <v>40878</v>
      </c>
      <c r="B339" s="80" t="s">
        <v>630</v>
      </c>
      <c r="C339" s="90" t="s">
        <v>68</v>
      </c>
    </row>
    <row r="340" spans="1:3" ht="26.25" customHeight="1" x14ac:dyDescent="0.2">
      <c r="A340" s="4">
        <v>40878</v>
      </c>
      <c r="B340" s="80" t="s">
        <v>676</v>
      </c>
      <c r="C340" s="90" t="s">
        <v>68</v>
      </c>
    </row>
    <row r="341" spans="1:3" ht="38.25" x14ac:dyDescent="0.2">
      <c r="A341" s="4">
        <v>40878</v>
      </c>
      <c r="B341" s="80" t="s">
        <v>626</v>
      </c>
      <c r="C341" s="90" t="s">
        <v>68</v>
      </c>
    </row>
    <row r="342" spans="1:3" ht="38.25" x14ac:dyDescent="0.2">
      <c r="A342" s="4">
        <v>40878</v>
      </c>
      <c r="B342" s="96" t="s">
        <v>675</v>
      </c>
      <c r="C342" s="90" t="s">
        <v>68</v>
      </c>
    </row>
    <row r="343" spans="1:3" ht="51" x14ac:dyDescent="0.2">
      <c r="A343" s="4">
        <v>40878</v>
      </c>
      <c r="B343" s="80" t="s">
        <v>666</v>
      </c>
      <c r="C343" s="90" t="s">
        <v>68</v>
      </c>
    </row>
    <row r="344" spans="1:3" ht="25.5" x14ac:dyDescent="0.2">
      <c r="A344" s="4">
        <v>40878</v>
      </c>
      <c r="B344" s="80" t="s">
        <v>622</v>
      </c>
      <c r="C344" s="90" t="s">
        <v>68</v>
      </c>
    </row>
    <row r="345" spans="1:3" ht="51" x14ac:dyDescent="0.2">
      <c r="A345" s="4">
        <v>40878</v>
      </c>
      <c r="B345" s="96" t="s">
        <v>657</v>
      </c>
      <c r="C345" s="90" t="s">
        <v>68</v>
      </c>
    </row>
    <row r="346" spans="1:3" ht="38.25" x14ac:dyDescent="0.2">
      <c r="A346" s="4">
        <v>40945</v>
      </c>
      <c r="B346" s="96" t="s">
        <v>679</v>
      </c>
      <c r="C346" s="90" t="s">
        <v>68</v>
      </c>
    </row>
    <row r="347" spans="1:3" ht="63.75" x14ac:dyDescent="0.2">
      <c r="A347" s="4">
        <v>41001</v>
      </c>
      <c r="B347" s="96" t="s">
        <v>683</v>
      </c>
      <c r="C347" s="90" t="s">
        <v>68</v>
      </c>
    </row>
    <row r="348" spans="1:3" ht="38.25" x14ac:dyDescent="0.2">
      <c r="A348" s="4">
        <v>41008</v>
      </c>
      <c r="B348" s="96" t="s">
        <v>682</v>
      </c>
      <c r="C348" s="90" t="s">
        <v>68</v>
      </c>
    </row>
    <row r="349" spans="1:3" ht="39" customHeight="1" x14ac:dyDescent="0.2">
      <c r="A349" s="4">
        <v>41039</v>
      </c>
      <c r="B349" s="96" t="s">
        <v>689</v>
      </c>
      <c r="C349" s="90" t="s">
        <v>68</v>
      </c>
    </row>
    <row r="350" spans="1:3" ht="25.5" x14ac:dyDescent="0.2">
      <c r="A350" s="4">
        <v>41039</v>
      </c>
      <c r="B350" s="96" t="s">
        <v>687</v>
      </c>
      <c r="C350" s="90" t="s">
        <v>68</v>
      </c>
    </row>
    <row r="351" spans="1:3" ht="63.75" x14ac:dyDescent="0.2">
      <c r="A351" s="4">
        <v>41039</v>
      </c>
      <c r="B351" s="96" t="s">
        <v>688</v>
      </c>
      <c r="C351" s="90" t="s">
        <v>68</v>
      </c>
    </row>
    <row r="352" spans="1:3" ht="63.75" x14ac:dyDescent="0.2">
      <c r="A352" s="4">
        <v>41039</v>
      </c>
      <c r="B352" s="84" t="s">
        <v>690</v>
      </c>
      <c r="C352" s="7" t="s">
        <v>68</v>
      </c>
    </row>
    <row r="353" spans="1:3" ht="102" x14ac:dyDescent="0.2">
      <c r="A353" s="4">
        <v>41028</v>
      </c>
      <c r="B353" s="80" t="s">
        <v>685</v>
      </c>
      <c r="C353" s="7" t="s">
        <v>331</v>
      </c>
    </row>
    <row r="354" spans="1:3" ht="51" x14ac:dyDescent="0.2">
      <c r="A354" s="4">
        <v>41072</v>
      </c>
      <c r="B354" s="84" t="s">
        <v>691</v>
      </c>
      <c r="C354" s="7" t="s">
        <v>331</v>
      </c>
    </row>
    <row r="355" spans="1:3" ht="102" x14ac:dyDescent="0.2">
      <c r="A355" s="4">
        <v>41072</v>
      </c>
      <c r="B355" s="80" t="s">
        <v>692</v>
      </c>
      <c r="C355" s="7" t="s">
        <v>331</v>
      </c>
    </row>
    <row r="356" spans="1:3" ht="63.75" x14ac:dyDescent="0.2">
      <c r="A356" s="4">
        <v>41121</v>
      </c>
      <c r="B356" s="80" t="s">
        <v>795</v>
      </c>
      <c r="C356" s="90" t="s">
        <v>331</v>
      </c>
    </row>
    <row r="357" spans="1:3" s="26" customFormat="1" ht="38.25" x14ac:dyDescent="0.2">
      <c r="A357" s="4">
        <v>41141</v>
      </c>
      <c r="B357" s="80" t="s">
        <v>746</v>
      </c>
      <c r="C357" s="7" t="s">
        <v>331</v>
      </c>
    </row>
    <row r="358" spans="1:3" ht="25.5" x14ac:dyDescent="0.2">
      <c r="A358" s="4">
        <v>41128</v>
      </c>
      <c r="B358" s="92" t="s">
        <v>734</v>
      </c>
      <c r="C358" s="90" t="s">
        <v>693</v>
      </c>
    </row>
    <row r="359" spans="1:3" ht="25.5" x14ac:dyDescent="0.2">
      <c r="A359" s="4">
        <v>41128</v>
      </c>
      <c r="B359" s="92" t="s">
        <v>748</v>
      </c>
      <c r="C359" s="90" t="s">
        <v>693</v>
      </c>
    </row>
    <row r="360" spans="1:3" ht="63.75" x14ac:dyDescent="0.2">
      <c r="A360" s="4">
        <v>41141</v>
      </c>
      <c r="B360" s="92" t="s">
        <v>749</v>
      </c>
      <c r="C360" s="90" t="s">
        <v>331</v>
      </c>
    </row>
    <row r="361" spans="1:3" ht="25.5" x14ac:dyDescent="0.2">
      <c r="A361" s="4">
        <v>41124</v>
      </c>
      <c r="B361" s="80" t="s">
        <v>737</v>
      </c>
      <c r="C361" s="7" t="s">
        <v>693</v>
      </c>
    </row>
    <row r="362" spans="1:3" ht="38.25" x14ac:dyDescent="0.2">
      <c r="A362" s="4">
        <v>41128</v>
      </c>
      <c r="B362" s="80" t="s">
        <v>796</v>
      </c>
      <c r="C362" s="7" t="s">
        <v>331</v>
      </c>
    </row>
    <row r="363" spans="1:3" ht="38.25" x14ac:dyDescent="0.2">
      <c r="A363" s="4">
        <v>41128</v>
      </c>
      <c r="B363" s="80" t="s">
        <v>797</v>
      </c>
      <c r="C363" s="7" t="s">
        <v>331</v>
      </c>
    </row>
    <row r="364" spans="1:3" ht="51" x14ac:dyDescent="0.2">
      <c r="A364" s="4">
        <v>41128</v>
      </c>
      <c r="B364" s="80" t="s">
        <v>738</v>
      </c>
      <c r="C364" s="7" t="s">
        <v>331</v>
      </c>
    </row>
    <row r="365" spans="1:3" ht="38.25" x14ac:dyDescent="0.2">
      <c r="A365" s="4">
        <v>41128</v>
      </c>
      <c r="B365" s="80" t="s">
        <v>747</v>
      </c>
      <c r="C365" s="7" t="s">
        <v>331</v>
      </c>
    </row>
    <row r="366" spans="1:3" ht="25.5" x14ac:dyDescent="0.2">
      <c r="A366" s="4">
        <v>41124</v>
      </c>
      <c r="B366" s="80" t="s">
        <v>736</v>
      </c>
      <c r="C366" s="7" t="s">
        <v>693</v>
      </c>
    </row>
    <row r="367" spans="1:3" ht="25.5" x14ac:dyDescent="0.2">
      <c r="A367" s="4">
        <v>41124</v>
      </c>
      <c r="B367" s="80" t="s">
        <v>735</v>
      </c>
      <c r="C367" s="7" t="s">
        <v>693</v>
      </c>
    </row>
    <row r="368" spans="1:3" ht="63.75" x14ac:dyDescent="0.2">
      <c r="A368" s="4">
        <v>41143</v>
      </c>
      <c r="B368" s="80" t="s">
        <v>750</v>
      </c>
      <c r="C368" s="7" t="s">
        <v>331</v>
      </c>
    </row>
    <row r="369" spans="1:3" ht="25.5" x14ac:dyDescent="0.2">
      <c r="A369" s="4">
        <v>41178</v>
      </c>
      <c r="B369" s="80" t="s">
        <v>752</v>
      </c>
      <c r="C369" s="7" t="s">
        <v>331</v>
      </c>
    </row>
    <row r="370" spans="1:3" ht="25.5" x14ac:dyDescent="0.2">
      <c r="A370" s="4">
        <v>41218</v>
      </c>
      <c r="B370" s="80" t="s">
        <v>753</v>
      </c>
      <c r="C370" s="7" t="s">
        <v>331</v>
      </c>
    </row>
    <row r="371" spans="1:3" ht="51" x14ac:dyDescent="0.2">
      <c r="A371" s="4">
        <v>41227</v>
      </c>
      <c r="B371" s="80" t="s">
        <v>754</v>
      </c>
      <c r="C371" s="7" t="s">
        <v>331</v>
      </c>
    </row>
    <row r="372" spans="1:3" ht="25.5" x14ac:dyDescent="0.2">
      <c r="A372" s="91">
        <v>41240</v>
      </c>
      <c r="B372" s="92" t="s">
        <v>886</v>
      </c>
      <c r="C372" s="90" t="s">
        <v>755</v>
      </c>
    </row>
    <row r="373" spans="1:3" ht="51" x14ac:dyDescent="0.2">
      <c r="A373" s="91">
        <v>41240</v>
      </c>
      <c r="B373" s="92" t="s">
        <v>786</v>
      </c>
      <c r="C373" s="90" t="s">
        <v>755</v>
      </c>
    </row>
    <row r="374" spans="1:3" ht="25.5" x14ac:dyDescent="0.2">
      <c r="A374" s="91">
        <v>41260</v>
      </c>
      <c r="B374" s="92" t="s">
        <v>787</v>
      </c>
      <c r="C374" s="90" t="s">
        <v>693</v>
      </c>
    </row>
    <row r="375" spans="1:3" ht="38.25" x14ac:dyDescent="0.2">
      <c r="A375" s="91">
        <v>41240</v>
      </c>
      <c r="B375" s="80" t="s">
        <v>813</v>
      </c>
      <c r="C375" s="90" t="s">
        <v>755</v>
      </c>
    </row>
    <row r="376" spans="1:3" ht="51" x14ac:dyDescent="0.2">
      <c r="A376" s="91">
        <v>41240</v>
      </c>
      <c r="B376" s="80" t="s">
        <v>814</v>
      </c>
      <c r="C376" s="90" t="s">
        <v>755</v>
      </c>
    </row>
    <row r="377" spans="1:3" ht="51" x14ac:dyDescent="0.2">
      <c r="A377" s="91">
        <v>41240</v>
      </c>
      <c r="B377" s="80" t="s">
        <v>849</v>
      </c>
      <c r="C377" s="90" t="s">
        <v>755</v>
      </c>
    </row>
    <row r="378" spans="1:3" ht="38.25" x14ac:dyDescent="0.2">
      <c r="A378" s="91">
        <v>41240</v>
      </c>
      <c r="B378" s="80" t="s">
        <v>768</v>
      </c>
      <c r="C378" s="90" t="s">
        <v>755</v>
      </c>
    </row>
    <row r="379" spans="1:3" ht="51" x14ac:dyDescent="0.2">
      <c r="A379" s="91">
        <v>41240</v>
      </c>
      <c r="B379" s="80" t="s">
        <v>812</v>
      </c>
      <c r="C379" s="90" t="s">
        <v>755</v>
      </c>
    </row>
    <row r="380" spans="1:3" ht="51" x14ac:dyDescent="0.2">
      <c r="A380" s="91">
        <v>41240</v>
      </c>
      <c r="B380" s="80" t="s">
        <v>815</v>
      </c>
      <c r="C380" s="90" t="s">
        <v>755</v>
      </c>
    </row>
    <row r="381" spans="1:3" ht="38.25" x14ac:dyDescent="0.2">
      <c r="A381" s="91">
        <v>41240</v>
      </c>
      <c r="B381" s="80" t="s">
        <v>757</v>
      </c>
      <c r="C381" s="90" t="s">
        <v>755</v>
      </c>
    </row>
    <row r="382" spans="1:3" ht="38.25" x14ac:dyDescent="0.2">
      <c r="A382" s="129">
        <v>41240</v>
      </c>
      <c r="B382" s="130" t="s">
        <v>816</v>
      </c>
      <c r="C382" s="131" t="s">
        <v>755</v>
      </c>
    </row>
    <row r="383" spans="1:3" ht="63.75" x14ac:dyDescent="0.2">
      <c r="A383" s="129">
        <v>41240</v>
      </c>
      <c r="B383" s="130" t="s">
        <v>866</v>
      </c>
      <c r="C383" s="131" t="s">
        <v>755</v>
      </c>
    </row>
    <row r="384" spans="1:3" ht="38.25" x14ac:dyDescent="0.2">
      <c r="A384" s="129">
        <v>41240</v>
      </c>
      <c r="B384" s="130" t="s">
        <v>817</v>
      </c>
      <c r="C384" s="131" t="s">
        <v>755</v>
      </c>
    </row>
    <row r="385" spans="1:3" ht="51" x14ac:dyDescent="0.2">
      <c r="A385" s="91">
        <v>41240</v>
      </c>
      <c r="B385" s="80" t="s">
        <v>818</v>
      </c>
      <c r="C385" s="90" t="s">
        <v>755</v>
      </c>
    </row>
    <row r="386" spans="1:3" ht="63.75" x14ac:dyDescent="0.2">
      <c r="A386" s="91">
        <v>41240</v>
      </c>
      <c r="B386" s="80" t="s">
        <v>862</v>
      </c>
      <c r="C386" s="90" t="s">
        <v>755</v>
      </c>
    </row>
    <row r="387" spans="1:3" ht="63.75" x14ac:dyDescent="0.2">
      <c r="A387" s="91">
        <v>41240</v>
      </c>
      <c r="B387" s="80" t="s">
        <v>863</v>
      </c>
      <c r="C387" s="90" t="s">
        <v>755</v>
      </c>
    </row>
    <row r="388" spans="1:3" ht="76.5" x14ac:dyDescent="0.2">
      <c r="A388" s="91">
        <v>41240</v>
      </c>
      <c r="B388" s="80" t="s">
        <v>864</v>
      </c>
      <c r="C388" s="90" t="s">
        <v>755</v>
      </c>
    </row>
    <row r="389" spans="1:3" ht="38.25" x14ac:dyDescent="0.2">
      <c r="A389" s="91">
        <v>41240</v>
      </c>
      <c r="B389" s="80" t="s">
        <v>850</v>
      </c>
      <c r="C389" s="90" t="s">
        <v>755</v>
      </c>
    </row>
    <row r="390" spans="1:3" ht="51" x14ac:dyDescent="0.2">
      <c r="A390" s="91">
        <v>41240</v>
      </c>
      <c r="B390" s="80" t="s">
        <v>819</v>
      </c>
      <c r="C390" s="90" t="s">
        <v>755</v>
      </c>
    </row>
    <row r="391" spans="1:3" ht="51" x14ac:dyDescent="0.2">
      <c r="A391" s="91">
        <v>41240</v>
      </c>
      <c r="B391" s="80" t="s">
        <v>775</v>
      </c>
      <c r="C391" s="90" t="s">
        <v>755</v>
      </c>
    </row>
    <row r="392" spans="1:3" ht="38.25" x14ac:dyDescent="0.2">
      <c r="A392" s="91">
        <v>41240</v>
      </c>
      <c r="B392" s="80" t="s">
        <v>820</v>
      </c>
      <c r="C392" s="90" t="s">
        <v>755</v>
      </c>
    </row>
    <row r="393" spans="1:3" ht="51" x14ac:dyDescent="0.2">
      <c r="A393" s="91">
        <v>41240</v>
      </c>
      <c r="B393" s="80" t="s">
        <v>769</v>
      </c>
      <c r="C393" s="90" t="s">
        <v>755</v>
      </c>
    </row>
    <row r="394" spans="1:3" ht="51" x14ac:dyDescent="0.2">
      <c r="A394" s="91">
        <v>41240</v>
      </c>
      <c r="B394" s="80" t="s">
        <v>821</v>
      </c>
      <c r="C394" s="90" t="s">
        <v>755</v>
      </c>
    </row>
    <row r="395" spans="1:3" ht="38.25" x14ac:dyDescent="0.2">
      <c r="A395" s="91">
        <v>41240</v>
      </c>
      <c r="B395" s="80" t="s">
        <v>773</v>
      </c>
      <c r="C395" s="90" t="s">
        <v>755</v>
      </c>
    </row>
    <row r="396" spans="1:3" ht="51" x14ac:dyDescent="0.2">
      <c r="A396" s="91">
        <v>41240</v>
      </c>
      <c r="B396" s="80" t="s">
        <v>774</v>
      </c>
      <c r="C396" s="90" t="s">
        <v>755</v>
      </c>
    </row>
    <row r="397" spans="1:3" ht="51" x14ac:dyDescent="0.2">
      <c r="A397" s="91">
        <v>41240</v>
      </c>
      <c r="B397" s="80" t="s">
        <v>822</v>
      </c>
      <c r="C397" s="90" t="s">
        <v>755</v>
      </c>
    </row>
    <row r="398" spans="1:3" ht="38.25" x14ac:dyDescent="0.2">
      <c r="A398" s="91">
        <v>41240</v>
      </c>
      <c r="B398" s="80" t="s">
        <v>823</v>
      </c>
      <c r="C398" s="90" t="s">
        <v>755</v>
      </c>
    </row>
    <row r="399" spans="1:3" ht="51" x14ac:dyDescent="0.2">
      <c r="A399" s="91">
        <v>41240</v>
      </c>
      <c r="B399" s="80" t="s">
        <v>824</v>
      </c>
      <c r="C399" s="90" t="s">
        <v>755</v>
      </c>
    </row>
    <row r="400" spans="1:3" ht="51" x14ac:dyDescent="0.2">
      <c r="A400" s="91">
        <v>41240</v>
      </c>
      <c r="B400" s="80" t="s">
        <v>869</v>
      </c>
      <c r="C400" s="90" t="s">
        <v>755</v>
      </c>
    </row>
    <row r="401" spans="1:3" ht="51" x14ac:dyDescent="0.2">
      <c r="A401" s="91">
        <v>41240</v>
      </c>
      <c r="B401" s="80" t="s">
        <v>770</v>
      </c>
      <c r="C401" s="90" t="s">
        <v>755</v>
      </c>
    </row>
    <row r="402" spans="1:3" ht="38.25" x14ac:dyDescent="0.2">
      <c r="A402" s="129">
        <v>41240</v>
      </c>
      <c r="B402" s="130" t="s">
        <v>825</v>
      </c>
      <c r="C402" s="131" t="s">
        <v>755</v>
      </c>
    </row>
    <row r="403" spans="1:3" ht="38.25" x14ac:dyDescent="0.2">
      <c r="A403" s="129">
        <v>41240</v>
      </c>
      <c r="B403" s="130" t="s">
        <v>826</v>
      </c>
      <c r="C403" s="131" t="s">
        <v>755</v>
      </c>
    </row>
    <row r="404" spans="1:3" ht="38.25" x14ac:dyDescent="0.2">
      <c r="A404" s="129">
        <v>41240</v>
      </c>
      <c r="B404" s="130" t="s">
        <v>827</v>
      </c>
      <c r="C404" s="131" t="s">
        <v>755</v>
      </c>
    </row>
    <row r="405" spans="1:3" ht="38.25" x14ac:dyDescent="0.2">
      <c r="A405" s="91">
        <v>41240</v>
      </c>
      <c r="B405" s="80" t="s">
        <v>758</v>
      </c>
      <c r="C405" s="90" t="s">
        <v>755</v>
      </c>
    </row>
    <row r="406" spans="1:3" ht="51" x14ac:dyDescent="0.2">
      <c r="A406" s="132">
        <v>41240</v>
      </c>
      <c r="B406" s="133" t="s">
        <v>828</v>
      </c>
      <c r="C406" s="134" t="s">
        <v>755</v>
      </c>
    </row>
    <row r="407" spans="1:3" ht="102" x14ac:dyDescent="0.2">
      <c r="A407" s="132">
        <v>41240</v>
      </c>
      <c r="B407" s="133" t="s">
        <v>870</v>
      </c>
      <c r="C407" s="134" t="s">
        <v>755</v>
      </c>
    </row>
    <row r="408" spans="1:3" ht="51" x14ac:dyDescent="0.2">
      <c r="A408" s="132">
        <v>41240</v>
      </c>
      <c r="B408" s="133" t="s">
        <v>871</v>
      </c>
      <c r="C408" s="134" t="s">
        <v>755</v>
      </c>
    </row>
    <row r="409" spans="1:3" ht="51" x14ac:dyDescent="0.2">
      <c r="A409" s="135">
        <v>41310</v>
      </c>
      <c r="B409" s="136" t="s">
        <v>878</v>
      </c>
      <c r="C409" s="137" t="s">
        <v>755</v>
      </c>
    </row>
    <row r="410" spans="1:3" ht="63.75" x14ac:dyDescent="0.2">
      <c r="A410" s="135">
        <v>41240</v>
      </c>
      <c r="B410" s="136" t="s">
        <v>829</v>
      </c>
      <c r="C410" s="137" t="s">
        <v>755</v>
      </c>
    </row>
    <row r="411" spans="1:3" ht="76.5" x14ac:dyDescent="0.2">
      <c r="A411" s="135">
        <v>41240</v>
      </c>
      <c r="B411" s="136" t="s">
        <v>885</v>
      </c>
      <c r="C411" s="137" t="s">
        <v>755</v>
      </c>
    </row>
    <row r="412" spans="1:3" ht="51" x14ac:dyDescent="0.2">
      <c r="A412" s="135">
        <v>41240</v>
      </c>
      <c r="B412" s="133" t="s">
        <v>830</v>
      </c>
      <c r="C412" s="137" t="s">
        <v>755</v>
      </c>
    </row>
    <row r="413" spans="1:3" ht="51" x14ac:dyDescent="0.2">
      <c r="A413" s="135">
        <v>41240</v>
      </c>
      <c r="B413" s="133" t="s">
        <v>831</v>
      </c>
      <c r="C413" s="137" t="s">
        <v>755</v>
      </c>
    </row>
    <row r="414" spans="1:3" ht="51" x14ac:dyDescent="0.2">
      <c r="A414" s="135">
        <v>41240</v>
      </c>
      <c r="B414" s="133" t="s">
        <v>832</v>
      </c>
      <c r="C414" s="137" t="s">
        <v>755</v>
      </c>
    </row>
    <row r="415" spans="1:3" ht="63.75" x14ac:dyDescent="0.2">
      <c r="A415" s="135">
        <v>41240</v>
      </c>
      <c r="B415" s="138" t="s">
        <v>833</v>
      </c>
      <c r="C415" s="137" t="s">
        <v>755</v>
      </c>
    </row>
    <row r="416" spans="1:3" ht="51" x14ac:dyDescent="0.2">
      <c r="A416" s="135">
        <v>41310</v>
      </c>
      <c r="B416" s="138" t="s">
        <v>877</v>
      </c>
      <c r="C416" s="137" t="s">
        <v>755</v>
      </c>
    </row>
    <row r="417" spans="1:5" ht="89.25" x14ac:dyDescent="0.2">
      <c r="A417" s="135">
        <v>41240</v>
      </c>
      <c r="B417" s="138" t="s">
        <v>834</v>
      </c>
      <c r="C417" s="137" t="s">
        <v>755</v>
      </c>
    </row>
    <row r="418" spans="1:5" ht="63.75" x14ac:dyDescent="0.2">
      <c r="A418" s="135">
        <v>41240</v>
      </c>
      <c r="B418" s="138" t="s">
        <v>835</v>
      </c>
      <c r="C418" s="137" t="s">
        <v>755</v>
      </c>
    </row>
    <row r="419" spans="1:5" s="26" customFormat="1" ht="25.5" x14ac:dyDescent="0.2">
      <c r="A419" s="91">
        <v>41240</v>
      </c>
      <c r="B419" s="80" t="s">
        <v>771</v>
      </c>
      <c r="C419" s="90" t="s">
        <v>755</v>
      </c>
    </row>
    <row r="420" spans="1:5" s="26" customFormat="1" ht="51" x14ac:dyDescent="0.2">
      <c r="A420" s="91">
        <v>41240</v>
      </c>
      <c r="B420" s="80" t="s">
        <v>772</v>
      </c>
      <c r="C420" s="90" t="s">
        <v>755</v>
      </c>
    </row>
    <row r="421" spans="1:5" ht="25.5" x14ac:dyDescent="0.2">
      <c r="A421" s="91">
        <v>41240</v>
      </c>
      <c r="B421" s="80" t="s">
        <v>759</v>
      </c>
      <c r="C421" s="90" t="s">
        <v>755</v>
      </c>
    </row>
    <row r="422" spans="1:5" ht="76.5" x14ac:dyDescent="0.2">
      <c r="A422" s="91">
        <v>41240</v>
      </c>
      <c r="B422" s="80" t="s">
        <v>856</v>
      </c>
      <c r="C422" s="90" t="s">
        <v>755</v>
      </c>
      <c r="E422" s="109"/>
    </row>
    <row r="423" spans="1:5" ht="63.75" x14ac:dyDescent="0.2">
      <c r="A423" s="91">
        <v>41240</v>
      </c>
      <c r="B423" s="80" t="s">
        <v>857</v>
      </c>
      <c r="C423" s="90" t="s">
        <v>755</v>
      </c>
    </row>
    <row r="424" spans="1:5" ht="76.5" x14ac:dyDescent="0.2">
      <c r="A424" s="91">
        <v>41240</v>
      </c>
      <c r="B424" s="80" t="s">
        <v>858</v>
      </c>
      <c r="C424" s="90" t="s">
        <v>755</v>
      </c>
    </row>
    <row r="425" spans="1:5" ht="38.25" x14ac:dyDescent="0.2">
      <c r="A425" s="91">
        <v>41240</v>
      </c>
      <c r="B425" s="80" t="s">
        <v>760</v>
      </c>
      <c r="C425" s="90" t="s">
        <v>755</v>
      </c>
    </row>
    <row r="426" spans="1:5" ht="51" x14ac:dyDescent="0.2">
      <c r="A426" s="91">
        <v>41240</v>
      </c>
      <c r="B426" s="80" t="s">
        <v>836</v>
      </c>
      <c r="C426" s="90" t="s">
        <v>755</v>
      </c>
    </row>
    <row r="427" spans="1:5" ht="38.25" x14ac:dyDescent="0.2">
      <c r="A427" s="129">
        <v>41240</v>
      </c>
      <c r="B427" s="130" t="s">
        <v>837</v>
      </c>
      <c r="C427" s="131" t="s">
        <v>755</v>
      </c>
    </row>
    <row r="428" spans="1:5" ht="63.75" x14ac:dyDescent="0.2">
      <c r="A428" s="129">
        <v>41240</v>
      </c>
      <c r="B428" s="130" t="s">
        <v>860</v>
      </c>
      <c r="C428" s="131" t="s">
        <v>755</v>
      </c>
    </row>
    <row r="429" spans="1:5" ht="63.75" x14ac:dyDescent="0.2">
      <c r="A429" s="129">
        <v>41240</v>
      </c>
      <c r="B429" s="130" t="s">
        <v>859</v>
      </c>
      <c r="C429" s="131" t="s">
        <v>755</v>
      </c>
    </row>
    <row r="430" spans="1:5" ht="63.75" x14ac:dyDescent="0.2">
      <c r="A430" s="129">
        <v>41240</v>
      </c>
      <c r="B430" s="130" t="s">
        <v>861</v>
      </c>
      <c r="C430" s="131" t="s">
        <v>755</v>
      </c>
    </row>
    <row r="431" spans="1:5" ht="38.25" x14ac:dyDescent="0.2">
      <c r="A431" s="129">
        <v>41240</v>
      </c>
      <c r="B431" s="130" t="s">
        <v>838</v>
      </c>
      <c r="C431" s="131" t="s">
        <v>755</v>
      </c>
    </row>
    <row r="432" spans="1:5" ht="63.75" x14ac:dyDescent="0.2">
      <c r="A432" s="91">
        <v>41240</v>
      </c>
      <c r="B432" s="80" t="s">
        <v>851</v>
      </c>
      <c r="C432" s="90" t="s">
        <v>755</v>
      </c>
    </row>
    <row r="433" spans="1:3" ht="38.25" x14ac:dyDescent="0.2">
      <c r="A433" s="91">
        <v>41240</v>
      </c>
      <c r="B433" s="80" t="s">
        <v>761</v>
      </c>
      <c r="C433" s="90" t="s">
        <v>755</v>
      </c>
    </row>
    <row r="434" spans="1:3" ht="63.75" x14ac:dyDescent="0.2">
      <c r="A434" s="91">
        <v>41240</v>
      </c>
      <c r="B434" s="80" t="s">
        <v>865</v>
      </c>
      <c r="C434" s="90" t="s">
        <v>755</v>
      </c>
    </row>
    <row r="435" spans="1:3" ht="63.75" x14ac:dyDescent="0.2">
      <c r="A435" s="91">
        <v>41240</v>
      </c>
      <c r="B435" s="80" t="s">
        <v>839</v>
      </c>
      <c r="C435" s="90" t="s">
        <v>755</v>
      </c>
    </row>
    <row r="436" spans="1:3" ht="63.75" x14ac:dyDescent="0.2">
      <c r="A436" s="91">
        <v>41240</v>
      </c>
      <c r="B436" s="130" t="s">
        <v>840</v>
      </c>
      <c r="C436" s="90" t="s">
        <v>755</v>
      </c>
    </row>
    <row r="437" spans="1:3" ht="38.25" x14ac:dyDescent="0.2">
      <c r="A437" s="91">
        <v>41240</v>
      </c>
      <c r="B437" s="80" t="s">
        <v>880</v>
      </c>
      <c r="C437" s="90" t="s">
        <v>755</v>
      </c>
    </row>
    <row r="438" spans="1:3" ht="51" x14ac:dyDescent="0.2">
      <c r="A438" s="91">
        <v>41240</v>
      </c>
      <c r="B438" s="80" t="s">
        <v>810</v>
      </c>
      <c r="C438" s="90" t="s">
        <v>755</v>
      </c>
    </row>
    <row r="439" spans="1:3" ht="89.25" x14ac:dyDescent="0.2">
      <c r="A439" s="91">
        <v>41310</v>
      </c>
      <c r="B439" s="80" t="s">
        <v>884</v>
      </c>
      <c r="C439" s="90" t="s">
        <v>755</v>
      </c>
    </row>
    <row r="440" spans="1:3" ht="38.25" x14ac:dyDescent="0.2">
      <c r="A440" s="91">
        <v>41240</v>
      </c>
      <c r="B440" s="80" t="s">
        <v>881</v>
      </c>
      <c r="C440" s="90" t="s">
        <v>755</v>
      </c>
    </row>
    <row r="441" spans="1:3" ht="51" x14ac:dyDescent="0.2">
      <c r="A441" s="91">
        <v>41240</v>
      </c>
      <c r="B441" s="80" t="s">
        <v>808</v>
      </c>
      <c r="C441" s="90" t="s">
        <v>755</v>
      </c>
    </row>
    <row r="442" spans="1:3" ht="38.25" x14ac:dyDescent="0.2">
      <c r="A442" s="91">
        <v>41240</v>
      </c>
      <c r="B442" s="80" t="s">
        <v>882</v>
      </c>
      <c r="C442" s="90" t="s">
        <v>755</v>
      </c>
    </row>
    <row r="443" spans="1:3" ht="51" x14ac:dyDescent="0.2">
      <c r="A443" s="91">
        <v>41240</v>
      </c>
      <c r="B443" s="80" t="s">
        <v>809</v>
      </c>
      <c r="C443" s="90" t="s">
        <v>755</v>
      </c>
    </row>
    <row r="444" spans="1:3" ht="89.25" x14ac:dyDescent="0.2">
      <c r="A444" s="91">
        <v>41310</v>
      </c>
      <c r="B444" s="80" t="s">
        <v>883</v>
      </c>
      <c r="C444" s="90" t="s">
        <v>755</v>
      </c>
    </row>
    <row r="445" spans="1:3" ht="38.25" x14ac:dyDescent="0.2">
      <c r="A445" s="91">
        <v>41240</v>
      </c>
      <c r="B445" s="80" t="s">
        <v>762</v>
      </c>
      <c r="C445" s="90" t="s">
        <v>755</v>
      </c>
    </row>
    <row r="446" spans="1:3" ht="25.5" x14ac:dyDescent="0.2">
      <c r="A446" s="91">
        <v>41240</v>
      </c>
      <c r="B446" s="80" t="s">
        <v>763</v>
      </c>
      <c r="C446" s="90" t="s">
        <v>755</v>
      </c>
    </row>
    <row r="447" spans="1:3" ht="25.5" x14ac:dyDescent="0.2">
      <c r="A447" s="91">
        <v>41240</v>
      </c>
      <c r="B447" s="80" t="s">
        <v>764</v>
      </c>
      <c r="C447" s="90" t="s">
        <v>755</v>
      </c>
    </row>
    <row r="448" spans="1:3" ht="38.25" x14ac:dyDescent="0.2">
      <c r="A448" s="91">
        <v>41240</v>
      </c>
      <c r="B448" s="130" t="s">
        <v>873</v>
      </c>
      <c r="C448" s="90" t="s">
        <v>755</v>
      </c>
    </row>
    <row r="449" spans="1:3" ht="38.25" x14ac:dyDescent="0.2">
      <c r="A449" s="91">
        <v>41240</v>
      </c>
      <c r="B449" s="130" t="s">
        <v>872</v>
      </c>
      <c r="C449" s="90" t="s">
        <v>755</v>
      </c>
    </row>
    <row r="450" spans="1:3" ht="38.25" x14ac:dyDescent="0.2">
      <c r="A450" s="91">
        <v>41240</v>
      </c>
      <c r="B450" s="130" t="s">
        <v>841</v>
      </c>
      <c r="C450" s="90" t="s">
        <v>755</v>
      </c>
    </row>
    <row r="451" spans="1:3" ht="38.25" x14ac:dyDescent="0.2">
      <c r="A451" s="91">
        <v>41240</v>
      </c>
      <c r="B451" s="80" t="s">
        <v>765</v>
      </c>
      <c r="C451" s="90" t="s">
        <v>755</v>
      </c>
    </row>
    <row r="452" spans="1:3" ht="51" x14ac:dyDescent="0.2">
      <c r="A452" s="91">
        <v>41240</v>
      </c>
      <c r="B452" s="80" t="s">
        <v>842</v>
      </c>
      <c r="C452" s="90" t="s">
        <v>755</v>
      </c>
    </row>
    <row r="453" spans="1:3" ht="51" x14ac:dyDescent="0.2">
      <c r="A453" s="91">
        <v>41240</v>
      </c>
      <c r="B453" s="80" t="s">
        <v>852</v>
      </c>
      <c r="C453" s="90" t="s">
        <v>755</v>
      </c>
    </row>
    <row r="454" spans="1:3" ht="38.25" x14ac:dyDescent="0.2">
      <c r="A454" s="91">
        <v>41240</v>
      </c>
      <c r="B454" s="80" t="s">
        <v>766</v>
      </c>
      <c r="C454" s="90" t="s">
        <v>755</v>
      </c>
    </row>
    <row r="455" spans="1:3" ht="76.5" x14ac:dyDescent="0.2">
      <c r="A455" s="91">
        <v>41240</v>
      </c>
      <c r="B455" s="139" t="s">
        <v>867</v>
      </c>
      <c r="C455" s="90" t="s">
        <v>755</v>
      </c>
    </row>
    <row r="456" spans="1:3" ht="25.5" x14ac:dyDescent="0.2">
      <c r="A456" s="91">
        <v>41240</v>
      </c>
      <c r="B456" s="140" t="s">
        <v>802</v>
      </c>
      <c r="C456" s="90" t="s">
        <v>755</v>
      </c>
    </row>
    <row r="457" spans="1:3" ht="25.5" x14ac:dyDescent="0.2">
      <c r="A457" s="91">
        <v>41240</v>
      </c>
      <c r="B457" s="140" t="s">
        <v>801</v>
      </c>
      <c r="C457" s="90" t="s">
        <v>755</v>
      </c>
    </row>
    <row r="458" spans="1:3" ht="25.5" x14ac:dyDescent="0.2">
      <c r="A458" s="91">
        <v>41240</v>
      </c>
      <c r="B458" s="140" t="s">
        <v>803</v>
      </c>
      <c r="C458" s="90" t="s">
        <v>755</v>
      </c>
    </row>
    <row r="459" spans="1:3" ht="51" x14ac:dyDescent="0.2">
      <c r="A459" s="91">
        <v>41240</v>
      </c>
      <c r="B459" s="141" t="s">
        <v>853</v>
      </c>
      <c r="C459" s="90" t="s">
        <v>755</v>
      </c>
    </row>
    <row r="460" spans="1:3" ht="63.75" x14ac:dyDescent="0.2">
      <c r="A460" s="91">
        <v>41240</v>
      </c>
      <c r="B460" s="141" t="s">
        <v>854</v>
      </c>
      <c r="C460" s="90" t="s">
        <v>755</v>
      </c>
    </row>
    <row r="461" spans="1:3" ht="63.75" x14ac:dyDescent="0.2">
      <c r="A461" s="91">
        <v>41240</v>
      </c>
      <c r="B461" s="141" t="s">
        <v>855</v>
      </c>
      <c r="C461" s="90" t="s">
        <v>755</v>
      </c>
    </row>
    <row r="462" spans="1:3" ht="38.25" x14ac:dyDescent="0.2">
      <c r="A462" s="91">
        <v>41240</v>
      </c>
      <c r="B462" s="80" t="s">
        <v>779</v>
      </c>
      <c r="C462" s="90" t="s">
        <v>755</v>
      </c>
    </row>
    <row r="463" spans="1:3" ht="51" x14ac:dyDescent="0.2">
      <c r="A463" s="91">
        <v>41240</v>
      </c>
      <c r="B463" s="80" t="s">
        <v>843</v>
      </c>
      <c r="C463" s="90" t="s">
        <v>755</v>
      </c>
    </row>
    <row r="464" spans="1:3" ht="25.5" x14ac:dyDescent="0.2">
      <c r="A464" s="91">
        <v>41240</v>
      </c>
      <c r="B464" s="80" t="s">
        <v>756</v>
      </c>
      <c r="C464" s="90" t="s">
        <v>755</v>
      </c>
    </row>
    <row r="465" spans="1:3" ht="51" x14ac:dyDescent="0.2">
      <c r="A465" s="91">
        <v>41240</v>
      </c>
      <c r="B465" s="80" t="s">
        <v>844</v>
      </c>
      <c r="C465" s="90" t="s">
        <v>755</v>
      </c>
    </row>
    <row r="466" spans="1:3" ht="25.5" x14ac:dyDescent="0.2">
      <c r="A466" s="91">
        <v>41240</v>
      </c>
      <c r="B466" s="80" t="s">
        <v>887</v>
      </c>
      <c r="C466" s="90" t="s">
        <v>755</v>
      </c>
    </row>
    <row r="467" spans="1:3" ht="51" x14ac:dyDescent="0.2">
      <c r="A467" s="142">
        <v>41240</v>
      </c>
      <c r="B467" s="143" t="s">
        <v>845</v>
      </c>
      <c r="C467" s="144" t="s">
        <v>755</v>
      </c>
    </row>
    <row r="468" spans="1:3" ht="51" x14ac:dyDescent="0.2">
      <c r="A468" s="91">
        <v>41240</v>
      </c>
      <c r="B468" s="92" t="s">
        <v>846</v>
      </c>
      <c r="C468" s="90" t="s">
        <v>755</v>
      </c>
    </row>
    <row r="469" spans="1:3" ht="38.25" x14ac:dyDescent="0.2">
      <c r="A469" s="91">
        <v>41240</v>
      </c>
      <c r="B469" s="80" t="s">
        <v>888</v>
      </c>
      <c r="C469" s="90" t="s">
        <v>755</v>
      </c>
    </row>
    <row r="470" spans="1:3" ht="63.75" x14ac:dyDescent="0.2">
      <c r="A470" s="91">
        <v>41240</v>
      </c>
      <c r="B470" s="80" t="s">
        <v>847</v>
      </c>
      <c r="C470" s="90" t="s">
        <v>755</v>
      </c>
    </row>
    <row r="471" spans="1:3" s="26" customFormat="1" ht="25.5" x14ac:dyDescent="0.2">
      <c r="A471" s="142">
        <v>41240</v>
      </c>
      <c r="B471" s="80" t="s">
        <v>780</v>
      </c>
      <c r="C471" s="144" t="s">
        <v>755</v>
      </c>
    </row>
    <row r="472" spans="1:3" s="26" customFormat="1" ht="38.25" x14ac:dyDescent="0.2">
      <c r="A472" s="142">
        <v>41240</v>
      </c>
      <c r="B472" s="80" t="s">
        <v>781</v>
      </c>
      <c r="C472" s="144" t="s">
        <v>755</v>
      </c>
    </row>
    <row r="473" spans="1:3" s="26" customFormat="1" ht="38.25" x14ac:dyDescent="0.2">
      <c r="A473" s="142">
        <v>41240</v>
      </c>
      <c r="B473" s="80" t="s">
        <v>782</v>
      </c>
      <c r="C473" s="144" t="s">
        <v>755</v>
      </c>
    </row>
    <row r="474" spans="1:3" s="26" customFormat="1" ht="38.25" x14ac:dyDescent="0.2">
      <c r="A474" s="142">
        <v>41240</v>
      </c>
      <c r="B474" s="80" t="s">
        <v>783</v>
      </c>
      <c r="C474" s="144" t="s">
        <v>755</v>
      </c>
    </row>
    <row r="475" spans="1:3" s="26" customFormat="1" ht="63.75" x14ac:dyDescent="0.2">
      <c r="A475" s="142">
        <v>41240</v>
      </c>
      <c r="B475" s="80" t="s">
        <v>804</v>
      </c>
      <c r="C475" s="144" t="s">
        <v>755</v>
      </c>
    </row>
    <row r="476" spans="1:3" s="26" customFormat="1" ht="63.75" x14ac:dyDescent="0.2">
      <c r="A476" s="142">
        <v>41240</v>
      </c>
      <c r="B476" s="80" t="s">
        <v>805</v>
      </c>
      <c r="C476" s="144" t="s">
        <v>755</v>
      </c>
    </row>
    <row r="477" spans="1:3" s="26" customFormat="1" ht="51" x14ac:dyDescent="0.2">
      <c r="A477" s="142">
        <v>41240</v>
      </c>
      <c r="B477" s="143" t="s">
        <v>806</v>
      </c>
      <c r="C477" s="144" t="s">
        <v>755</v>
      </c>
    </row>
    <row r="478" spans="1:3" s="26" customFormat="1" ht="38.25" x14ac:dyDescent="0.2">
      <c r="A478" s="142">
        <v>41240</v>
      </c>
      <c r="B478" s="143" t="s">
        <v>874</v>
      </c>
      <c r="C478" s="144" t="s">
        <v>755</v>
      </c>
    </row>
    <row r="479" spans="1:3" s="26" customFormat="1" ht="38.25" x14ac:dyDescent="0.2">
      <c r="A479" s="142">
        <v>41240</v>
      </c>
      <c r="B479" s="143" t="s">
        <v>784</v>
      </c>
      <c r="C479" s="144" t="s">
        <v>755</v>
      </c>
    </row>
    <row r="480" spans="1:3" s="107" customFormat="1" ht="51" x14ac:dyDescent="0.2">
      <c r="A480" s="142">
        <v>41241</v>
      </c>
      <c r="B480" s="145" t="s">
        <v>848</v>
      </c>
      <c r="C480" s="144" t="s">
        <v>755</v>
      </c>
    </row>
    <row r="481" spans="1:3" s="107" customFormat="1" ht="38.25" x14ac:dyDescent="0.2">
      <c r="A481" s="91">
        <v>41240</v>
      </c>
      <c r="B481" s="80" t="s">
        <v>767</v>
      </c>
      <c r="C481" s="90" t="s">
        <v>755</v>
      </c>
    </row>
    <row r="482" spans="1:3" s="107" customFormat="1" ht="38.25" x14ac:dyDescent="0.2">
      <c r="A482" s="91">
        <v>41240</v>
      </c>
      <c r="B482" s="136" t="s">
        <v>785</v>
      </c>
      <c r="C482" s="90" t="s">
        <v>755</v>
      </c>
    </row>
    <row r="483" spans="1:3" ht="76.5" x14ac:dyDescent="0.2">
      <c r="A483" s="91">
        <v>41240</v>
      </c>
      <c r="B483" s="136" t="s">
        <v>868</v>
      </c>
      <c r="C483" s="90" t="s">
        <v>755</v>
      </c>
    </row>
    <row r="484" spans="1:3" ht="25.5" x14ac:dyDescent="0.2">
      <c r="A484" s="91">
        <v>41240</v>
      </c>
      <c r="B484" s="80" t="s">
        <v>875</v>
      </c>
      <c r="C484" s="90" t="s">
        <v>755</v>
      </c>
    </row>
    <row r="485" spans="1:3" ht="25.5" x14ac:dyDescent="0.2">
      <c r="A485" s="91">
        <v>41240</v>
      </c>
      <c r="B485" s="80" t="s">
        <v>876</v>
      </c>
      <c r="C485" s="90" t="s">
        <v>755</v>
      </c>
    </row>
    <row r="486" spans="1:3" ht="25.5" x14ac:dyDescent="0.2">
      <c r="A486" s="4">
        <v>41333</v>
      </c>
      <c r="B486" s="80" t="s">
        <v>889</v>
      </c>
      <c r="C486" s="90" t="s">
        <v>693</v>
      </c>
    </row>
    <row r="487" spans="1:3" ht="51" x14ac:dyDescent="0.2">
      <c r="A487" s="4">
        <v>41365</v>
      </c>
      <c r="B487" s="92" t="s">
        <v>890</v>
      </c>
      <c r="C487" s="90" t="s">
        <v>755</v>
      </c>
    </row>
    <row r="488" spans="1:3" ht="51" x14ac:dyDescent="0.2">
      <c r="A488" s="4">
        <v>41365</v>
      </c>
      <c r="B488" s="92" t="s">
        <v>893</v>
      </c>
      <c r="C488" s="90" t="s">
        <v>755</v>
      </c>
    </row>
    <row r="489" spans="1:3" ht="51" x14ac:dyDescent="0.2">
      <c r="A489" s="4">
        <v>41365</v>
      </c>
      <c r="B489" s="92" t="s">
        <v>892</v>
      </c>
      <c r="C489" s="90" t="s">
        <v>755</v>
      </c>
    </row>
    <row r="490" spans="1:3" ht="51" x14ac:dyDescent="0.2">
      <c r="A490" s="4">
        <v>41366</v>
      </c>
      <c r="B490" s="92" t="s">
        <v>891</v>
      </c>
      <c r="C490" s="90" t="s">
        <v>755</v>
      </c>
    </row>
    <row r="491" spans="1:3" ht="51" x14ac:dyDescent="0.2">
      <c r="A491" s="4">
        <v>41386</v>
      </c>
      <c r="B491" s="80" t="s">
        <v>966</v>
      </c>
      <c r="C491" s="90" t="s">
        <v>755</v>
      </c>
    </row>
    <row r="492" spans="1:3" ht="51" x14ac:dyDescent="0.2">
      <c r="A492" s="4">
        <v>41390</v>
      </c>
      <c r="B492" s="96" t="s">
        <v>945</v>
      </c>
      <c r="C492" s="90" t="s">
        <v>755</v>
      </c>
    </row>
    <row r="493" spans="1:3" x14ac:dyDescent="0.2">
      <c r="A493" s="91">
        <v>41372</v>
      </c>
      <c r="B493" s="146" t="s">
        <v>938</v>
      </c>
      <c r="C493" s="90" t="s">
        <v>693</v>
      </c>
    </row>
    <row r="494" spans="1:3" ht="25.5" x14ac:dyDescent="0.2">
      <c r="A494" s="91">
        <v>41372</v>
      </c>
      <c r="B494" s="146" t="s">
        <v>939</v>
      </c>
      <c r="C494" s="90" t="s">
        <v>693</v>
      </c>
    </row>
    <row r="495" spans="1:3" ht="51" x14ac:dyDescent="0.2">
      <c r="A495" s="91">
        <v>41372</v>
      </c>
      <c r="B495" s="147" t="s">
        <v>957</v>
      </c>
      <c r="C495" s="90" t="s">
        <v>693</v>
      </c>
    </row>
    <row r="496" spans="1:3" ht="38.25" x14ac:dyDescent="0.2">
      <c r="A496" s="91">
        <v>41372</v>
      </c>
      <c r="B496" s="147" t="s">
        <v>940</v>
      </c>
      <c r="C496" s="90" t="s">
        <v>693</v>
      </c>
    </row>
    <row r="497" spans="1:3" ht="89.25" x14ac:dyDescent="0.2">
      <c r="A497" s="91">
        <v>41372</v>
      </c>
      <c r="B497" s="147" t="s">
        <v>941</v>
      </c>
      <c r="C497" s="90" t="s">
        <v>693</v>
      </c>
    </row>
    <row r="498" spans="1:3" ht="63.75" x14ac:dyDescent="0.2">
      <c r="A498" s="91">
        <v>41372</v>
      </c>
      <c r="B498" s="147" t="s">
        <v>942</v>
      </c>
      <c r="C498" s="90" t="s">
        <v>693</v>
      </c>
    </row>
    <row r="499" spans="1:3" ht="63.75" x14ac:dyDescent="0.2">
      <c r="A499" s="91">
        <v>41372</v>
      </c>
      <c r="B499" s="147" t="s">
        <v>943</v>
      </c>
      <c r="C499" s="90" t="s">
        <v>693</v>
      </c>
    </row>
    <row r="500" spans="1:3" ht="25.5" x14ac:dyDescent="0.2">
      <c r="A500" s="91">
        <v>41372</v>
      </c>
      <c r="B500" s="147" t="s">
        <v>944</v>
      </c>
      <c r="C500" s="90" t="s">
        <v>693</v>
      </c>
    </row>
    <row r="501" spans="1:3" ht="25.5" x14ac:dyDescent="0.2">
      <c r="A501" s="91">
        <v>41380</v>
      </c>
      <c r="B501" s="148" t="s">
        <v>948</v>
      </c>
      <c r="C501" s="90" t="s">
        <v>693</v>
      </c>
    </row>
    <row r="502" spans="1:3" ht="51" x14ac:dyDescent="0.2">
      <c r="A502" s="91">
        <v>41400</v>
      </c>
      <c r="B502" s="148" t="s">
        <v>949</v>
      </c>
      <c r="C502" s="90" t="s">
        <v>693</v>
      </c>
    </row>
    <row r="503" spans="1:3" ht="25.5" x14ac:dyDescent="0.2">
      <c r="A503" s="91">
        <v>41380</v>
      </c>
      <c r="B503" s="93" t="s">
        <v>932</v>
      </c>
      <c r="C503" s="90" t="s">
        <v>693</v>
      </c>
    </row>
    <row r="504" spans="1:3" ht="38.25" x14ac:dyDescent="0.2">
      <c r="A504" s="4">
        <v>41424</v>
      </c>
      <c r="B504" s="149" t="s">
        <v>955</v>
      </c>
      <c r="C504" s="90" t="s">
        <v>693</v>
      </c>
    </row>
    <row r="505" spans="1:3" ht="76.5" x14ac:dyDescent="0.2">
      <c r="A505" s="4">
        <v>41424</v>
      </c>
      <c r="B505" s="149" t="s">
        <v>956</v>
      </c>
      <c r="C505" s="90" t="s">
        <v>693</v>
      </c>
    </row>
    <row r="506" spans="1:3" ht="63.75" x14ac:dyDescent="0.2">
      <c r="A506" s="4">
        <v>41466</v>
      </c>
      <c r="B506" s="92" t="s">
        <v>958</v>
      </c>
      <c r="C506" s="90" t="s">
        <v>693</v>
      </c>
    </row>
    <row r="507" spans="1:3" x14ac:dyDescent="0.2">
      <c r="A507" s="150">
        <v>41487</v>
      </c>
      <c r="B507" s="151" t="s">
        <v>963</v>
      </c>
      <c r="C507" s="152" t="s">
        <v>693</v>
      </c>
    </row>
    <row r="508" spans="1:3" ht="51" x14ac:dyDescent="0.2">
      <c r="A508" s="150">
        <v>41487</v>
      </c>
      <c r="B508" s="153" t="s">
        <v>979</v>
      </c>
      <c r="C508" s="152" t="s">
        <v>693</v>
      </c>
    </row>
    <row r="509" spans="1:3" ht="38.25" x14ac:dyDescent="0.2">
      <c r="A509" s="150">
        <v>41487</v>
      </c>
      <c r="B509" s="154" t="s">
        <v>964</v>
      </c>
      <c r="C509" s="152" t="s">
        <v>693</v>
      </c>
    </row>
    <row r="510" spans="1:3" ht="38.25" x14ac:dyDescent="0.2">
      <c r="A510" s="150">
        <v>41487</v>
      </c>
      <c r="B510" s="155" t="s">
        <v>965</v>
      </c>
      <c r="C510" s="152" t="s">
        <v>693</v>
      </c>
    </row>
    <row r="511" spans="1:3" ht="51" x14ac:dyDescent="0.2">
      <c r="A511" s="91">
        <v>41288</v>
      </c>
      <c r="B511" s="167" t="s">
        <v>987</v>
      </c>
      <c r="C511" s="90" t="s">
        <v>693</v>
      </c>
    </row>
    <row r="512" spans="1:3" ht="51" x14ac:dyDescent="0.2">
      <c r="A512" s="165">
        <v>41576</v>
      </c>
      <c r="B512" s="160" t="s">
        <v>970</v>
      </c>
      <c r="C512" s="158" t="s">
        <v>693</v>
      </c>
    </row>
    <row r="513" spans="1:3" ht="38.25" x14ac:dyDescent="0.2">
      <c r="A513" s="165">
        <v>41576</v>
      </c>
      <c r="B513" s="160" t="s">
        <v>971</v>
      </c>
      <c r="C513" s="158" t="s">
        <v>693</v>
      </c>
    </row>
    <row r="514" spans="1:3" ht="38.25" x14ac:dyDescent="0.2">
      <c r="A514" s="165">
        <v>41593</v>
      </c>
      <c r="B514" s="163" t="s">
        <v>982</v>
      </c>
      <c r="C514" s="158" t="s">
        <v>693</v>
      </c>
    </row>
    <row r="515" spans="1:3" ht="38.25" x14ac:dyDescent="0.2">
      <c r="A515" s="165">
        <v>41593</v>
      </c>
      <c r="B515" s="163" t="s">
        <v>983</v>
      </c>
      <c r="C515" s="158" t="s">
        <v>693</v>
      </c>
    </row>
    <row r="516" spans="1:3" ht="38.25" x14ac:dyDescent="0.2">
      <c r="A516" s="165">
        <v>41593</v>
      </c>
      <c r="B516" s="164" t="s">
        <v>984</v>
      </c>
      <c r="C516" s="158" t="s">
        <v>693</v>
      </c>
    </row>
    <row r="517" spans="1:3" ht="42" customHeight="1" x14ac:dyDescent="0.2">
      <c r="A517" s="165">
        <v>41593</v>
      </c>
      <c r="B517" s="164" t="s">
        <v>985</v>
      </c>
      <c r="C517" s="158" t="s">
        <v>693</v>
      </c>
    </row>
    <row r="518" spans="1:3" ht="38.25" x14ac:dyDescent="0.2">
      <c r="A518" s="165">
        <v>41576</v>
      </c>
      <c r="B518" s="160" t="s">
        <v>972</v>
      </c>
      <c r="C518" s="158" t="s">
        <v>693</v>
      </c>
    </row>
    <row r="519" spans="1:3" ht="51" x14ac:dyDescent="0.2">
      <c r="A519" s="165">
        <v>41576</v>
      </c>
      <c r="B519" s="160" t="s">
        <v>988</v>
      </c>
      <c r="C519" s="158" t="s">
        <v>693</v>
      </c>
    </row>
    <row r="520" spans="1:3" ht="51" x14ac:dyDescent="0.2">
      <c r="A520" s="165">
        <v>41576</v>
      </c>
      <c r="B520" s="159" t="s">
        <v>973</v>
      </c>
      <c r="C520" s="158" t="s">
        <v>693</v>
      </c>
    </row>
    <row r="521" spans="1:3" ht="77.25" customHeight="1" x14ac:dyDescent="0.2">
      <c r="A521" s="165">
        <v>41568</v>
      </c>
      <c r="B521" s="166" t="s">
        <v>999</v>
      </c>
      <c r="C521" s="158" t="s">
        <v>693</v>
      </c>
    </row>
    <row r="522" spans="1:3" ht="38.25" x14ac:dyDescent="0.2">
      <c r="A522" s="165">
        <v>41628</v>
      </c>
      <c r="B522" s="170" t="s">
        <v>998</v>
      </c>
      <c r="C522" s="158" t="s">
        <v>693</v>
      </c>
    </row>
    <row r="523" spans="1:3" ht="63.75" x14ac:dyDescent="0.2">
      <c r="A523" s="165">
        <v>41576</v>
      </c>
      <c r="B523" s="159" t="s">
        <v>986</v>
      </c>
      <c r="C523" s="158" t="s">
        <v>693</v>
      </c>
    </row>
    <row r="524" spans="1:3" ht="89.25" x14ac:dyDescent="0.2">
      <c r="A524" s="165">
        <v>41568</v>
      </c>
      <c r="B524" s="168" t="s">
        <v>995</v>
      </c>
      <c r="C524" s="158" t="s">
        <v>693</v>
      </c>
    </row>
    <row r="525" spans="1:3" ht="63.75" x14ac:dyDescent="0.2">
      <c r="A525" s="165">
        <v>41576</v>
      </c>
      <c r="B525" s="161" t="s">
        <v>974</v>
      </c>
      <c r="C525" s="158" t="s">
        <v>693</v>
      </c>
    </row>
    <row r="526" spans="1:3" ht="63.75" x14ac:dyDescent="0.2">
      <c r="A526" s="165">
        <v>41667</v>
      </c>
      <c r="B526" s="169" t="s">
        <v>997</v>
      </c>
      <c r="C526" s="158" t="s">
        <v>693</v>
      </c>
    </row>
    <row r="527" spans="1:3" ht="76.5" x14ac:dyDescent="0.2">
      <c r="A527" s="165">
        <v>41667</v>
      </c>
      <c r="B527" s="169" t="s">
        <v>994</v>
      </c>
      <c r="C527" s="158" t="s">
        <v>693</v>
      </c>
    </row>
    <row r="528" spans="1:3" ht="76.5" x14ac:dyDescent="0.2">
      <c r="A528" s="165">
        <v>41667</v>
      </c>
      <c r="B528" s="169" t="s">
        <v>992</v>
      </c>
      <c r="C528" s="158" t="s">
        <v>693</v>
      </c>
    </row>
    <row r="529" spans="1:3" ht="38.25" x14ac:dyDescent="0.2">
      <c r="A529" s="165">
        <v>41667</v>
      </c>
      <c r="B529" s="169" t="s">
        <v>993</v>
      </c>
      <c r="C529" s="158" t="s">
        <v>693</v>
      </c>
    </row>
    <row r="530" spans="1:3" ht="51" x14ac:dyDescent="0.2">
      <c r="A530" s="165">
        <v>41576</v>
      </c>
      <c r="B530" s="161" t="s">
        <v>975</v>
      </c>
      <c r="C530" s="158" t="s">
        <v>693</v>
      </c>
    </row>
    <row r="531" spans="1:3" ht="102" x14ac:dyDescent="0.2">
      <c r="A531" s="165">
        <v>41576</v>
      </c>
      <c r="B531" s="162" t="s">
        <v>976</v>
      </c>
      <c r="C531" s="158" t="s">
        <v>693</v>
      </c>
    </row>
    <row r="532" spans="1:3" ht="25.5" x14ac:dyDescent="0.2">
      <c r="A532" s="165">
        <v>41576</v>
      </c>
      <c r="B532" s="159" t="s">
        <v>977</v>
      </c>
      <c r="C532" s="158" t="s">
        <v>693</v>
      </c>
    </row>
    <row r="533" spans="1:3" ht="51" x14ac:dyDescent="0.2">
      <c r="A533" s="165">
        <v>41613</v>
      </c>
      <c r="B533" s="159" t="s">
        <v>980</v>
      </c>
      <c r="C533" s="158" t="s">
        <v>693</v>
      </c>
    </row>
    <row r="534" spans="1:3" ht="76.5" x14ac:dyDescent="0.2">
      <c r="A534" s="171">
        <v>41705</v>
      </c>
      <c r="B534" s="172" t="s">
        <v>1000</v>
      </c>
      <c r="C534" s="152" t="s">
        <v>693</v>
      </c>
    </row>
    <row r="535" spans="1:3" ht="25.5" x14ac:dyDescent="0.2">
      <c r="A535" s="171">
        <v>41709</v>
      </c>
      <c r="B535" s="172" t="s">
        <v>1001</v>
      </c>
      <c r="C535" s="152" t="s">
        <v>693</v>
      </c>
    </row>
    <row r="536" spans="1:3" ht="38.25" x14ac:dyDescent="0.2">
      <c r="A536" s="171">
        <v>41712</v>
      </c>
      <c r="B536" s="172" t="s">
        <v>1002</v>
      </c>
      <c r="C536" s="152" t="s">
        <v>693</v>
      </c>
    </row>
    <row r="537" spans="1:3" ht="140.25" x14ac:dyDescent="0.2">
      <c r="A537" s="171">
        <v>41716</v>
      </c>
      <c r="B537" s="173" t="s">
        <v>1029</v>
      </c>
      <c r="C537" s="152" t="s">
        <v>693</v>
      </c>
    </row>
    <row r="538" spans="1:3" ht="51" x14ac:dyDescent="0.2">
      <c r="A538" s="171">
        <v>41729</v>
      </c>
      <c r="B538" s="172" t="s">
        <v>1030</v>
      </c>
      <c r="C538" s="152" t="s">
        <v>693</v>
      </c>
    </row>
    <row r="539" spans="1:3" ht="51" x14ac:dyDescent="0.2">
      <c r="A539" s="171">
        <v>41834</v>
      </c>
      <c r="B539" s="181" t="s">
        <v>1031</v>
      </c>
      <c r="C539" s="152" t="s">
        <v>693</v>
      </c>
    </row>
    <row r="540" spans="1:3" ht="38.25" x14ac:dyDescent="0.2">
      <c r="A540" s="189">
        <v>41884</v>
      </c>
      <c r="B540" s="190" t="s">
        <v>1048</v>
      </c>
      <c r="C540" s="182" t="s">
        <v>693</v>
      </c>
    </row>
    <row r="541" spans="1:3" ht="51" x14ac:dyDescent="0.2">
      <c r="A541" s="189">
        <v>41996</v>
      </c>
      <c r="B541" s="190" t="s">
        <v>1061</v>
      </c>
      <c r="C541" s="182" t="s">
        <v>693</v>
      </c>
    </row>
    <row r="542" spans="1:3" ht="51" x14ac:dyDescent="0.2">
      <c r="A542" s="189">
        <v>41996</v>
      </c>
      <c r="B542" s="190" t="s">
        <v>1051</v>
      </c>
      <c r="C542" s="182" t="s">
        <v>693</v>
      </c>
    </row>
    <row r="543" spans="1:3" ht="25.5" x14ac:dyDescent="0.2">
      <c r="A543" s="189">
        <v>41884</v>
      </c>
      <c r="B543" s="190" t="s">
        <v>1015</v>
      </c>
      <c r="C543" s="182" t="s">
        <v>693</v>
      </c>
    </row>
    <row r="544" spans="1:3" ht="38.25" x14ac:dyDescent="0.2">
      <c r="A544" s="189">
        <v>41884</v>
      </c>
      <c r="B544" s="190" t="s">
        <v>1049</v>
      </c>
      <c r="C544" s="182" t="s">
        <v>693</v>
      </c>
    </row>
    <row r="545" spans="1:3" ht="25.5" x14ac:dyDescent="0.2">
      <c r="A545" s="189">
        <v>42367</v>
      </c>
      <c r="B545" s="195" t="s">
        <v>1053</v>
      </c>
      <c r="C545" s="182" t="s">
        <v>693</v>
      </c>
    </row>
    <row r="546" spans="1:3" ht="51" x14ac:dyDescent="0.2">
      <c r="A546" s="189">
        <v>41884</v>
      </c>
      <c r="B546" s="190" t="s">
        <v>1050</v>
      </c>
      <c r="C546" s="182" t="s">
        <v>693</v>
      </c>
    </row>
    <row r="547" spans="1:3" ht="25.5" x14ac:dyDescent="0.2">
      <c r="A547" s="189">
        <v>42037</v>
      </c>
      <c r="B547" s="190" t="s">
        <v>1071</v>
      </c>
      <c r="C547" s="182" t="s">
        <v>693</v>
      </c>
    </row>
    <row r="548" spans="1:3" ht="63.75" x14ac:dyDescent="0.2">
      <c r="A548" s="189">
        <v>42037</v>
      </c>
      <c r="B548" s="207" t="s">
        <v>1072</v>
      </c>
      <c r="C548" s="182" t="s">
        <v>693</v>
      </c>
    </row>
    <row r="549" spans="1:3" ht="38.25" x14ac:dyDescent="0.2">
      <c r="A549" s="189">
        <v>42037</v>
      </c>
      <c r="B549" s="190" t="s">
        <v>1073</v>
      </c>
      <c r="C549" s="182" t="s">
        <v>693</v>
      </c>
    </row>
    <row r="550" spans="1:3" ht="255" x14ac:dyDescent="0.2">
      <c r="A550" s="189">
        <v>42037</v>
      </c>
      <c r="B550" s="207" t="s">
        <v>1074</v>
      </c>
      <c r="C550" s="182" t="s">
        <v>693</v>
      </c>
    </row>
    <row r="551" spans="1:3" ht="38.25" x14ac:dyDescent="0.2">
      <c r="A551" s="189">
        <v>41996</v>
      </c>
      <c r="B551" s="188" t="s">
        <v>1020</v>
      </c>
      <c r="C551" s="182" t="s">
        <v>693</v>
      </c>
    </row>
    <row r="552" spans="1:3" ht="38.25" x14ac:dyDescent="0.2">
      <c r="A552" s="189">
        <v>41996</v>
      </c>
      <c r="B552" s="188" t="s">
        <v>1021</v>
      </c>
      <c r="C552" s="182" t="s">
        <v>693</v>
      </c>
    </row>
    <row r="553" spans="1:3" ht="38.25" x14ac:dyDescent="0.2">
      <c r="A553" s="189">
        <v>42037</v>
      </c>
      <c r="B553" s="188" t="s">
        <v>1075</v>
      </c>
      <c r="C553" s="182" t="s">
        <v>693</v>
      </c>
    </row>
    <row r="554" spans="1:3" ht="38.25" x14ac:dyDescent="0.2">
      <c r="A554" s="189">
        <v>41996</v>
      </c>
      <c r="B554" s="188" t="s">
        <v>1022</v>
      </c>
      <c r="C554" s="182" t="s">
        <v>693</v>
      </c>
    </row>
    <row r="555" spans="1:3" ht="165.75" x14ac:dyDescent="0.2">
      <c r="A555" s="189">
        <v>42037</v>
      </c>
      <c r="B555" s="207" t="s">
        <v>1076</v>
      </c>
      <c r="C555" s="182" t="s">
        <v>693</v>
      </c>
    </row>
    <row r="556" spans="1:3" ht="25.5" x14ac:dyDescent="0.2">
      <c r="A556" s="189">
        <v>41884</v>
      </c>
      <c r="B556" s="190" t="s">
        <v>1016</v>
      </c>
      <c r="C556" s="182" t="s">
        <v>693</v>
      </c>
    </row>
    <row r="557" spans="1:3" ht="25.5" x14ac:dyDescent="0.2">
      <c r="A557" s="189">
        <v>41884</v>
      </c>
      <c r="B557" s="190" t="s">
        <v>1017</v>
      </c>
      <c r="C557" s="182" t="s">
        <v>693</v>
      </c>
    </row>
    <row r="558" spans="1:3" ht="38.25" x14ac:dyDescent="0.2">
      <c r="A558" s="189">
        <v>42037</v>
      </c>
      <c r="B558" s="207" t="s">
        <v>1077</v>
      </c>
      <c r="C558" s="182" t="s">
        <v>693</v>
      </c>
    </row>
    <row r="559" spans="1:3" ht="25.5" x14ac:dyDescent="0.2">
      <c r="A559" s="189">
        <v>42037</v>
      </c>
      <c r="B559" s="207" t="s">
        <v>1078</v>
      </c>
      <c r="C559" s="182" t="s">
        <v>693</v>
      </c>
    </row>
    <row r="560" spans="1:3" ht="25.5" x14ac:dyDescent="0.2">
      <c r="A560" s="189">
        <v>41996</v>
      </c>
      <c r="B560" s="190" t="s">
        <v>1023</v>
      </c>
      <c r="C560" s="182" t="s">
        <v>693</v>
      </c>
    </row>
    <row r="561" spans="1:3" ht="38.25" x14ac:dyDescent="0.2">
      <c r="A561" s="189">
        <v>42037</v>
      </c>
      <c r="B561" s="207" t="s">
        <v>1079</v>
      </c>
      <c r="C561" s="182" t="s">
        <v>693</v>
      </c>
    </row>
    <row r="562" spans="1:3" ht="38.25" x14ac:dyDescent="0.2">
      <c r="A562" s="189">
        <v>42037</v>
      </c>
      <c r="B562" s="207" t="s">
        <v>1080</v>
      </c>
      <c r="C562" s="182" t="s">
        <v>693</v>
      </c>
    </row>
    <row r="563" spans="1:3" ht="25.5" x14ac:dyDescent="0.2">
      <c r="A563" s="189">
        <v>42037</v>
      </c>
      <c r="B563" s="207" t="s">
        <v>1081</v>
      </c>
      <c r="C563" s="182" t="s">
        <v>693</v>
      </c>
    </row>
    <row r="564" spans="1:3" ht="38.25" x14ac:dyDescent="0.2">
      <c r="A564" s="189">
        <v>42037</v>
      </c>
      <c r="B564" s="207" t="s">
        <v>1082</v>
      </c>
      <c r="C564" s="182" t="s">
        <v>693</v>
      </c>
    </row>
    <row r="565" spans="1:3" ht="25.5" x14ac:dyDescent="0.2">
      <c r="A565" s="189">
        <v>42037</v>
      </c>
      <c r="B565" s="207" t="s">
        <v>1083</v>
      </c>
      <c r="C565" s="182" t="s">
        <v>693</v>
      </c>
    </row>
    <row r="566" spans="1:3" ht="38.25" x14ac:dyDescent="0.2">
      <c r="A566" s="189">
        <v>42037</v>
      </c>
      <c r="B566" s="207" t="s">
        <v>1084</v>
      </c>
      <c r="C566" s="182" t="s">
        <v>693</v>
      </c>
    </row>
    <row r="567" spans="1:3" ht="38.25" x14ac:dyDescent="0.2">
      <c r="A567" s="189">
        <v>42037</v>
      </c>
      <c r="B567" s="207" t="s">
        <v>1085</v>
      </c>
      <c r="C567" s="182" t="s">
        <v>693</v>
      </c>
    </row>
    <row r="568" spans="1:3" ht="38.25" x14ac:dyDescent="0.2">
      <c r="A568" s="189">
        <v>42037</v>
      </c>
      <c r="B568" s="207" t="s">
        <v>1086</v>
      </c>
      <c r="C568" s="182" t="s">
        <v>693</v>
      </c>
    </row>
    <row r="569" spans="1:3" ht="38.25" x14ac:dyDescent="0.2">
      <c r="A569" s="189">
        <v>42037</v>
      </c>
      <c r="B569" s="207" t="s">
        <v>1087</v>
      </c>
      <c r="C569" s="182" t="s">
        <v>693</v>
      </c>
    </row>
    <row r="570" spans="1:3" ht="25.5" x14ac:dyDescent="0.2">
      <c r="A570" s="189">
        <v>41996</v>
      </c>
      <c r="B570" s="190" t="s">
        <v>1024</v>
      </c>
      <c r="C570" s="182" t="s">
        <v>693</v>
      </c>
    </row>
    <row r="571" spans="1:3" ht="38.25" x14ac:dyDescent="0.2">
      <c r="A571" s="189">
        <v>41884</v>
      </c>
      <c r="B571" s="190" t="s">
        <v>1018</v>
      </c>
      <c r="C571" s="182" t="s">
        <v>693</v>
      </c>
    </row>
    <row r="572" spans="1:3" ht="38.25" x14ac:dyDescent="0.2">
      <c r="A572" s="189">
        <v>41996</v>
      </c>
      <c r="B572" s="188" t="s">
        <v>1025</v>
      </c>
      <c r="C572" s="182" t="s">
        <v>693</v>
      </c>
    </row>
    <row r="573" spans="1:3" ht="89.25" x14ac:dyDescent="0.2">
      <c r="A573" s="189">
        <v>42037</v>
      </c>
      <c r="B573" s="188" t="s">
        <v>1088</v>
      </c>
      <c r="C573" s="182" t="s">
        <v>693</v>
      </c>
    </row>
    <row r="574" spans="1:3" ht="25.5" x14ac:dyDescent="0.2">
      <c r="A574" s="189">
        <v>42037</v>
      </c>
      <c r="B574" s="188" t="s">
        <v>1089</v>
      </c>
      <c r="C574" s="182" t="s">
        <v>693</v>
      </c>
    </row>
    <row r="575" spans="1:3" ht="38.25" x14ac:dyDescent="0.2">
      <c r="A575" s="189">
        <v>42037</v>
      </c>
      <c r="B575" s="188" t="s">
        <v>1090</v>
      </c>
      <c r="C575" s="182" t="s">
        <v>693</v>
      </c>
    </row>
    <row r="576" spans="1:3" ht="38.25" x14ac:dyDescent="0.2">
      <c r="A576" s="189">
        <v>41996</v>
      </c>
      <c r="B576" s="188" t="s">
        <v>1026</v>
      </c>
      <c r="C576" s="182" t="s">
        <v>693</v>
      </c>
    </row>
    <row r="577" spans="1:3" ht="38.25" x14ac:dyDescent="0.2">
      <c r="A577" s="189">
        <v>42037</v>
      </c>
      <c r="B577" s="188" t="s">
        <v>1091</v>
      </c>
      <c r="C577" s="182" t="s">
        <v>693</v>
      </c>
    </row>
    <row r="578" spans="1:3" ht="38.25" x14ac:dyDescent="0.2">
      <c r="A578" s="189">
        <v>42019</v>
      </c>
      <c r="B578" s="206" t="s">
        <v>1062</v>
      </c>
      <c r="C578" s="182" t="s">
        <v>693</v>
      </c>
    </row>
    <row r="579" spans="1:3" ht="25.5" x14ac:dyDescent="0.2">
      <c r="A579" s="189">
        <v>42037</v>
      </c>
      <c r="B579" s="207" t="s">
        <v>1092</v>
      </c>
      <c r="C579" s="182" t="s">
        <v>693</v>
      </c>
    </row>
    <row r="580" spans="1:3" ht="38.25" x14ac:dyDescent="0.2">
      <c r="A580" s="189">
        <v>42037</v>
      </c>
      <c r="B580" s="207" t="s">
        <v>1093</v>
      </c>
      <c r="C580" s="182" t="s">
        <v>693</v>
      </c>
    </row>
    <row r="581" spans="1:3" ht="25.5" x14ac:dyDescent="0.2">
      <c r="A581" s="189">
        <v>41996</v>
      </c>
      <c r="B581" s="188" t="s">
        <v>1027</v>
      </c>
      <c r="C581" s="182" t="s">
        <v>693</v>
      </c>
    </row>
    <row r="582" spans="1:3" ht="114.75" x14ac:dyDescent="0.2">
      <c r="A582" s="189">
        <v>42037</v>
      </c>
      <c r="B582" s="207" t="s">
        <v>1094</v>
      </c>
      <c r="C582" s="182" t="s">
        <v>693</v>
      </c>
    </row>
    <row r="583" spans="1:3" ht="51" x14ac:dyDescent="0.2">
      <c r="A583" s="189">
        <v>42037</v>
      </c>
      <c r="B583" s="207" t="s">
        <v>1095</v>
      </c>
      <c r="C583" s="182" t="s">
        <v>693</v>
      </c>
    </row>
    <row r="584" spans="1:3" ht="25.5" x14ac:dyDescent="0.2">
      <c r="A584" s="189">
        <v>42037</v>
      </c>
      <c r="B584" s="207" t="s">
        <v>1096</v>
      </c>
      <c r="C584" s="182" t="s">
        <v>693</v>
      </c>
    </row>
    <row r="585" spans="1:3" ht="63.75" x14ac:dyDescent="0.2">
      <c r="A585" s="189">
        <v>41884</v>
      </c>
      <c r="B585" s="190" t="s">
        <v>1019</v>
      </c>
      <c r="C585" s="182" t="s">
        <v>693</v>
      </c>
    </row>
    <row r="586" spans="1:3" ht="51" x14ac:dyDescent="0.2">
      <c r="A586" s="198">
        <v>42037</v>
      </c>
      <c r="B586" s="207" t="s">
        <v>1097</v>
      </c>
      <c r="C586" s="182" t="s">
        <v>693</v>
      </c>
    </row>
    <row r="587" spans="1:3" ht="38.25" x14ac:dyDescent="0.2">
      <c r="A587" s="198">
        <v>42017</v>
      </c>
      <c r="B587" s="190" t="s">
        <v>1055</v>
      </c>
      <c r="C587" s="182" t="s">
        <v>693</v>
      </c>
    </row>
    <row r="588" spans="1:3" ht="25.5" x14ac:dyDescent="0.2">
      <c r="A588" s="198">
        <v>42037</v>
      </c>
      <c r="B588" s="207" t="s">
        <v>1098</v>
      </c>
      <c r="C588" s="182" t="s">
        <v>693</v>
      </c>
    </row>
    <row r="589" spans="1:3" ht="25.5" x14ac:dyDescent="0.2">
      <c r="A589" s="198">
        <v>42037</v>
      </c>
      <c r="B589" s="207" t="s">
        <v>1099</v>
      </c>
      <c r="C589" s="182" t="s">
        <v>693</v>
      </c>
    </row>
    <row r="590" spans="1:3" ht="38.25" x14ac:dyDescent="0.2">
      <c r="A590" s="198">
        <v>42037</v>
      </c>
      <c r="B590" s="188" t="s">
        <v>1100</v>
      </c>
      <c r="C590" s="182" t="s">
        <v>693</v>
      </c>
    </row>
    <row r="591" spans="1:3" ht="51" x14ac:dyDescent="0.2">
      <c r="A591" s="198">
        <v>42037</v>
      </c>
      <c r="B591" s="188" t="s">
        <v>1101</v>
      </c>
      <c r="C591" s="182" t="s">
        <v>693</v>
      </c>
    </row>
    <row r="592" spans="1:3" ht="25.5" x14ac:dyDescent="0.2">
      <c r="A592" s="192">
        <v>41996</v>
      </c>
      <c r="B592" s="191" t="s">
        <v>1028</v>
      </c>
      <c r="C592" s="182" t="s">
        <v>693</v>
      </c>
    </row>
    <row r="593" spans="1:3" ht="140.25" x14ac:dyDescent="0.2">
      <c r="A593" s="193">
        <v>42037</v>
      </c>
      <c r="B593" s="207" t="s">
        <v>1102</v>
      </c>
      <c r="C593" s="182" t="s">
        <v>693</v>
      </c>
    </row>
    <row r="594" spans="1:3" ht="38.25" x14ac:dyDescent="0.2">
      <c r="A594" s="193">
        <v>42044</v>
      </c>
      <c r="B594" s="207" t="s">
        <v>1125</v>
      </c>
      <c r="C594" s="182"/>
    </row>
    <row r="595" spans="1:3" ht="51" x14ac:dyDescent="0.2">
      <c r="A595" s="193">
        <v>42037</v>
      </c>
      <c r="B595" s="188" t="s">
        <v>1103</v>
      </c>
      <c r="C595" s="182" t="s">
        <v>693</v>
      </c>
    </row>
    <row r="596" spans="1:3" ht="38.25" x14ac:dyDescent="0.2">
      <c r="A596" s="193">
        <v>42037</v>
      </c>
      <c r="B596" s="188" t="s">
        <v>1104</v>
      </c>
      <c r="C596" s="182" t="s">
        <v>693</v>
      </c>
    </row>
    <row r="597" spans="1:3" ht="38.25" x14ac:dyDescent="0.2">
      <c r="A597" s="193">
        <v>42037</v>
      </c>
      <c r="B597" s="188" t="s">
        <v>1105</v>
      </c>
      <c r="C597" s="182" t="s">
        <v>693</v>
      </c>
    </row>
    <row r="598" spans="1:3" ht="114.75" x14ac:dyDescent="0.2">
      <c r="A598" s="193">
        <v>42037</v>
      </c>
      <c r="B598" s="188" t="s">
        <v>1106</v>
      </c>
      <c r="C598" s="182" t="s">
        <v>693</v>
      </c>
    </row>
  </sheetData>
  <sheetProtection selectLockedCells="1"/>
  <mergeCells count="2">
    <mergeCell ref="A1:C1"/>
    <mergeCell ref="A2:C2"/>
  </mergeCells>
  <phoneticPr fontId="22" type="noConversion"/>
  <pageMargins left="0.52" right="0.41" top="1" bottom="1" header="0.5" footer="0.5"/>
  <pageSetup scale="92" orientation="portrait" r:id="rId1"/>
  <headerFooter alignWithMargins="0">
    <oddFooter>&amp;C&amp;8Page &amp;P of &amp;N&amp;RLast Saved Date: 2/2/2015 5:03:01 PM</oddFooter>
  </headerFooter>
  <rowBreaks count="2" manualBreakCount="2">
    <brk id="88" max="16383" man="1"/>
    <brk id="191" max="16383" man="1"/>
  </rowBreak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C11"/>
  <sheetViews>
    <sheetView workbookViewId="0">
      <selection activeCell="C20" sqref="C20"/>
    </sheetView>
  </sheetViews>
  <sheetFormatPr defaultRowHeight="12.75" x14ac:dyDescent="0.2"/>
  <cols>
    <col min="1" max="1" width="18.85546875" customWidth="1"/>
    <col min="2" max="2" width="31.7109375" customWidth="1"/>
    <col min="3" max="3" width="35.140625" customWidth="1"/>
  </cols>
  <sheetData>
    <row r="1" spans="1:3" x14ac:dyDescent="0.2">
      <c r="A1" s="112" t="s">
        <v>920</v>
      </c>
      <c r="B1" s="112" t="s">
        <v>921</v>
      </c>
      <c r="C1" s="112" t="s">
        <v>922</v>
      </c>
    </row>
    <row r="2" spans="1:3" ht="25.5" x14ac:dyDescent="0.2">
      <c r="A2" s="254" t="s">
        <v>923</v>
      </c>
      <c r="B2" s="254" t="s">
        <v>924</v>
      </c>
      <c r="C2" s="116" t="s">
        <v>930</v>
      </c>
    </row>
    <row r="3" spans="1:3" x14ac:dyDescent="0.2">
      <c r="A3" s="255"/>
      <c r="B3" s="255"/>
      <c r="C3" s="117" t="s">
        <v>936</v>
      </c>
    </row>
    <row r="4" spans="1:3" ht="25.5" x14ac:dyDescent="0.2">
      <c r="A4" s="254" t="s">
        <v>925</v>
      </c>
      <c r="B4" s="254" t="s">
        <v>926</v>
      </c>
      <c r="C4" s="116" t="s">
        <v>930</v>
      </c>
    </row>
    <row r="5" spans="1:3" x14ac:dyDescent="0.2">
      <c r="A5" s="255"/>
      <c r="B5" s="255"/>
      <c r="C5" s="117" t="s">
        <v>936</v>
      </c>
    </row>
    <row r="6" spans="1:3" ht="38.25" customHeight="1" x14ac:dyDescent="0.2">
      <c r="A6" s="254" t="s">
        <v>927</v>
      </c>
      <c r="B6" s="254" t="s">
        <v>926</v>
      </c>
      <c r="C6" s="118" t="s">
        <v>930</v>
      </c>
    </row>
    <row r="7" spans="1:3" ht="14.25" customHeight="1" x14ac:dyDescent="0.2">
      <c r="A7" s="255"/>
      <c r="B7" s="255"/>
      <c r="C7" s="119" t="s">
        <v>937</v>
      </c>
    </row>
    <row r="8" spans="1:3" ht="38.25" x14ac:dyDescent="0.2">
      <c r="A8" s="113" t="s">
        <v>928</v>
      </c>
      <c r="B8" s="113" t="s">
        <v>929</v>
      </c>
      <c r="C8" s="114" t="s">
        <v>931</v>
      </c>
    </row>
    <row r="9" spans="1:3" x14ac:dyDescent="0.2">
      <c r="A9" s="115"/>
      <c r="B9" s="115"/>
      <c r="C9" s="115"/>
    </row>
    <row r="10" spans="1:3" x14ac:dyDescent="0.2">
      <c r="A10" s="256" t="s">
        <v>935</v>
      </c>
      <c r="B10" s="256"/>
      <c r="C10" s="256"/>
    </row>
    <row r="11" spans="1:3" x14ac:dyDescent="0.2">
      <c r="A11" s="253" t="s">
        <v>934</v>
      </c>
      <c r="B11" s="253"/>
      <c r="C11" s="253"/>
    </row>
  </sheetData>
  <mergeCells count="8">
    <mergeCell ref="A11:C11"/>
    <mergeCell ref="A6:A7"/>
    <mergeCell ref="B6:B7"/>
    <mergeCell ref="A10:C10"/>
    <mergeCell ref="A2:A3"/>
    <mergeCell ref="B2:B3"/>
    <mergeCell ref="A4:A5"/>
    <mergeCell ref="B4:B5"/>
  </mergeCells>
  <hyperlinks>
    <hyperlink ref="C6" r:id="rId1"/>
    <hyperlink ref="C8" r:id="rId2"/>
    <hyperlink ref="C2" r:id="rId3"/>
    <hyperlink ref="C4" r:id="rId4"/>
  </hyperlinks>
  <pageMargins left="0.7" right="0.7" top="0.75" bottom="0.75" header="0.3" footer="0.3"/>
  <pageSetup orientation="portrait" r:id="rId5"/>
  <headerFooter>
    <oddFooter>&amp;RLast Saved Date: 4/16/2013 10:47:22 AM</oddFooter>
  </headerFooter>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4</vt:i4>
      </vt:variant>
    </vt:vector>
  </HeadingPairs>
  <TitlesOfParts>
    <vt:vector size="7" baseType="lpstr">
      <vt:lpstr>LDESTD</vt:lpstr>
      <vt:lpstr>Revision Log</vt:lpstr>
      <vt:lpstr>Reference Locations</vt:lpstr>
      <vt:lpstr>LDESTD!Print_Area</vt:lpstr>
      <vt:lpstr>'Revision Log'!Print_Area</vt:lpstr>
      <vt:lpstr>LDESTD!Print_Titles</vt:lpstr>
      <vt:lpstr>'Revision Log'!Print_Titles</vt:lpstr>
    </vt:vector>
  </TitlesOfParts>
  <Company>DOE</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fchou</dc:creator>
  <cp:lastModifiedBy>Wanda Trahan (DOE)</cp:lastModifiedBy>
  <cp:lastPrinted>2015-05-22T12:28:17Z</cp:lastPrinted>
  <dcterms:created xsi:type="dcterms:W3CDTF">1999-04-08T16:47:24Z</dcterms:created>
  <dcterms:modified xsi:type="dcterms:W3CDTF">2015-05-22T13:40:55Z</dcterms:modified>
</cp:coreProperties>
</file>