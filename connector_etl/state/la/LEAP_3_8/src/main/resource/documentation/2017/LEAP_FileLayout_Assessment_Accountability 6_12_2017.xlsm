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LEAP-iLEAP-GEE\File Layouts_Syntax_txt files\"/>
    </mc:Choice>
  </mc:AlternateContent>
  <bookViews>
    <workbookView xWindow="0" yWindow="0" windowWidth="20730" windowHeight="8700"/>
  </bookViews>
  <sheets>
    <sheet name="LDESTD" sheetId="1" r:id="rId1"/>
    <sheet name="Revision Log" sheetId="2" r:id="rId2"/>
    <sheet name="Reference Locations" sheetId="3" r:id="rId3"/>
  </sheets>
  <definedNames>
    <definedName name="_xlnm._FilterDatabase" localSheetId="0" hidden="1">LDESTD!$A$2:$K$749</definedName>
  </definedNames>
  <calcPr calcId="152511"/>
</workbook>
</file>

<file path=xl/calcChain.xml><?xml version="1.0" encoding="utf-8"?>
<calcChain xmlns="http://schemas.openxmlformats.org/spreadsheetml/2006/main">
  <c r="F43" i="1" l="1"/>
  <c r="G43" i="1"/>
  <c r="F44" i="1"/>
  <c r="G44" i="1"/>
  <c r="F45" i="1"/>
  <c r="G45" i="1"/>
  <c r="F46" i="1"/>
  <c r="G46" i="1"/>
  <c r="F47" i="1"/>
  <c r="G47" i="1"/>
  <c r="F48" i="1"/>
  <c r="G48" i="1"/>
  <c r="F49" i="1"/>
  <c r="G49" i="1"/>
  <c r="F50" i="1"/>
  <c r="G50" i="1"/>
  <c r="F51" i="1"/>
  <c r="G51" i="1"/>
  <c r="F52" i="1"/>
  <c r="G52" i="1"/>
  <c r="F53" i="1"/>
  <c r="G53" i="1"/>
  <c r="F54" i="1"/>
  <c r="G54" i="1"/>
  <c r="F55" i="1"/>
  <c r="G55" i="1"/>
  <c r="F56" i="1"/>
  <c r="G56" i="1"/>
  <c r="F57" i="1"/>
  <c r="G57" i="1"/>
  <c r="F58" i="1"/>
  <c r="G58" i="1"/>
  <c r="F59" i="1"/>
  <c r="G59" i="1"/>
  <c r="F60" i="1"/>
  <c r="G60" i="1"/>
  <c r="F61" i="1"/>
  <c r="G61" i="1"/>
  <c r="F62" i="1"/>
  <c r="G62" i="1"/>
  <c r="F63" i="1"/>
  <c r="G63" i="1"/>
  <c r="F64" i="1"/>
  <c r="G64" i="1"/>
  <c r="F65" i="1"/>
  <c r="G65" i="1"/>
  <c r="F66" i="1"/>
  <c r="G66" i="1"/>
  <c r="F67" i="1"/>
  <c r="G67" i="1"/>
  <c r="F68" i="1"/>
  <c r="G68" i="1"/>
  <c r="F69" i="1"/>
  <c r="G69" i="1"/>
  <c r="F70" i="1"/>
  <c r="G70" i="1"/>
  <c r="F71" i="1"/>
  <c r="G71" i="1"/>
  <c r="F72" i="1"/>
  <c r="G72" i="1"/>
  <c r="F73" i="1"/>
  <c r="G73" i="1"/>
  <c r="F74" i="1"/>
  <c r="G74" i="1"/>
  <c r="F75" i="1"/>
  <c r="G75" i="1"/>
  <c r="F76" i="1"/>
  <c r="G76" i="1"/>
  <c r="F77" i="1"/>
  <c r="G77" i="1"/>
  <c r="F78" i="1"/>
  <c r="G78" i="1"/>
  <c r="F79" i="1"/>
  <c r="G79" i="1"/>
  <c r="F80" i="1"/>
  <c r="G80" i="1"/>
  <c r="F81" i="1"/>
  <c r="G81" i="1"/>
  <c r="F82" i="1"/>
  <c r="G82" i="1"/>
  <c r="F83" i="1"/>
  <c r="G83" i="1"/>
  <c r="F84" i="1"/>
  <c r="G84" i="1"/>
  <c r="F85" i="1"/>
  <c r="G85" i="1"/>
  <c r="F86" i="1"/>
  <c r="G86" i="1"/>
  <c r="F87" i="1"/>
  <c r="G87" i="1"/>
  <c r="F88" i="1"/>
  <c r="G88" i="1"/>
  <c r="F89" i="1"/>
  <c r="G89" i="1"/>
  <c r="F90" i="1"/>
  <c r="G90" i="1"/>
  <c r="F91" i="1"/>
  <c r="G91" i="1"/>
  <c r="F92" i="1"/>
  <c r="G92" i="1"/>
  <c r="F93" i="1"/>
  <c r="G93" i="1"/>
  <c r="F94" i="1"/>
  <c r="G94" i="1"/>
  <c r="F95" i="1"/>
  <c r="G95" i="1"/>
  <c r="F96" i="1"/>
  <c r="G96" i="1"/>
  <c r="F97" i="1"/>
  <c r="G97" i="1"/>
  <c r="F98" i="1"/>
  <c r="G98" i="1"/>
  <c r="F99" i="1"/>
  <c r="G99" i="1"/>
  <c r="F100" i="1"/>
  <c r="G100" i="1"/>
  <c r="F101" i="1"/>
  <c r="G101" i="1"/>
  <c r="F102" i="1"/>
  <c r="G102" i="1"/>
  <c r="F103" i="1"/>
  <c r="G103" i="1"/>
  <c r="F104" i="1"/>
  <c r="G104" i="1"/>
  <c r="F105" i="1"/>
  <c r="G105" i="1"/>
  <c r="F106" i="1"/>
  <c r="G106" i="1"/>
  <c r="F107" i="1"/>
  <c r="G107" i="1"/>
  <c r="F108" i="1"/>
  <c r="G108" i="1"/>
  <c r="F109" i="1"/>
  <c r="G109" i="1"/>
  <c r="F110" i="1"/>
  <c r="G110" i="1"/>
  <c r="F111" i="1"/>
  <c r="G111" i="1"/>
  <c r="F112" i="1"/>
  <c r="G112" i="1"/>
  <c r="F113" i="1"/>
  <c r="G113" i="1"/>
  <c r="F114" i="1"/>
  <c r="G114" i="1"/>
  <c r="F115" i="1"/>
  <c r="G115" i="1"/>
  <c r="F116" i="1"/>
  <c r="G116" i="1"/>
  <c r="F117" i="1"/>
  <c r="G117" i="1"/>
  <c r="F118" i="1"/>
  <c r="G118" i="1"/>
  <c r="F119" i="1"/>
  <c r="G119" i="1"/>
  <c r="F120" i="1"/>
  <c r="G120" i="1"/>
  <c r="F121" i="1"/>
  <c r="G121" i="1"/>
  <c r="F122" i="1"/>
  <c r="G122" i="1"/>
  <c r="F123" i="1"/>
  <c r="G123" i="1"/>
  <c r="F124" i="1"/>
  <c r="G124" i="1"/>
  <c r="F125" i="1"/>
  <c r="G125" i="1"/>
  <c r="F126" i="1"/>
  <c r="G126" i="1"/>
  <c r="F127" i="1"/>
  <c r="G127" i="1"/>
  <c r="F128" i="1"/>
  <c r="G128" i="1"/>
  <c r="F129" i="1"/>
  <c r="G129" i="1"/>
  <c r="F130" i="1"/>
  <c r="G130" i="1"/>
  <c r="F131" i="1"/>
  <c r="G131" i="1"/>
  <c r="F132" i="1"/>
  <c r="G132" i="1"/>
  <c r="F133" i="1"/>
  <c r="G133" i="1"/>
  <c r="F134" i="1"/>
  <c r="G134" i="1"/>
  <c r="F135" i="1"/>
  <c r="G135" i="1"/>
  <c r="F136" i="1"/>
  <c r="G136" i="1"/>
  <c r="F137" i="1"/>
  <c r="G137" i="1"/>
  <c r="F138" i="1"/>
  <c r="G138" i="1"/>
  <c r="F139" i="1"/>
  <c r="G139" i="1"/>
  <c r="F140" i="1"/>
  <c r="G140" i="1"/>
  <c r="F141" i="1"/>
  <c r="G141" i="1"/>
  <c r="F142" i="1"/>
  <c r="G142" i="1"/>
  <c r="F143" i="1"/>
  <c r="G143" i="1"/>
  <c r="F144" i="1"/>
  <c r="G144" i="1"/>
  <c r="F145" i="1"/>
  <c r="G145" i="1"/>
  <c r="F146" i="1"/>
  <c r="G146" i="1"/>
  <c r="F147" i="1"/>
  <c r="G147" i="1"/>
  <c r="F148" i="1"/>
  <c r="G148" i="1"/>
  <c r="F149" i="1"/>
  <c r="G149" i="1"/>
  <c r="F150" i="1"/>
  <c r="G150" i="1"/>
  <c r="F151" i="1"/>
  <c r="G151" i="1"/>
  <c r="F152" i="1"/>
  <c r="G152" i="1"/>
  <c r="F153" i="1"/>
  <c r="G153" i="1"/>
  <c r="F154" i="1"/>
  <c r="G154" i="1"/>
  <c r="F155" i="1"/>
  <c r="G155" i="1"/>
  <c r="F156" i="1"/>
  <c r="G156" i="1"/>
  <c r="F157" i="1"/>
  <c r="G157" i="1"/>
  <c r="F158" i="1"/>
  <c r="G158" i="1"/>
  <c r="F159" i="1"/>
  <c r="G159" i="1"/>
  <c r="F160" i="1"/>
  <c r="G160" i="1"/>
  <c r="F161" i="1"/>
  <c r="G161" i="1"/>
  <c r="F162" i="1"/>
  <c r="G162" i="1"/>
  <c r="F163" i="1"/>
  <c r="G163" i="1"/>
  <c r="F164" i="1"/>
  <c r="G164" i="1"/>
  <c r="F165" i="1"/>
  <c r="G165" i="1"/>
  <c r="F166" i="1"/>
  <c r="G166" i="1"/>
  <c r="F167" i="1"/>
  <c r="G167" i="1"/>
  <c r="F168" i="1"/>
  <c r="G168" i="1"/>
  <c r="F169" i="1"/>
  <c r="G169" i="1"/>
  <c r="F170" i="1"/>
  <c r="G170" i="1"/>
  <c r="F171" i="1"/>
  <c r="G171" i="1"/>
  <c r="F172" i="1"/>
  <c r="G172" i="1"/>
  <c r="F173" i="1"/>
  <c r="G173" i="1"/>
  <c r="F174" i="1"/>
  <c r="G174" i="1"/>
  <c r="F175" i="1"/>
  <c r="G175" i="1"/>
  <c r="F176" i="1"/>
  <c r="G176" i="1"/>
  <c r="F177" i="1"/>
  <c r="G177" i="1"/>
  <c r="F178" i="1"/>
  <c r="G178" i="1"/>
  <c r="F179" i="1"/>
  <c r="G179" i="1"/>
  <c r="F180" i="1"/>
  <c r="G180" i="1"/>
  <c r="F181" i="1"/>
  <c r="G181" i="1"/>
  <c r="F182" i="1"/>
  <c r="G182" i="1"/>
  <c r="F183" i="1"/>
  <c r="G183" i="1"/>
  <c r="F184" i="1"/>
  <c r="G184" i="1"/>
  <c r="F185" i="1"/>
  <c r="G185" i="1"/>
  <c r="F186" i="1"/>
  <c r="G186" i="1"/>
  <c r="F187" i="1"/>
  <c r="G187" i="1"/>
  <c r="F188" i="1"/>
  <c r="G188" i="1"/>
  <c r="F189" i="1"/>
  <c r="G189" i="1"/>
  <c r="F190" i="1"/>
  <c r="G190" i="1"/>
  <c r="F191" i="1"/>
  <c r="G191" i="1"/>
  <c r="F192" i="1"/>
  <c r="G192" i="1"/>
  <c r="F193" i="1"/>
  <c r="G193" i="1"/>
  <c r="F194" i="1"/>
  <c r="G194" i="1"/>
  <c r="F195" i="1"/>
  <c r="G195" i="1"/>
  <c r="F196" i="1"/>
  <c r="G196" i="1"/>
  <c r="F197" i="1"/>
  <c r="G197" i="1"/>
  <c r="F198" i="1"/>
  <c r="G198" i="1"/>
  <c r="F199" i="1"/>
  <c r="G199" i="1"/>
  <c r="F200" i="1"/>
  <c r="G200" i="1"/>
  <c r="F201" i="1"/>
  <c r="G201" i="1"/>
  <c r="F202" i="1"/>
  <c r="G202" i="1"/>
  <c r="F203" i="1"/>
  <c r="G203" i="1"/>
  <c r="F204" i="1"/>
  <c r="G204" i="1"/>
  <c r="F205" i="1"/>
  <c r="G205" i="1"/>
  <c r="F206" i="1"/>
  <c r="G206" i="1"/>
  <c r="F207" i="1"/>
  <c r="G207" i="1"/>
  <c r="F208" i="1"/>
  <c r="G208" i="1"/>
  <c r="F209" i="1"/>
  <c r="G209" i="1"/>
  <c r="F210" i="1"/>
  <c r="G210" i="1"/>
  <c r="F211" i="1"/>
  <c r="G211" i="1"/>
  <c r="F212" i="1"/>
  <c r="G212" i="1"/>
  <c r="F213" i="1"/>
  <c r="G213" i="1"/>
  <c r="F214" i="1"/>
  <c r="G214" i="1"/>
  <c r="F215" i="1"/>
  <c r="G215" i="1"/>
  <c r="F216" i="1"/>
  <c r="G216" i="1"/>
  <c r="F217" i="1"/>
  <c r="G217" i="1"/>
  <c r="F218" i="1"/>
  <c r="G218" i="1"/>
  <c r="F219" i="1"/>
  <c r="G219" i="1"/>
  <c r="F220" i="1"/>
  <c r="G220" i="1"/>
  <c r="F221" i="1"/>
  <c r="G221" i="1"/>
  <c r="F222" i="1"/>
  <c r="G222" i="1"/>
  <c r="F223" i="1"/>
  <c r="G223" i="1"/>
  <c r="F224" i="1"/>
  <c r="G224" i="1"/>
  <c r="F225" i="1"/>
  <c r="G225" i="1"/>
  <c r="F226" i="1"/>
  <c r="G226" i="1"/>
  <c r="F227" i="1"/>
  <c r="G227" i="1"/>
  <c r="F228" i="1"/>
  <c r="G228" i="1"/>
  <c r="F229" i="1"/>
  <c r="G229" i="1"/>
  <c r="F230" i="1"/>
  <c r="G230" i="1"/>
  <c r="F231" i="1"/>
  <c r="G231" i="1"/>
  <c r="F232" i="1"/>
  <c r="G232" i="1"/>
  <c r="F233" i="1"/>
  <c r="G233" i="1"/>
  <c r="F234" i="1"/>
  <c r="G234" i="1"/>
  <c r="F235" i="1"/>
  <c r="G235" i="1"/>
  <c r="F236" i="1"/>
  <c r="G236" i="1"/>
  <c r="F237" i="1"/>
  <c r="G237" i="1"/>
  <c r="F238" i="1"/>
  <c r="G238" i="1"/>
  <c r="F239" i="1"/>
  <c r="G239" i="1"/>
  <c r="F240" i="1"/>
  <c r="G240" i="1"/>
  <c r="F241" i="1"/>
  <c r="G241" i="1"/>
  <c r="F242" i="1"/>
  <c r="G242" i="1"/>
  <c r="F243" i="1"/>
  <c r="G243" i="1"/>
  <c r="F244" i="1"/>
  <c r="G244" i="1"/>
  <c r="F245" i="1"/>
  <c r="G245" i="1"/>
  <c r="F246" i="1"/>
  <c r="G246" i="1"/>
  <c r="F247" i="1"/>
  <c r="G247" i="1"/>
  <c r="F248" i="1"/>
  <c r="G248" i="1"/>
  <c r="F249" i="1"/>
  <c r="G249" i="1"/>
  <c r="F250" i="1"/>
  <c r="G250" i="1"/>
  <c r="F251" i="1"/>
  <c r="G251" i="1"/>
  <c r="F252" i="1"/>
  <c r="G252" i="1"/>
  <c r="F253" i="1"/>
  <c r="G253" i="1"/>
  <c r="F254" i="1"/>
  <c r="G254" i="1"/>
  <c r="F255" i="1"/>
  <c r="G255" i="1"/>
  <c r="F256" i="1"/>
  <c r="G256" i="1"/>
  <c r="F257" i="1"/>
  <c r="G257" i="1"/>
  <c r="F258" i="1"/>
  <c r="G258" i="1"/>
  <c r="F259" i="1"/>
  <c r="G259" i="1"/>
  <c r="F260" i="1"/>
  <c r="G260" i="1"/>
  <c r="F261" i="1"/>
  <c r="G261" i="1"/>
  <c r="F262" i="1"/>
  <c r="G262" i="1"/>
  <c r="F263" i="1"/>
  <c r="G263" i="1"/>
  <c r="F264" i="1"/>
  <c r="G264" i="1"/>
  <c r="F265" i="1"/>
  <c r="G265" i="1"/>
  <c r="F266" i="1"/>
  <c r="G266" i="1"/>
  <c r="F267" i="1"/>
  <c r="G267" i="1"/>
  <c r="F268" i="1"/>
  <c r="G268" i="1"/>
  <c r="F269" i="1"/>
  <c r="G269" i="1"/>
  <c r="F270" i="1"/>
  <c r="G270" i="1"/>
  <c r="F271" i="1"/>
  <c r="G271" i="1"/>
  <c r="F272" i="1"/>
  <c r="G272" i="1"/>
  <c r="F273" i="1"/>
  <c r="G273" i="1"/>
  <c r="F274" i="1"/>
  <c r="G274" i="1"/>
  <c r="F275" i="1"/>
  <c r="G275" i="1"/>
  <c r="F276" i="1"/>
  <c r="G276" i="1"/>
  <c r="F277" i="1"/>
  <c r="G277" i="1"/>
  <c r="F278" i="1"/>
  <c r="G278" i="1"/>
  <c r="F279" i="1"/>
  <c r="G279" i="1"/>
  <c r="F280" i="1"/>
  <c r="G280" i="1"/>
  <c r="F281" i="1"/>
  <c r="G281" i="1"/>
  <c r="F282" i="1"/>
  <c r="G282" i="1"/>
  <c r="F283" i="1"/>
  <c r="G283" i="1"/>
  <c r="F284" i="1"/>
  <c r="G284" i="1"/>
  <c r="F285" i="1"/>
  <c r="G285" i="1"/>
  <c r="F286" i="1"/>
  <c r="G286" i="1"/>
  <c r="F287" i="1"/>
  <c r="G287" i="1"/>
  <c r="F288" i="1"/>
  <c r="G288" i="1"/>
  <c r="F289" i="1"/>
  <c r="G289" i="1"/>
  <c r="F290" i="1"/>
  <c r="G290" i="1"/>
  <c r="F291" i="1"/>
  <c r="G291" i="1"/>
  <c r="F292" i="1"/>
  <c r="G292" i="1"/>
  <c r="F293" i="1"/>
  <c r="G293" i="1"/>
  <c r="F294" i="1"/>
  <c r="G294" i="1"/>
  <c r="F295" i="1"/>
  <c r="G295" i="1"/>
  <c r="F296" i="1"/>
  <c r="G296" i="1"/>
  <c r="F297" i="1"/>
  <c r="G297" i="1"/>
  <c r="F298" i="1"/>
  <c r="G298" i="1"/>
  <c r="F299" i="1"/>
  <c r="G299" i="1"/>
  <c r="F300" i="1"/>
  <c r="G300" i="1"/>
  <c r="F301" i="1"/>
  <c r="G301" i="1"/>
  <c r="F302" i="1"/>
  <c r="G302" i="1"/>
  <c r="F303" i="1"/>
  <c r="G303" i="1"/>
  <c r="F304" i="1"/>
  <c r="G304" i="1"/>
  <c r="F305" i="1"/>
  <c r="G305" i="1"/>
  <c r="F306" i="1"/>
  <c r="G306" i="1"/>
  <c r="F307" i="1"/>
  <c r="G307" i="1"/>
  <c r="F308" i="1"/>
  <c r="G308" i="1"/>
  <c r="F309" i="1"/>
  <c r="G309" i="1"/>
  <c r="F310" i="1"/>
  <c r="G310" i="1"/>
  <c r="F311" i="1"/>
  <c r="G311" i="1"/>
  <c r="F312" i="1"/>
  <c r="G312" i="1"/>
  <c r="F313" i="1"/>
  <c r="G313" i="1"/>
  <c r="F314" i="1"/>
  <c r="G314" i="1"/>
  <c r="F315" i="1"/>
  <c r="G315" i="1"/>
  <c r="F316" i="1"/>
  <c r="G316" i="1"/>
  <c r="F317" i="1"/>
  <c r="G317" i="1"/>
  <c r="F318" i="1"/>
  <c r="G318" i="1"/>
  <c r="F319" i="1"/>
  <c r="G319" i="1"/>
  <c r="F320" i="1"/>
  <c r="G320" i="1"/>
  <c r="F321" i="1"/>
  <c r="G321" i="1"/>
  <c r="F322" i="1"/>
  <c r="G322" i="1"/>
  <c r="F323" i="1"/>
  <c r="G323" i="1"/>
  <c r="F324" i="1"/>
  <c r="G324" i="1"/>
  <c r="F325" i="1"/>
  <c r="G325" i="1"/>
  <c r="F326" i="1"/>
  <c r="G326" i="1"/>
  <c r="F327" i="1"/>
  <c r="G327" i="1"/>
  <c r="F328" i="1"/>
  <c r="G328" i="1"/>
  <c r="F329" i="1"/>
  <c r="G329" i="1"/>
  <c r="F330" i="1"/>
  <c r="G330" i="1"/>
  <c r="F331" i="1"/>
  <c r="G331" i="1"/>
  <c r="F332" i="1"/>
  <c r="G332" i="1"/>
  <c r="F333" i="1"/>
  <c r="G333" i="1"/>
  <c r="F334" i="1"/>
  <c r="G334" i="1"/>
  <c r="F335" i="1"/>
  <c r="G335" i="1"/>
  <c r="F336" i="1"/>
  <c r="G336" i="1"/>
  <c r="F337" i="1"/>
  <c r="G337" i="1"/>
  <c r="F338" i="1"/>
  <c r="G338" i="1"/>
  <c r="F339" i="1"/>
  <c r="G339" i="1"/>
  <c r="F340" i="1"/>
  <c r="G340" i="1"/>
  <c r="F341" i="1"/>
  <c r="G341" i="1"/>
  <c r="F342" i="1"/>
  <c r="G342" i="1"/>
  <c r="F343" i="1"/>
  <c r="G343" i="1"/>
  <c r="F344" i="1"/>
  <c r="G344" i="1"/>
  <c r="F345" i="1"/>
  <c r="G345" i="1"/>
  <c r="F346" i="1"/>
  <c r="G346" i="1"/>
  <c r="F347" i="1"/>
  <c r="G347" i="1"/>
  <c r="F348" i="1"/>
  <c r="G348" i="1"/>
  <c r="F349" i="1"/>
  <c r="G349" i="1"/>
  <c r="F350" i="1"/>
  <c r="G350" i="1"/>
  <c r="F351" i="1"/>
  <c r="G351" i="1"/>
  <c r="F352" i="1"/>
  <c r="G352" i="1"/>
  <c r="F353" i="1"/>
  <c r="G353" i="1"/>
  <c r="F354" i="1"/>
  <c r="G354" i="1"/>
  <c r="F355" i="1"/>
  <c r="G355" i="1"/>
  <c r="F356" i="1"/>
  <c r="G356" i="1"/>
  <c r="F357" i="1"/>
  <c r="G357" i="1"/>
  <c r="F358" i="1"/>
  <c r="G358" i="1"/>
  <c r="F359" i="1"/>
  <c r="G359" i="1"/>
  <c r="F360" i="1"/>
  <c r="G360" i="1"/>
  <c r="F361" i="1"/>
  <c r="G361" i="1"/>
  <c r="F362" i="1"/>
  <c r="G362" i="1"/>
  <c r="F363" i="1"/>
  <c r="G363" i="1"/>
  <c r="F364" i="1"/>
  <c r="G364" i="1"/>
  <c r="F365" i="1"/>
  <c r="G365" i="1"/>
  <c r="F366" i="1"/>
  <c r="G366" i="1"/>
  <c r="F367" i="1"/>
  <c r="G367" i="1"/>
  <c r="F368" i="1"/>
  <c r="G368" i="1"/>
  <c r="F369" i="1"/>
  <c r="G369" i="1"/>
  <c r="F370" i="1"/>
  <c r="G370" i="1"/>
  <c r="F371" i="1"/>
  <c r="G371" i="1"/>
  <c r="F372" i="1"/>
  <c r="G372" i="1"/>
  <c r="F373" i="1"/>
  <c r="G373" i="1"/>
  <c r="F374" i="1"/>
  <c r="G374" i="1"/>
  <c r="F375" i="1"/>
  <c r="G375" i="1"/>
  <c r="F376" i="1"/>
  <c r="G376" i="1"/>
  <c r="F377" i="1"/>
  <c r="G377" i="1"/>
  <c r="F378" i="1"/>
  <c r="G378" i="1"/>
  <c r="F379" i="1"/>
  <c r="G379" i="1"/>
  <c r="F380" i="1"/>
  <c r="G380" i="1"/>
  <c r="F381" i="1"/>
  <c r="G381" i="1"/>
  <c r="F382" i="1"/>
  <c r="G382" i="1"/>
  <c r="F383" i="1"/>
  <c r="G383" i="1"/>
  <c r="F384" i="1"/>
  <c r="G384" i="1"/>
  <c r="F385" i="1"/>
  <c r="G385" i="1"/>
  <c r="F386" i="1"/>
  <c r="G386" i="1"/>
  <c r="F387" i="1"/>
  <c r="G387" i="1"/>
  <c r="F388" i="1"/>
  <c r="G388" i="1"/>
  <c r="F389" i="1"/>
  <c r="G389" i="1"/>
  <c r="F390" i="1"/>
  <c r="G390" i="1"/>
  <c r="F391" i="1"/>
  <c r="G391" i="1"/>
  <c r="F392" i="1"/>
  <c r="G392" i="1"/>
  <c r="F393" i="1"/>
  <c r="G393" i="1"/>
  <c r="F394" i="1"/>
  <c r="G394" i="1"/>
  <c r="F395" i="1"/>
  <c r="G395" i="1"/>
  <c r="F396" i="1"/>
  <c r="G396" i="1"/>
  <c r="F397" i="1"/>
  <c r="G397" i="1"/>
  <c r="F398" i="1"/>
  <c r="G398" i="1"/>
  <c r="F399" i="1"/>
  <c r="G399" i="1"/>
  <c r="F400" i="1"/>
  <c r="G400" i="1"/>
  <c r="F401" i="1"/>
  <c r="G401" i="1"/>
  <c r="F402" i="1"/>
  <c r="G402" i="1"/>
  <c r="F403" i="1"/>
  <c r="G403" i="1"/>
  <c r="F404" i="1"/>
  <c r="G404" i="1"/>
  <c r="F405" i="1"/>
  <c r="G405" i="1"/>
  <c r="F406" i="1"/>
  <c r="G406" i="1"/>
  <c r="F407" i="1"/>
  <c r="G407" i="1"/>
  <c r="F408" i="1"/>
  <c r="G408" i="1"/>
  <c r="F409" i="1"/>
  <c r="G409" i="1"/>
  <c r="F410" i="1"/>
  <c r="G410" i="1"/>
  <c r="F411" i="1"/>
  <c r="G411" i="1"/>
  <c r="F412" i="1"/>
  <c r="G412" i="1"/>
  <c r="F413" i="1"/>
  <c r="G413" i="1"/>
  <c r="F414" i="1"/>
  <c r="G414" i="1"/>
  <c r="F415" i="1"/>
  <c r="G415" i="1"/>
  <c r="F416" i="1"/>
  <c r="G416" i="1"/>
  <c r="F417" i="1"/>
  <c r="G417" i="1"/>
  <c r="F418" i="1"/>
  <c r="G418" i="1"/>
  <c r="F419" i="1"/>
  <c r="G419" i="1"/>
  <c r="F420" i="1"/>
  <c r="G420" i="1"/>
  <c r="F421" i="1"/>
  <c r="G421" i="1"/>
  <c r="F422" i="1"/>
  <c r="G422" i="1"/>
  <c r="F423" i="1"/>
  <c r="G423" i="1"/>
  <c r="F424" i="1"/>
  <c r="G424" i="1"/>
  <c r="F425" i="1"/>
  <c r="G425" i="1"/>
  <c r="F426" i="1"/>
  <c r="G426" i="1"/>
  <c r="F427" i="1"/>
  <c r="G427" i="1"/>
  <c r="F428" i="1"/>
  <c r="G428" i="1"/>
  <c r="F429" i="1"/>
  <c r="G429" i="1"/>
  <c r="F430" i="1"/>
  <c r="G430" i="1"/>
  <c r="F431" i="1"/>
  <c r="G431" i="1"/>
  <c r="F432" i="1"/>
  <c r="G432" i="1"/>
  <c r="F433" i="1"/>
  <c r="G433" i="1"/>
  <c r="F434" i="1"/>
  <c r="G434" i="1"/>
  <c r="F435" i="1"/>
  <c r="G435" i="1"/>
  <c r="F436" i="1"/>
  <c r="G436" i="1"/>
  <c r="F437" i="1"/>
  <c r="G437" i="1"/>
  <c r="F438" i="1"/>
  <c r="G438" i="1"/>
  <c r="F439" i="1"/>
  <c r="G439" i="1"/>
  <c r="F440" i="1"/>
  <c r="G440" i="1"/>
  <c r="F441" i="1"/>
  <c r="G441" i="1"/>
  <c r="F442" i="1"/>
  <c r="G442" i="1"/>
  <c r="F443" i="1"/>
  <c r="G443" i="1"/>
  <c r="F444" i="1"/>
  <c r="G444" i="1"/>
  <c r="F445" i="1"/>
  <c r="G445" i="1"/>
  <c r="F446" i="1"/>
  <c r="G446" i="1"/>
  <c r="F447" i="1"/>
  <c r="G447" i="1"/>
  <c r="F448" i="1"/>
  <c r="G448" i="1"/>
  <c r="F449" i="1"/>
  <c r="G449" i="1"/>
  <c r="F450" i="1"/>
  <c r="G450" i="1"/>
  <c r="F451" i="1"/>
  <c r="G451" i="1"/>
  <c r="F452" i="1"/>
  <c r="G452" i="1"/>
  <c r="F453" i="1"/>
  <c r="G453" i="1"/>
  <c r="F454" i="1"/>
  <c r="G454" i="1"/>
  <c r="F455" i="1"/>
  <c r="G455" i="1"/>
  <c r="F456" i="1"/>
  <c r="G456" i="1"/>
  <c r="F457" i="1"/>
  <c r="G457" i="1"/>
  <c r="F458" i="1"/>
  <c r="G458" i="1"/>
  <c r="F459" i="1"/>
  <c r="G459" i="1"/>
  <c r="F460" i="1"/>
  <c r="G460" i="1"/>
  <c r="F461" i="1"/>
  <c r="G461" i="1"/>
  <c r="F462" i="1"/>
  <c r="G462" i="1"/>
  <c r="F463" i="1"/>
  <c r="G463" i="1"/>
  <c r="F464" i="1"/>
  <c r="G464" i="1"/>
  <c r="F465" i="1"/>
  <c r="G465" i="1"/>
  <c r="F466" i="1"/>
  <c r="G466" i="1"/>
  <c r="F467" i="1"/>
  <c r="G467" i="1"/>
  <c r="F468" i="1"/>
  <c r="G468" i="1"/>
  <c r="F469" i="1"/>
  <c r="G469" i="1"/>
  <c r="F470" i="1"/>
  <c r="G470" i="1"/>
  <c r="F471" i="1"/>
  <c r="G471" i="1"/>
  <c r="F472" i="1"/>
  <c r="G472" i="1"/>
  <c r="F473" i="1"/>
  <c r="G473" i="1"/>
  <c r="F474" i="1"/>
  <c r="G474" i="1"/>
  <c r="F475" i="1"/>
  <c r="G475" i="1"/>
  <c r="F476" i="1"/>
  <c r="G476" i="1"/>
  <c r="F477" i="1"/>
  <c r="G477" i="1"/>
  <c r="F478" i="1"/>
  <c r="G478" i="1"/>
  <c r="F479" i="1"/>
  <c r="G479" i="1"/>
  <c r="F480" i="1"/>
  <c r="G480" i="1"/>
  <c r="F481" i="1"/>
  <c r="G481" i="1"/>
  <c r="F482" i="1"/>
  <c r="G482" i="1"/>
  <c r="F483" i="1"/>
  <c r="G483" i="1"/>
  <c r="F484" i="1"/>
  <c r="G484" i="1"/>
  <c r="F485" i="1"/>
  <c r="G485" i="1"/>
  <c r="F486" i="1"/>
  <c r="G486" i="1"/>
  <c r="F487" i="1"/>
  <c r="G487" i="1"/>
  <c r="F488" i="1"/>
  <c r="G488" i="1"/>
  <c r="F489" i="1"/>
  <c r="G489" i="1"/>
  <c r="F490" i="1"/>
  <c r="G490" i="1"/>
  <c r="F491" i="1"/>
  <c r="G491" i="1"/>
  <c r="F492" i="1"/>
  <c r="G492" i="1"/>
  <c r="F493" i="1"/>
  <c r="G493" i="1"/>
  <c r="F494" i="1"/>
  <c r="G494" i="1"/>
  <c r="F495" i="1"/>
  <c r="G495" i="1"/>
  <c r="F496" i="1"/>
  <c r="G496" i="1"/>
  <c r="F497" i="1"/>
  <c r="G497" i="1"/>
  <c r="F498" i="1"/>
  <c r="G498" i="1"/>
  <c r="F499" i="1"/>
  <c r="G499" i="1"/>
  <c r="F500" i="1"/>
  <c r="G500" i="1"/>
  <c r="F501" i="1"/>
  <c r="G501" i="1"/>
  <c r="F502" i="1"/>
  <c r="G502" i="1"/>
  <c r="F503" i="1"/>
  <c r="G503" i="1"/>
  <c r="F504" i="1"/>
  <c r="G504" i="1"/>
  <c r="F505" i="1"/>
  <c r="G505" i="1"/>
  <c r="F506" i="1"/>
  <c r="G506" i="1"/>
  <c r="F507" i="1"/>
  <c r="G507" i="1"/>
  <c r="F508" i="1"/>
  <c r="G508" i="1"/>
  <c r="F509" i="1"/>
  <c r="G509" i="1"/>
  <c r="F510" i="1"/>
  <c r="G510" i="1"/>
  <c r="F511" i="1"/>
  <c r="G511" i="1"/>
  <c r="F512" i="1"/>
  <c r="G512" i="1"/>
  <c r="F513" i="1"/>
  <c r="G513" i="1"/>
  <c r="F514" i="1"/>
  <c r="G514" i="1"/>
  <c r="F515" i="1"/>
  <c r="G515" i="1"/>
  <c r="F516" i="1"/>
  <c r="G516" i="1"/>
  <c r="F517" i="1"/>
  <c r="G517" i="1"/>
  <c r="F518" i="1"/>
  <c r="G518" i="1"/>
  <c r="F519" i="1"/>
  <c r="G519" i="1"/>
  <c r="F520" i="1"/>
  <c r="G520" i="1"/>
  <c r="F521" i="1"/>
  <c r="G521" i="1"/>
  <c r="F522" i="1"/>
  <c r="G522" i="1"/>
  <c r="F523" i="1"/>
  <c r="G523" i="1"/>
  <c r="F524" i="1"/>
  <c r="G524" i="1"/>
  <c r="F525" i="1"/>
  <c r="G525" i="1"/>
  <c r="F526" i="1"/>
  <c r="G526" i="1"/>
  <c r="F527" i="1"/>
  <c r="G527" i="1"/>
  <c r="F528" i="1"/>
  <c r="G528" i="1"/>
  <c r="F529" i="1"/>
  <c r="G529" i="1"/>
  <c r="F530" i="1"/>
  <c r="G530" i="1"/>
  <c r="F531" i="1"/>
  <c r="G531" i="1"/>
  <c r="F532" i="1"/>
  <c r="G532" i="1"/>
  <c r="F533" i="1"/>
  <c r="G533" i="1"/>
  <c r="F534" i="1"/>
  <c r="G534" i="1"/>
  <c r="F535" i="1"/>
  <c r="G535" i="1"/>
  <c r="F536" i="1"/>
  <c r="G536" i="1"/>
  <c r="F537" i="1"/>
  <c r="G537" i="1"/>
  <c r="F538" i="1"/>
  <c r="G538" i="1"/>
  <c r="F539" i="1"/>
  <c r="G539" i="1"/>
  <c r="F540" i="1"/>
  <c r="G540" i="1"/>
  <c r="F541" i="1"/>
  <c r="G541" i="1"/>
  <c r="F542" i="1"/>
  <c r="G542" i="1"/>
  <c r="F543" i="1"/>
  <c r="G543" i="1"/>
  <c r="F544" i="1"/>
  <c r="G544" i="1"/>
  <c r="F545" i="1"/>
  <c r="G545" i="1"/>
  <c r="F546" i="1"/>
  <c r="G546" i="1"/>
  <c r="F547" i="1"/>
  <c r="G547" i="1"/>
  <c r="F548" i="1"/>
  <c r="G548" i="1"/>
  <c r="F549" i="1"/>
  <c r="G549" i="1"/>
  <c r="F550" i="1"/>
  <c r="G550" i="1"/>
  <c r="F551" i="1"/>
  <c r="G551" i="1"/>
  <c r="F552" i="1"/>
  <c r="G552" i="1"/>
  <c r="F553" i="1"/>
  <c r="G553" i="1"/>
  <c r="F554" i="1"/>
  <c r="G554" i="1"/>
  <c r="F555" i="1"/>
  <c r="G555" i="1"/>
  <c r="F556" i="1"/>
  <c r="G556" i="1"/>
  <c r="F557" i="1"/>
  <c r="G557" i="1"/>
  <c r="F558" i="1"/>
  <c r="G558" i="1"/>
  <c r="F559" i="1"/>
  <c r="G559" i="1"/>
  <c r="F560" i="1"/>
  <c r="G560" i="1"/>
  <c r="F561" i="1"/>
  <c r="G561" i="1"/>
  <c r="F562" i="1"/>
  <c r="G562" i="1"/>
  <c r="F563" i="1"/>
  <c r="G563" i="1"/>
  <c r="F564" i="1"/>
  <c r="G564" i="1"/>
  <c r="F565" i="1"/>
  <c r="G565" i="1"/>
  <c r="F566" i="1"/>
  <c r="G566" i="1"/>
  <c r="F567" i="1"/>
  <c r="G567" i="1"/>
  <c r="F568" i="1"/>
  <c r="G568" i="1"/>
  <c r="F569" i="1"/>
  <c r="G569" i="1"/>
  <c r="F570" i="1"/>
  <c r="G570" i="1"/>
  <c r="F571" i="1"/>
  <c r="G571" i="1"/>
  <c r="F572" i="1"/>
  <c r="G572" i="1"/>
  <c r="F573" i="1"/>
  <c r="G573" i="1"/>
  <c r="F574" i="1"/>
  <c r="G574" i="1"/>
  <c r="F575" i="1"/>
  <c r="G575" i="1"/>
  <c r="F576" i="1"/>
  <c r="G576" i="1"/>
  <c r="F577" i="1"/>
  <c r="G577" i="1"/>
  <c r="F578" i="1"/>
  <c r="G578" i="1"/>
  <c r="F579" i="1"/>
  <c r="G579" i="1"/>
  <c r="F580" i="1"/>
  <c r="G580" i="1"/>
  <c r="F581" i="1"/>
  <c r="G581" i="1"/>
  <c r="F582" i="1"/>
  <c r="G582" i="1"/>
  <c r="F583" i="1"/>
  <c r="G583" i="1"/>
  <c r="F584" i="1"/>
  <c r="G584" i="1"/>
  <c r="F585" i="1"/>
  <c r="G585" i="1"/>
  <c r="F586" i="1"/>
  <c r="G586" i="1"/>
  <c r="F587" i="1"/>
  <c r="G587" i="1"/>
  <c r="F588" i="1"/>
  <c r="G588" i="1"/>
  <c r="F589" i="1"/>
  <c r="G589" i="1"/>
  <c r="F590" i="1"/>
  <c r="G590" i="1"/>
  <c r="F591" i="1"/>
  <c r="G591" i="1"/>
  <c r="F592" i="1"/>
  <c r="G592" i="1"/>
  <c r="F593" i="1"/>
  <c r="G593" i="1"/>
  <c r="F594" i="1"/>
  <c r="G594" i="1"/>
  <c r="F595" i="1"/>
  <c r="G595" i="1"/>
  <c r="F596" i="1"/>
  <c r="G596" i="1"/>
  <c r="F597" i="1"/>
  <c r="G597" i="1"/>
  <c r="F598" i="1"/>
  <c r="G598" i="1"/>
  <c r="F599" i="1"/>
  <c r="G599" i="1"/>
  <c r="F600" i="1"/>
  <c r="G600" i="1"/>
  <c r="F601" i="1"/>
  <c r="G601" i="1"/>
  <c r="F602" i="1"/>
  <c r="G602" i="1"/>
  <c r="F603" i="1"/>
  <c r="G603" i="1"/>
  <c r="F604" i="1"/>
  <c r="G604" i="1"/>
  <c r="F605" i="1"/>
  <c r="G605" i="1"/>
  <c r="F606" i="1"/>
  <c r="G606" i="1"/>
  <c r="F607" i="1"/>
  <c r="G607" i="1"/>
  <c r="F608" i="1"/>
  <c r="G608" i="1"/>
  <c r="F609" i="1"/>
  <c r="G609" i="1"/>
  <c r="F610" i="1"/>
  <c r="G610" i="1"/>
  <c r="F611" i="1"/>
  <c r="G611" i="1"/>
  <c r="F612" i="1"/>
  <c r="G612" i="1"/>
  <c r="F613" i="1"/>
  <c r="G613" i="1"/>
  <c r="F614" i="1"/>
  <c r="G614" i="1"/>
  <c r="F615" i="1"/>
  <c r="G615" i="1"/>
  <c r="F616" i="1"/>
  <c r="G616" i="1"/>
  <c r="F617" i="1"/>
  <c r="G617" i="1"/>
  <c r="F618" i="1"/>
  <c r="G618" i="1"/>
  <c r="F619" i="1"/>
  <c r="G619" i="1"/>
  <c r="F620" i="1"/>
  <c r="G620" i="1"/>
  <c r="F621" i="1"/>
  <c r="G621" i="1"/>
  <c r="F622" i="1"/>
  <c r="G622" i="1"/>
  <c r="F623" i="1"/>
  <c r="G623" i="1"/>
  <c r="F624" i="1"/>
  <c r="G624" i="1"/>
  <c r="F625" i="1"/>
  <c r="G625" i="1"/>
  <c r="F626" i="1"/>
  <c r="G626" i="1"/>
  <c r="F627" i="1"/>
  <c r="G627" i="1"/>
  <c r="F628" i="1"/>
  <c r="G628" i="1"/>
  <c r="F629" i="1"/>
  <c r="G629" i="1"/>
  <c r="F630" i="1"/>
  <c r="G630" i="1"/>
  <c r="F631" i="1"/>
  <c r="G631" i="1"/>
  <c r="F632" i="1"/>
  <c r="G632" i="1"/>
  <c r="F633" i="1"/>
  <c r="G633" i="1"/>
  <c r="F634" i="1"/>
  <c r="G634" i="1"/>
  <c r="F635" i="1"/>
  <c r="G635" i="1"/>
  <c r="F636" i="1"/>
  <c r="G636" i="1"/>
  <c r="F637" i="1"/>
  <c r="G637" i="1"/>
  <c r="F638" i="1"/>
  <c r="G638" i="1"/>
  <c r="F639" i="1"/>
  <c r="G639" i="1"/>
  <c r="F640" i="1"/>
  <c r="G640" i="1"/>
  <c r="F641" i="1"/>
  <c r="G641" i="1"/>
  <c r="F642" i="1"/>
  <c r="G642" i="1"/>
  <c r="F643" i="1"/>
  <c r="G643" i="1"/>
  <c r="F644" i="1"/>
  <c r="G644" i="1"/>
  <c r="F645" i="1"/>
  <c r="G645" i="1"/>
  <c r="F646" i="1"/>
  <c r="G646" i="1"/>
  <c r="F647" i="1"/>
  <c r="G647" i="1"/>
  <c r="F648" i="1"/>
  <c r="G648" i="1"/>
  <c r="F649" i="1"/>
  <c r="G649" i="1"/>
  <c r="F650" i="1"/>
  <c r="G650" i="1"/>
  <c r="F651" i="1"/>
  <c r="G651" i="1"/>
  <c r="F652" i="1"/>
  <c r="G652" i="1"/>
  <c r="F653" i="1"/>
  <c r="G653" i="1"/>
  <c r="F654" i="1"/>
  <c r="G654" i="1"/>
  <c r="F655" i="1"/>
  <c r="G655" i="1"/>
  <c r="F656" i="1"/>
  <c r="G656" i="1"/>
  <c r="F657" i="1"/>
  <c r="G657" i="1"/>
  <c r="F658" i="1"/>
  <c r="G658" i="1"/>
  <c r="F659" i="1"/>
  <c r="G659" i="1"/>
  <c r="F660" i="1"/>
  <c r="G660" i="1"/>
  <c r="F661" i="1"/>
  <c r="G661" i="1"/>
  <c r="F662" i="1"/>
  <c r="G662" i="1"/>
  <c r="F663" i="1"/>
  <c r="G663" i="1"/>
  <c r="F664" i="1"/>
  <c r="G664" i="1"/>
  <c r="F665" i="1"/>
  <c r="G665" i="1"/>
  <c r="F666" i="1"/>
  <c r="G666" i="1"/>
  <c r="F667" i="1"/>
  <c r="G667" i="1"/>
  <c r="F668" i="1"/>
  <c r="G668" i="1"/>
  <c r="F669" i="1"/>
  <c r="G669" i="1"/>
  <c r="F670" i="1"/>
  <c r="G670" i="1"/>
  <c r="F671" i="1"/>
  <c r="G671" i="1"/>
  <c r="F672" i="1"/>
  <c r="G672" i="1"/>
  <c r="F673" i="1"/>
  <c r="G673" i="1"/>
  <c r="F674" i="1"/>
  <c r="G674" i="1"/>
  <c r="F675" i="1"/>
  <c r="G675" i="1"/>
  <c r="F676" i="1"/>
  <c r="G676" i="1"/>
  <c r="F677" i="1"/>
  <c r="G677" i="1"/>
  <c r="F678" i="1"/>
  <c r="G678" i="1"/>
  <c r="F679" i="1"/>
  <c r="G679" i="1"/>
  <c r="F680" i="1"/>
  <c r="G680" i="1"/>
  <c r="F681" i="1"/>
  <c r="G681" i="1"/>
  <c r="F682" i="1"/>
  <c r="G682" i="1"/>
  <c r="F683" i="1"/>
  <c r="G683" i="1"/>
  <c r="F684" i="1"/>
  <c r="G684" i="1"/>
  <c r="F685" i="1"/>
  <c r="G685" i="1"/>
  <c r="F686" i="1"/>
  <c r="G686" i="1"/>
  <c r="F687" i="1"/>
  <c r="G687" i="1"/>
  <c r="F688" i="1"/>
  <c r="G688" i="1"/>
  <c r="F689" i="1"/>
  <c r="G689" i="1"/>
  <c r="F690" i="1"/>
  <c r="G690" i="1"/>
  <c r="F691" i="1"/>
  <c r="G691" i="1"/>
  <c r="F692" i="1"/>
  <c r="G692" i="1"/>
  <c r="F693" i="1"/>
  <c r="G693" i="1"/>
  <c r="F694" i="1"/>
  <c r="G694" i="1"/>
  <c r="F695" i="1"/>
  <c r="G695" i="1"/>
  <c r="F696" i="1"/>
  <c r="G696" i="1"/>
  <c r="F697" i="1"/>
  <c r="G697" i="1"/>
  <c r="F698" i="1"/>
  <c r="G698" i="1"/>
  <c r="F699" i="1"/>
  <c r="G699" i="1"/>
  <c r="F700" i="1"/>
  <c r="G700" i="1"/>
  <c r="F701" i="1"/>
  <c r="G701" i="1"/>
  <c r="F702" i="1"/>
  <c r="G702" i="1"/>
  <c r="F703" i="1"/>
  <c r="G703" i="1"/>
  <c r="F704" i="1"/>
  <c r="G704" i="1"/>
  <c r="F705" i="1"/>
  <c r="G705" i="1"/>
  <c r="F706" i="1"/>
  <c r="G706" i="1"/>
  <c r="F707" i="1"/>
  <c r="G707" i="1"/>
  <c r="F708" i="1"/>
  <c r="G708" i="1"/>
  <c r="F709" i="1"/>
  <c r="G709" i="1"/>
  <c r="F710" i="1"/>
  <c r="G710" i="1"/>
  <c r="F711" i="1"/>
  <c r="G711" i="1"/>
  <c r="F712" i="1"/>
  <c r="G712" i="1"/>
  <c r="F713" i="1"/>
  <c r="G713" i="1"/>
  <c r="F714" i="1"/>
  <c r="G714" i="1"/>
  <c r="F715" i="1"/>
  <c r="G715" i="1"/>
  <c r="F716" i="1"/>
  <c r="G716" i="1"/>
  <c r="F717" i="1"/>
  <c r="G717" i="1"/>
  <c r="F718" i="1"/>
  <c r="G718" i="1"/>
  <c r="F719" i="1"/>
  <c r="G719" i="1"/>
  <c r="F720" i="1"/>
  <c r="G720" i="1"/>
  <c r="F721" i="1"/>
  <c r="G721" i="1"/>
  <c r="F722" i="1"/>
  <c r="G722" i="1"/>
  <c r="F723" i="1"/>
  <c r="G723" i="1"/>
  <c r="F724" i="1"/>
  <c r="G724" i="1"/>
  <c r="F725" i="1"/>
  <c r="G725" i="1"/>
  <c r="F726" i="1"/>
  <c r="G726" i="1"/>
  <c r="F727" i="1"/>
  <c r="G727" i="1"/>
  <c r="F728" i="1"/>
  <c r="G728" i="1"/>
  <c r="F729" i="1"/>
  <c r="G729" i="1"/>
  <c r="F730" i="1"/>
  <c r="G730" i="1"/>
  <c r="F731" i="1"/>
  <c r="G731" i="1"/>
  <c r="F732" i="1"/>
  <c r="G732" i="1"/>
  <c r="F733" i="1"/>
  <c r="G733" i="1"/>
  <c r="F734" i="1"/>
  <c r="G734" i="1"/>
  <c r="F735" i="1"/>
  <c r="G735" i="1"/>
  <c r="F736" i="1"/>
  <c r="G736" i="1"/>
  <c r="F737" i="1"/>
  <c r="G737" i="1"/>
  <c r="F738" i="1"/>
  <c r="G738" i="1"/>
  <c r="F739" i="1"/>
  <c r="G739" i="1"/>
  <c r="F740" i="1"/>
  <c r="G740" i="1"/>
  <c r="F741" i="1"/>
  <c r="G741" i="1"/>
  <c r="F742" i="1"/>
  <c r="G742" i="1"/>
  <c r="F743" i="1"/>
  <c r="G743" i="1"/>
  <c r="F744" i="1"/>
  <c r="G744" i="1"/>
  <c r="F745" i="1"/>
  <c r="G745" i="1"/>
  <c r="F746" i="1"/>
  <c r="G746" i="1"/>
  <c r="F747" i="1"/>
  <c r="G747" i="1"/>
  <c r="F748" i="1"/>
  <c r="G748" i="1"/>
  <c r="F749" i="1"/>
  <c r="G749" i="1"/>
  <c r="F5" i="1"/>
  <c r="G5" i="1"/>
  <c r="F6" i="1"/>
  <c r="G6" i="1"/>
  <c r="F7" i="1"/>
  <c r="G7" i="1"/>
  <c r="F8" i="1"/>
  <c r="G8" i="1"/>
  <c r="F9" i="1"/>
  <c r="G9" i="1"/>
  <c r="F10" i="1"/>
  <c r="G10" i="1"/>
  <c r="F11" i="1"/>
  <c r="G11" i="1"/>
  <c r="F12" i="1"/>
  <c r="G12" i="1"/>
  <c r="F13" i="1"/>
  <c r="G13" i="1"/>
  <c r="F14" i="1"/>
  <c r="G14" i="1"/>
  <c r="F15" i="1"/>
  <c r="G15" i="1"/>
  <c r="F16" i="1"/>
  <c r="G16" i="1"/>
  <c r="F17" i="1"/>
  <c r="G17" i="1"/>
  <c r="F18" i="1"/>
  <c r="G18" i="1"/>
  <c r="F19" i="1"/>
  <c r="G19" i="1"/>
  <c r="F20" i="1"/>
  <c r="G20" i="1"/>
  <c r="F21" i="1"/>
  <c r="G21" i="1"/>
  <c r="F22" i="1"/>
  <c r="G22" i="1"/>
  <c r="F23" i="1"/>
  <c r="G23" i="1"/>
  <c r="F24" i="1"/>
  <c r="G24" i="1"/>
  <c r="F25" i="1"/>
  <c r="G25" i="1"/>
  <c r="F26" i="1"/>
  <c r="G26" i="1"/>
  <c r="F27" i="1"/>
  <c r="G27" i="1"/>
  <c r="F28" i="1"/>
  <c r="G28" i="1"/>
  <c r="F29" i="1"/>
  <c r="G29" i="1"/>
  <c r="F30" i="1"/>
  <c r="G30" i="1"/>
  <c r="F31" i="1"/>
  <c r="G31" i="1"/>
  <c r="F32" i="1"/>
  <c r="G32" i="1"/>
  <c r="F33" i="1"/>
  <c r="G33" i="1"/>
  <c r="F34" i="1"/>
  <c r="G34" i="1"/>
  <c r="F35" i="1"/>
  <c r="G35" i="1"/>
  <c r="F36" i="1"/>
  <c r="G36" i="1"/>
  <c r="F37" i="1"/>
  <c r="G37" i="1"/>
  <c r="F38" i="1"/>
  <c r="G38" i="1"/>
  <c r="F39" i="1"/>
  <c r="G39" i="1"/>
  <c r="F40" i="1"/>
  <c r="G40" i="1"/>
  <c r="F41" i="1"/>
  <c r="G41" i="1"/>
  <c r="F42" i="1"/>
  <c r="G42" i="1"/>
  <c r="G4" i="1"/>
  <c r="F4" i="1"/>
  <c r="D743" i="1" l="1"/>
  <c r="E743" i="1" s="1"/>
  <c r="D741" i="1"/>
  <c r="D740" i="1"/>
  <c r="E740" i="1" s="1"/>
  <c r="D744" i="1" l="1"/>
  <c r="D745" i="1" s="1"/>
  <c r="E745" i="1" s="1"/>
  <c r="D5" i="1"/>
  <c r="D6" i="1" s="1"/>
  <c r="E4" i="1"/>
  <c r="D746" i="1" l="1"/>
  <c r="E5" i="1"/>
  <c r="D7" i="1"/>
  <c r="E6" i="1"/>
  <c r="D8" i="1" l="1"/>
  <c r="E7" i="1"/>
  <c r="D9" i="1" l="1"/>
  <c r="E8" i="1"/>
  <c r="D10" i="1" l="1"/>
  <c r="E9" i="1"/>
  <c r="D11" i="1" l="1"/>
  <c r="E10" i="1"/>
  <c r="D12" i="1" l="1"/>
  <c r="E11" i="1"/>
  <c r="D13" i="1" l="1"/>
  <c r="E12" i="1"/>
  <c r="D14" i="1" l="1"/>
  <c r="E13" i="1"/>
  <c r="D15" i="1" l="1"/>
  <c r="E14" i="1"/>
  <c r="D16" i="1" l="1"/>
  <c r="E15" i="1"/>
  <c r="D17" i="1" l="1"/>
  <c r="E16" i="1"/>
  <c r="D18" i="1" l="1"/>
  <c r="E17" i="1"/>
  <c r="E18" i="1" l="1"/>
  <c r="D19" i="1"/>
  <c r="D20" i="1" l="1"/>
  <c r="E19" i="1"/>
  <c r="D21" i="1" l="1"/>
  <c r="E20" i="1"/>
  <c r="D22" i="1" l="1"/>
  <c r="E21" i="1"/>
  <c r="D23" i="1" l="1"/>
  <c r="D24" i="1" s="1"/>
  <c r="E24" i="1" s="1"/>
  <c r="E22" i="1"/>
  <c r="E23" i="1" l="1"/>
  <c r="D25" i="1" l="1"/>
  <c r="D26" i="1" l="1"/>
  <c r="D27" i="1" s="1"/>
  <c r="E27" i="1" s="1"/>
  <c r="E25" i="1"/>
  <c r="E26" i="1" l="1"/>
  <c r="D28" i="1" l="1"/>
  <c r="D29" i="1" l="1"/>
  <c r="D30" i="1" s="1"/>
  <c r="E28" i="1"/>
  <c r="E30" i="1" l="1"/>
  <c r="D31" i="1"/>
  <c r="E29" i="1"/>
  <c r="D32" i="1" l="1"/>
  <c r="D33" i="1" s="1"/>
  <c r="E31" i="1"/>
  <c r="E32" i="1" l="1"/>
  <c r="D34" i="1"/>
  <c r="E33" i="1"/>
  <c r="D35" i="1" l="1"/>
  <c r="D36" i="1" s="1"/>
  <c r="E34" i="1"/>
  <c r="E36" i="1" l="1"/>
  <c r="D37" i="1"/>
  <c r="E35" i="1"/>
  <c r="D38" i="1" l="1"/>
  <c r="E37" i="1"/>
  <c r="E38" i="1" l="1"/>
  <c r="D39" i="1"/>
  <c r="E39" i="1" l="1"/>
  <c r="D41" i="1"/>
  <c r="E41" i="1" l="1"/>
  <c r="D42" i="1"/>
  <c r="E42" i="1" l="1"/>
  <c r="D43" i="1"/>
  <c r="D44" i="1" l="1"/>
  <c r="E43" i="1"/>
  <c r="D45" i="1" l="1"/>
  <c r="E44" i="1"/>
  <c r="D46" i="1" l="1"/>
  <c r="E45" i="1"/>
  <c r="E46" i="1" l="1"/>
  <c r="D47" i="1"/>
  <c r="E47" i="1" l="1"/>
  <c r="D49" i="1"/>
  <c r="E49" i="1" l="1"/>
  <c r="D50" i="1"/>
  <c r="E50" i="1" l="1"/>
  <c r="D51" i="1"/>
  <c r="D52" i="1" l="1"/>
  <c r="E51" i="1"/>
  <c r="E52" i="1" l="1"/>
  <c r="D53" i="1"/>
  <c r="E53" i="1" l="1"/>
  <c r="D54" i="1"/>
  <c r="E54" i="1" l="1"/>
  <c r="D56" i="1"/>
  <c r="E56" i="1" l="1"/>
  <c r="D57" i="1"/>
  <c r="D58" i="1" l="1"/>
  <c r="E57" i="1"/>
  <c r="D59" i="1" l="1"/>
  <c r="E58" i="1"/>
  <c r="D60" i="1" l="1"/>
  <c r="E59" i="1"/>
  <c r="E60" i="1" l="1"/>
  <c r="D61" i="1"/>
  <c r="D62" i="1" l="1"/>
  <c r="D63" i="1" s="1"/>
  <c r="E61" i="1"/>
  <c r="E63" i="1" l="1"/>
  <c r="D64" i="1"/>
  <c r="E62" i="1"/>
  <c r="D65" i="1" l="1"/>
  <c r="E64" i="1"/>
  <c r="D66" i="1" l="1"/>
  <c r="E65" i="1"/>
  <c r="E66" i="1" l="1"/>
  <c r="D67" i="1"/>
  <c r="E67" i="1" l="1"/>
  <c r="D68" i="1"/>
  <c r="D69" i="1" l="1"/>
  <c r="E68" i="1"/>
  <c r="D70" i="1" l="1"/>
  <c r="E69" i="1"/>
  <c r="D71" i="1" l="1"/>
  <c r="E70" i="1"/>
  <c r="E71" i="1" l="1"/>
  <c r="D72" i="1"/>
  <c r="D74" i="1" l="1"/>
  <c r="E72" i="1"/>
  <c r="D75" i="1" l="1"/>
  <c r="E74" i="1"/>
  <c r="E75" i="1" l="1"/>
  <c r="D76" i="1"/>
  <c r="E76" i="1" l="1"/>
  <c r="D77" i="1"/>
  <c r="D78" i="1" l="1"/>
  <c r="E77" i="1"/>
  <c r="D79" i="1" l="1"/>
  <c r="E78" i="1"/>
  <c r="E79" i="1" l="1"/>
  <c r="D80" i="1"/>
  <c r="D81" i="1" l="1"/>
  <c r="E80" i="1"/>
  <c r="E81" i="1" l="1"/>
  <c r="D82" i="1"/>
  <c r="E82" i="1" l="1"/>
  <c r="D83" i="1"/>
  <c r="D84" i="1" l="1"/>
  <c r="E83" i="1"/>
  <c r="E84" i="1" l="1"/>
  <c r="D85" i="1"/>
  <c r="E85" i="1" l="1"/>
  <c r="D86" i="1"/>
  <c r="D88" i="1" s="1"/>
  <c r="E86" i="1" l="1"/>
  <c r="E88" i="1" l="1"/>
  <c r="D89" i="1"/>
  <c r="D90" i="1" l="1"/>
  <c r="E89" i="1"/>
  <c r="E90" i="1" l="1"/>
  <c r="D91" i="1"/>
  <c r="E91" i="1" l="1"/>
  <c r="D92" i="1"/>
  <c r="D93" i="1" l="1"/>
  <c r="E92" i="1"/>
  <c r="D94" i="1" l="1"/>
  <c r="E93" i="1"/>
  <c r="E94" i="1" l="1"/>
  <c r="D95" i="1"/>
  <c r="D96" i="1" l="1"/>
  <c r="E95" i="1"/>
  <c r="E96" i="1" l="1"/>
  <c r="D98" i="1"/>
  <c r="E98" i="1" l="1"/>
  <c r="D99" i="1"/>
  <c r="E99" i="1" l="1"/>
  <c r="D100" i="1"/>
  <c r="D101" i="1" l="1"/>
  <c r="E100" i="1"/>
  <c r="D102" i="1" l="1"/>
  <c r="E101" i="1"/>
  <c r="E102" i="1" l="1"/>
  <c r="D103" i="1"/>
  <c r="E103" i="1" l="1"/>
  <c r="D104" i="1"/>
  <c r="E104" i="1" l="1"/>
  <c r="D106" i="1"/>
  <c r="D107" i="1" l="1"/>
  <c r="E106" i="1"/>
  <c r="E107" i="1" l="1"/>
  <c r="D108" i="1"/>
  <c r="D109" i="1" l="1"/>
  <c r="E108" i="1"/>
  <c r="E109" i="1" l="1"/>
  <c r="D110" i="1"/>
  <c r="E110" i="1" l="1"/>
  <c r="D111" i="1"/>
  <c r="E111" i="1" l="1"/>
  <c r="D112" i="1"/>
  <c r="D113" i="1" l="1"/>
  <c r="E112" i="1"/>
  <c r="D114" i="1" l="1"/>
  <c r="E113" i="1"/>
  <c r="D115" i="1" l="1"/>
  <c r="E114" i="1"/>
  <c r="E115" i="1" l="1"/>
  <c r="D117" i="1"/>
  <c r="D118" i="1" s="1"/>
  <c r="E117" i="1" l="1"/>
  <c r="E118" i="1" l="1"/>
  <c r="D120" i="1"/>
  <c r="E120" i="1" l="1"/>
  <c r="D121" i="1"/>
  <c r="D122" i="1" l="1"/>
  <c r="E121" i="1"/>
  <c r="D123" i="1" l="1"/>
  <c r="E122" i="1"/>
  <c r="E123" i="1" l="1"/>
  <c r="D124" i="1"/>
  <c r="D125" i="1" l="1"/>
  <c r="E124" i="1"/>
  <c r="D126" i="1" l="1"/>
  <c r="E125" i="1"/>
  <c r="E126" i="1" l="1"/>
  <c r="D127" i="1"/>
  <c r="D128" i="1" s="1"/>
  <c r="E128" i="1" l="1"/>
  <c r="D129" i="1"/>
  <c r="E127" i="1"/>
  <c r="D130" i="1" l="1"/>
  <c r="E129" i="1"/>
  <c r="E130" i="1" l="1"/>
  <c r="D131" i="1"/>
  <c r="D133" i="1" l="1"/>
  <c r="E131" i="1"/>
  <c r="D134" i="1" l="1"/>
  <c r="E133" i="1"/>
  <c r="D135" i="1" l="1"/>
  <c r="E134" i="1"/>
  <c r="D136" i="1" l="1"/>
  <c r="E135" i="1"/>
  <c r="E136" i="1" l="1"/>
  <c r="D137" i="1"/>
  <c r="E137" i="1" l="1"/>
  <c r="D138" i="1"/>
  <c r="E138" i="1" l="1"/>
  <c r="D139" i="1"/>
  <c r="E139" i="1" l="1"/>
  <c r="D140" i="1"/>
  <c r="E140" i="1" l="1"/>
  <c r="D142" i="1"/>
  <c r="D143" i="1" l="1"/>
  <c r="E142" i="1"/>
  <c r="E143" i="1" l="1"/>
  <c r="D144" i="1"/>
  <c r="D145" i="1" l="1"/>
  <c r="E144" i="1"/>
  <c r="E145" i="1" l="1"/>
  <c r="D146" i="1"/>
  <c r="D147" i="1" l="1"/>
  <c r="E146" i="1"/>
  <c r="E147" i="1" l="1"/>
  <c r="D149" i="1"/>
  <c r="E149" i="1" l="1"/>
  <c r="D150" i="1"/>
  <c r="D151" i="1" l="1"/>
  <c r="E150" i="1"/>
  <c r="E151" i="1" l="1"/>
  <c r="D152" i="1"/>
  <c r="D153" i="1" l="1"/>
  <c r="E152" i="1"/>
  <c r="E153" i="1" l="1"/>
  <c r="D154" i="1"/>
  <c r="E154" i="1" l="1"/>
  <c r="D155" i="1"/>
  <c r="D156" i="1" s="1"/>
  <c r="E156" i="1" l="1"/>
  <c r="D157" i="1"/>
  <c r="E155" i="1"/>
  <c r="E157" i="1" l="1"/>
  <c r="D158" i="1"/>
  <c r="D159" i="1" l="1"/>
  <c r="E158" i="1"/>
  <c r="E159" i="1" l="1"/>
  <c r="D160" i="1"/>
  <c r="E160" i="1" l="1"/>
  <c r="D161" i="1"/>
  <c r="E161" i="1" l="1"/>
  <c r="D162" i="1"/>
  <c r="E162" i="1" l="1"/>
  <c r="D163" i="1"/>
  <c r="E163" i="1" l="1"/>
  <c r="D164" i="1"/>
  <c r="E164" i="1" l="1"/>
  <c r="D165" i="1"/>
  <c r="D168" i="1" l="1"/>
  <c r="E165" i="1"/>
  <c r="D169" i="1" l="1"/>
  <c r="E168" i="1"/>
  <c r="D170" i="1" l="1"/>
  <c r="E169" i="1"/>
  <c r="E170" i="1" l="1"/>
  <c r="D171" i="1"/>
  <c r="E171" i="1" l="1"/>
  <c r="D172" i="1"/>
  <c r="E172" i="1" l="1"/>
  <c r="D173" i="1"/>
  <c r="D174" i="1" l="1"/>
  <c r="E173" i="1"/>
  <c r="D175" i="1" l="1"/>
  <c r="E174" i="1"/>
  <c r="D176" i="1" l="1"/>
  <c r="E175" i="1"/>
  <c r="E176" i="1" l="1"/>
  <c r="D177" i="1"/>
  <c r="D178" i="1" l="1"/>
  <c r="E177" i="1"/>
  <c r="E178" i="1" l="1"/>
  <c r="D179" i="1"/>
  <c r="D180" i="1" l="1"/>
  <c r="E179" i="1"/>
  <c r="E180" i="1" l="1"/>
  <c r="D181" i="1"/>
  <c r="D182" i="1" l="1"/>
  <c r="E181" i="1"/>
  <c r="E182" i="1" l="1"/>
  <c r="D183" i="1"/>
  <c r="D185" i="1" l="1"/>
  <c r="E183" i="1"/>
  <c r="D186" i="1" l="1"/>
  <c r="E185" i="1"/>
  <c r="E186" i="1" l="1"/>
  <c r="D187" i="1"/>
  <c r="D188" i="1" l="1"/>
  <c r="E187" i="1"/>
  <c r="E188" i="1" l="1"/>
  <c r="D189" i="1"/>
  <c r="E189" i="1" l="1"/>
  <c r="D190" i="1"/>
  <c r="D191" i="1" l="1"/>
  <c r="E190" i="1"/>
  <c r="E191" i="1" l="1"/>
  <c r="D192" i="1"/>
  <c r="D193" i="1" l="1"/>
  <c r="E192" i="1"/>
  <c r="D196" i="1" l="1"/>
  <c r="E193" i="1"/>
  <c r="E196" i="1" l="1"/>
  <c r="D197" i="1"/>
  <c r="E197" i="1" l="1"/>
  <c r="D198" i="1"/>
  <c r="D199" i="1" l="1"/>
  <c r="E198" i="1"/>
  <c r="E199" i="1" l="1"/>
  <c r="D200" i="1"/>
  <c r="D201" i="1" l="1"/>
  <c r="E200" i="1"/>
  <c r="E201" i="1" l="1"/>
  <c r="D202" i="1"/>
  <c r="D203" i="1" l="1"/>
  <c r="E202" i="1"/>
  <c r="E203" i="1" l="1"/>
  <c r="D205" i="1"/>
  <c r="E205" i="1" l="1"/>
  <c r="D206" i="1"/>
  <c r="E206" i="1" l="1"/>
  <c r="D207" i="1"/>
  <c r="E207" i="1" l="1"/>
  <c r="D208" i="1"/>
  <c r="D209" i="1" l="1"/>
  <c r="E208" i="1"/>
  <c r="E209" i="1" l="1"/>
  <c r="D210" i="1"/>
  <c r="E210" i="1" l="1"/>
  <c r="D211" i="1"/>
  <c r="E211" i="1" l="1"/>
  <c r="D212" i="1"/>
  <c r="D213" i="1" l="1"/>
  <c r="E212" i="1"/>
  <c r="D214" i="1" l="1"/>
  <c r="E213" i="1"/>
  <c r="E214" i="1" l="1"/>
  <c r="D215" i="1"/>
  <c r="E215" i="1" l="1"/>
  <c r="D217" i="1"/>
  <c r="E217" i="1" l="1"/>
  <c r="D218" i="1"/>
  <c r="D219" i="1" s="1"/>
  <c r="E218" i="1" l="1"/>
  <c r="E219" i="1" l="1"/>
  <c r="D221" i="1"/>
  <c r="E221" i="1" l="1"/>
  <c r="D222" i="1"/>
  <c r="E222" i="1" l="1"/>
  <c r="D223" i="1"/>
  <c r="D224" i="1" l="1"/>
  <c r="E223" i="1"/>
  <c r="E224" i="1" l="1"/>
  <c r="D225" i="1"/>
  <c r="E225" i="1" l="1"/>
  <c r="D226" i="1"/>
  <c r="E226" i="1" l="1"/>
  <c r="D227" i="1"/>
  <c r="E227" i="1" l="1"/>
  <c r="D228" i="1"/>
  <c r="E228" i="1" l="1"/>
  <c r="D229" i="1"/>
  <c r="D230" i="1" l="1"/>
  <c r="E229" i="1"/>
  <c r="D231" i="1" l="1"/>
  <c r="D232" i="1" s="1"/>
  <c r="E230" i="1"/>
  <c r="D233" i="1" l="1"/>
  <c r="E232" i="1"/>
  <c r="E231" i="1"/>
  <c r="E233" i="1" l="1"/>
  <c r="D234" i="1"/>
  <c r="E234" i="1" s="1"/>
  <c r="D236" i="1" l="1"/>
  <c r="E236" i="1" s="1"/>
  <c r="D237" i="1" l="1"/>
  <c r="E237" i="1" s="1"/>
  <c r="D238" i="1" l="1"/>
  <c r="E238" i="1" s="1"/>
  <c r="D239" i="1" l="1"/>
  <c r="E239" i="1" s="1"/>
  <c r="D240" i="1" l="1"/>
  <c r="D241" i="1" s="1"/>
  <c r="E240" i="1" l="1"/>
  <c r="D242" i="1"/>
  <c r="E241" i="1"/>
  <c r="E242" i="1" l="1"/>
  <c r="D243" i="1"/>
  <c r="E243" i="1" l="1"/>
  <c r="D245" i="1"/>
  <c r="E245" i="1" l="1"/>
  <c r="D246" i="1"/>
  <c r="E246" i="1" l="1"/>
  <c r="D247" i="1"/>
  <c r="E247" i="1" l="1"/>
  <c r="D248" i="1"/>
  <c r="E248" i="1" l="1"/>
  <c r="D249" i="1"/>
  <c r="E249" i="1" l="1"/>
  <c r="D250" i="1"/>
  <c r="E250" i="1" l="1"/>
  <c r="D252" i="1"/>
  <c r="D253" i="1" l="1"/>
  <c r="E252" i="1"/>
  <c r="E253" i="1" l="1"/>
  <c r="D254" i="1"/>
  <c r="D255" i="1" l="1"/>
  <c r="E254" i="1"/>
  <c r="E255" i="1" l="1"/>
  <c r="D256" i="1"/>
  <c r="D257" i="1" l="1"/>
  <c r="E256" i="1"/>
  <c r="E257" i="1" l="1"/>
  <c r="D258" i="1"/>
  <c r="D259" i="1" l="1"/>
  <c r="E258" i="1"/>
  <c r="E259" i="1" l="1"/>
  <c r="D260" i="1"/>
  <c r="E260" i="1" l="1"/>
  <c r="D261" i="1"/>
  <c r="D262" i="1" l="1"/>
  <c r="E261" i="1"/>
  <c r="D263" i="1" l="1"/>
  <c r="E262" i="1"/>
  <c r="E263" i="1" l="1"/>
  <c r="D264" i="1"/>
  <c r="D265" i="1" l="1"/>
  <c r="E264" i="1"/>
  <c r="E265" i="1" l="1"/>
  <c r="D266" i="1"/>
  <c r="E266" i="1" l="1"/>
  <c r="D267" i="1"/>
  <c r="E267" i="1" l="1"/>
  <c r="D268" i="1"/>
  <c r="D270" i="1" s="1"/>
  <c r="D271" i="1" l="1"/>
  <c r="E270" i="1"/>
  <c r="E268" i="1"/>
  <c r="D272" i="1" l="1"/>
  <c r="E271" i="1"/>
  <c r="E272" i="1" l="1"/>
  <c r="D273" i="1"/>
  <c r="D274" i="1" l="1"/>
  <c r="E273" i="1"/>
  <c r="D275" i="1" l="1"/>
  <c r="E274" i="1"/>
  <c r="E275" i="1" l="1"/>
  <c r="D276" i="1"/>
  <c r="D277" i="1" l="1"/>
  <c r="E276" i="1"/>
  <c r="D278" i="1" l="1"/>
  <c r="E277" i="1"/>
  <c r="E278" i="1" l="1"/>
  <c r="D279" i="1"/>
  <c r="D280" i="1" l="1"/>
  <c r="E279" i="1"/>
  <c r="E280" i="1" l="1"/>
  <c r="D281" i="1"/>
  <c r="D282" i="1" l="1"/>
  <c r="E281" i="1"/>
  <c r="E282" i="1" l="1"/>
  <c r="D285" i="1"/>
  <c r="E285" i="1" l="1"/>
  <c r="D286" i="1"/>
  <c r="D287" i="1" l="1"/>
  <c r="E286" i="1"/>
  <c r="E287" i="1" l="1"/>
  <c r="D288" i="1"/>
  <c r="D289" i="1" l="1"/>
  <c r="E288" i="1"/>
  <c r="E289" i="1" l="1"/>
  <c r="D290" i="1"/>
  <c r="D291" i="1" l="1"/>
  <c r="E290" i="1"/>
  <c r="E291" i="1" l="1"/>
  <c r="D292" i="1"/>
  <c r="D293" i="1" l="1"/>
  <c r="E292" i="1"/>
  <c r="E293" i="1" l="1"/>
  <c r="D294" i="1"/>
  <c r="D295" i="1" l="1"/>
  <c r="E294" i="1"/>
  <c r="D296" i="1" l="1"/>
  <c r="E295" i="1"/>
  <c r="D298" i="1" l="1"/>
  <c r="E296" i="1"/>
  <c r="D299" i="1" l="1"/>
  <c r="E298" i="1"/>
  <c r="D300" i="1" l="1"/>
  <c r="E299" i="1"/>
  <c r="E300" i="1" l="1"/>
  <c r="D301" i="1"/>
  <c r="D302" i="1" l="1"/>
  <c r="E301" i="1"/>
  <c r="E302" i="1" l="1"/>
  <c r="D303" i="1"/>
  <c r="D304" i="1" l="1"/>
  <c r="E303" i="1"/>
  <c r="E304" i="1" l="1"/>
  <c r="D305" i="1"/>
  <c r="D307" i="1" l="1"/>
  <c r="E305" i="1"/>
  <c r="E307" i="1" l="1"/>
  <c r="D308" i="1"/>
  <c r="D309" i="1" l="1"/>
  <c r="E308" i="1"/>
  <c r="D310" i="1" l="1"/>
  <c r="E309" i="1"/>
  <c r="D311" i="1" l="1"/>
  <c r="E310" i="1"/>
  <c r="D312" i="1" l="1"/>
  <c r="E311" i="1"/>
  <c r="D313" i="1" l="1"/>
  <c r="E312" i="1"/>
  <c r="D314" i="1" l="1"/>
  <c r="E313" i="1"/>
  <c r="D315" i="1" l="1"/>
  <c r="E314" i="1"/>
  <c r="E315" i="1" l="1"/>
  <c r="D316" i="1"/>
  <c r="D317" i="1" l="1"/>
  <c r="E316" i="1"/>
  <c r="D318" i="1" l="1"/>
  <c r="E317" i="1"/>
  <c r="D319" i="1" l="1"/>
  <c r="E318" i="1"/>
  <c r="D321" i="1" l="1"/>
  <c r="D323" i="1" s="1"/>
  <c r="E319" i="1"/>
  <c r="E321" i="1" l="1"/>
  <c r="E323" i="1" l="1"/>
  <c r="D325" i="1"/>
  <c r="E325" i="1" l="1"/>
  <c r="D326" i="1"/>
  <c r="E326" i="1" l="1"/>
  <c r="D327" i="1"/>
  <c r="D328" i="1" l="1"/>
  <c r="E327" i="1"/>
  <c r="E328" i="1" l="1"/>
  <c r="D329" i="1"/>
  <c r="E329" i="1" l="1"/>
  <c r="D330" i="1"/>
  <c r="D331" i="1" l="1"/>
  <c r="E330" i="1"/>
  <c r="E331" i="1" l="1"/>
  <c r="D333" i="1"/>
  <c r="E333" i="1" l="1"/>
  <c r="D334" i="1"/>
  <c r="E334" i="1" l="1"/>
  <c r="D335" i="1"/>
  <c r="E335" i="1" l="1"/>
  <c r="D336" i="1"/>
  <c r="E336" i="1" l="1"/>
  <c r="D337" i="1"/>
  <c r="E337" i="1" l="1"/>
  <c r="D338" i="1"/>
  <c r="D340" i="1" l="1"/>
  <c r="E338" i="1"/>
  <c r="E340" i="1" l="1"/>
  <c r="D341" i="1"/>
  <c r="D342" i="1" l="1"/>
  <c r="E341" i="1"/>
  <c r="E342" i="1" l="1"/>
  <c r="D343" i="1"/>
  <c r="E343" i="1" l="1"/>
  <c r="D344" i="1"/>
  <c r="D345" i="1" l="1"/>
  <c r="E344" i="1"/>
  <c r="D346" i="1" l="1"/>
  <c r="E345" i="1"/>
  <c r="D347" i="1" l="1"/>
  <c r="E346" i="1"/>
  <c r="E347" i="1" l="1"/>
  <c r="D348" i="1"/>
  <c r="D349" i="1" l="1"/>
  <c r="E348" i="1"/>
  <c r="E349" i="1" l="1"/>
  <c r="D350" i="1"/>
  <c r="E350" i="1" l="1"/>
  <c r="D351" i="1"/>
  <c r="E351" i="1" l="1"/>
  <c r="D352" i="1"/>
  <c r="D353" i="1" l="1"/>
  <c r="E352" i="1"/>
  <c r="E353" i="1" l="1"/>
  <c r="D354" i="1"/>
  <c r="D355" i="1" l="1"/>
  <c r="E354" i="1"/>
  <c r="E355" i="1" l="1"/>
  <c r="D356" i="1"/>
  <c r="D358" i="1" l="1"/>
  <c r="E356" i="1"/>
  <c r="D359" i="1" l="1"/>
  <c r="E358" i="1"/>
  <c r="D360" i="1" l="1"/>
  <c r="E359" i="1"/>
  <c r="D361" i="1" l="1"/>
  <c r="E360" i="1"/>
  <c r="D362" i="1" l="1"/>
  <c r="E361" i="1"/>
  <c r="E362" i="1" l="1"/>
  <c r="D363" i="1"/>
  <c r="D364" i="1" l="1"/>
  <c r="E363" i="1"/>
  <c r="E364" i="1" l="1"/>
  <c r="D365" i="1"/>
  <c r="D366" i="1" l="1"/>
  <c r="E365" i="1"/>
  <c r="E366" i="1" l="1"/>
  <c r="D367" i="1"/>
  <c r="E367" i="1" l="1"/>
  <c r="D368" i="1"/>
  <c r="D369" i="1" l="1"/>
  <c r="E368" i="1"/>
  <c r="D370" i="1" l="1"/>
  <c r="E369" i="1"/>
  <c r="E370" i="1" l="1"/>
  <c r="D371" i="1"/>
  <c r="D372" i="1" l="1"/>
  <c r="E371" i="1"/>
  <c r="E372" i="1" l="1"/>
  <c r="D373" i="1"/>
  <c r="D376" i="1" l="1"/>
  <c r="E373" i="1"/>
  <c r="D377" i="1" l="1"/>
  <c r="E376" i="1"/>
  <c r="E377" i="1" l="1"/>
  <c r="D378" i="1"/>
  <c r="E378" i="1" l="1"/>
  <c r="D379" i="1"/>
  <c r="D380" i="1" l="1"/>
  <c r="E379" i="1"/>
  <c r="E380" i="1" l="1"/>
  <c r="D381" i="1"/>
  <c r="E381" i="1" l="1"/>
  <c r="D382" i="1"/>
  <c r="E382" i="1" l="1"/>
  <c r="D383" i="1"/>
  <c r="E383" i="1" l="1"/>
  <c r="D384" i="1"/>
  <c r="E384" i="1" l="1"/>
  <c r="D385" i="1"/>
  <c r="E385" i="1" l="1"/>
  <c r="D386" i="1"/>
  <c r="D389" i="1" l="1"/>
  <c r="E386" i="1"/>
  <c r="D390" i="1" l="1"/>
  <c r="E389" i="1"/>
  <c r="E390" i="1" l="1"/>
  <c r="D391" i="1"/>
  <c r="D392" i="1" l="1"/>
  <c r="E391" i="1"/>
  <c r="D393" i="1" l="1"/>
  <c r="E392" i="1"/>
  <c r="D394" i="1" l="1"/>
  <c r="E393" i="1"/>
  <c r="D395" i="1" l="1"/>
  <c r="E394" i="1"/>
  <c r="D396" i="1" l="1"/>
  <c r="E395" i="1"/>
  <c r="D398" i="1" l="1"/>
  <c r="E396" i="1"/>
  <c r="D399" i="1" l="1"/>
  <c r="E398" i="1"/>
  <c r="D400" i="1" l="1"/>
  <c r="E399" i="1"/>
  <c r="E400" i="1" l="1"/>
  <c r="D401" i="1"/>
  <c r="E401" i="1" l="1"/>
  <c r="D402" i="1"/>
  <c r="E402" i="1" l="1"/>
  <c r="D403" i="1"/>
  <c r="E403" i="1" l="1"/>
  <c r="D404" i="1"/>
  <c r="D405" i="1" l="1"/>
  <c r="E404" i="1"/>
  <c r="D406" i="1" l="1"/>
  <c r="E405" i="1"/>
  <c r="E406" i="1" l="1"/>
  <c r="D407" i="1"/>
  <c r="E407" i="1" l="1"/>
  <c r="D408" i="1"/>
  <c r="D409" i="1" l="1"/>
  <c r="E408" i="1"/>
  <c r="E409" i="1" l="1"/>
  <c r="D410" i="1"/>
  <c r="D412" i="1" l="1"/>
  <c r="D413" i="1" s="1"/>
  <c r="E410" i="1"/>
  <c r="E412" i="1" l="1"/>
  <c r="E413" i="1" l="1"/>
  <c r="D415" i="1"/>
  <c r="E415" i="1" l="1"/>
  <c r="D416" i="1"/>
  <c r="D417" i="1" l="1"/>
  <c r="E416" i="1"/>
  <c r="D418" i="1" l="1"/>
  <c r="E417" i="1"/>
  <c r="E418" i="1" l="1"/>
  <c r="D419" i="1"/>
  <c r="E419" i="1" l="1"/>
  <c r="D420" i="1"/>
  <c r="E420" i="1" l="1"/>
  <c r="D421" i="1"/>
  <c r="E421" i="1" l="1"/>
  <c r="D422" i="1"/>
  <c r="D423" i="1" s="1"/>
  <c r="D424" i="1" l="1"/>
  <c r="E423" i="1"/>
  <c r="E422" i="1"/>
  <c r="D425" i="1" l="1"/>
  <c r="E424" i="1"/>
  <c r="E425" i="1" l="1"/>
  <c r="D426" i="1"/>
  <c r="E426" i="1" l="1"/>
  <c r="D429" i="1"/>
  <c r="D430" i="1" l="1"/>
  <c r="D431" i="1" s="1"/>
  <c r="E429" i="1"/>
  <c r="D432" i="1" l="1"/>
  <c r="E431" i="1"/>
  <c r="E430" i="1"/>
  <c r="E432" i="1" l="1"/>
  <c r="D433" i="1"/>
  <c r="D434" i="1" l="1"/>
  <c r="E433" i="1"/>
  <c r="D435" i="1" l="1"/>
  <c r="E434" i="1"/>
  <c r="D436" i="1" l="1"/>
  <c r="E435" i="1"/>
  <c r="E436" i="1" l="1"/>
  <c r="D438" i="1"/>
  <c r="D439" i="1" l="1"/>
  <c r="E438" i="1"/>
  <c r="E439" i="1" l="1"/>
  <c r="D440" i="1"/>
  <c r="E440" i="1" l="1"/>
  <c r="D441" i="1"/>
  <c r="E441" i="1" l="1"/>
  <c r="D442" i="1"/>
  <c r="D443" i="1" l="1"/>
  <c r="E442" i="1"/>
  <c r="E443" i="1" l="1"/>
  <c r="D444" i="1"/>
  <c r="D446" i="1" l="1"/>
  <c r="E444" i="1"/>
  <c r="E446" i="1" l="1"/>
  <c r="D447" i="1"/>
  <c r="E447" i="1" l="1"/>
  <c r="D448" i="1"/>
  <c r="E448" i="1" l="1"/>
  <c r="D449" i="1"/>
  <c r="E449" i="1" l="1"/>
  <c r="D450" i="1"/>
  <c r="D451" i="1" l="1"/>
  <c r="E450" i="1"/>
  <c r="D452" i="1" l="1"/>
  <c r="E451" i="1"/>
  <c r="E452" i="1" l="1"/>
  <c r="D453" i="1"/>
  <c r="D455" i="1" l="1"/>
  <c r="E453" i="1"/>
  <c r="E455" i="1" l="1"/>
  <c r="D456" i="1"/>
  <c r="D457" i="1" l="1"/>
  <c r="E456" i="1"/>
  <c r="E457" i="1" l="1"/>
  <c r="D458" i="1"/>
  <c r="D459" i="1" l="1"/>
  <c r="E458" i="1"/>
  <c r="E459" i="1" l="1"/>
  <c r="D460" i="1"/>
  <c r="D461" i="1" l="1"/>
  <c r="E460" i="1"/>
  <c r="D463" i="1" l="1"/>
  <c r="E461" i="1"/>
  <c r="E463" i="1" l="1"/>
  <c r="D464" i="1"/>
  <c r="D465" i="1" l="1"/>
  <c r="E464" i="1"/>
  <c r="D466" i="1" l="1"/>
  <c r="E465" i="1"/>
  <c r="D467" i="1" l="1"/>
  <c r="E466" i="1"/>
  <c r="E467" i="1" l="1"/>
  <c r="D468" i="1"/>
  <c r="D469" i="1" l="1"/>
  <c r="E468" i="1"/>
  <c r="D470" i="1" l="1"/>
  <c r="E469" i="1"/>
  <c r="D471" i="1" l="1"/>
  <c r="E470" i="1"/>
  <c r="E471" i="1" l="1"/>
  <c r="D472" i="1"/>
  <c r="D473" i="1" l="1"/>
  <c r="E472" i="1"/>
  <c r="D474" i="1" l="1"/>
  <c r="E473" i="1"/>
  <c r="D475" i="1" l="1"/>
  <c r="E474" i="1"/>
  <c r="D476" i="1" l="1"/>
  <c r="E475" i="1"/>
  <c r="D477" i="1" l="1"/>
  <c r="E476" i="1"/>
  <c r="D478" i="1" l="1"/>
  <c r="E477" i="1"/>
  <c r="D479" i="1" l="1"/>
  <c r="E478" i="1"/>
  <c r="E479" i="1" l="1"/>
  <c r="D481" i="1"/>
  <c r="E481" i="1" l="1"/>
  <c r="D482" i="1"/>
  <c r="D483" i="1" l="1"/>
  <c r="E482" i="1"/>
  <c r="E483" i="1" l="1"/>
  <c r="D485" i="1"/>
  <c r="D486" i="1" l="1"/>
  <c r="E485" i="1"/>
  <c r="D487" i="1" l="1"/>
  <c r="E486" i="1"/>
  <c r="D488" i="1" l="1"/>
  <c r="E487" i="1"/>
  <c r="D489" i="1" l="1"/>
  <c r="E488" i="1"/>
  <c r="D490" i="1" l="1"/>
  <c r="E489" i="1"/>
  <c r="D491" i="1" l="1"/>
  <c r="E490" i="1"/>
  <c r="E491" i="1" l="1"/>
  <c r="D492" i="1"/>
  <c r="D493" i="1" l="1"/>
  <c r="E492" i="1"/>
  <c r="E493" i="1" l="1"/>
  <c r="D494" i="1"/>
  <c r="E494" i="1" l="1"/>
  <c r="D495" i="1"/>
  <c r="D496" i="1" l="1"/>
  <c r="E495" i="1"/>
  <c r="E496" i="1" l="1"/>
  <c r="D497" i="1"/>
  <c r="D498" i="1" l="1"/>
  <c r="E497" i="1"/>
  <c r="D499" i="1" l="1"/>
  <c r="E498" i="1"/>
  <c r="E499" i="1" l="1"/>
  <c r="D500" i="1"/>
  <c r="D502" i="1" l="1"/>
  <c r="E500" i="1"/>
  <c r="D503" i="1" l="1"/>
  <c r="E502" i="1"/>
  <c r="D504" i="1" l="1"/>
  <c r="E503" i="1"/>
  <c r="E504" i="1" l="1"/>
  <c r="D505" i="1"/>
  <c r="D506" i="1" l="1"/>
  <c r="E505" i="1"/>
  <c r="D507" i="1" l="1"/>
  <c r="E506" i="1"/>
  <c r="D508" i="1" l="1"/>
  <c r="E507" i="1"/>
  <c r="E508" i="1" l="1"/>
  <c r="D510" i="1"/>
  <c r="D511" i="1" l="1"/>
  <c r="E510" i="1"/>
  <c r="D512" i="1" l="1"/>
  <c r="E511" i="1"/>
  <c r="D514" i="1" l="1"/>
  <c r="E512" i="1"/>
  <c r="D515" i="1" l="1"/>
  <c r="E514" i="1"/>
  <c r="D516" i="1" l="1"/>
  <c r="E515" i="1"/>
  <c r="E516" i="1" l="1"/>
  <c r="D518" i="1"/>
  <c r="D519" i="1" l="1"/>
  <c r="E518" i="1"/>
  <c r="D520" i="1" l="1"/>
  <c r="E519" i="1"/>
  <c r="E520" i="1" l="1"/>
  <c r="D521" i="1"/>
  <c r="E521" i="1" l="1"/>
  <c r="D522" i="1"/>
  <c r="D523" i="1" l="1"/>
  <c r="E522" i="1"/>
  <c r="E523" i="1" l="1"/>
  <c r="D524" i="1"/>
  <c r="D525" i="1" l="1"/>
  <c r="E524" i="1"/>
  <c r="D526" i="1" l="1"/>
  <c r="E525" i="1"/>
  <c r="E526" i="1" l="1"/>
  <c r="D527" i="1"/>
  <c r="E527" i="1" l="1"/>
  <c r="D528" i="1"/>
  <c r="D529" i="1" l="1"/>
  <c r="E528" i="1"/>
  <c r="E529" i="1" l="1"/>
  <c r="D530" i="1"/>
  <c r="E530" i="1" l="1"/>
  <c r="D532" i="1"/>
  <c r="E532" i="1" l="1"/>
  <c r="D533" i="1"/>
  <c r="E533" i="1" l="1"/>
  <c r="D534" i="1"/>
  <c r="E534" i="1" l="1"/>
  <c r="D536" i="1"/>
  <c r="D537" i="1" l="1"/>
  <c r="E536" i="1"/>
  <c r="E537" i="1" l="1"/>
  <c r="D538" i="1"/>
  <c r="E538" i="1" l="1"/>
  <c r="D540" i="1"/>
  <c r="D541" i="1" l="1"/>
  <c r="E540" i="1"/>
  <c r="D542" i="1" l="1"/>
  <c r="E541" i="1"/>
  <c r="D543" i="1" l="1"/>
  <c r="E542" i="1"/>
  <c r="E543" i="1" l="1"/>
  <c r="D544" i="1"/>
  <c r="D545" i="1" l="1"/>
  <c r="E544" i="1"/>
  <c r="D546" i="1" l="1"/>
  <c r="E545" i="1"/>
  <c r="D547" i="1" l="1"/>
  <c r="E546" i="1"/>
  <c r="E547" i="1" l="1"/>
  <c r="D548" i="1"/>
  <c r="D549" i="1" l="1"/>
  <c r="E548" i="1"/>
  <c r="D550" i="1" l="1"/>
  <c r="E549" i="1"/>
  <c r="E550" i="1" l="1"/>
  <c r="D552" i="1"/>
  <c r="E552" i="1" l="1"/>
  <c r="D553" i="1"/>
  <c r="E553" i="1" l="1"/>
  <c r="D554" i="1"/>
  <c r="D556" i="1" l="1"/>
  <c r="E554" i="1"/>
  <c r="E556" i="1" l="1"/>
  <c r="D557" i="1"/>
  <c r="E557" i="1" l="1"/>
  <c r="D559" i="1"/>
  <c r="D560" i="1" l="1"/>
  <c r="E559" i="1"/>
  <c r="E560" i="1" l="1"/>
  <c r="D561" i="1"/>
  <c r="E561" i="1" l="1"/>
  <c r="D563" i="1"/>
  <c r="E563" i="1" l="1"/>
  <c r="D564" i="1"/>
  <c r="E564" i="1" l="1"/>
  <c r="D565" i="1"/>
  <c r="E565" i="1" l="1"/>
  <c r="D567" i="1"/>
  <c r="D568" i="1" s="1"/>
  <c r="D569" i="1" s="1"/>
  <c r="D570" i="1" l="1"/>
  <c r="E569" i="1"/>
  <c r="E568" i="1"/>
  <c r="E567" i="1"/>
  <c r="D571" i="1" l="1"/>
  <c r="D572" i="1" s="1"/>
  <c r="E570" i="1"/>
  <c r="E572" i="1" l="1"/>
  <c r="D573" i="1"/>
  <c r="E571" i="1"/>
  <c r="D574" i="1" l="1"/>
  <c r="D575" i="1" s="1"/>
  <c r="E573" i="1"/>
  <c r="D576" i="1" l="1"/>
  <c r="E575" i="1"/>
  <c r="E574" i="1"/>
  <c r="D577" i="1" l="1"/>
  <c r="E576" i="1"/>
  <c r="D578" i="1" l="1"/>
  <c r="E577" i="1"/>
  <c r="E578" i="1" l="1"/>
  <c r="D579" i="1"/>
  <c r="E579" i="1" s="1"/>
  <c r="D581" i="1" l="1"/>
  <c r="E581" i="1" s="1"/>
  <c r="D582" i="1" l="1"/>
  <c r="D583" i="1" s="1"/>
  <c r="E582" i="1" l="1"/>
  <c r="E583" i="1"/>
  <c r="D586" i="1"/>
  <c r="D587" i="1" l="1"/>
  <c r="E586" i="1"/>
  <c r="D588" i="1" l="1"/>
  <c r="E587" i="1"/>
  <c r="E588" i="1" l="1"/>
  <c r="D589" i="1"/>
  <c r="E589" i="1" l="1"/>
  <c r="D591" i="1"/>
  <c r="E591" i="1" l="1"/>
  <c r="D592" i="1"/>
  <c r="E592" i="1" l="1"/>
  <c r="D593" i="1"/>
  <c r="E593" i="1" l="1"/>
  <c r="D594" i="1"/>
  <c r="E594" i="1" l="1"/>
  <c r="D596" i="1"/>
  <c r="E596" i="1" l="1"/>
  <c r="D597" i="1"/>
  <c r="E597" i="1" l="1"/>
  <c r="D598" i="1"/>
  <c r="E598" i="1" l="1"/>
  <c r="D599" i="1"/>
  <c r="E599" i="1" l="1"/>
  <c r="D601" i="1"/>
  <c r="E601" i="1" l="1"/>
  <c r="D602" i="1"/>
  <c r="E602" i="1" l="1"/>
  <c r="D603" i="1"/>
  <c r="D604" i="1" l="1"/>
  <c r="E603" i="1"/>
  <c r="E604" i="1" l="1"/>
  <c r="D605" i="1"/>
  <c r="D608" i="1" l="1"/>
  <c r="E605" i="1"/>
  <c r="D609" i="1" l="1"/>
  <c r="E608" i="1"/>
  <c r="D610" i="1" l="1"/>
  <c r="E609" i="1"/>
  <c r="D611" i="1" l="1"/>
  <c r="E610" i="1"/>
  <c r="D622" i="1" l="1"/>
  <c r="E611" i="1"/>
  <c r="E622" i="1" l="1"/>
  <c r="D624" i="1"/>
  <c r="E624" i="1" l="1"/>
  <c r="D625" i="1"/>
  <c r="E625" i="1" l="1"/>
  <c r="D626" i="1"/>
  <c r="E626" i="1" l="1"/>
  <c r="D627" i="1"/>
  <c r="E627" i="1" l="1"/>
  <c r="D628" i="1"/>
  <c r="E628" i="1" l="1"/>
  <c r="D629" i="1"/>
  <c r="E629" i="1" l="1"/>
  <c r="D630" i="1"/>
  <c r="D631" i="1" l="1"/>
  <c r="E630" i="1"/>
  <c r="E631" i="1" l="1"/>
  <c r="D632" i="1"/>
  <c r="D634" i="1" s="1"/>
  <c r="D635" i="1" l="1"/>
  <c r="E634" i="1"/>
  <c r="E632" i="1"/>
  <c r="E635" i="1" l="1"/>
  <c r="D636" i="1"/>
  <c r="E636" i="1" l="1"/>
  <c r="D637" i="1"/>
  <c r="E637" i="1" l="1"/>
  <c r="D639" i="1"/>
  <c r="E639" i="1" l="1"/>
  <c r="D640" i="1"/>
  <c r="E640" i="1" l="1"/>
  <c r="D641" i="1"/>
  <c r="D642" i="1" l="1"/>
  <c r="E641" i="1"/>
  <c r="E642" i="1" l="1"/>
  <c r="D643" i="1"/>
  <c r="E643" i="1" l="1"/>
  <c r="D645" i="1"/>
  <c r="D646" i="1" l="1"/>
  <c r="E645" i="1"/>
  <c r="E646" i="1" l="1"/>
  <c r="D647" i="1"/>
  <c r="E647" i="1" l="1"/>
  <c r="D648" i="1"/>
  <c r="E648" i="1" l="1"/>
  <c r="D650" i="1"/>
  <c r="E650" i="1" l="1"/>
  <c r="D651" i="1"/>
  <c r="E651" i="1" l="1"/>
  <c r="D652" i="1"/>
  <c r="D653" i="1" l="1"/>
  <c r="E652" i="1"/>
  <c r="E653" i="1" l="1"/>
  <c r="D656" i="1"/>
  <c r="D657" i="1" l="1"/>
  <c r="E656" i="1"/>
  <c r="E657" i="1" l="1"/>
  <c r="D658" i="1"/>
  <c r="D659" i="1" l="1"/>
  <c r="D660" i="1" s="1"/>
  <c r="D661" i="1" s="1"/>
  <c r="E658" i="1"/>
  <c r="D662" i="1" l="1"/>
  <c r="E661" i="1"/>
  <c r="E660" i="1"/>
  <c r="E659" i="1"/>
  <c r="E662" i="1" l="1"/>
  <c r="D664" i="1"/>
  <c r="D665" i="1" l="1"/>
  <c r="E664" i="1"/>
  <c r="D666" i="1" l="1"/>
  <c r="E665" i="1"/>
  <c r="D667" i="1" l="1"/>
  <c r="D668" i="1" s="1"/>
  <c r="D669" i="1" s="1"/>
  <c r="E666" i="1"/>
  <c r="D670" i="1" l="1"/>
  <c r="E669" i="1"/>
  <c r="E668" i="1"/>
  <c r="E667" i="1"/>
  <c r="E670" i="1" l="1"/>
  <c r="D672" i="1"/>
  <c r="E672" i="1" l="1"/>
  <c r="D673" i="1"/>
  <c r="E673" i="1" l="1"/>
  <c r="D674" i="1"/>
  <c r="D675" i="1" l="1"/>
  <c r="D676" i="1" s="1"/>
  <c r="E674" i="1"/>
  <c r="D677" i="1" l="1"/>
  <c r="E676" i="1"/>
  <c r="E675" i="1"/>
  <c r="E677" i="1" l="1"/>
  <c r="D679" i="1"/>
  <c r="D680" i="1" l="1"/>
  <c r="E679" i="1"/>
  <c r="E680" i="1" l="1"/>
  <c r="D681" i="1"/>
  <c r="D682" i="1" l="1"/>
  <c r="D683" i="1" s="1"/>
  <c r="D684" i="1" s="1"/>
  <c r="E681" i="1"/>
  <c r="E684" i="1" l="1"/>
  <c r="D685" i="1"/>
  <c r="E683" i="1"/>
  <c r="E682" i="1"/>
  <c r="E685" i="1" l="1"/>
  <c r="D687" i="1"/>
  <c r="E687" i="1" l="1"/>
  <c r="D688" i="1"/>
  <c r="D689" i="1" l="1"/>
  <c r="E688" i="1"/>
  <c r="D690" i="1" l="1"/>
  <c r="E689" i="1"/>
  <c r="E690" i="1" l="1"/>
  <c r="D691" i="1"/>
  <c r="E691" i="1" l="1"/>
  <c r="D692" i="1"/>
  <c r="E692" i="1" l="1"/>
  <c r="D693" i="1"/>
  <c r="D694" i="1" l="1"/>
  <c r="E693" i="1"/>
  <c r="E694" i="1" l="1"/>
  <c r="D695" i="1"/>
  <c r="E695" i="1" l="1"/>
  <c r="D696" i="1"/>
  <c r="D697" i="1" l="1"/>
  <c r="E696" i="1"/>
  <c r="E697" i="1" l="1"/>
  <c r="D698" i="1"/>
  <c r="E698" i="1" l="1"/>
  <c r="D699" i="1"/>
  <c r="D700" i="1" l="1"/>
  <c r="E699" i="1"/>
  <c r="D701" i="1" l="1"/>
  <c r="E700" i="1"/>
  <c r="D703" i="1" l="1"/>
  <c r="E701" i="1"/>
  <c r="E703" i="1" l="1"/>
  <c r="D704" i="1"/>
  <c r="D705" i="1" s="1"/>
  <c r="E705" i="1" l="1"/>
  <c r="D706" i="1"/>
  <c r="E704" i="1"/>
  <c r="D707" i="1" l="1"/>
  <c r="E706" i="1"/>
  <c r="E707" i="1" l="1"/>
  <c r="D708" i="1"/>
  <c r="E708" i="1" l="1"/>
  <c r="D709" i="1"/>
  <c r="E709" i="1" l="1"/>
  <c r="D711" i="1"/>
  <c r="E711" i="1" l="1"/>
  <c r="D712" i="1"/>
  <c r="E712" i="1" l="1"/>
  <c r="D713" i="1"/>
  <c r="D714" i="1" l="1"/>
  <c r="E713" i="1"/>
  <c r="D715" i="1" l="1"/>
  <c r="E714" i="1"/>
  <c r="D718" i="1" l="1"/>
  <c r="E715" i="1"/>
  <c r="E718" i="1" l="1"/>
  <c r="D719" i="1"/>
  <c r="D720" i="1" l="1"/>
  <c r="E719" i="1"/>
  <c r="E720" i="1" l="1"/>
  <c r="D722" i="1"/>
  <c r="E722" i="1" l="1"/>
  <c r="D723" i="1"/>
  <c r="D724" i="1" l="1"/>
  <c r="E723" i="1"/>
  <c r="E724" i="1" l="1"/>
  <c r="D726" i="1"/>
  <c r="D727" i="1" l="1"/>
  <c r="E726" i="1"/>
  <c r="E727" i="1" l="1"/>
  <c r="D728" i="1"/>
  <c r="E728" i="1" l="1"/>
  <c r="D730" i="1"/>
  <c r="E730" i="1" l="1"/>
  <c r="D731" i="1"/>
  <c r="E731" i="1" l="1"/>
  <c r="D732" i="1"/>
  <c r="E732" i="1" l="1"/>
  <c r="D733" i="1"/>
  <c r="E733" i="1" l="1"/>
  <c r="D735" i="1"/>
  <c r="E735" i="1" l="1"/>
  <c r="D736" i="1"/>
  <c r="D738" i="1" l="1"/>
  <c r="D739" i="1" s="1"/>
  <c r="E736" i="1"/>
  <c r="E739" i="1" l="1"/>
  <c r="E738" i="1"/>
  <c r="E741" i="1" l="1"/>
  <c r="D742" i="1"/>
  <c r="E742" i="1" l="1"/>
  <c r="D747" i="1" l="1"/>
  <c r="E746" i="1"/>
  <c r="E744" i="1"/>
  <c r="D748" i="1" l="1"/>
  <c r="E747" i="1"/>
  <c r="E748" i="1" l="1"/>
  <c r="D749" i="1"/>
  <c r="E749" i="1" s="1"/>
  <c r="E752" i="1" s="1"/>
</calcChain>
</file>

<file path=xl/sharedStrings.xml><?xml version="1.0" encoding="utf-8"?>
<sst xmlns="http://schemas.openxmlformats.org/spreadsheetml/2006/main" count="2904" uniqueCount="754">
  <si>
    <t>LDESTD File Layout - Final file_Assessment and Accountability Staff</t>
  </si>
  <si>
    <t>Field Use</t>
  </si>
  <si>
    <t>Starting Location</t>
  </si>
  <si>
    <t>Ending Location</t>
  </si>
  <si>
    <t>Length</t>
  </si>
  <si>
    <t>Field Name</t>
  </si>
  <si>
    <t>Possible Values</t>
  </si>
  <si>
    <t>Description/Comments</t>
  </si>
  <si>
    <t>Include in Researcher file?</t>
  </si>
  <si>
    <t>Include in LDE Staff &amp; Contractors file?</t>
  </si>
  <si>
    <t>COMMON DEMOGRAPHIC INFORMATION</t>
  </si>
  <si>
    <t>Test Date Month</t>
  </si>
  <si>
    <t>Test Date Year</t>
  </si>
  <si>
    <t>Straggler</t>
  </si>
  <si>
    <t>District Code</t>
  </si>
  <si>
    <t>School Code</t>
  </si>
  <si>
    <t>District Name</t>
  </si>
  <si>
    <t>School Name</t>
  </si>
  <si>
    <t>Student Last Name</t>
  </si>
  <si>
    <t>Student First Name</t>
  </si>
  <si>
    <t>Student Middle Initial</t>
  </si>
  <si>
    <t>LASID</t>
  </si>
  <si>
    <t>Barcode/Student Precode Number</t>
  </si>
  <si>
    <t>Summarized Grade</t>
  </si>
  <si>
    <t>Summarized DOB Month</t>
  </si>
  <si>
    <t>Summarized DOB Day</t>
  </si>
  <si>
    <t>Summarized DOB Year</t>
  </si>
  <si>
    <t>Summarized Gender</t>
  </si>
  <si>
    <t>Summarized Ethnicity/Race</t>
  </si>
  <si>
    <t>LAP March Update Flag</t>
  </si>
  <si>
    <t>Summarized Migrant Status</t>
  </si>
  <si>
    <t>LAP Economically Disadvantaged</t>
  </si>
  <si>
    <t>Summarized McKinney-Vento Act (Homeless)</t>
  </si>
  <si>
    <t>ELA (DOCUMENT 1) DEMOGRAPHIC INFORMATION</t>
  </si>
  <si>
    <t>Bubbled Gender</t>
  </si>
  <si>
    <t>Bubbled Migrant Status</t>
  </si>
  <si>
    <t>Bubbled McKinney-Vento Act (Homeless)</t>
  </si>
  <si>
    <t>Bubbled Education Classification</t>
  </si>
  <si>
    <t>Bubbled Ethnicity/Race</t>
  </si>
  <si>
    <t>Hispanic/Latino</t>
  </si>
  <si>
    <t>American Indian or Alaska Native</t>
  </si>
  <si>
    <t>Asian</t>
  </si>
  <si>
    <t>Black or African American</t>
  </si>
  <si>
    <t>Native Hawaiian or Other Pacific Islander</t>
  </si>
  <si>
    <t>White</t>
  </si>
  <si>
    <t>Bubbled Special Education Test Accommodations</t>
  </si>
  <si>
    <t>No Accommodations</t>
  </si>
  <si>
    <t>Braille</t>
  </si>
  <si>
    <t>Large Print</t>
  </si>
  <si>
    <t>Answers Recorded</t>
  </si>
  <si>
    <t>Extended Time</t>
  </si>
  <si>
    <t>Transferred Answers</t>
  </si>
  <si>
    <t>Individual/Small Group Administration</t>
  </si>
  <si>
    <t>Tests Read Aloud</t>
  </si>
  <si>
    <t>Bubbled LEP Status and Test Accommodations</t>
  </si>
  <si>
    <t>Bubbled Limited English Proficient (LEP) Status</t>
  </si>
  <si>
    <t>Provision of English/Native Language Word-to-Word Dictionary (No Definitions)</t>
  </si>
  <si>
    <t>Directions Read Aloud/Clarified in Native Language</t>
  </si>
  <si>
    <t>Bubbled Section 504 Status and Test Accommodations</t>
  </si>
  <si>
    <t>Bubbled Section 504 Status</t>
  </si>
  <si>
    <t>Bubbled Accessibility Feature Recorded in Personal Needs Profile</t>
  </si>
  <si>
    <t>Bubbled Optional Local Use</t>
  </si>
  <si>
    <t>Bubbled Accountability Code</t>
  </si>
  <si>
    <t>MATH (DOCUMENT 2) DEMOGRAPHIC INFORMATION</t>
  </si>
  <si>
    <t>Spanish Tester</t>
  </si>
  <si>
    <t>Calculator Use</t>
  </si>
  <si>
    <t xml:space="preserve">Tests Read Aloud </t>
  </si>
  <si>
    <t>SCIENCE (DOCUMENT 3) DEMOGRAPHIC INFORMATION</t>
  </si>
  <si>
    <t>SOCIAL STUDIES (DOCUMENT 4) DEMOGRAPHIC INFORMATION</t>
  </si>
  <si>
    <t>ELA SCORING INFORMATION</t>
  </si>
  <si>
    <t>Raw Score Total - ELA</t>
  </si>
  <si>
    <t>Scaled Score - ELA</t>
  </si>
  <si>
    <t>Assessment Achievement Level - ELA</t>
  </si>
  <si>
    <t>Raw Score for Each Content Standard</t>
  </si>
  <si>
    <t>Subclaim Scoring Information</t>
  </si>
  <si>
    <t>Claim Scoring Information</t>
  </si>
  <si>
    <t>SEM Values</t>
  </si>
  <si>
    <t>SEM High</t>
  </si>
  <si>
    <t>SEM Low</t>
  </si>
  <si>
    <t>Written Expression Raw Score</t>
  </si>
  <si>
    <t>Knowledge &amp; Use of Language Conventions Raw Score</t>
  </si>
  <si>
    <t>Reading Raw Score</t>
  </si>
  <si>
    <t>Writing Raw Score</t>
  </si>
  <si>
    <t>MATH SCORING INFORMATION</t>
  </si>
  <si>
    <t>Raw Score Total - Math</t>
  </si>
  <si>
    <t>Scaled Score - Math</t>
  </si>
  <si>
    <t>Assessment Achievement Level - Math</t>
  </si>
  <si>
    <t>Major Content Raw Score</t>
  </si>
  <si>
    <t>Additional &amp; Supporting Content Raw Score</t>
  </si>
  <si>
    <t>Expressing Mathematical Reasoning Raw Score</t>
  </si>
  <si>
    <t>Modeling &amp; Application Raw Score</t>
  </si>
  <si>
    <t>SCIENCE SCORING INFORMATION</t>
  </si>
  <si>
    <t>Raw Score Total - Science</t>
  </si>
  <si>
    <t>Scaled Score - Science</t>
  </si>
  <si>
    <t>Assessment Achievement Level - Science</t>
  </si>
  <si>
    <t>Standard 1: Science as Inquiry</t>
  </si>
  <si>
    <t>Standard 2: Physical Science</t>
  </si>
  <si>
    <t>Standard 3: Life Science</t>
  </si>
  <si>
    <t>Standard 4: Earth and Space Science</t>
  </si>
  <si>
    <t>Standard 5: Science and the Environment</t>
  </si>
  <si>
    <t>FILLER</t>
  </si>
  <si>
    <t>Raw Score for Each Subtest</t>
  </si>
  <si>
    <t>Subtest 1: Multiple-Choice Items</t>
  </si>
  <si>
    <t>Subtest 2: Short Answer Items</t>
  </si>
  <si>
    <t>Raw Score for Item Type</t>
  </si>
  <si>
    <t>Multiple-Choice Items</t>
  </si>
  <si>
    <t xml:space="preserve">Constructed-Response Items </t>
  </si>
  <si>
    <t>SOCIAL STUDIES SCORING INFORMATION</t>
  </si>
  <si>
    <t>Raw Score Total - Social Studies</t>
  </si>
  <si>
    <t>Scaled Score - Social Studies</t>
  </si>
  <si>
    <t>Assessment Achievement Level - Social Studies</t>
  </si>
  <si>
    <t>Raw Score for Each Reporting Category</t>
  </si>
  <si>
    <t>History</t>
  </si>
  <si>
    <t>Geography</t>
  </si>
  <si>
    <t>Civics</t>
  </si>
  <si>
    <t>Economics</t>
  </si>
  <si>
    <t>Reading Literary Text Raw Score</t>
  </si>
  <si>
    <t>Reading Informational Text Raw Score</t>
  </si>
  <si>
    <t>Reading Vocabulary Raw Score</t>
  </si>
  <si>
    <t>STUDENT FLAGS BY SUBJECT</t>
  </si>
  <si>
    <t>Test Taken Flag</t>
  </si>
  <si>
    <t>Test Taken Flag - ELA</t>
  </si>
  <si>
    <t>Test Taken Flag - Math</t>
  </si>
  <si>
    <t>Test Taken Flag - Science</t>
  </si>
  <si>
    <t>Test Taken Flag - Social Studies</t>
  </si>
  <si>
    <t>Multiple-Choice / Constructed Response Items Attempted Flag</t>
  </si>
  <si>
    <t>MC / CR Taken - ELA</t>
  </si>
  <si>
    <t>MC / CR Taken - Math</t>
  </si>
  <si>
    <t>MC / CR Taken - Science</t>
  </si>
  <si>
    <t>MC / CR Taken - Social Studies</t>
  </si>
  <si>
    <t>Handscoring Complete Flags</t>
  </si>
  <si>
    <t>Handscoring Complete - ELA</t>
  </si>
  <si>
    <t>Handscoring Complete - Math</t>
  </si>
  <si>
    <t>Handscoring Complete - Science</t>
  </si>
  <si>
    <t>Handscoring Complete - Social Studies</t>
  </si>
  <si>
    <t>Included in N-Counts</t>
  </si>
  <si>
    <t>Include in N-counts - ELA</t>
  </si>
  <si>
    <t>Include in N-counts - Math</t>
  </si>
  <si>
    <t>Include in N-counts - Science</t>
  </si>
  <si>
    <t>Include in N-counts - Social Studies</t>
  </si>
  <si>
    <t>VOID FLAGS</t>
  </si>
  <si>
    <t>Summarized Void Flags</t>
  </si>
  <si>
    <t>Summarized Void Flag - ELA</t>
  </si>
  <si>
    <t>Summarized Void Flag - Math</t>
  </si>
  <si>
    <t>Summarized Void Flag - Science</t>
  </si>
  <si>
    <t>Summarized Void Flag - Social Studies</t>
  </si>
  <si>
    <t>District Void Flags</t>
  </si>
  <si>
    <t>District Void Flag - ELA</t>
  </si>
  <si>
    <t>District Void Flag - Math</t>
  </si>
  <si>
    <t>District Void Flag - Science</t>
  </si>
  <si>
    <t>District Void Flag - Social Studies</t>
  </si>
  <si>
    <t>Plagiarism Void Flags</t>
  </si>
  <si>
    <t>Plagiarism Void Flag - ELA</t>
  </si>
  <si>
    <t>Plagiarism Void Flag - Math</t>
  </si>
  <si>
    <t>Plagiarism Void Flag - Science</t>
  </si>
  <si>
    <t>Plagiarism Void Flag - Social Studies</t>
  </si>
  <si>
    <t>LAP Primary Exceptionality</t>
  </si>
  <si>
    <t>LAP LEP Indicator Code</t>
  </si>
  <si>
    <t>Precoded Tester</t>
  </si>
  <si>
    <t>Online Accommodations</t>
  </si>
  <si>
    <t>Text-to-Speech</t>
  </si>
  <si>
    <t>Spanish Test</t>
  </si>
  <si>
    <t>Human Read Aloud</t>
  </si>
  <si>
    <t>Native Language Word-to-Word Dictionary</t>
  </si>
  <si>
    <t>Directions in Native Language</t>
  </si>
  <si>
    <t>Calculator</t>
  </si>
  <si>
    <t>Individual or Small Group Administration</t>
  </si>
  <si>
    <t>Assistive Technology</t>
  </si>
  <si>
    <t>Communication Assistance</t>
  </si>
  <si>
    <t>Other</t>
  </si>
  <si>
    <t>Test Administered by ESL Teacher or Individual Providing Language Services</t>
  </si>
  <si>
    <t>SUMMARIZED DEMOGRAPHICS</t>
  </si>
  <si>
    <t>Summarized Education Classification Flag</t>
  </si>
  <si>
    <t>Summarized Education Classification - Document 1 (ELA)</t>
  </si>
  <si>
    <t>Summarized Education Classification - Document 2 (Math)</t>
  </si>
  <si>
    <t>Summarized Education Classification - Document 3 (Science)</t>
  </si>
  <si>
    <t>Summarized Education Classification - Document 4 (Social Studies)</t>
  </si>
  <si>
    <t>LEP Flag</t>
  </si>
  <si>
    <t>Summarized LEP Status - Document 1 (ELA)</t>
  </si>
  <si>
    <t>Summarized LEP Status - Document 2 (Math)</t>
  </si>
  <si>
    <t>Summarized LEP Status - Document 3 (Science)</t>
  </si>
  <si>
    <t>Summarized LEP Status - Document 4 (Social Studies)</t>
  </si>
  <si>
    <t xml:space="preserve">Summarized LEP Status </t>
  </si>
  <si>
    <t>Section 504 Flag</t>
  </si>
  <si>
    <t>Summarized Section 504 Status - Document 1 (ELA)</t>
  </si>
  <si>
    <t>Summarized Section 504 Status - Document 2 (Math)</t>
  </si>
  <si>
    <t>Summarized Section 504 Status - Document 3 (Science)</t>
  </si>
  <si>
    <t>Summarized Section 504 Status - Document 4 (Social Studies)</t>
  </si>
  <si>
    <t xml:space="preserve">Summarized Section 504 Status </t>
  </si>
  <si>
    <t>SCHOOL TYPE FLAGS</t>
  </si>
  <si>
    <t>Assess Group Type</t>
  </si>
  <si>
    <t>Home Study/Nonpublic Flag</t>
  </si>
  <si>
    <t>Charter Type</t>
  </si>
  <si>
    <t>DOCUMENT INFORMATION</t>
  </si>
  <si>
    <t>Document 1 (ELA) Scan Information</t>
  </si>
  <si>
    <t>Batch Number - ELA</t>
  </si>
  <si>
    <t>Serial Number - ELA</t>
  </si>
  <si>
    <t>Lithocode - ELA</t>
  </si>
  <si>
    <t>Document 2 (Math) Scan Information</t>
  </si>
  <si>
    <t>Document 3 (Science) Scan Information</t>
  </si>
  <si>
    <t>Document 4 (Social Studies) Scan Information</t>
  </si>
  <si>
    <t>Batch Number - Math</t>
  </si>
  <si>
    <t>Serial Number - Math</t>
  </si>
  <si>
    <t>Lithocode - Math</t>
  </si>
  <si>
    <t>Batch Number - Science</t>
  </si>
  <si>
    <t>Serial Number - Science</t>
  </si>
  <si>
    <t>Lithocode - Science</t>
  </si>
  <si>
    <t>Batch Number - Social Studies</t>
  </si>
  <si>
    <t>Serial Number - Social Studies</t>
  </si>
  <si>
    <t>Lithocode - Social Studies</t>
  </si>
  <si>
    <t>ACCOUNTABILITY INFORMATION</t>
  </si>
  <si>
    <t>Updated Accountability Code - Document 1 (ELA)</t>
  </si>
  <si>
    <t>Updated Accountability Code - Document 2 (Math)</t>
  </si>
  <si>
    <t>Updated Accountability Code - Document 3 (Science)</t>
  </si>
  <si>
    <t>Updated Accountability Code - Document 4 (Social Studies)</t>
  </si>
  <si>
    <t>Accountability Achievement Level - ELA</t>
  </si>
  <si>
    <t>Accountability Achievement Level - Math</t>
  </si>
  <si>
    <t>Accountability Achievement Level - Science</t>
  </si>
  <si>
    <t>Accountability Achievement Level - Social Studies</t>
  </si>
  <si>
    <t>LAP Twin Flag</t>
  </si>
  <si>
    <t>LAP TDR Tester</t>
  </si>
  <si>
    <t>LAP Scholarship Student Flag</t>
  </si>
  <si>
    <t>Ethnicity/Race Flag</t>
  </si>
  <si>
    <t>Summarized Ethnicity/Race - Document 1 (ELA)</t>
  </si>
  <si>
    <t>Summarized Ethnicity/Race - Document 2 (Math)</t>
  </si>
  <si>
    <t>Summarized Ethnicity/Race - Document 3 (Science)</t>
  </si>
  <si>
    <t>Summarized Ethnicity/Race - Document 4 (Social Studies)</t>
  </si>
  <si>
    <t>Site Code - Document 1 (ELA)</t>
  </si>
  <si>
    <t>Site Code - Document 2 (Math)</t>
  </si>
  <si>
    <t>Site Code - Document 3 (Science)</t>
  </si>
  <si>
    <t>Site Code - Document 4 (Social Studies)</t>
  </si>
  <si>
    <t>LAP Site Code</t>
  </si>
  <si>
    <t>Gifted</t>
  </si>
  <si>
    <t>Talented</t>
  </si>
  <si>
    <t>Autism</t>
  </si>
  <si>
    <t>Deafblindness</t>
  </si>
  <si>
    <t>Developmental Delay</t>
  </si>
  <si>
    <t>Emotional Disturbance</t>
  </si>
  <si>
    <t>HI-Deaf</t>
  </si>
  <si>
    <t>HI-Hard of Hearing</t>
  </si>
  <si>
    <t>Mild Mental Disability</t>
  </si>
  <si>
    <t>Moderate Mental Disabilities</t>
  </si>
  <si>
    <t>Orthopedic Impairment</t>
  </si>
  <si>
    <t>Other Health Impairments</t>
  </si>
  <si>
    <t>Specific Learning Disabilities</t>
  </si>
  <si>
    <t>Speech or Language Impairment</t>
  </si>
  <si>
    <t>Traumatic Brain Injury</t>
  </si>
  <si>
    <t>Visual Impairment</t>
  </si>
  <si>
    <t>Summarized Special Education Exceptionality by Subject</t>
  </si>
  <si>
    <t>Summarized Special Education Exceptionality Category - Document 1 (ELA)</t>
  </si>
  <si>
    <t>Summarized Special Education Exceptionality Category - Document 2 (Math)</t>
  </si>
  <si>
    <t>Summarized Special Education Exceptionality Category - Document 3 (Science)</t>
  </si>
  <si>
    <t>Summarized Special Education Exceptionality Category - Document 4 (Social Studies)</t>
  </si>
  <si>
    <t>ASSESSMENT ROLLUP AND INCLUSION FLAGS</t>
  </si>
  <si>
    <t>Rollup to State</t>
  </si>
  <si>
    <t>Include in District Media Reports</t>
  </si>
  <si>
    <t>Include in School Media Reports</t>
  </si>
  <si>
    <t>Summarize to Assessment Group Code for district level reporting</t>
  </si>
  <si>
    <t>Show 'N/A' in place of district results on school reports</t>
  </si>
  <si>
    <t>Schools summarized to LEA Code for district level reporting</t>
  </si>
  <si>
    <t>District reports go to district</t>
  </si>
  <si>
    <t>District report goes to LDE</t>
  </si>
  <si>
    <t>Cleanup reports</t>
  </si>
  <si>
    <t>Summary Reports</t>
  </si>
  <si>
    <t>Erasure Reports</t>
  </si>
  <si>
    <t>Roster Reports</t>
  </si>
  <si>
    <t>Student Reports</t>
  </si>
  <si>
    <t>STUDENT LEVEL REPORTING FLAGS</t>
  </si>
  <si>
    <t>School Roster - ELA/Math</t>
  </si>
  <si>
    <t>School Roster - Science</t>
  </si>
  <si>
    <t>Student Report - ELA</t>
  </si>
  <si>
    <t>Student Report - Math</t>
  </si>
  <si>
    <t>Student Report - Science</t>
  </si>
  <si>
    <t>Student Report - Social Studies</t>
  </si>
  <si>
    <t>Subtest 3: Task Items</t>
  </si>
  <si>
    <t>FOOTNOTE FLAGS</t>
  </si>
  <si>
    <t>TEST ADMINISTRATOR INFORMATION</t>
  </si>
  <si>
    <t>Document 1 (ELA)</t>
  </si>
  <si>
    <t>Test Administrator Last Name - ELA</t>
  </si>
  <si>
    <t>Test Administrator First Name - Math</t>
  </si>
  <si>
    <t>Test Administrator First Name - ELA</t>
  </si>
  <si>
    <t>Test Administrator Last Name - Math</t>
  </si>
  <si>
    <t>Document 2 (Math)</t>
  </si>
  <si>
    <t>Test Administrator Last Name - Science</t>
  </si>
  <si>
    <t>Test Administrator First Name - Science</t>
  </si>
  <si>
    <t>Test Administrator Last Name - Social Studies</t>
  </si>
  <si>
    <t>Test Administrator First Name - Social Studies</t>
  </si>
  <si>
    <t>Document 3 (Science)</t>
  </si>
  <si>
    <t>Document 4 (Social Studies)</t>
  </si>
  <si>
    <t>DRC Unique Student ID</t>
  </si>
  <si>
    <t>ASSESSMENT/ACCOUNTABILITY INFORMATION</t>
  </si>
  <si>
    <t>LAP Entry Code</t>
  </si>
  <si>
    <t>LAP Entry Date</t>
  </si>
  <si>
    <t>File Creation Date and Time Stamp</t>
  </si>
  <si>
    <t>RESPONSE STRINGS BY SUBJECT</t>
  </si>
  <si>
    <t>DOCUMENT TYPE RETURNED</t>
  </si>
  <si>
    <t>Document Type Returned - Document 1 (ELA)</t>
  </si>
  <si>
    <t>Document Type Returned - Document 2 (Math)</t>
  </si>
  <si>
    <t>Document Type Returned - Document 3 (Science)</t>
  </si>
  <si>
    <t>Document Type Returned - Document 4 (Social Studies)</t>
  </si>
  <si>
    <t>SITE CODE</t>
  </si>
  <si>
    <t>Security Barcode Number - ELA</t>
  </si>
  <si>
    <t>Security Barcode Number - Math</t>
  </si>
  <si>
    <t>Security Barcode Number - Science</t>
  </si>
  <si>
    <t>Security Barcode Number - Social Studies</t>
  </si>
  <si>
    <t>Format: "YYYY-MM-DD HH:MM:SS"</t>
  </si>
  <si>
    <t>Date the file was generated</t>
  </si>
  <si>
    <t>Month of test</t>
  </si>
  <si>
    <t>Year of test</t>
  </si>
  <si>
    <t>Y = Yes, student classified as a straggler 
N = No, student not classified as a straggler</t>
  </si>
  <si>
    <t>Value of "Y" will only appear in the final LDESTD file</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</si>
  <si>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</si>
  <si>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t>&lt;Barcode Value&gt;
Blank</t>
  </si>
  <si>
    <t>Y = Student was on the LAP File
N = Student was not on the LAP File</t>
  </si>
  <si>
    <t>Value of "Y" will display for any student that matched back to the March LAP File.</t>
  </si>
  <si>
    <t>0-9 or - in any position</t>
  </si>
  <si>
    <t>03 = Grade 3
04 = Grade 4
05 = Grade 5
06 = Grade 6
07 = Grade 7
08 = Grade 8</t>
  </si>
  <si>
    <t>As flagged on the LAP file.
Blank for a hand-coded document that could not be matched back to the LAP file.</t>
  </si>
  <si>
    <t>01-12
-- 
99
Blank</t>
  </si>
  <si>
    <t>00-39 (0-9 or - in any position)
99</t>
  </si>
  <si>
    <t>0-9 or - in any position
Blank</t>
  </si>
  <si>
    <t>M = Male
F = Female
I = Invalid</t>
  </si>
  <si>
    <r>
      <t xml:space="preserve">Student's gender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</si>
  <si>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t>F = Female
M = Male
Blank</t>
  </si>
  <si>
    <t>1 = Hispanic/Latino
2 = American Indian or Alaska Native
3 = Asian
4 = Black or African American
5 = Native Hawaiian or Other Pacific
       Islander
6 = White
7 = Two or more races
 I = Invalid</t>
  </si>
  <si>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</si>
  <si>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t>Y = Classified as a Migrant Student
N = Not classified as a Migrant Student</t>
  </si>
  <si>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</si>
  <si>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t>Y = Classified as a Migrant Student
N = Not classified as a Migrant Student
Blank</t>
  </si>
  <si>
    <t>As flagged on the LAP file for paper testers or populated in eDIRECT for online testers.
Blank for a hand-coded paper document that could not be matched back to the LAP file, if the value was blank on the LAP file or if the value was blank in eDIRECT.</t>
  </si>
  <si>
    <t xml:space="preserve">1 = Economically Disadvantaged
0 = Not Economically Disadvantaged
Blank </t>
  </si>
  <si>
    <t>Y = Yes
N = No</t>
  </si>
  <si>
    <t>D = student no longer enrolled in Louisiana
        schools since submission of Nov. LAP
        file.
N = student newly enrolled in Louisiana
        schools since submission of Nov. LAP
        file.
Blank = student enrollment status 
         unchanged since submission 
         of Nov LAP file.</t>
  </si>
  <si>
    <t>As flagged on the LAP file.
Blank for a hand-coded paper document that could not be matched back to the LAP file, manually added online testers, or if the value was blank on the LAP file.</t>
  </si>
  <si>
    <t>1 = Male
2 = Female
* = Multiple responses
- = No response (document returned)
Blank = document not returned</t>
  </si>
  <si>
    <t>As bubbled on the ELA consumable test booklet.
Blank for online testers.</t>
  </si>
  <si>
    <t>Y = Yes
- = No response (document returned)
Blank = document not returned</t>
  </si>
  <si>
    <t>1 = Yes
- = No response (document returned)
Blank = document not returned</t>
  </si>
  <si>
    <t>0-9, -, or * in each position
-- = No response (document returned)
Blank = document not returned</t>
  </si>
  <si>
    <t>0-9, - , or * in each position
---------- = No response (document returned)
Blank = document not returned</t>
  </si>
  <si>
    <r>
      <t xml:space="preserve">As bubbled on the ELA consumable test booklet.
Blank for online testers.
Refer to the </t>
    </r>
    <r>
      <rPr>
        <b/>
        <u/>
        <sz val="10"/>
        <color theme="1"/>
        <rFont val="Arial"/>
        <family val="2"/>
      </rPr>
      <t>Bubbled and Updated Accountability Codes</t>
    </r>
    <r>
      <rPr>
        <sz val="10"/>
        <color theme="1"/>
        <rFont val="Arial"/>
        <family val="2"/>
      </rPr>
      <t xml:space="preserve"> section of the Processing Rules - Scoring document for the logic for setting these values (pre and post OCS) </t>
    </r>
  </si>
  <si>
    <t>1 = Yes
2 = No
* = Multiple response
- = No response (document returned)
Blank = document not returned</t>
  </si>
  <si>
    <t>1 = Yes
- = No response
Blank</t>
  </si>
  <si>
    <t>As valued in eDIRECT for online testers.
Blank for paper testers.</t>
  </si>
  <si>
    <t>As bubbled on the Science answer document.</t>
  </si>
  <si>
    <r>
      <t xml:space="preserve">As bubbled on the Science answer document.
Refer to the </t>
    </r>
    <r>
      <rPr>
        <b/>
        <u/>
        <sz val="10"/>
        <color theme="1"/>
        <rFont val="Arial"/>
        <family val="2"/>
      </rPr>
      <t>Bubbled and Updated Accountability Codes</t>
    </r>
    <r>
      <rPr>
        <sz val="10"/>
        <color theme="1"/>
        <rFont val="Arial"/>
        <family val="2"/>
      </rPr>
      <t xml:space="preserve"> section of the Processing Rules - Scoring document for the logic for setting these values (pre and post OCS) </t>
    </r>
  </si>
  <si>
    <t>000.0-999.5
Blank</t>
  </si>
  <si>
    <t>650-850
Blank</t>
  </si>
  <si>
    <t>UNS = Unsatisfactory
APP = Approaching Basic
BAS = Basic
MAS = Mastery
ADV = Advanced
INC = Include in reports
Blank</t>
  </si>
  <si>
    <r>
      <t xml:space="preserve">Total raw score for ELA.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</si>
  <si>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Scaled score for ELA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</si>
  <si>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t>00.0-99.5
Blank</t>
  </si>
  <si>
    <t>Total points earned for the ELA Reading Literary Text subclaim.
Blank when subclaim is not assessed (zero points possible), or when the Raw Score Total for ELA is blank.</t>
  </si>
  <si>
    <t>Total points earned for the ELA Reading Informational Text subclaim.
Blank when subclaim is not assessed (zero points possible), or when the Raw Score Total for ELA is blank.</t>
  </si>
  <si>
    <t>Total points earned for the ELA Reading Vocabulary subclaim.
Blank when subclaim is not assessed (zero points possible), or when the Raw Score Total for ELA is blank.</t>
  </si>
  <si>
    <t>Total points earned for the ELA Written Expression subclaim.
Blank when subclaim is not assessed (zero points possible), or when the Raw Score Total for ELA is blank.</t>
  </si>
  <si>
    <t>Total points earned for the ELA Knowledge &amp; Use of Language Conventions subclaim.
Blank when subclaim is not assessed (zero points possible), or when the Raw Score Total for ELA is blank.</t>
  </si>
  <si>
    <t>Total points earned for the ELA Reading claim.
Blank when subclaim is not assessed (zero points possible), or when the Raw Score Total for ELA is blank.</t>
  </si>
  <si>
    <t>Total points earned for the ELA Writing subclaim.
Blank when subclaim is not assessed (zero points possible), or when the Raw Score Total for ELA is blank.</t>
  </si>
  <si>
    <r>
      <t xml:space="preserve">Total raw score for Math.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</si>
  <si>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Scaled score for Math.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</si>
  <si>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t>Total points earned for the Math Major Content subclaim.
Blank when subclaim is not assessed (zero points possible), or when the Raw Score Total for ELA is blank.</t>
  </si>
  <si>
    <t>Total points earned for the Math Additional &amp; Supporting Content subclaim.
Blank when subclaim is not assessed (zero points possible), or when the Raw Score Total for ELA is blank.</t>
  </si>
  <si>
    <t>Total points earned for the Math Expressing Mathematical Reasoning subclaim.
Blank when subclaim is not assessed (zero points possible), or when the Raw Score Total for ELA is blank.</t>
  </si>
  <si>
    <t>Total points earned for the Math Modeling &amp; Application Raw Score subclaim.
Blank when subclaim is not assessed (zero points possible), or when the Raw Score Total for ELA is blank.</t>
  </si>
  <si>
    <t>100-500
Blank</t>
  </si>
  <si>
    <r>
      <t xml:space="preserve">Total raw score for Science.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</si>
  <si>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Scaled score for Science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</si>
  <si>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r>
      <t xml:space="preserve">Assessment achievement level for Science.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</si>
  <si>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Total points earned for each Science content standard.
Blank when content standard is not assessed (zero points possible), or when the Raw Score Total for Science is blank.</t>
  </si>
  <si>
    <t>Total points earned for each Science subtest.
The Raw Score for Subtest 3: Task Item contains the score for the MC and CR items contained within the Task Item.  Refer to the DOTS for the number of MC Items and the maximum points possible per CR item contained in the Task Item.
Blank when subtest is not assessed (zero points possible), or when the Raw Score Total for Science is blank.</t>
  </si>
  <si>
    <t>000-999
Blank</t>
  </si>
  <si>
    <t>Total correct Science multiple choice items
Blank when Raw Score Total for Science is blank, or if Science was updated because of a score merge.</t>
  </si>
  <si>
    <t>Total correct Science constructed-response items (includes short answer items and essay)
Blank when Raw Score Total for Science is blank, or if Science was updated because of a score merge.</t>
  </si>
  <si>
    <t>From Raw Score to Scaled Score tables.
Blank if the student's Science Summarized Void Flag = "Y", or if the student's Science Summarized Test Taken Flag = "N".</t>
  </si>
  <si>
    <t xml:space="preserve">From Raw Score to Scaled Score tables.
Blank if the student's Math Summarized Void Flag = "Y", or if the student's Math Test Taken Flag = "N".
</t>
  </si>
  <si>
    <t xml:space="preserve">From Raw Score to Scaled Score tables.
Blank if the student's ELA Summarized Void Flag = "Y", or if the student's ELA Test Taken Flag = "N".
</t>
  </si>
  <si>
    <t>Y = Subject was attempted
N = Subject was not attempted</t>
  </si>
  <si>
    <t>0 = Neither MC nor CR taken
1 = MC only taken
2 = CR only taken
3 = Both MC and CR taken
Blank</t>
  </si>
  <si>
    <t>Y = Handscoring is complete
N = Handscoring is not complete</t>
  </si>
  <si>
    <t>Y = Include student in summary
      N-counts for subject
N = Do not include student in summary 
      N-counts for subject</t>
  </si>
  <si>
    <t>1 = Regular Education
2 = Special Education
Blank = document not returned</t>
  </si>
  <si>
    <t>1 = Regular Education
2 = Special Education</t>
  </si>
  <si>
    <r>
      <t xml:space="preserve">Education classification flag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t>
    </r>
  </si>
  <si>
    <t>01-34
Blank</t>
  </si>
  <si>
    <t>Y = LEP
N = Not LEP
Blank = document not returned</t>
  </si>
  <si>
    <t>Y = LEP
N = Not LEP</t>
  </si>
  <si>
    <r>
      <t xml:space="preserve">LEP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t>
    </r>
  </si>
  <si>
    <t>01 = Not LEP
02 = LEP
Blank</t>
  </si>
  <si>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hand-coded document that could not be matched back to the LAP file, manually added online testers, or if the value was blank on the LAP file.</t>
    </r>
  </si>
  <si>
    <t>As flagged on the LAP file.
Blank for a hand-coded document that could not be matched back to the LAP file, manually added online testers, or if the value was blank on the LAP file.</t>
  </si>
  <si>
    <t>Y = Section 504
N = Not Section 504
Blank = document not returned</t>
  </si>
  <si>
    <t>Y = 504
N = Not 504</t>
  </si>
  <si>
    <r>
      <t xml:space="preserve">Section 504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t>
    </r>
  </si>
  <si>
    <t>01 = LEA
02 = LAB
03 = CHA
04 = TRI
05 = NPB
06 = STA
08 = BSE
09 = OJJ
10 = MAR
12 = RES
13 = NPS
14 = RLA
15 = RNO
16 = JUV
17 = RBR</t>
  </si>
  <si>
    <t>The numeric type for the Assess Group Code value from the School Master File for the school the student is being reported to.</t>
  </si>
  <si>
    <t>1 = Regular
2 = Home Study
3 = Nonpublic School</t>
  </si>
  <si>
    <r>
      <t xml:space="preserve">Refer to the </t>
    </r>
    <r>
      <rPr>
        <b/>
        <u/>
        <sz val="10"/>
        <rFont val="Arial"/>
        <family val="2"/>
      </rPr>
      <t>Home Study/Nonpublic Flag</t>
    </r>
    <r>
      <rPr>
        <sz val="10"/>
        <rFont val="Arial"/>
        <family val="2"/>
      </rPr>
      <t xml:space="preserve"> section of the Processing Rules - Scoring document for rules on populating these values.</t>
    </r>
  </si>
  <si>
    <t>1 = Type 1 Charter
2 = Type 2 Charter
3 = Type 3 Charter
4 = Type 4 Charter
5 = Type 5 Charter
6 = Type 3B Charter
Blank = Not a Charter School</t>
  </si>
  <si>
    <t>00000001-99999999
Blank = document not returned</t>
  </si>
  <si>
    <t>000001-999999
Blank = document not returned</t>
  </si>
  <si>
    <t>8 digit number
Blank = document not returned</t>
  </si>
  <si>
    <t>This is the last 8 digits of the document security barcode number.</t>
  </si>
  <si>
    <t>8 digit number
Blank</t>
  </si>
  <si>
    <t>This is the last 8 digits of the paper document security barcode number.
Blank when a paper document is not returned and for online testers.</t>
  </si>
  <si>
    <t>Blank when a paper document is not returned and for online testers.</t>
  </si>
  <si>
    <t>00000001-99999999
Blank</t>
  </si>
  <si>
    <t>000001-999999
Blank</t>
  </si>
  <si>
    <t>01-99
Blank (default value)</t>
  </si>
  <si>
    <t>UNS = Unsatisfactory
APP = Approaching Basic
BAS = Basic
MAS = Mastery
ADV = Advanced
Blank</t>
  </si>
  <si>
    <t>Y = Indicated as one of the twins
N = Not Indicated as one of the twins
Blank</t>
  </si>
  <si>
    <t>As flagged on the LAP file.
Blank for a paper hand-coded document that could not be matched back to the LAP file or for a manually added online tester.</t>
  </si>
  <si>
    <t>Y = indicates student has an approved 
        scholarship
N = indicates student does not have an 
        approved scholarship
Blank</t>
  </si>
  <si>
    <t>6 digit site code
Blank</t>
  </si>
  <si>
    <r>
      <t xml:space="preserve">This is the November LAP site code for paper and online testers.
Blank for paper testers when the record could not be matched back to the DRC precode file or for manually added online testers.
</t>
    </r>
    <r>
      <rPr>
        <strike/>
        <sz val="10"/>
        <color rgb="FFFF0000"/>
        <rFont val="Arial"/>
        <family val="2"/>
      </rPr>
      <t/>
    </r>
  </si>
  <si>
    <t>6 digit site code
Blank = document not returned</t>
  </si>
  <si>
    <t>Y = Hispanic or Latino
N = Not Hispanic or Latino
Blank</t>
  </si>
  <si>
    <t>Y = American Indian or Alaska Native
N = Not American Indian or Alaska Native
Blank</t>
  </si>
  <si>
    <t>Y = Asian
N = Not Asian
Blank</t>
  </si>
  <si>
    <t>Y = Black or African American
N = Not Black or African American
Blank</t>
  </si>
  <si>
    <t>Y = Native Hawaiian or Other Pacific 
        Islander
N = Not Native Hawaiian or Other Pacific 
        Islander
Blank</t>
  </si>
  <si>
    <t>Y = White
N = Not White
Blank</t>
  </si>
  <si>
    <t>1 = Hispanic/Latino
2 = American Indian or Alaska Native
3 = Asian
4 = Black or African American
5 = Native Hawaiian or Other Pacific
       Islander
6 = White
7 = Two or more races
I = Invalid
Blank = document not returned</t>
  </si>
  <si>
    <t>Student's scores were summarized in the State totals.</t>
  </si>
  <si>
    <t>Student's school was included in the district level media reports.</t>
  </si>
  <si>
    <t>Student's school was included in the school level media reports.</t>
  </si>
  <si>
    <t>Student's school was included in Assessment Group Code for district level reporting.</t>
  </si>
  <si>
    <t>Reports to student's school showed "N/A" instead of district results.</t>
  </si>
  <si>
    <t>Student's school was included in LEA code for district level reporting.</t>
  </si>
  <si>
    <t>Student's district gets district reports.</t>
  </si>
  <si>
    <t>LDE gets reports of student's district.</t>
  </si>
  <si>
    <t>Student's school was included in cleanup reports.</t>
  </si>
  <si>
    <t>Student's school was included in summary reports.</t>
  </si>
  <si>
    <t>Student's school was included in erasure reports.</t>
  </si>
  <si>
    <t>Student's school was included in Roster Reports.</t>
  </si>
  <si>
    <t>Student's school was included in Student Reports (SR).</t>
  </si>
  <si>
    <r>
      <t xml:space="preserve">If field value = "Y", then student will appear on the Science School Roster.
The SCI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t>
    </r>
  </si>
  <si>
    <r>
      <t xml:space="preserve">If field value = "Y", then student will appear on the ELA and Math School Roster.
The ELA/Math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ELA and/or Math.</t>
    </r>
  </si>
  <si>
    <r>
      <t xml:space="preserve">If field value = "Y", then student will appear on the ELA Student Report (SR).
The Student Report for ELA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ELA.</t>
    </r>
  </si>
  <si>
    <r>
      <t xml:space="preserve">If field value = "Y", then student will appear on the Math Student Report (SR).
The Student Report for Math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Math.</t>
    </r>
  </si>
  <si>
    <r>
      <t xml:space="preserve">If field value = "Y", then student will appear on the Science Student Report (SR).
The Student Report for Science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Science.</t>
    </r>
  </si>
  <si>
    <t>100-899 = School Level
900-999 = District Level
--- = No response (document returned)
* = Multiple Response
Blank = document not returned</t>
  </si>
  <si>
    <r>
      <rPr>
        <b/>
        <sz val="10"/>
        <rFont val="Arial"/>
        <family val="2"/>
      </rPr>
      <t xml:space="preserve">For paper testers: </t>
    </r>
    <r>
      <rPr>
        <sz val="10"/>
        <rFont val="Arial"/>
        <family val="2"/>
      </rPr>
      <t xml:space="preserve">As bubbled on the ELA consumable test booklet.
</t>
    </r>
    <r>
      <rPr>
        <b/>
        <sz val="10"/>
        <rFont val="Arial"/>
        <family val="2"/>
      </rPr>
      <t xml:space="preserve">For online testers: </t>
    </r>
    <r>
      <rPr>
        <sz val="10"/>
        <rFont val="Arial"/>
        <family val="2"/>
      </rPr>
      <t>Test Administrator Number associated with the eDIRECT test session</t>
    </r>
  </si>
  <si>
    <t>Numeric value with leading zeros
Blank</t>
  </si>
  <si>
    <t>Unique number generated at the time the student record is converted into the DRC Student File.  (Starts over each administration.)
Blank for Equating file.</t>
  </si>
  <si>
    <t>2 digit code
Blank</t>
  </si>
  <si>
    <t>MMDDYYYY
Blank</t>
  </si>
  <si>
    <t>As bubbled on the Math/Spanish Math consumable test booklet.
Blank for online testers.</t>
  </si>
  <si>
    <t xml:space="preserve">As bubbled on the Math/Spanish Math consumable test booklet.
Blank for online testers.
Refer to the Bubbled and Updated Accountability Codes section of the Processing Rules - Scoring document for the logic for setting these values (pre and post OCS) </t>
  </si>
  <si>
    <t>6-digit school code
3 digit district code
3 character assess group</t>
  </si>
  <si>
    <t>Student's site reports should be rolled up/reported to.</t>
  </si>
  <si>
    <t>Y = TDR Student
Blank = Non-TDR Student</t>
  </si>
  <si>
    <t>As flagged on the LAP file.
Identifies the Tuition Donation Rebate (TDR) students.</t>
  </si>
  <si>
    <r>
      <t xml:space="preserve">"*", "-", and "_" values are changed to spaces, and then the spaces are removed by compressing the values from the name field.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</si>
  <si>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r>
      <t xml:space="preserve">Month, Day, Year of student's birth
"*" and " " values are changed to "-".
Refer to the </t>
    </r>
    <r>
      <rPr>
        <b/>
        <u/>
        <sz val="10"/>
        <rFont val="Arial"/>
        <family val="2"/>
      </rPr>
      <t>Rules to Determine Demographic Values</t>
    </r>
    <r>
      <rPr>
        <b/>
        <sz val="10"/>
        <rFont val="Arial"/>
        <family val="2"/>
      </rPr>
      <t xml:space="preserve"> </t>
    </r>
    <r>
      <rPr>
        <sz val="10"/>
        <rFont val="Arial"/>
        <family val="2"/>
      </rPr>
      <t xml:space="preserve">section of the Processing Rules - Scoring document for logic to determine these values based on values from the LAP file and the response document.
"99" is only valid after the Online Corrections System (OCS) has been applied.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</si>
  <si>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t>Y = District void in subject
N = No district void in subject</t>
  </si>
  <si>
    <t>Y = Plagiarism in subject
N = No plagiarism in subject</t>
  </si>
  <si>
    <t>Y</t>
  </si>
  <si>
    <t>N</t>
  </si>
  <si>
    <t>Site Report Code</t>
  </si>
  <si>
    <r>
      <rPr>
        <b/>
        <sz val="10"/>
        <rFont val="Arial"/>
        <family val="2"/>
      </rPr>
      <t xml:space="preserve">For paper testers: </t>
    </r>
    <r>
      <rPr>
        <sz val="10"/>
        <rFont val="Arial"/>
        <family val="2"/>
      </rPr>
      <t xml:space="preserve">As bubbled on the Math/Spanish Math consumable test booklet.
</t>
    </r>
    <r>
      <rPr>
        <b/>
        <sz val="10"/>
        <rFont val="Arial"/>
        <family val="2"/>
      </rPr>
      <t xml:space="preserve">For online testers: </t>
    </r>
    <r>
      <rPr>
        <sz val="10"/>
        <rFont val="Arial"/>
        <family val="2"/>
      </rPr>
      <t>Test Administrator Number associated with the eDIRECT test session.</t>
    </r>
  </si>
  <si>
    <t>Test Administrator Number - Social Studies</t>
  </si>
  <si>
    <t>Test Administrator Number - Math</t>
  </si>
  <si>
    <t>Test Administrator Number - ELA</t>
  </si>
  <si>
    <t>Test Administrator Number - Science</t>
  </si>
  <si>
    <t>E</t>
  </si>
  <si>
    <t>K, E</t>
  </si>
  <si>
    <t>C</t>
  </si>
  <si>
    <t>E, C</t>
  </si>
  <si>
    <t>K, E, M</t>
  </si>
  <si>
    <t>E, M</t>
  </si>
  <si>
    <t>M</t>
  </si>
  <si>
    <t>M, C</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</si>
  <si>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</si>
  <si>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</si>
  <si>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</si>
  <si>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</si>
  <si>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Processing Rules - Scoring</t>
  </si>
  <si>
    <t>Louisiana/&lt;YYYY&gt; - &lt;Admin&gt;/Processing Rules - Final</t>
  </si>
  <si>
    <t>Processing Rules - Reporting</t>
  </si>
  <si>
    <t>Louisiana/&lt;YYYY&gt;-&lt;Admin&gt;/Processing Rules - Final</t>
  </si>
  <si>
    <t>Common Louisiana Processing Rules - Reporting</t>
  </si>
  <si>
    <t>Accountability Codes for Testing</t>
  </si>
  <si>
    <t>Louisiana/Accountability Data/Accountability Codes Chart/YYYY-YYYY/</t>
  </si>
  <si>
    <t>http://drcdirect/informationsystems/eis/dteam/Louisiana/Accountability/</t>
  </si>
  <si>
    <t>Document Name</t>
  </si>
  <si>
    <t>LDE SFTP Location</t>
  </si>
  <si>
    <t>DRC Location</t>
  </si>
  <si>
    <t>http://drcdirect/informationsystems/eis/dteam/Louisiana/LEAP Spring</t>
  </si>
  <si>
    <t>http://drcdirect/informationsystems/eis/dteam/Louisiana/Common Louisiana Spring/Reporting/</t>
  </si>
  <si>
    <t>*Social Studies is a field test in 2016. All Social Studies fields will be blank for 2016.</t>
  </si>
  <si>
    <t>Reading Literary Text Percent Correct</t>
  </si>
  <si>
    <t>0-100
Blank</t>
  </si>
  <si>
    <t>Percent correct for the ELA Reading Literary Text subclaim. This is calculated by dividing the total points earned by the total points possible for the subclaim.
Blank when Reading Literary Text Raw Score is blank.</t>
  </si>
  <si>
    <t>Reading Informational Text Percent Correct</t>
  </si>
  <si>
    <t>Percent correct for the ELA Reading Informational Text subclaim. This is calculated by dividing the total points earned by the total points possible for the subclaim.
Blank when Reading Informational Text Raw Score is blank.</t>
  </si>
  <si>
    <t>Reading Vocabulary Percent Correct</t>
  </si>
  <si>
    <t>Percent correct for the ELA Reading Vocabulary subclaim. This is calculated by dividing the total points earned by the total points possible for the subclaim.
Blank when Reading Vocabulary Raw Score is blank.</t>
  </si>
  <si>
    <t>Knowledge &amp; Use of Language Conventions Percent Correct</t>
  </si>
  <si>
    <t>Percent correct for the ELA Knowledge &amp; Use of Language Conventions subclaim. This is calculated by dividing the total points earned by the total points possible for the subclaim.
Blank when Knowledge &amp; Use of Language Conventions Raw Score is blank.</t>
  </si>
  <si>
    <t>Written Expression Percent Correct</t>
  </si>
  <si>
    <t>Percent correct for the ELA Written Expression subclaim. This is calculated by dividing the total points earned by the total points possible for the subclaim.
Blank when Written Expression Raw Score is blank.</t>
  </si>
  <si>
    <t>Reading Percent Correct</t>
  </si>
  <si>
    <t>Writing Percent Correct</t>
  </si>
  <si>
    <t>Major Content Percent Correct</t>
  </si>
  <si>
    <t>Percent correct for the Math Major Content subclaim. This is calculated by dividing the total points earned by the total points possible for the subclaim.
Blank when Major Content Raw Score is blank.</t>
  </si>
  <si>
    <t>Additional &amp; Supporting Content Percent Correct</t>
  </si>
  <si>
    <t>Percent correct for the Math Additional &amp; Supporting Content subclaim. This is calculated by dividing the total points earned by the total points possible for the subclaim.
Blank when Additional &amp; Supporting Content Raw Score is blank.</t>
  </si>
  <si>
    <t>Expressing Mathematical Reasoning Percent Correct</t>
  </si>
  <si>
    <t>Percent correct for the Math Expressing Mathematical Reasoning subclaim. This is calculated by dividing the total points earned by the total points possible for the subclaim.
Blank when Expressing Mathematical Reasoning Raw Score is blank.</t>
  </si>
  <si>
    <t>Modeling &amp; Application Percent Correct</t>
  </si>
  <si>
    <t>Percent correct for the Math Modeling &amp; Application subclaim. This is calculated by dividing the total points earned by the total points possible for the subclaim.
Blank when Modeling &amp; Application Raw Score is blank.</t>
  </si>
  <si>
    <t>Percent correct for the ELA Reading claim. This is calculated by dividing the total points earned by the total points possible for the claim.
Blank when Reading Raw Score is blank.</t>
  </si>
  <si>
    <t>Percent correct for the ELA Writing claim. This is calculated by dividing the total points earned by the total points possible for the claim.
Blank when Writing Raw Score is blank.</t>
  </si>
  <si>
    <t>Standard 1: Science as Inquiry Percent Correct</t>
  </si>
  <si>
    <t>Standard 2: Physical Science Percent Correct</t>
  </si>
  <si>
    <t>Percent correct for the Science Standard 1: Science as Inquiry content standard. This is calculated by dividing the total points earned by the total points possible for the content standard.
Blank when Standard 1: Science as Inquiry Raw Score is blank.</t>
  </si>
  <si>
    <t>Percent correct for the Science Standard 2: Physical Science content standard. This is calculated by dividing the total points earned by the total points possible for the content standard.
Blank when Standard 2: Physical Science Raw Score is blank.</t>
  </si>
  <si>
    <t>Standard 3: Life Science Percent Correct</t>
  </si>
  <si>
    <t>Percent correct for the Science Standard 3: Life Science content standard. This is calculated by dividing the total points earned by the total points possible for the content standard.
Blank when Standard 3: Life Science Raw Score is blank.</t>
  </si>
  <si>
    <t>Standard 4: Earth and Space Science Percent Correct</t>
  </si>
  <si>
    <t>Percent correct for the Science Standard 4: Earth and Space Science content standard. This is calculated by dividing the total points earned by the total points possible for the content standard.
Blank when Standard 4: Earth and Space Science Raw Score is blank.</t>
  </si>
  <si>
    <t>Standard 5: Science and the Environment Percent Correct</t>
  </si>
  <si>
    <t>Percent correct for the Science Standard 5: Science and the Environment content standard. This is calculated by dividing the total points earned by the total points possible for the content standard.
Blank when Standard 5: Science and the Environment Raw Score is blank.</t>
  </si>
  <si>
    <t>Record Length:</t>
  </si>
  <si>
    <t xml:space="preserve">Bubbled Special Education Exceptionality </t>
  </si>
  <si>
    <r>
      <t xml:space="preserve">Assessment achievement level for ELA.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</si>
  <si>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1 = Weak Performance
2 = Moderate Performance
3 = Strong Performance
Blank</t>
  </si>
  <si>
    <r>
      <t xml:space="preserve">Assessment achievement level for Math.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</si>
  <si>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Y = Spanish version of the math form
N = English version of the math form
Blank = document not returned</t>
  </si>
  <si>
    <t>Footnote: Test Security Violation (Void) - ELA</t>
  </si>
  <si>
    <t>Footnote: Test Security Violation (Void) - Math</t>
  </si>
  <si>
    <t>Footnote: Test Security Violation (Void) - Science</t>
  </si>
  <si>
    <t>Footnote: Test Security Violation (Void) - Social Studies</t>
  </si>
  <si>
    <t>Reading Literary Text Rating</t>
  </si>
  <si>
    <t>Rating associated with the Reading Literary Text Raw Score.
Blank when Reading Literary Text Raw Score is blank.</t>
  </si>
  <si>
    <t>Reading Informational Text Rating</t>
  </si>
  <si>
    <t>Rating associated with the Reading Informational Text Raw Score.
Blank when Reading Literary Text Raw Score is blank.</t>
  </si>
  <si>
    <t>Reading Vocabulary Rating</t>
  </si>
  <si>
    <t>Rating associated with the Reading Vocabulary Raw Score.
Blank when Reading Literary Text Raw Score is blank.</t>
  </si>
  <si>
    <t>Written Expression Rating</t>
  </si>
  <si>
    <t>Rating associated with the Written Expression Raw Score.
Blank when Reading Literary Text Raw Score is blank.</t>
  </si>
  <si>
    <t>Knowledge &amp; Use of Language Conventions Rating</t>
  </si>
  <si>
    <t>Rating associated with the Knowledge &amp; Use of Language Conventions Raw Score.
Blank when Reading Literary Text Raw Score is blank.</t>
  </si>
  <si>
    <t xml:space="preserve">Reading Rating </t>
  </si>
  <si>
    <t>Rating associated with the Reading Raw Score.
Blank when Reading Literary Text Raw Score is blank.</t>
  </si>
  <si>
    <t>Writing Rating</t>
  </si>
  <si>
    <t>Rating associated with the Writing Raw Score.
Blank when Reading Literary Text Raw Score is blank.</t>
  </si>
  <si>
    <t>Major Content Rating</t>
  </si>
  <si>
    <t>Rating associated with the Major Content Raw Score.
Blank when Reading Literary Text Raw Score is blank.</t>
  </si>
  <si>
    <t>Additional &amp; Supporting Content Rating</t>
  </si>
  <si>
    <t>Rating associated with the Additional &amp; Supporting Content Raw Score.
Blank when Reading Literary Text Raw Score is blank.</t>
  </si>
  <si>
    <t>Expressing Mathematical Reasoning Rating</t>
  </si>
  <si>
    <t>Rating associated with the Expressing Mathematical Reasoning Raw Score.
Blank when Reading Literary Text Raw Score is blank.</t>
  </si>
  <si>
    <t>Modeling &amp; Application Rating</t>
  </si>
  <si>
    <t>Rating associated with the Modeling &amp; Application Raw Score.
Blank when Reading Literary Text Raw Score is blank.</t>
  </si>
  <si>
    <t>LAP Grade Placement</t>
  </si>
  <si>
    <t>Added a business rule to the Summarized Grade field to note that for online testers this will be the grade associated with their test session. If the student was not placed in a test session or did not return a paper document than the LAP grade will be used as the summarized grade.</t>
  </si>
  <si>
    <t>Updated the Bubbled Education Classification fields possible values as there is only one bubble on the answer document in 2016.</t>
  </si>
  <si>
    <t>Updated the Claim/Subclaim Scoring fields to be "&lt;Claim/Subclaim&gt; Rating" instead of "&lt;Claim/Subclaim&gt; Performance Level".</t>
  </si>
  <si>
    <t>Mallory Johannes</t>
  </si>
  <si>
    <t>Updated the possible values for the Science Lithocode to show that this value will be 8 digits in length.</t>
  </si>
  <si>
    <t>Repeating Grade</t>
  </si>
  <si>
    <t>1 = Repeating Grade
- = Not Repeating Grade
Blank</t>
  </si>
  <si>
    <t>As bubbled on the Grade 4 or 8 Science answer document.
Blank for Grades 3, 5, 6, and 7</t>
  </si>
  <si>
    <t>04 = Spring</t>
  </si>
  <si>
    <t>Project: 2017 LEAP Spring</t>
  </si>
  <si>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the values from the LAP file and the answer document/consumable test booklets.
</t>
    </r>
    <r>
      <rPr>
        <b/>
        <sz val="10"/>
        <rFont val="Arial"/>
        <family val="2"/>
      </rPr>
      <t xml:space="preserve">Paper: </t>
    </r>
    <r>
      <rPr>
        <sz val="10"/>
        <rFont val="Arial"/>
        <family val="2"/>
      </rPr>
      <t xml:space="preserve">Values are derived from type of booklet for a hand-coded document, or from LAP file for a preidentified document. For students who tested in a grade that differs from their grade on the LAP file, the grade level of the document will be populated here.
</t>
    </r>
    <r>
      <rPr>
        <b/>
        <sz val="10"/>
        <rFont val="Arial"/>
        <family val="2"/>
      </rPr>
      <t xml:space="preserve">Online: </t>
    </r>
    <r>
      <rPr>
        <sz val="10"/>
        <rFont val="Arial"/>
        <family val="2"/>
      </rPr>
      <t>Values are derived from the test session grade, or from the LAP file. For students who tested in a grade that differs from their grade on the LAP file, the grade level from the test session will be populated here.</t>
    </r>
  </si>
  <si>
    <r>
      <rPr>
        <strike/>
        <sz val="10"/>
        <rFont val="Arial"/>
        <family val="2"/>
      </rPr>
      <t xml:space="preserve">
</t>
    </r>
    <r>
      <rPr>
        <sz val="10"/>
        <rFont val="Arial"/>
        <family val="2"/>
      </rPr>
      <t>1 = Special
- = Regular
Blank = document not returned</t>
    </r>
  </si>
  <si>
    <t>Void due to plagiarism.
The Plagiarism Void flag for the subject will be set to "Y" if the student has a row in the LDE approved Void .CSV file for the subject, and the LDE Type of Void field contains "Plagiarism" or "PLAG".
*Social Studies is a field test in 2016. All Social Studies fields will be blank for 2016.</t>
  </si>
  <si>
    <r>
      <t xml:space="preserve">For 'Item Responses' strings, each item uses </t>
    </r>
    <r>
      <rPr>
        <strike/>
        <sz val="10"/>
        <color rgb="FFFF0000"/>
        <rFont val="Arial"/>
        <family val="2"/>
      </rPr>
      <t xml:space="preserve"> </t>
    </r>
    <r>
      <rPr>
        <sz val="10"/>
        <rFont val="Arial"/>
        <family val="2"/>
      </rPr>
      <t>four characters of space.
If the item is multiple choice, the first character of the four is populated with the student's response with the remaining two positions as filler.  
1-4
A
B
C
D
- = No response (document returned)
* = Multiple Response
Blank = document not returned or subject 
       was updated for score merge
If the item is constructed response, all four characters are used and the student's score for the constructed response item is represented as a decimal to the tenths:
0.0, 1.0, 2.0, 3.0, 4.0
B = subject within the document was sent to 
        Performance Assessment group and 
        there was no attempt for the CR item
- = No response (document returned and 
      was not sent to Performance 
      Assessment group)
Blank = document not returned or subject 
       was updated for score merge</t>
    </r>
    <r>
      <rPr>
        <strike/>
        <sz val="10"/>
        <color rgb="FFFF0000"/>
        <rFont val="Arial"/>
        <family val="2"/>
      </rPr>
      <t/>
    </r>
  </si>
  <si>
    <t>Pulled forward to 2017</t>
  </si>
  <si>
    <t>Allan Dahlen</t>
  </si>
  <si>
    <t>LAP Accommodations</t>
  </si>
  <si>
    <t>Human/Test Read Aloud</t>
  </si>
  <si>
    <t>Online Accommodated Paper Test</t>
  </si>
  <si>
    <t>Spanish Test Text-to-Speech</t>
  </si>
  <si>
    <t>Test Read Aloud</t>
  </si>
  <si>
    <t>Test Administered by ESL Teacher</t>
  </si>
  <si>
    <t>P = Paper
O = Online
Blank = document not returned</t>
  </si>
  <si>
    <t>eDIRECT Gender</t>
  </si>
  <si>
    <t>LAP Gender</t>
  </si>
  <si>
    <t>eDIRECT Migrant Flag</t>
  </si>
  <si>
    <t>LAP Migrant Flag</t>
  </si>
  <si>
    <t>LAP McKinney-Vento (Homeless) Flag</t>
  </si>
  <si>
    <t>1 = Shelter
2 = Double-up
3 = Unsheltered
4 = Hotels/Motels
5 = Unknown
Blank</t>
  </si>
  <si>
    <t>LAP Education Classification Flag</t>
  </si>
  <si>
    <t>0 = Regular 
1 = With Disabilities
2 = Gifted or Talented
Blank</t>
  </si>
  <si>
    <t>eDIRECT Education Classification Flag</t>
  </si>
  <si>
    <t>LAP Exceptionality Category</t>
  </si>
  <si>
    <t>eDIRECT Exceptionality Category</t>
  </si>
  <si>
    <t>eDIRECT LEP Code</t>
  </si>
  <si>
    <t>LAP LEP Code</t>
  </si>
  <si>
    <t>LAP Section 504 Code</t>
  </si>
  <si>
    <t>eDIRECT Section 504 Code</t>
  </si>
  <si>
    <t>Y = Section 504
N = Not Section 504
Blank</t>
  </si>
  <si>
    <t>eDIRECT Hispanic/Latino</t>
  </si>
  <si>
    <t>LAP Hispanic/Latino</t>
  </si>
  <si>
    <t>eDIRECT American Indian or Alaska Native</t>
  </si>
  <si>
    <t>LAP American Indian or Alaska Native</t>
  </si>
  <si>
    <t>eDIRECT Asian</t>
  </si>
  <si>
    <t>LAP Asian</t>
  </si>
  <si>
    <t>eDIRECT Black or African American</t>
  </si>
  <si>
    <t>LAP Black or African American</t>
  </si>
  <si>
    <t>eDIRECT Native Hawaiian or Other Pacific Islander</t>
  </si>
  <si>
    <t>LAP Native Hawaiian or Other Pacific Islander</t>
  </si>
  <si>
    <t>eDIRECT White</t>
  </si>
  <si>
    <t>LAP White</t>
  </si>
  <si>
    <r>
      <t xml:space="preserve">Void due to cheating or administrative error, that was identified by the District.
</t>
    </r>
    <r>
      <rPr>
        <b/>
        <strike/>
        <sz val="10"/>
        <rFont val="Arial"/>
        <family val="2"/>
      </rPr>
      <t xml:space="preserve">For Paper Testers: </t>
    </r>
    <r>
      <rPr>
        <strike/>
        <sz val="10"/>
        <rFont val="Arial"/>
        <family val="2"/>
      </rPr>
      <t xml:space="preserve">The District Void flag for the subject will be set to "Y" if the student has a row in the LDE approved Void .CSV file for the subject, and the LDE Type of Void field contains "District" or "DIST".
</t>
    </r>
    <r>
      <rPr>
        <b/>
        <strike/>
        <sz val="10"/>
        <rFont val="Arial"/>
        <family val="2"/>
      </rPr>
      <t xml:space="preserve">For Online Testers: </t>
    </r>
    <r>
      <rPr>
        <strike/>
        <sz val="10"/>
        <rFont val="Arial"/>
        <family val="2"/>
      </rPr>
      <t>The District Void flag for the subject will be set to "Y" when the invalidation flag is set in eDIRECT.
*Social Studies is a field test in 2016. All Social Studies fields will be blank for 2016.</t>
    </r>
  </si>
  <si>
    <r>
      <rPr>
        <strike/>
        <sz val="10"/>
        <rFont val="Arial"/>
        <family val="2"/>
      </rPr>
      <t>Summary of District Void and Plagiarism flags in each subject. If any of these 2 flags are "Y" in a subject, then the Summarized flag will be "Y" for that subject.
*Social Studies is a field test in 2016. All Social Studies fields will be blank for 2016.</t>
    </r>
    <r>
      <rPr>
        <sz val="10"/>
        <rFont val="Arial"/>
        <family val="2"/>
      </rPr>
      <t xml:space="preserve">
Summary of District Voids, Plagiarism Voids and Off-Grade Voids in each subject.  
The Summarized Void flag will be "1" for a subject if the student has a row in the LDE approved Void .csv file for the subject and the LDE Type of Void field contains "1"
The Summarized Void flag will be "2" for a subject if the student has a row in the LDE approved Void .csv file for the subject and the LDE Type of Void field contains "2"
The Summarized Void flag will be "4" for a subject if the student has a row in the LDE approved Void .csv file for the subject and the LDE Type of Void field contains "4"
Blank when the subject is not voided
</t>
    </r>
  </si>
  <si>
    <r>
      <rPr>
        <strike/>
        <sz val="10"/>
        <color theme="1"/>
        <rFont val="Arial"/>
        <family val="2"/>
      </rPr>
      <t xml:space="preserve">Y = Void in subject
N = No void in subject
</t>
    </r>
    <r>
      <rPr>
        <sz val="10"/>
        <color theme="1"/>
        <rFont val="Arial"/>
        <family val="2"/>
      </rPr>
      <t>1 = Plagiarism
2 = District
4 = Off-Grade
Blank</t>
    </r>
  </si>
  <si>
    <t xml:space="preserve">First character ("P" or "L"), followed by the last 8 digits of the number.
"P" when the answer document is precoded, or when a hand-coded answer document matches by 4 demographics to a precode record. The first non-blank answer document (Doc1-&gt;Doc2-&gt;Doc3-&gt;Doc4) will have the documents Barcode/Student Precode Number populated.
"L" when a hand-coded answer document does not match to a precode record by 4 demographics.   The first non-blank answer document (Doc1-&gt;Doc2-&gt;Doc3-&gt;Doc4) will have the documents Barcode/Student Precode Number populated.
Blank for students who tested all subjects online.
</t>
  </si>
  <si>
    <t>As flagged on the LAP file.
Blank for a hand coded paper document that could not be matched back to the LAP file or manually added online tester.</t>
  </si>
  <si>
    <r>
      <t>As flagged on the LAP file</t>
    </r>
    <r>
      <rPr>
        <strike/>
        <sz val="10"/>
        <color rgb="FFFF0000"/>
        <rFont val="Arial"/>
        <family val="2"/>
      </rPr>
      <t xml:space="preserve"> for paper testers</t>
    </r>
    <r>
      <rPr>
        <sz val="10"/>
        <rFont val="Arial"/>
        <family val="2"/>
      </rPr>
      <t xml:space="preserve">
Blank for a hand coded paper document that could not be matched back to the LAP file, for </t>
    </r>
    <r>
      <rPr>
        <sz val="10"/>
        <color rgb="FFFF0000"/>
        <rFont val="Arial"/>
        <family val="2"/>
      </rPr>
      <t xml:space="preserve">manually added online tester, </t>
    </r>
    <r>
      <rPr>
        <sz val="10"/>
        <rFont val="Arial"/>
        <family val="2"/>
      </rPr>
      <t>or if the value was blank on the LAP file.</t>
    </r>
  </si>
  <si>
    <t>eDIRECT McKinney-Vento (Homeless) Flag</t>
  </si>
  <si>
    <t>Y = Classified as Homeless Student
N = Not classified as Homeless Student
Blank</t>
  </si>
  <si>
    <t>As valued in eDIRECT.
Blank for a hand-coded document that could not be matched back to the LAP file or an online student.</t>
  </si>
  <si>
    <t>Y = Yes
Blank</t>
  </si>
  <si>
    <t>Accommodated Paper</t>
  </si>
  <si>
    <t>Communication Assistance Scripts</t>
  </si>
  <si>
    <r>
      <t>Spanish Test Human Read Aloud</t>
    </r>
    <r>
      <rPr>
        <sz val="10"/>
        <color rgb="FFFF0000"/>
        <rFont val="Arial"/>
        <family val="2"/>
      </rPr>
      <t xml:space="preserve"> Accommodated Paper</t>
    </r>
  </si>
  <si>
    <r>
      <t xml:space="preserve">As valued in eDIRECT for online testers.
</t>
    </r>
    <r>
      <rPr>
        <b/>
        <sz val="10"/>
        <color rgb="FFFF0000"/>
        <rFont val="Arial"/>
        <family val="2"/>
      </rPr>
      <t xml:space="preserve">Note: </t>
    </r>
    <r>
      <rPr>
        <sz val="10"/>
        <color rgb="FFFF0000"/>
        <rFont val="Arial"/>
        <family val="2"/>
      </rPr>
      <t>Students using the Spanish TTS accommodation will have a "1" for Text-to-Speech and a "1" for Spanish Test.</t>
    </r>
    <r>
      <rPr>
        <sz val="10"/>
        <color theme="1"/>
        <rFont val="Arial"/>
        <family val="2"/>
      </rPr>
      <t xml:space="preserve">
Blank for paper testers.</t>
    </r>
  </si>
  <si>
    <t>Bubbled LEP Status and  Test Accommodations</t>
  </si>
  <si>
    <t>As bubbled on the Social Studies consumable test booklet.
Blank for online testers.</t>
  </si>
  <si>
    <r>
      <t xml:space="preserve">As bubbled on the Social Studies consumable test booklet.
Blank for online testers.
Refer to the </t>
    </r>
    <r>
      <rPr>
        <b/>
        <u/>
        <sz val="10"/>
        <color theme="1"/>
        <rFont val="Arial"/>
        <family val="2"/>
      </rPr>
      <t>Bubbled and Updated Accountability Codes</t>
    </r>
    <r>
      <rPr>
        <sz val="10"/>
        <color theme="1"/>
        <rFont val="Arial"/>
        <family val="2"/>
      </rPr>
      <t xml:space="preserve"> section of the Processing Rules - Scoring document for the logic for setting these values (pre and post OCS) </t>
    </r>
  </si>
  <si>
    <t>As flagged on the LAP file.
Blank for a hand-coded paper document that could not be matched back to the LAP file or if the value was blank on the LAP file.</t>
  </si>
  <si>
    <t xml:space="preserve">Human Read Aloud </t>
  </si>
  <si>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
</t>
    </r>
    <r>
      <rPr>
        <strike/>
        <sz val="10"/>
        <color rgb="FFFF0000"/>
        <rFont val="Arial"/>
        <family val="2"/>
      </rPr>
      <t>*Social Studies is a field test in 2016. All Social Studies fields will be blank for 2016.</t>
    </r>
  </si>
  <si>
    <r>
      <t xml:space="preserve">As flagged on the LAP file </t>
    </r>
    <r>
      <rPr>
        <strike/>
        <sz val="10"/>
        <color rgb="FFFF0000"/>
        <rFont val="Arial"/>
        <family val="2"/>
      </rPr>
      <t>for paper testers</t>
    </r>
    <r>
      <rPr>
        <sz val="10"/>
        <rFont val="Arial"/>
        <family val="2"/>
      </rPr>
      <t xml:space="preserv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 coded paper document that could not be matched back to the LAP file, </t>
    </r>
    <r>
      <rPr>
        <sz val="10"/>
        <color rgb="FFFF0000"/>
        <rFont val="Arial"/>
        <family val="2"/>
      </rPr>
      <t>for manually added online tester</t>
    </r>
    <r>
      <rPr>
        <sz val="10"/>
        <rFont val="Arial"/>
        <family val="2"/>
      </rPr>
      <t>, or if the value was blank in the LAP file.</t>
    </r>
  </si>
  <si>
    <r>
      <t xml:space="preserve">As valued in eDIRECT.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if the value was blank in eDIRECT or for hand-coded students that could not be matched back to the LAP file.</t>
    </r>
  </si>
  <si>
    <t>As valued in eDIRECT.
Blank if the value was blank in eDIRECT or for hand-coded students that could not be matched back to the LAP file.</t>
  </si>
  <si>
    <r>
      <t xml:space="preserve">As flagged on the LAP file </t>
    </r>
    <r>
      <rPr>
        <strike/>
        <sz val="10"/>
        <color rgb="FFFF0000"/>
        <rFont val="Arial"/>
        <family val="2"/>
      </rPr>
      <t>for paper testers</t>
    </r>
    <r>
      <rPr>
        <sz val="10"/>
        <rFont val="Arial"/>
        <family val="2"/>
      </rPr>
      <t>.</t>
    </r>
    <r>
      <rPr>
        <sz val="10"/>
        <rFont val="Arial"/>
        <family val="2"/>
      </rPr>
      <t xml:space="preserve">
Blank for a hand coded paper document that could not be matched back to the LAP file, </t>
    </r>
    <r>
      <rPr>
        <sz val="10"/>
        <color rgb="FFFF0000"/>
        <rFont val="Arial"/>
        <family val="2"/>
      </rPr>
      <t>for manually added online tester</t>
    </r>
    <r>
      <rPr>
        <sz val="10"/>
        <rFont val="Arial"/>
        <family val="2"/>
      </rPr>
      <t>, or if the value was blank in the LAP file.</t>
    </r>
  </si>
  <si>
    <r>
      <t>As valued in eDIRECT.</t>
    </r>
    <r>
      <rPr>
        <sz val="10"/>
        <rFont val="Arial"/>
        <family val="2"/>
      </rPr>
      <t xml:space="preserve">
Blank if the value was blank in eDIRECT or for hand-coded students that could not be matched back to the LAP file.</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</si>
  <si>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
</t>
    </r>
    <r>
      <rPr>
        <strike/>
        <sz val="10"/>
        <color rgb="FFFF0000"/>
        <rFont val="Arial"/>
        <family val="2"/>
      </rPr>
      <t>*Social Studies is a field test in 2016. All Social Studies fields will be blank for 2016.</t>
    </r>
    <r>
      <rPr>
        <sz val="10"/>
        <rFont val="Arial"/>
        <family val="2"/>
      </rPr>
      <t xml:space="preserve">
</t>
    </r>
  </si>
  <si>
    <t>0 = in SIS, not LEP prior 2 yrs
1 = LEP 1 yr prior
2 = LEP 2 yrs prior
3 = LEP current year
Blank = not in SIS prior 2 years or student is not on the LAP file</t>
  </si>
  <si>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
</t>
    </r>
    <r>
      <rPr>
        <strike/>
        <sz val="10"/>
        <color rgb="FFFF0000"/>
        <rFont val="Arial"/>
        <family val="2"/>
      </rPr>
      <t xml:space="preserve">
*Social Studies is a field test in 2016. All Social Studies fields will be blank for 2016.</t>
    </r>
  </si>
  <si>
    <r>
      <t>Y</t>
    </r>
    <r>
      <rPr>
        <strike/>
        <sz val="10"/>
        <color rgb="FFFF0000"/>
        <rFont val="Arial"/>
        <family val="2"/>
      </rPr>
      <t>es</t>
    </r>
    <r>
      <rPr>
        <sz val="10"/>
        <rFont val="Arial"/>
        <family val="2"/>
      </rPr>
      <t xml:space="preserve"> = Section 504
N</t>
    </r>
    <r>
      <rPr>
        <strike/>
        <sz val="10"/>
        <color rgb="FFFF0000"/>
        <rFont val="Arial"/>
        <family val="2"/>
      </rPr>
      <t>o</t>
    </r>
    <r>
      <rPr>
        <sz val="10"/>
        <rFont val="Arial"/>
        <family val="2"/>
      </rPr>
      <t xml:space="preserve"> = Not Section 504
Blank</t>
    </r>
  </si>
  <si>
    <r>
      <t xml:space="preserve">Total raw score for Social Studies.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</si>
  <si>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Scaled score for Social Studies.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</si>
  <si>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r>
      <t xml:space="preserve">Assessment achievement level for Social Studies.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</si>
  <si>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History Percent Correct</t>
  </si>
  <si>
    <t>Geography Percent Correct</t>
  </si>
  <si>
    <t>Civics Percent Correct</t>
  </si>
  <si>
    <t>Economics Percent Correct</t>
  </si>
  <si>
    <t>Total points earned for each Social Studies content standard.
Blank when content standard is not assessed (zero points possible), or when the Raw Score Total for Social Studies is blank.</t>
  </si>
  <si>
    <t>Percent correct for the Social Studies Standard 4: Earth and Space Social Studies content standard. This is calculated by dividing the total points earned by the total points possible for the content standard.
Blank when Economics Raw Score is blank.</t>
  </si>
  <si>
    <t>Percent correct for the Social Studies Standard 3: Life Social Studies content standard. This is calculated by dividing the total points earned by the total points possible for the content standard.
Blank when Civics Raw Score is blank.</t>
  </si>
  <si>
    <t>Percent correct for the Social Studies Standard 2: Physical Social Studies content standard. This is calculated by dividing the total points earned by the total points possible for the content standard.
Blank when Standard 2: Geography Raw Score is blank.</t>
  </si>
  <si>
    <t>Percent correct for the Social Studies Standard 1: Social Studies as Inquiry content standard. This is calculated by dividing the total points earned by the total points possible for the content standard.
Blank when History Raw Score is blank.</t>
  </si>
  <si>
    <t>From Raw Score to Scaled Score tables.
Blank if the student's Social Studies Summarized Void Flag = "Y", or if the student's Social Studies Summarized Test Taken Flag = "N".</t>
  </si>
  <si>
    <r>
      <t xml:space="preserve">Refer to the </t>
    </r>
    <r>
      <rPr>
        <b/>
        <u/>
        <sz val="10"/>
        <rFont val="Arial"/>
        <family val="2"/>
      </rPr>
      <t>Test Taken</t>
    </r>
    <r>
      <rPr>
        <sz val="10"/>
        <rFont val="Arial"/>
        <family val="2"/>
      </rPr>
      <t xml:space="preserve"> section of the Processing Rules - Scoring document for rules on populating these values.
The Test Taken Flag will be set to "N" if the subject was the secondary record involved in a score merge.
</t>
    </r>
    <r>
      <rPr>
        <strike/>
        <sz val="10"/>
        <color rgb="FFFF0000"/>
        <rFont val="Arial"/>
        <family val="2"/>
      </rPr>
      <t>*Social Studies is a field test in 2016. All Social Studies fields will be blank for 2016.</t>
    </r>
  </si>
  <si>
    <r>
      <t xml:space="preserve">Within each subject, indicates whether a student attempted any operational MC or CR type items on the test.
Autoscored Items are considered CR type items.
The MC / CR Taken flag will be set to "0" if the subject was secondary record involved in a score merge.
</t>
    </r>
    <r>
      <rPr>
        <strike/>
        <sz val="10"/>
        <color rgb="FFFF0000"/>
        <rFont val="Arial"/>
        <family val="2"/>
      </rPr>
      <t>*Social Studies is a field test in 2016. All Social Studies fields will be blank for 2016.</t>
    </r>
  </si>
  <si>
    <r>
      <t xml:space="preserve">The Handscoring Complete Flag for the subject will be set to "Y" if handscoring has been completed for the subject.
</t>
    </r>
    <r>
      <rPr>
        <strike/>
        <sz val="10"/>
        <color rgb="FFFF0000"/>
        <rFont val="Arial"/>
        <family val="2"/>
      </rPr>
      <t>*Social Studies is a field test in 2016. All Social Studies fields will be blank for 2016.</t>
    </r>
  </si>
  <si>
    <r>
      <t xml:space="preserve">Include student in summarization.
Refer to the </t>
    </r>
    <r>
      <rPr>
        <b/>
        <u/>
        <sz val="10"/>
        <rFont val="Arial"/>
        <family val="2"/>
      </rPr>
      <t>Include in N-Counts</t>
    </r>
    <r>
      <rPr>
        <sz val="10"/>
        <rFont val="Arial"/>
        <family val="2"/>
      </rPr>
      <t xml:space="preserve"> section of the Processing Rules - Scoring document for rules on populating these values.
</t>
    </r>
    <r>
      <rPr>
        <strike/>
        <sz val="10"/>
        <color rgb="FFFF0000"/>
        <rFont val="Arial"/>
        <family val="2"/>
      </rPr>
      <t>*Social Studies is a field test in 2016. All Social Studies fields will be blank for 2016.</t>
    </r>
  </si>
  <si>
    <r>
      <rPr>
        <sz val="10"/>
        <rFont val="Arial"/>
        <family val="2"/>
      </rP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r>
      <rPr>
        <strike/>
        <sz val="10"/>
        <color rgb="FFFF0000"/>
        <rFont val="Arial"/>
        <family val="2"/>
      </rPr>
      <t>*Social Studies is a field test in 2016. All Social Studies fields will be blank for 2016.</t>
    </r>
  </si>
  <si>
    <r>
      <t xml:space="preserve">Accountability Achievement Level for the given subject. 
Refer to the </t>
    </r>
    <r>
      <rPr>
        <b/>
        <u/>
        <sz val="10"/>
        <rFont val="Arial"/>
        <family val="2"/>
      </rPr>
      <t xml:space="preserve">Resulting LDESTD Values by Subject </t>
    </r>
    <r>
      <rPr>
        <sz val="10"/>
        <rFont val="Arial"/>
        <family val="2"/>
      </rPr>
      <t>table within the Processing Rules - Scoring document for the logic to set these fields.</t>
    </r>
    <r>
      <rPr>
        <strike/>
        <sz val="10"/>
        <rFont val="Arial"/>
        <family val="2"/>
      </rPr>
      <t xml:space="preserve">
</t>
    </r>
    <r>
      <rPr>
        <sz val="10"/>
        <rFont val="Arial"/>
        <family val="2"/>
      </rPr>
      <t xml:space="preserve">The Accountability Achievement Level fields will be set to Blank if the subject was the secondary record involved in a score merge.
</t>
    </r>
    <r>
      <rPr>
        <strike/>
        <sz val="10"/>
        <color rgb="FFFF0000"/>
        <rFont val="Arial"/>
        <family val="2"/>
      </rPr>
      <t>*Social Studies is a field test in 2016. All Social Studies fields will be blank for 2016.</t>
    </r>
  </si>
  <si>
    <t>TEST MODE</t>
  </si>
  <si>
    <t>Test Mode - ELA</t>
  </si>
  <si>
    <t>Test Mode - Math</t>
  </si>
  <si>
    <t>Test Mode - Science</t>
  </si>
  <si>
    <t>Test Mode - Social Studies</t>
  </si>
  <si>
    <t>Identifies if the student tested the subject online or paper/pencil.</t>
  </si>
  <si>
    <r>
      <t xml:space="preserve">N = No Document Returned For 
      Precoded Record
M = Manually Coded Document 
       Returned
P = Precoded Document Returned 
O = Manually Coded Document 
       matched back to Precode Record.
</t>
    </r>
    <r>
      <rPr>
        <strike/>
        <sz val="10"/>
        <color rgb="FFFF0000"/>
        <rFont val="Arial"/>
        <family val="2"/>
      </rPr>
      <t>Blank</t>
    </r>
    <r>
      <rPr>
        <sz val="10"/>
        <color rgb="FFFF0000"/>
        <rFont val="Arial"/>
        <family val="2"/>
      </rPr>
      <t xml:space="preserve"> C</t>
    </r>
    <r>
      <rPr>
        <sz val="10"/>
        <rFont val="Arial"/>
        <family val="2"/>
      </rPr>
      <t xml:space="preserve"> = Online Tester
Blank</t>
    </r>
  </si>
  <si>
    <r>
      <t xml:space="preserve">Indicates whether a paper document was returned and whether it was manually completed for demographics or precoded with student label.
</t>
    </r>
    <r>
      <rPr>
        <strike/>
        <sz val="10"/>
        <color rgb="FFFF0000"/>
        <rFont val="Arial"/>
        <family val="2"/>
      </rPr>
      <t xml:space="preserve">*Social Studies is a field test in 2016. All Social Studies fields will be blank for 2016.
</t>
    </r>
    <r>
      <rPr>
        <sz val="10"/>
        <color rgb="FFFF0000"/>
        <rFont val="Arial"/>
        <family val="2"/>
      </rPr>
      <t>Blank for a subject when the student did not test the subject and the student was not precoded.</t>
    </r>
  </si>
  <si>
    <r>
      <t xml:space="preserve">District and School where student was tested for this subject.
Refer to the </t>
    </r>
    <r>
      <rPr>
        <b/>
        <u/>
        <sz val="10"/>
        <rFont val="Arial"/>
        <family val="2"/>
      </rPr>
      <t>Capturing Site Codes</t>
    </r>
    <r>
      <rPr>
        <sz val="10"/>
        <rFont val="Arial"/>
        <family val="2"/>
      </rPr>
      <t xml:space="preserve"> section of the Processing Rules - Scoring document for logic to determine the Document Site-Code value.
</t>
    </r>
    <r>
      <rPr>
        <strike/>
        <sz val="10"/>
        <color rgb="FFFF0000"/>
        <rFont val="Arial"/>
        <family val="2"/>
      </rPr>
      <t>*Social Studies is a field test in 2016. All Social Studies fields will be blank for 2016.</t>
    </r>
  </si>
  <si>
    <r>
      <t>Charter type as listed in the School Master File.
Blank for 888 and 998</t>
    </r>
    <r>
      <rPr>
        <strike/>
        <sz val="10"/>
        <color rgb="FFFF0000"/>
        <rFont val="Arial"/>
        <family val="2"/>
      </rPr>
      <t xml:space="preserve">, and 999 </t>
    </r>
    <r>
      <rPr>
        <sz val="10"/>
        <rFont val="Arial"/>
        <family val="2"/>
      </rPr>
      <t>school types.</t>
    </r>
  </si>
  <si>
    <r>
      <rPr>
        <sz val="10"/>
        <color rgb="FFFF0000"/>
        <rFont val="Arial"/>
        <family val="2"/>
      </rPr>
      <t>0</t>
    </r>
    <r>
      <rPr>
        <sz val="10"/>
        <color theme="1"/>
        <rFont val="Arial"/>
        <family val="2"/>
      </rPr>
      <t>0000001-</t>
    </r>
    <r>
      <rPr>
        <sz val="10"/>
        <color rgb="FFFF0000"/>
        <rFont val="Arial"/>
        <family val="2"/>
      </rPr>
      <t>9</t>
    </r>
    <r>
      <rPr>
        <sz val="10"/>
        <color theme="1"/>
        <rFont val="Arial"/>
        <family val="2"/>
      </rPr>
      <t>9999999
000000000001-999999999999
Blank = paper document not returned</t>
    </r>
  </si>
  <si>
    <r>
      <rPr>
        <sz val="10"/>
        <color rgb="FFFF0000"/>
        <rFont val="Arial"/>
        <family val="2"/>
      </rPr>
      <t>0</t>
    </r>
    <r>
      <rPr>
        <sz val="10"/>
        <color theme="1"/>
        <rFont val="Arial"/>
        <family val="2"/>
      </rPr>
      <t>0000001-</t>
    </r>
    <r>
      <rPr>
        <sz val="10"/>
        <color rgb="FFFF0000"/>
        <rFont val="Arial"/>
        <family val="2"/>
      </rPr>
      <t>9</t>
    </r>
    <r>
      <rPr>
        <sz val="10"/>
        <color theme="1"/>
        <rFont val="Arial"/>
        <family val="2"/>
      </rPr>
      <t>9999999
Blank = paper document not returned</t>
    </r>
  </si>
  <si>
    <r>
      <rPr>
        <strike/>
        <sz val="10"/>
        <color rgb="FFFF0000"/>
        <rFont val="Arial"/>
        <family val="2"/>
      </rPr>
      <t>7</t>
    </r>
    <r>
      <rPr>
        <sz val="10"/>
        <color rgb="FFFF0000"/>
        <rFont val="Arial"/>
        <family val="2"/>
      </rPr>
      <t xml:space="preserve"> 8</t>
    </r>
    <r>
      <rPr>
        <sz val="10"/>
        <color theme="1"/>
        <rFont val="Arial"/>
        <family val="2"/>
      </rPr>
      <t xml:space="preserve"> digits in length for paper testers.</t>
    </r>
  </si>
  <si>
    <t>00000001-99999999
000000000001-999999999999
Blank = paper document not returned</t>
  </si>
  <si>
    <r>
      <rPr>
        <strike/>
        <sz val="10"/>
        <rFont val="Arial"/>
        <family val="2"/>
      </rPr>
      <t>*Social Studies is a field test in 2016. All Social Studies fields will be blank for 2016.</t>
    </r>
    <r>
      <rPr>
        <sz val="10"/>
        <rFont val="Arial"/>
        <family val="2"/>
      </rPr>
      <t xml:space="preserve">
If field value = "Y", then student will appear on the Social Studies Student Report (SR).
The Student Report for Social Studies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Science.</t>
    </r>
  </si>
  <si>
    <r>
      <t>If field value = "Y", then student will be receiving this footnote.
The Test Security Violation (Void) footnote will be set to "Y", if the Summarized Void Flag for the ELA =</t>
    </r>
    <r>
      <rPr>
        <strike/>
        <sz val="10"/>
        <rFont val="Arial"/>
        <family val="2"/>
      </rPr>
      <t xml:space="preserve"> </t>
    </r>
    <r>
      <rPr>
        <strike/>
        <sz val="10"/>
        <color rgb="FFFF0000"/>
        <rFont val="Arial"/>
        <family val="2"/>
      </rPr>
      <t>"Y"</t>
    </r>
    <r>
      <rPr>
        <sz val="10"/>
        <color rgb="FFFF0000"/>
        <rFont val="Arial"/>
        <family val="2"/>
      </rPr>
      <t xml:space="preserve"> "1", "2", or "4".</t>
    </r>
  </si>
  <si>
    <r>
      <t>If field value = "Y", then student will be receiving this footnote.
The Test Security Violation (Void) footnote will be set to "Y", if the Summarized Void Flag for the Math =</t>
    </r>
    <r>
      <rPr>
        <strike/>
        <sz val="10"/>
        <rFont val="Arial"/>
        <family val="2"/>
      </rPr>
      <t xml:space="preserve"> </t>
    </r>
    <r>
      <rPr>
        <strike/>
        <sz val="10"/>
        <color rgb="FFFF0000"/>
        <rFont val="Arial"/>
        <family val="2"/>
      </rPr>
      <t>"Y"</t>
    </r>
    <r>
      <rPr>
        <sz val="10"/>
        <color rgb="FFFF0000"/>
        <rFont val="Arial"/>
        <family val="2"/>
      </rPr>
      <t xml:space="preserve"> "1", "2", or "4".</t>
    </r>
  </si>
  <si>
    <r>
      <t>If field value = "Y", then student will be receiving this footnote.
The Test Security Violation (Void) footnote will be set to "Y", if the Summarized Void Flag for the Science =</t>
    </r>
    <r>
      <rPr>
        <strike/>
        <sz val="10"/>
        <rFont val="Arial"/>
        <family val="2"/>
      </rPr>
      <t xml:space="preserve"> </t>
    </r>
    <r>
      <rPr>
        <strike/>
        <sz val="10"/>
        <color rgb="FFFF0000"/>
        <rFont val="Arial"/>
        <family val="2"/>
      </rPr>
      <t>"Y"</t>
    </r>
    <r>
      <rPr>
        <sz val="10"/>
        <color rgb="FFFF0000"/>
        <rFont val="Arial"/>
        <family val="2"/>
      </rPr>
      <t xml:space="preserve"> "1", "2", or "4".</t>
    </r>
  </si>
  <si>
    <t>If field value = "Y", then student will be receiving this footnote.
The Test Security Violation (Void) footnote will be set to "Y", if the Summarized Void Flag for the Social Studies = "1", "2", or "4".</t>
  </si>
  <si>
    <r>
      <t xml:space="preserve">For "Item Responses" strings, each item uses four characters of space.
If the item is </t>
    </r>
    <r>
      <rPr>
        <b/>
        <sz val="10"/>
        <rFont val="Arial"/>
        <family val="2"/>
      </rPr>
      <t>multiple choice</t>
    </r>
    <r>
      <rPr>
        <sz val="10"/>
        <rFont val="Arial"/>
        <family val="2"/>
      </rPr>
      <t xml:space="preserve">, the first character of the four is populated with the student's response with the remaining position as filler.  
1-4
A
B
C
D
- = No response for paper document (document returned)
* = Multiple Response
Blank = No response for online document or document not returned or subject was updated for score merge
If the item is </t>
    </r>
    <r>
      <rPr>
        <b/>
        <sz val="10"/>
        <rFont val="Arial"/>
        <family val="2"/>
      </rPr>
      <t>constructed response</t>
    </r>
    <r>
      <rPr>
        <sz val="10"/>
        <rFont val="Arial"/>
        <family val="2"/>
      </rPr>
      <t xml:space="preserve">, the student's score for the constructed response item is represented. If a response is &lt;10, the value will use 2 decimal places. If a response is ≥10, the value will use 1 decimal place:
0.00-99.0
&lt;NonScore Code&gt; = Refer to the
        </t>
    </r>
    <r>
      <rPr>
        <b/>
        <u/>
        <sz val="10"/>
        <rFont val="Arial"/>
        <family val="2"/>
      </rPr>
      <t>Constructed Response Items</t>
    </r>
    <r>
      <rPr>
        <sz val="10"/>
        <rFont val="Arial"/>
        <family val="2"/>
      </rPr>
      <t xml:space="preserve"> 
        section of the Processing Rules 
        Scoring document for applicable 
        non-score codes. 
- = No response (document returned and was not sent to Performance Assessment group)
Blank = document not returned, subject not sent to Performance Assessment Group, or subject was updated for score merge
If the item is </t>
    </r>
    <r>
      <rPr>
        <b/>
        <sz val="10"/>
        <rFont val="Arial"/>
        <family val="2"/>
      </rPr>
      <t>autoscored</t>
    </r>
    <r>
      <rPr>
        <sz val="10"/>
        <rFont val="Arial"/>
        <family val="2"/>
      </rPr>
      <t>, the student's score for the autoscored item is represented. 
0.00-99.0
B = No response (document returned)
Blank = document not returned, subject not sent to Performance Assessment Group, or subject was updated for score merge</t>
    </r>
  </si>
  <si>
    <r>
      <t xml:space="preserve">For "Item Responses" strings, each item uses four characters of space.
If the item is </t>
    </r>
    <r>
      <rPr>
        <b/>
        <sz val="10"/>
        <rFont val="Arial"/>
        <family val="2"/>
      </rPr>
      <t>multiple choice</t>
    </r>
    <r>
      <rPr>
        <sz val="10"/>
        <rFont val="Arial"/>
        <family val="2"/>
      </rPr>
      <t xml:space="preserve">, the first character of the four is populated with the student's response with the remaining position as filler.  
1-4
A
B
C
D
- = No response for paper document (document returned)
* = Multiple Response
Blank = No response for online document or document not returned or subject was updated for score merge
If the item is </t>
    </r>
    <r>
      <rPr>
        <b/>
        <sz val="10"/>
        <rFont val="Arial"/>
        <family val="2"/>
      </rPr>
      <t>constructed response</t>
    </r>
    <r>
      <rPr>
        <sz val="10"/>
        <rFont val="Arial"/>
        <family val="2"/>
      </rPr>
      <t xml:space="preserve">, the student's score for the constructed response item is represented. If a response is &lt;10, the value will use 2 decimal places. If a response is ≥10, the value will use 1 decimal place:
0.00-99.0
&lt;NonScore Code&gt; = Refer to the
        </t>
    </r>
    <r>
      <rPr>
        <b/>
        <u/>
        <sz val="10"/>
        <rFont val="Arial"/>
        <family val="2"/>
      </rPr>
      <t>Constructed Response Items</t>
    </r>
    <r>
      <rPr>
        <sz val="10"/>
        <rFont val="Arial"/>
        <family val="2"/>
      </rPr>
      <t xml:space="preserve"> 
        section of the Processing Rules 
        Scoring document for applicable 
        non-score codes. 
- = No response (document returned and was not sent to Performance Assessment group)
Blank = document not returned, subject not sent to Performance Assessment Group, or subject was updated for score merge
If the item is </t>
    </r>
    <r>
      <rPr>
        <b/>
        <sz val="10"/>
        <rFont val="Arial"/>
        <family val="2"/>
      </rPr>
      <t>autoscored</t>
    </r>
    <r>
      <rPr>
        <sz val="10"/>
        <rFont val="Arial"/>
        <family val="2"/>
      </rPr>
      <t xml:space="preserve">, the student's score for the autoscored item is represented. 
0.00-99.0
B = No response (document returned)
Blank = document not returned, subject not sent to Performance Assessment Group, or subject was updated for score merge </t>
    </r>
  </si>
  <si>
    <r>
      <t xml:space="preserve">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Severe Mental Dis.)
</t>
    </r>
    <r>
      <rPr>
        <strike/>
        <sz val="10"/>
        <color rgb="FFFF0000"/>
        <rFont val="Arial"/>
        <family val="2"/>
      </rPr>
      <t>18 = HI-Hearing Impairment</t>
    </r>
    <r>
      <rPr>
        <sz val="10"/>
        <rFont val="Arial"/>
        <family val="2"/>
      </rPr>
      <t xml:space="preserve">
99 = Unknown (multiple values bubbled)
Blank = student has no special education category</t>
    </r>
  </si>
  <si>
    <r>
      <t>01-</t>
    </r>
    <r>
      <rPr>
        <strike/>
        <sz val="10"/>
        <color rgb="FFFF0000"/>
        <rFont val="Arial"/>
        <family val="2"/>
      </rPr>
      <t xml:space="preserve">18 </t>
    </r>
    <r>
      <rPr>
        <sz val="10"/>
        <color rgb="FFFF0000"/>
        <rFont val="Arial"/>
        <family val="2"/>
      </rPr>
      <t>17</t>
    </r>
    <r>
      <rPr>
        <sz val="10"/>
        <rFont val="Arial"/>
        <family val="2"/>
      </rPr>
      <t xml:space="preserve">
Blank</t>
    </r>
  </si>
  <si>
    <t>HI - Hard of Hearing</t>
  </si>
  <si>
    <r>
      <rPr>
        <strike/>
        <sz val="10"/>
        <rFont val="Arial"/>
        <family val="2"/>
      </rPr>
      <t>HI-Hearing Impairment</t>
    </r>
    <r>
      <rPr>
        <sz val="10"/>
        <rFont val="Arial"/>
        <family val="2"/>
      </rPr>
      <t xml:space="preserve"> </t>
    </r>
    <r>
      <rPr>
        <sz val="10"/>
        <color rgb="FFFF0000"/>
        <rFont val="Arial"/>
        <family val="2"/>
      </rPr>
      <t>HI - Deaf</t>
    </r>
  </si>
  <si>
    <t>Full Student First Name</t>
  </si>
  <si>
    <r>
      <t xml:space="preserve">This is the RAW name provided in the LAP file from eScholar
</t>
    </r>
    <r>
      <rPr>
        <b/>
        <u/>
        <sz val="10"/>
        <rFont val="Arial"/>
        <family val="2"/>
      </rPr>
      <t>For files delivered to LDOE</t>
    </r>
    <r>
      <rPr>
        <sz val="10"/>
        <rFont val="Arial"/>
        <family val="2"/>
      </rPr>
      <t xml:space="preserve">
Refer to the Reporting Summarization and Delivery Table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
</t>
    </r>
    <r>
      <rPr>
        <b/>
        <u/>
        <sz val="10"/>
        <rFont val="Arial"/>
        <family val="2"/>
      </rPr>
      <t xml:space="preserve">
For files delivered to eScholar</t>
    </r>
    <r>
      <rPr>
        <sz val="10"/>
        <rFont val="Arial"/>
        <family val="2"/>
      </rPr>
      <t xml:space="preserve">
These fields will be populated with the full values on the file produced for eScholar</t>
    </r>
  </si>
  <si>
    <t>Full Student Last Name</t>
  </si>
  <si>
    <t>New LASID</t>
  </si>
  <si>
    <r>
      <t xml:space="preserve">Refer to the </t>
    </r>
    <r>
      <rPr>
        <b/>
        <u/>
        <sz val="10"/>
        <rFont val="Arial"/>
        <family val="2"/>
      </rPr>
      <t>Scoring Overview</t>
    </r>
    <r>
      <rPr>
        <sz val="10"/>
        <rFont val="Arial"/>
        <family val="2"/>
      </rPr>
      <t xml:space="preserve"> section of the Processing Rules - Scoring document for types of items that are autoscored.
Field Test Items will be included in the Item Responses.
The ELA Prose Constructed Response will be 2 or 3 positions within the response string; one position for each trait containing the number of points assigned to each trait. 
When a subject is updated because of a score merge, the item response string is changed to blank.
</t>
    </r>
  </si>
  <si>
    <t>Possible Values and Descritpions/Comments were added for all Social Studies fields. All notes regarding Social Studies being a field test were removed.</t>
  </si>
  <si>
    <t xml:space="preserve">Update the LAP/eDIRECT Gender  (pos. 154), Migrant (pos. 157), McKinney-Vento (pos. 160) to be LAP only fields. </t>
  </si>
  <si>
    <t>Update the length of the LAP McKinney-Vento to be 1 instead of 3. FILLER was created for the remaining two bytes.</t>
  </si>
  <si>
    <t>Added  eDIRECT Gender  (pos. 167), Migrant (pos. 168), McKinney-Vento (pos. 169)  fields. The FILLER in pos. 167-181 was updated to be 12 bytes instead of 15.</t>
  </si>
  <si>
    <t>The following fields were rearranged to accommodate the ELA bubbled HI - Hearing Impairment exceptionality splitting into HI - Deaf and HI - Hard of Hearing.
FILLER in pos. 198-206 was reduced from 10 to 9.
Bubbled Ethnicity/Race fields were moved up 1 position from 208-213 to 207-212.
Gifted, Talented, Autism, Deafblindness, Developmental Delay, and Emotional Disturbance Exceptionalites were moved up 1 position from 214-219 to 213-218.</t>
  </si>
  <si>
    <t>ELA LAP Accommodations were added in pos. 230-242. To accommodate this the following fields were updated:
The FILLER in pos. 230-239 was removed. 
The Bubbled Spec. Ed. Test Accomm. were moved from pos. 240-247 to 243-250
The FILLER in pos. 248-252 was reduced from 5 bytes to 2.</t>
  </si>
  <si>
    <t>Additional ELA Online Test Accommodations were added in pos. 292-294. The FILLER following these fields was reduced from 5 bytes to 2.</t>
  </si>
  <si>
    <t>The following fields were rearranged to accommodate the Math bubbled HI - Hearing Impairment exceptionality splitting into HI - Deaf and HI - Hard of Hearing.
FILLER in pos. 314-322 was reduced from 10 to 9.
Bubbled Ethnicity/Race fields were moved up 1 position from 324-329 to 323-328.
Gifted, Talented, Autism, Deafblindness, Developmental Delay, and Emotional Disturbance Exceptionalites were moved up 1 position from 330-335 to 329-334.</t>
  </si>
  <si>
    <t>Math LAP Accommodations were added in pos. 346-361. To accommodate this the following fields were updated:
The FILLER in pos. 346-355 was removed. 
The Bubbled Spec. Ed. Test Accomm. were moved from pos. 356-364 to 362-370
The FILLER in pos. 365-369 was removed.
The Bubbled LEP Status and Accommodations were moved from pos. 370-376 to 371-377.
The FILLER in pos. 377-381 was reduced from 5 bytes to 4.</t>
  </si>
  <si>
    <t>Math Online Test Accommodations were updated/added to match the 2017 accommodations. New accommodations were added in pos. 415-416. The FILLER following these fields was reduced from 5 bytes to 3. Added a note to show that students using the Spanish TTS accommodation will be flagged with the TTS and Spanish Test Accommodations.</t>
  </si>
  <si>
    <t>Science LAP Accommodations were added in pos. 469-481. To accommodate this the following fields were updated:
The FILLER in pos.469-478 was removed. 
The Bubbled Spec. Ed. Test Accomm. were moved from pos. 479-489 to 482-492
The FILLER in pos. 490-494 was reduced from 5 bytes to 2.</t>
  </si>
  <si>
    <t>Social Studies LAP Accommodations were added in pos. 594-609. To accommodate this the following fields were updated:
The FILLER in pos.594-603 was removed. 
The Bubbled Spec. Ed. Test Accomm. were moved from pos. 604-614 to 610-620
The FILLER in pos. 615-619 was removed.
The Bubbled LEP Status and Accommodations were moved from pos. 620-626 to 621-627
The FILLER in pos. 627-631 was reduced from 5 bytes to 4.</t>
  </si>
  <si>
    <t>Additional Social Studies Online Test Accommodations were added in pos. 663-665. The FILLER following these fields was reduced from 5 bytes to 2.</t>
  </si>
  <si>
    <t>School Roster - Social Studies</t>
  </si>
  <si>
    <r>
      <t xml:space="preserve">If field value = "Y", then student will appear on the Social Studies School Roster.
The SOC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SOC.</t>
    </r>
  </si>
  <si>
    <t>The LAP/eDIRECT Ed Class Flag (pos. 668-670) was split into 2 fields, LAP Ed Class (pos. 668) and eDIRECT Ed Class (pos. 669). Each field will be 1 byte. The possible values were updated to be 0-2 for both. FILLER was added in position 670.</t>
  </si>
  <si>
    <t>The following LAP/eDIRECT fields were split into separate LAP and eDIRECT fields.
* Exceptionality Category
* LEP Code Section 504
* Ethnicity/Race fields
As a result, the following fields were moved/added/removed
* eDIRECT Exceptionality Category was added in pos. 680-681.
* The Summarized Exceptionality Category fields by subject were moved from pos. 680-687 to 682-689.
* LAP LEP Code was moved from 688-689 to 690-691
* eDIRECT LEP Code was added in pos. 692-693
* Summarized LEP fields were moved from 691-694 to 694-698
* LAP LEP Indicator Code was moved from 695 to 699
* LAP Section 504 was moved from 696 to 700
* eDIRECT Section 504 was added in pos. 701. Values were updated from Yes/No to Y/N
* Summarized Section 504 fields were moved from 699-703 to 702-706
* LAP/eDIRECT fields in pos. 704-709 were split into two sets of fields in pos. 707-718
* Summarized Ethnicity/Race fields were moved from pos. 710-713 to 719-722
* FILLER in pos. 714-733 was updated to be a length of 11 instead of 20 and start in pos. 723</t>
  </si>
  <si>
    <t>Possible Values for all Exceptionality Category fields were updated to be 01-17 instead of 01-18.</t>
  </si>
  <si>
    <t>Reporting Category Percent Correct fields were added for Social Studies in the following positions. The Reporting Category Raw Score fields were adjusted accordingly. The FILLER in 1084-1133 was reduced from 50 to 38.
* History (1072-1078)
* Geography (1079-1081)
* Civics (1082-1085)
* Economics (1089-1092)</t>
  </si>
  <si>
    <t>Summarized Void Flag possible values were updated to be 1, 2, or 4 instead of Y/N.</t>
  </si>
  <si>
    <t>The District and Plagiarism Void Flag fields were updated to FILLER as the summarized fields now indicae the type of void. The FILLER in pos. 1218-1227 was updated to be a length of 18 instead of 10 (pos. 1210-1227)</t>
  </si>
  <si>
    <t>Test Mode fields by subject were added in pos. 1274-1277. The FILLER in pos. 1248-1277 was reduced from 30 to 26.</t>
  </si>
  <si>
    <t>The Document Type Returned possible values were updated to use "C" instead of Blank for Online Testers.</t>
  </si>
  <si>
    <t>The Comments/Descritpion column was updated for all lithocode fields to note that the paper lithocodes will be 8 digits instead or 7.</t>
  </si>
  <si>
    <t>Added the School Roster - Social Studies field in pos. 1542. The ELA/Math and Science roster flags were each moved up one position. The FILLER in pos. 1531-1540 was reduced from a length of 10 to 9.</t>
  </si>
  <si>
    <t>Added the Full Student First Name field in pos. 2893-2907.</t>
  </si>
  <si>
    <t>Added the Full Student Last Name field in pos. 2908-2927.</t>
  </si>
  <si>
    <t>Added the New LASID field in pos. 2928-2937.</t>
  </si>
  <si>
    <t>The Date/Timestamp was moved to pos. 2893-2911.</t>
  </si>
  <si>
    <r>
      <rPr>
        <strike/>
        <sz val="10"/>
        <rFont val="Arial"/>
        <family val="2"/>
      </rPr>
      <t xml:space="preserve">Yes = Special Education
No = Regular Education
</t>
    </r>
    <r>
      <rPr>
        <sz val="10"/>
        <rFont val="Arial"/>
        <family val="2"/>
      </rPr>
      <t>0 = Regular Education
1 = Special Education
2 = Gifted or Talented
Blank</t>
    </r>
  </si>
  <si>
    <r>
      <rPr>
        <strike/>
        <sz val="10"/>
        <color rgb="FFFF0000"/>
        <rFont val="Arial"/>
        <family val="2"/>
      </rPr>
      <t>7</t>
    </r>
    <r>
      <rPr>
        <sz val="10"/>
        <color rgb="FFFF0000"/>
        <rFont val="Arial"/>
        <family val="2"/>
      </rPr>
      <t xml:space="preserve"> 8</t>
    </r>
    <r>
      <rPr>
        <sz val="10"/>
        <color theme="1"/>
        <rFont val="Arial"/>
        <family val="2"/>
      </rPr>
      <t xml:space="preserve"> digits in length for paper testers.
12 digits in length for online testers.
</t>
    </r>
    <r>
      <rPr>
        <sz val="10"/>
        <color rgb="FFFF0000"/>
        <rFont val="Arial"/>
        <family val="2"/>
      </rPr>
      <t>Lithocode will be blank for online testers that have not been placed in a test session for the subject.</t>
    </r>
  </si>
  <si>
    <r>
      <t xml:space="preserve">8 digits in length for paper testers.
12 digits in length for online testers.
</t>
    </r>
    <r>
      <rPr>
        <sz val="10"/>
        <color rgb="FFFF0000"/>
        <rFont val="Arial"/>
        <family val="2"/>
      </rPr>
      <t>Lithocode will be blank for online testers that have not been placed in a test session for the subject.</t>
    </r>
  </si>
  <si>
    <t>Launch Flag - ELA</t>
  </si>
  <si>
    <t>Y = Online Test was Launched
N = Online Test not Launched
Blank</t>
  </si>
  <si>
    <t>Blank for paper testers or when the online tester is not in a test session.</t>
  </si>
  <si>
    <t>Launch Flag - Math</t>
  </si>
  <si>
    <t>Launch Flag - Social Studies</t>
  </si>
  <si>
    <t>Unique student identification number generated by LDE.
Will match LASID field if the student's LASID is not retired 
New LASID value from the March LAP file.
Blank for students that do not match back to the March LAP file.</t>
  </si>
  <si>
    <t>0-9 or in any position
Blank</t>
  </si>
  <si>
    <r>
      <t xml:space="preserve">Unique student identification number generated by LDE.
"*" and  " "  values are changed to -
</t>
    </r>
    <r>
      <rPr>
        <sz val="10"/>
        <color rgb="FFFF0000"/>
        <rFont val="Arial"/>
        <family val="2"/>
      </rPr>
      <t xml:space="preserve">This is the retired LASID for precoded students that were given a new LASID in the March LAP file. The new LASID is in the new LASID field at the end of this layout. </t>
    </r>
  </si>
  <si>
    <t>Form</t>
  </si>
  <si>
    <t>01-10
Blank</t>
  </si>
  <si>
    <t>Form Number
Blank when a paper document is not returned or when an online tester is not in a test session.</t>
  </si>
  <si>
    <t>01
Blank</t>
  </si>
  <si>
    <t>Blank</t>
  </si>
  <si>
    <t>Form Number
Blank for all students.</t>
  </si>
  <si>
    <t xml:space="preserve">History Rating </t>
  </si>
  <si>
    <t xml:space="preserve">Geography Rating </t>
  </si>
  <si>
    <t>Rating associated with the History Raw Score.
Blank when History Raw Score is blank.</t>
  </si>
  <si>
    <t>Rating associated with the Geography Raw Score.
Blank when Geography Raw Score is blank.</t>
  </si>
  <si>
    <t>Rating associated with the Civics Raw Score.
Blank when Civics Raw Score is blank.</t>
  </si>
  <si>
    <t xml:space="preserve">Civics Rating </t>
  </si>
  <si>
    <t xml:space="preserve">Economics Rating </t>
  </si>
  <si>
    <t>Rating associated with the Economics Raw Score.
Blank when Economics Raw Score is blank.</t>
  </si>
  <si>
    <t>Reporting Category Rating fields were added for Social Studies in the following positions. The Reporting Category Raw Score and Percent Correct fields were adjusted accordingly. The FILLER in 1100-1133 was reduced from 38 to 34.
* History (1075)
* Geography (1083)
* Civics (1091)
* Economics (1099)</t>
  </si>
  <si>
    <t>Added the Launch Flag 
* ELA (1370)
* Math (1414)
* Social Studies (1502)</t>
  </si>
  <si>
    <t>Added the Form fields for each subject.
* ELA (1371-1376)
* Math (1415-1420)
* Science (1458-1463)
* Social Studies (1503-1508)</t>
  </si>
  <si>
    <r>
      <t xml:space="preserve">ELA </t>
    </r>
    <r>
      <rPr>
        <sz val="10"/>
        <color rgb="FFFF0000"/>
        <rFont val="Arial"/>
        <family val="2"/>
      </rPr>
      <t>Operational</t>
    </r>
    <r>
      <rPr>
        <sz val="10"/>
        <rFont val="Arial"/>
        <family val="2"/>
      </rPr>
      <t xml:space="preserve"> Item Responses</t>
    </r>
  </si>
  <si>
    <t>ELA Field Test Item Responses</t>
  </si>
  <si>
    <t>Math Field Test Item Responses</t>
  </si>
  <si>
    <t>Science Field Test Item Responses</t>
  </si>
  <si>
    <r>
      <t xml:space="preserve">Science </t>
    </r>
    <r>
      <rPr>
        <sz val="10"/>
        <color rgb="FFFF0000"/>
        <rFont val="Arial"/>
        <family val="2"/>
      </rPr>
      <t xml:space="preserve">Operational </t>
    </r>
    <r>
      <rPr>
        <sz val="10"/>
        <rFont val="Arial"/>
        <family val="2"/>
      </rPr>
      <t>Item Responses</t>
    </r>
  </si>
  <si>
    <r>
      <t xml:space="preserve">Math </t>
    </r>
    <r>
      <rPr>
        <sz val="10"/>
        <color rgb="FFFF0000"/>
        <rFont val="Arial"/>
        <family val="2"/>
      </rPr>
      <t>Operational</t>
    </r>
    <r>
      <rPr>
        <sz val="10"/>
        <rFont val="Arial"/>
        <family val="2"/>
      </rPr>
      <t xml:space="preserve"> Item Responses</t>
    </r>
  </si>
  <si>
    <r>
      <t xml:space="preserve">Social Studies </t>
    </r>
    <r>
      <rPr>
        <sz val="10"/>
        <color rgb="FFFF0000"/>
        <rFont val="Arial"/>
        <family val="2"/>
      </rPr>
      <t xml:space="preserve">Operational </t>
    </r>
    <r>
      <rPr>
        <sz val="10"/>
        <rFont val="Arial"/>
        <family val="2"/>
      </rPr>
      <t>Item Responses</t>
    </r>
  </si>
  <si>
    <t>Social Studies Field Test Item Responses</t>
  </si>
  <si>
    <t>Split the Response Strings into an Operational String and a Field Test String.</t>
  </si>
  <si>
    <t>SPSS Start</t>
  </si>
  <si>
    <t>SPSS End</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</si>
</sst>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sz val="11"/>
      <color theme="1"/>
      <name val="Calibri"/>
      <family val="2"/>
      <scheme val="minor"/>
    </font>
    <font>
      <sz val="10"/>
      <name val="Arial"/>
      <family val="2"/>
    </font>
    <font>
      <sz val="10"/>
      <color indexed="8"/>
      <name val="Arial"/>
      <family val="2"/>
    </font>
    <font>
      <b/>
      <sz val="12"/>
      <name val="Arial"/>
      <family val="2"/>
    </font>
    <font>
      <b/>
      <sz val="10"/>
      <color indexed="12"/>
      <name val="Arial"/>
      <family val="2"/>
    </font>
    <font>
      <b/>
      <sz val="10"/>
      <color rgb="FF0000FF"/>
      <name val="Arial"/>
      <family val="2"/>
    </font>
    <font>
      <sz val="10"/>
      <name val="Arial"/>
      <family val="2"/>
    </font>
    <font>
      <b/>
      <sz val="16"/>
      <name val="Arial"/>
      <family val="2"/>
    </font>
    <font>
      <b/>
      <sz val="10"/>
      <name val="Arial"/>
      <family val="2"/>
    </font>
    <font>
      <strike/>
      <sz val="10"/>
      <name val="Arial"/>
      <family val="2"/>
    </font>
    <font>
      <b/>
      <u/>
      <sz val="10"/>
      <name val="Arial"/>
      <family val="2"/>
    </font>
    <font>
      <sz val="10"/>
      <color theme="1"/>
      <name val="Arial"/>
      <family val="2"/>
    </font>
    <font>
      <b/>
      <sz val="10"/>
      <color theme="1"/>
      <name val="Arial"/>
      <family val="2"/>
    </font>
    <font>
      <strike/>
      <sz val="10"/>
      <color rgb="FFFF0000"/>
      <name val="Arial"/>
      <family val="2"/>
    </font>
    <font>
      <b/>
      <u/>
      <sz val="10"/>
      <color theme="1"/>
      <name val="Arial"/>
      <family val="2"/>
    </font>
    <font>
      <b/>
      <sz val="10"/>
      <color indexed="10"/>
      <name val="Arial"/>
      <family val="2"/>
    </font>
    <font>
      <b/>
      <sz val="8"/>
      <color indexed="10"/>
      <name val="Arial"/>
      <family val="2"/>
    </font>
    <font>
      <u/>
      <sz val="10"/>
      <color theme="10"/>
      <name val="Arial"/>
      <family val="2"/>
    </font>
    <font>
      <sz val="16"/>
      <name val="Arial"/>
      <family val="2"/>
    </font>
    <font>
      <strike/>
      <sz val="10"/>
      <color theme="1"/>
      <name val="Arial"/>
      <family val="2"/>
    </font>
    <font>
      <b/>
      <strike/>
      <sz val="10"/>
      <color rgb="FF0000FF"/>
      <name val="Arial"/>
      <family val="2"/>
    </font>
    <font>
      <b/>
      <strike/>
      <sz val="10"/>
      <name val="Arial"/>
      <family val="2"/>
    </font>
    <font>
      <sz val="10"/>
      <color rgb="FFFF0000"/>
      <name val="Arial"/>
      <family val="2"/>
    </font>
    <font>
      <b/>
      <sz val="10"/>
      <color rgb="FFFF0000"/>
      <name val="Arial"/>
      <family val="2"/>
    </font>
    <font>
      <b/>
      <strike/>
      <sz val="10"/>
      <color rgb="FFFF0000"/>
      <name val="Arial"/>
      <family val="2"/>
    </font>
  </fonts>
  <fills count="6">
    <fill>
      <patternFill patternType="none"/>
    </fill>
    <fill>
      <patternFill patternType="gray125"/>
    </fill>
    <fill>
      <patternFill patternType="solid">
        <fgColor indexed="22"/>
        <bgColor indexed="64"/>
      </patternFill>
    </fill>
    <fill>
      <patternFill patternType="solid">
        <fgColor theme="2"/>
        <bgColor indexed="64"/>
      </patternFill>
    </fill>
    <fill>
      <patternFill patternType="solid">
        <fgColor theme="0" tint="-0.14999847407452621"/>
        <bgColor indexed="64"/>
      </patternFill>
    </fill>
    <fill>
      <patternFill patternType="solid">
        <fgColor rgb="FFFFFF99"/>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hair">
        <color auto="1"/>
      </left>
      <right style="hair">
        <color auto="1"/>
      </right>
      <top style="hair">
        <color auto="1"/>
      </top>
      <bottom style="hair">
        <color auto="1"/>
      </bottom>
      <diagonal/>
    </border>
    <border>
      <left style="medium">
        <color auto="1"/>
      </left>
      <right style="medium">
        <color auto="1"/>
      </right>
      <top style="medium">
        <color auto="1"/>
      </top>
      <bottom style="medium">
        <color auto="1"/>
      </bottom>
      <diagonal/>
    </border>
    <border>
      <left style="hair">
        <color auto="1"/>
      </left>
      <right style="hair">
        <color auto="1"/>
      </right>
      <top/>
      <bottom style="hair">
        <color auto="1"/>
      </bottom>
      <diagonal/>
    </border>
  </borders>
  <cellStyleXfs count="1722">
    <xf numFmtId="0" fontId="0"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2" fillId="0" borderId="0"/>
    <xf numFmtId="0" fontId="1" fillId="0" borderId="0"/>
    <xf numFmtId="0" fontId="1" fillId="0" borderId="0"/>
    <xf numFmtId="0" fontId="18" fillId="0" borderId="0" applyNumberFormat="0" applyFill="0" applyBorder="0" applyAlignment="0" applyProtection="0"/>
  </cellStyleXfs>
  <cellXfs count="160">
    <xf numFmtId="0" fontId="0" fillId="0" borderId="0" xfId="0"/>
    <xf numFmtId="0" fontId="12" fillId="0" borderId="0" xfId="0" applyFont="1" applyAlignment="1">
      <alignment vertical="center" wrapText="1"/>
    </xf>
    <xf numFmtId="0" fontId="12" fillId="0" borderId="0" xfId="0" applyFont="1"/>
    <xf numFmtId="0" fontId="12" fillId="0" borderId="0" xfId="0" applyFont="1" applyAlignment="1">
      <alignment vertical="center"/>
    </xf>
    <xf numFmtId="0" fontId="12" fillId="0" borderId="0" xfId="0" applyFont="1" applyAlignment="1">
      <alignment horizontal="right" vertical="top"/>
    </xf>
    <xf numFmtId="0" fontId="12" fillId="0" borderId="0" xfId="0" applyFont="1" applyAlignment="1">
      <alignment horizontal="center"/>
    </xf>
    <xf numFmtId="0" fontId="2" fillId="2" borderId="1" xfId="22" applyFill="1" applyBorder="1" applyAlignment="1" applyProtection="1">
      <alignment horizontal="center" vertical="top" wrapText="1"/>
    </xf>
    <xf numFmtId="0" fontId="2" fillId="2" borderId="1" xfId="22" applyFill="1" applyBorder="1" applyAlignment="1" applyProtection="1">
      <alignment vertical="top" wrapText="1"/>
    </xf>
    <xf numFmtId="0" fontId="3" fillId="2" borderId="1" xfId="22" applyFont="1" applyFill="1" applyBorder="1" applyAlignment="1" applyProtection="1">
      <alignment vertical="top" wrapText="1"/>
    </xf>
    <xf numFmtId="0" fontId="9" fillId="3" borderId="1" xfId="22" applyFont="1" applyFill="1" applyBorder="1"/>
    <xf numFmtId="0" fontId="2" fillId="0" borderId="1" xfId="22" applyFont="1" applyBorder="1" applyAlignment="1">
      <alignment wrapText="1"/>
    </xf>
    <xf numFmtId="0" fontId="18" fillId="0" borderId="1" xfId="1721" applyBorder="1" applyAlignment="1">
      <alignment wrapText="1"/>
    </xf>
    <xf numFmtId="0" fontId="18" fillId="0" borderId="4" xfId="1721" applyBorder="1" applyAlignment="1">
      <alignment wrapText="1"/>
    </xf>
    <xf numFmtId="0" fontId="18" fillId="0" borderId="2" xfId="1721" applyBorder="1" applyAlignment="1">
      <alignment wrapText="1"/>
    </xf>
    <xf numFmtId="0" fontId="2" fillId="0" borderId="2" xfId="22" applyFont="1" applyBorder="1" applyAlignment="1">
      <alignment horizontal="left" wrapText="1"/>
    </xf>
    <xf numFmtId="0" fontId="0" fillId="0" borderId="0" xfId="0" applyAlignment="1">
      <alignment wrapText="1"/>
    </xf>
    <xf numFmtId="0" fontId="12" fillId="0" borderId="0" xfId="0" applyFont="1" applyAlignment="1">
      <alignment vertical="top" wrapText="1"/>
    </xf>
    <xf numFmtId="14" fontId="12" fillId="0" borderId="1" xfId="0" applyNumberFormat="1" applyFont="1" applyBorder="1"/>
    <xf numFmtId="0" fontId="12" fillId="0" borderId="1" xfId="0" applyFont="1" applyBorder="1" applyAlignment="1">
      <alignment wrapText="1"/>
    </xf>
    <xf numFmtId="0" fontId="12" fillId="0" borderId="1" xfId="0" applyFont="1" applyBorder="1"/>
    <xf numFmtId="14" fontId="0" fillId="0" borderId="1" xfId="0" applyNumberFormat="1" applyBorder="1"/>
    <xf numFmtId="0" fontId="0" fillId="0" borderId="1" xfId="0" applyBorder="1" applyAlignment="1">
      <alignment wrapText="1"/>
    </xf>
    <xf numFmtId="0" fontId="12" fillId="0" borderId="1" xfId="0" applyFont="1" applyFill="1" applyBorder="1"/>
    <xf numFmtId="0" fontId="12" fillId="0" borderId="5" xfId="0" applyFont="1" applyBorder="1" applyAlignment="1">
      <alignment horizontal="center"/>
    </xf>
    <xf numFmtId="0" fontId="12" fillId="0" borderId="5" xfId="0" applyFont="1" applyBorder="1" applyAlignment="1">
      <alignment horizontal="right" vertical="top"/>
    </xf>
    <xf numFmtId="0" fontId="12" fillId="0" borderId="5" xfId="0" applyFont="1" applyBorder="1" applyAlignment="1">
      <alignment vertical="center"/>
    </xf>
    <xf numFmtId="0" fontId="12" fillId="0" borderId="5" xfId="0" applyFont="1" applyBorder="1" applyAlignment="1">
      <alignment vertical="center" wrapText="1"/>
    </xf>
    <xf numFmtId="1" fontId="2" fillId="0" borderId="5" xfId="22" applyNumberFormat="1" applyFont="1" applyFill="1" applyBorder="1" applyAlignment="1">
      <alignment horizontal="right" vertical="top"/>
    </xf>
    <xf numFmtId="0" fontId="2" fillId="0" borderId="5" xfId="22" applyFont="1" applyFill="1" applyBorder="1" applyAlignment="1">
      <alignment horizontal="right" vertical="top"/>
    </xf>
    <xf numFmtId="0" fontId="2" fillId="0" borderId="5" xfId="880" applyFont="1" applyFill="1" applyBorder="1" applyAlignment="1">
      <alignment vertical="top" wrapText="1"/>
    </xf>
    <xf numFmtId="0" fontId="2" fillId="0" borderId="5" xfId="0" applyFont="1" applyFill="1" applyBorder="1" applyAlignment="1">
      <alignment vertical="center"/>
    </xf>
    <xf numFmtId="0" fontId="2" fillId="0" borderId="5" xfId="0" applyFont="1" applyFill="1" applyBorder="1" applyAlignment="1">
      <alignment vertical="center" wrapText="1"/>
    </xf>
    <xf numFmtId="0" fontId="2" fillId="0" borderId="5" xfId="880" applyFont="1" applyFill="1" applyBorder="1" applyAlignment="1">
      <alignment vertical="center" wrapText="1"/>
    </xf>
    <xf numFmtId="0" fontId="2" fillId="0" borderId="5" xfId="880" applyFont="1" applyFill="1" applyBorder="1" applyAlignment="1">
      <alignment horizontal="left" vertical="center" wrapText="1"/>
    </xf>
    <xf numFmtId="0" fontId="12" fillId="0" borderId="5" xfId="0" applyFont="1" applyFill="1" applyBorder="1" applyAlignment="1">
      <alignment horizontal="center"/>
    </xf>
    <xf numFmtId="0" fontId="2" fillId="0" borderId="5" xfId="0" applyFont="1" applyBorder="1" applyAlignment="1">
      <alignment vertical="top" wrapText="1"/>
    </xf>
    <xf numFmtId="0" fontId="12" fillId="4" borderId="5" xfId="0" applyFont="1" applyFill="1" applyBorder="1" applyAlignment="1">
      <alignment vertical="center" wrapText="1"/>
    </xf>
    <xf numFmtId="0" fontId="2" fillId="0" borderId="5" xfId="22" applyFont="1" applyFill="1" applyBorder="1" applyAlignment="1">
      <alignment vertical="center" wrapText="1"/>
    </xf>
    <xf numFmtId="49" fontId="2" fillId="0" borderId="5" xfId="2" applyNumberFormat="1" applyFont="1" applyFill="1" applyBorder="1" applyAlignment="1">
      <alignment horizontal="left" vertical="center" wrapText="1"/>
    </xf>
    <xf numFmtId="0" fontId="2" fillId="0" borderId="5" xfId="22" applyFont="1" applyFill="1" applyBorder="1" applyAlignment="1">
      <alignment horizontal="left" vertical="center" wrapText="1"/>
    </xf>
    <xf numFmtId="0" fontId="2" fillId="4" borderId="5" xfId="880" applyFont="1" applyFill="1" applyBorder="1" applyAlignment="1">
      <alignment vertical="top" wrapText="1"/>
    </xf>
    <xf numFmtId="49" fontId="2" fillId="0" borderId="5" xfId="22" applyNumberFormat="1" applyFont="1" applyFill="1" applyBorder="1" applyAlignment="1">
      <alignment horizontal="left" vertical="center" wrapText="1"/>
    </xf>
    <xf numFmtId="0" fontId="2" fillId="4" borderId="5" xfId="22" applyFont="1" applyFill="1" applyBorder="1" applyAlignment="1">
      <alignment vertical="center" wrapText="1"/>
    </xf>
    <xf numFmtId="0" fontId="12" fillId="4" borderId="5" xfId="0" applyFont="1" applyFill="1" applyBorder="1" applyAlignment="1">
      <alignment horizontal="center"/>
    </xf>
    <xf numFmtId="0" fontId="2" fillId="4" borderId="5" xfId="22" applyFont="1" applyFill="1" applyBorder="1" applyAlignment="1">
      <alignment horizontal="right" vertical="top"/>
    </xf>
    <xf numFmtId="0" fontId="12" fillId="4" borderId="5" xfId="0" applyFont="1" applyFill="1" applyBorder="1" applyAlignment="1">
      <alignment horizontal="right" vertical="top"/>
    </xf>
    <xf numFmtId="1" fontId="2" fillId="4" borderId="5" xfId="22" applyNumberFormat="1" applyFont="1" applyFill="1" applyBorder="1" applyAlignment="1">
      <alignment horizontal="right" vertical="top"/>
    </xf>
    <xf numFmtId="49" fontId="2" fillId="4" borderId="5" xfId="22" applyNumberFormat="1" applyFont="1" applyFill="1" applyBorder="1" applyAlignment="1">
      <alignment horizontal="left" vertical="center" wrapText="1"/>
    </xf>
    <xf numFmtId="0" fontId="12" fillId="0" borderId="5" xfId="0" applyFont="1" applyFill="1" applyBorder="1" applyAlignment="1">
      <alignment vertical="center" wrapText="1"/>
    </xf>
    <xf numFmtId="0" fontId="2" fillId="0" borderId="5" xfId="22" applyFont="1" applyFill="1" applyBorder="1" applyAlignment="1">
      <alignment vertical="top" wrapText="1"/>
    </xf>
    <xf numFmtId="0" fontId="6" fillId="0" borderId="5" xfId="0" applyFont="1" applyBorder="1" applyAlignment="1">
      <alignment vertical="top" wrapText="1"/>
    </xf>
    <xf numFmtId="0" fontId="6" fillId="0" borderId="5" xfId="22" applyFont="1" applyFill="1" applyBorder="1" applyAlignment="1">
      <alignment vertical="top" wrapText="1"/>
    </xf>
    <xf numFmtId="0" fontId="2" fillId="4" borderId="5" xfId="22" applyFont="1" applyFill="1" applyBorder="1" applyAlignment="1">
      <alignment vertical="top" wrapText="1"/>
    </xf>
    <xf numFmtId="0" fontId="6" fillId="4" borderId="5" xfId="22" applyFont="1" applyFill="1" applyBorder="1" applyAlignment="1">
      <alignment vertical="top" wrapText="1"/>
    </xf>
    <xf numFmtId="0" fontId="12" fillId="0" borderId="5" xfId="0" applyFont="1" applyFill="1" applyBorder="1" applyAlignment="1">
      <alignment horizontal="right" vertical="top"/>
    </xf>
    <xf numFmtId="0" fontId="5" fillId="0" borderId="5" xfId="22" applyFont="1" applyFill="1" applyBorder="1" applyAlignment="1">
      <alignment vertical="top" wrapText="1"/>
    </xf>
    <xf numFmtId="0" fontId="2" fillId="0" borderId="5" xfId="0" applyFont="1" applyFill="1" applyBorder="1" applyAlignment="1">
      <alignment horizontal="center"/>
    </xf>
    <xf numFmtId="0" fontId="10" fillId="4" borderId="5" xfId="22" applyFont="1" applyFill="1" applyBorder="1" applyAlignment="1">
      <alignment vertical="top" wrapText="1"/>
    </xf>
    <xf numFmtId="0" fontId="20" fillId="4" borderId="5" xfId="0" applyFont="1" applyFill="1" applyBorder="1" applyAlignment="1">
      <alignment horizontal="right" vertical="top"/>
    </xf>
    <xf numFmtId="1" fontId="10" fillId="4" borderId="5" xfId="22" applyNumberFormat="1" applyFont="1" applyFill="1" applyBorder="1" applyAlignment="1">
      <alignment horizontal="right" vertical="top"/>
    </xf>
    <xf numFmtId="0" fontId="10" fillId="4" borderId="5" xfId="22" applyFont="1" applyFill="1" applyBorder="1" applyAlignment="1">
      <alignment horizontal="right" vertical="top"/>
    </xf>
    <xf numFmtId="0" fontId="2" fillId="0" borderId="5" xfId="0" applyFont="1" applyFill="1" applyBorder="1" applyAlignment="1">
      <alignment horizontal="right" vertical="top"/>
    </xf>
    <xf numFmtId="0" fontId="10" fillId="0" borderId="5" xfId="22" applyFont="1" applyFill="1" applyBorder="1" applyAlignment="1">
      <alignment vertical="top" wrapText="1"/>
    </xf>
    <xf numFmtId="0" fontId="6" fillId="0" borderId="5" xfId="0" applyFont="1" applyFill="1" applyBorder="1" applyAlignment="1">
      <alignment vertical="top" wrapText="1"/>
    </xf>
    <xf numFmtId="0" fontId="25" fillId="0" borderId="5" xfId="0" applyFont="1" applyBorder="1" applyAlignment="1">
      <alignment vertical="center" wrapText="1"/>
    </xf>
    <xf numFmtId="0" fontId="12" fillId="0" borderId="5" xfId="0" applyFont="1" applyBorder="1" applyAlignment="1">
      <alignment horizontal="left" vertical="center" wrapText="1"/>
    </xf>
    <xf numFmtId="0" fontId="10" fillId="0" borderId="5" xfId="0" applyFont="1" applyFill="1" applyBorder="1" applyAlignment="1">
      <alignment horizontal="right" vertical="top"/>
    </xf>
    <xf numFmtId="1" fontId="10" fillId="0" borderId="5" xfId="22" applyNumberFormat="1" applyFont="1" applyFill="1" applyBorder="1" applyAlignment="1">
      <alignment horizontal="right" vertical="top"/>
    </xf>
    <xf numFmtId="0" fontId="12" fillId="0" borderId="5" xfId="0" applyFont="1" applyBorder="1"/>
    <xf numFmtId="0" fontId="2" fillId="4" borderId="5" xfId="0" applyFont="1" applyFill="1" applyBorder="1" applyAlignment="1">
      <alignment vertical="top" wrapText="1"/>
    </xf>
    <xf numFmtId="0" fontId="12" fillId="4" borderId="5" xfId="0" applyFont="1" applyFill="1" applyBorder="1" applyAlignment="1">
      <alignment vertical="top" wrapText="1"/>
    </xf>
    <xf numFmtId="0" fontId="12" fillId="0" borderId="5" xfId="0" applyFont="1" applyBorder="1" applyAlignment="1">
      <alignment vertical="top" wrapText="1"/>
    </xf>
    <xf numFmtId="49" fontId="2" fillId="4" borderId="5" xfId="22" applyNumberFormat="1" applyFont="1" applyFill="1" applyBorder="1" applyAlignment="1">
      <alignment vertical="center" wrapText="1"/>
    </xf>
    <xf numFmtId="0" fontId="2" fillId="0" borderId="5" xfId="0" applyFont="1" applyBorder="1" applyAlignment="1">
      <alignment vertical="center" wrapText="1"/>
    </xf>
    <xf numFmtId="0" fontId="2" fillId="0" borderId="5" xfId="1" applyFont="1" applyFill="1" applyBorder="1" applyAlignment="1">
      <alignment vertical="top" wrapText="1"/>
    </xf>
    <xf numFmtId="16" fontId="2" fillId="0" borderId="5" xfId="0" applyNumberFormat="1" applyFont="1" applyFill="1" applyBorder="1" applyAlignment="1">
      <alignment vertical="center" wrapText="1"/>
    </xf>
    <xf numFmtId="0" fontId="2" fillId="0" borderId="5" xfId="0" applyFont="1" applyBorder="1" applyAlignment="1">
      <alignment vertical="center"/>
    </xf>
    <xf numFmtId="16" fontId="12" fillId="0" borderId="5" xfId="0" applyNumberFormat="1" applyFont="1" applyFill="1" applyBorder="1" applyAlignment="1">
      <alignment vertical="center" wrapText="1"/>
    </xf>
    <xf numFmtId="0" fontId="2" fillId="0" borderId="5" xfId="880" applyFont="1" applyFill="1" applyBorder="1" applyAlignment="1">
      <alignment horizontal="right" vertical="top"/>
    </xf>
    <xf numFmtId="0" fontId="3" fillId="0" borderId="5" xfId="22" applyFont="1" applyFill="1" applyBorder="1" applyAlignment="1">
      <alignment vertical="top" wrapText="1"/>
    </xf>
    <xf numFmtId="0" fontId="25" fillId="4" borderId="5" xfId="0" applyFont="1" applyFill="1" applyBorder="1" applyAlignment="1">
      <alignment vertical="center" wrapText="1"/>
    </xf>
    <xf numFmtId="0" fontId="2" fillId="4" borderId="5" xfId="22" applyFont="1" applyFill="1" applyBorder="1" applyAlignment="1">
      <alignment horizontal="left" vertical="center" wrapText="1"/>
    </xf>
    <xf numFmtId="0" fontId="2" fillId="4" borderId="5" xfId="880" applyFont="1" applyFill="1" applyBorder="1" applyAlignment="1">
      <alignment horizontal="right" vertical="top"/>
    </xf>
    <xf numFmtId="16" fontId="12" fillId="4" borderId="5" xfId="0" applyNumberFormat="1" applyFont="1" applyFill="1" applyBorder="1" applyAlignment="1">
      <alignment vertical="center" wrapText="1"/>
    </xf>
    <xf numFmtId="0" fontId="2" fillId="4" borderId="5" xfId="1" applyFont="1" applyFill="1" applyBorder="1" applyAlignment="1">
      <alignment vertical="top" wrapText="1"/>
    </xf>
    <xf numFmtId="16" fontId="2" fillId="4" borderId="5" xfId="0" applyNumberFormat="1" applyFont="1" applyFill="1" applyBorder="1" applyAlignment="1">
      <alignment vertical="center" wrapText="1"/>
    </xf>
    <xf numFmtId="0" fontId="2" fillId="4" borderId="5" xfId="0" applyFont="1" applyFill="1" applyBorder="1" applyAlignment="1">
      <alignment vertical="center" wrapText="1"/>
    </xf>
    <xf numFmtId="0" fontId="2" fillId="0" borderId="5" xfId="880" applyFont="1" applyFill="1" applyBorder="1" applyAlignment="1">
      <alignment horizontal="center" vertical="top"/>
    </xf>
    <xf numFmtId="0" fontId="12" fillId="0" borderId="5" xfId="0" applyFont="1" applyFill="1" applyBorder="1" applyAlignment="1">
      <alignment vertical="center"/>
    </xf>
    <xf numFmtId="0" fontId="12" fillId="0" borderId="5" xfId="0" applyFont="1" applyFill="1" applyBorder="1" applyAlignment="1">
      <alignment vertical="top" wrapText="1"/>
    </xf>
    <xf numFmtId="0" fontId="20" fillId="4" borderId="5" xfId="0" applyFont="1" applyFill="1" applyBorder="1" applyAlignment="1">
      <alignment horizontal="center"/>
    </xf>
    <xf numFmtId="0" fontId="21" fillId="4" borderId="5" xfId="0" applyFont="1" applyFill="1" applyBorder="1" applyAlignment="1">
      <alignment vertical="top" wrapText="1"/>
    </xf>
    <xf numFmtId="0" fontId="20" fillId="4" borderId="5" xfId="0" applyFont="1" applyFill="1" applyBorder="1" applyAlignment="1">
      <alignment vertical="center"/>
    </xf>
    <xf numFmtId="0" fontId="20" fillId="4" borderId="5" xfId="0" applyFont="1" applyFill="1" applyBorder="1" applyAlignment="1">
      <alignment vertical="center" wrapText="1"/>
    </xf>
    <xf numFmtId="0" fontId="20" fillId="4" borderId="5" xfId="0" applyFont="1" applyFill="1" applyBorder="1" applyAlignment="1">
      <alignment vertical="top" wrapText="1"/>
    </xf>
    <xf numFmtId="0" fontId="10" fillId="4" borderId="5" xfId="0" applyFont="1" applyFill="1" applyBorder="1" applyAlignment="1">
      <alignment vertical="center" wrapText="1"/>
    </xf>
    <xf numFmtId="0" fontId="6" fillId="0" borderId="5" xfId="1" applyFont="1" applyFill="1" applyBorder="1" applyAlignment="1">
      <alignment vertical="top" wrapText="1"/>
    </xf>
    <xf numFmtId="16" fontId="2" fillId="0" borderId="5" xfId="880" applyNumberFormat="1" applyFont="1" applyFill="1" applyBorder="1" applyAlignment="1">
      <alignment horizontal="left" vertical="center" wrapText="1"/>
    </xf>
    <xf numFmtId="0" fontId="2" fillId="4" borderId="5" xfId="880" applyFont="1" applyFill="1" applyBorder="1" applyAlignment="1">
      <alignment vertical="center" wrapText="1"/>
    </xf>
    <xf numFmtId="1" fontId="2" fillId="5" borderId="5" xfId="22" applyNumberFormat="1" applyFont="1" applyFill="1" applyBorder="1" applyAlignment="1">
      <alignment horizontal="right" vertical="top"/>
    </xf>
    <xf numFmtId="0" fontId="12" fillId="5" borderId="5" xfId="0" applyFont="1" applyFill="1" applyBorder="1" applyAlignment="1">
      <alignment horizontal="right" vertical="top"/>
    </xf>
    <xf numFmtId="49" fontId="2" fillId="4" borderId="5" xfId="880" applyNumberFormat="1" applyFont="1" applyFill="1" applyBorder="1" applyAlignment="1">
      <alignment vertical="center" wrapText="1"/>
    </xf>
    <xf numFmtId="0" fontId="2" fillId="0" borderId="5" xfId="880" applyFont="1" applyFill="1" applyBorder="1" applyAlignment="1">
      <alignment wrapText="1"/>
    </xf>
    <xf numFmtId="0" fontId="2" fillId="5" borderId="5" xfId="22" applyFont="1" applyFill="1" applyBorder="1" applyAlignment="1">
      <alignment vertical="top" wrapText="1"/>
    </xf>
    <xf numFmtId="0" fontId="12" fillId="5" borderId="5" xfId="0" applyFont="1" applyFill="1" applyBorder="1" applyAlignment="1">
      <alignment horizontal="center"/>
    </xf>
    <xf numFmtId="0" fontId="12" fillId="0" borderId="5" xfId="0" applyFont="1" applyBorder="1" applyAlignment="1"/>
    <xf numFmtId="0" fontId="12" fillId="0" borderId="5" xfId="0" applyFont="1" applyBorder="1" applyAlignment="1">
      <alignment vertical="top"/>
    </xf>
    <xf numFmtId="0" fontId="12" fillId="5" borderId="5" xfId="0" applyFont="1" applyFill="1" applyBorder="1" applyAlignment="1">
      <alignment vertical="top"/>
    </xf>
    <xf numFmtId="0" fontId="23" fillId="5" borderId="5" xfId="0" applyFont="1" applyFill="1" applyBorder="1" applyAlignment="1">
      <alignment vertical="top"/>
    </xf>
    <xf numFmtId="0" fontId="12" fillId="5" borderId="5" xfId="0" applyFont="1" applyFill="1" applyBorder="1" applyAlignment="1"/>
    <xf numFmtId="1" fontId="2" fillId="5" borderId="5" xfId="22" applyNumberFormat="1" applyFont="1" applyFill="1" applyBorder="1" applyAlignment="1">
      <alignment vertical="top"/>
    </xf>
    <xf numFmtId="0" fontId="2" fillId="4" borderId="5" xfId="0" applyFont="1" applyFill="1" applyBorder="1" applyAlignment="1">
      <alignment horizontal="center" vertical="top"/>
    </xf>
    <xf numFmtId="0" fontId="2" fillId="4" borderId="5" xfId="0" applyFont="1" applyFill="1" applyBorder="1" applyAlignment="1">
      <alignment horizontal="center"/>
    </xf>
    <xf numFmtId="0" fontId="12" fillId="5" borderId="5" xfId="0" applyFont="1" applyFill="1" applyBorder="1" applyAlignment="1">
      <alignment horizontal="center" vertical="top"/>
    </xf>
    <xf numFmtId="0" fontId="12" fillId="4" borderId="5" xfId="0" applyFont="1" applyFill="1" applyBorder="1" applyAlignment="1">
      <alignment horizontal="center" vertical="top"/>
    </xf>
    <xf numFmtId="0" fontId="2" fillId="4" borderId="5" xfId="0" applyFont="1" applyFill="1" applyBorder="1" applyAlignment="1">
      <alignment horizontal="left" vertical="top"/>
    </xf>
    <xf numFmtId="49" fontId="3" fillId="4" borderId="5" xfId="0" applyNumberFormat="1" applyFont="1" applyFill="1" applyBorder="1" applyAlignment="1">
      <alignment horizontal="left" vertical="center" wrapText="1"/>
    </xf>
    <xf numFmtId="0" fontId="2" fillId="5" borderId="5" xfId="0" applyFont="1" applyFill="1" applyBorder="1" applyAlignment="1">
      <alignment horizontal="center" vertical="top"/>
    </xf>
    <xf numFmtId="0" fontId="12" fillId="4" borderId="5" xfId="0" applyFont="1" applyFill="1" applyBorder="1" applyAlignment="1">
      <alignment horizontal="left" vertical="top"/>
    </xf>
    <xf numFmtId="49" fontId="3" fillId="4" borderId="5" xfId="0" applyNumberFormat="1" applyFont="1" applyFill="1" applyBorder="1" applyAlignment="1">
      <alignment horizontal="left" vertical="center"/>
    </xf>
    <xf numFmtId="0" fontId="2" fillId="4" borderId="5" xfId="0" applyFont="1" applyFill="1" applyBorder="1" applyAlignment="1">
      <alignment horizontal="center" vertical="top" wrapText="1"/>
    </xf>
    <xf numFmtId="0" fontId="2" fillId="4" borderId="5" xfId="0" applyFont="1" applyFill="1" applyBorder="1" applyAlignment="1">
      <alignment horizontal="left" vertical="center" wrapText="1"/>
    </xf>
    <xf numFmtId="0" fontId="2" fillId="5" borderId="5" xfId="0" applyFont="1" applyFill="1" applyBorder="1" applyAlignment="1">
      <alignment horizontal="right" vertical="top"/>
    </xf>
    <xf numFmtId="0" fontId="13" fillId="0" borderId="5" xfId="0" applyFont="1" applyBorder="1" applyAlignment="1">
      <alignment horizontal="left"/>
    </xf>
    <xf numFmtId="1" fontId="13" fillId="5" borderId="5" xfId="0" applyNumberFormat="1" applyFont="1" applyFill="1" applyBorder="1" applyAlignment="1">
      <alignment horizontal="right" vertical="top"/>
    </xf>
    <xf numFmtId="0" fontId="12" fillId="0" borderId="7" xfId="0" applyFont="1" applyBorder="1" applyAlignment="1">
      <alignment horizontal="center"/>
    </xf>
    <xf numFmtId="0" fontId="12" fillId="0" borderId="7" xfId="0" applyFont="1" applyBorder="1" applyAlignment="1">
      <alignment horizontal="right" vertical="top"/>
    </xf>
    <xf numFmtId="0" fontId="5" fillId="0" borderId="7" xfId="880" applyFont="1" applyFill="1" applyBorder="1" applyAlignment="1">
      <alignment vertical="top" wrapText="1"/>
    </xf>
    <xf numFmtId="0" fontId="12" fillId="0" borderId="7" xfId="0" applyFont="1" applyBorder="1" applyAlignment="1">
      <alignment vertical="center"/>
    </xf>
    <xf numFmtId="0" fontId="12" fillId="0" borderId="7" xfId="0" applyFont="1" applyBorder="1" applyAlignment="1">
      <alignment vertical="center" wrapText="1"/>
    </xf>
    <xf numFmtId="0" fontId="8" fillId="0" borderId="6" xfId="880" applyFont="1" applyFill="1" applyBorder="1" applyAlignment="1">
      <alignment horizontal="center" wrapText="1"/>
    </xf>
    <xf numFmtId="0" fontId="4" fillId="0" borderId="6" xfId="880" applyFont="1" applyFill="1" applyBorder="1" applyAlignment="1">
      <alignment horizontal="center" wrapText="1"/>
    </xf>
    <xf numFmtId="0" fontId="4" fillId="0" borderId="6" xfId="880" applyFont="1" applyFill="1" applyBorder="1" applyAlignment="1">
      <alignment horizontal="center" vertical="top" wrapText="1"/>
    </xf>
    <xf numFmtId="0" fontId="4" fillId="0" borderId="6" xfId="880" applyFont="1" applyFill="1" applyBorder="1" applyAlignment="1">
      <alignment horizontal="center" vertical="center" wrapText="1"/>
    </xf>
    <xf numFmtId="0" fontId="2" fillId="4" borderId="5" xfId="22" applyFont="1" applyFill="1" applyBorder="1" applyAlignment="1">
      <alignment horizontal="left" vertical="center" wrapText="1"/>
    </xf>
    <xf numFmtId="0" fontId="2" fillId="0" borderId="5" xfId="22" applyFont="1" applyFill="1" applyBorder="1" applyAlignment="1">
      <alignment horizontal="left" vertical="center" wrapText="1"/>
    </xf>
    <xf numFmtId="0" fontId="2" fillId="0" borderId="5" xfId="0" applyFont="1" applyBorder="1" applyAlignment="1">
      <alignment horizontal="left" vertical="center" wrapText="1"/>
    </xf>
    <xf numFmtId="0" fontId="2" fillId="0" borderId="5" xfId="0" applyFont="1" applyBorder="1" applyAlignment="1">
      <alignment horizontal="left" vertical="center"/>
    </xf>
    <xf numFmtId="0" fontId="12" fillId="0" borderId="5" xfId="0" applyFont="1" applyBorder="1" applyAlignment="1">
      <alignment horizontal="left" vertical="center" wrapText="1"/>
    </xf>
    <xf numFmtId="0" fontId="12" fillId="0" borderId="5" xfId="0" applyFont="1" applyBorder="1" applyAlignment="1">
      <alignment horizontal="left" vertical="center"/>
    </xf>
    <xf numFmtId="0" fontId="2" fillId="4" borderId="5" xfId="880" applyFont="1" applyFill="1" applyBorder="1" applyAlignment="1">
      <alignment horizontal="left" vertical="center" wrapText="1"/>
    </xf>
    <xf numFmtId="0" fontId="12" fillId="4" borderId="5" xfId="0" applyFont="1" applyFill="1" applyBorder="1" applyAlignment="1">
      <alignment horizontal="left" vertical="center" wrapText="1"/>
    </xf>
    <xf numFmtId="0" fontId="2" fillId="4" borderId="5" xfId="22" applyFont="1" applyFill="1" applyBorder="1" applyAlignment="1">
      <alignment vertical="center" wrapText="1"/>
    </xf>
    <xf numFmtId="0" fontId="2" fillId="0" borderId="5" xfId="880" applyFont="1" applyFill="1" applyBorder="1" applyAlignment="1">
      <alignment horizontal="left" vertical="center" wrapText="1"/>
    </xf>
    <xf numFmtId="0" fontId="11" fillId="4" borderId="5" xfId="880" applyFont="1" applyFill="1" applyBorder="1" applyAlignment="1">
      <alignment horizontal="left" vertical="center" wrapText="1"/>
    </xf>
    <xf numFmtId="0" fontId="10" fillId="4" borderId="5" xfId="22" applyFont="1" applyFill="1" applyBorder="1" applyAlignment="1">
      <alignment horizontal="left" vertical="center" wrapText="1"/>
    </xf>
    <xf numFmtId="0" fontId="12" fillId="4" borderId="5" xfId="0" applyFont="1" applyFill="1" applyBorder="1" applyAlignment="1">
      <alignment horizontal="left" vertical="center"/>
    </xf>
    <xf numFmtId="0" fontId="2" fillId="4" borderId="5" xfId="0" applyFont="1" applyFill="1" applyBorder="1" applyAlignment="1">
      <alignment horizontal="left" vertical="center" wrapText="1"/>
    </xf>
    <xf numFmtId="0" fontId="10" fillId="4" borderId="5" xfId="880" applyFont="1" applyFill="1" applyBorder="1" applyAlignment="1">
      <alignment horizontal="left" vertical="center" wrapText="1"/>
    </xf>
    <xf numFmtId="0" fontId="10" fillId="4" borderId="5" xfId="880" applyFont="1" applyFill="1" applyBorder="1" applyAlignment="1">
      <alignment horizontal="left" vertical="top" wrapText="1"/>
    </xf>
    <xf numFmtId="0" fontId="12" fillId="0" borderId="5" xfId="0" applyFont="1" applyFill="1" applyBorder="1" applyAlignment="1">
      <alignment horizontal="left" vertical="center" wrapText="1"/>
    </xf>
    <xf numFmtId="0" fontId="12" fillId="0" borderId="5" xfId="0" applyFont="1" applyFill="1" applyBorder="1" applyAlignment="1">
      <alignment horizontal="left" vertical="center"/>
    </xf>
    <xf numFmtId="0" fontId="2" fillId="0" borderId="5" xfId="22" applyFont="1" applyFill="1" applyBorder="1" applyAlignment="1">
      <alignment vertical="center" wrapText="1"/>
    </xf>
    <xf numFmtId="0" fontId="8" fillId="0" borderId="6" xfId="880" applyFont="1" applyFill="1" applyBorder="1" applyAlignment="1">
      <alignment horizontal="center" wrapText="1"/>
    </xf>
    <xf numFmtId="0" fontId="19" fillId="0" borderId="6" xfId="880" applyFont="1" applyFill="1" applyBorder="1" applyAlignment="1">
      <alignment horizontal="center" wrapText="1"/>
    </xf>
    <xf numFmtId="49" fontId="2" fillId="0" borderId="5" xfId="880" applyNumberFormat="1" applyFont="1" applyFill="1" applyBorder="1" applyAlignment="1">
      <alignment vertical="center" wrapText="1"/>
    </xf>
    <xf numFmtId="0" fontId="2" fillId="0" borderId="5" xfId="880" applyFont="1" applyFill="1" applyBorder="1" applyAlignment="1">
      <alignment vertical="center" wrapText="1"/>
    </xf>
    <xf numFmtId="0" fontId="2" fillId="4" borderId="5" xfId="0" applyFont="1" applyFill="1" applyBorder="1" applyAlignment="1">
      <alignment horizontal="left" wrapText="1"/>
    </xf>
    <xf numFmtId="0" fontId="2" fillId="0" borderId="5" xfId="0" applyFont="1" applyFill="1" applyBorder="1" applyAlignment="1">
      <alignment horizontal="left" vertical="center" wrapText="1"/>
    </xf>
    <xf numFmtId="0" fontId="16" fillId="0" borderId="3" xfId="22" applyFont="1" applyBorder="1" applyAlignment="1" applyProtection="1">
      <alignment horizontal="left" vertical="top" wrapText="1"/>
    </xf>
  </cellXfs>
  <cellStyles count="1722">
    <cellStyle name="Hyperlink" xfId="1721" builtinId="8"/>
    <cellStyle name="Normal" xfId="0" builtinId="0"/>
    <cellStyle name="Normal 10" xfId="18"/>
    <cellStyle name="Normal 10 10" xfId="883"/>
    <cellStyle name="Normal 10 2" xfId="24"/>
    <cellStyle name="Normal 10 2 2" xfId="35"/>
    <cellStyle name="Normal 10 2 2 2" xfId="56"/>
    <cellStyle name="Normal 10 2 2 2 2" xfId="99"/>
    <cellStyle name="Normal 10 2 2 2 2 2" xfId="183"/>
    <cellStyle name="Normal 10 2 2 2 2 2 2" xfId="370"/>
    <cellStyle name="Normal 10 2 2 2 2 2 2 2" xfId="876"/>
    <cellStyle name="Normal 10 2 2 2 2 2 2 2 2" xfId="1708"/>
    <cellStyle name="Normal 10 2 2 2 2 2 2 3" xfId="1205"/>
    <cellStyle name="Normal 10 2 2 2 2 2 3" xfId="712"/>
    <cellStyle name="Normal 10 2 2 2 2 2 3 2" xfId="1544"/>
    <cellStyle name="Normal 10 2 2 2 2 2 4" xfId="548"/>
    <cellStyle name="Normal 10 2 2 2 2 2 4 2" xfId="1381"/>
    <cellStyle name="Normal 10 2 2 2 2 2 5" xfId="1041"/>
    <cellStyle name="Normal 10 2 2 2 2 3" xfId="288"/>
    <cellStyle name="Normal 10 2 2 2 2 3 2" xfId="794"/>
    <cellStyle name="Normal 10 2 2 2 2 3 2 2" xfId="1626"/>
    <cellStyle name="Normal 10 2 2 2 2 3 3" xfId="1123"/>
    <cellStyle name="Normal 10 2 2 2 2 4" xfId="630"/>
    <cellStyle name="Normal 10 2 2 2 2 4 2" xfId="1462"/>
    <cellStyle name="Normal 10 2 2 2 2 5" xfId="460"/>
    <cellStyle name="Normal 10 2 2 2 2 5 2" xfId="1293"/>
    <cellStyle name="Normal 10 2 2 2 2 6" xfId="959"/>
    <cellStyle name="Normal 10 2 2 2 3" xfId="141"/>
    <cellStyle name="Normal 10 2 2 2 3 2" xfId="329"/>
    <cellStyle name="Normal 10 2 2 2 3 2 2" xfId="835"/>
    <cellStyle name="Normal 10 2 2 2 3 2 2 2" xfId="1667"/>
    <cellStyle name="Normal 10 2 2 2 3 2 3" xfId="1164"/>
    <cellStyle name="Normal 10 2 2 2 3 3" xfId="671"/>
    <cellStyle name="Normal 10 2 2 2 3 3 2" xfId="1503"/>
    <cellStyle name="Normal 10 2 2 2 3 4" xfId="504"/>
    <cellStyle name="Normal 10 2 2 2 3 4 2" xfId="1337"/>
    <cellStyle name="Normal 10 2 2 2 3 5" xfId="1000"/>
    <cellStyle name="Normal 10 2 2 2 4" xfId="247"/>
    <cellStyle name="Normal 10 2 2 2 4 2" xfId="753"/>
    <cellStyle name="Normal 10 2 2 2 4 2 2" xfId="1585"/>
    <cellStyle name="Normal 10 2 2 2 4 3" xfId="1082"/>
    <cellStyle name="Normal 10 2 2 2 5" xfId="589"/>
    <cellStyle name="Normal 10 2 2 2 5 2" xfId="1421"/>
    <cellStyle name="Normal 10 2 2 2 6" xfId="416"/>
    <cellStyle name="Normal 10 2 2 2 6 2" xfId="1249"/>
    <cellStyle name="Normal 10 2 2 2 7" xfId="918"/>
    <cellStyle name="Normal 10 2 2 3" xfId="78"/>
    <cellStyle name="Normal 10 2 2 3 2" xfId="163"/>
    <cellStyle name="Normal 10 2 2 3 2 2" xfId="350"/>
    <cellStyle name="Normal 10 2 2 3 2 2 2" xfId="856"/>
    <cellStyle name="Normal 10 2 2 3 2 2 2 2" xfId="1688"/>
    <cellStyle name="Normal 10 2 2 3 2 2 3" xfId="1185"/>
    <cellStyle name="Normal 10 2 2 3 2 3" xfId="692"/>
    <cellStyle name="Normal 10 2 2 3 2 3 2" xfId="1524"/>
    <cellStyle name="Normal 10 2 2 3 2 4" xfId="528"/>
    <cellStyle name="Normal 10 2 2 3 2 4 2" xfId="1361"/>
    <cellStyle name="Normal 10 2 2 3 2 5" xfId="1021"/>
    <cellStyle name="Normal 10 2 2 3 3" xfId="268"/>
    <cellStyle name="Normal 10 2 2 3 3 2" xfId="774"/>
    <cellStyle name="Normal 10 2 2 3 3 2 2" xfId="1606"/>
    <cellStyle name="Normal 10 2 2 3 3 3" xfId="1103"/>
    <cellStyle name="Normal 10 2 2 3 4" xfId="610"/>
    <cellStyle name="Normal 10 2 2 3 4 2" xfId="1442"/>
    <cellStyle name="Normal 10 2 2 3 5" xfId="440"/>
    <cellStyle name="Normal 10 2 2 3 5 2" xfId="1273"/>
    <cellStyle name="Normal 10 2 2 3 6" xfId="939"/>
    <cellStyle name="Normal 10 2 2 4" xfId="121"/>
    <cellStyle name="Normal 10 2 2 4 2" xfId="309"/>
    <cellStyle name="Normal 10 2 2 4 2 2" xfId="815"/>
    <cellStyle name="Normal 10 2 2 4 2 2 2" xfId="1647"/>
    <cellStyle name="Normal 10 2 2 4 2 3" xfId="1144"/>
    <cellStyle name="Normal 10 2 2 4 3" xfId="651"/>
    <cellStyle name="Normal 10 2 2 4 3 2" xfId="1483"/>
    <cellStyle name="Normal 10 2 2 4 4" xfId="484"/>
    <cellStyle name="Normal 10 2 2 4 4 2" xfId="1317"/>
    <cellStyle name="Normal 10 2 2 4 5" xfId="980"/>
    <cellStyle name="Normal 10 2 2 5" xfId="227"/>
    <cellStyle name="Normal 10 2 2 5 2" xfId="733"/>
    <cellStyle name="Normal 10 2 2 5 2 2" xfId="1565"/>
    <cellStyle name="Normal 10 2 2 5 3" xfId="1062"/>
    <cellStyle name="Normal 10 2 2 6" xfId="569"/>
    <cellStyle name="Normal 10 2 2 6 2" xfId="1401"/>
    <cellStyle name="Normal 10 2 2 7" xfId="396"/>
    <cellStyle name="Normal 10 2 2 7 2" xfId="1229"/>
    <cellStyle name="Normal 10 2 2 8" xfId="898"/>
    <cellStyle name="Normal 10 2 3" xfId="46"/>
    <cellStyle name="Normal 10 2 3 2" xfId="89"/>
    <cellStyle name="Normal 10 2 3 2 2" xfId="173"/>
    <cellStyle name="Normal 10 2 3 2 2 2" xfId="360"/>
    <cellStyle name="Normal 10 2 3 2 2 2 2" xfId="866"/>
    <cellStyle name="Normal 10 2 3 2 2 2 2 2" xfId="1698"/>
    <cellStyle name="Normal 10 2 3 2 2 2 3" xfId="1195"/>
    <cellStyle name="Normal 10 2 3 2 2 3" xfId="702"/>
    <cellStyle name="Normal 10 2 3 2 2 3 2" xfId="1534"/>
    <cellStyle name="Normal 10 2 3 2 2 4" xfId="538"/>
    <cellStyle name="Normal 10 2 3 2 2 4 2" xfId="1371"/>
    <cellStyle name="Normal 10 2 3 2 2 5" xfId="1031"/>
    <cellStyle name="Normal 10 2 3 2 3" xfId="278"/>
    <cellStyle name="Normal 10 2 3 2 3 2" xfId="784"/>
    <cellStyle name="Normal 10 2 3 2 3 2 2" xfId="1616"/>
    <cellStyle name="Normal 10 2 3 2 3 3" xfId="1113"/>
    <cellStyle name="Normal 10 2 3 2 4" xfId="620"/>
    <cellStyle name="Normal 10 2 3 2 4 2" xfId="1452"/>
    <cellStyle name="Normal 10 2 3 2 5" xfId="450"/>
    <cellStyle name="Normal 10 2 3 2 5 2" xfId="1283"/>
    <cellStyle name="Normal 10 2 3 2 6" xfId="949"/>
    <cellStyle name="Normal 10 2 3 3" xfId="131"/>
    <cellStyle name="Normal 10 2 3 3 2" xfId="319"/>
    <cellStyle name="Normal 10 2 3 3 2 2" xfId="825"/>
    <cellStyle name="Normal 10 2 3 3 2 2 2" xfId="1657"/>
    <cellStyle name="Normal 10 2 3 3 2 3" xfId="1154"/>
    <cellStyle name="Normal 10 2 3 3 3" xfId="661"/>
    <cellStyle name="Normal 10 2 3 3 3 2" xfId="1493"/>
    <cellStyle name="Normal 10 2 3 3 4" xfId="494"/>
    <cellStyle name="Normal 10 2 3 3 4 2" xfId="1327"/>
    <cellStyle name="Normal 10 2 3 3 5" xfId="990"/>
    <cellStyle name="Normal 10 2 3 4" xfId="237"/>
    <cellStyle name="Normal 10 2 3 4 2" xfId="743"/>
    <cellStyle name="Normal 10 2 3 4 2 2" xfId="1575"/>
    <cellStyle name="Normal 10 2 3 4 3" xfId="1072"/>
    <cellStyle name="Normal 10 2 3 5" xfId="579"/>
    <cellStyle name="Normal 10 2 3 5 2" xfId="1411"/>
    <cellStyle name="Normal 10 2 3 6" xfId="406"/>
    <cellStyle name="Normal 10 2 3 6 2" xfId="1239"/>
    <cellStyle name="Normal 10 2 3 7" xfId="908"/>
    <cellStyle name="Normal 10 2 4" xfId="68"/>
    <cellStyle name="Normal 10 2 4 2" xfId="153"/>
    <cellStyle name="Normal 10 2 4 2 2" xfId="340"/>
    <cellStyle name="Normal 10 2 4 2 2 2" xfId="846"/>
    <cellStyle name="Normal 10 2 4 2 2 2 2" xfId="1678"/>
    <cellStyle name="Normal 10 2 4 2 2 3" xfId="1175"/>
    <cellStyle name="Normal 10 2 4 2 3" xfId="682"/>
    <cellStyle name="Normal 10 2 4 2 3 2" xfId="1514"/>
    <cellStyle name="Normal 10 2 4 2 4" xfId="518"/>
    <cellStyle name="Normal 10 2 4 2 4 2" xfId="1351"/>
    <cellStyle name="Normal 10 2 4 2 5" xfId="1011"/>
    <cellStyle name="Normal 10 2 4 3" xfId="258"/>
    <cellStyle name="Normal 10 2 4 3 2" xfId="764"/>
    <cellStyle name="Normal 10 2 4 3 2 2" xfId="1596"/>
    <cellStyle name="Normal 10 2 4 3 3" xfId="1093"/>
    <cellStyle name="Normal 10 2 4 4" xfId="600"/>
    <cellStyle name="Normal 10 2 4 4 2" xfId="1432"/>
    <cellStyle name="Normal 10 2 4 5" xfId="430"/>
    <cellStyle name="Normal 10 2 4 5 2" xfId="1263"/>
    <cellStyle name="Normal 10 2 4 6" xfId="929"/>
    <cellStyle name="Normal 10 2 5" xfId="111"/>
    <cellStyle name="Normal 10 2 5 2" xfId="299"/>
    <cellStyle name="Normal 10 2 5 2 2" xfId="805"/>
    <cellStyle name="Normal 10 2 5 2 2 2" xfId="1637"/>
    <cellStyle name="Normal 10 2 5 2 3" xfId="1134"/>
    <cellStyle name="Normal 10 2 5 3" xfId="641"/>
    <cellStyle name="Normal 10 2 5 3 2" xfId="1473"/>
    <cellStyle name="Normal 10 2 5 4" xfId="474"/>
    <cellStyle name="Normal 10 2 5 4 2" xfId="1307"/>
    <cellStyle name="Normal 10 2 5 5" xfId="970"/>
    <cellStyle name="Normal 10 2 6" xfId="217"/>
    <cellStyle name="Normal 10 2 6 2" xfId="723"/>
    <cellStyle name="Normal 10 2 6 2 2" xfId="1555"/>
    <cellStyle name="Normal 10 2 6 3" xfId="1052"/>
    <cellStyle name="Normal 10 2 7" xfId="559"/>
    <cellStyle name="Normal 10 2 7 2" xfId="1391"/>
    <cellStyle name="Normal 10 2 8" xfId="386"/>
    <cellStyle name="Normal 10 2 8 2" xfId="1219"/>
    <cellStyle name="Normal 10 2 9" xfId="888"/>
    <cellStyle name="Normal 10 3" xfId="30"/>
    <cellStyle name="Normal 10 3 2" xfId="51"/>
    <cellStyle name="Normal 10 3 2 2" xfId="94"/>
    <cellStyle name="Normal 10 3 2 2 2" xfId="178"/>
    <cellStyle name="Normal 10 3 2 2 2 2" xfId="365"/>
    <cellStyle name="Normal 10 3 2 2 2 2 2" xfId="871"/>
    <cellStyle name="Normal 10 3 2 2 2 2 2 2" xfId="1703"/>
    <cellStyle name="Normal 10 3 2 2 2 2 3" xfId="1200"/>
    <cellStyle name="Normal 10 3 2 2 2 3" xfId="707"/>
    <cellStyle name="Normal 10 3 2 2 2 3 2" xfId="1539"/>
    <cellStyle name="Normal 10 3 2 2 2 4" xfId="543"/>
    <cellStyle name="Normal 10 3 2 2 2 4 2" xfId="1376"/>
    <cellStyle name="Normal 10 3 2 2 2 5" xfId="1036"/>
    <cellStyle name="Normal 10 3 2 2 3" xfId="283"/>
    <cellStyle name="Normal 10 3 2 2 3 2" xfId="789"/>
    <cellStyle name="Normal 10 3 2 2 3 2 2" xfId="1621"/>
    <cellStyle name="Normal 10 3 2 2 3 3" xfId="1118"/>
    <cellStyle name="Normal 10 3 2 2 4" xfId="625"/>
    <cellStyle name="Normal 10 3 2 2 4 2" xfId="1457"/>
    <cellStyle name="Normal 10 3 2 2 5" xfId="455"/>
    <cellStyle name="Normal 10 3 2 2 5 2" xfId="1288"/>
    <cellStyle name="Normal 10 3 2 2 6" xfId="954"/>
    <cellStyle name="Normal 10 3 2 3" xfId="136"/>
    <cellStyle name="Normal 10 3 2 3 2" xfId="324"/>
    <cellStyle name="Normal 10 3 2 3 2 2" xfId="830"/>
    <cellStyle name="Normal 10 3 2 3 2 2 2" xfId="1662"/>
    <cellStyle name="Normal 10 3 2 3 2 3" xfId="1159"/>
    <cellStyle name="Normal 10 3 2 3 3" xfId="666"/>
    <cellStyle name="Normal 10 3 2 3 3 2" xfId="1498"/>
    <cellStyle name="Normal 10 3 2 3 4" xfId="499"/>
    <cellStyle name="Normal 10 3 2 3 4 2" xfId="1332"/>
    <cellStyle name="Normal 10 3 2 3 5" xfId="995"/>
    <cellStyle name="Normal 10 3 2 4" xfId="242"/>
    <cellStyle name="Normal 10 3 2 4 2" xfId="748"/>
    <cellStyle name="Normal 10 3 2 4 2 2" xfId="1580"/>
    <cellStyle name="Normal 10 3 2 4 3" xfId="1077"/>
    <cellStyle name="Normal 10 3 2 5" xfId="584"/>
    <cellStyle name="Normal 10 3 2 5 2" xfId="1416"/>
    <cellStyle name="Normal 10 3 2 6" xfId="411"/>
    <cellStyle name="Normal 10 3 2 6 2" xfId="1244"/>
    <cellStyle name="Normal 10 3 2 7" xfId="913"/>
    <cellStyle name="Normal 10 3 3" xfId="73"/>
    <cellStyle name="Normal 10 3 3 2" xfId="158"/>
    <cellStyle name="Normal 10 3 3 2 2" xfId="345"/>
    <cellStyle name="Normal 10 3 3 2 2 2" xfId="851"/>
    <cellStyle name="Normal 10 3 3 2 2 2 2" xfId="1683"/>
    <cellStyle name="Normal 10 3 3 2 2 3" xfId="1180"/>
    <cellStyle name="Normal 10 3 3 2 3" xfId="687"/>
    <cellStyle name="Normal 10 3 3 2 3 2" xfId="1519"/>
    <cellStyle name="Normal 10 3 3 2 4" xfId="523"/>
    <cellStyle name="Normal 10 3 3 2 4 2" xfId="1356"/>
    <cellStyle name="Normal 10 3 3 2 5" xfId="1016"/>
    <cellStyle name="Normal 10 3 3 3" xfId="263"/>
    <cellStyle name="Normal 10 3 3 3 2" xfId="769"/>
    <cellStyle name="Normal 10 3 3 3 2 2" xfId="1601"/>
    <cellStyle name="Normal 10 3 3 3 3" xfId="1098"/>
    <cellStyle name="Normal 10 3 3 4" xfId="605"/>
    <cellStyle name="Normal 10 3 3 4 2" xfId="1437"/>
    <cellStyle name="Normal 10 3 3 5" xfId="435"/>
    <cellStyle name="Normal 10 3 3 5 2" xfId="1268"/>
    <cellStyle name="Normal 10 3 3 6" xfId="934"/>
    <cellStyle name="Normal 10 3 4" xfId="116"/>
    <cellStyle name="Normal 10 3 4 2" xfId="304"/>
    <cellStyle name="Normal 10 3 4 2 2" xfId="810"/>
    <cellStyle name="Normal 10 3 4 2 2 2" xfId="1642"/>
    <cellStyle name="Normal 10 3 4 2 3" xfId="1139"/>
    <cellStyle name="Normal 10 3 4 3" xfId="646"/>
    <cellStyle name="Normal 10 3 4 3 2" xfId="1478"/>
    <cellStyle name="Normal 10 3 4 4" xfId="479"/>
    <cellStyle name="Normal 10 3 4 4 2" xfId="1312"/>
    <cellStyle name="Normal 10 3 4 5" xfId="975"/>
    <cellStyle name="Normal 10 3 5" xfId="222"/>
    <cellStyle name="Normal 10 3 5 2" xfId="728"/>
    <cellStyle name="Normal 10 3 5 2 2" xfId="1560"/>
    <cellStyle name="Normal 10 3 5 3" xfId="1057"/>
    <cellStyle name="Normal 10 3 6" xfId="564"/>
    <cellStyle name="Normal 10 3 6 2" xfId="1396"/>
    <cellStyle name="Normal 10 3 7" xfId="391"/>
    <cellStyle name="Normal 10 3 7 2" xfId="1224"/>
    <cellStyle name="Normal 10 3 8" xfId="893"/>
    <cellStyle name="Normal 10 4" xfId="41"/>
    <cellStyle name="Normal 10 4 2" xfId="84"/>
    <cellStyle name="Normal 10 4 2 2" xfId="168"/>
    <cellStyle name="Normal 10 4 2 2 2" xfId="355"/>
    <cellStyle name="Normal 10 4 2 2 2 2" xfId="861"/>
    <cellStyle name="Normal 10 4 2 2 2 2 2" xfId="1693"/>
    <cellStyle name="Normal 10 4 2 2 2 3" xfId="1190"/>
    <cellStyle name="Normal 10 4 2 2 3" xfId="697"/>
    <cellStyle name="Normal 10 4 2 2 3 2" xfId="1529"/>
    <cellStyle name="Normal 10 4 2 2 4" xfId="533"/>
    <cellStyle name="Normal 10 4 2 2 4 2" xfId="1366"/>
    <cellStyle name="Normal 10 4 2 2 5" xfId="1026"/>
    <cellStyle name="Normal 10 4 2 3" xfId="273"/>
    <cellStyle name="Normal 10 4 2 3 2" xfId="779"/>
    <cellStyle name="Normal 10 4 2 3 2 2" xfId="1611"/>
    <cellStyle name="Normal 10 4 2 3 3" xfId="1108"/>
    <cellStyle name="Normal 10 4 2 4" xfId="615"/>
    <cellStyle name="Normal 10 4 2 4 2" xfId="1447"/>
    <cellStyle name="Normal 10 4 2 5" xfId="445"/>
    <cellStyle name="Normal 10 4 2 5 2" xfId="1278"/>
    <cellStyle name="Normal 10 4 2 6" xfId="944"/>
    <cellStyle name="Normal 10 4 3" xfId="126"/>
    <cellStyle name="Normal 10 4 3 2" xfId="314"/>
    <cellStyle name="Normal 10 4 3 2 2" xfId="820"/>
    <cellStyle name="Normal 10 4 3 2 2 2" xfId="1652"/>
    <cellStyle name="Normal 10 4 3 2 3" xfId="1149"/>
    <cellStyle name="Normal 10 4 3 3" xfId="656"/>
    <cellStyle name="Normal 10 4 3 3 2" xfId="1488"/>
    <cellStyle name="Normal 10 4 3 4" xfId="489"/>
    <cellStyle name="Normal 10 4 3 4 2" xfId="1322"/>
    <cellStyle name="Normal 10 4 3 5" xfId="985"/>
    <cellStyle name="Normal 10 4 4" xfId="232"/>
    <cellStyle name="Normal 10 4 4 2" xfId="738"/>
    <cellStyle name="Normal 10 4 4 2 2" xfId="1570"/>
    <cellStyle name="Normal 10 4 4 3" xfId="1067"/>
    <cellStyle name="Normal 10 4 5" xfId="574"/>
    <cellStyle name="Normal 10 4 5 2" xfId="1406"/>
    <cellStyle name="Normal 10 4 6" xfId="401"/>
    <cellStyle name="Normal 10 4 6 2" xfId="1234"/>
    <cellStyle name="Normal 10 4 7" xfId="903"/>
    <cellStyle name="Normal 10 5" xfId="63"/>
    <cellStyle name="Normal 10 5 2" xfId="148"/>
    <cellStyle name="Normal 10 5 2 2" xfId="335"/>
    <cellStyle name="Normal 10 5 2 2 2" xfId="841"/>
    <cellStyle name="Normal 10 5 2 2 2 2" xfId="1673"/>
    <cellStyle name="Normal 10 5 2 2 3" xfId="1170"/>
    <cellStyle name="Normal 10 5 2 3" xfId="677"/>
    <cellStyle name="Normal 10 5 2 3 2" xfId="1509"/>
    <cellStyle name="Normal 10 5 2 4" xfId="513"/>
    <cellStyle name="Normal 10 5 2 4 2" xfId="1346"/>
    <cellStyle name="Normal 10 5 2 5" xfId="1006"/>
    <cellStyle name="Normal 10 5 3" xfId="253"/>
    <cellStyle name="Normal 10 5 3 2" xfId="759"/>
    <cellStyle name="Normal 10 5 3 2 2" xfId="1591"/>
    <cellStyle name="Normal 10 5 3 3" xfId="1088"/>
    <cellStyle name="Normal 10 5 4" xfId="595"/>
    <cellStyle name="Normal 10 5 4 2" xfId="1427"/>
    <cellStyle name="Normal 10 5 5" xfId="425"/>
    <cellStyle name="Normal 10 5 5 2" xfId="1258"/>
    <cellStyle name="Normal 10 5 6" xfId="924"/>
    <cellStyle name="Normal 10 6" xfId="106"/>
    <cellStyle name="Normal 10 6 2" xfId="294"/>
    <cellStyle name="Normal 10 6 2 2" xfId="800"/>
    <cellStyle name="Normal 10 6 2 2 2" xfId="1632"/>
    <cellStyle name="Normal 10 6 2 3" xfId="1129"/>
    <cellStyle name="Normal 10 6 3" xfId="636"/>
    <cellStyle name="Normal 10 6 3 2" xfId="1468"/>
    <cellStyle name="Normal 10 6 4" xfId="469"/>
    <cellStyle name="Normal 10 6 4 2" xfId="1302"/>
    <cellStyle name="Normal 10 6 5" xfId="965"/>
    <cellStyle name="Normal 10 7" xfId="212"/>
    <cellStyle name="Normal 10 7 2" xfId="718"/>
    <cellStyle name="Normal 10 7 2 2" xfId="1550"/>
    <cellStyle name="Normal 10 7 3" xfId="1047"/>
    <cellStyle name="Normal 10 8" xfId="554"/>
    <cellStyle name="Normal 10 8 2" xfId="1386"/>
    <cellStyle name="Normal 10 9" xfId="381"/>
    <cellStyle name="Normal 10 9 2" xfId="1214"/>
    <cellStyle name="Normal 11" xfId="20"/>
    <cellStyle name="Normal 11 10" xfId="885"/>
    <cellStyle name="Normal 11 2" xfId="26"/>
    <cellStyle name="Normal 11 2 2" xfId="37"/>
    <cellStyle name="Normal 11 2 2 2" xfId="58"/>
    <cellStyle name="Normal 11 2 2 2 2" xfId="101"/>
    <cellStyle name="Normal 11 2 2 2 2 2" xfId="185"/>
    <cellStyle name="Normal 11 2 2 2 2 2 2" xfId="372"/>
    <cellStyle name="Normal 11 2 2 2 2 2 2 2" xfId="878"/>
    <cellStyle name="Normal 11 2 2 2 2 2 2 2 2" xfId="1710"/>
    <cellStyle name="Normal 11 2 2 2 2 2 2 3" xfId="1207"/>
    <cellStyle name="Normal 11 2 2 2 2 2 3" xfId="714"/>
    <cellStyle name="Normal 11 2 2 2 2 2 3 2" xfId="1546"/>
    <cellStyle name="Normal 11 2 2 2 2 2 4" xfId="550"/>
    <cellStyle name="Normal 11 2 2 2 2 2 4 2" xfId="1383"/>
    <cellStyle name="Normal 11 2 2 2 2 2 5" xfId="1043"/>
    <cellStyle name="Normal 11 2 2 2 2 3" xfId="290"/>
    <cellStyle name="Normal 11 2 2 2 2 3 2" xfId="796"/>
    <cellStyle name="Normal 11 2 2 2 2 3 2 2" xfId="1628"/>
    <cellStyle name="Normal 11 2 2 2 2 3 3" xfId="1125"/>
    <cellStyle name="Normal 11 2 2 2 2 4" xfId="632"/>
    <cellStyle name="Normal 11 2 2 2 2 4 2" xfId="1464"/>
    <cellStyle name="Normal 11 2 2 2 2 5" xfId="462"/>
    <cellStyle name="Normal 11 2 2 2 2 5 2" xfId="1295"/>
    <cellStyle name="Normal 11 2 2 2 2 6" xfId="961"/>
    <cellStyle name="Normal 11 2 2 2 3" xfId="143"/>
    <cellStyle name="Normal 11 2 2 2 3 2" xfId="331"/>
    <cellStyle name="Normal 11 2 2 2 3 2 2" xfId="837"/>
    <cellStyle name="Normal 11 2 2 2 3 2 2 2" xfId="1669"/>
    <cellStyle name="Normal 11 2 2 2 3 2 3" xfId="1166"/>
    <cellStyle name="Normal 11 2 2 2 3 3" xfId="673"/>
    <cellStyle name="Normal 11 2 2 2 3 3 2" xfId="1505"/>
    <cellStyle name="Normal 11 2 2 2 3 4" xfId="506"/>
    <cellStyle name="Normal 11 2 2 2 3 4 2" xfId="1339"/>
    <cellStyle name="Normal 11 2 2 2 3 5" xfId="1002"/>
    <cellStyle name="Normal 11 2 2 2 4" xfId="249"/>
    <cellStyle name="Normal 11 2 2 2 4 2" xfId="755"/>
    <cellStyle name="Normal 11 2 2 2 4 2 2" xfId="1587"/>
    <cellStyle name="Normal 11 2 2 2 4 3" xfId="1084"/>
    <cellStyle name="Normal 11 2 2 2 5" xfId="591"/>
    <cellStyle name="Normal 11 2 2 2 5 2" xfId="1423"/>
    <cellStyle name="Normal 11 2 2 2 6" xfId="418"/>
    <cellStyle name="Normal 11 2 2 2 6 2" xfId="1251"/>
    <cellStyle name="Normal 11 2 2 2 7" xfId="920"/>
    <cellStyle name="Normal 11 2 2 3" xfId="80"/>
    <cellStyle name="Normal 11 2 2 3 2" xfId="165"/>
    <cellStyle name="Normal 11 2 2 3 2 2" xfId="352"/>
    <cellStyle name="Normal 11 2 2 3 2 2 2" xfId="858"/>
    <cellStyle name="Normal 11 2 2 3 2 2 2 2" xfId="1690"/>
    <cellStyle name="Normal 11 2 2 3 2 2 3" xfId="1187"/>
    <cellStyle name="Normal 11 2 2 3 2 3" xfId="694"/>
    <cellStyle name="Normal 11 2 2 3 2 3 2" xfId="1526"/>
    <cellStyle name="Normal 11 2 2 3 2 4" xfId="530"/>
    <cellStyle name="Normal 11 2 2 3 2 4 2" xfId="1363"/>
    <cellStyle name="Normal 11 2 2 3 2 5" xfId="1023"/>
    <cellStyle name="Normal 11 2 2 3 3" xfId="270"/>
    <cellStyle name="Normal 11 2 2 3 3 2" xfId="776"/>
    <cellStyle name="Normal 11 2 2 3 3 2 2" xfId="1608"/>
    <cellStyle name="Normal 11 2 2 3 3 3" xfId="1105"/>
    <cellStyle name="Normal 11 2 2 3 4" xfId="612"/>
    <cellStyle name="Normal 11 2 2 3 4 2" xfId="1444"/>
    <cellStyle name="Normal 11 2 2 3 5" xfId="442"/>
    <cellStyle name="Normal 11 2 2 3 5 2" xfId="1275"/>
    <cellStyle name="Normal 11 2 2 3 6" xfId="941"/>
    <cellStyle name="Normal 11 2 2 4" xfId="123"/>
    <cellStyle name="Normal 11 2 2 4 2" xfId="311"/>
    <cellStyle name="Normal 11 2 2 4 2 2" xfId="817"/>
    <cellStyle name="Normal 11 2 2 4 2 2 2" xfId="1649"/>
    <cellStyle name="Normal 11 2 2 4 2 3" xfId="1146"/>
    <cellStyle name="Normal 11 2 2 4 3" xfId="653"/>
    <cellStyle name="Normal 11 2 2 4 3 2" xfId="1485"/>
    <cellStyle name="Normal 11 2 2 4 4" xfId="486"/>
    <cellStyle name="Normal 11 2 2 4 4 2" xfId="1319"/>
    <cellStyle name="Normal 11 2 2 4 5" xfId="982"/>
    <cellStyle name="Normal 11 2 2 5" xfId="229"/>
    <cellStyle name="Normal 11 2 2 5 2" xfId="735"/>
    <cellStyle name="Normal 11 2 2 5 2 2" xfId="1567"/>
    <cellStyle name="Normal 11 2 2 5 3" xfId="1064"/>
    <cellStyle name="Normal 11 2 2 6" xfId="571"/>
    <cellStyle name="Normal 11 2 2 6 2" xfId="1403"/>
    <cellStyle name="Normal 11 2 2 7" xfId="398"/>
    <cellStyle name="Normal 11 2 2 7 2" xfId="1231"/>
    <cellStyle name="Normal 11 2 2 8" xfId="900"/>
    <cellStyle name="Normal 11 2 3" xfId="48"/>
    <cellStyle name="Normal 11 2 3 2" xfId="91"/>
    <cellStyle name="Normal 11 2 3 2 2" xfId="175"/>
    <cellStyle name="Normal 11 2 3 2 2 2" xfId="362"/>
    <cellStyle name="Normal 11 2 3 2 2 2 2" xfId="868"/>
    <cellStyle name="Normal 11 2 3 2 2 2 2 2" xfId="1700"/>
    <cellStyle name="Normal 11 2 3 2 2 2 3" xfId="1197"/>
    <cellStyle name="Normal 11 2 3 2 2 3" xfId="704"/>
    <cellStyle name="Normal 11 2 3 2 2 3 2" xfId="1536"/>
    <cellStyle name="Normal 11 2 3 2 2 4" xfId="540"/>
    <cellStyle name="Normal 11 2 3 2 2 4 2" xfId="1373"/>
    <cellStyle name="Normal 11 2 3 2 2 5" xfId="1033"/>
    <cellStyle name="Normal 11 2 3 2 3" xfId="280"/>
    <cellStyle name="Normal 11 2 3 2 3 2" xfId="786"/>
    <cellStyle name="Normal 11 2 3 2 3 2 2" xfId="1618"/>
    <cellStyle name="Normal 11 2 3 2 3 3" xfId="1115"/>
    <cellStyle name="Normal 11 2 3 2 4" xfId="622"/>
    <cellStyle name="Normal 11 2 3 2 4 2" xfId="1454"/>
    <cellStyle name="Normal 11 2 3 2 5" xfId="452"/>
    <cellStyle name="Normal 11 2 3 2 5 2" xfId="1285"/>
    <cellStyle name="Normal 11 2 3 2 6" xfId="951"/>
    <cellStyle name="Normal 11 2 3 3" xfId="133"/>
    <cellStyle name="Normal 11 2 3 3 2" xfId="321"/>
    <cellStyle name="Normal 11 2 3 3 2 2" xfId="827"/>
    <cellStyle name="Normal 11 2 3 3 2 2 2" xfId="1659"/>
    <cellStyle name="Normal 11 2 3 3 2 3" xfId="1156"/>
    <cellStyle name="Normal 11 2 3 3 3" xfId="663"/>
    <cellStyle name="Normal 11 2 3 3 3 2" xfId="1495"/>
    <cellStyle name="Normal 11 2 3 3 4" xfId="496"/>
    <cellStyle name="Normal 11 2 3 3 4 2" xfId="1329"/>
    <cellStyle name="Normal 11 2 3 3 5" xfId="992"/>
    <cellStyle name="Normal 11 2 3 4" xfId="239"/>
    <cellStyle name="Normal 11 2 3 4 2" xfId="745"/>
    <cellStyle name="Normal 11 2 3 4 2 2" xfId="1577"/>
    <cellStyle name="Normal 11 2 3 4 3" xfId="1074"/>
    <cellStyle name="Normal 11 2 3 5" xfId="581"/>
    <cellStyle name="Normal 11 2 3 5 2" xfId="1413"/>
    <cellStyle name="Normal 11 2 3 6" xfId="408"/>
    <cellStyle name="Normal 11 2 3 6 2" xfId="1241"/>
    <cellStyle name="Normal 11 2 3 7" xfId="910"/>
    <cellStyle name="Normal 11 2 4" xfId="70"/>
    <cellStyle name="Normal 11 2 4 2" xfId="155"/>
    <cellStyle name="Normal 11 2 4 2 2" xfId="342"/>
    <cellStyle name="Normal 11 2 4 2 2 2" xfId="848"/>
    <cellStyle name="Normal 11 2 4 2 2 2 2" xfId="1680"/>
    <cellStyle name="Normal 11 2 4 2 2 3" xfId="1177"/>
    <cellStyle name="Normal 11 2 4 2 3" xfId="684"/>
    <cellStyle name="Normal 11 2 4 2 3 2" xfId="1516"/>
    <cellStyle name="Normal 11 2 4 2 4" xfId="520"/>
    <cellStyle name="Normal 11 2 4 2 4 2" xfId="1353"/>
    <cellStyle name="Normal 11 2 4 2 5" xfId="1013"/>
    <cellStyle name="Normal 11 2 4 3" xfId="260"/>
    <cellStyle name="Normal 11 2 4 3 2" xfId="766"/>
    <cellStyle name="Normal 11 2 4 3 2 2" xfId="1598"/>
    <cellStyle name="Normal 11 2 4 3 3" xfId="1095"/>
    <cellStyle name="Normal 11 2 4 4" xfId="602"/>
    <cellStyle name="Normal 11 2 4 4 2" xfId="1434"/>
    <cellStyle name="Normal 11 2 4 5" xfId="432"/>
    <cellStyle name="Normal 11 2 4 5 2" xfId="1265"/>
    <cellStyle name="Normal 11 2 4 6" xfId="931"/>
    <cellStyle name="Normal 11 2 5" xfId="113"/>
    <cellStyle name="Normal 11 2 5 2" xfId="301"/>
    <cellStyle name="Normal 11 2 5 2 2" xfId="807"/>
    <cellStyle name="Normal 11 2 5 2 2 2" xfId="1639"/>
    <cellStyle name="Normal 11 2 5 2 3" xfId="1136"/>
    <cellStyle name="Normal 11 2 5 3" xfId="643"/>
    <cellStyle name="Normal 11 2 5 3 2" xfId="1475"/>
    <cellStyle name="Normal 11 2 5 4" xfId="476"/>
    <cellStyle name="Normal 11 2 5 4 2" xfId="1309"/>
    <cellStyle name="Normal 11 2 5 5" xfId="972"/>
    <cellStyle name="Normal 11 2 6" xfId="219"/>
    <cellStyle name="Normal 11 2 6 2" xfId="725"/>
    <cellStyle name="Normal 11 2 6 2 2" xfId="1557"/>
    <cellStyle name="Normal 11 2 6 3" xfId="1054"/>
    <cellStyle name="Normal 11 2 7" xfId="561"/>
    <cellStyle name="Normal 11 2 7 2" xfId="1393"/>
    <cellStyle name="Normal 11 2 8" xfId="388"/>
    <cellStyle name="Normal 11 2 8 2" xfId="1221"/>
    <cellStyle name="Normal 11 2 9" xfId="890"/>
    <cellStyle name="Normal 11 3" xfId="32"/>
    <cellStyle name="Normal 11 3 2" xfId="53"/>
    <cellStyle name="Normal 11 3 2 2" xfId="96"/>
    <cellStyle name="Normal 11 3 2 2 2" xfId="180"/>
    <cellStyle name="Normal 11 3 2 2 2 2" xfId="367"/>
    <cellStyle name="Normal 11 3 2 2 2 2 2" xfId="873"/>
    <cellStyle name="Normal 11 3 2 2 2 2 2 2" xfId="1705"/>
    <cellStyle name="Normal 11 3 2 2 2 2 3" xfId="1202"/>
    <cellStyle name="Normal 11 3 2 2 2 3" xfId="709"/>
    <cellStyle name="Normal 11 3 2 2 2 3 2" xfId="1541"/>
    <cellStyle name="Normal 11 3 2 2 2 4" xfId="545"/>
    <cellStyle name="Normal 11 3 2 2 2 4 2" xfId="1378"/>
    <cellStyle name="Normal 11 3 2 2 2 5" xfId="1038"/>
    <cellStyle name="Normal 11 3 2 2 3" xfId="285"/>
    <cellStyle name="Normal 11 3 2 2 3 2" xfId="791"/>
    <cellStyle name="Normal 11 3 2 2 3 2 2" xfId="1623"/>
    <cellStyle name="Normal 11 3 2 2 3 3" xfId="1120"/>
    <cellStyle name="Normal 11 3 2 2 4" xfId="627"/>
    <cellStyle name="Normal 11 3 2 2 4 2" xfId="1459"/>
    <cellStyle name="Normal 11 3 2 2 5" xfId="457"/>
    <cellStyle name="Normal 11 3 2 2 5 2" xfId="1290"/>
    <cellStyle name="Normal 11 3 2 2 6" xfId="956"/>
    <cellStyle name="Normal 11 3 2 3" xfId="138"/>
    <cellStyle name="Normal 11 3 2 3 2" xfId="326"/>
    <cellStyle name="Normal 11 3 2 3 2 2" xfId="832"/>
    <cellStyle name="Normal 11 3 2 3 2 2 2" xfId="1664"/>
    <cellStyle name="Normal 11 3 2 3 2 3" xfId="1161"/>
    <cellStyle name="Normal 11 3 2 3 3" xfId="668"/>
    <cellStyle name="Normal 11 3 2 3 3 2" xfId="1500"/>
    <cellStyle name="Normal 11 3 2 3 4" xfId="501"/>
    <cellStyle name="Normal 11 3 2 3 4 2" xfId="1334"/>
    <cellStyle name="Normal 11 3 2 3 5" xfId="997"/>
    <cellStyle name="Normal 11 3 2 4" xfId="244"/>
    <cellStyle name="Normal 11 3 2 4 2" xfId="750"/>
    <cellStyle name="Normal 11 3 2 4 2 2" xfId="1582"/>
    <cellStyle name="Normal 11 3 2 4 3" xfId="1079"/>
    <cellStyle name="Normal 11 3 2 5" xfId="586"/>
    <cellStyle name="Normal 11 3 2 5 2" xfId="1418"/>
    <cellStyle name="Normal 11 3 2 6" xfId="413"/>
    <cellStyle name="Normal 11 3 2 6 2" xfId="1246"/>
    <cellStyle name="Normal 11 3 2 7" xfId="915"/>
    <cellStyle name="Normal 11 3 3" xfId="75"/>
    <cellStyle name="Normal 11 3 3 2" xfId="160"/>
    <cellStyle name="Normal 11 3 3 2 2" xfId="347"/>
    <cellStyle name="Normal 11 3 3 2 2 2" xfId="853"/>
    <cellStyle name="Normal 11 3 3 2 2 2 2" xfId="1685"/>
    <cellStyle name="Normal 11 3 3 2 2 3" xfId="1182"/>
    <cellStyle name="Normal 11 3 3 2 3" xfId="689"/>
    <cellStyle name="Normal 11 3 3 2 3 2" xfId="1521"/>
    <cellStyle name="Normal 11 3 3 2 4" xfId="525"/>
    <cellStyle name="Normal 11 3 3 2 4 2" xfId="1358"/>
    <cellStyle name="Normal 11 3 3 2 5" xfId="1018"/>
    <cellStyle name="Normal 11 3 3 3" xfId="265"/>
    <cellStyle name="Normal 11 3 3 3 2" xfId="771"/>
    <cellStyle name="Normal 11 3 3 3 2 2" xfId="1603"/>
    <cellStyle name="Normal 11 3 3 3 3" xfId="1100"/>
    <cellStyle name="Normal 11 3 3 4" xfId="607"/>
    <cellStyle name="Normal 11 3 3 4 2" xfId="1439"/>
    <cellStyle name="Normal 11 3 3 5" xfId="437"/>
    <cellStyle name="Normal 11 3 3 5 2" xfId="1270"/>
    <cellStyle name="Normal 11 3 3 6" xfId="936"/>
    <cellStyle name="Normal 11 3 4" xfId="118"/>
    <cellStyle name="Normal 11 3 4 2" xfId="306"/>
    <cellStyle name="Normal 11 3 4 2 2" xfId="812"/>
    <cellStyle name="Normal 11 3 4 2 2 2" xfId="1644"/>
    <cellStyle name="Normal 11 3 4 2 3" xfId="1141"/>
    <cellStyle name="Normal 11 3 4 3" xfId="648"/>
    <cellStyle name="Normal 11 3 4 3 2" xfId="1480"/>
    <cellStyle name="Normal 11 3 4 4" xfId="481"/>
    <cellStyle name="Normal 11 3 4 4 2" xfId="1314"/>
    <cellStyle name="Normal 11 3 4 5" xfId="977"/>
    <cellStyle name="Normal 11 3 5" xfId="224"/>
    <cellStyle name="Normal 11 3 5 2" xfId="730"/>
    <cellStyle name="Normal 11 3 5 2 2" xfId="1562"/>
    <cellStyle name="Normal 11 3 5 3" xfId="1059"/>
    <cellStyle name="Normal 11 3 6" xfId="566"/>
    <cellStyle name="Normal 11 3 6 2" xfId="1398"/>
    <cellStyle name="Normal 11 3 7" xfId="393"/>
    <cellStyle name="Normal 11 3 7 2" xfId="1226"/>
    <cellStyle name="Normal 11 3 8" xfId="895"/>
    <cellStyle name="Normal 11 4" xfId="43"/>
    <cellStyle name="Normal 11 4 2" xfId="86"/>
    <cellStyle name="Normal 11 4 2 2" xfId="170"/>
    <cellStyle name="Normal 11 4 2 2 2" xfId="357"/>
    <cellStyle name="Normal 11 4 2 2 2 2" xfId="863"/>
    <cellStyle name="Normal 11 4 2 2 2 2 2" xfId="1695"/>
    <cellStyle name="Normal 11 4 2 2 2 3" xfId="1192"/>
    <cellStyle name="Normal 11 4 2 2 3" xfId="699"/>
    <cellStyle name="Normal 11 4 2 2 3 2" xfId="1531"/>
    <cellStyle name="Normal 11 4 2 2 4" xfId="535"/>
    <cellStyle name="Normal 11 4 2 2 4 2" xfId="1368"/>
    <cellStyle name="Normal 11 4 2 2 5" xfId="1028"/>
    <cellStyle name="Normal 11 4 2 3" xfId="275"/>
    <cellStyle name="Normal 11 4 2 3 2" xfId="781"/>
    <cellStyle name="Normal 11 4 2 3 2 2" xfId="1613"/>
    <cellStyle name="Normal 11 4 2 3 3" xfId="1110"/>
    <cellStyle name="Normal 11 4 2 4" xfId="617"/>
    <cellStyle name="Normal 11 4 2 4 2" xfId="1449"/>
    <cellStyle name="Normal 11 4 2 5" xfId="447"/>
    <cellStyle name="Normal 11 4 2 5 2" xfId="1280"/>
    <cellStyle name="Normal 11 4 2 6" xfId="946"/>
    <cellStyle name="Normal 11 4 3" xfId="128"/>
    <cellStyle name="Normal 11 4 3 2" xfId="316"/>
    <cellStyle name="Normal 11 4 3 2 2" xfId="822"/>
    <cellStyle name="Normal 11 4 3 2 2 2" xfId="1654"/>
    <cellStyle name="Normal 11 4 3 2 3" xfId="1151"/>
    <cellStyle name="Normal 11 4 3 3" xfId="658"/>
    <cellStyle name="Normal 11 4 3 3 2" xfId="1490"/>
    <cellStyle name="Normal 11 4 3 4" xfId="491"/>
    <cellStyle name="Normal 11 4 3 4 2" xfId="1324"/>
    <cellStyle name="Normal 11 4 3 5" xfId="987"/>
    <cellStyle name="Normal 11 4 4" xfId="234"/>
    <cellStyle name="Normal 11 4 4 2" xfId="740"/>
    <cellStyle name="Normal 11 4 4 2 2" xfId="1572"/>
    <cellStyle name="Normal 11 4 4 3" xfId="1069"/>
    <cellStyle name="Normal 11 4 5" xfId="576"/>
    <cellStyle name="Normal 11 4 5 2" xfId="1408"/>
    <cellStyle name="Normal 11 4 6" xfId="403"/>
    <cellStyle name="Normal 11 4 6 2" xfId="1236"/>
    <cellStyle name="Normal 11 4 7" xfId="905"/>
    <cellStyle name="Normal 11 5" xfId="65"/>
    <cellStyle name="Normal 11 5 2" xfId="150"/>
    <cellStyle name="Normal 11 5 2 2" xfId="337"/>
    <cellStyle name="Normal 11 5 2 2 2" xfId="843"/>
    <cellStyle name="Normal 11 5 2 2 2 2" xfId="1675"/>
    <cellStyle name="Normal 11 5 2 2 3" xfId="1172"/>
    <cellStyle name="Normal 11 5 2 3" xfId="679"/>
    <cellStyle name="Normal 11 5 2 3 2" xfId="1511"/>
    <cellStyle name="Normal 11 5 2 4" xfId="515"/>
    <cellStyle name="Normal 11 5 2 4 2" xfId="1348"/>
    <cellStyle name="Normal 11 5 2 5" xfId="1008"/>
    <cellStyle name="Normal 11 5 3" xfId="255"/>
    <cellStyle name="Normal 11 5 3 2" xfId="761"/>
    <cellStyle name="Normal 11 5 3 2 2" xfId="1593"/>
    <cellStyle name="Normal 11 5 3 3" xfId="1090"/>
    <cellStyle name="Normal 11 5 4" xfId="597"/>
    <cellStyle name="Normal 11 5 4 2" xfId="1429"/>
    <cellStyle name="Normal 11 5 5" xfId="427"/>
    <cellStyle name="Normal 11 5 5 2" xfId="1260"/>
    <cellStyle name="Normal 11 5 6" xfId="926"/>
    <cellStyle name="Normal 11 6" xfId="108"/>
    <cellStyle name="Normal 11 6 2" xfId="296"/>
    <cellStyle name="Normal 11 6 2 2" xfId="802"/>
    <cellStyle name="Normal 11 6 2 2 2" xfId="1634"/>
    <cellStyle name="Normal 11 6 2 3" xfId="1131"/>
    <cellStyle name="Normal 11 6 3" xfId="638"/>
    <cellStyle name="Normal 11 6 3 2" xfId="1470"/>
    <cellStyle name="Normal 11 6 4" xfId="471"/>
    <cellStyle name="Normal 11 6 4 2" xfId="1304"/>
    <cellStyle name="Normal 11 6 5" xfId="967"/>
    <cellStyle name="Normal 11 7" xfId="214"/>
    <cellStyle name="Normal 11 7 2" xfId="720"/>
    <cellStyle name="Normal 11 7 2 2" xfId="1552"/>
    <cellStyle name="Normal 11 7 3" xfId="1049"/>
    <cellStyle name="Normal 11 8" xfId="556"/>
    <cellStyle name="Normal 11 8 2" xfId="1388"/>
    <cellStyle name="Normal 11 9" xfId="383"/>
    <cellStyle name="Normal 11 9 2" xfId="1216"/>
    <cellStyle name="Normal 12" xfId="22"/>
    <cellStyle name="Normal 12 2" xfId="203"/>
    <cellStyle name="Normal 13" xfId="21"/>
    <cellStyle name="Normal 13 2" xfId="33"/>
    <cellStyle name="Normal 13 2 2" xfId="54"/>
    <cellStyle name="Normal 13 2 2 2" xfId="97"/>
    <cellStyle name="Normal 13 2 2 2 2" xfId="181"/>
    <cellStyle name="Normal 13 2 2 2 2 2" xfId="368"/>
    <cellStyle name="Normal 13 2 2 2 2 2 2" xfId="874"/>
    <cellStyle name="Normal 13 2 2 2 2 2 2 2" xfId="1706"/>
    <cellStyle name="Normal 13 2 2 2 2 2 3" xfId="1203"/>
    <cellStyle name="Normal 13 2 2 2 2 3" xfId="710"/>
    <cellStyle name="Normal 13 2 2 2 2 3 2" xfId="1542"/>
    <cellStyle name="Normal 13 2 2 2 2 4" xfId="546"/>
    <cellStyle name="Normal 13 2 2 2 2 4 2" xfId="1379"/>
    <cellStyle name="Normal 13 2 2 2 2 5" xfId="1039"/>
    <cellStyle name="Normal 13 2 2 2 3" xfId="286"/>
    <cellStyle name="Normal 13 2 2 2 3 2" xfId="792"/>
    <cellStyle name="Normal 13 2 2 2 3 2 2" xfId="1624"/>
    <cellStyle name="Normal 13 2 2 2 3 3" xfId="1121"/>
    <cellStyle name="Normal 13 2 2 2 4" xfId="628"/>
    <cellStyle name="Normal 13 2 2 2 4 2" xfId="1460"/>
    <cellStyle name="Normal 13 2 2 2 5" xfId="458"/>
    <cellStyle name="Normal 13 2 2 2 5 2" xfId="1291"/>
    <cellStyle name="Normal 13 2 2 2 6" xfId="957"/>
    <cellStyle name="Normal 13 2 2 3" xfId="139"/>
    <cellStyle name="Normal 13 2 2 3 2" xfId="327"/>
    <cellStyle name="Normal 13 2 2 3 2 2" xfId="833"/>
    <cellStyle name="Normal 13 2 2 3 2 2 2" xfId="1665"/>
    <cellStyle name="Normal 13 2 2 3 2 3" xfId="1162"/>
    <cellStyle name="Normal 13 2 2 3 3" xfId="669"/>
    <cellStyle name="Normal 13 2 2 3 3 2" xfId="1501"/>
    <cellStyle name="Normal 13 2 2 3 4" xfId="502"/>
    <cellStyle name="Normal 13 2 2 3 4 2" xfId="1335"/>
    <cellStyle name="Normal 13 2 2 3 5" xfId="998"/>
    <cellStyle name="Normal 13 2 2 4" xfId="245"/>
    <cellStyle name="Normal 13 2 2 4 2" xfId="751"/>
    <cellStyle name="Normal 13 2 2 4 2 2" xfId="1583"/>
    <cellStyle name="Normal 13 2 2 4 3" xfId="1080"/>
    <cellStyle name="Normal 13 2 2 5" xfId="587"/>
    <cellStyle name="Normal 13 2 2 5 2" xfId="1419"/>
    <cellStyle name="Normal 13 2 2 6" xfId="414"/>
    <cellStyle name="Normal 13 2 2 6 2" xfId="1247"/>
    <cellStyle name="Normal 13 2 2 7" xfId="916"/>
    <cellStyle name="Normal 13 2 3" xfId="76"/>
    <cellStyle name="Normal 13 2 3 2" xfId="161"/>
    <cellStyle name="Normal 13 2 3 2 2" xfId="348"/>
    <cellStyle name="Normal 13 2 3 2 2 2" xfId="854"/>
    <cellStyle name="Normal 13 2 3 2 2 2 2" xfId="1686"/>
    <cellStyle name="Normal 13 2 3 2 2 3" xfId="1183"/>
    <cellStyle name="Normal 13 2 3 2 3" xfId="690"/>
    <cellStyle name="Normal 13 2 3 2 3 2" xfId="1522"/>
    <cellStyle name="Normal 13 2 3 2 4" xfId="526"/>
    <cellStyle name="Normal 13 2 3 2 4 2" xfId="1359"/>
    <cellStyle name="Normal 13 2 3 2 5" xfId="1019"/>
    <cellStyle name="Normal 13 2 3 3" xfId="266"/>
    <cellStyle name="Normal 13 2 3 3 2" xfId="772"/>
    <cellStyle name="Normal 13 2 3 3 2 2" xfId="1604"/>
    <cellStyle name="Normal 13 2 3 3 3" xfId="1101"/>
    <cellStyle name="Normal 13 2 3 4" xfId="608"/>
    <cellStyle name="Normal 13 2 3 4 2" xfId="1440"/>
    <cellStyle name="Normal 13 2 3 5" xfId="438"/>
    <cellStyle name="Normal 13 2 3 5 2" xfId="1271"/>
    <cellStyle name="Normal 13 2 3 6" xfId="937"/>
    <cellStyle name="Normal 13 2 4" xfId="119"/>
    <cellStyle name="Normal 13 2 4 2" xfId="307"/>
    <cellStyle name="Normal 13 2 4 2 2" xfId="813"/>
    <cellStyle name="Normal 13 2 4 2 2 2" xfId="1645"/>
    <cellStyle name="Normal 13 2 4 2 3" xfId="1142"/>
    <cellStyle name="Normal 13 2 4 3" xfId="649"/>
    <cellStyle name="Normal 13 2 4 3 2" xfId="1481"/>
    <cellStyle name="Normal 13 2 4 4" xfId="482"/>
    <cellStyle name="Normal 13 2 4 4 2" xfId="1315"/>
    <cellStyle name="Normal 13 2 4 5" xfId="978"/>
    <cellStyle name="Normal 13 2 5" xfId="225"/>
    <cellStyle name="Normal 13 2 5 2" xfId="731"/>
    <cellStyle name="Normal 13 2 5 2 2" xfId="1563"/>
    <cellStyle name="Normal 13 2 5 3" xfId="1060"/>
    <cellStyle name="Normal 13 2 6" xfId="567"/>
    <cellStyle name="Normal 13 2 6 2" xfId="1399"/>
    <cellStyle name="Normal 13 2 7" xfId="394"/>
    <cellStyle name="Normal 13 2 7 2" xfId="1227"/>
    <cellStyle name="Normal 13 2 8" xfId="896"/>
    <cellStyle name="Normal 13 3" xfId="44"/>
    <cellStyle name="Normal 13 3 2" xfId="87"/>
    <cellStyle name="Normal 13 3 2 2" xfId="171"/>
    <cellStyle name="Normal 13 3 2 2 2" xfId="358"/>
    <cellStyle name="Normal 13 3 2 2 2 2" xfId="864"/>
    <cellStyle name="Normal 13 3 2 2 2 2 2" xfId="1696"/>
    <cellStyle name="Normal 13 3 2 2 2 3" xfId="1193"/>
    <cellStyle name="Normal 13 3 2 2 3" xfId="700"/>
    <cellStyle name="Normal 13 3 2 2 3 2" xfId="1532"/>
    <cellStyle name="Normal 13 3 2 2 4" xfId="536"/>
    <cellStyle name="Normal 13 3 2 2 4 2" xfId="1369"/>
    <cellStyle name="Normal 13 3 2 2 5" xfId="1029"/>
    <cellStyle name="Normal 13 3 2 3" xfId="276"/>
    <cellStyle name="Normal 13 3 2 3 2" xfId="782"/>
    <cellStyle name="Normal 13 3 2 3 2 2" xfId="1614"/>
    <cellStyle name="Normal 13 3 2 3 3" xfId="1111"/>
    <cellStyle name="Normal 13 3 2 4" xfId="618"/>
    <cellStyle name="Normal 13 3 2 4 2" xfId="1450"/>
    <cellStyle name="Normal 13 3 2 5" xfId="448"/>
    <cellStyle name="Normal 13 3 2 5 2" xfId="1281"/>
    <cellStyle name="Normal 13 3 2 6" xfId="947"/>
    <cellStyle name="Normal 13 3 3" xfId="129"/>
    <cellStyle name="Normal 13 3 3 2" xfId="317"/>
    <cellStyle name="Normal 13 3 3 2 2" xfId="823"/>
    <cellStyle name="Normal 13 3 3 2 2 2" xfId="1655"/>
    <cellStyle name="Normal 13 3 3 2 3" xfId="1152"/>
    <cellStyle name="Normal 13 3 3 3" xfId="659"/>
    <cellStyle name="Normal 13 3 3 3 2" xfId="1491"/>
    <cellStyle name="Normal 13 3 3 4" xfId="492"/>
    <cellStyle name="Normal 13 3 3 4 2" xfId="1325"/>
    <cellStyle name="Normal 13 3 3 5" xfId="988"/>
    <cellStyle name="Normal 13 3 4" xfId="235"/>
    <cellStyle name="Normal 13 3 4 2" xfId="741"/>
    <cellStyle name="Normal 13 3 4 2 2" xfId="1573"/>
    <cellStyle name="Normal 13 3 4 3" xfId="1070"/>
    <cellStyle name="Normal 13 3 5" xfId="577"/>
    <cellStyle name="Normal 13 3 5 2" xfId="1409"/>
    <cellStyle name="Normal 13 3 6" xfId="404"/>
    <cellStyle name="Normal 13 3 6 2" xfId="1237"/>
    <cellStyle name="Normal 13 3 7" xfId="906"/>
    <cellStyle name="Normal 13 4" xfId="66"/>
    <cellStyle name="Normal 13 4 2" xfId="151"/>
    <cellStyle name="Normal 13 4 2 2" xfId="338"/>
    <cellStyle name="Normal 13 4 2 2 2" xfId="844"/>
    <cellStyle name="Normal 13 4 2 2 2 2" xfId="1676"/>
    <cellStyle name="Normal 13 4 2 2 3" xfId="1173"/>
    <cellStyle name="Normal 13 4 2 3" xfId="680"/>
    <cellStyle name="Normal 13 4 2 3 2" xfId="1512"/>
    <cellStyle name="Normal 13 4 2 4" xfId="516"/>
    <cellStyle name="Normal 13 4 2 4 2" xfId="1349"/>
    <cellStyle name="Normal 13 4 2 5" xfId="1009"/>
    <cellStyle name="Normal 13 4 3" xfId="256"/>
    <cellStyle name="Normal 13 4 3 2" xfId="762"/>
    <cellStyle name="Normal 13 4 3 2 2" xfId="1594"/>
    <cellStyle name="Normal 13 4 3 3" xfId="1091"/>
    <cellStyle name="Normal 13 4 4" xfId="598"/>
    <cellStyle name="Normal 13 4 4 2" xfId="1430"/>
    <cellStyle name="Normal 13 4 5" xfId="428"/>
    <cellStyle name="Normal 13 4 5 2" xfId="1261"/>
    <cellStyle name="Normal 13 4 6" xfId="927"/>
    <cellStyle name="Normal 13 5" xfId="109"/>
    <cellStyle name="Normal 13 5 2" xfId="297"/>
    <cellStyle name="Normal 13 5 2 2" xfId="803"/>
    <cellStyle name="Normal 13 5 2 2 2" xfId="1635"/>
    <cellStyle name="Normal 13 5 2 3" xfId="1132"/>
    <cellStyle name="Normal 13 5 3" xfId="639"/>
    <cellStyle name="Normal 13 5 3 2" xfId="1471"/>
    <cellStyle name="Normal 13 5 4" xfId="472"/>
    <cellStyle name="Normal 13 5 4 2" xfId="1305"/>
    <cellStyle name="Normal 13 5 5" xfId="968"/>
    <cellStyle name="Normal 13 6" xfId="215"/>
    <cellStyle name="Normal 13 6 2" xfId="721"/>
    <cellStyle name="Normal 13 6 2 2" xfId="1553"/>
    <cellStyle name="Normal 13 6 3" xfId="1050"/>
    <cellStyle name="Normal 13 7" xfId="557"/>
    <cellStyle name="Normal 13 7 2" xfId="1389"/>
    <cellStyle name="Normal 13 8" xfId="384"/>
    <cellStyle name="Normal 13 8 2" xfId="1217"/>
    <cellStyle name="Normal 13 9" xfId="886"/>
    <cellStyle name="Normal 14" xfId="28"/>
    <cellStyle name="Normal 14 2" xfId="204"/>
    <cellStyle name="Normal 15" xfId="27"/>
    <cellStyle name="Normal 15 2" xfId="49"/>
    <cellStyle name="Normal 15 2 2" xfId="92"/>
    <cellStyle name="Normal 15 2 2 2" xfId="176"/>
    <cellStyle name="Normal 15 2 2 2 2" xfId="363"/>
    <cellStyle name="Normal 15 2 2 2 2 2" xfId="869"/>
    <cellStyle name="Normal 15 2 2 2 2 2 2" xfId="1701"/>
    <cellStyle name="Normal 15 2 2 2 2 3" xfId="1198"/>
    <cellStyle name="Normal 15 2 2 2 3" xfId="705"/>
    <cellStyle name="Normal 15 2 2 2 3 2" xfId="1537"/>
    <cellStyle name="Normal 15 2 2 2 4" xfId="541"/>
    <cellStyle name="Normal 15 2 2 2 4 2" xfId="1374"/>
    <cellStyle name="Normal 15 2 2 2 5" xfId="1034"/>
    <cellStyle name="Normal 15 2 2 3" xfId="281"/>
    <cellStyle name="Normal 15 2 2 3 2" xfId="787"/>
    <cellStyle name="Normal 15 2 2 3 2 2" xfId="1619"/>
    <cellStyle name="Normal 15 2 2 3 3" xfId="1116"/>
    <cellStyle name="Normal 15 2 2 4" xfId="623"/>
    <cellStyle name="Normal 15 2 2 4 2" xfId="1455"/>
    <cellStyle name="Normal 15 2 2 5" xfId="453"/>
    <cellStyle name="Normal 15 2 2 5 2" xfId="1286"/>
    <cellStyle name="Normal 15 2 2 6" xfId="952"/>
    <cellStyle name="Normal 15 2 3" xfId="134"/>
    <cellStyle name="Normal 15 2 3 2" xfId="322"/>
    <cellStyle name="Normal 15 2 3 2 2" xfId="828"/>
    <cellStyle name="Normal 15 2 3 2 2 2" xfId="1660"/>
    <cellStyle name="Normal 15 2 3 2 3" xfId="1157"/>
    <cellStyle name="Normal 15 2 3 3" xfId="664"/>
    <cellStyle name="Normal 15 2 3 3 2" xfId="1496"/>
    <cellStyle name="Normal 15 2 3 4" xfId="497"/>
    <cellStyle name="Normal 15 2 3 4 2" xfId="1330"/>
    <cellStyle name="Normal 15 2 3 5" xfId="993"/>
    <cellStyle name="Normal 15 2 4" xfId="240"/>
    <cellStyle name="Normal 15 2 4 2" xfId="746"/>
    <cellStyle name="Normal 15 2 4 2 2" xfId="1578"/>
    <cellStyle name="Normal 15 2 4 3" xfId="1075"/>
    <cellStyle name="Normal 15 2 5" xfId="582"/>
    <cellStyle name="Normal 15 2 5 2" xfId="1414"/>
    <cellStyle name="Normal 15 2 6" xfId="409"/>
    <cellStyle name="Normal 15 2 6 2" xfId="1242"/>
    <cellStyle name="Normal 15 2 7" xfId="911"/>
    <cellStyle name="Normal 15 3" xfId="71"/>
    <cellStyle name="Normal 15 3 2" xfId="156"/>
    <cellStyle name="Normal 15 3 2 2" xfId="343"/>
    <cellStyle name="Normal 15 3 2 2 2" xfId="849"/>
    <cellStyle name="Normal 15 3 2 2 2 2" xfId="1681"/>
    <cellStyle name="Normal 15 3 2 2 3" xfId="1178"/>
    <cellStyle name="Normal 15 3 2 3" xfId="685"/>
    <cellStyle name="Normal 15 3 2 3 2" xfId="1517"/>
    <cellStyle name="Normal 15 3 2 4" xfId="521"/>
    <cellStyle name="Normal 15 3 2 4 2" xfId="1354"/>
    <cellStyle name="Normal 15 3 2 5" xfId="1014"/>
    <cellStyle name="Normal 15 3 3" xfId="261"/>
    <cellStyle name="Normal 15 3 3 2" xfId="767"/>
    <cellStyle name="Normal 15 3 3 2 2" xfId="1599"/>
    <cellStyle name="Normal 15 3 3 3" xfId="1096"/>
    <cellStyle name="Normal 15 3 4" xfId="603"/>
    <cellStyle name="Normal 15 3 4 2" xfId="1435"/>
    <cellStyle name="Normal 15 3 5" xfId="433"/>
    <cellStyle name="Normal 15 3 5 2" xfId="1266"/>
    <cellStyle name="Normal 15 3 6" xfId="932"/>
    <cellStyle name="Normal 15 4" xfId="114"/>
    <cellStyle name="Normal 15 4 2" xfId="302"/>
    <cellStyle name="Normal 15 4 2 2" xfId="808"/>
    <cellStyle name="Normal 15 4 2 2 2" xfId="1640"/>
    <cellStyle name="Normal 15 4 2 3" xfId="1137"/>
    <cellStyle name="Normal 15 4 3" xfId="644"/>
    <cellStyle name="Normal 15 4 3 2" xfId="1476"/>
    <cellStyle name="Normal 15 4 4" xfId="477"/>
    <cellStyle name="Normal 15 4 4 2" xfId="1310"/>
    <cellStyle name="Normal 15 4 5" xfId="973"/>
    <cellStyle name="Normal 15 5" xfId="220"/>
    <cellStyle name="Normal 15 5 2" xfId="726"/>
    <cellStyle name="Normal 15 5 2 2" xfId="1558"/>
    <cellStyle name="Normal 15 5 3" xfId="1055"/>
    <cellStyle name="Normal 15 6" xfId="562"/>
    <cellStyle name="Normal 15 6 2" xfId="1394"/>
    <cellStyle name="Normal 15 7" xfId="389"/>
    <cellStyle name="Normal 15 7 2" xfId="1222"/>
    <cellStyle name="Normal 15 8" xfId="891"/>
    <cellStyle name="Normal 16" xfId="39"/>
    <cellStyle name="Normal 16 2" xfId="82"/>
    <cellStyle name="Normal 16 2 2" xfId="207"/>
    <cellStyle name="Normal 16 3" xfId="205"/>
    <cellStyle name="Normal 17" xfId="38"/>
    <cellStyle name="Normal 17 2" xfId="81"/>
    <cellStyle name="Normal 17 2 2" xfId="166"/>
    <cellStyle name="Normal 17 2 2 2" xfId="353"/>
    <cellStyle name="Normal 17 2 2 2 2" xfId="859"/>
    <cellStyle name="Normal 17 2 2 2 2 2" xfId="1691"/>
    <cellStyle name="Normal 17 2 2 2 3" xfId="1188"/>
    <cellStyle name="Normal 17 2 2 3" xfId="695"/>
    <cellStyle name="Normal 17 2 2 3 2" xfId="1527"/>
    <cellStyle name="Normal 17 2 2 4" xfId="531"/>
    <cellStyle name="Normal 17 2 2 4 2" xfId="1364"/>
    <cellStyle name="Normal 17 2 2 5" xfId="1024"/>
    <cellStyle name="Normal 17 2 3" xfId="271"/>
    <cellStyle name="Normal 17 2 3 2" xfId="777"/>
    <cellStyle name="Normal 17 2 3 2 2" xfId="1609"/>
    <cellStyle name="Normal 17 2 3 3" xfId="1106"/>
    <cellStyle name="Normal 17 2 4" xfId="613"/>
    <cellStyle name="Normal 17 2 4 2" xfId="1445"/>
    <cellStyle name="Normal 17 2 5" xfId="443"/>
    <cellStyle name="Normal 17 2 5 2" xfId="1276"/>
    <cellStyle name="Normal 17 2 6" xfId="942"/>
    <cellStyle name="Normal 17 3" xfId="124"/>
    <cellStyle name="Normal 17 3 2" xfId="312"/>
    <cellStyle name="Normal 17 3 2 2" xfId="818"/>
    <cellStyle name="Normal 17 3 2 2 2" xfId="1650"/>
    <cellStyle name="Normal 17 3 2 3" xfId="1147"/>
    <cellStyle name="Normal 17 3 3" xfId="654"/>
    <cellStyle name="Normal 17 3 3 2" xfId="1486"/>
    <cellStyle name="Normal 17 3 4" xfId="487"/>
    <cellStyle name="Normal 17 3 4 2" xfId="1320"/>
    <cellStyle name="Normal 17 3 5" xfId="983"/>
    <cellStyle name="Normal 17 4" xfId="230"/>
    <cellStyle name="Normal 17 4 2" xfId="736"/>
    <cellStyle name="Normal 17 4 2 2" xfId="1568"/>
    <cellStyle name="Normal 17 4 3" xfId="1065"/>
    <cellStyle name="Normal 17 5" xfId="572"/>
    <cellStyle name="Normal 17 5 2" xfId="1404"/>
    <cellStyle name="Normal 17 6" xfId="399"/>
    <cellStyle name="Normal 17 6 2" xfId="1232"/>
    <cellStyle name="Normal 17 7" xfId="901"/>
    <cellStyle name="Normal 18" xfId="59"/>
    <cellStyle name="Normal 18 2" xfId="102"/>
    <cellStyle name="Normal 18 2 2" xfId="186"/>
    <cellStyle name="Normal 18 2 2 2" xfId="373"/>
    <cellStyle name="Normal 18 2 2 2 2" xfId="879"/>
    <cellStyle name="Normal 18 2 2 2 2 2" xfId="1711"/>
    <cellStyle name="Normal 18 2 2 2 3" xfId="1208"/>
    <cellStyle name="Normal 18 2 2 3" xfId="715"/>
    <cellStyle name="Normal 18 2 2 3 2" xfId="1547"/>
    <cellStyle name="Normal 18 2 2 4" xfId="510"/>
    <cellStyle name="Normal 18 2 2 4 2" xfId="1343"/>
    <cellStyle name="Normal 18 2 2 5" xfId="1044"/>
    <cellStyle name="Normal 18 2 3" xfId="291"/>
    <cellStyle name="Normal 18 2 3 2" xfId="797"/>
    <cellStyle name="Normal 18 2 3 2 2" xfId="1629"/>
    <cellStyle name="Normal 18 2 3 3" xfId="1126"/>
    <cellStyle name="Normal 18 2 4" xfId="633"/>
    <cellStyle name="Normal 18 2 4 2" xfId="1465"/>
    <cellStyle name="Normal 18 2 5" xfId="422"/>
    <cellStyle name="Normal 18 2 5 2" xfId="1255"/>
    <cellStyle name="Normal 18 2 6" xfId="962"/>
    <cellStyle name="Normal 18 3" xfId="144"/>
    <cellStyle name="Normal 18 3 2" xfId="332"/>
    <cellStyle name="Normal 18 3 2 2" xfId="838"/>
    <cellStyle name="Normal 18 3 2 2 2" xfId="1670"/>
    <cellStyle name="Normal 18 3 2 3" xfId="1167"/>
    <cellStyle name="Normal 18 3 3" xfId="674"/>
    <cellStyle name="Normal 18 3 3 2" xfId="1506"/>
    <cellStyle name="Normal 18 3 4" xfId="466"/>
    <cellStyle name="Normal 18 3 4 2" xfId="1299"/>
    <cellStyle name="Normal 18 3 5" xfId="1003"/>
    <cellStyle name="Normal 18 4" xfId="250"/>
    <cellStyle name="Normal 18 4 2" xfId="756"/>
    <cellStyle name="Normal 18 4 2 2" xfId="1588"/>
    <cellStyle name="Normal 18 4 3" xfId="1085"/>
    <cellStyle name="Normal 18 5" xfId="592"/>
    <cellStyle name="Normal 18 5 2" xfId="1424"/>
    <cellStyle name="Normal 18 6" xfId="376"/>
    <cellStyle name="Normal 18 6 2" xfId="1211"/>
    <cellStyle name="Normal 18 7" xfId="921"/>
    <cellStyle name="Normal 19" xfId="61"/>
    <cellStyle name="Normal 19 2" xfId="146"/>
    <cellStyle name="Normal 19 2 2" xfId="209"/>
    <cellStyle name="Normal 19 3" xfId="206"/>
    <cellStyle name="Normal 2" xfId="2"/>
    <cellStyle name="Normal 2 2" xfId="188"/>
    <cellStyle name="Normal 2 3" xfId="1713"/>
    <cellStyle name="Normal 20" xfId="60"/>
    <cellStyle name="Normal 20 2" xfId="145"/>
    <cellStyle name="Normal 20 2 2" xfId="333"/>
    <cellStyle name="Normal 20 2 2 2" xfId="839"/>
    <cellStyle name="Normal 20 2 2 2 2" xfId="1671"/>
    <cellStyle name="Normal 20 2 2 3" xfId="1168"/>
    <cellStyle name="Normal 20 2 3" xfId="675"/>
    <cellStyle name="Normal 20 2 3 2" xfId="1507"/>
    <cellStyle name="Normal 20 2 4" xfId="507"/>
    <cellStyle name="Normal 20 2 4 2" xfId="1340"/>
    <cellStyle name="Normal 20 2 5" xfId="1004"/>
    <cellStyle name="Normal 20 3" xfId="251"/>
    <cellStyle name="Normal 20 3 2" xfId="757"/>
    <cellStyle name="Normal 20 3 2 2" xfId="1589"/>
    <cellStyle name="Normal 20 3 3" xfId="1086"/>
    <cellStyle name="Normal 20 4" xfId="593"/>
    <cellStyle name="Normal 20 4 2" xfId="1425"/>
    <cellStyle name="Normal 20 5" xfId="419"/>
    <cellStyle name="Normal 20 5 2" xfId="1252"/>
    <cellStyle name="Normal 20 6" xfId="922"/>
    <cellStyle name="Normal 21" xfId="104"/>
    <cellStyle name="Normal 21 2" xfId="208"/>
    <cellStyle name="Normal 22" xfId="103"/>
    <cellStyle name="Normal 22 2" xfId="292"/>
    <cellStyle name="Normal 22 2 2" xfId="798"/>
    <cellStyle name="Normal 22 2 2 2" xfId="1630"/>
    <cellStyle name="Normal 22 2 3" xfId="1127"/>
    <cellStyle name="Normal 22 3" xfId="634"/>
    <cellStyle name="Normal 22 3 2" xfId="1466"/>
    <cellStyle name="Normal 22 4" xfId="463"/>
    <cellStyle name="Normal 22 4 2" xfId="1296"/>
    <cellStyle name="Normal 22 5" xfId="963"/>
    <cellStyle name="Normal 23" xfId="1"/>
    <cellStyle name="Normal 24" xfId="210"/>
    <cellStyle name="Normal 24 2" xfId="716"/>
    <cellStyle name="Normal 24 2 2" xfId="1548"/>
    <cellStyle name="Normal 24 3" xfId="1045"/>
    <cellStyle name="Normal 25" xfId="552"/>
    <cellStyle name="Normal 26" xfId="551"/>
    <cellStyle name="Normal 26 2" xfId="1384"/>
    <cellStyle name="Normal 27" xfId="187"/>
    <cellStyle name="Normal 28" xfId="881"/>
    <cellStyle name="Normal 29" xfId="880"/>
    <cellStyle name="Normal 3" xfId="3"/>
    <cellStyle name="Normal 3 2" xfId="189"/>
    <cellStyle name="Normal 3 2 2" xfId="1714"/>
    <cellStyle name="Normal 3 3" xfId="1718"/>
    <cellStyle name="Normal 4" xfId="4"/>
    <cellStyle name="Normal 4 10" xfId="374"/>
    <cellStyle name="Normal 4 10 2" xfId="1209"/>
    <cellStyle name="Normal 4 11" xfId="882"/>
    <cellStyle name="Normal 4 2" xfId="19"/>
    <cellStyle name="Normal 4 2 10" xfId="884"/>
    <cellStyle name="Normal 4 2 2" xfId="25"/>
    <cellStyle name="Normal 4 2 2 2" xfId="36"/>
    <cellStyle name="Normal 4 2 2 2 2" xfId="57"/>
    <cellStyle name="Normal 4 2 2 2 2 2" xfId="100"/>
    <cellStyle name="Normal 4 2 2 2 2 2 2" xfId="184"/>
    <cellStyle name="Normal 4 2 2 2 2 2 2 2" xfId="371"/>
    <cellStyle name="Normal 4 2 2 2 2 2 2 2 2" xfId="877"/>
    <cellStyle name="Normal 4 2 2 2 2 2 2 2 2 2" xfId="1709"/>
    <cellStyle name="Normal 4 2 2 2 2 2 2 2 3" xfId="1206"/>
    <cellStyle name="Normal 4 2 2 2 2 2 2 3" xfId="713"/>
    <cellStyle name="Normal 4 2 2 2 2 2 2 3 2" xfId="1545"/>
    <cellStyle name="Normal 4 2 2 2 2 2 2 4" xfId="549"/>
    <cellStyle name="Normal 4 2 2 2 2 2 2 4 2" xfId="1382"/>
    <cellStyle name="Normal 4 2 2 2 2 2 2 5" xfId="1042"/>
    <cellStyle name="Normal 4 2 2 2 2 2 3" xfId="289"/>
    <cellStyle name="Normal 4 2 2 2 2 2 3 2" xfId="795"/>
    <cellStyle name="Normal 4 2 2 2 2 2 3 2 2" xfId="1627"/>
    <cellStyle name="Normal 4 2 2 2 2 2 3 3" xfId="1124"/>
    <cellStyle name="Normal 4 2 2 2 2 2 4" xfId="631"/>
    <cellStyle name="Normal 4 2 2 2 2 2 4 2" xfId="1463"/>
    <cellStyle name="Normal 4 2 2 2 2 2 5" xfId="461"/>
    <cellStyle name="Normal 4 2 2 2 2 2 5 2" xfId="1294"/>
    <cellStyle name="Normal 4 2 2 2 2 2 6" xfId="960"/>
    <cellStyle name="Normal 4 2 2 2 2 3" xfId="142"/>
    <cellStyle name="Normal 4 2 2 2 2 3 2" xfId="330"/>
    <cellStyle name="Normal 4 2 2 2 2 3 2 2" xfId="836"/>
    <cellStyle name="Normal 4 2 2 2 2 3 2 2 2" xfId="1668"/>
    <cellStyle name="Normal 4 2 2 2 2 3 2 3" xfId="1165"/>
    <cellStyle name="Normal 4 2 2 2 2 3 3" xfId="672"/>
    <cellStyle name="Normal 4 2 2 2 2 3 3 2" xfId="1504"/>
    <cellStyle name="Normal 4 2 2 2 2 3 4" xfId="505"/>
    <cellStyle name="Normal 4 2 2 2 2 3 4 2" xfId="1338"/>
    <cellStyle name="Normal 4 2 2 2 2 3 5" xfId="1001"/>
    <cellStyle name="Normal 4 2 2 2 2 4" xfId="248"/>
    <cellStyle name="Normal 4 2 2 2 2 4 2" xfId="754"/>
    <cellStyle name="Normal 4 2 2 2 2 4 2 2" xfId="1586"/>
    <cellStyle name="Normal 4 2 2 2 2 4 3" xfId="1083"/>
    <cellStyle name="Normal 4 2 2 2 2 5" xfId="590"/>
    <cellStyle name="Normal 4 2 2 2 2 5 2" xfId="1422"/>
    <cellStyle name="Normal 4 2 2 2 2 6" xfId="417"/>
    <cellStyle name="Normal 4 2 2 2 2 6 2" xfId="1250"/>
    <cellStyle name="Normal 4 2 2 2 2 7" xfId="919"/>
    <cellStyle name="Normal 4 2 2 2 3" xfId="79"/>
    <cellStyle name="Normal 4 2 2 2 3 2" xfId="164"/>
    <cellStyle name="Normal 4 2 2 2 3 2 2" xfId="351"/>
    <cellStyle name="Normal 4 2 2 2 3 2 2 2" xfId="857"/>
    <cellStyle name="Normal 4 2 2 2 3 2 2 2 2" xfId="1689"/>
    <cellStyle name="Normal 4 2 2 2 3 2 2 3" xfId="1186"/>
    <cellStyle name="Normal 4 2 2 2 3 2 3" xfId="693"/>
    <cellStyle name="Normal 4 2 2 2 3 2 3 2" xfId="1525"/>
    <cellStyle name="Normal 4 2 2 2 3 2 4" xfId="529"/>
    <cellStyle name="Normal 4 2 2 2 3 2 4 2" xfId="1362"/>
    <cellStyle name="Normal 4 2 2 2 3 2 5" xfId="1022"/>
    <cellStyle name="Normal 4 2 2 2 3 3" xfId="269"/>
    <cellStyle name="Normal 4 2 2 2 3 3 2" xfId="775"/>
    <cellStyle name="Normal 4 2 2 2 3 3 2 2" xfId="1607"/>
    <cellStyle name="Normal 4 2 2 2 3 3 3" xfId="1104"/>
    <cellStyle name="Normal 4 2 2 2 3 4" xfId="611"/>
    <cellStyle name="Normal 4 2 2 2 3 4 2" xfId="1443"/>
    <cellStyle name="Normal 4 2 2 2 3 5" xfId="441"/>
    <cellStyle name="Normal 4 2 2 2 3 5 2" xfId="1274"/>
    <cellStyle name="Normal 4 2 2 2 3 6" xfId="940"/>
    <cellStyle name="Normal 4 2 2 2 4" xfId="122"/>
    <cellStyle name="Normal 4 2 2 2 4 2" xfId="310"/>
    <cellStyle name="Normal 4 2 2 2 4 2 2" xfId="816"/>
    <cellStyle name="Normal 4 2 2 2 4 2 2 2" xfId="1648"/>
    <cellStyle name="Normal 4 2 2 2 4 2 3" xfId="1145"/>
    <cellStyle name="Normal 4 2 2 2 4 3" xfId="652"/>
    <cellStyle name="Normal 4 2 2 2 4 3 2" xfId="1484"/>
    <cellStyle name="Normal 4 2 2 2 4 4" xfId="485"/>
    <cellStyle name="Normal 4 2 2 2 4 4 2" xfId="1318"/>
    <cellStyle name="Normal 4 2 2 2 4 5" xfId="981"/>
    <cellStyle name="Normal 4 2 2 2 5" xfId="228"/>
    <cellStyle name="Normal 4 2 2 2 5 2" xfId="734"/>
    <cellStyle name="Normal 4 2 2 2 5 2 2" xfId="1566"/>
    <cellStyle name="Normal 4 2 2 2 5 3" xfId="1063"/>
    <cellStyle name="Normal 4 2 2 2 6" xfId="570"/>
    <cellStyle name="Normal 4 2 2 2 6 2" xfId="1402"/>
    <cellStyle name="Normal 4 2 2 2 7" xfId="397"/>
    <cellStyle name="Normal 4 2 2 2 7 2" xfId="1230"/>
    <cellStyle name="Normal 4 2 2 2 8" xfId="899"/>
    <cellStyle name="Normal 4 2 2 3" xfId="47"/>
    <cellStyle name="Normal 4 2 2 3 2" xfId="90"/>
    <cellStyle name="Normal 4 2 2 3 2 2" xfId="174"/>
    <cellStyle name="Normal 4 2 2 3 2 2 2" xfId="361"/>
    <cellStyle name="Normal 4 2 2 3 2 2 2 2" xfId="867"/>
    <cellStyle name="Normal 4 2 2 3 2 2 2 2 2" xfId="1699"/>
    <cellStyle name="Normal 4 2 2 3 2 2 2 3" xfId="1196"/>
    <cellStyle name="Normal 4 2 2 3 2 2 3" xfId="703"/>
    <cellStyle name="Normal 4 2 2 3 2 2 3 2" xfId="1535"/>
    <cellStyle name="Normal 4 2 2 3 2 2 4" xfId="539"/>
    <cellStyle name="Normal 4 2 2 3 2 2 4 2" xfId="1372"/>
    <cellStyle name="Normal 4 2 2 3 2 2 5" xfId="1032"/>
    <cellStyle name="Normal 4 2 2 3 2 3" xfId="279"/>
    <cellStyle name="Normal 4 2 2 3 2 3 2" xfId="785"/>
    <cellStyle name="Normal 4 2 2 3 2 3 2 2" xfId="1617"/>
    <cellStyle name="Normal 4 2 2 3 2 3 3" xfId="1114"/>
    <cellStyle name="Normal 4 2 2 3 2 4" xfId="621"/>
    <cellStyle name="Normal 4 2 2 3 2 4 2" xfId="1453"/>
    <cellStyle name="Normal 4 2 2 3 2 5" xfId="451"/>
    <cellStyle name="Normal 4 2 2 3 2 5 2" xfId="1284"/>
    <cellStyle name="Normal 4 2 2 3 2 6" xfId="950"/>
    <cellStyle name="Normal 4 2 2 3 3" xfId="132"/>
    <cellStyle name="Normal 4 2 2 3 3 2" xfId="320"/>
    <cellStyle name="Normal 4 2 2 3 3 2 2" xfId="826"/>
    <cellStyle name="Normal 4 2 2 3 3 2 2 2" xfId="1658"/>
    <cellStyle name="Normal 4 2 2 3 3 2 3" xfId="1155"/>
    <cellStyle name="Normal 4 2 2 3 3 3" xfId="662"/>
    <cellStyle name="Normal 4 2 2 3 3 3 2" xfId="1494"/>
    <cellStyle name="Normal 4 2 2 3 3 4" xfId="495"/>
    <cellStyle name="Normal 4 2 2 3 3 4 2" xfId="1328"/>
    <cellStyle name="Normal 4 2 2 3 3 5" xfId="991"/>
    <cellStyle name="Normal 4 2 2 3 4" xfId="238"/>
    <cellStyle name="Normal 4 2 2 3 4 2" xfId="744"/>
    <cellStyle name="Normal 4 2 2 3 4 2 2" xfId="1576"/>
    <cellStyle name="Normal 4 2 2 3 4 3" xfId="1073"/>
    <cellStyle name="Normal 4 2 2 3 5" xfId="580"/>
    <cellStyle name="Normal 4 2 2 3 5 2" xfId="1412"/>
    <cellStyle name="Normal 4 2 2 3 6" xfId="407"/>
    <cellStyle name="Normal 4 2 2 3 6 2" xfId="1240"/>
    <cellStyle name="Normal 4 2 2 3 7" xfId="909"/>
    <cellStyle name="Normal 4 2 2 4" xfId="69"/>
    <cellStyle name="Normal 4 2 2 4 2" xfId="154"/>
    <cellStyle name="Normal 4 2 2 4 2 2" xfId="341"/>
    <cellStyle name="Normal 4 2 2 4 2 2 2" xfId="847"/>
    <cellStyle name="Normal 4 2 2 4 2 2 2 2" xfId="1679"/>
    <cellStyle name="Normal 4 2 2 4 2 2 3" xfId="1176"/>
    <cellStyle name="Normal 4 2 2 4 2 3" xfId="683"/>
    <cellStyle name="Normal 4 2 2 4 2 3 2" xfId="1515"/>
    <cellStyle name="Normal 4 2 2 4 2 4" xfId="519"/>
    <cellStyle name="Normal 4 2 2 4 2 4 2" xfId="1352"/>
    <cellStyle name="Normal 4 2 2 4 2 5" xfId="1012"/>
    <cellStyle name="Normal 4 2 2 4 3" xfId="259"/>
    <cellStyle name="Normal 4 2 2 4 3 2" xfId="765"/>
    <cellStyle name="Normal 4 2 2 4 3 2 2" xfId="1597"/>
    <cellStyle name="Normal 4 2 2 4 3 3" xfId="1094"/>
    <cellStyle name="Normal 4 2 2 4 4" xfId="601"/>
    <cellStyle name="Normal 4 2 2 4 4 2" xfId="1433"/>
    <cellStyle name="Normal 4 2 2 4 5" xfId="431"/>
    <cellStyle name="Normal 4 2 2 4 5 2" xfId="1264"/>
    <cellStyle name="Normal 4 2 2 4 6" xfId="930"/>
    <cellStyle name="Normal 4 2 2 5" xfId="112"/>
    <cellStyle name="Normal 4 2 2 5 2" xfId="300"/>
    <cellStyle name="Normal 4 2 2 5 2 2" xfId="806"/>
    <cellStyle name="Normal 4 2 2 5 2 2 2" xfId="1638"/>
    <cellStyle name="Normal 4 2 2 5 2 3" xfId="1135"/>
    <cellStyle name="Normal 4 2 2 5 3" xfId="642"/>
    <cellStyle name="Normal 4 2 2 5 3 2" xfId="1474"/>
    <cellStyle name="Normal 4 2 2 5 4" xfId="475"/>
    <cellStyle name="Normal 4 2 2 5 4 2" xfId="1308"/>
    <cellStyle name="Normal 4 2 2 5 5" xfId="971"/>
    <cellStyle name="Normal 4 2 2 6" xfId="218"/>
    <cellStyle name="Normal 4 2 2 6 2" xfId="724"/>
    <cellStyle name="Normal 4 2 2 6 2 2" xfId="1556"/>
    <cellStyle name="Normal 4 2 2 6 3" xfId="1053"/>
    <cellStyle name="Normal 4 2 2 7" xfId="560"/>
    <cellStyle name="Normal 4 2 2 7 2" xfId="1392"/>
    <cellStyle name="Normal 4 2 2 8" xfId="387"/>
    <cellStyle name="Normal 4 2 2 8 2" xfId="1220"/>
    <cellStyle name="Normal 4 2 2 9" xfId="889"/>
    <cellStyle name="Normal 4 2 3" xfId="31"/>
    <cellStyle name="Normal 4 2 3 2" xfId="52"/>
    <cellStyle name="Normal 4 2 3 2 2" xfId="95"/>
    <cellStyle name="Normal 4 2 3 2 2 2" xfId="179"/>
    <cellStyle name="Normal 4 2 3 2 2 2 2" xfId="366"/>
    <cellStyle name="Normal 4 2 3 2 2 2 2 2" xfId="872"/>
    <cellStyle name="Normal 4 2 3 2 2 2 2 2 2" xfId="1704"/>
    <cellStyle name="Normal 4 2 3 2 2 2 2 3" xfId="1201"/>
    <cellStyle name="Normal 4 2 3 2 2 2 3" xfId="708"/>
    <cellStyle name="Normal 4 2 3 2 2 2 3 2" xfId="1540"/>
    <cellStyle name="Normal 4 2 3 2 2 2 4" xfId="544"/>
    <cellStyle name="Normal 4 2 3 2 2 2 4 2" xfId="1377"/>
    <cellStyle name="Normal 4 2 3 2 2 2 5" xfId="1037"/>
    <cellStyle name="Normal 4 2 3 2 2 3" xfId="284"/>
    <cellStyle name="Normal 4 2 3 2 2 3 2" xfId="790"/>
    <cellStyle name="Normal 4 2 3 2 2 3 2 2" xfId="1622"/>
    <cellStyle name="Normal 4 2 3 2 2 3 3" xfId="1119"/>
    <cellStyle name="Normal 4 2 3 2 2 4" xfId="626"/>
    <cellStyle name="Normal 4 2 3 2 2 4 2" xfId="1458"/>
    <cellStyle name="Normal 4 2 3 2 2 5" xfId="456"/>
    <cellStyle name="Normal 4 2 3 2 2 5 2" xfId="1289"/>
    <cellStyle name="Normal 4 2 3 2 2 6" xfId="955"/>
    <cellStyle name="Normal 4 2 3 2 3" xfId="137"/>
    <cellStyle name="Normal 4 2 3 2 3 2" xfId="325"/>
    <cellStyle name="Normal 4 2 3 2 3 2 2" xfId="831"/>
    <cellStyle name="Normal 4 2 3 2 3 2 2 2" xfId="1663"/>
    <cellStyle name="Normal 4 2 3 2 3 2 3" xfId="1160"/>
    <cellStyle name="Normal 4 2 3 2 3 3" xfId="667"/>
    <cellStyle name="Normal 4 2 3 2 3 3 2" xfId="1499"/>
    <cellStyle name="Normal 4 2 3 2 3 4" xfId="500"/>
    <cellStyle name="Normal 4 2 3 2 3 4 2" xfId="1333"/>
    <cellStyle name="Normal 4 2 3 2 3 5" xfId="996"/>
    <cellStyle name="Normal 4 2 3 2 4" xfId="243"/>
    <cellStyle name="Normal 4 2 3 2 4 2" xfId="749"/>
    <cellStyle name="Normal 4 2 3 2 4 2 2" xfId="1581"/>
    <cellStyle name="Normal 4 2 3 2 4 3" xfId="1078"/>
    <cellStyle name="Normal 4 2 3 2 5" xfId="585"/>
    <cellStyle name="Normal 4 2 3 2 5 2" xfId="1417"/>
    <cellStyle name="Normal 4 2 3 2 6" xfId="412"/>
    <cellStyle name="Normal 4 2 3 2 6 2" xfId="1245"/>
    <cellStyle name="Normal 4 2 3 2 7" xfId="914"/>
    <cellStyle name="Normal 4 2 3 3" xfId="74"/>
    <cellStyle name="Normal 4 2 3 3 2" xfId="159"/>
    <cellStyle name="Normal 4 2 3 3 2 2" xfId="346"/>
    <cellStyle name="Normal 4 2 3 3 2 2 2" xfId="852"/>
    <cellStyle name="Normal 4 2 3 3 2 2 2 2" xfId="1684"/>
    <cellStyle name="Normal 4 2 3 3 2 2 3" xfId="1181"/>
    <cellStyle name="Normal 4 2 3 3 2 3" xfId="688"/>
    <cellStyle name="Normal 4 2 3 3 2 3 2" xfId="1520"/>
    <cellStyle name="Normal 4 2 3 3 2 4" xfId="524"/>
    <cellStyle name="Normal 4 2 3 3 2 4 2" xfId="1357"/>
    <cellStyle name="Normal 4 2 3 3 2 5" xfId="1017"/>
    <cellStyle name="Normal 4 2 3 3 3" xfId="264"/>
    <cellStyle name="Normal 4 2 3 3 3 2" xfId="770"/>
    <cellStyle name="Normal 4 2 3 3 3 2 2" xfId="1602"/>
    <cellStyle name="Normal 4 2 3 3 3 3" xfId="1099"/>
    <cellStyle name="Normal 4 2 3 3 4" xfId="606"/>
    <cellStyle name="Normal 4 2 3 3 4 2" xfId="1438"/>
    <cellStyle name="Normal 4 2 3 3 5" xfId="436"/>
    <cellStyle name="Normal 4 2 3 3 5 2" xfId="1269"/>
    <cellStyle name="Normal 4 2 3 3 6" xfId="935"/>
    <cellStyle name="Normal 4 2 3 4" xfId="117"/>
    <cellStyle name="Normal 4 2 3 4 2" xfId="305"/>
    <cellStyle name="Normal 4 2 3 4 2 2" xfId="811"/>
    <cellStyle name="Normal 4 2 3 4 2 2 2" xfId="1643"/>
    <cellStyle name="Normal 4 2 3 4 2 3" xfId="1140"/>
    <cellStyle name="Normal 4 2 3 4 3" xfId="647"/>
    <cellStyle name="Normal 4 2 3 4 3 2" xfId="1479"/>
    <cellStyle name="Normal 4 2 3 4 4" xfId="480"/>
    <cellStyle name="Normal 4 2 3 4 4 2" xfId="1313"/>
    <cellStyle name="Normal 4 2 3 4 5" xfId="976"/>
    <cellStyle name="Normal 4 2 3 5" xfId="223"/>
    <cellStyle name="Normal 4 2 3 5 2" xfId="729"/>
    <cellStyle name="Normal 4 2 3 5 2 2" xfId="1561"/>
    <cellStyle name="Normal 4 2 3 5 3" xfId="1058"/>
    <cellStyle name="Normal 4 2 3 6" xfId="565"/>
    <cellStyle name="Normal 4 2 3 6 2" xfId="1397"/>
    <cellStyle name="Normal 4 2 3 7" xfId="392"/>
    <cellStyle name="Normal 4 2 3 7 2" xfId="1225"/>
    <cellStyle name="Normal 4 2 3 8" xfId="894"/>
    <cellStyle name="Normal 4 2 4" xfId="42"/>
    <cellStyle name="Normal 4 2 4 2" xfId="85"/>
    <cellStyle name="Normal 4 2 4 2 2" xfId="169"/>
    <cellStyle name="Normal 4 2 4 2 2 2" xfId="356"/>
    <cellStyle name="Normal 4 2 4 2 2 2 2" xfId="862"/>
    <cellStyle name="Normal 4 2 4 2 2 2 2 2" xfId="1694"/>
    <cellStyle name="Normal 4 2 4 2 2 2 3" xfId="1191"/>
    <cellStyle name="Normal 4 2 4 2 2 3" xfId="698"/>
    <cellStyle name="Normal 4 2 4 2 2 3 2" xfId="1530"/>
    <cellStyle name="Normal 4 2 4 2 2 4" xfId="534"/>
    <cellStyle name="Normal 4 2 4 2 2 4 2" xfId="1367"/>
    <cellStyle name="Normal 4 2 4 2 2 5" xfId="1027"/>
    <cellStyle name="Normal 4 2 4 2 3" xfId="274"/>
    <cellStyle name="Normal 4 2 4 2 3 2" xfId="780"/>
    <cellStyle name="Normal 4 2 4 2 3 2 2" xfId="1612"/>
    <cellStyle name="Normal 4 2 4 2 3 3" xfId="1109"/>
    <cellStyle name="Normal 4 2 4 2 4" xfId="616"/>
    <cellStyle name="Normal 4 2 4 2 4 2" xfId="1448"/>
    <cellStyle name="Normal 4 2 4 2 5" xfId="446"/>
    <cellStyle name="Normal 4 2 4 2 5 2" xfId="1279"/>
    <cellStyle name="Normal 4 2 4 2 6" xfId="945"/>
    <cellStyle name="Normal 4 2 4 3" xfId="127"/>
    <cellStyle name="Normal 4 2 4 3 2" xfId="315"/>
    <cellStyle name="Normal 4 2 4 3 2 2" xfId="821"/>
    <cellStyle name="Normal 4 2 4 3 2 2 2" xfId="1653"/>
    <cellStyle name="Normal 4 2 4 3 2 3" xfId="1150"/>
    <cellStyle name="Normal 4 2 4 3 3" xfId="657"/>
    <cellStyle name="Normal 4 2 4 3 3 2" xfId="1489"/>
    <cellStyle name="Normal 4 2 4 3 4" xfId="490"/>
    <cellStyle name="Normal 4 2 4 3 4 2" xfId="1323"/>
    <cellStyle name="Normal 4 2 4 3 5" xfId="986"/>
    <cellStyle name="Normal 4 2 4 4" xfId="233"/>
    <cellStyle name="Normal 4 2 4 4 2" xfId="739"/>
    <cellStyle name="Normal 4 2 4 4 2 2" xfId="1571"/>
    <cellStyle name="Normal 4 2 4 4 3" xfId="1068"/>
    <cellStyle name="Normal 4 2 4 5" xfId="575"/>
    <cellStyle name="Normal 4 2 4 5 2" xfId="1407"/>
    <cellStyle name="Normal 4 2 4 6" xfId="402"/>
    <cellStyle name="Normal 4 2 4 6 2" xfId="1235"/>
    <cellStyle name="Normal 4 2 4 7" xfId="904"/>
    <cellStyle name="Normal 4 2 5" xfId="64"/>
    <cellStyle name="Normal 4 2 5 2" xfId="149"/>
    <cellStyle name="Normal 4 2 5 2 2" xfId="336"/>
    <cellStyle name="Normal 4 2 5 2 2 2" xfId="842"/>
    <cellStyle name="Normal 4 2 5 2 2 2 2" xfId="1674"/>
    <cellStyle name="Normal 4 2 5 2 2 3" xfId="1171"/>
    <cellStyle name="Normal 4 2 5 2 3" xfId="678"/>
    <cellStyle name="Normal 4 2 5 2 3 2" xfId="1510"/>
    <cellStyle name="Normal 4 2 5 2 4" xfId="514"/>
    <cellStyle name="Normal 4 2 5 2 4 2" xfId="1347"/>
    <cellStyle name="Normal 4 2 5 2 5" xfId="1007"/>
    <cellStyle name="Normal 4 2 5 3" xfId="254"/>
    <cellStyle name="Normal 4 2 5 3 2" xfId="760"/>
    <cellStyle name="Normal 4 2 5 3 2 2" xfId="1592"/>
    <cellStyle name="Normal 4 2 5 3 3" xfId="1089"/>
    <cellStyle name="Normal 4 2 5 4" xfId="596"/>
    <cellStyle name="Normal 4 2 5 4 2" xfId="1428"/>
    <cellStyle name="Normal 4 2 5 5" xfId="426"/>
    <cellStyle name="Normal 4 2 5 5 2" xfId="1259"/>
    <cellStyle name="Normal 4 2 5 6" xfId="925"/>
    <cellStyle name="Normal 4 2 6" xfId="107"/>
    <cellStyle name="Normal 4 2 6 2" xfId="295"/>
    <cellStyle name="Normal 4 2 6 2 2" xfId="801"/>
    <cellStyle name="Normal 4 2 6 2 2 2" xfId="1633"/>
    <cellStyle name="Normal 4 2 6 2 3" xfId="1130"/>
    <cellStyle name="Normal 4 2 6 3" xfId="637"/>
    <cellStyle name="Normal 4 2 6 3 2" xfId="1469"/>
    <cellStyle name="Normal 4 2 6 4" xfId="470"/>
    <cellStyle name="Normal 4 2 6 4 2" xfId="1303"/>
    <cellStyle name="Normal 4 2 6 5" xfId="966"/>
    <cellStyle name="Normal 4 2 7" xfId="213"/>
    <cellStyle name="Normal 4 2 7 2" xfId="719"/>
    <cellStyle name="Normal 4 2 7 2 2" xfId="1551"/>
    <cellStyle name="Normal 4 2 7 3" xfId="1048"/>
    <cellStyle name="Normal 4 2 8" xfId="555"/>
    <cellStyle name="Normal 4 2 8 2" xfId="1387"/>
    <cellStyle name="Normal 4 2 9" xfId="382"/>
    <cellStyle name="Normal 4 2 9 2" xfId="1215"/>
    <cellStyle name="Normal 4 3" xfId="23"/>
    <cellStyle name="Normal 4 3 2" xfId="34"/>
    <cellStyle name="Normal 4 3 2 2" xfId="55"/>
    <cellStyle name="Normal 4 3 2 2 2" xfId="98"/>
    <cellStyle name="Normal 4 3 2 2 2 2" xfId="182"/>
    <cellStyle name="Normal 4 3 2 2 2 2 2" xfId="369"/>
    <cellStyle name="Normal 4 3 2 2 2 2 2 2" xfId="875"/>
    <cellStyle name="Normal 4 3 2 2 2 2 2 2 2" xfId="1707"/>
    <cellStyle name="Normal 4 3 2 2 2 2 2 3" xfId="1204"/>
    <cellStyle name="Normal 4 3 2 2 2 2 3" xfId="711"/>
    <cellStyle name="Normal 4 3 2 2 2 2 3 2" xfId="1543"/>
    <cellStyle name="Normal 4 3 2 2 2 2 4" xfId="547"/>
    <cellStyle name="Normal 4 3 2 2 2 2 4 2" xfId="1380"/>
    <cellStyle name="Normal 4 3 2 2 2 2 5" xfId="1040"/>
    <cellStyle name="Normal 4 3 2 2 2 3" xfId="287"/>
    <cellStyle name="Normal 4 3 2 2 2 3 2" xfId="793"/>
    <cellStyle name="Normal 4 3 2 2 2 3 2 2" xfId="1625"/>
    <cellStyle name="Normal 4 3 2 2 2 3 3" xfId="1122"/>
    <cellStyle name="Normal 4 3 2 2 2 4" xfId="629"/>
    <cellStyle name="Normal 4 3 2 2 2 4 2" xfId="1461"/>
    <cellStyle name="Normal 4 3 2 2 2 5" xfId="459"/>
    <cellStyle name="Normal 4 3 2 2 2 5 2" xfId="1292"/>
    <cellStyle name="Normal 4 3 2 2 2 6" xfId="958"/>
    <cellStyle name="Normal 4 3 2 2 3" xfId="140"/>
    <cellStyle name="Normal 4 3 2 2 3 2" xfId="328"/>
    <cellStyle name="Normal 4 3 2 2 3 2 2" xfId="834"/>
    <cellStyle name="Normal 4 3 2 2 3 2 2 2" xfId="1666"/>
    <cellStyle name="Normal 4 3 2 2 3 2 3" xfId="1163"/>
    <cellStyle name="Normal 4 3 2 2 3 3" xfId="670"/>
    <cellStyle name="Normal 4 3 2 2 3 3 2" xfId="1502"/>
    <cellStyle name="Normal 4 3 2 2 3 4" xfId="503"/>
    <cellStyle name="Normal 4 3 2 2 3 4 2" xfId="1336"/>
    <cellStyle name="Normal 4 3 2 2 3 5" xfId="999"/>
    <cellStyle name="Normal 4 3 2 2 4" xfId="246"/>
    <cellStyle name="Normal 4 3 2 2 4 2" xfId="752"/>
    <cellStyle name="Normal 4 3 2 2 4 2 2" xfId="1584"/>
    <cellStyle name="Normal 4 3 2 2 4 3" xfId="1081"/>
    <cellStyle name="Normal 4 3 2 2 5" xfId="588"/>
    <cellStyle name="Normal 4 3 2 2 5 2" xfId="1420"/>
    <cellStyle name="Normal 4 3 2 2 6" xfId="415"/>
    <cellStyle name="Normal 4 3 2 2 6 2" xfId="1248"/>
    <cellStyle name="Normal 4 3 2 2 7" xfId="917"/>
    <cellStyle name="Normal 4 3 2 3" xfId="77"/>
    <cellStyle name="Normal 4 3 2 3 2" xfId="162"/>
    <cellStyle name="Normal 4 3 2 3 2 2" xfId="349"/>
    <cellStyle name="Normal 4 3 2 3 2 2 2" xfId="855"/>
    <cellStyle name="Normal 4 3 2 3 2 2 2 2" xfId="1687"/>
    <cellStyle name="Normal 4 3 2 3 2 2 3" xfId="1184"/>
    <cellStyle name="Normal 4 3 2 3 2 3" xfId="691"/>
    <cellStyle name="Normal 4 3 2 3 2 3 2" xfId="1523"/>
    <cellStyle name="Normal 4 3 2 3 2 4" xfId="527"/>
    <cellStyle name="Normal 4 3 2 3 2 4 2" xfId="1360"/>
    <cellStyle name="Normal 4 3 2 3 2 5" xfId="1020"/>
    <cellStyle name="Normal 4 3 2 3 3" xfId="267"/>
    <cellStyle name="Normal 4 3 2 3 3 2" xfId="773"/>
    <cellStyle name="Normal 4 3 2 3 3 2 2" xfId="1605"/>
    <cellStyle name="Normal 4 3 2 3 3 3" xfId="1102"/>
    <cellStyle name="Normal 4 3 2 3 4" xfId="609"/>
    <cellStyle name="Normal 4 3 2 3 4 2" xfId="1441"/>
    <cellStyle name="Normal 4 3 2 3 5" xfId="439"/>
    <cellStyle name="Normal 4 3 2 3 5 2" xfId="1272"/>
    <cellStyle name="Normal 4 3 2 3 6" xfId="938"/>
    <cellStyle name="Normal 4 3 2 4" xfId="120"/>
    <cellStyle name="Normal 4 3 2 4 2" xfId="308"/>
    <cellStyle name="Normal 4 3 2 4 2 2" xfId="814"/>
    <cellStyle name="Normal 4 3 2 4 2 2 2" xfId="1646"/>
    <cellStyle name="Normal 4 3 2 4 2 3" xfId="1143"/>
    <cellStyle name="Normal 4 3 2 4 3" xfId="650"/>
    <cellStyle name="Normal 4 3 2 4 3 2" xfId="1482"/>
    <cellStyle name="Normal 4 3 2 4 4" xfId="483"/>
    <cellStyle name="Normal 4 3 2 4 4 2" xfId="1316"/>
    <cellStyle name="Normal 4 3 2 4 5" xfId="979"/>
    <cellStyle name="Normal 4 3 2 5" xfId="226"/>
    <cellStyle name="Normal 4 3 2 5 2" xfId="732"/>
    <cellStyle name="Normal 4 3 2 5 2 2" xfId="1564"/>
    <cellStyle name="Normal 4 3 2 5 3" xfId="1061"/>
    <cellStyle name="Normal 4 3 2 6" xfId="568"/>
    <cellStyle name="Normal 4 3 2 6 2" xfId="1400"/>
    <cellStyle name="Normal 4 3 2 7" xfId="395"/>
    <cellStyle name="Normal 4 3 2 7 2" xfId="1228"/>
    <cellStyle name="Normal 4 3 2 8" xfId="897"/>
    <cellStyle name="Normal 4 3 3" xfId="45"/>
    <cellStyle name="Normal 4 3 3 2" xfId="88"/>
    <cellStyle name="Normal 4 3 3 2 2" xfId="172"/>
    <cellStyle name="Normal 4 3 3 2 2 2" xfId="359"/>
    <cellStyle name="Normal 4 3 3 2 2 2 2" xfId="865"/>
    <cellStyle name="Normal 4 3 3 2 2 2 2 2" xfId="1697"/>
    <cellStyle name="Normal 4 3 3 2 2 2 3" xfId="1194"/>
    <cellStyle name="Normal 4 3 3 2 2 3" xfId="701"/>
    <cellStyle name="Normal 4 3 3 2 2 3 2" xfId="1533"/>
    <cellStyle name="Normal 4 3 3 2 2 4" xfId="537"/>
    <cellStyle name="Normal 4 3 3 2 2 4 2" xfId="1370"/>
    <cellStyle name="Normal 4 3 3 2 2 5" xfId="1030"/>
    <cellStyle name="Normal 4 3 3 2 3" xfId="277"/>
    <cellStyle name="Normal 4 3 3 2 3 2" xfId="783"/>
    <cellStyle name="Normal 4 3 3 2 3 2 2" xfId="1615"/>
    <cellStyle name="Normal 4 3 3 2 3 3" xfId="1112"/>
    <cellStyle name="Normal 4 3 3 2 4" xfId="619"/>
    <cellStyle name="Normal 4 3 3 2 4 2" xfId="1451"/>
    <cellStyle name="Normal 4 3 3 2 5" xfId="449"/>
    <cellStyle name="Normal 4 3 3 2 5 2" xfId="1282"/>
    <cellStyle name="Normal 4 3 3 2 6" xfId="948"/>
    <cellStyle name="Normal 4 3 3 3" xfId="130"/>
    <cellStyle name="Normal 4 3 3 3 2" xfId="318"/>
    <cellStyle name="Normal 4 3 3 3 2 2" xfId="824"/>
    <cellStyle name="Normal 4 3 3 3 2 2 2" xfId="1656"/>
    <cellStyle name="Normal 4 3 3 3 2 3" xfId="1153"/>
    <cellStyle name="Normal 4 3 3 3 3" xfId="660"/>
    <cellStyle name="Normal 4 3 3 3 3 2" xfId="1492"/>
    <cellStyle name="Normal 4 3 3 3 4" xfId="493"/>
    <cellStyle name="Normal 4 3 3 3 4 2" xfId="1326"/>
    <cellStyle name="Normal 4 3 3 3 5" xfId="989"/>
    <cellStyle name="Normal 4 3 3 4" xfId="236"/>
    <cellStyle name="Normal 4 3 3 4 2" xfId="742"/>
    <cellStyle name="Normal 4 3 3 4 2 2" xfId="1574"/>
    <cellStyle name="Normal 4 3 3 4 3" xfId="1071"/>
    <cellStyle name="Normal 4 3 3 5" xfId="578"/>
    <cellStyle name="Normal 4 3 3 5 2" xfId="1410"/>
    <cellStyle name="Normal 4 3 3 6" xfId="405"/>
    <cellStyle name="Normal 4 3 3 6 2" xfId="1238"/>
    <cellStyle name="Normal 4 3 3 7" xfId="907"/>
    <cellStyle name="Normal 4 3 4" xfId="67"/>
    <cellStyle name="Normal 4 3 4 2" xfId="152"/>
    <cellStyle name="Normal 4 3 4 2 2" xfId="339"/>
    <cellStyle name="Normal 4 3 4 2 2 2" xfId="845"/>
    <cellStyle name="Normal 4 3 4 2 2 2 2" xfId="1677"/>
    <cellStyle name="Normal 4 3 4 2 2 3" xfId="1174"/>
    <cellStyle name="Normal 4 3 4 2 3" xfId="681"/>
    <cellStyle name="Normal 4 3 4 2 3 2" xfId="1513"/>
    <cellStyle name="Normal 4 3 4 2 4" xfId="517"/>
    <cellStyle name="Normal 4 3 4 2 4 2" xfId="1350"/>
    <cellStyle name="Normal 4 3 4 2 5" xfId="1010"/>
    <cellStyle name="Normal 4 3 4 3" xfId="257"/>
    <cellStyle name="Normal 4 3 4 3 2" xfId="763"/>
    <cellStyle name="Normal 4 3 4 3 2 2" xfId="1595"/>
    <cellStyle name="Normal 4 3 4 3 3" xfId="1092"/>
    <cellStyle name="Normal 4 3 4 4" xfId="599"/>
    <cellStyle name="Normal 4 3 4 4 2" xfId="1431"/>
    <cellStyle name="Normal 4 3 4 5" xfId="429"/>
    <cellStyle name="Normal 4 3 4 5 2" xfId="1262"/>
    <cellStyle name="Normal 4 3 4 6" xfId="928"/>
    <cellStyle name="Normal 4 3 5" xfId="110"/>
    <cellStyle name="Normal 4 3 5 2" xfId="298"/>
    <cellStyle name="Normal 4 3 5 2 2" xfId="804"/>
    <cellStyle name="Normal 4 3 5 2 2 2" xfId="1636"/>
    <cellStyle name="Normal 4 3 5 2 3" xfId="1133"/>
    <cellStyle name="Normal 4 3 5 3" xfId="640"/>
    <cellStyle name="Normal 4 3 5 3 2" xfId="1472"/>
    <cellStyle name="Normal 4 3 5 4" xfId="473"/>
    <cellStyle name="Normal 4 3 5 4 2" xfId="1306"/>
    <cellStyle name="Normal 4 3 5 5" xfId="969"/>
    <cellStyle name="Normal 4 3 6" xfId="216"/>
    <cellStyle name="Normal 4 3 6 2" xfId="722"/>
    <cellStyle name="Normal 4 3 6 2 2" xfId="1554"/>
    <cellStyle name="Normal 4 3 6 3" xfId="1051"/>
    <cellStyle name="Normal 4 3 7" xfId="558"/>
    <cellStyle name="Normal 4 3 7 2" xfId="1390"/>
    <cellStyle name="Normal 4 3 8" xfId="385"/>
    <cellStyle name="Normal 4 3 8 2" xfId="1218"/>
    <cellStyle name="Normal 4 3 9" xfId="887"/>
    <cellStyle name="Normal 4 4" xfId="29"/>
    <cellStyle name="Normal 4 4 2" xfId="50"/>
    <cellStyle name="Normal 4 4 2 2" xfId="93"/>
    <cellStyle name="Normal 4 4 2 2 2" xfId="177"/>
    <cellStyle name="Normal 4 4 2 2 2 2" xfId="364"/>
    <cellStyle name="Normal 4 4 2 2 2 2 2" xfId="870"/>
    <cellStyle name="Normal 4 4 2 2 2 2 2 2" xfId="1702"/>
    <cellStyle name="Normal 4 4 2 2 2 2 3" xfId="1199"/>
    <cellStyle name="Normal 4 4 2 2 2 3" xfId="706"/>
    <cellStyle name="Normal 4 4 2 2 2 3 2" xfId="1538"/>
    <cellStyle name="Normal 4 4 2 2 2 4" xfId="542"/>
    <cellStyle name="Normal 4 4 2 2 2 4 2" xfId="1375"/>
    <cellStyle name="Normal 4 4 2 2 2 5" xfId="1035"/>
    <cellStyle name="Normal 4 4 2 2 3" xfId="282"/>
    <cellStyle name="Normal 4 4 2 2 3 2" xfId="788"/>
    <cellStyle name="Normal 4 4 2 2 3 2 2" xfId="1620"/>
    <cellStyle name="Normal 4 4 2 2 3 3" xfId="1117"/>
    <cellStyle name="Normal 4 4 2 2 4" xfId="624"/>
    <cellStyle name="Normal 4 4 2 2 4 2" xfId="1456"/>
    <cellStyle name="Normal 4 4 2 2 5" xfId="454"/>
    <cellStyle name="Normal 4 4 2 2 5 2" xfId="1287"/>
    <cellStyle name="Normal 4 4 2 2 6" xfId="953"/>
    <cellStyle name="Normal 4 4 2 3" xfId="135"/>
    <cellStyle name="Normal 4 4 2 3 2" xfId="323"/>
    <cellStyle name="Normal 4 4 2 3 2 2" xfId="829"/>
    <cellStyle name="Normal 4 4 2 3 2 2 2" xfId="1661"/>
    <cellStyle name="Normal 4 4 2 3 2 3" xfId="1158"/>
    <cellStyle name="Normal 4 4 2 3 3" xfId="665"/>
    <cellStyle name="Normal 4 4 2 3 3 2" xfId="1497"/>
    <cellStyle name="Normal 4 4 2 3 4" xfId="498"/>
    <cellStyle name="Normal 4 4 2 3 4 2" xfId="1331"/>
    <cellStyle name="Normal 4 4 2 3 5" xfId="994"/>
    <cellStyle name="Normal 4 4 2 4" xfId="241"/>
    <cellStyle name="Normal 4 4 2 4 2" xfId="747"/>
    <cellStyle name="Normal 4 4 2 4 2 2" xfId="1579"/>
    <cellStyle name="Normal 4 4 2 4 3" xfId="1076"/>
    <cellStyle name="Normal 4 4 2 5" xfId="583"/>
    <cellStyle name="Normal 4 4 2 5 2" xfId="1415"/>
    <cellStyle name="Normal 4 4 2 6" xfId="410"/>
    <cellStyle name="Normal 4 4 2 6 2" xfId="1243"/>
    <cellStyle name="Normal 4 4 2 7" xfId="912"/>
    <cellStyle name="Normal 4 4 3" xfId="72"/>
    <cellStyle name="Normal 4 4 3 2" xfId="157"/>
    <cellStyle name="Normal 4 4 3 2 2" xfId="344"/>
    <cellStyle name="Normal 4 4 3 2 2 2" xfId="850"/>
    <cellStyle name="Normal 4 4 3 2 2 2 2" xfId="1682"/>
    <cellStyle name="Normal 4 4 3 2 2 3" xfId="1179"/>
    <cellStyle name="Normal 4 4 3 2 3" xfId="686"/>
    <cellStyle name="Normal 4 4 3 2 3 2" xfId="1518"/>
    <cellStyle name="Normal 4 4 3 2 4" xfId="522"/>
    <cellStyle name="Normal 4 4 3 2 4 2" xfId="1355"/>
    <cellStyle name="Normal 4 4 3 2 5" xfId="1015"/>
    <cellStyle name="Normal 4 4 3 3" xfId="262"/>
    <cellStyle name="Normal 4 4 3 3 2" xfId="768"/>
    <cellStyle name="Normal 4 4 3 3 2 2" xfId="1600"/>
    <cellStyle name="Normal 4 4 3 3 3" xfId="1097"/>
    <cellStyle name="Normal 4 4 3 4" xfId="604"/>
    <cellStyle name="Normal 4 4 3 4 2" xfId="1436"/>
    <cellStyle name="Normal 4 4 3 5" xfId="434"/>
    <cellStyle name="Normal 4 4 3 5 2" xfId="1267"/>
    <cellStyle name="Normal 4 4 3 6" xfId="933"/>
    <cellStyle name="Normal 4 4 4" xfId="115"/>
    <cellStyle name="Normal 4 4 4 2" xfId="303"/>
    <cellStyle name="Normal 4 4 4 2 2" xfId="809"/>
    <cellStyle name="Normal 4 4 4 2 2 2" xfId="1641"/>
    <cellStyle name="Normal 4 4 4 2 3" xfId="1138"/>
    <cellStyle name="Normal 4 4 4 3" xfId="645"/>
    <cellStyle name="Normal 4 4 4 3 2" xfId="1477"/>
    <cellStyle name="Normal 4 4 4 4" xfId="478"/>
    <cellStyle name="Normal 4 4 4 4 2" xfId="1311"/>
    <cellStyle name="Normal 4 4 4 5" xfId="974"/>
    <cellStyle name="Normal 4 4 5" xfId="221"/>
    <cellStyle name="Normal 4 4 5 2" xfId="727"/>
    <cellStyle name="Normal 4 4 5 2 2" xfId="1559"/>
    <cellStyle name="Normal 4 4 5 3" xfId="1056"/>
    <cellStyle name="Normal 4 4 6" xfId="563"/>
    <cellStyle name="Normal 4 4 6 2" xfId="1395"/>
    <cellStyle name="Normal 4 4 7" xfId="390"/>
    <cellStyle name="Normal 4 4 7 2" xfId="1223"/>
    <cellStyle name="Normal 4 4 8" xfId="892"/>
    <cellStyle name="Normal 4 5" xfId="40"/>
    <cellStyle name="Normal 4 5 2" xfId="83"/>
    <cellStyle name="Normal 4 5 2 2" xfId="167"/>
    <cellStyle name="Normal 4 5 2 2 2" xfId="354"/>
    <cellStyle name="Normal 4 5 2 2 2 2" xfId="860"/>
    <cellStyle name="Normal 4 5 2 2 2 2 2" xfId="1692"/>
    <cellStyle name="Normal 4 5 2 2 2 3" xfId="1189"/>
    <cellStyle name="Normal 4 5 2 2 3" xfId="696"/>
    <cellStyle name="Normal 4 5 2 2 3 2" xfId="1528"/>
    <cellStyle name="Normal 4 5 2 2 4" xfId="532"/>
    <cellStyle name="Normal 4 5 2 2 4 2" xfId="1365"/>
    <cellStyle name="Normal 4 5 2 2 5" xfId="1025"/>
    <cellStyle name="Normal 4 5 2 3" xfId="272"/>
    <cellStyle name="Normal 4 5 2 3 2" xfId="778"/>
    <cellStyle name="Normal 4 5 2 3 2 2" xfId="1610"/>
    <cellStyle name="Normal 4 5 2 3 3" xfId="1107"/>
    <cellStyle name="Normal 4 5 2 4" xfId="614"/>
    <cellStyle name="Normal 4 5 2 4 2" xfId="1446"/>
    <cellStyle name="Normal 4 5 2 5" xfId="444"/>
    <cellStyle name="Normal 4 5 2 5 2" xfId="1277"/>
    <cellStyle name="Normal 4 5 2 6" xfId="943"/>
    <cellStyle name="Normal 4 5 3" xfId="125"/>
    <cellStyle name="Normal 4 5 3 2" xfId="313"/>
    <cellStyle name="Normal 4 5 3 2 2" xfId="819"/>
    <cellStyle name="Normal 4 5 3 2 2 2" xfId="1651"/>
    <cellStyle name="Normal 4 5 3 2 3" xfId="1148"/>
    <cellStyle name="Normal 4 5 3 3" xfId="655"/>
    <cellStyle name="Normal 4 5 3 3 2" xfId="1487"/>
    <cellStyle name="Normal 4 5 3 4" xfId="488"/>
    <cellStyle name="Normal 4 5 3 4 2" xfId="1321"/>
    <cellStyle name="Normal 4 5 3 5" xfId="984"/>
    <cellStyle name="Normal 4 5 4" xfId="231"/>
    <cellStyle name="Normal 4 5 4 2" xfId="737"/>
    <cellStyle name="Normal 4 5 4 2 2" xfId="1569"/>
    <cellStyle name="Normal 4 5 4 3" xfId="1066"/>
    <cellStyle name="Normal 4 5 5" xfId="573"/>
    <cellStyle name="Normal 4 5 5 2" xfId="1405"/>
    <cellStyle name="Normal 4 5 6" xfId="400"/>
    <cellStyle name="Normal 4 5 6 2" xfId="1233"/>
    <cellStyle name="Normal 4 5 7" xfId="902"/>
    <cellStyle name="Normal 4 6" xfId="62"/>
    <cellStyle name="Normal 4 6 2" xfId="147"/>
    <cellStyle name="Normal 4 6 2 2" xfId="334"/>
    <cellStyle name="Normal 4 6 2 2 2" xfId="840"/>
    <cellStyle name="Normal 4 6 2 2 2 2" xfId="1672"/>
    <cellStyle name="Normal 4 6 2 2 3" xfId="511"/>
    <cellStyle name="Normal 4 6 2 2 3 2" xfId="1344"/>
    <cellStyle name="Normal 4 6 2 2 4" xfId="1169"/>
    <cellStyle name="Normal 4 6 2 3" xfId="676"/>
    <cellStyle name="Normal 4 6 2 3 2" xfId="1508"/>
    <cellStyle name="Normal 4 6 2 4" xfId="423"/>
    <cellStyle name="Normal 4 6 2 4 2" xfId="1256"/>
    <cellStyle name="Normal 4 6 2 5" xfId="1005"/>
    <cellStyle name="Normal 4 6 3" xfId="252"/>
    <cellStyle name="Normal 4 6 3 2" xfId="758"/>
    <cellStyle name="Normal 4 6 3 2 2" xfId="1590"/>
    <cellStyle name="Normal 4 6 3 3" xfId="467"/>
    <cellStyle name="Normal 4 6 3 3 2" xfId="1300"/>
    <cellStyle name="Normal 4 6 3 4" xfId="1087"/>
    <cellStyle name="Normal 4 6 4" xfId="594"/>
    <cellStyle name="Normal 4 6 4 2" xfId="1426"/>
    <cellStyle name="Normal 4 6 5" xfId="377"/>
    <cellStyle name="Normal 4 6 5 2" xfId="1212"/>
    <cellStyle name="Normal 4 6 6" xfId="923"/>
    <cellStyle name="Normal 4 7" xfId="105"/>
    <cellStyle name="Normal 4 7 2" xfId="293"/>
    <cellStyle name="Normal 4 7 2 2" xfId="799"/>
    <cellStyle name="Normal 4 7 2 2 2" xfId="1631"/>
    <cellStyle name="Normal 4 7 2 3" xfId="508"/>
    <cellStyle name="Normal 4 7 2 3 2" xfId="1341"/>
    <cellStyle name="Normal 4 7 2 4" xfId="1128"/>
    <cellStyle name="Normal 4 7 3" xfId="635"/>
    <cellStyle name="Normal 4 7 3 2" xfId="1467"/>
    <cellStyle name="Normal 4 7 4" xfId="420"/>
    <cellStyle name="Normal 4 7 4 2" xfId="1253"/>
    <cellStyle name="Normal 4 7 5" xfId="964"/>
    <cellStyle name="Normal 4 8" xfId="211"/>
    <cellStyle name="Normal 4 8 2" xfId="717"/>
    <cellStyle name="Normal 4 8 2 2" xfId="1549"/>
    <cellStyle name="Normal 4 8 3" xfId="464"/>
    <cellStyle name="Normal 4 8 3 2" xfId="1297"/>
    <cellStyle name="Normal 4 8 4" xfId="1046"/>
    <cellStyle name="Normal 4 9" xfId="553"/>
    <cellStyle name="Normal 4 9 2" xfId="1385"/>
    <cellStyle name="Normal 5" xfId="5"/>
    <cellStyle name="Normal 5 2" xfId="6"/>
    <cellStyle name="Normal 5 2 2" xfId="7"/>
    <cellStyle name="Normal 5 2 2 2" xfId="192"/>
    <cellStyle name="Normal 5 2 3" xfId="8"/>
    <cellStyle name="Normal 5 2 3 2" xfId="193"/>
    <cellStyle name="Normal 5 2 4" xfId="191"/>
    <cellStyle name="Normal 5 3" xfId="379"/>
    <cellStyle name="Normal 5 4" xfId="378"/>
    <cellStyle name="Normal 5 4 2" xfId="424"/>
    <cellStyle name="Normal 5 4 2 2" xfId="512"/>
    <cellStyle name="Normal 5 4 2 2 2" xfId="1345"/>
    <cellStyle name="Normal 5 4 2 3" xfId="1257"/>
    <cellStyle name="Normal 5 4 3" xfId="468"/>
    <cellStyle name="Normal 5 4 3 2" xfId="1301"/>
    <cellStyle name="Normal 5 4 4" xfId="1213"/>
    <cellStyle name="Normal 5 5" xfId="421"/>
    <cellStyle name="Normal 5 5 2" xfId="509"/>
    <cellStyle name="Normal 5 5 2 2" xfId="1342"/>
    <cellStyle name="Normal 5 5 3" xfId="1254"/>
    <cellStyle name="Normal 5 6" xfId="465"/>
    <cellStyle name="Normal 5 6 2" xfId="1298"/>
    <cellStyle name="Normal 5 7" xfId="375"/>
    <cellStyle name="Normal 5 7 2" xfId="1210"/>
    <cellStyle name="Normal 5 8" xfId="190"/>
    <cellStyle name="Normal 6" xfId="9"/>
    <cellStyle name="Normal 6 2" xfId="10"/>
    <cellStyle name="Normal 6 2 2" xfId="195"/>
    <cellStyle name="Normal 6 2 3" xfId="1720"/>
    <cellStyle name="Normal 6 3" xfId="11"/>
    <cellStyle name="Normal 6 3 2" xfId="12"/>
    <cellStyle name="Normal 6 3 2 2" xfId="197"/>
    <cellStyle name="Normal 6 3 3" xfId="196"/>
    <cellStyle name="Normal 6 3 4" xfId="1712"/>
    <cellStyle name="Normal 6 4" xfId="380"/>
    <cellStyle name="Normal 6 5" xfId="194"/>
    <cellStyle name="Normal 6 6" xfId="1717"/>
    <cellStyle name="Normal 7" xfId="13"/>
    <cellStyle name="Normal 7 2" xfId="14"/>
    <cellStyle name="Normal 7 2 2" xfId="199"/>
    <cellStyle name="Normal 7 2 3" xfId="1719"/>
    <cellStyle name="Normal 7 3" xfId="198"/>
    <cellStyle name="Normal 7 3 2" xfId="1716"/>
    <cellStyle name="Normal 8" xfId="15"/>
    <cellStyle name="Normal 8 2" xfId="16"/>
    <cellStyle name="Normal 8 2 2" xfId="201"/>
    <cellStyle name="Normal 8 3" xfId="200"/>
    <cellStyle name="Normal 9" xfId="17"/>
    <cellStyle name="Normal 9 2" xfId="202"/>
    <cellStyle name="Normal 9 3" xfId="1715"/>
  </cellStyles>
  <dxfs count="0"/>
  <tableStyles count="0" defaultTableStyle="TableStyleMedium2" defaultPivotStyle="PivotStyleLight16"/>
  <colors>
    <mruColors>
      <color rgb="FFFF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http://drcdirect/informationsystems/eis/dteam/Louisiana/LEAP%20Spring" TargetMode="External"/><Relationship Id="rId2" Type="http://schemas.openxmlformats.org/officeDocument/2006/relationships/hyperlink" Target="http://drcdirect/informationsystems/eis/dteam/Louisiana/Accountability/" TargetMode="External"/><Relationship Id="rId1" Type="http://schemas.openxmlformats.org/officeDocument/2006/relationships/hyperlink" Target="http://drcdirect/informationsystems/eis/dteam/Louisiana/Common%20Louisiana%20Spring/Reporting/" TargetMode="External"/><Relationship Id="rId4" Type="http://schemas.openxmlformats.org/officeDocument/2006/relationships/hyperlink" Target="http://drcdirect/informationsystems/eis/dteam/Louisiana/LEAP%20Spr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752"/>
  <sheetViews>
    <sheetView tabSelected="1" zoomScale="80" zoomScaleNormal="80" zoomScalePageLayoutView="70" workbookViewId="0">
      <selection activeCell="A3" sqref="A3"/>
    </sheetView>
  </sheetViews>
  <sheetFormatPr defaultColWidth="9.140625" defaultRowHeight="12.75" x14ac:dyDescent="0.2"/>
  <cols>
    <col min="1" max="2" width="14.28515625" style="5" customWidth="1"/>
    <col min="3" max="3" width="11.85546875" style="5" customWidth="1"/>
    <col min="4" max="8" width="10.85546875" style="4" customWidth="1"/>
    <col min="9" max="9" width="71.140625" style="16" customWidth="1"/>
    <col min="10" max="10" width="36.5703125" style="3" customWidth="1"/>
    <col min="11" max="11" width="70.140625" style="1" customWidth="1"/>
    <col min="12" max="16384" width="9.140625" style="2"/>
  </cols>
  <sheetData>
    <row r="1" spans="1:11" ht="21" thickBot="1" x14ac:dyDescent="0.35">
      <c r="A1" s="130"/>
      <c r="B1" s="130"/>
      <c r="C1" s="153" t="s">
        <v>0</v>
      </c>
      <c r="D1" s="154"/>
      <c r="E1" s="154"/>
      <c r="F1" s="154"/>
      <c r="G1" s="154"/>
      <c r="H1" s="154"/>
      <c r="I1" s="154"/>
      <c r="J1" s="153" t="s">
        <v>566</v>
      </c>
      <c r="K1" s="153"/>
    </row>
    <row r="2" spans="1:11" ht="63.75" thickBot="1" x14ac:dyDescent="0.3">
      <c r="A2" s="131" t="s">
        <v>8</v>
      </c>
      <c r="B2" s="131" t="s">
        <v>9</v>
      </c>
      <c r="C2" s="131" t="s">
        <v>1</v>
      </c>
      <c r="D2" s="131" t="s">
        <v>2</v>
      </c>
      <c r="E2" s="131" t="s">
        <v>3</v>
      </c>
      <c r="F2" s="131" t="s">
        <v>752</v>
      </c>
      <c r="G2" s="131" t="s">
        <v>753</v>
      </c>
      <c r="H2" s="131" t="s">
        <v>4</v>
      </c>
      <c r="I2" s="132" t="s">
        <v>5</v>
      </c>
      <c r="J2" s="133" t="s">
        <v>6</v>
      </c>
      <c r="K2" s="133" t="s">
        <v>7</v>
      </c>
    </row>
    <row r="3" spans="1:11" x14ac:dyDescent="0.2">
      <c r="A3" s="125"/>
      <c r="B3" s="125"/>
      <c r="C3" s="125"/>
      <c r="D3" s="126"/>
      <c r="E3" s="126"/>
      <c r="F3" s="126"/>
      <c r="G3" s="126"/>
      <c r="H3" s="126"/>
      <c r="I3" s="127" t="s">
        <v>10</v>
      </c>
      <c r="J3" s="128"/>
      <c r="K3" s="129"/>
    </row>
    <row r="4" spans="1:11" x14ac:dyDescent="0.2">
      <c r="A4" s="23" t="s">
        <v>457</v>
      </c>
      <c r="B4" s="23" t="s">
        <v>457</v>
      </c>
      <c r="C4" s="23"/>
      <c r="D4" s="24">
        <v>1</v>
      </c>
      <c r="E4" s="27">
        <f>D4+H4-1</f>
        <v>2</v>
      </c>
      <c r="F4" s="27">
        <f>D4-1</f>
        <v>0</v>
      </c>
      <c r="G4" s="27">
        <f>E4-1</f>
        <v>1</v>
      </c>
      <c r="H4" s="28">
        <v>2</v>
      </c>
      <c r="I4" s="29" t="s">
        <v>11</v>
      </c>
      <c r="J4" s="30" t="s">
        <v>565</v>
      </c>
      <c r="K4" s="31" t="s">
        <v>307</v>
      </c>
    </row>
    <row r="5" spans="1:11" x14ac:dyDescent="0.2">
      <c r="A5" s="23" t="s">
        <v>457</v>
      </c>
      <c r="B5" s="23" t="s">
        <v>457</v>
      </c>
      <c r="C5" s="23"/>
      <c r="D5" s="24">
        <f>D4+H4</f>
        <v>3</v>
      </c>
      <c r="E5" s="27">
        <f t="shared" ref="E5:E90" si="0">D5+H5-1</f>
        <v>6</v>
      </c>
      <c r="F5" s="27">
        <f t="shared" ref="F5:F43" si="1">D5-1</f>
        <v>2</v>
      </c>
      <c r="G5" s="27">
        <f t="shared" ref="G5:G43" si="2">E5-1</f>
        <v>5</v>
      </c>
      <c r="H5" s="28">
        <v>4</v>
      </c>
      <c r="I5" s="29" t="s">
        <v>12</v>
      </c>
      <c r="J5" s="30"/>
      <c r="K5" s="31" t="s">
        <v>308</v>
      </c>
    </row>
    <row r="6" spans="1:11" ht="38.25" x14ac:dyDescent="0.2">
      <c r="A6" s="23" t="s">
        <v>457</v>
      </c>
      <c r="B6" s="23" t="s">
        <v>457</v>
      </c>
      <c r="C6" s="23"/>
      <c r="D6" s="24">
        <f t="shared" ref="D6:D38" si="3">D5+H5</f>
        <v>7</v>
      </c>
      <c r="E6" s="27">
        <f t="shared" si="0"/>
        <v>7</v>
      </c>
      <c r="F6" s="27">
        <f t="shared" si="1"/>
        <v>6</v>
      </c>
      <c r="G6" s="27">
        <f t="shared" si="2"/>
        <v>6</v>
      </c>
      <c r="H6" s="28">
        <v>1</v>
      </c>
      <c r="I6" s="29" t="s">
        <v>13</v>
      </c>
      <c r="J6" s="32" t="s">
        <v>309</v>
      </c>
      <c r="K6" s="33" t="s">
        <v>310</v>
      </c>
    </row>
    <row r="7" spans="1:11" ht="29.25" customHeight="1" x14ac:dyDescent="0.2">
      <c r="A7" s="23" t="s">
        <v>457</v>
      </c>
      <c r="B7" s="23" t="s">
        <v>457</v>
      </c>
      <c r="C7" s="23" t="s">
        <v>465</v>
      </c>
      <c r="D7" s="24">
        <f t="shared" si="3"/>
        <v>8</v>
      </c>
      <c r="E7" s="27">
        <f t="shared" si="0"/>
        <v>10</v>
      </c>
      <c r="F7" s="27">
        <f t="shared" si="1"/>
        <v>7</v>
      </c>
      <c r="G7" s="27">
        <f t="shared" si="2"/>
        <v>9</v>
      </c>
      <c r="H7" s="28">
        <v>3</v>
      </c>
      <c r="I7" s="29" t="s">
        <v>14</v>
      </c>
      <c r="J7" s="32"/>
      <c r="K7" s="155" t="s">
        <v>311</v>
      </c>
    </row>
    <row r="8" spans="1:11" ht="33.75" customHeight="1" x14ac:dyDescent="0.2">
      <c r="A8" s="23" t="s">
        <v>457</v>
      </c>
      <c r="B8" s="23" t="s">
        <v>457</v>
      </c>
      <c r="C8" s="23" t="s">
        <v>465</v>
      </c>
      <c r="D8" s="24">
        <f t="shared" si="3"/>
        <v>11</v>
      </c>
      <c r="E8" s="27">
        <f t="shared" si="0"/>
        <v>13</v>
      </c>
      <c r="F8" s="27">
        <f t="shared" si="1"/>
        <v>10</v>
      </c>
      <c r="G8" s="27">
        <f t="shared" si="2"/>
        <v>12</v>
      </c>
      <c r="H8" s="28">
        <v>3</v>
      </c>
      <c r="I8" s="29" t="s">
        <v>15</v>
      </c>
      <c r="J8" s="32"/>
      <c r="K8" s="156"/>
    </row>
    <row r="9" spans="1:11" x14ac:dyDescent="0.2">
      <c r="A9" s="23" t="s">
        <v>457</v>
      </c>
      <c r="B9" s="23" t="s">
        <v>457</v>
      </c>
      <c r="C9" s="23"/>
      <c r="D9" s="24">
        <f t="shared" si="3"/>
        <v>14</v>
      </c>
      <c r="E9" s="27">
        <f t="shared" si="0"/>
        <v>53</v>
      </c>
      <c r="F9" s="27">
        <f t="shared" si="1"/>
        <v>13</v>
      </c>
      <c r="G9" s="27">
        <f t="shared" si="2"/>
        <v>52</v>
      </c>
      <c r="H9" s="28">
        <v>40</v>
      </c>
      <c r="I9" s="29" t="s">
        <v>16</v>
      </c>
      <c r="J9" s="30"/>
      <c r="K9" s="31"/>
    </row>
    <row r="10" spans="1:11" x14ac:dyDescent="0.2">
      <c r="A10" s="23" t="s">
        <v>457</v>
      </c>
      <c r="B10" s="23" t="s">
        <v>457</v>
      </c>
      <c r="C10" s="23"/>
      <c r="D10" s="24">
        <f t="shared" si="3"/>
        <v>54</v>
      </c>
      <c r="E10" s="27">
        <f t="shared" si="0"/>
        <v>93</v>
      </c>
      <c r="F10" s="27">
        <f t="shared" si="1"/>
        <v>53</v>
      </c>
      <c r="G10" s="27">
        <f t="shared" si="2"/>
        <v>92</v>
      </c>
      <c r="H10" s="28">
        <v>40</v>
      </c>
      <c r="I10" s="29" t="s">
        <v>17</v>
      </c>
      <c r="J10" s="30"/>
      <c r="K10" s="31"/>
    </row>
    <row r="11" spans="1:11" ht="165.75" x14ac:dyDescent="0.2">
      <c r="A11" s="23" t="s">
        <v>457</v>
      </c>
      <c r="B11" s="23" t="s">
        <v>457</v>
      </c>
      <c r="C11" s="23"/>
      <c r="D11" s="24">
        <f t="shared" si="3"/>
        <v>94</v>
      </c>
      <c r="E11" s="27">
        <f t="shared" si="0"/>
        <v>102</v>
      </c>
      <c r="F11" s="27">
        <f t="shared" si="1"/>
        <v>93</v>
      </c>
      <c r="G11" s="27">
        <f t="shared" si="2"/>
        <v>101</v>
      </c>
      <c r="H11" s="28">
        <v>9</v>
      </c>
      <c r="I11" s="29" t="s">
        <v>22</v>
      </c>
      <c r="J11" s="31" t="s">
        <v>312</v>
      </c>
      <c r="K11" s="33" t="s">
        <v>611</v>
      </c>
    </row>
    <row r="12" spans="1:11" ht="51" x14ac:dyDescent="0.2">
      <c r="A12" s="34" t="s">
        <v>457</v>
      </c>
      <c r="B12" s="34" t="s">
        <v>457</v>
      </c>
      <c r="C12" s="23"/>
      <c r="D12" s="24">
        <f t="shared" si="3"/>
        <v>103</v>
      </c>
      <c r="E12" s="27">
        <f t="shared" si="0"/>
        <v>108</v>
      </c>
      <c r="F12" s="27">
        <f t="shared" si="1"/>
        <v>102</v>
      </c>
      <c r="G12" s="27">
        <f t="shared" si="2"/>
        <v>107</v>
      </c>
      <c r="H12" s="28">
        <v>6</v>
      </c>
      <c r="I12" s="29" t="s">
        <v>289</v>
      </c>
      <c r="J12" s="32" t="s">
        <v>443</v>
      </c>
      <c r="K12" s="32" t="s">
        <v>444</v>
      </c>
    </row>
    <row r="13" spans="1:11" ht="25.5" x14ac:dyDescent="0.2">
      <c r="A13" s="34" t="s">
        <v>457</v>
      </c>
      <c r="B13" s="34" t="s">
        <v>457</v>
      </c>
      <c r="C13" s="23"/>
      <c r="D13" s="24">
        <f t="shared" si="3"/>
        <v>109</v>
      </c>
      <c r="E13" s="27">
        <f t="shared" si="0"/>
        <v>109</v>
      </c>
      <c r="F13" s="27">
        <f t="shared" si="1"/>
        <v>108</v>
      </c>
      <c r="G13" s="27">
        <f t="shared" si="2"/>
        <v>108</v>
      </c>
      <c r="H13" s="28">
        <v>1</v>
      </c>
      <c r="I13" s="35" t="s">
        <v>158</v>
      </c>
      <c r="J13" s="26" t="s">
        <v>313</v>
      </c>
      <c r="K13" s="26" t="s">
        <v>314</v>
      </c>
    </row>
    <row r="14" spans="1:11" ht="55.5" customHeight="1" x14ac:dyDescent="0.2">
      <c r="A14" s="23" t="s">
        <v>458</v>
      </c>
      <c r="B14" s="23" t="s">
        <v>457</v>
      </c>
      <c r="C14" s="23" t="s">
        <v>467</v>
      </c>
      <c r="D14" s="24">
        <f t="shared" si="3"/>
        <v>110</v>
      </c>
      <c r="E14" s="27">
        <f t="shared" si="0"/>
        <v>121</v>
      </c>
      <c r="F14" s="27">
        <f t="shared" si="1"/>
        <v>109</v>
      </c>
      <c r="G14" s="27">
        <f t="shared" si="2"/>
        <v>120</v>
      </c>
      <c r="H14" s="28">
        <v>12</v>
      </c>
      <c r="I14" s="29" t="s">
        <v>18</v>
      </c>
      <c r="J14" s="25"/>
      <c r="K14" s="143" t="s">
        <v>453</v>
      </c>
    </row>
    <row r="15" spans="1:11" ht="56.25" customHeight="1" x14ac:dyDescent="0.2">
      <c r="A15" s="23" t="s">
        <v>458</v>
      </c>
      <c r="B15" s="23" t="s">
        <v>457</v>
      </c>
      <c r="C15" s="23" t="s">
        <v>467</v>
      </c>
      <c r="D15" s="24">
        <f t="shared" si="3"/>
        <v>122</v>
      </c>
      <c r="E15" s="27">
        <f t="shared" si="0"/>
        <v>129</v>
      </c>
      <c r="F15" s="27">
        <f t="shared" si="1"/>
        <v>121</v>
      </c>
      <c r="G15" s="27">
        <f t="shared" si="2"/>
        <v>128</v>
      </c>
      <c r="H15" s="28">
        <v>8</v>
      </c>
      <c r="I15" s="29" t="s">
        <v>19</v>
      </c>
      <c r="J15" s="25"/>
      <c r="K15" s="143"/>
    </row>
    <row r="16" spans="1:11" ht="56.25" customHeight="1" x14ac:dyDescent="0.2">
      <c r="A16" s="23" t="s">
        <v>458</v>
      </c>
      <c r="B16" s="23" t="s">
        <v>457</v>
      </c>
      <c r="C16" s="23" t="s">
        <v>467</v>
      </c>
      <c r="D16" s="24">
        <f t="shared" si="3"/>
        <v>130</v>
      </c>
      <c r="E16" s="27">
        <f t="shared" si="0"/>
        <v>130</v>
      </c>
      <c r="F16" s="27">
        <f t="shared" si="1"/>
        <v>129</v>
      </c>
      <c r="G16" s="27">
        <f t="shared" si="2"/>
        <v>129</v>
      </c>
      <c r="H16" s="28">
        <v>1</v>
      </c>
      <c r="I16" s="29" t="s">
        <v>20</v>
      </c>
      <c r="J16" s="25"/>
      <c r="K16" s="143"/>
    </row>
    <row r="17" spans="1:11" ht="76.5" x14ac:dyDescent="0.2">
      <c r="A17" s="23" t="s">
        <v>457</v>
      </c>
      <c r="B17" s="23" t="s">
        <v>457</v>
      </c>
      <c r="C17" s="23" t="s">
        <v>467</v>
      </c>
      <c r="D17" s="24">
        <f t="shared" si="3"/>
        <v>131</v>
      </c>
      <c r="E17" s="27">
        <f t="shared" si="0"/>
        <v>140</v>
      </c>
      <c r="F17" s="27">
        <f t="shared" si="1"/>
        <v>130</v>
      </c>
      <c r="G17" s="27">
        <f t="shared" si="2"/>
        <v>139</v>
      </c>
      <c r="H17" s="28">
        <v>10</v>
      </c>
      <c r="I17" s="29" t="s">
        <v>21</v>
      </c>
      <c r="J17" s="25" t="s">
        <v>315</v>
      </c>
      <c r="K17" s="36" t="s">
        <v>725</v>
      </c>
    </row>
    <row r="18" spans="1:11" ht="165.75" customHeight="1" x14ac:dyDescent="0.2">
      <c r="A18" s="23" t="s">
        <v>457</v>
      </c>
      <c r="B18" s="23" t="s">
        <v>457</v>
      </c>
      <c r="C18" s="23" t="s">
        <v>466</v>
      </c>
      <c r="D18" s="24">
        <f t="shared" si="3"/>
        <v>141</v>
      </c>
      <c r="E18" s="27">
        <f t="shared" si="0"/>
        <v>142</v>
      </c>
      <c r="F18" s="27">
        <f t="shared" si="1"/>
        <v>140</v>
      </c>
      <c r="G18" s="27">
        <f t="shared" si="2"/>
        <v>141</v>
      </c>
      <c r="H18" s="28">
        <v>2</v>
      </c>
      <c r="I18" s="29" t="s">
        <v>23</v>
      </c>
      <c r="J18" s="26" t="s">
        <v>316</v>
      </c>
      <c r="K18" s="31" t="s">
        <v>567</v>
      </c>
    </row>
    <row r="19" spans="1:11" ht="76.5" x14ac:dyDescent="0.2">
      <c r="A19" s="23" t="s">
        <v>458</v>
      </c>
      <c r="B19" s="23" t="s">
        <v>458</v>
      </c>
      <c r="C19" s="23"/>
      <c r="D19" s="24">
        <f t="shared" si="3"/>
        <v>143</v>
      </c>
      <c r="E19" s="27">
        <f t="shared" si="0"/>
        <v>144</v>
      </c>
      <c r="F19" s="27">
        <f t="shared" si="1"/>
        <v>142</v>
      </c>
      <c r="G19" s="27">
        <f t="shared" si="2"/>
        <v>143</v>
      </c>
      <c r="H19" s="28">
        <v>2</v>
      </c>
      <c r="I19" s="29" t="s">
        <v>556</v>
      </c>
      <c r="J19" s="26" t="s">
        <v>316</v>
      </c>
      <c r="K19" s="37" t="s">
        <v>612</v>
      </c>
    </row>
    <row r="20" spans="1:11" ht="101.25" customHeight="1" x14ac:dyDescent="0.2">
      <c r="A20" s="23" t="s">
        <v>458</v>
      </c>
      <c r="B20" s="23" t="s">
        <v>458</v>
      </c>
      <c r="C20" s="23" t="s">
        <v>467</v>
      </c>
      <c r="D20" s="24">
        <f t="shared" si="3"/>
        <v>145</v>
      </c>
      <c r="E20" s="27">
        <f t="shared" si="0"/>
        <v>146</v>
      </c>
      <c r="F20" s="27">
        <f t="shared" si="1"/>
        <v>144</v>
      </c>
      <c r="G20" s="27">
        <f t="shared" si="2"/>
        <v>145</v>
      </c>
      <c r="H20" s="28">
        <v>2</v>
      </c>
      <c r="I20" s="29" t="s">
        <v>24</v>
      </c>
      <c r="J20" s="38" t="s">
        <v>318</v>
      </c>
      <c r="K20" s="135" t="s">
        <v>454</v>
      </c>
    </row>
    <row r="21" spans="1:11" ht="103.5" customHeight="1" x14ac:dyDescent="0.2">
      <c r="A21" s="23" t="s">
        <v>457</v>
      </c>
      <c r="B21" s="23" t="s">
        <v>457</v>
      </c>
      <c r="C21" s="23" t="s">
        <v>467</v>
      </c>
      <c r="D21" s="24">
        <f t="shared" si="3"/>
        <v>147</v>
      </c>
      <c r="E21" s="27">
        <f t="shared" si="0"/>
        <v>148</v>
      </c>
      <c r="F21" s="27">
        <f t="shared" si="1"/>
        <v>146</v>
      </c>
      <c r="G21" s="27">
        <f t="shared" si="2"/>
        <v>147</v>
      </c>
      <c r="H21" s="28">
        <v>2</v>
      </c>
      <c r="I21" s="29" t="s">
        <v>25</v>
      </c>
      <c r="J21" s="38" t="s">
        <v>319</v>
      </c>
      <c r="K21" s="135"/>
    </row>
    <row r="22" spans="1:11" ht="36" customHeight="1" x14ac:dyDescent="0.2">
      <c r="A22" s="23" t="s">
        <v>458</v>
      </c>
      <c r="B22" s="23" t="s">
        <v>458</v>
      </c>
      <c r="C22" s="23" t="s">
        <v>467</v>
      </c>
      <c r="D22" s="24">
        <f t="shared" si="3"/>
        <v>149</v>
      </c>
      <c r="E22" s="27">
        <f t="shared" si="0"/>
        <v>152</v>
      </c>
      <c r="F22" s="27">
        <f t="shared" si="1"/>
        <v>148</v>
      </c>
      <c r="G22" s="27">
        <f t="shared" si="2"/>
        <v>151</v>
      </c>
      <c r="H22" s="28">
        <v>4</v>
      </c>
      <c r="I22" s="29" t="s">
        <v>26</v>
      </c>
      <c r="J22" s="38" t="s">
        <v>320</v>
      </c>
      <c r="K22" s="135"/>
    </row>
    <row r="23" spans="1:11" ht="63.75" x14ac:dyDescent="0.2">
      <c r="A23" s="23" t="s">
        <v>457</v>
      </c>
      <c r="B23" s="23" t="s">
        <v>457</v>
      </c>
      <c r="C23" s="23" t="s">
        <v>468</v>
      </c>
      <c r="D23" s="24">
        <f t="shared" si="3"/>
        <v>153</v>
      </c>
      <c r="E23" s="27">
        <f t="shared" si="0"/>
        <v>153</v>
      </c>
      <c r="F23" s="27">
        <f t="shared" si="1"/>
        <v>152</v>
      </c>
      <c r="G23" s="27">
        <f t="shared" si="2"/>
        <v>152</v>
      </c>
      <c r="H23" s="28">
        <v>1</v>
      </c>
      <c r="I23" s="29" t="s">
        <v>27</v>
      </c>
      <c r="J23" s="37" t="s">
        <v>321</v>
      </c>
      <c r="K23" s="39" t="s">
        <v>322</v>
      </c>
    </row>
    <row r="24" spans="1:11" ht="63.75" x14ac:dyDescent="0.2">
      <c r="A24" s="23" t="s">
        <v>458</v>
      </c>
      <c r="B24" s="23" t="s">
        <v>458</v>
      </c>
      <c r="C24" s="23"/>
      <c r="D24" s="24">
        <f>D23+H23</f>
        <v>154</v>
      </c>
      <c r="E24" s="27">
        <f t="shared" ref="E24" si="4">D24+H24-1</f>
        <v>154</v>
      </c>
      <c r="F24" s="27">
        <f t="shared" si="1"/>
        <v>153</v>
      </c>
      <c r="G24" s="27">
        <f t="shared" si="2"/>
        <v>153</v>
      </c>
      <c r="H24" s="28">
        <v>1</v>
      </c>
      <c r="I24" s="40" t="s">
        <v>581</v>
      </c>
      <c r="J24" s="41" t="s">
        <v>323</v>
      </c>
      <c r="K24" s="42" t="s">
        <v>613</v>
      </c>
    </row>
    <row r="25" spans="1:11" ht="114.75" x14ac:dyDescent="0.2">
      <c r="A25" s="23" t="s">
        <v>457</v>
      </c>
      <c r="B25" s="23" t="s">
        <v>457</v>
      </c>
      <c r="C25" s="23" t="s">
        <v>468</v>
      </c>
      <c r="D25" s="24">
        <f t="shared" si="3"/>
        <v>155</v>
      </c>
      <c r="E25" s="27">
        <f t="shared" si="0"/>
        <v>155</v>
      </c>
      <c r="F25" s="27">
        <f t="shared" si="1"/>
        <v>154</v>
      </c>
      <c r="G25" s="27">
        <f t="shared" si="2"/>
        <v>154</v>
      </c>
      <c r="H25" s="28">
        <v>1</v>
      </c>
      <c r="I25" s="29" t="s">
        <v>28</v>
      </c>
      <c r="J25" s="37" t="s">
        <v>324</v>
      </c>
      <c r="K25" s="39" t="s">
        <v>325</v>
      </c>
    </row>
    <row r="26" spans="1:11" ht="38.25" x14ac:dyDescent="0.2">
      <c r="A26" s="23" t="s">
        <v>457</v>
      </c>
      <c r="B26" s="23" t="s">
        <v>457</v>
      </c>
      <c r="C26" s="23" t="s">
        <v>465</v>
      </c>
      <c r="D26" s="24">
        <f t="shared" si="3"/>
        <v>156</v>
      </c>
      <c r="E26" s="27">
        <f t="shared" si="0"/>
        <v>156</v>
      </c>
      <c r="F26" s="27">
        <f t="shared" si="1"/>
        <v>155</v>
      </c>
      <c r="G26" s="27">
        <f t="shared" si="2"/>
        <v>155</v>
      </c>
      <c r="H26" s="28">
        <v>1</v>
      </c>
      <c r="I26" s="29" t="s">
        <v>30</v>
      </c>
      <c r="J26" s="37" t="s">
        <v>326</v>
      </c>
      <c r="K26" s="37" t="s">
        <v>327</v>
      </c>
    </row>
    <row r="27" spans="1:11" ht="63.75" x14ac:dyDescent="0.2">
      <c r="A27" s="23" t="s">
        <v>458</v>
      </c>
      <c r="B27" s="23" t="s">
        <v>458</v>
      </c>
      <c r="C27" s="23"/>
      <c r="D27" s="24">
        <f>D26+H26</f>
        <v>157</v>
      </c>
      <c r="E27" s="27">
        <f t="shared" ref="E27" si="5">D27+H27-1</f>
        <v>157</v>
      </c>
      <c r="F27" s="27">
        <f t="shared" si="1"/>
        <v>156</v>
      </c>
      <c r="G27" s="27">
        <f t="shared" si="2"/>
        <v>156</v>
      </c>
      <c r="H27" s="28">
        <v>1</v>
      </c>
      <c r="I27" s="40" t="s">
        <v>583</v>
      </c>
      <c r="J27" s="37" t="s">
        <v>328</v>
      </c>
      <c r="K27" s="42" t="s">
        <v>613</v>
      </c>
    </row>
    <row r="28" spans="1:11" ht="76.5" x14ac:dyDescent="0.2">
      <c r="A28" s="23" t="s">
        <v>458</v>
      </c>
      <c r="B28" s="23" t="s">
        <v>458</v>
      </c>
      <c r="C28" s="23" t="s">
        <v>465</v>
      </c>
      <c r="D28" s="24">
        <f t="shared" si="3"/>
        <v>158</v>
      </c>
      <c r="E28" s="27">
        <f t="shared" si="0"/>
        <v>158</v>
      </c>
      <c r="F28" s="27">
        <f t="shared" si="1"/>
        <v>157</v>
      </c>
      <c r="G28" s="27">
        <f t="shared" si="2"/>
        <v>157</v>
      </c>
      <c r="H28" s="28">
        <v>1</v>
      </c>
      <c r="I28" s="29" t="s">
        <v>31</v>
      </c>
      <c r="J28" s="37" t="s">
        <v>330</v>
      </c>
      <c r="K28" s="37" t="s">
        <v>329</v>
      </c>
    </row>
    <row r="29" spans="1:11" ht="38.25" x14ac:dyDescent="0.2">
      <c r="A29" s="23" t="s">
        <v>457</v>
      </c>
      <c r="B29" s="23" t="s">
        <v>457</v>
      </c>
      <c r="C29" s="23"/>
      <c r="D29" s="24">
        <f t="shared" si="3"/>
        <v>159</v>
      </c>
      <c r="E29" s="27">
        <f t="shared" si="0"/>
        <v>159</v>
      </c>
      <c r="F29" s="27">
        <f t="shared" si="1"/>
        <v>158</v>
      </c>
      <c r="G29" s="27">
        <f t="shared" si="2"/>
        <v>158</v>
      </c>
      <c r="H29" s="28">
        <v>1</v>
      </c>
      <c r="I29" s="29" t="s">
        <v>32</v>
      </c>
      <c r="J29" s="37" t="s">
        <v>331</v>
      </c>
      <c r="K29" s="37" t="s">
        <v>327</v>
      </c>
    </row>
    <row r="30" spans="1:11" ht="76.5" x14ac:dyDescent="0.2">
      <c r="A30" s="43" t="s">
        <v>458</v>
      </c>
      <c r="B30" s="43" t="s">
        <v>458</v>
      </c>
      <c r="C30" s="23"/>
      <c r="D30" s="24">
        <f>D29+H29</f>
        <v>160</v>
      </c>
      <c r="E30" s="27">
        <f t="shared" ref="E30" si="6">D30+H30-1</f>
        <v>160</v>
      </c>
      <c r="F30" s="27">
        <f t="shared" si="1"/>
        <v>159</v>
      </c>
      <c r="G30" s="27">
        <f t="shared" si="2"/>
        <v>159</v>
      </c>
      <c r="H30" s="44">
        <v>1</v>
      </c>
      <c r="I30" s="40" t="s">
        <v>584</v>
      </c>
      <c r="J30" s="42" t="s">
        <v>585</v>
      </c>
      <c r="K30" s="42" t="s">
        <v>613</v>
      </c>
    </row>
    <row r="31" spans="1:11" x14ac:dyDescent="0.2">
      <c r="A31" s="43"/>
      <c r="B31" s="43"/>
      <c r="C31" s="43"/>
      <c r="D31" s="45">
        <f>D30+H30</f>
        <v>161</v>
      </c>
      <c r="E31" s="46">
        <f t="shared" ref="E31" si="7">D31+H31-1</f>
        <v>162</v>
      </c>
      <c r="F31" s="27">
        <f t="shared" si="1"/>
        <v>160</v>
      </c>
      <c r="G31" s="27">
        <f t="shared" si="2"/>
        <v>161</v>
      </c>
      <c r="H31" s="44">
        <v>2</v>
      </c>
      <c r="I31" s="40" t="s">
        <v>100</v>
      </c>
      <c r="J31" s="42"/>
      <c r="K31" s="47"/>
    </row>
    <row r="32" spans="1:11" ht="51" x14ac:dyDescent="0.2">
      <c r="A32" s="34" t="s">
        <v>458</v>
      </c>
      <c r="B32" s="34" t="s">
        <v>457</v>
      </c>
      <c r="C32" s="23"/>
      <c r="D32" s="24">
        <f>D31+H31</f>
        <v>163</v>
      </c>
      <c r="E32" s="27">
        <f t="shared" si="0"/>
        <v>163</v>
      </c>
      <c r="F32" s="27">
        <f t="shared" si="1"/>
        <v>162</v>
      </c>
      <c r="G32" s="27">
        <f t="shared" si="2"/>
        <v>162</v>
      </c>
      <c r="H32" s="28">
        <v>1</v>
      </c>
      <c r="I32" s="29" t="s">
        <v>219</v>
      </c>
      <c r="J32" s="33" t="s">
        <v>410</v>
      </c>
      <c r="K32" s="33" t="s">
        <v>411</v>
      </c>
    </row>
    <row r="33" spans="1:11" ht="38.25" x14ac:dyDescent="0.2">
      <c r="A33" s="23" t="s">
        <v>457</v>
      </c>
      <c r="B33" s="23" t="s">
        <v>457</v>
      </c>
      <c r="C33" s="23"/>
      <c r="D33" s="24">
        <f t="shared" si="3"/>
        <v>164</v>
      </c>
      <c r="E33" s="27">
        <f t="shared" si="0"/>
        <v>164</v>
      </c>
      <c r="F33" s="27">
        <f t="shared" si="1"/>
        <v>163</v>
      </c>
      <c r="G33" s="27">
        <f t="shared" si="2"/>
        <v>163</v>
      </c>
      <c r="H33" s="28">
        <v>1</v>
      </c>
      <c r="I33" s="29" t="s">
        <v>220</v>
      </c>
      <c r="J33" s="48" t="s">
        <v>451</v>
      </c>
      <c r="K33" s="48" t="s">
        <v>452</v>
      </c>
    </row>
    <row r="34" spans="1:11" ht="63.75" x14ac:dyDescent="0.2">
      <c r="A34" s="23" t="s">
        <v>457</v>
      </c>
      <c r="B34" s="23" t="s">
        <v>457</v>
      </c>
      <c r="C34" s="23"/>
      <c r="D34" s="24">
        <f t="shared" si="3"/>
        <v>165</v>
      </c>
      <c r="E34" s="27">
        <f t="shared" si="0"/>
        <v>165</v>
      </c>
      <c r="F34" s="27">
        <f t="shared" si="1"/>
        <v>164</v>
      </c>
      <c r="G34" s="27">
        <f t="shared" si="2"/>
        <v>164</v>
      </c>
      <c r="H34" s="28">
        <v>1</v>
      </c>
      <c r="I34" s="49" t="s">
        <v>221</v>
      </c>
      <c r="J34" s="33" t="s">
        <v>412</v>
      </c>
      <c r="K34" s="33" t="s">
        <v>411</v>
      </c>
    </row>
    <row r="35" spans="1:11" ht="153" x14ac:dyDescent="0.2">
      <c r="A35" s="23" t="s">
        <v>458</v>
      </c>
      <c r="B35" s="23" t="s">
        <v>458</v>
      </c>
      <c r="C35" s="23"/>
      <c r="D35" s="24">
        <f t="shared" si="3"/>
        <v>166</v>
      </c>
      <c r="E35" s="27">
        <f t="shared" si="0"/>
        <v>166</v>
      </c>
      <c r="F35" s="27">
        <f t="shared" si="1"/>
        <v>165</v>
      </c>
      <c r="G35" s="27">
        <f t="shared" si="2"/>
        <v>165</v>
      </c>
      <c r="H35" s="28">
        <v>1</v>
      </c>
      <c r="I35" s="29" t="s">
        <v>29</v>
      </c>
      <c r="J35" s="37" t="s">
        <v>332</v>
      </c>
      <c r="K35" s="37" t="s">
        <v>333</v>
      </c>
    </row>
    <row r="36" spans="1:11" ht="51" x14ac:dyDescent="0.2">
      <c r="A36" s="43" t="s">
        <v>458</v>
      </c>
      <c r="B36" s="43" t="s">
        <v>458</v>
      </c>
      <c r="C36" s="43"/>
      <c r="D36" s="24">
        <f t="shared" si="3"/>
        <v>167</v>
      </c>
      <c r="E36" s="27">
        <f t="shared" ref="E36:E39" si="8">D36+H36-1</f>
        <v>167</v>
      </c>
      <c r="F36" s="27">
        <f t="shared" si="1"/>
        <v>166</v>
      </c>
      <c r="G36" s="27">
        <f t="shared" si="2"/>
        <v>166</v>
      </c>
      <c r="H36" s="44">
        <v>1</v>
      </c>
      <c r="I36" s="40" t="s">
        <v>580</v>
      </c>
      <c r="J36" s="42" t="s">
        <v>323</v>
      </c>
      <c r="K36" s="42" t="s">
        <v>616</v>
      </c>
    </row>
    <row r="37" spans="1:11" ht="51" x14ac:dyDescent="0.2">
      <c r="A37" s="43" t="s">
        <v>458</v>
      </c>
      <c r="B37" s="43" t="s">
        <v>458</v>
      </c>
      <c r="C37" s="43"/>
      <c r="D37" s="24">
        <f t="shared" si="3"/>
        <v>168</v>
      </c>
      <c r="E37" s="27">
        <f t="shared" si="8"/>
        <v>168</v>
      </c>
      <c r="F37" s="27">
        <f t="shared" si="1"/>
        <v>167</v>
      </c>
      <c r="G37" s="27">
        <f t="shared" si="2"/>
        <v>167</v>
      </c>
      <c r="H37" s="44">
        <v>1</v>
      </c>
      <c r="I37" s="40" t="s">
        <v>582</v>
      </c>
      <c r="J37" s="42" t="s">
        <v>328</v>
      </c>
      <c r="K37" s="42" t="s">
        <v>616</v>
      </c>
    </row>
    <row r="38" spans="1:11" ht="51" x14ac:dyDescent="0.2">
      <c r="A38" s="43" t="s">
        <v>458</v>
      </c>
      <c r="B38" s="43" t="s">
        <v>458</v>
      </c>
      <c r="C38" s="43"/>
      <c r="D38" s="24">
        <f t="shared" si="3"/>
        <v>169</v>
      </c>
      <c r="E38" s="27">
        <f t="shared" si="8"/>
        <v>169</v>
      </c>
      <c r="F38" s="27">
        <f t="shared" si="1"/>
        <v>168</v>
      </c>
      <c r="G38" s="27">
        <f t="shared" si="2"/>
        <v>168</v>
      </c>
      <c r="H38" s="44">
        <v>1</v>
      </c>
      <c r="I38" s="40" t="s">
        <v>614</v>
      </c>
      <c r="J38" s="42" t="s">
        <v>615</v>
      </c>
      <c r="K38" s="42" t="s">
        <v>616</v>
      </c>
    </row>
    <row r="39" spans="1:11" x14ac:dyDescent="0.2">
      <c r="A39" s="23"/>
      <c r="B39" s="23"/>
      <c r="C39" s="23"/>
      <c r="D39" s="45">
        <f>D38+H38</f>
        <v>170</v>
      </c>
      <c r="E39" s="46">
        <f t="shared" si="8"/>
        <v>181</v>
      </c>
      <c r="F39" s="27">
        <f t="shared" si="1"/>
        <v>169</v>
      </c>
      <c r="G39" s="27">
        <f t="shared" si="2"/>
        <v>180</v>
      </c>
      <c r="H39" s="44">
        <v>12</v>
      </c>
      <c r="I39" s="49" t="s">
        <v>100</v>
      </c>
      <c r="J39" s="25"/>
      <c r="K39" s="26"/>
    </row>
    <row r="40" spans="1:11" x14ac:dyDescent="0.2">
      <c r="A40" s="23"/>
      <c r="B40" s="23"/>
      <c r="C40" s="23"/>
      <c r="D40" s="24"/>
      <c r="E40" s="24"/>
      <c r="F40" s="27">
        <f t="shared" si="1"/>
        <v>-1</v>
      </c>
      <c r="G40" s="27">
        <f t="shared" si="2"/>
        <v>-1</v>
      </c>
      <c r="H40" s="24"/>
      <c r="I40" s="50" t="s">
        <v>33</v>
      </c>
      <c r="J40" s="25"/>
      <c r="K40" s="26"/>
    </row>
    <row r="41" spans="1:11" ht="63.75" x14ac:dyDescent="0.2">
      <c r="A41" s="23" t="s">
        <v>458</v>
      </c>
      <c r="B41" s="23" t="s">
        <v>458</v>
      </c>
      <c r="C41" s="23"/>
      <c r="D41" s="24">
        <f>D39+H39</f>
        <v>182</v>
      </c>
      <c r="E41" s="27">
        <f t="shared" si="0"/>
        <v>182</v>
      </c>
      <c r="F41" s="27">
        <f t="shared" si="1"/>
        <v>181</v>
      </c>
      <c r="G41" s="27">
        <f t="shared" si="2"/>
        <v>181</v>
      </c>
      <c r="H41" s="28">
        <v>1</v>
      </c>
      <c r="I41" s="29" t="s">
        <v>34</v>
      </c>
      <c r="J41" s="37" t="s">
        <v>334</v>
      </c>
      <c r="K41" s="26" t="s">
        <v>335</v>
      </c>
    </row>
    <row r="42" spans="1:11" ht="38.25" x14ac:dyDescent="0.2">
      <c r="A42" s="23" t="s">
        <v>458</v>
      </c>
      <c r="B42" s="23" t="s">
        <v>458</v>
      </c>
      <c r="C42" s="23"/>
      <c r="D42" s="24">
        <f t="shared" ref="D42" si="9">D41+H41</f>
        <v>183</v>
      </c>
      <c r="E42" s="27">
        <f t="shared" si="0"/>
        <v>183</v>
      </c>
      <c r="F42" s="27">
        <f t="shared" si="1"/>
        <v>182</v>
      </c>
      <c r="G42" s="27">
        <f t="shared" si="2"/>
        <v>182</v>
      </c>
      <c r="H42" s="28">
        <v>1</v>
      </c>
      <c r="I42" s="29" t="s">
        <v>35</v>
      </c>
      <c r="J42" s="37" t="s">
        <v>336</v>
      </c>
      <c r="K42" s="26" t="s">
        <v>335</v>
      </c>
    </row>
    <row r="43" spans="1:11" ht="38.25" x14ac:dyDescent="0.2">
      <c r="A43" s="23" t="s">
        <v>458</v>
      </c>
      <c r="B43" s="23" t="s">
        <v>458</v>
      </c>
      <c r="C43" s="23"/>
      <c r="D43" s="24">
        <f t="shared" ref="D43:D47" si="10">D42+H42</f>
        <v>184</v>
      </c>
      <c r="E43" s="27">
        <f t="shared" si="0"/>
        <v>184</v>
      </c>
      <c r="F43" s="27">
        <f t="shared" si="1"/>
        <v>183</v>
      </c>
      <c r="G43" s="27">
        <f t="shared" si="2"/>
        <v>183</v>
      </c>
      <c r="H43" s="28">
        <v>1</v>
      </c>
      <c r="I43" s="29" t="s">
        <v>36</v>
      </c>
      <c r="J43" s="37" t="s">
        <v>337</v>
      </c>
      <c r="K43" s="26" t="s">
        <v>335</v>
      </c>
    </row>
    <row r="44" spans="1:11" ht="63.75" x14ac:dyDescent="0.2">
      <c r="A44" s="23" t="s">
        <v>458</v>
      </c>
      <c r="B44" s="23" t="s">
        <v>458</v>
      </c>
      <c r="C44" s="23"/>
      <c r="D44" s="24">
        <f t="shared" si="10"/>
        <v>185</v>
      </c>
      <c r="E44" s="27">
        <f t="shared" si="0"/>
        <v>185</v>
      </c>
      <c r="F44" s="27">
        <f t="shared" ref="F44:F107" si="11">D44-1</f>
        <v>184</v>
      </c>
      <c r="G44" s="27">
        <f t="shared" ref="G44:G107" si="12">E44-1</f>
        <v>184</v>
      </c>
      <c r="H44" s="28">
        <v>1</v>
      </c>
      <c r="I44" s="29" t="s">
        <v>37</v>
      </c>
      <c r="J44" s="37" t="s">
        <v>568</v>
      </c>
      <c r="K44" s="26" t="s">
        <v>335</v>
      </c>
    </row>
    <row r="45" spans="1:11" ht="51" x14ac:dyDescent="0.2">
      <c r="A45" s="23" t="s">
        <v>457</v>
      </c>
      <c r="B45" s="23" t="s">
        <v>457</v>
      </c>
      <c r="C45" s="23"/>
      <c r="D45" s="24">
        <f t="shared" si="10"/>
        <v>186</v>
      </c>
      <c r="E45" s="27">
        <f t="shared" si="0"/>
        <v>195</v>
      </c>
      <c r="F45" s="27">
        <f t="shared" si="11"/>
        <v>185</v>
      </c>
      <c r="G45" s="27">
        <f t="shared" si="12"/>
        <v>194</v>
      </c>
      <c r="H45" s="28">
        <v>10</v>
      </c>
      <c r="I45" s="49" t="s">
        <v>61</v>
      </c>
      <c r="J45" s="41" t="s">
        <v>339</v>
      </c>
      <c r="K45" s="26" t="s">
        <v>335</v>
      </c>
    </row>
    <row r="46" spans="1:11" ht="89.25" x14ac:dyDescent="0.2">
      <c r="A46" s="23" t="s">
        <v>457</v>
      </c>
      <c r="B46" s="23" t="s">
        <v>457</v>
      </c>
      <c r="C46" s="23"/>
      <c r="D46" s="24">
        <f t="shared" si="10"/>
        <v>196</v>
      </c>
      <c r="E46" s="27">
        <f t="shared" si="0"/>
        <v>197</v>
      </c>
      <c r="F46" s="27">
        <f t="shared" si="11"/>
        <v>195</v>
      </c>
      <c r="G46" s="27">
        <f t="shared" si="12"/>
        <v>196</v>
      </c>
      <c r="H46" s="28">
        <v>2</v>
      </c>
      <c r="I46" s="49" t="s">
        <v>62</v>
      </c>
      <c r="J46" s="37" t="s">
        <v>338</v>
      </c>
      <c r="K46" s="26" t="s">
        <v>340</v>
      </c>
    </row>
    <row r="47" spans="1:11" x14ac:dyDescent="0.2">
      <c r="A47" s="23"/>
      <c r="B47" s="23"/>
      <c r="C47" s="23"/>
      <c r="D47" s="24">
        <f t="shared" si="10"/>
        <v>198</v>
      </c>
      <c r="E47" s="46">
        <f t="shared" si="0"/>
        <v>206</v>
      </c>
      <c r="F47" s="27">
        <f t="shared" si="11"/>
        <v>197</v>
      </c>
      <c r="G47" s="27">
        <f t="shared" si="12"/>
        <v>205</v>
      </c>
      <c r="H47" s="44">
        <v>9</v>
      </c>
      <c r="I47" s="49" t="s">
        <v>100</v>
      </c>
      <c r="J47" s="25"/>
      <c r="K47" s="26"/>
    </row>
    <row r="48" spans="1:11" x14ac:dyDescent="0.2">
      <c r="A48" s="23"/>
      <c r="B48" s="23"/>
      <c r="C48" s="23"/>
      <c r="D48" s="24"/>
      <c r="E48" s="24"/>
      <c r="F48" s="27">
        <f t="shared" si="11"/>
        <v>-1</v>
      </c>
      <c r="G48" s="27">
        <f t="shared" si="12"/>
        <v>-1</v>
      </c>
      <c r="H48" s="24"/>
      <c r="I48" s="51" t="s">
        <v>38</v>
      </c>
      <c r="J48" s="25"/>
      <c r="K48" s="26"/>
    </row>
    <row r="49" spans="1:11" ht="63.75" x14ac:dyDescent="0.2">
      <c r="A49" s="23" t="s">
        <v>458</v>
      </c>
      <c r="B49" s="23" t="s">
        <v>458</v>
      </c>
      <c r="C49" s="23"/>
      <c r="D49" s="45">
        <f>D47+H47</f>
        <v>207</v>
      </c>
      <c r="E49" s="46">
        <f t="shared" si="0"/>
        <v>207</v>
      </c>
      <c r="F49" s="27">
        <f t="shared" si="11"/>
        <v>206</v>
      </c>
      <c r="G49" s="27">
        <f t="shared" si="12"/>
        <v>206</v>
      </c>
      <c r="H49" s="28">
        <v>1</v>
      </c>
      <c r="I49" s="49" t="s">
        <v>39</v>
      </c>
      <c r="J49" s="37" t="s">
        <v>341</v>
      </c>
      <c r="K49" s="26" t="s">
        <v>335</v>
      </c>
    </row>
    <row r="50" spans="1:11" x14ac:dyDescent="0.2">
      <c r="A50" s="23" t="s">
        <v>458</v>
      </c>
      <c r="B50" s="23" t="s">
        <v>458</v>
      </c>
      <c r="C50" s="23"/>
      <c r="D50" s="45">
        <f t="shared" ref="D50" si="13">D49+H49</f>
        <v>208</v>
      </c>
      <c r="E50" s="46">
        <f t="shared" si="0"/>
        <v>208</v>
      </c>
      <c r="F50" s="27">
        <f t="shared" si="11"/>
        <v>207</v>
      </c>
      <c r="G50" s="27">
        <f t="shared" si="12"/>
        <v>207</v>
      </c>
      <c r="H50" s="28">
        <v>1</v>
      </c>
      <c r="I50" s="49" t="s">
        <v>40</v>
      </c>
      <c r="J50" s="152" t="s">
        <v>337</v>
      </c>
      <c r="K50" s="138" t="s">
        <v>335</v>
      </c>
    </row>
    <row r="51" spans="1:11" x14ac:dyDescent="0.2">
      <c r="A51" s="23" t="s">
        <v>458</v>
      </c>
      <c r="B51" s="23" t="s">
        <v>458</v>
      </c>
      <c r="C51" s="23"/>
      <c r="D51" s="45">
        <f t="shared" ref="D51:D54" si="14">D50+H50</f>
        <v>209</v>
      </c>
      <c r="E51" s="46">
        <f t="shared" si="0"/>
        <v>209</v>
      </c>
      <c r="F51" s="27">
        <f t="shared" si="11"/>
        <v>208</v>
      </c>
      <c r="G51" s="27">
        <f t="shared" si="12"/>
        <v>208</v>
      </c>
      <c r="H51" s="28">
        <v>1</v>
      </c>
      <c r="I51" s="49" t="s">
        <v>41</v>
      </c>
      <c r="J51" s="152"/>
      <c r="K51" s="138"/>
    </row>
    <row r="52" spans="1:11" x14ac:dyDescent="0.2">
      <c r="A52" s="23" t="s">
        <v>458</v>
      </c>
      <c r="B52" s="23" t="s">
        <v>458</v>
      </c>
      <c r="C52" s="23"/>
      <c r="D52" s="45">
        <f t="shared" si="14"/>
        <v>210</v>
      </c>
      <c r="E52" s="46">
        <f t="shared" si="0"/>
        <v>210</v>
      </c>
      <c r="F52" s="27">
        <f t="shared" si="11"/>
        <v>209</v>
      </c>
      <c r="G52" s="27">
        <f t="shared" si="12"/>
        <v>209</v>
      </c>
      <c r="H52" s="28">
        <v>1</v>
      </c>
      <c r="I52" s="49" t="s">
        <v>42</v>
      </c>
      <c r="J52" s="152"/>
      <c r="K52" s="138"/>
    </row>
    <row r="53" spans="1:11" x14ac:dyDescent="0.2">
      <c r="A53" s="23" t="s">
        <v>458</v>
      </c>
      <c r="B53" s="23" t="s">
        <v>458</v>
      </c>
      <c r="C53" s="23"/>
      <c r="D53" s="45">
        <f t="shared" si="14"/>
        <v>211</v>
      </c>
      <c r="E53" s="46">
        <f t="shared" si="0"/>
        <v>211</v>
      </c>
      <c r="F53" s="27">
        <f t="shared" si="11"/>
        <v>210</v>
      </c>
      <c r="G53" s="27">
        <f t="shared" si="12"/>
        <v>210</v>
      </c>
      <c r="H53" s="28">
        <v>1</v>
      </c>
      <c r="I53" s="49" t="s">
        <v>43</v>
      </c>
      <c r="J53" s="152"/>
      <c r="K53" s="138"/>
    </row>
    <row r="54" spans="1:11" x14ac:dyDescent="0.2">
      <c r="A54" s="23" t="s">
        <v>458</v>
      </c>
      <c r="B54" s="23" t="s">
        <v>458</v>
      </c>
      <c r="C54" s="23"/>
      <c r="D54" s="45">
        <f t="shared" si="14"/>
        <v>212</v>
      </c>
      <c r="E54" s="46">
        <f t="shared" si="0"/>
        <v>212</v>
      </c>
      <c r="F54" s="27">
        <f t="shared" si="11"/>
        <v>211</v>
      </c>
      <c r="G54" s="27">
        <f t="shared" si="12"/>
        <v>211</v>
      </c>
      <c r="H54" s="28">
        <v>1</v>
      </c>
      <c r="I54" s="49" t="s">
        <v>44</v>
      </c>
      <c r="J54" s="152"/>
      <c r="K54" s="138"/>
    </row>
    <row r="55" spans="1:11" x14ac:dyDescent="0.2">
      <c r="A55" s="23"/>
      <c r="B55" s="23"/>
      <c r="C55" s="23"/>
      <c r="D55" s="45"/>
      <c r="E55" s="45"/>
      <c r="F55" s="27">
        <f t="shared" si="11"/>
        <v>-1</v>
      </c>
      <c r="G55" s="27">
        <f t="shared" si="12"/>
        <v>-1</v>
      </c>
      <c r="H55" s="24"/>
      <c r="I55" s="51" t="s">
        <v>525</v>
      </c>
      <c r="J55" s="25"/>
      <c r="K55" s="26"/>
    </row>
    <row r="56" spans="1:11" x14ac:dyDescent="0.2">
      <c r="A56" s="23" t="s">
        <v>458</v>
      </c>
      <c r="B56" s="23" t="s">
        <v>458</v>
      </c>
      <c r="C56" s="23"/>
      <c r="D56" s="45">
        <f>D54+H54</f>
        <v>213</v>
      </c>
      <c r="E56" s="46">
        <f t="shared" si="0"/>
        <v>213</v>
      </c>
      <c r="F56" s="27">
        <f t="shared" si="11"/>
        <v>212</v>
      </c>
      <c r="G56" s="27">
        <f t="shared" si="12"/>
        <v>212</v>
      </c>
      <c r="H56" s="28">
        <v>1</v>
      </c>
      <c r="I56" s="49" t="s">
        <v>232</v>
      </c>
      <c r="J56" s="143" t="s">
        <v>337</v>
      </c>
      <c r="K56" s="143" t="s">
        <v>335</v>
      </c>
    </row>
    <row r="57" spans="1:11" x14ac:dyDescent="0.2">
      <c r="A57" s="23" t="s">
        <v>458</v>
      </c>
      <c r="B57" s="23" t="s">
        <v>458</v>
      </c>
      <c r="C57" s="23"/>
      <c r="D57" s="45">
        <f t="shared" ref="D57" si="15">D56+H56</f>
        <v>214</v>
      </c>
      <c r="E57" s="46">
        <f t="shared" si="0"/>
        <v>214</v>
      </c>
      <c r="F57" s="27">
        <f t="shared" si="11"/>
        <v>213</v>
      </c>
      <c r="G57" s="27">
        <f t="shared" si="12"/>
        <v>213</v>
      </c>
      <c r="H57" s="28">
        <v>1</v>
      </c>
      <c r="I57" s="49" t="s">
        <v>233</v>
      </c>
      <c r="J57" s="143"/>
      <c r="K57" s="143"/>
    </row>
    <row r="58" spans="1:11" x14ac:dyDescent="0.2">
      <c r="A58" s="23" t="s">
        <v>458</v>
      </c>
      <c r="B58" s="23" t="s">
        <v>458</v>
      </c>
      <c r="C58" s="23"/>
      <c r="D58" s="45">
        <f t="shared" ref="D58:D72" si="16">D57+H57</f>
        <v>215</v>
      </c>
      <c r="E58" s="46">
        <f t="shared" si="0"/>
        <v>215</v>
      </c>
      <c r="F58" s="27">
        <f t="shared" si="11"/>
        <v>214</v>
      </c>
      <c r="G58" s="27">
        <f t="shared" si="12"/>
        <v>214</v>
      </c>
      <c r="H58" s="28">
        <v>1</v>
      </c>
      <c r="I58" s="49" t="s">
        <v>234</v>
      </c>
      <c r="J58" s="143"/>
      <c r="K58" s="143"/>
    </row>
    <row r="59" spans="1:11" x14ac:dyDescent="0.2">
      <c r="A59" s="23" t="s">
        <v>458</v>
      </c>
      <c r="B59" s="23" t="s">
        <v>458</v>
      </c>
      <c r="C59" s="23"/>
      <c r="D59" s="45">
        <f t="shared" si="16"/>
        <v>216</v>
      </c>
      <c r="E59" s="46">
        <f t="shared" si="0"/>
        <v>216</v>
      </c>
      <c r="F59" s="27">
        <f t="shared" si="11"/>
        <v>215</v>
      </c>
      <c r="G59" s="27">
        <f t="shared" si="12"/>
        <v>215</v>
      </c>
      <c r="H59" s="28">
        <v>1</v>
      </c>
      <c r="I59" s="49" t="s">
        <v>235</v>
      </c>
      <c r="J59" s="143"/>
      <c r="K59" s="143"/>
    </row>
    <row r="60" spans="1:11" x14ac:dyDescent="0.2">
      <c r="A60" s="23" t="s">
        <v>458</v>
      </c>
      <c r="B60" s="23" t="s">
        <v>458</v>
      </c>
      <c r="C60" s="23"/>
      <c r="D60" s="45">
        <f t="shared" si="16"/>
        <v>217</v>
      </c>
      <c r="E60" s="46">
        <f t="shared" si="0"/>
        <v>217</v>
      </c>
      <c r="F60" s="27">
        <f t="shared" si="11"/>
        <v>216</v>
      </c>
      <c r="G60" s="27">
        <f t="shared" si="12"/>
        <v>216</v>
      </c>
      <c r="H60" s="28">
        <v>1</v>
      </c>
      <c r="I60" s="49" t="s">
        <v>236</v>
      </c>
      <c r="J60" s="143"/>
      <c r="K60" s="143"/>
    </row>
    <row r="61" spans="1:11" x14ac:dyDescent="0.2">
      <c r="A61" s="23" t="s">
        <v>458</v>
      </c>
      <c r="B61" s="23" t="s">
        <v>458</v>
      </c>
      <c r="C61" s="23"/>
      <c r="D61" s="45">
        <f t="shared" si="16"/>
        <v>218</v>
      </c>
      <c r="E61" s="46">
        <f t="shared" si="0"/>
        <v>218</v>
      </c>
      <c r="F61" s="27">
        <f t="shared" si="11"/>
        <v>217</v>
      </c>
      <c r="G61" s="27">
        <f t="shared" si="12"/>
        <v>217</v>
      </c>
      <c r="H61" s="28">
        <v>1</v>
      </c>
      <c r="I61" s="49" t="s">
        <v>237</v>
      </c>
      <c r="J61" s="143"/>
      <c r="K61" s="143"/>
    </row>
    <row r="62" spans="1:11" x14ac:dyDescent="0.2">
      <c r="A62" s="23" t="s">
        <v>458</v>
      </c>
      <c r="B62" s="23" t="s">
        <v>458</v>
      </c>
      <c r="C62" s="23"/>
      <c r="D62" s="45">
        <f t="shared" si="16"/>
        <v>219</v>
      </c>
      <c r="E62" s="46">
        <f t="shared" si="0"/>
        <v>219</v>
      </c>
      <c r="F62" s="27">
        <f t="shared" si="11"/>
        <v>218</v>
      </c>
      <c r="G62" s="27">
        <f t="shared" si="12"/>
        <v>218</v>
      </c>
      <c r="H62" s="28">
        <v>1</v>
      </c>
      <c r="I62" s="52" t="s">
        <v>680</v>
      </c>
      <c r="J62" s="143"/>
      <c r="K62" s="143"/>
    </row>
    <row r="63" spans="1:11" x14ac:dyDescent="0.2">
      <c r="A63" s="23"/>
      <c r="B63" s="23"/>
      <c r="C63" s="23"/>
      <c r="D63" s="45">
        <f t="shared" ref="D63" si="17">D62+H62</f>
        <v>220</v>
      </c>
      <c r="E63" s="46">
        <f t="shared" ref="E63" si="18">D63+H63-1</f>
        <v>220</v>
      </c>
      <c r="F63" s="27">
        <f t="shared" si="11"/>
        <v>219</v>
      </c>
      <c r="G63" s="27">
        <f t="shared" si="12"/>
        <v>219</v>
      </c>
      <c r="H63" s="28">
        <v>1</v>
      </c>
      <c r="I63" s="52" t="s">
        <v>679</v>
      </c>
      <c r="J63" s="143"/>
      <c r="K63" s="143"/>
    </row>
    <row r="64" spans="1:11" x14ac:dyDescent="0.2">
      <c r="A64" s="23" t="s">
        <v>458</v>
      </c>
      <c r="B64" s="23" t="s">
        <v>458</v>
      </c>
      <c r="C64" s="23"/>
      <c r="D64" s="24">
        <f>D63+H63</f>
        <v>221</v>
      </c>
      <c r="E64" s="27">
        <f t="shared" si="0"/>
        <v>221</v>
      </c>
      <c r="F64" s="27">
        <f t="shared" si="11"/>
        <v>220</v>
      </c>
      <c r="G64" s="27">
        <f t="shared" si="12"/>
        <v>220</v>
      </c>
      <c r="H64" s="28">
        <v>1</v>
      </c>
      <c r="I64" s="49" t="s">
        <v>240</v>
      </c>
      <c r="J64" s="143"/>
      <c r="K64" s="143"/>
    </row>
    <row r="65" spans="1:11" x14ac:dyDescent="0.2">
      <c r="A65" s="23" t="s">
        <v>458</v>
      </c>
      <c r="B65" s="23" t="s">
        <v>458</v>
      </c>
      <c r="C65" s="23"/>
      <c r="D65" s="24">
        <f t="shared" si="16"/>
        <v>222</v>
      </c>
      <c r="E65" s="27">
        <f t="shared" si="0"/>
        <v>222</v>
      </c>
      <c r="F65" s="27">
        <f t="shared" si="11"/>
        <v>221</v>
      </c>
      <c r="G65" s="27">
        <f t="shared" si="12"/>
        <v>221</v>
      </c>
      <c r="H65" s="28">
        <v>1</v>
      </c>
      <c r="I65" s="49" t="s">
        <v>241</v>
      </c>
      <c r="J65" s="143"/>
      <c r="K65" s="143"/>
    </row>
    <row r="66" spans="1:11" x14ac:dyDescent="0.2">
      <c r="A66" s="23" t="s">
        <v>458</v>
      </c>
      <c r="B66" s="23" t="s">
        <v>458</v>
      </c>
      <c r="C66" s="23"/>
      <c r="D66" s="24">
        <f t="shared" si="16"/>
        <v>223</v>
      </c>
      <c r="E66" s="27">
        <f t="shared" si="0"/>
        <v>223</v>
      </c>
      <c r="F66" s="27">
        <f t="shared" si="11"/>
        <v>222</v>
      </c>
      <c r="G66" s="27">
        <f t="shared" si="12"/>
        <v>222</v>
      </c>
      <c r="H66" s="28">
        <v>1</v>
      </c>
      <c r="I66" s="49" t="s">
        <v>242</v>
      </c>
      <c r="J66" s="143"/>
      <c r="K66" s="143"/>
    </row>
    <row r="67" spans="1:11" x14ac:dyDescent="0.2">
      <c r="A67" s="23" t="s">
        <v>458</v>
      </c>
      <c r="B67" s="23" t="s">
        <v>458</v>
      </c>
      <c r="C67" s="23"/>
      <c r="D67" s="24">
        <f t="shared" si="16"/>
        <v>224</v>
      </c>
      <c r="E67" s="27">
        <f t="shared" si="0"/>
        <v>224</v>
      </c>
      <c r="F67" s="27">
        <f t="shared" si="11"/>
        <v>223</v>
      </c>
      <c r="G67" s="27">
        <f t="shared" si="12"/>
        <v>223</v>
      </c>
      <c r="H67" s="28">
        <v>1</v>
      </c>
      <c r="I67" s="49" t="s">
        <v>243</v>
      </c>
      <c r="J67" s="143"/>
      <c r="K67" s="143"/>
    </row>
    <row r="68" spans="1:11" x14ac:dyDescent="0.2">
      <c r="A68" s="23" t="s">
        <v>458</v>
      </c>
      <c r="B68" s="23" t="s">
        <v>458</v>
      </c>
      <c r="C68" s="23"/>
      <c r="D68" s="24">
        <f t="shared" si="16"/>
        <v>225</v>
      </c>
      <c r="E68" s="27">
        <f t="shared" si="0"/>
        <v>225</v>
      </c>
      <c r="F68" s="27">
        <f t="shared" si="11"/>
        <v>224</v>
      </c>
      <c r="G68" s="27">
        <f t="shared" si="12"/>
        <v>224</v>
      </c>
      <c r="H68" s="28">
        <v>1</v>
      </c>
      <c r="I68" s="49" t="s">
        <v>244</v>
      </c>
      <c r="J68" s="143"/>
      <c r="K68" s="143"/>
    </row>
    <row r="69" spans="1:11" x14ac:dyDescent="0.2">
      <c r="A69" s="23" t="s">
        <v>458</v>
      </c>
      <c r="B69" s="23" t="s">
        <v>458</v>
      </c>
      <c r="C69" s="23"/>
      <c r="D69" s="24">
        <f t="shared" si="16"/>
        <v>226</v>
      </c>
      <c r="E69" s="27">
        <f t="shared" si="0"/>
        <v>226</v>
      </c>
      <c r="F69" s="27">
        <f t="shared" si="11"/>
        <v>225</v>
      </c>
      <c r="G69" s="27">
        <f t="shared" si="12"/>
        <v>225</v>
      </c>
      <c r="H69" s="28">
        <v>1</v>
      </c>
      <c r="I69" s="49" t="s">
        <v>245</v>
      </c>
      <c r="J69" s="143"/>
      <c r="K69" s="143"/>
    </row>
    <row r="70" spans="1:11" x14ac:dyDescent="0.2">
      <c r="A70" s="23" t="s">
        <v>458</v>
      </c>
      <c r="B70" s="23" t="s">
        <v>458</v>
      </c>
      <c r="C70" s="23"/>
      <c r="D70" s="24">
        <f t="shared" si="16"/>
        <v>227</v>
      </c>
      <c r="E70" s="27">
        <f t="shared" si="0"/>
        <v>227</v>
      </c>
      <c r="F70" s="27">
        <f t="shared" si="11"/>
        <v>226</v>
      </c>
      <c r="G70" s="27">
        <f t="shared" si="12"/>
        <v>226</v>
      </c>
      <c r="H70" s="28">
        <v>1</v>
      </c>
      <c r="I70" s="49" t="s">
        <v>246</v>
      </c>
      <c r="J70" s="143"/>
      <c r="K70" s="143"/>
    </row>
    <row r="71" spans="1:11" x14ac:dyDescent="0.2">
      <c r="A71" s="23" t="s">
        <v>458</v>
      </c>
      <c r="B71" s="23" t="s">
        <v>458</v>
      </c>
      <c r="C71" s="23"/>
      <c r="D71" s="24">
        <f t="shared" si="16"/>
        <v>228</v>
      </c>
      <c r="E71" s="27">
        <f t="shared" si="0"/>
        <v>228</v>
      </c>
      <c r="F71" s="27">
        <f t="shared" si="11"/>
        <v>227</v>
      </c>
      <c r="G71" s="27">
        <f t="shared" si="12"/>
        <v>227</v>
      </c>
      <c r="H71" s="28">
        <v>1</v>
      </c>
      <c r="I71" s="49" t="s">
        <v>247</v>
      </c>
      <c r="J71" s="143"/>
      <c r="K71" s="143"/>
    </row>
    <row r="72" spans="1:11" x14ac:dyDescent="0.2">
      <c r="A72" s="23" t="s">
        <v>458</v>
      </c>
      <c r="B72" s="23" t="s">
        <v>458</v>
      </c>
      <c r="C72" s="23"/>
      <c r="D72" s="24">
        <f t="shared" si="16"/>
        <v>229</v>
      </c>
      <c r="E72" s="27">
        <f t="shared" si="0"/>
        <v>229</v>
      </c>
      <c r="F72" s="27">
        <f t="shared" si="11"/>
        <v>228</v>
      </c>
      <c r="G72" s="27">
        <f t="shared" si="12"/>
        <v>228</v>
      </c>
      <c r="H72" s="28">
        <v>1</v>
      </c>
      <c r="I72" s="49" t="s">
        <v>169</v>
      </c>
      <c r="J72" s="143"/>
      <c r="K72" s="143"/>
    </row>
    <row r="73" spans="1:11" x14ac:dyDescent="0.2">
      <c r="A73" s="23"/>
      <c r="B73" s="23"/>
      <c r="C73" s="23"/>
      <c r="D73" s="24"/>
      <c r="E73" s="27"/>
      <c r="F73" s="27">
        <f t="shared" si="11"/>
        <v>-1</v>
      </c>
      <c r="G73" s="27">
        <f t="shared" si="12"/>
        <v>-1</v>
      </c>
      <c r="H73" s="28"/>
      <c r="I73" s="53" t="s">
        <v>573</v>
      </c>
      <c r="J73" s="33"/>
      <c r="K73" s="33"/>
    </row>
    <row r="74" spans="1:11" x14ac:dyDescent="0.2">
      <c r="A74" s="43" t="s">
        <v>458</v>
      </c>
      <c r="B74" s="43" t="s">
        <v>458</v>
      </c>
      <c r="C74" s="43"/>
      <c r="D74" s="54">
        <f>D72+H72</f>
        <v>230</v>
      </c>
      <c r="E74" s="27">
        <f t="shared" ref="E74:E86" si="19">D74+H74-1</f>
        <v>230</v>
      </c>
      <c r="F74" s="27">
        <f t="shared" si="11"/>
        <v>229</v>
      </c>
      <c r="G74" s="27">
        <f t="shared" si="12"/>
        <v>229</v>
      </c>
      <c r="H74" s="44">
        <v>1</v>
      </c>
      <c r="I74" s="52" t="s">
        <v>160</v>
      </c>
      <c r="J74" s="140" t="s">
        <v>617</v>
      </c>
      <c r="K74" s="134" t="s">
        <v>333</v>
      </c>
    </row>
    <row r="75" spans="1:11" x14ac:dyDescent="0.2">
      <c r="A75" s="43" t="s">
        <v>458</v>
      </c>
      <c r="B75" s="43" t="s">
        <v>458</v>
      </c>
      <c r="C75" s="43"/>
      <c r="D75" s="24">
        <f t="shared" ref="D75:D86" si="20">D74+H74</f>
        <v>231</v>
      </c>
      <c r="E75" s="27">
        <f t="shared" si="19"/>
        <v>231</v>
      </c>
      <c r="F75" s="27">
        <f t="shared" si="11"/>
        <v>230</v>
      </c>
      <c r="G75" s="27">
        <f t="shared" si="12"/>
        <v>230</v>
      </c>
      <c r="H75" s="44">
        <v>1</v>
      </c>
      <c r="I75" s="52" t="s">
        <v>574</v>
      </c>
      <c r="J75" s="140"/>
      <c r="K75" s="134"/>
    </row>
    <row r="76" spans="1:11" x14ac:dyDescent="0.2">
      <c r="A76" s="43" t="s">
        <v>458</v>
      </c>
      <c r="B76" s="43" t="s">
        <v>458</v>
      </c>
      <c r="C76" s="43"/>
      <c r="D76" s="24">
        <f t="shared" si="20"/>
        <v>232</v>
      </c>
      <c r="E76" s="27">
        <f t="shared" si="19"/>
        <v>232</v>
      </c>
      <c r="F76" s="27">
        <f t="shared" si="11"/>
        <v>231</v>
      </c>
      <c r="G76" s="27">
        <f t="shared" si="12"/>
        <v>231</v>
      </c>
      <c r="H76" s="44">
        <v>1</v>
      </c>
      <c r="I76" s="52" t="s">
        <v>163</v>
      </c>
      <c r="J76" s="140"/>
      <c r="K76" s="134"/>
    </row>
    <row r="77" spans="1:11" x14ac:dyDescent="0.2">
      <c r="A77" s="43" t="s">
        <v>458</v>
      </c>
      <c r="B77" s="43" t="s">
        <v>458</v>
      </c>
      <c r="C77" s="43"/>
      <c r="D77" s="24">
        <f t="shared" si="20"/>
        <v>233</v>
      </c>
      <c r="E77" s="27">
        <f t="shared" si="19"/>
        <v>233</v>
      </c>
      <c r="F77" s="27">
        <f t="shared" si="11"/>
        <v>232</v>
      </c>
      <c r="G77" s="27">
        <f t="shared" si="12"/>
        <v>232</v>
      </c>
      <c r="H77" s="44">
        <v>1</v>
      </c>
      <c r="I77" s="52" t="s">
        <v>164</v>
      </c>
      <c r="J77" s="140"/>
      <c r="K77" s="134"/>
    </row>
    <row r="78" spans="1:11" x14ac:dyDescent="0.2">
      <c r="A78" s="43" t="s">
        <v>458</v>
      </c>
      <c r="B78" s="43" t="s">
        <v>458</v>
      </c>
      <c r="C78" s="43"/>
      <c r="D78" s="24">
        <f t="shared" si="20"/>
        <v>234</v>
      </c>
      <c r="E78" s="27">
        <f t="shared" si="19"/>
        <v>234</v>
      </c>
      <c r="F78" s="27">
        <f t="shared" si="11"/>
        <v>233</v>
      </c>
      <c r="G78" s="27">
        <f t="shared" si="12"/>
        <v>233</v>
      </c>
      <c r="H78" s="44">
        <v>1</v>
      </c>
      <c r="I78" s="52" t="s">
        <v>51</v>
      </c>
      <c r="J78" s="140"/>
      <c r="K78" s="134"/>
    </row>
    <row r="79" spans="1:11" x14ac:dyDescent="0.2">
      <c r="A79" s="43" t="s">
        <v>458</v>
      </c>
      <c r="B79" s="43" t="s">
        <v>458</v>
      </c>
      <c r="C79" s="43"/>
      <c r="D79" s="24">
        <f t="shared" si="20"/>
        <v>235</v>
      </c>
      <c r="E79" s="27">
        <f t="shared" si="19"/>
        <v>235</v>
      </c>
      <c r="F79" s="27">
        <f t="shared" si="11"/>
        <v>234</v>
      </c>
      <c r="G79" s="27">
        <f t="shared" si="12"/>
        <v>234</v>
      </c>
      <c r="H79" s="44">
        <v>1</v>
      </c>
      <c r="I79" s="52" t="s">
        <v>49</v>
      </c>
      <c r="J79" s="140"/>
      <c r="K79" s="134"/>
    </row>
    <row r="80" spans="1:11" x14ac:dyDescent="0.2">
      <c r="A80" s="43" t="s">
        <v>458</v>
      </c>
      <c r="B80" s="43" t="s">
        <v>458</v>
      </c>
      <c r="C80" s="43"/>
      <c r="D80" s="24">
        <f t="shared" si="20"/>
        <v>236</v>
      </c>
      <c r="E80" s="27">
        <f t="shared" si="19"/>
        <v>236</v>
      </c>
      <c r="F80" s="27">
        <f t="shared" si="11"/>
        <v>235</v>
      </c>
      <c r="G80" s="27">
        <f t="shared" si="12"/>
        <v>235</v>
      </c>
      <c r="H80" s="44">
        <v>1</v>
      </c>
      <c r="I80" s="52" t="s">
        <v>50</v>
      </c>
      <c r="J80" s="140"/>
      <c r="K80" s="134"/>
    </row>
    <row r="81" spans="1:11" x14ac:dyDescent="0.2">
      <c r="A81" s="43" t="s">
        <v>458</v>
      </c>
      <c r="B81" s="43" t="s">
        <v>458</v>
      </c>
      <c r="C81" s="43"/>
      <c r="D81" s="24">
        <f t="shared" si="20"/>
        <v>237</v>
      </c>
      <c r="E81" s="27">
        <f t="shared" si="19"/>
        <v>237</v>
      </c>
      <c r="F81" s="27">
        <f t="shared" si="11"/>
        <v>236</v>
      </c>
      <c r="G81" s="27">
        <f t="shared" si="12"/>
        <v>236</v>
      </c>
      <c r="H81" s="44">
        <v>1</v>
      </c>
      <c r="I81" s="52" t="s">
        <v>166</v>
      </c>
      <c r="J81" s="140"/>
      <c r="K81" s="134"/>
    </row>
    <row r="82" spans="1:11" x14ac:dyDescent="0.2">
      <c r="A82" s="43" t="s">
        <v>458</v>
      </c>
      <c r="B82" s="43" t="s">
        <v>458</v>
      </c>
      <c r="C82" s="43"/>
      <c r="D82" s="24">
        <f t="shared" si="20"/>
        <v>238</v>
      </c>
      <c r="E82" s="27">
        <f t="shared" si="19"/>
        <v>238</v>
      </c>
      <c r="F82" s="27">
        <f t="shared" si="11"/>
        <v>237</v>
      </c>
      <c r="G82" s="27">
        <f t="shared" si="12"/>
        <v>237</v>
      </c>
      <c r="H82" s="44">
        <v>1</v>
      </c>
      <c r="I82" s="52" t="s">
        <v>168</v>
      </c>
      <c r="J82" s="140"/>
      <c r="K82" s="134"/>
    </row>
    <row r="83" spans="1:11" x14ac:dyDescent="0.2">
      <c r="A83" s="43" t="s">
        <v>458</v>
      </c>
      <c r="B83" s="43" t="s">
        <v>458</v>
      </c>
      <c r="C83" s="43"/>
      <c r="D83" s="24">
        <f t="shared" si="20"/>
        <v>239</v>
      </c>
      <c r="E83" s="27">
        <f t="shared" si="19"/>
        <v>239</v>
      </c>
      <c r="F83" s="27">
        <f t="shared" si="11"/>
        <v>238</v>
      </c>
      <c r="G83" s="27">
        <f t="shared" si="12"/>
        <v>238</v>
      </c>
      <c r="H83" s="44">
        <v>1</v>
      </c>
      <c r="I83" s="52" t="s">
        <v>575</v>
      </c>
      <c r="J83" s="140"/>
      <c r="K83" s="134"/>
    </row>
    <row r="84" spans="1:11" x14ac:dyDescent="0.2">
      <c r="A84" s="43" t="s">
        <v>458</v>
      </c>
      <c r="B84" s="43" t="s">
        <v>458</v>
      </c>
      <c r="C84" s="43"/>
      <c r="D84" s="24">
        <f t="shared" si="20"/>
        <v>240</v>
      </c>
      <c r="E84" s="27">
        <f t="shared" si="19"/>
        <v>240</v>
      </c>
      <c r="F84" s="27">
        <f t="shared" si="11"/>
        <v>239</v>
      </c>
      <c r="G84" s="27">
        <f t="shared" si="12"/>
        <v>239</v>
      </c>
      <c r="H84" s="44">
        <v>1</v>
      </c>
      <c r="I84" s="52" t="s">
        <v>47</v>
      </c>
      <c r="J84" s="140"/>
      <c r="K84" s="134"/>
    </row>
    <row r="85" spans="1:11" x14ac:dyDescent="0.2">
      <c r="A85" s="43" t="s">
        <v>458</v>
      </c>
      <c r="B85" s="43" t="s">
        <v>458</v>
      </c>
      <c r="C85" s="43"/>
      <c r="D85" s="24">
        <f t="shared" si="20"/>
        <v>241</v>
      </c>
      <c r="E85" s="27">
        <f t="shared" si="19"/>
        <v>241</v>
      </c>
      <c r="F85" s="27">
        <f t="shared" si="11"/>
        <v>240</v>
      </c>
      <c r="G85" s="27">
        <f t="shared" si="12"/>
        <v>240</v>
      </c>
      <c r="H85" s="44">
        <v>1</v>
      </c>
      <c r="I85" s="52" t="s">
        <v>48</v>
      </c>
      <c r="J85" s="140"/>
      <c r="K85" s="134"/>
    </row>
    <row r="86" spans="1:11" x14ac:dyDescent="0.2">
      <c r="A86" s="43" t="s">
        <v>458</v>
      </c>
      <c r="B86" s="43" t="s">
        <v>458</v>
      </c>
      <c r="C86" s="43"/>
      <c r="D86" s="24">
        <f t="shared" si="20"/>
        <v>242</v>
      </c>
      <c r="E86" s="27">
        <f t="shared" si="19"/>
        <v>242</v>
      </c>
      <c r="F86" s="27">
        <f t="shared" si="11"/>
        <v>241</v>
      </c>
      <c r="G86" s="27">
        <f t="shared" si="12"/>
        <v>241</v>
      </c>
      <c r="H86" s="44">
        <v>1</v>
      </c>
      <c r="I86" s="52" t="s">
        <v>46</v>
      </c>
      <c r="J86" s="140"/>
      <c r="K86" s="134"/>
    </row>
    <row r="87" spans="1:11" x14ac:dyDescent="0.2">
      <c r="A87" s="23"/>
      <c r="B87" s="23"/>
      <c r="C87" s="23"/>
      <c r="D87" s="24"/>
      <c r="E87" s="24"/>
      <c r="F87" s="27">
        <f t="shared" si="11"/>
        <v>-1</v>
      </c>
      <c r="G87" s="27">
        <f t="shared" si="12"/>
        <v>-1</v>
      </c>
      <c r="H87" s="24"/>
      <c r="I87" s="55" t="s">
        <v>45</v>
      </c>
      <c r="J87" s="25"/>
      <c r="K87" s="26"/>
    </row>
    <row r="88" spans="1:11" ht="15" customHeight="1" x14ac:dyDescent="0.2">
      <c r="A88" s="23" t="s">
        <v>457</v>
      </c>
      <c r="B88" s="23" t="s">
        <v>457</v>
      </c>
      <c r="C88" s="23" t="s">
        <v>465</v>
      </c>
      <c r="D88" s="45">
        <f>D86+H86</f>
        <v>243</v>
      </c>
      <c r="E88" s="46">
        <f t="shared" si="0"/>
        <v>243</v>
      </c>
      <c r="F88" s="27">
        <f t="shared" si="11"/>
        <v>242</v>
      </c>
      <c r="G88" s="27">
        <f t="shared" si="12"/>
        <v>242</v>
      </c>
      <c r="H88" s="28">
        <v>1</v>
      </c>
      <c r="I88" s="49" t="s">
        <v>46</v>
      </c>
      <c r="J88" s="135" t="s">
        <v>337</v>
      </c>
      <c r="K88" s="138" t="s">
        <v>335</v>
      </c>
    </row>
    <row r="89" spans="1:11" x14ac:dyDescent="0.2">
      <c r="A89" s="23" t="s">
        <v>457</v>
      </c>
      <c r="B89" s="23" t="s">
        <v>457</v>
      </c>
      <c r="C89" s="23" t="s">
        <v>465</v>
      </c>
      <c r="D89" s="45">
        <f t="shared" ref="D89" si="21">D88+H88</f>
        <v>244</v>
      </c>
      <c r="E89" s="46">
        <f t="shared" si="0"/>
        <v>244</v>
      </c>
      <c r="F89" s="27">
        <f t="shared" si="11"/>
        <v>243</v>
      </c>
      <c r="G89" s="27">
        <f t="shared" si="12"/>
        <v>243</v>
      </c>
      <c r="H89" s="28">
        <v>1</v>
      </c>
      <c r="I89" s="49" t="s">
        <v>47</v>
      </c>
      <c r="J89" s="135"/>
      <c r="K89" s="138"/>
    </row>
    <row r="90" spans="1:11" x14ac:dyDescent="0.2">
      <c r="A90" s="23" t="s">
        <v>457</v>
      </c>
      <c r="B90" s="23" t="s">
        <v>457</v>
      </c>
      <c r="C90" s="23" t="s">
        <v>465</v>
      </c>
      <c r="D90" s="45">
        <f t="shared" ref="D90:D96" si="22">D89+H89</f>
        <v>245</v>
      </c>
      <c r="E90" s="46">
        <f t="shared" si="0"/>
        <v>245</v>
      </c>
      <c r="F90" s="27">
        <f t="shared" si="11"/>
        <v>244</v>
      </c>
      <c r="G90" s="27">
        <f t="shared" si="12"/>
        <v>244</v>
      </c>
      <c r="H90" s="28">
        <v>1</v>
      </c>
      <c r="I90" s="49" t="s">
        <v>48</v>
      </c>
      <c r="J90" s="135"/>
      <c r="K90" s="138"/>
    </row>
    <row r="91" spans="1:11" x14ac:dyDescent="0.2">
      <c r="A91" s="23" t="s">
        <v>457</v>
      </c>
      <c r="B91" s="23" t="s">
        <v>457</v>
      </c>
      <c r="C91" s="23" t="s">
        <v>465</v>
      </c>
      <c r="D91" s="45">
        <f t="shared" si="22"/>
        <v>246</v>
      </c>
      <c r="E91" s="46">
        <f t="shared" ref="E91:E96" si="23">D91+H91-1</f>
        <v>246</v>
      </c>
      <c r="F91" s="27">
        <f t="shared" si="11"/>
        <v>245</v>
      </c>
      <c r="G91" s="27">
        <f t="shared" si="12"/>
        <v>245</v>
      </c>
      <c r="H91" s="28">
        <v>1</v>
      </c>
      <c r="I91" s="49" t="s">
        <v>49</v>
      </c>
      <c r="J91" s="135"/>
      <c r="K91" s="138"/>
    </row>
    <row r="92" spans="1:11" x14ac:dyDescent="0.2">
      <c r="A92" s="23" t="s">
        <v>457</v>
      </c>
      <c r="B92" s="23" t="s">
        <v>457</v>
      </c>
      <c r="C92" s="23" t="s">
        <v>465</v>
      </c>
      <c r="D92" s="45">
        <f t="shared" si="22"/>
        <v>247</v>
      </c>
      <c r="E92" s="46">
        <f t="shared" si="23"/>
        <v>247</v>
      </c>
      <c r="F92" s="27">
        <f t="shared" si="11"/>
        <v>246</v>
      </c>
      <c r="G92" s="27">
        <f t="shared" si="12"/>
        <v>246</v>
      </c>
      <c r="H92" s="28">
        <v>1</v>
      </c>
      <c r="I92" s="49" t="s">
        <v>50</v>
      </c>
      <c r="J92" s="135"/>
      <c r="K92" s="138"/>
    </row>
    <row r="93" spans="1:11" x14ac:dyDescent="0.2">
      <c r="A93" s="23" t="s">
        <v>457</v>
      </c>
      <c r="B93" s="23" t="s">
        <v>457</v>
      </c>
      <c r="C93" s="23" t="s">
        <v>465</v>
      </c>
      <c r="D93" s="45">
        <f t="shared" si="22"/>
        <v>248</v>
      </c>
      <c r="E93" s="46">
        <f t="shared" si="23"/>
        <v>248</v>
      </c>
      <c r="F93" s="27">
        <f t="shared" si="11"/>
        <v>247</v>
      </c>
      <c r="G93" s="27">
        <f t="shared" si="12"/>
        <v>247</v>
      </c>
      <c r="H93" s="28">
        <v>1</v>
      </c>
      <c r="I93" s="49" t="s">
        <v>51</v>
      </c>
      <c r="J93" s="135"/>
      <c r="K93" s="138"/>
    </row>
    <row r="94" spans="1:11" x14ac:dyDescent="0.2">
      <c r="A94" s="23" t="s">
        <v>457</v>
      </c>
      <c r="B94" s="23" t="s">
        <v>457</v>
      </c>
      <c r="C94" s="23" t="s">
        <v>465</v>
      </c>
      <c r="D94" s="45">
        <f t="shared" si="22"/>
        <v>249</v>
      </c>
      <c r="E94" s="46">
        <f t="shared" si="23"/>
        <v>249</v>
      </c>
      <c r="F94" s="27">
        <f t="shared" si="11"/>
        <v>248</v>
      </c>
      <c r="G94" s="27">
        <f t="shared" si="12"/>
        <v>248</v>
      </c>
      <c r="H94" s="28">
        <v>1</v>
      </c>
      <c r="I94" s="49" t="s">
        <v>52</v>
      </c>
      <c r="J94" s="135"/>
      <c r="K94" s="138"/>
    </row>
    <row r="95" spans="1:11" x14ac:dyDescent="0.2">
      <c r="A95" s="23" t="s">
        <v>457</v>
      </c>
      <c r="B95" s="23" t="s">
        <v>457</v>
      </c>
      <c r="C95" s="23" t="s">
        <v>465</v>
      </c>
      <c r="D95" s="45">
        <f t="shared" si="22"/>
        <v>250</v>
      </c>
      <c r="E95" s="46">
        <f t="shared" si="23"/>
        <v>250</v>
      </c>
      <c r="F95" s="27">
        <f t="shared" si="11"/>
        <v>249</v>
      </c>
      <c r="G95" s="27">
        <f t="shared" si="12"/>
        <v>249</v>
      </c>
      <c r="H95" s="28">
        <v>1</v>
      </c>
      <c r="I95" s="49" t="s">
        <v>53</v>
      </c>
      <c r="J95" s="135"/>
      <c r="K95" s="138"/>
    </row>
    <row r="96" spans="1:11" x14ac:dyDescent="0.2">
      <c r="A96" s="23"/>
      <c r="B96" s="23"/>
      <c r="C96" s="23"/>
      <c r="D96" s="45">
        <f t="shared" si="22"/>
        <v>251</v>
      </c>
      <c r="E96" s="46">
        <f t="shared" si="23"/>
        <v>252</v>
      </c>
      <c r="F96" s="27">
        <f t="shared" si="11"/>
        <v>250</v>
      </c>
      <c r="G96" s="27">
        <f t="shared" si="12"/>
        <v>251</v>
      </c>
      <c r="H96" s="44">
        <v>2</v>
      </c>
      <c r="I96" s="49" t="s">
        <v>100</v>
      </c>
      <c r="J96" s="37"/>
      <c r="K96" s="26"/>
    </row>
    <row r="97" spans="1:11" ht="15" customHeight="1" x14ac:dyDescent="0.2">
      <c r="A97" s="23"/>
      <c r="B97" s="23"/>
      <c r="C97" s="23"/>
      <c r="D97" s="24"/>
      <c r="E97" s="24"/>
      <c r="F97" s="27">
        <f t="shared" si="11"/>
        <v>-1</v>
      </c>
      <c r="G97" s="27">
        <f t="shared" si="12"/>
        <v>-1</v>
      </c>
      <c r="H97" s="24"/>
      <c r="I97" s="55" t="s">
        <v>54</v>
      </c>
      <c r="J97" s="25"/>
      <c r="K97" s="26"/>
    </row>
    <row r="98" spans="1:11" ht="38.25" x14ac:dyDescent="0.2">
      <c r="A98" s="23" t="s">
        <v>458</v>
      </c>
      <c r="B98" s="23" t="s">
        <v>458</v>
      </c>
      <c r="C98" s="23"/>
      <c r="D98" s="24">
        <f>D96+H96</f>
        <v>253</v>
      </c>
      <c r="E98" s="27">
        <f t="shared" ref="E98:E104" si="24">D98+H98-1</f>
        <v>253</v>
      </c>
      <c r="F98" s="27">
        <f t="shared" si="11"/>
        <v>252</v>
      </c>
      <c r="G98" s="27">
        <f t="shared" si="12"/>
        <v>252</v>
      </c>
      <c r="H98" s="28">
        <v>1</v>
      </c>
      <c r="I98" s="49" t="s">
        <v>55</v>
      </c>
      <c r="J98" s="37" t="s">
        <v>337</v>
      </c>
      <c r="K98" s="26" t="s">
        <v>335</v>
      </c>
    </row>
    <row r="99" spans="1:11" x14ac:dyDescent="0.2">
      <c r="A99" s="23" t="s">
        <v>457</v>
      </c>
      <c r="B99" s="23" t="s">
        <v>457</v>
      </c>
      <c r="C99" s="23" t="s">
        <v>465</v>
      </c>
      <c r="D99" s="24">
        <f>D98+H98</f>
        <v>254</v>
      </c>
      <c r="E99" s="27">
        <f t="shared" si="24"/>
        <v>254</v>
      </c>
      <c r="F99" s="27">
        <f t="shared" si="11"/>
        <v>253</v>
      </c>
      <c r="G99" s="27">
        <f t="shared" si="12"/>
        <v>253</v>
      </c>
      <c r="H99" s="28">
        <v>1</v>
      </c>
      <c r="I99" s="49" t="s">
        <v>46</v>
      </c>
      <c r="J99" s="135" t="s">
        <v>337</v>
      </c>
      <c r="K99" s="138" t="s">
        <v>335</v>
      </c>
    </row>
    <row r="100" spans="1:11" x14ac:dyDescent="0.2">
      <c r="A100" s="23" t="s">
        <v>457</v>
      </c>
      <c r="B100" s="23" t="s">
        <v>457</v>
      </c>
      <c r="C100" s="23" t="s">
        <v>465</v>
      </c>
      <c r="D100" s="24">
        <f t="shared" ref="D100:D104" si="25">D99+H99</f>
        <v>255</v>
      </c>
      <c r="E100" s="27">
        <f t="shared" si="24"/>
        <v>255</v>
      </c>
      <c r="F100" s="27">
        <f t="shared" si="11"/>
        <v>254</v>
      </c>
      <c r="G100" s="27">
        <f t="shared" si="12"/>
        <v>254</v>
      </c>
      <c r="H100" s="28">
        <v>1</v>
      </c>
      <c r="I100" s="49" t="s">
        <v>50</v>
      </c>
      <c r="J100" s="135"/>
      <c r="K100" s="138"/>
    </row>
    <row r="101" spans="1:11" x14ac:dyDescent="0.2">
      <c r="A101" s="23" t="s">
        <v>457</v>
      </c>
      <c r="B101" s="23" t="s">
        <v>457</v>
      </c>
      <c r="C101" s="23" t="s">
        <v>465</v>
      </c>
      <c r="D101" s="24">
        <f t="shared" si="25"/>
        <v>256</v>
      </c>
      <c r="E101" s="27">
        <f t="shared" si="24"/>
        <v>256</v>
      </c>
      <c r="F101" s="27">
        <f t="shared" si="11"/>
        <v>255</v>
      </c>
      <c r="G101" s="27">
        <f t="shared" si="12"/>
        <v>255</v>
      </c>
      <c r="H101" s="28">
        <v>1</v>
      </c>
      <c r="I101" s="49" t="s">
        <v>52</v>
      </c>
      <c r="J101" s="135"/>
      <c r="K101" s="138"/>
    </row>
    <row r="102" spans="1:11" x14ac:dyDescent="0.2">
      <c r="A102" s="23" t="s">
        <v>457</v>
      </c>
      <c r="B102" s="23" t="s">
        <v>457</v>
      </c>
      <c r="C102" s="23" t="s">
        <v>465</v>
      </c>
      <c r="D102" s="24">
        <f t="shared" si="25"/>
        <v>257</v>
      </c>
      <c r="E102" s="27">
        <f t="shared" si="24"/>
        <v>257</v>
      </c>
      <c r="F102" s="27">
        <f t="shared" si="11"/>
        <v>256</v>
      </c>
      <c r="G102" s="27">
        <f t="shared" si="12"/>
        <v>256</v>
      </c>
      <c r="H102" s="28">
        <v>1</v>
      </c>
      <c r="I102" s="49" t="s">
        <v>56</v>
      </c>
      <c r="J102" s="135"/>
      <c r="K102" s="138"/>
    </row>
    <row r="103" spans="1:11" x14ac:dyDescent="0.2">
      <c r="A103" s="23" t="s">
        <v>457</v>
      </c>
      <c r="B103" s="23" t="s">
        <v>457</v>
      </c>
      <c r="C103" s="23" t="s">
        <v>465</v>
      </c>
      <c r="D103" s="24">
        <f t="shared" si="25"/>
        <v>258</v>
      </c>
      <c r="E103" s="27">
        <f t="shared" si="24"/>
        <v>258</v>
      </c>
      <c r="F103" s="27">
        <f t="shared" si="11"/>
        <v>257</v>
      </c>
      <c r="G103" s="27">
        <f t="shared" si="12"/>
        <v>257</v>
      </c>
      <c r="H103" s="28">
        <v>1</v>
      </c>
      <c r="I103" s="49" t="s">
        <v>57</v>
      </c>
      <c r="J103" s="135"/>
      <c r="K103" s="138"/>
    </row>
    <row r="104" spans="1:11" x14ac:dyDescent="0.2">
      <c r="A104" s="23"/>
      <c r="B104" s="23"/>
      <c r="C104" s="23"/>
      <c r="D104" s="24">
        <f t="shared" si="25"/>
        <v>259</v>
      </c>
      <c r="E104" s="27">
        <f t="shared" si="24"/>
        <v>263</v>
      </c>
      <c r="F104" s="27">
        <f t="shared" si="11"/>
        <v>258</v>
      </c>
      <c r="G104" s="27">
        <f t="shared" si="12"/>
        <v>262</v>
      </c>
      <c r="H104" s="28">
        <v>5</v>
      </c>
      <c r="I104" s="49" t="s">
        <v>100</v>
      </c>
      <c r="J104" s="37"/>
      <c r="K104" s="26"/>
    </row>
    <row r="105" spans="1:11" x14ac:dyDescent="0.2">
      <c r="A105" s="23"/>
      <c r="B105" s="23"/>
      <c r="C105" s="23"/>
      <c r="D105" s="24"/>
      <c r="E105" s="24"/>
      <c r="F105" s="27">
        <f t="shared" si="11"/>
        <v>-1</v>
      </c>
      <c r="G105" s="27">
        <f t="shared" si="12"/>
        <v>-1</v>
      </c>
      <c r="H105" s="24"/>
      <c r="I105" s="55" t="s">
        <v>58</v>
      </c>
      <c r="J105" s="25"/>
      <c r="K105" s="26"/>
    </row>
    <row r="106" spans="1:11" ht="38.25" x14ac:dyDescent="0.2">
      <c r="A106" s="23" t="s">
        <v>458</v>
      </c>
      <c r="B106" s="23" t="s">
        <v>458</v>
      </c>
      <c r="C106" s="23"/>
      <c r="D106" s="24">
        <f>D104+H104</f>
        <v>264</v>
      </c>
      <c r="E106" s="27">
        <f t="shared" ref="E106:E115" si="26">D106+H106-1</f>
        <v>264</v>
      </c>
      <c r="F106" s="27">
        <f t="shared" si="11"/>
        <v>263</v>
      </c>
      <c r="G106" s="27">
        <f t="shared" si="12"/>
        <v>263</v>
      </c>
      <c r="H106" s="28">
        <v>1</v>
      </c>
      <c r="I106" s="49" t="s">
        <v>59</v>
      </c>
      <c r="J106" s="37" t="s">
        <v>337</v>
      </c>
      <c r="K106" s="26" t="s">
        <v>335</v>
      </c>
    </row>
    <row r="107" spans="1:11" x14ac:dyDescent="0.2">
      <c r="A107" s="23" t="s">
        <v>457</v>
      </c>
      <c r="B107" s="23" t="s">
        <v>457</v>
      </c>
      <c r="C107" s="23" t="s">
        <v>465</v>
      </c>
      <c r="D107" s="24">
        <f t="shared" ref="D107" si="27">D106+H106</f>
        <v>265</v>
      </c>
      <c r="E107" s="27">
        <f t="shared" si="26"/>
        <v>265</v>
      </c>
      <c r="F107" s="27">
        <f t="shared" si="11"/>
        <v>264</v>
      </c>
      <c r="G107" s="27">
        <f t="shared" si="12"/>
        <v>264</v>
      </c>
      <c r="H107" s="28">
        <v>1</v>
      </c>
      <c r="I107" s="49" t="s">
        <v>46</v>
      </c>
      <c r="J107" s="138" t="s">
        <v>337</v>
      </c>
      <c r="K107" s="138" t="s">
        <v>335</v>
      </c>
    </row>
    <row r="108" spans="1:11" x14ac:dyDescent="0.2">
      <c r="A108" s="23" t="s">
        <v>457</v>
      </c>
      <c r="B108" s="23" t="s">
        <v>457</v>
      </c>
      <c r="C108" s="23" t="s">
        <v>465</v>
      </c>
      <c r="D108" s="24">
        <f t="shared" ref="D108:D115" si="28">D107+H107</f>
        <v>266</v>
      </c>
      <c r="E108" s="27">
        <f t="shared" si="26"/>
        <v>266</v>
      </c>
      <c r="F108" s="27">
        <f t="shared" ref="F108:F171" si="29">D108-1</f>
        <v>265</v>
      </c>
      <c r="G108" s="27">
        <f t="shared" ref="G108:G171" si="30">E108-1</f>
        <v>265</v>
      </c>
      <c r="H108" s="28">
        <v>1</v>
      </c>
      <c r="I108" s="49" t="s">
        <v>47</v>
      </c>
      <c r="J108" s="138"/>
      <c r="K108" s="138"/>
    </row>
    <row r="109" spans="1:11" x14ac:dyDescent="0.2">
      <c r="A109" s="23" t="s">
        <v>457</v>
      </c>
      <c r="B109" s="23" t="s">
        <v>457</v>
      </c>
      <c r="C109" s="23" t="s">
        <v>465</v>
      </c>
      <c r="D109" s="24">
        <f t="shared" si="28"/>
        <v>267</v>
      </c>
      <c r="E109" s="27">
        <f t="shared" si="26"/>
        <v>267</v>
      </c>
      <c r="F109" s="27">
        <f t="shared" si="29"/>
        <v>266</v>
      </c>
      <c r="G109" s="27">
        <f t="shared" si="30"/>
        <v>266</v>
      </c>
      <c r="H109" s="28">
        <v>1</v>
      </c>
      <c r="I109" s="49" t="s">
        <v>48</v>
      </c>
      <c r="J109" s="138"/>
      <c r="K109" s="138"/>
    </row>
    <row r="110" spans="1:11" x14ac:dyDescent="0.2">
      <c r="A110" s="23" t="s">
        <v>457</v>
      </c>
      <c r="B110" s="23" t="s">
        <v>457</v>
      </c>
      <c r="C110" s="23" t="s">
        <v>465</v>
      </c>
      <c r="D110" s="24">
        <f t="shared" si="28"/>
        <v>268</v>
      </c>
      <c r="E110" s="27">
        <f t="shared" si="26"/>
        <v>268</v>
      </c>
      <c r="F110" s="27">
        <f t="shared" si="29"/>
        <v>267</v>
      </c>
      <c r="G110" s="27">
        <f t="shared" si="30"/>
        <v>267</v>
      </c>
      <c r="H110" s="28">
        <v>1</v>
      </c>
      <c r="I110" s="49" t="s">
        <v>49</v>
      </c>
      <c r="J110" s="138"/>
      <c r="K110" s="138"/>
    </row>
    <row r="111" spans="1:11" x14ac:dyDescent="0.2">
      <c r="A111" s="23" t="s">
        <v>457</v>
      </c>
      <c r="B111" s="23" t="s">
        <v>457</v>
      </c>
      <c r="C111" s="23" t="s">
        <v>465</v>
      </c>
      <c r="D111" s="24">
        <f t="shared" si="28"/>
        <v>269</v>
      </c>
      <c r="E111" s="27">
        <f t="shared" si="26"/>
        <v>269</v>
      </c>
      <c r="F111" s="27">
        <f t="shared" si="29"/>
        <v>268</v>
      </c>
      <c r="G111" s="27">
        <f t="shared" si="30"/>
        <v>268</v>
      </c>
      <c r="H111" s="28">
        <v>1</v>
      </c>
      <c r="I111" s="49" t="s">
        <v>50</v>
      </c>
      <c r="J111" s="138"/>
      <c r="K111" s="138"/>
    </row>
    <row r="112" spans="1:11" x14ac:dyDescent="0.2">
      <c r="A112" s="23" t="s">
        <v>457</v>
      </c>
      <c r="B112" s="23" t="s">
        <v>457</v>
      </c>
      <c r="C112" s="23" t="s">
        <v>465</v>
      </c>
      <c r="D112" s="24">
        <f t="shared" si="28"/>
        <v>270</v>
      </c>
      <c r="E112" s="27">
        <f t="shared" si="26"/>
        <v>270</v>
      </c>
      <c r="F112" s="27">
        <f t="shared" si="29"/>
        <v>269</v>
      </c>
      <c r="G112" s="27">
        <f t="shared" si="30"/>
        <v>269</v>
      </c>
      <c r="H112" s="28">
        <v>1</v>
      </c>
      <c r="I112" s="49" t="s">
        <v>51</v>
      </c>
      <c r="J112" s="138"/>
      <c r="K112" s="138"/>
    </row>
    <row r="113" spans="1:11" x14ac:dyDescent="0.2">
      <c r="A113" s="23" t="s">
        <v>457</v>
      </c>
      <c r="B113" s="23" t="s">
        <v>457</v>
      </c>
      <c r="C113" s="23" t="s">
        <v>465</v>
      </c>
      <c r="D113" s="24">
        <f t="shared" si="28"/>
        <v>271</v>
      </c>
      <c r="E113" s="27">
        <f t="shared" si="26"/>
        <v>271</v>
      </c>
      <c r="F113" s="27">
        <f t="shared" si="29"/>
        <v>270</v>
      </c>
      <c r="G113" s="27">
        <f t="shared" si="30"/>
        <v>270</v>
      </c>
      <c r="H113" s="28">
        <v>1</v>
      </c>
      <c r="I113" s="49" t="s">
        <v>52</v>
      </c>
      <c r="J113" s="138"/>
      <c r="K113" s="138"/>
    </row>
    <row r="114" spans="1:11" x14ac:dyDescent="0.2">
      <c r="A114" s="23" t="s">
        <v>457</v>
      </c>
      <c r="B114" s="23" t="s">
        <v>457</v>
      </c>
      <c r="C114" s="23" t="s">
        <v>465</v>
      </c>
      <c r="D114" s="24">
        <f t="shared" si="28"/>
        <v>272</v>
      </c>
      <c r="E114" s="27">
        <f t="shared" si="26"/>
        <v>272</v>
      </c>
      <c r="F114" s="27">
        <f t="shared" si="29"/>
        <v>271</v>
      </c>
      <c r="G114" s="27">
        <f t="shared" si="30"/>
        <v>271</v>
      </c>
      <c r="H114" s="28">
        <v>1</v>
      </c>
      <c r="I114" s="49" t="s">
        <v>53</v>
      </c>
      <c r="J114" s="138"/>
      <c r="K114" s="138"/>
    </row>
    <row r="115" spans="1:11" x14ac:dyDescent="0.2">
      <c r="A115" s="23"/>
      <c r="B115" s="23"/>
      <c r="C115" s="23"/>
      <c r="D115" s="24">
        <f t="shared" si="28"/>
        <v>273</v>
      </c>
      <c r="E115" s="27">
        <f t="shared" si="26"/>
        <v>277</v>
      </c>
      <c r="F115" s="27">
        <f t="shared" si="29"/>
        <v>272</v>
      </c>
      <c r="G115" s="27">
        <f t="shared" si="30"/>
        <v>276</v>
      </c>
      <c r="H115" s="28">
        <v>5</v>
      </c>
      <c r="I115" s="49" t="s">
        <v>100</v>
      </c>
      <c r="J115" s="25"/>
      <c r="K115" s="26"/>
    </row>
    <row r="116" spans="1:11" x14ac:dyDescent="0.2">
      <c r="A116" s="23"/>
      <c r="B116" s="23"/>
      <c r="C116" s="23"/>
      <c r="D116" s="24"/>
      <c r="E116" s="24"/>
      <c r="F116" s="27">
        <f t="shared" si="29"/>
        <v>-1</v>
      </c>
      <c r="G116" s="27">
        <f t="shared" si="30"/>
        <v>-1</v>
      </c>
      <c r="H116" s="24"/>
      <c r="I116" s="51" t="s">
        <v>60</v>
      </c>
      <c r="J116" s="25"/>
      <c r="K116" s="26"/>
    </row>
    <row r="117" spans="1:11" ht="38.25" x14ac:dyDescent="0.2">
      <c r="A117" s="23" t="s">
        <v>457</v>
      </c>
      <c r="B117" s="23" t="s">
        <v>457</v>
      </c>
      <c r="C117" s="23" t="s">
        <v>465</v>
      </c>
      <c r="D117" s="24">
        <f>D115+H115</f>
        <v>278</v>
      </c>
      <c r="E117" s="27">
        <f t="shared" ref="E117:E118" si="31">D117+H117-1</f>
        <v>278</v>
      </c>
      <c r="F117" s="27">
        <f t="shared" si="29"/>
        <v>277</v>
      </c>
      <c r="G117" s="27">
        <f t="shared" si="30"/>
        <v>277</v>
      </c>
      <c r="H117" s="28">
        <v>1</v>
      </c>
      <c r="I117" s="49" t="s">
        <v>52</v>
      </c>
      <c r="J117" s="26" t="s">
        <v>337</v>
      </c>
      <c r="K117" s="26" t="s">
        <v>335</v>
      </c>
    </row>
    <row r="118" spans="1:11" x14ac:dyDescent="0.2">
      <c r="A118" s="23"/>
      <c r="B118" s="23"/>
      <c r="C118" s="23"/>
      <c r="D118" s="24">
        <f>D117+H117</f>
        <v>279</v>
      </c>
      <c r="E118" s="27">
        <f t="shared" si="31"/>
        <v>283</v>
      </c>
      <c r="F118" s="27">
        <f t="shared" si="29"/>
        <v>278</v>
      </c>
      <c r="G118" s="27">
        <f t="shared" si="30"/>
        <v>282</v>
      </c>
      <c r="H118" s="28">
        <v>5</v>
      </c>
      <c r="I118" s="49" t="s">
        <v>100</v>
      </c>
      <c r="J118" s="25"/>
      <c r="K118" s="26"/>
    </row>
    <row r="119" spans="1:11" x14ac:dyDescent="0.2">
      <c r="A119" s="23"/>
      <c r="B119" s="23"/>
      <c r="C119" s="23"/>
      <c r="D119" s="24"/>
      <c r="E119" s="24"/>
      <c r="F119" s="27">
        <f t="shared" si="29"/>
        <v>-1</v>
      </c>
      <c r="G119" s="27">
        <f t="shared" si="30"/>
        <v>-1</v>
      </c>
      <c r="H119" s="24"/>
      <c r="I119" s="51" t="s">
        <v>159</v>
      </c>
      <c r="J119" s="25"/>
      <c r="K119" s="26"/>
    </row>
    <row r="120" spans="1:11" ht="12.75" customHeight="1" x14ac:dyDescent="0.2">
      <c r="A120" s="23" t="s">
        <v>457</v>
      </c>
      <c r="B120" s="23" t="s">
        <v>457</v>
      </c>
      <c r="C120" s="23" t="s">
        <v>465</v>
      </c>
      <c r="D120" s="24">
        <f>D118+H118</f>
        <v>284</v>
      </c>
      <c r="E120" s="27">
        <f t="shared" ref="E120:E131" si="32">D120+H120-1</f>
        <v>284</v>
      </c>
      <c r="F120" s="27">
        <f t="shared" si="29"/>
        <v>283</v>
      </c>
      <c r="G120" s="27">
        <f t="shared" si="30"/>
        <v>283</v>
      </c>
      <c r="H120" s="28">
        <v>1</v>
      </c>
      <c r="I120" s="49" t="s">
        <v>160</v>
      </c>
      <c r="J120" s="138" t="s">
        <v>342</v>
      </c>
      <c r="K120" s="138" t="s">
        <v>343</v>
      </c>
    </row>
    <row r="121" spans="1:11" x14ac:dyDescent="0.2">
      <c r="A121" s="23" t="s">
        <v>457</v>
      </c>
      <c r="B121" s="23" t="s">
        <v>457</v>
      </c>
      <c r="C121" s="23" t="s">
        <v>465</v>
      </c>
      <c r="D121" s="24">
        <f t="shared" ref="D121" si="33">D120+H120</f>
        <v>285</v>
      </c>
      <c r="E121" s="27">
        <f t="shared" si="32"/>
        <v>285</v>
      </c>
      <c r="F121" s="27">
        <f t="shared" si="29"/>
        <v>284</v>
      </c>
      <c r="G121" s="27">
        <f t="shared" si="30"/>
        <v>284</v>
      </c>
      <c r="H121" s="28">
        <v>1</v>
      </c>
      <c r="I121" s="49" t="s">
        <v>162</v>
      </c>
      <c r="J121" s="138"/>
      <c r="K121" s="138"/>
    </row>
    <row r="122" spans="1:11" x14ac:dyDescent="0.2">
      <c r="A122" s="23" t="s">
        <v>457</v>
      </c>
      <c r="B122" s="23" t="s">
        <v>457</v>
      </c>
      <c r="C122" s="23" t="s">
        <v>465</v>
      </c>
      <c r="D122" s="24">
        <f t="shared" ref="D122:D127" si="34">D121+H121</f>
        <v>286</v>
      </c>
      <c r="E122" s="27">
        <f t="shared" si="32"/>
        <v>286</v>
      </c>
      <c r="F122" s="27">
        <f t="shared" si="29"/>
        <v>285</v>
      </c>
      <c r="G122" s="27">
        <f t="shared" si="30"/>
        <v>285</v>
      </c>
      <c r="H122" s="28">
        <v>1</v>
      </c>
      <c r="I122" s="49" t="s">
        <v>163</v>
      </c>
      <c r="J122" s="138"/>
      <c r="K122" s="138"/>
    </row>
    <row r="123" spans="1:11" x14ac:dyDescent="0.2">
      <c r="A123" s="23" t="s">
        <v>457</v>
      </c>
      <c r="B123" s="23" t="s">
        <v>457</v>
      </c>
      <c r="C123" s="23" t="s">
        <v>465</v>
      </c>
      <c r="D123" s="24">
        <f t="shared" si="34"/>
        <v>287</v>
      </c>
      <c r="E123" s="27">
        <f t="shared" si="32"/>
        <v>287</v>
      </c>
      <c r="F123" s="27">
        <f t="shared" si="29"/>
        <v>286</v>
      </c>
      <c r="G123" s="27">
        <f t="shared" si="30"/>
        <v>286</v>
      </c>
      <c r="H123" s="28">
        <v>1</v>
      </c>
      <c r="I123" s="49" t="s">
        <v>164</v>
      </c>
      <c r="J123" s="138"/>
      <c r="K123" s="138"/>
    </row>
    <row r="124" spans="1:11" x14ac:dyDescent="0.2">
      <c r="A124" s="23" t="s">
        <v>457</v>
      </c>
      <c r="B124" s="23" t="s">
        <v>457</v>
      </c>
      <c r="C124" s="23" t="s">
        <v>465</v>
      </c>
      <c r="D124" s="24">
        <f t="shared" si="34"/>
        <v>288</v>
      </c>
      <c r="E124" s="27">
        <f t="shared" si="32"/>
        <v>288</v>
      </c>
      <c r="F124" s="27">
        <f t="shared" si="29"/>
        <v>287</v>
      </c>
      <c r="G124" s="27">
        <f t="shared" si="30"/>
        <v>287</v>
      </c>
      <c r="H124" s="28">
        <v>1</v>
      </c>
      <c r="I124" s="49" t="s">
        <v>51</v>
      </c>
      <c r="J124" s="138"/>
      <c r="K124" s="138"/>
    </row>
    <row r="125" spans="1:11" x14ac:dyDescent="0.2">
      <c r="A125" s="23" t="s">
        <v>457</v>
      </c>
      <c r="B125" s="23" t="s">
        <v>457</v>
      </c>
      <c r="C125" s="23" t="s">
        <v>465</v>
      </c>
      <c r="D125" s="24">
        <f t="shared" si="34"/>
        <v>289</v>
      </c>
      <c r="E125" s="27">
        <f t="shared" si="32"/>
        <v>289</v>
      </c>
      <c r="F125" s="27">
        <f t="shared" si="29"/>
        <v>288</v>
      </c>
      <c r="G125" s="27">
        <f t="shared" si="30"/>
        <v>288</v>
      </c>
      <c r="H125" s="28">
        <v>1</v>
      </c>
      <c r="I125" s="49" t="s">
        <v>49</v>
      </c>
      <c r="J125" s="138"/>
      <c r="K125" s="138"/>
    </row>
    <row r="126" spans="1:11" x14ac:dyDescent="0.2">
      <c r="A126" s="23" t="s">
        <v>457</v>
      </c>
      <c r="B126" s="23" t="s">
        <v>457</v>
      </c>
      <c r="C126" s="23" t="s">
        <v>465</v>
      </c>
      <c r="D126" s="24">
        <f t="shared" si="34"/>
        <v>290</v>
      </c>
      <c r="E126" s="27">
        <f t="shared" si="32"/>
        <v>290</v>
      </c>
      <c r="F126" s="27">
        <f t="shared" si="29"/>
        <v>289</v>
      </c>
      <c r="G126" s="27">
        <f t="shared" si="30"/>
        <v>289</v>
      </c>
      <c r="H126" s="28">
        <v>1</v>
      </c>
      <c r="I126" s="49" t="s">
        <v>50</v>
      </c>
      <c r="J126" s="138"/>
      <c r="K126" s="138"/>
    </row>
    <row r="127" spans="1:11" x14ac:dyDescent="0.2">
      <c r="A127" s="23" t="s">
        <v>457</v>
      </c>
      <c r="B127" s="23" t="s">
        <v>457</v>
      </c>
      <c r="C127" s="23" t="s">
        <v>465</v>
      </c>
      <c r="D127" s="24">
        <f t="shared" si="34"/>
        <v>291</v>
      </c>
      <c r="E127" s="27">
        <f t="shared" si="32"/>
        <v>291</v>
      </c>
      <c r="F127" s="27">
        <f t="shared" si="29"/>
        <v>290</v>
      </c>
      <c r="G127" s="27">
        <f t="shared" si="30"/>
        <v>290</v>
      </c>
      <c r="H127" s="28">
        <v>1</v>
      </c>
      <c r="I127" s="49" t="s">
        <v>166</v>
      </c>
      <c r="J127" s="138"/>
      <c r="K127" s="138"/>
    </row>
    <row r="128" spans="1:11" x14ac:dyDescent="0.2">
      <c r="A128" s="43" t="s">
        <v>457</v>
      </c>
      <c r="B128" s="43" t="s">
        <v>457</v>
      </c>
      <c r="C128" s="43" t="s">
        <v>465</v>
      </c>
      <c r="D128" s="45">
        <f t="shared" ref="D128:D130" si="35">D127+H127</f>
        <v>292</v>
      </c>
      <c r="E128" s="46">
        <f t="shared" ref="E128:E130" si="36">D128+H128-1</f>
        <v>292</v>
      </c>
      <c r="F128" s="27">
        <f t="shared" si="29"/>
        <v>291</v>
      </c>
      <c r="G128" s="27">
        <f t="shared" si="30"/>
        <v>291</v>
      </c>
      <c r="H128" s="44">
        <v>1</v>
      </c>
      <c r="I128" s="52" t="s">
        <v>618</v>
      </c>
      <c r="J128" s="138"/>
      <c r="K128" s="138"/>
    </row>
    <row r="129" spans="1:11" x14ac:dyDescent="0.2">
      <c r="A129" s="43" t="s">
        <v>457</v>
      </c>
      <c r="B129" s="43" t="s">
        <v>457</v>
      </c>
      <c r="C129" s="43" t="s">
        <v>465</v>
      </c>
      <c r="D129" s="45">
        <f t="shared" si="35"/>
        <v>293</v>
      </c>
      <c r="E129" s="46">
        <f t="shared" si="36"/>
        <v>293</v>
      </c>
      <c r="F129" s="27">
        <f t="shared" si="29"/>
        <v>292</v>
      </c>
      <c r="G129" s="27">
        <f t="shared" si="30"/>
        <v>292</v>
      </c>
      <c r="H129" s="44">
        <v>1</v>
      </c>
      <c r="I129" s="52" t="s">
        <v>47</v>
      </c>
      <c r="J129" s="138"/>
      <c r="K129" s="138"/>
    </row>
    <row r="130" spans="1:11" x14ac:dyDescent="0.2">
      <c r="A130" s="43" t="s">
        <v>457</v>
      </c>
      <c r="B130" s="43" t="s">
        <v>457</v>
      </c>
      <c r="C130" s="43" t="s">
        <v>465</v>
      </c>
      <c r="D130" s="45">
        <f t="shared" si="35"/>
        <v>294</v>
      </c>
      <c r="E130" s="46">
        <f t="shared" si="36"/>
        <v>294</v>
      </c>
      <c r="F130" s="27">
        <f t="shared" si="29"/>
        <v>293</v>
      </c>
      <c r="G130" s="27">
        <f t="shared" si="30"/>
        <v>293</v>
      </c>
      <c r="H130" s="44">
        <v>1</v>
      </c>
      <c r="I130" s="52" t="s">
        <v>619</v>
      </c>
      <c r="J130" s="138"/>
      <c r="K130" s="138"/>
    </row>
    <row r="131" spans="1:11" x14ac:dyDescent="0.2">
      <c r="A131" s="43" t="s">
        <v>457</v>
      </c>
      <c r="B131" s="43" t="s">
        <v>457</v>
      </c>
      <c r="C131" s="43" t="s">
        <v>465</v>
      </c>
      <c r="D131" s="45">
        <f>D130+H130</f>
        <v>295</v>
      </c>
      <c r="E131" s="27">
        <f t="shared" si="32"/>
        <v>296</v>
      </c>
      <c r="F131" s="27">
        <f t="shared" si="29"/>
        <v>294</v>
      </c>
      <c r="G131" s="27">
        <f t="shared" si="30"/>
        <v>295</v>
      </c>
      <c r="H131" s="44">
        <v>2</v>
      </c>
      <c r="I131" s="49" t="s">
        <v>100</v>
      </c>
      <c r="J131" s="25"/>
      <c r="K131" s="26"/>
    </row>
    <row r="132" spans="1:11" x14ac:dyDescent="0.2">
      <c r="A132" s="23"/>
      <c r="B132" s="23"/>
      <c r="C132" s="23"/>
      <c r="D132" s="24"/>
      <c r="E132" s="24"/>
      <c r="F132" s="27">
        <f t="shared" si="29"/>
        <v>-1</v>
      </c>
      <c r="G132" s="27">
        <f t="shared" si="30"/>
        <v>-1</v>
      </c>
      <c r="H132" s="24"/>
      <c r="I132" s="50" t="s">
        <v>63</v>
      </c>
      <c r="J132" s="25"/>
      <c r="K132" s="26"/>
    </row>
    <row r="133" spans="1:11" ht="38.25" x14ac:dyDescent="0.2">
      <c r="A133" s="56" t="s">
        <v>457</v>
      </c>
      <c r="B133" s="56" t="s">
        <v>457</v>
      </c>
      <c r="C133" s="23"/>
      <c r="D133" s="24">
        <f>D131+H131</f>
        <v>297</v>
      </c>
      <c r="E133" s="27">
        <f t="shared" ref="E133:E140" si="37">D133+H133-1</f>
        <v>297</v>
      </c>
      <c r="F133" s="27">
        <f t="shared" si="29"/>
        <v>296</v>
      </c>
      <c r="G133" s="27">
        <f t="shared" si="30"/>
        <v>296</v>
      </c>
      <c r="H133" s="28">
        <v>1</v>
      </c>
      <c r="I133" s="35" t="s">
        <v>64</v>
      </c>
      <c r="J133" s="48" t="s">
        <v>529</v>
      </c>
      <c r="K133" s="48"/>
    </row>
    <row r="134" spans="1:11" ht="63.75" x14ac:dyDescent="0.2">
      <c r="A134" s="23" t="s">
        <v>458</v>
      </c>
      <c r="B134" s="23" t="s">
        <v>458</v>
      </c>
      <c r="C134" s="23"/>
      <c r="D134" s="24">
        <f t="shared" ref="D134" si="38">D133+H133</f>
        <v>298</v>
      </c>
      <c r="E134" s="27">
        <f t="shared" si="37"/>
        <v>298</v>
      </c>
      <c r="F134" s="27">
        <f t="shared" si="29"/>
        <v>297</v>
      </c>
      <c r="G134" s="27">
        <f t="shared" si="30"/>
        <v>297</v>
      </c>
      <c r="H134" s="28">
        <v>1</v>
      </c>
      <c r="I134" s="29" t="s">
        <v>34</v>
      </c>
      <c r="J134" s="37" t="s">
        <v>334</v>
      </c>
      <c r="K134" s="26" t="s">
        <v>447</v>
      </c>
    </row>
    <row r="135" spans="1:11" ht="38.25" x14ac:dyDescent="0.2">
      <c r="A135" s="23" t="s">
        <v>458</v>
      </c>
      <c r="B135" s="23" t="s">
        <v>458</v>
      </c>
      <c r="C135" s="23"/>
      <c r="D135" s="24">
        <f t="shared" ref="D135:D140" si="39">D134+H134</f>
        <v>299</v>
      </c>
      <c r="E135" s="27">
        <f t="shared" si="37"/>
        <v>299</v>
      </c>
      <c r="F135" s="27">
        <f t="shared" si="29"/>
        <v>298</v>
      </c>
      <c r="G135" s="27">
        <f t="shared" si="30"/>
        <v>298</v>
      </c>
      <c r="H135" s="28">
        <v>1</v>
      </c>
      <c r="I135" s="29" t="s">
        <v>35</v>
      </c>
      <c r="J135" s="37" t="s">
        <v>336</v>
      </c>
      <c r="K135" s="26" t="s">
        <v>447</v>
      </c>
    </row>
    <row r="136" spans="1:11" ht="38.25" x14ac:dyDescent="0.2">
      <c r="A136" s="23" t="s">
        <v>458</v>
      </c>
      <c r="B136" s="23" t="s">
        <v>458</v>
      </c>
      <c r="C136" s="23"/>
      <c r="D136" s="24">
        <f t="shared" si="39"/>
        <v>300</v>
      </c>
      <c r="E136" s="27">
        <f t="shared" si="37"/>
        <v>300</v>
      </c>
      <c r="F136" s="27">
        <f t="shared" si="29"/>
        <v>299</v>
      </c>
      <c r="G136" s="27">
        <f t="shared" si="30"/>
        <v>299</v>
      </c>
      <c r="H136" s="28">
        <v>1</v>
      </c>
      <c r="I136" s="29" t="s">
        <v>36</v>
      </c>
      <c r="J136" s="37" t="s">
        <v>337</v>
      </c>
      <c r="K136" s="26" t="s">
        <v>447</v>
      </c>
    </row>
    <row r="137" spans="1:11" ht="63.75" x14ac:dyDescent="0.2">
      <c r="A137" s="23" t="s">
        <v>458</v>
      </c>
      <c r="B137" s="23" t="s">
        <v>458</v>
      </c>
      <c r="C137" s="23"/>
      <c r="D137" s="24">
        <f t="shared" si="39"/>
        <v>301</v>
      </c>
      <c r="E137" s="27">
        <f t="shared" si="37"/>
        <v>301</v>
      </c>
      <c r="F137" s="27">
        <f t="shared" si="29"/>
        <v>300</v>
      </c>
      <c r="G137" s="27">
        <f t="shared" si="30"/>
        <v>300</v>
      </c>
      <c r="H137" s="28">
        <v>1</v>
      </c>
      <c r="I137" s="29" t="s">
        <v>37</v>
      </c>
      <c r="J137" s="37" t="s">
        <v>568</v>
      </c>
      <c r="K137" s="26" t="s">
        <v>447</v>
      </c>
    </row>
    <row r="138" spans="1:11" ht="51" x14ac:dyDescent="0.2">
      <c r="A138" s="23" t="s">
        <v>457</v>
      </c>
      <c r="B138" s="23" t="s">
        <v>457</v>
      </c>
      <c r="C138" s="23"/>
      <c r="D138" s="24">
        <f t="shared" si="39"/>
        <v>302</v>
      </c>
      <c r="E138" s="27">
        <f t="shared" si="37"/>
        <v>311</v>
      </c>
      <c r="F138" s="27">
        <f t="shared" si="29"/>
        <v>301</v>
      </c>
      <c r="G138" s="27">
        <f t="shared" si="30"/>
        <v>310</v>
      </c>
      <c r="H138" s="28">
        <v>10</v>
      </c>
      <c r="I138" s="49" t="s">
        <v>61</v>
      </c>
      <c r="J138" s="41" t="s">
        <v>339</v>
      </c>
      <c r="K138" s="26" t="s">
        <v>447</v>
      </c>
    </row>
    <row r="139" spans="1:11" ht="89.25" x14ac:dyDescent="0.2">
      <c r="A139" s="23" t="s">
        <v>457</v>
      </c>
      <c r="B139" s="23" t="s">
        <v>457</v>
      </c>
      <c r="C139" s="23"/>
      <c r="D139" s="24">
        <f t="shared" si="39"/>
        <v>312</v>
      </c>
      <c r="E139" s="27">
        <f t="shared" si="37"/>
        <v>313</v>
      </c>
      <c r="F139" s="27">
        <f t="shared" si="29"/>
        <v>311</v>
      </c>
      <c r="G139" s="27">
        <f t="shared" si="30"/>
        <v>312</v>
      </c>
      <c r="H139" s="28">
        <v>2</v>
      </c>
      <c r="I139" s="49" t="s">
        <v>62</v>
      </c>
      <c r="J139" s="37" t="s">
        <v>338</v>
      </c>
      <c r="K139" s="26" t="s">
        <v>448</v>
      </c>
    </row>
    <row r="140" spans="1:11" x14ac:dyDescent="0.2">
      <c r="A140" s="23"/>
      <c r="B140" s="23"/>
      <c r="C140" s="23"/>
      <c r="D140" s="54">
        <f t="shared" si="39"/>
        <v>314</v>
      </c>
      <c r="E140" s="46">
        <f t="shared" si="37"/>
        <v>322</v>
      </c>
      <c r="F140" s="27">
        <f t="shared" si="29"/>
        <v>313</v>
      </c>
      <c r="G140" s="27">
        <f t="shared" si="30"/>
        <v>321</v>
      </c>
      <c r="H140" s="44">
        <v>9</v>
      </c>
      <c r="I140" s="49" t="s">
        <v>100</v>
      </c>
      <c r="J140" s="25"/>
      <c r="K140" s="26"/>
    </row>
    <row r="141" spans="1:11" x14ac:dyDescent="0.2">
      <c r="A141" s="23"/>
      <c r="B141" s="23"/>
      <c r="C141" s="23"/>
      <c r="D141" s="24"/>
      <c r="E141" s="24"/>
      <c r="F141" s="27">
        <f t="shared" si="29"/>
        <v>-1</v>
      </c>
      <c r="G141" s="27">
        <f t="shared" si="30"/>
        <v>-1</v>
      </c>
      <c r="H141" s="24"/>
      <c r="I141" s="51" t="s">
        <v>38</v>
      </c>
      <c r="J141" s="25"/>
      <c r="K141" s="26"/>
    </row>
    <row r="142" spans="1:11" ht="63.75" x14ac:dyDescent="0.2">
      <c r="A142" s="23" t="s">
        <v>458</v>
      </c>
      <c r="B142" s="23" t="s">
        <v>458</v>
      </c>
      <c r="C142" s="23"/>
      <c r="D142" s="45">
        <f>D140+H140</f>
        <v>323</v>
      </c>
      <c r="E142" s="46">
        <f t="shared" ref="E142:E147" si="40">D142+H142-1</f>
        <v>323</v>
      </c>
      <c r="F142" s="27">
        <f t="shared" si="29"/>
        <v>322</v>
      </c>
      <c r="G142" s="27">
        <f t="shared" si="30"/>
        <v>322</v>
      </c>
      <c r="H142" s="28">
        <v>1</v>
      </c>
      <c r="I142" s="49" t="s">
        <v>39</v>
      </c>
      <c r="J142" s="37" t="s">
        <v>341</v>
      </c>
      <c r="K142" s="26" t="s">
        <v>447</v>
      </c>
    </row>
    <row r="143" spans="1:11" x14ac:dyDescent="0.2">
      <c r="A143" s="23" t="s">
        <v>458</v>
      </c>
      <c r="B143" s="23" t="s">
        <v>458</v>
      </c>
      <c r="C143" s="23"/>
      <c r="D143" s="45">
        <f t="shared" ref="D143" si="41">D142+H142</f>
        <v>324</v>
      </c>
      <c r="E143" s="46">
        <f t="shared" si="40"/>
        <v>324</v>
      </c>
      <c r="F143" s="27">
        <f t="shared" si="29"/>
        <v>323</v>
      </c>
      <c r="G143" s="27">
        <f t="shared" si="30"/>
        <v>323</v>
      </c>
      <c r="H143" s="28">
        <v>1</v>
      </c>
      <c r="I143" s="49" t="s">
        <v>40</v>
      </c>
      <c r="J143" s="152" t="s">
        <v>337</v>
      </c>
      <c r="K143" s="138" t="s">
        <v>447</v>
      </c>
    </row>
    <row r="144" spans="1:11" x14ac:dyDescent="0.2">
      <c r="A144" s="23" t="s">
        <v>458</v>
      </c>
      <c r="B144" s="23" t="s">
        <v>458</v>
      </c>
      <c r="C144" s="23"/>
      <c r="D144" s="45">
        <f t="shared" ref="D144:D147" si="42">D143+H143</f>
        <v>325</v>
      </c>
      <c r="E144" s="46">
        <f t="shared" si="40"/>
        <v>325</v>
      </c>
      <c r="F144" s="27">
        <f t="shared" si="29"/>
        <v>324</v>
      </c>
      <c r="G144" s="27">
        <f t="shared" si="30"/>
        <v>324</v>
      </c>
      <c r="H144" s="28">
        <v>1</v>
      </c>
      <c r="I144" s="49" t="s">
        <v>41</v>
      </c>
      <c r="J144" s="152"/>
      <c r="K144" s="138"/>
    </row>
    <row r="145" spans="1:11" x14ac:dyDescent="0.2">
      <c r="A145" s="23" t="s">
        <v>458</v>
      </c>
      <c r="B145" s="23" t="s">
        <v>458</v>
      </c>
      <c r="C145" s="23"/>
      <c r="D145" s="45">
        <f t="shared" si="42"/>
        <v>326</v>
      </c>
      <c r="E145" s="46">
        <f t="shared" si="40"/>
        <v>326</v>
      </c>
      <c r="F145" s="27">
        <f t="shared" si="29"/>
        <v>325</v>
      </c>
      <c r="G145" s="27">
        <f t="shared" si="30"/>
        <v>325</v>
      </c>
      <c r="H145" s="28">
        <v>1</v>
      </c>
      <c r="I145" s="49" t="s">
        <v>42</v>
      </c>
      <c r="J145" s="152"/>
      <c r="K145" s="138"/>
    </row>
    <row r="146" spans="1:11" x14ac:dyDescent="0.2">
      <c r="A146" s="23" t="s">
        <v>458</v>
      </c>
      <c r="B146" s="23" t="s">
        <v>458</v>
      </c>
      <c r="C146" s="23"/>
      <c r="D146" s="45">
        <f t="shared" si="42"/>
        <v>327</v>
      </c>
      <c r="E146" s="46">
        <f t="shared" si="40"/>
        <v>327</v>
      </c>
      <c r="F146" s="27">
        <f t="shared" si="29"/>
        <v>326</v>
      </c>
      <c r="G146" s="27">
        <f t="shared" si="30"/>
        <v>326</v>
      </c>
      <c r="H146" s="28">
        <v>1</v>
      </c>
      <c r="I146" s="49" t="s">
        <v>43</v>
      </c>
      <c r="J146" s="152"/>
      <c r="K146" s="138"/>
    </row>
    <row r="147" spans="1:11" x14ac:dyDescent="0.2">
      <c r="A147" s="23" t="s">
        <v>458</v>
      </c>
      <c r="B147" s="23" t="s">
        <v>458</v>
      </c>
      <c r="C147" s="23"/>
      <c r="D147" s="45">
        <f t="shared" si="42"/>
        <v>328</v>
      </c>
      <c r="E147" s="46">
        <f t="shared" si="40"/>
        <v>328</v>
      </c>
      <c r="F147" s="27">
        <f t="shared" si="29"/>
        <v>327</v>
      </c>
      <c r="G147" s="27">
        <f t="shared" si="30"/>
        <v>327</v>
      </c>
      <c r="H147" s="28">
        <v>1</v>
      </c>
      <c r="I147" s="49" t="s">
        <v>44</v>
      </c>
      <c r="J147" s="152"/>
      <c r="K147" s="138"/>
    </row>
    <row r="148" spans="1:11" x14ac:dyDescent="0.2">
      <c r="A148" s="23"/>
      <c r="B148" s="23"/>
      <c r="C148" s="23"/>
      <c r="D148" s="24"/>
      <c r="E148" s="24"/>
      <c r="F148" s="27">
        <f t="shared" si="29"/>
        <v>-1</v>
      </c>
      <c r="G148" s="27">
        <f t="shared" si="30"/>
        <v>-1</v>
      </c>
      <c r="H148" s="24"/>
      <c r="I148" s="51" t="s">
        <v>525</v>
      </c>
      <c r="J148" s="25"/>
      <c r="K148" s="26"/>
    </row>
    <row r="149" spans="1:11" ht="15" customHeight="1" x14ac:dyDescent="0.2">
      <c r="A149" s="23" t="s">
        <v>458</v>
      </c>
      <c r="B149" s="23" t="s">
        <v>458</v>
      </c>
      <c r="C149" s="23"/>
      <c r="D149" s="45">
        <f>D147+H147</f>
        <v>329</v>
      </c>
      <c r="E149" s="46">
        <f t="shared" ref="E149:E165" si="43">D149+H149-1</f>
        <v>329</v>
      </c>
      <c r="F149" s="27">
        <f t="shared" si="29"/>
        <v>328</v>
      </c>
      <c r="G149" s="27">
        <f t="shared" si="30"/>
        <v>328</v>
      </c>
      <c r="H149" s="28">
        <v>1</v>
      </c>
      <c r="I149" s="49" t="s">
        <v>232</v>
      </c>
      <c r="J149" s="143" t="s">
        <v>337</v>
      </c>
      <c r="K149" s="143" t="s">
        <v>447</v>
      </c>
    </row>
    <row r="150" spans="1:11" x14ac:dyDescent="0.2">
      <c r="A150" s="23" t="s">
        <v>458</v>
      </c>
      <c r="B150" s="23" t="s">
        <v>458</v>
      </c>
      <c r="C150" s="23"/>
      <c r="D150" s="45">
        <f t="shared" ref="D150" si="44">D149+H149</f>
        <v>330</v>
      </c>
      <c r="E150" s="46">
        <f t="shared" si="43"/>
        <v>330</v>
      </c>
      <c r="F150" s="27">
        <f t="shared" si="29"/>
        <v>329</v>
      </c>
      <c r="G150" s="27">
        <f t="shared" si="30"/>
        <v>329</v>
      </c>
      <c r="H150" s="28">
        <v>1</v>
      </c>
      <c r="I150" s="49" t="s">
        <v>233</v>
      </c>
      <c r="J150" s="143"/>
      <c r="K150" s="143"/>
    </row>
    <row r="151" spans="1:11" x14ac:dyDescent="0.2">
      <c r="A151" s="23" t="s">
        <v>458</v>
      </c>
      <c r="B151" s="23" t="s">
        <v>458</v>
      </c>
      <c r="C151" s="23"/>
      <c r="D151" s="45">
        <f t="shared" ref="D151:D165" si="45">D150+H150</f>
        <v>331</v>
      </c>
      <c r="E151" s="46">
        <f t="shared" si="43"/>
        <v>331</v>
      </c>
      <c r="F151" s="27">
        <f t="shared" si="29"/>
        <v>330</v>
      </c>
      <c r="G151" s="27">
        <f t="shared" si="30"/>
        <v>330</v>
      </c>
      <c r="H151" s="28">
        <v>1</v>
      </c>
      <c r="I151" s="49" t="s">
        <v>234</v>
      </c>
      <c r="J151" s="143"/>
      <c r="K151" s="143"/>
    </row>
    <row r="152" spans="1:11" x14ac:dyDescent="0.2">
      <c r="A152" s="23" t="s">
        <v>458</v>
      </c>
      <c r="B152" s="23" t="s">
        <v>458</v>
      </c>
      <c r="C152" s="23"/>
      <c r="D152" s="45">
        <f t="shared" si="45"/>
        <v>332</v>
      </c>
      <c r="E152" s="46">
        <f t="shared" si="43"/>
        <v>332</v>
      </c>
      <c r="F152" s="27">
        <f t="shared" si="29"/>
        <v>331</v>
      </c>
      <c r="G152" s="27">
        <f t="shared" si="30"/>
        <v>331</v>
      </c>
      <c r="H152" s="28">
        <v>1</v>
      </c>
      <c r="I152" s="49" t="s">
        <v>235</v>
      </c>
      <c r="J152" s="143"/>
      <c r="K152" s="143"/>
    </row>
    <row r="153" spans="1:11" x14ac:dyDescent="0.2">
      <c r="A153" s="23" t="s">
        <v>458</v>
      </c>
      <c r="B153" s="23" t="s">
        <v>458</v>
      </c>
      <c r="C153" s="23"/>
      <c r="D153" s="45">
        <f t="shared" si="45"/>
        <v>333</v>
      </c>
      <c r="E153" s="46">
        <f t="shared" si="43"/>
        <v>333</v>
      </c>
      <c r="F153" s="27">
        <f t="shared" si="29"/>
        <v>332</v>
      </c>
      <c r="G153" s="27">
        <f t="shared" si="30"/>
        <v>332</v>
      </c>
      <c r="H153" s="28">
        <v>1</v>
      </c>
      <c r="I153" s="49" t="s">
        <v>236</v>
      </c>
      <c r="J153" s="143"/>
      <c r="K153" s="143"/>
    </row>
    <row r="154" spans="1:11" x14ac:dyDescent="0.2">
      <c r="A154" s="23" t="s">
        <v>458</v>
      </c>
      <c r="B154" s="23" t="s">
        <v>458</v>
      </c>
      <c r="C154" s="23"/>
      <c r="D154" s="45">
        <f t="shared" si="45"/>
        <v>334</v>
      </c>
      <c r="E154" s="46">
        <f t="shared" si="43"/>
        <v>334</v>
      </c>
      <c r="F154" s="27">
        <f t="shared" si="29"/>
        <v>333</v>
      </c>
      <c r="G154" s="27">
        <f t="shared" si="30"/>
        <v>333</v>
      </c>
      <c r="H154" s="28">
        <v>1</v>
      </c>
      <c r="I154" s="49" t="s">
        <v>237</v>
      </c>
      <c r="J154" s="143"/>
      <c r="K154" s="143"/>
    </row>
    <row r="155" spans="1:11" x14ac:dyDescent="0.2">
      <c r="A155" s="23" t="s">
        <v>458</v>
      </c>
      <c r="B155" s="23" t="s">
        <v>458</v>
      </c>
      <c r="C155" s="23"/>
      <c r="D155" s="45">
        <f t="shared" si="45"/>
        <v>335</v>
      </c>
      <c r="E155" s="46">
        <f t="shared" si="43"/>
        <v>335</v>
      </c>
      <c r="F155" s="27">
        <f t="shared" si="29"/>
        <v>334</v>
      </c>
      <c r="G155" s="27">
        <f t="shared" si="30"/>
        <v>334</v>
      </c>
      <c r="H155" s="28">
        <v>1</v>
      </c>
      <c r="I155" s="52" t="s">
        <v>680</v>
      </c>
      <c r="J155" s="143"/>
      <c r="K155" s="143"/>
    </row>
    <row r="156" spans="1:11" x14ac:dyDescent="0.2">
      <c r="A156" s="23"/>
      <c r="B156" s="23"/>
      <c r="C156" s="23"/>
      <c r="D156" s="45">
        <f t="shared" ref="D156" si="46">D155+H155</f>
        <v>336</v>
      </c>
      <c r="E156" s="46">
        <f t="shared" ref="E156" si="47">D156+H156-1</f>
        <v>336</v>
      </c>
      <c r="F156" s="27">
        <f t="shared" si="29"/>
        <v>335</v>
      </c>
      <c r="G156" s="27">
        <f t="shared" si="30"/>
        <v>335</v>
      </c>
      <c r="H156" s="28">
        <v>1</v>
      </c>
      <c r="I156" s="52" t="s">
        <v>679</v>
      </c>
      <c r="J156" s="143"/>
      <c r="K156" s="143"/>
    </row>
    <row r="157" spans="1:11" x14ac:dyDescent="0.2">
      <c r="A157" s="23" t="s">
        <v>458</v>
      </c>
      <c r="B157" s="23" t="s">
        <v>458</v>
      </c>
      <c r="C157" s="23"/>
      <c r="D157" s="24">
        <f>D156+H156</f>
        <v>337</v>
      </c>
      <c r="E157" s="27">
        <f t="shared" si="43"/>
        <v>337</v>
      </c>
      <c r="F157" s="27">
        <f t="shared" si="29"/>
        <v>336</v>
      </c>
      <c r="G157" s="27">
        <f t="shared" si="30"/>
        <v>336</v>
      </c>
      <c r="H157" s="28">
        <v>1</v>
      </c>
      <c r="I157" s="49" t="s">
        <v>240</v>
      </c>
      <c r="J157" s="143"/>
      <c r="K157" s="143"/>
    </row>
    <row r="158" spans="1:11" x14ac:dyDescent="0.2">
      <c r="A158" s="23" t="s">
        <v>458</v>
      </c>
      <c r="B158" s="23" t="s">
        <v>458</v>
      </c>
      <c r="C158" s="23"/>
      <c r="D158" s="24">
        <f t="shared" si="45"/>
        <v>338</v>
      </c>
      <c r="E158" s="27">
        <f t="shared" si="43"/>
        <v>338</v>
      </c>
      <c r="F158" s="27">
        <f t="shared" si="29"/>
        <v>337</v>
      </c>
      <c r="G158" s="27">
        <f t="shared" si="30"/>
        <v>337</v>
      </c>
      <c r="H158" s="28">
        <v>1</v>
      </c>
      <c r="I158" s="49" t="s">
        <v>241</v>
      </c>
      <c r="J158" s="143"/>
      <c r="K158" s="143"/>
    </row>
    <row r="159" spans="1:11" x14ac:dyDescent="0.2">
      <c r="A159" s="23" t="s">
        <v>458</v>
      </c>
      <c r="B159" s="23" t="s">
        <v>458</v>
      </c>
      <c r="C159" s="23"/>
      <c r="D159" s="24">
        <f t="shared" si="45"/>
        <v>339</v>
      </c>
      <c r="E159" s="27">
        <f t="shared" si="43"/>
        <v>339</v>
      </c>
      <c r="F159" s="27">
        <f t="shared" si="29"/>
        <v>338</v>
      </c>
      <c r="G159" s="27">
        <f t="shared" si="30"/>
        <v>338</v>
      </c>
      <c r="H159" s="28">
        <v>1</v>
      </c>
      <c r="I159" s="49" t="s">
        <v>242</v>
      </c>
      <c r="J159" s="143"/>
      <c r="K159" s="143"/>
    </row>
    <row r="160" spans="1:11" x14ac:dyDescent="0.2">
      <c r="A160" s="23" t="s">
        <v>458</v>
      </c>
      <c r="B160" s="23" t="s">
        <v>458</v>
      </c>
      <c r="C160" s="23"/>
      <c r="D160" s="24">
        <f t="shared" si="45"/>
        <v>340</v>
      </c>
      <c r="E160" s="27">
        <f t="shared" si="43"/>
        <v>340</v>
      </c>
      <c r="F160" s="27">
        <f t="shared" si="29"/>
        <v>339</v>
      </c>
      <c r="G160" s="27">
        <f t="shared" si="30"/>
        <v>339</v>
      </c>
      <c r="H160" s="28">
        <v>1</v>
      </c>
      <c r="I160" s="49" t="s">
        <v>243</v>
      </c>
      <c r="J160" s="143"/>
      <c r="K160" s="143"/>
    </row>
    <row r="161" spans="1:11" x14ac:dyDescent="0.2">
      <c r="A161" s="23" t="s">
        <v>458</v>
      </c>
      <c r="B161" s="23" t="s">
        <v>458</v>
      </c>
      <c r="C161" s="23"/>
      <c r="D161" s="24">
        <f t="shared" si="45"/>
        <v>341</v>
      </c>
      <c r="E161" s="27">
        <f t="shared" si="43"/>
        <v>341</v>
      </c>
      <c r="F161" s="27">
        <f t="shared" si="29"/>
        <v>340</v>
      </c>
      <c r="G161" s="27">
        <f t="shared" si="30"/>
        <v>340</v>
      </c>
      <c r="H161" s="28">
        <v>1</v>
      </c>
      <c r="I161" s="49" t="s">
        <v>244</v>
      </c>
      <c r="J161" s="143"/>
      <c r="K161" s="143"/>
    </row>
    <row r="162" spans="1:11" x14ac:dyDescent="0.2">
      <c r="A162" s="23" t="s">
        <v>458</v>
      </c>
      <c r="B162" s="23" t="s">
        <v>458</v>
      </c>
      <c r="C162" s="23"/>
      <c r="D162" s="24">
        <f t="shared" si="45"/>
        <v>342</v>
      </c>
      <c r="E162" s="27">
        <f t="shared" si="43"/>
        <v>342</v>
      </c>
      <c r="F162" s="27">
        <f t="shared" si="29"/>
        <v>341</v>
      </c>
      <c r="G162" s="27">
        <f t="shared" si="30"/>
        <v>341</v>
      </c>
      <c r="H162" s="28">
        <v>1</v>
      </c>
      <c r="I162" s="49" t="s">
        <v>245</v>
      </c>
      <c r="J162" s="143"/>
      <c r="K162" s="143"/>
    </row>
    <row r="163" spans="1:11" x14ac:dyDescent="0.2">
      <c r="A163" s="23" t="s">
        <v>458</v>
      </c>
      <c r="B163" s="23" t="s">
        <v>458</v>
      </c>
      <c r="C163" s="23"/>
      <c r="D163" s="24">
        <f t="shared" si="45"/>
        <v>343</v>
      </c>
      <c r="E163" s="27">
        <f t="shared" si="43"/>
        <v>343</v>
      </c>
      <c r="F163" s="27">
        <f t="shared" si="29"/>
        <v>342</v>
      </c>
      <c r="G163" s="27">
        <f t="shared" si="30"/>
        <v>342</v>
      </c>
      <c r="H163" s="28">
        <v>1</v>
      </c>
      <c r="I163" s="49" t="s">
        <v>246</v>
      </c>
      <c r="J163" s="143"/>
      <c r="K163" s="143"/>
    </row>
    <row r="164" spans="1:11" x14ac:dyDescent="0.2">
      <c r="A164" s="23" t="s">
        <v>458</v>
      </c>
      <c r="B164" s="23" t="s">
        <v>458</v>
      </c>
      <c r="C164" s="23"/>
      <c r="D164" s="24">
        <f t="shared" si="45"/>
        <v>344</v>
      </c>
      <c r="E164" s="27">
        <f t="shared" si="43"/>
        <v>344</v>
      </c>
      <c r="F164" s="27">
        <f t="shared" si="29"/>
        <v>343</v>
      </c>
      <c r="G164" s="27">
        <f t="shared" si="30"/>
        <v>343</v>
      </c>
      <c r="H164" s="28">
        <v>1</v>
      </c>
      <c r="I164" s="49" t="s">
        <v>247</v>
      </c>
      <c r="J164" s="143"/>
      <c r="K164" s="143"/>
    </row>
    <row r="165" spans="1:11" x14ac:dyDescent="0.2">
      <c r="A165" s="23" t="s">
        <v>458</v>
      </c>
      <c r="B165" s="23" t="s">
        <v>458</v>
      </c>
      <c r="C165" s="23"/>
      <c r="D165" s="24">
        <f t="shared" si="45"/>
        <v>345</v>
      </c>
      <c r="E165" s="27">
        <f t="shared" si="43"/>
        <v>345</v>
      </c>
      <c r="F165" s="27">
        <f t="shared" si="29"/>
        <v>344</v>
      </c>
      <c r="G165" s="27">
        <f t="shared" si="30"/>
        <v>344</v>
      </c>
      <c r="H165" s="28">
        <v>1</v>
      </c>
      <c r="I165" s="49" t="s">
        <v>169</v>
      </c>
      <c r="J165" s="143"/>
      <c r="K165" s="143"/>
    </row>
    <row r="166" spans="1:11" x14ac:dyDescent="0.2">
      <c r="A166" s="23"/>
      <c r="B166" s="23"/>
      <c r="C166" s="23"/>
      <c r="D166" s="24"/>
      <c r="E166" s="27"/>
      <c r="F166" s="27">
        <f t="shared" si="29"/>
        <v>-1</v>
      </c>
      <c r="G166" s="27">
        <f t="shared" si="30"/>
        <v>-1</v>
      </c>
      <c r="H166" s="28"/>
      <c r="I166" s="57" t="s">
        <v>100</v>
      </c>
      <c r="J166" s="33"/>
      <c r="K166" s="33"/>
    </row>
    <row r="167" spans="1:11" x14ac:dyDescent="0.2">
      <c r="A167" s="23"/>
      <c r="B167" s="23"/>
      <c r="C167" s="23"/>
      <c r="D167" s="24"/>
      <c r="E167" s="27"/>
      <c r="F167" s="27">
        <f t="shared" si="29"/>
        <v>-1</v>
      </c>
      <c r="G167" s="27">
        <f t="shared" si="30"/>
        <v>-1</v>
      </c>
      <c r="H167" s="28"/>
      <c r="I167" s="53" t="s">
        <v>573</v>
      </c>
      <c r="J167" s="33"/>
      <c r="K167" s="33"/>
    </row>
    <row r="168" spans="1:11" ht="12.75" customHeight="1" x14ac:dyDescent="0.2">
      <c r="A168" s="23" t="s">
        <v>458</v>
      </c>
      <c r="B168" s="43" t="s">
        <v>458</v>
      </c>
      <c r="C168" s="43"/>
      <c r="D168" s="54">
        <f>D165+H165</f>
        <v>346</v>
      </c>
      <c r="E168" s="27">
        <f t="shared" ref="E168:E183" si="48">D168+H168-1</f>
        <v>346</v>
      </c>
      <c r="F168" s="27">
        <f t="shared" si="29"/>
        <v>345</v>
      </c>
      <c r="G168" s="27">
        <f t="shared" si="30"/>
        <v>345</v>
      </c>
      <c r="H168" s="44">
        <v>1</v>
      </c>
      <c r="I168" s="52" t="s">
        <v>160</v>
      </c>
      <c r="J168" s="140" t="s">
        <v>617</v>
      </c>
      <c r="K168" s="134" t="s">
        <v>333</v>
      </c>
    </row>
    <row r="169" spans="1:11" x14ac:dyDescent="0.2">
      <c r="A169" s="23" t="s">
        <v>458</v>
      </c>
      <c r="B169" s="43" t="s">
        <v>458</v>
      </c>
      <c r="C169" s="43"/>
      <c r="D169" s="24">
        <f t="shared" ref="D169:D183" si="49">D168+H168</f>
        <v>347</v>
      </c>
      <c r="E169" s="27">
        <f t="shared" si="48"/>
        <v>347</v>
      </c>
      <c r="F169" s="27">
        <f t="shared" si="29"/>
        <v>346</v>
      </c>
      <c r="G169" s="27">
        <f t="shared" si="30"/>
        <v>346</v>
      </c>
      <c r="H169" s="44">
        <v>1</v>
      </c>
      <c r="I169" s="52" t="s">
        <v>161</v>
      </c>
      <c r="J169" s="140"/>
      <c r="K169" s="134"/>
    </row>
    <row r="170" spans="1:11" x14ac:dyDescent="0.2">
      <c r="A170" s="23" t="s">
        <v>458</v>
      </c>
      <c r="B170" s="43" t="s">
        <v>458</v>
      </c>
      <c r="C170" s="43"/>
      <c r="D170" s="24">
        <f t="shared" si="49"/>
        <v>348</v>
      </c>
      <c r="E170" s="27">
        <f t="shared" si="48"/>
        <v>348</v>
      </c>
      <c r="F170" s="27">
        <f t="shared" si="29"/>
        <v>347</v>
      </c>
      <c r="G170" s="27">
        <f t="shared" si="30"/>
        <v>347</v>
      </c>
      <c r="H170" s="44">
        <v>1</v>
      </c>
      <c r="I170" s="52" t="s">
        <v>576</v>
      </c>
      <c r="J170" s="140"/>
      <c r="K170" s="134"/>
    </row>
    <row r="171" spans="1:11" x14ac:dyDescent="0.2">
      <c r="A171" s="23" t="s">
        <v>458</v>
      </c>
      <c r="B171" s="43" t="s">
        <v>458</v>
      </c>
      <c r="C171" s="43"/>
      <c r="D171" s="24">
        <f t="shared" si="49"/>
        <v>349</v>
      </c>
      <c r="E171" s="27">
        <f t="shared" si="48"/>
        <v>349</v>
      </c>
      <c r="F171" s="27">
        <f t="shared" si="29"/>
        <v>348</v>
      </c>
      <c r="G171" s="27">
        <f t="shared" si="30"/>
        <v>348</v>
      </c>
      <c r="H171" s="44">
        <v>1</v>
      </c>
      <c r="I171" s="52" t="s">
        <v>574</v>
      </c>
      <c r="J171" s="140"/>
      <c r="K171" s="134"/>
    </row>
    <row r="172" spans="1:11" x14ac:dyDescent="0.2">
      <c r="A172" s="23" t="s">
        <v>458</v>
      </c>
      <c r="B172" s="43" t="s">
        <v>458</v>
      </c>
      <c r="C172" s="43"/>
      <c r="D172" s="24">
        <f t="shared" si="49"/>
        <v>350</v>
      </c>
      <c r="E172" s="27">
        <f t="shared" si="48"/>
        <v>350</v>
      </c>
      <c r="F172" s="27">
        <f t="shared" ref="F172:F235" si="50">D172-1</f>
        <v>349</v>
      </c>
      <c r="G172" s="27">
        <f t="shared" ref="G172:G235" si="51">E172-1</f>
        <v>349</v>
      </c>
      <c r="H172" s="44">
        <v>1</v>
      </c>
      <c r="I172" s="52" t="s">
        <v>163</v>
      </c>
      <c r="J172" s="140"/>
      <c r="K172" s="134"/>
    </row>
    <row r="173" spans="1:11" x14ac:dyDescent="0.2">
      <c r="A173" s="23" t="s">
        <v>458</v>
      </c>
      <c r="B173" s="43" t="s">
        <v>458</v>
      </c>
      <c r="C173" s="43"/>
      <c r="D173" s="24">
        <f t="shared" si="49"/>
        <v>351</v>
      </c>
      <c r="E173" s="27">
        <f t="shared" si="48"/>
        <v>351</v>
      </c>
      <c r="F173" s="27">
        <f t="shared" si="50"/>
        <v>350</v>
      </c>
      <c r="G173" s="27">
        <f t="shared" si="51"/>
        <v>350</v>
      </c>
      <c r="H173" s="44">
        <v>1</v>
      </c>
      <c r="I173" s="52" t="s">
        <v>164</v>
      </c>
      <c r="J173" s="140"/>
      <c r="K173" s="134"/>
    </row>
    <row r="174" spans="1:11" x14ac:dyDescent="0.2">
      <c r="A174" s="23" t="s">
        <v>458</v>
      </c>
      <c r="B174" s="43" t="s">
        <v>458</v>
      </c>
      <c r="C174" s="43"/>
      <c r="D174" s="24">
        <f t="shared" si="49"/>
        <v>352</v>
      </c>
      <c r="E174" s="27">
        <f t="shared" si="48"/>
        <v>352</v>
      </c>
      <c r="F174" s="27">
        <f t="shared" si="50"/>
        <v>351</v>
      </c>
      <c r="G174" s="27">
        <f t="shared" si="51"/>
        <v>351</v>
      </c>
      <c r="H174" s="44">
        <v>1</v>
      </c>
      <c r="I174" s="52" t="s">
        <v>51</v>
      </c>
      <c r="J174" s="140"/>
      <c r="K174" s="134"/>
    </row>
    <row r="175" spans="1:11" x14ac:dyDescent="0.2">
      <c r="A175" s="23" t="s">
        <v>458</v>
      </c>
      <c r="B175" s="43" t="s">
        <v>458</v>
      </c>
      <c r="C175" s="43"/>
      <c r="D175" s="24">
        <f t="shared" si="49"/>
        <v>353</v>
      </c>
      <c r="E175" s="27">
        <f t="shared" si="48"/>
        <v>353</v>
      </c>
      <c r="F175" s="27">
        <f t="shared" si="50"/>
        <v>352</v>
      </c>
      <c r="G175" s="27">
        <f t="shared" si="51"/>
        <v>352</v>
      </c>
      <c r="H175" s="44">
        <v>1</v>
      </c>
      <c r="I175" s="52" t="s">
        <v>49</v>
      </c>
      <c r="J175" s="140"/>
      <c r="K175" s="134"/>
    </row>
    <row r="176" spans="1:11" x14ac:dyDescent="0.2">
      <c r="A176" s="23" t="s">
        <v>458</v>
      </c>
      <c r="B176" s="43" t="s">
        <v>458</v>
      </c>
      <c r="C176" s="43"/>
      <c r="D176" s="24">
        <f t="shared" si="49"/>
        <v>354</v>
      </c>
      <c r="E176" s="27">
        <f t="shared" si="48"/>
        <v>354</v>
      </c>
      <c r="F176" s="27">
        <f t="shared" si="50"/>
        <v>353</v>
      </c>
      <c r="G176" s="27">
        <f t="shared" si="51"/>
        <v>353</v>
      </c>
      <c r="H176" s="44">
        <v>1</v>
      </c>
      <c r="I176" s="52" t="s">
        <v>165</v>
      </c>
      <c r="J176" s="140"/>
      <c r="K176" s="134"/>
    </row>
    <row r="177" spans="1:11" x14ac:dyDescent="0.2">
      <c r="A177" s="23" t="s">
        <v>458</v>
      </c>
      <c r="B177" s="43" t="s">
        <v>458</v>
      </c>
      <c r="C177" s="43"/>
      <c r="D177" s="24">
        <f t="shared" si="49"/>
        <v>355</v>
      </c>
      <c r="E177" s="27">
        <f t="shared" si="48"/>
        <v>355</v>
      </c>
      <c r="F177" s="27">
        <f t="shared" si="50"/>
        <v>354</v>
      </c>
      <c r="G177" s="27">
        <f t="shared" si="51"/>
        <v>354</v>
      </c>
      <c r="H177" s="44">
        <v>1</v>
      </c>
      <c r="I177" s="52" t="s">
        <v>50</v>
      </c>
      <c r="J177" s="140"/>
      <c r="K177" s="134"/>
    </row>
    <row r="178" spans="1:11" x14ac:dyDescent="0.2">
      <c r="A178" s="23" t="s">
        <v>458</v>
      </c>
      <c r="B178" s="43" t="s">
        <v>458</v>
      </c>
      <c r="C178" s="43"/>
      <c r="D178" s="24">
        <f t="shared" si="49"/>
        <v>356</v>
      </c>
      <c r="E178" s="27">
        <f t="shared" si="48"/>
        <v>356</v>
      </c>
      <c r="F178" s="27">
        <f t="shared" si="50"/>
        <v>355</v>
      </c>
      <c r="G178" s="27">
        <f t="shared" si="51"/>
        <v>355</v>
      </c>
      <c r="H178" s="44">
        <v>1</v>
      </c>
      <c r="I178" s="52" t="s">
        <v>166</v>
      </c>
      <c r="J178" s="140"/>
      <c r="K178" s="134"/>
    </row>
    <row r="179" spans="1:11" x14ac:dyDescent="0.2">
      <c r="A179" s="23" t="s">
        <v>458</v>
      </c>
      <c r="B179" s="43" t="s">
        <v>458</v>
      </c>
      <c r="C179" s="43"/>
      <c r="D179" s="24">
        <f t="shared" si="49"/>
        <v>357</v>
      </c>
      <c r="E179" s="27">
        <f t="shared" si="48"/>
        <v>357</v>
      </c>
      <c r="F179" s="27">
        <f t="shared" si="50"/>
        <v>356</v>
      </c>
      <c r="G179" s="27">
        <f t="shared" si="51"/>
        <v>356</v>
      </c>
      <c r="H179" s="44">
        <v>1</v>
      </c>
      <c r="I179" s="52" t="s">
        <v>168</v>
      </c>
      <c r="J179" s="140"/>
      <c r="K179" s="134"/>
    </row>
    <row r="180" spans="1:11" x14ac:dyDescent="0.2">
      <c r="A180" s="23" t="s">
        <v>458</v>
      </c>
      <c r="B180" s="43" t="s">
        <v>458</v>
      </c>
      <c r="C180" s="43"/>
      <c r="D180" s="24">
        <f t="shared" si="49"/>
        <v>358</v>
      </c>
      <c r="E180" s="27">
        <f t="shared" si="48"/>
        <v>358</v>
      </c>
      <c r="F180" s="27">
        <f t="shared" si="50"/>
        <v>357</v>
      </c>
      <c r="G180" s="27">
        <f t="shared" si="51"/>
        <v>357</v>
      </c>
      <c r="H180" s="44">
        <v>1</v>
      </c>
      <c r="I180" s="52" t="s">
        <v>575</v>
      </c>
      <c r="J180" s="140"/>
      <c r="K180" s="134"/>
    </row>
    <row r="181" spans="1:11" x14ac:dyDescent="0.2">
      <c r="A181" s="23" t="s">
        <v>458</v>
      </c>
      <c r="B181" s="43" t="s">
        <v>458</v>
      </c>
      <c r="C181" s="43"/>
      <c r="D181" s="24">
        <f t="shared" si="49"/>
        <v>359</v>
      </c>
      <c r="E181" s="27">
        <f t="shared" si="48"/>
        <v>359</v>
      </c>
      <c r="F181" s="27">
        <f t="shared" si="50"/>
        <v>358</v>
      </c>
      <c r="G181" s="27">
        <f t="shared" si="51"/>
        <v>358</v>
      </c>
      <c r="H181" s="44">
        <v>1</v>
      </c>
      <c r="I181" s="52" t="s">
        <v>47</v>
      </c>
      <c r="J181" s="140"/>
      <c r="K181" s="134"/>
    </row>
    <row r="182" spans="1:11" x14ac:dyDescent="0.2">
      <c r="A182" s="23" t="s">
        <v>458</v>
      </c>
      <c r="B182" s="43" t="s">
        <v>458</v>
      </c>
      <c r="C182" s="43"/>
      <c r="D182" s="24">
        <f t="shared" si="49"/>
        <v>360</v>
      </c>
      <c r="E182" s="27">
        <f t="shared" si="48"/>
        <v>360</v>
      </c>
      <c r="F182" s="27">
        <f t="shared" si="50"/>
        <v>359</v>
      </c>
      <c r="G182" s="27">
        <f t="shared" si="51"/>
        <v>359</v>
      </c>
      <c r="H182" s="44">
        <v>1</v>
      </c>
      <c r="I182" s="52" t="s">
        <v>48</v>
      </c>
      <c r="J182" s="140"/>
      <c r="K182" s="134"/>
    </row>
    <row r="183" spans="1:11" x14ac:dyDescent="0.2">
      <c r="A183" s="23" t="s">
        <v>458</v>
      </c>
      <c r="B183" s="43" t="s">
        <v>458</v>
      </c>
      <c r="C183" s="43"/>
      <c r="D183" s="24">
        <f t="shared" si="49"/>
        <v>361</v>
      </c>
      <c r="E183" s="27">
        <f t="shared" si="48"/>
        <v>361</v>
      </c>
      <c r="F183" s="27">
        <f t="shared" si="50"/>
        <v>360</v>
      </c>
      <c r="G183" s="27">
        <f t="shared" si="51"/>
        <v>360</v>
      </c>
      <c r="H183" s="44">
        <v>1</v>
      </c>
      <c r="I183" s="52" t="s">
        <v>46</v>
      </c>
      <c r="J183" s="140"/>
      <c r="K183" s="134"/>
    </row>
    <row r="184" spans="1:11" x14ac:dyDescent="0.2">
      <c r="A184" s="23"/>
      <c r="B184" s="23"/>
      <c r="C184" s="23"/>
      <c r="D184" s="24"/>
      <c r="E184" s="24"/>
      <c r="F184" s="27">
        <f t="shared" si="50"/>
        <v>-1</v>
      </c>
      <c r="G184" s="27">
        <f t="shared" si="51"/>
        <v>-1</v>
      </c>
      <c r="H184" s="24"/>
      <c r="I184" s="55" t="s">
        <v>45</v>
      </c>
      <c r="J184" s="25"/>
      <c r="K184" s="26"/>
    </row>
    <row r="185" spans="1:11" ht="15" customHeight="1" x14ac:dyDescent="0.2">
      <c r="A185" s="23" t="s">
        <v>457</v>
      </c>
      <c r="B185" s="23" t="s">
        <v>457</v>
      </c>
      <c r="C185" s="23" t="s">
        <v>465</v>
      </c>
      <c r="D185" s="45">
        <f>D183+H183</f>
        <v>362</v>
      </c>
      <c r="E185" s="46">
        <f t="shared" ref="E185:E193" si="52">D185+H185-1</f>
        <v>362</v>
      </c>
      <c r="F185" s="27">
        <f t="shared" si="50"/>
        <v>361</v>
      </c>
      <c r="G185" s="27">
        <f t="shared" si="51"/>
        <v>361</v>
      </c>
      <c r="H185" s="28">
        <v>1</v>
      </c>
      <c r="I185" s="49" t="s">
        <v>46</v>
      </c>
      <c r="J185" s="135" t="s">
        <v>337</v>
      </c>
      <c r="K185" s="138" t="s">
        <v>447</v>
      </c>
    </row>
    <row r="186" spans="1:11" x14ac:dyDescent="0.2">
      <c r="A186" s="23" t="s">
        <v>457</v>
      </c>
      <c r="B186" s="23" t="s">
        <v>457</v>
      </c>
      <c r="C186" s="23" t="s">
        <v>465</v>
      </c>
      <c r="D186" s="45">
        <f t="shared" ref="D186" si="53">D185+H185</f>
        <v>363</v>
      </c>
      <c r="E186" s="46">
        <f t="shared" si="52"/>
        <v>363</v>
      </c>
      <c r="F186" s="27">
        <f t="shared" si="50"/>
        <v>362</v>
      </c>
      <c r="G186" s="27">
        <f t="shared" si="51"/>
        <v>362</v>
      </c>
      <c r="H186" s="28">
        <v>1</v>
      </c>
      <c r="I186" s="49" t="s">
        <v>47</v>
      </c>
      <c r="J186" s="135"/>
      <c r="K186" s="138"/>
    </row>
    <row r="187" spans="1:11" x14ac:dyDescent="0.2">
      <c r="A187" s="23" t="s">
        <v>457</v>
      </c>
      <c r="B187" s="23" t="s">
        <v>457</v>
      </c>
      <c r="C187" s="23" t="s">
        <v>465</v>
      </c>
      <c r="D187" s="45">
        <f t="shared" ref="D187:D193" si="54">D186+H186</f>
        <v>364</v>
      </c>
      <c r="E187" s="46">
        <f t="shared" si="52"/>
        <v>364</v>
      </c>
      <c r="F187" s="27">
        <f t="shared" si="50"/>
        <v>363</v>
      </c>
      <c r="G187" s="27">
        <f t="shared" si="51"/>
        <v>363</v>
      </c>
      <c r="H187" s="28">
        <v>1</v>
      </c>
      <c r="I187" s="49" t="s">
        <v>48</v>
      </c>
      <c r="J187" s="135"/>
      <c r="K187" s="138"/>
    </row>
    <row r="188" spans="1:11" x14ac:dyDescent="0.2">
      <c r="A188" s="23" t="s">
        <v>457</v>
      </c>
      <c r="B188" s="23" t="s">
        <v>457</v>
      </c>
      <c r="C188" s="23" t="s">
        <v>465</v>
      </c>
      <c r="D188" s="45">
        <f t="shared" si="54"/>
        <v>365</v>
      </c>
      <c r="E188" s="46">
        <f t="shared" si="52"/>
        <v>365</v>
      </c>
      <c r="F188" s="27">
        <f t="shared" si="50"/>
        <v>364</v>
      </c>
      <c r="G188" s="27">
        <f t="shared" si="51"/>
        <v>364</v>
      </c>
      <c r="H188" s="28">
        <v>1</v>
      </c>
      <c r="I188" s="49" t="s">
        <v>49</v>
      </c>
      <c r="J188" s="135"/>
      <c r="K188" s="138"/>
    </row>
    <row r="189" spans="1:11" x14ac:dyDescent="0.2">
      <c r="A189" s="23" t="s">
        <v>457</v>
      </c>
      <c r="B189" s="23" t="s">
        <v>457</v>
      </c>
      <c r="C189" s="23" t="s">
        <v>465</v>
      </c>
      <c r="D189" s="45">
        <f t="shared" si="54"/>
        <v>366</v>
      </c>
      <c r="E189" s="46">
        <f t="shared" si="52"/>
        <v>366</v>
      </c>
      <c r="F189" s="27">
        <f t="shared" si="50"/>
        <v>365</v>
      </c>
      <c r="G189" s="27">
        <f t="shared" si="51"/>
        <v>365</v>
      </c>
      <c r="H189" s="28">
        <v>1</v>
      </c>
      <c r="I189" s="49" t="s">
        <v>50</v>
      </c>
      <c r="J189" s="135"/>
      <c r="K189" s="138"/>
    </row>
    <row r="190" spans="1:11" x14ac:dyDescent="0.2">
      <c r="A190" s="23" t="s">
        <v>457</v>
      </c>
      <c r="B190" s="23" t="s">
        <v>457</v>
      </c>
      <c r="C190" s="23" t="s">
        <v>465</v>
      </c>
      <c r="D190" s="45">
        <f t="shared" si="54"/>
        <v>367</v>
      </c>
      <c r="E190" s="46">
        <f t="shared" si="52"/>
        <v>367</v>
      </c>
      <c r="F190" s="27">
        <f t="shared" si="50"/>
        <v>366</v>
      </c>
      <c r="G190" s="27">
        <f t="shared" si="51"/>
        <v>366</v>
      </c>
      <c r="H190" s="28">
        <v>1</v>
      </c>
      <c r="I190" s="49" t="s">
        <v>51</v>
      </c>
      <c r="J190" s="135"/>
      <c r="K190" s="138"/>
    </row>
    <row r="191" spans="1:11" x14ac:dyDescent="0.2">
      <c r="A191" s="23" t="s">
        <v>457</v>
      </c>
      <c r="B191" s="23" t="s">
        <v>457</v>
      </c>
      <c r="C191" s="23" t="s">
        <v>465</v>
      </c>
      <c r="D191" s="45">
        <f t="shared" si="54"/>
        <v>368</v>
      </c>
      <c r="E191" s="46">
        <f t="shared" si="52"/>
        <v>368</v>
      </c>
      <c r="F191" s="27">
        <f t="shared" si="50"/>
        <v>367</v>
      </c>
      <c r="G191" s="27">
        <f t="shared" si="51"/>
        <v>367</v>
      </c>
      <c r="H191" s="28">
        <v>1</v>
      </c>
      <c r="I191" s="49" t="s">
        <v>52</v>
      </c>
      <c r="J191" s="135"/>
      <c r="K191" s="138"/>
    </row>
    <row r="192" spans="1:11" x14ac:dyDescent="0.2">
      <c r="A192" s="23" t="s">
        <v>457</v>
      </c>
      <c r="B192" s="23" t="s">
        <v>457</v>
      </c>
      <c r="C192" s="23" t="s">
        <v>465</v>
      </c>
      <c r="D192" s="45">
        <f t="shared" si="54"/>
        <v>369</v>
      </c>
      <c r="E192" s="46">
        <f t="shared" si="52"/>
        <v>369</v>
      </c>
      <c r="F192" s="27">
        <f t="shared" si="50"/>
        <v>368</v>
      </c>
      <c r="G192" s="27">
        <f t="shared" si="51"/>
        <v>368</v>
      </c>
      <c r="H192" s="28">
        <v>1</v>
      </c>
      <c r="I192" s="49" t="s">
        <v>53</v>
      </c>
      <c r="J192" s="135"/>
      <c r="K192" s="138"/>
    </row>
    <row r="193" spans="1:11" x14ac:dyDescent="0.2">
      <c r="A193" s="23" t="s">
        <v>457</v>
      </c>
      <c r="B193" s="23" t="s">
        <v>457</v>
      </c>
      <c r="C193" s="23" t="s">
        <v>465</v>
      </c>
      <c r="D193" s="45">
        <f t="shared" si="54"/>
        <v>370</v>
      </c>
      <c r="E193" s="46">
        <f t="shared" si="52"/>
        <v>370</v>
      </c>
      <c r="F193" s="27">
        <f t="shared" si="50"/>
        <v>369</v>
      </c>
      <c r="G193" s="27">
        <f t="shared" si="51"/>
        <v>369</v>
      </c>
      <c r="H193" s="28">
        <v>1</v>
      </c>
      <c r="I193" s="49" t="s">
        <v>65</v>
      </c>
      <c r="J193" s="135"/>
      <c r="K193" s="138"/>
    </row>
    <row r="194" spans="1:11" x14ac:dyDescent="0.2">
      <c r="A194" s="23"/>
      <c r="B194" s="23"/>
      <c r="C194" s="23"/>
      <c r="D194" s="58"/>
      <c r="E194" s="59"/>
      <c r="F194" s="27">
        <f t="shared" si="50"/>
        <v>-1</v>
      </c>
      <c r="G194" s="27">
        <f t="shared" si="51"/>
        <v>-1</v>
      </c>
      <c r="H194" s="60"/>
      <c r="I194" s="57" t="s">
        <v>100</v>
      </c>
      <c r="J194" s="25"/>
      <c r="K194" s="26"/>
    </row>
    <row r="195" spans="1:11" x14ac:dyDescent="0.2">
      <c r="A195" s="23"/>
      <c r="B195" s="23"/>
      <c r="C195" s="23"/>
      <c r="D195" s="24"/>
      <c r="E195" s="24"/>
      <c r="F195" s="27">
        <f t="shared" si="50"/>
        <v>-1</v>
      </c>
      <c r="G195" s="27">
        <f t="shared" si="51"/>
        <v>-1</v>
      </c>
      <c r="H195" s="24"/>
      <c r="I195" s="55" t="s">
        <v>622</v>
      </c>
      <c r="J195" s="25"/>
      <c r="K195" s="26"/>
    </row>
    <row r="196" spans="1:11" ht="38.25" x14ac:dyDescent="0.2">
      <c r="A196" s="23" t="s">
        <v>458</v>
      </c>
      <c r="B196" s="23" t="s">
        <v>458</v>
      </c>
      <c r="C196" s="23"/>
      <c r="D196" s="45">
        <f>D193+H193</f>
        <v>371</v>
      </c>
      <c r="E196" s="46">
        <f t="shared" ref="E196:E203" si="55">D196+H196-1</f>
        <v>371</v>
      </c>
      <c r="F196" s="27">
        <f t="shared" si="50"/>
        <v>370</v>
      </c>
      <c r="G196" s="27">
        <f t="shared" si="51"/>
        <v>370</v>
      </c>
      <c r="H196" s="28">
        <v>1</v>
      </c>
      <c r="I196" s="49" t="s">
        <v>55</v>
      </c>
      <c r="J196" s="37" t="s">
        <v>337</v>
      </c>
      <c r="K196" s="48" t="s">
        <v>447</v>
      </c>
    </row>
    <row r="197" spans="1:11" x14ac:dyDescent="0.2">
      <c r="A197" s="23" t="s">
        <v>457</v>
      </c>
      <c r="B197" s="23" t="s">
        <v>457</v>
      </c>
      <c r="C197" s="23" t="s">
        <v>465</v>
      </c>
      <c r="D197" s="45">
        <f t="shared" ref="D197" si="56">D196+H196</f>
        <v>372</v>
      </c>
      <c r="E197" s="46">
        <f t="shared" si="55"/>
        <v>372</v>
      </c>
      <c r="F197" s="27">
        <f t="shared" si="50"/>
        <v>371</v>
      </c>
      <c r="G197" s="27">
        <f t="shared" si="51"/>
        <v>371</v>
      </c>
      <c r="H197" s="28">
        <v>1</v>
      </c>
      <c r="I197" s="49" t="s">
        <v>46</v>
      </c>
      <c r="J197" s="135" t="s">
        <v>337</v>
      </c>
      <c r="K197" s="138" t="s">
        <v>447</v>
      </c>
    </row>
    <row r="198" spans="1:11" x14ac:dyDescent="0.2">
      <c r="A198" s="23" t="s">
        <v>457</v>
      </c>
      <c r="B198" s="23" t="s">
        <v>457</v>
      </c>
      <c r="C198" s="23" t="s">
        <v>465</v>
      </c>
      <c r="D198" s="45">
        <f t="shared" ref="D198:D203" si="57">D197+H197</f>
        <v>373</v>
      </c>
      <c r="E198" s="46">
        <f t="shared" si="55"/>
        <v>373</v>
      </c>
      <c r="F198" s="27">
        <f t="shared" si="50"/>
        <v>372</v>
      </c>
      <c r="G198" s="27">
        <f t="shared" si="51"/>
        <v>372</v>
      </c>
      <c r="H198" s="28">
        <v>1</v>
      </c>
      <c r="I198" s="49" t="s">
        <v>50</v>
      </c>
      <c r="J198" s="135"/>
      <c r="K198" s="138"/>
    </row>
    <row r="199" spans="1:11" x14ac:dyDescent="0.2">
      <c r="A199" s="23" t="s">
        <v>457</v>
      </c>
      <c r="B199" s="23" t="s">
        <v>457</v>
      </c>
      <c r="C199" s="23" t="s">
        <v>465</v>
      </c>
      <c r="D199" s="45">
        <f t="shared" si="57"/>
        <v>374</v>
      </c>
      <c r="E199" s="46">
        <f t="shared" si="55"/>
        <v>374</v>
      </c>
      <c r="F199" s="27">
        <f t="shared" si="50"/>
        <v>373</v>
      </c>
      <c r="G199" s="27">
        <f t="shared" si="51"/>
        <v>373</v>
      </c>
      <c r="H199" s="28">
        <v>1</v>
      </c>
      <c r="I199" s="49" t="s">
        <v>52</v>
      </c>
      <c r="J199" s="135"/>
      <c r="K199" s="138"/>
    </row>
    <row r="200" spans="1:11" x14ac:dyDescent="0.2">
      <c r="A200" s="23" t="s">
        <v>457</v>
      </c>
      <c r="B200" s="23" t="s">
        <v>457</v>
      </c>
      <c r="C200" s="23" t="s">
        <v>465</v>
      </c>
      <c r="D200" s="45">
        <f t="shared" si="57"/>
        <v>375</v>
      </c>
      <c r="E200" s="46">
        <f t="shared" si="55"/>
        <v>375</v>
      </c>
      <c r="F200" s="27">
        <f t="shared" si="50"/>
        <v>374</v>
      </c>
      <c r="G200" s="27">
        <f t="shared" si="51"/>
        <v>374</v>
      </c>
      <c r="H200" s="28">
        <v>1</v>
      </c>
      <c r="I200" s="49" t="s">
        <v>56</v>
      </c>
      <c r="J200" s="135"/>
      <c r="K200" s="138"/>
    </row>
    <row r="201" spans="1:11" x14ac:dyDescent="0.2">
      <c r="A201" s="23" t="s">
        <v>457</v>
      </c>
      <c r="B201" s="23" t="s">
        <v>457</v>
      </c>
      <c r="C201" s="23" t="s">
        <v>465</v>
      </c>
      <c r="D201" s="45">
        <f t="shared" si="57"/>
        <v>376</v>
      </c>
      <c r="E201" s="46">
        <f t="shared" si="55"/>
        <v>376</v>
      </c>
      <c r="F201" s="27">
        <f t="shared" si="50"/>
        <v>375</v>
      </c>
      <c r="G201" s="27">
        <f t="shared" si="51"/>
        <v>375</v>
      </c>
      <c r="H201" s="28">
        <v>1</v>
      </c>
      <c r="I201" s="49" t="s">
        <v>57</v>
      </c>
      <c r="J201" s="135"/>
      <c r="K201" s="138"/>
    </row>
    <row r="202" spans="1:11" x14ac:dyDescent="0.2">
      <c r="A202" s="23" t="s">
        <v>457</v>
      </c>
      <c r="B202" s="23" t="s">
        <v>457</v>
      </c>
      <c r="C202" s="23" t="s">
        <v>465</v>
      </c>
      <c r="D202" s="45">
        <f t="shared" si="57"/>
        <v>377</v>
      </c>
      <c r="E202" s="46">
        <f t="shared" si="55"/>
        <v>377</v>
      </c>
      <c r="F202" s="27">
        <f t="shared" si="50"/>
        <v>376</v>
      </c>
      <c r="G202" s="27">
        <f t="shared" si="51"/>
        <v>376</v>
      </c>
      <c r="H202" s="28">
        <v>1</v>
      </c>
      <c r="I202" s="49" t="s">
        <v>66</v>
      </c>
      <c r="J202" s="135"/>
      <c r="K202" s="138"/>
    </row>
    <row r="203" spans="1:11" x14ac:dyDescent="0.2">
      <c r="A203" s="23"/>
      <c r="B203" s="23"/>
      <c r="C203" s="23"/>
      <c r="D203" s="45">
        <f t="shared" si="57"/>
        <v>378</v>
      </c>
      <c r="E203" s="46">
        <f t="shared" si="55"/>
        <v>381</v>
      </c>
      <c r="F203" s="27">
        <f t="shared" si="50"/>
        <v>377</v>
      </c>
      <c r="G203" s="27">
        <f t="shared" si="51"/>
        <v>380</v>
      </c>
      <c r="H203" s="44">
        <v>4</v>
      </c>
      <c r="I203" s="49" t="s">
        <v>100</v>
      </c>
      <c r="J203" s="25"/>
      <c r="K203" s="26"/>
    </row>
    <row r="204" spans="1:11" x14ac:dyDescent="0.2">
      <c r="A204" s="23"/>
      <c r="B204" s="23"/>
      <c r="C204" s="23"/>
      <c r="D204" s="24"/>
      <c r="E204" s="24"/>
      <c r="F204" s="27">
        <f t="shared" si="50"/>
        <v>-1</v>
      </c>
      <c r="G204" s="27">
        <f t="shared" si="51"/>
        <v>-1</v>
      </c>
      <c r="H204" s="24"/>
      <c r="I204" s="55" t="s">
        <v>58</v>
      </c>
      <c r="J204" s="25"/>
      <c r="K204" s="26"/>
    </row>
    <row r="205" spans="1:11" ht="38.25" x14ac:dyDescent="0.2">
      <c r="A205" s="23" t="s">
        <v>458</v>
      </c>
      <c r="B205" s="23" t="s">
        <v>458</v>
      </c>
      <c r="C205" s="23"/>
      <c r="D205" s="24">
        <f>D203+H203</f>
        <v>382</v>
      </c>
      <c r="E205" s="27">
        <f t="shared" ref="E205:E215" si="58">D205+H205-1</f>
        <v>382</v>
      </c>
      <c r="F205" s="27">
        <f t="shared" si="50"/>
        <v>381</v>
      </c>
      <c r="G205" s="27">
        <f t="shared" si="51"/>
        <v>381</v>
      </c>
      <c r="H205" s="28">
        <v>1</v>
      </c>
      <c r="I205" s="49" t="s">
        <v>59</v>
      </c>
      <c r="J205" s="37" t="s">
        <v>337</v>
      </c>
      <c r="K205" s="48" t="s">
        <v>447</v>
      </c>
    </row>
    <row r="206" spans="1:11" ht="15" customHeight="1" x14ac:dyDescent="0.2">
      <c r="A206" s="23" t="s">
        <v>457</v>
      </c>
      <c r="B206" s="23" t="s">
        <v>457</v>
      </c>
      <c r="C206" s="23" t="s">
        <v>465</v>
      </c>
      <c r="D206" s="24">
        <f t="shared" ref="D206" si="59">D205+H205</f>
        <v>383</v>
      </c>
      <c r="E206" s="27">
        <f t="shared" si="58"/>
        <v>383</v>
      </c>
      <c r="F206" s="27">
        <f t="shared" si="50"/>
        <v>382</v>
      </c>
      <c r="G206" s="27">
        <f t="shared" si="51"/>
        <v>382</v>
      </c>
      <c r="H206" s="28">
        <v>1</v>
      </c>
      <c r="I206" s="49" t="s">
        <v>46</v>
      </c>
      <c r="J206" s="135" t="s">
        <v>337</v>
      </c>
      <c r="K206" s="138" t="s">
        <v>447</v>
      </c>
    </row>
    <row r="207" spans="1:11" x14ac:dyDescent="0.2">
      <c r="A207" s="23" t="s">
        <v>457</v>
      </c>
      <c r="B207" s="23" t="s">
        <v>457</v>
      </c>
      <c r="C207" s="23" t="s">
        <v>465</v>
      </c>
      <c r="D207" s="24">
        <f t="shared" ref="D207:D215" si="60">D206+H206</f>
        <v>384</v>
      </c>
      <c r="E207" s="27">
        <f t="shared" si="58"/>
        <v>384</v>
      </c>
      <c r="F207" s="27">
        <f t="shared" si="50"/>
        <v>383</v>
      </c>
      <c r="G207" s="27">
        <f t="shared" si="51"/>
        <v>383</v>
      </c>
      <c r="H207" s="28">
        <v>1</v>
      </c>
      <c r="I207" s="49" t="s">
        <v>47</v>
      </c>
      <c r="J207" s="135"/>
      <c r="K207" s="138"/>
    </row>
    <row r="208" spans="1:11" x14ac:dyDescent="0.2">
      <c r="A208" s="23" t="s">
        <v>457</v>
      </c>
      <c r="B208" s="23" t="s">
        <v>457</v>
      </c>
      <c r="C208" s="23" t="s">
        <v>465</v>
      </c>
      <c r="D208" s="24">
        <f t="shared" si="60"/>
        <v>385</v>
      </c>
      <c r="E208" s="27">
        <f t="shared" si="58"/>
        <v>385</v>
      </c>
      <c r="F208" s="27">
        <f t="shared" si="50"/>
        <v>384</v>
      </c>
      <c r="G208" s="27">
        <f t="shared" si="51"/>
        <v>384</v>
      </c>
      <c r="H208" s="28">
        <v>1</v>
      </c>
      <c r="I208" s="49" t="s">
        <v>48</v>
      </c>
      <c r="J208" s="135"/>
      <c r="K208" s="138"/>
    </row>
    <row r="209" spans="1:11" x14ac:dyDescent="0.2">
      <c r="A209" s="23" t="s">
        <v>457</v>
      </c>
      <c r="B209" s="23" t="s">
        <v>457</v>
      </c>
      <c r="C209" s="23" t="s">
        <v>465</v>
      </c>
      <c r="D209" s="24">
        <f t="shared" si="60"/>
        <v>386</v>
      </c>
      <c r="E209" s="27">
        <f t="shared" si="58"/>
        <v>386</v>
      </c>
      <c r="F209" s="27">
        <f t="shared" si="50"/>
        <v>385</v>
      </c>
      <c r="G209" s="27">
        <f t="shared" si="51"/>
        <v>385</v>
      </c>
      <c r="H209" s="28">
        <v>1</v>
      </c>
      <c r="I209" s="49" t="s">
        <v>49</v>
      </c>
      <c r="J209" s="135"/>
      <c r="K209" s="138"/>
    </row>
    <row r="210" spans="1:11" x14ac:dyDescent="0.2">
      <c r="A210" s="23" t="s">
        <v>457</v>
      </c>
      <c r="B210" s="23" t="s">
        <v>457</v>
      </c>
      <c r="C210" s="23" t="s">
        <v>465</v>
      </c>
      <c r="D210" s="24">
        <f t="shared" si="60"/>
        <v>387</v>
      </c>
      <c r="E210" s="27">
        <f t="shared" si="58"/>
        <v>387</v>
      </c>
      <c r="F210" s="27">
        <f t="shared" si="50"/>
        <v>386</v>
      </c>
      <c r="G210" s="27">
        <f t="shared" si="51"/>
        <v>386</v>
      </c>
      <c r="H210" s="28">
        <v>1</v>
      </c>
      <c r="I210" s="49" t="s">
        <v>50</v>
      </c>
      <c r="J210" s="135"/>
      <c r="K210" s="138"/>
    </row>
    <row r="211" spans="1:11" x14ac:dyDescent="0.2">
      <c r="A211" s="23" t="s">
        <v>457</v>
      </c>
      <c r="B211" s="23" t="s">
        <v>457</v>
      </c>
      <c r="C211" s="23" t="s">
        <v>465</v>
      </c>
      <c r="D211" s="24">
        <f t="shared" si="60"/>
        <v>388</v>
      </c>
      <c r="E211" s="27">
        <f t="shared" si="58"/>
        <v>388</v>
      </c>
      <c r="F211" s="27">
        <f t="shared" si="50"/>
        <v>387</v>
      </c>
      <c r="G211" s="27">
        <f t="shared" si="51"/>
        <v>387</v>
      </c>
      <c r="H211" s="28">
        <v>1</v>
      </c>
      <c r="I211" s="49" t="s">
        <v>51</v>
      </c>
      <c r="J211" s="135"/>
      <c r="K211" s="138"/>
    </row>
    <row r="212" spans="1:11" x14ac:dyDescent="0.2">
      <c r="A212" s="23" t="s">
        <v>457</v>
      </c>
      <c r="B212" s="23" t="s">
        <v>457</v>
      </c>
      <c r="C212" s="23" t="s">
        <v>465</v>
      </c>
      <c r="D212" s="24">
        <f t="shared" si="60"/>
        <v>389</v>
      </c>
      <c r="E212" s="27">
        <f t="shared" si="58"/>
        <v>389</v>
      </c>
      <c r="F212" s="27">
        <f t="shared" si="50"/>
        <v>388</v>
      </c>
      <c r="G212" s="27">
        <f t="shared" si="51"/>
        <v>388</v>
      </c>
      <c r="H212" s="28">
        <v>1</v>
      </c>
      <c r="I212" s="49" t="s">
        <v>52</v>
      </c>
      <c r="J212" s="135"/>
      <c r="K212" s="138"/>
    </row>
    <row r="213" spans="1:11" x14ac:dyDescent="0.2">
      <c r="A213" s="23" t="s">
        <v>457</v>
      </c>
      <c r="B213" s="23" t="s">
        <v>457</v>
      </c>
      <c r="C213" s="23" t="s">
        <v>465</v>
      </c>
      <c r="D213" s="24">
        <f t="shared" si="60"/>
        <v>390</v>
      </c>
      <c r="E213" s="27">
        <f t="shared" si="58"/>
        <v>390</v>
      </c>
      <c r="F213" s="27">
        <f t="shared" si="50"/>
        <v>389</v>
      </c>
      <c r="G213" s="27">
        <f t="shared" si="51"/>
        <v>389</v>
      </c>
      <c r="H213" s="28">
        <v>1</v>
      </c>
      <c r="I213" s="49" t="s">
        <v>53</v>
      </c>
      <c r="J213" s="135"/>
      <c r="K213" s="138"/>
    </row>
    <row r="214" spans="1:11" x14ac:dyDescent="0.2">
      <c r="A214" s="23" t="s">
        <v>457</v>
      </c>
      <c r="B214" s="23" t="s">
        <v>457</v>
      </c>
      <c r="C214" s="23" t="s">
        <v>465</v>
      </c>
      <c r="D214" s="24">
        <f t="shared" si="60"/>
        <v>391</v>
      </c>
      <c r="E214" s="27">
        <f t="shared" si="58"/>
        <v>391</v>
      </c>
      <c r="F214" s="27">
        <f t="shared" si="50"/>
        <v>390</v>
      </c>
      <c r="G214" s="27">
        <f t="shared" si="51"/>
        <v>390</v>
      </c>
      <c r="H214" s="28">
        <v>1</v>
      </c>
      <c r="I214" s="49" t="s">
        <v>65</v>
      </c>
      <c r="J214" s="135"/>
      <c r="K214" s="138"/>
    </row>
    <row r="215" spans="1:11" x14ac:dyDescent="0.2">
      <c r="A215" s="23"/>
      <c r="B215" s="23"/>
      <c r="C215" s="23"/>
      <c r="D215" s="24">
        <f t="shared" si="60"/>
        <v>392</v>
      </c>
      <c r="E215" s="27">
        <f t="shared" si="58"/>
        <v>396</v>
      </c>
      <c r="F215" s="27">
        <f t="shared" si="50"/>
        <v>391</v>
      </c>
      <c r="G215" s="27">
        <f t="shared" si="51"/>
        <v>395</v>
      </c>
      <c r="H215" s="28">
        <v>5</v>
      </c>
      <c r="I215" s="49" t="s">
        <v>100</v>
      </c>
      <c r="J215" s="25"/>
      <c r="K215" s="26"/>
    </row>
    <row r="216" spans="1:11" x14ac:dyDescent="0.2">
      <c r="A216" s="23"/>
      <c r="B216" s="23"/>
      <c r="C216" s="23"/>
      <c r="D216" s="24"/>
      <c r="E216" s="24"/>
      <c r="F216" s="27">
        <f t="shared" si="50"/>
        <v>-1</v>
      </c>
      <c r="G216" s="27">
        <f t="shared" si="51"/>
        <v>-1</v>
      </c>
      <c r="H216" s="24"/>
      <c r="I216" s="51" t="s">
        <v>60</v>
      </c>
      <c r="J216" s="25"/>
      <c r="K216" s="26"/>
    </row>
    <row r="217" spans="1:11" ht="22.5" customHeight="1" x14ac:dyDescent="0.2">
      <c r="A217" s="23" t="s">
        <v>457</v>
      </c>
      <c r="B217" s="23" t="s">
        <v>457</v>
      </c>
      <c r="C217" s="23" t="s">
        <v>465</v>
      </c>
      <c r="D217" s="24">
        <f>D215+H215</f>
        <v>397</v>
      </c>
      <c r="E217" s="27">
        <f t="shared" ref="E217:E219" si="61">D217+H217-1</f>
        <v>397</v>
      </c>
      <c r="F217" s="27">
        <f t="shared" si="50"/>
        <v>396</v>
      </c>
      <c r="G217" s="27">
        <f t="shared" si="51"/>
        <v>396</v>
      </c>
      <c r="H217" s="28">
        <v>1</v>
      </c>
      <c r="I217" s="49" t="s">
        <v>52</v>
      </c>
      <c r="J217" s="135" t="s">
        <v>337</v>
      </c>
      <c r="K217" s="138" t="s">
        <v>447</v>
      </c>
    </row>
    <row r="218" spans="1:11" ht="24.75" customHeight="1" x14ac:dyDescent="0.2">
      <c r="A218" s="23" t="s">
        <v>457</v>
      </c>
      <c r="B218" s="23" t="s">
        <v>457</v>
      </c>
      <c r="C218" s="23" t="s">
        <v>465</v>
      </c>
      <c r="D218" s="24">
        <f t="shared" ref="D218" si="62">D217+H217</f>
        <v>398</v>
      </c>
      <c r="E218" s="27">
        <f t="shared" si="61"/>
        <v>398</v>
      </c>
      <c r="F218" s="27">
        <f t="shared" si="50"/>
        <v>397</v>
      </c>
      <c r="G218" s="27">
        <f t="shared" si="51"/>
        <v>397</v>
      </c>
      <c r="H218" s="28">
        <v>1</v>
      </c>
      <c r="I218" s="49" t="s">
        <v>53</v>
      </c>
      <c r="J218" s="135"/>
      <c r="K218" s="138"/>
    </row>
    <row r="219" spans="1:11" x14ac:dyDescent="0.2">
      <c r="A219" s="23"/>
      <c r="B219" s="23"/>
      <c r="C219" s="23"/>
      <c r="D219" s="24">
        <f>D218+H218</f>
        <v>399</v>
      </c>
      <c r="E219" s="27">
        <f t="shared" si="61"/>
        <v>403</v>
      </c>
      <c r="F219" s="27">
        <f t="shared" si="50"/>
        <v>398</v>
      </c>
      <c r="G219" s="27">
        <f t="shared" si="51"/>
        <v>402</v>
      </c>
      <c r="H219" s="28">
        <v>5</v>
      </c>
      <c r="I219" s="49" t="s">
        <v>100</v>
      </c>
      <c r="J219" s="37"/>
      <c r="K219" s="26"/>
    </row>
    <row r="220" spans="1:11" x14ac:dyDescent="0.2">
      <c r="A220" s="23"/>
      <c r="B220" s="23"/>
      <c r="C220" s="23"/>
      <c r="D220" s="24"/>
      <c r="E220" s="24"/>
      <c r="F220" s="27">
        <f t="shared" si="50"/>
        <v>-1</v>
      </c>
      <c r="G220" s="27">
        <f t="shared" si="51"/>
        <v>-1</v>
      </c>
      <c r="H220" s="24"/>
      <c r="I220" s="50" t="s">
        <v>159</v>
      </c>
      <c r="J220" s="37"/>
      <c r="K220" s="26"/>
    </row>
    <row r="221" spans="1:11" ht="15" customHeight="1" x14ac:dyDescent="0.2">
      <c r="A221" s="23" t="s">
        <v>457</v>
      </c>
      <c r="B221" s="23" t="s">
        <v>457</v>
      </c>
      <c r="C221" s="23" t="s">
        <v>465</v>
      </c>
      <c r="D221" s="24">
        <f>D219+H219</f>
        <v>404</v>
      </c>
      <c r="E221" s="27">
        <f t="shared" ref="E221:E234" si="63">D221+H221-1</f>
        <v>404</v>
      </c>
      <c r="F221" s="27">
        <f t="shared" si="50"/>
        <v>403</v>
      </c>
      <c r="G221" s="27">
        <f t="shared" si="51"/>
        <v>403</v>
      </c>
      <c r="H221" s="28">
        <v>1</v>
      </c>
      <c r="I221" s="49" t="s">
        <v>160</v>
      </c>
      <c r="J221" s="138" t="s">
        <v>342</v>
      </c>
      <c r="K221" s="141" t="s">
        <v>621</v>
      </c>
    </row>
    <row r="222" spans="1:11" x14ac:dyDescent="0.2">
      <c r="A222" s="23" t="s">
        <v>457</v>
      </c>
      <c r="B222" s="23" t="s">
        <v>457</v>
      </c>
      <c r="C222" s="23" t="s">
        <v>465</v>
      </c>
      <c r="D222" s="24">
        <f t="shared" ref="D222" si="64">D221+H221</f>
        <v>405</v>
      </c>
      <c r="E222" s="27">
        <f t="shared" si="63"/>
        <v>405</v>
      </c>
      <c r="F222" s="27">
        <f t="shared" si="50"/>
        <v>404</v>
      </c>
      <c r="G222" s="27">
        <f t="shared" si="51"/>
        <v>404</v>
      </c>
      <c r="H222" s="28">
        <v>1</v>
      </c>
      <c r="I222" s="49" t="s">
        <v>161</v>
      </c>
      <c r="J222" s="138"/>
      <c r="K222" s="141"/>
    </row>
    <row r="223" spans="1:11" x14ac:dyDescent="0.2">
      <c r="A223" s="23" t="s">
        <v>457</v>
      </c>
      <c r="B223" s="23" t="s">
        <v>457</v>
      </c>
      <c r="C223" s="23" t="s">
        <v>465</v>
      </c>
      <c r="D223" s="24">
        <f t="shared" ref="D223:D231" si="65">D222+H222</f>
        <v>406</v>
      </c>
      <c r="E223" s="27">
        <f t="shared" si="63"/>
        <v>406</v>
      </c>
      <c r="F223" s="27">
        <f t="shared" si="50"/>
        <v>405</v>
      </c>
      <c r="G223" s="27">
        <f t="shared" si="51"/>
        <v>405</v>
      </c>
      <c r="H223" s="28">
        <v>1</v>
      </c>
      <c r="I223" s="57" t="s">
        <v>620</v>
      </c>
      <c r="J223" s="138"/>
      <c r="K223" s="141"/>
    </row>
    <row r="224" spans="1:11" x14ac:dyDescent="0.2">
      <c r="A224" s="23" t="s">
        <v>457</v>
      </c>
      <c r="B224" s="23" t="s">
        <v>457</v>
      </c>
      <c r="C224" s="23" t="s">
        <v>465</v>
      </c>
      <c r="D224" s="24">
        <f t="shared" si="65"/>
        <v>407</v>
      </c>
      <c r="E224" s="27">
        <f t="shared" si="63"/>
        <v>407</v>
      </c>
      <c r="F224" s="27">
        <f t="shared" si="50"/>
        <v>406</v>
      </c>
      <c r="G224" s="27">
        <f t="shared" si="51"/>
        <v>406</v>
      </c>
      <c r="H224" s="28">
        <v>1</v>
      </c>
      <c r="I224" s="49" t="s">
        <v>162</v>
      </c>
      <c r="J224" s="138"/>
      <c r="K224" s="141"/>
    </row>
    <row r="225" spans="1:11" x14ac:dyDescent="0.2">
      <c r="A225" s="23" t="s">
        <v>457</v>
      </c>
      <c r="B225" s="23" t="s">
        <v>457</v>
      </c>
      <c r="C225" s="23" t="s">
        <v>465</v>
      </c>
      <c r="D225" s="24">
        <f t="shared" si="65"/>
        <v>408</v>
      </c>
      <c r="E225" s="27">
        <f t="shared" si="63"/>
        <v>408</v>
      </c>
      <c r="F225" s="27">
        <f t="shared" si="50"/>
        <v>407</v>
      </c>
      <c r="G225" s="27">
        <f t="shared" si="51"/>
        <v>407</v>
      </c>
      <c r="H225" s="28">
        <v>1</v>
      </c>
      <c r="I225" s="49" t="s">
        <v>163</v>
      </c>
      <c r="J225" s="138"/>
      <c r="K225" s="141"/>
    </row>
    <row r="226" spans="1:11" x14ac:dyDescent="0.2">
      <c r="A226" s="23" t="s">
        <v>457</v>
      </c>
      <c r="B226" s="23" t="s">
        <v>457</v>
      </c>
      <c r="C226" s="23" t="s">
        <v>465</v>
      </c>
      <c r="D226" s="24">
        <f t="shared" si="65"/>
        <v>409</v>
      </c>
      <c r="E226" s="27">
        <f t="shared" si="63"/>
        <v>409</v>
      </c>
      <c r="F226" s="27">
        <f t="shared" si="50"/>
        <v>408</v>
      </c>
      <c r="G226" s="27">
        <f t="shared" si="51"/>
        <v>408</v>
      </c>
      <c r="H226" s="28">
        <v>1</v>
      </c>
      <c r="I226" s="49" t="s">
        <v>164</v>
      </c>
      <c r="J226" s="138"/>
      <c r="K226" s="141"/>
    </row>
    <row r="227" spans="1:11" x14ac:dyDescent="0.2">
      <c r="A227" s="23" t="s">
        <v>457</v>
      </c>
      <c r="B227" s="23" t="s">
        <v>457</v>
      </c>
      <c r="C227" s="23" t="s">
        <v>465</v>
      </c>
      <c r="D227" s="24">
        <f t="shared" si="65"/>
        <v>410</v>
      </c>
      <c r="E227" s="27">
        <f t="shared" si="63"/>
        <v>410</v>
      </c>
      <c r="F227" s="27">
        <f t="shared" si="50"/>
        <v>409</v>
      </c>
      <c r="G227" s="27">
        <f t="shared" si="51"/>
        <v>409</v>
      </c>
      <c r="H227" s="28">
        <v>1</v>
      </c>
      <c r="I227" s="49" t="s">
        <v>51</v>
      </c>
      <c r="J227" s="138"/>
      <c r="K227" s="141"/>
    </row>
    <row r="228" spans="1:11" x14ac:dyDescent="0.2">
      <c r="A228" s="23" t="s">
        <v>457</v>
      </c>
      <c r="B228" s="23" t="s">
        <v>457</v>
      </c>
      <c r="C228" s="23" t="s">
        <v>465</v>
      </c>
      <c r="D228" s="24">
        <f t="shared" si="65"/>
        <v>411</v>
      </c>
      <c r="E228" s="27">
        <f t="shared" si="63"/>
        <v>411</v>
      </c>
      <c r="F228" s="27">
        <f t="shared" si="50"/>
        <v>410</v>
      </c>
      <c r="G228" s="27">
        <f t="shared" si="51"/>
        <v>410</v>
      </c>
      <c r="H228" s="28">
        <v>1</v>
      </c>
      <c r="I228" s="49" t="s">
        <v>49</v>
      </c>
      <c r="J228" s="138"/>
      <c r="K228" s="141"/>
    </row>
    <row r="229" spans="1:11" x14ac:dyDescent="0.2">
      <c r="A229" s="23" t="s">
        <v>457</v>
      </c>
      <c r="B229" s="23" t="s">
        <v>457</v>
      </c>
      <c r="C229" s="23" t="s">
        <v>465</v>
      </c>
      <c r="D229" s="24">
        <f t="shared" si="65"/>
        <v>412</v>
      </c>
      <c r="E229" s="27">
        <f t="shared" si="63"/>
        <v>412</v>
      </c>
      <c r="F229" s="27">
        <f t="shared" si="50"/>
        <v>411</v>
      </c>
      <c r="G229" s="27">
        <f t="shared" si="51"/>
        <v>411</v>
      </c>
      <c r="H229" s="28">
        <v>1</v>
      </c>
      <c r="I229" s="49" t="s">
        <v>165</v>
      </c>
      <c r="J229" s="138"/>
      <c r="K229" s="141"/>
    </row>
    <row r="230" spans="1:11" x14ac:dyDescent="0.2">
      <c r="A230" s="23" t="s">
        <v>457</v>
      </c>
      <c r="B230" s="23" t="s">
        <v>457</v>
      </c>
      <c r="C230" s="23" t="s">
        <v>465</v>
      </c>
      <c r="D230" s="24">
        <f t="shared" si="65"/>
        <v>413</v>
      </c>
      <c r="E230" s="27">
        <f t="shared" si="63"/>
        <v>413</v>
      </c>
      <c r="F230" s="27">
        <f t="shared" si="50"/>
        <v>412</v>
      </c>
      <c r="G230" s="27">
        <f t="shared" si="51"/>
        <v>412</v>
      </c>
      <c r="H230" s="28">
        <v>1</v>
      </c>
      <c r="I230" s="49" t="s">
        <v>50</v>
      </c>
      <c r="J230" s="138"/>
      <c r="K230" s="141"/>
    </row>
    <row r="231" spans="1:11" x14ac:dyDescent="0.2">
      <c r="A231" s="23" t="s">
        <v>457</v>
      </c>
      <c r="B231" s="23" t="s">
        <v>457</v>
      </c>
      <c r="C231" s="23" t="s">
        <v>465</v>
      </c>
      <c r="D231" s="24">
        <f t="shared" si="65"/>
        <v>414</v>
      </c>
      <c r="E231" s="27">
        <f t="shared" si="63"/>
        <v>414</v>
      </c>
      <c r="F231" s="27">
        <f t="shared" si="50"/>
        <v>413</v>
      </c>
      <c r="G231" s="27">
        <f t="shared" si="51"/>
        <v>413</v>
      </c>
      <c r="H231" s="28">
        <v>1</v>
      </c>
      <c r="I231" s="49" t="s">
        <v>166</v>
      </c>
      <c r="J231" s="138"/>
      <c r="K231" s="141"/>
    </row>
    <row r="232" spans="1:11" x14ac:dyDescent="0.2">
      <c r="A232" s="43" t="s">
        <v>457</v>
      </c>
      <c r="B232" s="43" t="s">
        <v>457</v>
      </c>
      <c r="C232" s="43" t="s">
        <v>465</v>
      </c>
      <c r="D232" s="45">
        <f t="shared" ref="D232:D233" si="66">D231+H231</f>
        <v>415</v>
      </c>
      <c r="E232" s="46">
        <f t="shared" ref="E232:E233" si="67">D232+H232-1</f>
        <v>415</v>
      </c>
      <c r="F232" s="27">
        <f t="shared" si="50"/>
        <v>414</v>
      </c>
      <c r="G232" s="27">
        <f t="shared" si="51"/>
        <v>414</v>
      </c>
      <c r="H232" s="44">
        <v>1</v>
      </c>
      <c r="I232" s="52" t="s">
        <v>47</v>
      </c>
      <c r="J232" s="138"/>
      <c r="K232" s="141"/>
    </row>
    <row r="233" spans="1:11" x14ac:dyDescent="0.2">
      <c r="A233" s="43" t="s">
        <v>457</v>
      </c>
      <c r="B233" s="43" t="s">
        <v>457</v>
      </c>
      <c r="C233" s="43" t="s">
        <v>465</v>
      </c>
      <c r="D233" s="45">
        <f t="shared" si="66"/>
        <v>416</v>
      </c>
      <c r="E233" s="46">
        <f t="shared" si="67"/>
        <v>416</v>
      </c>
      <c r="F233" s="27">
        <f t="shared" si="50"/>
        <v>415</v>
      </c>
      <c r="G233" s="27">
        <f t="shared" si="51"/>
        <v>415</v>
      </c>
      <c r="H233" s="44">
        <v>1</v>
      </c>
      <c r="I233" s="52" t="s">
        <v>619</v>
      </c>
      <c r="J233" s="138"/>
      <c r="K233" s="141"/>
    </row>
    <row r="234" spans="1:11" x14ac:dyDescent="0.2">
      <c r="A234" s="23"/>
      <c r="B234" s="23"/>
      <c r="C234" s="23"/>
      <c r="D234" s="45">
        <f>D233+H233</f>
        <v>417</v>
      </c>
      <c r="E234" s="27">
        <f t="shared" si="63"/>
        <v>419</v>
      </c>
      <c r="F234" s="27">
        <f t="shared" si="50"/>
        <v>416</v>
      </c>
      <c r="G234" s="27">
        <f t="shared" si="51"/>
        <v>418</v>
      </c>
      <c r="H234" s="44">
        <v>3</v>
      </c>
      <c r="I234" s="49" t="s">
        <v>100</v>
      </c>
      <c r="J234" s="25"/>
      <c r="K234" s="26"/>
    </row>
    <row r="235" spans="1:11" x14ac:dyDescent="0.2">
      <c r="A235" s="23"/>
      <c r="B235" s="23"/>
      <c r="C235" s="23"/>
      <c r="D235" s="24"/>
      <c r="E235" s="24"/>
      <c r="F235" s="27">
        <f t="shared" si="50"/>
        <v>-1</v>
      </c>
      <c r="G235" s="27">
        <f t="shared" si="51"/>
        <v>-1</v>
      </c>
      <c r="H235" s="24"/>
      <c r="I235" s="50" t="s">
        <v>67</v>
      </c>
      <c r="J235" s="25"/>
      <c r="K235" s="26"/>
    </row>
    <row r="236" spans="1:11" ht="63.75" x14ac:dyDescent="0.2">
      <c r="A236" s="23" t="s">
        <v>458</v>
      </c>
      <c r="B236" s="23" t="s">
        <v>458</v>
      </c>
      <c r="C236" s="23"/>
      <c r="D236" s="24">
        <f>D234+H234</f>
        <v>420</v>
      </c>
      <c r="E236" s="27">
        <f t="shared" ref="E236:E243" si="68">D236+H236-1</f>
        <v>420</v>
      </c>
      <c r="F236" s="27">
        <f t="shared" ref="F236:F299" si="69">D236-1</f>
        <v>419</v>
      </c>
      <c r="G236" s="27">
        <f t="shared" ref="G236:G299" si="70">E236-1</f>
        <v>419</v>
      </c>
      <c r="H236" s="28">
        <v>1</v>
      </c>
      <c r="I236" s="29" t="s">
        <v>34</v>
      </c>
      <c r="J236" s="37" t="s">
        <v>334</v>
      </c>
      <c r="K236" s="26" t="s">
        <v>344</v>
      </c>
    </row>
    <row r="237" spans="1:11" ht="38.25" x14ac:dyDescent="0.2">
      <c r="A237" s="23" t="s">
        <v>458</v>
      </c>
      <c r="B237" s="23" t="s">
        <v>458</v>
      </c>
      <c r="C237" s="23"/>
      <c r="D237" s="24">
        <f t="shared" ref="D237" si="71">D236+H236</f>
        <v>421</v>
      </c>
      <c r="E237" s="27">
        <f t="shared" si="68"/>
        <v>421</v>
      </c>
      <c r="F237" s="27">
        <f t="shared" si="69"/>
        <v>420</v>
      </c>
      <c r="G237" s="27">
        <f t="shared" si="70"/>
        <v>420</v>
      </c>
      <c r="H237" s="28">
        <v>1</v>
      </c>
      <c r="I237" s="29" t="s">
        <v>35</v>
      </c>
      <c r="J237" s="37" t="s">
        <v>336</v>
      </c>
      <c r="K237" s="26" t="s">
        <v>344</v>
      </c>
    </row>
    <row r="238" spans="1:11" ht="38.25" x14ac:dyDescent="0.2">
      <c r="A238" s="23" t="s">
        <v>458</v>
      </c>
      <c r="B238" s="23" t="s">
        <v>458</v>
      </c>
      <c r="C238" s="23"/>
      <c r="D238" s="24">
        <f t="shared" ref="D238:D241" si="72">D237+H237</f>
        <v>422</v>
      </c>
      <c r="E238" s="27">
        <f t="shared" si="68"/>
        <v>422</v>
      </c>
      <c r="F238" s="27">
        <f t="shared" si="69"/>
        <v>421</v>
      </c>
      <c r="G238" s="27">
        <f t="shared" si="70"/>
        <v>421</v>
      </c>
      <c r="H238" s="28">
        <v>1</v>
      </c>
      <c r="I238" s="29" t="s">
        <v>36</v>
      </c>
      <c r="J238" s="37" t="s">
        <v>337</v>
      </c>
      <c r="K238" s="26" t="s">
        <v>344</v>
      </c>
    </row>
    <row r="239" spans="1:11" ht="63.75" x14ac:dyDescent="0.2">
      <c r="A239" s="23" t="s">
        <v>458</v>
      </c>
      <c r="B239" s="23" t="s">
        <v>458</v>
      </c>
      <c r="C239" s="23"/>
      <c r="D239" s="24">
        <f t="shared" si="72"/>
        <v>423</v>
      </c>
      <c r="E239" s="27">
        <f t="shared" si="68"/>
        <v>423</v>
      </c>
      <c r="F239" s="27">
        <f t="shared" si="69"/>
        <v>422</v>
      </c>
      <c r="G239" s="27">
        <f t="shared" si="70"/>
        <v>422</v>
      </c>
      <c r="H239" s="28">
        <v>1</v>
      </c>
      <c r="I239" s="29" t="s">
        <v>37</v>
      </c>
      <c r="J239" s="37" t="s">
        <v>568</v>
      </c>
      <c r="K239" s="26" t="s">
        <v>344</v>
      </c>
    </row>
    <row r="240" spans="1:11" ht="51" x14ac:dyDescent="0.2">
      <c r="A240" s="23" t="s">
        <v>457</v>
      </c>
      <c r="B240" s="23" t="s">
        <v>457</v>
      </c>
      <c r="C240" s="23"/>
      <c r="D240" s="24">
        <f t="shared" si="72"/>
        <v>424</v>
      </c>
      <c r="E240" s="27">
        <f t="shared" si="68"/>
        <v>433</v>
      </c>
      <c r="F240" s="27">
        <f t="shared" si="69"/>
        <v>423</v>
      </c>
      <c r="G240" s="27">
        <f t="shared" si="70"/>
        <v>432</v>
      </c>
      <c r="H240" s="28">
        <v>10</v>
      </c>
      <c r="I240" s="49" t="s">
        <v>61</v>
      </c>
      <c r="J240" s="41" t="s">
        <v>339</v>
      </c>
      <c r="K240" s="26" t="s">
        <v>344</v>
      </c>
    </row>
    <row r="241" spans="1:11" ht="63.75" x14ac:dyDescent="0.2">
      <c r="A241" s="23" t="s">
        <v>457</v>
      </c>
      <c r="B241" s="23" t="s">
        <v>457</v>
      </c>
      <c r="C241" s="23"/>
      <c r="D241" s="24">
        <f t="shared" si="72"/>
        <v>434</v>
      </c>
      <c r="E241" s="27">
        <f t="shared" si="68"/>
        <v>435</v>
      </c>
      <c r="F241" s="27">
        <f t="shared" si="69"/>
        <v>433</v>
      </c>
      <c r="G241" s="27">
        <f t="shared" si="70"/>
        <v>434</v>
      </c>
      <c r="H241" s="28">
        <v>2</v>
      </c>
      <c r="I241" s="49" t="s">
        <v>62</v>
      </c>
      <c r="J241" s="37" t="s">
        <v>338</v>
      </c>
      <c r="K241" s="26" t="s">
        <v>345</v>
      </c>
    </row>
    <row r="242" spans="1:11" ht="38.25" x14ac:dyDescent="0.2">
      <c r="A242" s="56" t="s">
        <v>457</v>
      </c>
      <c r="B242" s="56" t="s">
        <v>457</v>
      </c>
      <c r="C242" s="56"/>
      <c r="D242" s="61">
        <f>D241+H241</f>
        <v>436</v>
      </c>
      <c r="E242" s="27">
        <f t="shared" ref="E242" si="73">D242+H242-1</f>
        <v>436</v>
      </c>
      <c r="F242" s="27">
        <f t="shared" si="69"/>
        <v>435</v>
      </c>
      <c r="G242" s="27">
        <f t="shared" si="70"/>
        <v>435</v>
      </c>
      <c r="H242" s="28">
        <v>1</v>
      </c>
      <c r="I242" s="49" t="s">
        <v>562</v>
      </c>
      <c r="J242" s="37" t="s">
        <v>563</v>
      </c>
      <c r="K242" s="31" t="s">
        <v>564</v>
      </c>
    </row>
    <row r="243" spans="1:11" x14ac:dyDescent="0.2">
      <c r="A243" s="23"/>
      <c r="B243" s="23"/>
      <c r="C243" s="23"/>
      <c r="D243" s="24">
        <f>D242+H242</f>
        <v>437</v>
      </c>
      <c r="E243" s="27">
        <f t="shared" si="68"/>
        <v>445</v>
      </c>
      <c r="F243" s="27">
        <f t="shared" si="69"/>
        <v>436</v>
      </c>
      <c r="G243" s="27">
        <f t="shared" si="70"/>
        <v>444</v>
      </c>
      <c r="H243" s="28">
        <v>9</v>
      </c>
      <c r="I243" s="49" t="s">
        <v>100</v>
      </c>
      <c r="J243" s="25"/>
      <c r="K243" s="26"/>
    </row>
    <row r="244" spans="1:11" x14ac:dyDescent="0.2">
      <c r="A244" s="23"/>
      <c r="B244" s="23"/>
      <c r="C244" s="23"/>
      <c r="D244" s="24"/>
      <c r="E244" s="24"/>
      <c r="F244" s="27">
        <f t="shared" si="69"/>
        <v>-1</v>
      </c>
      <c r="G244" s="27">
        <f t="shared" si="70"/>
        <v>-1</v>
      </c>
      <c r="H244" s="24"/>
      <c r="I244" s="51" t="s">
        <v>38</v>
      </c>
      <c r="J244" s="25"/>
      <c r="K244" s="26"/>
    </row>
    <row r="245" spans="1:11" ht="63.75" x14ac:dyDescent="0.2">
      <c r="A245" s="23" t="s">
        <v>458</v>
      </c>
      <c r="B245" s="23" t="s">
        <v>458</v>
      </c>
      <c r="C245" s="23"/>
      <c r="D245" s="24">
        <f>D243+H243</f>
        <v>446</v>
      </c>
      <c r="E245" s="27">
        <f t="shared" ref="E245:E250" si="74">D245+H245-1</f>
        <v>446</v>
      </c>
      <c r="F245" s="27">
        <f t="shared" si="69"/>
        <v>445</v>
      </c>
      <c r="G245" s="27">
        <f t="shared" si="70"/>
        <v>445</v>
      </c>
      <c r="H245" s="28">
        <v>1</v>
      </c>
      <c r="I245" s="49" t="s">
        <v>39</v>
      </c>
      <c r="J245" s="37" t="s">
        <v>341</v>
      </c>
      <c r="K245" s="26" t="s">
        <v>344</v>
      </c>
    </row>
    <row r="246" spans="1:11" x14ac:dyDescent="0.2">
      <c r="A246" s="23" t="s">
        <v>458</v>
      </c>
      <c r="B246" s="23" t="s">
        <v>458</v>
      </c>
      <c r="C246" s="23"/>
      <c r="D246" s="24">
        <f t="shared" ref="D246" si="75">D245+H245</f>
        <v>447</v>
      </c>
      <c r="E246" s="27">
        <f t="shared" si="74"/>
        <v>447</v>
      </c>
      <c r="F246" s="27">
        <f t="shared" si="69"/>
        <v>446</v>
      </c>
      <c r="G246" s="27">
        <f t="shared" si="70"/>
        <v>446</v>
      </c>
      <c r="H246" s="28">
        <v>1</v>
      </c>
      <c r="I246" s="49" t="s">
        <v>40</v>
      </c>
      <c r="J246" s="152" t="s">
        <v>337</v>
      </c>
      <c r="K246" s="138" t="s">
        <v>344</v>
      </c>
    </row>
    <row r="247" spans="1:11" x14ac:dyDescent="0.2">
      <c r="A247" s="23" t="s">
        <v>458</v>
      </c>
      <c r="B247" s="23" t="s">
        <v>458</v>
      </c>
      <c r="C247" s="23"/>
      <c r="D247" s="24">
        <f t="shared" ref="D247:D250" si="76">D246+H246</f>
        <v>448</v>
      </c>
      <c r="E247" s="27">
        <f t="shared" si="74"/>
        <v>448</v>
      </c>
      <c r="F247" s="27">
        <f t="shared" si="69"/>
        <v>447</v>
      </c>
      <c r="G247" s="27">
        <f t="shared" si="70"/>
        <v>447</v>
      </c>
      <c r="H247" s="28">
        <v>1</v>
      </c>
      <c r="I247" s="49" t="s">
        <v>41</v>
      </c>
      <c r="J247" s="152"/>
      <c r="K247" s="138"/>
    </row>
    <row r="248" spans="1:11" x14ac:dyDescent="0.2">
      <c r="A248" s="23" t="s">
        <v>458</v>
      </c>
      <c r="B248" s="23" t="s">
        <v>458</v>
      </c>
      <c r="C248" s="23"/>
      <c r="D248" s="24">
        <f t="shared" si="76"/>
        <v>449</v>
      </c>
      <c r="E248" s="27">
        <f t="shared" si="74"/>
        <v>449</v>
      </c>
      <c r="F248" s="27">
        <f t="shared" si="69"/>
        <v>448</v>
      </c>
      <c r="G248" s="27">
        <f t="shared" si="70"/>
        <v>448</v>
      </c>
      <c r="H248" s="28">
        <v>1</v>
      </c>
      <c r="I248" s="49" t="s">
        <v>42</v>
      </c>
      <c r="J248" s="152"/>
      <c r="K248" s="138"/>
    </row>
    <row r="249" spans="1:11" x14ac:dyDescent="0.2">
      <c r="A249" s="23" t="s">
        <v>458</v>
      </c>
      <c r="B249" s="23" t="s">
        <v>458</v>
      </c>
      <c r="C249" s="23"/>
      <c r="D249" s="24">
        <f t="shared" si="76"/>
        <v>450</v>
      </c>
      <c r="E249" s="27">
        <f t="shared" si="74"/>
        <v>450</v>
      </c>
      <c r="F249" s="27">
        <f t="shared" si="69"/>
        <v>449</v>
      </c>
      <c r="G249" s="27">
        <f t="shared" si="70"/>
        <v>449</v>
      </c>
      <c r="H249" s="28">
        <v>1</v>
      </c>
      <c r="I249" s="49" t="s">
        <v>43</v>
      </c>
      <c r="J249" s="152"/>
      <c r="K249" s="138"/>
    </row>
    <row r="250" spans="1:11" x14ac:dyDescent="0.2">
      <c r="A250" s="23" t="s">
        <v>458</v>
      </c>
      <c r="B250" s="23" t="s">
        <v>458</v>
      </c>
      <c r="C250" s="23"/>
      <c r="D250" s="24">
        <f t="shared" si="76"/>
        <v>451</v>
      </c>
      <c r="E250" s="27">
        <f t="shared" si="74"/>
        <v>451</v>
      </c>
      <c r="F250" s="27">
        <f t="shared" si="69"/>
        <v>450</v>
      </c>
      <c r="G250" s="27">
        <f t="shared" si="70"/>
        <v>450</v>
      </c>
      <c r="H250" s="28">
        <v>1</v>
      </c>
      <c r="I250" s="49" t="s">
        <v>44</v>
      </c>
      <c r="J250" s="152"/>
      <c r="K250" s="138"/>
    </row>
    <row r="251" spans="1:11" x14ac:dyDescent="0.2">
      <c r="A251" s="23"/>
      <c r="B251" s="23"/>
      <c r="C251" s="23"/>
      <c r="D251" s="24"/>
      <c r="E251" s="24"/>
      <c r="F251" s="27">
        <f t="shared" si="69"/>
        <v>-1</v>
      </c>
      <c r="G251" s="27">
        <f t="shared" si="70"/>
        <v>-1</v>
      </c>
      <c r="H251" s="24"/>
      <c r="I251" s="51" t="s">
        <v>525</v>
      </c>
      <c r="J251" s="25"/>
      <c r="K251" s="26"/>
    </row>
    <row r="252" spans="1:11" x14ac:dyDescent="0.2">
      <c r="A252" s="23" t="s">
        <v>458</v>
      </c>
      <c r="B252" s="23" t="s">
        <v>458</v>
      </c>
      <c r="C252" s="23"/>
      <c r="D252" s="24">
        <f>D250+H250</f>
        <v>452</v>
      </c>
      <c r="E252" s="27">
        <f t="shared" ref="E252:E268" si="77">D252+H252-1</f>
        <v>452</v>
      </c>
      <c r="F252" s="27">
        <f t="shared" si="69"/>
        <v>451</v>
      </c>
      <c r="G252" s="27">
        <f t="shared" si="70"/>
        <v>451</v>
      </c>
      <c r="H252" s="28">
        <v>1</v>
      </c>
      <c r="I252" s="49" t="s">
        <v>232</v>
      </c>
      <c r="J252" s="143" t="s">
        <v>337</v>
      </c>
      <c r="K252" s="143" t="s">
        <v>344</v>
      </c>
    </row>
    <row r="253" spans="1:11" x14ac:dyDescent="0.2">
      <c r="A253" s="23" t="s">
        <v>458</v>
      </c>
      <c r="B253" s="23" t="s">
        <v>458</v>
      </c>
      <c r="C253" s="23"/>
      <c r="D253" s="24">
        <f t="shared" ref="D253" si="78">D252+H252</f>
        <v>453</v>
      </c>
      <c r="E253" s="27">
        <f t="shared" si="77"/>
        <v>453</v>
      </c>
      <c r="F253" s="27">
        <f t="shared" si="69"/>
        <v>452</v>
      </c>
      <c r="G253" s="27">
        <f t="shared" si="70"/>
        <v>452</v>
      </c>
      <c r="H253" s="28">
        <v>1</v>
      </c>
      <c r="I253" s="49" t="s">
        <v>233</v>
      </c>
      <c r="J253" s="143"/>
      <c r="K253" s="143"/>
    </row>
    <row r="254" spans="1:11" x14ac:dyDescent="0.2">
      <c r="A254" s="23" t="s">
        <v>458</v>
      </c>
      <c r="B254" s="23" t="s">
        <v>458</v>
      </c>
      <c r="C254" s="23"/>
      <c r="D254" s="24">
        <f t="shared" ref="D254:D268" si="79">D253+H253</f>
        <v>454</v>
      </c>
      <c r="E254" s="27">
        <f t="shared" si="77"/>
        <v>454</v>
      </c>
      <c r="F254" s="27">
        <f t="shared" si="69"/>
        <v>453</v>
      </c>
      <c r="G254" s="27">
        <f t="shared" si="70"/>
        <v>453</v>
      </c>
      <c r="H254" s="28">
        <v>1</v>
      </c>
      <c r="I254" s="49" t="s">
        <v>234</v>
      </c>
      <c r="J254" s="143"/>
      <c r="K254" s="143"/>
    </row>
    <row r="255" spans="1:11" x14ac:dyDescent="0.2">
      <c r="A255" s="23" t="s">
        <v>458</v>
      </c>
      <c r="B255" s="23" t="s">
        <v>458</v>
      </c>
      <c r="C255" s="23"/>
      <c r="D255" s="24">
        <f t="shared" si="79"/>
        <v>455</v>
      </c>
      <c r="E255" s="27">
        <f t="shared" si="77"/>
        <v>455</v>
      </c>
      <c r="F255" s="27">
        <f t="shared" si="69"/>
        <v>454</v>
      </c>
      <c r="G255" s="27">
        <f t="shared" si="70"/>
        <v>454</v>
      </c>
      <c r="H255" s="28">
        <v>1</v>
      </c>
      <c r="I255" s="49" t="s">
        <v>235</v>
      </c>
      <c r="J255" s="143"/>
      <c r="K255" s="143"/>
    </row>
    <row r="256" spans="1:11" x14ac:dyDescent="0.2">
      <c r="A256" s="23" t="s">
        <v>458</v>
      </c>
      <c r="B256" s="23" t="s">
        <v>458</v>
      </c>
      <c r="C256" s="23"/>
      <c r="D256" s="24">
        <f t="shared" si="79"/>
        <v>456</v>
      </c>
      <c r="E256" s="27">
        <f t="shared" si="77"/>
        <v>456</v>
      </c>
      <c r="F256" s="27">
        <f t="shared" si="69"/>
        <v>455</v>
      </c>
      <c r="G256" s="27">
        <f t="shared" si="70"/>
        <v>455</v>
      </c>
      <c r="H256" s="28">
        <v>1</v>
      </c>
      <c r="I256" s="49" t="s">
        <v>236</v>
      </c>
      <c r="J256" s="143"/>
      <c r="K256" s="143"/>
    </row>
    <row r="257" spans="1:11" x14ac:dyDescent="0.2">
      <c r="A257" s="23" t="s">
        <v>458</v>
      </c>
      <c r="B257" s="23" t="s">
        <v>458</v>
      </c>
      <c r="C257" s="23"/>
      <c r="D257" s="24">
        <f t="shared" si="79"/>
        <v>457</v>
      </c>
      <c r="E257" s="27">
        <f t="shared" si="77"/>
        <v>457</v>
      </c>
      <c r="F257" s="27">
        <f t="shared" si="69"/>
        <v>456</v>
      </c>
      <c r="G257" s="27">
        <f t="shared" si="70"/>
        <v>456</v>
      </c>
      <c r="H257" s="28">
        <v>1</v>
      </c>
      <c r="I257" s="49" t="s">
        <v>237</v>
      </c>
      <c r="J257" s="143"/>
      <c r="K257" s="143"/>
    </row>
    <row r="258" spans="1:11" x14ac:dyDescent="0.2">
      <c r="A258" s="23" t="s">
        <v>458</v>
      </c>
      <c r="B258" s="23" t="s">
        <v>458</v>
      </c>
      <c r="C258" s="23"/>
      <c r="D258" s="24">
        <f t="shared" si="79"/>
        <v>458</v>
      </c>
      <c r="E258" s="27">
        <f t="shared" si="77"/>
        <v>458</v>
      </c>
      <c r="F258" s="27">
        <f t="shared" si="69"/>
        <v>457</v>
      </c>
      <c r="G258" s="27">
        <f t="shared" si="70"/>
        <v>457</v>
      </c>
      <c r="H258" s="28">
        <v>1</v>
      </c>
      <c r="I258" s="49" t="s">
        <v>238</v>
      </c>
      <c r="J258" s="143"/>
      <c r="K258" s="143"/>
    </row>
    <row r="259" spans="1:11" x14ac:dyDescent="0.2">
      <c r="A259" s="23" t="s">
        <v>458</v>
      </c>
      <c r="B259" s="23" t="s">
        <v>458</v>
      </c>
      <c r="C259" s="23"/>
      <c r="D259" s="24">
        <f t="shared" si="79"/>
        <v>459</v>
      </c>
      <c r="E259" s="27">
        <f t="shared" si="77"/>
        <v>459</v>
      </c>
      <c r="F259" s="27">
        <f t="shared" si="69"/>
        <v>458</v>
      </c>
      <c r="G259" s="27">
        <f t="shared" si="70"/>
        <v>458</v>
      </c>
      <c r="H259" s="28">
        <v>1</v>
      </c>
      <c r="I259" s="49" t="s">
        <v>239</v>
      </c>
      <c r="J259" s="143"/>
      <c r="K259" s="143"/>
    </row>
    <row r="260" spans="1:11" x14ac:dyDescent="0.2">
      <c r="A260" s="23" t="s">
        <v>458</v>
      </c>
      <c r="B260" s="23" t="s">
        <v>458</v>
      </c>
      <c r="C260" s="23"/>
      <c r="D260" s="24">
        <f t="shared" si="79"/>
        <v>460</v>
      </c>
      <c r="E260" s="27">
        <f t="shared" si="77"/>
        <v>460</v>
      </c>
      <c r="F260" s="27">
        <f t="shared" si="69"/>
        <v>459</v>
      </c>
      <c r="G260" s="27">
        <f t="shared" si="70"/>
        <v>459</v>
      </c>
      <c r="H260" s="28">
        <v>1</v>
      </c>
      <c r="I260" s="49" t="s">
        <v>240</v>
      </c>
      <c r="J260" s="143"/>
      <c r="K260" s="143"/>
    </row>
    <row r="261" spans="1:11" x14ac:dyDescent="0.2">
      <c r="A261" s="23" t="s">
        <v>458</v>
      </c>
      <c r="B261" s="23" t="s">
        <v>458</v>
      </c>
      <c r="C261" s="23"/>
      <c r="D261" s="24">
        <f t="shared" si="79"/>
        <v>461</v>
      </c>
      <c r="E261" s="27">
        <f t="shared" si="77"/>
        <v>461</v>
      </c>
      <c r="F261" s="27">
        <f t="shared" si="69"/>
        <v>460</v>
      </c>
      <c r="G261" s="27">
        <f t="shared" si="70"/>
        <v>460</v>
      </c>
      <c r="H261" s="28">
        <v>1</v>
      </c>
      <c r="I261" s="49" t="s">
        <v>241</v>
      </c>
      <c r="J261" s="143"/>
      <c r="K261" s="143"/>
    </row>
    <row r="262" spans="1:11" x14ac:dyDescent="0.2">
      <c r="A262" s="23" t="s">
        <v>458</v>
      </c>
      <c r="B262" s="23" t="s">
        <v>458</v>
      </c>
      <c r="C262" s="23"/>
      <c r="D262" s="24">
        <f t="shared" si="79"/>
        <v>462</v>
      </c>
      <c r="E262" s="27">
        <f t="shared" si="77"/>
        <v>462</v>
      </c>
      <c r="F262" s="27">
        <f t="shared" si="69"/>
        <v>461</v>
      </c>
      <c r="G262" s="27">
        <f t="shared" si="70"/>
        <v>461</v>
      </c>
      <c r="H262" s="28">
        <v>1</v>
      </c>
      <c r="I262" s="49" t="s">
        <v>242</v>
      </c>
      <c r="J262" s="143"/>
      <c r="K262" s="143"/>
    </row>
    <row r="263" spans="1:11" x14ac:dyDescent="0.2">
      <c r="A263" s="23" t="s">
        <v>458</v>
      </c>
      <c r="B263" s="23" t="s">
        <v>458</v>
      </c>
      <c r="C263" s="23"/>
      <c r="D263" s="24">
        <f t="shared" si="79"/>
        <v>463</v>
      </c>
      <c r="E263" s="27">
        <f t="shared" si="77"/>
        <v>463</v>
      </c>
      <c r="F263" s="27">
        <f t="shared" si="69"/>
        <v>462</v>
      </c>
      <c r="G263" s="27">
        <f t="shared" si="70"/>
        <v>462</v>
      </c>
      <c r="H263" s="28">
        <v>1</v>
      </c>
      <c r="I263" s="49" t="s">
        <v>243</v>
      </c>
      <c r="J263" s="143"/>
      <c r="K263" s="143"/>
    </row>
    <row r="264" spans="1:11" x14ac:dyDescent="0.2">
      <c r="A264" s="23" t="s">
        <v>458</v>
      </c>
      <c r="B264" s="23" t="s">
        <v>458</v>
      </c>
      <c r="C264" s="23"/>
      <c r="D264" s="24">
        <f t="shared" si="79"/>
        <v>464</v>
      </c>
      <c r="E264" s="27">
        <f t="shared" si="77"/>
        <v>464</v>
      </c>
      <c r="F264" s="27">
        <f t="shared" si="69"/>
        <v>463</v>
      </c>
      <c r="G264" s="27">
        <f t="shared" si="70"/>
        <v>463</v>
      </c>
      <c r="H264" s="28">
        <v>1</v>
      </c>
      <c r="I264" s="49" t="s">
        <v>244</v>
      </c>
      <c r="J264" s="143"/>
      <c r="K264" s="143"/>
    </row>
    <row r="265" spans="1:11" x14ac:dyDescent="0.2">
      <c r="A265" s="23" t="s">
        <v>458</v>
      </c>
      <c r="B265" s="23" t="s">
        <v>458</v>
      </c>
      <c r="C265" s="23"/>
      <c r="D265" s="24">
        <f t="shared" si="79"/>
        <v>465</v>
      </c>
      <c r="E265" s="27">
        <f t="shared" si="77"/>
        <v>465</v>
      </c>
      <c r="F265" s="27">
        <f t="shared" si="69"/>
        <v>464</v>
      </c>
      <c r="G265" s="27">
        <f t="shared" si="70"/>
        <v>464</v>
      </c>
      <c r="H265" s="28">
        <v>1</v>
      </c>
      <c r="I265" s="49" t="s">
        <v>245</v>
      </c>
      <c r="J265" s="143"/>
      <c r="K265" s="143"/>
    </row>
    <row r="266" spans="1:11" x14ac:dyDescent="0.2">
      <c r="A266" s="23" t="s">
        <v>458</v>
      </c>
      <c r="B266" s="23" t="s">
        <v>458</v>
      </c>
      <c r="C266" s="23"/>
      <c r="D266" s="24">
        <f t="shared" si="79"/>
        <v>466</v>
      </c>
      <c r="E266" s="27">
        <f t="shared" si="77"/>
        <v>466</v>
      </c>
      <c r="F266" s="27">
        <f t="shared" si="69"/>
        <v>465</v>
      </c>
      <c r="G266" s="27">
        <f t="shared" si="70"/>
        <v>465</v>
      </c>
      <c r="H266" s="28">
        <v>1</v>
      </c>
      <c r="I266" s="49" t="s">
        <v>246</v>
      </c>
      <c r="J266" s="143"/>
      <c r="K266" s="143"/>
    </row>
    <row r="267" spans="1:11" x14ac:dyDescent="0.2">
      <c r="A267" s="23" t="s">
        <v>458</v>
      </c>
      <c r="B267" s="23" t="s">
        <v>458</v>
      </c>
      <c r="C267" s="23"/>
      <c r="D267" s="24">
        <f t="shared" si="79"/>
        <v>467</v>
      </c>
      <c r="E267" s="27">
        <f t="shared" si="77"/>
        <v>467</v>
      </c>
      <c r="F267" s="27">
        <f t="shared" si="69"/>
        <v>466</v>
      </c>
      <c r="G267" s="27">
        <f t="shared" si="70"/>
        <v>466</v>
      </c>
      <c r="H267" s="28">
        <v>1</v>
      </c>
      <c r="I267" s="49" t="s">
        <v>247</v>
      </c>
      <c r="J267" s="143"/>
      <c r="K267" s="143"/>
    </row>
    <row r="268" spans="1:11" x14ac:dyDescent="0.2">
      <c r="A268" s="23" t="s">
        <v>458</v>
      </c>
      <c r="B268" s="23" t="s">
        <v>458</v>
      </c>
      <c r="C268" s="23"/>
      <c r="D268" s="24">
        <f t="shared" si="79"/>
        <v>468</v>
      </c>
      <c r="E268" s="27">
        <f t="shared" si="77"/>
        <v>468</v>
      </c>
      <c r="F268" s="27">
        <f t="shared" si="69"/>
        <v>467</v>
      </c>
      <c r="G268" s="27">
        <f t="shared" si="70"/>
        <v>467</v>
      </c>
      <c r="H268" s="28">
        <v>1</v>
      </c>
      <c r="I268" s="49" t="s">
        <v>169</v>
      </c>
      <c r="J268" s="143"/>
      <c r="K268" s="143"/>
    </row>
    <row r="269" spans="1:11" x14ac:dyDescent="0.2">
      <c r="A269" s="23"/>
      <c r="B269" s="23"/>
      <c r="C269" s="23"/>
      <c r="D269" s="24"/>
      <c r="E269" s="27"/>
      <c r="F269" s="27">
        <f t="shared" si="69"/>
        <v>-1</v>
      </c>
      <c r="G269" s="27">
        <f t="shared" si="70"/>
        <v>-1</v>
      </c>
      <c r="H269" s="28"/>
      <c r="I269" s="53" t="s">
        <v>573</v>
      </c>
      <c r="J269" s="33"/>
      <c r="K269" s="33"/>
    </row>
    <row r="270" spans="1:11" x14ac:dyDescent="0.2">
      <c r="A270" s="23" t="s">
        <v>458</v>
      </c>
      <c r="B270" s="43" t="s">
        <v>458</v>
      </c>
      <c r="C270" s="43"/>
      <c r="D270" s="45">
        <f>D268+H268</f>
        <v>469</v>
      </c>
      <c r="E270" s="46">
        <f t="shared" ref="E270:E279" si="80">D270+H270-1</f>
        <v>469</v>
      </c>
      <c r="F270" s="27">
        <f t="shared" si="69"/>
        <v>468</v>
      </c>
      <c r="G270" s="27">
        <f t="shared" si="70"/>
        <v>468</v>
      </c>
      <c r="H270" s="44">
        <v>1</v>
      </c>
      <c r="I270" s="52" t="s">
        <v>577</v>
      </c>
      <c r="J270" s="140" t="s">
        <v>617</v>
      </c>
      <c r="K270" s="134" t="s">
        <v>625</v>
      </c>
    </row>
    <row r="271" spans="1:11" x14ac:dyDescent="0.2">
      <c r="A271" s="23" t="s">
        <v>458</v>
      </c>
      <c r="B271" s="43" t="s">
        <v>458</v>
      </c>
      <c r="C271" s="43"/>
      <c r="D271" s="45">
        <f t="shared" ref="D271:D279" si="81">D270+H270</f>
        <v>470</v>
      </c>
      <c r="E271" s="46">
        <f t="shared" si="80"/>
        <v>470</v>
      </c>
      <c r="F271" s="27">
        <f t="shared" si="69"/>
        <v>469</v>
      </c>
      <c r="G271" s="27">
        <f t="shared" si="70"/>
        <v>469</v>
      </c>
      <c r="H271" s="44">
        <v>1</v>
      </c>
      <c r="I271" s="52" t="s">
        <v>163</v>
      </c>
      <c r="J271" s="140"/>
      <c r="K271" s="134"/>
    </row>
    <row r="272" spans="1:11" x14ac:dyDescent="0.2">
      <c r="A272" s="23" t="s">
        <v>458</v>
      </c>
      <c r="B272" s="43" t="s">
        <v>458</v>
      </c>
      <c r="C272" s="43"/>
      <c r="D272" s="45">
        <f>D271+H271</f>
        <v>471</v>
      </c>
      <c r="E272" s="46">
        <f t="shared" si="80"/>
        <v>471</v>
      </c>
      <c r="F272" s="27">
        <f t="shared" si="69"/>
        <v>470</v>
      </c>
      <c r="G272" s="27">
        <f t="shared" si="70"/>
        <v>470</v>
      </c>
      <c r="H272" s="44">
        <v>1</v>
      </c>
      <c r="I272" s="52" t="s">
        <v>51</v>
      </c>
      <c r="J272" s="140"/>
      <c r="K272" s="134"/>
    </row>
    <row r="273" spans="1:11" x14ac:dyDescent="0.2">
      <c r="A273" s="23" t="s">
        <v>458</v>
      </c>
      <c r="B273" s="43" t="s">
        <v>458</v>
      </c>
      <c r="C273" s="43"/>
      <c r="D273" s="45">
        <f t="shared" si="81"/>
        <v>472</v>
      </c>
      <c r="E273" s="46">
        <f t="shared" si="80"/>
        <v>472</v>
      </c>
      <c r="F273" s="27">
        <f t="shared" si="69"/>
        <v>471</v>
      </c>
      <c r="G273" s="27">
        <f t="shared" si="70"/>
        <v>471</v>
      </c>
      <c r="H273" s="44">
        <v>1</v>
      </c>
      <c r="I273" s="52" t="s">
        <v>49</v>
      </c>
      <c r="J273" s="140"/>
      <c r="K273" s="134"/>
    </row>
    <row r="274" spans="1:11" x14ac:dyDescent="0.2">
      <c r="A274" s="23" t="s">
        <v>458</v>
      </c>
      <c r="B274" s="43" t="s">
        <v>458</v>
      </c>
      <c r="C274" s="43"/>
      <c r="D274" s="45">
        <f>D273+H273</f>
        <v>473</v>
      </c>
      <c r="E274" s="46">
        <f t="shared" si="80"/>
        <v>473</v>
      </c>
      <c r="F274" s="27">
        <f t="shared" si="69"/>
        <v>472</v>
      </c>
      <c r="G274" s="27">
        <f t="shared" si="70"/>
        <v>472</v>
      </c>
      <c r="H274" s="44">
        <v>1</v>
      </c>
      <c r="I274" s="52" t="s">
        <v>50</v>
      </c>
      <c r="J274" s="140"/>
      <c r="K274" s="134"/>
    </row>
    <row r="275" spans="1:11" x14ac:dyDescent="0.2">
      <c r="A275" s="23" t="s">
        <v>458</v>
      </c>
      <c r="B275" s="43" t="s">
        <v>458</v>
      </c>
      <c r="C275" s="43"/>
      <c r="D275" s="45">
        <f t="shared" si="81"/>
        <v>474</v>
      </c>
      <c r="E275" s="46">
        <f t="shared" si="80"/>
        <v>474</v>
      </c>
      <c r="F275" s="27">
        <f t="shared" si="69"/>
        <v>473</v>
      </c>
      <c r="G275" s="27">
        <f t="shared" si="70"/>
        <v>473</v>
      </c>
      <c r="H275" s="44">
        <v>1</v>
      </c>
      <c r="I275" s="52" t="s">
        <v>166</v>
      </c>
      <c r="J275" s="140"/>
      <c r="K275" s="134"/>
    </row>
    <row r="276" spans="1:11" x14ac:dyDescent="0.2">
      <c r="A276" s="23" t="s">
        <v>458</v>
      </c>
      <c r="B276" s="43" t="s">
        <v>458</v>
      </c>
      <c r="C276" s="43"/>
      <c r="D276" s="45">
        <f t="shared" si="81"/>
        <v>475</v>
      </c>
      <c r="E276" s="46">
        <f t="shared" si="80"/>
        <v>475</v>
      </c>
      <c r="F276" s="27">
        <f t="shared" si="69"/>
        <v>474</v>
      </c>
      <c r="G276" s="27">
        <f t="shared" si="70"/>
        <v>474</v>
      </c>
      <c r="H276" s="44">
        <v>1</v>
      </c>
      <c r="I276" s="52" t="s">
        <v>168</v>
      </c>
      <c r="J276" s="140"/>
      <c r="K276" s="134"/>
    </row>
    <row r="277" spans="1:11" x14ac:dyDescent="0.2">
      <c r="A277" s="23" t="s">
        <v>458</v>
      </c>
      <c r="B277" s="43" t="s">
        <v>458</v>
      </c>
      <c r="C277" s="43"/>
      <c r="D277" s="45">
        <f>D276+H276</f>
        <v>476</v>
      </c>
      <c r="E277" s="46">
        <f t="shared" si="80"/>
        <v>476</v>
      </c>
      <c r="F277" s="27">
        <f t="shared" si="69"/>
        <v>475</v>
      </c>
      <c r="G277" s="27">
        <f t="shared" si="70"/>
        <v>475</v>
      </c>
      <c r="H277" s="44">
        <v>1</v>
      </c>
      <c r="I277" s="52" t="s">
        <v>47</v>
      </c>
      <c r="J277" s="140"/>
      <c r="K277" s="134"/>
    </row>
    <row r="278" spans="1:11" x14ac:dyDescent="0.2">
      <c r="A278" s="23" t="s">
        <v>458</v>
      </c>
      <c r="B278" s="43" t="s">
        <v>458</v>
      </c>
      <c r="C278" s="43"/>
      <c r="D278" s="45">
        <f t="shared" si="81"/>
        <v>477</v>
      </c>
      <c r="E278" s="46">
        <f t="shared" si="80"/>
        <v>477</v>
      </c>
      <c r="F278" s="27">
        <f t="shared" si="69"/>
        <v>476</v>
      </c>
      <c r="G278" s="27">
        <f t="shared" si="70"/>
        <v>476</v>
      </c>
      <c r="H278" s="44">
        <v>1</v>
      </c>
      <c r="I278" s="52" t="s">
        <v>48</v>
      </c>
      <c r="J278" s="140"/>
      <c r="K278" s="134"/>
    </row>
    <row r="279" spans="1:11" x14ac:dyDescent="0.2">
      <c r="A279" s="23" t="s">
        <v>458</v>
      </c>
      <c r="B279" s="43" t="s">
        <v>458</v>
      </c>
      <c r="C279" s="43"/>
      <c r="D279" s="45">
        <f t="shared" si="81"/>
        <v>478</v>
      </c>
      <c r="E279" s="46">
        <f t="shared" si="80"/>
        <v>478</v>
      </c>
      <c r="F279" s="27">
        <f t="shared" si="69"/>
        <v>477</v>
      </c>
      <c r="G279" s="27">
        <f t="shared" si="70"/>
        <v>477</v>
      </c>
      <c r="H279" s="44">
        <v>1</v>
      </c>
      <c r="I279" s="52" t="s">
        <v>46</v>
      </c>
      <c r="J279" s="140"/>
      <c r="K279" s="134"/>
    </row>
    <row r="280" spans="1:11" x14ac:dyDescent="0.2">
      <c r="A280" s="23" t="s">
        <v>458</v>
      </c>
      <c r="B280" s="43" t="s">
        <v>458</v>
      </c>
      <c r="C280" s="43"/>
      <c r="D280" s="45">
        <f t="shared" ref="D280:D282" si="82">D279+H279</f>
        <v>479</v>
      </c>
      <c r="E280" s="46">
        <f t="shared" ref="E280:E282" si="83">D280+H280-1</f>
        <v>479</v>
      </c>
      <c r="F280" s="27">
        <f t="shared" si="69"/>
        <v>478</v>
      </c>
      <c r="G280" s="27">
        <f t="shared" si="70"/>
        <v>478</v>
      </c>
      <c r="H280" s="44">
        <v>1</v>
      </c>
      <c r="I280" s="52" t="s">
        <v>169</v>
      </c>
      <c r="J280" s="140"/>
      <c r="K280" s="134"/>
    </row>
    <row r="281" spans="1:11" x14ac:dyDescent="0.2">
      <c r="A281" s="23" t="s">
        <v>458</v>
      </c>
      <c r="B281" s="43" t="s">
        <v>458</v>
      </c>
      <c r="C281" s="43"/>
      <c r="D281" s="45">
        <f t="shared" si="82"/>
        <v>480</v>
      </c>
      <c r="E281" s="46">
        <f t="shared" si="83"/>
        <v>480</v>
      </c>
      <c r="F281" s="27">
        <f t="shared" si="69"/>
        <v>479</v>
      </c>
      <c r="G281" s="27">
        <f t="shared" si="70"/>
        <v>479</v>
      </c>
      <c r="H281" s="44">
        <v>1</v>
      </c>
      <c r="I281" s="52" t="s">
        <v>167</v>
      </c>
      <c r="J281" s="140"/>
      <c r="K281" s="134"/>
    </row>
    <row r="282" spans="1:11" x14ac:dyDescent="0.2">
      <c r="A282" s="23" t="s">
        <v>458</v>
      </c>
      <c r="B282" s="43" t="s">
        <v>458</v>
      </c>
      <c r="C282" s="43"/>
      <c r="D282" s="45">
        <f t="shared" si="82"/>
        <v>481</v>
      </c>
      <c r="E282" s="46">
        <f t="shared" si="83"/>
        <v>481</v>
      </c>
      <c r="F282" s="27">
        <f t="shared" si="69"/>
        <v>480</v>
      </c>
      <c r="G282" s="27">
        <f t="shared" si="70"/>
        <v>480</v>
      </c>
      <c r="H282" s="44">
        <v>1</v>
      </c>
      <c r="I282" s="52" t="s">
        <v>578</v>
      </c>
      <c r="J282" s="140"/>
      <c r="K282" s="134"/>
    </row>
    <row r="283" spans="1:11" x14ac:dyDescent="0.2">
      <c r="A283" s="23"/>
      <c r="B283" s="23"/>
      <c r="C283" s="23"/>
      <c r="D283" s="24"/>
      <c r="E283" s="27"/>
      <c r="F283" s="27">
        <f t="shared" si="69"/>
        <v>-1</v>
      </c>
      <c r="G283" s="27">
        <f t="shared" si="70"/>
        <v>-1</v>
      </c>
      <c r="H283" s="28"/>
      <c r="I283" s="62" t="s">
        <v>100</v>
      </c>
      <c r="J283" s="25"/>
      <c r="K283" s="26"/>
    </row>
    <row r="284" spans="1:11" x14ac:dyDescent="0.2">
      <c r="A284" s="23"/>
      <c r="B284" s="23"/>
      <c r="C284" s="23"/>
      <c r="D284" s="24"/>
      <c r="E284" s="24"/>
      <c r="F284" s="27">
        <f t="shared" si="69"/>
        <v>-1</v>
      </c>
      <c r="G284" s="27">
        <f t="shared" si="70"/>
        <v>-1</v>
      </c>
      <c r="H284" s="28"/>
      <c r="I284" s="55" t="s">
        <v>45</v>
      </c>
      <c r="J284" s="25"/>
      <c r="K284" s="26"/>
    </row>
    <row r="285" spans="1:11" ht="15" customHeight="1" x14ac:dyDescent="0.2">
      <c r="A285" s="23" t="s">
        <v>457</v>
      </c>
      <c r="B285" s="23" t="s">
        <v>457</v>
      </c>
      <c r="C285" s="23" t="s">
        <v>465</v>
      </c>
      <c r="D285" s="45">
        <f>D282+H282</f>
        <v>482</v>
      </c>
      <c r="E285" s="46">
        <f t="shared" ref="E285:E296" si="84">D285+H285-1</f>
        <v>482</v>
      </c>
      <c r="F285" s="27">
        <f t="shared" si="69"/>
        <v>481</v>
      </c>
      <c r="G285" s="27">
        <f t="shared" si="70"/>
        <v>481</v>
      </c>
      <c r="H285" s="28">
        <v>1</v>
      </c>
      <c r="I285" s="49" t="s">
        <v>46</v>
      </c>
      <c r="J285" s="135" t="s">
        <v>337</v>
      </c>
      <c r="K285" s="138" t="s">
        <v>344</v>
      </c>
    </row>
    <row r="286" spans="1:11" x14ac:dyDescent="0.2">
      <c r="A286" s="23" t="s">
        <v>457</v>
      </c>
      <c r="B286" s="23" t="s">
        <v>457</v>
      </c>
      <c r="C286" s="23" t="s">
        <v>465</v>
      </c>
      <c r="D286" s="45">
        <f t="shared" ref="D286" si="85">D285+H285</f>
        <v>483</v>
      </c>
      <c r="E286" s="46">
        <f t="shared" si="84"/>
        <v>483</v>
      </c>
      <c r="F286" s="27">
        <f t="shared" si="69"/>
        <v>482</v>
      </c>
      <c r="G286" s="27">
        <f t="shared" si="70"/>
        <v>482</v>
      </c>
      <c r="H286" s="28">
        <v>1</v>
      </c>
      <c r="I286" s="49" t="s">
        <v>47</v>
      </c>
      <c r="J286" s="135"/>
      <c r="K286" s="138"/>
    </row>
    <row r="287" spans="1:11" x14ac:dyDescent="0.2">
      <c r="A287" s="23" t="s">
        <v>457</v>
      </c>
      <c r="B287" s="23" t="s">
        <v>457</v>
      </c>
      <c r="C287" s="23" t="s">
        <v>465</v>
      </c>
      <c r="D287" s="45">
        <f t="shared" ref="D287:D296" si="86">D286+H286</f>
        <v>484</v>
      </c>
      <c r="E287" s="46">
        <f t="shared" si="84"/>
        <v>484</v>
      </c>
      <c r="F287" s="27">
        <f t="shared" si="69"/>
        <v>483</v>
      </c>
      <c r="G287" s="27">
        <f t="shared" si="70"/>
        <v>483</v>
      </c>
      <c r="H287" s="28">
        <v>1</v>
      </c>
      <c r="I287" s="49" t="s">
        <v>48</v>
      </c>
      <c r="J287" s="135"/>
      <c r="K287" s="138"/>
    </row>
    <row r="288" spans="1:11" x14ac:dyDescent="0.2">
      <c r="A288" s="23" t="s">
        <v>457</v>
      </c>
      <c r="B288" s="23" t="s">
        <v>457</v>
      </c>
      <c r="C288" s="23" t="s">
        <v>465</v>
      </c>
      <c r="D288" s="45">
        <f t="shared" si="86"/>
        <v>485</v>
      </c>
      <c r="E288" s="46">
        <f t="shared" si="84"/>
        <v>485</v>
      </c>
      <c r="F288" s="27">
        <f t="shared" si="69"/>
        <v>484</v>
      </c>
      <c r="G288" s="27">
        <f t="shared" si="70"/>
        <v>484</v>
      </c>
      <c r="H288" s="28">
        <v>1</v>
      </c>
      <c r="I288" s="49" t="s">
        <v>49</v>
      </c>
      <c r="J288" s="135"/>
      <c r="K288" s="138"/>
    </row>
    <row r="289" spans="1:11" x14ac:dyDescent="0.2">
      <c r="A289" s="23" t="s">
        <v>457</v>
      </c>
      <c r="B289" s="23" t="s">
        <v>457</v>
      </c>
      <c r="C289" s="23" t="s">
        <v>465</v>
      </c>
      <c r="D289" s="45">
        <f t="shared" si="86"/>
        <v>486</v>
      </c>
      <c r="E289" s="46">
        <f t="shared" si="84"/>
        <v>486</v>
      </c>
      <c r="F289" s="27">
        <f t="shared" si="69"/>
        <v>485</v>
      </c>
      <c r="G289" s="27">
        <f t="shared" si="70"/>
        <v>485</v>
      </c>
      <c r="H289" s="28">
        <v>1</v>
      </c>
      <c r="I289" s="49" t="s">
        <v>167</v>
      </c>
      <c r="J289" s="135"/>
      <c r="K289" s="138"/>
    </row>
    <row r="290" spans="1:11" x14ac:dyDescent="0.2">
      <c r="A290" s="23" t="s">
        <v>457</v>
      </c>
      <c r="B290" s="23" t="s">
        <v>457</v>
      </c>
      <c r="C290" s="23" t="s">
        <v>465</v>
      </c>
      <c r="D290" s="45">
        <f t="shared" si="86"/>
        <v>487</v>
      </c>
      <c r="E290" s="46">
        <f t="shared" si="84"/>
        <v>487</v>
      </c>
      <c r="F290" s="27">
        <f t="shared" si="69"/>
        <v>486</v>
      </c>
      <c r="G290" s="27">
        <f t="shared" si="70"/>
        <v>486</v>
      </c>
      <c r="H290" s="28">
        <v>1</v>
      </c>
      <c r="I290" s="49" t="s">
        <v>50</v>
      </c>
      <c r="J290" s="135"/>
      <c r="K290" s="138"/>
    </row>
    <row r="291" spans="1:11" x14ac:dyDescent="0.2">
      <c r="A291" s="23" t="s">
        <v>457</v>
      </c>
      <c r="B291" s="23" t="s">
        <v>457</v>
      </c>
      <c r="C291" s="23" t="s">
        <v>465</v>
      </c>
      <c r="D291" s="45">
        <f t="shared" si="86"/>
        <v>488</v>
      </c>
      <c r="E291" s="46">
        <f t="shared" si="84"/>
        <v>488</v>
      </c>
      <c r="F291" s="27">
        <f t="shared" si="69"/>
        <v>487</v>
      </c>
      <c r="G291" s="27">
        <f t="shared" si="70"/>
        <v>487</v>
      </c>
      <c r="H291" s="28">
        <v>1</v>
      </c>
      <c r="I291" s="49" t="s">
        <v>168</v>
      </c>
      <c r="J291" s="135"/>
      <c r="K291" s="138"/>
    </row>
    <row r="292" spans="1:11" x14ac:dyDescent="0.2">
      <c r="A292" s="23" t="s">
        <v>457</v>
      </c>
      <c r="B292" s="23" t="s">
        <v>457</v>
      </c>
      <c r="C292" s="23" t="s">
        <v>465</v>
      </c>
      <c r="D292" s="45">
        <f t="shared" si="86"/>
        <v>489</v>
      </c>
      <c r="E292" s="46">
        <f t="shared" si="84"/>
        <v>489</v>
      </c>
      <c r="F292" s="27">
        <f t="shared" si="69"/>
        <v>488</v>
      </c>
      <c r="G292" s="27">
        <f t="shared" si="70"/>
        <v>488</v>
      </c>
      <c r="H292" s="28">
        <v>1</v>
      </c>
      <c r="I292" s="49" t="s">
        <v>51</v>
      </c>
      <c r="J292" s="135"/>
      <c r="K292" s="138"/>
    </row>
    <row r="293" spans="1:11" x14ac:dyDescent="0.2">
      <c r="A293" s="23" t="s">
        <v>457</v>
      </c>
      <c r="B293" s="23" t="s">
        <v>457</v>
      </c>
      <c r="C293" s="23" t="s">
        <v>465</v>
      </c>
      <c r="D293" s="45">
        <f t="shared" si="86"/>
        <v>490</v>
      </c>
      <c r="E293" s="46">
        <f t="shared" si="84"/>
        <v>490</v>
      </c>
      <c r="F293" s="27">
        <f t="shared" si="69"/>
        <v>489</v>
      </c>
      <c r="G293" s="27">
        <f t="shared" si="70"/>
        <v>489</v>
      </c>
      <c r="H293" s="28">
        <v>1</v>
      </c>
      <c r="I293" s="49" t="s">
        <v>52</v>
      </c>
      <c r="J293" s="135"/>
      <c r="K293" s="138"/>
    </row>
    <row r="294" spans="1:11" x14ac:dyDescent="0.2">
      <c r="A294" s="23" t="s">
        <v>457</v>
      </c>
      <c r="B294" s="23" t="s">
        <v>457</v>
      </c>
      <c r="C294" s="23" t="s">
        <v>465</v>
      </c>
      <c r="D294" s="45">
        <f t="shared" si="86"/>
        <v>491</v>
      </c>
      <c r="E294" s="46">
        <f t="shared" si="84"/>
        <v>491</v>
      </c>
      <c r="F294" s="27">
        <f t="shared" si="69"/>
        <v>490</v>
      </c>
      <c r="G294" s="27">
        <f t="shared" si="70"/>
        <v>490</v>
      </c>
      <c r="H294" s="28">
        <v>1</v>
      </c>
      <c r="I294" s="49" t="s">
        <v>53</v>
      </c>
      <c r="J294" s="135"/>
      <c r="K294" s="138"/>
    </row>
    <row r="295" spans="1:11" x14ac:dyDescent="0.2">
      <c r="A295" s="23" t="s">
        <v>457</v>
      </c>
      <c r="B295" s="23" t="s">
        <v>457</v>
      </c>
      <c r="C295" s="23" t="s">
        <v>465</v>
      </c>
      <c r="D295" s="45">
        <f t="shared" si="86"/>
        <v>492</v>
      </c>
      <c r="E295" s="46">
        <f t="shared" si="84"/>
        <v>492</v>
      </c>
      <c r="F295" s="27">
        <f t="shared" si="69"/>
        <v>491</v>
      </c>
      <c r="G295" s="27">
        <f t="shared" si="70"/>
        <v>491</v>
      </c>
      <c r="H295" s="28">
        <v>1</v>
      </c>
      <c r="I295" s="49" t="s">
        <v>169</v>
      </c>
      <c r="J295" s="135"/>
      <c r="K295" s="138"/>
    </row>
    <row r="296" spans="1:11" x14ac:dyDescent="0.2">
      <c r="A296" s="23"/>
      <c r="B296" s="23"/>
      <c r="C296" s="23"/>
      <c r="D296" s="45">
        <f t="shared" si="86"/>
        <v>493</v>
      </c>
      <c r="E296" s="46">
        <f t="shared" si="84"/>
        <v>494</v>
      </c>
      <c r="F296" s="27">
        <f t="shared" si="69"/>
        <v>492</v>
      </c>
      <c r="G296" s="27">
        <f t="shared" si="70"/>
        <v>493</v>
      </c>
      <c r="H296" s="44">
        <v>2</v>
      </c>
      <c r="I296" s="49" t="s">
        <v>100</v>
      </c>
      <c r="J296" s="25"/>
      <c r="K296" s="26"/>
    </row>
    <row r="297" spans="1:11" x14ac:dyDescent="0.2">
      <c r="A297" s="23"/>
      <c r="B297" s="23"/>
      <c r="C297" s="23"/>
      <c r="D297" s="24"/>
      <c r="E297" s="24"/>
      <c r="F297" s="27">
        <f t="shared" si="69"/>
        <v>-1</v>
      </c>
      <c r="G297" s="27">
        <f t="shared" si="70"/>
        <v>-1</v>
      </c>
      <c r="H297" s="24"/>
      <c r="I297" s="55" t="s">
        <v>622</v>
      </c>
      <c r="J297" s="25"/>
      <c r="K297" s="26"/>
    </row>
    <row r="298" spans="1:11" ht="38.25" x14ac:dyDescent="0.2">
      <c r="A298" s="23" t="s">
        <v>458</v>
      </c>
      <c r="B298" s="23" t="s">
        <v>458</v>
      </c>
      <c r="C298" s="23"/>
      <c r="D298" s="24">
        <f>D296+H296</f>
        <v>495</v>
      </c>
      <c r="E298" s="27">
        <f t="shared" ref="E298:E305" si="87">D298+H298-1</f>
        <v>495</v>
      </c>
      <c r="F298" s="27">
        <f t="shared" si="69"/>
        <v>494</v>
      </c>
      <c r="G298" s="27">
        <f t="shared" si="70"/>
        <v>494</v>
      </c>
      <c r="H298" s="28">
        <v>1</v>
      </c>
      <c r="I298" s="49" t="s">
        <v>55</v>
      </c>
      <c r="J298" s="37" t="s">
        <v>337</v>
      </c>
      <c r="K298" s="26" t="s">
        <v>344</v>
      </c>
    </row>
    <row r="299" spans="1:11" x14ac:dyDescent="0.2">
      <c r="A299" s="23" t="s">
        <v>457</v>
      </c>
      <c r="B299" s="23" t="s">
        <v>457</v>
      </c>
      <c r="C299" s="23" t="s">
        <v>465</v>
      </c>
      <c r="D299" s="24">
        <f t="shared" ref="D299" si="88">D298+H298</f>
        <v>496</v>
      </c>
      <c r="E299" s="27">
        <f t="shared" si="87"/>
        <v>496</v>
      </c>
      <c r="F299" s="27">
        <f t="shared" si="69"/>
        <v>495</v>
      </c>
      <c r="G299" s="27">
        <f t="shared" si="70"/>
        <v>495</v>
      </c>
      <c r="H299" s="28">
        <v>1</v>
      </c>
      <c r="I299" s="49" t="s">
        <v>46</v>
      </c>
      <c r="J299" s="135" t="s">
        <v>337</v>
      </c>
      <c r="K299" s="138" t="s">
        <v>344</v>
      </c>
    </row>
    <row r="300" spans="1:11" x14ac:dyDescent="0.2">
      <c r="A300" s="23" t="s">
        <v>457</v>
      </c>
      <c r="B300" s="23" t="s">
        <v>457</v>
      </c>
      <c r="C300" s="23" t="s">
        <v>465</v>
      </c>
      <c r="D300" s="24">
        <f t="shared" ref="D300:D305" si="89">D299+H299</f>
        <v>497</v>
      </c>
      <c r="E300" s="27">
        <f t="shared" si="87"/>
        <v>497</v>
      </c>
      <c r="F300" s="27">
        <f t="shared" ref="F300:F363" si="90">D300-1</f>
        <v>496</v>
      </c>
      <c r="G300" s="27">
        <f t="shared" ref="G300:G363" si="91">E300-1</f>
        <v>496</v>
      </c>
      <c r="H300" s="28">
        <v>1</v>
      </c>
      <c r="I300" s="49" t="s">
        <v>50</v>
      </c>
      <c r="J300" s="135"/>
      <c r="K300" s="138"/>
    </row>
    <row r="301" spans="1:11" x14ac:dyDescent="0.2">
      <c r="A301" s="23" t="s">
        <v>457</v>
      </c>
      <c r="B301" s="23" t="s">
        <v>457</v>
      </c>
      <c r="C301" s="23" t="s">
        <v>465</v>
      </c>
      <c r="D301" s="24">
        <f t="shared" si="89"/>
        <v>498</v>
      </c>
      <c r="E301" s="27">
        <f t="shared" si="87"/>
        <v>498</v>
      </c>
      <c r="F301" s="27">
        <f t="shared" si="90"/>
        <v>497</v>
      </c>
      <c r="G301" s="27">
        <f t="shared" si="91"/>
        <v>497</v>
      </c>
      <c r="H301" s="28">
        <v>1</v>
      </c>
      <c r="I301" s="49" t="s">
        <v>52</v>
      </c>
      <c r="J301" s="135"/>
      <c r="K301" s="138"/>
    </row>
    <row r="302" spans="1:11" x14ac:dyDescent="0.2">
      <c r="A302" s="23" t="s">
        <v>457</v>
      </c>
      <c r="B302" s="23" t="s">
        <v>457</v>
      </c>
      <c r="C302" s="23" t="s">
        <v>465</v>
      </c>
      <c r="D302" s="24">
        <f t="shared" si="89"/>
        <v>499</v>
      </c>
      <c r="E302" s="27">
        <f t="shared" si="87"/>
        <v>499</v>
      </c>
      <c r="F302" s="27">
        <f t="shared" si="90"/>
        <v>498</v>
      </c>
      <c r="G302" s="27">
        <f t="shared" si="91"/>
        <v>498</v>
      </c>
      <c r="H302" s="28">
        <v>1</v>
      </c>
      <c r="I302" s="49" t="s">
        <v>56</v>
      </c>
      <c r="J302" s="135"/>
      <c r="K302" s="138"/>
    </row>
    <row r="303" spans="1:11" x14ac:dyDescent="0.2">
      <c r="A303" s="23" t="s">
        <v>457</v>
      </c>
      <c r="B303" s="23" t="s">
        <v>457</v>
      </c>
      <c r="C303" s="23" t="s">
        <v>465</v>
      </c>
      <c r="D303" s="24">
        <f t="shared" si="89"/>
        <v>500</v>
      </c>
      <c r="E303" s="27">
        <f t="shared" si="87"/>
        <v>500</v>
      </c>
      <c r="F303" s="27">
        <f t="shared" si="90"/>
        <v>499</v>
      </c>
      <c r="G303" s="27">
        <f t="shared" si="91"/>
        <v>499</v>
      </c>
      <c r="H303" s="28">
        <v>1</v>
      </c>
      <c r="I303" s="49" t="s">
        <v>170</v>
      </c>
      <c r="J303" s="135"/>
      <c r="K303" s="138"/>
    </row>
    <row r="304" spans="1:11" x14ac:dyDescent="0.2">
      <c r="A304" s="23" t="s">
        <v>457</v>
      </c>
      <c r="B304" s="23" t="s">
        <v>457</v>
      </c>
      <c r="C304" s="23" t="s">
        <v>465</v>
      </c>
      <c r="D304" s="24">
        <f t="shared" si="89"/>
        <v>501</v>
      </c>
      <c r="E304" s="27">
        <f t="shared" si="87"/>
        <v>501</v>
      </c>
      <c r="F304" s="27">
        <f t="shared" si="90"/>
        <v>500</v>
      </c>
      <c r="G304" s="27">
        <f t="shared" si="91"/>
        <v>500</v>
      </c>
      <c r="H304" s="28">
        <v>1</v>
      </c>
      <c r="I304" s="49" t="s">
        <v>66</v>
      </c>
      <c r="J304" s="135"/>
      <c r="K304" s="138"/>
    </row>
    <row r="305" spans="1:11" x14ac:dyDescent="0.2">
      <c r="A305" s="23"/>
      <c r="B305" s="23"/>
      <c r="C305" s="23"/>
      <c r="D305" s="24">
        <f t="shared" si="89"/>
        <v>502</v>
      </c>
      <c r="E305" s="27">
        <f t="shared" si="87"/>
        <v>506</v>
      </c>
      <c r="F305" s="27">
        <f t="shared" si="90"/>
        <v>501</v>
      </c>
      <c r="G305" s="27">
        <f t="shared" si="91"/>
        <v>505</v>
      </c>
      <c r="H305" s="28">
        <v>5</v>
      </c>
      <c r="I305" s="49" t="s">
        <v>100</v>
      </c>
      <c r="J305" s="25"/>
      <c r="K305" s="26"/>
    </row>
    <row r="306" spans="1:11" x14ac:dyDescent="0.2">
      <c r="A306" s="23"/>
      <c r="B306" s="23"/>
      <c r="C306" s="23"/>
      <c r="D306" s="24"/>
      <c r="E306" s="24"/>
      <c r="F306" s="27">
        <f t="shared" si="90"/>
        <v>-1</v>
      </c>
      <c r="G306" s="27">
        <f t="shared" si="91"/>
        <v>-1</v>
      </c>
      <c r="H306" s="24"/>
      <c r="I306" s="55" t="s">
        <v>58</v>
      </c>
      <c r="J306" s="25"/>
      <c r="K306" s="26"/>
    </row>
    <row r="307" spans="1:11" ht="38.25" x14ac:dyDescent="0.2">
      <c r="A307" s="23" t="s">
        <v>458</v>
      </c>
      <c r="B307" s="23" t="s">
        <v>458</v>
      </c>
      <c r="C307" s="23"/>
      <c r="D307" s="24">
        <f>D305+H305</f>
        <v>507</v>
      </c>
      <c r="E307" s="27">
        <f t="shared" ref="E307:E319" si="92">D307+H307-1</f>
        <v>507</v>
      </c>
      <c r="F307" s="27">
        <f t="shared" si="90"/>
        <v>506</v>
      </c>
      <c r="G307" s="27">
        <f t="shared" si="91"/>
        <v>506</v>
      </c>
      <c r="H307" s="28">
        <v>1</v>
      </c>
      <c r="I307" s="49" t="s">
        <v>59</v>
      </c>
      <c r="J307" s="37" t="s">
        <v>337</v>
      </c>
      <c r="K307" s="26" t="s">
        <v>344</v>
      </c>
    </row>
    <row r="308" spans="1:11" ht="15" customHeight="1" x14ac:dyDescent="0.2">
      <c r="A308" s="23" t="s">
        <v>457</v>
      </c>
      <c r="B308" s="23" t="s">
        <v>457</v>
      </c>
      <c r="C308" s="23" t="s">
        <v>465</v>
      </c>
      <c r="D308" s="24">
        <f t="shared" ref="D308" si="93">D307+H307</f>
        <v>508</v>
      </c>
      <c r="E308" s="27">
        <f t="shared" si="92"/>
        <v>508</v>
      </c>
      <c r="F308" s="27">
        <f t="shared" si="90"/>
        <v>507</v>
      </c>
      <c r="G308" s="27">
        <f t="shared" si="91"/>
        <v>507</v>
      </c>
      <c r="H308" s="28">
        <v>1</v>
      </c>
      <c r="I308" s="49" t="s">
        <v>46</v>
      </c>
      <c r="J308" s="135" t="s">
        <v>337</v>
      </c>
      <c r="K308" s="138" t="s">
        <v>344</v>
      </c>
    </row>
    <row r="309" spans="1:11" x14ac:dyDescent="0.2">
      <c r="A309" s="23" t="s">
        <v>457</v>
      </c>
      <c r="B309" s="23" t="s">
        <v>457</v>
      </c>
      <c r="C309" s="23" t="s">
        <v>465</v>
      </c>
      <c r="D309" s="24">
        <f t="shared" ref="D309:D319" si="94">D308+H308</f>
        <v>509</v>
      </c>
      <c r="E309" s="27">
        <f t="shared" si="92"/>
        <v>509</v>
      </c>
      <c r="F309" s="27">
        <f t="shared" si="90"/>
        <v>508</v>
      </c>
      <c r="G309" s="27">
        <f t="shared" si="91"/>
        <v>508</v>
      </c>
      <c r="H309" s="28">
        <v>1</v>
      </c>
      <c r="I309" s="49" t="s">
        <v>47</v>
      </c>
      <c r="J309" s="135"/>
      <c r="K309" s="138"/>
    </row>
    <row r="310" spans="1:11" x14ac:dyDescent="0.2">
      <c r="A310" s="23" t="s">
        <v>457</v>
      </c>
      <c r="B310" s="23" t="s">
        <v>457</v>
      </c>
      <c r="C310" s="23" t="s">
        <v>465</v>
      </c>
      <c r="D310" s="24">
        <f t="shared" si="94"/>
        <v>510</v>
      </c>
      <c r="E310" s="27">
        <f t="shared" si="92"/>
        <v>510</v>
      </c>
      <c r="F310" s="27">
        <f t="shared" si="90"/>
        <v>509</v>
      </c>
      <c r="G310" s="27">
        <f t="shared" si="91"/>
        <v>509</v>
      </c>
      <c r="H310" s="28">
        <v>1</v>
      </c>
      <c r="I310" s="49" t="s">
        <v>48</v>
      </c>
      <c r="J310" s="135"/>
      <c r="K310" s="138"/>
    </row>
    <row r="311" spans="1:11" x14ac:dyDescent="0.2">
      <c r="A311" s="23" t="s">
        <v>457</v>
      </c>
      <c r="B311" s="23" t="s">
        <v>457</v>
      </c>
      <c r="C311" s="23" t="s">
        <v>465</v>
      </c>
      <c r="D311" s="24">
        <f t="shared" si="94"/>
        <v>511</v>
      </c>
      <c r="E311" s="27">
        <f t="shared" si="92"/>
        <v>511</v>
      </c>
      <c r="F311" s="27">
        <f t="shared" si="90"/>
        <v>510</v>
      </c>
      <c r="G311" s="27">
        <f t="shared" si="91"/>
        <v>510</v>
      </c>
      <c r="H311" s="28">
        <v>1</v>
      </c>
      <c r="I311" s="49" t="s">
        <v>49</v>
      </c>
      <c r="J311" s="135"/>
      <c r="K311" s="138"/>
    </row>
    <row r="312" spans="1:11" x14ac:dyDescent="0.2">
      <c r="A312" s="23" t="s">
        <v>457</v>
      </c>
      <c r="B312" s="23" t="s">
        <v>457</v>
      </c>
      <c r="C312" s="23" t="s">
        <v>465</v>
      </c>
      <c r="D312" s="24">
        <f t="shared" si="94"/>
        <v>512</v>
      </c>
      <c r="E312" s="27">
        <f t="shared" si="92"/>
        <v>512</v>
      </c>
      <c r="F312" s="27">
        <f t="shared" si="90"/>
        <v>511</v>
      </c>
      <c r="G312" s="27">
        <f t="shared" si="91"/>
        <v>511</v>
      </c>
      <c r="H312" s="28">
        <v>1</v>
      </c>
      <c r="I312" s="49" t="s">
        <v>167</v>
      </c>
      <c r="J312" s="135"/>
      <c r="K312" s="138"/>
    </row>
    <row r="313" spans="1:11" x14ac:dyDescent="0.2">
      <c r="A313" s="23" t="s">
        <v>457</v>
      </c>
      <c r="B313" s="23" t="s">
        <v>457</v>
      </c>
      <c r="C313" s="23" t="s">
        <v>465</v>
      </c>
      <c r="D313" s="24">
        <f t="shared" si="94"/>
        <v>513</v>
      </c>
      <c r="E313" s="27">
        <f t="shared" si="92"/>
        <v>513</v>
      </c>
      <c r="F313" s="27">
        <f t="shared" si="90"/>
        <v>512</v>
      </c>
      <c r="G313" s="27">
        <f t="shared" si="91"/>
        <v>512</v>
      </c>
      <c r="H313" s="28">
        <v>1</v>
      </c>
      <c r="I313" s="49" t="s">
        <v>50</v>
      </c>
      <c r="J313" s="135"/>
      <c r="K313" s="138"/>
    </row>
    <row r="314" spans="1:11" x14ac:dyDescent="0.2">
      <c r="A314" s="23" t="s">
        <v>457</v>
      </c>
      <c r="B314" s="23" t="s">
        <v>457</v>
      </c>
      <c r="C314" s="23" t="s">
        <v>465</v>
      </c>
      <c r="D314" s="24">
        <f t="shared" si="94"/>
        <v>514</v>
      </c>
      <c r="E314" s="27">
        <f t="shared" si="92"/>
        <v>514</v>
      </c>
      <c r="F314" s="27">
        <f t="shared" si="90"/>
        <v>513</v>
      </c>
      <c r="G314" s="27">
        <f t="shared" si="91"/>
        <v>513</v>
      </c>
      <c r="H314" s="28">
        <v>1</v>
      </c>
      <c r="I314" s="49" t="s">
        <v>168</v>
      </c>
      <c r="J314" s="135"/>
      <c r="K314" s="138"/>
    </row>
    <row r="315" spans="1:11" x14ac:dyDescent="0.2">
      <c r="A315" s="23" t="s">
        <v>457</v>
      </c>
      <c r="B315" s="23" t="s">
        <v>457</v>
      </c>
      <c r="C315" s="23" t="s">
        <v>465</v>
      </c>
      <c r="D315" s="24">
        <f t="shared" si="94"/>
        <v>515</v>
      </c>
      <c r="E315" s="27">
        <f t="shared" si="92"/>
        <v>515</v>
      </c>
      <c r="F315" s="27">
        <f t="shared" si="90"/>
        <v>514</v>
      </c>
      <c r="G315" s="27">
        <f t="shared" si="91"/>
        <v>514</v>
      </c>
      <c r="H315" s="28">
        <v>1</v>
      </c>
      <c r="I315" s="49" t="s">
        <v>51</v>
      </c>
      <c r="J315" s="135"/>
      <c r="K315" s="138"/>
    </row>
    <row r="316" spans="1:11" x14ac:dyDescent="0.2">
      <c r="A316" s="23" t="s">
        <v>457</v>
      </c>
      <c r="B316" s="23" t="s">
        <v>457</v>
      </c>
      <c r="C316" s="23" t="s">
        <v>465</v>
      </c>
      <c r="D316" s="24">
        <f t="shared" si="94"/>
        <v>516</v>
      </c>
      <c r="E316" s="27">
        <f t="shared" si="92"/>
        <v>516</v>
      </c>
      <c r="F316" s="27">
        <f t="shared" si="90"/>
        <v>515</v>
      </c>
      <c r="G316" s="27">
        <f t="shared" si="91"/>
        <v>515</v>
      </c>
      <c r="H316" s="28">
        <v>1</v>
      </c>
      <c r="I316" s="49" t="s">
        <v>52</v>
      </c>
      <c r="J316" s="135"/>
      <c r="K316" s="138"/>
    </row>
    <row r="317" spans="1:11" x14ac:dyDescent="0.2">
      <c r="A317" s="23" t="s">
        <v>457</v>
      </c>
      <c r="B317" s="23" t="s">
        <v>457</v>
      </c>
      <c r="C317" s="23" t="s">
        <v>465</v>
      </c>
      <c r="D317" s="24">
        <f t="shared" si="94"/>
        <v>517</v>
      </c>
      <c r="E317" s="27">
        <f t="shared" si="92"/>
        <v>517</v>
      </c>
      <c r="F317" s="27">
        <f t="shared" si="90"/>
        <v>516</v>
      </c>
      <c r="G317" s="27">
        <f t="shared" si="91"/>
        <v>516</v>
      </c>
      <c r="H317" s="28">
        <v>1</v>
      </c>
      <c r="I317" s="49" t="s">
        <v>53</v>
      </c>
      <c r="J317" s="135"/>
      <c r="K317" s="138"/>
    </row>
    <row r="318" spans="1:11" x14ac:dyDescent="0.2">
      <c r="A318" s="23" t="s">
        <v>457</v>
      </c>
      <c r="B318" s="23" t="s">
        <v>457</v>
      </c>
      <c r="C318" s="23" t="s">
        <v>465</v>
      </c>
      <c r="D318" s="24">
        <f t="shared" si="94"/>
        <v>518</v>
      </c>
      <c r="E318" s="27">
        <f t="shared" si="92"/>
        <v>518</v>
      </c>
      <c r="F318" s="27">
        <f t="shared" si="90"/>
        <v>517</v>
      </c>
      <c r="G318" s="27">
        <f t="shared" si="91"/>
        <v>517</v>
      </c>
      <c r="H318" s="28">
        <v>1</v>
      </c>
      <c r="I318" s="49" t="s">
        <v>169</v>
      </c>
      <c r="J318" s="135"/>
      <c r="K318" s="138"/>
    </row>
    <row r="319" spans="1:11" x14ac:dyDescent="0.2">
      <c r="A319" s="23"/>
      <c r="B319" s="23"/>
      <c r="C319" s="23"/>
      <c r="D319" s="24">
        <f t="shared" si="94"/>
        <v>519</v>
      </c>
      <c r="E319" s="27">
        <f t="shared" si="92"/>
        <v>523</v>
      </c>
      <c r="F319" s="27">
        <f t="shared" si="90"/>
        <v>518</v>
      </c>
      <c r="G319" s="27">
        <f t="shared" si="91"/>
        <v>522</v>
      </c>
      <c r="H319" s="28">
        <v>5</v>
      </c>
      <c r="I319" s="49" t="s">
        <v>100</v>
      </c>
      <c r="J319" s="25"/>
      <c r="K319" s="26"/>
    </row>
    <row r="320" spans="1:11" ht="12.75" customHeight="1" x14ac:dyDescent="0.2">
      <c r="A320" s="23"/>
      <c r="B320" s="23"/>
      <c r="C320" s="23"/>
      <c r="D320" s="24"/>
      <c r="E320" s="24"/>
      <c r="F320" s="27">
        <f t="shared" si="90"/>
        <v>-1</v>
      </c>
      <c r="G320" s="27">
        <f t="shared" si="91"/>
        <v>-1</v>
      </c>
      <c r="H320" s="24"/>
      <c r="I320" s="51" t="s">
        <v>60</v>
      </c>
      <c r="J320" s="25"/>
      <c r="K320" s="26"/>
    </row>
    <row r="321" spans="1:11" ht="12.75" customHeight="1" x14ac:dyDescent="0.2">
      <c r="A321" s="23" t="s">
        <v>457</v>
      </c>
      <c r="B321" s="23" t="s">
        <v>457</v>
      </c>
      <c r="C321" s="23" t="s">
        <v>465</v>
      </c>
      <c r="D321" s="24">
        <f>D319+H319</f>
        <v>524</v>
      </c>
      <c r="E321" s="27">
        <f t="shared" ref="E321" si="95">D321+H321-1</f>
        <v>524</v>
      </c>
      <c r="F321" s="27">
        <f t="shared" si="90"/>
        <v>523</v>
      </c>
      <c r="G321" s="27">
        <f t="shared" si="91"/>
        <v>523</v>
      </c>
      <c r="H321" s="28">
        <v>1</v>
      </c>
      <c r="I321" s="49" t="s">
        <v>52</v>
      </c>
      <c r="J321" s="26" t="s">
        <v>337</v>
      </c>
      <c r="K321" s="26" t="s">
        <v>344</v>
      </c>
    </row>
    <row r="322" spans="1:11" x14ac:dyDescent="0.2">
      <c r="A322" s="23"/>
      <c r="B322" s="23"/>
      <c r="C322" s="23"/>
      <c r="D322" s="24"/>
      <c r="E322" s="54"/>
      <c r="F322" s="27">
        <f t="shared" si="90"/>
        <v>-1</v>
      </c>
      <c r="G322" s="27">
        <f t="shared" si="91"/>
        <v>-1</v>
      </c>
      <c r="H322" s="54"/>
      <c r="I322" s="63" t="s">
        <v>159</v>
      </c>
      <c r="J322" s="25"/>
      <c r="K322" s="26"/>
    </row>
    <row r="323" spans="1:11" x14ac:dyDescent="0.2">
      <c r="A323" s="23"/>
      <c r="B323" s="23"/>
      <c r="C323" s="23"/>
      <c r="D323" s="54">
        <f>D321+H321</f>
        <v>525</v>
      </c>
      <c r="E323" s="27">
        <f t="shared" ref="E323" si="96">D323+H323-1</f>
        <v>544</v>
      </c>
      <c r="F323" s="27">
        <f t="shared" si="90"/>
        <v>524</v>
      </c>
      <c r="G323" s="27">
        <f t="shared" si="91"/>
        <v>543</v>
      </c>
      <c r="H323" s="54">
        <v>20</v>
      </c>
      <c r="I323" s="49" t="s">
        <v>100</v>
      </c>
      <c r="J323" s="25"/>
      <c r="K323" s="26"/>
    </row>
    <row r="324" spans="1:11" ht="25.5" x14ac:dyDescent="0.2">
      <c r="A324" s="23"/>
      <c r="B324" s="23"/>
      <c r="C324" s="23"/>
      <c r="D324" s="24"/>
      <c r="E324" s="27"/>
      <c r="F324" s="27">
        <f t="shared" si="90"/>
        <v>-1</v>
      </c>
      <c r="G324" s="27">
        <f t="shared" si="91"/>
        <v>-1</v>
      </c>
      <c r="H324" s="24"/>
      <c r="I324" s="50" t="s">
        <v>68</v>
      </c>
      <c r="J324" s="25"/>
      <c r="K324" s="64" t="s">
        <v>490</v>
      </c>
    </row>
    <row r="325" spans="1:11" ht="63.75" x14ac:dyDescent="0.2">
      <c r="A325" s="23" t="s">
        <v>458</v>
      </c>
      <c r="B325" s="23" t="s">
        <v>458</v>
      </c>
      <c r="C325" s="23"/>
      <c r="D325" s="24">
        <f>D323+H323</f>
        <v>545</v>
      </c>
      <c r="E325" s="27">
        <f t="shared" ref="E325:E331" si="97">D325+H325-1</f>
        <v>545</v>
      </c>
      <c r="F325" s="27">
        <f t="shared" si="90"/>
        <v>544</v>
      </c>
      <c r="G325" s="27">
        <f t="shared" si="91"/>
        <v>544</v>
      </c>
      <c r="H325" s="24">
        <v>1</v>
      </c>
      <c r="I325" s="29" t="s">
        <v>34</v>
      </c>
      <c r="J325" s="42" t="s">
        <v>334</v>
      </c>
      <c r="K325" s="36" t="s">
        <v>623</v>
      </c>
    </row>
    <row r="326" spans="1:11" ht="38.25" x14ac:dyDescent="0.2">
      <c r="A326" s="23" t="s">
        <v>458</v>
      </c>
      <c r="B326" s="23" t="s">
        <v>458</v>
      </c>
      <c r="C326" s="23"/>
      <c r="D326" s="24">
        <f t="shared" ref="D326" si="98">D325+H325</f>
        <v>546</v>
      </c>
      <c r="E326" s="27">
        <f t="shared" si="97"/>
        <v>546</v>
      </c>
      <c r="F326" s="27">
        <f t="shared" si="90"/>
        <v>545</v>
      </c>
      <c r="G326" s="27">
        <f t="shared" si="91"/>
        <v>545</v>
      </c>
      <c r="H326" s="24">
        <v>1</v>
      </c>
      <c r="I326" s="29" t="s">
        <v>35</v>
      </c>
      <c r="J326" s="42" t="s">
        <v>336</v>
      </c>
      <c r="K326" s="36" t="s">
        <v>623</v>
      </c>
    </row>
    <row r="327" spans="1:11" ht="38.25" x14ac:dyDescent="0.2">
      <c r="A327" s="23" t="s">
        <v>458</v>
      </c>
      <c r="B327" s="23" t="s">
        <v>458</v>
      </c>
      <c r="C327" s="23"/>
      <c r="D327" s="24">
        <f t="shared" ref="D327:D331" si="99">D326+H326</f>
        <v>547</v>
      </c>
      <c r="E327" s="27">
        <f t="shared" si="97"/>
        <v>547</v>
      </c>
      <c r="F327" s="27">
        <f t="shared" si="90"/>
        <v>546</v>
      </c>
      <c r="G327" s="27">
        <f t="shared" si="91"/>
        <v>546</v>
      </c>
      <c r="H327" s="24">
        <v>1</v>
      </c>
      <c r="I327" s="29" t="s">
        <v>36</v>
      </c>
      <c r="J327" s="42" t="s">
        <v>337</v>
      </c>
      <c r="K327" s="36" t="s">
        <v>623</v>
      </c>
    </row>
    <row r="328" spans="1:11" ht="63.75" x14ac:dyDescent="0.2">
      <c r="A328" s="23" t="s">
        <v>458</v>
      </c>
      <c r="B328" s="23" t="s">
        <v>458</v>
      </c>
      <c r="C328" s="23"/>
      <c r="D328" s="24">
        <f t="shared" si="99"/>
        <v>548</v>
      </c>
      <c r="E328" s="27">
        <f t="shared" si="97"/>
        <v>548</v>
      </c>
      <c r="F328" s="27">
        <f t="shared" si="90"/>
        <v>547</v>
      </c>
      <c r="G328" s="27">
        <f t="shared" si="91"/>
        <v>547</v>
      </c>
      <c r="H328" s="24">
        <v>1</v>
      </c>
      <c r="I328" s="29" t="s">
        <v>37</v>
      </c>
      <c r="J328" s="42" t="s">
        <v>568</v>
      </c>
      <c r="K328" s="36" t="s">
        <v>623</v>
      </c>
    </row>
    <row r="329" spans="1:11" ht="51" x14ac:dyDescent="0.2">
      <c r="A329" s="23" t="s">
        <v>457</v>
      </c>
      <c r="B329" s="23" t="s">
        <v>457</v>
      </c>
      <c r="C329" s="23"/>
      <c r="D329" s="24">
        <f>D328+H328</f>
        <v>549</v>
      </c>
      <c r="E329" s="27">
        <f t="shared" si="97"/>
        <v>558</v>
      </c>
      <c r="F329" s="27">
        <f t="shared" si="90"/>
        <v>548</v>
      </c>
      <c r="G329" s="27">
        <f t="shared" si="91"/>
        <v>557</v>
      </c>
      <c r="H329" s="24">
        <v>10</v>
      </c>
      <c r="I329" s="49" t="s">
        <v>61</v>
      </c>
      <c r="J329" s="47" t="s">
        <v>339</v>
      </c>
      <c r="K329" s="36" t="s">
        <v>623</v>
      </c>
    </row>
    <row r="330" spans="1:11" ht="89.25" x14ac:dyDescent="0.2">
      <c r="A330" s="23" t="s">
        <v>457</v>
      </c>
      <c r="B330" s="23" t="s">
        <v>457</v>
      </c>
      <c r="C330" s="23"/>
      <c r="D330" s="24">
        <f t="shared" si="99"/>
        <v>559</v>
      </c>
      <c r="E330" s="27">
        <f t="shared" si="97"/>
        <v>560</v>
      </c>
      <c r="F330" s="27">
        <f t="shared" si="90"/>
        <v>558</v>
      </c>
      <c r="G330" s="27">
        <f t="shared" si="91"/>
        <v>559</v>
      </c>
      <c r="H330" s="24">
        <v>2</v>
      </c>
      <c r="I330" s="49" t="s">
        <v>62</v>
      </c>
      <c r="J330" s="42" t="s">
        <v>338</v>
      </c>
      <c r="K330" s="36" t="s">
        <v>624</v>
      </c>
    </row>
    <row r="331" spans="1:11" x14ac:dyDescent="0.2">
      <c r="A331" s="23"/>
      <c r="B331" s="23"/>
      <c r="C331" s="23"/>
      <c r="D331" s="24">
        <f t="shared" si="99"/>
        <v>561</v>
      </c>
      <c r="E331" s="27">
        <f t="shared" si="97"/>
        <v>570</v>
      </c>
      <c r="F331" s="27">
        <f t="shared" si="90"/>
        <v>560</v>
      </c>
      <c r="G331" s="27">
        <f t="shared" si="91"/>
        <v>569</v>
      </c>
      <c r="H331" s="24">
        <v>10</v>
      </c>
      <c r="I331" s="49" t="s">
        <v>100</v>
      </c>
      <c r="J331" s="25"/>
      <c r="K331" s="26"/>
    </row>
    <row r="332" spans="1:11" x14ac:dyDescent="0.2">
      <c r="A332" s="23"/>
      <c r="B332" s="23"/>
      <c r="C332" s="23"/>
      <c r="D332" s="24"/>
      <c r="E332" s="24"/>
      <c r="F332" s="27">
        <f t="shared" si="90"/>
        <v>-1</v>
      </c>
      <c r="G332" s="27">
        <f t="shared" si="91"/>
        <v>-1</v>
      </c>
      <c r="H332" s="24"/>
      <c r="I332" s="51" t="s">
        <v>38</v>
      </c>
      <c r="J332" s="25"/>
      <c r="K332" s="26"/>
    </row>
    <row r="333" spans="1:11" ht="63.75" x14ac:dyDescent="0.2">
      <c r="A333" s="23" t="s">
        <v>458</v>
      </c>
      <c r="B333" s="23" t="s">
        <v>458</v>
      </c>
      <c r="C333" s="23"/>
      <c r="D333" s="24">
        <f>D331+H331</f>
        <v>571</v>
      </c>
      <c r="E333" s="27">
        <f t="shared" ref="E333:E338" si="100">D333+H333-1</f>
        <v>571</v>
      </c>
      <c r="F333" s="27">
        <f t="shared" si="90"/>
        <v>570</v>
      </c>
      <c r="G333" s="27">
        <f t="shared" si="91"/>
        <v>570</v>
      </c>
      <c r="H333" s="24">
        <v>1</v>
      </c>
      <c r="I333" s="49" t="s">
        <v>39</v>
      </c>
      <c r="J333" s="42" t="s">
        <v>341</v>
      </c>
      <c r="K333" s="36" t="s">
        <v>623</v>
      </c>
    </row>
    <row r="334" spans="1:11" x14ac:dyDescent="0.2">
      <c r="A334" s="23" t="s">
        <v>458</v>
      </c>
      <c r="B334" s="23" t="s">
        <v>458</v>
      </c>
      <c r="C334" s="23"/>
      <c r="D334" s="24">
        <f t="shared" ref="D334" si="101">D333+H333</f>
        <v>572</v>
      </c>
      <c r="E334" s="27">
        <f t="shared" si="100"/>
        <v>572</v>
      </c>
      <c r="F334" s="27">
        <f t="shared" si="90"/>
        <v>571</v>
      </c>
      <c r="G334" s="27">
        <f t="shared" si="91"/>
        <v>571</v>
      </c>
      <c r="H334" s="24">
        <v>1</v>
      </c>
      <c r="I334" s="49" t="s">
        <v>40</v>
      </c>
      <c r="J334" s="142" t="s">
        <v>337</v>
      </c>
      <c r="K334" s="141" t="s">
        <v>623</v>
      </c>
    </row>
    <row r="335" spans="1:11" x14ac:dyDescent="0.2">
      <c r="A335" s="23" t="s">
        <v>458</v>
      </c>
      <c r="B335" s="23" t="s">
        <v>458</v>
      </c>
      <c r="C335" s="23"/>
      <c r="D335" s="24">
        <f t="shared" ref="D335:D338" si="102">D334+H334</f>
        <v>573</v>
      </c>
      <c r="E335" s="27">
        <f t="shared" si="100"/>
        <v>573</v>
      </c>
      <c r="F335" s="27">
        <f t="shared" si="90"/>
        <v>572</v>
      </c>
      <c r="G335" s="27">
        <f t="shared" si="91"/>
        <v>572</v>
      </c>
      <c r="H335" s="24">
        <v>1</v>
      </c>
      <c r="I335" s="49" t="s">
        <v>41</v>
      </c>
      <c r="J335" s="142"/>
      <c r="K335" s="141"/>
    </row>
    <row r="336" spans="1:11" x14ac:dyDescent="0.2">
      <c r="A336" s="23" t="s">
        <v>458</v>
      </c>
      <c r="B336" s="23" t="s">
        <v>458</v>
      </c>
      <c r="C336" s="23"/>
      <c r="D336" s="24">
        <f t="shared" si="102"/>
        <v>574</v>
      </c>
      <c r="E336" s="27">
        <f t="shared" si="100"/>
        <v>574</v>
      </c>
      <c r="F336" s="27">
        <f t="shared" si="90"/>
        <v>573</v>
      </c>
      <c r="G336" s="27">
        <f t="shared" si="91"/>
        <v>573</v>
      </c>
      <c r="H336" s="24">
        <v>1</v>
      </c>
      <c r="I336" s="49" t="s">
        <v>42</v>
      </c>
      <c r="J336" s="142"/>
      <c r="K336" s="141"/>
    </row>
    <row r="337" spans="1:11" x14ac:dyDescent="0.2">
      <c r="A337" s="23" t="s">
        <v>458</v>
      </c>
      <c r="B337" s="23" t="s">
        <v>458</v>
      </c>
      <c r="C337" s="23"/>
      <c r="D337" s="24">
        <f t="shared" si="102"/>
        <v>575</v>
      </c>
      <c r="E337" s="27">
        <f t="shared" si="100"/>
        <v>575</v>
      </c>
      <c r="F337" s="27">
        <f t="shared" si="90"/>
        <v>574</v>
      </c>
      <c r="G337" s="27">
        <f t="shared" si="91"/>
        <v>574</v>
      </c>
      <c r="H337" s="24">
        <v>1</v>
      </c>
      <c r="I337" s="49" t="s">
        <v>43</v>
      </c>
      <c r="J337" s="142"/>
      <c r="K337" s="141"/>
    </row>
    <row r="338" spans="1:11" x14ac:dyDescent="0.2">
      <c r="A338" s="23" t="s">
        <v>458</v>
      </c>
      <c r="B338" s="23" t="s">
        <v>458</v>
      </c>
      <c r="C338" s="23"/>
      <c r="D338" s="24">
        <f t="shared" si="102"/>
        <v>576</v>
      </c>
      <c r="E338" s="27">
        <f t="shared" si="100"/>
        <v>576</v>
      </c>
      <c r="F338" s="27">
        <f t="shared" si="90"/>
        <v>575</v>
      </c>
      <c r="G338" s="27">
        <f t="shared" si="91"/>
        <v>575</v>
      </c>
      <c r="H338" s="24">
        <v>1</v>
      </c>
      <c r="I338" s="49" t="s">
        <v>44</v>
      </c>
      <c r="J338" s="142"/>
      <c r="K338" s="141"/>
    </row>
    <row r="339" spans="1:11" x14ac:dyDescent="0.2">
      <c r="A339" s="23"/>
      <c r="B339" s="23"/>
      <c r="C339" s="23"/>
      <c r="D339" s="24"/>
      <c r="E339" s="24"/>
      <c r="F339" s="27">
        <f t="shared" si="90"/>
        <v>-1</v>
      </c>
      <c r="G339" s="27">
        <f t="shared" si="91"/>
        <v>-1</v>
      </c>
      <c r="H339" s="24"/>
      <c r="I339" s="51" t="s">
        <v>525</v>
      </c>
      <c r="J339" s="25"/>
      <c r="K339" s="48"/>
    </row>
    <row r="340" spans="1:11" ht="12.75" customHeight="1" x14ac:dyDescent="0.2">
      <c r="A340" s="23" t="s">
        <v>458</v>
      </c>
      <c r="B340" s="23" t="s">
        <v>458</v>
      </c>
      <c r="C340" s="23"/>
      <c r="D340" s="24">
        <f>D338+H338</f>
        <v>577</v>
      </c>
      <c r="E340" s="27">
        <f t="shared" ref="E340:E356" si="103">D340+H340-1</f>
        <v>577</v>
      </c>
      <c r="F340" s="27">
        <f t="shared" si="90"/>
        <v>576</v>
      </c>
      <c r="G340" s="27">
        <f t="shared" si="91"/>
        <v>576</v>
      </c>
      <c r="H340" s="24">
        <v>1</v>
      </c>
      <c r="I340" s="49" t="s">
        <v>232</v>
      </c>
      <c r="J340" s="140" t="s">
        <v>337</v>
      </c>
      <c r="K340" s="140" t="s">
        <v>623</v>
      </c>
    </row>
    <row r="341" spans="1:11" x14ac:dyDescent="0.2">
      <c r="A341" s="23" t="s">
        <v>458</v>
      </c>
      <c r="B341" s="23" t="s">
        <v>458</v>
      </c>
      <c r="C341" s="23"/>
      <c r="D341" s="24">
        <f t="shared" ref="D341" si="104">D340+H340</f>
        <v>578</v>
      </c>
      <c r="E341" s="27">
        <f t="shared" si="103"/>
        <v>578</v>
      </c>
      <c r="F341" s="27">
        <f t="shared" si="90"/>
        <v>577</v>
      </c>
      <c r="G341" s="27">
        <f t="shared" si="91"/>
        <v>577</v>
      </c>
      <c r="H341" s="24">
        <v>1</v>
      </c>
      <c r="I341" s="49" t="s">
        <v>233</v>
      </c>
      <c r="J341" s="140"/>
      <c r="K341" s="140"/>
    </row>
    <row r="342" spans="1:11" x14ac:dyDescent="0.2">
      <c r="A342" s="23" t="s">
        <v>458</v>
      </c>
      <c r="B342" s="23" t="s">
        <v>458</v>
      </c>
      <c r="C342" s="23"/>
      <c r="D342" s="24">
        <f t="shared" ref="D342:D356" si="105">D341+H341</f>
        <v>579</v>
      </c>
      <c r="E342" s="27">
        <f t="shared" si="103"/>
        <v>579</v>
      </c>
      <c r="F342" s="27">
        <f t="shared" si="90"/>
        <v>578</v>
      </c>
      <c r="G342" s="27">
        <f t="shared" si="91"/>
        <v>578</v>
      </c>
      <c r="H342" s="24">
        <v>1</v>
      </c>
      <c r="I342" s="49" t="s">
        <v>234</v>
      </c>
      <c r="J342" s="140"/>
      <c r="K342" s="140"/>
    </row>
    <row r="343" spans="1:11" x14ac:dyDescent="0.2">
      <c r="A343" s="23" t="s">
        <v>458</v>
      </c>
      <c r="B343" s="23" t="s">
        <v>458</v>
      </c>
      <c r="C343" s="23"/>
      <c r="D343" s="24">
        <f t="shared" si="105"/>
        <v>580</v>
      </c>
      <c r="E343" s="27">
        <f t="shared" si="103"/>
        <v>580</v>
      </c>
      <c r="F343" s="27">
        <f t="shared" si="90"/>
        <v>579</v>
      </c>
      <c r="G343" s="27">
        <f t="shared" si="91"/>
        <v>579</v>
      </c>
      <c r="H343" s="24">
        <v>1</v>
      </c>
      <c r="I343" s="49" t="s">
        <v>235</v>
      </c>
      <c r="J343" s="140"/>
      <c r="K343" s="140"/>
    </row>
    <row r="344" spans="1:11" x14ac:dyDescent="0.2">
      <c r="A344" s="23" t="s">
        <v>458</v>
      </c>
      <c r="B344" s="23" t="s">
        <v>458</v>
      </c>
      <c r="C344" s="23"/>
      <c r="D344" s="24">
        <f t="shared" si="105"/>
        <v>581</v>
      </c>
      <c r="E344" s="27">
        <f t="shared" si="103"/>
        <v>581</v>
      </c>
      <c r="F344" s="27">
        <f t="shared" si="90"/>
        <v>580</v>
      </c>
      <c r="G344" s="27">
        <f t="shared" si="91"/>
        <v>580</v>
      </c>
      <c r="H344" s="24">
        <v>1</v>
      </c>
      <c r="I344" s="49" t="s">
        <v>236</v>
      </c>
      <c r="J344" s="140"/>
      <c r="K344" s="140"/>
    </row>
    <row r="345" spans="1:11" x14ac:dyDescent="0.2">
      <c r="A345" s="23" t="s">
        <v>458</v>
      </c>
      <c r="B345" s="23" t="s">
        <v>458</v>
      </c>
      <c r="C345" s="23"/>
      <c r="D345" s="24">
        <f t="shared" si="105"/>
        <v>582</v>
      </c>
      <c r="E345" s="27">
        <f t="shared" si="103"/>
        <v>582</v>
      </c>
      <c r="F345" s="27">
        <f t="shared" si="90"/>
        <v>581</v>
      </c>
      <c r="G345" s="27">
        <f t="shared" si="91"/>
        <v>581</v>
      </c>
      <c r="H345" s="24">
        <v>1</v>
      </c>
      <c r="I345" s="49" t="s">
        <v>237</v>
      </c>
      <c r="J345" s="140"/>
      <c r="K345" s="140"/>
    </row>
    <row r="346" spans="1:11" x14ac:dyDescent="0.2">
      <c r="A346" s="23" t="s">
        <v>458</v>
      </c>
      <c r="B346" s="23" t="s">
        <v>458</v>
      </c>
      <c r="C346" s="23"/>
      <c r="D346" s="24">
        <f t="shared" si="105"/>
        <v>583</v>
      </c>
      <c r="E346" s="27">
        <f t="shared" si="103"/>
        <v>583</v>
      </c>
      <c r="F346" s="27">
        <f t="shared" si="90"/>
        <v>582</v>
      </c>
      <c r="G346" s="27">
        <f t="shared" si="91"/>
        <v>582</v>
      </c>
      <c r="H346" s="24">
        <v>1</v>
      </c>
      <c r="I346" s="49" t="s">
        <v>238</v>
      </c>
      <c r="J346" s="140"/>
      <c r="K346" s="140"/>
    </row>
    <row r="347" spans="1:11" x14ac:dyDescent="0.2">
      <c r="A347" s="23" t="s">
        <v>458</v>
      </c>
      <c r="B347" s="23" t="s">
        <v>458</v>
      </c>
      <c r="C347" s="23"/>
      <c r="D347" s="24">
        <f t="shared" si="105"/>
        <v>584</v>
      </c>
      <c r="E347" s="27">
        <f t="shared" si="103"/>
        <v>584</v>
      </c>
      <c r="F347" s="27">
        <f t="shared" si="90"/>
        <v>583</v>
      </c>
      <c r="G347" s="27">
        <f t="shared" si="91"/>
        <v>583</v>
      </c>
      <c r="H347" s="24">
        <v>1</v>
      </c>
      <c r="I347" s="49" t="s">
        <v>239</v>
      </c>
      <c r="J347" s="140"/>
      <c r="K347" s="140"/>
    </row>
    <row r="348" spans="1:11" x14ac:dyDescent="0.2">
      <c r="A348" s="23" t="s">
        <v>458</v>
      </c>
      <c r="B348" s="23" t="s">
        <v>458</v>
      </c>
      <c r="C348" s="23"/>
      <c r="D348" s="24">
        <f t="shared" si="105"/>
        <v>585</v>
      </c>
      <c r="E348" s="27">
        <f t="shared" si="103"/>
        <v>585</v>
      </c>
      <c r="F348" s="27">
        <f t="shared" si="90"/>
        <v>584</v>
      </c>
      <c r="G348" s="27">
        <f t="shared" si="91"/>
        <v>584</v>
      </c>
      <c r="H348" s="24">
        <v>1</v>
      </c>
      <c r="I348" s="49" t="s">
        <v>240</v>
      </c>
      <c r="J348" s="140"/>
      <c r="K348" s="140"/>
    </row>
    <row r="349" spans="1:11" x14ac:dyDescent="0.2">
      <c r="A349" s="23" t="s">
        <v>458</v>
      </c>
      <c r="B349" s="23" t="s">
        <v>458</v>
      </c>
      <c r="C349" s="23"/>
      <c r="D349" s="24">
        <f t="shared" si="105"/>
        <v>586</v>
      </c>
      <c r="E349" s="27">
        <f t="shared" si="103"/>
        <v>586</v>
      </c>
      <c r="F349" s="27">
        <f t="shared" si="90"/>
        <v>585</v>
      </c>
      <c r="G349" s="27">
        <f t="shared" si="91"/>
        <v>585</v>
      </c>
      <c r="H349" s="24">
        <v>1</v>
      </c>
      <c r="I349" s="49" t="s">
        <v>241</v>
      </c>
      <c r="J349" s="140"/>
      <c r="K349" s="140"/>
    </row>
    <row r="350" spans="1:11" x14ac:dyDescent="0.2">
      <c r="A350" s="23" t="s">
        <v>458</v>
      </c>
      <c r="B350" s="23" t="s">
        <v>458</v>
      </c>
      <c r="C350" s="23"/>
      <c r="D350" s="24">
        <f t="shared" si="105"/>
        <v>587</v>
      </c>
      <c r="E350" s="27">
        <f t="shared" si="103"/>
        <v>587</v>
      </c>
      <c r="F350" s="27">
        <f t="shared" si="90"/>
        <v>586</v>
      </c>
      <c r="G350" s="27">
        <f t="shared" si="91"/>
        <v>586</v>
      </c>
      <c r="H350" s="24">
        <v>1</v>
      </c>
      <c r="I350" s="49" t="s">
        <v>242</v>
      </c>
      <c r="J350" s="140"/>
      <c r="K350" s="140"/>
    </row>
    <row r="351" spans="1:11" x14ac:dyDescent="0.2">
      <c r="A351" s="23" t="s">
        <v>458</v>
      </c>
      <c r="B351" s="23" t="s">
        <v>458</v>
      </c>
      <c r="C351" s="23"/>
      <c r="D351" s="24">
        <f t="shared" si="105"/>
        <v>588</v>
      </c>
      <c r="E351" s="27">
        <f t="shared" si="103"/>
        <v>588</v>
      </c>
      <c r="F351" s="27">
        <f t="shared" si="90"/>
        <v>587</v>
      </c>
      <c r="G351" s="27">
        <f t="shared" si="91"/>
        <v>587</v>
      </c>
      <c r="H351" s="24">
        <v>1</v>
      </c>
      <c r="I351" s="49" t="s">
        <v>243</v>
      </c>
      <c r="J351" s="140"/>
      <c r="K351" s="140"/>
    </row>
    <row r="352" spans="1:11" x14ac:dyDescent="0.2">
      <c r="A352" s="23" t="s">
        <v>458</v>
      </c>
      <c r="B352" s="23" t="s">
        <v>458</v>
      </c>
      <c r="C352" s="23"/>
      <c r="D352" s="24">
        <f t="shared" si="105"/>
        <v>589</v>
      </c>
      <c r="E352" s="27">
        <f t="shared" si="103"/>
        <v>589</v>
      </c>
      <c r="F352" s="27">
        <f t="shared" si="90"/>
        <v>588</v>
      </c>
      <c r="G352" s="27">
        <f t="shared" si="91"/>
        <v>588</v>
      </c>
      <c r="H352" s="24">
        <v>1</v>
      </c>
      <c r="I352" s="49" t="s">
        <v>244</v>
      </c>
      <c r="J352" s="140"/>
      <c r="K352" s="140"/>
    </row>
    <row r="353" spans="1:11" x14ac:dyDescent="0.2">
      <c r="A353" s="23" t="s">
        <v>458</v>
      </c>
      <c r="B353" s="23" t="s">
        <v>458</v>
      </c>
      <c r="C353" s="23"/>
      <c r="D353" s="24">
        <f t="shared" si="105"/>
        <v>590</v>
      </c>
      <c r="E353" s="27">
        <f t="shared" si="103"/>
        <v>590</v>
      </c>
      <c r="F353" s="27">
        <f t="shared" si="90"/>
        <v>589</v>
      </c>
      <c r="G353" s="27">
        <f t="shared" si="91"/>
        <v>589</v>
      </c>
      <c r="H353" s="24">
        <v>1</v>
      </c>
      <c r="I353" s="49" t="s">
        <v>245</v>
      </c>
      <c r="J353" s="140"/>
      <c r="K353" s="140"/>
    </row>
    <row r="354" spans="1:11" x14ac:dyDescent="0.2">
      <c r="A354" s="23" t="s">
        <v>458</v>
      </c>
      <c r="B354" s="23" t="s">
        <v>458</v>
      </c>
      <c r="C354" s="23"/>
      <c r="D354" s="24">
        <f t="shared" si="105"/>
        <v>591</v>
      </c>
      <c r="E354" s="27">
        <f t="shared" si="103"/>
        <v>591</v>
      </c>
      <c r="F354" s="27">
        <f t="shared" si="90"/>
        <v>590</v>
      </c>
      <c r="G354" s="27">
        <f t="shared" si="91"/>
        <v>590</v>
      </c>
      <c r="H354" s="24">
        <v>1</v>
      </c>
      <c r="I354" s="49" t="s">
        <v>246</v>
      </c>
      <c r="J354" s="140"/>
      <c r="K354" s="140"/>
    </row>
    <row r="355" spans="1:11" x14ac:dyDescent="0.2">
      <c r="A355" s="23" t="s">
        <v>458</v>
      </c>
      <c r="B355" s="23" t="s">
        <v>458</v>
      </c>
      <c r="C355" s="23"/>
      <c r="D355" s="24">
        <f t="shared" si="105"/>
        <v>592</v>
      </c>
      <c r="E355" s="27">
        <f t="shared" si="103"/>
        <v>592</v>
      </c>
      <c r="F355" s="27">
        <f t="shared" si="90"/>
        <v>591</v>
      </c>
      <c r="G355" s="27">
        <f t="shared" si="91"/>
        <v>591</v>
      </c>
      <c r="H355" s="24">
        <v>1</v>
      </c>
      <c r="I355" s="49" t="s">
        <v>247</v>
      </c>
      <c r="J355" s="140"/>
      <c r="K355" s="140"/>
    </row>
    <row r="356" spans="1:11" x14ac:dyDescent="0.2">
      <c r="A356" s="23" t="s">
        <v>458</v>
      </c>
      <c r="B356" s="23" t="s">
        <v>458</v>
      </c>
      <c r="C356" s="23"/>
      <c r="D356" s="24">
        <f t="shared" si="105"/>
        <v>593</v>
      </c>
      <c r="E356" s="27">
        <f t="shared" si="103"/>
        <v>593</v>
      </c>
      <c r="F356" s="27">
        <f t="shared" si="90"/>
        <v>592</v>
      </c>
      <c r="G356" s="27">
        <f t="shared" si="91"/>
        <v>592</v>
      </c>
      <c r="H356" s="24">
        <v>1</v>
      </c>
      <c r="I356" s="49" t="s">
        <v>169</v>
      </c>
      <c r="J356" s="140"/>
      <c r="K356" s="140"/>
    </row>
    <row r="357" spans="1:11" x14ac:dyDescent="0.2">
      <c r="A357" s="23"/>
      <c r="B357" s="23"/>
      <c r="C357" s="23"/>
      <c r="D357" s="24"/>
      <c r="E357" s="27"/>
      <c r="F357" s="27">
        <f t="shared" si="90"/>
        <v>-1</v>
      </c>
      <c r="G357" s="27">
        <f t="shared" si="91"/>
        <v>-1</v>
      </c>
      <c r="H357" s="24"/>
      <c r="I357" s="53" t="s">
        <v>573</v>
      </c>
      <c r="J357" s="33"/>
      <c r="K357" s="65"/>
    </row>
    <row r="358" spans="1:11" ht="12.75" customHeight="1" x14ac:dyDescent="0.2">
      <c r="A358" s="43" t="s">
        <v>458</v>
      </c>
      <c r="B358" s="43" t="s">
        <v>458</v>
      </c>
      <c r="C358" s="43"/>
      <c r="D358" s="45">
        <f>D356+H356</f>
        <v>594</v>
      </c>
      <c r="E358" s="46">
        <f t="shared" ref="E358:E373" si="106">D358+H358-1</f>
        <v>594</v>
      </c>
      <c r="F358" s="27">
        <f t="shared" si="90"/>
        <v>593</v>
      </c>
      <c r="G358" s="27">
        <f t="shared" si="91"/>
        <v>593</v>
      </c>
      <c r="H358" s="45">
        <v>1</v>
      </c>
      <c r="I358" s="52" t="s">
        <v>160</v>
      </c>
      <c r="J358" s="140" t="s">
        <v>617</v>
      </c>
      <c r="K358" s="134" t="s">
        <v>333</v>
      </c>
    </row>
    <row r="359" spans="1:11" x14ac:dyDescent="0.2">
      <c r="A359" s="43" t="s">
        <v>458</v>
      </c>
      <c r="B359" s="43" t="s">
        <v>458</v>
      </c>
      <c r="C359" s="43"/>
      <c r="D359" s="45">
        <f t="shared" ref="D359:D373" si="107">D358+H358</f>
        <v>595</v>
      </c>
      <c r="E359" s="46">
        <f t="shared" si="106"/>
        <v>595</v>
      </c>
      <c r="F359" s="27">
        <f t="shared" si="90"/>
        <v>594</v>
      </c>
      <c r="G359" s="27">
        <f t="shared" si="91"/>
        <v>594</v>
      </c>
      <c r="H359" s="45">
        <v>1</v>
      </c>
      <c r="I359" s="52" t="s">
        <v>574</v>
      </c>
      <c r="J359" s="140"/>
      <c r="K359" s="134"/>
    </row>
    <row r="360" spans="1:11" x14ac:dyDescent="0.2">
      <c r="A360" s="43" t="s">
        <v>458</v>
      </c>
      <c r="B360" s="43" t="s">
        <v>458</v>
      </c>
      <c r="C360" s="43"/>
      <c r="D360" s="45">
        <f t="shared" si="107"/>
        <v>596</v>
      </c>
      <c r="E360" s="46">
        <f t="shared" si="106"/>
        <v>596</v>
      </c>
      <c r="F360" s="27">
        <f t="shared" si="90"/>
        <v>595</v>
      </c>
      <c r="G360" s="27">
        <f t="shared" si="91"/>
        <v>595</v>
      </c>
      <c r="H360" s="45">
        <v>1</v>
      </c>
      <c r="I360" s="52" t="s">
        <v>163</v>
      </c>
      <c r="J360" s="140"/>
      <c r="K360" s="134"/>
    </row>
    <row r="361" spans="1:11" x14ac:dyDescent="0.2">
      <c r="A361" s="43" t="s">
        <v>458</v>
      </c>
      <c r="B361" s="43" t="s">
        <v>458</v>
      </c>
      <c r="C361" s="43"/>
      <c r="D361" s="45">
        <f t="shared" si="107"/>
        <v>597</v>
      </c>
      <c r="E361" s="46">
        <f t="shared" si="106"/>
        <v>597</v>
      </c>
      <c r="F361" s="27">
        <f t="shared" si="90"/>
        <v>596</v>
      </c>
      <c r="G361" s="27">
        <f t="shared" si="91"/>
        <v>596</v>
      </c>
      <c r="H361" s="45">
        <v>1</v>
      </c>
      <c r="I361" s="52" t="s">
        <v>164</v>
      </c>
      <c r="J361" s="140"/>
      <c r="K361" s="134"/>
    </row>
    <row r="362" spans="1:11" x14ac:dyDescent="0.2">
      <c r="A362" s="43" t="s">
        <v>458</v>
      </c>
      <c r="B362" s="43" t="s">
        <v>458</v>
      </c>
      <c r="C362" s="43"/>
      <c r="D362" s="45">
        <f t="shared" si="107"/>
        <v>598</v>
      </c>
      <c r="E362" s="46">
        <f t="shared" si="106"/>
        <v>598</v>
      </c>
      <c r="F362" s="27">
        <f t="shared" si="90"/>
        <v>597</v>
      </c>
      <c r="G362" s="27">
        <f t="shared" si="91"/>
        <v>597</v>
      </c>
      <c r="H362" s="45">
        <v>1</v>
      </c>
      <c r="I362" s="52" t="s">
        <v>51</v>
      </c>
      <c r="J362" s="140"/>
      <c r="K362" s="134"/>
    </row>
    <row r="363" spans="1:11" x14ac:dyDescent="0.2">
      <c r="A363" s="43" t="s">
        <v>458</v>
      </c>
      <c r="B363" s="43" t="s">
        <v>458</v>
      </c>
      <c r="C363" s="43"/>
      <c r="D363" s="45">
        <f t="shared" si="107"/>
        <v>599</v>
      </c>
      <c r="E363" s="46">
        <f t="shared" si="106"/>
        <v>599</v>
      </c>
      <c r="F363" s="27">
        <f t="shared" si="90"/>
        <v>598</v>
      </c>
      <c r="G363" s="27">
        <f t="shared" si="91"/>
        <v>598</v>
      </c>
      <c r="H363" s="45">
        <v>1</v>
      </c>
      <c r="I363" s="52" t="s">
        <v>49</v>
      </c>
      <c r="J363" s="140"/>
      <c r="K363" s="134"/>
    </row>
    <row r="364" spans="1:11" x14ac:dyDescent="0.2">
      <c r="A364" s="43" t="s">
        <v>458</v>
      </c>
      <c r="B364" s="43" t="s">
        <v>458</v>
      </c>
      <c r="C364" s="43"/>
      <c r="D364" s="45">
        <f t="shared" si="107"/>
        <v>600</v>
      </c>
      <c r="E364" s="46">
        <f t="shared" si="106"/>
        <v>600</v>
      </c>
      <c r="F364" s="27">
        <f t="shared" ref="F364:F427" si="108">D364-1</f>
        <v>599</v>
      </c>
      <c r="G364" s="27">
        <f t="shared" ref="G364:G427" si="109">E364-1</f>
        <v>599</v>
      </c>
      <c r="H364" s="45">
        <v>1</v>
      </c>
      <c r="I364" s="52" t="s">
        <v>50</v>
      </c>
      <c r="J364" s="140"/>
      <c r="K364" s="134"/>
    </row>
    <row r="365" spans="1:11" x14ac:dyDescent="0.2">
      <c r="A365" s="43" t="s">
        <v>458</v>
      </c>
      <c r="B365" s="43" t="s">
        <v>458</v>
      </c>
      <c r="C365" s="43"/>
      <c r="D365" s="45">
        <f t="shared" si="107"/>
        <v>601</v>
      </c>
      <c r="E365" s="46">
        <f t="shared" si="106"/>
        <v>601</v>
      </c>
      <c r="F365" s="27">
        <f t="shared" si="108"/>
        <v>600</v>
      </c>
      <c r="G365" s="27">
        <f t="shared" si="109"/>
        <v>600</v>
      </c>
      <c r="H365" s="45">
        <v>1</v>
      </c>
      <c r="I365" s="52" t="s">
        <v>166</v>
      </c>
      <c r="J365" s="140"/>
      <c r="K365" s="134"/>
    </row>
    <row r="366" spans="1:11" x14ac:dyDescent="0.2">
      <c r="A366" s="43" t="s">
        <v>458</v>
      </c>
      <c r="B366" s="43" t="s">
        <v>458</v>
      </c>
      <c r="C366" s="43"/>
      <c r="D366" s="45">
        <f t="shared" si="107"/>
        <v>602</v>
      </c>
      <c r="E366" s="46">
        <f t="shared" si="106"/>
        <v>602</v>
      </c>
      <c r="F366" s="27">
        <f t="shared" si="108"/>
        <v>601</v>
      </c>
      <c r="G366" s="27">
        <f t="shared" si="109"/>
        <v>601</v>
      </c>
      <c r="H366" s="45">
        <v>1</v>
      </c>
      <c r="I366" s="52" t="s">
        <v>168</v>
      </c>
      <c r="J366" s="140"/>
      <c r="K366" s="134"/>
    </row>
    <row r="367" spans="1:11" x14ac:dyDescent="0.2">
      <c r="A367" s="43" t="s">
        <v>458</v>
      </c>
      <c r="B367" s="43" t="s">
        <v>458</v>
      </c>
      <c r="C367" s="43"/>
      <c r="D367" s="45">
        <f t="shared" si="107"/>
        <v>603</v>
      </c>
      <c r="E367" s="46">
        <f t="shared" si="106"/>
        <v>603</v>
      </c>
      <c r="F367" s="27">
        <f t="shared" si="108"/>
        <v>602</v>
      </c>
      <c r="G367" s="27">
        <f t="shared" si="109"/>
        <v>602</v>
      </c>
      <c r="H367" s="45">
        <v>1</v>
      </c>
      <c r="I367" s="52" t="s">
        <v>575</v>
      </c>
      <c r="J367" s="140"/>
      <c r="K367" s="134"/>
    </row>
    <row r="368" spans="1:11" x14ac:dyDescent="0.2">
      <c r="A368" s="43" t="s">
        <v>458</v>
      </c>
      <c r="B368" s="43" t="s">
        <v>458</v>
      </c>
      <c r="C368" s="43"/>
      <c r="D368" s="45">
        <f t="shared" si="107"/>
        <v>604</v>
      </c>
      <c r="E368" s="46">
        <f t="shared" si="106"/>
        <v>604</v>
      </c>
      <c r="F368" s="27">
        <f t="shared" si="108"/>
        <v>603</v>
      </c>
      <c r="G368" s="27">
        <f t="shared" si="109"/>
        <v>603</v>
      </c>
      <c r="H368" s="45">
        <v>1</v>
      </c>
      <c r="I368" s="52" t="s">
        <v>47</v>
      </c>
      <c r="J368" s="140"/>
      <c r="K368" s="134"/>
    </row>
    <row r="369" spans="1:11" x14ac:dyDescent="0.2">
      <c r="A369" s="43" t="s">
        <v>458</v>
      </c>
      <c r="B369" s="43" t="s">
        <v>458</v>
      </c>
      <c r="C369" s="43"/>
      <c r="D369" s="45">
        <f t="shared" si="107"/>
        <v>605</v>
      </c>
      <c r="E369" s="46">
        <f t="shared" si="106"/>
        <v>605</v>
      </c>
      <c r="F369" s="27">
        <f t="shared" si="108"/>
        <v>604</v>
      </c>
      <c r="G369" s="27">
        <f t="shared" si="109"/>
        <v>604</v>
      </c>
      <c r="H369" s="45">
        <v>1</v>
      </c>
      <c r="I369" s="52" t="s">
        <v>48</v>
      </c>
      <c r="J369" s="140"/>
      <c r="K369" s="134"/>
    </row>
    <row r="370" spans="1:11" x14ac:dyDescent="0.2">
      <c r="A370" s="43" t="s">
        <v>458</v>
      </c>
      <c r="B370" s="43" t="s">
        <v>458</v>
      </c>
      <c r="C370" s="43"/>
      <c r="D370" s="45">
        <f t="shared" si="107"/>
        <v>606</v>
      </c>
      <c r="E370" s="46">
        <f t="shared" si="106"/>
        <v>606</v>
      </c>
      <c r="F370" s="27">
        <f t="shared" si="108"/>
        <v>605</v>
      </c>
      <c r="G370" s="27">
        <f t="shared" si="109"/>
        <v>605</v>
      </c>
      <c r="H370" s="45">
        <v>1</v>
      </c>
      <c r="I370" s="52" t="s">
        <v>46</v>
      </c>
      <c r="J370" s="140"/>
      <c r="K370" s="134"/>
    </row>
    <row r="371" spans="1:11" x14ac:dyDescent="0.2">
      <c r="A371" s="43" t="s">
        <v>458</v>
      </c>
      <c r="B371" s="43" t="s">
        <v>458</v>
      </c>
      <c r="C371" s="43"/>
      <c r="D371" s="45">
        <f t="shared" si="107"/>
        <v>607</v>
      </c>
      <c r="E371" s="46">
        <f t="shared" si="106"/>
        <v>607</v>
      </c>
      <c r="F371" s="27">
        <f t="shared" si="108"/>
        <v>606</v>
      </c>
      <c r="G371" s="27">
        <f t="shared" si="109"/>
        <v>606</v>
      </c>
      <c r="H371" s="45">
        <v>1</v>
      </c>
      <c r="I371" s="52" t="s">
        <v>169</v>
      </c>
      <c r="J371" s="140"/>
      <c r="K371" s="134"/>
    </row>
    <row r="372" spans="1:11" x14ac:dyDescent="0.2">
      <c r="A372" s="43" t="s">
        <v>458</v>
      </c>
      <c r="B372" s="43" t="s">
        <v>458</v>
      </c>
      <c r="C372" s="43"/>
      <c r="D372" s="45">
        <f t="shared" si="107"/>
        <v>608</v>
      </c>
      <c r="E372" s="46">
        <f t="shared" si="106"/>
        <v>608</v>
      </c>
      <c r="F372" s="27">
        <f t="shared" si="108"/>
        <v>607</v>
      </c>
      <c r="G372" s="27">
        <f t="shared" si="109"/>
        <v>607</v>
      </c>
      <c r="H372" s="45">
        <v>1</v>
      </c>
      <c r="I372" s="52" t="s">
        <v>167</v>
      </c>
      <c r="J372" s="140"/>
      <c r="K372" s="134"/>
    </row>
    <row r="373" spans="1:11" x14ac:dyDescent="0.2">
      <c r="A373" s="43" t="s">
        <v>458</v>
      </c>
      <c r="B373" s="43" t="s">
        <v>458</v>
      </c>
      <c r="C373" s="43"/>
      <c r="D373" s="45">
        <f t="shared" si="107"/>
        <v>609</v>
      </c>
      <c r="E373" s="46">
        <f t="shared" si="106"/>
        <v>609</v>
      </c>
      <c r="F373" s="27">
        <f t="shared" si="108"/>
        <v>608</v>
      </c>
      <c r="G373" s="27">
        <f t="shared" si="109"/>
        <v>608</v>
      </c>
      <c r="H373" s="45">
        <v>1</v>
      </c>
      <c r="I373" s="52" t="s">
        <v>578</v>
      </c>
      <c r="J373" s="140"/>
      <c r="K373" s="134"/>
    </row>
    <row r="374" spans="1:11" x14ac:dyDescent="0.2">
      <c r="A374" s="23"/>
      <c r="B374" s="23"/>
      <c r="C374" s="23"/>
      <c r="D374" s="24"/>
      <c r="E374" s="27"/>
      <c r="F374" s="27">
        <f t="shared" si="108"/>
        <v>-1</v>
      </c>
      <c r="G374" s="27">
        <f t="shared" si="109"/>
        <v>-1</v>
      </c>
      <c r="H374" s="45"/>
      <c r="I374" s="57" t="s">
        <v>100</v>
      </c>
      <c r="J374" s="25"/>
      <c r="K374" s="26"/>
    </row>
    <row r="375" spans="1:11" x14ac:dyDescent="0.2">
      <c r="A375" s="23"/>
      <c r="B375" s="23"/>
      <c r="C375" s="23"/>
      <c r="D375" s="24"/>
      <c r="E375" s="24"/>
      <c r="F375" s="27">
        <f t="shared" si="108"/>
        <v>-1</v>
      </c>
      <c r="G375" s="27">
        <f t="shared" si="109"/>
        <v>-1</v>
      </c>
      <c r="H375" s="24"/>
      <c r="I375" s="55" t="s">
        <v>45</v>
      </c>
      <c r="J375" s="25"/>
      <c r="K375" s="26"/>
    </row>
    <row r="376" spans="1:11" ht="12.75" customHeight="1" x14ac:dyDescent="0.2">
      <c r="A376" s="23" t="s">
        <v>457</v>
      </c>
      <c r="B376" s="23" t="s">
        <v>457</v>
      </c>
      <c r="C376" s="23" t="s">
        <v>465</v>
      </c>
      <c r="D376" s="45">
        <f>D373+H373</f>
        <v>610</v>
      </c>
      <c r="E376" s="46">
        <f t="shared" ref="E376:E386" si="110">D376+H376-1</f>
        <v>610</v>
      </c>
      <c r="F376" s="27">
        <f t="shared" si="108"/>
        <v>609</v>
      </c>
      <c r="G376" s="27">
        <f t="shared" si="109"/>
        <v>609</v>
      </c>
      <c r="H376" s="24">
        <v>1</v>
      </c>
      <c r="I376" s="49" t="s">
        <v>46</v>
      </c>
      <c r="J376" s="134" t="s">
        <v>337</v>
      </c>
      <c r="K376" s="141" t="s">
        <v>623</v>
      </c>
    </row>
    <row r="377" spans="1:11" x14ac:dyDescent="0.2">
      <c r="A377" s="23" t="s">
        <v>457</v>
      </c>
      <c r="B377" s="23" t="s">
        <v>457</v>
      </c>
      <c r="C377" s="23" t="s">
        <v>465</v>
      </c>
      <c r="D377" s="45">
        <f t="shared" ref="D377" si="111">D376+H376</f>
        <v>611</v>
      </c>
      <c r="E377" s="46">
        <f t="shared" si="110"/>
        <v>611</v>
      </c>
      <c r="F377" s="27">
        <f t="shared" si="108"/>
        <v>610</v>
      </c>
      <c r="G377" s="27">
        <f t="shared" si="109"/>
        <v>610</v>
      </c>
      <c r="H377" s="24">
        <v>1</v>
      </c>
      <c r="I377" s="49" t="s">
        <v>47</v>
      </c>
      <c r="J377" s="134"/>
      <c r="K377" s="141"/>
    </row>
    <row r="378" spans="1:11" x14ac:dyDescent="0.2">
      <c r="A378" s="23" t="s">
        <v>457</v>
      </c>
      <c r="B378" s="23" t="s">
        <v>457</v>
      </c>
      <c r="C378" s="23" t="s">
        <v>465</v>
      </c>
      <c r="D378" s="45">
        <f t="shared" ref="D378:D386" si="112">D377+H377</f>
        <v>612</v>
      </c>
      <c r="E378" s="46">
        <f t="shared" si="110"/>
        <v>612</v>
      </c>
      <c r="F378" s="27">
        <f t="shared" si="108"/>
        <v>611</v>
      </c>
      <c r="G378" s="27">
        <f t="shared" si="109"/>
        <v>611</v>
      </c>
      <c r="H378" s="24">
        <v>1</v>
      </c>
      <c r="I378" s="49" t="s">
        <v>48</v>
      </c>
      <c r="J378" s="134"/>
      <c r="K378" s="141"/>
    </row>
    <row r="379" spans="1:11" x14ac:dyDescent="0.2">
      <c r="A379" s="23" t="s">
        <v>457</v>
      </c>
      <c r="B379" s="23" t="s">
        <v>457</v>
      </c>
      <c r="C379" s="23" t="s">
        <v>465</v>
      </c>
      <c r="D379" s="45">
        <f t="shared" si="112"/>
        <v>613</v>
      </c>
      <c r="E379" s="46">
        <f t="shared" si="110"/>
        <v>613</v>
      </c>
      <c r="F379" s="27">
        <f t="shared" si="108"/>
        <v>612</v>
      </c>
      <c r="G379" s="27">
        <f t="shared" si="109"/>
        <v>612</v>
      </c>
      <c r="H379" s="24">
        <v>1</v>
      </c>
      <c r="I379" s="49" t="s">
        <v>49</v>
      </c>
      <c r="J379" s="134"/>
      <c r="K379" s="141"/>
    </row>
    <row r="380" spans="1:11" x14ac:dyDescent="0.2">
      <c r="A380" s="23" t="s">
        <v>457</v>
      </c>
      <c r="B380" s="23" t="s">
        <v>457</v>
      </c>
      <c r="C380" s="23" t="s">
        <v>465</v>
      </c>
      <c r="D380" s="45">
        <f t="shared" si="112"/>
        <v>614</v>
      </c>
      <c r="E380" s="46">
        <f t="shared" si="110"/>
        <v>614</v>
      </c>
      <c r="F380" s="27">
        <f t="shared" si="108"/>
        <v>613</v>
      </c>
      <c r="G380" s="27">
        <f t="shared" si="109"/>
        <v>613</v>
      </c>
      <c r="H380" s="24">
        <v>1</v>
      </c>
      <c r="I380" s="49" t="s">
        <v>167</v>
      </c>
      <c r="J380" s="134"/>
      <c r="K380" s="141"/>
    </row>
    <row r="381" spans="1:11" x14ac:dyDescent="0.2">
      <c r="A381" s="23" t="s">
        <v>457</v>
      </c>
      <c r="B381" s="23" t="s">
        <v>457</v>
      </c>
      <c r="C381" s="23" t="s">
        <v>465</v>
      </c>
      <c r="D381" s="45">
        <f t="shared" si="112"/>
        <v>615</v>
      </c>
      <c r="E381" s="46">
        <f t="shared" si="110"/>
        <v>615</v>
      </c>
      <c r="F381" s="27">
        <f t="shared" si="108"/>
        <v>614</v>
      </c>
      <c r="G381" s="27">
        <f t="shared" si="109"/>
        <v>614</v>
      </c>
      <c r="H381" s="24">
        <v>1</v>
      </c>
      <c r="I381" s="49" t="s">
        <v>50</v>
      </c>
      <c r="J381" s="134"/>
      <c r="K381" s="141"/>
    </row>
    <row r="382" spans="1:11" x14ac:dyDescent="0.2">
      <c r="A382" s="23" t="s">
        <v>457</v>
      </c>
      <c r="B382" s="23" t="s">
        <v>457</v>
      </c>
      <c r="C382" s="23" t="s">
        <v>465</v>
      </c>
      <c r="D382" s="45">
        <f t="shared" si="112"/>
        <v>616</v>
      </c>
      <c r="E382" s="46">
        <f t="shared" si="110"/>
        <v>616</v>
      </c>
      <c r="F382" s="27">
        <f t="shared" si="108"/>
        <v>615</v>
      </c>
      <c r="G382" s="27">
        <f t="shared" si="109"/>
        <v>615</v>
      </c>
      <c r="H382" s="24">
        <v>1</v>
      </c>
      <c r="I382" s="49" t="s">
        <v>168</v>
      </c>
      <c r="J382" s="134"/>
      <c r="K382" s="141"/>
    </row>
    <row r="383" spans="1:11" x14ac:dyDescent="0.2">
      <c r="A383" s="23" t="s">
        <v>457</v>
      </c>
      <c r="B383" s="23" t="s">
        <v>457</v>
      </c>
      <c r="C383" s="23" t="s">
        <v>465</v>
      </c>
      <c r="D383" s="45">
        <f t="shared" si="112"/>
        <v>617</v>
      </c>
      <c r="E383" s="46">
        <f t="shared" si="110"/>
        <v>617</v>
      </c>
      <c r="F383" s="27">
        <f t="shared" si="108"/>
        <v>616</v>
      </c>
      <c r="G383" s="27">
        <f t="shared" si="109"/>
        <v>616</v>
      </c>
      <c r="H383" s="24">
        <v>1</v>
      </c>
      <c r="I383" s="49" t="s">
        <v>51</v>
      </c>
      <c r="J383" s="134"/>
      <c r="K383" s="141"/>
    </row>
    <row r="384" spans="1:11" x14ac:dyDescent="0.2">
      <c r="A384" s="23" t="s">
        <v>457</v>
      </c>
      <c r="B384" s="23" t="s">
        <v>457</v>
      </c>
      <c r="C384" s="23" t="s">
        <v>465</v>
      </c>
      <c r="D384" s="45">
        <f t="shared" si="112"/>
        <v>618</v>
      </c>
      <c r="E384" s="46">
        <f t="shared" si="110"/>
        <v>618</v>
      </c>
      <c r="F384" s="27">
        <f t="shared" si="108"/>
        <v>617</v>
      </c>
      <c r="G384" s="27">
        <f t="shared" si="109"/>
        <v>617</v>
      </c>
      <c r="H384" s="24">
        <v>1</v>
      </c>
      <c r="I384" s="49" t="s">
        <v>52</v>
      </c>
      <c r="J384" s="134"/>
      <c r="K384" s="141"/>
    </row>
    <row r="385" spans="1:11" x14ac:dyDescent="0.2">
      <c r="A385" s="23" t="s">
        <v>457</v>
      </c>
      <c r="B385" s="23" t="s">
        <v>457</v>
      </c>
      <c r="C385" s="23" t="s">
        <v>465</v>
      </c>
      <c r="D385" s="45">
        <f t="shared" si="112"/>
        <v>619</v>
      </c>
      <c r="E385" s="46">
        <f t="shared" si="110"/>
        <v>619</v>
      </c>
      <c r="F385" s="27">
        <f t="shared" si="108"/>
        <v>618</v>
      </c>
      <c r="G385" s="27">
        <f t="shared" si="109"/>
        <v>618</v>
      </c>
      <c r="H385" s="24">
        <v>1</v>
      </c>
      <c r="I385" s="49" t="s">
        <v>53</v>
      </c>
      <c r="J385" s="134"/>
      <c r="K385" s="141"/>
    </row>
    <row r="386" spans="1:11" x14ac:dyDescent="0.2">
      <c r="A386" s="23" t="s">
        <v>457</v>
      </c>
      <c r="B386" s="23" t="s">
        <v>457</v>
      </c>
      <c r="C386" s="23" t="s">
        <v>465</v>
      </c>
      <c r="D386" s="45">
        <f t="shared" si="112"/>
        <v>620</v>
      </c>
      <c r="E386" s="46">
        <f t="shared" si="110"/>
        <v>620</v>
      </c>
      <c r="F386" s="27">
        <f t="shared" si="108"/>
        <v>619</v>
      </c>
      <c r="G386" s="27">
        <f t="shared" si="109"/>
        <v>619</v>
      </c>
      <c r="H386" s="24">
        <v>1</v>
      </c>
      <c r="I386" s="49" t="s">
        <v>169</v>
      </c>
      <c r="J386" s="134"/>
      <c r="K386" s="141"/>
    </row>
    <row r="387" spans="1:11" x14ac:dyDescent="0.2">
      <c r="A387" s="23"/>
      <c r="B387" s="23"/>
      <c r="C387" s="23"/>
      <c r="D387" s="66"/>
      <c r="E387" s="67"/>
      <c r="F387" s="27">
        <f t="shared" si="108"/>
        <v>-1</v>
      </c>
      <c r="G387" s="27">
        <f t="shared" si="109"/>
        <v>-1</v>
      </c>
      <c r="H387" s="66"/>
      <c r="I387" s="57" t="s">
        <v>100</v>
      </c>
      <c r="J387" s="25"/>
      <c r="K387" s="26"/>
    </row>
    <row r="388" spans="1:11" x14ac:dyDescent="0.2">
      <c r="A388" s="23"/>
      <c r="B388" s="23"/>
      <c r="C388" s="23"/>
      <c r="D388" s="24"/>
      <c r="E388" s="24"/>
      <c r="F388" s="27">
        <f t="shared" si="108"/>
        <v>-1</v>
      </c>
      <c r="G388" s="27">
        <f t="shared" si="109"/>
        <v>-1</v>
      </c>
      <c r="H388" s="24"/>
      <c r="I388" s="55" t="s">
        <v>54</v>
      </c>
      <c r="J388" s="25"/>
      <c r="K388" s="26"/>
    </row>
    <row r="389" spans="1:11" ht="38.25" x14ac:dyDescent="0.2">
      <c r="A389" s="23" t="s">
        <v>458</v>
      </c>
      <c r="B389" s="23" t="s">
        <v>458</v>
      </c>
      <c r="C389" s="23"/>
      <c r="D389" s="45">
        <f>D386+H386</f>
        <v>621</v>
      </c>
      <c r="E389" s="46">
        <f t="shared" ref="E389:E396" si="113">D389+H389-1</f>
        <v>621</v>
      </c>
      <c r="F389" s="27">
        <f t="shared" si="108"/>
        <v>620</v>
      </c>
      <c r="G389" s="27">
        <f t="shared" si="109"/>
        <v>620</v>
      </c>
      <c r="H389" s="24">
        <v>1</v>
      </c>
      <c r="I389" s="49" t="s">
        <v>55</v>
      </c>
      <c r="J389" s="42" t="s">
        <v>337</v>
      </c>
      <c r="K389" s="36" t="s">
        <v>623</v>
      </c>
    </row>
    <row r="390" spans="1:11" x14ac:dyDescent="0.2">
      <c r="A390" s="23" t="s">
        <v>457</v>
      </c>
      <c r="B390" s="23" t="s">
        <v>457</v>
      </c>
      <c r="C390" s="23" t="s">
        <v>465</v>
      </c>
      <c r="D390" s="45">
        <f t="shared" ref="D390" si="114">D389+H389</f>
        <v>622</v>
      </c>
      <c r="E390" s="46">
        <f t="shared" si="113"/>
        <v>622</v>
      </c>
      <c r="F390" s="27">
        <f t="shared" si="108"/>
        <v>621</v>
      </c>
      <c r="G390" s="27">
        <f t="shared" si="109"/>
        <v>621</v>
      </c>
      <c r="H390" s="24">
        <v>1</v>
      </c>
      <c r="I390" s="49" t="s">
        <v>46</v>
      </c>
      <c r="J390" s="134" t="s">
        <v>337</v>
      </c>
      <c r="K390" s="141" t="s">
        <v>623</v>
      </c>
    </row>
    <row r="391" spans="1:11" x14ac:dyDescent="0.2">
      <c r="A391" s="23" t="s">
        <v>457</v>
      </c>
      <c r="B391" s="23" t="s">
        <v>457</v>
      </c>
      <c r="C391" s="23" t="s">
        <v>465</v>
      </c>
      <c r="D391" s="45">
        <f t="shared" ref="D391:D396" si="115">D390+H390</f>
        <v>623</v>
      </c>
      <c r="E391" s="46">
        <f t="shared" si="113"/>
        <v>623</v>
      </c>
      <c r="F391" s="27">
        <f t="shared" si="108"/>
        <v>622</v>
      </c>
      <c r="G391" s="27">
        <f t="shared" si="109"/>
        <v>622</v>
      </c>
      <c r="H391" s="24">
        <v>1</v>
      </c>
      <c r="I391" s="49" t="s">
        <v>50</v>
      </c>
      <c r="J391" s="134"/>
      <c r="K391" s="141"/>
    </row>
    <row r="392" spans="1:11" x14ac:dyDescent="0.2">
      <c r="A392" s="23" t="s">
        <v>457</v>
      </c>
      <c r="B392" s="23" t="s">
        <v>457</v>
      </c>
      <c r="C392" s="23" t="s">
        <v>465</v>
      </c>
      <c r="D392" s="45">
        <f t="shared" si="115"/>
        <v>624</v>
      </c>
      <c r="E392" s="46">
        <f t="shared" si="113"/>
        <v>624</v>
      </c>
      <c r="F392" s="27">
        <f t="shared" si="108"/>
        <v>623</v>
      </c>
      <c r="G392" s="27">
        <f t="shared" si="109"/>
        <v>623</v>
      </c>
      <c r="H392" s="24">
        <v>1</v>
      </c>
      <c r="I392" s="49" t="s">
        <v>52</v>
      </c>
      <c r="J392" s="134"/>
      <c r="K392" s="141"/>
    </row>
    <row r="393" spans="1:11" x14ac:dyDescent="0.2">
      <c r="A393" s="23" t="s">
        <v>457</v>
      </c>
      <c r="B393" s="23" t="s">
        <v>457</v>
      </c>
      <c r="C393" s="23" t="s">
        <v>465</v>
      </c>
      <c r="D393" s="45">
        <f t="shared" si="115"/>
        <v>625</v>
      </c>
      <c r="E393" s="46">
        <f t="shared" si="113"/>
        <v>625</v>
      </c>
      <c r="F393" s="27">
        <f t="shared" si="108"/>
        <v>624</v>
      </c>
      <c r="G393" s="27">
        <f t="shared" si="109"/>
        <v>624</v>
      </c>
      <c r="H393" s="24">
        <v>1</v>
      </c>
      <c r="I393" s="49" t="s">
        <v>56</v>
      </c>
      <c r="J393" s="134"/>
      <c r="K393" s="141"/>
    </row>
    <row r="394" spans="1:11" x14ac:dyDescent="0.2">
      <c r="A394" s="23" t="s">
        <v>457</v>
      </c>
      <c r="B394" s="23" t="s">
        <v>457</v>
      </c>
      <c r="C394" s="23" t="s">
        <v>465</v>
      </c>
      <c r="D394" s="45">
        <f t="shared" si="115"/>
        <v>626</v>
      </c>
      <c r="E394" s="46">
        <f t="shared" si="113"/>
        <v>626</v>
      </c>
      <c r="F394" s="27">
        <f t="shared" si="108"/>
        <v>625</v>
      </c>
      <c r="G394" s="27">
        <f t="shared" si="109"/>
        <v>625</v>
      </c>
      <c r="H394" s="24">
        <v>1</v>
      </c>
      <c r="I394" s="49" t="s">
        <v>170</v>
      </c>
      <c r="J394" s="134"/>
      <c r="K394" s="141"/>
    </row>
    <row r="395" spans="1:11" x14ac:dyDescent="0.2">
      <c r="A395" s="23" t="s">
        <v>457</v>
      </c>
      <c r="B395" s="23" t="s">
        <v>457</v>
      </c>
      <c r="C395" s="23" t="s">
        <v>465</v>
      </c>
      <c r="D395" s="45">
        <f t="shared" si="115"/>
        <v>627</v>
      </c>
      <c r="E395" s="46">
        <f t="shared" si="113"/>
        <v>627</v>
      </c>
      <c r="F395" s="27">
        <f t="shared" si="108"/>
        <v>626</v>
      </c>
      <c r="G395" s="27">
        <f t="shared" si="109"/>
        <v>626</v>
      </c>
      <c r="H395" s="24">
        <v>1</v>
      </c>
      <c r="I395" s="49" t="s">
        <v>53</v>
      </c>
      <c r="J395" s="134"/>
      <c r="K395" s="141"/>
    </row>
    <row r="396" spans="1:11" x14ac:dyDescent="0.2">
      <c r="A396" s="23"/>
      <c r="B396" s="23"/>
      <c r="C396" s="23"/>
      <c r="D396" s="45">
        <f t="shared" si="115"/>
        <v>628</v>
      </c>
      <c r="E396" s="46">
        <f t="shared" si="113"/>
        <v>631</v>
      </c>
      <c r="F396" s="27">
        <f t="shared" si="108"/>
        <v>627</v>
      </c>
      <c r="G396" s="27">
        <f t="shared" si="109"/>
        <v>630</v>
      </c>
      <c r="H396" s="45">
        <v>4</v>
      </c>
      <c r="I396" s="52" t="s">
        <v>100</v>
      </c>
      <c r="J396" s="25"/>
      <c r="K396" s="26"/>
    </row>
    <row r="397" spans="1:11" x14ac:dyDescent="0.2">
      <c r="A397" s="23"/>
      <c r="B397" s="23"/>
      <c r="C397" s="23"/>
      <c r="D397" s="24"/>
      <c r="E397" s="24"/>
      <c r="F397" s="27">
        <f t="shared" si="108"/>
        <v>-1</v>
      </c>
      <c r="G397" s="27">
        <f t="shared" si="109"/>
        <v>-1</v>
      </c>
      <c r="H397" s="24"/>
      <c r="I397" s="55" t="s">
        <v>58</v>
      </c>
      <c r="J397" s="25"/>
      <c r="K397" s="26"/>
    </row>
    <row r="398" spans="1:11" ht="38.25" x14ac:dyDescent="0.2">
      <c r="A398" s="23" t="s">
        <v>458</v>
      </c>
      <c r="B398" s="23" t="s">
        <v>458</v>
      </c>
      <c r="C398" s="23"/>
      <c r="D398" s="24">
        <f>D396+H396</f>
        <v>632</v>
      </c>
      <c r="E398" s="27">
        <f t="shared" ref="E398:E410" si="116">D398+H398-1</f>
        <v>632</v>
      </c>
      <c r="F398" s="27">
        <f t="shared" si="108"/>
        <v>631</v>
      </c>
      <c r="G398" s="27">
        <f t="shared" si="109"/>
        <v>631</v>
      </c>
      <c r="H398" s="24">
        <v>1</v>
      </c>
      <c r="I398" s="49" t="s">
        <v>59</v>
      </c>
      <c r="J398" s="42" t="s">
        <v>337</v>
      </c>
      <c r="K398" s="36" t="s">
        <v>623</v>
      </c>
    </row>
    <row r="399" spans="1:11" ht="12.75" customHeight="1" x14ac:dyDescent="0.2">
      <c r="A399" s="23" t="s">
        <v>457</v>
      </c>
      <c r="B399" s="23" t="s">
        <v>457</v>
      </c>
      <c r="C399" s="23" t="s">
        <v>465</v>
      </c>
      <c r="D399" s="24">
        <f t="shared" ref="D399" si="117">D398+H398</f>
        <v>633</v>
      </c>
      <c r="E399" s="27">
        <f t="shared" si="116"/>
        <v>633</v>
      </c>
      <c r="F399" s="27">
        <f t="shared" si="108"/>
        <v>632</v>
      </c>
      <c r="G399" s="27">
        <f t="shared" si="109"/>
        <v>632</v>
      </c>
      <c r="H399" s="24">
        <v>1</v>
      </c>
      <c r="I399" s="49" t="s">
        <v>46</v>
      </c>
      <c r="J399" s="134" t="s">
        <v>337</v>
      </c>
      <c r="K399" s="141" t="s">
        <v>623</v>
      </c>
    </row>
    <row r="400" spans="1:11" x14ac:dyDescent="0.2">
      <c r="A400" s="23" t="s">
        <v>457</v>
      </c>
      <c r="B400" s="23" t="s">
        <v>457</v>
      </c>
      <c r="C400" s="23" t="s">
        <v>465</v>
      </c>
      <c r="D400" s="24">
        <f t="shared" ref="D400:D410" si="118">D399+H399</f>
        <v>634</v>
      </c>
      <c r="E400" s="27">
        <f t="shared" si="116"/>
        <v>634</v>
      </c>
      <c r="F400" s="27">
        <f t="shared" si="108"/>
        <v>633</v>
      </c>
      <c r="G400" s="27">
        <f t="shared" si="109"/>
        <v>633</v>
      </c>
      <c r="H400" s="24">
        <v>1</v>
      </c>
      <c r="I400" s="49" t="s">
        <v>47</v>
      </c>
      <c r="J400" s="134"/>
      <c r="K400" s="141"/>
    </row>
    <row r="401" spans="1:11" x14ac:dyDescent="0.2">
      <c r="A401" s="23" t="s">
        <v>457</v>
      </c>
      <c r="B401" s="23" t="s">
        <v>457</v>
      </c>
      <c r="C401" s="23" t="s">
        <v>465</v>
      </c>
      <c r="D401" s="24">
        <f t="shared" si="118"/>
        <v>635</v>
      </c>
      <c r="E401" s="27">
        <f t="shared" si="116"/>
        <v>635</v>
      </c>
      <c r="F401" s="27">
        <f t="shared" si="108"/>
        <v>634</v>
      </c>
      <c r="G401" s="27">
        <f t="shared" si="109"/>
        <v>634</v>
      </c>
      <c r="H401" s="24">
        <v>1</v>
      </c>
      <c r="I401" s="49" t="s">
        <v>48</v>
      </c>
      <c r="J401" s="134"/>
      <c r="K401" s="141"/>
    </row>
    <row r="402" spans="1:11" x14ac:dyDescent="0.2">
      <c r="A402" s="23" t="s">
        <v>457</v>
      </c>
      <c r="B402" s="23" t="s">
        <v>457</v>
      </c>
      <c r="C402" s="23" t="s">
        <v>465</v>
      </c>
      <c r="D402" s="24">
        <f t="shared" si="118"/>
        <v>636</v>
      </c>
      <c r="E402" s="27">
        <f t="shared" si="116"/>
        <v>636</v>
      </c>
      <c r="F402" s="27">
        <f t="shared" si="108"/>
        <v>635</v>
      </c>
      <c r="G402" s="27">
        <f t="shared" si="109"/>
        <v>635</v>
      </c>
      <c r="H402" s="24">
        <v>1</v>
      </c>
      <c r="I402" s="49" t="s">
        <v>49</v>
      </c>
      <c r="J402" s="134"/>
      <c r="K402" s="141"/>
    </row>
    <row r="403" spans="1:11" x14ac:dyDescent="0.2">
      <c r="A403" s="23" t="s">
        <v>457</v>
      </c>
      <c r="B403" s="23" t="s">
        <v>457</v>
      </c>
      <c r="C403" s="23" t="s">
        <v>465</v>
      </c>
      <c r="D403" s="24">
        <f t="shared" si="118"/>
        <v>637</v>
      </c>
      <c r="E403" s="27">
        <f t="shared" si="116"/>
        <v>637</v>
      </c>
      <c r="F403" s="27">
        <f t="shared" si="108"/>
        <v>636</v>
      </c>
      <c r="G403" s="27">
        <f t="shared" si="109"/>
        <v>636</v>
      </c>
      <c r="H403" s="24">
        <v>1</v>
      </c>
      <c r="I403" s="49" t="s">
        <v>167</v>
      </c>
      <c r="J403" s="134"/>
      <c r="K403" s="141"/>
    </row>
    <row r="404" spans="1:11" x14ac:dyDescent="0.2">
      <c r="A404" s="23" t="s">
        <v>457</v>
      </c>
      <c r="B404" s="23" t="s">
        <v>457</v>
      </c>
      <c r="C404" s="23" t="s">
        <v>465</v>
      </c>
      <c r="D404" s="24">
        <f t="shared" si="118"/>
        <v>638</v>
      </c>
      <c r="E404" s="27">
        <f t="shared" si="116"/>
        <v>638</v>
      </c>
      <c r="F404" s="27">
        <f t="shared" si="108"/>
        <v>637</v>
      </c>
      <c r="G404" s="27">
        <f t="shared" si="109"/>
        <v>637</v>
      </c>
      <c r="H404" s="24">
        <v>1</v>
      </c>
      <c r="I404" s="49" t="s">
        <v>50</v>
      </c>
      <c r="J404" s="134"/>
      <c r="K404" s="141"/>
    </row>
    <row r="405" spans="1:11" x14ac:dyDescent="0.2">
      <c r="A405" s="23" t="s">
        <v>457</v>
      </c>
      <c r="B405" s="23" t="s">
        <v>457</v>
      </c>
      <c r="C405" s="23" t="s">
        <v>465</v>
      </c>
      <c r="D405" s="24">
        <f t="shared" si="118"/>
        <v>639</v>
      </c>
      <c r="E405" s="27">
        <f t="shared" si="116"/>
        <v>639</v>
      </c>
      <c r="F405" s="27">
        <f t="shared" si="108"/>
        <v>638</v>
      </c>
      <c r="G405" s="27">
        <f t="shared" si="109"/>
        <v>638</v>
      </c>
      <c r="H405" s="24">
        <v>1</v>
      </c>
      <c r="I405" s="49" t="s">
        <v>168</v>
      </c>
      <c r="J405" s="134"/>
      <c r="K405" s="141"/>
    </row>
    <row r="406" spans="1:11" x14ac:dyDescent="0.2">
      <c r="A406" s="23" t="s">
        <v>457</v>
      </c>
      <c r="B406" s="23" t="s">
        <v>457</v>
      </c>
      <c r="C406" s="23" t="s">
        <v>465</v>
      </c>
      <c r="D406" s="24">
        <f t="shared" si="118"/>
        <v>640</v>
      </c>
      <c r="E406" s="27">
        <f t="shared" si="116"/>
        <v>640</v>
      </c>
      <c r="F406" s="27">
        <f t="shared" si="108"/>
        <v>639</v>
      </c>
      <c r="G406" s="27">
        <f t="shared" si="109"/>
        <v>639</v>
      </c>
      <c r="H406" s="24">
        <v>1</v>
      </c>
      <c r="I406" s="49" t="s">
        <v>51</v>
      </c>
      <c r="J406" s="134"/>
      <c r="K406" s="141"/>
    </row>
    <row r="407" spans="1:11" x14ac:dyDescent="0.2">
      <c r="A407" s="23" t="s">
        <v>457</v>
      </c>
      <c r="B407" s="23" t="s">
        <v>457</v>
      </c>
      <c r="C407" s="23" t="s">
        <v>465</v>
      </c>
      <c r="D407" s="24">
        <f t="shared" si="118"/>
        <v>641</v>
      </c>
      <c r="E407" s="27">
        <f t="shared" si="116"/>
        <v>641</v>
      </c>
      <c r="F407" s="27">
        <f t="shared" si="108"/>
        <v>640</v>
      </c>
      <c r="G407" s="27">
        <f t="shared" si="109"/>
        <v>640</v>
      </c>
      <c r="H407" s="24">
        <v>1</v>
      </c>
      <c r="I407" s="49" t="s">
        <v>52</v>
      </c>
      <c r="J407" s="134"/>
      <c r="K407" s="141"/>
    </row>
    <row r="408" spans="1:11" x14ac:dyDescent="0.2">
      <c r="A408" s="23" t="s">
        <v>457</v>
      </c>
      <c r="B408" s="23" t="s">
        <v>457</v>
      </c>
      <c r="C408" s="23" t="s">
        <v>465</v>
      </c>
      <c r="D408" s="24">
        <f t="shared" si="118"/>
        <v>642</v>
      </c>
      <c r="E408" s="27">
        <f t="shared" si="116"/>
        <v>642</v>
      </c>
      <c r="F408" s="27">
        <f t="shared" si="108"/>
        <v>641</v>
      </c>
      <c r="G408" s="27">
        <f t="shared" si="109"/>
        <v>641</v>
      </c>
      <c r="H408" s="24">
        <v>1</v>
      </c>
      <c r="I408" s="49" t="s">
        <v>53</v>
      </c>
      <c r="J408" s="134"/>
      <c r="K408" s="141"/>
    </row>
    <row r="409" spans="1:11" x14ac:dyDescent="0.2">
      <c r="A409" s="23" t="s">
        <v>457</v>
      </c>
      <c r="B409" s="23" t="s">
        <v>457</v>
      </c>
      <c r="C409" s="23" t="s">
        <v>465</v>
      </c>
      <c r="D409" s="24">
        <f t="shared" si="118"/>
        <v>643</v>
      </c>
      <c r="E409" s="27">
        <f t="shared" si="116"/>
        <v>643</v>
      </c>
      <c r="F409" s="27">
        <f t="shared" si="108"/>
        <v>642</v>
      </c>
      <c r="G409" s="27">
        <f t="shared" si="109"/>
        <v>642</v>
      </c>
      <c r="H409" s="24">
        <v>1</v>
      </c>
      <c r="I409" s="49" t="s">
        <v>169</v>
      </c>
      <c r="J409" s="134"/>
      <c r="K409" s="141"/>
    </row>
    <row r="410" spans="1:11" x14ac:dyDescent="0.2">
      <c r="A410" s="23"/>
      <c r="B410" s="23"/>
      <c r="C410" s="23"/>
      <c r="D410" s="24">
        <f t="shared" si="118"/>
        <v>644</v>
      </c>
      <c r="E410" s="27">
        <f t="shared" si="116"/>
        <v>648</v>
      </c>
      <c r="F410" s="27">
        <f t="shared" si="108"/>
        <v>643</v>
      </c>
      <c r="G410" s="27">
        <f t="shared" si="109"/>
        <v>647</v>
      </c>
      <c r="H410" s="24">
        <v>5</v>
      </c>
      <c r="I410" s="49" t="s">
        <v>100</v>
      </c>
      <c r="J410" s="25"/>
      <c r="K410" s="26"/>
    </row>
    <row r="411" spans="1:11" ht="12.75" customHeight="1" x14ac:dyDescent="0.2">
      <c r="A411" s="23"/>
      <c r="B411" s="23"/>
      <c r="C411" s="23"/>
      <c r="D411" s="24"/>
      <c r="E411" s="24"/>
      <c r="F411" s="27">
        <f t="shared" si="108"/>
        <v>-1</v>
      </c>
      <c r="G411" s="27">
        <f t="shared" si="109"/>
        <v>-1</v>
      </c>
      <c r="H411" s="24"/>
      <c r="I411" s="51" t="s">
        <v>60</v>
      </c>
      <c r="J411" s="68"/>
      <c r="K411" s="68"/>
    </row>
    <row r="412" spans="1:11" ht="38.25" x14ac:dyDescent="0.2">
      <c r="A412" s="23" t="s">
        <v>457</v>
      </c>
      <c r="B412" s="23" t="s">
        <v>457</v>
      </c>
      <c r="C412" s="23" t="s">
        <v>465</v>
      </c>
      <c r="D412" s="24">
        <f>D410+H410</f>
        <v>649</v>
      </c>
      <c r="E412" s="27">
        <f t="shared" ref="E412:E413" si="119">D412+H412-1</f>
        <v>649</v>
      </c>
      <c r="F412" s="27">
        <f t="shared" si="108"/>
        <v>648</v>
      </c>
      <c r="G412" s="27">
        <f t="shared" si="109"/>
        <v>648</v>
      </c>
      <c r="H412" s="24">
        <v>1</v>
      </c>
      <c r="I412" s="49" t="s">
        <v>52</v>
      </c>
      <c r="J412" s="42" t="s">
        <v>337</v>
      </c>
      <c r="K412" s="36" t="s">
        <v>623</v>
      </c>
    </row>
    <row r="413" spans="1:11" x14ac:dyDescent="0.2">
      <c r="A413" s="23"/>
      <c r="B413" s="23"/>
      <c r="C413" s="23"/>
      <c r="D413" s="24">
        <f>D412+H412</f>
        <v>650</v>
      </c>
      <c r="E413" s="27">
        <f t="shared" si="119"/>
        <v>654</v>
      </c>
      <c r="F413" s="27">
        <f t="shared" si="108"/>
        <v>649</v>
      </c>
      <c r="G413" s="27">
        <f t="shared" si="109"/>
        <v>653</v>
      </c>
      <c r="H413" s="54">
        <v>5</v>
      </c>
      <c r="I413" s="49" t="s">
        <v>100</v>
      </c>
      <c r="J413" s="25"/>
      <c r="K413" s="26"/>
    </row>
    <row r="414" spans="1:11" x14ac:dyDescent="0.2">
      <c r="A414" s="23"/>
      <c r="B414" s="23"/>
      <c r="C414" s="23"/>
      <c r="D414" s="24"/>
      <c r="E414" s="24"/>
      <c r="F414" s="27">
        <f t="shared" si="108"/>
        <v>-1</v>
      </c>
      <c r="G414" s="27">
        <f t="shared" si="109"/>
        <v>-1</v>
      </c>
      <c r="H414" s="24"/>
      <c r="I414" s="50" t="s">
        <v>159</v>
      </c>
      <c r="J414" s="25"/>
      <c r="K414" s="26"/>
    </row>
    <row r="415" spans="1:11" x14ac:dyDescent="0.2">
      <c r="A415" s="23" t="s">
        <v>457</v>
      </c>
      <c r="B415" s="23" t="s">
        <v>457</v>
      </c>
      <c r="C415" s="23" t="s">
        <v>465</v>
      </c>
      <c r="D415" s="24">
        <f>D413+H413</f>
        <v>655</v>
      </c>
      <c r="E415" s="27">
        <f t="shared" ref="E415:E426" si="120">D415+H415-1</f>
        <v>655</v>
      </c>
      <c r="F415" s="27">
        <f t="shared" si="108"/>
        <v>654</v>
      </c>
      <c r="G415" s="27">
        <f t="shared" si="109"/>
        <v>654</v>
      </c>
      <c r="H415" s="24">
        <v>1</v>
      </c>
      <c r="I415" s="49" t="s">
        <v>160</v>
      </c>
      <c r="J415" s="141" t="s">
        <v>342</v>
      </c>
      <c r="K415" s="141" t="s">
        <v>343</v>
      </c>
    </row>
    <row r="416" spans="1:11" x14ac:dyDescent="0.2">
      <c r="A416" s="23" t="s">
        <v>457</v>
      </c>
      <c r="B416" s="23" t="s">
        <v>457</v>
      </c>
      <c r="C416" s="23" t="s">
        <v>465</v>
      </c>
      <c r="D416" s="24">
        <f t="shared" ref="D416" si="121">D415+H415</f>
        <v>656</v>
      </c>
      <c r="E416" s="27">
        <f t="shared" si="120"/>
        <v>656</v>
      </c>
      <c r="F416" s="27">
        <f t="shared" si="108"/>
        <v>655</v>
      </c>
      <c r="G416" s="27">
        <f t="shared" si="109"/>
        <v>655</v>
      </c>
      <c r="H416" s="24">
        <v>1</v>
      </c>
      <c r="I416" s="49" t="s">
        <v>626</v>
      </c>
      <c r="J416" s="141"/>
      <c r="K416" s="141"/>
    </row>
    <row r="417" spans="1:11" x14ac:dyDescent="0.2">
      <c r="A417" s="23" t="s">
        <v>457</v>
      </c>
      <c r="B417" s="23" t="s">
        <v>457</v>
      </c>
      <c r="C417" s="23" t="s">
        <v>465</v>
      </c>
      <c r="D417" s="24">
        <f t="shared" ref="D417:D425" si="122">D416+H416</f>
        <v>657</v>
      </c>
      <c r="E417" s="27">
        <f t="shared" si="120"/>
        <v>657</v>
      </c>
      <c r="F417" s="27">
        <f t="shared" si="108"/>
        <v>656</v>
      </c>
      <c r="G417" s="27">
        <f t="shared" si="109"/>
        <v>656</v>
      </c>
      <c r="H417" s="24">
        <v>1</v>
      </c>
      <c r="I417" s="49" t="s">
        <v>163</v>
      </c>
      <c r="J417" s="141"/>
      <c r="K417" s="141"/>
    </row>
    <row r="418" spans="1:11" x14ac:dyDescent="0.2">
      <c r="A418" s="23" t="s">
        <v>457</v>
      </c>
      <c r="B418" s="23" t="s">
        <v>457</v>
      </c>
      <c r="C418" s="23" t="s">
        <v>465</v>
      </c>
      <c r="D418" s="24">
        <f t="shared" si="122"/>
        <v>658</v>
      </c>
      <c r="E418" s="27">
        <f t="shared" si="120"/>
        <v>658</v>
      </c>
      <c r="F418" s="27">
        <f t="shared" si="108"/>
        <v>657</v>
      </c>
      <c r="G418" s="27">
        <f t="shared" si="109"/>
        <v>657</v>
      </c>
      <c r="H418" s="24">
        <v>1</v>
      </c>
      <c r="I418" s="49" t="s">
        <v>164</v>
      </c>
      <c r="J418" s="141"/>
      <c r="K418" s="141"/>
    </row>
    <row r="419" spans="1:11" x14ac:dyDescent="0.2">
      <c r="A419" s="23" t="s">
        <v>457</v>
      </c>
      <c r="B419" s="23" t="s">
        <v>457</v>
      </c>
      <c r="C419" s="23" t="s">
        <v>465</v>
      </c>
      <c r="D419" s="24">
        <f t="shared" si="122"/>
        <v>659</v>
      </c>
      <c r="E419" s="27">
        <f t="shared" si="120"/>
        <v>659</v>
      </c>
      <c r="F419" s="27">
        <f t="shared" si="108"/>
        <v>658</v>
      </c>
      <c r="G419" s="27">
        <f t="shared" si="109"/>
        <v>658</v>
      </c>
      <c r="H419" s="24">
        <v>1</v>
      </c>
      <c r="I419" s="49" t="s">
        <v>51</v>
      </c>
      <c r="J419" s="141"/>
      <c r="K419" s="141"/>
    </row>
    <row r="420" spans="1:11" x14ac:dyDescent="0.2">
      <c r="A420" s="23" t="s">
        <v>457</v>
      </c>
      <c r="B420" s="23" t="s">
        <v>457</v>
      </c>
      <c r="C420" s="23" t="s">
        <v>465</v>
      </c>
      <c r="D420" s="24">
        <f t="shared" si="122"/>
        <v>660</v>
      </c>
      <c r="E420" s="27">
        <f t="shared" si="120"/>
        <v>660</v>
      </c>
      <c r="F420" s="27">
        <f t="shared" si="108"/>
        <v>659</v>
      </c>
      <c r="G420" s="27">
        <f t="shared" si="109"/>
        <v>659</v>
      </c>
      <c r="H420" s="24">
        <v>1</v>
      </c>
      <c r="I420" s="49" t="s">
        <v>49</v>
      </c>
      <c r="J420" s="141"/>
      <c r="K420" s="141"/>
    </row>
    <row r="421" spans="1:11" x14ac:dyDescent="0.2">
      <c r="A421" s="23" t="s">
        <v>457</v>
      </c>
      <c r="B421" s="23" t="s">
        <v>457</v>
      </c>
      <c r="C421" s="23" t="s">
        <v>465</v>
      </c>
      <c r="D421" s="24">
        <f t="shared" si="122"/>
        <v>661</v>
      </c>
      <c r="E421" s="27">
        <f t="shared" si="120"/>
        <v>661</v>
      </c>
      <c r="F421" s="27">
        <f t="shared" si="108"/>
        <v>660</v>
      </c>
      <c r="G421" s="27">
        <f t="shared" si="109"/>
        <v>660</v>
      </c>
      <c r="H421" s="24">
        <v>1</v>
      </c>
      <c r="I421" s="49" t="s">
        <v>50</v>
      </c>
      <c r="J421" s="141"/>
      <c r="K421" s="141"/>
    </row>
    <row r="422" spans="1:11" x14ac:dyDescent="0.2">
      <c r="A422" s="23" t="s">
        <v>457</v>
      </c>
      <c r="B422" s="23" t="s">
        <v>457</v>
      </c>
      <c r="C422" s="23" t="s">
        <v>465</v>
      </c>
      <c r="D422" s="24">
        <f t="shared" si="122"/>
        <v>662</v>
      </c>
      <c r="E422" s="27">
        <f t="shared" si="120"/>
        <v>662</v>
      </c>
      <c r="F422" s="27">
        <f t="shared" si="108"/>
        <v>661</v>
      </c>
      <c r="G422" s="27">
        <f t="shared" si="109"/>
        <v>661</v>
      </c>
      <c r="H422" s="24">
        <v>1</v>
      </c>
      <c r="I422" s="49" t="s">
        <v>166</v>
      </c>
      <c r="J422" s="141"/>
      <c r="K422" s="141"/>
    </row>
    <row r="423" spans="1:11" x14ac:dyDescent="0.2">
      <c r="A423" s="43" t="s">
        <v>457</v>
      </c>
      <c r="B423" s="43" t="s">
        <v>457</v>
      </c>
      <c r="C423" s="43" t="s">
        <v>465</v>
      </c>
      <c r="D423" s="45">
        <f t="shared" si="122"/>
        <v>663</v>
      </c>
      <c r="E423" s="46">
        <f t="shared" si="120"/>
        <v>663</v>
      </c>
      <c r="F423" s="27">
        <f t="shared" si="108"/>
        <v>662</v>
      </c>
      <c r="G423" s="27">
        <f t="shared" si="109"/>
        <v>662</v>
      </c>
      <c r="H423" s="44">
        <v>1</v>
      </c>
      <c r="I423" s="52" t="s">
        <v>618</v>
      </c>
      <c r="J423" s="141"/>
      <c r="K423" s="141"/>
    </row>
    <row r="424" spans="1:11" x14ac:dyDescent="0.2">
      <c r="A424" s="43" t="s">
        <v>457</v>
      </c>
      <c r="B424" s="43" t="s">
        <v>457</v>
      </c>
      <c r="C424" s="43" t="s">
        <v>465</v>
      </c>
      <c r="D424" s="45">
        <f t="shared" si="122"/>
        <v>664</v>
      </c>
      <c r="E424" s="46">
        <f t="shared" si="120"/>
        <v>664</v>
      </c>
      <c r="F424" s="27">
        <f t="shared" si="108"/>
        <v>663</v>
      </c>
      <c r="G424" s="27">
        <f t="shared" si="109"/>
        <v>663</v>
      </c>
      <c r="H424" s="44">
        <v>1</v>
      </c>
      <c r="I424" s="52" t="s">
        <v>47</v>
      </c>
      <c r="J424" s="141"/>
      <c r="K424" s="141"/>
    </row>
    <row r="425" spans="1:11" x14ac:dyDescent="0.2">
      <c r="A425" s="43" t="s">
        <v>457</v>
      </c>
      <c r="B425" s="43" t="s">
        <v>457</v>
      </c>
      <c r="C425" s="43" t="s">
        <v>465</v>
      </c>
      <c r="D425" s="45">
        <f t="shared" si="122"/>
        <v>665</v>
      </c>
      <c r="E425" s="46">
        <f t="shared" si="120"/>
        <v>665</v>
      </c>
      <c r="F425" s="27">
        <f t="shared" si="108"/>
        <v>664</v>
      </c>
      <c r="G425" s="27">
        <f t="shared" si="109"/>
        <v>664</v>
      </c>
      <c r="H425" s="44">
        <v>1</v>
      </c>
      <c r="I425" s="52" t="s">
        <v>619</v>
      </c>
      <c r="J425" s="141"/>
      <c r="K425" s="141"/>
    </row>
    <row r="426" spans="1:11" x14ac:dyDescent="0.2">
      <c r="A426" s="23"/>
      <c r="B426" s="23"/>
      <c r="C426" s="23"/>
      <c r="D426" s="45">
        <f>D425+H425</f>
        <v>666</v>
      </c>
      <c r="E426" s="27">
        <f t="shared" si="120"/>
        <v>667</v>
      </c>
      <c r="F426" s="27">
        <f t="shared" si="108"/>
        <v>665</v>
      </c>
      <c r="G426" s="27">
        <f t="shared" si="109"/>
        <v>666</v>
      </c>
      <c r="H426" s="45">
        <v>2</v>
      </c>
      <c r="I426" s="49" t="s">
        <v>100</v>
      </c>
      <c r="J426" s="25"/>
      <c r="K426" s="26"/>
    </row>
    <row r="427" spans="1:11" x14ac:dyDescent="0.2">
      <c r="A427" s="23"/>
      <c r="B427" s="23"/>
      <c r="C427" s="23"/>
      <c r="D427" s="24"/>
      <c r="E427" s="24"/>
      <c r="F427" s="27">
        <f t="shared" si="108"/>
        <v>-1</v>
      </c>
      <c r="G427" s="27">
        <f t="shared" si="109"/>
        <v>-1</v>
      </c>
      <c r="H427" s="24"/>
      <c r="I427" s="50" t="s">
        <v>171</v>
      </c>
      <c r="J427" s="25"/>
      <c r="K427" s="26"/>
    </row>
    <row r="428" spans="1:11" x14ac:dyDescent="0.2">
      <c r="A428" s="23"/>
      <c r="B428" s="23"/>
      <c r="C428" s="23"/>
      <c r="D428" s="24"/>
      <c r="E428" s="24"/>
      <c r="F428" s="27">
        <f t="shared" ref="F428:F491" si="123">D428-1</f>
        <v>-1</v>
      </c>
      <c r="G428" s="27">
        <f t="shared" ref="G428:G491" si="124">E428-1</f>
        <v>-1</v>
      </c>
      <c r="H428" s="24"/>
      <c r="I428" s="50" t="s">
        <v>172</v>
      </c>
      <c r="J428" s="25"/>
      <c r="K428" s="26"/>
    </row>
    <row r="429" spans="1:11" ht="63.75" x14ac:dyDescent="0.2">
      <c r="A429" s="43" t="s">
        <v>458</v>
      </c>
      <c r="B429" s="43" t="s">
        <v>458</v>
      </c>
      <c r="C429" s="43"/>
      <c r="D429" s="45">
        <f>D426+H426</f>
        <v>668</v>
      </c>
      <c r="E429" s="46">
        <f>D429+H429-1</f>
        <v>668</v>
      </c>
      <c r="F429" s="27">
        <f t="shared" si="123"/>
        <v>667</v>
      </c>
      <c r="G429" s="27">
        <f t="shared" si="124"/>
        <v>667</v>
      </c>
      <c r="H429" s="45">
        <v>1</v>
      </c>
      <c r="I429" s="69" t="s">
        <v>586</v>
      </c>
      <c r="J429" s="36" t="s">
        <v>587</v>
      </c>
      <c r="K429" s="42" t="s">
        <v>613</v>
      </c>
    </row>
    <row r="430" spans="1:11" ht="76.5" x14ac:dyDescent="0.2">
      <c r="A430" s="23" t="s">
        <v>458</v>
      </c>
      <c r="B430" s="23" t="s">
        <v>458</v>
      </c>
      <c r="C430" s="23"/>
      <c r="D430" s="45">
        <f>D429+H429</f>
        <v>669</v>
      </c>
      <c r="E430" s="46">
        <f>D430+H430-1</f>
        <v>669</v>
      </c>
      <c r="F430" s="27">
        <f t="shared" si="123"/>
        <v>668</v>
      </c>
      <c r="G430" s="27">
        <f t="shared" si="124"/>
        <v>668</v>
      </c>
      <c r="H430" s="45">
        <v>1</v>
      </c>
      <c r="I430" s="70" t="s">
        <v>588</v>
      </c>
      <c r="J430" s="42" t="s">
        <v>715</v>
      </c>
      <c r="K430" s="42" t="s">
        <v>630</v>
      </c>
    </row>
    <row r="431" spans="1:11" x14ac:dyDescent="0.2">
      <c r="A431" s="23"/>
      <c r="B431" s="23"/>
      <c r="C431" s="23"/>
      <c r="D431" s="45">
        <f>D430+H430</f>
        <v>670</v>
      </c>
      <c r="E431" s="46">
        <f>D431+H431-1</f>
        <v>670</v>
      </c>
      <c r="F431" s="27">
        <f t="shared" si="123"/>
        <v>669</v>
      </c>
      <c r="G431" s="27">
        <f t="shared" si="124"/>
        <v>669</v>
      </c>
      <c r="H431" s="45">
        <v>1</v>
      </c>
      <c r="I431" s="70" t="s">
        <v>100</v>
      </c>
      <c r="J431" s="42"/>
      <c r="K431" s="42"/>
    </row>
    <row r="432" spans="1:11" ht="22.5" customHeight="1" x14ac:dyDescent="0.2">
      <c r="A432" s="23" t="s">
        <v>458</v>
      </c>
      <c r="B432" s="23" t="s">
        <v>458</v>
      </c>
      <c r="C432" s="23"/>
      <c r="D432" s="24">
        <f>D431+H431</f>
        <v>671</v>
      </c>
      <c r="E432" s="27">
        <f>D432+H432-1</f>
        <v>671</v>
      </c>
      <c r="F432" s="27">
        <f t="shared" si="123"/>
        <v>670</v>
      </c>
      <c r="G432" s="27">
        <f t="shared" si="124"/>
        <v>670</v>
      </c>
      <c r="H432" s="24">
        <v>1</v>
      </c>
      <c r="I432" s="71" t="s">
        <v>173</v>
      </c>
      <c r="J432" s="138" t="s">
        <v>381</v>
      </c>
      <c r="K432" s="134" t="s">
        <v>627</v>
      </c>
    </row>
    <row r="433" spans="1:11" ht="23.25" customHeight="1" x14ac:dyDescent="0.2">
      <c r="A433" s="23" t="s">
        <v>458</v>
      </c>
      <c r="B433" s="23" t="s">
        <v>458</v>
      </c>
      <c r="C433" s="23"/>
      <c r="D433" s="24">
        <f t="shared" ref="D433:D436" si="125">D432+H432</f>
        <v>672</v>
      </c>
      <c r="E433" s="27">
        <f t="shared" ref="E433:E436" si="126">D433+H433-1</f>
        <v>672</v>
      </c>
      <c r="F433" s="27">
        <f t="shared" si="123"/>
        <v>671</v>
      </c>
      <c r="G433" s="27">
        <f t="shared" si="124"/>
        <v>671</v>
      </c>
      <c r="H433" s="24">
        <v>1</v>
      </c>
      <c r="I433" s="71" t="s">
        <v>174</v>
      </c>
      <c r="J433" s="139"/>
      <c r="K433" s="134"/>
    </row>
    <row r="434" spans="1:11" ht="23.25" customHeight="1" x14ac:dyDescent="0.2">
      <c r="A434" s="23" t="s">
        <v>458</v>
      </c>
      <c r="B434" s="23" t="s">
        <v>458</v>
      </c>
      <c r="C434" s="23"/>
      <c r="D434" s="24">
        <f t="shared" si="125"/>
        <v>673</v>
      </c>
      <c r="E434" s="27">
        <f t="shared" si="126"/>
        <v>673</v>
      </c>
      <c r="F434" s="27">
        <f t="shared" si="123"/>
        <v>672</v>
      </c>
      <c r="G434" s="27">
        <f t="shared" si="124"/>
        <v>672</v>
      </c>
      <c r="H434" s="24">
        <v>1</v>
      </c>
      <c r="I434" s="71" t="s">
        <v>175</v>
      </c>
      <c r="J434" s="139"/>
      <c r="K434" s="134"/>
    </row>
    <row r="435" spans="1:11" ht="27" customHeight="1" x14ac:dyDescent="0.2">
      <c r="A435" s="23" t="s">
        <v>458</v>
      </c>
      <c r="B435" s="23" t="s">
        <v>458</v>
      </c>
      <c r="C435" s="23"/>
      <c r="D435" s="24">
        <f t="shared" si="125"/>
        <v>674</v>
      </c>
      <c r="E435" s="27">
        <f t="shared" si="126"/>
        <v>674</v>
      </c>
      <c r="F435" s="27">
        <f t="shared" si="123"/>
        <v>673</v>
      </c>
      <c r="G435" s="27">
        <f t="shared" si="124"/>
        <v>673</v>
      </c>
      <c r="H435" s="24">
        <v>1</v>
      </c>
      <c r="I435" s="71" t="s">
        <v>176</v>
      </c>
      <c r="J435" s="139"/>
      <c r="K435" s="134"/>
    </row>
    <row r="436" spans="1:11" ht="81.75" customHeight="1" x14ac:dyDescent="0.2">
      <c r="A436" s="23" t="s">
        <v>457</v>
      </c>
      <c r="B436" s="23" t="s">
        <v>457</v>
      </c>
      <c r="C436" s="23" t="s">
        <v>468</v>
      </c>
      <c r="D436" s="24">
        <f t="shared" si="125"/>
        <v>675</v>
      </c>
      <c r="E436" s="27">
        <f t="shared" si="126"/>
        <v>675</v>
      </c>
      <c r="F436" s="27">
        <f t="shared" si="123"/>
        <v>674</v>
      </c>
      <c r="G436" s="27">
        <f t="shared" si="124"/>
        <v>674</v>
      </c>
      <c r="H436" s="24">
        <v>1</v>
      </c>
      <c r="I436" s="71" t="s">
        <v>172</v>
      </c>
      <c r="J436" s="37" t="s">
        <v>382</v>
      </c>
      <c r="K436" s="39" t="s">
        <v>383</v>
      </c>
    </row>
    <row r="437" spans="1:11" x14ac:dyDescent="0.2">
      <c r="A437" s="23"/>
      <c r="B437" s="23"/>
      <c r="C437" s="23"/>
      <c r="D437" s="24"/>
      <c r="E437" s="24"/>
      <c r="F437" s="27">
        <f t="shared" si="123"/>
        <v>-1</v>
      </c>
      <c r="G437" s="27">
        <f t="shared" si="124"/>
        <v>-1</v>
      </c>
      <c r="H437" s="24"/>
      <c r="I437" s="50" t="s">
        <v>248</v>
      </c>
      <c r="J437" s="25"/>
      <c r="K437" s="26"/>
    </row>
    <row r="438" spans="1:11" ht="102" x14ac:dyDescent="0.2">
      <c r="A438" s="23" t="s">
        <v>457</v>
      </c>
      <c r="B438" s="23" t="s">
        <v>457</v>
      </c>
      <c r="C438" s="23"/>
      <c r="D438" s="24">
        <f>D436+H436</f>
        <v>676</v>
      </c>
      <c r="E438" s="27">
        <f t="shared" ref="E438:E444" si="127">D438+H438-1</f>
        <v>677</v>
      </c>
      <c r="F438" s="27">
        <f t="shared" si="123"/>
        <v>675</v>
      </c>
      <c r="G438" s="27">
        <f t="shared" si="124"/>
        <v>676</v>
      </c>
      <c r="H438" s="24">
        <v>2</v>
      </c>
      <c r="I438" s="71" t="s">
        <v>156</v>
      </c>
      <c r="J438" s="41" t="s">
        <v>384</v>
      </c>
      <c r="K438" s="37" t="s">
        <v>389</v>
      </c>
    </row>
    <row r="439" spans="1:11" ht="114.75" x14ac:dyDescent="0.2">
      <c r="A439" s="43" t="s">
        <v>458</v>
      </c>
      <c r="B439" s="43" t="s">
        <v>458</v>
      </c>
      <c r="C439" s="43"/>
      <c r="D439" s="45">
        <f>D438+H438</f>
        <v>678</v>
      </c>
      <c r="E439" s="46">
        <f t="shared" si="127"/>
        <v>679</v>
      </c>
      <c r="F439" s="27">
        <f t="shared" si="123"/>
        <v>677</v>
      </c>
      <c r="G439" s="27">
        <f t="shared" si="124"/>
        <v>678</v>
      </c>
      <c r="H439" s="45">
        <v>2</v>
      </c>
      <c r="I439" s="70" t="s">
        <v>589</v>
      </c>
      <c r="J439" s="72" t="s">
        <v>678</v>
      </c>
      <c r="K439" s="42" t="s">
        <v>628</v>
      </c>
    </row>
    <row r="440" spans="1:11" ht="102" x14ac:dyDescent="0.2">
      <c r="A440" s="43" t="s">
        <v>457</v>
      </c>
      <c r="B440" s="43" t="s">
        <v>457</v>
      </c>
      <c r="C440" s="43"/>
      <c r="D440" s="45">
        <f>D439+H439</f>
        <v>680</v>
      </c>
      <c r="E440" s="46">
        <f t="shared" si="127"/>
        <v>681</v>
      </c>
      <c r="F440" s="27">
        <f t="shared" si="123"/>
        <v>679</v>
      </c>
      <c r="G440" s="27">
        <f t="shared" si="124"/>
        <v>680</v>
      </c>
      <c r="H440" s="45">
        <v>2</v>
      </c>
      <c r="I440" s="70" t="s">
        <v>590</v>
      </c>
      <c r="J440" s="72" t="s">
        <v>678</v>
      </c>
      <c r="K440" s="42" t="s">
        <v>629</v>
      </c>
    </row>
    <row r="441" spans="1:11" ht="72.75" customHeight="1" x14ac:dyDescent="0.2">
      <c r="A441" s="23" t="s">
        <v>457</v>
      </c>
      <c r="B441" s="23" t="s">
        <v>457</v>
      </c>
      <c r="C441" s="23" t="s">
        <v>465</v>
      </c>
      <c r="D441" s="45">
        <f t="shared" ref="D441:D444" si="128">D440+H440</f>
        <v>682</v>
      </c>
      <c r="E441" s="46">
        <f t="shared" si="127"/>
        <v>683</v>
      </c>
      <c r="F441" s="27">
        <f t="shared" si="123"/>
        <v>681</v>
      </c>
      <c r="G441" s="27">
        <f t="shared" si="124"/>
        <v>682</v>
      </c>
      <c r="H441" s="24">
        <v>2</v>
      </c>
      <c r="I441" s="29" t="s">
        <v>249</v>
      </c>
      <c r="J441" s="140" t="s">
        <v>677</v>
      </c>
      <c r="K441" s="140" t="s">
        <v>633</v>
      </c>
    </row>
    <row r="442" spans="1:11" ht="72.75" customHeight="1" x14ac:dyDescent="0.2">
      <c r="A442" s="23" t="s">
        <v>457</v>
      </c>
      <c r="B442" s="23" t="s">
        <v>457</v>
      </c>
      <c r="C442" s="23" t="s">
        <v>465</v>
      </c>
      <c r="D442" s="45">
        <f t="shared" si="128"/>
        <v>684</v>
      </c>
      <c r="E442" s="46">
        <f t="shared" si="127"/>
        <v>685</v>
      </c>
      <c r="F442" s="27">
        <f t="shared" si="123"/>
        <v>683</v>
      </c>
      <c r="G442" s="27">
        <f t="shared" si="124"/>
        <v>684</v>
      </c>
      <c r="H442" s="24">
        <v>2</v>
      </c>
      <c r="I442" s="29" t="s">
        <v>250</v>
      </c>
      <c r="J442" s="140"/>
      <c r="K442" s="140"/>
    </row>
    <row r="443" spans="1:11" ht="71.25" customHeight="1" x14ac:dyDescent="0.2">
      <c r="A443" s="23" t="s">
        <v>457</v>
      </c>
      <c r="B443" s="23" t="s">
        <v>457</v>
      </c>
      <c r="C443" s="23" t="s">
        <v>465</v>
      </c>
      <c r="D443" s="45">
        <f t="shared" si="128"/>
        <v>686</v>
      </c>
      <c r="E443" s="46">
        <f t="shared" si="127"/>
        <v>687</v>
      </c>
      <c r="F443" s="27">
        <f t="shared" si="123"/>
        <v>685</v>
      </c>
      <c r="G443" s="27">
        <f t="shared" si="124"/>
        <v>686</v>
      </c>
      <c r="H443" s="24">
        <v>2</v>
      </c>
      <c r="I443" s="29" t="s">
        <v>251</v>
      </c>
      <c r="J443" s="140"/>
      <c r="K443" s="140"/>
    </row>
    <row r="444" spans="1:11" ht="71.25" customHeight="1" x14ac:dyDescent="0.2">
      <c r="A444" s="23" t="s">
        <v>457</v>
      </c>
      <c r="B444" s="23" t="s">
        <v>457</v>
      </c>
      <c r="C444" s="23" t="s">
        <v>465</v>
      </c>
      <c r="D444" s="45">
        <f t="shared" si="128"/>
        <v>688</v>
      </c>
      <c r="E444" s="46">
        <f t="shared" si="127"/>
        <v>689</v>
      </c>
      <c r="F444" s="27">
        <f t="shared" si="123"/>
        <v>687</v>
      </c>
      <c r="G444" s="27">
        <f t="shared" si="124"/>
        <v>688</v>
      </c>
      <c r="H444" s="24">
        <v>2</v>
      </c>
      <c r="I444" s="29" t="s">
        <v>252</v>
      </c>
      <c r="J444" s="140"/>
      <c r="K444" s="140"/>
    </row>
    <row r="445" spans="1:11" x14ac:dyDescent="0.2">
      <c r="A445" s="23"/>
      <c r="B445" s="23"/>
      <c r="C445" s="23"/>
      <c r="D445" s="24"/>
      <c r="E445" s="24"/>
      <c r="F445" s="27">
        <f t="shared" si="123"/>
        <v>-1</v>
      </c>
      <c r="G445" s="27">
        <f t="shared" si="124"/>
        <v>-1</v>
      </c>
      <c r="H445" s="24"/>
      <c r="I445" s="50" t="s">
        <v>177</v>
      </c>
      <c r="J445" s="25"/>
      <c r="K445" s="26"/>
    </row>
    <row r="446" spans="1:11" ht="63.75" x14ac:dyDescent="0.2">
      <c r="A446" s="43" t="s">
        <v>457</v>
      </c>
      <c r="B446" s="43" t="s">
        <v>457</v>
      </c>
      <c r="C446" s="43"/>
      <c r="D446" s="45">
        <f>D444+H444</f>
        <v>690</v>
      </c>
      <c r="E446" s="46">
        <f t="shared" ref="E446:E453" si="129">D446+H446-1</f>
        <v>691</v>
      </c>
      <c r="F446" s="27">
        <f t="shared" si="123"/>
        <v>689</v>
      </c>
      <c r="G446" s="27">
        <f t="shared" si="124"/>
        <v>690</v>
      </c>
      <c r="H446" s="45">
        <v>2</v>
      </c>
      <c r="I446" s="70" t="s">
        <v>592</v>
      </c>
      <c r="J446" s="36" t="s">
        <v>388</v>
      </c>
      <c r="K446" s="42" t="s">
        <v>631</v>
      </c>
    </row>
    <row r="447" spans="1:11" ht="51" x14ac:dyDescent="0.2">
      <c r="A447" s="23" t="s">
        <v>458</v>
      </c>
      <c r="B447" s="23" t="s">
        <v>458</v>
      </c>
      <c r="C447" s="23"/>
      <c r="D447" s="45">
        <f>D446+H446</f>
        <v>692</v>
      </c>
      <c r="E447" s="46">
        <f t="shared" si="129"/>
        <v>693</v>
      </c>
      <c r="F447" s="27">
        <f t="shared" si="123"/>
        <v>691</v>
      </c>
      <c r="G447" s="27">
        <f t="shared" si="124"/>
        <v>692</v>
      </c>
      <c r="H447" s="24">
        <v>2</v>
      </c>
      <c r="I447" s="70" t="s">
        <v>591</v>
      </c>
      <c r="J447" s="37" t="s">
        <v>388</v>
      </c>
      <c r="K447" s="42" t="s">
        <v>632</v>
      </c>
    </row>
    <row r="448" spans="1:11" ht="23.25" customHeight="1" x14ac:dyDescent="0.2">
      <c r="A448" s="23" t="s">
        <v>458</v>
      </c>
      <c r="B448" s="23" t="s">
        <v>458</v>
      </c>
      <c r="C448" s="23"/>
      <c r="D448" s="45">
        <f t="shared" ref="D448" si="130">D447+H447</f>
        <v>694</v>
      </c>
      <c r="E448" s="46">
        <f t="shared" si="129"/>
        <v>694</v>
      </c>
      <c r="F448" s="27">
        <f t="shared" si="123"/>
        <v>693</v>
      </c>
      <c r="G448" s="27">
        <f t="shared" si="124"/>
        <v>693</v>
      </c>
      <c r="H448" s="24">
        <v>1</v>
      </c>
      <c r="I448" s="71" t="s">
        <v>178</v>
      </c>
      <c r="J448" s="135" t="s">
        <v>385</v>
      </c>
      <c r="K448" s="134" t="s">
        <v>627</v>
      </c>
    </row>
    <row r="449" spans="1:11" ht="21.75" customHeight="1" x14ac:dyDescent="0.2">
      <c r="A449" s="23" t="s">
        <v>458</v>
      </c>
      <c r="B449" s="23" t="s">
        <v>458</v>
      </c>
      <c r="C449" s="23"/>
      <c r="D449" s="45">
        <f t="shared" ref="D449:D453" si="131">D448+H448</f>
        <v>695</v>
      </c>
      <c r="E449" s="46">
        <f t="shared" si="129"/>
        <v>695</v>
      </c>
      <c r="F449" s="27">
        <f t="shared" si="123"/>
        <v>694</v>
      </c>
      <c r="G449" s="27">
        <f t="shared" si="124"/>
        <v>694</v>
      </c>
      <c r="H449" s="24">
        <v>1</v>
      </c>
      <c r="I449" s="71" t="s">
        <v>179</v>
      </c>
      <c r="J449" s="135"/>
      <c r="K449" s="134"/>
    </row>
    <row r="450" spans="1:11" ht="21.75" customHeight="1" x14ac:dyDescent="0.2">
      <c r="A450" s="23" t="s">
        <v>458</v>
      </c>
      <c r="B450" s="23" t="s">
        <v>458</v>
      </c>
      <c r="C450" s="23"/>
      <c r="D450" s="45">
        <f t="shared" si="131"/>
        <v>696</v>
      </c>
      <c r="E450" s="46">
        <f t="shared" si="129"/>
        <v>696</v>
      </c>
      <c r="F450" s="27">
        <f t="shared" si="123"/>
        <v>695</v>
      </c>
      <c r="G450" s="27">
        <f t="shared" si="124"/>
        <v>695</v>
      </c>
      <c r="H450" s="24">
        <v>1</v>
      </c>
      <c r="I450" s="71" t="s">
        <v>180</v>
      </c>
      <c r="J450" s="135"/>
      <c r="K450" s="134"/>
    </row>
    <row r="451" spans="1:11" ht="22.5" customHeight="1" x14ac:dyDescent="0.2">
      <c r="A451" s="23" t="s">
        <v>458</v>
      </c>
      <c r="B451" s="23" t="s">
        <v>458</v>
      </c>
      <c r="C451" s="23"/>
      <c r="D451" s="45">
        <f t="shared" si="131"/>
        <v>697</v>
      </c>
      <c r="E451" s="46">
        <f t="shared" si="129"/>
        <v>697</v>
      </c>
      <c r="F451" s="27">
        <f t="shared" si="123"/>
        <v>696</v>
      </c>
      <c r="G451" s="27">
        <f t="shared" si="124"/>
        <v>696</v>
      </c>
      <c r="H451" s="24">
        <v>1</v>
      </c>
      <c r="I451" s="71" t="s">
        <v>181</v>
      </c>
      <c r="J451" s="135"/>
      <c r="K451" s="134"/>
    </row>
    <row r="452" spans="1:11" ht="78.75" customHeight="1" x14ac:dyDescent="0.2">
      <c r="A452" s="23" t="s">
        <v>457</v>
      </c>
      <c r="B452" s="23" t="s">
        <v>457</v>
      </c>
      <c r="C452" s="23" t="s">
        <v>465</v>
      </c>
      <c r="D452" s="45">
        <f t="shared" si="131"/>
        <v>698</v>
      </c>
      <c r="E452" s="46">
        <f t="shared" si="129"/>
        <v>698</v>
      </c>
      <c r="F452" s="27">
        <f t="shared" si="123"/>
        <v>697</v>
      </c>
      <c r="G452" s="27">
        <f t="shared" si="124"/>
        <v>697</v>
      </c>
      <c r="H452" s="24">
        <v>1</v>
      </c>
      <c r="I452" s="71" t="s">
        <v>182</v>
      </c>
      <c r="J452" s="37" t="s">
        <v>386</v>
      </c>
      <c r="K452" s="37" t="s">
        <v>387</v>
      </c>
    </row>
    <row r="453" spans="1:11" ht="76.5" x14ac:dyDescent="0.2">
      <c r="A453" s="23" t="s">
        <v>457</v>
      </c>
      <c r="B453" s="23" t="s">
        <v>457</v>
      </c>
      <c r="C453" s="23"/>
      <c r="D453" s="45">
        <f t="shared" si="131"/>
        <v>699</v>
      </c>
      <c r="E453" s="46">
        <f t="shared" si="129"/>
        <v>699</v>
      </c>
      <c r="F453" s="27">
        <f t="shared" si="123"/>
        <v>698</v>
      </c>
      <c r="G453" s="27">
        <f t="shared" si="124"/>
        <v>698</v>
      </c>
      <c r="H453" s="24">
        <v>1</v>
      </c>
      <c r="I453" s="71" t="s">
        <v>157</v>
      </c>
      <c r="J453" s="37" t="s">
        <v>634</v>
      </c>
      <c r="K453" s="37" t="s">
        <v>390</v>
      </c>
    </row>
    <row r="454" spans="1:11" x14ac:dyDescent="0.2">
      <c r="A454" s="23"/>
      <c r="B454" s="23"/>
      <c r="C454" s="23"/>
      <c r="D454" s="24"/>
      <c r="E454" s="24"/>
      <c r="F454" s="27">
        <f t="shared" si="123"/>
        <v>-1</v>
      </c>
      <c r="G454" s="27">
        <f t="shared" si="124"/>
        <v>-1</v>
      </c>
      <c r="H454" s="24"/>
      <c r="I454" s="50" t="s">
        <v>183</v>
      </c>
      <c r="J454" s="25"/>
      <c r="K454" s="73"/>
    </row>
    <row r="455" spans="1:11" ht="63.75" x14ac:dyDescent="0.2">
      <c r="A455" s="43" t="s">
        <v>458</v>
      </c>
      <c r="B455" s="43" t="s">
        <v>458</v>
      </c>
      <c r="C455" s="43"/>
      <c r="D455" s="45">
        <f>D453+H453</f>
        <v>700</v>
      </c>
      <c r="E455" s="46">
        <f t="shared" ref="E455:E461" si="132">D455+H455-1</f>
        <v>700</v>
      </c>
      <c r="F455" s="27">
        <f t="shared" si="123"/>
        <v>699</v>
      </c>
      <c r="G455" s="27">
        <f t="shared" si="124"/>
        <v>699</v>
      </c>
      <c r="H455" s="45">
        <v>1</v>
      </c>
      <c r="I455" s="69" t="s">
        <v>593</v>
      </c>
      <c r="J455" s="36" t="s">
        <v>595</v>
      </c>
      <c r="K455" s="42" t="s">
        <v>631</v>
      </c>
    </row>
    <row r="456" spans="1:11" ht="51" x14ac:dyDescent="0.2">
      <c r="A456" s="43" t="s">
        <v>458</v>
      </c>
      <c r="B456" s="43" t="s">
        <v>458</v>
      </c>
      <c r="C456" s="43"/>
      <c r="D456" s="45">
        <f t="shared" ref="D456:D457" si="133">D455+H455</f>
        <v>701</v>
      </c>
      <c r="E456" s="46">
        <f t="shared" si="132"/>
        <v>701</v>
      </c>
      <c r="F456" s="27">
        <f t="shared" si="123"/>
        <v>700</v>
      </c>
      <c r="G456" s="27">
        <f t="shared" si="124"/>
        <v>700</v>
      </c>
      <c r="H456" s="45">
        <v>1</v>
      </c>
      <c r="I456" s="70" t="s">
        <v>594</v>
      </c>
      <c r="J456" s="42" t="s">
        <v>636</v>
      </c>
      <c r="K456" s="42" t="s">
        <v>632</v>
      </c>
    </row>
    <row r="457" spans="1:11" ht="22.5" customHeight="1" x14ac:dyDescent="0.2">
      <c r="A457" s="23" t="s">
        <v>458</v>
      </c>
      <c r="B457" s="23" t="s">
        <v>458</v>
      </c>
      <c r="C457" s="23"/>
      <c r="D457" s="45">
        <f t="shared" si="133"/>
        <v>702</v>
      </c>
      <c r="E457" s="46">
        <f t="shared" si="132"/>
        <v>702</v>
      </c>
      <c r="F457" s="27">
        <f t="shared" si="123"/>
        <v>701</v>
      </c>
      <c r="G457" s="27">
        <f t="shared" si="124"/>
        <v>701</v>
      </c>
      <c r="H457" s="24">
        <v>1</v>
      </c>
      <c r="I457" s="71" t="s">
        <v>184</v>
      </c>
      <c r="J457" s="135" t="s">
        <v>391</v>
      </c>
      <c r="K457" s="134" t="s">
        <v>635</v>
      </c>
    </row>
    <row r="458" spans="1:11" ht="21" customHeight="1" x14ac:dyDescent="0.2">
      <c r="A458" s="23" t="s">
        <v>458</v>
      </c>
      <c r="B458" s="23" t="s">
        <v>458</v>
      </c>
      <c r="C458" s="23"/>
      <c r="D458" s="45">
        <f t="shared" ref="D458:D461" si="134">D457+H457</f>
        <v>703</v>
      </c>
      <c r="E458" s="46">
        <f t="shared" si="132"/>
        <v>703</v>
      </c>
      <c r="F458" s="27">
        <f t="shared" si="123"/>
        <v>702</v>
      </c>
      <c r="G458" s="27">
        <f t="shared" si="124"/>
        <v>702</v>
      </c>
      <c r="H458" s="24">
        <v>1</v>
      </c>
      <c r="I458" s="71" t="s">
        <v>185</v>
      </c>
      <c r="J458" s="135"/>
      <c r="K458" s="134"/>
    </row>
    <row r="459" spans="1:11" ht="21" customHeight="1" x14ac:dyDescent="0.2">
      <c r="A459" s="23" t="s">
        <v>458</v>
      </c>
      <c r="B459" s="23" t="s">
        <v>458</v>
      </c>
      <c r="C459" s="23"/>
      <c r="D459" s="45">
        <f t="shared" si="134"/>
        <v>704</v>
      </c>
      <c r="E459" s="46">
        <f t="shared" si="132"/>
        <v>704</v>
      </c>
      <c r="F459" s="27">
        <f t="shared" si="123"/>
        <v>703</v>
      </c>
      <c r="G459" s="27">
        <f t="shared" si="124"/>
        <v>703</v>
      </c>
      <c r="H459" s="24">
        <v>1</v>
      </c>
      <c r="I459" s="71" t="s">
        <v>186</v>
      </c>
      <c r="J459" s="135"/>
      <c r="K459" s="134"/>
    </row>
    <row r="460" spans="1:11" ht="21.75" customHeight="1" x14ac:dyDescent="0.2">
      <c r="A460" s="23" t="s">
        <v>458</v>
      </c>
      <c r="B460" s="23" t="s">
        <v>458</v>
      </c>
      <c r="C460" s="23"/>
      <c r="D460" s="45">
        <f t="shared" si="134"/>
        <v>705</v>
      </c>
      <c r="E460" s="46">
        <f t="shared" si="132"/>
        <v>705</v>
      </c>
      <c r="F460" s="27">
        <f t="shared" si="123"/>
        <v>704</v>
      </c>
      <c r="G460" s="27">
        <f t="shared" si="124"/>
        <v>704</v>
      </c>
      <c r="H460" s="24">
        <v>1</v>
      </c>
      <c r="I460" s="71" t="s">
        <v>187</v>
      </c>
      <c r="J460" s="135"/>
      <c r="K460" s="134"/>
    </row>
    <row r="461" spans="1:11" ht="80.25" customHeight="1" x14ac:dyDescent="0.2">
      <c r="A461" s="23" t="s">
        <v>457</v>
      </c>
      <c r="B461" s="23" t="s">
        <v>457</v>
      </c>
      <c r="C461" s="23" t="s">
        <v>465</v>
      </c>
      <c r="D461" s="45">
        <f t="shared" si="134"/>
        <v>706</v>
      </c>
      <c r="E461" s="46">
        <f t="shared" si="132"/>
        <v>706</v>
      </c>
      <c r="F461" s="27">
        <f t="shared" si="123"/>
        <v>705</v>
      </c>
      <c r="G461" s="27">
        <f t="shared" si="124"/>
        <v>705</v>
      </c>
      <c r="H461" s="24">
        <v>1</v>
      </c>
      <c r="I461" s="71" t="s">
        <v>188</v>
      </c>
      <c r="J461" s="37" t="s">
        <v>392</v>
      </c>
      <c r="K461" s="37" t="s">
        <v>393</v>
      </c>
    </row>
    <row r="462" spans="1:11" x14ac:dyDescent="0.2">
      <c r="A462" s="23"/>
      <c r="B462" s="23"/>
      <c r="C462" s="23"/>
      <c r="D462" s="24"/>
      <c r="E462" s="24"/>
      <c r="F462" s="27">
        <f t="shared" si="123"/>
        <v>-1</v>
      </c>
      <c r="G462" s="27">
        <f t="shared" si="124"/>
        <v>-1</v>
      </c>
      <c r="H462" s="24"/>
      <c r="I462" s="50" t="s">
        <v>222</v>
      </c>
      <c r="J462" s="25"/>
      <c r="K462" s="26"/>
    </row>
    <row r="463" spans="1:11" ht="63.75" x14ac:dyDescent="0.2">
      <c r="A463" s="43" t="s">
        <v>458</v>
      </c>
      <c r="B463" s="43" t="s">
        <v>458</v>
      </c>
      <c r="C463" s="43"/>
      <c r="D463" s="45">
        <f>D461+H461</f>
        <v>707</v>
      </c>
      <c r="E463" s="46">
        <f t="shared" ref="E463:E479" si="135">D463+H463-1</f>
        <v>707</v>
      </c>
      <c r="F463" s="27">
        <f t="shared" si="123"/>
        <v>706</v>
      </c>
      <c r="G463" s="27">
        <f t="shared" si="124"/>
        <v>706</v>
      </c>
      <c r="H463" s="45">
        <v>1</v>
      </c>
      <c r="I463" s="69" t="s">
        <v>597</v>
      </c>
      <c r="J463" s="36" t="s">
        <v>416</v>
      </c>
      <c r="K463" s="42" t="s">
        <v>631</v>
      </c>
    </row>
    <row r="464" spans="1:11" ht="51" x14ac:dyDescent="0.2">
      <c r="A464" s="23" t="s">
        <v>458</v>
      </c>
      <c r="B464" s="23" t="s">
        <v>458</v>
      </c>
      <c r="C464" s="23"/>
      <c r="D464" s="45">
        <f t="shared" ref="D464:D474" si="136">D463+H463</f>
        <v>708</v>
      </c>
      <c r="E464" s="46">
        <f t="shared" si="135"/>
        <v>708</v>
      </c>
      <c r="F464" s="27">
        <f t="shared" si="123"/>
        <v>707</v>
      </c>
      <c r="G464" s="27">
        <f t="shared" si="124"/>
        <v>707</v>
      </c>
      <c r="H464" s="24">
        <v>1</v>
      </c>
      <c r="I464" s="52" t="s">
        <v>596</v>
      </c>
      <c r="J464" s="37" t="s">
        <v>416</v>
      </c>
      <c r="K464" s="42" t="s">
        <v>632</v>
      </c>
    </row>
    <row r="465" spans="1:11" ht="63.75" x14ac:dyDescent="0.2">
      <c r="A465" s="43" t="s">
        <v>458</v>
      </c>
      <c r="B465" s="43" t="s">
        <v>458</v>
      </c>
      <c r="C465" s="43"/>
      <c r="D465" s="45">
        <f t="shared" si="136"/>
        <v>709</v>
      </c>
      <c r="E465" s="46">
        <f t="shared" si="135"/>
        <v>709</v>
      </c>
      <c r="F465" s="27">
        <f t="shared" si="123"/>
        <v>708</v>
      </c>
      <c r="G465" s="27">
        <f t="shared" si="124"/>
        <v>708</v>
      </c>
      <c r="H465" s="45">
        <v>1</v>
      </c>
      <c r="I465" s="52" t="s">
        <v>599</v>
      </c>
      <c r="J465" s="42" t="s">
        <v>417</v>
      </c>
      <c r="K465" s="42" t="s">
        <v>631</v>
      </c>
    </row>
    <row r="466" spans="1:11" ht="63.75" customHeight="1" x14ac:dyDescent="0.2">
      <c r="A466" s="23" t="s">
        <v>458</v>
      </c>
      <c r="B466" s="23" t="s">
        <v>458</v>
      </c>
      <c r="C466" s="23"/>
      <c r="D466" s="45">
        <f t="shared" si="136"/>
        <v>710</v>
      </c>
      <c r="E466" s="46">
        <f t="shared" si="135"/>
        <v>710</v>
      </c>
      <c r="F466" s="27">
        <f t="shared" si="123"/>
        <v>709</v>
      </c>
      <c r="G466" s="27">
        <f t="shared" si="124"/>
        <v>709</v>
      </c>
      <c r="H466" s="24">
        <v>1</v>
      </c>
      <c r="I466" s="52" t="s">
        <v>598</v>
      </c>
      <c r="J466" s="37" t="s">
        <v>417</v>
      </c>
      <c r="K466" s="42" t="s">
        <v>632</v>
      </c>
    </row>
    <row r="467" spans="1:11" ht="63.75" customHeight="1" x14ac:dyDescent="0.2">
      <c r="A467" s="43" t="s">
        <v>458</v>
      </c>
      <c r="B467" s="43" t="s">
        <v>458</v>
      </c>
      <c r="C467" s="43"/>
      <c r="D467" s="45">
        <f t="shared" si="136"/>
        <v>711</v>
      </c>
      <c r="E467" s="46">
        <f t="shared" si="135"/>
        <v>711</v>
      </c>
      <c r="F467" s="27">
        <f t="shared" si="123"/>
        <v>710</v>
      </c>
      <c r="G467" s="27">
        <f t="shared" si="124"/>
        <v>710</v>
      </c>
      <c r="H467" s="45">
        <v>1</v>
      </c>
      <c r="I467" s="52" t="s">
        <v>601</v>
      </c>
      <c r="J467" s="42" t="s">
        <v>418</v>
      </c>
      <c r="K467" s="42" t="s">
        <v>631</v>
      </c>
    </row>
    <row r="468" spans="1:11" ht="51" x14ac:dyDescent="0.2">
      <c r="A468" s="23" t="s">
        <v>458</v>
      </c>
      <c r="B468" s="23" t="s">
        <v>458</v>
      </c>
      <c r="C468" s="23"/>
      <c r="D468" s="45">
        <f t="shared" si="136"/>
        <v>712</v>
      </c>
      <c r="E468" s="46">
        <f t="shared" si="135"/>
        <v>712</v>
      </c>
      <c r="F468" s="27">
        <f t="shared" si="123"/>
        <v>711</v>
      </c>
      <c r="G468" s="27">
        <f t="shared" si="124"/>
        <v>711</v>
      </c>
      <c r="H468" s="24">
        <v>1</v>
      </c>
      <c r="I468" s="52" t="s">
        <v>600</v>
      </c>
      <c r="J468" s="37" t="s">
        <v>418</v>
      </c>
      <c r="K468" s="42" t="s">
        <v>632</v>
      </c>
    </row>
    <row r="469" spans="1:11" ht="63.75" x14ac:dyDescent="0.2">
      <c r="A469" s="43" t="s">
        <v>458</v>
      </c>
      <c r="B469" s="43" t="s">
        <v>458</v>
      </c>
      <c r="C469" s="43"/>
      <c r="D469" s="45">
        <f t="shared" si="136"/>
        <v>713</v>
      </c>
      <c r="E469" s="46">
        <f t="shared" si="135"/>
        <v>713</v>
      </c>
      <c r="F469" s="27">
        <f t="shared" si="123"/>
        <v>712</v>
      </c>
      <c r="G469" s="27">
        <f t="shared" si="124"/>
        <v>712</v>
      </c>
      <c r="H469" s="45">
        <v>1</v>
      </c>
      <c r="I469" s="52" t="s">
        <v>603</v>
      </c>
      <c r="J469" s="42" t="s">
        <v>419</v>
      </c>
      <c r="K469" s="42" t="s">
        <v>631</v>
      </c>
    </row>
    <row r="470" spans="1:11" ht="51" x14ac:dyDescent="0.2">
      <c r="A470" s="23" t="s">
        <v>458</v>
      </c>
      <c r="B470" s="23" t="s">
        <v>458</v>
      </c>
      <c r="C470" s="23"/>
      <c r="D470" s="45">
        <f t="shared" si="136"/>
        <v>714</v>
      </c>
      <c r="E470" s="46">
        <f t="shared" si="135"/>
        <v>714</v>
      </c>
      <c r="F470" s="27">
        <f t="shared" si="123"/>
        <v>713</v>
      </c>
      <c r="G470" s="27">
        <f t="shared" si="124"/>
        <v>713</v>
      </c>
      <c r="H470" s="24">
        <v>1</v>
      </c>
      <c r="I470" s="52" t="s">
        <v>602</v>
      </c>
      <c r="J470" s="37" t="s">
        <v>419</v>
      </c>
      <c r="K470" s="42" t="s">
        <v>632</v>
      </c>
    </row>
    <row r="471" spans="1:11" ht="63.75" x14ac:dyDescent="0.2">
      <c r="A471" s="43" t="s">
        <v>458</v>
      </c>
      <c r="B471" s="43" t="s">
        <v>458</v>
      </c>
      <c r="C471" s="43"/>
      <c r="D471" s="45">
        <f t="shared" si="136"/>
        <v>715</v>
      </c>
      <c r="E471" s="46">
        <f t="shared" si="135"/>
        <v>715</v>
      </c>
      <c r="F471" s="27">
        <f t="shared" si="123"/>
        <v>714</v>
      </c>
      <c r="G471" s="27">
        <f t="shared" si="124"/>
        <v>714</v>
      </c>
      <c r="H471" s="45">
        <v>1</v>
      </c>
      <c r="I471" s="52" t="s">
        <v>605</v>
      </c>
      <c r="J471" s="42" t="s">
        <v>420</v>
      </c>
      <c r="K471" s="42" t="s">
        <v>631</v>
      </c>
    </row>
    <row r="472" spans="1:11" ht="63.75" x14ac:dyDescent="0.2">
      <c r="A472" s="23" t="s">
        <v>458</v>
      </c>
      <c r="B472" s="23" t="s">
        <v>458</v>
      </c>
      <c r="C472" s="23"/>
      <c r="D472" s="45">
        <f t="shared" si="136"/>
        <v>716</v>
      </c>
      <c r="E472" s="46">
        <f t="shared" si="135"/>
        <v>716</v>
      </c>
      <c r="F472" s="27">
        <f t="shared" si="123"/>
        <v>715</v>
      </c>
      <c r="G472" s="27">
        <f t="shared" si="124"/>
        <v>715</v>
      </c>
      <c r="H472" s="24">
        <v>1</v>
      </c>
      <c r="I472" s="52" t="s">
        <v>604</v>
      </c>
      <c r="J472" s="37" t="s">
        <v>420</v>
      </c>
      <c r="K472" s="42" t="s">
        <v>632</v>
      </c>
    </row>
    <row r="473" spans="1:11" ht="63.75" x14ac:dyDescent="0.2">
      <c r="A473" s="43" t="s">
        <v>458</v>
      </c>
      <c r="B473" s="43" t="s">
        <v>458</v>
      </c>
      <c r="C473" s="43"/>
      <c r="D473" s="45">
        <f t="shared" si="136"/>
        <v>717</v>
      </c>
      <c r="E473" s="46">
        <f t="shared" si="135"/>
        <v>717</v>
      </c>
      <c r="F473" s="27">
        <f t="shared" si="123"/>
        <v>716</v>
      </c>
      <c r="G473" s="27">
        <f t="shared" si="124"/>
        <v>716</v>
      </c>
      <c r="H473" s="45">
        <v>1</v>
      </c>
      <c r="I473" s="52" t="s">
        <v>607</v>
      </c>
      <c r="J473" s="42" t="s">
        <v>421</v>
      </c>
      <c r="K473" s="42" t="s">
        <v>631</v>
      </c>
    </row>
    <row r="474" spans="1:11" ht="51" x14ac:dyDescent="0.2">
      <c r="A474" s="23" t="s">
        <v>458</v>
      </c>
      <c r="B474" s="23" t="s">
        <v>458</v>
      </c>
      <c r="C474" s="23"/>
      <c r="D474" s="45">
        <f t="shared" si="136"/>
        <v>718</v>
      </c>
      <c r="E474" s="46">
        <f t="shared" si="135"/>
        <v>718</v>
      </c>
      <c r="F474" s="27">
        <f t="shared" si="123"/>
        <v>717</v>
      </c>
      <c r="G474" s="27">
        <f t="shared" si="124"/>
        <v>717</v>
      </c>
      <c r="H474" s="24">
        <v>1</v>
      </c>
      <c r="I474" s="52" t="s">
        <v>606</v>
      </c>
      <c r="J474" s="37" t="s">
        <v>421</v>
      </c>
      <c r="K474" s="42" t="s">
        <v>632</v>
      </c>
    </row>
    <row r="475" spans="1:11" ht="30" customHeight="1" x14ac:dyDescent="0.2">
      <c r="A475" s="23" t="s">
        <v>458</v>
      </c>
      <c r="B475" s="23" t="s">
        <v>458</v>
      </c>
      <c r="C475" s="23"/>
      <c r="D475" s="45">
        <f t="shared" ref="D475:D478" si="137">D474+H474</f>
        <v>719</v>
      </c>
      <c r="E475" s="46">
        <f t="shared" si="135"/>
        <v>719</v>
      </c>
      <c r="F475" s="27">
        <f t="shared" si="123"/>
        <v>718</v>
      </c>
      <c r="G475" s="27">
        <f t="shared" si="124"/>
        <v>718</v>
      </c>
      <c r="H475" s="24">
        <v>1</v>
      </c>
      <c r="I475" s="49" t="s">
        <v>223</v>
      </c>
      <c r="J475" s="135" t="s">
        <v>422</v>
      </c>
      <c r="K475" s="134" t="s">
        <v>627</v>
      </c>
    </row>
    <row r="476" spans="1:11" ht="30.75" customHeight="1" x14ac:dyDescent="0.2">
      <c r="A476" s="23" t="s">
        <v>458</v>
      </c>
      <c r="B476" s="23" t="s">
        <v>458</v>
      </c>
      <c r="C476" s="23"/>
      <c r="D476" s="45">
        <f t="shared" si="137"/>
        <v>720</v>
      </c>
      <c r="E476" s="46">
        <f t="shared" si="135"/>
        <v>720</v>
      </c>
      <c r="F476" s="27">
        <f t="shared" si="123"/>
        <v>719</v>
      </c>
      <c r="G476" s="27">
        <f t="shared" si="124"/>
        <v>719</v>
      </c>
      <c r="H476" s="24">
        <v>1</v>
      </c>
      <c r="I476" s="49" t="s">
        <v>224</v>
      </c>
      <c r="J476" s="135"/>
      <c r="K476" s="134"/>
    </row>
    <row r="477" spans="1:11" ht="31.5" customHeight="1" x14ac:dyDescent="0.2">
      <c r="A477" s="23" t="s">
        <v>458</v>
      </c>
      <c r="B477" s="23" t="s">
        <v>458</v>
      </c>
      <c r="C477" s="23"/>
      <c r="D477" s="45">
        <f t="shared" si="137"/>
        <v>721</v>
      </c>
      <c r="E477" s="46">
        <f t="shared" si="135"/>
        <v>721</v>
      </c>
      <c r="F477" s="27">
        <f t="shared" si="123"/>
        <v>720</v>
      </c>
      <c r="G477" s="27">
        <f t="shared" si="124"/>
        <v>720</v>
      </c>
      <c r="H477" s="24">
        <v>1</v>
      </c>
      <c r="I477" s="49" t="s">
        <v>225</v>
      </c>
      <c r="J477" s="135"/>
      <c r="K477" s="134"/>
    </row>
    <row r="478" spans="1:11" ht="33" customHeight="1" x14ac:dyDescent="0.2">
      <c r="A478" s="23" t="s">
        <v>458</v>
      </c>
      <c r="B478" s="23" t="s">
        <v>458</v>
      </c>
      <c r="C478" s="23"/>
      <c r="D478" s="45">
        <f t="shared" si="137"/>
        <v>722</v>
      </c>
      <c r="E478" s="46">
        <f t="shared" si="135"/>
        <v>722</v>
      </c>
      <c r="F478" s="27">
        <f t="shared" si="123"/>
        <v>721</v>
      </c>
      <c r="G478" s="27">
        <f t="shared" si="124"/>
        <v>721</v>
      </c>
      <c r="H478" s="24">
        <v>1</v>
      </c>
      <c r="I478" s="49" t="s">
        <v>226</v>
      </c>
      <c r="J478" s="135"/>
      <c r="K478" s="134"/>
    </row>
    <row r="479" spans="1:11" x14ac:dyDescent="0.2">
      <c r="A479" s="23"/>
      <c r="B479" s="23"/>
      <c r="C479" s="23"/>
      <c r="D479" s="45">
        <f>D478+H478</f>
        <v>723</v>
      </c>
      <c r="E479" s="27">
        <f t="shared" si="135"/>
        <v>733</v>
      </c>
      <c r="F479" s="27">
        <f t="shared" si="123"/>
        <v>722</v>
      </c>
      <c r="G479" s="27">
        <f t="shared" si="124"/>
        <v>732</v>
      </c>
      <c r="H479" s="45">
        <v>11</v>
      </c>
      <c r="I479" s="49" t="s">
        <v>100</v>
      </c>
      <c r="J479" s="25"/>
      <c r="K479" s="26"/>
    </row>
    <row r="480" spans="1:11" x14ac:dyDescent="0.2">
      <c r="A480" s="23"/>
      <c r="B480" s="23"/>
      <c r="C480" s="23"/>
      <c r="D480" s="24"/>
      <c r="E480" s="24"/>
      <c r="F480" s="27">
        <f t="shared" si="123"/>
        <v>-1</v>
      </c>
      <c r="G480" s="27">
        <f t="shared" si="124"/>
        <v>-1</v>
      </c>
      <c r="H480" s="24"/>
      <c r="I480" s="50" t="s">
        <v>69</v>
      </c>
      <c r="J480" s="25"/>
      <c r="K480" s="26"/>
    </row>
    <row r="481" spans="1:11" ht="63.75" x14ac:dyDescent="0.2">
      <c r="A481" s="23" t="s">
        <v>457</v>
      </c>
      <c r="B481" s="23" t="s">
        <v>457</v>
      </c>
      <c r="C481" s="23" t="s">
        <v>470</v>
      </c>
      <c r="D481" s="24">
        <f>D479+H479</f>
        <v>734</v>
      </c>
      <c r="E481" s="27">
        <f t="shared" ref="E481:E483" si="138">D481+H481-1</f>
        <v>738</v>
      </c>
      <c r="F481" s="27">
        <f t="shared" si="123"/>
        <v>733</v>
      </c>
      <c r="G481" s="27">
        <f t="shared" si="124"/>
        <v>737</v>
      </c>
      <c r="H481" s="24">
        <v>5</v>
      </c>
      <c r="I481" s="74" t="s">
        <v>70</v>
      </c>
      <c r="J481" s="37" t="s">
        <v>346</v>
      </c>
      <c r="K481" s="37" t="s">
        <v>349</v>
      </c>
    </row>
    <row r="482" spans="1:11" ht="63.75" x14ac:dyDescent="0.2">
      <c r="A482" s="23" t="s">
        <v>457</v>
      </c>
      <c r="B482" s="23" t="s">
        <v>457</v>
      </c>
      <c r="C482" s="23" t="s">
        <v>471</v>
      </c>
      <c r="D482" s="24">
        <f t="shared" ref="D482" si="139">D481+H481</f>
        <v>739</v>
      </c>
      <c r="E482" s="27">
        <f t="shared" si="138"/>
        <v>741</v>
      </c>
      <c r="F482" s="27">
        <f t="shared" si="123"/>
        <v>738</v>
      </c>
      <c r="G482" s="27">
        <f t="shared" si="124"/>
        <v>740</v>
      </c>
      <c r="H482" s="24">
        <v>3</v>
      </c>
      <c r="I482" s="74" t="s">
        <v>71</v>
      </c>
      <c r="J482" s="26" t="s">
        <v>347</v>
      </c>
      <c r="K482" s="37" t="s">
        <v>350</v>
      </c>
    </row>
    <row r="483" spans="1:11" ht="114.75" x14ac:dyDescent="0.2">
      <c r="A483" s="23" t="s">
        <v>457</v>
      </c>
      <c r="B483" s="23" t="s">
        <v>457</v>
      </c>
      <c r="C483" s="23" t="s">
        <v>472</v>
      </c>
      <c r="D483" s="24">
        <f t="shared" ref="D483" si="140">D482+H482</f>
        <v>742</v>
      </c>
      <c r="E483" s="27">
        <f t="shared" si="138"/>
        <v>744</v>
      </c>
      <c r="F483" s="27">
        <f t="shared" si="123"/>
        <v>741</v>
      </c>
      <c r="G483" s="27">
        <f t="shared" si="124"/>
        <v>743</v>
      </c>
      <c r="H483" s="24">
        <v>3</v>
      </c>
      <c r="I483" s="74" t="s">
        <v>72</v>
      </c>
      <c r="J483" s="37" t="s">
        <v>348</v>
      </c>
      <c r="K483" s="39" t="s">
        <v>526</v>
      </c>
    </row>
    <row r="484" spans="1:11" x14ac:dyDescent="0.2">
      <c r="A484" s="23"/>
      <c r="B484" s="23"/>
      <c r="C484" s="23"/>
      <c r="D484" s="24"/>
      <c r="E484" s="24"/>
      <c r="F484" s="27">
        <f t="shared" si="123"/>
        <v>-1</v>
      </c>
      <c r="G484" s="27">
        <f t="shared" si="124"/>
        <v>-1</v>
      </c>
      <c r="H484" s="24"/>
      <c r="I484" s="50" t="s">
        <v>74</v>
      </c>
      <c r="J484" s="25"/>
      <c r="K484" s="26"/>
    </row>
    <row r="485" spans="1:11" ht="51" x14ac:dyDescent="0.2">
      <c r="A485" s="23" t="s">
        <v>457</v>
      </c>
      <c r="B485" s="23" t="s">
        <v>457</v>
      </c>
      <c r="C485" s="23" t="s">
        <v>470</v>
      </c>
      <c r="D485" s="24">
        <f>D483+H483</f>
        <v>745</v>
      </c>
      <c r="E485" s="27">
        <f t="shared" ref="E485:E500" si="141">D485+H485-1</f>
        <v>748</v>
      </c>
      <c r="F485" s="27">
        <f t="shared" si="123"/>
        <v>744</v>
      </c>
      <c r="G485" s="27">
        <f t="shared" si="124"/>
        <v>747</v>
      </c>
      <c r="H485" s="24">
        <v>4</v>
      </c>
      <c r="I485" s="74" t="s">
        <v>116</v>
      </c>
      <c r="J485" s="26" t="s">
        <v>351</v>
      </c>
      <c r="K485" s="26" t="s">
        <v>352</v>
      </c>
    </row>
    <row r="486" spans="1:11" ht="51" x14ac:dyDescent="0.2">
      <c r="A486" s="34" t="s">
        <v>457</v>
      </c>
      <c r="B486" s="34" t="s">
        <v>457</v>
      </c>
      <c r="C486" s="34" t="s">
        <v>470</v>
      </c>
      <c r="D486" s="54">
        <f t="shared" ref="D486" si="142">D485+H485</f>
        <v>749</v>
      </c>
      <c r="E486" s="27">
        <f t="shared" si="141"/>
        <v>749</v>
      </c>
      <c r="F486" s="27">
        <f t="shared" si="123"/>
        <v>748</v>
      </c>
      <c r="G486" s="27">
        <f t="shared" si="124"/>
        <v>748</v>
      </c>
      <c r="H486" s="54">
        <v>1</v>
      </c>
      <c r="I486" s="74" t="s">
        <v>534</v>
      </c>
      <c r="J486" s="75" t="s">
        <v>527</v>
      </c>
      <c r="K486" s="31" t="s">
        <v>535</v>
      </c>
    </row>
    <row r="487" spans="1:11" ht="51" x14ac:dyDescent="0.2">
      <c r="A487" s="34" t="s">
        <v>457</v>
      </c>
      <c r="B487" s="34" t="s">
        <v>457</v>
      </c>
      <c r="C487" s="34" t="s">
        <v>470</v>
      </c>
      <c r="D487" s="54">
        <f t="shared" ref="D487" si="143">D486+H486</f>
        <v>750</v>
      </c>
      <c r="E487" s="27">
        <f t="shared" ref="E487" si="144">D487+H487-1</f>
        <v>752</v>
      </c>
      <c r="F487" s="27">
        <f t="shared" si="123"/>
        <v>749</v>
      </c>
      <c r="G487" s="27">
        <f t="shared" si="124"/>
        <v>751</v>
      </c>
      <c r="H487" s="54">
        <v>3</v>
      </c>
      <c r="I487" s="74" t="s">
        <v>491</v>
      </c>
      <c r="J487" s="75" t="s">
        <v>492</v>
      </c>
      <c r="K487" s="31" t="s">
        <v>493</v>
      </c>
    </row>
    <row r="488" spans="1:11" ht="51" x14ac:dyDescent="0.2">
      <c r="A488" s="34" t="s">
        <v>457</v>
      </c>
      <c r="B488" s="34" t="s">
        <v>457</v>
      </c>
      <c r="C488" s="34" t="s">
        <v>470</v>
      </c>
      <c r="D488" s="54">
        <f>D487+H487</f>
        <v>753</v>
      </c>
      <c r="E488" s="27">
        <f t="shared" si="141"/>
        <v>756</v>
      </c>
      <c r="F488" s="27">
        <f t="shared" si="123"/>
        <v>752</v>
      </c>
      <c r="G488" s="27">
        <f t="shared" si="124"/>
        <v>755</v>
      </c>
      <c r="H488" s="54">
        <v>4</v>
      </c>
      <c r="I488" s="74" t="s">
        <v>117</v>
      </c>
      <c r="J488" s="31" t="s">
        <v>351</v>
      </c>
      <c r="K488" s="31" t="s">
        <v>353</v>
      </c>
    </row>
    <row r="489" spans="1:11" ht="51" x14ac:dyDescent="0.2">
      <c r="A489" s="34" t="s">
        <v>457</v>
      </c>
      <c r="B489" s="34" t="s">
        <v>457</v>
      </c>
      <c r="C489" s="34" t="s">
        <v>470</v>
      </c>
      <c r="D489" s="54">
        <f t="shared" ref="D489:D498" si="145">D488+H488</f>
        <v>757</v>
      </c>
      <c r="E489" s="27">
        <f t="shared" si="141"/>
        <v>757</v>
      </c>
      <c r="F489" s="27">
        <f t="shared" si="123"/>
        <v>756</v>
      </c>
      <c r="G489" s="27">
        <f t="shared" si="124"/>
        <v>756</v>
      </c>
      <c r="H489" s="54">
        <v>1</v>
      </c>
      <c r="I489" s="74" t="s">
        <v>536</v>
      </c>
      <c r="J489" s="75" t="s">
        <v>527</v>
      </c>
      <c r="K489" s="31" t="s">
        <v>537</v>
      </c>
    </row>
    <row r="490" spans="1:11" ht="63.75" x14ac:dyDescent="0.2">
      <c r="A490" s="34" t="s">
        <v>457</v>
      </c>
      <c r="B490" s="34" t="s">
        <v>457</v>
      </c>
      <c r="C490" s="34" t="s">
        <v>470</v>
      </c>
      <c r="D490" s="54">
        <f>D489+H489</f>
        <v>758</v>
      </c>
      <c r="E490" s="27">
        <f t="shared" ref="E490" si="146">D490+H490-1</f>
        <v>760</v>
      </c>
      <c r="F490" s="27">
        <f t="shared" si="123"/>
        <v>757</v>
      </c>
      <c r="G490" s="27">
        <f t="shared" si="124"/>
        <v>759</v>
      </c>
      <c r="H490" s="54">
        <v>3</v>
      </c>
      <c r="I490" s="74" t="s">
        <v>494</v>
      </c>
      <c r="J490" s="75" t="s">
        <v>492</v>
      </c>
      <c r="K490" s="31" t="s">
        <v>495</v>
      </c>
    </row>
    <row r="491" spans="1:11" ht="51" x14ac:dyDescent="0.2">
      <c r="A491" s="34" t="s">
        <v>457</v>
      </c>
      <c r="B491" s="34" t="s">
        <v>457</v>
      </c>
      <c r="C491" s="34" t="s">
        <v>470</v>
      </c>
      <c r="D491" s="54">
        <f>D490+H490</f>
        <v>761</v>
      </c>
      <c r="E491" s="27">
        <f t="shared" si="141"/>
        <v>764</v>
      </c>
      <c r="F491" s="27">
        <f t="shared" si="123"/>
        <v>760</v>
      </c>
      <c r="G491" s="27">
        <f t="shared" si="124"/>
        <v>763</v>
      </c>
      <c r="H491" s="54">
        <v>4</v>
      </c>
      <c r="I491" s="74" t="s">
        <v>118</v>
      </c>
      <c r="J491" s="31" t="s">
        <v>351</v>
      </c>
      <c r="K491" s="31" t="s">
        <v>354</v>
      </c>
    </row>
    <row r="492" spans="1:11" ht="51" x14ac:dyDescent="0.2">
      <c r="A492" s="34" t="s">
        <v>457</v>
      </c>
      <c r="B492" s="34" t="s">
        <v>457</v>
      </c>
      <c r="C492" s="34" t="s">
        <v>470</v>
      </c>
      <c r="D492" s="54">
        <f t="shared" si="145"/>
        <v>765</v>
      </c>
      <c r="E492" s="27">
        <f t="shared" si="141"/>
        <v>765</v>
      </c>
      <c r="F492" s="27">
        <f t="shared" ref="F492:F555" si="147">D492-1</f>
        <v>764</v>
      </c>
      <c r="G492" s="27">
        <f t="shared" ref="G492:G555" si="148">E492-1</f>
        <v>764</v>
      </c>
      <c r="H492" s="54">
        <v>1</v>
      </c>
      <c r="I492" s="74" t="s">
        <v>538</v>
      </c>
      <c r="J492" s="75" t="s">
        <v>527</v>
      </c>
      <c r="K492" s="31" t="s">
        <v>539</v>
      </c>
    </row>
    <row r="493" spans="1:11" ht="51" x14ac:dyDescent="0.2">
      <c r="A493" s="34" t="s">
        <v>457</v>
      </c>
      <c r="B493" s="34" t="s">
        <v>457</v>
      </c>
      <c r="C493" s="34" t="s">
        <v>470</v>
      </c>
      <c r="D493" s="54">
        <f>D492+H492</f>
        <v>766</v>
      </c>
      <c r="E493" s="27">
        <f t="shared" si="141"/>
        <v>768</v>
      </c>
      <c r="F493" s="27">
        <f t="shared" si="147"/>
        <v>765</v>
      </c>
      <c r="G493" s="27">
        <f t="shared" si="148"/>
        <v>767</v>
      </c>
      <c r="H493" s="54">
        <v>3</v>
      </c>
      <c r="I493" s="74" t="s">
        <v>496</v>
      </c>
      <c r="J493" s="75" t="s">
        <v>492</v>
      </c>
      <c r="K493" s="31" t="s">
        <v>497</v>
      </c>
    </row>
    <row r="494" spans="1:11" ht="51" x14ac:dyDescent="0.2">
      <c r="A494" s="34" t="s">
        <v>457</v>
      </c>
      <c r="B494" s="34" t="s">
        <v>457</v>
      </c>
      <c r="C494" s="34" t="s">
        <v>470</v>
      </c>
      <c r="D494" s="54">
        <f>D493+H493</f>
        <v>769</v>
      </c>
      <c r="E494" s="27">
        <f t="shared" si="141"/>
        <v>772</v>
      </c>
      <c r="F494" s="27">
        <f t="shared" si="147"/>
        <v>768</v>
      </c>
      <c r="G494" s="27">
        <f t="shared" si="148"/>
        <v>771</v>
      </c>
      <c r="H494" s="54">
        <v>4</v>
      </c>
      <c r="I494" s="74" t="s">
        <v>79</v>
      </c>
      <c r="J494" s="31" t="s">
        <v>351</v>
      </c>
      <c r="K494" s="31" t="s">
        <v>355</v>
      </c>
    </row>
    <row r="495" spans="1:11" ht="51" x14ac:dyDescent="0.2">
      <c r="A495" s="34" t="s">
        <v>457</v>
      </c>
      <c r="B495" s="34" t="s">
        <v>457</v>
      </c>
      <c r="C495" s="34" t="s">
        <v>470</v>
      </c>
      <c r="D495" s="54">
        <f t="shared" si="145"/>
        <v>773</v>
      </c>
      <c r="E495" s="27">
        <f t="shared" si="141"/>
        <v>773</v>
      </c>
      <c r="F495" s="27">
        <f t="shared" si="147"/>
        <v>772</v>
      </c>
      <c r="G495" s="27">
        <f t="shared" si="148"/>
        <v>772</v>
      </c>
      <c r="H495" s="54">
        <v>1</v>
      </c>
      <c r="I495" s="74" t="s">
        <v>540</v>
      </c>
      <c r="J495" s="75" t="s">
        <v>527</v>
      </c>
      <c r="K495" s="31" t="s">
        <v>541</v>
      </c>
    </row>
    <row r="496" spans="1:11" ht="51" x14ac:dyDescent="0.2">
      <c r="A496" s="34" t="s">
        <v>457</v>
      </c>
      <c r="B496" s="34" t="s">
        <v>457</v>
      </c>
      <c r="C496" s="34" t="s">
        <v>470</v>
      </c>
      <c r="D496" s="54">
        <f>D495+H495</f>
        <v>774</v>
      </c>
      <c r="E496" s="27">
        <f t="shared" ref="E496" si="149">D496+H496-1</f>
        <v>776</v>
      </c>
      <c r="F496" s="27">
        <f t="shared" si="147"/>
        <v>773</v>
      </c>
      <c r="G496" s="27">
        <f t="shared" si="148"/>
        <v>775</v>
      </c>
      <c r="H496" s="54">
        <v>3</v>
      </c>
      <c r="I496" s="74" t="s">
        <v>500</v>
      </c>
      <c r="J496" s="75" t="s">
        <v>492</v>
      </c>
      <c r="K496" s="31" t="s">
        <v>501</v>
      </c>
    </row>
    <row r="497" spans="1:11" ht="63.75" x14ac:dyDescent="0.2">
      <c r="A497" s="34" t="s">
        <v>457</v>
      </c>
      <c r="B497" s="34" t="s">
        <v>457</v>
      </c>
      <c r="C497" s="34" t="s">
        <v>470</v>
      </c>
      <c r="D497" s="54">
        <f>D496+H496</f>
        <v>777</v>
      </c>
      <c r="E497" s="27">
        <f t="shared" si="141"/>
        <v>780</v>
      </c>
      <c r="F497" s="27">
        <f t="shared" si="147"/>
        <v>776</v>
      </c>
      <c r="G497" s="27">
        <f t="shared" si="148"/>
        <v>779</v>
      </c>
      <c r="H497" s="54">
        <v>4</v>
      </c>
      <c r="I497" s="74" t="s">
        <v>80</v>
      </c>
      <c r="J497" s="31" t="s">
        <v>351</v>
      </c>
      <c r="K497" s="31" t="s">
        <v>356</v>
      </c>
    </row>
    <row r="498" spans="1:11" ht="51" x14ac:dyDescent="0.2">
      <c r="A498" s="34" t="s">
        <v>457</v>
      </c>
      <c r="B498" s="34" t="s">
        <v>457</v>
      </c>
      <c r="C498" s="34" t="s">
        <v>470</v>
      </c>
      <c r="D498" s="54">
        <f t="shared" si="145"/>
        <v>781</v>
      </c>
      <c r="E498" s="27">
        <f t="shared" si="141"/>
        <v>781</v>
      </c>
      <c r="F498" s="27">
        <f t="shared" si="147"/>
        <v>780</v>
      </c>
      <c r="G498" s="27">
        <f t="shared" si="148"/>
        <v>780</v>
      </c>
      <c r="H498" s="54">
        <v>1</v>
      </c>
      <c r="I498" s="74" t="s">
        <v>542</v>
      </c>
      <c r="J498" s="75" t="s">
        <v>527</v>
      </c>
      <c r="K498" s="31" t="s">
        <v>543</v>
      </c>
    </row>
    <row r="499" spans="1:11" ht="63.75" x14ac:dyDescent="0.2">
      <c r="A499" s="34" t="s">
        <v>457</v>
      </c>
      <c r="B499" s="34" t="s">
        <v>457</v>
      </c>
      <c r="C499" s="34" t="s">
        <v>470</v>
      </c>
      <c r="D499" s="54">
        <f>D498+H498</f>
        <v>782</v>
      </c>
      <c r="E499" s="27">
        <f t="shared" si="141"/>
        <v>784</v>
      </c>
      <c r="F499" s="27">
        <f t="shared" si="147"/>
        <v>781</v>
      </c>
      <c r="G499" s="27">
        <f t="shared" si="148"/>
        <v>783</v>
      </c>
      <c r="H499" s="54">
        <v>3</v>
      </c>
      <c r="I499" s="74" t="s">
        <v>498</v>
      </c>
      <c r="J499" s="75" t="s">
        <v>492</v>
      </c>
      <c r="K499" s="31" t="s">
        <v>499</v>
      </c>
    </row>
    <row r="500" spans="1:11" x14ac:dyDescent="0.2">
      <c r="A500" s="23"/>
      <c r="B500" s="23"/>
      <c r="C500" s="23"/>
      <c r="D500" s="24">
        <f>D499+H499</f>
        <v>785</v>
      </c>
      <c r="E500" s="27">
        <f t="shared" si="141"/>
        <v>804</v>
      </c>
      <c r="F500" s="27">
        <f t="shared" si="147"/>
        <v>784</v>
      </c>
      <c r="G500" s="27">
        <f t="shared" si="148"/>
        <v>803</v>
      </c>
      <c r="H500" s="24">
        <v>20</v>
      </c>
      <c r="I500" s="74" t="s">
        <v>100</v>
      </c>
      <c r="J500" s="25"/>
      <c r="K500" s="26"/>
    </row>
    <row r="501" spans="1:11" x14ac:dyDescent="0.2">
      <c r="A501" s="23"/>
      <c r="B501" s="23"/>
      <c r="C501" s="23"/>
      <c r="D501" s="24"/>
      <c r="E501" s="24"/>
      <c r="F501" s="27">
        <f t="shared" si="147"/>
        <v>-1</v>
      </c>
      <c r="G501" s="27">
        <f t="shared" si="148"/>
        <v>-1</v>
      </c>
      <c r="H501" s="24"/>
      <c r="I501" s="50" t="s">
        <v>75</v>
      </c>
      <c r="J501" s="25"/>
      <c r="K501" s="26"/>
    </row>
    <row r="502" spans="1:11" ht="51" x14ac:dyDescent="0.2">
      <c r="A502" s="23" t="s">
        <v>457</v>
      </c>
      <c r="B502" s="23" t="s">
        <v>457</v>
      </c>
      <c r="C502" s="23" t="s">
        <v>470</v>
      </c>
      <c r="D502" s="24">
        <f>D500+H500</f>
        <v>805</v>
      </c>
      <c r="E502" s="27">
        <f t="shared" ref="E502:E508" si="150">D502+H502-1</f>
        <v>808</v>
      </c>
      <c r="F502" s="27">
        <f t="shared" si="147"/>
        <v>804</v>
      </c>
      <c r="G502" s="27">
        <f t="shared" si="148"/>
        <v>807</v>
      </c>
      <c r="H502" s="24">
        <v>4</v>
      </c>
      <c r="I502" s="74" t="s">
        <v>81</v>
      </c>
      <c r="J502" s="73" t="s">
        <v>351</v>
      </c>
      <c r="K502" s="73" t="s">
        <v>357</v>
      </c>
    </row>
    <row r="503" spans="1:11" ht="51" x14ac:dyDescent="0.2">
      <c r="A503" s="34" t="s">
        <v>457</v>
      </c>
      <c r="B503" s="34" t="s">
        <v>457</v>
      </c>
      <c r="C503" s="34" t="s">
        <v>470</v>
      </c>
      <c r="D503" s="54">
        <f t="shared" ref="D503" si="151">D502+H502</f>
        <v>809</v>
      </c>
      <c r="E503" s="27">
        <f t="shared" si="150"/>
        <v>809</v>
      </c>
      <c r="F503" s="27">
        <f t="shared" si="147"/>
        <v>808</v>
      </c>
      <c r="G503" s="27">
        <f t="shared" si="148"/>
        <v>808</v>
      </c>
      <c r="H503" s="54">
        <v>1</v>
      </c>
      <c r="I503" s="74" t="s">
        <v>544</v>
      </c>
      <c r="J503" s="75" t="s">
        <v>527</v>
      </c>
      <c r="K503" s="31" t="s">
        <v>545</v>
      </c>
    </row>
    <row r="504" spans="1:11" ht="51" x14ac:dyDescent="0.2">
      <c r="A504" s="34" t="s">
        <v>457</v>
      </c>
      <c r="B504" s="34" t="s">
        <v>457</v>
      </c>
      <c r="C504" s="34" t="s">
        <v>470</v>
      </c>
      <c r="D504" s="54">
        <f>D503+H503</f>
        <v>810</v>
      </c>
      <c r="E504" s="27">
        <f t="shared" si="150"/>
        <v>812</v>
      </c>
      <c r="F504" s="27">
        <f t="shared" si="147"/>
        <v>809</v>
      </c>
      <c r="G504" s="27">
        <f t="shared" si="148"/>
        <v>811</v>
      </c>
      <c r="H504" s="54">
        <v>3</v>
      </c>
      <c r="I504" s="74" t="s">
        <v>502</v>
      </c>
      <c r="J504" s="75" t="s">
        <v>492</v>
      </c>
      <c r="K504" s="31" t="s">
        <v>512</v>
      </c>
    </row>
    <row r="505" spans="1:11" ht="51" x14ac:dyDescent="0.2">
      <c r="A505" s="34" t="s">
        <v>457</v>
      </c>
      <c r="B505" s="34" t="s">
        <v>457</v>
      </c>
      <c r="C505" s="34" t="s">
        <v>470</v>
      </c>
      <c r="D505" s="54">
        <f>D504+H504</f>
        <v>813</v>
      </c>
      <c r="E505" s="27">
        <f t="shared" si="150"/>
        <v>816</v>
      </c>
      <c r="F505" s="27">
        <f t="shared" si="147"/>
        <v>812</v>
      </c>
      <c r="G505" s="27">
        <f t="shared" si="148"/>
        <v>815</v>
      </c>
      <c r="H505" s="54">
        <v>4</v>
      </c>
      <c r="I505" s="74" t="s">
        <v>82</v>
      </c>
      <c r="J505" s="31" t="s">
        <v>351</v>
      </c>
      <c r="K505" s="31" t="s">
        <v>358</v>
      </c>
    </row>
    <row r="506" spans="1:11" ht="51" x14ac:dyDescent="0.2">
      <c r="A506" s="34" t="s">
        <v>457</v>
      </c>
      <c r="B506" s="34" t="s">
        <v>457</v>
      </c>
      <c r="C506" s="34" t="s">
        <v>470</v>
      </c>
      <c r="D506" s="54">
        <f t="shared" ref="D506" si="152">D505+H505</f>
        <v>817</v>
      </c>
      <c r="E506" s="27">
        <f t="shared" si="150"/>
        <v>817</v>
      </c>
      <c r="F506" s="27">
        <f t="shared" si="147"/>
        <v>816</v>
      </c>
      <c r="G506" s="27">
        <f t="shared" si="148"/>
        <v>816</v>
      </c>
      <c r="H506" s="54">
        <v>1</v>
      </c>
      <c r="I506" s="74" t="s">
        <v>546</v>
      </c>
      <c r="J506" s="75" t="s">
        <v>527</v>
      </c>
      <c r="K506" s="31" t="s">
        <v>547</v>
      </c>
    </row>
    <row r="507" spans="1:11" ht="51" x14ac:dyDescent="0.2">
      <c r="A507" s="34" t="s">
        <v>457</v>
      </c>
      <c r="B507" s="34" t="s">
        <v>457</v>
      </c>
      <c r="C507" s="34" t="s">
        <v>470</v>
      </c>
      <c r="D507" s="54">
        <f>D506+H506</f>
        <v>818</v>
      </c>
      <c r="E507" s="27">
        <f t="shared" ref="E507" si="153">D507+H507-1</f>
        <v>820</v>
      </c>
      <c r="F507" s="27">
        <f t="shared" si="147"/>
        <v>817</v>
      </c>
      <c r="G507" s="27">
        <f t="shared" si="148"/>
        <v>819</v>
      </c>
      <c r="H507" s="54">
        <v>3</v>
      </c>
      <c r="I507" s="74" t="s">
        <v>503</v>
      </c>
      <c r="J507" s="75" t="s">
        <v>492</v>
      </c>
      <c r="K507" s="31" t="s">
        <v>513</v>
      </c>
    </row>
    <row r="508" spans="1:11" x14ac:dyDescent="0.2">
      <c r="A508" s="23"/>
      <c r="B508" s="23"/>
      <c r="C508" s="23"/>
      <c r="D508" s="24">
        <f>D507+H507</f>
        <v>821</v>
      </c>
      <c r="E508" s="27">
        <f t="shared" si="150"/>
        <v>840</v>
      </c>
      <c r="F508" s="27">
        <f t="shared" si="147"/>
        <v>820</v>
      </c>
      <c r="G508" s="27">
        <f t="shared" si="148"/>
        <v>839</v>
      </c>
      <c r="H508" s="24">
        <v>20</v>
      </c>
      <c r="I508" s="74" t="s">
        <v>100</v>
      </c>
      <c r="J508" s="76"/>
      <c r="K508" s="73"/>
    </row>
    <row r="509" spans="1:11" x14ac:dyDescent="0.2">
      <c r="A509" s="23"/>
      <c r="B509" s="23"/>
      <c r="C509" s="23"/>
      <c r="D509" s="24"/>
      <c r="E509" s="24"/>
      <c r="F509" s="27">
        <f t="shared" si="147"/>
        <v>-1</v>
      </c>
      <c r="G509" s="27">
        <f t="shared" si="148"/>
        <v>-1</v>
      </c>
      <c r="H509" s="24"/>
      <c r="I509" s="50" t="s">
        <v>76</v>
      </c>
      <c r="J509" s="76"/>
      <c r="K509" s="73"/>
    </row>
    <row r="510" spans="1:11" ht="26.25" customHeight="1" x14ac:dyDescent="0.2">
      <c r="A510" s="23" t="s">
        <v>458</v>
      </c>
      <c r="B510" s="23" t="s">
        <v>458</v>
      </c>
      <c r="C510" s="23" t="s">
        <v>471</v>
      </c>
      <c r="D510" s="24">
        <f>D508+H508</f>
        <v>841</v>
      </c>
      <c r="E510" s="27">
        <f t="shared" ref="E510:E512" si="154">D510+H510-1</f>
        <v>843</v>
      </c>
      <c r="F510" s="27">
        <f t="shared" si="147"/>
        <v>840</v>
      </c>
      <c r="G510" s="27">
        <f t="shared" si="148"/>
        <v>842</v>
      </c>
      <c r="H510" s="24">
        <v>3</v>
      </c>
      <c r="I510" s="74" t="s">
        <v>77</v>
      </c>
      <c r="J510" s="136" t="s">
        <v>347</v>
      </c>
      <c r="K510" s="136" t="s">
        <v>376</v>
      </c>
    </row>
    <row r="511" spans="1:11" ht="25.5" customHeight="1" x14ac:dyDescent="0.2">
      <c r="A511" s="23" t="s">
        <v>458</v>
      </c>
      <c r="B511" s="23" t="s">
        <v>458</v>
      </c>
      <c r="C511" s="23" t="s">
        <v>471</v>
      </c>
      <c r="D511" s="24">
        <f t="shared" ref="D511" si="155">D510+H510</f>
        <v>844</v>
      </c>
      <c r="E511" s="27">
        <f t="shared" si="154"/>
        <v>846</v>
      </c>
      <c r="F511" s="27">
        <f t="shared" si="147"/>
        <v>843</v>
      </c>
      <c r="G511" s="27">
        <f t="shared" si="148"/>
        <v>845</v>
      </c>
      <c r="H511" s="24">
        <v>3</v>
      </c>
      <c r="I511" s="74" t="s">
        <v>78</v>
      </c>
      <c r="J511" s="137"/>
      <c r="K511" s="136"/>
    </row>
    <row r="512" spans="1:11" x14ac:dyDescent="0.2">
      <c r="A512" s="23"/>
      <c r="B512" s="23"/>
      <c r="C512" s="23"/>
      <c r="D512" s="24">
        <f t="shared" ref="D512" si="156">D511+H511</f>
        <v>847</v>
      </c>
      <c r="E512" s="27">
        <f t="shared" si="154"/>
        <v>856</v>
      </c>
      <c r="F512" s="27">
        <f t="shared" si="147"/>
        <v>846</v>
      </c>
      <c r="G512" s="27">
        <f t="shared" si="148"/>
        <v>855</v>
      </c>
      <c r="H512" s="24">
        <v>10</v>
      </c>
      <c r="I512" s="74" t="s">
        <v>100</v>
      </c>
      <c r="J512" s="76"/>
      <c r="K512" s="73"/>
    </row>
    <row r="513" spans="1:11" x14ac:dyDescent="0.2">
      <c r="A513" s="23"/>
      <c r="B513" s="23"/>
      <c r="C513" s="23"/>
      <c r="D513" s="24"/>
      <c r="E513" s="24"/>
      <c r="F513" s="27">
        <f t="shared" si="147"/>
        <v>-1</v>
      </c>
      <c r="G513" s="27">
        <f t="shared" si="148"/>
        <v>-1</v>
      </c>
      <c r="H513" s="24"/>
      <c r="I513" s="50" t="s">
        <v>83</v>
      </c>
      <c r="J513" s="76"/>
      <c r="K513" s="73"/>
    </row>
    <row r="514" spans="1:11" ht="63.75" x14ac:dyDescent="0.2">
      <c r="A514" s="23" t="s">
        <v>457</v>
      </c>
      <c r="B514" s="23" t="s">
        <v>457</v>
      </c>
      <c r="C514" s="23" t="s">
        <v>470</v>
      </c>
      <c r="D514" s="24">
        <f>D512+H512</f>
        <v>857</v>
      </c>
      <c r="E514" s="27">
        <f t="shared" ref="E514:E516" si="157">D514+H514-1</f>
        <v>861</v>
      </c>
      <c r="F514" s="27">
        <f t="shared" si="147"/>
        <v>856</v>
      </c>
      <c r="G514" s="27">
        <f t="shared" si="148"/>
        <v>860</v>
      </c>
      <c r="H514" s="24">
        <v>5</v>
      </c>
      <c r="I514" s="74" t="s">
        <v>84</v>
      </c>
      <c r="J514" s="37" t="s">
        <v>346</v>
      </c>
      <c r="K514" s="37" t="s">
        <v>359</v>
      </c>
    </row>
    <row r="515" spans="1:11" ht="63.75" x14ac:dyDescent="0.2">
      <c r="A515" s="23" t="s">
        <v>457</v>
      </c>
      <c r="B515" s="23" t="s">
        <v>457</v>
      </c>
      <c r="C515" s="23" t="s">
        <v>471</v>
      </c>
      <c r="D515" s="24">
        <f t="shared" ref="D515" si="158">D514+H514</f>
        <v>862</v>
      </c>
      <c r="E515" s="27">
        <f t="shared" si="157"/>
        <v>864</v>
      </c>
      <c r="F515" s="27">
        <f t="shared" si="147"/>
        <v>861</v>
      </c>
      <c r="G515" s="27">
        <f t="shared" si="148"/>
        <v>863</v>
      </c>
      <c r="H515" s="24">
        <v>3</v>
      </c>
      <c r="I515" s="74" t="s">
        <v>85</v>
      </c>
      <c r="J515" s="73" t="s">
        <v>347</v>
      </c>
      <c r="K515" s="37" t="s">
        <v>360</v>
      </c>
    </row>
    <row r="516" spans="1:11" ht="114.75" x14ac:dyDescent="0.2">
      <c r="A516" s="23" t="s">
        <v>457</v>
      </c>
      <c r="B516" s="23" t="s">
        <v>457</v>
      </c>
      <c r="C516" s="23" t="s">
        <v>472</v>
      </c>
      <c r="D516" s="24">
        <f t="shared" ref="D516" si="159">D515+H515</f>
        <v>865</v>
      </c>
      <c r="E516" s="27">
        <f t="shared" si="157"/>
        <v>867</v>
      </c>
      <c r="F516" s="27">
        <f t="shared" si="147"/>
        <v>864</v>
      </c>
      <c r="G516" s="27">
        <f t="shared" si="148"/>
        <v>866</v>
      </c>
      <c r="H516" s="24">
        <v>3</v>
      </c>
      <c r="I516" s="74" t="s">
        <v>86</v>
      </c>
      <c r="J516" s="37" t="s">
        <v>348</v>
      </c>
      <c r="K516" s="39" t="s">
        <v>528</v>
      </c>
    </row>
    <row r="517" spans="1:11" x14ac:dyDescent="0.2">
      <c r="A517" s="23"/>
      <c r="B517" s="23"/>
      <c r="C517" s="23"/>
      <c r="D517" s="24"/>
      <c r="E517" s="24"/>
      <c r="F517" s="27">
        <f t="shared" si="147"/>
        <v>-1</v>
      </c>
      <c r="G517" s="27">
        <f t="shared" si="148"/>
        <v>-1</v>
      </c>
      <c r="H517" s="24"/>
      <c r="I517" s="50" t="s">
        <v>74</v>
      </c>
      <c r="J517" s="76"/>
      <c r="K517" s="73"/>
    </row>
    <row r="518" spans="1:11" ht="51" x14ac:dyDescent="0.2">
      <c r="A518" s="23" t="s">
        <v>457</v>
      </c>
      <c r="B518" s="23" t="s">
        <v>457</v>
      </c>
      <c r="C518" s="23" t="s">
        <v>470</v>
      </c>
      <c r="D518" s="24">
        <f>D516+H516</f>
        <v>868</v>
      </c>
      <c r="E518" s="27">
        <f t="shared" ref="E518:E530" si="160">D518+H518-1</f>
        <v>871</v>
      </c>
      <c r="F518" s="27">
        <f t="shared" si="147"/>
        <v>867</v>
      </c>
      <c r="G518" s="27">
        <f t="shared" si="148"/>
        <v>870</v>
      </c>
      <c r="H518" s="24">
        <v>4</v>
      </c>
      <c r="I518" s="74" t="s">
        <v>87</v>
      </c>
      <c r="J518" s="73" t="s">
        <v>351</v>
      </c>
      <c r="K518" s="73" t="s">
        <v>361</v>
      </c>
    </row>
    <row r="519" spans="1:11" ht="51" x14ac:dyDescent="0.2">
      <c r="A519" s="34" t="s">
        <v>457</v>
      </c>
      <c r="B519" s="34" t="s">
        <v>457</v>
      </c>
      <c r="C519" s="34" t="s">
        <v>470</v>
      </c>
      <c r="D519" s="54">
        <f t="shared" ref="D519" si="161">D518+H518</f>
        <v>872</v>
      </c>
      <c r="E519" s="27">
        <f t="shared" si="160"/>
        <v>872</v>
      </c>
      <c r="F519" s="27">
        <f t="shared" si="147"/>
        <v>871</v>
      </c>
      <c r="G519" s="27">
        <f t="shared" si="148"/>
        <v>871</v>
      </c>
      <c r="H519" s="54">
        <v>1</v>
      </c>
      <c r="I519" s="74" t="s">
        <v>548</v>
      </c>
      <c r="J519" s="75" t="s">
        <v>527</v>
      </c>
      <c r="K519" s="31" t="s">
        <v>549</v>
      </c>
    </row>
    <row r="520" spans="1:11" ht="51" x14ac:dyDescent="0.2">
      <c r="A520" s="34" t="s">
        <v>457</v>
      </c>
      <c r="B520" s="34" t="s">
        <v>457</v>
      </c>
      <c r="C520" s="34" t="s">
        <v>470</v>
      </c>
      <c r="D520" s="54">
        <f>D519+H519</f>
        <v>873</v>
      </c>
      <c r="E520" s="27">
        <f t="shared" si="160"/>
        <v>875</v>
      </c>
      <c r="F520" s="27">
        <f t="shared" si="147"/>
        <v>872</v>
      </c>
      <c r="G520" s="27">
        <f t="shared" si="148"/>
        <v>874</v>
      </c>
      <c r="H520" s="54">
        <v>3</v>
      </c>
      <c r="I520" s="74" t="s">
        <v>504</v>
      </c>
      <c r="J520" s="75" t="s">
        <v>492</v>
      </c>
      <c r="K520" s="31" t="s">
        <v>505</v>
      </c>
    </row>
    <row r="521" spans="1:11" ht="51" x14ac:dyDescent="0.2">
      <c r="A521" s="34" t="s">
        <v>457</v>
      </c>
      <c r="B521" s="34" t="s">
        <v>457</v>
      </c>
      <c r="C521" s="34" t="s">
        <v>470</v>
      </c>
      <c r="D521" s="54">
        <f>D520+H520</f>
        <v>876</v>
      </c>
      <c r="E521" s="27">
        <f t="shared" si="160"/>
        <v>879</v>
      </c>
      <c r="F521" s="27">
        <f t="shared" si="147"/>
        <v>875</v>
      </c>
      <c r="G521" s="27">
        <f t="shared" si="148"/>
        <v>878</v>
      </c>
      <c r="H521" s="54">
        <v>4</v>
      </c>
      <c r="I521" s="74" t="s">
        <v>88</v>
      </c>
      <c r="J521" s="31" t="s">
        <v>351</v>
      </c>
      <c r="K521" s="31" t="s">
        <v>362</v>
      </c>
    </row>
    <row r="522" spans="1:11" ht="51" x14ac:dyDescent="0.2">
      <c r="A522" s="34" t="s">
        <v>457</v>
      </c>
      <c r="B522" s="34" t="s">
        <v>457</v>
      </c>
      <c r="C522" s="34" t="s">
        <v>470</v>
      </c>
      <c r="D522" s="54">
        <f t="shared" ref="D522:D528" si="162">D521+H521</f>
        <v>880</v>
      </c>
      <c r="E522" s="27">
        <f t="shared" si="160"/>
        <v>880</v>
      </c>
      <c r="F522" s="27">
        <f t="shared" si="147"/>
        <v>879</v>
      </c>
      <c r="G522" s="27">
        <f t="shared" si="148"/>
        <v>879</v>
      </c>
      <c r="H522" s="54">
        <v>1</v>
      </c>
      <c r="I522" s="74" t="s">
        <v>550</v>
      </c>
      <c r="J522" s="75" t="s">
        <v>527</v>
      </c>
      <c r="K522" s="31" t="s">
        <v>551</v>
      </c>
    </row>
    <row r="523" spans="1:11" ht="63.75" x14ac:dyDescent="0.2">
      <c r="A523" s="34" t="s">
        <v>457</v>
      </c>
      <c r="B523" s="34" t="s">
        <v>457</v>
      </c>
      <c r="C523" s="34" t="s">
        <v>470</v>
      </c>
      <c r="D523" s="54">
        <f>D522+H522</f>
        <v>881</v>
      </c>
      <c r="E523" s="27">
        <f t="shared" ref="E523" si="163">D523+H523-1</f>
        <v>883</v>
      </c>
      <c r="F523" s="27">
        <f t="shared" si="147"/>
        <v>880</v>
      </c>
      <c r="G523" s="27">
        <f t="shared" si="148"/>
        <v>882</v>
      </c>
      <c r="H523" s="54">
        <v>3</v>
      </c>
      <c r="I523" s="74" t="s">
        <v>506</v>
      </c>
      <c r="J523" s="75" t="s">
        <v>492</v>
      </c>
      <c r="K523" s="31" t="s">
        <v>507</v>
      </c>
    </row>
    <row r="524" spans="1:11" ht="51" x14ac:dyDescent="0.2">
      <c r="A524" s="23" t="s">
        <v>457</v>
      </c>
      <c r="B524" s="23" t="s">
        <v>457</v>
      </c>
      <c r="C524" s="23" t="s">
        <v>470</v>
      </c>
      <c r="D524" s="24">
        <f>D523+H523</f>
        <v>884</v>
      </c>
      <c r="E524" s="27">
        <f t="shared" si="160"/>
        <v>887</v>
      </c>
      <c r="F524" s="27">
        <f t="shared" si="147"/>
        <v>883</v>
      </c>
      <c r="G524" s="27">
        <f t="shared" si="148"/>
        <v>886</v>
      </c>
      <c r="H524" s="24">
        <v>4</v>
      </c>
      <c r="I524" s="74" t="s">
        <v>89</v>
      </c>
      <c r="J524" s="73" t="s">
        <v>351</v>
      </c>
      <c r="K524" s="73" t="s">
        <v>363</v>
      </c>
    </row>
    <row r="525" spans="1:11" ht="51" x14ac:dyDescent="0.2">
      <c r="A525" s="34" t="s">
        <v>457</v>
      </c>
      <c r="B525" s="34" t="s">
        <v>457</v>
      </c>
      <c r="C525" s="34" t="s">
        <v>470</v>
      </c>
      <c r="D525" s="54">
        <f t="shared" si="162"/>
        <v>888</v>
      </c>
      <c r="E525" s="27">
        <f t="shared" si="160"/>
        <v>888</v>
      </c>
      <c r="F525" s="27">
        <f t="shared" si="147"/>
        <v>887</v>
      </c>
      <c r="G525" s="27">
        <f t="shared" si="148"/>
        <v>887</v>
      </c>
      <c r="H525" s="54">
        <v>1</v>
      </c>
      <c r="I525" s="74" t="s">
        <v>552</v>
      </c>
      <c r="J525" s="75" t="s">
        <v>527</v>
      </c>
      <c r="K525" s="31" t="s">
        <v>553</v>
      </c>
    </row>
    <row r="526" spans="1:11" ht="63.75" x14ac:dyDescent="0.2">
      <c r="A526" s="34" t="s">
        <v>457</v>
      </c>
      <c r="B526" s="34" t="s">
        <v>457</v>
      </c>
      <c r="C526" s="34" t="s">
        <v>470</v>
      </c>
      <c r="D526" s="54">
        <f>D525+H525</f>
        <v>889</v>
      </c>
      <c r="E526" s="27">
        <f t="shared" ref="E526" si="164">D526+H526-1</f>
        <v>891</v>
      </c>
      <c r="F526" s="27">
        <f t="shared" si="147"/>
        <v>888</v>
      </c>
      <c r="G526" s="27">
        <f t="shared" si="148"/>
        <v>890</v>
      </c>
      <c r="H526" s="54">
        <v>3</v>
      </c>
      <c r="I526" s="74" t="s">
        <v>508</v>
      </c>
      <c r="J526" s="77" t="s">
        <v>492</v>
      </c>
      <c r="K526" s="48" t="s">
        <v>509</v>
      </c>
    </row>
    <row r="527" spans="1:11" ht="51" x14ac:dyDescent="0.2">
      <c r="A527" s="34" t="s">
        <v>457</v>
      </c>
      <c r="B527" s="34" t="s">
        <v>457</v>
      </c>
      <c r="C527" s="34" t="s">
        <v>470</v>
      </c>
      <c r="D527" s="54">
        <f>D526+H526</f>
        <v>892</v>
      </c>
      <c r="E527" s="27">
        <f t="shared" si="160"/>
        <v>895</v>
      </c>
      <c r="F527" s="27">
        <f t="shared" si="147"/>
        <v>891</v>
      </c>
      <c r="G527" s="27">
        <f t="shared" si="148"/>
        <v>894</v>
      </c>
      <c r="H527" s="54">
        <v>4</v>
      </c>
      <c r="I527" s="74" t="s">
        <v>90</v>
      </c>
      <c r="J527" s="48" t="s">
        <v>351</v>
      </c>
      <c r="K527" s="48" t="s">
        <v>364</v>
      </c>
    </row>
    <row r="528" spans="1:11" ht="51" x14ac:dyDescent="0.2">
      <c r="A528" s="34" t="s">
        <v>457</v>
      </c>
      <c r="B528" s="34" t="s">
        <v>457</v>
      </c>
      <c r="C528" s="34" t="s">
        <v>470</v>
      </c>
      <c r="D528" s="54">
        <f t="shared" si="162"/>
        <v>896</v>
      </c>
      <c r="E528" s="27">
        <f t="shared" si="160"/>
        <v>896</v>
      </c>
      <c r="F528" s="27">
        <f t="shared" si="147"/>
        <v>895</v>
      </c>
      <c r="G528" s="27">
        <f t="shared" si="148"/>
        <v>895</v>
      </c>
      <c r="H528" s="54">
        <v>1</v>
      </c>
      <c r="I528" s="74" t="s">
        <v>554</v>
      </c>
      <c r="J528" s="75" t="s">
        <v>527</v>
      </c>
      <c r="K528" s="31" t="s">
        <v>555</v>
      </c>
    </row>
    <row r="529" spans="1:11" ht="65.25" customHeight="1" x14ac:dyDescent="0.2">
      <c r="A529" s="34" t="s">
        <v>457</v>
      </c>
      <c r="B529" s="34" t="s">
        <v>457</v>
      </c>
      <c r="C529" s="34" t="s">
        <v>470</v>
      </c>
      <c r="D529" s="54">
        <f>D528+H528</f>
        <v>897</v>
      </c>
      <c r="E529" s="27">
        <f t="shared" ref="E529" si="165">D529+H529-1</f>
        <v>899</v>
      </c>
      <c r="F529" s="27">
        <f t="shared" si="147"/>
        <v>896</v>
      </c>
      <c r="G529" s="27">
        <f t="shared" si="148"/>
        <v>898</v>
      </c>
      <c r="H529" s="54">
        <v>3</v>
      </c>
      <c r="I529" s="74" t="s">
        <v>510</v>
      </c>
      <c r="J529" s="77" t="s">
        <v>492</v>
      </c>
      <c r="K529" s="48" t="s">
        <v>511</v>
      </c>
    </row>
    <row r="530" spans="1:11" x14ac:dyDescent="0.2">
      <c r="A530" s="23"/>
      <c r="B530" s="23"/>
      <c r="C530" s="23"/>
      <c r="D530" s="24">
        <f>D529+H529</f>
        <v>900</v>
      </c>
      <c r="E530" s="27">
        <f t="shared" si="160"/>
        <v>919</v>
      </c>
      <c r="F530" s="27">
        <f t="shared" si="147"/>
        <v>899</v>
      </c>
      <c r="G530" s="27">
        <f t="shared" si="148"/>
        <v>918</v>
      </c>
      <c r="H530" s="24">
        <v>20</v>
      </c>
      <c r="I530" s="74" t="s">
        <v>100</v>
      </c>
      <c r="J530" s="25"/>
      <c r="K530" s="26"/>
    </row>
    <row r="531" spans="1:11" x14ac:dyDescent="0.2">
      <c r="A531" s="23"/>
      <c r="B531" s="23"/>
      <c r="C531" s="23"/>
      <c r="D531" s="24"/>
      <c r="E531" s="24"/>
      <c r="F531" s="27">
        <f t="shared" si="147"/>
        <v>-1</v>
      </c>
      <c r="G531" s="27">
        <f t="shared" si="148"/>
        <v>-1</v>
      </c>
      <c r="H531" s="24"/>
      <c r="I531" s="50" t="s">
        <v>76</v>
      </c>
      <c r="J531" s="25"/>
      <c r="K531" s="26"/>
    </row>
    <row r="532" spans="1:11" ht="25.5" customHeight="1" x14ac:dyDescent="0.2">
      <c r="A532" s="23" t="s">
        <v>458</v>
      </c>
      <c r="B532" s="23" t="s">
        <v>458</v>
      </c>
      <c r="C532" s="23" t="s">
        <v>471</v>
      </c>
      <c r="D532" s="24">
        <f>D530+H530</f>
        <v>920</v>
      </c>
      <c r="E532" s="27">
        <f t="shared" ref="E532:E534" si="166">D532+H532-1</f>
        <v>922</v>
      </c>
      <c r="F532" s="27">
        <f t="shared" si="147"/>
        <v>919</v>
      </c>
      <c r="G532" s="27">
        <f t="shared" si="148"/>
        <v>921</v>
      </c>
      <c r="H532" s="24">
        <v>3</v>
      </c>
      <c r="I532" s="74" t="s">
        <v>77</v>
      </c>
      <c r="J532" s="138" t="s">
        <v>347</v>
      </c>
      <c r="K532" s="138" t="s">
        <v>375</v>
      </c>
    </row>
    <row r="533" spans="1:11" ht="25.5" customHeight="1" x14ac:dyDescent="0.2">
      <c r="A533" s="23" t="s">
        <v>458</v>
      </c>
      <c r="B533" s="23" t="s">
        <v>458</v>
      </c>
      <c r="C533" s="23" t="s">
        <v>471</v>
      </c>
      <c r="D533" s="24">
        <f t="shared" ref="D533" si="167">D532+H532</f>
        <v>923</v>
      </c>
      <c r="E533" s="27">
        <f t="shared" si="166"/>
        <v>925</v>
      </c>
      <c r="F533" s="27">
        <f t="shared" si="147"/>
        <v>922</v>
      </c>
      <c r="G533" s="27">
        <f t="shared" si="148"/>
        <v>924</v>
      </c>
      <c r="H533" s="24">
        <v>3</v>
      </c>
      <c r="I533" s="74" t="s">
        <v>78</v>
      </c>
      <c r="J533" s="139"/>
      <c r="K533" s="138"/>
    </row>
    <row r="534" spans="1:11" x14ac:dyDescent="0.2">
      <c r="A534" s="23"/>
      <c r="B534" s="23"/>
      <c r="C534" s="23"/>
      <c r="D534" s="24">
        <f t="shared" ref="D534" si="168">D533+H533</f>
        <v>926</v>
      </c>
      <c r="E534" s="27">
        <f t="shared" si="166"/>
        <v>935</v>
      </c>
      <c r="F534" s="27">
        <f t="shared" si="147"/>
        <v>925</v>
      </c>
      <c r="G534" s="27">
        <f t="shared" si="148"/>
        <v>934</v>
      </c>
      <c r="H534" s="24">
        <v>10</v>
      </c>
      <c r="I534" s="74" t="s">
        <v>100</v>
      </c>
      <c r="J534" s="25"/>
      <c r="K534" s="26"/>
    </row>
    <row r="535" spans="1:11" x14ac:dyDescent="0.2">
      <c r="A535" s="23"/>
      <c r="B535" s="23"/>
      <c r="C535" s="23"/>
      <c r="D535" s="24"/>
      <c r="E535" s="24"/>
      <c r="F535" s="27">
        <f t="shared" si="147"/>
        <v>-1</v>
      </c>
      <c r="G535" s="27">
        <f t="shared" si="148"/>
        <v>-1</v>
      </c>
      <c r="H535" s="24"/>
      <c r="I535" s="50" t="s">
        <v>91</v>
      </c>
      <c r="J535" s="25"/>
      <c r="K535" s="26"/>
    </row>
    <row r="536" spans="1:11" ht="63.75" x14ac:dyDescent="0.2">
      <c r="A536" s="23" t="s">
        <v>457</v>
      </c>
      <c r="B536" s="23" t="s">
        <v>457</v>
      </c>
      <c r="C536" s="23" t="s">
        <v>470</v>
      </c>
      <c r="D536" s="24">
        <f>D534+H534</f>
        <v>936</v>
      </c>
      <c r="E536" s="27">
        <f t="shared" ref="E536:E538" si="169">D536+H536-1</f>
        <v>940</v>
      </c>
      <c r="F536" s="27">
        <f t="shared" si="147"/>
        <v>935</v>
      </c>
      <c r="G536" s="27">
        <f t="shared" si="148"/>
        <v>939</v>
      </c>
      <c r="H536" s="24">
        <v>5</v>
      </c>
      <c r="I536" s="49" t="s">
        <v>92</v>
      </c>
      <c r="J536" s="37" t="s">
        <v>346</v>
      </c>
      <c r="K536" s="37" t="s">
        <v>366</v>
      </c>
    </row>
    <row r="537" spans="1:11" ht="63.75" x14ac:dyDescent="0.2">
      <c r="A537" s="23" t="s">
        <v>457</v>
      </c>
      <c r="B537" s="23" t="s">
        <v>457</v>
      </c>
      <c r="C537" s="23" t="s">
        <v>471</v>
      </c>
      <c r="D537" s="24">
        <f t="shared" ref="D537" si="170">D536+H536</f>
        <v>941</v>
      </c>
      <c r="E537" s="27">
        <f t="shared" si="169"/>
        <v>943</v>
      </c>
      <c r="F537" s="27">
        <f t="shared" si="147"/>
        <v>940</v>
      </c>
      <c r="G537" s="27">
        <f t="shared" si="148"/>
        <v>942</v>
      </c>
      <c r="H537" s="24">
        <v>3</v>
      </c>
      <c r="I537" s="49" t="s">
        <v>93</v>
      </c>
      <c r="J537" s="37" t="s">
        <v>365</v>
      </c>
      <c r="K537" s="37" t="s">
        <v>367</v>
      </c>
    </row>
    <row r="538" spans="1:11" ht="114.75" x14ac:dyDescent="0.2">
      <c r="A538" s="23" t="s">
        <v>457</v>
      </c>
      <c r="B538" s="23" t="s">
        <v>457</v>
      </c>
      <c r="C538" s="23" t="s">
        <v>472</v>
      </c>
      <c r="D538" s="24">
        <f t="shared" ref="D538" si="171">D537+H537</f>
        <v>944</v>
      </c>
      <c r="E538" s="27">
        <f t="shared" si="169"/>
        <v>946</v>
      </c>
      <c r="F538" s="27">
        <f t="shared" si="147"/>
        <v>943</v>
      </c>
      <c r="G538" s="27">
        <f t="shared" si="148"/>
        <v>945</v>
      </c>
      <c r="H538" s="24">
        <v>3</v>
      </c>
      <c r="I538" s="49" t="s">
        <v>94</v>
      </c>
      <c r="J538" s="37" t="s">
        <v>348</v>
      </c>
      <c r="K538" s="39" t="s">
        <v>368</v>
      </c>
    </row>
    <row r="539" spans="1:11" x14ac:dyDescent="0.2">
      <c r="A539" s="23"/>
      <c r="B539" s="23"/>
      <c r="C539" s="23"/>
      <c r="D539" s="24"/>
      <c r="E539" s="24"/>
      <c r="F539" s="27">
        <f t="shared" si="147"/>
        <v>-1</v>
      </c>
      <c r="G539" s="27">
        <f t="shared" si="148"/>
        <v>-1</v>
      </c>
      <c r="H539" s="24"/>
      <c r="I539" s="55" t="s">
        <v>73</v>
      </c>
      <c r="J539" s="25"/>
      <c r="K539" s="26"/>
    </row>
    <row r="540" spans="1:11" ht="51" x14ac:dyDescent="0.2">
      <c r="A540" s="23" t="s">
        <v>457</v>
      </c>
      <c r="B540" s="23" t="s">
        <v>457</v>
      </c>
      <c r="C540" s="23" t="s">
        <v>470</v>
      </c>
      <c r="D540" s="24">
        <f>D538+H538</f>
        <v>947</v>
      </c>
      <c r="E540" s="27">
        <f t="shared" ref="E540:E550" si="172">D540+H540-1</f>
        <v>950</v>
      </c>
      <c r="F540" s="27">
        <f t="shared" si="147"/>
        <v>946</v>
      </c>
      <c r="G540" s="27">
        <f t="shared" si="148"/>
        <v>949</v>
      </c>
      <c r="H540" s="78">
        <v>4</v>
      </c>
      <c r="I540" s="49" t="s">
        <v>95</v>
      </c>
      <c r="J540" s="37" t="s">
        <v>351</v>
      </c>
      <c r="K540" s="37" t="s">
        <v>369</v>
      </c>
    </row>
    <row r="541" spans="1:11" ht="63.75" x14ac:dyDescent="0.2">
      <c r="A541" s="34" t="s">
        <v>457</v>
      </c>
      <c r="B541" s="34" t="s">
        <v>457</v>
      </c>
      <c r="C541" s="34" t="s">
        <v>470</v>
      </c>
      <c r="D541" s="54">
        <f t="shared" ref="D541:D550" si="173">D540+H540</f>
        <v>951</v>
      </c>
      <c r="E541" s="27">
        <f t="shared" si="172"/>
        <v>953</v>
      </c>
      <c r="F541" s="27">
        <f t="shared" si="147"/>
        <v>950</v>
      </c>
      <c r="G541" s="27">
        <f t="shared" si="148"/>
        <v>952</v>
      </c>
      <c r="H541" s="54">
        <v>3</v>
      </c>
      <c r="I541" s="74" t="s">
        <v>514</v>
      </c>
      <c r="J541" s="77" t="s">
        <v>492</v>
      </c>
      <c r="K541" s="48" t="s">
        <v>516</v>
      </c>
    </row>
    <row r="542" spans="1:11" ht="51" x14ac:dyDescent="0.2">
      <c r="A542" s="34" t="s">
        <v>457</v>
      </c>
      <c r="B542" s="34" t="s">
        <v>457</v>
      </c>
      <c r="C542" s="34" t="s">
        <v>470</v>
      </c>
      <c r="D542" s="54">
        <f t="shared" si="173"/>
        <v>954</v>
      </c>
      <c r="E542" s="27">
        <f t="shared" si="172"/>
        <v>957</v>
      </c>
      <c r="F542" s="27">
        <f t="shared" si="147"/>
        <v>953</v>
      </c>
      <c r="G542" s="27">
        <f t="shared" si="148"/>
        <v>956</v>
      </c>
      <c r="H542" s="78">
        <v>4</v>
      </c>
      <c r="I542" s="49" t="s">
        <v>96</v>
      </c>
      <c r="J542" s="37" t="s">
        <v>351</v>
      </c>
      <c r="K542" s="37" t="s">
        <v>369</v>
      </c>
    </row>
    <row r="543" spans="1:11" ht="63.75" x14ac:dyDescent="0.2">
      <c r="A543" s="34" t="s">
        <v>457</v>
      </c>
      <c r="B543" s="34" t="s">
        <v>457</v>
      </c>
      <c r="C543" s="34" t="s">
        <v>470</v>
      </c>
      <c r="D543" s="54">
        <f t="shared" si="173"/>
        <v>958</v>
      </c>
      <c r="E543" s="27">
        <f t="shared" ref="E543" si="174">D543+H543-1</f>
        <v>960</v>
      </c>
      <c r="F543" s="27">
        <f t="shared" si="147"/>
        <v>957</v>
      </c>
      <c r="G543" s="27">
        <f t="shared" si="148"/>
        <v>959</v>
      </c>
      <c r="H543" s="54">
        <v>3</v>
      </c>
      <c r="I543" s="74" t="s">
        <v>515</v>
      </c>
      <c r="J543" s="77" t="s">
        <v>492</v>
      </c>
      <c r="K543" s="48" t="s">
        <v>517</v>
      </c>
    </row>
    <row r="544" spans="1:11" ht="51" x14ac:dyDescent="0.2">
      <c r="A544" s="34" t="s">
        <v>457</v>
      </c>
      <c r="B544" s="34" t="s">
        <v>457</v>
      </c>
      <c r="C544" s="34" t="s">
        <v>470</v>
      </c>
      <c r="D544" s="54">
        <f t="shared" si="173"/>
        <v>961</v>
      </c>
      <c r="E544" s="27">
        <f t="shared" si="172"/>
        <v>964</v>
      </c>
      <c r="F544" s="27">
        <f t="shared" si="147"/>
        <v>960</v>
      </c>
      <c r="G544" s="27">
        <f t="shared" si="148"/>
        <v>963</v>
      </c>
      <c r="H544" s="78">
        <v>4</v>
      </c>
      <c r="I544" s="49" t="s">
        <v>97</v>
      </c>
      <c r="J544" s="37" t="s">
        <v>351</v>
      </c>
      <c r="K544" s="37" t="s">
        <v>369</v>
      </c>
    </row>
    <row r="545" spans="1:11" ht="63.75" x14ac:dyDescent="0.2">
      <c r="A545" s="34" t="s">
        <v>457</v>
      </c>
      <c r="B545" s="34" t="s">
        <v>457</v>
      </c>
      <c r="C545" s="34" t="s">
        <v>470</v>
      </c>
      <c r="D545" s="54">
        <f t="shared" si="173"/>
        <v>965</v>
      </c>
      <c r="E545" s="27">
        <f t="shared" si="172"/>
        <v>967</v>
      </c>
      <c r="F545" s="27">
        <f t="shared" si="147"/>
        <v>964</v>
      </c>
      <c r="G545" s="27">
        <f t="shared" si="148"/>
        <v>966</v>
      </c>
      <c r="H545" s="54">
        <v>3</v>
      </c>
      <c r="I545" s="74" t="s">
        <v>518</v>
      </c>
      <c r="J545" s="77" t="s">
        <v>492</v>
      </c>
      <c r="K545" s="48" t="s">
        <v>519</v>
      </c>
    </row>
    <row r="546" spans="1:11" ht="51" x14ac:dyDescent="0.2">
      <c r="A546" s="34" t="s">
        <v>457</v>
      </c>
      <c r="B546" s="34" t="s">
        <v>457</v>
      </c>
      <c r="C546" s="34" t="s">
        <v>470</v>
      </c>
      <c r="D546" s="54">
        <f t="shared" si="173"/>
        <v>968</v>
      </c>
      <c r="E546" s="27">
        <f t="shared" si="172"/>
        <v>971</v>
      </c>
      <c r="F546" s="27">
        <f t="shared" si="147"/>
        <v>967</v>
      </c>
      <c r="G546" s="27">
        <f t="shared" si="148"/>
        <v>970</v>
      </c>
      <c r="H546" s="78">
        <v>4</v>
      </c>
      <c r="I546" s="49" t="s">
        <v>98</v>
      </c>
      <c r="J546" s="37" t="s">
        <v>351</v>
      </c>
      <c r="K546" s="37" t="s">
        <v>369</v>
      </c>
    </row>
    <row r="547" spans="1:11" ht="63.75" x14ac:dyDescent="0.2">
      <c r="A547" s="34" t="s">
        <v>457</v>
      </c>
      <c r="B547" s="34" t="s">
        <v>457</v>
      </c>
      <c r="C547" s="34" t="s">
        <v>470</v>
      </c>
      <c r="D547" s="54">
        <f t="shared" si="173"/>
        <v>972</v>
      </c>
      <c r="E547" s="27">
        <f t="shared" si="172"/>
        <v>974</v>
      </c>
      <c r="F547" s="27">
        <f t="shared" si="147"/>
        <v>971</v>
      </c>
      <c r="G547" s="27">
        <f t="shared" si="148"/>
        <v>973</v>
      </c>
      <c r="H547" s="54">
        <v>3</v>
      </c>
      <c r="I547" s="74" t="s">
        <v>520</v>
      </c>
      <c r="J547" s="77" t="s">
        <v>492</v>
      </c>
      <c r="K547" s="48" t="s">
        <v>521</v>
      </c>
    </row>
    <row r="548" spans="1:11" ht="51" x14ac:dyDescent="0.2">
      <c r="A548" s="34" t="s">
        <v>457</v>
      </c>
      <c r="B548" s="34" t="s">
        <v>457</v>
      </c>
      <c r="C548" s="34" t="s">
        <v>470</v>
      </c>
      <c r="D548" s="54">
        <f t="shared" si="173"/>
        <v>975</v>
      </c>
      <c r="E548" s="27">
        <f t="shared" si="172"/>
        <v>978</v>
      </c>
      <c r="F548" s="27">
        <f t="shared" si="147"/>
        <v>974</v>
      </c>
      <c r="G548" s="27">
        <f t="shared" si="148"/>
        <v>977</v>
      </c>
      <c r="H548" s="78">
        <v>4</v>
      </c>
      <c r="I548" s="49" t="s">
        <v>99</v>
      </c>
      <c r="J548" s="37" t="s">
        <v>351</v>
      </c>
      <c r="K548" s="37" t="s">
        <v>369</v>
      </c>
    </row>
    <row r="549" spans="1:11" ht="63.75" x14ac:dyDescent="0.2">
      <c r="A549" s="34" t="s">
        <v>457</v>
      </c>
      <c r="B549" s="34" t="s">
        <v>457</v>
      </c>
      <c r="C549" s="34" t="s">
        <v>470</v>
      </c>
      <c r="D549" s="54">
        <f t="shared" si="173"/>
        <v>979</v>
      </c>
      <c r="E549" s="27">
        <f t="shared" ref="E549" si="175">D549+H549-1</f>
        <v>981</v>
      </c>
      <c r="F549" s="27">
        <f t="shared" si="147"/>
        <v>978</v>
      </c>
      <c r="G549" s="27">
        <f t="shared" si="148"/>
        <v>980</v>
      </c>
      <c r="H549" s="54">
        <v>3</v>
      </c>
      <c r="I549" s="74" t="s">
        <v>522</v>
      </c>
      <c r="J549" s="77" t="s">
        <v>492</v>
      </c>
      <c r="K549" s="48" t="s">
        <v>523</v>
      </c>
    </row>
    <row r="550" spans="1:11" x14ac:dyDescent="0.2">
      <c r="A550" s="23"/>
      <c r="B550" s="23"/>
      <c r="C550" s="23"/>
      <c r="D550" s="24">
        <f t="shared" si="173"/>
        <v>982</v>
      </c>
      <c r="E550" s="27">
        <f t="shared" si="172"/>
        <v>1001</v>
      </c>
      <c r="F550" s="27">
        <f t="shared" si="147"/>
        <v>981</v>
      </c>
      <c r="G550" s="27">
        <f t="shared" si="148"/>
        <v>1000</v>
      </c>
      <c r="H550" s="78">
        <v>20</v>
      </c>
      <c r="I550" s="79" t="s">
        <v>100</v>
      </c>
      <c r="J550" s="25"/>
      <c r="K550" s="26"/>
    </row>
    <row r="551" spans="1:11" x14ac:dyDescent="0.2">
      <c r="A551" s="23"/>
      <c r="B551" s="23"/>
      <c r="C551" s="23"/>
      <c r="D551" s="24"/>
      <c r="E551" s="24"/>
      <c r="F551" s="27">
        <f t="shared" si="147"/>
        <v>-1</v>
      </c>
      <c r="G551" s="27">
        <f t="shared" si="148"/>
        <v>-1</v>
      </c>
      <c r="H551" s="24"/>
      <c r="I551" s="55" t="s">
        <v>101</v>
      </c>
      <c r="J551" s="25"/>
      <c r="K551" s="26"/>
    </row>
    <row r="552" spans="1:11" ht="36" customHeight="1" x14ac:dyDescent="0.2">
      <c r="A552" s="23" t="s">
        <v>457</v>
      </c>
      <c r="B552" s="23" t="s">
        <v>457</v>
      </c>
      <c r="C552" s="23" t="s">
        <v>470</v>
      </c>
      <c r="D552" s="24">
        <f>D550+H550</f>
        <v>1002</v>
      </c>
      <c r="E552" s="27">
        <f t="shared" ref="E552:E554" si="176">D552+H552-1</f>
        <v>1005</v>
      </c>
      <c r="F552" s="27">
        <f t="shared" si="147"/>
        <v>1001</v>
      </c>
      <c r="G552" s="27">
        <f t="shared" si="148"/>
        <v>1004</v>
      </c>
      <c r="H552" s="78">
        <v>4</v>
      </c>
      <c r="I552" s="49" t="s">
        <v>102</v>
      </c>
      <c r="J552" s="135" t="s">
        <v>351</v>
      </c>
      <c r="K552" s="135" t="s">
        <v>370</v>
      </c>
    </row>
    <row r="553" spans="1:11" ht="36" customHeight="1" x14ac:dyDescent="0.2">
      <c r="A553" s="23" t="s">
        <v>457</v>
      </c>
      <c r="B553" s="23" t="s">
        <v>457</v>
      </c>
      <c r="C553" s="23" t="s">
        <v>470</v>
      </c>
      <c r="D553" s="24">
        <f t="shared" ref="D553" si="177">D552+H552</f>
        <v>1006</v>
      </c>
      <c r="E553" s="27">
        <f t="shared" si="176"/>
        <v>1009</v>
      </c>
      <c r="F553" s="27">
        <f t="shared" si="147"/>
        <v>1005</v>
      </c>
      <c r="G553" s="27">
        <f t="shared" si="148"/>
        <v>1008</v>
      </c>
      <c r="H553" s="78">
        <v>4</v>
      </c>
      <c r="I553" s="49" t="s">
        <v>103</v>
      </c>
      <c r="J553" s="135"/>
      <c r="K553" s="135"/>
    </row>
    <row r="554" spans="1:11" ht="36" customHeight="1" x14ac:dyDescent="0.2">
      <c r="A554" s="23" t="s">
        <v>457</v>
      </c>
      <c r="B554" s="23" t="s">
        <v>457</v>
      </c>
      <c r="C554" s="23" t="s">
        <v>470</v>
      </c>
      <c r="D554" s="24">
        <f t="shared" ref="D554" si="178">D553+H553</f>
        <v>1010</v>
      </c>
      <c r="E554" s="27">
        <f t="shared" si="176"/>
        <v>1013</v>
      </c>
      <c r="F554" s="27">
        <f t="shared" si="147"/>
        <v>1009</v>
      </c>
      <c r="G554" s="27">
        <f t="shared" si="148"/>
        <v>1012</v>
      </c>
      <c r="H554" s="78">
        <v>4</v>
      </c>
      <c r="I554" s="49" t="s">
        <v>274</v>
      </c>
      <c r="J554" s="135"/>
      <c r="K554" s="135"/>
    </row>
    <row r="555" spans="1:11" x14ac:dyDescent="0.2">
      <c r="A555" s="23"/>
      <c r="B555" s="23"/>
      <c r="C555" s="23"/>
      <c r="D555" s="24"/>
      <c r="E555" s="24"/>
      <c r="F555" s="27">
        <f t="shared" si="147"/>
        <v>-1</v>
      </c>
      <c r="G555" s="27">
        <f t="shared" si="148"/>
        <v>-1</v>
      </c>
      <c r="H555" s="24"/>
      <c r="I555" s="55" t="s">
        <v>104</v>
      </c>
      <c r="J555" s="25"/>
      <c r="K555" s="26"/>
    </row>
    <row r="556" spans="1:11" ht="51" x14ac:dyDescent="0.2">
      <c r="A556" s="23" t="s">
        <v>457</v>
      </c>
      <c r="B556" s="23" t="s">
        <v>457</v>
      </c>
      <c r="C556" s="23" t="s">
        <v>469</v>
      </c>
      <c r="D556" s="24">
        <f>D554+H554</f>
        <v>1014</v>
      </c>
      <c r="E556" s="27">
        <f t="shared" ref="E556:E557" si="179">D556+H556-1</f>
        <v>1016</v>
      </c>
      <c r="F556" s="27">
        <f t="shared" ref="F556:F619" si="180">D556-1</f>
        <v>1013</v>
      </c>
      <c r="G556" s="27">
        <f t="shared" ref="G556:G619" si="181">E556-1</f>
        <v>1015</v>
      </c>
      <c r="H556" s="78">
        <v>3</v>
      </c>
      <c r="I556" s="49" t="s">
        <v>105</v>
      </c>
      <c r="J556" s="39" t="s">
        <v>371</v>
      </c>
      <c r="K556" s="37" t="s">
        <v>372</v>
      </c>
    </row>
    <row r="557" spans="1:11" ht="63.75" x14ac:dyDescent="0.2">
      <c r="A557" s="23" t="s">
        <v>457</v>
      </c>
      <c r="B557" s="23" t="s">
        <v>457</v>
      </c>
      <c r="C557" s="23" t="s">
        <v>470</v>
      </c>
      <c r="D557" s="24">
        <f t="shared" ref="D557" si="182">D556+H556</f>
        <v>1017</v>
      </c>
      <c r="E557" s="27">
        <f t="shared" si="179"/>
        <v>1020</v>
      </c>
      <c r="F557" s="27">
        <f t="shared" si="180"/>
        <v>1016</v>
      </c>
      <c r="G557" s="27">
        <f t="shared" si="181"/>
        <v>1019</v>
      </c>
      <c r="H557" s="78">
        <v>4</v>
      </c>
      <c r="I557" s="49" t="s">
        <v>106</v>
      </c>
      <c r="J557" s="39" t="s">
        <v>351</v>
      </c>
      <c r="K557" s="39" t="s">
        <v>373</v>
      </c>
    </row>
    <row r="558" spans="1:11" x14ac:dyDescent="0.2">
      <c r="A558" s="23"/>
      <c r="B558" s="23"/>
      <c r="C558" s="23"/>
      <c r="D558" s="24"/>
      <c r="E558" s="24"/>
      <c r="F558" s="27">
        <f t="shared" si="180"/>
        <v>-1</v>
      </c>
      <c r="G558" s="27">
        <f t="shared" si="181"/>
        <v>-1</v>
      </c>
      <c r="H558" s="24"/>
      <c r="I558" s="50" t="s">
        <v>76</v>
      </c>
      <c r="J558" s="68"/>
      <c r="K558" s="68"/>
    </row>
    <row r="559" spans="1:11" ht="27" customHeight="1" x14ac:dyDescent="0.2">
      <c r="A559" s="23" t="s">
        <v>458</v>
      </c>
      <c r="B559" s="23" t="s">
        <v>458</v>
      </c>
      <c r="C559" s="23" t="s">
        <v>471</v>
      </c>
      <c r="D559" s="24">
        <f>D557+H557</f>
        <v>1021</v>
      </c>
      <c r="E559" s="27">
        <f t="shared" ref="E559:E561" si="183">D559+H559-1</f>
        <v>1023</v>
      </c>
      <c r="F559" s="27">
        <f t="shared" si="180"/>
        <v>1020</v>
      </c>
      <c r="G559" s="27">
        <f t="shared" si="181"/>
        <v>1022</v>
      </c>
      <c r="H559" s="78">
        <v>3</v>
      </c>
      <c r="I559" s="74" t="s">
        <v>77</v>
      </c>
      <c r="J559" s="135" t="s">
        <v>365</v>
      </c>
      <c r="K559" s="135" t="s">
        <v>374</v>
      </c>
    </row>
    <row r="560" spans="1:11" ht="27" customHeight="1" x14ac:dyDescent="0.2">
      <c r="A560" s="23" t="s">
        <v>458</v>
      </c>
      <c r="B560" s="23" t="s">
        <v>458</v>
      </c>
      <c r="C560" s="23" t="s">
        <v>471</v>
      </c>
      <c r="D560" s="24">
        <f t="shared" ref="D560" si="184">D559+H559</f>
        <v>1024</v>
      </c>
      <c r="E560" s="27">
        <f t="shared" si="183"/>
        <v>1026</v>
      </c>
      <c r="F560" s="27">
        <f t="shared" si="180"/>
        <v>1023</v>
      </c>
      <c r="G560" s="27">
        <f t="shared" si="181"/>
        <v>1025</v>
      </c>
      <c r="H560" s="78">
        <v>3</v>
      </c>
      <c r="I560" s="74" t="s">
        <v>78</v>
      </c>
      <c r="J560" s="135"/>
      <c r="K560" s="135"/>
    </row>
    <row r="561" spans="1:11" x14ac:dyDescent="0.2">
      <c r="A561" s="23"/>
      <c r="B561" s="23"/>
      <c r="C561" s="23"/>
      <c r="D561" s="24">
        <f t="shared" ref="D561" si="185">D560+H560</f>
        <v>1027</v>
      </c>
      <c r="E561" s="27">
        <f t="shared" si="183"/>
        <v>1056</v>
      </c>
      <c r="F561" s="27">
        <f t="shared" si="180"/>
        <v>1026</v>
      </c>
      <c r="G561" s="27">
        <f t="shared" si="181"/>
        <v>1055</v>
      </c>
      <c r="H561" s="78">
        <v>30</v>
      </c>
      <c r="I561" s="74" t="s">
        <v>100</v>
      </c>
      <c r="J561" s="25"/>
      <c r="K561" s="26"/>
    </row>
    <row r="562" spans="1:11" ht="25.5" x14ac:dyDescent="0.2">
      <c r="A562" s="23"/>
      <c r="B562" s="23"/>
      <c r="C562" s="23"/>
      <c r="D562" s="24"/>
      <c r="E562" s="24"/>
      <c r="F562" s="27">
        <f t="shared" si="180"/>
        <v>-1</v>
      </c>
      <c r="G562" s="27">
        <f t="shared" si="181"/>
        <v>-1</v>
      </c>
      <c r="H562" s="24"/>
      <c r="I562" s="50" t="s">
        <v>107</v>
      </c>
      <c r="J562" s="25"/>
      <c r="K562" s="80" t="s">
        <v>490</v>
      </c>
    </row>
    <row r="563" spans="1:11" ht="63.75" x14ac:dyDescent="0.2">
      <c r="A563" s="23" t="s">
        <v>457</v>
      </c>
      <c r="B563" s="23" t="s">
        <v>457</v>
      </c>
      <c r="C563" s="23" t="s">
        <v>470</v>
      </c>
      <c r="D563" s="24">
        <f>D561+H561</f>
        <v>1057</v>
      </c>
      <c r="E563" s="27">
        <f t="shared" ref="E563:E565" si="186">D563+H563-1</f>
        <v>1061</v>
      </c>
      <c r="F563" s="27">
        <f t="shared" si="180"/>
        <v>1056</v>
      </c>
      <c r="G563" s="27">
        <f t="shared" si="181"/>
        <v>1060</v>
      </c>
      <c r="H563" s="78">
        <v>5</v>
      </c>
      <c r="I563" s="71" t="s">
        <v>108</v>
      </c>
      <c r="J563" s="42" t="s">
        <v>346</v>
      </c>
      <c r="K563" s="42" t="s">
        <v>637</v>
      </c>
    </row>
    <row r="564" spans="1:11" ht="63.75" x14ac:dyDescent="0.2">
      <c r="A564" s="23" t="s">
        <v>457</v>
      </c>
      <c r="B564" s="23" t="s">
        <v>457</v>
      </c>
      <c r="C564" s="23" t="s">
        <v>471</v>
      </c>
      <c r="D564" s="24">
        <f t="shared" ref="D564" si="187">D563+H563</f>
        <v>1062</v>
      </c>
      <c r="E564" s="27">
        <f t="shared" si="186"/>
        <v>1064</v>
      </c>
      <c r="F564" s="27">
        <f t="shared" si="180"/>
        <v>1061</v>
      </c>
      <c r="G564" s="27">
        <f t="shared" si="181"/>
        <v>1063</v>
      </c>
      <c r="H564" s="78">
        <v>3</v>
      </c>
      <c r="I564" s="71" t="s">
        <v>109</v>
      </c>
      <c r="J564" s="42" t="s">
        <v>365</v>
      </c>
      <c r="K564" s="42" t="s">
        <v>638</v>
      </c>
    </row>
    <row r="565" spans="1:11" ht="114.75" x14ac:dyDescent="0.2">
      <c r="A565" s="23" t="s">
        <v>457</v>
      </c>
      <c r="B565" s="23" t="s">
        <v>457</v>
      </c>
      <c r="C565" s="23" t="s">
        <v>472</v>
      </c>
      <c r="D565" s="24">
        <f t="shared" ref="D565" si="188">D564+H564</f>
        <v>1065</v>
      </c>
      <c r="E565" s="27">
        <f t="shared" si="186"/>
        <v>1067</v>
      </c>
      <c r="F565" s="27">
        <f t="shared" si="180"/>
        <v>1064</v>
      </c>
      <c r="G565" s="27">
        <f t="shared" si="181"/>
        <v>1066</v>
      </c>
      <c r="H565" s="78">
        <v>3</v>
      </c>
      <c r="I565" s="71" t="s">
        <v>110</v>
      </c>
      <c r="J565" s="42" t="s">
        <v>348</v>
      </c>
      <c r="K565" s="81" t="s">
        <v>639</v>
      </c>
    </row>
    <row r="566" spans="1:11" x14ac:dyDescent="0.2">
      <c r="A566" s="23"/>
      <c r="B566" s="23"/>
      <c r="C566" s="23"/>
      <c r="D566" s="24"/>
      <c r="E566" s="24"/>
      <c r="F566" s="27">
        <f t="shared" si="180"/>
        <v>-1</v>
      </c>
      <c r="G566" s="27">
        <f t="shared" si="181"/>
        <v>-1</v>
      </c>
      <c r="H566" s="24"/>
      <c r="I566" s="50" t="s">
        <v>111</v>
      </c>
      <c r="J566" s="25"/>
      <c r="K566" s="26"/>
    </row>
    <row r="567" spans="1:11" ht="51" x14ac:dyDescent="0.2">
      <c r="A567" s="23" t="s">
        <v>457</v>
      </c>
      <c r="B567" s="23" t="s">
        <v>457</v>
      </c>
      <c r="C567" s="23" t="s">
        <v>470</v>
      </c>
      <c r="D567" s="24">
        <f>D565+H565</f>
        <v>1068</v>
      </c>
      <c r="E567" s="27">
        <f t="shared" ref="E567:E579" si="189">D567+H567-1</f>
        <v>1071</v>
      </c>
      <c r="F567" s="27">
        <f t="shared" si="180"/>
        <v>1067</v>
      </c>
      <c r="G567" s="27">
        <f t="shared" si="181"/>
        <v>1070</v>
      </c>
      <c r="H567" s="78">
        <v>4</v>
      </c>
      <c r="I567" s="71" t="s">
        <v>112</v>
      </c>
      <c r="J567" s="37" t="s">
        <v>351</v>
      </c>
      <c r="K567" s="37" t="s">
        <v>644</v>
      </c>
    </row>
    <row r="568" spans="1:11" ht="63.75" x14ac:dyDescent="0.2">
      <c r="A568" s="43" t="s">
        <v>457</v>
      </c>
      <c r="B568" s="43" t="s">
        <v>457</v>
      </c>
      <c r="C568" s="43" t="s">
        <v>470</v>
      </c>
      <c r="D568" s="45">
        <f>D567+H567</f>
        <v>1072</v>
      </c>
      <c r="E568" s="46">
        <f t="shared" ref="E568:E569" si="190">D568+H568-1</f>
        <v>1074</v>
      </c>
      <c r="F568" s="27">
        <f t="shared" si="180"/>
        <v>1071</v>
      </c>
      <c r="G568" s="27">
        <f t="shared" si="181"/>
        <v>1073</v>
      </c>
      <c r="H568" s="82">
        <v>3</v>
      </c>
      <c r="I568" s="70" t="s">
        <v>640</v>
      </c>
      <c r="J568" s="83" t="s">
        <v>492</v>
      </c>
      <c r="K568" s="36" t="s">
        <v>648</v>
      </c>
    </row>
    <row r="569" spans="1:11" ht="51" x14ac:dyDescent="0.2">
      <c r="A569" s="43" t="s">
        <v>457</v>
      </c>
      <c r="B569" s="43" t="s">
        <v>457</v>
      </c>
      <c r="C569" s="43" t="s">
        <v>470</v>
      </c>
      <c r="D569" s="45">
        <f>D568+H568</f>
        <v>1075</v>
      </c>
      <c r="E569" s="46">
        <f t="shared" si="190"/>
        <v>1075</v>
      </c>
      <c r="F569" s="27">
        <f t="shared" si="180"/>
        <v>1074</v>
      </c>
      <c r="G569" s="27">
        <f t="shared" si="181"/>
        <v>1074</v>
      </c>
      <c r="H569" s="45">
        <v>1</v>
      </c>
      <c r="I569" s="84" t="s">
        <v>732</v>
      </c>
      <c r="J569" s="85" t="s">
        <v>527</v>
      </c>
      <c r="K569" s="86" t="s">
        <v>734</v>
      </c>
    </row>
    <row r="570" spans="1:11" ht="51" x14ac:dyDescent="0.2">
      <c r="A570" s="23" t="s">
        <v>457</v>
      </c>
      <c r="B570" s="23" t="s">
        <v>457</v>
      </c>
      <c r="C570" s="23" t="s">
        <v>470</v>
      </c>
      <c r="D570" s="45">
        <f>D569+H569</f>
        <v>1076</v>
      </c>
      <c r="E570" s="46">
        <f t="shared" ref="E570:E578" si="191">D570+H570-1</f>
        <v>1079</v>
      </c>
      <c r="F570" s="27">
        <f t="shared" si="180"/>
        <v>1075</v>
      </c>
      <c r="G570" s="27">
        <f t="shared" si="181"/>
        <v>1078</v>
      </c>
      <c r="H570" s="78">
        <v>4</v>
      </c>
      <c r="I570" s="71" t="s">
        <v>113</v>
      </c>
      <c r="J570" s="37" t="s">
        <v>351</v>
      </c>
      <c r="K570" s="37" t="s">
        <v>644</v>
      </c>
    </row>
    <row r="571" spans="1:11" ht="63.75" x14ac:dyDescent="0.2">
      <c r="A571" s="43" t="s">
        <v>457</v>
      </c>
      <c r="B571" s="43" t="s">
        <v>457</v>
      </c>
      <c r="C571" s="43" t="s">
        <v>470</v>
      </c>
      <c r="D571" s="45">
        <f t="shared" ref="D571:D577" si="192">D570+H570</f>
        <v>1080</v>
      </c>
      <c r="E571" s="46">
        <f t="shared" si="191"/>
        <v>1082</v>
      </c>
      <c r="F571" s="27">
        <f t="shared" si="180"/>
        <v>1079</v>
      </c>
      <c r="G571" s="27">
        <f t="shared" si="181"/>
        <v>1081</v>
      </c>
      <c r="H571" s="82">
        <v>3</v>
      </c>
      <c r="I571" s="70" t="s">
        <v>641</v>
      </c>
      <c r="J571" s="83" t="s">
        <v>492</v>
      </c>
      <c r="K571" s="36" t="s">
        <v>647</v>
      </c>
    </row>
    <row r="572" spans="1:11" ht="51" x14ac:dyDescent="0.2">
      <c r="A572" s="43" t="s">
        <v>457</v>
      </c>
      <c r="B572" s="43" t="s">
        <v>457</v>
      </c>
      <c r="C572" s="43" t="s">
        <v>470</v>
      </c>
      <c r="D572" s="45">
        <f>D571+H571</f>
        <v>1083</v>
      </c>
      <c r="E572" s="46">
        <f t="shared" si="191"/>
        <v>1083</v>
      </c>
      <c r="F572" s="27">
        <f t="shared" si="180"/>
        <v>1082</v>
      </c>
      <c r="G572" s="27">
        <f t="shared" si="181"/>
        <v>1082</v>
      </c>
      <c r="H572" s="45">
        <v>1</v>
      </c>
      <c r="I572" s="84" t="s">
        <v>733</v>
      </c>
      <c r="J572" s="85" t="s">
        <v>527</v>
      </c>
      <c r="K572" s="86" t="s">
        <v>735</v>
      </c>
    </row>
    <row r="573" spans="1:11" ht="51" x14ac:dyDescent="0.2">
      <c r="A573" s="23" t="s">
        <v>457</v>
      </c>
      <c r="B573" s="23" t="s">
        <v>457</v>
      </c>
      <c r="C573" s="23" t="s">
        <v>470</v>
      </c>
      <c r="D573" s="45">
        <f>D572+H572</f>
        <v>1084</v>
      </c>
      <c r="E573" s="46">
        <f t="shared" si="191"/>
        <v>1087</v>
      </c>
      <c r="F573" s="27">
        <f t="shared" si="180"/>
        <v>1083</v>
      </c>
      <c r="G573" s="27">
        <f t="shared" si="181"/>
        <v>1086</v>
      </c>
      <c r="H573" s="78">
        <v>4</v>
      </c>
      <c r="I573" s="71" t="s">
        <v>114</v>
      </c>
      <c r="J573" s="37" t="s">
        <v>351</v>
      </c>
      <c r="K573" s="37" t="s">
        <v>644</v>
      </c>
    </row>
    <row r="574" spans="1:11" ht="63.75" x14ac:dyDescent="0.2">
      <c r="A574" s="43" t="s">
        <v>457</v>
      </c>
      <c r="B574" s="43" t="s">
        <v>457</v>
      </c>
      <c r="C574" s="43" t="s">
        <v>470</v>
      </c>
      <c r="D574" s="45">
        <f t="shared" si="192"/>
        <v>1088</v>
      </c>
      <c r="E574" s="46">
        <f t="shared" si="191"/>
        <v>1090</v>
      </c>
      <c r="F574" s="27">
        <f t="shared" si="180"/>
        <v>1087</v>
      </c>
      <c r="G574" s="27">
        <f t="shared" si="181"/>
        <v>1089</v>
      </c>
      <c r="H574" s="82">
        <v>3</v>
      </c>
      <c r="I574" s="70" t="s">
        <v>642</v>
      </c>
      <c r="J574" s="83" t="s">
        <v>492</v>
      </c>
      <c r="K574" s="36" t="s">
        <v>646</v>
      </c>
    </row>
    <row r="575" spans="1:11" ht="51" x14ac:dyDescent="0.2">
      <c r="A575" s="43" t="s">
        <v>457</v>
      </c>
      <c r="B575" s="43" t="s">
        <v>457</v>
      </c>
      <c r="C575" s="43" t="s">
        <v>470</v>
      </c>
      <c r="D575" s="45">
        <f>D574+H574</f>
        <v>1091</v>
      </c>
      <c r="E575" s="46">
        <f t="shared" si="191"/>
        <v>1091</v>
      </c>
      <c r="F575" s="27">
        <f t="shared" si="180"/>
        <v>1090</v>
      </c>
      <c r="G575" s="27">
        <f t="shared" si="181"/>
        <v>1090</v>
      </c>
      <c r="H575" s="45">
        <v>1</v>
      </c>
      <c r="I575" s="84" t="s">
        <v>737</v>
      </c>
      <c r="J575" s="85" t="s">
        <v>527</v>
      </c>
      <c r="K575" s="86" t="s">
        <v>736</v>
      </c>
    </row>
    <row r="576" spans="1:11" ht="51" x14ac:dyDescent="0.2">
      <c r="A576" s="23" t="s">
        <v>457</v>
      </c>
      <c r="B576" s="23" t="s">
        <v>457</v>
      </c>
      <c r="C576" s="23" t="s">
        <v>470</v>
      </c>
      <c r="D576" s="45">
        <f>D575+H575</f>
        <v>1092</v>
      </c>
      <c r="E576" s="46">
        <f t="shared" si="191"/>
        <v>1095</v>
      </c>
      <c r="F576" s="27">
        <f t="shared" si="180"/>
        <v>1091</v>
      </c>
      <c r="G576" s="27">
        <f t="shared" si="181"/>
        <v>1094</v>
      </c>
      <c r="H576" s="78">
        <v>4</v>
      </c>
      <c r="I576" s="71" t="s">
        <v>115</v>
      </c>
      <c r="J576" s="37" t="s">
        <v>351</v>
      </c>
      <c r="K576" s="37" t="s">
        <v>644</v>
      </c>
    </row>
    <row r="577" spans="1:11" ht="63.75" x14ac:dyDescent="0.2">
      <c r="A577" s="43" t="s">
        <v>457</v>
      </c>
      <c r="B577" s="43" t="s">
        <v>457</v>
      </c>
      <c r="C577" s="43" t="s">
        <v>470</v>
      </c>
      <c r="D577" s="45">
        <f t="shared" si="192"/>
        <v>1096</v>
      </c>
      <c r="E577" s="46">
        <f t="shared" si="191"/>
        <v>1098</v>
      </c>
      <c r="F577" s="27">
        <f t="shared" si="180"/>
        <v>1095</v>
      </c>
      <c r="G577" s="27">
        <f t="shared" si="181"/>
        <v>1097</v>
      </c>
      <c r="H577" s="82">
        <v>3</v>
      </c>
      <c r="I577" s="70" t="s">
        <v>643</v>
      </c>
      <c r="J577" s="83" t="s">
        <v>492</v>
      </c>
      <c r="K577" s="36" t="s">
        <v>645</v>
      </c>
    </row>
    <row r="578" spans="1:11" ht="51" x14ac:dyDescent="0.2">
      <c r="A578" s="43" t="s">
        <v>457</v>
      </c>
      <c r="B578" s="43" t="s">
        <v>457</v>
      </c>
      <c r="C578" s="43" t="s">
        <v>470</v>
      </c>
      <c r="D578" s="45">
        <f>D577+H577</f>
        <v>1099</v>
      </c>
      <c r="E578" s="46">
        <f t="shared" si="191"/>
        <v>1099</v>
      </c>
      <c r="F578" s="27">
        <f t="shared" si="180"/>
        <v>1098</v>
      </c>
      <c r="G578" s="27">
        <f t="shared" si="181"/>
        <v>1098</v>
      </c>
      <c r="H578" s="45">
        <v>1</v>
      </c>
      <c r="I578" s="84" t="s">
        <v>738</v>
      </c>
      <c r="J578" s="85" t="s">
        <v>527</v>
      </c>
      <c r="K578" s="86" t="s">
        <v>739</v>
      </c>
    </row>
    <row r="579" spans="1:11" x14ac:dyDescent="0.2">
      <c r="A579" s="23"/>
      <c r="B579" s="23"/>
      <c r="C579" s="23"/>
      <c r="D579" s="45">
        <f>D578+H578</f>
        <v>1100</v>
      </c>
      <c r="E579" s="46">
        <f t="shared" si="189"/>
        <v>1133</v>
      </c>
      <c r="F579" s="27">
        <f t="shared" si="180"/>
        <v>1099</v>
      </c>
      <c r="G579" s="27">
        <f t="shared" si="181"/>
        <v>1132</v>
      </c>
      <c r="H579" s="82">
        <v>34</v>
      </c>
      <c r="I579" s="71" t="s">
        <v>100</v>
      </c>
      <c r="J579" s="37"/>
      <c r="K579" s="37"/>
    </row>
    <row r="580" spans="1:11" x14ac:dyDescent="0.2">
      <c r="A580" s="23"/>
      <c r="B580" s="23"/>
      <c r="C580" s="23"/>
      <c r="D580" s="24"/>
      <c r="E580" s="24"/>
      <c r="F580" s="27">
        <f t="shared" si="180"/>
        <v>-1</v>
      </c>
      <c r="G580" s="27">
        <f t="shared" si="181"/>
        <v>-1</v>
      </c>
      <c r="H580" s="24"/>
      <c r="I580" s="50" t="s">
        <v>76</v>
      </c>
      <c r="J580" s="25"/>
      <c r="K580" s="26"/>
    </row>
    <row r="581" spans="1:11" ht="29.25" customHeight="1" x14ac:dyDescent="0.2">
      <c r="A581" s="23" t="s">
        <v>458</v>
      </c>
      <c r="B581" s="23" t="s">
        <v>458</v>
      </c>
      <c r="C581" s="23" t="s">
        <v>471</v>
      </c>
      <c r="D581" s="24">
        <f>D579+H579</f>
        <v>1134</v>
      </c>
      <c r="E581" s="27">
        <f t="shared" ref="E581:E583" si="193">D581+H581-1</f>
        <v>1136</v>
      </c>
      <c r="F581" s="27">
        <f t="shared" si="180"/>
        <v>1133</v>
      </c>
      <c r="G581" s="27">
        <f t="shared" si="181"/>
        <v>1135</v>
      </c>
      <c r="H581" s="78">
        <v>3</v>
      </c>
      <c r="I581" s="74" t="s">
        <v>77</v>
      </c>
      <c r="J581" s="135" t="s">
        <v>365</v>
      </c>
      <c r="K581" s="134" t="s">
        <v>649</v>
      </c>
    </row>
    <row r="582" spans="1:11" ht="29.25" customHeight="1" x14ac:dyDescent="0.2">
      <c r="A582" s="23" t="s">
        <v>458</v>
      </c>
      <c r="B582" s="23" t="s">
        <v>458</v>
      </c>
      <c r="C582" s="23" t="s">
        <v>471</v>
      </c>
      <c r="D582" s="24">
        <f t="shared" ref="D582" si="194">D581+H581</f>
        <v>1137</v>
      </c>
      <c r="E582" s="27">
        <f t="shared" si="193"/>
        <v>1139</v>
      </c>
      <c r="F582" s="27">
        <f t="shared" si="180"/>
        <v>1136</v>
      </c>
      <c r="G582" s="27">
        <f t="shared" si="181"/>
        <v>1138</v>
      </c>
      <c r="H582" s="78">
        <v>3</v>
      </c>
      <c r="I582" s="74" t="s">
        <v>78</v>
      </c>
      <c r="J582" s="135"/>
      <c r="K582" s="134"/>
    </row>
    <row r="583" spans="1:11" x14ac:dyDescent="0.2">
      <c r="A583" s="23"/>
      <c r="B583" s="23"/>
      <c r="C583" s="23"/>
      <c r="D583" s="24">
        <f t="shared" ref="D583" si="195">D582+H582</f>
        <v>1140</v>
      </c>
      <c r="E583" s="27">
        <f t="shared" si="193"/>
        <v>1169</v>
      </c>
      <c r="F583" s="27">
        <f t="shared" si="180"/>
        <v>1139</v>
      </c>
      <c r="G583" s="27">
        <f t="shared" si="181"/>
        <v>1168</v>
      </c>
      <c r="H583" s="78">
        <v>30</v>
      </c>
      <c r="I583" s="74" t="s">
        <v>100</v>
      </c>
      <c r="J583" s="25"/>
      <c r="K583" s="26"/>
    </row>
    <row r="584" spans="1:11" x14ac:dyDescent="0.2">
      <c r="A584" s="23"/>
      <c r="B584" s="23"/>
      <c r="C584" s="23"/>
      <c r="D584" s="24"/>
      <c r="E584" s="24"/>
      <c r="F584" s="27">
        <f t="shared" si="180"/>
        <v>-1</v>
      </c>
      <c r="G584" s="27">
        <f t="shared" si="181"/>
        <v>-1</v>
      </c>
      <c r="H584" s="24"/>
      <c r="I584" s="50" t="s">
        <v>119</v>
      </c>
      <c r="J584" s="25"/>
      <c r="K584" s="26"/>
    </row>
    <row r="585" spans="1:11" x14ac:dyDescent="0.2">
      <c r="A585" s="23"/>
      <c r="B585" s="23"/>
      <c r="C585" s="23"/>
      <c r="D585" s="24"/>
      <c r="E585" s="24"/>
      <c r="F585" s="27">
        <f t="shared" si="180"/>
        <v>-1</v>
      </c>
      <c r="G585" s="27">
        <f t="shared" si="181"/>
        <v>-1</v>
      </c>
      <c r="H585" s="24"/>
      <c r="I585" s="50" t="s">
        <v>120</v>
      </c>
      <c r="J585" s="25"/>
      <c r="K585" s="26"/>
    </row>
    <row r="586" spans="1:11" ht="30" customHeight="1" x14ac:dyDescent="0.2">
      <c r="A586" s="23" t="s">
        <v>457</v>
      </c>
      <c r="B586" s="23" t="s">
        <v>457</v>
      </c>
      <c r="C586" s="87" t="s">
        <v>469</v>
      </c>
      <c r="D586" s="24">
        <f>D583+H583</f>
        <v>1170</v>
      </c>
      <c r="E586" s="27">
        <f t="shared" ref="E586:E589" si="196">D586+H586-1</f>
        <v>1170</v>
      </c>
      <c r="F586" s="27">
        <f t="shared" si="180"/>
        <v>1169</v>
      </c>
      <c r="G586" s="27">
        <f t="shared" si="181"/>
        <v>1169</v>
      </c>
      <c r="H586" s="78">
        <v>1</v>
      </c>
      <c r="I586" s="71" t="s">
        <v>121</v>
      </c>
      <c r="J586" s="138" t="s">
        <v>377</v>
      </c>
      <c r="K586" s="147" t="s">
        <v>650</v>
      </c>
    </row>
    <row r="587" spans="1:11" ht="25.5" customHeight="1" x14ac:dyDescent="0.2">
      <c r="A587" s="23" t="s">
        <v>457</v>
      </c>
      <c r="B587" s="23" t="s">
        <v>457</v>
      </c>
      <c r="C587" s="87" t="s">
        <v>469</v>
      </c>
      <c r="D587" s="24">
        <f>D586+H586</f>
        <v>1171</v>
      </c>
      <c r="E587" s="27">
        <f t="shared" si="196"/>
        <v>1171</v>
      </c>
      <c r="F587" s="27">
        <f t="shared" si="180"/>
        <v>1170</v>
      </c>
      <c r="G587" s="27">
        <f t="shared" si="181"/>
        <v>1170</v>
      </c>
      <c r="H587" s="78">
        <v>1</v>
      </c>
      <c r="I587" s="71" t="s">
        <v>122</v>
      </c>
      <c r="J587" s="139"/>
      <c r="K587" s="147"/>
    </row>
    <row r="588" spans="1:11" ht="24.75" customHeight="1" x14ac:dyDescent="0.2">
      <c r="A588" s="23" t="s">
        <v>457</v>
      </c>
      <c r="B588" s="23" t="s">
        <v>457</v>
      </c>
      <c r="C588" s="87" t="s">
        <v>469</v>
      </c>
      <c r="D588" s="24">
        <f t="shared" ref="D588:D589" si="197">D587+H587</f>
        <v>1172</v>
      </c>
      <c r="E588" s="27">
        <f t="shared" si="196"/>
        <v>1172</v>
      </c>
      <c r="F588" s="27">
        <f t="shared" si="180"/>
        <v>1171</v>
      </c>
      <c r="G588" s="27">
        <f t="shared" si="181"/>
        <v>1171</v>
      </c>
      <c r="H588" s="78">
        <v>1</v>
      </c>
      <c r="I588" s="71" t="s">
        <v>123</v>
      </c>
      <c r="J588" s="139"/>
      <c r="K588" s="147"/>
    </row>
    <row r="589" spans="1:11" ht="27" customHeight="1" x14ac:dyDescent="0.2">
      <c r="A589" s="23" t="s">
        <v>457</v>
      </c>
      <c r="B589" s="23" t="s">
        <v>457</v>
      </c>
      <c r="C589" s="87" t="s">
        <v>469</v>
      </c>
      <c r="D589" s="24">
        <f t="shared" si="197"/>
        <v>1173</v>
      </c>
      <c r="E589" s="27">
        <f t="shared" si="196"/>
        <v>1173</v>
      </c>
      <c r="F589" s="27">
        <f t="shared" si="180"/>
        <v>1172</v>
      </c>
      <c r="G589" s="27">
        <f t="shared" si="181"/>
        <v>1172</v>
      </c>
      <c r="H589" s="78">
        <v>1</v>
      </c>
      <c r="I589" s="71" t="s">
        <v>124</v>
      </c>
      <c r="J589" s="139"/>
      <c r="K589" s="147"/>
    </row>
    <row r="590" spans="1:11" x14ac:dyDescent="0.2">
      <c r="A590" s="23"/>
      <c r="B590" s="23"/>
      <c r="C590" s="23"/>
      <c r="D590" s="24"/>
      <c r="E590" s="24"/>
      <c r="F590" s="27">
        <f t="shared" si="180"/>
        <v>-1</v>
      </c>
      <c r="G590" s="27">
        <f t="shared" si="181"/>
        <v>-1</v>
      </c>
      <c r="H590" s="24"/>
      <c r="I590" s="63" t="s">
        <v>125</v>
      </c>
      <c r="J590" s="88"/>
      <c r="K590" s="31"/>
    </row>
    <row r="591" spans="1:11" ht="32.25" customHeight="1" x14ac:dyDescent="0.2">
      <c r="A591" s="23" t="s">
        <v>457</v>
      </c>
      <c r="B591" s="23" t="s">
        <v>457</v>
      </c>
      <c r="C591" s="87" t="s">
        <v>469</v>
      </c>
      <c r="D591" s="24">
        <f>D589+H589</f>
        <v>1174</v>
      </c>
      <c r="E591" s="27">
        <f t="shared" ref="E591:E594" si="198">D591+H591-1</f>
        <v>1174</v>
      </c>
      <c r="F591" s="27">
        <f t="shared" si="180"/>
        <v>1173</v>
      </c>
      <c r="G591" s="27">
        <f t="shared" si="181"/>
        <v>1173</v>
      </c>
      <c r="H591" s="78">
        <v>1</v>
      </c>
      <c r="I591" s="89" t="s">
        <v>126</v>
      </c>
      <c r="J591" s="150" t="s">
        <v>378</v>
      </c>
      <c r="K591" s="147" t="s">
        <v>651</v>
      </c>
    </row>
    <row r="592" spans="1:11" ht="33" customHeight="1" x14ac:dyDescent="0.2">
      <c r="A592" s="23" t="s">
        <v>457</v>
      </c>
      <c r="B592" s="23" t="s">
        <v>457</v>
      </c>
      <c r="C592" s="87" t="s">
        <v>469</v>
      </c>
      <c r="D592" s="24">
        <f t="shared" ref="D592" si="199">D591+H591</f>
        <v>1175</v>
      </c>
      <c r="E592" s="27">
        <f t="shared" si="198"/>
        <v>1175</v>
      </c>
      <c r="F592" s="27">
        <f t="shared" si="180"/>
        <v>1174</v>
      </c>
      <c r="G592" s="27">
        <f t="shared" si="181"/>
        <v>1174</v>
      </c>
      <c r="H592" s="78">
        <v>1</v>
      </c>
      <c r="I592" s="89" t="s">
        <v>127</v>
      </c>
      <c r="J592" s="151"/>
      <c r="K592" s="147"/>
    </row>
    <row r="593" spans="1:11" ht="36.75" customHeight="1" x14ac:dyDescent="0.2">
      <c r="A593" s="23" t="s">
        <v>457</v>
      </c>
      <c r="B593" s="23" t="s">
        <v>457</v>
      </c>
      <c r="C593" s="87" t="s">
        <v>469</v>
      </c>
      <c r="D593" s="24">
        <f t="shared" ref="D593:D594" si="200">D592+H592</f>
        <v>1176</v>
      </c>
      <c r="E593" s="27">
        <f t="shared" si="198"/>
        <v>1176</v>
      </c>
      <c r="F593" s="27">
        <f t="shared" si="180"/>
        <v>1175</v>
      </c>
      <c r="G593" s="27">
        <f t="shared" si="181"/>
        <v>1175</v>
      </c>
      <c r="H593" s="78">
        <v>1</v>
      </c>
      <c r="I593" s="89" t="s">
        <v>128</v>
      </c>
      <c r="J593" s="151"/>
      <c r="K593" s="147"/>
    </row>
    <row r="594" spans="1:11" ht="33" customHeight="1" x14ac:dyDescent="0.2">
      <c r="A594" s="23" t="s">
        <v>457</v>
      </c>
      <c r="B594" s="23" t="s">
        <v>457</v>
      </c>
      <c r="C594" s="87" t="s">
        <v>469</v>
      </c>
      <c r="D594" s="24">
        <f t="shared" si="200"/>
        <v>1177</v>
      </c>
      <c r="E594" s="27">
        <f t="shared" si="198"/>
        <v>1177</v>
      </c>
      <c r="F594" s="27">
        <f t="shared" si="180"/>
        <v>1176</v>
      </c>
      <c r="G594" s="27">
        <f t="shared" si="181"/>
        <v>1176</v>
      </c>
      <c r="H594" s="78">
        <v>1</v>
      </c>
      <c r="I594" s="89" t="s">
        <v>129</v>
      </c>
      <c r="J594" s="151"/>
      <c r="K594" s="147"/>
    </row>
    <row r="595" spans="1:11" x14ac:dyDescent="0.2">
      <c r="A595" s="23"/>
      <c r="B595" s="23"/>
      <c r="C595" s="23"/>
      <c r="D595" s="24"/>
      <c r="E595" s="24"/>
      <c r="F595" s="27">
        <f t="shared" si="180"/>
        <v>-1</v>
      </c>
      <c r="G595" s="27">
        <f t="shared" si="181"/>
        <v>-1</v>
      </c>
      <c r="H595" s="24"/>
      <c r="I595" s="50" t="s">
        <v>130</v>
      </c>
      <c r="J595" s="25"/>
      <c r="K595" s="73"/>
    </row>
    <row r="596" spans="1:11" ht="15.75" customHeight="1" x14ac:dyDescent="0.2">
      <c r="A596" s="23" t="s">
        <v>458</v>
      </c>
      <c r="B596" s="23" t="s">
        <v>458</v>
      </c>
      <c r="C596" s="23" t="s">
        <v>465</v>
      </c>
      <c r="D596" s="24">
        <f>D594+H594</f>
        <v>1178</v>
      </c>
      <c r="E596" s="27">
        <f t="shared" ref="E596:E599" si="201">D596+H596-1</f>
        <v>1178</v>
      </c>
      <c r="F596" s="27">
        <f t="shared" si="180"/>
        <v>1177</v>
      </c>
      <c r="G596" s="27">
        <f t="shared" si="181"/>
        <v>1177</v>
      </c>
      <c r="H596" s="78">
        <v>1</v>
      </c>
      <c r="I596" s="71" t="s">
        <v>131</v>
      </c>
      <c r="J596" s="138" t="s">
        <v>379</v>
      </c>
      <c r="K596" s="147" t="s">
        <v>652</v>
      </c>
    </row>
    <row r="597" spans="1:11" ht="17.25" customHeight="1" x14ac:dyDescent="0.2">
      <c r="A597" s="23" t="s">
        <v>458</v>
      </c>
      <c r="B597" s="23" t="s">
        <v>458</v>
      </c>
      <c r="C597" s="23" t="s">
        <v>465</v>
      </c>
      <c r="D597" s="24">
        <f t="shared" ref="D597" si="202">D596+H596</f>
        <v>1179</v>
      </c>
      <c r="E597" s="27">
        <f t="shared" si="201"/>
        <v>1179</v>
      </c>
      <c r="F597" s="27">
        <f t="shared" si="180"/>
        <v>1178</v>
      </c>
      <c r="G597" s="27">
        <f t="shared" si="181"/>
        <v>1178</v>
      </c>
      <c r="H597" s="78">
        <v>1</v>
      </c>
      <c r="I597" s="71" t="s">
        <v>132</v>
      </c>
      <c r="J597" s="139"/>
      <c r="K597" s="147"/>
    </row>
    <row r="598" spans="1:11" ht="16.5" customHeight="1" x14ac:dyDescent="0.2">
      <c r="A598" s="23" t="s">
        <v>458</v>
      </c>
      <c r="B598" s="23" t="s">
        <v>458</v>
      </c>
      <c r="C598" s="23" t="s">
        <v>465</v>
      </c>
      <c r="D598" s="24">
        <f t="shared" ref="D598:D599" si="203">D597+H597</f>
        <v>1180</v>
      </c>
      <c r="E598" s="27">
        <f t="shared" si="201"/>
        <v>1180</v>
      </c>
      <c r="F598" s="27">
        <f t="shared" si="180"/>
        <v>1179</v>
      </c>
      <c r="G598" s="27">
        <f t="shared" si="181"/>
        <v>1179</v>
      </c>
      <c r="H598" s="78">
        <v>1</v>
      </c>
      <c r="I598" s="71" t="s">
        <v>133</v>
      </c>
      <c r="J598" s="139"/>
      <c r="K598" s="147"/>
    </row>
    <row r="599" spans="1:11" ht="15.75" customHeight="1" x14ac:dyDescent="0.2">
      <c r="A599" s="23" t="s">
        <v>458</v>
      </c>
      <c r="B599" s="23" t="s">
        <v>458</v>
      </c>
      <c r="C599" s="23" t="s">
        <v>465</v>
      </c>
      <c r="D599" s="24">
        <f t="shared" si="203"/>
        <v>1181</v>
      </c>
      <c r="E599" s="27">
        <f t="shared" si="201"/>
        <v>1181</v>
      </c>
      <c r="F599" s="27">
        <f t="shared" si="180"/>
        <v>1180</v>
      </c>
      <c r="G599" s="27">
        <f t="shared" si="181"/>
        <v>1180</v>
      </c>
      <c r="H599" s="78">
        <v>1</v>
      </c>
      <c r="I599" s="71" t="s">
        <v>134</v>
      </c>
      <c r="J599" s="139"/>
      <c r="K599" s="147"/>
    </row>
    <row r="600" spans="1:11" x14ac:dyDescent="0.2">
      <c r="A600" s="23"/>
      <c r="B600" s="23"/>
      <c r="C600" s="23"/>
      <c r="D600" s="24"/>
      <c r="E600" s="24"/>
      <c r="F600" s="27">
        <f t="shared" si="180"/>
        <v>-1</v>
      </c>
      <c r="G600" s="27">
        <f t="shared" si="181"/>
        <v>-1</v>
      </c>
      <c r="H600" s="24"/>
      <c r="I600" s="50" t="s">
        <v>135</v>
      </c>
      <c r="J600" s="25"/>
      <c r="K600" s="73"/>
    </row>
    <row r="601" spans="1:11" ht="25.5" customHeight="1" x14ac:dyDescent="0.2">
      <c r="A601" s="23" t="s">
        <v>457</v>
      </c>
      <c r="B601" s="23" t="s">
        <v>457</v>
      </c>
      <c r="C601" s="23" t="s">
        <v>470</v>
      </c>
      <c r="D601" s="24">
        <f>D599+H599</f>
        <v>1182</v>
      </c>
      <c r="E601" s="27">
        <f t="shared" ref="E601:E605" si="204">D601+H601-1</f>
        <v>1182</v>
      </c>
      <c r="F601" s="27">
        <f t="shared" si="180"/>
        <v>1181</v>
      </c>
      <c r="G601" s="27">
        <f t="shared" si="181"/>
        <v>1181</v>
      </c>
      <c r="H601" s="78">
        <v>1</v>
      </c>
      <c r="I601" s="71" t="s">
        <v>136</v>
      </c>
      <c r="J601" s="138" t="s">
        <v>380</v>
      </c>
      <c r="K601" s="134" t="s">
        <v>653</v>
      </c>
    </row>
    <row r="602" spans="1:11" ht="21" customHeight="1" x14ac:dyDescent="0.2">
      <c r="A602" s="23" t="s">
        <v>457</v>
      </c>
      <c r="B602" s="23" t="s">
        <v>457</v>
      </c>
      <c r="C602" s="23" t="s">
        <v>470</v>
      </c>
      <c r="D602" s="24">
        <f t="shared" ref="D602" si="205">D601+H601</f>
        <v>1183</v>
      </c>
      <c r="E602" s="27">
        <f t="shared" si="204"/>
        <v>1183</v>
      </c>
      <c r="F602" s="27">
        <f t="shared" si="180"/>
        <v>1182</v>
      </c>
      <c r="G602" s="27">
        <f t="shared" si="181"/>
        <v>1182</v>
      </c>
      <c r="H602" s="78">
        <v>1</v>
      </c>
      <c r="I602" s="71" t="s">
        <v>137</v>
      </c>
      <c r="J602" s="139"/>
      <c r="K602" s="134"/>
    </row>
    <row r="603" spans="1:11" ht="19.5" customHeight="1" x14ac:dyDescent="0.2">
      <c r="A603" s="23" t="s">
        <v>457</v>
      </c>
      <c r="B603" s="23" t="s">
        <v>457</v>
      </c>
      <c r="C603" s="23" t="s">
        <v>470</v>
      </c>
      <c r="D603" s="24">
        <f t="shared" ref="D603:D605" si="206">D602+H602</f>
        <v>1184</v>
      </c>
      <c r="E603" s="27">
        <f t="shared" si="204"/>
        <v>1184</v>
      </c>
      <c r="F603" s="27">
        <f t="shared" si="180"/>
        <v>1183</v>
      </c>
      <c r="G603" s="27">
        <f t="shared" si="181"/>
        <v>1183</v>
      </c>
      <c r="H603" s="78">
        <v>1</v>
      </c>
      <c r="I603" s="71" t="s">
        <v>138</v>
      </c>
      <c r="J603" s="139"/>
      <c r="K603" s="134"/>
    </row>
    <row r="604" spans="1:11" ht="19.5" customHeight="1" x14ac:dyDescent="0.2">
      <c r="A604" s="23" t="s">
        <v>457</v>
      </c>
      <c r="B604" s="23" t="s">
        <v>457</v>
      </c>
      <c r="C604" s="23" t="s">
        <v>470</v>
      </c>
      <c r="D604" s="24">
        <f t="shared" si="206"/>
        <v>1185</v>
      </c>
      <c r="E604" s="27">
        <f t="shared" si="204"/>
        <v>1185</v>
      </c>
      <c r="F604" s="27">
        <f t="shared" si="180"/>
        <v>1184</v>
      </c>
      <c r="G604" s="27">
        <f t="shared" si="181"/>
        <v>1184</v>
      </c>
      <c r="H604" s="78">
        <v>1</v>
      </c>
      <c r="I604" s="71" t="s">
        <v>139</v>
      </c>
      <c r="J604" s="139"/>
      <c r="K604" s="134"/>
    </row>
    <row r="605" spans="1:11" x14ac:dyDescent="0.2">
      <c r="A605" s="23"/>
      <c r="B605" s="23"/>
      <c r="C605" s="23"/>
      <c r="D605" s="24">
        <f t="shared" si="206"/>
        <v>1186</v>
      </c>
      <c r="E605" s="27">
        <f t="shared" si="204"/>
        <v>1205</v>
      </c>
      <c r="F605" s="27">
        <f t="shared" si="180"/>
        <v>1185</v>
      </c>
      <c r="G605" s="27">
        <f t="shared" si="181"/>
        <v>1204</v>
      </c>
      <c r="H605" s="24">
        <v>20</v>
      </c>
      <c r="I605" s="71" t="s">
        <v>100</v>
      </c>
      <c r="J605" s="25"/>
      <c r="K605" s="73"/>
    </row>
    <row r="606" spans="1:11" x14ac:dyDescent="0.2">
      <c r="A606" s="23"/>
      <c r="B606" s="23"/>
      <c r="C606" s="23"/>
      <c r="D606" s="24"/>
      <c r="E606" s="24"/>
      <c r="F606" s="27">
        <f t="shared" si="180"/>
        <v>-1</v>
      </c>
      <c r="G606" s="27">
        <f t="shared" si="181"/>
        <v>-1</v>
      </c>
      <c r="H606" s="24"/>
      <c r="I606" s="50" t="s">
        <v>140</v>
      </c>
      <c r="J606" s="25"/>
      <c r="K606" s="73"/>
    </row>
    <row r="607" spans="1:11" x14ac:dyDescent="0.2">
      <c r="A607" s="23"/>
      <c r="B607" s="23"/>
      <c r="C607" s="23"/>
      <c r="D607" s="24"/>
      <c r="E607" s="24"/>
      <c r="F607" s="27">
        <f t="shared" si="180"/>
        <v>-1</v>
      </c>
      <c r="G607" s="27">
        <f t="shared" si="181"/>
        <v>-1</v>
      </c>
      <c r="H607" s="24"/>
      <c r="I607" s="50" t="s">
        <v>141</v>
      </c>
      <c r="J607" s="25"/>
      <c r="K607" s="73"/>
    </row>
    <row r="608" spans="1:11" ht="56.25" customHeight="1" x14ac:dyDescent="0.2">
      <c r="A608" s="23" t="s">
        <v>457</v>
      </c>
      <c r="B608" s="23" t="s">
        <v>457</v>
      </c>
      <c r="C608" s="23"/>
      <c r="D608" s="24">
        <f>D605+H605</f>
        <v>1206</v>
      </c>
      <c r="E608" s="27">
        <f t="shared" ref="E608:E611" si="207">D608+H608-1</f>
        <v>1206</v>
      </c>
      <c r="F608" s="27">
        <f t="shared" si="180"/>
        <v>1205</v>
      </c>
      <c r="G608" s="27">
        <f t="shared" si="181"/>
        <v>1205</v>
      </c>
      <c r="H608" s="24">
        <v>1</v>
      </c>
      <c r="I608" s="71" t="s">
        <v>142</v>
      </c>
      <c r="J608" s="141" t="s">
        <v>610</v>
      </c>
      <c r="K608" s="147" t="s">
        <v>609</v>
      </c>
    </row>
    <row r="609" spans="1:11" ht="56.25" customHeight="1" x14ac:dyDescent="0.2">
      <c r="A609" s="23" t="s">
        <v>457</v>
      </c>
      <c r="B609" s="23" t="s">
        <v>457</v>
      </c>
      <c r="C609" s="23"/>
      <c r="D609" s="24">
        <f t="shared" ref="D609" si="208">D608+H608</f>
        <v>1207</v>
      </c>
      <c r="E609" s="27">
        <f t="shared" si="207"/>
        <v>1207</v>
      </c>
      <c r="F609" s="27">
        <f t="shared" si="180"/>
        <v>1206</v>
      </c>
      <c r="G609" s="27">
        <f t="shared" si="181"/>
        <v>1206</v>
      </c>
      <c r="H609" s="24">
        <v>1</v>
      </c>
      <c r="I609" s="71" t="s">
        <v>143</v>
      </c>
      <c r="J609" s="146"/>
      <c r="K609" s="147"/>
    </row>
    <row r="610" spans="1:11" ht="56.25" customHeight="1" x14ac:dyDescent="0.2">
      <c r="A610" s="23" t="s">
        <v>457</v>
      </c>
      <c r="B610" s="23" t="s">
        <v>457</v>
      </c>
      <c r="C610" s="23"/>
      <c r="D610" s="24">
        <f t="shared" ref="D610:D611" si="209">D609+H609</f>
        <v>1208</v>
      </c>
      <c r="E610" s="27">
        <f t="shared" si="207"/>
        <v>1208</v>
      </c>
      <c r="F610" s="27">
        <f t="shared" si="180"/>
        <v>1207</v>
      </c>
      <c r="G610" s="27">
        <f t="shared" si="181"/>
        <v>1207</v>
      </c>
      <c r="H610" s="24">
        <v>1</v>
      </c>
      <c r="I610" s="71" t="s">
        <v>144</v>
      </c>
      <c r="J610" s="146"/>
      <c r="K610" s="147"/>
    </row>
    <row r="611" spans="1:11" ht="67.5" customHeight="1" x14ac:dyDescent="0.2">
      <c r="A611" s="23" t="s">
        <v>457</v>
      </c>
      <c r="B611" s="23" t="s">
        <v>457</v>
      </c>
      <c r="C611" s="23"/>
      <c r="D611" s="24">
        <f t="shared" si="209"/>
        <v>1209</v>
      </c>
      <c r="E611" s="27">
        <f t="shared" si="207"/>
        <v>1209</v>
      </c>
      <c r="F611" s="27">
        <f t="shared" si="180"/>
        <v>1208</v>
      </c>
      <c r="G611" s="27">
        <f t="shared" si="181"/>
        <v>1208</v>
      </c>
      <c r="H611" s="24">
        <v>1</v>
      </c>
      <c r="I611" s="71" t="s">
        <v>145</v>
      </c>
      <c r="J611" s="146"/>
      <c r="K611" s="147"/>
    </row>
    <row r="612" spans="1:11" x14ac:dyDescent="0.2">
      <c r="A612" s="90"/>
      <c r="B612" s="90"/>
      <c r="C612" s="90"/>
      <c r="D612" s="58"/>
      <c r="E612" s="58"/>
      <c r="F612" s="27">
        <f t="shared" si="180"/>
        <v>-1</v>
      </c>
      <c r="G612" s="27">
        <f t="shared" si="181"/>
        <v>-1</v>
      </c>
      <c r="H612" s="58"/>
      <c r="I612" s="91" t="s">
        <v>146</v>
      </c>
      <c r="J612" s="92"/>
      <c r="K612" s="93"/>
    </row>
    <row r="613" spans="1:11" ht="32.25" customHeight="1" x14ac:dyDescent="0.2">
      <c r="A613" s="90" t="s">
        <v>458</v>
      </c>
      <c r="B613" s="90" t="s">
        <v>458</v>
      </c>
      <c r="C613" s="90"/>
      <c r="D613" s="58"/>
      <c r="E613" s="59"/>
      <c r="F613" s="27">
        <f t="shared" si="180"/>
        <v>-1</v>
      </c>
      <c r="G613" s="27">
        <f t="shared" si="181"/>
        <v>-1</v>
      </c>
      <c r="H613" s="58"/>
      <c r="I613" s="94" t="s">
        <v>147</v>
      </c>
      <c r="J613" s="148" t="s">
        <v>455</v>
      </c>
      <c r="K613" s="149" t="s">
        <v>608</v>
      </c>
    </row>
    <row r="614" spans="1:11" ht="34.5" customHeight="1" x14ac:dyDescent="0.2">
      <c r="A614" s="90" t="s">
        <v>458</v>
      </c>
      <c r="B614" s="90" t="s">
        <v>458</v>
      </c>
      <c r="C614" s="90"/>
      <c r="D614" s="58"/>
      <c r="E614" s="59"/>
      <c r="F614" s="27">
        <f t="shared" si="180"/>
        <v>-1</v>
      </c>
      <c r="G614" s="27">
        <f t="shared" si="181"/>
        <v>-1</v>
      </c>
      <c r="H614" s="58"/>
      <c r="I614" s="94" t="s">
        <v>148</v>
      </c>
      <c r="J614" s="148"/>
      <c r="K614" s="149"/>
    </row>
    <row r="615" spans="1:11" ht="33" customHeight="1" x14ac:dyDescent="0.2">
      <c r="A615" s="90" t="s">
        <v>458</v>
      </c>
      <c r="B615" s="90" t="s">
        <v>458</v>
      </c>
      <c r="C615" s="90"/>
      <c r="D615" s="58"/>
      <c r="E615" s="59"/>
      <c r="F615" s="27">
        <f t="shared" si="180"/>
        <v>-1</v>
      </c>
      <c r="G615" s="27">
        <f t="shared" si="181"/>
        <v>-1</v>
      </c>
      <c r="H615" s="58"/>
      <c r="I615" s="94" t="s">
        <v>149</v>
      </c>
      <c r="J615" s="148"/>
      <c r="K615" s="149"/>
    </row>
    <row r="616" spans="1:11" ht="32.25" customHeight="1" x14ac:dyDescent="0.2">
      <c r="A616" s="90" t="s">
        <v>458</v>
      </c>
      <c r="B616" s="90" t="s">
        <v>458</v>
      </c>
      <c r="C616" s="90"/>
      <c r="D616" s="58"/>
      <c r="E616" s="59"/>
      <c r="F616" s="27">
        <f t="shared" si="180"/>
        <v>-1</v>
      </c>
      <c r="G616" s="27">
        <f t="shared" si="181"/>
        <v>-1</v>
      </c>
      <c r="H616" s="58"/>
      <c r="I616" s="94" t="s">
        <v>150</v>
      </c>
      <c r="J616" s="148"/>
      <c r="K616" s="149"/>
    </row>
    <row r="617" spans="1:11" x14ac:dyDescent="0.2">
      <c r="A617" s="90"/>
      <c r="B617" s="90"/>
      <c r="C617" s="90"/>
      <c r="D617" s="58"/>
      <c r="E617" s="58"/>
      <c r="F617" s="27">
        <f t="shared" si="180"/>
        <v>-1</v>
      </c>
      <c r="G617" s="27">
        <f t="shared" si="181"/>
        <v>-1</v>
      </c>
      <c r="H617" s="58"/>
      <c r="I617" s="91" t="s">
        <v>151</v>
      </c>
      <c r="J617" s="92"/>
      <c r="K617" s="95"/>
    </row>
    <row r="618" spans="1:11" ht="25.5" customHeight="1" x14ac:dyDescent="0.2">
      <c r="A618" s="90" t="s">
        <v>458</v>
      </c>
      <c r="B618" s="90" t="s">
        <v>458</v>
      </c>
      <c r="C618" s="90"/>
      <c r="D618" s="58"/>
      <c r="E618" s="59"/>
      <c r="F618" s="27">
        <f t="shared" si="180"/>
        <v>-1</v>
      </c>
      <c r="G618" s="27">
        <f t="shared" si="181"/>
        <v>-1</v>
      </c>
      <c r="H618" s="58"/>
      <c r="I618" s="94" t="s">
        <v>152</v>
      </c>
      <c r="J618" s="145" t="s">
        <v>456</v>
      </c>
      <c r="K618" s="145" t="s">
        <v>569</v>
      </c>
    </row>
    <row r="619" spans="1:11" ht="22.5" customHeight="1" x14ac:dyDescent="0.2">
      <c r="A619" s="90" t="s">
        <v>458</v>
      </c>
      <c r="B619" s="90" t="s">
        <v>458</v>
      </c>
      <c r="C619" s="90"/>
      <c r="D619" s="58"/>
      <c r="E619" s="59"/>
      <c r="F619" s="27">
        <f t="shared" si="180"/>
        <v>-1</v>
      </c>
      <c r="G619" s="27">
        <f t="shared" si="181"/>
        <v>-1</v>
      </c>
      <c r="H619" s="58"/>
      <c r="I619" s="94" t="s">
        <v>153</v>
      </c>
      <c r="J619" s="145"/>
      <c r="K619" s="145"/>
    </row>
    <row r="620" spans="1:11" ht="22.5" customHeight="1" x14ac:dyDescent="0.2">
      <c r="A620" s="90" t="s">
        <v>458</v>
      </c>
      <c r="B620" s="90" t="s">
        <v>458</v>
      </c>
      <c r="C620" s="90"/>
      <c r="D620" s="58"/>
      <c r="E620" s="59"/>
      <c r="F620" s="27">
        <f t="shared" ref="F620:F683" si="210">D620-1</f>
        <v>-1</v>
      </c>
      <c r="G620" s="27">
        <f t="shared" ref="G620:G683" si="211">E620-1</f>
        <v>-1</v>
      </c>
      <c r="H620" s="58"/>
      <c r="I620" s="94" t="s">
        <v>154</v>
      </c>
      <c r="J620" s="145"/>
      <c r="K620" s="145"/>
    </row>
    <row r="621" spans="1:11" ht="22.5" customHeight="1" x14ac:dyDescent="0.2">
      <c r="A621" s="90" t="s">
        <v>458</v>
      </c>
      <c r="B621" s="90" t="s">
        <v>458</v>
      </c>
      <c r="C621" s="90"/>
      <c r="D621" s="58"/>
      <c r="E621" s="59"/>
      <c r="F621" s="27">
        <f t="shared" si="210"/>
        <v>-1</v>
      </c>
      <c r="G621" s="27">
        <f t="shared" si="211"/>
        <v>-1</v>
      </c>
      <c r="H621" s="58"/>
      <c r="I621" s="94" t="s">
        <v>155</v>
      </c>
      <c r="J621" s="145"/>
      <c r="K621" s="145"/>
    </row>
    <row r="622" spans="1:11" x14ac:dyDescent="0.2">
      <c r="A622" s="23"/>
      <c r="B622" s="23"/>
      <c r="C622" s="23"/>
      <c r="D622" s="45">
        <f>D611+H611</f>
        <v>1210</v>
      </c>
      <c r="E622" s="27">
        <f t="shared" ref="E622" si="212">D622+H622-1</f>
        <v>1227</v>
      </c>
      <c r="F622" s="27">
        <f t="shared" si="210"/>
        <v>1209</v>
      </c>
      <c r="G622" s="27">
        <f t="shared" si="211"/>
        <v>1226</v>
      </c>
      <c r="H622" s="45">
        <v>18</v>
      </c>
      <c r="I622" s="71" t="s">
        <v>100</v>
      </c>
      <c r="J622" s="25"/>
      <c r="K622" s="73"/>
    </row>
    <row r="623" spans="1:11" x14ac:dyDescent="0.2">
      <c r="A623" s="23"/>
      <c r="B623" s="23"/>
      <c r="C623" s="23"/>
      <c r="D623" s="24"/>
      <c r="E623" s="24"/>
      <c r="F623" s="27">
        <f t="shared" si="210"/>
        <v>-1</v>
      </c>
      <c r="G623" s="27">
        <f t="shared" si="211"/>
        <v>-1</v>
      </c>
      <c r="H623" s="24"/>
      <c r="I623" s="50" t="s">
        <v>210</v>
      </c>
      <c r="J623" s="25"/>
      <c r="K623" s="73"/>
    </row>
    <row r="624" spans="1:11" ht="27.75" customHeight="1" x14ac:dyDescent="0.2">
      <c r="A624" s="23" t="s">
        <v>457</v>
      </c>
      <c r="B624" s="23" t="s">
        <v>457</v>
      </c>
      <c r="C624" s="23" t="s">
        <v>467</v>
      </c>
      <c r="D624" s="24">
        <f>D622+H622</f>
        <v>1228</v>
      </c>
      <c r="E624" s="27">
        <f t="shared" ref="E624:E632" si="213">D624+H624-1</f>
        <v>1229</v>
      </c>
      <c r="F624" s="27">
        <f t="shared" si="210"/>
        <v>1227</v>
      </c>
      <c r="G624" s="27">
        <f t="shared" si="211"/>
        <v>1228</v>
      </c>
      <c r="H624" s="24">
        <v>2</v>
      </c>
      <c r="I624" s="74" t="s">
        <v>211</v>
      </c>
      <c r="J624" s="143" t="s">
        <v>408</v>
      </c>
      <c r="K624" s="144" t="s">
        <v>654</v>
      </c>
    </row>
    <row r="625" spans="1:11" ht="25.5" customHeight="1" x14ac:dyDescent="0.2">
      <c r="A625" s="23" t="s">
        <v>457</v>
      </c>
      <c r="B625" s="23" t="s">
        <v>457</v>
      </c>
      <c r="C625" s="23" t="s">
        <v>467</v>
      </c>
      <c r="D625" s="24">
        <f t="shared" ref="D625" si="214">D624+H624</f>
        <v>1230</v>
      </c>
      <c r="E625" s="27">
        <f t="shared" si="213"/>
        <v>1231</v>
      </c>
      <c r="F625" s="27">
        <f t="shared" si="210"/>
        <v>1229</v>
      </c>
      <c r="G625" s="27">
        <f t="shared" si="211"/>
        <v>1230</v>
      </c>
      <c r="H625" s="24">
        <v>2</v>
      </c>
      <c r="I625" s="74" t="s">
        <v>212</v>
      </c>
      <c r="J625" s="143"/>
      <c r="K625" s="144"/>
    </row>
    <row r="626" spans="1:11" ht="26.25" customHeight="1" x14ac:dyDescent="0.2">
      <c r="A626" s="23" t="s">
        <v>457</v>
      </c>
      <c r="B626" s="23" t="s">
        <v>457</v>
      </c>
      <c r="C626" s="23" t="s">
        <v>467</v>
      </c>
      <c r="D626" s="24">
        <f t="shared" ref="D626:D632" si="215">D625+H625</f>
        <v>1232</v>
      </c>
      <c r="E626" s="27">
        <f t="shared" si="213"/>
        <v>1233</v>
      </c>
      <c r="F626" s="27">
        <f t="shared" si="210"/>
        <v>1231</v>
      </c>
      <c r="G626" s="27">
        <f t="shared" si="211"/>
        <v>1232</v>
      </c>
      <c r="H626" s="24">
        <v>2</v>
      </c>
      <c r="I626" s="74" t="s">
        <v>213</v>
      </c>
      <c r="J626" s="143"/>
      <c r="K626" s="144"/>
    </row>
    <row r="627" spans="1:11" ht="21" customHeight="1" x14ac:dyDescent="0.2">
      <c r="A627" s="23" t="s">
        <v>457</v>
      </c>
      <c r="B627" s="23" t="s">
        <v>457</v>
      </c>
      <c r="C627" s="23" t="s">
        <v>467</v>
      </c>
      <c r="D627" s="24">
        <f t="shared" si="215"/>
        <v>1234</v>
      </c>
      <c r="E627" s="27">
        <f t="shared" si="213"/>
        <v>1235</v>
      </c>
      <c r="F627" s="27">
        <f t="shared" si="210"/>
        <v>1233</v>
      </c>
      <c r="G627" s="27">
        <f t="shared" si="211"/>
        <v>1234</v>
      </c>
      <c r="H627" s="24">
        <v>2</v>
      </c>
      <c r="I627" s="74" t="s">
        <v>214</v>
      </c>
      <c r="J627" s="143"/>
      <c r="K627" s="144"/>
    </row>
    <row r="628" spans="1:11" ht="29.25" customHeight="1" x14ac:dyDescent="0.2">
      <c r="A628" s="23" t="s">
        <v>457</v>
      </c>
      <c r="B628" s="23" t="s">
        <v>457</v>
      </c>
      <c r="C628" s="23" t="s">
        <v>472</v>
      </c>
      <c r="D628" s="24">
        <f t="shared" si="215"/>
        <v>1236</v>
      </c>
      <c r="E628" s="27">
        <f t="shared" si="213"/>
        <v>1238</v>
      </c>
      <c r="F628" s="27">
        <f t="shared" si="210"/>
        <v>1235</v>
      </c>
      <c r="G628" s="27">
        <f t="shared" si="211"/>
        <v>1237</v>
      </c>
      <c r="H628" s="24">
        <v>3</v>
      </c>
      <c r="I628" s="74" t="s">
        <v>215</v>
      </c>
      <c r="J628" s="143" t="s">
        <v>409</v>
      </c>
      <c r="K628" s="140" t="s">
        <v>655</v>
      </c>
    </row>
    <row r="629" spans="1:11" ht="30" customHeight="1" x14ac:dyDescent="0.2">
      <c r="A629" s="23" t="s">
        <v>457</v>
      </c>
      <c r="B629" s="23" t="s">
        <v>457</v>
      </c>
      <c r="C629" s="23" t="s">
        <v>472</v>
      </c>
      <c r="D629" s="24">
        <f t="shared" si="215"/>
        <v>1239</v>
      </c>
      <c r="E629" s="27">
        <f t="shared" si="213"/>
        <v>1241</v>
      </c>
      <c r="F629" s="27">
        <f t="shared" si="210"/>
        <v>1238</v>
      </c>
      <c r="G629" s="27">
        <f t="shared" si="211"/>
        <v>1240</v>
      </c>
      <c r="H629" s="24">
        <v>3</v>
      </c>
      <c r="I629" s="74" t="s">
        <v>216</v>
      </c>
      <c r="J629" s="143"/>
      <c r="K629" s="140"/>
    </row>
    <row r="630" spans="1:11" ht="31.5" customHeight="1" x14ac:dyDescent="0.2">
      <c r="A630" s="23" t="s">
        <v>457</v>
      </c>
      <c r="B630" s="23" t="s">
        <v>457</v>
      </c>
      <c r="C630" s="23" t="s">
        <v>472</v>
      </c>
      <c r="D630" s="24">
        <f t="shared" si="215"/>
        <v>1242</v>
      </c>
      <c r="E630" s="27">
        <f t="shared" si="213"/>
        <v>1244</v>
      </c>
      <c r="F630" s="27">
        <f t="shared" si="210"/>
        <v>1241</v>
      </c>
      <c r="G630" s="27">
        <f t="shared" si="211"/>
        <v>1243</v>
      </c>
      <c r="H630" s="24">
        <v>3</v>
      </c>
      <c r="I630" s="74" t="s">
        <v>217</v>
      </c>
      <c r="J630" s="143"/>
      <c r="K630" s="140"/>
    </row>
    <row r="631" spans="1:11" ht="36.75" customHeight="1" x14ac:dyDescent="0.2">
      <c r="A631" s="23" t="s">
        <v>457</v>
      </c>
      <c r="B631" s="23" t="s">
        <v>457</v>
      </c>
      <c r="C631" s="23" t="s">
        <v>472</v>
      </c>
      <c r="D631" s="24">
        <f t="shared" si="215"/>
        <v>1245</v>
      </c>
      <c r="E631" s="27">
        <f t="shared" si="213"/>
        <v>1247</v>
      </c>
      <c r="F631" s="27">
        <f t="shared" si="210"/>
        <v>1244</v>
      </c>
      <c r="G631" s="27">
        <f t="shared" si="211"/>
        <v>1246</v>
      </c>
      <c r="H631" s="24">
        <v>3</v>
      </c>
      <c r="I631" s="74" t="s">
        <v>218</v>
      </c>
      <c r="J631" s="143"/>
      <c r="K631" s="140"/>
    </row>
    <row r="632" spans="1:11" x14ac:dyDescent="0.2">
      <c r="A632" s="23"/>
      <c r="B632" s="23"/>
      <c r="C632" s="23"/>
      <c r="D632" s="24">
        <f t="shared" si="215"/>
        <v>1248</v>
      </c>
      <c r="E632" s="46">
        <f t="shared" si="213"/>
        <v>1273</v>
      </c>
      <c r="F632" s="27">
        <f t="shared" si="210"/>
        <v>1247</v>
      </c>
      <c r="G632" s="27">
        <f t="shared" si="211"/>
        <v>1272</v>
      </c>
      <c r="H632" s="45">
        <v>26</v>
      </c>
      <c r="I632" s="74" t="s">
        <v>100</v>
      </c>
      <c r="J632" s="25"/>
      <c r="K632" s="73"/>
    </row>
    <row r="633" spans="1:11" x14ac:dyDescent="0.2">
      <c r="A633" s="23"/>
      <c r="B633" s="23"/>
      <c r="C633" s="23"/>
      <c r="D633" s="24"/>
      <c r="E633" s="27"/>
      <c r="F633" s="27">
        <f t="shared" si="210"/>
        <v>-1</v>
      </c>
      <c r="G633" s="27">
        <f t="shared" si="211"/>
        <v>-1</v>
      </c>
      <c r="H633" s="24"/>
      <c r="I633" s="96" t="s">
        <v>656</v>
      </c>
      <c r="J633" s="25"/>
      <c r="K633" s="73"/>
    </row>
    <row r="634" spans="1:11" ht="12.75" customHeight="1" x14ac:dyDescent="0.2">
      <c r="A634" s="43" t="s">
        <v>457</v>
      </c>
      <c r="B634" s="43" t="s">
        <v>457</v>
      </c>
      <c r="C634" s="43"/>
      <c r="D634" s="45">
        <f>D632+H632</f>
        <v>1274</v>
      </c>
      <c r="E634" s="46">
        <f t="shared" ref="E634" si="216">D634+H634-1</f>
        <v>1274</v>
      </c>
      <c r="F634" s="27">
        <f t="shared" si="210"/>
        <v>1273</v>
      </c>
      <c r="G634" s="27">
        <f t="shared" si="211"/>
        <v>1273</v>
      </c>
      <c r="H634" s="45">
        <v>1</v>
      </c>
      <c r="I634" s="52" t="s">
        <v>657</v>
      </c>
      <c r="J634" s="141" t="s">
        <v>579</v>
      </c>
      <c r="K634" s="147" t="s">
        <v>661</v>
      </c>
    </row>
    <row r="635" spans="1:11" x14ac:dyDescent="0.2">
      <c r="A635" s="43" t="s">
        <v>457</v>
      </c>
      <c r="B635" s="43" t="s">
        <v>457</v>
      </c>
      <c r="C635" s="43"/>
      <c r="D635" s="45">
        <f t="shared" ref="D635:D637" si="217">D634+H634</f>
        <v>1275</v>
      </c>
      <c r="E635" s="46">
        <f t="shared" ref="E635:E637" si="218">D635+H635-1</f>
        <v>1275</v>
      </c>
      <c r="F635" s="27">
        <f t="shared" si="210"/>
        <v>1274</v>
      </c>
      <c r="G635" s="27">
        <f t="shared" si="211"/>
        <v>1274</v>
      </c>
      <c r="H635" s="45">
        <v>1</v>
      </c>
      <c r="I635" s="52" t="s">
        <v>658</v>
      </c>
      <c r="J635" s="141"/>
      <c r="K635" s="147"/>
    </row>
    <row r="636" spans="1:11" x14ac:dyDescent="0.2">
      <c r="A636" s="43" t="s">
        <v>457</v>
      </c>
      <c r="B636" s="43" t="s">
        <v>457</v>
      </c>
      <c r="C636" s="43"/>
      <c r="D636" s="45">
        <f t="shared" si="217"/>
        <v>1276</v>
      </c>
      <c r="E636" s="46">
        <f t="shared" si="218"/>
        <v>1276</v>
      </c>
      <c r="F636" s="27">
        <f t="shared" si="210"/>
        <v>1275</v>
      </c>
      <c r="G636" s="27">
        <f t="shared" si="211"/>
        <v>1275</v>
      </c>
      <c r="H636" s="45">
        <v>1</v>
      </c>
      <c r="I636" s="52" t="s">
        <v>659</v>
      </c>
      <c r="J636" s="141"/>
      <c r="K636" s="147"/>
    </row>
    <row r="637" spans="1:11" x14ac:dyDescent="0.2">
      <c r="A637" s="43" t="s">
        <v>457</v>
      </c>
      <c r="B637" s="43" t="s">
        <v>457</v>
      </c>
      <c r="C637" s="43"/>
      <c r="D637" s="45">
        <f t="shared" si="217"/>
        <v>1277</v>
      </c>
      <c r="E637" s="46">
        <f t="shared" si="218"/>
        <v>1277</v>
      </c>
      <c r="F637" s="27">
        <f t="shared" si="210"/>
        <v>1276</v>
      </c>
      <c r="G637" s="27">
        <f t="shared" si="211"/>
        <v>1276</v>
      </c>
      <c r="H637" s="45">
        <v>1</v>
      </c>
      <c r="I637" s="52" t="s">
        <v>660</v>
      </c>
      <c r="J637" s="141"/>
      <c r="K637" s="147"/>
    </row>
    <row r="638" spans="1:11" x14ac:dyDescent="0.2">
      <c r="A638" s="23"/>
      <c r="B638" s="23"/>
      <c r="C638" s="23"/>
      <c r="D638" s="24"/>
      <c r="E638" s="24"/>
      <c r="F638" s="27">
        <f t="shared" si="210"/>
        <v>-1</v>
      </c>
      <c r="G638" s="27">
        <f t="shared" si="211"/>
        <v>-1</v>
      </c>
      <c r="H638" s="24"/>
      <c r="I638" s="96" t="s">
        <v>300</v>
      </c>
      <c r="J638" s="25"/>
      <c r="K638" s="73"/>
    </row>
    <row r="639" spans="1:11" ht="63.75" x14ac:dyDescent="0.2">
      <c r="A639" s="23" t="s">
        <v>457</v>
      </c>
      <c r="B639" s="23" t="s">
        <v>457</v>
      </c>
      <c r="C639" s="23"/>
      <c r="D639" s="24">
        <f>D637+H637</f>
        <v>1278</v>
      </c>
      <c r="E639" s="27">
        <f t="shared" ref="E639:E643" si="219">D639+H639-1</f>
        <v>1283</v>
      </c>
      <c r="F639" s="27">
        <f t="shared" si="210"/>
        <v>1277</v>
      </c>
      <c r="G639" s="27">
        <f t="shared" si="211"/>
        <v>1282</v>
      </c>
      <c r="H639" s="24">
        <v>6</v>
      </c>
      <c r="I639" s="74" t="s">
        <v>231</v>
      </c>
      <c r="J639" s="32" t="s">
        <v>413</v>
      </c>
      <c r="K639" s="32" t="s">
        <v>414</v>
      </c>
    </row>
    <row r="640" spans="1:11" ht="24.75" customHeight="1" x14ac:dyDescent="0.2">
      <c r="A640" s="23" t="s">
        <v>457</v>
      </c>
      <c r="B640" s="23" t="s">
        <v>457</v>
      </c>
      <c r="C640" s="23"/>
      <c r="D640" s="24">
        <f t="shared" ref="D640" si="220">D639+H639</f>
        <v>1284</v>
      </c>
      <c r="E640" s="27">
        <f t="shared" si="219"/>
        <v>1289</v>
      </c>
      <c r="F640" s="27">
        <f t="shared" si="210"/>
        <v>1283</v>
      </c>
      <c r="G640" s="27">
        <f t="shared" si="211"/>
        <v>1288</v>
      </c>
      <c r="H640" s="24">
        <v>6</v>
      </c>
      <c r="I640" s="74" t="s">
        <v>227</v>
      </c>
      <c r="J640" s="143" t="s">
        <v>415</v>
      </c>
      <c r="K640" s="140" t="s">
        <v>664</v>
      </c>
    </row>
    <row r="641" spans="1:11" ht="22.5" customHeight="1" x14ac:dyDescent="0.2">
      <c r="A641" s="23" t="s">
        <v>457</v>
      </c>
      <c r="B641" s="23" t="s">
        <v>457</v>
      </c>
      <c r="C641" s="23"/>
      <c r="D641" s="24">
        <f t="shared" ref="D641:D643" si="221">D640+H640</f>
        <v>1290</v>
      </c>
      <c r="E641" s="27">
        <f t="shared" si="219"/>
        <v>1295</v>
      </c>
      <c r="F641" s="27">
        <f t="shared" si="210"/>
        <v>1289</v>
      </c>
      <c r="G641" s="27">
        <f t="shared" si="211"/>
        <v>1294</v>
      </c>
      <c r="H641" s="24">
        <v>6</v>
      </c>
      <c r="I641" s="74" t="s">
        <v>228</v>
      </c>
      <c r="J641" s="143"/>
      <c r="K641" s="140"/>
    </row>
    <row r="642" spans="1:11" ht="23.25" customHeight="1" x14ac:dyDescent="0.2">
      <c r="A642" s="23" t="s">
        <v>457</v>
      </c>
      <c r="B642" s="23" t="s">
        <v>457</v>
      </c>
      <c r="C642" s="23"/>
      <c r="D642" s="24">
        <f t="shared" si="221"/>
        <v>1296</v>
      </c>
      <c r="E642" s="27">
        <f t="shared" si="219"/>
        <v>1301</v>
      </c>
      <c r="F642" s="27">
        <f t="shared" si="210"/>
        <v>1295</v>
      </c>
      <c r="G642" s="27">
        <f t="shared" si="211"/>
        <v>1300</v>
      </c>
      <c r="H642" s="24">
        <v>6</v>
      </c>
      <c r="I642" s="74" t="s">
        <v>229</v>
      </c>
      <c r="J642" s="143"/>
      <c r="K642" s="140"/>
    </row>
    <row r="643" spans="1:11" ht="22.5" customHeight="1" x14ac:dyDescent="0.2">
      <c r="A643" s="23" t="s">
        <v>457</v>
      </c>
      <c r="B643" s="23" t="s">
        <v>457</v>
      </c>
      <c r="C643" s="23"/>
      <c r="D643" s="24">
        <f t="shared" si="221"/>
        <v>1302</v>
      </c>
      <c r="E643" s="27">
        <f t="shared" si="219"/>
        <v>1307</v>
      </c>
      <c r="F643" s="27">
        <f t="shared" si="210"/>
        <v>1301</v>
      </c>
      <c r="G643" s="27">
        <f t="shared" si="211"/>
        <v>1306</v>
      </c>
      <c r="H643" s="24">
        <v>6</v>
      </c>
      <c r="I643" s="74" t="s">
        <v>230</v>
      </c>
      <c r="J643" s="143"/>
      <c r="K643" s="140"/>
    </row>
    <row r="644" spans="1:11" x14ac:dyDescent="0.2">
      <c r="A644" s="23"/>
      <c r="B644" s="23"/>
      <c r="C644" s="23"/>
      <c r="D644" s="24"/>
      <c r="E644" s="24"/>
      <c r="F644" s="27">
        <f t="shared" si="210"/>
        <v>-1</v>
      </c>
      <c r="G644" s="27">
        <f t="shared" si="211"/>
        <v>-1</v>
      </c>
      <c r="H644" s="24"/>
      <c r="I644" s="96" t="s">
        <v>295</v>
      </c>
      <c r="J644" s="25"/>
      <c r="K644" s="73"/>
    </row>
    <row r="645" spans="1:11" ht="30" customHeight="1" x14ac:dyDescent="0.2">
      <c r="A645" s="23" t="s">
        <v>458</v>
      </c>
      <c r="B645" s="23" t="s">
        <v>458</v>
      </c>
      <c r="C645" s="23"/>
      <c r="D645" s="24">
        <f>D643+H643</f>
        <v>1308</v>
      </c>
      <c r="E645" s="27">
        <f t="shared" ref="E645:E648" si="222">D645+H645-1</f>
        <v>1308</v>
      </c>
      <c r="F645" s="27">
        <f t="shared" si="210"/>
        <v>1307</v>
      </c>
      <c r="G645" s="27">
        <f t="shared" si="211"/>
        <v>1307</v>
      </c>
      <c r="H645" s="24">
        <v>1</v>
      </c>
      <c r="I645" s="74" t="s">
        <v>296</v>
      </c>
      <c r="J645" s="140" t="s">
        <v>662</v>
      </c>
      <c r="K645" s="140" t="s">
        <v>663</v>
      </c>
    </row>
    <row r="646" spans="1:11" ht="30" customHeight="1" x14ac:dyDescent="0.2">
      <c r="A646" s="23" t="s">
        <v>458</v>
      </c>
      <c r="B646" s="23" t="s">
        <v>458</v>
      </c>
      <c r="C646" s="23"/>
      <c r="D646" s="24">
        <f t="shared" ref="D646" si="223">D645+H645</f>
        <v>1309</v>
      </c>
      <c r="E646" s="27">
        <f t="shared" si="222"/>
        <v>1309</v>
      </c>
      <c r="F646" s="27">
        <f t="shared" si="210"/>
        <v>1308</v>
      </c>
      <c r="G646" s="27">
        <f t="shared" si="211"/>
        <v>1308</v>
      </c>
      <c r="H646" s="24">
        <v>1</v>
      </c>
      <c r="I646" s="74" t="s">
        <v>297</v>
      </c>
      <c r="J646" s="140"/>
      <c r="K646" s="140"/>
    </row>
    <row r="647" spans="1:11" ht="28.5" customHeight="1" x14ac:dyDescent="0.2">
      <c r="A647" s="23" t="s">
        <v>458</v>
      </c>
      <c r="B647" s="23" t="s">
        <v>458</v>
      </c>
      <c r="C647" s="23"/>
      <c r="D647" s="24">
        <f t="shared" ref="D647:D648" si="224">D646+H646</f>
        <v>1310</v>
      </c>
      <c r="E647" s="27">
        <f t="shared" si="222"/>
        <v>1310</v>
      </c>
      <c r="F647" s="27">
        <f t="shared" si="210"/>
        <v>1309</v>
      </c>
      <c r="G647" s="27">
        <f t="shared" si="211"/>
        <v>1309</v>
      </c>
      <c r="H647" s="24">
        <v>1</v>
      </c>
      <c r="I647" s="74" t="s">
        <v>298</v>
      </c>
      <c r="J647" s="140"/>
      <c r="K647" s="140"/>
    </row>
    <row r="648" spans="1:11" ht="28.5" customHeight="1" x14ac:dyDescent="0.2">
      <c r="A648" s="23" t="s">
        <v>458</v>
      </c>
      <c r="B648" s="23" t="s">
        <v>458</v>
      </c>
      <c r="C648" s="23"/>
      <c r="D648" s="24">
        <f t="shared" si="224"/>
        <v>1311</v>
      </c>
      <c r="E648" s="27">
        <f t="shared" si="222"/>
        <v>1311</v>
      </c>
      <c r="F648" s="27">
        <f t="shared" si="210"/>
        <v>1310</v>
      </c>
      <c r="G648" s="27">
        <f t="shared" si="211"/>
        <v>1310</v>
      </c>
      <c r="H648" s="24">
        <v>1</v>
      </c>
      <c r="I648" s="74" t="s">
        <v>299</v>
      </c>
      <c r="J648" s="140"/>
      <c r="K648" s="140"/>
    </row>
    <row r="649" spans="1:11" x14ac:dyDescent="0.2">
      <c r="A649" s="23"/>
      <c r="B649" s="23"/>
      <c r="C649" s="23"/>
      <c r="D649" s="24"/>
      <c r="E649" s="24"/>
      <c r="F649" s="27">
        <f t="shared" si="210"/>
        <v>-1</v>
      </c>
      <c r="G649" s="27">
        <f t="shared" si="211"/>
        <v>-1</v>
      </c>
      <c r="H649" s="24"/>
      <c r="I649" s="50" t="s">
        <v>189</v>
      </c>
      <c r="J649" s="25"/>
      <c r="K649" s="26"/>
    </row>
    <row r="650" spans="1:11" ht="191.25" x14ac:dyDescent="0.2">
      <c r="A650" s="23" t="s">
        <v>457</v>
      </c>
      <c r="B650" s="23" t="s">
        <v>457</v>
      </c>
      <c r="C650" s="23"/>
      <c r="D650" s="24">
        <f>D648+H648</f>
        <v>1312</v>
      </c>
      <c r="E650" s="27">
        <f t="shared" ref="E650:E653" si="225">D650+H650-1</f>
        <v>1313</v>
      </c>
      <c r="F650" s="27">
        <f t="shared" si="210"/>
        <v>1311</v>
      </c>
      <c r="G650" s="27">
        <f t="shared" si="211"/>
        <v>1312</v>
      </c>
      <c r="H650" s="24">
        <v>2</v>
      </c>
      <c r="I650" s="49" t="s">
        <v>190</v>
      </c>
      <c r="J650" s="32" t="s">
        <v>394</v>
      </c>
      <c r="K650" s="32" t="s">
        <v>395</v>
      </c>
    </row>
    <row r="651" spans="1:11" ht="38.25" x14ac:dyDescent="0.2">
      <c r="A651" s="23" t="s">
        <v>457</v>
      </c>
      <c r="B651" s="23" t="s">
        <v>457</v>
      </c>
      <c r="C651" s="23"/>
      <c r="D651" s="24">
        <f t="shared" ref="D651" si="226">D650+H650</f>
        <v>1314</v>
      </c>
      <c r="E651" s="27">
        <f t="shared" si="225"/>
        <v>1314</v>
      </c>
      <c r="F651" s="27">
        <f t="shared" si="210"/>
        <v>1313</v>
      </c>
      <c r="G651" s="27">
        <f t="shared" si="211"/>
        <v>1313</v>
      </c>
      <c r="H651" s="24">
        <v>1</v>
      </c>
      <c r="I651" s="71" t="s">
        <v>191</v>
      </c>
      <c r="J651" s="32" t="s">
        <v>396</v>
      </c>
      <c r="K651" s="32" t="s">
        <v>397</v>
      </c>
    </row>
    <row r="652" spans="1:11" ht="89.25" x14ac:dyDescent="0.2">
      <c r="A652" s="23" t="s">
        <v>457</v>
      </c>
      <c r="B652" s="23" t="s">
        <v>457</v>
      </c>
      <c r="C652" s="23"/>
      <c r="D652" s="24">
        <f t="shared" ref="D652:D653" si="227">D651+H651</f>
        <v>1315</v>
      </c>
      <c r="E652" s="27">
        <f t="shared" si="225"/>
        <v>1315</v>
      </c>
      <c r="F652" s="27">
        <f t="shared" si="210"/>
        <v>1314</v>
      </c>
      <c r="G652" s="27">
        <f t="shared" si="211"/>
        <v>1314</v>
      </c>
      <c r="H652" s="24">
        <v>1</v>
      </c>
      <c r="I652" s="71" t="s">
        <v>192</v>
      </c>
      <c r="J652" s="97" t="s">
        <v>398</v>
      </c>
      <c r="K652" s="98" t="s">
        <v>665</v>
      </c>
    </row>
    <row r="653" spans="1:11" x14ac:dyDescent="0.2">
      <c r="A653" s="23"/>
      <c r="B653" s="23"/>
      <c r="C653" s="23"/>
      <c r="D653" s="24">
        <f t="shared" si="227"/>
        <v>1316</v>
      </c>
      <c r="E653" s="27">
        <f t="shared" si="225"/>
        <v>1335</v>
      </c>
      <c r="F653" s="27">
        <f t="shared" si="210"/>
        <v>1315</v>
      </c>
      <c r="G653" s="27">
        <f t="shared" si="211"/>
        <v>1334</v>
      </c>
      <c r="H653" s="24">
        <v>20</v>
      </c>
      <c r="I653" s="71" t="s">
        <v>100</v>
      </c>
      <c r="J653" s="25"/>
      <c r="K653" s="26"/>
    </row>
    <row r="654" spans="1:11" x14ac:dyDescent="0.2">
      <c r="A654" s="23"/>
      <c r="B654" s="23"/>
      <c r="C654" s="23"/>
      <c r="D654" s="24"/>
      <c r="E654" s="24"/>
      <c r="F654" s="27">
        <f t="shared" si="210"/>
        <v>-1</v>
      </c>
      <c r="G654" s="27">
        <f t="shared" si="211"/>
        <v>-1</v>
      </c>
      <c r="H654" s="24"/>
      <c r="I654" s="50" t="s">
        <v>193</v>
      </c>
      <c r="J654" s="25"/>
      <c r="K654" s="26"/>
    </row>
    <row r="655" spans="1:11" x14ac:dyDescent="0.2">
      <c r="A655" s="23"/>
      <c r="B655" s="23"/>
      <c r="C655" s="23"/>
      <c r="D655" s="24"/>
      <c r="E655" s="24"/>
      <c r="F655" s="27">
        <f t="shared" si="210"/>
        <v>-1</v>
      </c>
      <c r="G655" s="27">
        <f t="shared" si="211"/>
        <v>-1</v>
      </c>
      <c r="H655" s="24"/>
      <c r="I655" s="51" t="s">
        <v>194</v>
      </c>
      <c r="J655" s="25"/>
      <c r="K655" s="26"/>
    </row>
    <row r="656" spans="1:11" ht="25.5" x14ac:dyDescent="0.2">
      <c r="A656" s="23" t="s">
        <v>458</v>
      </c>
      <c r="B656" s="23" t="s">
        <v>458</v>
      </c>
      <c r="C656" s="23"/>
      <c r="D656" s="24">
        <f>D653+H653</f>
        <v>1336</v>
      </c>
      <c r="E656" s="27">
        <f t="shared" ref="E656:E662" si="228">D656+H656-1</f>
        <v>1343</v>
      </c>
      <c r="F656" s="27">
        <f t="shared" si="210"/>
        <v>1335</v>
      </c>
      <c r="G656" s="27">
        <f t="shared" si="211"/>
        <v>1342</v>
      </c>
      <c r="H656" s="24">
        <v>8</v>
      </c>
      <c r="I656" s="74" t="s">
        <v>195</v>
      </c>
      <c r="J656" s="32" t="s">
        <v>406</v>
      </c>
      <c r="K656" s="26" t="s">
        <v>405</v>
      </c>
    </row>
    <row r="657" spans="1:11" ht="25.5" x14ac:dyDescent="0.2">
      <c r="A657" s="23" t="s">
        <v>458</v>
      </c>
      <c r="B657" s="23" t="s">
        <v>458</v>
      </c>
      <c r="C657" s="23"/>
      <c r="D657" s="24">
        <f>D656+H656</f>
        <v>1344</v>
      </c>
      <c r="E657" s="27">
        <f t="shared" si="228"/>
        <v>1349</v>
      </c>
      <c r="F657" s="27">
        <f t="shared" si="210"/>
        <v>1343</v>
      </c>
      <c r="G657" s="27">
        <f t="shared" si="211"/>
        <v>1348</v>
      </c>
      <c r="H657" s="24">
        <v>6</v>
      </c>
      <c r="I657" s="74" t="s">
        <v>196</v>
      </c>
      <c r="J657" s="32" t="s">
        <v>407</v>
      </c>
      <c r="K657" s="26" t="s">
        <v>405</v>
      </c>
    </row>
    <row r="658" spans="1:11" ht="63.75" x14ac:dyDescent="0.2">
      <c r="A658" s="23" t="s">
        <v>458</v>
      </c>
      <c r="B658" s="23" t="s">
        <v>458</v>
      </c>
      <c r="C658" s="23"/>
      <c r="D658" s="24">
        <f t="shared" ref="D658:D659" si="229">D657+H657</f>
        <v>1350</v>
      </c>
      <c r="E658" s="27">
        <f t="shared" si="228"/>
        <v>1361</v>
      </c>
      <c r="F658" s="27">
        <f t="shared" si="210"/>
        <v>1349</v>
      </c>
      <c r="G658" s="27">
        <f t="shared" si="211"/>
        <v>1360</v>
      </c>
      <c r="H658" s="24">
        <v>12</v>
      </c>
      <c r="I658" s="74" t="s">
        <v>197</v>
      </c>
      <c r="J658" s="36" t="s">
        <v>666</v>
      </c>
      <c r="K658" s="36" t="s">
        <v>716</v>
      </c>
    </row>
    <row r="659" spans="1:11" ht="38.25" x14ac:dyDescent="0.2">
      <c r="A659" s="23" t="s">
        <v>458</v>
      </c>
      <c r="B659" s="23" t="s">
        <v>458</v>
      </c>
      <c r="C659" s="23"/>
      <c r="D659" s="24">
        <f t="shared" si="229"/>
        <v>1362</v>
      </c>
      <c r="E659" s="27">
        <f t="shared" si="228"/>
        <v>1369</v>
      </c>
      <c r="F659" s="27">
        <f t="shared" si="210"/>
        <v>1361</v>
      </c>
      <c r="G659" s="27">
        <f t="shared" si="211"/>
        <v>1368</v>
      </c>
      <c r="H659" s="24">
        <v>8</v>
      </c>
      <c r="I659" s="74" t="s">
        <v>301</v>
      </c>
      <c r="J659" s="32" t="s">
        <v>403</v>
      </c>
      <c r="K659" s="32" t="s">
        <v>404</v>
      </c>
    </row>
    <row r="660" spans="1:11" ht="38.25" x14ac:dyDescent="0.2">
      <c r="A660" s="43" t="s">
        <v>458</v>
      </c>
      <c r="B660" s="43" t="s">
        <v>458</v>
      </c>
      <c r="C660" s="43"/>
      <c r="D660" s="45">
        <f>D659+H659</f>
        <v>1370</v>
      </c>
      <c r="E660" s="46">
        <f t="shared" ref="E660:E661" si="230">D660+H660-1</f>
        <v>1370</v>
      </c>
      <c r="F660" s="27">
        <f t="shared" si="210"/>
        <v>1369</v>
      </c>
      <c r="G660" s="27">
        <f t="shared" si="211"/>
        <v>1369</v>
      </c>
      <c r="H660" s="45">
        <v>1</v>
      </c>
      <c r="I660" s="84" t="s">
        <v>718</v>
      </c>
      <c r="J660" s="98" t="s">
        <v>719</v>
      </c>
      <c r="K660" s="98" t="s">
        <v>720</v>
      </c>
    </row>
    <row r="661" spans="1:11" ht="51" x14ac:dyDescent="0.2">
      <c r="A661" s="43" t="s">
        <v>458</v>
      </c>
      <c r="B661" s="43" t="s">
        <v>458</v>
      </c>
      <c r="C661" s="43"/>
      <c r="D661" s="45">
        <f>D660+H660</f>
        <v>1371</v>
      </c>
      <c r="E661" s="99">
        <f t="shared" si="230"/>
        <v>1376</v>
      </c>
      <c r="F661" s="27">
        <f t="shared" si="210"/>
        <v>1370</v>
      </c>
      <c r="G661" s="27">
        <f t="shared" si="211"/>
        <v>1375</v>
      </c>
      <c r="H661" s="100">
        <v>6</v>
      </c>
      <c r="I661" s="84" t="s">
        <v>726</v>
      </c>
      <c r="J661" s="101" t="s">
        <v>729</v>
      </c>
      <c r="K661" s="98" t="s">
        <v>728</v>
      </c>
    </row>
    <row r="662" spans="1:11" x14ac:dyDescent="0.2">
      <c r="A662" s="23"/>
      <c r="B662" s="23"/>
      <c r="C662" s="23"/>
      <c r="D662" s="100">
        <f>D661+H661</f>
        <v>1377</v>
      </c>
      <c r="E662" s="27">
        <f t="shared" si="228"/>
        <v>1379</v>
      </c>
      <c r="F662" s="27">
        <f t="shared" si="210"/>
        <v>1376</v>
      </c>
      <c r="G662" s="27">
        <f t="shared" si="211"/>
        <v>1378</v>
      </c>
      <c r="H662" s="100">
        <v>3</v>
      </c>
      <c r="I662" s="74" t="s">
        <v>100</v>
      </c>
      <c r="J662" s="25"/>
      <c r="K662" s="26"/>
    </row>
    <row r="663" spans="1:11" x14ac:dyDescent="0.2">
      <c r="A663" s="23"/>
      <c r="B663" s="23"/>
      <c r="C663" s="23"/>
      <c r="D663" s="24"/>
      <c r="E663" s="24"/>
      <c r="F663" s="27">
        <f t="shared" si="210"/>
        <v>-1</v>
      </c>
      <c r="G663" s="27">
        <f t="shared" si="211"/>
        <v>-1</v>
      </c>
      <c r="H663" s="24"/>
      <c r="I663" s="51" t="s">
        <v>198</v>
      </c>
      <c r="J663" s="25"/>
      <c r="K663" s="26"/>
    </row>
    <row r="664" spans="1:11" ht="25.5" x14ac:dyDescent="0.2">
      <c r="A664" s="23" t="s">
        <v>458</v>
      </c>
      <c r="B664" s="23" t="s">
        <v>458</v>
      </c>
      <c r="C664" s="23"/>
      <c r="D664" s="24">
        <f>D662+H662</f>
        <v>1380</v>
      </c>
      <c r="E664" s="27">
        <f t="shared" ref="E664:E670" si="231">D664+H664-1</f>
        <v>1387</v>
      </c>
      <c r="F664" s="27">
        <f t="shared" si="210"/>
        <v>1379</v>
      </c>
      <c r="G664" s="27">
        <f t="shared" si="211"/>
        <v>1386</v>
      </c>
      <c r="H664" s="24">
        <v>8</v>
      </c>
      <c r="I664" s="74" t="s">
        <v>201</v>
      </c>
      <c r="J664" s="32" t="s">
        <v>406</v>
      </c>
      <c r="K664" s="26" t="s">
        <v>405</v>
      </c>
    </row>
    <row r="665" spans="1:11" ht="25.5" x14ac:dyDescent="0.2">
      <c r="A665" s="23" t="s">
        <v>458</v>
      </c>
      <c r="B665" s="23" t="s">
        <v>458</v>
      </c>
      <c r="C665" s="23"/>
      <c r="D665" s="24">
        <f t="shared" ref="D665" si="232">D664+H664</f>
        <v>1388</v>
      </c>
      <c r="E665" s="27">
        <f t="shared" si="231"/>
        <v>1393</v>
      </c>
      <c r="F665" s="27">
        <f t="shared" si="210"/>
        <v>1387</v>
      </c>
      <c r="G665" s="27">
        <f t="shared" si="211"/>
        <v>1392</v>
      </c>
      <c r="H665" s="24">
        <v>6</v>
      </c>
      <c r="I665" s="74" t="s">
        <v>202</v>
      </c>
      <c r="J665" s="32" t="s">
        <v>407</v>
      </c>
      <c r="K665" s="26" t="s">
        <v>405</v>
      </c>
    </row>
    <row r="666" spans="1:11" ht="63.75" x14ac:dyDescent="0.2">
      <c r="A666" s="23" t="s">
        <v>458</v>
      </c>
      <c r="B666" s="23" t="s">
        <v>458</v>
      </c>
      <c r="C666" s="23"/>
      <c r="D666" s="24">
        <f t="shared" ref="D666:D667" si="233">D665+H665</f>
        <v>1394</v>
      </c>
      <c r="E666" s="27">
        <f t="shared" si="231"/>
        <v>1405</v>
      </c>
      <c r="F666" s="27">
        <f t="shared" si="210"/>
        <v>1393</v>
      </c>
      <c r="G666" s="27">
        <f t="shared" si="211"/>
        <v>1404</v>
      </c>
      <c r="H666" s="24">
        <v>12</v>
      </c>
      <c r="I666" s="74" t="s">
        <v>203</v>
      </c>
      <c r="J666" s="36" t="s">
        <v>666</v>
      </c>
      <c r="K666" s="36" t="s">
        <v>716</v>
      </c>
    </row>
    <row r="667" spans="1:11" ht="38.25" x14ac:dyDescent="0.2">
      <c r="A667" s="23" t="s">
        <v>458</v>
      </c>
      <c r="B667" s="23" t="s">
        <v>458</v>
      </c>
      <c r="C667" s="23"/>
      <c r="D667" s="24">
        <f t="shared" si="233"/>
        <v>1406</v>
      </c>
      <c r="E667" s="27">
        <f t="shared" si="231"/>
        <v>1413</v>
      </c>
      <c r="F667" s="27">
        <f t="shared" si="210"/>
        <v>1405</v>
      </c>
      <c r="G667" s="27">
        <f t="shared" si="211"/>
        <v>1412</v>
      </c>
      <c r="H667" s="24">
        <v>8</v>
      </c>
      <c r="I667" s="74" t="s">
        <v>302</v>
      </c>
      <c r="J667" s="32" t="s">
        <v>403</v>
      </c>
      <c r="K667" s="32" t="s">
        <v>404</v>
      </c>
    </row>
    <row r="668" spans="1:11" ht="38.25" x14ac:dyDescent="0.2">
      <c r="A668" s="43" t="s">
        <v>458</v>
      </c>
      <c r="B668" s="43" t="s">
        <v>458</v>
      </c>
      <c r="C668" s="43"/>
      <c r="D668" s="45">
        <f>D667+H667</f>
        <v>1414</v>
      </c>
      <c r="E668" s="46">
        <f t="shared" si="231"/>
        <v>1414</v>
      </c>
      <c r="F668" s="27">
        <f t="shared" si="210"/>
        <v>1413</v>
      </c>
      <c r="G668" s="27">
        <f t="shared" si="211"/>
        <v>1413</v>
      </c>
      <c r="H668" s="45">
        <v>1</v>
      </c>
      <c r="I668" s="84" t="s">
        <v>721</v>
      </c>
      <c r="J668" s="98" t="s">
        <v>719</v>
      </c>
      <c r="K668" s="98" t="s">
        <v>720</v>
      </c>
    </row>
    <row r="669" spans="1:11" ht="51" x14ac:dyDescent="0.2">
      <c r="A669" s="43" t="s">
        <v>458</v>
      </c>
      <c r="B669" s="43" t="s">
        <v>458</v>
      </c>
      <c r="C669" s="43"/>
      <c r="D669" s="45">
        <f>D668+H668</f>
        <v>1415</v>
      </c>
      <c r="E669" s="99">
        <f t="shared" si="231"/>
        <v>1420</v>
      </c>
      <c r="F669" s="27">
        <f t="shared" si="210"/>
        <v>1414</v>
      </c>
      <c r="G669" s="27">
        <f t="shared" si="211"/>
        <v>1419</v>
      </c>
      <c r="H669" s="100">
        <v>6</v>
      </c>
      <c r="I669" s="84" t="s">
        <v>726</v>
      </c>
      <c r="J669" s="101" t="s">
        <v>729</v>
      </c>
      <c r="K669" s="98" t="s">
        <v>728</v>
      </c>
    </row>
    <row r="670" spans="1:11" x14ac:dyDescent="0.2">
      <c r="A670" s="23"/>
      <c r="B670" s="23"/>
      <c r="C670" s="23"/>
      <c r="D670" s="100">
        <f>D669+H669</f>
        <v>1421</v>
      </c>
      <c r="E670" s="27">
        <f t="shared" si="231"/>
        <v>1423</v>
      </c>
      <c r="F670" s="27">
        <f t="shared" si="210"/>
        <v>1420</v>
      </c>
      <c r="G670" s="27">
        <f t="shared" si="211"/>
        <v>1422</v>
      </c>
      <c r="H670" s="100">
        <v>3</v>
      </c>
      <c r="I670" s="74" t="s">
        <v>100</v>
      </c>
      <c r="J670" s="25"/>
      <c r="K670" s="26"/>
    </row>
    <row r="671" spans="1:11" x14ac:dyDescent="0.2">
      <c r="A671" s="23"/>
      <c r="B671" s="23"/>
      <c r="C671" s="23"/>
      <c r="D671" s="24"/>
      <c r="E671" s="24"/>
      <c r="F671" s="27">
        <f t="shared" si="210"/>
        <v>-1</v>
      </c>
      <c r="G671" s="27">
        <f t="shared" si="211"/>
        <v>-1</v>
      </c>
      <c r="H671" s="24"/>
      <c r="I671" s="51" t="s">
        <v>199</v>
      </c>
      <c r="J671" s="25"/>
      <c r="K671" s="26"/>
    </row>
    <row r="672" spans="1:11" ht="25.5" x14ac:dyDescent="0.2">
      <c r="A672" s="23" t="s">
        <v>458</v>
      </c>
      <c r="B672" s="23" t="s">
        <v>458</v>
      </c>
      <c r="C672" s="23"/>
      <c r="D672" s="24">
        <f>D670+H670</f>
        <v>1424</v>
      </c>
      <c r="E672" s="27">
        <f t="shared" ref="E672:E677" si="234">D672+H672-1</f>
        <v>1431</v>
      </c>
      <c r="F672" s="27">
        <f t="shared" si="210"/>
        <v>1423</v>
      </c>
      <c r="G672" s="27">
        <f t="shared" si="211"/>
        <v>1430</v>
      </c>
      <c r="H672" s="24">
        <v>8</v>
      </c>
      <c r="I672" s="74" t="s">
        <v>204</v>
      </c>
      <c r="J672" s="32" t="s">
        <v>399</v>
      </c>
      <c r="K672" s="26"/>
    </row>
    <row r="673" spans="1:11" ht="25.5" x14ac:dyDescent="0.2">
      <c r="A673" s="23" t="s">
        <v>458</v>
      </c>
      <c r="B673" s="23" t="s">
        <v>458</v>
      </c>
      <c r="C673" s="23"/>
      <c r="D673" s="24">
        <f t="shared" ref="D673" si="235">D672+H672</f>
        <v>1432</v>
      </c>
      <c r="E673" s="27">
        <f t="shared" si="234"/>
        <v>1437</v>
      </c>
      <c r="F673" s="27">
        <f t="shared" si="210"/>
        <v>1431</v>
      </c>
      <c r="G673" s="27">
        <f t="shared" si="211"/>
        <v>1436</v>
      </c>
      <c r="H673" s="24">
        <v>6</v>
      </c>
      <c r="I673" s="74" t="s">
        <v>205</v>
      </c>
      <c r="J673" s="32" t="s">
        <v>400</v>
      </c>
      <c r="K673" s="26"/>
    </row>
    <row r="674" spans="1:11" ht="25.5" x14ac:dyDescent="0.2">
      <c r="A674" s="23" t="s">
        <v>458</v>
      </c>
      <c r="B674" s="23" t="s">
        <v>458</v>
      </c>
      <c r="C674" s="23"/>
      <c r="D674" s="24">
        <f t="shared" ref="D674:D675" si="236">D673+H673</f>
        <v>1438</v>
      </c>
      <c r="E674" s="27">
        <f t="shared" si="234"/>
        <v>1449</v>
      </c>
      <c r="F674" s="27">
        <f t="shared" si="210"/>
        <v>1437</v>
      </c>
      <c r="G674" s="27">
        <f t="shared" si="211"/>
        <v>1448</v>
      </c>
      <c r="H674" s="24">
        <v>12</v>
      </c>
      <c r="I674" s="74" t="s">
        <v>206</v>
      </c>
      <c r="J674" s="36" t="s">
        <v>667</v>
      </c>
      <c r="K674" s="36" t="s">
        <v>668</v>
      </c>
    </row>
    <row r="675" spans="1:11" ht="25.5" x14ac:dyDescent="0.2">
      <c r="A675" s="23" t="s">
        <v>458</v>
      </c>
      <c r="B675" s="23" t="s">
        <v>458</v>
      </c>
      <c r="C675" s="23"/>
      <c r="D675" s="24">
        <f t="shared" si="236"/>
        <v>1450</v>
      </c>
      <c r="E675" s="27">
        <f t="shared" si="234"/>
        <v>1457</v>
      </c>
      <c r="F675" s="27">
        <f t="shared" si="210"/>
        <v>1449</v>
      </c>
      <c r="G675" s="27">
        <f t="shared" si="211"/>
        <v>1456</v>
      </c>
      <c r="H675" s="24">
        <v>8</v>
      </c>
      <c r="I675" s="74" t="s">
        <v>303</v>
      </c>
      <c r="J675" s="32" t="s">
        <v>401</v>
      </c>
      <c r="K675" s="32" t="s">
        <v>402</v>
      </c>
    </row>
    <row r="676" spans="1:11" ht="38.25" x14ac:dyDescent="0.2">
      <c r="A676" s="43" t="s">
        <v>458</v>
      </c>
      <c r="B676" s="43" t="s">
        <v>458</v>
      </c>
      <c r="C676" s="43"/>
      <c r="D676" s="45">
        <f>D675+H675</f>
        <v>1458</v>
      </c>
      <c r="E676" s="99">
        <f t="shared" si="234"/>
        <v>1463</v>
      </c>
      <c r="F676" s="27">
        <f t="shared" si="210"/>
        <v>1457</v>
      </c>
      <c r="G676" s="27">
        <f t="shared" si="211"/>
        <v>1462</v>
      </c>
      <c r="H676" s="100">
        <v>6</v>
      </c>
      <c r="I676" s="84" t="s">
        <v>726</v>
      </c>
      <c r="J676" s="101" t="s">
        <v>730</v>
      </c>
      <c r="K676" s="98" t="s">
        <v>731</v>
      </c>
    </row>
    <row r="677" spans="1:11" x14ac:dyDescent="0.2">
      <c r="A677" s="23"/>
      <c r="B677" s="23"/>
      <c r="C677" s="23"/>
      <c r="D677" s="100">
        <f>D676+H676</f>
        <v>1464</v>
      </c>
      <c r="E677" s="27">
        <f t="shared" si="234"/>
        <v>1467</v>
      </c>
      <c r="F677" s="27">
        <f t="shared" si="210"/>
        <v>1463</v>
      </c>
      <c r="G677" s="27">
        <f t="shared" si="211"/>
        <v>1466</v>
      </c>
      <c r="H677" s="100">
        <v>4</v>
      </c>
      <c r="I677" s="74" t="s">
        <v>100</v>
      </c>
      <c r="J677" s="25"/>
      <c r="K677" s="26"/>
    </row>
    <row r="678" spans="1:11" ht="25.5" x14ac:dyDescent="0.2">
      <c r="A678" s="23"/>
      <c r="B678" s="23"/>
      <c r="C678" s="23"/>
      <c r="D678" s="24"/>
      <c r="E678" s="24"/>
      <c r="F678" s="27">
        <f t="shared" si="210"/>
        <v>-1</v>
      </c>
      <c r="G678" s="27">
        <f t="shared" si="211"/>
        <v>-1</v>
      </c>
      <c r="H678" s="24"/>
      <c r="I678" s="51" t="s">
        <v>200</v>
      </c>
      <c r="J678" s="25"/>
      <c r="K678" s="80" t="s">
        <v>490</v>
      </c>
    </row>
    <row r="679" spans="1:11" ht="25.5" x14ac:dyDescent="0.2">
      <c r="A679" s="23" t="s">
        <v>458</v>
      </c>
      <c r="B679" s="23" t="s">
        <v>458</v>
      </c>
      <c r="C679" s="23"/>
      <c r="D679" s="24">
        <f>D677+H677</f>
        <v>1468</v>
      </c>
      <c r="E679" s="27">
        <f t="shared" ref="E679:E685" si="237">D679+H679-1</f>
        <v>1475</v>
      </c>
      <c r="F679" s="27">
        <f t="shared" si="210"/>
        <v>1467</v>
      </c>
      <c r="G679" s="27">
        <f t="shared" si="211"/>
        <v>1474</v>
      </c>
      <c r="H679" s="24">
        <v>8</v>
      </c>
      <c r="I679" s="74" t="s">
        <v>207</v>
      </c>
      <c r="J679" s="98" t="s">
        <v>406</v>
      </c>
      <c r="K679" s="36" t="s">
        <v>405</v>
      </c>
    </row>
    <row r="680" spans="1:11" ht="25.5" x14ac:dyDescent="0.2">
      <c r="A680" s="23" t="s">
        <v>458</v>
      </c>
      <c r="B680" s="23" t="s">
        <v>458</v>
      </c>
      <c r="C680" s="23"/>
      <c r="D680" s="24">
        <f t="shared" ref="D680" si="238">D679+H679</f>
        <v>1476</v>
      </c>
      <c r="E680" s="27">
        <f t="shared" si="237"/>
        <v>1481</v>
      </c>
      <c r="F680" s="27">
        <f t="shared" si="210"/>
        <v>1475</v>
      </c>
      <c r="G680" s="27">
        <f t="shared" si="211"/>
        <v>1480</v>
      </c>
      <c r="H680" s="24">
        <v>6</v>
      </c>
      <c r="I680" s="74" t="s">
        <v>208</v>
      </c>
      <c r="J680" s="98" t="s">
        <v>407</v>
      </c>
      <c r="K680" s="36" t="s">
        <v>405</v>
      </c>
    </row>
    <row r="681" spans="1:11" ht="63.75" x14ac:dyDescent="0.2">
      <c r="A681" s="23" t="s">
        <v>458</v>
      </c>
      <c r="B681" s="23" t="s">
        <v>458</v>
      </c>
      <c r="C681" s="23"/>
      <c r="D681" s="24">
        <f t="shared" ref="D681:D682" si="239">D680+H680</f>
        <v>1482</v>
      </c>
      <c r="E681" s="27">
        <f t="shared" si="237"/>
        <v>1493</v>
      </c>
      <c r="F681" s="27">
        <f t="shared" si="210"/>
        <v>1481</v>
      </c>
      <c r="G681" s="27">
        <f t="shared" si="211"/>
        <v>1492</v>
      </c>
      <c r="H681" s="24">
        <v>12</v>
      </c>
      <c r="I681" s="74" t="s">
        <v>209</v>
      </c>
      <c r="J681" s="86" t="s">
        <v>669</v>
      </c>
      <c r="K681" s="86" t="s">
        <v>717</v>
      </c>
    </row>
    <row r="682" spans="1:11" ht="38.25" x14ac:dyDescent="0.2">
      <c r="A682" s="23" t="s">
        <v>458</v>
      </c>
      <c r="B682" s="23" t="s">
        <v>458</v>
      </c>
      <c r="C682" s="23"/>
      <c r="D682" s="24">
        <f t="shared" si="239"/>
        <v>1494</v>
      </c>
      <c r="E682" s="27">
        <f t="shared" si="237"/>
        <v>1501</v>
      </c>
      <c r="F682" s="27">
        <f t="shared" si="210"/>
        <v>1493</v>
      </c>
      <c r="G682" s="27">
        <f t="shared" si="211"/>
        <v>1500</v>
      </c>
      <c r="H682" s="24">
        <v>8</v>
      </c>
      <c r="I682" s="74" t="s">
        <v>304</v>
      </c>
      <c r="J682" s="98" t="s">
        <v>403</v>
      </c>
      <c r="K682" s="98" t="s">
        <v>404</v>
      </c>
    </row>
    <row r="683" spans="1:11" ht="38.25" x14ac:dyDescent="0.2">
      <c r="A683" s="43" t="s">
        <v>458</v>
      </c>
      <c r="B683" s="43" t="s">
        <v>458</v>
      </c>
      <c r="C683" s="43"/>
      <c r="D683" s="45">
        <f>D682+H682</f>
        <v>1502</v>
      </c>
      <c r="E683" s="46">
        <f t="shared" si="237"/>
        <v>1502</v>
      </c>
      <c r="F683" s="27">
        <f t="shared" si="210"/>
        <v>1501</v>
      </c>
      <c r="G683" s="27">
        <f t="shared" si="211"/>
        <v>1501</v>
      </c>
      <c r="H683" s="45">
        <v>1</v>
      </c>
      <c r="I683" s="84" t="s">
        <v>722</v>
      </c>
      <c r="J683" s="98" t="s">
        <v>719</v>
      </c>
      <c r="K683" s="98" t="s">
        <v>720</v>
      </c>
    </row>
    <row r="684" spans="1:11" ht="51" x14ac:dyDescent="0.2">
      <c r="A684" s="43" t="s">
        <v>458</v>
      </c>
      <c r="B684" s="43" t="s">
        <v>458</v>
      </c>
      <c r="C684" s="43"/>
      <c r="D684" s="45">
        <f>D683+H683</f>
        <v>1503</v>
      </c>
      <c r="E684" s="99">
        <f t="shared" ref="E684" si="240">D684+H684-1</f>
        <v>1508</v>
      </c>
      <c r="F684" s="27">
        <f t="shared" ref="F684:F747" si="241">D684-1</f>
        <v>1502</v>
      </c>
      <c r="G684" s="27">
        <f t="shared" ref="G684:G747" si="242">E684-1</f>
        <v>1507</v>
      </c>
      <c r="H684" s="100">
        <v>6</v>
      </c>
      <c r="I684" s="84" t="s">
        <v>726</v>
      </c>
      <c r="J684" s="101" t="s">
        <v>727</v>
      </c>
      <c r="K684" s="98" t="s">
        <v>728</v>
      </c>
    </row>
    <row r="685" spans="1:11" x14ac:dyDescent="0.2">
      <c r="A685" s="23"/>
      <c r="B685" s="23"/>
      <c r="C685" s="23"/>
      <c r="D685" s="100">
        <f>D684+H684</f>
        <v>1509</v>
      </c>
      <c r="E685" s="27">
        <f t="shared" si="237"/>
        <v>1511</v>
      </c>
      <c r="F685" s="27">
        <f t="shared" si="241"/>
        <v>1508</v>
      </c>
      <c r="G685" s="27">
        <f t="shared" si="242"/>
        <v>1510</v>
      </c>
      <c r="H685" s="100">
        <v>3</v>
      </c>
      <c r="I685" s="74" t="s">
        <v>100</v>
      </c>
      <c r="J685" s="25"/>
      <c r="K685" s="26"/>
    </row>
    <row r="686" spans="1:11" x14ac:dyDescent="0.2">
      <c r="A686" s="23"/>
      <c r="B686" s="23"/>
      <c r="C686" s="23"/>
      <c r="D686" s="24"/>
      <c r="E686" s="24"/>
      <c r="F686" s="27">
        <f t="shared" si="241"/>
        <v>-1</v>
      </c>
      <c r="G686" s="27">
        <f t="shared" si="242"/>
        <v>-1</v>
      </c>
      <c r="H686" s="24"/>
      <c r="I686" s="50" t="s">
        <v>253</v>
      </c>
      <c r="J686" s="25"/>
      <c r="K686" s="26"/>
    </row>
    <row r="687" spans="1:11" ht="25.5" x14ac:dyDescent="0.2">
      <c r="A687" s="23" t="s">
        <v>457</v>
      </c>
      <c r="B687" s="23" t="s">
        <v>457</v>
      </c>
      <c r="C687" s="23" t="s">
        <v>465</v>
      </c>
      <c r="D687" s="24">
        <f>D685+H685</f>
        <v>1512</v>
      </c>
      <c r="E687" s="27">
        <f t="shared" ref="E687:E701" si="243">D687+H687-1</f>
        <v>1512</v>
      </c>
      <c r="F687" s="27">
        <f t="shared" si="241"/>
        <v>1511</v>
      </c>
      <c r="G687" s="27">
        <f t="shared" si="242"/>
        <v>1511</v>
      </c>
      <c r="H687" s="24">
        <v>1</v>
      </c>
      <c r="I687" s="49" t="s">
        <v>254</v>
      </c>
      <c r="J687" s="39" t="s">
        <v>331</v>
      </c>
      <c r="K687" s="39" t="s">
        <v>423</v>
      </c>
    </row>
    <row r="688" spans="1:11" ht="25.5" x14ac:dyDescent="0.2">
      <c r="A688" s="23" t="s">
        <v>457</v>
      </c>
      <c r="B688" s="23" t="s">
        <v>457</v>
      </c>
      <c r="C688" s="23"/>
      <c r="D688" s="24">
        <f t="shared" ref="D688" si="244">D687+H687</f>
        <v>1513</v>
      </c>
      <c r="E688" s="27">
        <f t="shared" si="243"/>
        <v>1513</v>
      </c>
      <c r="F688" s="27">
        <f t="shared" si="241"/>
        <v>1512</v>
      </c>
      <c r="G688" s="27">
        <f t="shared" si="242"/>
        <v>1512</v>
      </c>
      <c r="H688" s="24">
        <v>1</v>
      </c>
      <c r="I688" s="49" t="s">
        <v>255</v>
      </c>
      <c r="J688" s="39" t="s">
        <v>331</v>
      </c>
      <c r="K688" s="39" t="s">
        <v>424</v>
      </c>
    </row>
    <row r="689" spans="1:11" ht="25.5" x14ac:dyDescent="0.2">
      <c r="A689" s="23" t="s">
        <v>457</v>
      </c>
      <c r="B689" s="23" t="s">
        <v>457</v>
      </c>
      <c r="C689" s="23"/>
      <c r="D689" s="24">
        <f t="shared" ref="D689:D701" si="245">D688+H688</f>
        <v>1514</v>
      </c>
      <c r="E689" s="27">
        <f t="shared" si="243"/>
        <v>1514</v>
      </c>
      <c r="F689" s="27">
        <f t="shared" si="241"/>
        <v>1513</v>
      </c>
      <c r="G689" s="27">
        <f t="shared" si="242"/>
        <v>1513</v>
      </c>
      <c r="H689" s="24">
        <v>1</v>
      </c>
      <c r="I689" s="49" t="s">
        <v>256</v>
      </c>
      <c r="J689" s="39" t="s">
        <v>331</v>
      </c>
      <c r="K689" s="39" t="s">
        <v>425</v>
      </c>
    </row>
    <row r="690" spans="1:11" ht="25.5" x14ac:dyDescent="0.2">
      <c r="A690" s="23" t="s">
        <v>457</v>
      </c>
      <c r="B690" s="23" t="s">
        <v>457</v>
      </c>
      <c r="C690" s="23"/>
      <c r="D690" s="24">
        <f t="shared" si="245"/>
        <v>1515</v>
      </c>
      <c r="E690" s="27">
        <f t="shared" si="243"/>
        <v>1515</v>
      </c>
      <c r="F690" s="27">
        <f t="shared" si="241"/>
        <v>1514</v>
      </c>
      <c r="G690" s="27">
        <f t="shared" si="242"/>
        <v>1514</v>
      </c>
      <c r="H690" s="24">
        <v>1</v>
      </c>
      <c r="I690" s="49" t="s">
        <v>257</v>
      </c>
      <c r="J690" s="39" t="s">
        <v>331</v>
      </c>
      <c r="K690" s="39" t="s">
        <v>426</v>
      </c>
    </row>
    <row r="691" spans="1:11" ht="25.5" x14ac:dyDescent="0.2">
      <c r="A691" s="23" t="s">
        <v>458</v>
      </c>
      <c r="B691" s="23" t="s">
        <v>458</v>
      </c>
      <c r="C691" s="23"/>
      <c r="D691" s="24">
        <f t="shared" si="245"/>
        <v>1516</v>
      </c>
      <c r="E691" s="27">
        <f t="shared" si="243"/>
        <v>1516</v>
      </c>
      <c r="F691" s="27">
        <f t="shared" si="241"/>
        <v>1515</v>
      </c>
      <c r="G691" s="27">
        <f t="shared" si="242"/>
        <v>1515</v>
      </c>
      <c r="H691" s="24">
        <v>1</v>
      </c>
      <c r="I691" s="49" t="s">
        <v>258</v>
      </c>
      <c r="J691" s="39" t="s">
        <v>331</v>
      </c>
      <c r="K691" s="39" t="s">
        <v>427</v>
      </c>
    </row>
    <row r="692" spans="1:11" ht="25.5" x14ac:dyDescent="0.2">
      <c r="A692" s="23" t="s">
        <v>457</v>
      </c>
      <c r="B692" s="23" t="s">
        <v>457</v>
      </c>
      <c r="C692" s="23"/>
      <c r="D692" s="24">
        <f t="shared" si="245"/>
        <v>1517</v>
      </c>
      <c r="E692" s="27">
        <f t="shared" si="243"/>
        <v>1517</v>
      </c>
      <c r="F692" s="27">
        <f t="shared" si="241"/>
        <v>1516</v>
      </c>
      <c r="G692" s="27">
        <f t="shared" si="242"/>
        <v>1516</v>
      </c>
      <c r="H692" s="24">
        <v>1</v>
      </c>
      <c r="I692" s="49" t="s">
        <v>259</v>
      </c>
      <c r="J692" s="39" t="s">
        <v>331</v>
      </c>
      <c r="K692" s="39" t="s">
        <v>428</v>
      </c>
    </row>
    <row r="693" spans="1:11" ht="25.5" x14ac:dyDescent="0.2">
      <c r="A693" s="23" t="s">
        <v>458</v>
      </c>
      <c r="B693" s="23" t="s">
        <v>458</v>
      </c>
      <c r="C693" s="23"/>
      <c r="D693" s="24">
        <f t="shared" si="245"/>
        <v>1518</v>
      </c>
      <c r="E693" s="27">
        <f t="shared" si="243"/>
        <v>1518</v>
      </c>
      <c r="F693" s="27">
        <f t="shared" si="241"/>
        <v>1517</v>
      </c>
      <c r="G693" s="27">
        <f t="shared" si="242"/>
        <v>1517</v>
      </c>
      <c r="H693" s="24">
        <v>1</v>
      </c>
      <c r="I693" s="49" t="s">
        <v>260</v>
      </c>
      <c r="J693" s="39" t="s">
        <v>331</v>
      </c>
      <c r="K693" s="39" t="s">
        <v>429</v>
      </c>
    </row>
    <row r="694" spans="1:11" ht="38.25" x14ac:dyDescent="0.2">
      <c r="A694" s="34" t="s">
        <v>457</v>
      </c>
      <c r="B694" s="34" t="s">
        <v>457</v>
      </c>
      <c r="C694" s="23"/>
      <c r="D694" s="24">
        <f t="shared" si="245"/>
        <v>1519</v>
      </c>
      <c r="E694" s="27">
        <f t="shared" si="243"/>
        <v>1524</v>
      </c>
      <c r="F694" s="27">
        <f t="shared" si="241"/>
        <v>1518</v>
      </c>
      <c r="G694" s="27">
        <f t="shared" si="242"/>
        <v>1523</v>
      </c>
      <c r="H694" s="24">
        <v>6</v>
      </c>
      <c r="I694" s="49" t="s">
        <v>459</v>
      </c>
      <c r="J694" s="26" t="s">
        <v>449</v>
      </c>
      <c r="K694" s="26" t="s">
        <v>450</v>
      </c>
    </row>
    <row r="695" spans="1:11" ht="25.5" x14ac:dyDescent="0.2">
      <c r="A695" s="23" t="s">
        <v>458</v>
      </c>
      <c r="B695" s="23" t="s">
        <v>458</v>
      </c>
      <c r="C695" s="23"/>
      <c r="D695" s="24">
        <f t="shared" si="245"/>
        <v>1525</v>
      </c>
      <c r="E695" s="27">
        <f t="shared" si="243"/>
        <v>1525</v>
      </c>
      <c r="F695" s="27">
        <f t="shared" si="241"/>
        <v>1524</v>
      </c>
      <c r="G695" s="27">
        <f t="shared" si="242"/>
        <v>1524</v>
      </c>
      <c r="H695" s="24">
        <v>1</v>
      </c>
      <c r="I695" s="49" t="s">
        <v>261</v>
      </c>
      <c r="J695" s="39" t="s">
        <v>331</v>
      </c>
      <c r="K695" s="39" t="s">
        <v>430</v>
      </c>
    </row>
    <row r="696" spans="1:11" ht="25.5" x14ac:dyDescent="0.2">
      <c r="A696" s="23" t="s">
        <v>458</v>
      </c>
      <c r="B696" s="23" t="s">
        <v>458</v>
      </c>
      <c r="C696" s="23"/>
      <c r="D696" s="24">
        <f t="shared" si="245"/>
        <v>1526</v>
      </c>
      <c r="E696" s="27">
        <f t="shared" si="243"/>
        <v>1526</v>
      </c>
      <c r="F696" s="27">
        <f t="shared" si="241"/>
        <v>1525</v>
      </c>
      <c r="G696" s="27">
        <f t="shared" si="242"/>
        <v>1525</v>
      </c>
      <c r="H696" s="24">
        <v>1</v>
      </c>
      <c r="I696" s="49" t="s">
        <v>262</v>
      </c>
      <c r="J696" s="39" t="s">
        <v>331</v>
      </c>
      <c r="K696" s="39" t="s">
        <v>431</v>
      </c>
    </row>
    <row r="697" spans="1:11" ht="25.5" x14ac:dyDescent="0.2">
      <c r="A697" s="23" t="s">
        <v>457</v>
      </c>
      <c r="B697" s="23" t="s">
        <v>457</v>
      </c>
      <c r="C697" s="23"/>
      <c r="D697" s="24">
        <f t="shared" si="245"/>
        <v>1527</v>
      </c>
      <c r="E697" s="27">
        <f t="shared" si="243"/>
        <v>1527</v>
      </c>
      <c r="F697" s="27">
        <f t="shared" si="241"/>
        <v>1526</v>
      </c>
      <c r="G697" s="27">
        <f t="shared" si="242"/>
        <v>1526</v>
      </c>
      <c r="H697" s="24">
        <v>1</v>
      </c>
      <c r="I697" s="49" t="s">
        <v>263</v>
      </c>
      <c r="J697" s="39" t="s">
        <v>331</v>
      </c>
      <c r="K697" s="39" t="s">
        <v>432</v>
      </c>
    </row>
    <row r="698" spans="1:11" ht="25.5" x14ac:dyDescent="0.2">
      <c r="A698" s="23" t="s">
        <v>458</v>
      </c>
      <c r="B698" s="23" t="s">
        <v>458</v>
      </c>
      <c r="C698" s="23"/>
      <c r="D698" s="24">
        <f t="shared" si="245"/>
        <v>1528</v>
      </c>
      <c r="E698" s="27">
        <f t="shared" si="243"/>
        <v>1528</v>
      </c>
      <c r="F698" s="27">
        <f t="shared" si="241"/>
        <v>1527</v>
      </c>
      <c r="G698" s="27">
        <f t="shared" si="242"/>
        <v>1527</v>
      </c>
      <c r="H698" s="24">
        <v>1</v>
      </c>
      <c r="I698" s="49" t="s">
        <v>264</v>
      </c>
      <c r="J698" s="39" t="s">
        <v>331</v>
      </c>
      <c r="K698" s="39" t="s">
        <v>433</v>
      </c>
    </row>
    <row r="699" spans="1:11" ht="25.5" x14ac:dyDescent="0.2">
      <c r="A699" s="23" t="s">
        <v>458</v>
      </c>
      <c r="B699" s="23" t="s">
        <v>458</v>
      </c>
      <c r="C699" s="23"/>
      <c r="D699" s="24">
        <f t="shared" si="245"/>
        <v>1529</v>
      </c>
      <c r="E699" s="27">
        <f t="shared" si="243"/>
        <v>1529</v>
      </c>
      <c r="F699" s="27">
        <f t="shared" si="241"/>
        <v>1528</v>
      </c>
      <c r="G699" s="27">
        <f t="shared" si="242"/>
        <v>1528</v>
      </c>
      <c r="H699" s="24">
        <v>1</v>
      </c>
      <c r="I699" s="49" t="s">
        <v>265</v>
      </c>
      <c r="J699" s="39" t="s">
        <v>331</v>
      </c>
      <c r="K699" s="39" t="s">
        <v>434</v>
      </c>
    </row>
    <row r="700" spans="1:11" ht="25.5" x14ac:dyDescent="0.2">
      <c r="A700" s="23" t="s">
        <v>458</v>
      </c>
      <c r="B700" s="23" t="s">
        <v>458</v>
      </c>
      <c r="C700" s="23"/>
      <c r="D700" s="24">
        <f t="shared" si="245"/>
        <v>1530</v>
      </c>
      <c r="E700" s="27">
        <f t="shared" si="243"/>
        <v>1530</v>
      </c>
      <c r="F700" s="27">
        <f t="shared" si="241"/>
        <v>1529</v>
      </c>
      <c r="G700" s="27">
        <f t="shared" si="242"/>
        <v>1529</v>
      </c>
      <c r="H700" s="24">
        <v>1</v>
      </c>
      <c r="I700" s="49" t="s">
        <v>266</v>
      </c>
      <c r="J700" s="39" t="s">
        <v>331</v>
      </c>
      <c r="K700" s="39" t="s">
        <v>435</v>
      </c>
    </row>
    <row r="701" spans="1:11" x14ac:dyDescent="0.2">
      <c r="A701" s="23"/>
      <c r="B701" s="23"/>
      <c r="C701" s="23"/>
      <c r="D701" s="54">
        <f t="shared" si="245"/>
        <v>1531</v>
      </c>
      <c r="E701" s="46">
        <f t="shared" si="243"/>
        <v>1539</v>
      </c>
      <c r="F701" s="27">
        <f t="shared" si="241"/>
        <v>1530</v>
      </c>
      <c r="G701" s="27">
        <f t="shared" si="242"/>
        <v>1538</v>
      </c>
      <c r="H701" s="45">
        <v>9</v>
      </c>
      <c r="I701" s="49" t="s">
        <v>100</v>
      </c>
      <c r="J701" s="25"/>
      <c r="K701" s="26"/>
    </row>
    <row r="702" spans="1:11" x14ac:dyDescent="0.2">
      <c r="A702" s="23"/>
      <c r="B702" s="23"/>
      <c r="C702" s="23"/>
      <c r="D702" s="24"/>
      <c r="E702" s="24"/>
      <c r="F702" s="27">
        <f t="shared" si="241"/>
        <v>-1</v>
      </c>
      <c r="G702" s="27">
        <f t="shared" si="242"/>
        <v>-1</v>
      </c>
      <c r="H702" s="24"/>
      <c r="I702" s="51" t="s">
        <v>267</v>
      </c>
      <c r="J702" s="25"/>
      <c r="K702" s="26"/>
    </row>
    <row r="703" spans="1:11" ht="80.25" customHeight="1" x14ac:dyDescent="0.2">
      <c r="A703" s="23" t="s">
        <v>458</v>
      </c>
      <c r="B703" s="23" t="s">
        <v>458</v>
      </c>
      <c r="C703" s="23" t="s">
        <v>472</v>
      </c>
      <c r="D703" s="45">
        <f>D701+H701</f>
        <v>1540</v>
      </c>
      <c r="E703" s="46">
        <f t="shared" ref="E703:E709" si="246">D703+H703-1</f>
        <v>1540</v>
      </c>
      <c r="F703" s="27">
        <f t="shared" si="241"/>
        <v>1539</v>
      </c>
      <c r="G703" s="27">
        <f t="shared" si="242"/>
        <v>1539</v>
      </c>
      <c r="H703" s="24">
        <v>1</v>
      </c>
      <c r="I703" s="49" t="s">
        <v>268</v>
      </c>
      <c r="J703" s="39" t="s">
        <v>331</v>
      </c>
      <c r="K703" s="39" t="s">
        <v>437</v>
      </c>
    </row>
    <row r="704" spans="1:11" ht="63.75" x14ac:dyDescent="0.2">
      <c r="A704" s="23" t="s">
        <v>458</v>
      </c>
      <c r="B704" s="23" t="s">
        <v>458</v>
      </c>
      <c r="C704" s="23" t="s">
        <v>472</v>
      </c>
      <c r="D704" s="45">
        <f t="shared" ref="D704" si="247">D703+H703</f>
        <v>1541</v>
      </c>
      <c r="E704" s="46">
        <f t="shared" si="246"/>
        <v>1541</v>
      </c>
      <c r="F704" s="27">
        <f t="shared" si="241"/>
        <v>1540</v>
      </c>
      <c r="G704" s="27">
        <f t="shared" si="242"/>
        <v>1540</v>
      </c>
      <c r="H704" s="24">
        <v>1</v>
      </c>
      <c r="I704" s="49" t="s">
        <v>269</v>
      </c>
      <c r="J704" s="39" t="s">
        <v>331</v>
      </c>
      <c r="K704" s="39" t="s">
        <v>436</v>
      </c>
    </row>
    <row r="705" spans="1:11" ht="63.75" x14ac:dyDescent="0.2">
      <c r="A705" s="43" t="s">
        <v>458</v>
      </c>
      <c r="B705" s="43" t="s">
        <v>458</v>
      </c>
      <c r="C705" s="43" t="s">
        <v>472</v>
      </c>
      <c r="D705" s="45">
        <f t="shared" ref="D705" si="248">D704+H704</f>
        <v>1542</v>
      </c>
      <c r="E705" s="46">
        <f t="shared" ref="E705" si="249">D705+H705-1</f>
        <v>1542</v>
      </c>
      <c r="F705" s="27">
        <f t="shared" si="241"/>
        <v>1541</v>
      </c>
      <c r="G705" s="27">
        <f t="shared" si="242"/>
        <v>1541</v>
      </c>
      <c r="H705" s="45">
        <v>1</v>
      </c>
      <c r="I705" s="52" t="s">
        <v>699</v>
      </c>
      <c r="J705" s="81" t="s">
        <v>331</v>
      </c>
      <c r="K705" s="81" t="s">
        <v>700</v>
      </c>
    </row>
    <row r="706" spans="1:11" ht="63.75" x14ac:dyDescent="0.2">
      <c r="A706" s="23" t="s">
        <v>458</v>
      </c>
      <c r="B706" s="23" t="s">
        <v>458</v>
      </c>
      <c r="C706" s="23" t="s">
        <v>471</v>
      </c>
      <c r="D706" s="24">
        <f>D705+H705</f>
        <v>1543</v>
      </c>
      <c r="E706" s="27">
        <f t="shared" si="246"/>
        <v>1543</v>
      </c>
      <c r="F706" s="27">
        <f t="shared" si="241"/>
        <v>1542</v>
      </c>
      <c r="G706" s="27">
        <f t="shared" si="242"/>
        <v>1542</v>
      </c>
      <c r="H706" s="24">
        <v>1</v>
      </c>
      <c r="I706" s="49" t="s">
        <v>270</v>
      </c>
      <c r="J706" s="39" t="s">
        <v>331</v>
      </c>
      <c r="K706" s="39" t="s">
        <v>438</v>
      </c>
    </row>
    <row r="707" spans="1:11" ht="63.75" x14ac:dyDescent="0.2">
      <c r="A707" s="23" t="s">
        <v>458</v>
      </c>
      <c r="B707" s="23" t="s">
        <v>458</v>
      </c>
      <c r="C707" s="23" t="s">
        <v>471</v>
      </c>
      <c r="D707" s="24">
        <f t="shared" ref="D707:D709" si="250">D706+H706</f>
        <v>1544</v>
      </c>
      <c r="E707" s="27">
        <f t="shared" si="246"/>
        <v>1544</v>
      </c>
      <c r="F707" s="27">
        <f t="shared" si="241"/>
        <v>1543</v>
      </c>
      <c r="G707" s="27">
        <f t="shared" si="242"/>
        <v>1543</v>
      </c>
      <c r="H707" s="24">
        <v>1</v>
      </c>
      <c r="I707" s="49" t="s">
        <v>271</v>
      </c>
      <c r="J707" s="39" t="s">
        <v>331</v>
      </c>
      <c r="K707" s="39" t="s">
        <v>439</v>
      </c>
    </row>
    <row r="708" spans="1:11" ht="89.25" customHeight="1" x14ac:dyDescent="0.2">
      <c r="A708" s="23" t="s">
        <v>458</v>
      </c>
      <c r="B708" s="23" t="s">
        <v>458</v>
      </c>
      <c r="C708" s="23" t="s">
        <v>471</v>
      </c>
      <c r="D708" s="24">
        <f t="shared" si="250"/>
        <v>1545</v>
      </c>
      <c r="E708" s="27">
        <f t="shared" si="246"/>
        <v>1545</v>
      </c>
      <c r="F708" s="27">
        <f t="shared" si="241"/>
        <v>1544</v>
      </c>
      <c r="G708" s="27">
        <f t="shared" si="242"/>
        <v>1544</v>
      </c>
      <c r="H708" s="24">
        <v>1</v>
      </c>
      <c r="I708" s="49" t="s">
        <v>272</v>
      </c>
      <c r="J708" s="39" t="s">
        <v>331</v>
      </c>
      <c r="K708" s="39" t="s">
        <v>440</v>
      </c>
    </row>
    <row r="709" spans="1:11" ht="114.75" x14ac:dyDescent="0.2">
      <c r="A709" s="23" t="s">
        <v>458</v>
      </c>
      <c r="B709" s="23" t="s">
        <v>458</v>
      </c>
      <c r="C709" s="23" t="s">
        <v>471</v>
      </c>
      <c r="D709" s="24">
        <f t="shared" si="250"/>
        <v>1546</v>
      </c>
      <c r="E709" s="27">
        <f t="shared" si="246"/>
        <v>1546</v>
      </c>
      <c r="F709" s="27">
        <f t="shared" si="241"/>
        <v>1545</v>
      </c>
      <c r="G709" s="27">
        <f t="shared" si="242"/>
        <v>1545</v>
      </c>
      <c r="H709" s="24">
        <v>1</v>
      </c>
      <c r="I709" s="49" t="s">
        <v>273</v>
      </c>
      <c r="J709" s="81" t="s">
        <v>331</v>
      </c>
      <c r="K709" s="86" t="s">
        <v>670</v>
      </c>
    </row>
    <row r="710" spans="1:11" x14ac:dyDescent="0.2">
      <c r="A710" s="23"/>
      <c r="B710" s="23"/>
      <c r="C710" s="23"/>
      <c r="D710" s="24"/>
      <c r="E710" s="24"/>
      <c r="F710" s="27">
        <f t="shared" si="241"/>
        <v>-1</v>
      </c>
      <c r="G710" s="27">
        <f t="shared" si="242"/>
        <v>-1</v>
      </c>
      <c r="H710" s="24"/>
      <c r="I710" s="50" t="s">
        <v>275</v>
      </c>
      <c r="J710" s="25"/>
      <c r="K710" s="73"/>
    </row>
    <row r="711" spans="1:11" ht="51" x14ac:dyDescent="0.2">
      <c r="A711" s="23" t="s">
        <v>458</v>
      </c>
      <c r="B711" s="23" t="s">
        <v>458</v>
      </c>
      <c r="C711" s="23"/>
      <c r="D711" s="24">
        <f>D709+H709</f>
        <v>1547</v>
      </c>
      <c r="E711" s="27">
        <f t="shared" ref="E711:E715" si="251">D711+H711-1</f>
        <v>1547</v>
      </c>
      <c r="F711" s="27">
        <f t="shared" si="241"/>
        <v>1546</v>
      </c>
      <c r="G711" s="27">
        <f t="shared" si="242"/>
        <v>1546</v>
      </c>
      <c r="H711" s="24">
        <v>1</v>
      </c>
      <c r="I711" s="71" t="s">
        <v>530</v>
      </c>
      <c r="J711" s="39" t="s">
        <v>331</v>
      </c>
      <c r="K711" s="81" t="s">
        <v>671</v>
      </c>
    </row>
    <row r="712" spans="1:11" ht="51" x14ac:dyDescent="0.2">
      <c r="A712" s="23" t="s">
        <v>458</v>
      </c>
      <c r="B712" s="23" t="s">
        <v>458</v>
      </c>
      <c r="C712" s="23"/>
      <c r="D712" s="24">
        <f t="shared" ref="D712" si="252">D711+H711</f>
        <v>1548</v>
      </c>
      <c r="E712" s="27">
        <f t="shared" si="251"/>
        <v>1548</v>
      </c>
      <c r="F712" s="27">
        <f t="shared" si="241"/>
        <v>1547</v>
      </c>
      <c r="G712" s="27">
        <f t="shared" si="242"/>
        <v>1547</v>
      </c>
      <c r="H712" s="24">
        <v>1</v>
      </c>
      <c r="I712" s="71" t="s">
        <v>531</v>
      </c>
      <c r="J712" s="39" t="s">
        <v>331</v>
      </c>
      <c r="K712" s="81" t="s">
        <v>672</v>
      </c>
    </row>
    <row r="713" spans="1:11" ht="51" x14ac:dyDescent="0.2">
      <c r="A713" s="23" t="s">
        <v>458</v>
      </c>
      <c r="B713" s="23" t="s">
        <v>458</v>
      </c>
      <c r="C713" s="23"/>
      <c r="D713" s="24">
        <f t="shared" ref="D713:D715" si="253">D712+H712</f>
        <v>1549</v>
      </c>
      <c r="E713" s="27">
        <f t="shared" si="251"/>
        <v>1549</v>
      </c>
      <c r="F713" s="27">
        <f t="shared" si="241"/>
        <v>1548</v>
      </c>
      <c r="G713" s="27">
        <f t="shared" si="242"/>
        <v>1548</v>
      </c>
      <c r="H713" s="24">
        <v>1</v>
      </c>
      <c r="I713" s="71" t="s">
        <v>532</v>
      </c>
      <c r="J713" s="39" t="s">
        <v>331</v>
      </c>
      <c r="K713" s="81" t="s">
        <v>673</v>
      </c>
    </row>
    <row r="714" spans="1:11" ht="51" x14ac:dyDescent="0.2">
      <c r="A714" s="23" t="s">
        <v>458</v>
      </c>
      <c r="B714" s="23" t="s">
        <v>458</v>
      </c>
      <c r="C714" s="23"/>
      <c r="D714" s="24">
        <f t="shared" si="253"/>
        <v>1550</v>
      </c>
      <c r="E714" s="27">
        <f t="shared" si="251"/>
        <v>1550</v>
      </c>
      <c r="F714" s="27">
        <f t="shared" si="241"/>
        <v>1549</v>
      </c>
      <c r="G714" s="27">
        <f t="shared" si="242"/>
        <v>1549</v>
      </c>
      <c r="H714" s="24">
        <v>1</v>
      </c>
      <c r="I714" s="71" t="s">
        <v>533</v>
      </c>
      <c r="J714" s="81" t="s">
        <v>331</v>
      </c>
      <c r="K714" s="81" t="s">
        <v>674</v>
      </c>
    </row>
    <row r="715" spans="1:11" x14ac:dyDescent="0.2">
      <c r="A715" s="23"/>
      <c r="B715" s="23"/>
      <c r="C715" s="23"/>
      <c r="D715" s="24">
        <f t="shared" si="253"/>
        <v>1551</v>
      </c>
      <c r="E715" s="27">
        <f t="shared" si="251"/>
        <v>1560</v>
      </c>
      <c r="F715" s="27">
        <f t="shared" si="241"/>
        <v>1550</v>
      </c>
      <c r="G715" s="27">
        <f t="shared" si="242"/>
        <v>1559</v>
      </c>
      <c r="H715" s="24">
        <v>10</v>
      </c>
      <c r="I715" s="71" t="s">
        <v>100</v>
      </c>
      <c r="J715" s="25"/>
      <c r="K715" s="26"/>
    </row>
    <row r="716" spans="1:11" x14ac:dyDescent="0.2">
      <c r="A716" s="23"/>
      <c r="B716" s="23"/>
      <c r="C716" s="23"/>
      <c r="D716" s="24"/>
      <c r="E716" s="24"/>
      <c r="F716" s="27">
        <f t="shared" si="241"/>
        <v>-1</v>
      </c>
      <c r="G716" s="27">
        <f t="shared" si="242"/>
        <v>-1</v>
      </c>
      <c r="H716" s="24"/>
      <c r="I716" s="50" t="s">
        <v>276</v>
      </c>
      <c r="J716" s="25"/>
      <c r="K716" s="26"/>
    </row>
    <row r="717" spans="1:11" x14ac:dyDescent="0.2">
      <c r="A717" s="23"/>
      <c r="B717" s="23"/>
      <c r="C717" s="23"/>
      <c r="D717" s="24"/>
      <c r="E717" s="24"/>
      <c r="F717" s="27">
        <f t="shared" si="241"/>
        <v>-1</v>
      </c>
      <c r="G717" s="27">
        <f t="shared" si="242"/>
        <v>-1</v>
      </c>
      <c r="H717" s="24"/>
      <c r="I717" s="50" t="s">
        <v>277</v>
      </c>
      <c r="J717" s="25"/>
      <c r="K717" s="26"/>
    </row>
    <row r="718" spans="1:11" ht="63.75" x14ac:dyDescent="0.2">
      <c r="A718" s="23" t="s">
        <v>457</v>
      </c>
      <c r="B718" s="23" t="s">
        <v>457</v>
      </c>
      <c r="C718" s="23"/>
      <c r="D718" s="24">
        <f>D715+H715</f>
        <v>1561</v>
      </c>
      <c r="E718" s="27">
        <f t="shared" ref="E718:E720" si="254">D718+H718-1</f>
        <v>1563</v>
      </c>
      <c r="F718" s="27">
        <f t="shared" si="241"/>
        <v>1560</v>
      </c>
      <c r="G718" s="27">
        <f t="shared" si="242"/>
        <v>1562</v>
      </c>
      <c r="H718" s="24">
        <v>3</v>
      </c>
      <c r="I718" s="71" t="s">
        <v>463</v>
      </c>
      <c r="J718" s="32" t="s">
        <v>441</v>
      </c>
      <c r="K718" s="32" t="s">
        <v>442</v>
      </c>
    </row>
    <row r="719" spans="1:11" x14ac:dyDescent="0.2">
      <c r="A719" s="23" t="s">
        <v>458</v>
      </c>
      <c r="B719" s="23" t="s">
        <v>458</v>
      </c>
      <c r="C719" s="23"/>
      <c r="D719" s="24">
        <f>D718+H718</f>
        <v>1564</v>
      </c>
      <c r="E719" s="27">
        <f t="shared" si="254"/>
        <v>1583</v>
      </c>
      <c r="F719" s="27">
        <f t="shared" si="241"/>
        <v>1563</v>
      </c>
      <c r="G719" s="27">
        <f t="shared" si="242"/>
        <v>1582</v>
      </c>
      <c r="H719" s="24">
        <v>20</v>
      </c>
      <c r="I719" s="71" t="s">
        <v>278</v>
      </c>
      <c r="J719" s="25"/>
      <c r="K719" s="26"/>
    </row>
    <row r="720" spans="1:11" x14ac:dyDescent="0.2">
      <c r="A720" s="23" t="s">
        <v>458</v>
      </c>
      <c r="B720" s="23" t="s">
        <v>458</v>
      </c>
      <c r="C720" s="23"/>
      <c r="D720" s="24">
        <f>D719+H719</f>
        <v>1584</v>
      </c>
      <c r="E720" s="27">
        <f t="shared" si="254"/>
        <v>1603</v>
      </c>
      <c r="F720" s="27">
        <f t="shared" si="241"/>
        <v>1583</v>
      </c>
      <c r="G720" s="27">
        <f t="shared" si="242"/>
        <v>1602</v>
      </c>
      <c r="H720" s="24">
        <v>20</v>
      </c>
      <c r="I720" s="71" t="s">
        <v>280</v>
      </c>
      <c r="J720" s="25"/>
      <c r="K720" s="26"/>
    </row>
    <row r="721" spans="1:11" x14ac:dyDescent="0.2">
      <c r="A721" s="23"/>
      <c r="B721" s="23"/>
      <c r="C721" s="23"/>
      <c r="D721" s="24"/>
      <c r="E721" s="24"/>
      <c r="F721" s="27">
        <f t="shared" si="241"/>
        <v>-1</v>
      </c>
      <c r="G721" s="27">
        <f t="shared" si="242"/>
        <v>-1</v>
      </c>
      <c r="H721" s="24"/>
      <c r="I721" s="50" t="s">
        <v>282</v>
      </c>
      <c r="J721" s="25"/>
      <c r="K721" s="26"/>
    </row>
    <row r="722" spans="1:11" ht="63.75" x14ac:dyDescent="0.2">
      <c r="A722" s="23" t="s">
        <v>457</v>
      </c>
      <c r="B722" s="23" t="s">
        <v>457</v>
      </c>
      <c r="C722" s="23"/>
      <c r="D722" s="24">
        <f>D720+H720</f>
        <v>1604</v>
      </c>
      <c r="E722" s="27">
        <f t="shared" ref="E722:E724" si="255">D722+H722-1</f>
        <v>1606</v>
      </c>
      <c r="F722" s="27">
        <f t="shared" si="241"/>
        <v>1603</v>
      </c>
      <c r="G722" s="27">
        <f t="shared" si="242"/>
        <v>1605</v>
      </c>
      <c r="H722" s="24">
        <v>3</v>
      </c>
      <c r="I722" s="71" t="s">
        <v>462</v>
      </c>
      <c r="J722" s="32" t="s">
        <v>441</v>
      </c>
      <c r="K722" s="32" t="s">
        <v>460</v>
      </c>
    </row>
    <row r="723" spans="1:11" x14ac:dyDescent="0.2">
      <c r="A723" s="23" t="s">
        <v>458</v>
      </c>
      <c r="B723" s="23" t="s">
        <v>458</v>
      </c>
      <c r="C723" s="23"/>
      <c r="D723" s="24">
        <f t="shared" ref="D723" si="256">D722+H722</f>
        <v>1607</v>
      </c>
      <c r="E723" s="27">
        <f t="shared" si="255"/>
        <v>1626</v>
      </c>
      <c r="F723" s="27">
        <f t="shared" si="241"/>
        <v>1606</v>
      </c>
      <c r="G723" s="27">
        <f t="shared" si="242"/>
        <v>1625</v>
      </c>
      <c r="H723" s="24">
        <v>20</v>
      </c>
      <c r="I723" s="71" t="s">
        <v>281</v>
      </c>
      <c r="J723" s="25"/>
      <c r="K723" s="26"/>
    </row>
    <row r="724" spans="1:11" x14ac:dyDescent="0.2">
      <c r="A724" s="23" t="s">
        <v>458</v>
      </c>
      <c r="B724" s="23" t="s">
        <v>458</v>
      </c>
      <c r="C724" s="23"/>
      <c r="D724" s="24">
        <f t="shared" ref="D724" si="257">D723+H723</f>
        <v>1627</v>
      </c>
      <c r="E724" s="27">
        <f t="shared" si="255"/>
        <v>1646</v>
      </c>
      <c r="F724" s="27">
        <f t="shared" si="241"/>
        <v>1626</v>
      </c>
      <c r="G724" s="27">
        <f t="shared" si="242"/>
        <v>1645</v>
      </c>
      <c r="H724" s="24">
        <v>20</v>
      </c>
      <c r="I724" s="71" t="s">
        <v>279</v>
      </c>
      <c r="J724" s="25"/>
      <c r="K724" s="26"/>
    </row>
    <row r="725" spans="1:11" x14ac:dyDescent="0.2">
      <c r="A725" s="23"/>
      <c r="B725" s="23"/>
      <c r="C725" s="23"/>
      <c r="D725" s="24"/>
      <c r="E725" s="24"/>
      <c r="F725" s="27">
        <f t="shared" si="241"/>
        <v>-1</v>
      </c>
      <c r="G725" s="27">
        <f t="shared" si="242"/>
        <v>-1</v>
      </c>
      <c r="H725" s="24"/>
      <c r="I725" s="50" t="s">
        <v>287</v>
      </c>
      <c r="J725" s="25"/>
      <c r="K725" s="26"/>
    </row>
    <row r="726" spans="1:11" ht="63.75" x14ac:dyDescent="0.2">
      <c r="A726" s="23" t="s">
        <v>457</v>
      </c>
      <c r="B726" s="23" t="s">
        <v>457</v>
      </c>
      <c r="C726" s="23"/>
      <c r="D726" s="24">
        <f>D724+H724</f>
        <v>1647</v>
      </c>
      <c r="E726" s="27">
        <f t="shared" ref="E726:E728" si="258">D726+H726-1</f>
        <v>1649</v>
      </c>
      <c r="F726" s="27">
        <f t="shared" si="241"/>
        <v>1646</v>
      </c>
      <c r="G726" s="27">
        <f t="shared" si="242"/>
        <v>1648</v>
      </c>
      <c r="H726" s="24">
        <v>3</v>
      </c>
      <c r="I726" s="71" t="s">
        <v>464</v>
      </c>
      <c r="J726" s="32" t="s">
        <v>441</v>
      </c>
      <c r="K726" s="32" t="s">
        <v>344</v>
      </c>
    </row>
    <row r="727" spans="1:11" x14ac:dyDescent="0.2">
      <c r="A727" s="23" t="s">
        <v>458</v>
      </c>
      <c r="B727" s="23" t="s">
        <v>458</v>
      </c>
      <c r="C727" s="23"/>
      <c r="D727" s="24">
        <f t="shared" ref="D727" si="259">D726+H726</f>
        <v>1650</v>
      </c>
      <c r="E727" s="27">
        <f t="shared" si="258"/>
        <v>1669</v>
      </c>
      <c r="F727" s="27">
        <f t="shared" si="241"/>
        <v>1649</v>
      </c>
      <c r="G727" s="27">
        <f t="shared" si="242"/>
        <v>1668</v>
      </c>
      <c r="H727" s="24">
        <v>20</v>
      </c>
      <c r="I727" s="71" t="s">
        <v>283</v>
      </c>
      <c r="J727" s="25"/>
      <c r="K727" s="26"/>
    </row>
    <row r="728" spans="1:11" x14ac:dyDescent="0.2">
      <c r="A728" s="23" t="s">
        <v>458</v>
      </c>
      <c r="B728" s="23" t="s">
        <v>458</v>
      </c>
      <c r="C728" s="23"/>
      <c r="D728" s="24">
        <f t="shared" ref="D728" si="260">D727+H727</f>
        <v>1670</v>
      </c>
      <c r="E728" s="27">
        <f t="shared" si="258"/>
        <v>1689</v>
      </c>
      <c r="F728" s="27">
        <f t="shared" si="241"/>
        <v>1669</v>
      </c>
      <c r="G728" s="27">
        <f t="shared" si="242"/>
        <v>1688</v>
      </c>
      <c r="H728" s="24">
        <v>20</v>
      </c>
      <c r="I728" s="71" t="s">
        <v>284</v>
      </c>
      <c r="J728" s="25"/>
      <c r="K728" s="26"/>
    </row>
    <row r="729" spans="1:11" ht="25.5" x14ac:dyDescent="0.2">
      <c r="A729" s="23"/>
      <c r="B729" s="23"/>
      <c r="C729" s="23"/>
      <c r="D729" s="24"/>
      <c r="E729" s="24"/>
      <c r="F729" s="27">
        <f t="shared" si="241"/>
        <v>-1</v>
      </c>
      <c r="G729" s="27">
        <f t="shared" si="242"/>
        <v>-1</v>
      </c>
      <c r="H729" s="24"/>
      <c r="I729" s="50" t="s">
        <v>288</v>
      </c>
      <c r="J729" s="25"/>
      <c r="K729" s="80" t="s">
        <v>490</v>
      </c>
    </row>
    <row r="730" spans="1:11" ht="63.75" x14ac:dyDescent="0.2">
      <c r="A730" s="23" t="s">
        <v>457</v>
      </c>
      <c r="B730" s="23" t="s">
        <v>457</v>
      </c>
      <c r="C730" s="23"/>
      <c r="D730" s="24">
        <f>D728+H728</f>
        <v>1690</v>
      </c>
      <c r="E730" s="27">
        <f t="shared" ref="E730:E733" si="261">D730+H730-1</f>
        <v>1692</v>
      </c>
      <c r="F730" s="27">
        <f t="shared" si="241"/>
        <v>1689</v>
      </c>
      <c r="G730" s="27">
        <f t="shared" si="242"/>
        <v>1691</v>
      </c>
      <c r="H730" s="24">
        <v>3</v>
      </c>
      <c r="I730" s="71" t="s">
        <v>461</v>
      </c>
      <c r="J730" s="98" t="s">
        <v>441</v>
      </c>
      <c r="K730" s="98" t="s">
        <v>460</v>
      </c>
    </row>
    <row r="731" spans="1:11" x14ac:dyDescent="0.2">
      <c r="A731" s="23" t="s">
        <v>458</v>
      </c>
      <c r="B731" s="23" t="s">
        <v>458</v>
      </c>
      <c r="C731" s="23"/>
      <c r="D731" s="24">
        <f t="shared" ref="D731" si="262">D730+H730</f>
        <v>1693</v>
      </c>
      <c r="E731" s="27">
        <f t="shared" si="261"/>
        <v>1712</v>
      </c>
      <c r="F731" s="27">
        <f t="shared" si="241"/>
        <v>1692</v>
      </c>
      <c r="G731" s="27">
        <f t="shared" si="242"/>
        <v>1711</v>
      </c>
      <c r="H731" s="24">
        <v>20</v>
      </c>
      <c r="I731" s="71" t="s">
        <v>285</v>
      </c>
      <c r="J731" s="25"/>
      <c r="K731" s="26"/>
    </row>
    <row r="732" spans="1:11" x14ac:dyDescent="0.2">
      <c r="A732" s="23" t="s">
        <v>458</v>
      </c>
      <c r="B732" s="23" t="s">
        <v>458</v>
      </c>
      <c r="C732" s="23"/>
      <c r="D732" s="24">
        <f t="shared" ref="D732:D733" si="263">D731+H731</f>
        <v>1713</v>
      </c>
      <c r="E732" s="27">
        <f t="shared" si="261"/>
        <v>1732</v>
      </c>
      <c r="F732" s="27">
        <f t="shared" si="241"/>
        <v>1712</v>
      </c>
      <c r="G732" s="27">
        <f t="shared" si="242"/>
        <v>1731</v>
      </c>
      <c r="H732" s="24">
        <v>20</v>
      </c>
      <c r="I732" s="71" t="s">
        <v>286</v>
      </c>
      <c r="J732" s="25"/>
      <c r="K732" s="26"/>
    </row>
    <row r="733" spans="1:11" x14ac:dyDescent="0.2">
      <c r="A733" s="23" t="s">
        <v>458</v>
      </c>
      <c r="B733" s="23" t="s">
        <v>458</v>
      </c>
      <c r="C733" s="23"/>
      <c r="D733" s="24">
        <f t="shared" si="263"/>
        <v>1733</v>
      </c>
      <c r="E733" s="27">
        <f t="shared" si="261"/>
        <v>1782</v>
      </c>
      <c r="F733" s="27">
        <f t="shared" si="241"/>
        <v>1732</v>
      </c>
      <c r="G733" s="27">
        <f t="shared" si="242"/>
        <v>1781</v>
      </c>
      <c r="H733" s="24">
        <v>50</v>
      </c>
      <c r="I733" s="71" t="s">
        <v>100</v>
      </c>
      <c r="J733" s="25"/>
      <c r="K733" s="26"/>
    </row>
    <row r="734" spans="1:11" x14ac:dyDescent="0.2">
      <c r="A734" s="23"/>
      <c r="B734" s="23"/>
      <c r="C734" s="23"/>
      <c r="D734" s="24"/>
      <c r="E734" s="24"/>
      <c r="F734" s="27">
        <f t="shared" si="241"/>
        <v>-1</v>
      </c>
      <c r="G734" s="27">
        <f t="shared" si="242"/>
        <v>-1</v>
      </c>
      <c r="H734" s="24"/>
      <c r="I734" s="50" t="s">
        <v>290</v>
      </c>
      <c r="J734" s="25"/>
      <c r="K734" s="26"/>
    </row>
    <row r="735" spans="1:11" ht="51" x14ac:dyDescent="0.2">
      <c r="A735" s="23" t="s">
        <v>458</v>
      </c>
      <c r="B735" s="23" t="s">
        <v>458</v>
      </c>
      <c r="C735" s="23"/>
      <c r="D735" s="24">
        <f>D733+H733</f>
        <v>1783</v>
      </c>
      <c r="E735" s="27">
        <f t="shared" ref="E735:E736" si="264">D735+H735-1</f>
        <v>1784</v>
      </c>
      <c r="F735" s="27">
        <f t="shared" si="241"/>
        <v>1782</v>
      </c>
      <c r="G735" s="27">
        <f t="shared" si="242"/>
        <v>1783</v>
      </c>
      <c r="H735" s="24">
        <v>2</v>
      </c>
      <c r="I735" s="49" t="s">
        <v>291</v>
      </c>
      <c r="J735" s="33" t="s">
        <v>445</v>
      </c>
      <c r="K735" s="102" t="s">
        <v>317</v>
      </c>
    </row>
    <row r="736" spans="1:11" ht="51" x14ac:dyDescent="0.2">
      <c r="A736" s="23" t="s">
        <v>458</v>
      </c>
      <c r="B736" s="23" t="s">
        <v>458</v>
      </c>
      <c r="C736" s="23"/>
      <c r="D736" s="24">
        <f t="shared" ref="D736" si="265">D735+H735</f>
        <v>1785</v>
      </c>
      <c r="E736" s="27">
        <f t="shared" si="264"/>
        <v>1792</v>
      </c>
      <c r="F736" s="27">
        <f t="shared" si="241"/>
        <v>1784</v>
      </c>
      <c r="G736" s="27">
        <f t="shared" si="242"/>
        <v>1791</v>
      </c>
      <c r="H736" s="24">
        <v>8</v>
      </c>
      <c r="I736" s="49" t="s">
        <v>292</v>
      </c>
      <c r="J736" s="33" t="s">
        <v>446</v>
      </c>
      <c r="K736" s="102" t="s">
        <v>317</v>
      </c>
    </row>
    <row r="737" spans="1:11" x14ac:dyDescent="0.2">
      <c r="A737" s="23"/>
      <c r="B737" s="23"/>
      <c r="C737" s="23"/>
      <c r="D737" s="24"/>
      <c r="E737" s="24"/>
      <c r="F737" s="27">
        <f t="shared" si="241"/>
        <v>-1</v>
      </c>
      <c r="G737" s="27">
        <f t="shared" si="242"/>
        <v>-1</v>
      </c>
      <c r="H737" s="24"/>
      <c r="I737" s="51" t="s">
        <v>294</v>
      </c>
      <c r="J737" s="25"/>
      <c r="K737" s="26"/>
    </row>
    <row r="738" spans="1:11" ht="171" customHeight="1" x14ac:dyDescent="0.2">
      <c r="A738" s="23" t="s">
        <v>458</v>
      </c>
      <c r="B738" s="23" t="s">
        <v>458</v>
      </c>
      <c r="C738" s="23" t="s">
        <v>469</v>
      </c>
      <c r="D738" s="24">
        <f>D736+H736</f>
        <v>1793</v>
      </c>
      <c r="E738" s="99">
        <f t="shared" ref="E738:E741" si="266">D738+H738-1</f>
        <v>1992</v>
      </c>
      <c r="F738" s="27">
        <f t="shared" si="241"/>
        <v>1792</v>
      </c>
      <c r="G738" s="27">
        <f t="shared" si="242"/>
        <v>1991</v>
      </c>
      <c r="H738" s="100">
        <v>200</v>
      </c>
      <c r="I738" s="103" t="s">
        <v>743</v>
      </c>
      <c r="J738" s="158" t="s">
        <v>675</v>
      </c>
      <c r="K738" s="136" t="s">
        <v>685</v>
      </c>
    </row>
    <row r="739" spans="1:11" ht="169.5" customHeight="1" x14ac:dyDescent="0.2">
      <c r="A739" s="104" t="s">
        <v>458</v>
      </c>
      <c r="B739" s="104" t="s">
        <v>458</v>
      </c>
      <c r="C739" s="104" t="s">
        <v>471</v>
      </c>
      <c r="D739" s="100">
        <f t="shared" ref="D739:D747" si="267">D738+H738</f>
        <v>1993</v>
      </c>
      <c r="E739" s="99">
        <f t="shared" ref="E739:E740" si="268">D739+H739-1</f>
        <v>2092</v>
      </c>
      <c r="F739" s="27">
        <f t="shared" si="241"/>
        <v>1992</v>
      </c>
      <c r="G739" s="27">
        <f t="shared" si="242"/>
        <v>2091</v>
      </c>
      <c r="H739" s="100">
        <v>100</v>
      </c>
      <c r="I739" s="103" t="s">
        <v>744</v>
      </c>
      <c r="J739" s="158"/>
      <c r="K739" s="136"/>
    </row>
    <row r="740" spans="1:11" ht="174" customHeight="1" x14ac:dyDescent="0.2">
      <c r="A740" s="23" t="s">
        <v>458</v>
      </c>
      <c r="B740" s="23" t="s">
        <v>458</v>
      </c>
      <c r="C740" s="23" t="s">
        <v>469</v>
      </c>
      <c r="D740" s="24">
        <f t="shared" si="267"/>
        <v>2093</v>
      </c>
      <c r="E740" s="99">
        <f t="shared" si="268"/>
        <v>2292</v>
      </c>
      <c r="F740" s="27">
        <f t="shared" si="241"/>
        <v>2092</v>
      </c>
      <c r="G740" s="27">
        <f t="shared" si="242"/>
        <v>2291</v>
      </c>
      <c r="H740" s="100">
        <v>200</v>
      </c>
      <c r="I740" s="103" t="s">
        <v>748</v>
      </c>
      <c r="J740" s="158"/>
      <c r="K740" s="136"/>
    </row>
    <row r="741" spans="1:11" ht="174" customHeight="1" x14ac:dyDescent="0.2">
      <c r="A741" s="104" t="s">
        <v>458</v>
      </c>
      <c r="B741" s="104" t="s">
        <v>458</v>
      </c>
      <c r="C741" s="104" t="s">
        <v>471</v>
      </c>
      <c r="D741" s="100">
        <f t="shared" si="267"/>
        <v>2293</v>
      </c>
      <c r="E741" s="99">
        <f t="shared" si="266"/>
        <v>2392</v>
      </c>
      <c r="F741" s="27">
        <f t="shared" si="241"/>
        <v>2292</v>
      </c>
      <c r="G741" s="27">
        <f t="shared" si="242"/>
        <v>2391</v>
      </c>
      <c r="H741" s="100">
        <v>100</v>
      </c>
      <c r="I741" s="103" t="s">
        <v>745</v>
      </c>
      <c r="J741" s="158"/>
      <c r="K741" s="136"/>
    </row>
    <row r="742" spans="1:11" ht="222.75" customHeight="1" x14ac:dyDescent="0.2">
      <c r="A742" s="105" t="s">
        <v>458</v>
      </c>
      <c r="B742" s="105" t="s">
        <v>458</v>
      </c>
      <c r="C742" s="105" t="s">
        <v>469</v>
      </c>
      <c r="D742" s="106">
        <f t="shared" si="267"/>
        <v>2393</v>
      </c>
      <c r="E742" s="107">
        <f>D742+H742-1</f>
        <v>2607</v>
      </c>
      <c r="F742" s="27">
        <f t="shared" si="241"/>
        <v>2392</v>
      </c>
      <c r="G742" s="27">
        <f t="shared" si="242"/>
        <v>2606</v>
      </c>
      <c r="H742" s="108">
        <v>215</v>
      </c>
      <c r="I742" s="103" t="s">
        <v>747</v>
      </c>
      <c r="J742" s="143" t="s">
        <v>570</v>
      </c>
      <c r="K742" s="136"/>
    </row>
    <row r="743" spans="1:11" ht="220.5" customHeight="1" x14ac:dyDescent="0.2">
      <c r="A743" s="109" t="s">
        <v>458</v>
      </c>
      <c r="B743" s="109" t="s">
        <v>458</v>
      </c>
      <c r="C743" s="109" t="s">
        <v>471</v>
      </c>
      <c r="D743" s="107">
        <f t="shared" si="267"/>
        <v>2608</v>
      </c>
      <c r="E743" s="107">
        <f>D743+H743-1</f>
        <v>2642</v>
      </c>
      <c r="F743" s="27">
        <f t="shared" si="241"/>
        <v>2607</v>
      </c>
      <c r="G743" s="27">
        <f t="shared" si="242"/>
        <v>2641</v>
      </c>
      <c r="H743" s="108">
        <v>35</v>
      </c>
      <c r="I743" s="103" t="s">
        <v>746</v>
      </c>
      <c r="J743" s="143"/>
      <c r="K743" s="136"/>
    </row>
    <row r="744" spans="1:11" ht="409.6" customHeight="1" x14ac:dyDescent="0.2">
      <c r="A744" s="23" t="s">
        <v>458</v>
      </c>
      <c r="B744" s="23" t="s">
        <v>458</v>
      </c>
      <c r="C744" s="105" t="s">
        <v>469</v>
      </c>
      <c r="D744" s="106">
        <f t="shared" si="267"/>
        <v>2643</v>
      </c>
      <c r="E744" s="110">
        <f t="shared" ref="E744:E749" si="269">D744+H744-1</f>
        <v>2872</v>
      </c>
      <c r="F744" s="27">
        <f t="shared" si="241"/>
        <v>2642</v>
      </c>
      <c r="G744" s="27">
        <f t="shared" si="242"/>
        <v>2871</v>
      </c>
      <c r="H744" s="107">
        <v>230</v>
      </c>
      <c r="I744" s="103" t="s">
        <v>749</v>
      </c>
      <c r="J744" s="158" t="s">
        <v>676</v>
      </c>
      <c r="K744" s="136"/>
    </row>
    <row r="745" spans="1:11" ht="273.75" customHeight="1" x14ac:dyDescent="0.2">
      <c r="A745" s="104" t="s">
        <v>458</v>
      </c>
      <c r="B745" s="104" t="s">
        <v>458</v>
      </c>
      <c r="C745" s="109" t="s">
        <v>469</v>
      </c>
      <c r="D745" s="107">
        <f t="shared" si="267"/>
        <v>2873</v>
      </c>
      <c r="E745" s="110">
        <f t="shared" ref="E745" si="270">D745+H745-1</f>
        <v>2932</v>
      </c>
      <c r="F745" s="27">
        <f t="shared" si="241"/>
        <v>2872</v>
      </c>
      <c r="G745" s="27">
        <f t="shared" si="242"/>
        <v>2931</v>
      </c>
      <c r="H745" s="107">
        <v>60</v>
      </c>
      <c r="I745" s="103" t="s">
        <v>750</v>
      </c>
      <c r="J745" s="158"/>
      <c r="K745" s="136"/>
    </row>
    <row r="746" spans="1:11" ht="117" customHeight="1" x14ac:dyDescent="0.2">
      <c r="A746" s="111" t="s">
        <v>458</v>
      </c>
      <c r="B746" s="111" t="s">
        <v>458</v>
      </c>
      <c r="C746" s="112"/>
      <c r="D746" s="113">
        <f t="shared" si="267"/>
        <v>2933</v>
      </c>
      <c r="E746" s="113">
        <f t="shared" ref="E746:E748" si="271">D746+H746-1</f>
        <v>2947</v>
      </c>
      <c r="F746" s="27">
        <f t="shared" si="241"/>
        <v>2932</v>
      </c>
      <c r="G746" s="27">
        <f t="shared" si="242"/>
        <v>2946</v>
      </c>
      <c r="H746" s="114">
        <v>15</v>
      </c>
      <c r="I746" s="115" t="s">
        <v>681</v>
      </c>
      <c r="J746" s="116"/>
      <c r="K746" s="157" t="s">
        <v>682</v>
      </c>
    </row>
    <row r="747" spans="1:11" ht="111.75" customHeight="1" x14ac:dyDescent="0.2">
      <c r="A747" s="111" t="s">
        <v>458</v>
      </c>
      <c r="B747" s="111" t="s">
        <v>458</v>
      </c>
      <c r="C747" s="112"/>
      <c r="D747" s="117">
        <f t="shared" si="267"/>
        <v>2948</v>
      </c>
      <c r="E747" s="113">
        <f t="shared" si="271"/>
        <v>2967</v>
      </c>
      <c r="F747" s="27">
        <f t="shared" si="241"/>
        <v>2947</v>
      </c>
      <c r="G747" s="27">
        <f t="shared" si="242"/>
        <v>2966</v>
      </c>
      <c r="H747" s="114">
        <v>20</v>
      </c>
      <c r="I747" s="118" t="s">
        <v>683</v>
      </c>
      <c r="J747" s="119"/>
      <c r="K747" s="157"/>
    </row>
    <row r="748" spans="1:11" ht="66" customHeight="1" x14ac:dyDescent="0.2">
      <c r="A748" s="120" t="s">
        <v>458</v>
      </c>
      <c r="B748" s="111" t="s">
        <v>458</v>
      </c>
      <c r="C748" s="111"/>
      <c r="D748" s="117">
        <f t="shared" ref="D748" si="272">D747+H747</f>
        <v>2968</v>
      </c>
      <c r="E748" s="117">
        <f t="shared" si="271"/>
        <v>2977</v>
      </c>
      <c r="F748" s="27">
        <f t="shared" ref="F748:F749" si="273">D748-1</f>
        <v>2967</v>
      </c>
      <c r="G748" s="27">
        <f t="shared" ref="G748:G749" si="274">E748-1</f>
        <v>2976</v>
      </c>
      <c r="H748" s="111">
        <v>10</v>
      </c>
      <c r="I748" s="115" t="s">
        <v>684</v>
      </c>
      <c r="J748" s="121" t="s">
        <v>724</v>
      </c>
      <c r="K748" s="121" t="s">
        <v>723</v>
      </c>
    </row>
    <row r="749" spans="1:11" x14ac:dyDescent="0.2">
      <c r="A749" s="23" t="s">
        <v>457</v>
      </c>
      <c r="B749" s="23" t="s">
        <v>457</v>
      </c>
      <c r="C749" s="23"/>
      <c r="D749" s="122">
        <f>D748+H748</f>
        <v>2978</v>
      </c>
      <c r="E749" s="99">
        <f t="shared" si="269"/>
        <v>2996</v>
      </c>
      <c r="F749" s="27">
        <f t="shared" si="273"/>
        <v>2977</v>
      </c>
      <c r="G749" s="27">
        <f t="shared" si="274"/>
        <v>2995</v>
      </c>
      <c r="H749" s="24">
        <v>19</v>
      </c>
      <c r="I749" s="49" t="s">
        <v>293</v>
      </c>
      <c r="J749" s="33" t="s">
        <v>305</v>
      </c>
      <c r="K749" s="32" t="s">
        <v>306</v>
      </c>
    </row>
    <row r="750" spans="1:11" x14ac:dyDescent="0.2">
      <c r="A750" s="23"/>
      <c r="B750" s="23"/>
      <c r="C750" s="23"/>
      <c r="D750" s="24"/>
      <c r="E750" s="24"/>
      <c r="F750" s="24"/>
      <c r="G750" s="24"/>
      <c r="H750" s="24"/>
      <c r="I750" s="71"/>
      <c r="J750" s="25"/>
      <c r="K750" s="26"/>
    </row>
    <row r="751" spans="1:11" x14ac:dyDescent="0.2">
      <c r="A751" s="23"/>
      <c r="B751" s="23"/>
      <c r="C751" s="23"/>
      <c r="D751" s="24"/>
      <c r="E751" s="24"/>
      <c r="F751" s="24"/>
      <c r="G751" s="24"/>
      <c r="H751" s="24"/>
      <c r="I751" s="71"/>
      <c r="J751" s="25"/>
      <c r="K751" s="26"/>
    </row>
    <row r="752" spans="1:11" x14ac:dyDescent="0.2">
      <c r="A752" s="23"/>
      <c r="B752" s="23"/>
      <c r="C752" s="123" t="s">
        <v>524</v>
      </c>
      <c r="D752" s="24"/>
      <c r="E752" s="124">
        <f>E749</f>
        <v>2996</v>
      </c>
      <c r="F752" s="124"/>
      <c r="G752" s="124"/>
      <c r="H752" s="24"/>
      <c r="I752" s="71"/>
      <c r="J752" s="25"/>
      <c r="K752" s="26"/>
    </row>
  </sheetData>
  <mergeCells count="110">
    <mergeCell ref="K746:K747"/>
    <mergeCell ref="K738:K745"/>
    <mergeCell ref="J634:J637"/>
    <mergeCell ref="K634:K637"/>
    <mergeCell ref="J744:J745"/>
    <mergeCell ref="J645:J648"/>
    <mergeCell ref="K645:K648"/>
    <mergeCell ref="J640:J643"/>
    <mergeCell ref="K640:K643"/>
    <mergeCell ref="J738:J741"/>
    <mergeCell ref="J742:J743"/>
    <mergeCell ref="K358:K373"/>
    <mergeCell ref="K88:K95"/>
    <mergeCell ref="J88:J95"/>
    <mergeCell ref="J50:J54"/>
    <mergeCell ref="K50:K54"/>
    <mergeCell ref="J56:J72"/>
    <mergeCell ref="K56:K72"/>
    <mergeCell ref="J107:J114"/>
    <mergeCell ref="K107:K114"/>
    <mergeCell ref="J197:J202"/>
    <mergeCell ref="K197:K202"/>
    <mergeCell ref="J143:J147"/>
    <mergeCell ref="K143:K147"/>
    <mergeCell ref="J149:J165"/>
    <mergeCell ref="K149:K165"/>
    <mergeCell ref="J185:J193"/>
    <mergeCell ref="K185:K193"/>
    <mergeCell ref="J168:J183"/>
    <mergeCell ref="K168:K183"/>
    <mergeCell ref="J120:J130"/>
    <mergeCell ref="K120:K130"/>
    <mergeCell ref="J299:J304"/>
    <mergeCell ref="K299:K304"/>
    <mergeCell ref="J308:J318"/>
    <mergeCell ref="C1:I1"/>
    <mergeCell ref="J1:K1"/>
    <mergeCell ref="K7:K8"/>
    <mergeCell ref="K14:K16"/>
    <mergeCell ref="K20:K22"/>
    <mergeCell ref="J74:J86"/>
    <mergeCell ref="K74:K86"/>
    <mergeCell ref="J99:J103"/>
    <mergeCell ref="K99:K103"/>
    <mergeCell ref="K308:K318"/>
    <mergeCell ref="J246:J250"/>
    <mergeCell ref="K246:K250"/>
    <mergeCell ref="J285:J295"/>
    <mergeCell ref="K285:K295"/>
    <mergeCell ref="J206:J214"/>
    <mergeCell ref="K206:K214"/>
    <mergeCell ref="J217:J218"/>
    <mergeCell ref="K217:K218"/>
    <mergeCell ref="J221:J233"/>
    <mergeCell ref="K221:K233"/>
    <mergeCell ref="J252:J268"/>
    <mergeCell ref="K252:K268"/>
    <mergeCell ref="J270:J282"/>
    <mergeCell ref="K270:K282"/>
    <mergeCell ref="J608:J611"/>
    <mergeCell ref="K608:K611"/>
    <mergeCell ref="J613:J616"/>
    <mergeCell ref="K613:K616"/>
    <mergeCell ref="J596:J599"/>
    <mergeCell ref="K596:K599"/>
    <mergeCell ref="J601:J604"/>
    <mergeCell ref="K601:K604"/>
    <mergeCell ref="J586:J589"/>
    <mergeCell ref="K586:K589"/>
    <mergeCell ref="J591:J594"/>
    <mergeCell ref="K591:K594"/>
    <mergeCell ref="J334:J338"/>
    <mergeCell ref="J624:J627"/>
    <mergeCell ref="K624:K627"/>
    <mergeCell ref="J628:J631"/>
    <mergeCell ref="K628:K631"/>
    <mergeCell ref="J618:J621"/>
    <mergeCell ref="K618:K621"/>
    <mergeCell ref="J432:J435"/>
    <mergeCell ref="K432:K435"/>
    <mergeCell ref="J448:J451"/>
    <mergeCell ref="K448:K451"/>
    <mergeCell ref="K457:K460"/>
    <mergeCell ref="J457:J460"/>
    <mergeCell ref="J358:J373"/>
    <mergeCell ref="K334:K338"/>
    <mergeCell ref="K340:K356"/>
    <mergeCell ref="K376:K386"/>
    <mergeCell ref="K390:K395"/>
    <mergeCell ref="K399:K409"/>
    <mergeCell ref="J340:J356"/>
    <mergeCell ref="J581:J582"/>
    <mergeCell ref="K581:K582"/>
    <mergeCell ref="J376:J386"/>
    <mergeCell ref="J390:J395"/>
    <mergeCell ref="J399:J409"/>
    <mergeCell ref="J552:J554"/>
    <mergeCell ref="K552:K554"/>
    <mergeCell ref="K559:K560"/>
    <mergeCell ref="J559:J560"/>
    <mergeCell ref="J510:J511"/>
    <mergeCell ref="K510:K511"/>
    <mergeCell ref="J532:J533"/>
    <mergeCell ref="K532:K533"/>
    <mergeCell ref="J475:J478"/>
    <mergeCell ref="K475:K478"/>
    <mergeCell ref="J441:J444"/>
    <mergeCell ref="K441:K444"/>
    <mergeCell ref="J415:J425"/>
    <mergeCell ref="K415:K425"/>
  </mergeCells>
  <printOptions gridLines="1"/>
  <pageMargins left="0.2" right="0.2" top="0.24657738100000001" bottom="0.75" header="0.3" footer="0.3"/>
  <pageSetup paperSize="5" scale="70" fitToHeight="0" orientation="landscape" r:id="rId1"/>
  <headerFooter>
    <oddHeader>&amp;RLayout provided by Data Recognition Corporation - Proprietary and Confidential</oddHeader>
    <oddFooter>&amp;LK = Key Verification     E = Equating      M = Merge      C = Corrections&amp;CPage &amp;P of &amp;N&amp;RLast Saved Date: 8/30/2017 8:03:56 AM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8"/>
  <sheetViews>
    <sheetView topLeftCell="A33" zoomScale="150" zoomScaleNormal="150" workbookViewId="0">
      <selection activeCell="A38" sqref="A38:C38"/>
    </sheetView>
  </sheetViews>
  <sheetFormatPr defaultRowHeight="15" x14ac:dyDescent="0.25"/>
  <cols>
    <col min="1" max="1" width="10.7109375" bestFit="1" customWidth="1"/>
    <col min="2" max="2" width="64.7109375" style="15" customWidth="1"/>
    <col min="3" max="3" width="20.5703125" customWidth="1"/>
  </cols>
  <sheetData>
    <row r="1" spans="1:3" x14ac:dyDescent="0.25">
      <c r="A1" s="159" t="s">
        <v>473</v>
      </c>
      <c r="B1" s="159"/>
      <c r="C1" s="159"/>
    </row>
    <row r="2" spans="1:3" ht="25.5" x14ac:dyDescent="0.25">
      <c r="A2" s="6" t="s">
        <v>474</v>
      </c>
      <c r="B2" s="8" t="s">
        <v>475</v>
      </c>
      <c r="C2" s="7" t="s">
        <v>476</v>
      </c>
    </row>
    <row r="3" spans="1:3" ht="51.75" x14ac:dyDescent="0.25">
      <c r="A3" s="17">
        <v>42506</v>
      </c>
      <c r="B3" s="18" t="s">
        <v>557</v>
      </c>
      <c r="C3" s="19" t="s">
        <v>560</v>
      </c>
    </row>
    <row r="4" spans="1:3" ht="26.25" x14ac:dyDescent="0.25">
      <c r="A4" s="17">
        <v>42506</v>
      </c>
      <c r="B4" s="18" t="s">
        <v>558</v>
      </c>
      <c r="C4" s="19" t="s">
        <v>560</v>
      </c>
    </row>
    <row r="5" spans="1:3" ht="26.25" x14ac:dyDescent="0.25">
      <c r="A5" s="17">
        <v>42506</v>
      </c>
      <c r="B5" s="18" t="s">
        <v>559</v>
      </c>
      <c r="C5" s="19" t="s">
        <v>560</v>
      </c>
    </row>
    <row r="6" spans="1:3" ht="26.25" x14ac:dyDescent="0.25">
      <c r="A6" s="17">
        <v>42538</v>
      </c>
      <c r="B6" s="18" t="s">
        <v>561</v>
      </c>
      <c r="C6" s="19" t="s">
        <v>560</v>
      </c>
    </row>
    <row r="7" spans="1:3" x14ac:dyDescent="0.25">
      <c r="A7" s="17">
        <v>42593</v>
      </c>
      <c r="B7" s="18" t="s">
        <v>571</v>
      </c>
      <c r="C7" s="19" t="s">
        <v>572</v>
      </c>
    </row>
    <row r="8" spans="1:3" ht="39" x14ac:dyDescent="0.25">
      <c r="A8" s="17">
        <v>42797</v>
      </c>
      <c r="B8" s="18" t="s">
        <v>686</v>
      </c>
      <c r="C8" s="19" t="s">
        <v>560</v>
      </c>
    </row>
    <row r="9" spans="1:3" ht="26.25" x14ac:dyDescent="0.25">
      <c r="A9" s="17">
        <v>42797</v>
      </c>
      <c r="B9" s="18" t="s">
        <v>687</v>
      </c>
      <c r="C9" s="19" t="s">
        <v>560</v>
      </c>
    </row>
    <row r="10" spans="1:3" ht="26.25" x14ac:dyDescent="0.25">
      <c r="A10" s="17">
        <v>42797</v>
      </c>
      <c r="B10" s="18" t="s">
        <v>688</v>
      </c>
      <c r="C10" s="19" t="s">
        <v>560</v>
      </c>
    </row>
    <row r="11" spans="1:3" ht="39" x14ac:dyDescent="0.25">
      <c r="A11" s="17">
        <v>42797</v>
      </c>
      <c r="B11" s="18" t="s">
        <v>689</v>
      </c>
      <c r="C11" s="19" t="s">
        <v>560</v>
      </c>
    </row>
    <row r="12" spans="1:3" ht="115.5" x14ac:dyDescent="0.25">
      <c r="A12" s="17">
        <v>42797</v>
      </c>
      <c r="B12" s="18" t="s">
        <v>690</v>
      </c>
      <c r="C12" s="19" t="s">
        <v>560</v>
      </c>
    </row>
    <row r="13" spans="1:3" ht="77.25" x14ac:dyDescent="0.25">
      <c r="A13" s="17">
        <v>42797</v>
      </c>
      <c r="B13" s="18" t="s">
        <v>691</v>
      </c>
      <c r="C13" s="19" t="s">
        <v>560</v>
      </c>
    </row>
    <row r="14" spans="1:3" ht="26.25" x14ac:dyDescent="0.25">
      <c r="A14" s="17">
        <v>42797</v>
      </c>
      <c r="B14" s="18" t="s">
        <v>692</v>
      </c>
      <c r="C14" s="19" t="s">
        <v>560</v>
      </c>
    </row>
    <row r="15" spans="1:3" ht="115.5" x14ac:dyDescent="0.25">
      <c r="A15" s="17">
        <v>42797</v>
      </c>
      <c r="B15" s="18" t="s">
        <v>693</v>
      </c>
      <c r="C15" s="19" t="s">
        <v>560</v>
      </c>
    </row>
    <row r="16" spans="1:3" ht="115.5" x14ac:dyDescent="0.25">
      <c r="A16" s="17">
        <v>42797</v>
      </c>
      <c r="B16" s="18" t="s">
        <v>694</v>
      </c>
      <c r="C16" s="19" t="s">
        <v>560</v>
      </c>
    </row>
    <row r="17" spans="1:3" ht="64.5" x14ac:dyDescent="0.25">
      <c r="A17" s="17">
        <v>42797</v>
      </c>
      <c r="B17" s="18" t="s">
        <v>695</v>
      </c>
      <c r="C17" s="19" t="s">
        <v>560</v>
      </c>
    </row>
    <row r="18" spans="1:3" ht="77.25" x14ac:dyDescent="0.25">
      <c r="A18" s="17">
        <v>42797</v>
      </c>
      <c r="B18" s="18" t="s">
        <v>696</v>
      </c>
      <c r="C18" s="19" t="s">
        <v>560</v>
      </c>
    </row>
    <row r="19" spans="1:3" ht="115.5" x14ac:dyDescent="0.25">
      <c r="A19" s="17">
        <v>42797</v>
      </c>
      <c r="B19" s="18" t="s">
        <v>697</v>
      </c>
      <c r="C19" s="19" t="s">
        <v>560</v>
      </c>
    </row>
    <row r="20" spans="1:3" ht="26.25" x14ac:dyDescent="0.25">
      <c r="A20" s="17">
        <v>42797</v>
      </c>
      <c r="B20" s="18" t="s">
        <v>698</v>
      </c>
      <c r="C20" s="19" t="s">
        <v>560</v>
      </c>
    </row>
    <row r="21" spans="1:3" ht="51.75" x14ac:dyDescent="0.25">
      <c r="A21" s="17">
        <v>42797</v>
      </c>
      <c r="B21" s="18" t="s">
        <v>701</v>
      </c>
      <c r="C21" s="19" t="s">
        <v>560</v>
      </c>
    </row>
    <row r="22" spans="1:3" ht="294" x14ac:dyDescent="0.25">
      <c r="A22" s="17">
        <v>42797</v>
      </c>
      <c r="B22" s="18" t="s">
        <v>702</v>
      </c>
      <c r="C22" s="19" t="s">
        <v>560</v>
      </c>
    </row>
    <row r="23" spans="1:3" ht="26.25" x14ac:dyDescent="0.25">
      <c r="A23" s="17">
        <v>42797</v>
      </c>
      <c r="B23" s="18" t="s">
        <v>703</v>
      </c>
      <c r="C23" s="19" t="s">
        <v>560</v>
      </c>
    </row>
    <row r="24" spans="1:3" ht="102.75" x14ac:dyDescent="0.25">
      <c r="A24" s="17">
        <v>42797</v>
      </c>
      <c r="B24" s="18" t="s">
        <v>704</v>
      </c>
      <c r="C24" s="19" t="s">
        <v>560</v>
      </c>
    </row>
    <row r="25" spans="1:3" ht="26.25" x14ac:dyDescent="0.25">
      <c r="A25" s="17">
        <v>42797</v>
      </c>
      <c r="B25" s="18" t="s">
        <v>705</v>
      </c>
      <c r="C25" s="19" t="s">
        <v>560</v>
      </c>
    </row>
    <row r="26" spans="1:3" ht="39" x14ac:dyDescent="0.25">
      <c r="A26" s="17">
        <v>42797</v>
      </c>
      <c r="B26" s="18" t="s">
        <v>706</v>
      </c>
      <c r="C26" s="19" t="s">
        <v>560</v>
      </c>
    </row>
    <row r="27" spans="1:3" ht="26.25" x14ac:dyDescent="0.25">
      <c r="A27" s="17">
        <v>42797</v>
      </c>
      <c r="B27" s="18" t="s">
        <v>707</v>
      </c>
      <c r="C27" s="19" t="s">
        <v>560</v>
      </c>
    </row>
    <row r="28" spans="1:3" ht="26.25" x14ac:dyDescent="0.25">
      <c r="A28" s="17">
        <v>42797</v>
      </c>
      <c r="B28" s="18" t="s">
        <v>708</v>
      </c>
      <c r="C28" s="19" t="s">
        <v>560</v>
      </c>
    </row>
    <row r="29" spans="1:3" ht="26.25" x14ac:dyDescent="0.25">
      <c r="A29" s="17">
        <v>42797</v>
      </c>
      <c r="B29" s="18" t="s">
        <v>709</v>
      </c>
      <c r="C29" s="19" t="s">
        <v>560</v>
      </c>
    </row>
    <row r="30" spans="1:3" ht="39" x14ac:dyDescent="0.25">
      <c r="A30" s="17">
        <v>42797</v>
      </c>
      <c r="B30" s="18" t="s">
        <v>710</v>
      </c>
      <c r="C30" s="19" t="s">
        <v>560</v>
      </c>
    </row>
    <row r="31" spans="1:3" x14ac:dyDescent="0.25">
      <c r="A31" s="17">
        <v>42797</v>
      </c>
      <c r="B31" s="18" t="s">
        <v>711</v>
      </c>
      <c r="C31" s="19" t="s">
        <v>560</v>
      </c>
    </row>
    <row r="32" spans="1:3" x14ac:dyDescent="0.25">
      <c r="A32" s="17">
        <v>42797</v>
      </c>
      <c r="B32" s="18" t="s">
        <v>712</v>
      </c>
      <c r="C32" s="19" t="s">
        <v>560</v>
      </c>
    </row>
    <row r="33" spans="1:3" x14ac:dyDescent="0.25">
      <c r="A33" s="17">
        <v>42797</v>
      </c>
      <c r="B33" s="18" t="s">
        <v>713</v>
      </c>
      <c r="C33" s="19" t="s">
        <v>560</v>
      </c>
    </row>
    <row r="34" spans="1:3" x14ac:dyDescent="0.25">
      <c r="A34" s="17">
        <v>42797</v>
      </c>
      <c r="B34" s="18" t="s">
        <v>714</v>
      </c>
      <c r="C34" s="19" t="s">
        <v>560</v>
      </c>
    </row>
    <row r="35" spans="1:3" ht="102.75" x14ac:dyDescent="0.25">
      <c r="A35" s="17">
        <v>42838</v>
      </c>
      <c r="B35" s="18" t="s">
        <v>740</v>
      </c>
      <c r="C35" s="19" t="s">
        <v>560</v>
      </c>
    </row>
    <row r="36" spans="1:3" ht="51.75" x14ac:dyDescent="0.25">
      <c r="A36" s="17">
        <v>42838</v>
      </c>
      <c r="B36" s="18" t="s">
        <v>741</v>
      </c>
      <c r="C36" s="19" t="s">
        <v>560</v>
      </c>
    </row>
    <row r="37" spans="1:3" ht="64.5" x14ac:dyDescent="0.25">
      <c r="A37" s="17">
        <v>42838</v>
      </c>
      <c r="B37" s="18" t="s">
        <v>742</v>
      </c>
      <c r="C37" s="19" t="s">
        <v>560</v>
      </c>
    </row>
    <row r="38" spans="1:3" ht="30" x14ac:dyDescent="0.25">
      <c r="A38" s="20">
        <v>42851</v>
      </c>
      <c r="B38" s="21" t="s">
        <v>751</v>
      </c>
      <c r="C38" s="22" t="s">
        <v>560</v>
      </c>
    </row>
  </sheetData>
  <mergeCells count="1">
    <mergeCell ref="A1:C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
  <sheetViews>
    <sheetView workbookViewId="0">
      <selection activeCell="A36" sqref="A36"/>
    </sheetView>
  </sheetViews>
  <sheetFormatPr defaultRowHeight="15" x14ac:dyDescent="0.25"/>
  <cols>
    <col min="1" max="1" width="24.5703125" customWidth="1"/>
    <col min="2" max="2" width="25.28515625" customWidth="1"/>
    <col min="3" max="3" width="38.5703125" customWidth="1"/>
  </cols>
  <sheetData>
    <row r="1" spans="1:3" x14ac:dyDescent="0.25">
      <c r="A1" s="9" t="s">
        <v>485</v>
      </c>
      <c r="B1" s="9" t="s">
        <v>486</v>
      </c>
      <c r="C1" s="9" t="s">
        <v>487</v>
      </c>
    </row>
    <row r="2" spans="1:3" ht="26.25" customHeight="1" x14ac:dyDescent="0.25">
      <c r="A2" s="14" t="s">
        <v>477</v>
      </c>
      <c r="B2" s="14" t="s">
        <v>478</v>
      </c>
      <c r="C2" s="12" t="s">
        <v>488</v>
      </c>
    </row>
    <row r="3" spans="1:3" ht="26.25" customHeight="1" x14ac:dyDescent="0.25">
      <c r="A3" s="14" t="s">
        <v>479</v>
      </c>
      <c r="B3" s="14" t="s">
        <v>480</v>
      </c>
      <c r="C3" s="12" t="s">
        <v>488</v>
      </c>
    </row>
    <row r="4" spans="1:3" ht="39" x14ac:dyDescent="0.25">
      <c r="A4" s="14" t="s">
        <v>481</v>
      </c>
      <c r="B4" s="14" t="s">
        <v>480</v>
      </c>
      <c r="C4" s="13" t="s">
        <v>489</v>
      </c>
    </row>
    <row r="5" spans="1:3" ht="39" x14ac:dyDescent="0.25">
      <c r="A5" s="10" t="s">
        <v>482</v>
      </c>
      <c r="B5" s="10" t="s">
        <v>483</v>
      </c>
      <c r="C5" s="11" t="s">
        <v>484</v>
      </c>
    </row>
  </sheetData>
  <hyperlinks>
    <hyperlink ref="C4" r:id="rId1"/>
    <hyperlink ref="C5" r:id="rId2"/>
    <hyperlink ref="C2" r:id="rId3"/>
    <hyperlink ref="C3" r:id="rId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LDESTD</vt:lpstr>
      <vt:lpstr>Revision Log</vt:lpstr>
      <vt:lpstr>Reference Locations</vt:lpstr>
    </vt:vector>
  </TitlesOfParts>
  <Company>DRC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Mallory Johannes</dc:creator>
  <cp:lastModifiedBy>Jayanthi Sothirajah</cp:lastModifiedBy>
  <cp:lastPrinted>2017-06-13T14:26:26Z</cp:lastPrinted>
  <dcterms:created xsi:type="dcterms:W3CDTF">2016-02-23T23:40:06Z</dcterms:created>
  <dcterms:modified xsi:type="dcterms:W3CDTF">2017-08-30T13:03:56Z</dcterms:modified>
</cp:coreProperties>
</file>