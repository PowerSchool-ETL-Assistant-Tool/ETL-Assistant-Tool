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0" yWindow="0" windowWidth="15480" windowHeight="11415"/>
  </bookViews>
  <sheets>
    <sheet name="LDESTD" sheetId="1" r:id="rId1"/>
  </sheets>
  <definedNames>
    <definedName name="_xlnm._FilterDatabase" localSheetId="0" hidden="1">LDESTD!$A$2:$J$427</definedName>
    <definedName name="_xlnm.Print_Area" localSheetId="0">LDESTD!$A$1:$H$429</definedName>
    <definedName name="_xlnm.Print_Titles" localSheetId="0">LDESTD!$1:$2</definedName>
    <definedName name="Z_7E4D7CCA_1395_44FA_80A0_38FFA0DD8C49_.wvu.PrintTitles" localSheetId="0" hidden="1">LDESTD!$1:$2</definedName>
    <definedName name="Z_A5DDCBF3_D6F4_4EB4_918C_ECABFE1A43AD_.wvu.PrintTitles" localSheetId="0" hidden="1">LDESTD!$1:$2</definedName>
    <definedName name="Z_B792D786_3755_11D6_AB7B_0050DA2DACD5_.wvu.PrintTitles" localSheetId="0" hidden="1">LDESTD!$1:$2</definedName>
    <definedName name="Z_E34B366C_36F7_11D6_A24B_0050DA0A5BC6_.wvu.PrintTitles" localSheetId="0" hidden="1">LDESTD!$1:$2</definedName>
  </definedNames>
  <calcPr calcId="145621"/>
  <customWorkbookViews>
    <customWorkbookView name="MWille - Personal View" guid="{A5DDCBF3-D6F4-4EB4-918C-ECABFE1A43AD}" mergeInterval="0" personalView="1" maximized="1" windowWidth="987" windowHeight="580" activeSheetId="1"/>
    <customWorkbookView name="DRC - Personal View" guid="{E34B366C-36F7-11D6-A24B-0050DA0A5BC6}" mergeInterval="0" personalView="1" maximized="1" windowWidth="763" windowHeight="438" activeSheetId="1"/>
    <customWorkbookView name="Cathy Stampfle - Personal View" guid="{B792D786-3755-11D6-AB7B-0050DA2DACD5}" mergeInterval="0" personalView="1" maximized="1" windowWidth="732" windowHeight="459" activeSheetId="1" showStatusbar="0"/>
    <customWorkbookView name="CStampfle - Personal View" guid="{7E4D7CCA-1395-44FA-80A0-38FFA0DD8C49}" mergeInterval="0" personalView="1" maximized="1" windowWidth="945" windowHeight="597" activeSheetId="1"/>
  </customWorkbookViews>
</workbook>
</file>

<file path=xl/calcChain.xml><?xml version="1.0" encoding="utf-8"?>
<calcChain xmlns="http://schemas.openxmlformats.org/spreadsheetml/2006/main">
  <c r="C5" i="1" l="1"/>
  <c r="D5" i="1" s="1"/>
  <c r="D4" i="1"/>
  <c r="C6" i="1" l="1"/>
  <c r="D6" i="1" s="1"/>
  <c r="C7" i="1" l="1"/>
  <c r="D7" i="1" s="1"/>
  <c r="C8" i="1" l="1"/>
  <c r="C9" i="1" s="1"/>
  <c r="D8" i="1" l="1"/>
  <c r="C10" i="1"/>
  <c r="D9" i="1"/>
  <c r="C11" i="1" l="1"/>
  <c r="D10" i="1"/>
  <c r="D11" i="1" l="1"/>
  <c r="C12" i="1"/>
  <c r="C13" i="1" l="1"/>
  <c r="D12" i="1"/>
  <c r="D13" i="1" l="1"/>
  <c r="C14" i="1"/>
  <c r="D14" i="1" l="1"/>
  <c r="C15" i="1"/>
  <c r="C16" i="1" s="1"/>
  <c r="D15" i="1" l="1"/>
  <c r="C17" i="1" l="1"/>
  <c r="D16" i="1"/>
  <c r="C18" i="1" l="1"/>
  <c r="D17" i="1"/>
  <c r="C19" i="1" l="1"/>
  <c r="D18" i="1"/>
  <c r="D19" i="1" l="1"/>
  <c r="C20" i="1"/>
  <c r="D20" i="1" l="1"/>
  <c r="C21" i="1"/>
  <c r="C22" i="1" l="1"/>
  <c r="D21" i="1"/>
  <c r="D22" i="1" l="1"/>
  <c r="C23" i="1"/>
  <c r="D23" i="1" l="1"/>
  <c r="C24" i="1"/>
  <c r="D24" i="1" l="1"/>
  <c r="C25" i="1"/>
  <c r="C26" i="1" l="1"/>
  <c r="D25" i="1"/>
  <c r="C27" i="1" l="1"/>
  <c r="D26" i="1"/>
  <c r="C28" i="1" l="1"/>
  <c r="C29" i="1" s="1"/>
  <c r="D27" i="1"/>
  <c r="D28" i="1" l="1"/>
  <c r="C30" i="1" l="1"/>
  <c r="D29" i="1"/>
  <c r="C31" i="1" l="1"/>
  <c r="C32" i="1" s="1"/>
  <c r="C33" i="1" s="1"/>
  <c r="D30" i="1"/>
  <c r="D31" i="1" l="1"/>
  <c r="D32" i="1" l="1"/>
  <c r="D33" i="1" l="1"/>
  <c r="C34" i="1"/>
  <c r="D34" i="1" l="1"/>
  <c r="C35" i="1"/>
  <c r="C36" i="1" l="1"/>
  <c r="C37" i="1" s="1"/>
  <c r="D35" i="1"/>
  <c r="D36" i="1" l="1"/>
  <c r="C38" i="1" l="1"/>
  <c r="C39" i="1" s="1"/>
  <c r="C41" i="1" s="1"/>
  <c r="D37" i="1"/>
  <c r="D38" i="1" l="1"/>
  <c r="D39" i="1" l="1"/>
  <c r="D41" i="1" l="1"/>
  <c r="C42" i="1"/>
  <c r="C43" i="1" s="1"/>
  <c r="D42" i="1" l="1"/>
  <c r="D43" i="1" l="1"/>
  <c r="C44" i="1"/>
  <c r="C45" i="1" l="1"/>
  <c r="D44" i="1"/>
  <c r="D45" i="1" l="1"/>
  <c r="C46" i="1"/>
  <c r="D46" i="1" l="1"/>
  <c r="C47" i="1"/>
  <c r="C49" i="1" s="1"/>
  <c r="D47" i="1" l="1"/>
  <c r="C50" i="1" l="1"/>
  <c r="C51" i="1" s="1"/>
  <c r="D49" i="1"/>
  <c r="D50" i="1" l="1"/>
  <c r="D51" i="1" l="1"/>
  <c r="C52" i="1"/>
  <c r="C54" i="1" s="1"/>
  <c r="D52" i="1" l="1"/>
  <c r="D54" i="1" l="1"/>
  <c r="C55" i="1"/>
  <c r="C56" i="1" s="1"/>
  <c r="D55" i="1" l="1"/>
  <c r="C57" i="1" l="1"/>
  <c r="D56" i="1"/>
  <c r="D57" i="1" l="1"/>
  <c r="C58" i="1"/>
  <c r="C59" i="1" l="1"/>
  <c r="D58" i="1"/>
  <c r="C60" i="1" l="1"/>
  <c r="D59" i="1"/>
  <c r="C61" i="1" l="1"/>
  <c r="D60" i="1"/>
  <c r="D61" i="1" l="1"/>
  <c r="C63" i="1"/>
  <c r="D63" i="1" l="1"/>
  <c r="C64" i="1"/>
  <c r="C65" i="1" l="1"/>
  <c r="C66" i="1" s="1"/>
  <c r="D64" i="1"/>
  <c r="D65" i="1" l="1"/>
  <c r="D66" i="1" l="1"/>
  <c r="C68" i="1"/>
  <c r="C69" i="1" l="1"/>
  <c r="D68" i="1"/>
  <c r="C70" i="1" l="1"/>
  <c r="D69" i="1"/>
  <c r="D70" i="1" l="1"/>
  <c r="C72" i="1"/>
  <c r="C73" i="1" l="1"/>
  <c r="D72" i="1"/>
  <c r="D73" i="1" l="1"/>
  <c r="C74" i="1"/>
  <c r="C75" i="1" l="1"/>
  <c r="D74" i="1"/>
  <c r="D75" i="1" l="1"/>
  <c r="C76" i="1"/>
  <c r="C77" i="1" l="1"/>
  <c r="D76" i="1"/>
  <c r="C78" i="1" l="1"/>
  <c r="D77" i="1"/>
  <c r="C79" i="1" l="1"/>
  <c r="D78" i="1"/>
  <c r="D79" i="1" l="1"/>
  <c r="C81" i="1"/>
  <c r="C82" i="1" l="1"/>
  <c r="D81" i="1"/>
  <c r="C83" i="1" l="1"/>
  <c r="D82" i="1"/>
  <c r="C84" i="1" l="1"/>
  <c r="D83" i="1"/>
  <c r="D84" i="1" l="1"/>
  <c r="C85" i="1"/>
  <c r="D85" i="1" l="1"/>
  <c r="C87" i="1"/>
  <c r="D87" i="1" l="1"/>
  <c r="C88" i="1"/>
  <c r="C89" i="1" l="1"/>
  <c r="D88" i="1"/>
  <c r="D89" i="1" l="1"/>
  <c r="C90" i="1"/>
  <c r="D90" i="1" l="1"/>
  <c r="C91" i="1"/>
  <c r="C92" i="1" l="1"/>
  <c r="D91" i="1"/>
  <c r="D92" i="1" l="1"/>
  <c r="C93" i="1"/>
  <c r="D93" i="1" l="1"/>
  <c r="C94" i="1"/>
  <c r="C95" i="1" l="1"/>
  <c r="D94" i="1"/>
  <c r="D95" i="1" l="1"/>
  <c r="C97" i="1"/>
  <c r="C98" i="1" l="1"/>
  <c r="D97" i="1"/>
  <c r="C99" i="1" l="1"/>
  <c r="C100" i="1" s="1"/>
  <c r="D98" i="1"/>
  <c r="D99" i="1" l="1"/>
  <c r="D100" i="1" l="1"/>
  <c r="C101" i="1"/>
  <c r="C103" i="1" l="1"/>
  <c r="D101" i="1"/>
  <c r="C104" i="1" l="1"/>
  <c r="D103" i="1"/>
  <c r="D104" i="1" l="1"/>
  <c r="C105" i="1"/>
  <c r="D105" i="1" l="1"/>
  <c r="C107" i="1"/>
  <c r="D107" i="1" l="1"/>
  <c r="C108" i="1"/>
  <c r="D108" i="1" l="1"/>
  <c r="C109" i="1"/>
  <c r="D109" i="1" l="1"/>
  <c r="C110" i="1"/>
  <c r="C111" i="1" l="1"/>
  <c r="D110" i="1"/>
  <c r="C112" i="1" l="1"/>
  <c r="D111" i="1"/>
  <c r="C113" i="1" l="1"/>
  <c r="D112" i="1"/>
  <c r="C114" i="1" l="1"/>
  <c r="D113" i="1"/>
  <c r="C116" i="1" l="1"/>
  <c r="D114" i="1"/>
  <c r="D116" i="1" l="1"/>
  <c r="C117" i="1"/>
  <c r="C118" i="1" l="1"/>
  <c r="C119" i="1" s="1"/>
  <c r="D117" i="1"/>
  <c r="D118" i="1" l="1"/>
  <c r="D119" i="1" l="1"/>
  <c r="C120" i="1"/>
  <c r="C122" i="1" l="1"/>
  <c r="D120" i="1"/>
  <c r="D122" i="1" l="1"/>
  <c r="C123" i="1"/>
  <c r="C124" i="1" l="1"/>
  <c r="D123" i="1"/>
  <c r="C126" i="1" l="1"/>
  <c r="D124" i="1"/>
  <c r="D126" i="1" l="1"/>
  <c r="C127" i="1"/>
  <c r="C128" i="1" l="1"/>
  <c r="D127" i="1"/>
  <c r="D128" i="1" l="1"/>
  <c r="C129" i="1"/>
  <c r="D129" i="1" l="1"/>
  <c r="C130" i="1"/>
  <c r="D130" i="1" l="1"/>
  <c r="C131" i="1"/>
  <c r="D131" i="1" l="1"/>
  <c r="C133" i="1"/>
  <c r="D133" i="1" l="1"/>
  <c r="C134" i="1"/>
  <c r="C135" i="1" l="1"/>
  <c r="D134" i="1"/>
  <c r="C136" i="1" l="1"/>
  <c r="C138" i="1" s="1"/>
  <c r="D135" i="1"/>
  <c r="D136" i="1" l="1"/>
  <c r="C139" i="1" l="1"/>
  <c r="D138" i="1"/>
  <c r="C140" i="1" l="1"/>
  <c r="D139" i="1"/>
  <c r="D140" i="1" l="1"/>
  <c r="C141" i="1"/>
  <c r="D141" i="1" l="1"/>
  <c r="C142" i="1"/>
  <c r="D142" i="1" l="1"/>
  <c r="C144" i="1"/>
  <c r="D144" i="1" l="1"/>
  <c r="C145" i="1"/>
  <c r="C146" i="1" l="1"/>
  <c r="D145" i="1"/>
  <c r="D146" i="1" l="1"/>
  <c r="C148" i="1"/>
  <c r="D148" i="1" l="1"/>
  <c r="C149" i="1"/>
  <c r="C150" i="1" l="1"/>
  <c r="D149" i="1"/>
  <c r="C151" i="1" l="1"/>
  <c r="D150" i="1"/>
  <c r="D151" i="1" l="1"/>
  <c r="C152" i="1"/>
  <c r="C154" i="1" l="1"/>
  <c r="D152" i="1"/>
  <c r="D154" i="1" l="1"/>
  <c r="C155" i="1"/>
  <c r="C156" i="1" l="1"/>
  <c r="C157" i="1" s="1"/>
  <c r="D155" i="1"/>
  <c r="D156" i="1" l="1"/>
  <c r="D157" i="1" l="1"/>
  <c r="C158" i="1"/>
  <c r="D158" i="1" l="1"/>
  <c r="C161" i="1"/>
  <c r="C162" i="1" l="1"/>
  <c r="D161" i="1"/>
  <c r="C163" i="1" l="1"/>
  <c r="D162" i="1"/>
  <c r="C164" i="1" l="1"/>
  <c r="D163" i="1"/>
  <c r="D164" i="1" l="1"/>
  <c r="C166" i="1"/>
  <c r="D166" i="1" l="1"/>
  <c r="C167" i="1"/>
  <c r="C168" i="1" l="1"/>
  <c r="D167" i="1"/>
  <c r="D168" i="1" l="1"/>
  <c r="C169" i="1"/>
  <c r="C170" i="1" s="1"/>
  <c r="D169" i="1" l="1"/>
  <c r="D170" i="1" l="1"/>
  <c r="C172" i="1"/>
  <c r="C173" i="1" l="1"/>
  <c r="D172" i="1"/>
  <c r="D173" i="1" l="1"/>
  <c r="C174" i="1"/>
  <c r="C175" i="1" l="1"/>
  <c r="C176" i="1" s="1"/>
  <c r="D174" i="1"/>
  <c r="D175" i="1" l="1"/>
  <c r="C178" i="1" l="1"/>
  <c r="D176" i="1"/>
  <c r="C179" i="1" l="1"/>
  <c r="D178" i="1"/>
  <c r="C180" i="1" l="1"/>
  <c r="D179" i="1"/>
  <c r="D180" i="1" l="1"/>
  <c r="C181" i="1"/>
  <c r="D181" i="1" l="1"/>
  <c r="C182" i="1"/>
  <c r="C184" i="1" s="1"/>
  <c r="D182" i="1" l="1"/>
  <c r="C185" i="1" l="1"/>
  <c r="C187" i="1" s="1"/>
  <c r="C188" i="1" s="1"/>
  <c r="D184" i="1"/>
  <c r="D185" i="1" l="1"/>
  <c r="D187" i="1" l="1"/>
  <c r="C189" i="1" l="1"/>
  <c r="D188" i="1"/>
  <c r="C190" i="1" l="1"/>
  <c r="C192" i="1" s="1"/>
  <c r="D189" i="1"/>
  <c r="D190" i="1" l="1"/>
  <c r="D192" i="1" l="1"/>
  <c r="C193" i="1"/>
  <c r="D193" i="1" l="1"/>
  <c r="C195" i="1"/>
  <c r="D195" i="1" l="1"/>
  <c r="C196" i="1"/>
  <c r="D196" i="1" l="1"/>
  <c r="C197" i="1"/>
  <c r="C198" i="1" l="1"/>
  <c r="D197" i="1"/>
  <c r="D198" i="1" l="1"/>
  <c r="C199" i="1"/>
  <c r="C200" i="1" l="1"/>
  <c r="D199" i="1"/>
  <c r="D200" i="1" l="1"/>
  <c r="C202" i="1"/>
  <c r="C203" i="1" l="1"/>
  <c r="D202" i="1"/>
  <c r="D203" i="1" l="1"/>
  <c r="C204" i="1"/>
  <c r="D204" i="1" l="1"/>
  <c r="C205" i="1"/>
  <c r="C206" i="1" s="1"/>
  <c r="D205" i="1" l="1"/>
  <c r="C208" i="1" l="1"/>
  <c r="D206" i="1"/>
  <c r="C209" i="1" l="1"/>
  <c r="D208" i="1"/>
  <c r="D209" i="1" l="1"/>
  <c r="C210" i="1"/>
  <c r="D210" i="1" l="1"/>
  <c r="C211" i="1"/>
  <c r="C212" i="1" l="1"/>
  <c r="D211" i="1"/>
  <c r="D212" i="1" l="1"/>
  <c r="C213" i="1"/>
  <c r="C214" i="1" l="1"/>
  <c r="D213" i="1"/>
  <c r="D214" i="1" l="1"/>
  <c r="C215" i="1"/>
  <c r="D215" i="1" l="1"/>
  <c r="C216" i="1"/>
  <c r="D216" i="1" l="1"/>
  <c r="C217" i="1"/>
  <c r="D217" i="1" l="1"/>
  <c r="C218" i="1"/>
  <c r="C219" i="1" l="1"/>
  <c r="D218" i="1"/>
  <c r="D219" i="1" l="1"/>
  <c r="C220" i="1"/>
  <c r="C221" i="1" l="1"/>
  <c r="D220" i="1"/>
  <c r="D221" i="1" l="1"/>
  <c r="C222" i="1"/>
  <c r="D222" i="1" l="1"/>
  <c r="C223" i="1"/>
  <c r="D223" i="1" l="1"/>
  <c r="C224" i="1"/>
  <c r="C226" i="1" s="1"/>
  <c r="D224" i="1" l="1"/>
  <c r="D226" i="1" l="1"/>
  <c r="C227" i="1"/>
  <c r="C228" i="1" l="1"/>
  <c r="D227" i="1"/>
  <c r="C229" i="1" l="1"/>
  <c r="D228" i="1"/>
  <c r="D229" i="1" l="1"/>
  <c r="C230" i="1"/>
  <c r="D230" i="1" l="1"/>
  <c r="C231" i="1"/>
  <c r="C232" i="1" s="1"/>
  <c r="D231" i="1" l="1"/>
  <c r="C233" i="1" l="1"/>
  <c r="C235" i="1" s="1"/>
  <c r="D232" i="1"/>
  <c r="D235" i="1" l="1"/>
  <c r="C236" i="1"/>
  <c r="D236" i="1" l="1"/>
  <c r="C237" i="1"/>
  <c r="C238" i="1" s="1"/>
  <c r="D237" i="1" l="1"/>
  <c r="C240" i="1" l="1"/>
  <c r="D238" i="1"/>
  <c r="C241" i="1" l="1"/>
  <c r="D240" i="1"/>
  <c r="D241" i="1" l="1"/>
  <c r="C242" i="1"/>
  <c r="D242" i="1" l="1"/>
  <c r="C243" i="1"/>
  <c r="C244" i="1" l="1"/>
  <c r="D243" i="1"/>
  <c r="D244" i="1" l="1"/>
  <c r="C245" i="1"/>
  <c r="C246" i="1" s="1"/>
  <c r="D245" i="1" l="1"/>
  <c r="D246" i="1" l="1"/>
  <c r="C247" i="1"/>
  <c r="C248" i="1" s="1"/>
  <c r="D247" i="1" l="1"/>
  <c r="C250" i="1" l="1"/>
  <c r="D248" i="1"/>
  <c r="D250" i="1" l="1"/>
  <c r="C251" i="1"/>
  <c r="D251" i="1" l="1"/>
  <c r="C252" i="1"/>
  <c r="C253" i="1" l="1"/>
  <c r="D252" i="1"/>
  <c r="C254" i="1" l="1"/>
  <c r="C255" i="1" s="1"/>
  <c r="D253" i="1"/>
  <c r="D254" i="1" l="1"/>
  <c r="C257" i="1" l="1"/>
  <c r="D255" i="1"/>
  <c r="C258" i="1" l="1"/>
  <c r="D257" i="1"/>
  <c r="C259" i="1" l="1"/>
  <c r="D258" i="1"/>
  <c r="C260" i="1" l="1"/>
  <c r="D259" i="1"/>
  <c r="D260" i="1" l="1"/>
  <c r="C261" i="1"/>
  <c r="C262" i="1" s="1"/>
  <c r="D261" i="1" l="1"/>
  <c r="D262" i="1" l="1"/>
  <c r="C264" i="1"/>
  <c r="D264" i="1" l="1"/>
  <c r="C265" i="1"/>
  <c r="C266" i="1" l="1"/>
  <c r="D265" i="1"/>
  <c r="C267" i="1" l="1"/>
  <c r="C268" i="1" s="1"/>
  <c r="C270" i="1" s="1"/>
  <c r="D266" i="1"/>
  <c r="D267" i="1" l="1"/>
  <c r="D268" i="1" l="1"/>
  <c r="C271" i="1" l="1"/>
  <c r="D270" i="1"/>
  <c r="C272" i="1" l="1"/>
  <c r="C273" i="1" s="1"/>
  <c r="D271" i="1"/>
  <c r="D272" i="1" l="1"/>
  <c r="C275" i="1" l="1"/>
  <c r="C276" i="1" s="1"/>
  <c r="D273" i="1"/>
  <c r="D275" i="1" l="1"/>
  <c r="D276" i="1" l="1"/>
  <c r="C278" i="1"/>
  <c r="C279" i="1" s="1"/>
  <c r="D278" i="1" l="1"/>
  <c r="C281" i="1" l="1"/>
  <c r="C282" i="1" s="1"/>
  <c r="D279" i="1"/>
  <c r="D281" i="1" l="1"/>
  <c r="D282" i="1" l="1"/>
  <c r="C283" i="1"/>
  <c r="D283" i="1" l="1"/>
  <c r="C284" i="1"/>
  <c r="C285" i="1" l="1"/>
  <c r="D284" i="1"/>
  <c r="D285" i="1" l="1"/>
  <c r="C286" i="1"/>
  <c r="C287" i="1" l="1"/>
  <c r="D286" i="1"/>
  <c r="C288" i="1" l="1"/>
  <c r="D287" i="1"/>
  <c r="C290" i="1" l="1"/>
  <c r="D288" i="1"/>
  <c r="C291" i="1" l="1"/>
  <c r="D290" i="1"/>
  <c r="C292" i="1" l="1"/>
  <c r="D291" i="1"/>
  <c r="D292" i="1" l="1"/>
  <c r="C293" i="1"/>
  <c r="C294" i="1" l="1"/>
  <c r="D293" i="1"/>
  <c r="C298" i="1" l="1"/>
  <c r="D294" i="1"/>
  <c r="C299" i="1" l="1"/>
  <c r="D298" i="1"/>
  <c r="C300" i="1" l="1"/>
  <c r="D299" i="1"/>
  <c r="C301" i="1" l="1"/>
  <c r="D300" i="1"/>
  <c r="D301" i="1" l="1"/>
  <c r="C302" i="1"/>
  <c r="D302" i="1" l="1"/>
  <c r="C303" i="1"/>
  <c r="C304" i="1" l="1"/>
  <c r="D303" i="1"/>
  <c r="C305" i="1" l="1"/>
  <c r="D304" i="1"/>
  <c r="D305" i="1" l="1"/>
  <c r="C306" i="1"/>
  <c r="C307" i="1" l="1"/>
  <c r="D306" i="1"/>
  <c r="D307" i="1" l="1"/>
  <c r="C308" i="1"/>
  <c r="D308" i="1" l="1"/>
  <c r="C310" i="1"/>
  <c r="D310" i="1" l="1"/>
  <c r="C311" i="1"/>
  <c r="D311" i="1" l="1"/>
  <c r="C312" i="1"/>
  <c r="D312" i="1" l="1"/>
  <c r="C313" i="1"/>
  <c r="D313" i="1" l="1"/>
  <c r="C314" i="1"/>
  <c r="C315" i="1" l="1"/>
  <c r="D314" i="1"/>
  <c r="C317" i="1" l="1"/>
  <c r="D315" i="1"/>
  <c r="D317" i="1" l="1"/>
  <c r="C318" i="1"/>
  <c r="D318" i="1" l="1"/>
  <c r="C319" i="1"/>
  <c r="D319" i="1" l="1"/>
  <c r="C320" i="1"/>
  <c r="D320" i="1" l="1"/>
  <c r="C321" i="1"/>
  <c r="D321" i="1" l="1"/>
  <c r="C322" i="1"/>
  <c r="D322" i="1" l="1"/>
  <c r="C323" i="1"/>
  <c r="D323" i="1" l="1"/>
  <c r="C324" i="1"/>
  <c r="D324" i="1" l="1"/>
  <c r="C325" i="1"/>
  <c r="C326" i="1" l="1"/>
  <c r="D325" i="1"/>
  <c r="C327" i="1" l="1"/>
  <c r="D326" i="1"/>
  <c r="D327" i="1" l="1"/>
  <c r="C330" i="1"/>
  <c r="C331" i="1" l="1"/>
  <c r="D330" i="1"/>
  <c r="C332" i="1" l="1"/>
  <c r="D331" i="1"/>
  <c r="D332" i="1" l="1"/>
  <c r="C333" i="1"/>
  <c r="C334" i="1" l="1"/>
  <c r="D333" i="1"/>
  <c r="D334" i="1" l="1"/>
  <c r="C335" i="1"/>
  <c r="D335" i="1" l="1"/>
  <c r="C336" i="1"/>
  <c r="D336" i="1" l="1"/>
  <c r="C337" i="1"/>
  <c r="C338" i="1" l="1"/>
  <c r="D337" i="1"/>
  <c r="C339" i="1" l="1"/>
  <c r="D338" i="1"/>
  <c r="C340" i="1" l="1"/>
  <c r="D339" i="1"/>
  <c r="D340" i="1" l="1"/>
  <c r="C342" i="1"/>
  <c r="D342" i="1" l="1"/>
  <c r="C343" i="1"/>
  <c r="D343" i="1" l="1"/>
  <c r="C344" i="1"/>
  <c r="D344" i="1" l="1"/>
  <c r="C345" i="1"/>
  <c r="C346" i="1" l="1"/>
  <c r="D345" i="1"/>
  <c r="C347" i="1" l="1"/>
  <c r="D346" i="1"/>
  <c r="D347" i="1" l="1"/>
  <c r="C349" i="1"/>
  <c r="C350" i="1" l="1"/>
  <c r="D349" i="1"/>
  <c r="D350" i="1" l="1"/>
  <c r="C351" i="1"/>
  <c r="C352" i="1" l="1"/>
  <c r="D351" i="1"/>
  <c r="C353" i="1" l="1"/>
  <c r="D352" i="1"/>
  <c r="C354" i="1" l="1"/>
  <c r="D353" i="1"/>
  <c r="D354" i="1" l="1"/>
  <c r="C355" i="1"/>
  <c r="C356" i="1" l="1"/>
  <c r="D355" i="1"/>
  <c r="C357" i="1" l="1"/>
  <c r="D356" i="1"/>
  <c r="D357" i="1" l="1"/>
  <c r="C358" i="1"/>
  <c r="C359" i="1" l="1"/>
  <c r="D358" i="1"/>
  <c r="D359" i="1" l="1"/>
  <c r="C362" i="1"/>
  <c r="C363" i="1" l="1"/>
  <c r="D362" i="1"/>
  <c r="D363" i="1" l="1"/>
  <c r="C364" i="1"/>
  <c r="D364" i="1" l="1"/>
  <c r="C365" i="1"/>
  <c r="D365" i="1" l="1"/>
  <c r="C366" i="1"/>
  <c r="D366" i="1" l="1"/>
  <c r="C367" i="1"/>
  <c r="D367" i="1" l="1"/>
  <c r="C368" i="1"/>
  <c r="C369" i="1" l="1"/>
  <c r="D368" i="1"/>
  <c r="D369" i="1" l="1"/>
  <c r="C370" i="1"/>
  <c r="C371" i="1" l="1"/>
  <c r="D370" i="1"/>
  <c r="D371" i="1" l="1"/>
  <c r="C372" i="1"/>
  <c r="D372" i="1" l="1"/>
  <c r="C374" i="1"/>
  <c r="D374" i="1" l="1"/>
  <c r="C375" i="1"/>
  <c r="D375" i="1" l="1"/>
  <c r="C376" i="1"/>
  <c r="D376" i="1" l="1"/>
  <c r="C377" i="1"/>
  <c r="D377" i="1" l="1"/>
  <c r="C378" i="1"/>
  <c r="C379" i="1" l="1"/>
  <c r="D378" i="1"/>
  <c r="C381" i="1" l="1"/>
  <c r="D379" i="1"/>
  <c r="C382" i="1" l="1"/>
  <c r="D381" i="1"/>
  <c r="C383" i="1" l="1"/>
  <c r="D382" i="1"/>
  <c r="C384" i="1" l="1"/>
  <c r="D383" i="1"/>
  <c r="D384" i="1" l="1"/>
  <c r="C385" i="1"/>
  <c r="D385" i="1" l="1"/>
  <c r="C386" i="1"/>
  <c r="D386" i="1" l="1"/>
  <c r="C387" i="1"/>
  <c r="D387" i="1" l="1"/>
  <c r="C388" i="1"/>
  <c r="C389" i="1" l="1"/>
  <c r="D388" i="1"/>
  <c r="D389" i="1" l="1"/>
  <c r="C390" i="1"/>
  <c r="C391" i="1" l="1"/>
  <c r="D390" i="1"/>
  <c r="D391" i="1" l="1"/>
  <c r="C394" i="1"/>
  <c r="C395" i="1" l="1"/>
  <c r="D394" i="1"/>
  <c r="C396" i="1" l="1"/>
  <c r="D395" i="1"/>
  <c r="D396" i="1" l="1"/>
  <c r="C397" i="1"/>
  <c r="C398" i="1" l="1"/>
  <c r="D397" i="1"/>
  <c r="C399" i="1" l="1"/>
  <c r="D398" i="1"/>
  <c r="C400" i="1" l="1"/>
  <c r="D399" i="1"/>
  <c r="C401" i="1" l="1"/>
  <c r="D400" i="1"/>
  <c r="D401" i="1" l="1"/>
  <c r="C402" i="1"/>
  <c r="D402" i="1" l="1"/>
  <c r="C403" i="1"/>
  <c r="D403" i="1" l="1"/>
  <c r="C404" i="1"/>
  <c r="D404" i="1" l="1"/>
  <c r="C406" i="1"/>
  <c r="D406" i="1" l="1"/>
  <c r="C407" i="1"/>
  <c r="D407" i="1" l="1"/>
  <c r="C408" i="1"/>
  <c r="C409" i="1" l="1"/>
  <c r="D408" i="1"/>
  <c r="D409" i="1" l="1"/>
  <c r="C410" i="1"/>
  <c r="C411" i="1" l="1"/>
  <c r="D410" i="1"/>
  <c r="C413" i="1" l="1"/>
  <c r="D411" i="1"/>
  <c r="D413" i="1" l="1"/>
  <c r="C414" i="1"/>
  <c r="C415" i="1" l="1"/>
  <c r="D414" i="1"/>
  <c r="D415" i="1" l="1"/>
  <c r="C416" i="1"/>
  <c r="D416" i="1" l="1"/>
  <c r="C417" i="1"/>
  <c r="C418" i="1" l="1"/>
  <c r="D417" i="1"/>
  <c r="C419" i="1" l="1"/>
  <c r="D418" i="1"/>
  <c r="C420" i="1" l="1"/>
  <c r="D419" i="1"/>
  <c r="C421" i="1" l="1"/>
  <c r="D420" i="1"/>
  <c r="D421" i="1" l="1"/>
  <c r="C422" i="1"/>
  <c r="D422" i="1" l="1"/>
  <c r="C423" i="1"/>
  <c r="C425" i="1" s="1"/>
  <c r="D423" i="1" l="1"/>
  <c r="C426" i="1" l="1"/>
  <c r="D425" i="1" l="1"/>
  <c r="D426" i="1" l="1"/>
  <c r="C427" i="1"/>
  <c r="D427" i="1" s="1"/>
  <c r="D429" i="1" s="1"/>
</calcChain>
</file>

<file path=xl/sharedStrings.xml><?xml version="1.0" encoding="utf-8"?>
<sst xmlns="http://schemas.openxmlformats.org/spreadsheetml/2006/main" count="1254" uniqueCount="458">
  <si>
    <t>1 = Regular Education
2 = Special Education</t>
  </si>
  <si>
    <t>Record Length:</t>
  </si>
  <si>
    <t>Field Use</t>
  </si>
  <si>
    <t>K, E</t>
  </si>
  <si>
    <t>E</t>
  </si>
  <si>
    <t>Raw Score for Each Content Standard</t>
  </si>
  <si>
    <t>Raw Score for Each Subtest</t>
  </si>
  <si>
    <t>Subtest 3: Reading and Responding</t>
  </si>
  <si>
    <t>Standard 1: Read, comprehend, and respond</t>
  </si>
  <si>
    <t>Standard 2: Write competently</t>
  </si>
  <si>
    <t>Standard 3: Use conventions of language</t>
  </si>
  <si>
    <t>Standard 4: Not assessed</t>
  </si>
  <si>
    <t xml:space="preserve">Standard 5: Locate, select, and synthesize information </t>
  </si>
  <si>
    <t xml:space="preserve">Standard 6: Read, analyze, and respond to literature </t>
  </si>
  <si>
    <t>Standard 7: Apply reasoning and problem-solving skills</t>
  </si>
  <si>
    <t xml:space="preserve">Subtest 1: Writing </t>
  </si>
  <si>
    <t xml:space="preserve">Subtest 2: Using Information Resources </t>
  </si>
  <si>
    <t xml:space="preserve">Subtest 4: Proofreading </t>
  </si>
  <si>
    <t>Raw Scores for Writing</t>
  </si>
  <si>
    <t>Dimension 1: Composing</t>
  </si>
  <si>
    <t>Dimension 2: Style/audience awareness</t>
  </si>
  <si>
    <t>Dimension 3: Sentence formation</t>
  </si>
  <si>
    <t>Dimension 4: Usage</t>
  </si>
  <si>
    <t>Dimension 5: Mechanics</t>
  </si>
  <si>
    <t>Dimension 6: Spelling</t>
  </si>
  <si>
    <t>Total Score for Writing</t>
  </si>
  <si>
    <t>Raw Score for Item Type</t>
  </si>
  <si>
    <t>Multiple-Choice Items</t>
  </si>
  <si>
    <t xml:space="preserve">Constructed-Response Items </t>
  </si>
  <si>
    <t>ELA Auto Rescore Flag</t>
  </si>
  <si>
    <t>Subtest 1: Multiple-Choice Items</t>
  </si>
  <si>
    <t>Subtest 2: Constructed-Response Items</t>
  </si>
  <si>
    <t>Math Auto Rescore Flag</t>
  </si>
  <si>
    <t>Standard 1: Science as Inquiry</t>
  </si>
  <si>
    <t>Standard 2: Physical Science</t>
  </si>
  <si>
    <t>Standard 3: Life Science</t>
  </si>
  <si>
    <t>Standard 4: Earth and Space Science</t>
  </si>
  <si>
    <t>Standard 5: Science and the Environment</t>
  </si>
  <si>
    <t>Subtest 2: Short Answer Items</t>
  </si>
  <si>
    <t>Subtest 3: Comprehensive Science Task</t>
  </si>
  <si>
    <t>Science Auto Rescore Flag</t>
  </si>
  <si>
    <t>Standard 1: Geography</t>
  </si>
  <si>
    <t>Standard 2: Civics</t>
  </si>
  <si>
    <t>Standard 3: Economics</t>
  </si>
  <si>
    <t>Standard 4: History</t>
  </si>
  <si>
    <t xml:space="preserve">Subtest 1: Multiple-Choice Items </t>
  </si>
  <si>
    <t>Social Studies Auto Rescore Flag</t>
  </si>
  <si>
    <t>Summarized Void Flags</t>
  </si>
  <si>
    <t>Included in N-counts</t>
  </si>
  <si>
    <t>Document-Level Summarized Education Classification Flag</t>
  </si>
  <si>
    <t>Summarized Education Classification</t>
  </si>
  <si>
    <t>LEP Flag</t>
  </si>
  <si>
    <t>Student's school was included in LEA code for district level reporting.</t>
  </si>
  <si>
    <t>1 = Regular
2 = Home Study
3 = Nonpublic School</t>
  </si>
  <si>
    <t xml:space="preserve">Initial Tester for the most recent Spring test
</t>
  </si>
  <si>
    <t>READING SUBSCORE</t>
  </si>
  <si>
    <t>Y = Yes
N = No</t>
  </si>
  <si>
    <t>Y = Subject was attempted
N = Subject was not attempted</t>
  </si>
  <si>
    <t>Y = Include student in summary
      N-counts for subject
N = Do not include student in summary 
      N-counts for subject</t>
  </si>
  <si>
    <t>COMMON DEMOGRAPHIC INFORMATION</t>
  </si>
  <si>
    <t>ENGLISH LANGUAGE ARTS SCORING INFORMATION</t>
  </si>
  <si>
    <t>MATH SCORING INFORMATION</t>
  </si>
  <si>
    <t>SCIENCE SCORING INFORMATION</t>
  </si>
  <si>
    <t>SOCIAL STUDIES SCORING INFORMATION</t>
  </si>
  <si>
    <t>Y = Void in subject
N = No void in subject</t>
  </si>
  <si>
    <t>STUDENT FLAGS BY SUBJECT</t>
  </si>
  <si>
    <t>As flagged on the LAP file.
Blank for a hand-coded document that could not be matched back to the LAP file.</t>
  </si>
  <si>
    <t>Y = Yes, student classified as a straggler 
N = No, student not classified as a straggler</t>
  </si>
  <si>
    <t xml:space="preserve"> </t>
  </si>
  <si>
    <t>Repeating Grade</t>
  </si>
  <si>
    <t>Test Date Month</t>
  </si>
  <si>
    <t>Test Date Year</t>
  </si>
  <si>
    <t>Straggler</t>
  </si>
  <si>
    <t>District Code</t>
  </si>
  <si>
    <t>School Code</t>
  </si>
  <si>
    <t>District Name</t>
  </si>
  <si>
    <t>School Name</t>
  </si>
  <si>
    <t>Summarized Grade</t>
  </si>
  <si>
    <t>Student Last Name</t>
  </si>
  <si>
    <t>Student First Name</t>
  </si>
  <si>
    <t>Student Middle Initial</t>
  </si>
  <si>
    <t>State ID</t>
  </si>
  <si>
    <t>Summarized DOB Month</t>
  </si>
  <si>
    <t>Summarized DOB Day</t>
  </si>
  <si>
    <t>Summarized DOB Year</t>
  </si>
  <si>
    <t>Summarized Gender</t>
  </si>
  <si>
    <t>Summarized Lunch Status</t>
  </si>
  <si>
    <t>LEAP Promotional Status</t>
  </si>
  <si>
    <t>LEAP Remediation Eligibility</t>
  </si>
  <si>
    <t>LEAP Summer Test Eligibility</t>
  </si>
  <si>
    <t>Summarized Migrant Status</t>
  </si>
  <si>
    <t>DOCUMENT 1 DEMOGRAPHIC INFORMATION</t>
  </si>
  <si>
    <t>No Accommodations</t>
  </si>
  <si>
    <t>Braille</t>
  </si>
  <si>
    <t>Large Print</t>
  </si>
  <si>
    <t>Answers Recorded</t>
  </si>
  <si>
    <t>Assistive Technology</t>
  </si>
  <si>
    <t>Extended Time</t>
  </si>
  <si>
    <t>Communication Assistance (Exception: ELA Reading &amp; Responding)</t>
  </si>
  <si>
    <t>Transferred Answers</t>
  </si>
  <si>
    <t>Individual/Small Group Administration</t>
  </si>
  <si>
    <t>Tests Read Aloud (Exception: ELA Reading &amp; Responding)</t>
  </si>
  <si>
    <t>Other</t>
  </si>
  <si>
    <t>Test Administered by ESL Teacher or Individual Providing Language Services</t>
  </si>
  <si>
    <t>Bubbled Optional Local Use</t>
  </si>
  <si>
    <t>Bubbled Accountability Code</t>
  </si>
  <si>
    <t>Multiple Choice / Constructed Response Items Attempted Flag</t>
  </si>
  <si>
    <t>Bubbled Subjects for LEAP Tutoring</t>
  </si>
  <si>
    <t>DOCUMENT 2 DEMOGRAPHIC INFORMATION</t>
  </si>
  <si>
    <t>Provision of English/Native Language Word-to-Word Dictionary (No Definitions)</t>
  </si>
  <si>
    <t>DOCUMENT 3 DEMOGRAPHIC INFORMATION</t>
  </si>
  <si>
    <t>File Creation Date and Time Stamp</t>
  </si>
  <si>
    <t>ASSESSMENT ROLLUP AND INCLUSION FLAGS</t>
  </si>
  <si>
    <t>Student's scores were summarized in the State totals.</t>
  </si>
  <si>
    <t>Student's school was included in the district level media reports.</t>
  </si>
  <si>
    <t>Date the file was generated</t>
  </si>
  <si>
    <t>M = Male
F = Female
I = Invalid</t>
  </si>
  <si>
    <t>1 = Free
2 = Reduced
0 = Paid
9 = Unknown</t>
  </si>
  <si>
    <t>Y = LEP
N = Not LEP</t>
  </si>
  <si>
    <t>Y = 504
N = Not 504</t>
  </si>
  <si>
    <t>Description/Comments</t>
  </si>
  <si>
    <t>Possible Values</t>
  </si>
  <si>
    <t>Starting Location</t>
  </si>
  <si>
    <t>Ending Location</t>
  </si>
  <si>
    <t>Student's school was included in Assessment Group Code for district level reporting.</t>
  </si>
  <si>
    <t>FOOTNOTE FLAGS BY SUBJECT - ELA</t>
  </si>
  <si>
    <t>Admin.</t>
  </si>
  <si>
    <t>FOOTNOTE FLAGS BY SUBJECT - MATH</t>
  </si>
  <si>
    <t>FOOTNOTE FLAGS BY SUBJECT - SCIENCE</t>
  </si>
  <si>
    <t>FOOTNOTE FLAGS BY SUBJECT - SOCIAL STUDIES</t>
  </si>
  <si>
    <t>Summarized LEP Status</t>
  </si>
  <si>
    <t>Section 504 Flag</t>
  </si>
  <si>
    <t>Summarized Section 504 Status</t>
  </si>
  <si>
    <t>Student Testing Status Flags</t>
  </si>
  <si>
    <t>School Type Flags</t>
  </si>
  <si>
    <t>Home Study/Nonpublic Flag</t>
  </si>
  <si>
    <t>O</t>
  </si>
  <si>
    <t>S</t>
  </si>
  <si>
    <t>O, S</t>
  </si>
  <si>
    <t>S, F</t>
  </si>
  <si>
    <t>Rollup to State</t>
  </si>
  <si>
    <t>Include in District Media Reports</t>
  </si>
  <si>
    <t>Include in School Media Reports</t>
  </si>
  <si>
    <t>Summarize to Assessment Group Code for district level reporting</t>
  </si>
  <si>
    <t>Schools summarized to LEA Code for district level reporting</t>
  </si>
  <si>
    <t>Summary Reports</t>
  </si>
  <si>
    <t>Document 1 Test Administrator Information</t>
  </si>
  <si>
    <t>Document 2 Test Administrator Information</t>
  </si>
  <si>
    <t>Document 3 Test Administrator Information</t>
  </si>
  <si>
    <t>DOCUMENT TYPE RETURNED</t>
  </si>
  <si>
    <t>DRC Unique Student ID</t>
  </si>
  <si>
    <t>Length</t>
  </si>
  <si>
    <t>Field Name</t>
  </si>
  <si>
    <t>FILLER</t>
  </si>
  <si>
    <t>Year of test</t>
  </si>
  <si>
    <t>Y = Classified as a Migrant Student
N = Not classified as a Migrant Student</t>
  </si>
  <si>
    <t>Unique number generated at the time the student record is converted into the DRC Student File.  (Starts over each administration.)
Blank for Equating file.</t>
  </si>
  <si>
    <t xml:space="preserve">"*", "-", and "_" values are changed to spaces, and then the spaces are removed by compressing the values from the name field. </t>
  </si>
  <si>
    <t>000000000-999999999
---------</t>
  </si>
  <si>
    <t>Student's SSN
"*" and " " values are changed to "-".</t>
  </si>
  <si>
    <r>
      <t xml:space="preserve">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</si>
  <si>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t>Summarized Test Taken Flag</t>
  </si>
  <si>
    <t>Updated Accountability Code - Document 1</t>
  </si>
  <si>
    <t>Updated Accountability Code - Document 2</t>
  </si>
  <si>
    <t>Updated Accountability Code - Document 3</t>
  </si>
  <si>
    <t>Document Site code</t>
  </si>
  <si>
    <t>Site code - Document 1</t>
  </si>
  <si>
    <t>Site code - Document 2</t>
  </si>
  <si>
    <t>Site code - Document 3</t>
  </si>
  <si>
    <t>Summarized Accommodations by Subject</t>
  </si>
  <si>
    <t xml:space="preserve">   ENGLISH LANGUAGE ARTS</t>
  </si>
  <si>
    <t xml:space="preserve">      Summarized Special Ed Test Accommodations</t>
  </si>
  <si>
    <t xml:space="preserve">      Summarized LEP Test Accommodations</t>
  </si>
  <si>
    <t xml:space="preserve">      Summarized Section 504 Test Accommodations</t>
  </si>
  <si>
    <t>MATHEMATICS</t>
  </si>
  <si>
    <t>SCIENCE</t>
  </si>
  <si>
    <t>SOCIAL STUDIES</t>
  </si>
  <si>
    <t>Bubbled Calculator Use (Math Only)</t>
  </si>
  <si>
    <t>Y = Student has the Test Accommodation
N = Student does not have the Test 
        Accommodation</t>
  </si>
  <si>
    <t>Summarized Subject for LEAP Tutoring</t>
  </si>
  <si>
    <t>Summarized Previously Attempted Tests - ELA/Math</t>
  </si>
  <si>
    <t>Summarized Previously Attempted Tests - SCI/SOC</t>
  </si>
  <si>
    <t>Scaled score for ELA.
Blank when Raw Score Total for ELA is blank.</t>
  </si>
  <si>
    <t>Total points earned for each ELA content standard.
Blank when content standard is not assessed (zero points possible), or when Raw Score Total for ELA is blank.</t>
  </si>
  <si>
    <t>Total points earned for each ELA subtest.
Blank when subtest is not assessed (zero points possible), or when the Raw Score Total for ELA is blank.</t>
  </si>
  <si>
    <t>Total score of all writing dimensions.
Zero (000.0) is a valid score.
Blank when the Raw Score Total for ELA is blank.</t>
  </si>
  <si>
    <t>Total points earned for each writing dimension.
Blank when the Raw Score Total for ELA is blank.</t>
  </si>
  <si>
    <t>Scaled score for Math
Blank when Raw Score Total for Math is blank.</t>
  </si>
  <si>
    <t>Scaled score for Science
Blank when Raw Score Total for Science is blank.</t>
  </si>
  <si>
    <t>Total points earned for each Science content standard.
Blank when content standard is not assessed (zero points possible), or when the Raw Score Total for Science is blank.</t>
  </si>
  <si>
    <t>Total points earned for each Science subtest.
Blank when subtest is not assessed (zero points possible), or when the Raw Score Total for Science is blank.</t>
  </si>
  <si>
    <t>Total points earned for each Math subtest.
Blank when subtest is not assessed (zero points possible), or when the Raw Score Total for Math is blank.</t>
  </si>
  <si>
    <t>Scaled score for Social Studies
Blank when Raw Score Total for Social Studies is blank.</t>
  </si>
  <si>
    <t>Total points earned for each Social Studies content standard.
Blank when content standard is not assessed (zero points possible), or when the Raw Score Total for Social Studies is blank.</t>
  </si>
  <si>
    <t>Total points earned for each Social Studies subtest.
Blank when subtest is not assessed (zero points possible), or when the Raw Score Total for Social Studies is blank.</t>
  </si>
  <si>
    <t>"*", "-", and "_" values are changed to spaces</t>
  </si>
  <si>
    <t>Bubbled Attended Remediation - Document 3 (SCI/SOC)</t>
  </si>
  <si>
    <t>Bubbled Attended Remediation - Document 2 (Math)</t>
  </si>
  <si>
    <t>Summarized McKinney-Vento Act (Homeless)</t>
  </si>
  <si>
    <t>Charter Type</t>
  </si>
  <si>
    <t>1 = Type 1 Charter
2 = Type 2 Charter
3 = Type 3 Charter
4 = Type 4 Charter
5 = Type 5 Charter
Blank = Not a Charter School</t>
  </si>
  <si>
    <t>Summarized Accountability Code - ELA</t>
  </si>
  <si>
    <t>Summarized Accountability Code - Math</t>
  </si>
  <si>
    <t>Summarized Accountability Code - Science</t>
  </si>
  <si>
    <t>Summarized Accountability Code - Social Studies</t>
  </si>
  <si>
    <r>
      <t xml:space="preserve">Include student in summarization.
Refer to the </t>
    </r>
    <r>
      <rPr>
        <b/>
        <u/>
        <sz val="10"/>
        <rFont val="Arial"/>
        <family val="2"/>
      </rPr>
      <t>Include in N-Counts</t>
    </r>
    <r>
      <rPr>
        <sz val="10"/>
        <rFont val="Arial"/>
        <family val="2"/>
      </rPr>
      <t xml:space="preserve"> section of the Processing Rules - Materials and Scoring document for rules on populating these values.</t>
    </r>
  </si>
  <si>
    <r>
      <t xml:space="preserve">Student's gender
Refer to the </t>
    </r>
    <r>
      <rPr>
        <b/>
        <u/>
        <sz val="10"/>
        <rFont val="Arial"/>
        <family val="2"/>
      </rPr>
      <t xml:space="preserve">Rules to Determine Demographic Values </t>
    </r>
    <r>
      <rPr>
        <sz val="10"/>
        <rFont val="Arial"/>
        <family val="2"/>
      </rPr>
      <t>section of the Processing Rules - Materials and Scoring document for logic to determine this value based on values from the LAP file and the answer document.</t>
    </r>
  </si>
  <si>
    <r>
      <t xml:space="preserve">Student's summarized ethnicity/race.
Refer to the </t>
    </r>
    <r>
      <rPr>
        <b/>
        <u/>
        <sz val="10"/>
        <rFont val="Arial"/>
        <family val="2"/>
      </rPr>
      <t xml:space="preserve">Rules to Determine Demographic Values </t>
    </r>
    <r>
      <rPr>
        <sz val="10"/>
        <rFont val="Arial"/>
        <family val="2"/>
      </rPr>
      <t>section of the Processing Rules - Materials and Scoring document for logic to determine this value based on values from the LAP file and the answer document.</t>
    </r>
  </si>
  <si>
    <r>
      <t xml:space="preserve">Taken from either the LAP file or the bubbled lunch status on the answer documents.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</si>
  <si>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t xml:space="preserve">LEP for all subjects.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</si>
  <si>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t xml:space="preserve">Month, Day, Year of student's birth
"*" and " " values are changed to "-".
Refer to the </t>
    </r>
    <r>
      <rPr>
        <b/>
        <u/>
        <sz val="10"/>
        <rFont val="Arial"/>
        <family val="2"/>
      </rPr>
      <t>Rules to Determine Demographic Values</t>
    </r>
    <r>
      <rPr>
        <sz val="10"/>
        <rFont val="Arial"/>
        <family val="2"/>
      </rPr>
      <t xml:space="preserve"> section of the Processing Rules - Materials and Scoring document for logic to determine these values based on values from the LAP file and the answer document.</t>
    </r>
  </si>
  <si>
    <r>
      <t xml:space="preserve">This is a compilation of the codes from LDE's precode file and the bubbled categories.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</si>
  <si>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t xml:space="preserve">Refer to the </t>
    </r>
    <r>
      <rPr>
        <b/>
        <u/>
        <sz val="10"/>
        <rFont val="Arial"/>
        <family val="2"/>
      </rPr>
      <t>Home Study/Nonpublic Flag</t>
    </r>
    <r>
      <rPr>
        <sz val="10"/>
        <rFont val="Arial"/>
        <family val="2"/>
      </rPr>
      <t xml:space="preserve"> section of the Processing Rules - Materials and Scoring document for rules on populating these values.</t>
    </r>
  </si>
  <si>
    <t>1 = Yes
- = No response (document returned)
Blank = document not returned</t>
  </si>
  <si>
    <t>Y = Yes (passed)
N = No (did NOT pass)
Blank = does not apply</t>
  </si>
  <si>
    <t>E = ELA only
M = Math only
B = ELA and Math
N = Neither ELA nor Math
Blank = does not apply</t>
  </si>
  <si>
    <t>1 = English
2 = Math
3 = Both Subjects
4 = No response (document returned)
Blank = document not returned</t>
  </si>
  <si>
    <t>1 = Yes
- = No response (document returned)
Blank</t>
  </si>
  <si>
    <t>0-9, -, or * in each position
-- = No response (document returned)
Blank = document not returned</t>
  </si>
  <si>
    <t>00.0-99.5
Blank</t>
  </si>
  <si>
    <t>100-500
Blank</t>
  </si>
  <si>
    <t>ABV = Above Basic
BAS = Basic
BLW = Below Basic
Blank</t>
  </si>
  <si>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Profound 
        Mental Dis., Severe Mental Dis.)
99 = Unknown (Multiple Response) 
Blank = student has no special education 
                category</t>
  </si>
  <si>
    <t>000.0-999.5
Blank</t>
  </si>
  <si>
    <t>00.0, 00.5, 01.0, 01.5, 02.0, 02.5, 03.0, 03.5, 04.0, or Blank</t>
  </si>
  <si>
    <t>00.0, 00.5, 01.0
Blank</t>
  </si>
  <si>
    <t>000.0-012.0
Blank</t>
  </si>
  <si>
    <t>000-999
Blank</t>
  </si>
  <si>
    <t>01-34
Blank</t>
  </si>
  <si>
    <t>0 = in SIS, not LEP prior 2 yrs
1 = LEP 1 yr prior
2 = LEP 2 yrs prior
3 = LEP current year
Blank = not in SIS prior 2 years or student 
               is not on the LAP file</t>
  </si>
  <si>
    <t>Y = Initial Tester in Spring
N = Retester in Spring, or Did Not Test in 
        Spring
Blank</t>
  </si>
  <si>
    <t>Y = Repeating Grade
N = Not Repeating Grade
Blank</t>
  </si>
  <si>
    <t>01-99
Blank (default value)</t>
  </si>
  <si>
    <t>UNS = Unsatisfactory
APP = Approaching Basic
BAS = Basic
MAS = Mastery
ADV = Advanced
Blank</t>
  </si>
  <si>
    <t>3 digit district code for the home-base Site 
Blank</t>
  </si>
  <si>
    <t>3 digit school code for the home-base Site 
Blank</t>
  </si>
  <si>
    <t>Numeric value with leading zeros
Blank</t>
  </si>
  <si>
    <t>0000000000-9999999999
Blank</t>
  </si>
  <si>
    <t>ASSESSMENT/ACCOUNTABILITY INFORMATION</t>
  </si>
  <si>
    <t>Precoded Site code</t>
  </si>
  <si>
    <t>K, E, M, R</t>
  </si>
  <si>
    <t>E, M, R</t>
  </si>
  <si>
    <t>K, E, M</t>
  </si>
  <si>
    <t>M</t>
  </si>
  <si>
    <t>03 = Spring
07 = Summer Retest
10 = Fall Retest</t>
  </si>
  <si>
    <t>Summarized Special Education Exceptionality Category by Subject</t>
  </si>
  <si>
    <t>Summarized Special Education Exceptionality Category - English Language Arts</t>
  </si>
  <si>
    <t>Summarized Special Education Exceptionality Category - Mathematics</t>
  </si>
  <si>
    <t>Summarized Special Education Exceptionality Category - Science</t>
  </si>
  <si>
    <t>Summarized Special Education Exceptionality Category - Social Studies</t>
  </si>
  <si>
    <t>Summarized Ethnicity/Race</t>
  </si>
  <si>
    <t>Charter type as listed in the School Master File.
Blank for 888, 998, and 999 school types.</t>
  </si>
  <si>
    <t>If field value = "Y", then student will be receiving this footnote.
The Footnote: Retesting Subject will be set to "Y" if the Science Testing Status = "R".
When a subject is updated because of a score merge, the Footnote: Retesting Subject will be set to "N" for the secondary record.
Blank in a retest.</t>
  </si>
  <si>
    <t>If field value = "Y", then student will be receiving this footnote.
The Footnote: Retesting Subject will be set to "Y" if the Social Studies Testing Status = "R".
When a subject is updated because of a score merge, the Footnote: Retesting Subject will be set to "N" for the secondary record.
Blank in a retest.</t>
  </si>
  <si>
    <t>Value of "Y" will only appear in the final LDESTD file</t>
  </si>
  <si>
    <t>Summary of District Void and Plagiarism flags in each subject.  If any of these 2 flags are "Y" in a subject, then the Summarized flag will be "Y" for that subject.</t>
  </si>
  <si>
    <t>If field value = "Y", then student will be receiving this footnote.
The Footnote/Verbiage: Previously Passed Subject will be set to "N",  if the student's Summarized Void Flag for English Language Arts = "Y".
When a subject is updated because of a score merge, the Footnote/Verbiage: Previously Passed Subject will be set to "N" for the secondary record.</t>
  </si>
  <si>
    <t>If field value = "Y", then student will be receiving this footnote.
The Footnote/Verbiage: Previously Passed Subject will be set to "N",  if the student's Summarized Void Flag for Mathematics = "Y".
When a subject is updated because of a score merge, the Footnote/Verbiage: Previously Passed Subject will be set to "N" for the secondary record.</t>
  </si>
  <si>
    <t>If field value = "Y", then student will be receiving this footnote.
The Footnote/Verbiage: Previously Passed Subject will be set to "N",  if the student's Summarized Void Flag for Science = "Y".
When a subject is updated because of a score merge, the Footnote/Verbiage: Previously Passed Subject will be set to "N" for the secondary record.</t>
  </si>
  <si>
    <t>If field value = "Y", then student will be receiving this footnote.
The Footnote/Verbiage: Previously Passed Subject will be set to "N",  if the student's Summarized Void Flag for Social Studies = "Y".
When a subject is updated because of a score merge, the Footnote/Verbiage: Previously Passed Subject will be set to "N" for the secondary record.</t>
  </si>
  <si>
    <t>00-39 (0-9 or - in any position)</t>
  </si>
  <si>
    <t>As bubbled on the LEAP or GEE Math answer document in Summer.</t>
  </si>
  <si>
    <t>As bubbled on the LEAP or GEE ELA answer document in Summer.</t>
  </si>
  <si>
    <t>As bubbled on the GEE SCI/SOC answer document in Summer.
Blank in Summer for LEAP.</t>
  </si>
  <si>
    <t>Y = Auto Rescore
N = No Auto Rescore</t>
  </si>
  <si>
    <t xml:space="preserve">Y = Auto Rescore
N = No Auto Rescore </t>
  </si>
  <si>
    <r>
      <t xml:space="preserve">Blank in Summer for GEE.
Refer to the </t>
    </r>
    <r>
      <rPr>
        <b/>
        <u/>
        <sz val="10"/>
        <rFont val="Arial"/>
        <family val="2"/>
      </rPr>
      <t>Initial Tester for the most recent Spring Test Flag</t>
    </r>
    <r>
      <rPr>
        <sz val="10"/>
        <rFont val="Arial"/>
        <family val="2"/>
      </rPr>
      <t xml:space="preserve"> section of the Processing Rules - Materials and Scoring document for possible values.</t>
    </r>
  </si>
  <si>
    <t>Student's school was included in the school level media reports.</t>
  </si>
  <si>
    <t>Student's school was included in summary reports.</t>
  </si>
  <si>
    <r>
      <t xml:space="preserve">If field value = "Y", then student will be receiving this footnote.
The Partial Score footnote for English Language Arts will be set based on the logic defined within the </t>
    </r>
    <r>
      <rPr>
        <b/>
        <u/>
        <sz val="10"/>
        <rFont val="Arial"/>
        <family val="2"/>
      </rPr>
      <t>Partial Scores Flag</t>
    </r>
    <r>
      <rPr>
        <sz val="10"/>
        <rFont val="Arial"/>
        <family val="2"/>
      </rPr>
      <t xml:space="preserve"> section of the Processing Rules – Materials and Scoring document.</t>
    </r>
  </si>
  <si>
    <t>If field value = "Y", then student will be receiving this footnote.
The Footnote: Retesting Subject will be set to "Y" if the ELA Testing Status = "R".
When a subject is updated because of a score merge, the Footnote: Retesting Subject will be set to "N" for the secondary record.</t>
  </si>
  <si>
    <r>
      <t xml:space="preserve">If field value = "Y", then student will be receiving this footnote.
The Partial Score footnote for Math will be set based on the logic defined within the </t>
    </r>
    <r>
      <rPr>
        <b/>
        <u/>
        <sz val="10"/>
        <rFont val="Arial"/>
        <family val="2"/>
      </rPr>
      <t>Partial Scores Flag</t>
    </r>
    <r>
      <rPr>
        <sz val="10"/>
        <rFont val="Arial"/>
        <family val="2"/>
      </rPr>
      <t xml:space="preserve"> section of the Processing Rules – Materials and Scoring document.</t>
    </r>
  </si>
  <si>
    <t>If field value = "Y", then student will be receiving this footnote.
The Footnote: Retesting Subject will be set to "Y" if the Math Testing Status = "R".
When a subject is updated because of a score merge, the Footnote: Retesting Subject will be set to "N" for the secondary record.</t>
  </si>
  <si>
    <t>C</t>
  </si>
  <si>
    <t>E, C</t>
  </si>
  <si>
    <t>M, R, C</t>
  </si>
  <si>
    <t>M, C</t>
  </si>
  <si>
    <t xml:space="preserve">01-12
-- </t>
  </si>
  <si>
    <t>0-9 or - in any position</t>
  </si>
  <si>
    <t>100-899 = School Level
900-999 = District Level
--- = No response (document returned)
* = Multiple Response
Blank = document not returned</t>
  </si>
  <si>
    <t>LAP Primary Exceptionality</t>
  </si>
  <si>
    <t>LAP LEP Indicator Code</t>
  </si>
  <si>
    <t>LAP Option Code</t>
  </si>
  <si>
    <t>LAP LDE Unique ID (GUID)</t>
  </si>
  <si>
    <t>LAP Home-base Site District Code</t>
  </si>
  <si>
    <t>LAP Home-base Site School Code</t>
  </si>
  <si>
    <t>Accountability Achievement Level - ELA</t>
  </si>
  <si>
    <t>Accountability Achievement Level - Math</t>
  </si>
  <si>
    <t>Accountability Achievement Level - Science</t>
  </si>
  <si>
    <t>Accountability Achievement Level - Social Studies</t>
  </si>
  <si>
    <t>Summarized Test Taken Flag - ELA</t>
  </si>
  <si>
    <t>Summarized Test Taken Flag - Math</t>
  </si>
  <si>
    <t>Summarized Test Taken Flag - Science</t>
  </si>
  <si>
    <t>Summarized Test Taken Flag - Social Studies</t>
  </si>
  <si>
    <t>Raw Score Total - ELA</t>
  </si>
  <si>
    <t>Scaled Score - ELA</t>
  </si>
  <si>
    <t>Assessment Achievement Level - ELA</t>
  </si>
  <si>
    <t>Scaled Score - Math</t>
  </si>
  <si>
    <t>Assessment Achievement Level - Math</t>
  </si>
  <si>
    <t>Scaled Score - Science</t>
  </si>
  <si>
    <t>Assessment Achievement Level - Science</t>
  </si>
  <si>
    <t>Scaled Score - Reading Subscore</t>
  </si>
  <si>
    <t>Assessment Achievement Level - Reading Subscore</t>
  </si>
  <si>
    <t>Raw Score Total - Reading Subscore</t>
  </si>
  <si>
    <t>6 digit site code
Blank</t>
  </si>
  <si>
    <t>M, R</t>
  </si>
  <si>
    <t>1 = Hispanic/Latino
2 = American Indian or Alaska Native
3 = Asian
4 = Black or African American
5 = Native Hawaiian or Other Pacific
       Islander
6 = White
7 = Two or more races
 I = Invalid</t>
  </si>
  <si>
    <t>1 = English Language Arts 
2 = Mathematics
3 = Both Subjects
Blank = student has no previously 
                attempted tests for these subjects</t>
  </si>
  <si>
    <t>1 = Science
2 = Social Studies
3 = Both Subjects
Blank = student has no previously 
                 attempted tests for these subjects</t>
  </si>
  <si>
    <t>E, M</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</si>
  <si>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Materials and Scoring document for logic to determine the Reporting Site-Code value.</t>
    </r>
  </si>
  <si>
    <t>Bubbled Attended Remediation - Document 1 (ELA)</t>
  </si>
  <si>
    <t>0-9, - , or * in each position
---------- = No response (document returned)
Blank = document not returned</t>
  </si>
  <si>
    <t>Raw Score Total - Math</t>
  </si>
  <si>
    <t>Raw Score Total - Science</t>
  </si>
  <si>
    <t>Raw Score Total - Social Studies</t>
  </si>
  <si>
    <t>Scaled Score - Social Studies</t>
  </si>
  <si>
    <t>Assessment Achievement Level - Social Studies</t>
  </si>
  <si>
    <t>ACCOUNTABILITY INFORMATION</t>
  </si>
  <si>
    <t>As flagged on the LAP file.
Unique number generated by LDE, and provided on the LAP file.  This is used to match students from the original LAP file with students from the updated LAP file.
Blank for a hand-coded document that could not be matched back to the LAP file.</t>
  </si>
  <si>
    <t>Total raw score for ELA.
Value is set to zero (000.0) on the Equating file for PS if the subject's handscoring is incomplete.
Blank when all documents containing ELA were not returned, or returned with ELA not attempted.</t>
  </si>
  <si>
    <t>Total correct ELA multiple choice items
Blank when Raw Score Total for ELA is blank, or if ELA was updated because of a score merge or requested rescore.</t>
  </si>
  <si>
    <t>Total correct ELA constructed response items (Include short answer 
items &amp; essay but does NOT include Writing item.)
Blank when Raw Score Total for ELA is blank, or if ELA was updated because of a score merge or requested rescore.</t>
  </si>
  <si>
    <t>Assessment achievement level for Math.  
INC when a student was expected to test (this subject) and did not, and a valid accountability code was not applied.  These students will still be included in some reports.
Blank when Raw Score Total for Math is blank, and the student was not expected to test.</t>
  </si>
  <si>
    <t>Assessment achievement level for Science.  
INC when a student was expected to test (this subject) and did not, and a valid accountability code was not applied.  These students will still be included in some reports.
Blank when Raw Score Total for Science is blank, and the student was not expected to test.</t>
  </si>
  <si>
    <t>Total correct Science multiple choice items
Blank when Raw Score Total for Science is blank, or if Science was updated because of a score merge or requested rescore.</t>
  </si>
  <si>
    <t>Total correct Science constructed-response items (includes short answer items and essay)
Blank when Raw Score Total for Science is blank, or if Science was updated because of a score merge or requested rescore.</t>
  </si>
  <si>
    <t>Assessment achievement level for Social Studies.  
INC when a student was expected to test (this subject) and did not, and a valid accountability code was not applied.  These students will still be included in some reports.
Blank when Raw Score Total for Social Studies is blank, and the student was not expected to test.</t>
  </si>
  <si>
    <r>
      <t xml:space="preserve">Refer to the </t>
    </r>
    <r>
      <rPr>
        <b/>
        <u/>
        <sz val="10"/>
        <rFont val="Arial"/>
        <family val="2"/>
      </rPr>
      <t>Reporting Summarization and Delivery Table</t>
    </r>
    <r>
      <rPr>
        <sz val="10"/>
        <rFont val="Arial"/>
        <family val="2"/>
      </rPr>
      <t xml:space="preserve"> and the </t>
    </r>
    <r>
      <rPr>
        <b/>
        <u/>
        <sz val="10"/>
        <rFont val="Arial"/>
        <family val="2"/>
      </rPr>
      <t xml:space="preserve">Table of District/School Types Included on Each Report </t>
    </r>
    <r>
      <rPr>
        <sz val="10"/>
        <rFont val="Arial"/>
        <family val="2"/>
      </rPr>
      <t>in the Common Louisiana Processing Rules - Reporting document for further details.</t>
    </r>
  </si>
  <si>
    <t>04 = Grade 4
08 = Grade 8 
10 = Grade 10 (preidentified student)
11 = Grade 11 (preidentified student)
12 = Grade 12 (preidentified student)
HS = High School (Grade 10, 11 or 12
        hand-coded document)</t>
  </si>
  <si>
    <t>0-9, - , or * in each position
-- = No response (document returned)
Blank = document not returned</t>
  </si>
  <si>
    <t>Assessment achievement level for ELA.
"INC" when a student was expected to test (this subject) and did not, and a valid accountability code was not applied.  These students will still be included in some reports.
Blank when Raw Score Total for ELA is blank, and the student was not expected to test.</t>
  </si>
  <si>
    <t>0 = Neither MC nor CR taken
1 = MC only taken
2 = CR only taken
3 = Both MC and CR taken
Blank</t>
  </si>
  <si>
    <t>As bubbled on the Math answer document in a retest.</t>
  </si>
  <si>
    <t>Summarized Accountability Code from Spring - ELA</t>
  </si>
  <si>
    <t>Summarized Accountability Code from Spring - Math</t>
  </si>
  <si>
    <t>Summarized Accountability Code from Spring - Science</t>
  </si>
  <si>
    <t>Summarized Accountability Code from Spring - Social Studies</t>
  </si>
  <si>
    <t>Format: "YYYY-MM-DD HH:MM:SS"</t>
  </si>
  <si>
    <t>UNS = Unsatisfactory
APP = Approaching Basic
BAS = Basic
MAS = Mastery
ADV = Advanced
INC = Include in reports
Blank</t>
  </si>
  <si>
    <r>
      <t xml:space="preserve">Education classification flag for all subjects.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</si>
  <si>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t>MC / CR Taken - ELA</t>
  </si>
  <si>
    <t>MC / CR Taken - Math</t>
  </si>
  <si>
    <t>MC / CR Taken - Science</t>
  </si>
  <si>
    <t>MC / CR Taken - Social Studies</t>
  </si>
  <si>
    <t>Summarized Void Flag - ELA</t>
  </si>
  <si>
    <t>Summarized Void Flag - Math</t>
  </si>
  <si>
    <t>Summarized Void Flag - Science</t>
  </si>
  <si>
    <t>Summarized Void Flag - Social Studies</t>
  </si>
  <si>
    <t>Include in N-counts - ELA</t>
  </si>
  <si>
    <t>Include in N-counts - Math</t>
  </si>
  <si>
    <t>Include in N-counts - Science</t>
  </si>
  <si>
    <t>Include in N-counts - Social Studies</t>
  </si>
  <si>
    <t>Testing Status - ELA</t>
  </si>
  <si>
    <t>Testing Status - Math</t>
  </si>
  <si>
    <t>Testing Status - Science</t>
  </si>
  <si>
    <t>Testing Status - Social Studies</t>
  </si>
  <si>
    <t>Footnote: Partial Score - ELA</t>
  </si>
  <si>
    <t>Footnote: Eligible for Appeal - ELA</t>
  </si>
  <si>
    <t>Footnote: Retesting Subject - ELA</t>
  </si>
  <si>
    <t>Footnote: Passed, Summer remediation is optional - ELA</t>
  </si>
  <si>
    <t>Footnote/Verbiage: Previously Passed Subject - ELA</t>
  </si>
  <si>
    <t>Footnote: Partial Score - Math</t>
  </si>
  <si>
    <t>Footnote: Eligible for Appeal - Math</t>
  </si>
  <si>
    <t>Footnote: Retesting Subject - Math</t>
  </si>
  <si>
    <t>Footnote: Passed, Summer remediation is optional - Math</t>
  </si>
  <si>
    <t>Footnote/Verbiage: Previously Passed Subject - Math</t>
  </si>
  <si>
    <t>Footnote: Retesting Subject - Science</t>
  </si>
  <si>
    <t>Footnote/Verbiage: Previously Passed Subject - Science</t>
  </si>
  <si>
    <t>Footnote: Retesting Subject - Social Studies</t>
  </si>
  <si>
    <t>Footnote/Verbiage: Previously Passed Subject - Social Studies</t>
  </si>
  <si>
    <t>Bubbled Test Administrator Number - Document 1</t>
  </si>
  <si>
    <t>Bubbled Test Administrator Number - Document 2</t>
  </si>
  <si>
    <t>Bubbled Test Administrator Number - Document 3</t>
  </si>
  <si>
    <t>Precoded ELA</t>
  </si>
  <si>
    <t>Precoded Math</t>
  </si>
  <si>
    <t>Precoded Science</t>
  </si>
  <si>
    <t>Precoded Social Studies</t>
  </si>
  <si>
    <t>Y = Precoded for ELA
N = Not Precoded for ELA
Blank</t>
  </si>
  <si>
    <t>Y = Precoded for Math
N = Not Precoded for Math
Blank</t>
  </si>
  <si>
    <t>Y = Precoded for Science
N = Not Precoded for Science
Blank</t>
  </si>
  <si>
    <t>Y = Precoded for Social Studies
N = Not Precoded for Social Studies
Blank</t>
  </si>
  <si>
    <t>Blank when a record could not be matched back to the DRC Precode file.</t>
  </si>
  <si>
    <t>P = Previously Passed
I = Initial Tester
R = Retesting Grade 4, 8, 10, 11, or 12</t>
  </si>
  <si>
    <r>
      <t xml:space="preserve">Refer to the </t>
    </r>
    <r>
      <rPr>
        <b/>
        <u/>
        <sz val="10"/>
        <rFont val="Arial"/>
        <family val="2"/>
      </rPr>
      <t>LDESTD Testing Status Flags</t>
    </r>
    <r>
      <rPr>
        <sz val="10"/>
        <rFont val="Arial"/>
        <family val="2"/>
      </rPr>
      <t xml:space="preserve"> section of the Processing Rules - Materials and Scoring document for possible values during each administration.</t>
    </r>
  </si>
  <si>
    <t>01 = LEA
02 = LAB
03 = CHA
04 = TRI
05 = NPB
06 = STA
08 = BSE
09 = OJJ
10 = MAR
12 = RES
13 = NPS
14 = RLA
15 = RNO
16 = JUV
17 = RBR</t>
  </si>
  <si>
    <t xml:space="preserve">Project: 2013 LEAP/GEE Spring </t>
  </si>
  <si>
    <t>This is the Phase 1 ELA/Math answer document in LEAP Spring, and the ELA answer document in a retest.</t>
  </si>
  <si>
    <t>This is the Math answer document in a retest.</t>
  </si>
  <si>
    <t>This is the Phase 1 ELA/Math answer document in LEAP spring, and the ELA answer document in a retest.</t>
  </si>
  <si>
    <t>As bubbled on the Phase 1 ELA/Math answer document in LEAP spring, and the ELA answer document in a retest.</t>
  </si>
  <si>
    <t>As bubbled on the Phase 1 LEAP ELA/Math answer document in LEAP spring.</t>
  </si>
  <si>
    <r>
      <t xml:space="preserve">As bubbled on the Phase 1 ELA/Math answer document in LEAP spring.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Materials and Scoring document for the logic for setting these values (pre and post OCS) and for the location of the Accountability Codes for Testing document.</t>
    </r>
  </si>
  <si>
    <r>
      <t xml:space="preserve">As bubbled on the Phase 2 LEAP ELA/Math/SCI/SOC answer document in LEAP spring.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Materials and Scoring document for the logic for setting these values (pre and post OCS) and for the location of the Accountability Codes for Testing document.</t>
    </r>
  </si>
  <si>
    <t>This is the Phase 2 ELA/Math/SCI/SOC answer document in LEAP Spring, and the GEE SCI/SOC answer document in a retest.</t>
  </si>
  <si>
    <t>This is the Phase 2 ELA/Math/SCI/SOC answer document in LEAP spring, and the GEE SCI/SOC answer document in a retest.</t>
  </si>
  <si>
    <t>As bubbled on the Phase 2 LEAP ELA/Math/SCI/SOC answer document in LEAP spring, and the GEE SCI/SOC answer document in a retest.</t>
  </si>
  <si>
    <t>As bubbled on the Phase 2 ELA/Math/SCI/SOC answer document in LEAP Spring, and the GEE SCI/SOC answer document in a retest.</t>
  </si>
  <si>
    <r>
      <t>Non-</t>
    </r>
    <r>
      <rPr>
        <sz val="10"/>
        <color indexed="10"/>
        <rFont val="Arial"/>
        <family val="2"/>
      </rPr>
      <t>Score</t>
    </r>
    <r>
      <rPr>
        <sz val="10"/>
        <rFont val="Arial"/>
        <family val="2"/>
      </rPr>
      <t xml:space="preserve"> Code for Writing</t>
    </r>
  </si>
  <si>
    <t>Standard 6: Patterns, Relations, &amp; Functions / Reporting Category: Number System</t>
  </si>
  <si>
    <t>Assess Group Type</t>
  </si>
  <si>
    <t>As bubbled on the Phase 1 LEAP ELA/Math answer document in LEAP Spring, and the ELA answer document in a retest.</t>
  </si>
  <si>
    <t>As bubbled on the Phase 2 ELA/Math/SCI/SOC answer document in LEAP spring.</t>
  </si>
  <si>
    <r>
      <t xml:space="preserve">1 = Unreadable
2 = Foreign Language
3 = Off Topic
4 = Insufficient
5 = Refusal
6 = Blank
</t>
    </r>
    <r>
      <rPr>
        <sz val="10"/>
        <color indexed="10"/>
        <rFont val="Arial"/>
        <family val="2"/>
      </rPr>
      <t>7 = Copied Passage</t>
    </r>
    <r>
      <rPr>
        <sz val="10"/>
        <rFont val="Arial"/>
        <family val="2"/>
      </rPr>
      <t xml:space="preserve">
Blank</t>
    </r>
  </si>
  <si>
    <t>LAP Scholarship Student Flag</t>
  </si>
  <si>
    <t>LAP Scholarship Site Code</t>
  </si>
  <si>
    <t>As flagged on the LAP file.
Blank for a hand-coded document that could not be matched back to the LAP file, or if the value was blank on the LAP file.</t>
  </si>
  <si>
    <t>LAP Residence_LEA</t>
  </si>
  <si>
    <t>3-digit Residential LEA
Blank</t>
  </si>
  <si>
    <t>Y = indicates student has an approved 
        scholarship
N = indicates student does not have an 
        approved scholarship
Blank</t>
  </si>
  <si>
    <t>6-digit site code for the site the student was 
    enrolled in prior to receiving the 
    scholarship
Blank</t>
  </si>
  <si>
    <t>6 digit site code
Blank = document not returned</t>
  </si>
  <si>
    <t>Month of test</t>
  </si>
  <si>
    <t>Blank when Raw Score Total for ELA is blank.</t>
  </si>
  <si>
    <t>O, S, F</t>
  </si>
  <si>
    <r>
      <t xml:space="preserve">1 = Option 1 (Repeater)
4 = Career Diploma Pathway/Track
5 = Non-Diploma Bound
6 = Student Enrolled in Connections
       Process
</t>
    </r>
    <r>
      <rPr>
        <sz val="10"/>
        <color rgb="FFFF0000"/>
        <rFont val="Arial"/>
        <family val="2"/>
      </rPr>
      <t>7 = Student Pursuing State approved Skills 
       Certificate after participation in 
       Connections Process
8 = Student Pursuing GED after 
       participation in Connections Process</t>
    </r>
    <r>
      <rPr>
        <sz val="10"/>
        <rFont val="Arial"/>
        <family val="2"/>
      </rPr>
      <t xml:space="preserve">
Blank</t>
    </r>
  </si>
  <si>
    <t>Raw Score for Each Content Standard/Reporting Categories</t>
  </si>
  <si>
    <r>
      <t>Section 504 for all subjects.
Refer to the</t>
    </r>
    <r>
      <rPr>
        <b/>
        <sz val="10"/>
        <rFont val="Arial"/>
        <family val="2"/>
      </rPr>
      <t xml:space="preserv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</si>
  <si>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t>Standard 1: Number and number relations / Reporting Category: Fractions</t>
  </si>
  <si>
    <t xml:space="preserve">Standard 2: Algebra / Reporting Category: Measurement, Data, and Geometry
</t>
  </si>
  <si>
    <t>Reporting Category: Ratio, Proportion, and Algebra</t>
  </si>
  <si>
    <t>Standard 3: Measurement / Reporting Category: Multiplication and Division</t>
  </si>
  <si>
    <t>Standard 4: Geometry / Reporting Category: Number</t>
  </si>
  <si>
    <t>Standard 5: Data analysis, probability, &amp; discrete math / Reporting Category:  Number and Operations</t>
  </si>
  <si>
    <t>G, O, S, F</t>
  </si>
  <si>
    <r>
      <rPr>
        <sz val="10"/>
        <rFont val="Arial"/>
        <family val="2"/>
      </rPr>
      <t xml:space="preserve">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the values from the LAP file and the answer document.</t>
    </r>
    <r>
      <rPr>
        <b/>
        <sz val="10"/>
        <rFont val="Arial"/>
        <family val="2"/>
      </rPr>
      <t xml:space="preserve">
LEAP Spring:</t>
    </r>
    <r>
      <rPr>
        <sz val="10"/>
        <rFont val="Arial"/>
        <family val="2"/>
      </rPr>
      <t xml:space="preserve"> Values 04 &amp; 08 are derived from type of booklet for a hand-coded document, or from LAP file for a preidentified document.
For students who tested in a grade that differs from their grade on the LAP file, the grade level of the document will be populated here.
</t>
    </r>
    <r>
      <rPr>
        <b/>
        <sz val="10"/>
        <rFont val="Arial"/>
        <family val="2"/>
      </rPr>
      <t xml:space="preserve">GEE Spring: </t>
    </r>
    <r>
      <rPr>
        <sz val="10"/>
        <rFont val="Arial"/>
        <family val="2"/>
      </rPr>
      <t xml:space="preserve">Values 10, 11, &amp; 12 come only from LAP file for a preidentified document. 
For students who tested in a grade that differs from their grade on the LAP file, the grade level of the document will be populated here.
</t>
    </r>
    <r>
      <rPr>
        <b/>
        <sz val="10"/>
        <rFont val="Arial"/>
        <family val="2"/>
      </rPr>
      <t>Retest:</t>
    </r>
    <r>
      <rPr>
        <sz val="10"/>
        <rFont val="Arial"/>
        <family val="2"/>
      </rPr>
      <t xml:space="preserve"> Values 04 &amp; 08 are derived from type of booklet for a hand-coded document, or from the LAP file for a Summer preidentified document.
Values 10, 11, &amp; 12 come only from the LAP file for a Spring preidentified document.
For students who tested in a grade that differs from their grade on the LAP file, the grade level of the document will be populated here.</t>
    </r>
  </si>
  <si>
    <r>
      <t xml:space="preserve">Met BESE Promotion Policy
Blank for GEE in Summer.
Refer to the </t>
    </r>
    <r>
      <rPr>
        <b/>
        <u/>
        <sz val="10"/>
        <rFont val="Arial"/>
        <family val="2"/>
      </rPr>
      <t>LEAP/GEE Processing Logic Tables (Passed/Did Not Pass)</t>
    </r>
    <r>
      <rPr>
        <sz val="10"/>
        <rFont val="Arial"/>
        <family val="2"/>
      </rPr>
      <t xml:space="preserve"> section of the Processing Rules - Reporting document for the logic to determine this value based on the student's Spring test results.</t>
    </r>
  </si>
  <si>
    <r>
      <t xml:space="preserve">Refer to the </t>
    </r>
    <r>
      <rPr>
        <b/>
        <u/>
        <sz val="10"/>
        <rFont val="Arial"/>
        <family val="2"/>
      </rPr>
      <t>LEAP/GEE Processing Logic Tables (Passed/Did Not Pass)</t>
    </r>
    <r>
      <rPr>
        <sz val="10"/>
        <rFont val="Arial"/>
        <family val="2"/>
      </rPr>
      <t xml:space="preserve"> section of the Processing Rules - Reporting document for the logic to determine this value based on the student's Spring test results.</t>
    </r>
  </si>
  <si>
    <t>As bubbled on the Phase 1 ELA/Math answer document in LEAP spring.</t>
  </si>
  <si>
    <t>The numeric type for the Assess Group Code value from the School Master File for the school the student is being reported to.</t>
  </si>
  <si>
    <r>
      <t xml:space="preserve">If field value = "Y", then student will be receiving this footnote.
The Passed, Summer remediation is optional footnote will be set based on the logic defined within the </t>
    </r>
    <r>
      <rPr>
        <b/>
        <u/>
        <sz val="10"/>
        <rFont val="Arial"/>
        <family val="2"/>
      </rPr>
      <t>Passed, Summer Remediation is Optional Flag</t>
    </r>
    <r>
      <rPr>
        <sz val="10"/>
        <rFont val="Arial"/>
        <family val="2"/>
      </rPr>
      <t xml:space="preserve"> section of the Processing Rules - Materials and Scoring document.</t>
    </r>
  </si>
  <si>
    <r>
      <t xml:space="preserve">If field value = Y, then student will be receiving this footnote.
The Passed, Summer remediation is optional footnote will be set based on the logic defined within the </t>
    </r>
    <r>
      <rPr>
        <b/>
        <u/>
        <sz val="10"/>
        <rFont val="Arial"/>
        <family val="2"/>
      </rPr>
      <t>Passed, Summer Remediation is Optional Flag</t>
    </r>
    <r>
      <rPr>
        <sz val="10"/>
        <rFont val="Arial"/>
        <family val="2"/>
      </rPr>
      <t xml:space="preserve"> section of the Processing Rules - Materials and Scoring document.</t>
    </r>
  </si>
  <si>
    <t>G, S, F</t>
  </si>
  <si>
    <t>G, O</t>
  </si>
  <si>
    <t>Sum of total points earned for ELA content standards 1, 6, and 7.
Blank when Raw Score Total for ELA is blank.</t>
  </si>
  <si>
    <r>
      <t xml:space="preserve">Values 1-6 are codes indicating reader's reason for no score on all or part of the writing prompt.   Refer to the </t>
    </r>
    <r>
      <rPr>
        <b/>
        <u/>
        <sz val="10"/>
        <rFont val="Arial"/>
        <family val="2"/>
      </rPr>
      <t>Constructed Response Items</t>
    </r>
    <r>
      <rPr>
        <sz val="10"/>
        <rFont val="Arial"/>
        <family val="2"/>
      </rPr>
      <t xml:space="preserve"> section within the Processing Rules - Materials and Scoring document for more information on assigning non-score codes.
The field is blank if no Non-Score Code was assigned or if ELA was updated because of a score merge or requested rescore.</t>
    </r>
  </si>
  <si>
    <r>
      <t xml:space="preserve">Indicates if the Constructed Response for this subject have been automatically rescored.  Only GEE students can be flagged to for an Auto Rescore.
The Auto Rescore Flag for English Language Arts will be set to "Y", if the student meets the selection criteria defined within the </t>
    </r>
    <r>
      <rPr>
        <b/>
        <u/>
        <sz val="10"/>
        <rFont val="Arial"/>
        <family val="2"/>
      </rPr>
      <t>Students Who Were Auto-Rescored</t>
    </r>
    <r>
      <rPr>
        <sz val="10"/>
        <rFont val="Arial"/>
        <family val="2"/>
      </rPr>
      <t xml:space="preserve"> section of the Processing Rules – Reporting document.</t>
    </r>
  </si>
  <si>
    <t>Total raw score for Math.
Value is set to zero (000.0) on the Equating file for PS if the subject's handscoring is incomplete.
Blank when all documents containing Math were not returned, or returned with Math not attempted.
Field Test Items are not included when determining the Raw Score Total - Math in LEAP Spring.</t>
  </si>
  <si>
    <r>
      <rPr>
        <b/>
        <sz val="10"/>
        <rFont val="Arial"/>
        <family val="2"/>
      </rPr>
      <t xml:space="preserve">LEAP: </t>
    </r>
    <r>
      <rPr>
        <sz val="10"/>
        <rFont val="Arial"/>
        <family val="2"/>
      </rPr>
      <t xml:space="preserve">Total points earned for each Math reporting category.
</t>
    </r>
    <r>
      <rPr>
        <b/>
        <sz val="10"/>
        <rFont val="Arial"/>
        <family val="2"/>
      </rPr>
      <t xml:space="preserve">GEE: </t>
    </r>
    <r>
      <rPr>
        <sz val="10"/>
        <rFont val="Arial"/>
        <family val="2"/>
      </rPr>
      <t>Total points earned for each Math content standard.
Blank when content standard or reporting category is not assessed (zero points possible), or when the Raw Score Total for Math is blank.
"Reporting Category: Ratio, Proportion, and Algebra" will be blank for GEE in Summer.</t>
    </r>
  </si>
  <si>
    <r>
      <t xml:space="preserve">Indicates if the Constructed Response for this subject have been automatically rescored.  Only GEE students can be flagged to for an Auto Rescore. 
The Auto Rescore Flag for Math will be set to "Y", if the student meets the selection criteria defined within the </t>
    </r>
    <r>
      <rPr>
        <b/>
        <u/>
        <sz val="10"/>
        <rFont val="Arial"/>
        <family val="2"/>
      </rPr>
      <t>Students Who Were Auto-Rescored</t>
    </r>
    <r>
      <rPr>
        <sz val="10"/>
        <rFont val="Arial"/>
        <family val="2"/>
      </rPr>
      <t xml:space="preserve"> section of the Processing Rules – Reporting document.</t>
    </r>
  </si>
  <si>
    <t>Total raw score for Science.
Value is set to zero (000.0) on the Equating file for PS if the subject's handscoring is incomplete.
Blank when all documents containing Science were not returned, or returned with Science not attempted.
Field Test Items are not included when determining the Raw Score Total - Science in LEAP Spring.</t>
  </si>
  <si>
    <r>
      <t xml:space="preserve">Indicates if the Constructed Response for this subject have been automatically rescored.  Only GEE students can be flagged to for an Auto Rescore. 
The Auto Rescore Flag for Science will be set to "Y", if the student meets the selection criteria defined within the </t>
    </r>
    <r>
      <rPr>
        <b/>
        <u/>
        <sz val="10"/>
        <rFont val="Arial"/>
        <family val="2"/>
      </rPr>
      <t xml:space="preserve">Students Who Were Auto-Rescored </t>
    </r>
    <r>
      <rPr>
        <sz val="10"/>
        <rFont val="Arial"/>
        <family val="2"/>
      </rPr>
      <t>section of the Processing Rules – Reporting document.</t>
    </r>
  </si>
  <si>
    <t>Total raw score for Social Studies.
Value is set to zero (000.0) on the Equating file for PS if the subject's handscoring is incomplete.
Blank when all documents containing Social Studies were not returned, or returned with Social Studies not attempted.
Field Test Items are not included when determining the Raw Score Total - Social Studies in LEAP Spring.</t>
  </si>
  <si>
    <r>
      <t xml:space="preserve">Indicates if the Constructed Response for this subject have been automatically rescored.  Only GEE students can be flagged to for an Auto Rescore. 
The Auto Rescore Flag for Social Studies will be set to ‘Y’, if the student meets the selection criteria defined within the </t>
    </r>
    <r>
      <rPr>
        <b/>
        <u/>
        <sz val="10"/>
        <rFont val="Arial"/>
        <family val="2"/>
      </rPr>
      <t>Students Who Were Auto-Rescored</t>
    </r>
    <r>
      <rPr>
        <sz val="10"/>
        <rFont val="Arial"/>
        <family val="2"/>
      </rPr>
      <t xml:space="preserve"> section of the Processing Rules – Reporting document.</t>
    </r>
  </si>
  <si>
    <r>
      <t xml:space="preserve">Refer to the </t>
    </r>
    <r>
      <rPr>
        <b/>
        <u/>
        <sz val="10"/>
        <rFont val="Arial"/>
        <family val="2"/>
      </rPr>
      <t>Test Taken</t>
    </r>
    <r>
      <rPr>
        <sz val="10"/>
        <rFont val="Arial"/>
        <family val="2"/>
      </rPr>
      <t xml:space="preserve"> section of the Processing Rules - Materials and Scoring document for rules on populating these values.
The Summarized Test Taken Flag will be set to "N" if the subject was the secondary record involved in a score merge.</t>
    </r>
  </si>
  <si>
    <t>Within each subject, indicates whether a student attempted any MC or CR type items on the test.
Blank if the subject was updated because of a score merge or requested rescore.
Field Test Items are not included when determining the MC / CR Taken flags for Math, Science, and Social Studies in LEAP Spring.</t>
  </si>
  <si>
    <r>
      <t xml:space="preserve">As flagged on the LAP file.
Refer to </t>
    </r>
    <r>
      <rPr>
        <b/>
        <u/>
        <sz val="10"/>
        <rFont val="Arial"/>
        <family val="2"/>
      </rPr>
      <t>Special Education Exceptionality Categories and Codes</t>
    </r>
    <r>
      <rPr>
        <sz val="10"/>
        <rFont val="Arial"/>
        <family val="2"/>
      </rPr>
      <t xml:space="preserve"> section of the current administration's Processing Rules - Materials and Scoring document for a list of Student Primary Exceptionalities.
Blank for a hand-coded document that could not be matched back to the LAP file, or if the value was blank on the LAP file.</t>
    </r>
  </si>
  <si>
    <r>
      <t xml:space="preserve">Valued for LEAP students in Spring and Summer.  
Refer to the </t>
    </r>
    <r>
      <rPr>
        <b/>
        <u/>
        <sz val="10"/>
        <rFont val="Arial"/>
        <family val="2"/>
      </rPr>
      <t>LDESTD Retester/Repeater Flags</t>
    </r>
    <r>
      <rPr>
        <sz val="10"/>
        <rFont val="Arial"/>
        <family val="2"/>
      </rPr>
      <t xml:space="preserve"> section of the Processing Rules – Materials and Scoring document for logic.
Blank in Summer for GEE.</t>
    </r>
  </si>
  <si>
    <t xml:space="preserve">For students precoded in the Summer from GEE Spring or LEAP Spring or in the Fall from Summer, these fields will be populated with their Spring Summarized Accountability Codes by subject, if they exist.  </t>
  </si>
  <si>
    <r>
      <t>LEAP Spring</t>
    </r>
    <r>
      <rPr>
        <sz val="10"/>
        <rFont val="Arial"/>
        <family val="2"/>
      </rPr>
      <t xml:space="preserve">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Materials and Scoring document for the logic for setting these values (pre and post OCS) and for the location of the Accountability Codes for Testing document.
</t>
    </r>
    <r>
      <rPr>
        <b/>
        <u/>
        <sz val="10"/>
        <rFont val="Arial"/>
        <family val="2"/>
      </rPr>
      <t>Retests</t>
    </r>
    <r>
      <rPr>
        <sz val="10"/>
        <rFont val="Arial"/>
        <family val="2"/>
      </rPr>
      <t xml:space="preserve">
These fields will only be populated with code 86 when applied by DRC.</t>
    </r>
  </si>
  <si>
    <r>
      <t>LEAP Spring</t>
    </r>
    <r>
      <rPr>
        <sz val="10"/>
        <rFont val="Arial"/>
        <family val="2"/>
      </rPr>
      <t xml:space="preserve">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Materials and Scoring document for the location of the Accountability Codes for Testing document. 
Refer to the </t>
    </r>
    <r>
      <rPr>
        <b/>
        <u/>
        <sz val="10"/>
        <rFont val="Arial"/>
        <family val="2"/>
      </rPr>
      <t>Summarized Accountability Codes by Subject</t>
    </r>
    <r>
      <rPr>
        <b/>
        <sz val="10"/>
        <rFont val="Arial"/>
        <family val="2"/>
      </rPr>
      <t xml:space="preserve"> </t>
    </r>
    <r>
      <rPr>
        <sz val="10"/>
        <rFont val="Arial"/>
        <family val="2"/>
      </rPr>
      <t xml:space="preserve">section of the Processing Rules - Materials and Scoring document for rules on populating these values.
</t>
    </r>
    <r>
      <rPr>
        <b/>
        <u/>
        <sz val="10"/>
        <rFont val="Arial"/>
        <family val="2"/>
      </rPr>
      <t>Retests</t>
    </r>
    <r>
      <rPr>
        <sz val="10"/>
        <rFont val="Arial"/>
        <family val="2"/>
      </rPr>
      <t xml:space="preserve">
These fields will only be populated with code 86 when applied by DRC. </t>
    </r>
  </si>
  <si>
    <r>
      <t xml:space="preserve">Accountability Achievement Level for the given subject. 
Refer to the </t>
    </r>
    <r>
      <rPr>
        <b/>
        <u/>
        <sz val="10"/>
        <rFont val="Arial"/>
        <family val="2"/>
      </rPr>
      <t xml:space="preserve">Resulting LDESTD Values by Subject </t>
    </r>
    <r>
      <rPr>
        <sz val="10"/>
        <rFont val="Arial"/>
        <family val="2"/>
      </rPr>
      <t>table within the Processing Rules - Materials and Scoring document for the logic to set these fields.</t>
    </r>
    <r>
      <rPr>
        <strike/>
        <sz val="10"/>
        <rFont val="Arial"/>
        <family val="2"/>
      </rPr>
      <t xml:space="preserve">
</t>
    </r>
    <r>
      <rPr>
        <sz val="10"/>
        <rFont val="Arial"/>
        <family val="2"/>
      </rPr>
      <t>The Accountability Achievement Level fields will be set to Blank if the subject was the secondary record inbolbed in a score merge.</t>
    </r>
  </si>
  <si>
    <t>As flagged on the LAP file.
Site code provided by LDE on the LAP file, which is used to route assessment data back to a student’s "home" site for accountability purposes when students are non-full academic year (non-FAY).  This is a required code for students attending alternative schools.
Blank for a hand-coded document that could not be matched back to the LAP file, or if the value was blank on the LAP file.</t>
  </si>
  <si>
    <r>
      <t>The precoded site code is the site where the student received preidentified answer documents.
Blank when the record could not be matched back to the DRC precode file.
GEE Spring/LEAP Spring: Site code from the LAP file, which will match the site code on the DRC Precode File.
Summer/Fall:</t>
    </r>
    <r>
      <rPr>
        <b/>
        <sz val="10"/>
        <rFont val="Arial"/>
        <family val="2"/>
      </rPr>
      <t xml:space="preserve"> </t>
    </r>
    <r>
      <rPr>
        <sz val="10"/>
        <rFont val="Arial"/>
        <family val="2"/>
      </rPr>
      <t xml:space="preserve">Site code from the DRC Precode File.  </t>
    </r>
  </si>
  <si>
    <r>
      <t xml:space="preserve">District and School where student was tested for this subject.
Refer to the </t>
    </r>
    <r>
      <rPr>
        <b/>
        <u/>
        <sz val="10"/>
        <rFont val="Arial"/>
        <family val="2"/>
      </rPr>
      <t>Capturing Site Codes</t>
    </r>
    <r>
      <rPr>
        <sz val="10"/>
        <rFont val="Arial"/>
        <family val="2"/>
      </rPr>
      <t xml:space="preserve"> section of the Processing Rules - Materials and Scoring document for logic to determine the Document Site-Code value.
Document 1 = Phase 1 ELA/Math answer document in LEAP spring, and ELA answer 
                             document in a retest.
Document 2 = Math answer document in a retest.
Document 3 = Phase 2 ELA/Math/SCI/SOCanswer document in LEAP spring, and 
                              GEE SCI/SOC answer document in a retest.</t>
    </r>
  </si>
  <si>
    <r>
      <t xml:space="preserve">If field value = Y, then student will be receiving this footnote.
The Eligible for Appeal flag for English Language Arts will be set based on the logic defined within the </t>
    </r>
    <r>
      <rPr>
        <b/>
        <u/>
        <sz val="10"/>
        <rFont val="Arial"/>
        <family val="2"/>
      </rPr>
      <t>Appeals Flag</t>
    </r>
    <r>
      <rPr>
        <sz val="10"/>
        <rFont val="Arial"/>
        <family val="2"/>
      </rPr>
      <t xml:space="preserve"> section of the Processing Rules – Materials and Scoring document.</t>
    </r>
  </si>
  <si>
    <r>
      <t xml:space="preserve">If field value = Y, then student will be receiving this footnote.
The Eligible for Appeal flag for Math will be set based on the logic defined within the </t>
    </r>
    <r>
      <rPr>
        <b/>
        <u/>
        <sz val="10"/>
        <rFont val="Arial"/>
        <family val="2"/>
      </rPr>
      <t>Appeals Flag</t>
    </r>
    <r>
      <rPr>
        <sz val="10"/>
        <rFont val="Arial"/>
        <family val="2"/>
      </rPr>
      <t xml:space="preserve"> section of the Processing Rules – Materials and Scoring document.</t>
    </r>
  </si>
  <si>
    <t>LDESTD File Layout - Final file_LDE Staff and Contractors</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</si>
</sst>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0"/>
      <name val="Arial"/>
    </font>
    <font>
      <sz val="11"/>
      <color theme="1"/>
      <name val="Calibri"/>
      <family val="2"/>
      <scheme val="minor"/>
    </font>
    <font>
      <sz val="10"/>
      <name val="Arial"/>
      <family val="2"/>
    </font>
    <font>
      <sz val="10"/>
      <name val="Arial"/>
      <family val="2"/>
    </font>
    <font>
      <sz val="10"/>
      <color indexed="10"/>
      <name val="Arial"/>
      <family val="2"/>
    </font>
    <font>
      <sz val="10"/>
      <name val="Arial"/>
      <family val="2"/>
    </font>
    <font>
      <i/>
      <sz val="10"/>
      <name val="Arial"/>
      <family val="2"/>
    </font>
    <font>
      <b/>
      <sz val="10"/>
      <name val="Arial"/>
      <family val="2"/>
    </font>
    <font>
      <sz val="10"/>
      <color indexed="8"/>
      <name val="Arial"/>
      <family val="2"/>
    </font>
    <font>
      <sz val="10"/>
      <color indexed="17"/>
      <name val="Arial"/>
      <family val="2"/>
    </font>
    <font>
      <i/>
      <sz val="10"/>
      <color indexed="17"/>
      <name val="Arial"/>
      <family val="2"/>
    </font>
    <font>
      <sz val="8"/>
      <name val="Arial"/>
      <family val="2"/>
    </font>
    <font>
      <strike/>
      <sz val="10"/>
      <name val="Arial"/>
      <family val="2"/>
    </font>
    <font>
      <b/>
      <sz val="12"/>
      <name val="Arial"/>
      <family val="2"/>
    </font>
    <font>
      <b/>
      <sz val="16"/>
      <name val="Arial"/>
      <family val="2"/>
    </font>
    <font>
      <b/>
      <sz val="10"/>
      <color indexed="12"/>
      <name val="Arial"/>
      <family val="2"/>
    </font>
    <font>
      <b/>
      <u/>
      <sz val="10"/>
      <name val="Arial"/>
      <family val="2"/>
    </font>
    <font>
      <sz val="10"/>
      <name val="Arial"/>
    </font>
    <font>
      <sz val="11"/>
      <color theme="1"/>
      <name val="Calibri"/>
      <family val="2"/>
      <scheme val="minor"/>
    </font>
    <font>
      <b/>
      <sz val="10"/>
      <color rgb="FF0000FF"/>
      <name val="Arial"/>
      <family val="2"/>
    </font>
    <font>
      <sz val="10"/>
      <color rgb="FFFF0000"/>
      <name val="Arial"/>
      <family val="2"/>
    </font>
  </fonts>
  <fills count="2">
    <fill>
      <patternFill patternType="none"/>
    </fill>
    <fill>
      <patternFill patternType="gray125"/>
    </fill>
  </fills>
  <borders count="1">
    <border>
      <left/>
      <right/>
      <top/>
      <bottom/>
      <diagonal/>
    </border>
  </borders>
  <cellStyleXfs count="18">
    <xf numFmtId="0" fontId="0" fillId="0" borderId="0"/>
    <xf numFmtId="0" fontId="2" fillId="0" borderId="0"/>
    <xf numFmtId="0" fontId="2" fillId="0" borderId="0"/>
    <xf numFmtId="0" fontId="18" fillId="0" borderId="0"/>
    <xf numFmtId="0" fontId="2" fillId="0" borderId="0"/>
    <xf numFmtId="0" fontId="17" fillId="0" borderId="0"/>
    <xf numFmtId="0" fontId="2" fillId="0" borderId="0"/>
    <xf numFmtId="0" fontId="2" fillId="0" borderId="0"/>
    <xf numFmtId="0" fontId="2" fillId="0" borderId="0"/>
    <xf numFmtId="0" fontId="2" fillId="0" borderId="0"/>
    <xf numFmtId="0" fontId="17" fillId="0" borderId="0"/>
    <xf numFmtId="0" fontId="2" fillId="0" borderId="0"/>
    <xf numFmtId="0" fontId="17" fillId="0" borderId="0"/>
    <xf numFmtId="0" fontId="2" fillId="0" borderId="0"/>
    <xf numFmtId="0" fontId="17" fillId="0" borderId="0"/>
    <xf numFmtId="0" fontId="2" fillId="0" borderId="0"/>
    <xf numFmtId="0" fontId="2" fillId="0" borderId="0"/>
    <xf numFmtId="0" fontId="1" fillId="0" borderId="0"/>
  </cellStyleXfs>
  <cellXfs count="78">
    <xf numFmtId="0" fontId="0" fillId="0" borderId="0" xfId="0"/>
    <xf numFmtId="0" fontId="13" fillId="0" borderId="0" xfId="0" applyFont="1" applyFill="1" applyBorder="1" applyAlignment="1"/>
    <xf numFmtId="0" fontId="13" fillId="0" borderId="0" xfId="0" applyFont="1" applyFill="1" applyBorder="1" applyAlignment="1">
      <alignment wrapText="1"/>
    </xf>
    <xf numFmtId="0" fontId="13" fillId="0" borderId="0" xfId="0" applyFont="1" applyFill="1" applyBorder="1" applyAlignment="1">
      <alignment horizontal="center" vertical="top"/>
    </xf>
    <xf numFmtId="0" fontId="13" fillId="0" borderId="0" xfId="0" applyFont="1" applyFill="1" applyBorder="1" applyAlignment="1">
      <alignment vertical="top"/>
    </xf>
    <xf numFmtId="49" fontId="2" fillId="0" borderId="0" xfId="0" applyNumberFormat="1" applyFont="1" applyFill="1" applyBorder="1" applyAlignment="1">
      <alignment horizontal="left" vertical="center" wrapText="1"/>
    </xf>
    <xf numFmtId="0" fontId="14" fillId="0" borderId="0" xfId="0" applyFont="1" applyFill="1" applyBorder="1"/>
    <xf numFmtId="0" fontId="0" fillId="0" borderId="0" xfId="0" applyFill="1" applyBorder="1" applyAlignment="1">
      <alignment horizontal="center" vertical="top"/>
    </xf>
    <xf numFmtId="0" fontId="0" fillId="0" borderId="0" xfId="0" applyFill="1" applyBorder="1" applyAlignment="1">
      <alignment vertical="top"/>
    </xf>
    <xf numFmtId="0" fontId="15" fillId="0" borderId="0" xfId="0" applyFont="1" applyFill="1" applyBorder="1" applyAlignment="1">
      <alignment vertical="top"/>
    </xf>
    <xf numFmtId="0" fontId="0" fillId="0" borderId="0" xfId="0" applyFill="1" applyBorder="1" applyAlignment="1">
      <alignment vertical="top" wrapText="1"/>
    </xf>
    <xf numFmtId="0" fontId="5" fillId="0" borderId="0" xfId="0" applyFont="1" applyFill="1" applyBorder="1" applyAlignment="1">
      <alignment horizontal="center" vertical="top"/>
    </xf>
    <xf numFmtId="0" fontId="5" fillId="0" borderId="0" xfId="0" applyFont="1" applyFill="1" applyBorder="1" applyAlignment="1">
      <alignment vertical="top"/>
    </xf>
    <xf numFmtId="0" fontId="5" fillId="0" borderId="0" xfId="0" applyFont="1" applyFill="1" applyBorder="1" applyAlignment="1">
      <alignment vertical="top" wrapText="1"/>
    </xf>
    <xf numFmtId="0" fontId="7" fillId="0" borderId="0" xfId="0" applyFont="1" applyFill="1" applyBorder="1" applyAlignment="1">
      <alignment horizontal="center" vertical="top" wrapText="1"/>
    </xf>
    <xf numFmtId="0" fontId="7" fillId="0" borderId="0" xfId="0" applyFont="1" applyFill="1" applyBorder="1" applyAlignment="1">
      <alignment vertical="top" wrapText="1"/>
    </xf>
    <xf numFmtId="0" fontId="15" fillId="0" borderId="0" xfId="0" applyFont="1" applyFill="1" applyBorder="1" applyAlignment="1">
      <alignment vertical="top" wrapText="1"/>
    </xf>
    <xf numFmtId="0" fontId="8" fillId="0" borderId="0" xfId="0" applyFont="1" applyFill="1" applyBorder="1" applyAlignment="1">
      <alignment vertical="top"/>
    </xf>
    <xf numFmtId="0" fontId="4" fillId="0" borderId="0" xfId="0" applyFont="1" applyFill="1" applyBorder="1" applyAlignment="1">
      <alignment horizontal="center" vertical="top"/>
    </xf>
    <xf numFmtId="0" fontId="4" fillId="0" borderId="0" xfId="0" applyFont="1" applyFill="1" applyBorder="1" applyAlignment="1">
      <alignment vertical="top"/>
    </xf>
    <xf numFmtId="0" fontId="4" fillId="0" borderId="0" xfId="0" applyFont="1" applyFill="1" applyBorder="1" applyAlignment="1">
      <alignment vertical="top" wrapText="1"/>
    </xf>
    <xf numFmtId="0" fontId="19" fillId="0" borderId="0" xfId="0" applyFont="1" applyFill="1" applyBorder="1" applyAlignment="1">
      <alignment vertical="top"/>
    </xf>
    <xf numFmtId="0" fontId="3" fillId="0" borderId="0" xfId="0" applyFont="1" applyFill="1" applyBorder="1" applyAlignment="1">
      <alignment vertical="top" wrapText="1"/>
    </xf>
    <xf numFmtId="0" fontId="6" fillId="0" borderId="0" xfId="0" applyFont="1" applyFill="1" applyBorder="1" applyAlignment="1">
      <alignment horizontal="left" vertical="top" wrapText="1"/>
    </xf>
    <xf numFmtId="0" fontId="3" fillId="0" borderId="0" xfId="0" applyFont="1" applyFill="1" applyBorder="1" applyAlignment="1">
      <alignment vertical="top"/>
    </xf>
    <xf numFmtId="0" fontId="9" fillId="0" borderId="0" xfId="0" applyFont="1" applyFill="1" applyBorder="1" applyAlignment="1">
      <alignment horizontal="center" vertical="top"/>
    </xf>
    <xf numFmtId="0" fontId="9" fillId="0" borderId="0" xfId="0" applyFont="1" applyFill="1" applyBorder="1" applyAlignment="1">
      <alignment vertical="top"/>
    </xf>
    <xf numFmtId="0" fontId="10" fillId="0" borderId="0" xfId="0" applyFont="1" applyFill="1" applyBorder="1" applyAlignment="1">
      <alignment horizontal="left" vertical="top" wrapText="1"/>
    </xf>
    <xf numFmtId="0" fontId="6" fillId="0" borderId="0" xfId="0" applyFont="1" applyFill="1" applyBorder="1" applyAlignment="1">
      <alignment vertical="top"/>
    </xf>
    <xf numFmtId="0" fontId="4" fillId="0" borderId="0" xfId="0" applyFont="1" applyFill="1" applyBorder="1" applyAlignment="1">
      <alignment horizontal="left" vertical="center" wrapText="1"/>
    </xf>
    <xf numFmtId="0" fontId="0" fillId="0" borderId="0" xfId="0" applyFill="1" applyBorder="1"/>
    <xf numFmtId="0" fontId="0" fillId="0" borderId="0" xfId="0" applyFill="1" applyBorder="1" applyAlignment="1">
      <alignment horizontal="center"/>
    </xf>
    <xf numFmtId="0" fontId="13" fillId="0" borderId="0" xfId="0" applyFont="1" applyFill="1" applyBorder="1" applyAlignment="1">
      <alignment horizontal="right" vertical="top"/>
    </xf>
    <xf numFmtId="0" fontId="0" fillId="0" borderId="0" xfId="0" applyFill="1" applyBorder="1" applyAlignment="1">
      <alignment wrapText="1"/>
    </xf>
    <xf numFmtId="0" fontId="6" fillId="0" borderId="0" xfId="0" applyFont="1" applyFill="1" applyBorder="1"/>
    <xf numFmtId="0" fontId="3" fillId="0" borderId="0" xfId="0" applyFont="1" applyFill="1" applyBorder="1" applyAlignment="1">
      <alignment vertical="center" wrapText="1"/>
    </xf>
    <xf numFmtId="49" fontId="5" fillId="0" borderId="0" xfId="0" applyNumberFormat="1" applyFont="1" applyFill="1" applyBorder="1" applyAlignment="1">
      <alignment horizontal="left" vertical="center" wrapText="1"/>
    </xf>
    <xf numFmtId="0" fontId="2" fillId="0" borderId="0" xfId="0" applyFont="1" applyFill="1" applyBorder="1" applyAlignment="1">
      <alignment horizontal="center" vertical="top"/>
    </xf>
    <xf numFmtId="0" fontId="2" fillId="0" borderId="0" xfId="0" applyFont="1" applyFill="1" applyBorder="1" applyAlignment="1">
      <alignment vertical="top"/>
    </xf>
    <xf numFmtId="16" fontId="2" fillId="0" borderId="0" xfId="0" applyNumberFormat="1" applyFont="1" applyFill="1" applyBorder="1" applyAlignment="1">
      <alignment horizontal="left" vertical="center" wrapText="1"/>
    </xf>
    <xf numFmtId="0" fontId="2" fillId="0" borderId="0" xfId="0" applyFont="1" applyFill="1" applyBorder="1" applyAlignment="1">
      <alignment horizontal="right" vertical="top"/>
    </xf>
    <xf numFmtId="49" fontId="0" fillId="0" borderId="0" xfId="0" applyNumberFormat="1" applyFill="1" applyBorder="1" applyAlignment="1">
      <alignment horizontal="left" vertical="center" wrapText="1"/>
    </xf>
    <xf numFmtId="0" fontId="7" fillId="0" borderId="0" xfId="0" applyFont="1" applyFill="1" applyBorder="1" applyAlignment="1">
      <alignment vertical="center" wrapText="1"/>
    </xf>
    <xf numFmtId="0" fontId="4" fillId="0" borderId="0" xfId="0" applyFont="1" applyFill="1" applyBorder="1" applyAlignment="1">
      <alignment vertical="center" wrapText="1"/>
    </xf>
    <xf numFmtId="0" fontId="8" fillId="0" borderId="0" xfId="0" applyFont="1" applyFill="1" applyBorder="1" applyAlignment="1">
      <alignment vertical="center" wrapText="1"/>
    </xf>
    <xf numFmtId="0" fontId="9" fillId="0" borderId="0" xfId="0" applyFont="1" applyFill="1" applyBorder="1" applyAlignment="1">
      <alignment vertical="center" wrapText="1"/>
    </xf>
    <xf numFmtId="0" fontId="6" fillId="0" borderId="0" xfId="0" applyFont="1" applyFill="1" applyBorder="1" applyAlignment="1">
      <alignment vertical="center"/>
    </xf>
    <xf numFmtId="0" fontId="2" fillId="0" borderId="0" xfId="0" applyFont="1" applyFill="1" applyBorder="1" applyAlignment="1">
      <alignment horizontal="center" vertical="top" wrapText="1"/>
    </xf>
    <xf numFmtId="49" fontId="2" fillId="0" borderId="0" xfId="1" applyNumberFormat="1" applyFont="1" applyFill="1" applyBorder="1" applyAlignment="1">
      <alignment horizontal="left" vertical="center" wrapText="1"/>
    </xf>
    <xf numFmtId="0" fontId="8" fillId="0" borderId="0" xfId="0" applyFont="1" applyFill="1" applyBorder="1" applyAlignment="1">
      <alignment vertical="top" wrapText="1"/>
    </xf>
    <xf numFmtId="0" fontId="2" fillId="0" borderId="0" xfId="0" applyFont="1" applyFill="1" applyBorder="1" applyAlignment="1">
      <alignment wrapText="1"/>
    </xf>
    <xf numFmtId="0" fontId="2" fillId="0" borderId="0" xfId="0" applyFont="1" applyFill="1" applyBorder="1" applyAlignment="1">
      <alignment horizontal="right" vertical="top" wrapText="1"/>
    </xf>
    <xf numFmtId="0" fontId="2" fillId="0" borderId="0" xfId="0" applyFont="1" applyFill="1" applyBorder="1" applyAlignment="1">
      <alignment horizontal="left" vertical="top" wrapText="1"/>
    </xf>
    <xf numFmtId="0" fontId="5" fillId="0" borderId="0" xfId="0" applyFont="1" applyFill="1" applyBorder="1" applyAlignment="1">
      <alignment horizontal="left" vertical="center" wrapText="1"/>
    </xf>
    <xf numFmtId="0" fontId="2" fillId="0" borderId="0" xfId="0" applyFont="1" applyFill="1" applyBorder="1" applyAlignment="1">
      <alignment horizontal="left" vertical="center" wrapText="1"/>
    </xf>
    <xf numFmtId="0" fontId="5" fillId="0" borderId="0" xfId="0" applyFont="1" applyFill="1" applyBorder="1" applyAlignment="1">
      <alignment vertical="center" wrapText="1"/>
    </xf>
    <xf numFmtId="0" fontId="0" fillId="0" borderId="0" xfId="0" applyFill="1" applyBorder="1" applyAlignment="1">
      <alignment vertical="center" wrapText="1"/>
    </xf>
    <xf numFmtId="0" fontId="0" fillId="0" borderId="0" xfId="0" applyFill="1" applyBorder="1" applyAlignment="1">
      <alignment horizontal="left" vertical="center" wrapText="1"/>
    </xf>
    <xf numFmtId="0" fontId="2" fillId="0" borderId="0" xfId="0" applyFont="1" applyFill="1" applyBorder="1" applyAlignment="1">
      <alignment vertical="center" wrapText="1"/>
    </xf>
    <xf numFmtId="0" fontId="0" fillId="0" borderId="0" xfId="0" applyFill="1" applyBorder="1" applyAlignment="1">
      <alignment vertical="center"/>
    </xf>
    <xf numFmtId="0" fontId="7" fillId="0" borderId="0" xfId="0" applyFont="1" applyFill="1" applyBorder="1" applyAlignment="1">
      <alignment horizontal="left" vertical="center" wrapText="1"/>
    </xf>
    <xf numFmtId="0" fontId="2" fillId="0" borderId="0" xfId="0" applyFont="1" applyFill="1" applyBorder="1" applyAlignment="1">
      <alignment vertical="top" wrapText="1"/>
    </xf>
    <xf numFmtId="0" fontId="2" fillId="0" borderId="0" xfId="0" applyFont="1" applyFill="1" applyBorder="1"/>
    <xf numFmtId="0" fontId="2" fillId="0" borderId="0" xfId="0" applyFont="1" applyFill="1" applyBorder="1" applyAlignment="1">
      <alignment horizontal="center"/>
    </xf>
    <xf numFmtId="0" fontId="5" fillId="0" borderId="0" xfId="0" applyFont="1" applyFill="1" applyBorder="1" applyAlignment="1">
      <alignment horizontal="left" vertical="center" wrapText="1"/>
    </xf>
    <xf numFmtId="0" fontId="0" fillId="0" borderId="0" xfId="0" applyFill="1" applyAlignment="1">
      <alignment horizontal="left" vertical="center" wrapText="1"/>
    </xf>
    <xf numFmtId="0" fontId="2" fillId="0" borderId="0" xfId="0" applyFont="1" applyFill="1" applyBorder="1" applyAlignment="1">
      <alignment horizontal="left" vertical="center" wrapText="1"/>
    </xf>
    <xf numFmtId="0" fontId="2" fillId="0" borderId="0" xfId="0" applyFont="1" applyFill="1" applyAlignment="1">
      <alignment horizontal="left" vertical="center" wrapText="1"/>
    </xf>
    <xf numFmtId="0" fontId="14" fillId="0" borderId="0" xfId="0" applyFont="1" applyFill="1" applyBorder="1" applyAlignment="1">
      <alignment horizontal="left"/>
    </xf>
    <xf numFmtId="0" fontId="0" fillId="0" borderId="0" xfId="0" applyFill="1" applyBorder="1" applyAlignment="1"/>
    <xf numFmtId="0" fontId="0" fillId="0" borderId="0" xfId="0" applyFill="1" applyBorder="1" applyAlignment="1">
      <alignment horizontal="left" vertical="center" wrapText="1"/>
    </xf>
    <xf numFmtId="0" fontId="2" fillId="0" borderId="0" xfId="0" applyFont="1" applyFill="1" applyBorder="1" applyAlignment="1">
      <alignment vertical="center" wrapText="1"/>
    </xf>
    <xf numFmtId="0" fontId="20" fillId="0" borderId="0" xfId="0" applyFont="1" applyFill="1" applyBorder="1" applyAlignment="1">
      <alignment vertical="center" wrapText="1"/>
    </xf>
    <xf numFmtId="0" fontId="0" fillId="0" borderId="0" xfId="0" applyFill="1" applyAlignment="1">
      <alignment vertical="center" wrapText="1"/>
    </xf>
    <xf numFmtId="0" fontId="0" fillId="0" borderId="0" xfId="0" applyFill="1" applyBorder="1" applyAlignment="1">
      <alignment vertical="center"/>
    </xf>
    <xf numFmtId="0" fontId="16" fillId="0" borderId="0" xfId="0" applyFont="1" applyFill="1" applyBorder="1" applyAlignment="1">
      <alignment horizontal="left" vertical="center" wrapText="1"/>
    </xf>
    <xf numFmtId="0" fontId="0" fillId="0" borderId="0" xfId="0" applyFill="1" applyBorder="1" applyAlignment="1">
      <alignment vertical="center" wrapText="1"/>
    </xf>
    <xf numFmtId="49" fontId="2" fillId="0" borderId="0" xfId="0" applyNumberFormat="1" applyFont="1" applyFill="1" applyBorder="1" applyAlignment="1">
      <alignment vertical="center" wrapText="1"/>
    </xf>
  </cellXfs>
  <cellStyles count="18">
    <cellStyle name="Normal" xfId="0" builtinId="0"/>
    <cellStyle name="Normal 2" xfId="1"/>
    <cellStyle name="Normal 3" xfId="2"/>
    <cellStyle name="Normal 4" xfId="3"/>
    <cellStyle name="Normal 4 2" xfId="17"/>
    <cellStyle name="Normal 5" xfId="4"/>
    <cellStyle name="Normal 5 2" xfId="5"/>
    <cellStyle name="Normal 5 2 2" xfId="6"/>
    <cellStyle name="Normal 5 2 3" xfId="7"/>
    <cellStyle name="Normal 6" xfId="8"/>
    <cellStyle name="Normal 6 2" xfId="9"/>
    <cellStyle name="Normal 6 3" xfId="10"/>
    <cellStyle name="Normal 6 3 2" xfId="11"/>
    <cellStyle name="Normal 7" xfId="12"/>
    <cellStyle name="Normal 7 2" xfId="13"/>
    <cellStyle name="Normal 8" xfId="14"/>
    <cellStyle name="Normal 8 2" xfId="15"/>
    <cellStyle name="Normal 9" xfId="16"/>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180975</xdr:rowOff>
    </xdr:from>
    <xdr:to>
      <xdr:col>7</xdr:col>
      <xdr:colOff>0</xdr:colOff>
      <xdr:row>1</xdr:row>
      <xdr:rowOff>0</xdr:rowOff>
    </xdr:to>
    <xdr:sp macro="" textlink="">
      <xdr:nvSpPr>
        <xdr:cNvPr id="3134" name="Rectangle 1"/>
        <xdr:cNvSpPr>
          <a:spLocks noChangeArrowheads="1"/>
        </xdr:cNvSpPr>
      </xdr:nvSpPr>
      <xdr:spPr bwMode="auto">
        <a:xfrm>
          <a:off x="12763500" y="180975"/>
          <a:ext cx="0" cy="95250"/>
        </a:xfrm>
        <a:prstGeom prst="rect">
          <a:avLst/>
        </a:prstGeom>
        <a:solidFill>
          <a:srgbClr val="C0C0C0"/>
        </a:solidFill>
        <a:ln w="9525">
          <a:noFill/>
          <a:miter lim="800000"/>
          <a:headEnd/>
          <a:tailEnd/>
        </a:ln>
      </xdr:spPr>
    </xdr:sp>
    <xdr:clientData/>
  </xdr:twoCellAnchor>
  <xdr:twoCellAnchor>
    <xdr:from>
      <xdr:col>7</xdr:col>
      <xdr:colOff>0</xdr:colOff>
      <xdr:row>0</xdr:row>
      <xdr:rowOff>180975</xdr:rowOff>
    </xdr:from>
    <xdr:to>
      <xdr:col>7</xdr:col>
      <xdr:colOff>0</xdr:colOff>
      <xdr:row>1</xdr:row>
      <xdr:rowOff>0</xdr:rowOff>
    </xdr:to>
    <xdr:sp macro="" textlink="">
      <xdr:nvSpPr>
        <xdr:cNvPr id="3135" name="Rectangle 1"/>
        <xdr:cNvSpPr>
          <a:spLocks noChangeArrowheads="1"/>
        </xdr:cNvSpPr>
      </xdr:nvSpPr>
      <xdr:spPr bwMode="auto">
        <a:xfrm>
          <a:off x="12763500" y="180975"/>
          <a:ext cx="0" cy="9525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drawing" Target="../drawings/drawing1.xml"/><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J554"/>
  <sheetViews>
    <sheetView tabSelected="1" zoomScale="70" zoomScaleNormal="70" zoomScaleSheetLayoutView="50" workbookViewId="0">
      <selection sqref="A1:F1"/>
    </sheetView>
  </sheetViews>
  <sheetFormatPr defaultRowHeight="12.75" x14ac:dyDescent="0.2"/>
  <cols>
    <col min="1" max="1" width="11.85546875" style="31" customWidth="1"/>
    <col min="2" max="2" width="9.28515625" style="63" customWidth="1"/>
    <col min="3" max="3" width="10.85546875" style="30" customWidth="1"/>
    <col min="4" max="4" width="11" style="30" bestFit="1" customWidth="1"/>
    <col min="5" max="5" width="9.140625" style="30"/>
    <col min="6" max="6" width="72.5703125" style="33" bestFit="1" customWidth="1"/>
    <col min="7" max="7" width="37.5703125" style="34" customWidth="1"/>
    <col min="8" max="8" width="73.140625" style="50" customWidth="1"/>
    <col min="9" max="16384" width="9.140625" style="30"/>
  </cols>
  <sheetData>
    <row r="1" spans="1:9" s="6" customFormat="1" ht="21.75" customHeight="1" x14ac:dyDescent="0.3">
      <c r="A1" s="68" t="s">
        <v>457</v>
      </c>
      <c r="B1" s="69"/>
      <c r="C1" s="69"/>
      <c r="D1" s="69"/>
      <c r="E1" s="69"/>
      <c r="F1" s="69"/>
      <c r="G1" s="68" t="s">
        <v>386</v>
      </c>
      <c r="H1" s="68"/>
    </row>
    <row r="2" spans="1:9" s="4" customFormat="1" ht="64.5" customHeight="1" x14ac:dyDescent="0.25">
      <c r="A2" s="2" t="s">
        <v>2</v>
      </c>
      <c r="B2" s="2" t="s">
        <v>126</v>
      </c>
      <c r="C2" s="2" t="s">
        <v>122</v>
      </c>
      <c r="D2" s="2" t="s">
        <v>123</v>
      </c>
      <c r="E2" s="1" t="s">
        <v>151</v>
      </c>
      <c r="F2" s="1" t="s">
        <v>152</v>
      </c>
      <c r="G2" s="2" t="s">
        <v>121</v>
      </c>
      <c r="H2" s="2" t="s">
        <v>120</v>
      </c>
      <c r="I2" s="3"/>
    </row>
    <row r="3" spans="1:9" s="8" customFormat="1" x14ac:dyDescent="0.2">
      <c r="A3" s="7"/>
      <c r="B3" s="37"/>
      <c r="F3" s="9" t="s">
        <v>59</v>
      </c>
      <c r="G3" s="56"/>
      <c r="H3" s="54"/>
    </row>
    <row r="4" spans="1:9" s="38" customFormat="1" ht="38.25" x14ac:dyDescent="0.2">
      <c r="A4" s="37"/>
      <c r="B4" s="37" t="s">
        <v>424</v>
      </c>
      <c r="C4" s="38">
        <v>1</v>
      </c>
      <c r="D4" s="38">
        <f t="shared" ref="D4:D11" si="0">C4+E4-1</f>
        <v>2</v>
      </c>
      <c r="E4" s="38">
        <v>2</v>
      </c>
      <c r="F4" s="38" t="s">
        <v>70</v>
      </c>
      <c r="G4" s="58" t="s">
        <v>244</v>
      </c>
      <c r="H4" s="54" t="s">
        <v>412</v>
      </c>
    </row>
    <row r="5" spans="1:9" s="38" customFormat="1" x14ac:dyDescent="0.2">
      <c r="A5" s="37"/>
      <c r="B5" s="37" t="s">
        <v>424</v>
      </c>
      <c r="C5" s="38">
        <f t="shared" ref="C5:C11" si="1">C4+E4</f>
        <v>3</v>
      </c>
      <c r="D5" s="38">
        <f t="shared" si="0"/>
        <v>6</v>
      </c>
      <c r="E5" s="38">
        <v>4</v>
      </c>
      <c r="F5" s="38" t="s">
        <v>71</v>
      </c>
      <c r="G5" s="58"/>
      <c r="H5" s="54" t="s">
        <v>154</v>
      </c>
    </row>
    <row r="6" spans="1:9" s="38" customFormat="1" ht="27" customHeight="1" x14ac:dyDescent="0.2">
      <c r="A6" s="37"/>
      <c r="B6" s="37" t="s">
        <v>424</v>
      </c>
      <c r="C6" s="38">
        <f t="shared" si="1"/>
        <v>7</v>
      </c>
      <c r="D6" s="38">
        <f t="shared" si="0"/>
        <v>7</v>
      </c>
      <c r="E6" s="38">
        <v>1</v>
      </c>
      <c r="F6" s="38" t="s">
        <v>72</v>
      </c>
      <c r="G6" s="58" t="s">
        <v>67</v>
      </c>
      <c r="H6" s="54" t="s">
        <v>254</v>
      </c>
    </row>
    <row r="7" spans="1:9" s="38" customFormat="1" ht="27" customHeight="1" x14ac:dyDescent="0.2">
      <c r="A7" s="37" t="s">
        <v>4</v>
      </c>
      <c r="B7" s="37" t="s">
        <v>424</v>
      </c>
      <c r="C7" s="38">
        <f t="shared" si="1"/>
        <v>8</v>
      </c>
      <c r="D7" s="38">
        <f t="shared" si="0"/>
        <v>10</v>
      </c>
      <c r="E7" s="38">
        <v>3</v>
      </c>
      <c r="F7" s="38" t="s">
        <v>73</v>
      </c>
      <c r="G7" s="58"/>
      <c r="H7" s="77" t="s">
        <v>310</v>
      </c>
    </row>
    <row r="8" spans="1:9" s="38" customFormat="1" ht="27" customHeight="1" x14ac:dyDescent="0.2">
      <c r="A8" s="37" t="s">
        <v>4</v>
      </c>
      <c r="B8" s="37" t="s">
        <v>424</v>
      </c>
      <c r="C8" s="38">
        <f t="shared" si="1"/>
        <v>11</v>
      </c>
      <c r="D8" s="38">
        <f t="shared" si="0"/>
        <v>13</v>
      </c>
      <c r="E8" s="38">
        <v>3</v>
      </c>
      <c r="F8" s="38" t="s">
        <v>74</v>
      </c>
      <c r="G8" s="58"/>
      <c r="H8" s="71"/>
    </row>
    <row r="9" spans="1:9" s="38" customFormat="1" x14ac:dyDescent="0.2">
      <c r="A9" s="37"/>
      <c r="B9" s="37" t="s">
        <v>424</v>
      </c>
      <c r="C9" s="38">
        <f t="shared" si="1"/>
        <v>14</v>
      </c>
      <c r="D9" s="38">
        <f t="shared" si="0"/>
        <v>53</v>
      </c>
      <c r="E9" s="38">
        <v>40</v>
      </c>
      <c r="F9" s="38" t="s">
        <v>75</v>
      </c>
      <c r="G9" s="58"/>
      <c r="H9" s="54"/>
    </row>
    <row r="10" spans="1:9" s="38" customFormat="1" x14ac:dyDescent="0.2">
      <c r="A10" s="37"/>
      <c r="B10" s="37" t="s">
        <v>424</v>
      </c>
      <c r="C10" s="38">
        <f t="shared" si="1"/>
        <v>54</v>
      </c>
      <c r="D10" s="38">
        <f t="shared" si="0"/>
        <v>93</v>
      </c>
      <c r="E10" s="38">
        <v>40</v>
      </c>
      <c r="F10" s="38" t="s">
        <v>76</v>
      </c>
      <c r="G10" s="58"/>
      <c r="H10" s="54"/>
    </row>
    <row r="11" spans="1:9" s="38" customFormat="1" ht="255" x14ac:dyDescent="0.2">
      <c r="A11" s="37" t="s">
        <v>3</v>
      </c>
      <c r="B11" s="37" t="s">
        <v>424</v>
      </c>
      <c r="C11" s="38">
        <f t="shared" si="1"/>
        <v>94</v>
      </c>
      <c r="D11" s="38">
        <f t="shared" si="0"/>
        <v>95</v>
      </c>
      <c r="E11" s="38">
        <v>2</v>
      </c>
      <c r="F11" s="38" t="s">
        <v>77</v>
      </c>
      <c r="G11" s="58" t="s">
        <v>329</v>
      </c>
      <c r="H11" s="60" t="s">
        <v>425</v>
      </c>
      <c r="I11" s="62"/>
    </row>
    <row r="12" spans="1:9" s="38" customFormat="1" x14ac:dyDescent="0.2">
      <c r="A12" s="37" t="s">
        <v>273</v>
      </c>
      <c r="B12" s="37" t="s">
        <v>424</v>
      </c>
      <c r="C12" s="38">
        <f t="shared" ref="C12:C15" si="2">C11+E11</f>
        <v>96</v>
      </c>
      <c r="D12" s="38">
        <f t="shared" ref="D12:D16" si="3">C12+E12-1</f>
        <v>107</v>
      </c>
      <c r="E12" s="38">
        <v>12</v>
      </c>
      <c r="F12" s="38" t="s">
        <v>78</v>
      </c>
      <c r="G12" s="58"/>
      <c r="H12" s="66" t="s">
        <v>157</v>
      </c>
    </row>
    <row r="13" spans="1:9" s="38" customFormat="1" x14ac:dyDescent="0.2">
      <c r="A13" s="37" t="s">
        <v>273</v>
      </c>
      <c r="B13" s="37" t="s">
        <v>424</v>
      </c>
      <c r="C13" s="38">
        <f t="shared" si="2"/>
        <v>108</v>
      </c>
      <c r="D13" s="38">
        <f t="shared" si="3"/>
        <v>115</v>
      </c>
      <c r="E13" s="38">
        <v>8</v>
      </c>
      <c r="F13" s="38" t="s">
        <v>79</v>
      </c>
      <c r="G13" s="58"/>
      <c r="H13" s="66"/>
    </row>
    <row r="14" spans="1:9" s="38" customFormat="1" x14ac:dyDescent="0.2">
      <c r="A14" s="37" t="s">
        <v>273</v>
      </c>
      <c r="B14" s="37" t="s">
        <v>424</v>
      </c>
      <c r="C14" s="38">
        <f t="shared" si="2"/>
        <v>116</v>
      </c>
      <c r="D14" s="38">
        <f t="shared" si="3"/>
        <v>116</v>
      </c>
      <c r="E14" s="38">
        <v>1</v>
      </c>
      <c r="F14" s="38" t="s">
        <v>80</v>
      </c>
      <c r="G14" s="58"/>
      <c r="H14" s="54" t="s">
        <v>195</v>
      </c>
    </row>
    <row r="15" spans="1:9" s="38" customFormat="1" ht="38.25" x14ac:dyDescent="0.2">
      <c r="A15" s="37" t="s">
        <v>273</v>
      </c>
      <c r="B15" s="37" t="s">
        <v>424</v>
      </c>
      <c r="C15" s="38">
        <f t="shared" si="2"/>
        <v>117</v>
      </c>
      <c r="D15" s="38">
        <f t="shared" si="3"/>
        <v>125</v>
      </c>
      <c r="E15" s="38">
        <v>9</v>
      </c>
      <c r="F15" s="38" t="s">
        <v>81</v>
      </c>
      <c r="G15" s="58" t="s">
        <v>158</v>
      </c>
      <c r="H15" s="54" t="s">
        <v>159</v>
      </c>
    </row>
    <row r="16" spans="1:9" s="38" customFormat="1" x14ac:dyDescent="0.2">
      <c r="A16" s="37"/>
      <c r="B16" s="37" t="s">
        <v>424</v>
      </c>
      <c r="C16" s="38">
        <f>C15+E15</f>
        <v>126</v>
      </c>
      <c r="D16" s="38">
        <f t="shared" si="3"/>
        <v>136</v>
      </c>
      <c r="E16" s="38">
        <v>11</v>
      </c>
      <c r="F16" s="38" t="s">
        <v>153</v>
      </c>
      <c r="G16" s="5"/>
      <c r="H16" s="54"/>
    </row>
    <row r="17" spans="1:8" s="38" customFormat="1" ht="38.25" x14ac:dyDescent="0.2">
      <c r="A17" s="37"/>
      <c r="B17" s="37" t="s">
        <v>424</v>
      </c>
      <c r="C17" s="38">
        <f>C16+E16</f>
        <v>137</v>
      </c>
      <c r="D17" s="38">
        <f>C17+E17-1</f>
        <v>137</v>
      </c>
      <c r="E17" s="38">
        <v>1</v>
      </c>
      <c r="F17" s="38" t="s">
        <v>374</v>
      </c>
      <c r="G17" s="58" t="s">
        <v>378</v>
      </c>
      <c r="H17" s="66" t="s">
        <v>382</v>
      </c>
    </row>
    <row r="18" spans="1:8" s="38" customFormat="1" ht="38.25" x14ac:dyDescent="0.2">
      <c r="A18" s="37"/>
      <c r="B18" s="37" t="s">
        <v>424</v>
      </c>
      <c r="C18" s="38">
        <f>C17+E17</f>
        <v>138</v>
      </c>
      <c r="D18" s="38">
        <f>C18+E18-1</f>
        <v>138</v>
      </c>
      <c r="E18" s="38">
        <v>1</v>
      </c>
      <c r="F18" s="38" t="s">
        <v>375</v>
      </c>
      <c r="G18" s="58" t="s">
        <v>379</v>
      </c>
      <c r="H18" s="66"/>
    </row>
    <row r="19" spans="1:8" s="38" customFormat="1" ht="38.25" x14ac:dyDescent="0.2">
      <c r="A19" s="37"/>
      <c r="B19" s="37" t="s">
        <v>424</v>
      </c>
      <c r="C19" s="38">
        <f>C18+E18</f>
        <v>139</v>
      </c>
      <c r="D19" s="38">
        <f>C19+E19-1</f>
        <v>139</v>
      </c>
      <c r="E19" s="38">
        <v>1</v>
      </c>
      <c r="F19" s="38" t="s">
        <v>376</v>
      </c>
      <c r="G19" s="58" t="s">
        <v>380</v>
      </c>
      <c r="H19" s="66"/>
    </row>
    <row r="20" spans="1:8" s="38" customFormat="1" ht="38.25" x14ac:dyDescent="0.2">
      <c r="A20" s="37"/>
      <c r="B20" s="37" t="s">
        <v>424</v>
      </c>
      <c r="C20" s="38">
        <f>C19+E19</f>
        <v>140</v>
      </c>
      <c r="D20" s="38">
        <f>C20+E20-1</f>
        <v>140</v>
      </c>
      <c r="E20" s="38">
        <v>1</v>
      </c>
      <c r="F20" s="38" t="s">
        <v>377</v>
      </c>
      <c r="G20" s="58" t="s">
        <v>381</v>
      </c>
      <c r="H20" s="66"/>
    </row>
    <row r="21" spans="1:8" s="38" customFormat="1" x14ac:dyDescent="0.2">
      <c r="A21" s="37"/>
      <c r="B21" s="37"/>
      <c r="C21" s="38">
        <f t="shared" ref="C21:C38" si="4">C20+E20</f>
        <v>141</v>
      </c>
      <c r="D21" s="38">
        <f t="shared" ref="D21:D39" si="5">C21+E21-1</f>
        <v>144</v>
      </c>
      <c r="E21" s="38">
        <v>4</v>
      </c>
      <c r="F21" s="38" t="s">
        <v>153</v>
      </c>
      <c r="G21" s="58"/>
      <c r="H21" s="54"/>
    </row>
    <row r="22" spans="1:8" s="38" customFormat="1" ht="25.5" x14ac:dyDescent="0.2">
      <c r="A22" s="37" t="s">
        <v>273</v>
      </c>
      <c r="B22" s="37" t="s">
        <v>424</v>
      </c>
      <c r="C22" s="38">
        <f t="shared" si="4"/>
        <v>145</v>
      </c>
      <c r="D22" s="38">
        <f t="shared" si="5"/>
        <v>146</v>
      </c>
      <c r="E22" s="38">
        <v>2</v>
      </c>
      <c r="F22" s="38" t="s">
        <v>82</v>
      </c>
      <c r="G22" s="48" t="s">
        <v>277</v>
      </c>
      <c r="H22" s="66" t="s">
        <v>210</v>
      </c>
    </row>
    <row r="23" spans="1:8" s="38" customFormat="1" x14ac:dyDescent="0.2">
      <c r="A23" s="37" t="s">
        <v>273</v>
      </c>
      <c r="B23" s="37" t="s">
        <v>424</v>
      </c>
      <c r="C23" s="38">
        <f t="shared" si="4"/>
        <v>147</v>
      </c>
      <c r="D23" s="38">
        <f t="shared" si="5"/>
        <v>148</v>
      </c>
      <c r="E23" s="38">
        <v>2</v>
      </c>
      <c r="F23" s="38" t="s">
        <v>83</v>
      </c>
      <c r="G23" s="48" t="s">
        <v>260</v>
      </c>
      <c r="H23" s="66"/>
    </row>
    <row r="24" spans="1:8" s="38" customFormat="1" ht="54" customHeight="1" x14ac:dyDescent="0.2">
      <c r="A24" s="37" t="s">
        <v>273</v>
      </c>
      <c r="B24" s="37" t="s">
        <v>424</v>
      </c>
      <c r="C24" s="38">
        <f t="shared" si="4"/>
        <v>149</v>
      </c>
      <c r="D24" s="38">
        <f t="shared" si="5"/>
        <v>152</v>
      </c>
      <c r="E24" s="38">
        <v>4</v>
      </c>
      <c r="F24" s="38" t="s">
        <v>84</v>
      </c>
      <c r="G24" s="48" t="s">
        <v>278</v>
      </c>
      <c r="H24" s="66"/>
    </row>
    <row r="25" spans="1:8" s="38" customFormat="1" ht="63.75" x14ac:dyDescent="0.2">
      <c r="A25" s="37" t="s">
        <v>274</v>
      </c>
      <c r="B25" s="37" t="s">
        <v>424</v>
      </c>
      <c r="C25" s="38">
        <f t="shared" si="4"/>
        <v>153</v>
      </c>
      <c r="D25" s="38">
        <f t="shared" si="5"/>
        <v>153</v>
      </c>
      <c r="E25" s="38">
        <v>1</v>
      </c>
      <c r="F25" s="38" t="s">
        <v>85</v>
      </c>
      <c r="G25" s="58" t="s">
        <v>116</v>
      </c>
      <c r="H25" s="54" t="s">
        <v>206</v>
      </c>
    </row>
    <row r="26" spans="1:8" s="38" customFormat="1" ht="115.5" customHeight="1" x14ac:dyDescent="0.2">
      <c r="A26" s="37" t="s">
        <v>274</v>
      </c>
      <c r="B26" s="37" t="s">
        <v>424</v>
      </c>
      <c r="C26" s="38">
        <f t="shared" si="4"/>
        <v>154</v>
      </c>
      <c r="D26" s="38">
        <f t="shared" si="5"/>
        <v>154</v>
      </c>
      <c r="E26" s="38">
        <v>1</v>
      </c>
      <c r="F26" s="38" t="s">
        <v>250</v>
      </c>
      <c r="G26" s="58" t="s">
        <v>306</v>
      </c>
      <c r="H26" s="54" t="s">
        <v>207</v>
      </c>
    </row>
    <row r="27" spans="1:8" s="38" customFormat="1" ht="76.5" x14ac:dyDescent="0.2">
      <c r="A27" s="37" t="s">
        <v>4</v>
      </c>
      <c r="B27" s="37" t="s">
        <v>424</v>
      </c>
      <c r="C27" s="38">
        <f t="shared" si="4"/>
        <v>155</v>
      </c>
      <c r="D27" s="38">
        <f t="shared" si="5"/>
        <v>155</v>
      </c>
      <c r="E27" s="38">
        <v>1</v>
      </c>
      <c r="F27" s="38" t="s">
        <v>86</v>
      </c>
      <c r="G27" s="58" t="s">
        <v>117</v>
      </c>
      <c r="H27" s="54" t="s">
        <v>208</v>
      </c>
    </row>
    <row r="28" spans="1:8" s="38" customFormat="1" x14ac:dyDescent="0.2">
      <c r="A28" s="37"/>
      <c r="B28" s="37"/>
      <c r="C28" s="38">
        <f t="shared" si="4"/>
        <v>156</v>
      </c>
      <c r="D28" s="38">
        <f t="shared" si="5"/>
        <v>159</v>
      </c>
      <c r="E28" s="38">
        <v>4</v>
      </c>
      <c r="F28" s="38" t="s">
        <v>153</v>
      </c>
      <c r="G28" s="58"/>
      <c r="H28" s="54"/>
    </row>
    <row r="29" spans="1:8" s="38" customFormat="1" x14ac:dyDescent="0.2">
      <c r="A29" s="37"/>
      <c r="B29" s="37" t="s">
        <v>137</v>
      </c>
      <c r="C29" s="38">
        <f>C28+E28</f>
        <v>160</v>
      </c>
      <c r="D29" s="38">
        <f t="shared" si="5"/>
        <v>160</v>
      </c>
      <c r="E29" s="38">
        <v>1</v>
      </c>
      <c r="F29" s="38" t="s">
        <v>311</v>
      </c>
      <c r="G29" s="66" t="s">
        <v>213</v>
      </c>
      <c r="H29" s="54" t="s">
        <v>262</v>
      </c>
    </row>
    <row r="30" spans="1:8" s="38" customFormat="1" x14ac:dyDescent="0.2">
      <c r="A30" s="37"/>
      <c r="B30" s="37" t="s">
        <v>137</v>
      </c>
      <c r="C30" s="38">
        <f t="shared" si="4"/>
        <v>161</v>
      </c>
      <c r="D30" s="38">
        <f t="shared" si="5"/>
        <v>161</v>
      </c>
      <c r="E30" s="38">
        <v>1</v>
      </c>
      <c r="F30" s="38" t="s">
        <v>197</v>
      </c>
      <c r="G30" s="66"/>
      <c r="H30" s="54" t="s">
        <v>261</v>
      </c>
    </row>
    <row r="31" spans="1:8" s="38" customFormat="1" ht="38.25" x14ac:dyDescent="0.2">
      <c r="A31" s="37"/>
      <c r="B31" s="37" t="s">
        <v>137</v>
      </c>
      <c r="C31" s="38">
        <f t="shared" si="4"/>
        <v>162</v>
      </c>
      <c r="D31" s="38">
        <f t="shared" si="5"/>
        <v>162</v>
      </c>
      <c r="E31" s="38">
        <v>1</v>
      </c>
      <c r="F31" s="38" t="s">
        <v>196</v>
      </c>
      <c r="G31" s="66"/>
      <c r="H31" s="54" t="s">
        <v>263</v>
      </c>
    </row>
    <row r="32" spans="1:8" s="38" customFormat="1" x14ac:dyDescent="0.2">
      <c r="A32" s="37"/>
      <c r="B32" s="37"/>
      <c r="C32" s="38">
        <f>C31+E31</f>
        <v>163</v>
      </c>
      <c r="D32" s="38">
        <f t="shared" si="5"/>
        <v>171</v>
      </c>
      <c r="E32" s="38">
        <v>9</v>
      </c>
      <c r="F32" s="38" t="s">
        <v>153</v>
      </c>
      <c r="G32" s="54"/>
      <c r="H32" s="54"/>
    </row>
    <row r="33" spans="1:8" s="38" customFormat="1" ht="91.5" customHeight="1" x14ac:dyDescent="0.2">
      <c r="A33" s="37" t="s">
        <v>243</v>
      </c>
      <c r="B33" s="37" t="s">
        <v>138</v>
      </c>
      <c r="C33" s="38">
        <f>C32+E32</f>
        <v>172</v>
      </c>
      <c r="D33" s="38">
        <f t="shared" si="5"/>
        <v>172</v>
      </c>
      <c r="E33" s="38">
        <v>1</v>
      </c>
      <c r="F33" s="38" t="s">
        <v>87</v>
      </c>
      <c r="G33" s="58" t="s">
        <v>214</v>
      </c>
      <c r="H33" s="58" t="s">
        <v>426</v>
      </c>
    </row>
    <row r="34" spans="1:8" s="38" customFormat="1" ht="35.25" customHeight="1" x14ac:dyDescent="0.2">
      <c r="A34" s="37" t="s">
        <v>243</v>
      </c>
      <c r="B34" s="37" t="s">
        <v>136</v>
      </c>
      <c r="C34" s="38">
        <f t="shared" si="4"/>
        <v>173</v>
      </c>
      <c r="D34" s="38">
        <f t="shared" si="5"/>
        <v>173</v>
      </c>
      <c r="E34" s="38">
        <v>1</v>
      </c>
      <c r="F34" s="38" t="s">
        <v>88</v>
      </c>
      <c r="G34" s="66" t="s">
        <v>215</v>
      </c>
      <c r="H34" s="66" t="s">
        <v>427</v>
      </c>
    </row>
    <row r="35" spans="1:8" s="38" customFormat="1" ht="35.25" customHeight="1" x14ac:dyDescent="0.2">
      <c r="A35" s="37" t="s">
        <v>243</v>
      </c>
      <c r="B35" s="37" t="s">
        <v>136</v>
      </c>
      <c r="C35" s="38">
        <f t="shared" si="4"/>
        <v>174</v>
      </c>
      <c r="D35" s="38">
        <f t="shared" si="5"/>
        <v>174</v>
      </c>
      <c r="E35" s="38">
        <v>1</v>
      </c>
      <c r="F35" s="38" t="s">
        <v>89</v>
      </c>
      <c r="G35" s="66"/>
      <c r="H35" s="66"/>
    </row>
    <row r="36" spans="1:8" s="38" customFormat="1" x14ac:dyDescent="0.2">
      <c r="A36" s="37"/>
      <c r="B36" s="37"/>
      <c r="C36" s="38">
        <f t="shared" si="4"/>
        <v>175</v>
      </c>
      <c r="D36" s="38">
        <f t="shared" si="5"/>
        <v>178</v>
      </c>
      <c r="E36" s="38">
        <v>4</v>
      </c>
      <c r="F36" s="38" t="s">
        <v>153</v>
      </c>
      <c r="G36" s="58"/>
      <c r="H36" s="58"/>
    </row>
    <row r="37" spans="1:8" s="38" customFormat="1" ht="45.75" customHeight="1" x14ac:dyDescent="0.2">
      <c r="A37" s="37" t="s">
        <v>4</v>
      </c>
      <c r="B37" s="37" t="s">
        <v>424</v>
      </c>
      <c r="C37" s="38">
        <f>C36+E36</f>
        <v>179</v>
      </c>
      <c r="D37" s="38">
        <f t="shared" si="5"/>
        <v>179</v>
      </c>
      <c r="E37" s="38">
        <v>1</v>
      </c>
      <c r="F37" s="38" t="s">
        <v>90</v>
      </c>
      <c r="G37" s="58" t="s">
        <v>155</v>
      </c>
      <c r="H37" s="58" t="s">
        <v>160</v>
      </c>
    </row>
    <row r="38" spans="1:8" s="38" customFormat="1" x14ac:dyDescent="0.2">
      <c r="A38" s="37"/>
      <c r="B38" s="37" t="s">
        <v>424</v>
      </c>
      <c r="C38" s="38">
        <f t="shared" si="4"/>
        <v>180</v>
      </c>
      <c r="D38" s="38">
        <f t="shared" si="5"/>
        <v>183</v>
      </c>
      <c r="E38" s="38">
        <v>4</v>
      </c>
      <c r="F38" s="38" t="s">
        <v>153</v>
      </c>
      <c r="G38" s="58"/>
      <c r="H38" s="58"/>
    </row>
    <row r="39" spans="1:8" s="38" customFormat="1" ht="42" customHeight="1" x14ac:dyDescent="0.2">
      <c r="A39" s="37"/>
      <c r="B39" s="37" t="s">
        <v>424</v>
      </c>
      <c r="C39" s="38">
        <f>C38+E38</f>
        <v>184</v>
      </c>
      <c r="D39" s="38">
        <f t="shared" si="5"/>
        <v>184</v>
      </c>
      <c r="E39" s="38">
        <v>1</v>
      </c>
      <c r="F39" s="38" t="s">
        <v>198</v>
      </c>
      <c r="G39" s="58" t="s">
        <v>56</v>
      </c>
      <c r="H39" s="58" t="s">
        <v>160</v>
      </c>
    </row>
    <row r="40" spans="1:8" s="13" customFormat="1" ht="25.5" x14ac:dyDescent="0.2">
      <c r="A40" s="14"/>
      <c r="B40" s="14"/>
      <c r="C40" s="12"/>
      <c r="D40" s="15" t="s">
        <v>68</v>
      </c>
      <c r="E40" s="15"/>
      <c r="F40" s="16" t="s">
        <v>91</v>
      </c>
      <c r="G40" s="42"/>
      <c r="H40" s="58" t="s">
        <v>389</v>
      </c>
    </row>
    <row r="41" spans="1:8" s="12" customFormat="1" x14ac:dyDescent="0.2">
      <c r="A41" s="11"/>
      <c r="B41" s="37"/>
      <c r="C41" s="12">
        <f>C39+E39</f>
        <v>185</v>
      </c>
      <c r="D41" s="12">
        <f t="shared" ref="D41:D42" si="6">C41+E41-1</f>
        <v>202</v>
      </c>
      <c r="E41" s="12">
        <v>18</v>
      </c>
      <c r="F41" s="24" t="s">
        <v>153</v>
      </c>
      <c r="G41" s="55"/>
      <c r="H41" s="54"/>
    </row>
    <row r="42" spans="1:8" s="12" customFormat="1" ht="39" customHeight="1" x14ac:dyDescent="0.2">
      <c r="A42" s="11"/>
      <c r="B42" s="37" t="s">
        <v>136</v>
      </c>
      <c r="C42" s="12">
        <f t="shared" ref="C42" si="7">C41+E41</f>
        <v>203</v>
      </c>
      <c r="D42" s="12">
        <f t="shared" si="6"/>
        <v>203</v>
      </c>
      <c r="E42" s="12">
        <v>1</v>
      </c>
      <c r="F42" s="12" t="s">
        <v>177</v>
      </c>
      <c r="G42" s="35" t="s">
        <v>213</v>
      </c>
      <c r="H42" s="54" t="s">
        <v>391</v>
      </c>
    </row>
    <row r="43" spans="1:8" s="12" customFormat="1" x14ac:dyDescent="0.2">
      <c r="A43" s="11"/>
      <c r="B43" s="37"/>
      <c r="C43" s="12">
        <f>C42+E42</f>
        <v>204</v>
      </c>
      <c r="D43" s="12">
        <f t="shared" ref="D43:D47" si="8">C43+E43-1</f>
        <v>272</v>
      </c>
      <c r="E43" s="12">
        <v>69</v>
      </c>
      <c r="F43" s="17" t="s">
        <v>153</v>
      </c>
      <c r="G43" s="55"/>
      <c r="H43" s="58"/>
    </row>
    <row r="44" spans="1:8" s="12" customFormat="1" ht="38.25" x14ac:dyDescent="0.2">
      <c r="A44" s="11"/>
      <c r="B44" s="37" t="s">
        <v>424</v>
      </c>
      <c r="C44" s="12">
        <f t="shared" ref="C44:C47" si="9">C43+E43</f>
        <v>273</v>
      </c>
      <c r="D44" s="12">
        <f t="shared" si="8"/>
        <v>282</v>
      </c>
      <c r="E44" s="12">
        <v>10</v>
      </c>
      <c r="F44" s="12" t="s">
        <v>104</v>
      </c>
      <c r="G44" s="41" t="s">
        <v>312</v>
      </c>
      <c r="H44" s="58" t="s">
        <v>390</v>
      </c>
    </row>
    <row r="45" spans="1:8" s="12" customFormat="1" ht="102" x14ac:dyDescent="0.2">
      <c r="A45" s="11"/>
      <c r="B45" s="37" t="s">
        <v>136</v>
      </c>
      <c r="C45" s="12">
        <f t="shared" si="9"/>
        <v>283</v>
      </c>
      <c r="D45" s="12">
        <f t="shared" si="8"/>
        <v>284</v>
      </c>
      <c r="E45" s="12">
        <v>2</v>
      </c>
      <c r="F45" s="12" t="s">
        <v>105</v>
      </c>
      <c r="G45" s="41" t="s">
        <v>330</v>
      </c>
      <c r="H45" s="58" t="s">
        <v>392</v>
      </c>
    </row>
    <row r="46" spans="1:8" s="12" customFormat="1" x14ac:dyDescent="0.2">
      <c r="A46" s="11"/>
      <c r="B46" s="37"/>
      <c r="C46" s="12">
        <f t="shared" si="9"/>
        <v>285</v>
      </c>
      <c r="D46" s="12">
        <f t="shared" si="8"/>
        <v>290</v>
      </c>
      <c r="E46" s="12">
        <v>6</v>
      </c>
      <c r="F46" s="38" t="s">
        <v>153</v>
      </c>
      <c r="G46" s="55"/>
      <c r="H46" s="58"/>
    </row>
    <row r="47" spans="1:8" s="12" customFormat="1" ht="67.5" customHeight="1" x14ac:dyDescent="0.2">
      <c r="A47" s="11"/>
      <c r="B47" s="37" t="s">
        <v>136</v>
      </c>
      <c r="C47" s="12">
        <f t="shared" si="9"/>
        <v>291</v>
      </c>
      <c r="D47" s="12">
        <f t="shared" si="8"/>
        <v>291</v>
      </c>
      <c r="E47" s="12">
        <v>1</v>
      </c>
      <c r="F47" s="38" t="s">
        <v>107</v>
      </c>
      <c r="G47" s="55" t="s">
        <v>216</v>
      </c>
      <c r="H47" s="58" t="s">
        <v>428</v>
      </c>
    </row>
    <row r="48" spans="1:8" s="12" customFormat="1" x14ac:dyDescent="0.2">
      <c r="A48" s="11"/>
      <c r="B48" s="37"/>
      <c r="F48" s="16" t="s">
        <v>108</v>
      </c>
      <c r="G48" s="42"/>
      <c r="H48" s="58" t="s">
        <v>388</v>
      </c>
    </row>
    <row r="49" spans="1:8" s="12" customFormat="1" x14ac:dyDescent="0.2">
      <c r="A49" s="11"/>
      <c r="B49" s="37"/>
      <c r="C49" s="12">
        <f>C47+E47</f>
        <v>292</v>
      </c>
      <c r="D49" s="12">
        <f t="shared" ref="D49:D50" si="10">C49+E49-1</f>
        <v>331</v>
      </c>
      <c r="E49" s="12">
        <v>40</v>
      </c>
      <c r="F49" s="24" t="s">
        <v>153</v>
      </c>
      <c r="G49" s="55"/>
      <c r="H49" s="54"/>
    </row>
    <row r="50" spans="1:8" s="12" customFormat="1" ht="38.25" x14ac:dyDescent="0.2">
      <c r="A50" s="11"/>
      <c r="B50" s="37" t="s">
        <v>432</v>
      </c>
      <c r="C50" s="12">
        <f t="shared" ref="C50" si="11">C49+E49</f>
        <v>332</v>
      </c>
      <c r="D50" s="12">
        <f t="shared" si="10"/>
        <v>332</v>
      </c>
      <c r="E50" s="12">
        <v>1</v>
      </c>
      <c r="F50" s="12" t="s">
        <v>177</v>
      </c>
      <c r="G50" s="58" t="s">
        <v>213</v>
      </c>
      <c r="H50" s="54" t="s">
        <v>333</v>
      </c>
    </row>
    <row r="51" spans="1:8" s="12" customFormat="1" x14ac:dyDescent="0.2">
      <c r="A51" s="11"/>
      <c r="B51" s="37"/>
      <c r="C51" s="12">
        <f>C50+E50</f>
        <v>333</v>
      </c>
      <c r="D51" s="12">
        <f>C51+E51-1</f>
        <v>401</v>
      </c>
      <c r="E51" s="12">
        <v>69</v>
      </c>
      <c r="F51" s="17" t="s">
        <v>153</v>
      </c>
      <c r="G51" s="55"/>
      <c r="H51" s="58"/>
    </row>
    <row r="52" spans="1:8" s="12" customFormat="1" ht="38.25" x14ac:dyDescent="0.2">
      <c r="A52" s="11"/>
      <c r="B52" s="37" t="s">
        <v>432</v>
      </c>
      <c r="C52" s="12">
        <f>C51+E51</f>
        <v>402</v>
      </c>
      <c r="D52" s="12">
        <f>C52+E52-1</f>
        <v>411</v>
      </c>
      <c r="E52" s="12">
        <v>10</v>
      </c>
      <c r="F52" s="12" t="s">
        <v>104</v>
      </c>
      <c r="G52" s="41" t="s">
        <v>312</v>
      </c>
      <c r="H52" s="58" t="s">
        <v>333</v>
      </c>
    </row>
    <row r="53" spans="1:8" s="19" customFormat="1" ht="25.5" x14ac:dyDescent="0.2">
      <c r="A53" s="18"/>
      <c r="B53" s="37"/>
      <c r="F53" s="16" t="s">
        <v>110</v>
      </c>
      <c r="G53" s="42"/>
      <c r="H53" s="58" t="s">
        <v>395</v>
      </c>
    </row>
    <row r="54" spans="1:8" s="19" customFormat="1" x14ac:dyDescent="0.2">
      <c r="A54" s="11"/>
      <c r="B54" s="37"/>
      <c r="C54" s="12">
        <f>C52+E52</f>
        <v>412</v>
      </c>
      <c r="D54" s="12">
        <f t="shared" ref="D54:D55" si="12">C54+E54-1</f>
        <v>460</v>
      </c>
      <c r="E54" s="12">
        <v>49</v>
      </c>
      <c r="F54" s="24" t="s">
        <v>153</v>
      </c>
      <c r="G54" s="55"/>
      <c r="H54" s="54"/>
    </row>
    <row r="55" spans="1:8" s="12" customFormat="1" ht="38.25" x14ac:dyDescent="0.2">
      <c r="A55" s="11"/>
      <c r="B55" s="37" t="s">
        <v>136</v>
      </c>
      <c r="C55" s="12">
        <f t="shared" ref="C55" si="13">C54+E54</f>
        <v>461</v>
      </c>
      <c r="D55" s="12">
        <f t="shared" si="12"/>
        <v>461</v>
      </c>
      <c r="E55" s="12">
        <v>1</v>
      </c>
      <c r="F55" s="12" t="s">
        <v>177</v>
      </c>
      <c r="G55" s="55" t="s">
        <v>217</v>
      </c>
      <c r="H55" s="54" t="s">
        <v>402</v>
      </c>
    </row>
    <row r="56" spans="1:8" s="19" customFormat="1" x14ac:dyDescent="0.2">
      <c r="A56" s="11"/>
      <c r="B56" s="37" t="s">
        <v>424</v>
      </c>
      <c r="C56" s="12">
        <f>C55+E55</f>
        <v>462</v>
      </c>
      <c r="D56" s="12">
        <f t="shared" ref="D56:D61" si="14">C56+E56-1</f>
        <v>520</v>
      </c>
      <c r="E56" s="12">
        <v>59</v>
      </c>
      <c r="F56" s="38" t="s">
        <v>153</v>
      </c>
      <c r="G56" s="53"/>
      <c r="H56" s="58"/>
    </row>
    <row r="57" spans="1:8" s="19" customFormat="1" ht="63.75" x14ac:dyDescent="0.2">
      <c r="A57" s="11"/>
      <c r="B57" s="37" t="s">
        <v>136</v>
      </c>
      <c r="C57" s="12">
        <f t="shared" ref="C57:C61" si="15">C56+E56</f>
        <v>521</v>
      </c>
      <c r="D57" s="12">
        <f t="shared" si="14"/>
        <v>521</v>
      </c>
      <c r="E57" s="12">
        <v>1</v>
      </c>
      <c r="F57" s="12" t="s">
        <v>107</v>
      </c>
      <c r="G57" s="55" t="s">
        <v>216</v>
      </c>
      <c r="H57" s="58" t="s">
        <v>402</v>
      </c>
    </row>
    <row r="58" spans="1:8" s="19" customFormat="1" ht="114.75" x14ac:dyDescent="0.2">
      <c r="A58" s="11"/>
      <c r="B58" s="37" t="s">
        <v>136</v>
      </c>
      <c r="C58" s="12">
        <f t="shared" si="15"/>
        <v>522</v>
      </c>
      <c r="D58" s="12">
        <f t="shared" si="14"/>
        <v>523</v>
      </c>
      <c r="E58" s="12">
        <v>2</v>
      </c>
      <c r="F58" s="12" t="s">
        <v>105</v>
      </c>
      <c r="G58" s="58" t="s">
        <v>218</v>
      </c>
      <c r="H58" s="58" t="s">
        <v>393</v>
      </c>
    </row>
    <row r="59" spans="1:8" s="19" customFormat="1" x14ac:dyDescent="0.2">
      <c r="A59" s="11"/>
      <c r="B59" s="37"/>
      <c r="C59" s="12">
        <f t="shared" si="15"/>
        <v>524</v>
      </c>
      <c r="D59" s="12">
        <f t="shared" si="14"/>
        <v>530</v>
      </c>
      <c r="E59" s="12">
        <v>7</v>
      </c>
      <c r="F59" s="12" t="s">
        <v>153</v>
      </c>
      <c r="G59" s="55"/>
      <c r="H59" s="58"/>
    </row>
    <row r="60" spans="1:8" s="19" customFormat="1" ht="38.25" x14ac:dyDescent="0.2">
      <c r="A60" s="11"/>
      <c r="B60" s="37" t="s">
        <v>424</v>
      </c>
      <c r="C60" s="12">
        <f t="shared" si="15"/>
        <v>531</v>
      </c>
      <c r="D60" s="12">
        <f t="shared" si="14"/>
        <v>540</v>
      </c>
      <c r="E60" s="12">
        <v>10</v>
      </c>
      <c r="F60" s="12" t="s">
        <v>104</v>
      </c>
      <c r="G60" s="41" t="s">
        <v>312</v>
      </c>
      <c r="H60" s="58" t="s">
        <v>396</v>
      </c>
    </row>
    <row r="61" spans="1:8" s="19" customFormat="1" x14ac:dyDescent="0.2">
      <c r="A61" s="11"/>
      <c r="B61" s="37"/>
      <c r="C61" s="12">
        <f t="shared" si="15"/>
        <v>541</v>
      </c>
      <c r="D61" s="12">
        <f t="shared" si="14"/>
        <v>550</v>
      </c>
      <c r="E61" s="12">
        <v>10</v>
      </c>
      <c r="F61" s="61" t="s">
        <v>153</v>
      </c>
      <c r="G61" s="55"/>
      <c r="H61" s="58"/>
    </row>
    <row r="62" spans="1:8" s="19" customFormat="1" x14ac:dyDescent="0.2">
      <c r="A62" s="11"/>
      <c r="B62" s="37"/>
      <c r="C62" s="12"/>
      <c r="D62" s="12"/>
      <c r="E62" s="12"/>
      <c r="F62" s="9" t="s">
        <v>55</v>
      </c>
      <c r="G62" s="55"/>
      <c r="H62" s="58"/>
    </row>
    <row r="63" spans="1:8" s="19" customFormat="1" ht="39" customHeight="1" x14ac:dyDescent="0.2">
      <c r="A63" s="37" t="s">
        <v>305</v>
      </c>
      <c r="B63" s="37" t="s">
        <v>136</v>
      </c>
      <c r="C63" s="12">
        <f>C61+E61</f>
        <v>551</v>
      </c>
      <c r="D63" s="12">
        <f>C63+E63-1</f>
        <v>554</v>
      </c>
      <c r="E63" s="12">
        <v>4</v>
      </c>
      <c r="F63" s="38" t="s">
        <v>303</v>
      </c>
      <c r="G63" s="55" t="s">
        <v>219</v>
      </c>
      <c r="H63" s="58" t="s">
        <v>434</v>
      </c>
    </row>
    <row r="64" spans="1:8" s="19" customFormat="1" ht="25.5" x14ac:dyDescent="0.2">
      <c r="A64" s="37" t="s">
        <v>305</v>
      </c>
      <c r="B64" s="37" t="s">
        <v>136</v>
      </c>
      <c r="C64" s="12">
        <f>C63+E63</f>
        <v>555</v>
      </c>
      <c r="D64" s="12">
        <f>C64+E64-1</f>
        <v>557</v>
      </c>
      <c r="E64" s="12">
        <v>3</v>
      </c>
      <c r="F64" s="38" t="s">
        <v>301</v>
      </c>
      <c r="G64" s="55" t="s">
        <v>220</v>
      </c>
      <c r="H64" s="58" t="s">
        <v>413</v>
      </c>
    </row>
    <row r="65" spans="1:8" s="19" customFormat="1" ht="51" x14ac:dyDescent="0.2">
      <c r="A65" s="37" t="s">
        <v>275</v>
      </c>
      <c r="B65" s="37" t="s">
        <v>136</v>
      </c>
      <c r="C65" s="12">
        <f>C64+E64</f>
        <v>558</v>
      </c>
      <c r="D65" s="12">
        <f>C65+E65-1</f>
        <v>560</v>
      </c>
      <c r="E65" s="12">
        <v>3</v>
      </c>
      <c r="F65" s="38" t="s">
        <v>302</v>
      </c>
      <c r="G65" s="55" t="s">
        <v>221</v>
      </c>
      <c r="H65" s="58" t="s">
        <v>413</v>
      </c>
    </row>
    <row r="66" spans="1:8" s="12" customFormat="1" x14ac:dyDescent="0.2">
      <c r="A66" s="11"/>
      <c r="B66" s="37"/>
      <c r="C66" s="12">
        <f>C65+E65</f>
        <v>561</v>
      </c>
      <c r="D66" s="12">
        <f t="shared" ref="D66" si="16">C66+E66-1</f>
        <v>1571</v>
      </c>
      <c r="E66" s="12">
        <v>1011</v>
      </c>
      <c r="F66" s="12" t="s">
        <v>153</v>
      </c>
      <c r="G66" s="53"/>
      <c r="H66" s="58"/>
    </row>
    <row r="67" spans="1:8" s="12" customFormat="1" ht="12.75" customHeight="1" x14ac:dyDescent="0.2">
      <c r="A67" s="11"/>
      <c r="B67" s="37"/>
      <c r="F67" s="9" t="s">
        <v>60</v>
      </c>
      <c r="G67" s="55"/>
      <c r="H67" s="58"/>
    </row>
    <row r="68" spans="1:8" s="12" customFormat="1" ht="89.25" x14ac:dyDescent="0.2">
      <c r="A68" s="37" t="s">
        <v>241</v>
      </c>
      <c r="B68" s="37" t="s">
        <v>424</v>
      </c>
      <c r="C68" s="12">
        <f>C66+E66</f>
        <v>1572</v>
      </c>
      <c r="D68" s="12">
        <f>C68+E68-1</f>
        <v>1576</v>
      </c>
      <c r="E68" s="12">
        <v>5</v>
      </c>
      <c r="F68" s="38" t="s">
        <v>294</v>
      </c>
      <c r="G68" s="55" t="s">
        <v>223</v>
      </c>
      <c r="H68" s="58" t="s">
        <v>320</v>
      </c>
    </row>
    <row r="69" spans="1:8" s="12" customFormat="1" ht="38.25" x14ac:dyDescent="0.2">
      <c r="A69" s="37" t="s">
        <v>305</v>
      </c>
      <c r="B69" s="37" t="s">
        <v>424</v>
      </c>
      <c r="C69" s="12">
        <f>C68+E68</f>
        <v>1577</v>
      </c>
      <c r="D69" s="12">
        <f>C69+E69-1</f>
        <v>1579</v>
      </c>
      <c r="E69" s="12">
        <v>3</v>
      </c>
      <c r="F69" s="38" t="s">
        <v>295</v>
      </c>
      <c r="G69" s="55" t="s">
        <v>220</v>
      </c>
      <c r="H69" s="58" t="s">
        <v>182</v>
      </c>
    </row>
    <row r="70" spans="1:8" s="12" customFormat="1" ht="102" x14ac:dyDescent="0.2">
      <c r="A70" s="37" t="s">
        <v>275</v>
      </c>
      <c r="B70" s="37" t="s">
        <v>424</v>
      </c>
      <c r="C70" s="12">
        <f>C69+E69</f>
        <v>1580</v>
      </c>
      <c r="D70" s="12">
        <f>C70+E70-1</f>
        <v>1582</v>
      </c>
      <c r="E70" s="12">
        <v>3</v>
      </c>
      <c r="F70" s="38" t="s">
        <v>296</v>
      </c>
      <c r="G70" s="58" t="s">
        <v>339</v>
      </c>
      <c r="H70" s="54" t="s">
        <v>331</v>
      </c>
    </row>
    <row r="71" spans="1:8" s="12" customFormat="1" ht="12.75" customHeight="1" x14ac:dyDescent="0.2">
      <c r="A71" s="11"/>
      <c r="B71" s="37"/>
      <c r="F71" s="9" t="s">
        <v>5</v>
      </c>
      <c r="G71" s="55"/>
      <c r="H71" s="58"/>
    </row>
    <row r="72" spans="1:8" s="12" customFormat="1" ht="12.75" customHeight="1" x14ac:dyDescent="0.2">
      <c r="A72" s="37" t="s">
        <v>241</v>
      </c>
      <c r="B72" s="37" t="s">
        <v>424</v>
      </c>
      <c r="C72" s="12">
        <f>C70+E70</f>
        <v>1583</v>
      </c>
      <c r="D72" s="12">
        <f t="shared" ref="D72:D79" si="17">C72+E72-1</f>
        <v>1586</v>
      </c>
      <c r="E72" s="12">
        <v>4</v>
      </c>
      <c r="F72" s="13" t="s">
        <v>8</v>
      </c>
      <c r="G72" s="64" t="s">
        <v>219</v>
      </c>
      <c r="H72" s="66" t="s">
        <v>183</v>
      </c>
    </row>
    <row r="73" spans="1:8" s="12" customFormat="1" ht="12.75" customHeight="1" x14ac:dyDescent="0.2">
      <c r="A73" s="37" t="s">
        <v>241</v>
      </c>
      <c r="B73" s="37" t="s">
        <v>424</v>
      </c>
      <c r="C73" s="12">
        <f t="shared" ref="C73:C79" si="18">C72+E72</f>
        <v>1587</v>
      </c>
      <c r="D73" s="12">
        <f t="shared" si="17"/>
        <v>1590</v>
      </c>
      <c r="E73" s="12">
        <v>4</v>
      </c>
      <c r="F73" s="13" t="s">
        <v>9</v>
      </c>
      <c r="G73" s="64"/>
      <c r="H73" s="66"/>
    </row>
    <row r="74" spans="1:8" s="12" customFormat="1" ht="12.75" customHeight="1" x14ac:dyDescent="0.2">
      <c r="A74" s="37" t="s">
        <v>241</v>
      </c>
      <c r="B74" s="37" t="s">
        <v>424</v>
      </c>
      <c r="C74" s="12">
        <f t="shared" si="18"/>
        <v>1591</v>
      </c>
      <c r="D74" s="12">
        <f t="shared" si="17"/>
        <v>1594</v>
      </c>
      <c r="E74" s="12">
        <v>4</v>
      </c>
      <c r="F74" s="13" t="s">
        <v>10</v>
      </c>
      <c r="G74" s="64"/>
      <c r="H74" s="66"/>
    </row>
    <row r="75" spans="1:8" s="12" customFormat="1" ht="12.75" customHeight="1" x14ac:dyDescent="0.2">
      <c r="A75" s="37" t="s">
        <v>241</v>
      </c>
      <c r="B75" s="37" t="s">
        <v>424</v>
      </c>
      <c r="C75" s="12">
        <f t="shared" si="18"/>
        <v>1595</v>
      </c>
      <c r="D75" s="12">
        <f t="shared" si="17"/>
        <v>1598</v>
      </c>
      <c r="E75" s="12">
        <v>4</v>
      </c>
      <c r="F75" s="13" t="s">
        <v>11</v>
      </c>
      <c r="G75" s="64"/>
      <c r="H75" s="66"/>
    </row>
    <row r="76" spans="1:8" s="12" customFormat="1" ht="12.75" customHeight="1" x14ac:dyDescent="0.2">
      <c r="A76" s="37" t="s">
        <v>241</v>
      </c>
      <c r="B76" s="37" t="s">
        <v>424</v>
      </c>
      <c r="C76" s="12">
        <f t="shared" si="18"/>
        <v>1599</v>
      </c>
      <c r="D76" s="12">
        <f t="shared" si="17"/>
        <v>1602</v>
      </c>
      <c r="E76" s="12">
        <v>4</v>
      </c>
      <c r="F76" s="13" t="s">
        <v>12</v>
      </c>
      <c r="G76" s="64"/>
      <c r="H76" s="66"/>
    </row>
    <row r="77" spans="1:8" s="12" customFormat="1" ht="12.75" customHeight="1" x14ac:dyDescent="0.2">
      <c r="A77" s="37" t="s">
        <v>241</v>
      </c>
      <c r="B77" s="37" t="s">
        <v>424</v>
      </c>
      <c r="C77" s="12">
        <f t="shared" si="18"/>
        <v>1603</v>
      </c>
      <c r="D77" s="12">
        <f t="shared" si="17"/>
        <v>1606</v>
      </c>
      <c r="E77" s="12">
        <v>4</v>
      </c>
      <c r="F77" s="13" t="s">
        <v>13</v>
      </c>
      <c r="G77" s="64"/>
      <c r="H77" s="66"/>
    </row>
    <row r="78" spans="1:8" s="12" customFormat="1" ht="12.75" customHeight="1" x14ac:dyDescent="0.2">
      <c r="A78" s="37" t="s">
        <v>241</v>
      </c>
      <c r="B78" s="37" t="s">
        <v>424</v>
      </c>
      <c r="C78" s="12">
        <f t="shared" si="18"/>
        <v>1607</v>
      </c>
      <c r="D78" s="12">
        <f t="shared" si="17"/>
        <v>1610</v>
      </c>
      <c r="E78" s="12">
        <v>4</v>
      </c>
      <c r="F78" s="13" t="s">
        <v>14</v>
      </c>
      <c r="G78" s="64"/>
      <c r="H78" s="66"/>
    </row>
    <row r="79" spans="1:8" s="12" customFormat="1" ht="12.75" customHeight="1" x14ac:dyDescent="0.2">
      <c r="A79" s="11"/>
      <c r="B79" s="37"/>
      <c r="C79" s="12">
        <f t="shared" si="18"/>
        <v>1611</v>
      </c>
      <c r="D79" s="12">
        <f t="shared" si="17"/>
        <v>1614</v>
      </c>
      <c r="E79" s="12">
        <v>4</v>
      </c>
      <c r="F79" s="17" t="s">
        <v>153</v>
      </c>
      <c r="G79" s="55"/>
      <c r="H79" s="54"/>
    </row>
    <row r="80" spans="1:8" s="12" customFormat="1" ht="12.75" customHeight="1" x14ac:dyDescent="0.2">
      <c r="A80" s="11"/>
      <c r="B80" s="37"/>
      <c r="F80" s="9" t="s">
        <v>6</v>
      </c>
      <c r="G80" s="55"/>
      <c r="H80" s="58"/>
    </row>
    <row r="81" spans="1:8" s="12" customFormat="1" ht="12.75" customHeight="1" x14ac:dyDescent="0.2">
      <c r="A81" s="37" t="s">
        <v>241</v>
      </c>
      <c r="B81" s="37" t="s">
        <v>424</v>
      </c>
      <c r="C81" s="12">
        <f>C79+E79</f>
        <v>1615</v>
      </c>
      <c r="D81" s="12">
        <f>C81+E81-1</f>
        <v>1618</v>
      </c>
      <c r="E81" s="12">
        <v>4</v>
      </c>
      <c r="F81" s="13" t="s">
        <v>15</v>
      </c>
      <c r="G81" s="64" t="s">
        <v>219</v>
      </c>
      <c r="H81" s="66" t="s">
        <v>184</v>
      </c>
    </row>
    <row r="82" spans="1:8" s="12" customFormat="1" ht="12.75" customHeight="1" x14ac:dyDescent="0.2">
      <c r="A82" s="37" t="s">
        <v>241</v>
      </c>
      <c r="B82" s="37" t="s">
        <v>424</v>
      </c>
      <c r="C82" s="12">
        <f>C81+E81</f>
        <v>1619</v>
      </c>
      <c r="D82" s="12">
        <f>C82+E82-1</f>
        <v>1622</v>
      </c>
      <c r="E82" s="12">
        <v>4</v>
      </c>
      <c r="F82" s="13" t="s">
        <v>16</v>
      </c>
      <c r="G82" s="64"/>
      <c r="H82" s="66"/>
    </row>
    <row r="83" spans="1:8" s="12" customFormat="1" ht="12.75" customHeight="1" x14ac:dyDescent="0.2">
      <c r="A83" s="37" t="s">
        <v>241</v>
      </c>
      <c r="B83" s="37" t="s">
        <v>424</v>
      </c>
      <c r="C83" s="12">
        <f>C82+E82</f>
        <v>1623</v>
      </c>
      <c r="D83" s="12">
        <f>C83+E83-1</f>
        <v>1626</v>
      </c>
      <c r="E83" s="12">
        <v>4</v>
      </c>
      <c r="F83" s="13" t="s">
        <v>7</v>
      </c>
      <c r="G83" s="64"/>
      <c r="H83" s="66"/>
    </row>
    <row r="84" spans="1:8" s="12" customFormat="1" ht="12.75" customHeight="1" x14ac:dyDescent="0.2">
      <c r="A84" s="37" t="s">
        <v>241</v>
      </c>
      <c r="B84" s="37" t="s">
        <v>424</v>
      </c>
      <c r="C84" s="12">
        <f>C83+E83</f>
        <v>1627</v>
      </c>
      <c r="D84" s="12">
        <f>C84+E84-1</f>
        <v>1630</v>
      </c>
      <c r="E84" s="12">
        <v>4</v>
      </c>
      <c r="F84" s="13" t="s">
        <v>17</v>
      </c>
      <c r="G84" s="64"/>
      <c r="H84" s="66"/>
    </row>
    <row r="85" spans="1:8" s="12" customFormat="1" ht="12.75" customHeight="1" x14ac:dyDescent="0.2">
      <c r="A85" s="11"/>
      <c r="B85" s="37"/>
      <c r="C85" s="12">
        <f>C84+E84</f>
        <v>1631</v>
      </c>
      <c r="D85" s="12">
        <f>C85+E85-1</f>
        <v>1638</v>
      </c>
      <c r="E85" s="12">
        <v>8</v>
      </c>
      <c r="F85" s="17" t="s">
        <v>153</v>
      </c>
      <c r="G85" s="55"/>
      <c r="H85" s="54"/>
    </row>
    <row r="86" spans="1:8" s="12" customFormat="1" x14ac:dyDescent="0.2">
      <c r="A86" s="11"/>
      <c r="B86" s="37"/>
      <c r="F86" s="9" t="s">
        <v>18</v>
      </c>
      <c r="G86" s="55"/>
      <c r="H86" s="58"/>
    </row>
    <row r="87" spans="1:8" s="12" customFormat="1" ht="12.75" customHeight="1" x14ac:dyDescent="0.2">
      <c r="A87" s="37" t="s">
        <v>241</v>
      </c>
      <c r="B87" s="37" t="s">
        <v>424</v>
      </c>
      <c r="C87" s="12">
        <f>C85+E85</f>
        <v>1639</v>
      </c>
      <c r="D87" s="12">
        <f t="shared" ref="D87:D93" si="19">C87+E87-1</f>
        <v>1642</v>
      </c>
      <c r="E87" s="12">
        <v>4</v>
      </c>
      <c r="F87" s="13" t="s">
        <v>19</v>
      </c>
      <c r="G87" s="64" t="s">
        <v>224</v>
      </c>
      <c r="H87" s="66" t="s">
        <v>186</v>
      </c>
    </row>
    <row r="88" spans="1:8" s="12" customFormat="1" ht="12.75" customHeight="1" x14ac:dyDescent="0.2">
      <c r="A88" s="37" t="s">
        <v>241</v>
      </c>
      <c r="B88" s="37" t="s">
        <v>424</v>
      </c>
      <c r="C88" s="12">
        <f t="shared" ref="C88:C95" si="20">C87+E87</f>
        <v>1643</v>
      </c>
      <c r="D88" s="12">
        <f t="shared" si="19"/>
        <v>1646</v>
      </c>
      <c r="E88" s="12">
        <v>4</v>
      </c>
      <c r="F88" s="13" t="s">
        <v>20</v>
      </c>
      <c r="G88" s="64"/>
      <c r="H88" s="66"/>
    </row>
    <row r="89" spans="1:8" s="12" customFormat="1" ht="12.75" customHeight="1" x14ac:dyDescent="0.2">
      <c r="A89" s="37" t="s">
        <v>241</v>
      </c>
      <c r="B89" s="37" t="s">
        <v>424</v>
      </c>
      <c r="C89" s="12">
        <f t="shared" si="20"/>
        <v>1647</v>
      </c>
      <c r="D89" s="12">
        <f t="shared" si="19"/>
        <v>1650</v>
      </c>
      <c r="E89" s="12">
        <v>4</v>
      </c>
      <c r="F89" s="13" t="s">
        <v>21</v>
      </c>
      <c r="G89" s="64" t="s">
        <v>225</v>
      </c>
      <c r="H89" s="66"/>
    </row>
    <row r="90" spans="1:8" s="12" customFormat="1" ht="12.75" customHeight="1" x14ac:dyDescent="0.2">
      <c r="A90" s="37" t="s">
        <v>241</v>
      </c>
      <c r="B90" s="37" t="s">
        <v>424</v>
      </c>
      <c r="C90" s="12">
        <f t="shared" si="20"/>
        <v>1651</v>
      </c>
      <c r="D90" s="12">
        <f t="shared" si="19"/>
        <v>1654</v>
      </c>
      <c r="E90" s="12">
        <v>4</v>
      </c>
      <c r="F90" s="13" t="s">
        <v>22</v>
      </c>
      <c r="G90" s="64"/>
      <c r="H90" s="66"/>
    </row>
    <row r="91" spans="1:8" s="12" customFormat="1" ht="12.75" customHeight="1" x14ac:dyDescent="0.2">
      <c r="A91" s="37" t="s">
        <v>241</v>
      </c>
      <c r="B91" s="37" t="s">
        <v>424</v>
      </c>
      <c r="C91" s="12">
        <f t="shared" si="20"/>
        <v>1655</v>
      </c>
      <c r="D91" s="12">
        <f t="shared" si="19"/>
        <v>1658</v>
      </c>
      <c r="E91" s="12">
        <v>4</v>
      </c>
      <c r="F91" s="13" t="s">
        <v>23</v>
      </c>
      <c r="G91" s="64"/>
      <c r="H91" s="66"/>
    </row>
    <row r="92" spans="1:8" s="12" customFormat="1" ht="12.75" customHeight="1" x14ac:dyDescent="0.2">
      <c r="A92" s="37" t="s">
        <v>241</v>
      </c>
      <c r="B92" s="37" t="s">
        <v>424</v>
      </c>
      <c r="C92" s="12">
        <f t="shared" si="20"/>
        <v>1659</v>
      </c>
      <c r="D92" s="12">
        <f t="shared" si="19"/>
        <v>1662</v>
      </c>
      <c r="E92" s="12">
        <v>4</v>
      </c>
      <c r="F92" s="12" t="s">
        <v>24</v>
      </c>
      <c r="G92" s="64"/>
      <c r="H92" s="66"/>
    </row>
    <row r="93" spans="1:8" s="12" customFormat="1" ht="12.75" customHeight="1" x14ac:dyDescent="0.2">
      <c r="A93" s="11"/>
      <c r="B93" s="37"/>
      <c r="C93" s="12">
        <f t="shared" si="20"/>
        <v>1663</v>
      </c>
      <c r="D93" s="12">
        <f t="shared" si="19"/>
        <v>1670</v>
      </c>
      <c r="E93" s="12">
        <v>8</v>
      </c>
      <c r="F93" s="17" t="s">
        <v>153</v>
      </c>
      <c r="G93" s="55"/>
      <c r="H93" s="54"/>
    </row>
    <row r="94" spans="1:8" s="12" customFormat="1" ht="66.75" customHeight="1" x14ac:dyDescent="0.2">
      <c r="A94" s="37" t="s">
        <v>241</v>
      </c>
      <c r="B94" s="37" t="s">
        <v>424</v>
      </c>
      <c r="C94" s="12">
        <f>C93+E93</f>
        <v>1671</v>
      </c>
      <c r="D94" s="12">
        <f>C94+E94-1</f>
        <v>1675</v>
      </c>
      <c r="E94" s="12">
        <v>5</v>
      </c>
      <c r="F94" s="12" t="s">
        <v>25</v>
      </c>
      <c r="G94" s="55" t="s">
        <v>226</v>
      </c>
      <c r="H94" s="54" t="s">
        <v>185</v>
      </c>
    </row>
    <row r="95" spans="1:8" s="12" customFormat="1" ht="102" x14ac:dyDescent="0.2">
      <c r="A95" s="37" t="s">
        <v>241</v>
      </c>
      <c r="B95" s="37" t="s">
        <v>424</v>
      </c>
      <c r="C95" s="12">
        <f t="shared" si="20"/>
        <v>1676</v>
      </c>
      <c r="D95" s="12">
        <f>C95+E95-1</f>
        <v>1676</v>
      </c>
      <c r="E95" s="12">
        <v>1</v>
      </c>
      <c r="F95" s="38" t="s">
        <v>398</v>
      </c>
      <c r="G95" s="58" t="s">
        <v>403</v>
      </c>
      <c r="H95" s="54" t="s">
        <v>435</v>
      </c>
    </row>
    <row r="96" spans="1:8" s="12" customFormat="1" x14ac:dyDescent="0.2">
      <c r="A96" s="11"/>
      <c r="B96" s="37"/>
      <c r="F96" s="9" t="s">
        <v>26</v>
      </c>
      <c r="G96" s="55"/>
      <c r="H96" s="58"/>
    </row>
    <row r="97" spans="1:8" s="12" customFormat="1" ht="51" x14ac:dyDescent="0.2">
      <c r="A97" s="37" t="s">
        <v>240</v>
      </c>
      <c r="B97" s="37" t="s">
        <v>424</v>
      </c>
      <c r="C97" s="12">
        <f>C95+E95</f>
        <v>1677</v>
      </c>
      <c r="D97" s="12">
        <f t="shared" ref="D97:D101" si="21">C97+E97-1</f>
        <v>1679</v>
      </c>
      <c r="E97" s="12">
        <v>3</v>
      </c>
      <c r="F97" s="12" t="s">
        <v>27</v>
      </c>
      <c r="G97" s="53" t="s">
        <v>227</v>
      </c>
      <c r="H97" s="58" t="s">
        <v>321</v>
      </c>
    </row>
    <row r="98" spans="1:8" s="12" customFormat="1" ht="63.75" x14ac:dyDescent="0.2">
      <c r="A98" s="37" t="s">
        <v>241</v>
      </c>
      <c r="B98" s="37" t="s">
        <v>424</v>
      </c>
      <c r="C98" s="12">
        <f t="shared" ref="C98:C101" si="22">C97+E97</f>
        <v>1680</v>
      </c>
      <c r="D98" s="12">
        <f t="shared" si="21"/>
        <v>1683</v>
      </c>
      <c r="E98" s="12">
        <v>4</v>
      </c>
      <c r="F98" s="12" t="s">
        <v>28</v>
      </c>
      <c r="G98" s="53" t="s">
        <v>219</v>
      </c>
      <c r="H98" s="54" t="s">
        <v>322</v>
      </c>
    </row>
    <row r="99" spans="1:8" s="12" customFormat="1" x14ac:dyDescent="0.2">
      <c r="A99" s="11"/>
      <c r="B99" s="37"/>
      <c r="C99" s="12">
        <f t="shared" si="22"/>
        <v>1684</v>
      </c>
      <c r="D99" s="12">
        <f t="shared" si="21"/>
        <v>1690</v>
      </c>
      <c r="E99" s="12">
        <v>7</v>
      </c>
      <c r="F99" s="17" t="s">
        <v>153</v>
      </c>
      <c r="G99" s="55"/>
      <c r="H99" s="54"/>
    </row>
    <row r="100" spans="1:8" s="12" customFormat="1" ht="76.5" x14ac:dyDescent="0.2">
      <c r="A100" s="11"/>
      <c r="B100" s="37" t="s">
        <v>432</v>
      </c>
      <c r="C100" s="12">
        <f>C99+E99</f>
        <v>1691</v>
      </c>
      <c r="D100" s="12">
        <f t="shared" si="21"/>
        <v>1691</v>
      </c>
      <c r="E100" s="12">
        <v>1</v>
      </c>
      <c r="F100" s="38" t="s">
        <v>29</v>
      </c>
      <c r="G100" s="58" t="s">
        <v>264</v>
      </c>
      <c r="H100" s="54" t="s">
        <v>436</v>
      </c>
    </row>
    <row r="101" spans="1:8" s="12" customFormat="1" x14ac:dyDescent="0.2">
      <c r="A101" s="37"/>
      <c r="B101" s="37"/>
      <c r="C101" s="12">
        <f t="shared" si="22"/>
        <v>1692</v>
      </c>
      <c r="D101" s="12">
        <f t="shared" si="21"/>
        <v>1692</v>
      </c>
      <c r="E101" s="12">
        <v>1</v>
      </c>
      <c r="F101" s="38" t="s">
        <v>153</v>
      </c>
      <c r="G101" s="44"/>
      <c r="H101" s="54"/>
    </row>
    <row r="102" spans="1:8" s="12" customFormat="1" x14ac:dyDescent="0.2">
      <c r="A102" s="11"/>
      <c r="B102" s="37"/>
      <c r="F102" s="9" t="s">
        <v>61</v>
      </c>
      <c r="G102" s="55"/>
      <c r="H102" s="58"/>
    </row>
    <row r="103" spans="1:8" s="12" customFormat="1" ht="129.75" customHeight="1" x14ac:dyDescent="0.2">
      <c r="A103" s="37" t="s">
        <v>241</v>
      </c>
      <c r="B103" s="37" t="s">
        <v>424</v>
      </c>
      <c r="C103" s="12">
        <f>C101+E101</f>
        <v>1693</v>
      </c>
      <c r="D103" s="12">
        <f>C103+E103-1</f>
        <v>1697</v>
      </c>
      <c r="E103" s="12">
        <v>5</v>
      </c>
      <c r="F103" s="38" t="s">
        <v>313</v>
      </c>
      <c r="G103" s="55" t="s">
        <v>223</v>
      </c>
      <c r="H103" s="58" t="s">
        <v>437</v>
      </c>
    </row>
    <row r="104" spans="1:8" s="12" customFormat="1" ht="38.25" x14ac:dyDescent="0.2">
      <c r="A104" s="37" t="s">
        <v>305</v>
      </c>
      <c r="B104" s="37" t="s">
        <v>424</v>
      </c>
      <c r="C104" s="12">
        <f>C103+E103</f>
        <v>1698</v>
      </c>
      <c r="D104" s="12">
        <f>C104+E104-1</f>
        <v>1700</v>
      </c>
      <c r="E104" s="12">
        <v>3</v>
      </c>
      <c r="F104" s="38" t="s">
        <v>297</v>
      </c>
      <c r="G104" s="55" t="s">
        <v>220</v>
      </c>
      <c r="H104" s="58" t="s">
        <v>187</v>
      </c>
    </row>
    <row r="105" spans="1:8" s="12" customFormat="1" ht="102" x14ac:dyDescent="0.2">
      <c r="A105" s="37" t="s">
        <v>275</v>
      </c>
      <c r="B105" s="37" t="s">
        <v>424</v>
      </c>
      <c r="C105" s="12">
        <f>C104+E104</f>
        <v>1701</v>
      </c>
      <c r="D105" s="12">
        <f>C105+E105-1</f>
        <v>1703</v>
      </c>
      <c r="E105" s="12">
        <v>3</v>
      </c>
      <c r="F105" s="38" t="s">
        <v>298</v>
      </c>
      <c r="G105" s="58" t="s">
        <v>339</v>
      </c>
      <c r="H105" s="54" t="s">
        <v>323</v>
      </c>
    </row>
    <row r="106" spans="1:8" s="12" customFormat="1" ht="12.75" customHeight="1" x14ac:dyDescent="0.2">
      <c r="A106" s="11"/>
      <c r="B106" s="37"/>
      <c r="F106" s="9" t="s">
        <v>416</v>
      </c>
      <c r="G106" s="55"/>
      <c r="H106" s="58"/>
    </row>
    <row r="107" spans="1:8" s="12" customFormat="1" x14ac:dyDescent="0.2">
      <c r="A107" s="37" t="s">
        <v>241</v>
      </c>
      <c r="B107" s="37" t="s">
        <v>424</v>
      </c>
      <c r="C107" s="12">
        <f>C105+E105</f>
        <v>1704</v>
      </c>
      <c r="D107" s="12">
        <f t="shared" ref="D107:D114" si="23">C107+E107-1</f>
        <v>1707</v>
      </c>
      <c r="E107" s="12">
        <v>4</v>
      </c>
      <c r="F107" s="61" t="s">
        <v>418</v>
      </c>
      <c r="G107" s="64" t="s">
        <v>219</v>
      </c>
      <c r="H107" s="66" t="s">
        <v>438</v>
      </c>
    </row>
    <row r="108" spans="1:8" s="12" customFormat="1" ht="25.5" x14ac:dyDescent="0.2">
      <c r="A108" s="37" t="s">
        <v>241</v>
      </c>
      <c r="B108" s="37" t="s">
        <v>424</v>
      </c>
      <c r="C108" s="12">
        <f t="shared" ref="C108:C114" si="24">C107+E107</f>
        <v>1708</v>
      </c>
      <c r="D108" s="12">
        <f t="shared" si="23"/>
        <v>1711</v>
      </c>
      <c r="E108" s="12">
        <v>4</v>
      </c>
      <c r="F108" s="61" t="s">
        <v>419</v>
      </c>
      <c r="G108" s="64"/>
      <c r="H108" s="66"/>
    </row>
    <row r="109" spans="1:8" s="12" customFormat="1" x14ac:dyDescent="0.2">
      <c r="A109" s="37" t="s">
        <v>241</v>
      </c>
      <c r="B109" s="37" t="s">
        <v>424</v>
      </c>
      <c r="C109" s="12">
        <f t="shared" si="24"/>
        <v>1712</v>
      </c>
      <c r="D109" s="12">
        <f t="shared" si="23"/>
        <v>1715</v>
      </c>
      <c r="E109" s="12">
        <v>4</v>
      </c>
      <c r="F109" s="61" t="s">
        <v>421</v>
      </c>
      <c r="G109" s="64"/>
      <c r="H109" s="66"/>
    </row>
    <row r="110" spans="1:8" s="12" customFormat="1" x14ac:dyDescent="0.2">
      <c r="A110" s="37" t="s">
        <v>241</v>
      </c>
      <c r="B110" s="37" t="s">
        <v>424</v>
      </c>
      <c r="C110" s="12">
        <f t="shared" si="24"/>
        <v>1716</v>
      </c>
      <c r="D110" s="12">
        <f t="shared" si="23"/>
        <v>1719</v>
      </c>
      <c r="E110" s="12">
        <v>4</v>
      </c>
      <c r="F110" s="52" t="s">
        <v>422</v>
      </c>
      <c r="G110" s="64"/>
      <c r="H110" s="66"/>
    </row>
    <row r="111" spans="1:8" s="12" customFormat="1" ht="25.5" x14ac:dyDescent="0.2">
      <c r="A111" s="37" t="s">
        <v>241</v>
      </c>
      <c r="B111" s="37" t="s">
        <v>424</v>
      </c>
      <c r="C111" s="12">
        <f t="shared" si="24"/>
        <v>1720</v>
      </c>
      <c r="D111" s="12">
        <f t="shared" si="23"/>
        <v>1723</v>
      </c>
      <c r="E111" s="12">
        <v>4</v>
      </c>
      <c r="F111" s="61" t="s">
        <v>423</v>
      </c>
      <c r="G111" s="64"/>
      <c r="H111" s="66"/>
    </row>
    <row r="112" spans="1:8" s="12" customFormat="1" x14ac:dyDescent="0.2">
      <c r="A112" s="37" t="s">
        <v>241</v>
      </c>
      <c r="B112" s="37" t="s">
        <v>424</v>
      </c>
      <c r="C112" s="12">
        <f t="shared" si="24"/>
        <v>1724</v>
      </c>
      <c r="D112" s="12">
        <f t="shared" si="23"/>
        <v>1727</v>
      </c>
      <c r="E112" s="12">
        <v>4</v>
      </c>
      <c r="F112" s="61" t="s">
        <v>399</v>
      </c>
      <c r="G112" s="64"/>
      <c r="H112" s="66"/>
    </row>
    <row r="113" spans="1:8" s="12" customFormat="1" x14ac:dyDescent="0.2">
      <c r="A113" s="37" t="s">
        <v>241</v>
      </c>
      <c r="B113" s="37" t="s">
        <v>138</v>
      </c>
      <c r="C113" s="38">
        <f t="shared" si="24"/>
        <v>1728</v>
      </c>
      <c r="D113" s="38">
        <f>C113+E113-1</f>
        <v>1731</v>
      </c>
      <c r="E113" s="38">
        <v>4</v>
      </c>
      <c r="F113" s="61" t="s">
        <v>420</v>
      </c>
      <c r="G113" s="65"/>
      <c r="H113" s="67"/>
    </row>
    <row r="114" spans="1:8" s="12" customFormat="1" ht="12.75" customHeight="1" x14ac:dyDescent="0.2">
      <c r="A114" s="11"/>
      <c r="B114" s="37"/>
      <c r="C114" s="38">
        <f t="shared" si="24"/>
        <v>1732</v>
      </c>
      <c r="D114" s="12">
        <f t="shared" si="23"/>
        <v>1735</v>
      </c>
      <c r="E114" s="12">
        <v>4</v>
      </c>
      <c r="F114" s="17" t="s">
        <v>153</v>
      </c>
      <c r="G114" s="55"/>
      <c r="H114" s="54"/>
    </row>
    <row r="115" spans="1:8" s="12" customFormat="1" ht="12.75" customHeight="1" x14ac:dyDescent="0.2">
      <c r="A115" s="11"/>
      <c r="B115" s="37"/>
      <c r="F115" s="9" t="s">
        <v>6</v>
      </c>
      <c r="G115" s="55"/>
      <c r="H115" s="58"/>
    </row>
    <row r="116" spans="1:8" s="12" customFormat="1" ht="26.25" customHeight="1" x14ac:dyDescent="0.2">
      <c r="A116" s="37" t="s">
        <v>240</v>
      </c>
      <c r="B116" s="37" t="s">
        <v>424</v>
      </c>
      <c r="C116" s="12">
        <f>C114+E114</f>
        <v>1736</v>
      </c>
      <c r="D116" s="12">
        <f t="shared" ref="D116:D120" si="25">C116+E116-1</f>
        <v>1739</v>
      </c>
      <c r="E116" s="12">
        <v>4</v>
      </c>
      <c r="F116" s="13" t="s">
        <v>30</v>
      </c>
      <c r="G116" s="64" t="s">
        <v>219</v>
      </c>
      <c r="H116" s="66" t="s">
        <v>191</v>
      </c>
    </row>
    <row r="117" spans="1:8" s="12" customFormat="1" ht="25.5" customHeight="1" x14ac:dyDescent="0.2">
      <c r="A117" s="37" t="s">
        <v>241</v>
      </c>
      <c r="B117" s="37" t="s">
        <v>424</v>
      </c>
      <c r="C117" s="12">
        <f t="shared" ref="C117:C120" si="26">C116+E116</f>
        <v>1740</v>
      </c>
      <c r="D117" s="12">
        <f t="shared" si="25"/>
        <v>1743</v>
      </c>
      <c r="E117" s="12">
        <v>4</v>
      </c>
      <c r="F117" s="22" t="s">
        <v>31</v>
      </c>
      <c r="G117" s="70"/>
      <c r="H117" s="66"/>
    </row>
    <row r="118" spans="1:8" s="12" customFormat="1" ht="12.75" customHeight="1" x14ac:dyDescent="0.2">
      <c r="A118" s="11"/>
      <c r="B118" s="37"/>
      <c r="C118" s="12">
        <f t="shared" si="26"/>
        <v>1744</v>
      </c>
      <c r="D118" s="12">
        <f t="shared" si="25"/>
        <v>1811</v>
      </c>
      <c r="E118" s="12">
        <v>68</v>
      </c>
      <c r="F118" s="17" t="s">
        <v>153</v>
      </c>
      <c r="G118" s="55"/>
      <c r="H118" s="54"/>
    </row>
    <row r="119" spans="1:8" s="12" customFormat="1" ht="76.5" x14ac:dyDescent="0.2">
      <c r="A119" s="11"/>
      <c r="B119" s="37" t="s">
        <v>432</v>
      </c>
      <c r="C119" s="12">
        <f>C118+E118</f>
        <v>1812</v>
      </c>
      <c r="D119" s="12">
        <f t="shared" si="25"/>
        <v>1812</v>
      </c>
      <c r="E119" s="12">
        <v>1</v>
      </c>
      <c r="F119" s="38" t="s">
        <v>32</v>
      </c>
      <c r="G119" s="58" t="s">
        <v>264</v>
      </c>
      <c r="H119" s="54" t="s">
        <v>439</v>
      </c>
    </row>
    <row r="120" spans="1:8" s="12" customFormat="1" x14ac:dyDescent="0.2">
      <c r="A120" s="37"/>
      <c r="B120" s="37"/>
      <c r="C120" s="12">
        <f t="shared" si="26"/>
        <v>1813</v>
      </c>
      <c r="D120" s="12">
        <f t="shared" si="25"/>
        <v>1813</v>
      </c>
      <c r="E120" s="12">
        <v>1</v>
      </c>
      <c r="F120" s="38" t="s">
        <v>153</v>
      </c>
      <c r="G120" s="44"/>
      <c r="H120" s="54"/>
    </row>
    <row r="121" spans="1:8" s="12" customFormat="1" ht="12.75" customHeight="1" x14ac:dyDescent="0.2">
      <c r="A121" s="11"/>
      <c r="B121" s="37"/>
      <c r="F121" s="9" t="s">
        <v>62</v>
      </c>
      <c r="G121" s="55"/>
      <c r="H121" s="58"/>
    </row>
    <row r="122" spans="1:8" s="12" customFormat="1" ht="129.75" customHeight="1" x14ac:dyDescent="0.2">
      <c r="A122" s="37" t="s">
        <v>241</v>
      </c>
      <c r="B122" s="37" t="s">
        <v>424</v>
      </c>
      <c r="C122" s="12">
        <f>C120+E120</f>
        <v>1814</v>
      </c>
      <c r="D122" s="12">
        <f>C122+E122-1</f>
        <v>1818</v>
      </c>
      <c r="E122" s="12">
        <v>5</v>
      </c>
      <c r="F122" s="38" t="s">
        <v>314</v>
      </c>
      <c r="G122" s="55" t="s">
        <v>223</v>
      </c>
      <c r="H122" s="58" t="s">
        <v>440</v>
      </c>
    </row>
    <row r="123" spans="1:8" s="12" customFormat="1" ht="38.25" x14ac:dyDescent="0.2">
      <c r="A123" s="37" t="s">
        <v>305</v>
      </c>
      <c r="B123" s="37" t="s">
        <v>424</v>
      </c>
      <c r="C123" s="12">
        <f>C122+E122</f>
        <v>1819</v>
      </c>
      <c r="D123" s="12">
        <f>C123+E123-1</f>
        <v>1821</v>
      </c>
      <c r="E123" s="12">
        <v>3</v>
      </c>
      <c r="F123" s="38" t="s">
        <v>299</v>
      </c>
      <c r="G123" s="55" t="s">
        <v>220</v>
      </c>
      <c r="H123" s="58" t="s">
        <v>188</v>
      </c>
    </row>
    <row r="124" spans="1:8" s="12" customFormat="1" ht="102" x14ac:dyDescent="0.2">
      <c r="A124" s="37" t="s">
        <v>275</v>
      </c>
      <c r="B124" s="37" t="s">
        <v>424</v>
      </c>
      <c r="C124" s="12">
        <f>C123+E123</f>
        <v>1822</v>
      </c>
      <c r="D124" s="12">
        <f>C124+E124-1</f>
        <v>1824</v>
      </c>
      <c r="E124" s="12">
        <v>3</v>
      </c>
      <c r="F124" s="38" t="s">
        <v>300</v>
      </c>
      <c r="G124" s="58" t="s">
        <v>339</v>
      </c>
      <c r="H124" s="54" t="s">
        <v>324</v>
      </c>
    </row>
    <row r="125" spans="1:8" s="12" customFormat="1" ht="12.75" customHeight="1" x14ac:dyDescent="0.2">
      <c r="A125" s="11"/>
      <c r="B125" s="37"/>
      <c r="F125" s="9" t="s">
        <v>5</v>
      </c>
      <c r="G125" s="55"/>
      <c r="H125" s="58"/>
    </row>
    <row r="126" spans="1:8" s="12" customFormat="1" ht="12.75" customHeight="1" x14ac:dyDescent="0.2">
      <c r="A126" s="37" t="s">
        <v>241</v>
      </c>
      <c r="B126" s="37" t="s">
        <v>424</v>
      </c>
      <c r="C126" s="12">
        <f>C124+E124</f>
        <v>1825</v>
      </c>
      <c r="D126" s="12">
        <f t="shared" ref="D126:D131" si="27">C126+E126-1</f>
        <v>1828</v>
      </c>
      <c r="E126" s="12">
        <v>4</v>
      </c>
      <c r="F126" s="13" t="s">
        <v>33</v>
      </c>
      <c r="G126" s="64" t="s">
        <v>219</v>
      </c>
      <c r="H126" s="66" t="s">
        <v>189</v>
      </c>
    </row>
    <row r="127" spans="1:8" s="12" customFormat="1" ht="12.75" customHeight="1" x14ac:dyDescent="0.2">
      <c r="A127" s="37" t="s">
        <v>241</v>
      </c>
      <c r="B127" s="37" t="s">
        <v>424</v>
      </c>
      <c r="C127" s="12">
        <f>C126+E126</f>
        <v>1829</v>
      </c>
      <c r="D127" s="12">
        <f t="shared" si="27"/>
        <v>1832</v>
      </c>
      <c r="E127" s="12">
        <v>4</v>
      </c>
      <c r="F127" s="13" t="s">
        <v>34</v>
      </c>
      <c r="G127" s="64"/>
      <c r="H127" s="66"/>
    </row>
    <row r="128" spans="1:8" s="12" customFormat="1" ht="12.75" customHeight="1" x14ac:dyDescent="0.2">
      <c r="A128" s="37" t="s">
        <v>241</v>
      </c>
      <c r="B128" s="37" t="s">
        <v>424</v>
      </c>
      <c r="C128" s="12">
        <f>C127+E127</f>
        <v>1833</v>
      </c>
      <c r="D128" s="12">
        <f t="shared" si="27"/>
        <v>1836</v>
      </c>
      <c r="E128" s="12">
        <v>4</v>
      </c>
      <c r="F128" s="13" t="s">
        <v>35</v>
      </c>
      <c r="G128" s="64"/>
      <c r="H128" s="66"/>
    </row>
    <row r="129" spans="1:9" s="12" customFormat="1" ht="12.75" customHeight="1" x14ac:dyDescent="0.2">
      <c r="A129" s="37" t="s">
        <v>241</v>
      </c>
      <c r="B129" s="37" t="s">
        <v>424</v>
      </c>
      <c r="C129" s="12">
        <f>C128+E128</f>
        <v>1837</v>
      </c>
      <c r="D129" s="12">
        <f t="shared" si="27"/>
        <v>1840</v>
      </c>
      <c r="E129" s="12">
        <v>4</v>
      </c>
      <c r="F129" s="13" t="s">
        <v>36</v>
      </c>
      <c r="G129" s="64"/>
      <c r="H129" s="66"/>
    </row>
    <row r="130" spans="1:9" s="12" customFormat="1" ht="12.75" customHeight="1" x14ac:dyDescent="0.2">
      <c r="A130" s="37" t="s">
        <v>241</v>
      </c>
      <c r="B130" s="37" t="s">
        <v>424</v>
      </c>
      <c r="C130" s="12">
        <f>C129+E129</f>
        <v>1841</v>
      </c>
      <c r="D130" s="12">
        <f t="shared" si="27"/>
        <v>1844</v>
      </c>
      <c r="E130" s="12">
        <v>4</v>
      </c>
      <c r="F130" s="13" t="s">
        <v>37</v>
      </c>
      <c r="G130" s="64"/>
      <c r="H130" s="66"/>
    </row>
    <row r="131" spans="1:9" s="12" customFormat="1" ht="12.75" customHeight="1" x14ac:dyDescent="0.2">
      <c r="A131" s="11"/>
      <c r="B131" s="37"/>
      <c r="C131" s="12">
        <f>C130+E130</f>
        <v>1845</v>
      </c>
      <c r="D131" s="12">
        <f t="shared" si="27"/>
        <v>1856</v>
      </c>
      <c r="E131" s="12">
        <v>12</v>
      </c>
      <c r="F131" s="17" t="s">
        <v>153</v>
      </c>
      <c r="G131" s="55"/>
      <c r="H131" s="54"/>
    </row>
    <row r="132" spans="1:9" s="12" customFormat="1" ht="12.75" customHeight="1" x14ac:dyDescent="0.2">
      <c r="A132" s="11"/>
      <c r="B132" s="37"/>
      <c r="F132" s="9" t="s">
        <v>6</v>
      </c>
      <c r="G132" s="55"/>
      <c r="H132" s="58"/>
    </row>
    <row r="133" spans="1:9" s="12" customFormat="1" ht="18.75" customHeight="1" x14ac:dyDescent="0.2">
      <c r="A133" s="37" t="s">
        <v>241</v>
      </c>
      <c r="B133" s="37" t="s">
        <v>424</v>
      </c>
      <c r="C133" s="12">
        <f>C131+E131</f>
        <v>1857</v>
      </c>
      <c r="D133" s="12">
        <f t="shared" ref="D133:D136" si="28">C133+E133-1</f>
        <v>1860</v>
      </c>
      <c r="E133" s="12">
        <v>4</v>
      </c>
      <c r="F133" s="13" t="s">
        <v>30</v>
      </c>
      <c r="G133" s="64" t="s">
        <v>219</v>
      </c>
      <c r="H133" s="66" t="s">
        <v>190</v>
      </c>
    </row>
    <row r="134" spans="1:9" s="12" customFormat="1" ht="16.5" customHeight="1" x14ac:dyDescent="0.2">
      <c r="A134" s="37" t="s">
        <v>241</v>
      </c>
      <c r="B134" s="37" t="s">
        <v>424</v>
      </c>
      <c r="C134" s="12">
        <f>C133+E133</f>
        <v>1861</v>
      </c>
      <c r="D134" s="12">
        <f t="shared" si="28"/>
        <v>1864</v>
      </c>
      <c r="E134" s="12">
        <v>4</v>
      </c>
      <c r="F134" s="13" t="s">
        <v>38</v>
      </c>
      <c r="G134" s="70"/>
      <c r="H134" s="66"/>
    </row>
    <row r="135" spans="1:9" s="12" customFormat="1" ht="15.75" customHeight="1" x14ac:dyDescent="0.2">
      <c r="A135" s="37" t="s">
        <v>241</v>
      </c>
      <c r="B135" s="37" t="s">
        <v>424</v>
      </c>
      <c r="C135" s="12">
        <f>C134+E134</f>
        <v>1865</v>
      </c>
      <c r="D135" s="12">
        <f t="shared" si="28"/>
        <v>1868</v>
      </c>
      <c r="E135" s="12">
        <v>4</v>
      </c>
      <c r="F135" s="13" t="s">
        <v>39</v>
      </c>
      <c r="G135" s="70"/>
      <c r="H135" s="66"/>
    </row>
    <row r="136" spans="1:9" s="12" customFormat="1" ht="12.75" customHeight="1" x14ac:dyDescent="0.2">
      <c r="A136" s="11"/>
      <c r="B136" s="37"/>
      <c r="C136" s="12">
        <f>C135+E135</f>
        <v>1869</v>
      </c>
      <c r="D136" s="12">
        <f t="shared" si="28"/>
        <v>1922</v>
      </c>
      <c r="E136" s="12">
        <v>54</v>
      </c>
      <c r="F136" s="17" t="s">
        <v>153</v>
      </c>
      <c r="G136" s="55"/>
      <c r="H136" s="54"/>
    </row>
    <row r="137" spans="1:9" s="12" customFormat="1" ht="12.75" customHeight="1" x14ac:dyDescent="0.2">
      <c r="A137" s="11"/>
      <c r="B137" s="37"/>
      <c r="F137" s="9" t="s">
        <v>26</v>
      </c>
      <c r="G137" s="55"/>
      <c r="H137" s="58"/>
    </row>
    <row r="138" spans="1:9" s="12" customFormat="1" ht="53.25" customHeight="1" x14ac:dyDescent="0.2">
      <c r="A138" s="37" t="s">
        <v>240</v>
      </c>
      <c r="B138" s="37" t="s">
        <v>424</v>
      </c>
      <c r="C138" s="12">
        <f>C136+E136</f>
        <v>1923</v>
      </c>
      <c r="D138" s="12">
        <f>C138+E138-1</f>
        <v>1925</v>
      </c>
      <c r="E138" s="12">
        <v>3</v>
      </c>
      <c r="F138" s="12" t="s">
        <v>27</v>
      </c>
      <c r="G138" s="53" t="s">
        <v>227</v>
      </c>
      <c r="H138" s="58" t="s">
        <v>325</v>
      </c>
    </row>
    <row r="139" spans="1:9" s="12" customFormat="1" ht="63.75" x14ac:dyDescent="0.2">
      <c r="A139" s="37" t="s">
        <v>241</v>
      </c>
      <c r="B139" s="37" t="s">
        <v>424</v>
      </c>
      <c r="C139" s="12">
        <f>C138+E138</f>
        <v>1926</v>
      </c>
      <c r="D139" s="12">
        <f>C139+E139-1</f>
        <v>1929</v>
      </c>
      <c r="E139" s="12">
        <v>4</v>
      </c>
      <c r="F139" s="12" t="s">
        <v>28</v>
      </c>
      <c r="G139" s="53" t="s">
        <v>219</v>
      </c>
      <c r="H139" s="54" t="s">
        <v>326</v>
      </c>
      <c r="I139" s="23"/>
    </row>
    <row r="140" spans="1:9" s="12" customFormat="1" x14ac:dyDescent="0.2">
      <c r="A140" s="11"/>
      <c r="B140" s="37"/>
      <c r="C140" s="12">
        <f>C139+E139</f>
        <v>1930</v>
      </c>
      <c r="D140" s="12">
        <f>C140+E140-1</f>
        <v>1932</v>
      </c>
      <c r="E140" s="12">
        <v>3</v>
      </c>
      <c r="F140" s="12" t="s">
        <v>153</v>
      </c>
      <c r="G140" s="55"/>
      <c r="H140" s="54"/>
    </row>
    <row r="141" spans="1:9" s="12" customFormat="1" ht="76.5" x14ac:dyDescent="0.2">
      <c r="A141" s="11"/>
      <c r="B141" s="37" t="s">
        <v>432</v>
      </c>
      <c r="C141" s="12">
        <f>C140+E140</f>
        <v>1933</v>
      </c>
      <c r="D141" s="12">
        <f>C141+E141-1</f>
        <v>1933</v>
      </c>
      <c r="E141" s="12">
        <v>1</v>
      </c>
      <c r="F141" s="12" t="s">
        <v>40</v>
      </c>
      <c r="G141" s="58" t="s">
        <v>264</v>
      </c>
      <c r="H141" s="54" t="s">
        <v>441</v>
      </c>
    </row>
    <row r="142" spans="1:9" s="12" customFormat="1" x14ac:dyDescent="0.2">
      <c r="A142" s="37"/>
      <c r="B142" s="37"/>
      <c r="C142" s="12">
        <f>C141+E141</f>
        <v>1934</v>
      </c>
      <c r="D142" s="12">
        <f>C142+E142-1</f>
        <v>1934</v>
      </c>
      <c r="E142" s="12">
        <v>1</v>
      </c>
      <c r="F142" s="38" t="s">
        <v>153</v>
      </c>
      <c r="G142" s="44"/>
      <c r="H142" s="54"/>
    </row>
    <row r="143" spans="1:9" s="12" customFormat="1" x14ac:dyDescent="0.2">
      <c r="A143" s="11"/>
      <c r="B143" s="37"/>
      <c r="F143" s="9" t="s">
        <v>63</v>
      </c>
      <c r="G143" s="55"/>
      <c r="H143" s="58"/>
    </row>
    <row r="144" spans="1:9" s="12" customFormat="1" ht="130.5" customHeight="1" x14ac:dyDescent="0.2">
      <c r="A144" s="37" t="s">
        <v>241</v>
      </c>
      <c r="B144" s="37" t="s">
        <v>424</v>
      </c>
      <c r="C144" s="12">
        <f>C142+E142</f>
        <v>1935</v>
      </c>
      <c r="D144" s="12">
        <f>C144+E144-1</f>
        <v>1939</v>
      </c>
      <c r="E144" s="12">
        <v>5</v>
      </c>
      <c r="F144" s="38" t="s">
        <v>315</v>
      </c>
      <c r="G144" s="55" t="s">
        <v>223</v>
      </c>
      <c r="H144" s="58" t="s">
        <v>442</v>
      </c>
    </row>
    <row r="145" spans="1:8" s="12" customFormat="1" ht="51" x14ac:dyDescent="0.2">
      <c r="A145" s="37" t="s">
        <v>305</v>
      </c>
      <c r="B145" s="37" t="s">
        <v>424</v>
      </c>
      <c r="C145" s="12">
        <f>C144+E144</f>
        <v>1940</v>
      </c>
      <c r="D145" s="12">
        <f>C145+E145-1</f>
        <v>1942</v>
      </c>
      <c r="E145" s="12">
        <v>3</v>
      </c>
      <c r="F145" s="38" t="s">
        <v>316</v>
      </c>
      <c r="G145" s="55" t="s">
        <v>220</v>
      </c>
      <c r="H145" s="58" t="s">
        <v>192</v>
      </c>
    </row>
    <row r="146" spans="1:8" s="12" customFormat="1" ht="102" x14ac:dyDescent="0.2">
      <c r="A146" s="37" t="s">
        <v>275</v>
      </c>
      <c r="B146" s="37" t="s">
        <v>424</v>
      </c>
      <c r="C146" s="12">
        <f>C145+E145</f>
        <v>1943</v>
      </c>
      <c r="D146" s="12">
        <f>C146+E146-1</f>
        <v>1945</v>
      </c>
      <c r="E146" s="12">
        <v>3</v>
      </c>
      <c r="F146" s="38" t="s">
        <v>317</v>
      </c>
      <c r="G146" s="58" t="s">
        <v>339</v>
      </c>
      <c r="H146" s="54" t="s">
        <v>327</v>
      </c>
    </row>
    <row r="147" spans="1:8" s="12" customFormat="1" ht="12.75" customHeight="1" x14ac:dyDescent="0.2">
      <c r="A147" s="11"/>
      <c r="B147" s="37"/>
      <c r="F147" s="9" t="s">
        <v>5</v>
      </c>
      <c r="G147" s="55"/>
      <c r="H147" s="58"/>
    </row>
    <row r="148" spans="1:8" s="12" customFormat="1" ht="12.75" customHeight="1" x14ac:dyDescent="0.2">
      <c r="A148" s="37" t="s">
        <v>241</v>
      </c>
      <c r="B148" s="37" t="s">
        <v>424</v>
      </c>
      <c r="C148" s="12">
        <f>C146+E146</f>
        <v>1946</v>
      </c>
      <c r="D148" s="12">
        <f>C148+E148-1</f>
        <v>1949</v>
      </c>
      <c r="E148" s="12">
        <v>4</v>
      </c>
      <c r="F148" s="13" t="s">
        <v>41</v>
      </c>
      <c r="G148" s="64" t="s">
        <v>219</v>
      </c>
      <c r="H148" s="66" t="s">
        <v>193</v>
      </c>
    </row>
    <row r="149" spans="1:8" s="12" customFormat="1" ht="12.75" customHeight="1" x14ac:dyDescent="0.2">
      <c r="A149" s="37" t="s">
        <v>241</v>
      </c>
      <c r="B149" s="37" t="s">
        <v>424</v>
      </c>
      <c r="C149" s="12">
        <f>C148+E148</f>
        <v>1950</v>
      </c>
      <c r="D149" s="12">
        <f>C149+E149-1</f>
        <v>1953</v>
      </c>
      <c r="E149" s="12">
        <v>4</v>
      </c>
      <c r="F149" s="13" t="s">
        <v>42</v>
      </c>
      <c r="G149" s="64"/>
      <c r="H149" s="66"/>
    </row>
    <row r="150" spans="1:8" s="12" customFormat="1" ht="12.75" customHeight="1" x14ac:dyDescent="0.2">
      <c r="A150" s="37" t="s">
        <v>241</v>
      </c>
      <c r="B150" s="37" t="s">
        <v>424</v>
      </c>
      <c r="C150" s="12">
        <f>C149+E149</f>
        <v>1954</v>
      </c>
      <c r="D150" s="12">
        <f>C150+E150-1</f>
        <v>1957</v>
      </c>
      <c r="E150" s="12">
        <v>4</v>
      </c>
      <c r="F150" s="13" t="s">
        <v>43</v>
      </c>
      <c r="G150" s="64"/>
      <c r="H150" s="66"/>
    </row>
    <row r="151" spans="1:8" s="12" customFormat="1" ht="12.75" customHeight="1" x14ac:dyDescent="0.2">
      <c r="A151" s="37" t="s">
        <v>241</v>
      </c>
      <c r="B151" s="37" t="s">
        <v>424</v>
      </c>
      <c r="C151" s="12">
        <f>C150+E150</f>
        <v>1958</v>
      </c>
      <c r="D151" s="12">
        <f>C151+E151-1</f>
        <v>1961</v>
      </c>
      <c r="E151" s="12">
        <v>4</v>
      </c>
      <c r="F151" s="13" t="s">
        <v>44</v>
      </c>
      <c r="G151" s="64"/>
      <c r="H151" s="66"/>
    </row>
    <row r="152" spans="1:8" s="12" customFormat="1" ht="12.75" customHeight="1" x14ac:dyDescent="0.2">
      <c r="A152" s="11"/>
      <c r="B152" s="37"/>
      <c r="C152" s="12">
        <f>C151+E151</f>
        <v>1962</v>
      </c>
      <c r="D152" s="12">
        <f>C152+E152-1</f>
        <v>1977</v>
      </c>
      <c r="E152" s="12">
        <v>16</v>
      </c>
      <c r="F152" s="17" t="s">
        <v>153</v>
      </c>
      <c r="G152" s="55"/>
      <c r="H152" s="54"/>
    </row>
    <row r="153" spans="1:8" s="12" customFormat="1" ht="12.75" customHeight="1" x14ac:dyDescent="0.2">
      <c r="A153" s="11"/>
      <c r="B153" s="37"/>
      <c r="F153" s="9" t="s">
        <v>6</v>
      </c>
      <c r="G153" s="55"/>
      <c r="H153" s="58"/>
    </row>
    <row r="154" spans="1:8" s="12" customFormat="1" ht="25.5" customHeight="1" x14ac:dyDescent="0.2">
      <c r="A154" s="47" t="s">
        <v>240</v>
      </c>
      <c r="B154" s="37" t="s">
        <v>424</v>
      </c>
      <c r="C154" s="12">
        <f>C152+E152</f>
        <v>1978</v>
      </c>
      <c r="D154" s="12">
        <f t="shared" ref="D154:D158" si="29">C154+E154-1</f>
        <v>1981</v>
      </c>
      <c r="E154" s="12">
        <v>4</v>
      </c>
      <c r="F154" s="13" t="s">
        <v>45</v>
      </c>
      <c r="G154" s="64" t="s">
        <v>219</v>
      </c>
      <c r="H154" s="66" t="s">
        <v>194</v>
      </c>
    </row>
    <row r="155" spans="1:8" s="12" customFormat="1" ht="26.25" customHeight="1" x14ac:dyDescent="0.2">
      <c r="A155" s="37" t="s">
        <v>241</v>
      </c>
      <c r="B155" s="37" t="s">
        <v>424</v>
      </c>
      <c r="C155" s="12">
        <f t="shared" ref="C155:C158" si="30">C154+E154</f>
        <v>1982</v>
      </c>
      <c r="D155" s="12">
        <f t="shared" si="29"/>
        <v>1985</v>
      </c>
      <c r="E155" s="12">
        <v>4</v>
      </c>
      <c r="F155" s="13" t="s">
        <v>31</v>
      </c>
      <c r="G155" s="70"/>
      <c r="H155" s="66"/>
    </row>
    <row r="156" spans="1:8" s="12" customFormat="1" ht="12.75" customHeight="1" x14ac:dyDescent="0.2">
      <c r="A156" s="11"/>
      <c r="B156" s="37"/>
      <c r="C156" s="12">
        <f t="shared" si="30"/>
        <v>1986</v>
      </c>
      <c r="D156" s="12">
        <f t="shared" si="29"/>
        <v>2053</v>
      </c>
      <c r="E156" s="12">
        <v>68</v>
      </c>
      <c r="F156" s="17" t="s">
        <v>153</v>
      </c>
      <c r="G156" s="55"/>
      <c r="H156" s="54"/>
    </row>
    <row r="157" spans="1:8" s="12" customFormat="1" ht="76.5" x14ac:dyDescent="0.2">
      <c r="A157" s="11"/>
      <c r="B157" s="37" t="s">
        <v>432</v>
      </c>
      <c r="C157" s="12">
        <f>C156+E156</f>
        <v>2054</v>
      </c>
      <c r="D157" s="12">
        <f>C157+E157-1</f>
        <v>2054</v>
      </c>
      <c r="E157" s="12">
        <v>1</v>
      </c>
      <c r="F157" s="12" t="s">
        <v>46</v>
      </c>
      <c r="G157" s="58" t="s">
        <v>265</v>
      </c>
      <c r="H157" s="54" t="s">
        <v>443</v>
      </c>
    </row>
    <row r="158" spans="1:8" s="12" customFormat="1" x14ac:dyDescent="0.2">
      <c r="A158" s="37"/>
      <c r="B158" s="37"/>
      <c r="C158" s="12">
        <f t="shared" si="30"/>
        <v>2055</v>
      </c>
      <c r="D158" s="12">
        <f t="shared" si="29"/>
        <v>2055</v>
      </c>
      <c r="E158" s="12">
        <v>1</v>
      </c>
      <c r="F158" s="38" t="s">
        <v>153</v>
      </c>
      <c r="G158" s="44"/>
      <c r="H158" s="54"/>
    </row>
    <row r="159" spans="1:8" s="12" customFormat="1" x14ac:dyDescent="0.2">
      <c r="A159" s="11"/>
      <c r="B159" s="37"/>
      <c r="F159" s="9" t="s">
        <v>65</v>
      </c>
      <c r="G159" s="55"/>
      <c r="H159" s="58"/>
    </row>
    <row r="160" spans="1:8" s="12" customFormat="1" x14ac:dyDescent="0.2">
      <c r="A160" s="11"/>
      <c r="B160" s="37"/>
      <c r="F160" s="9" t="s">
        <v>161</v>
      </c>
      <c r="G160" s="55"/>
      <c r="H160" s="58"/>
    </row>
    <row r="161" spans="1:8" s="12" customFormat="1" ht="15.75" customHeight="1" x14ac:dyDescent="0.2">
      <c r="A161" s="37" t="s">
        <v>242</v>
      </c>
      <c r="B161" s="37" t="s">
        <v>424</v>
      </c>
      <c r="C161" s="12">
        <f>C158+E158</f>
        <v>2056</v>
      </c>
      <c r="D161" s="12">
        <f>C161+E161-1</f>
        <v>2056</v>
      </c>
      <c r="E161" s="12">
        <v>1</v>
      </c>
      <c r="F161" s="38" t="s">
        <v>290</v>
      </c>
      <c r="G161" s="64" t="s">
        <v>57</v>
      </c>
      <c r="H161" s="71" t="s">
        <v>444</v>
      </c>
    </row>
    <row r="162" spans="1:8" s="12" customFormat="1" ht="15.75" customHeight="1" x14ac:dyDescent="0.2">
      <c r="A162" s="37" t="s">
        <v>242</v>
      </c>
      <c r="B162" s="37" t="s">
        <v>424</v>
      </c>
      <c r="C162" s="12">
        <f>C161+E161</f>
        <v>2057</v>
      </c>
      <c r="D162" s="12">
        <f>C162+E162-1</f>
        <v>2057</v>
      </c>
      <c r="E162" s="12">
        <v>1</v>
      </c>
      <c r="F162" s="38" t="s">
        <v>291</v>
      </c>
      <c r="G162" s="64"/>
      <c r="H162" s="71"/>
    </row>
    <row r="163" spans="1:8" s="12" customFormat="1" ht="15.75" customHeight="1" x14ac:dyDescent="0.2">
      <c r="A163" s="37" t="s">
        <v>242</v>
      </c>
      <c r="B163" s="37" t="s">
        <v>424</v>
      </c>
      <c r="C163" s="12">
        <f>C162+E162</f>
        <v>2058</v>
      </c>
      <c r="D163" s="12">
        <f>C163+E163-1</f>
        <v>2058</v>
      </c>
      <c r="E163" s="12">
        <v>1</v>
      </c>
      <c r="F163" s="38" t="s">
        <v>292</v>
      </c>
      <c r="G163" s="64"/>
      <c r="H163" s="71"/>
    </row>
    <row r="164" spans="1:8" s="12" customFormat="1" ht="15.75" customHeight="1" x14ac:dyDescent="0.2">
      <c r="A164" s="37" t="s">
        <v>242</v>
      </c>
      <c r="B164" s="37" t="s">
        <v>424</v>
      </c>
      <c r="C164" s="12">
        <f>C163+E163</f>
        <v>2059</v>
      </c>
      <c r="D164" s="12">
        <f>C164+E164-1</f>
        <v>2059</v>
      </c>
      <c r="E164" s="12">
        <v>1</v>
      </c>
      <c r="F164" s="38" t="s">
        <v>293</v>
      </c>
      <c r="G164" s="64"/>
      <c r="H164" s="71"/>
    </row>
    <row r="165" spans="1:8" s="12" customFormat="1" x14ac:dyDescent="0.2">
      <c r="A165" s="11"/>
      <c r="B165" s="37"/>
      <c r="F165" s="9" t="s">
        <v>106</v>
      </c>
      <c r="G165" s="55"/>
      <c r="H165" s="58"/>
    </row>
    <row r="166" spans="1:8" s="12" customFormat="1" ht="24" customHeight="1" x14ac:dyDescent="0.2">
      <c r="A166" s="37" t="s">
        <v>240</v>
      </c>
      <c r="B166" s="37" t="s">
        <v>424</v>
      </c>
      <c r="C166" s="12">
        <f>C164+E164</f>
        <v>2060</v>
      </c>
      <c r="D166" s="12">
        <f>C166+E166-1</f>
        <v>2060</v>
      </c>
      <c r="E166" s="12">
        <v>1</v>
      </c>
      <c r="F166" s="38" t="s">
        <v>341</v>
      </c>
      <c r="G166" s="66" t="s">
        <v>332</v>
      </c>
      <c r="H166" s="66" t="s">
        <v>445</v>
      </c>
    </row>
    <row r="167" spans="1:8" s="12" customFormat="1" ht="24" customHeight="1" x14ac:dyDescent="0.2">
      <c r="A167" s="37" t="s">
        <v>240</v>
      </c>
      <c r="B167" s="37" t="s">
        <v>424</v>
      </c>
      <c r="C167" s="12">
        <f>C166+E166</f>
        <v>2061</v>
      </c>
      <c r="D167" s="12">
        <f>C167+E167-1</f>
        <v>2061</v>
      </c>
      <c r="E167" s="12">
        <v>1</v>
      </c>
      <c r="F167" s="38" t="s">
        <v>342</v>
      </c>
      <c r="G167" s="64"/>
      <c r="H167" s="66"/>
    </row>
    <row r="168" spans="1:8" s="12" customFormat="1" ht="24" customHeight="1" x14ac:dyDescent="0.2">
      <c r="A168" s="37" t="s">
        <v>240</v>
      </c>
      <c r="B168" s="37" t="s">
        <v>424</v>
      </c>
      <c r="C168" s="12">
        <f>C167+E167</f>
        <v>2062</v>
      </c>
      <c r="D168" s="12">
        <f>C168+E168-1</f>
        <v>2062</v>
      </c>
      <c r="E168" s="12">
        <v>1</v>
      </c>
      <c r="F168" s="38" t="s">
        <v>343</v>
      </c>
      <c r="G168" s="64"/>
      <c r="H168" s="66"/>
    </row>
    <row r="169" spans="1:8" s="12" customFormat="1" ht="24" customHeight="1" x14ac:dyDescent="0.2">
      <c r="A169" s="37" t="s">
        <v>240</v>
      </c>
      <c r="B169" s="37" t="s">
        <v>424</v>
      </c>
      <c r="C169" s="12">
        <f>C168+E168</f>
        <v>2063</v>
      </c>
      <c r="D169" s="12">
        <f>C169+E169-1</f>
        <v>2063</v>
      </c>
      <c r="E169" s="12">
        <v>1</v>
      </c>
      <c r="F169" s="38" t="s">
        <v>344</v>
      </c>
      <c r="G169" s="64"/>
      <c r="H169" s="66"/>
    </row>
    <row r="170" spans="1:8" s="12" customFormat="1" x14ac:dyDescent="0.2">
      <c r="A170" s="11"/>
      <c r="B170" s="37"/>
      <c r="C170" s="12">
        <f>C169+E169</f>
        <v>2064</v>
      </c>
      <c r="D170" s="12">
        <f t="shared" ref="D170" si="31">C170+E170-1</f>
        <v>2073</v>
      </c>
      <c r="E170" s="12">
        <v>10</v>
      </c>
      <c r="F170" s="17" t="s">
        <v>153</v>
      </c>
      <c r="G170" s="43"/>
      <c r="H170" s="58"/>
    </row>
    <row r="171" spans="1:8" s="12" customFormat="1" x14ac:dyDescent="0.2">
      <c r="A171" s="11"/>
      <c r="B171" s="37"/>
      <c r="F171" s="9" t="s">
        <v>47</v>
      </c>
      <c r="G171" s="55"/>
      <c r="H171" s="58"/>
    </row>
    <row r="172" spans="1:8" s="12" customFormat="1" ht="12.75" customHeight="1" x14ac:dyDescent="0.2">
      <c r="A172" s="37"/>
      <c r="B172" s="37" t="s">
        <v>424</v>
      </c>
      <c r="C172" s="12">
        <f>C170+E170</f>
        <v>2074</v>
      </c>
      <c r="D172" s="12">
        <f>C172+E172-1</f>
        <v>2074</v>
      </c>
      <c r="E172" s="12">
        <v>1</v>
      </c>
      <c r="F172" s="38" t="s">
        <v>345</v>
      </c>
      <c r="G172" s="66" t="s">
        <v>64</v>
      </c>
      <c r="H172" s="66" t="s">
        <v>255</v>
      </c>
    </row>
    <row r="173" spans="1:8" s="12" customFormat="1" x14ac:dyDescent="0.2">
      <c r="A173" s="37"/>
      <c r="B173" s="37" t="s">
        <v>424</v>
      </c>
      <c r="C173" s="12">
        <f>C172+E172</f>
        <v>2075</v>
      </c>
      <c r="D173" s="12">
        <f>C173+E173-1</f>
        <v>2075</v>
      </c>
      <c r="E173" s="12">
        <v>1</v>
      </c>
      <c r="F173" s="38" t="s">
        <v>346</v>
      </c>
      <c r="G173" s="64"/>
      <c r="H173" s="66"/>
    </row>
    <row r="174" spans="1:8" s="12" customFormat="1" x14ac:dyDescent="0.2">
      <c r="A174" s="37"/>
      <c r="B174" s="37" t="s">
        <v>424</v>
      </c>
      <c r="C174" s="12">
        <f>C173+E173</f>
        <v>2076</v>
      </c>
      <c r="D174" s="12">
        <f>C174+E174-1</f>
        <v>2076</v>
      </c>
      <c r="E174" s="12">
        <v>1</v>
      </c>
      <c r="F174" s="38" t="s">
        <v>347</v>
      </c>
      <c r="G174" s="64"/>
      <c r="H174" s="66"/>
    </row>
    <row r="175" spans="1:8" s="12" customFormat="1" x14ac:dyDescent="0.2">
      <c r="A175" s="37"/>
      <c r="B175" s="37" t="s">
        <v>424</v>
      </c>
      <c r="C175" s="12">
        <f>C174+E174</f>
        <v>2077</v>
      </c>
      <c r="D175" s="12">
        <f>C175+E175-1</f>
        <v>2077</v>
      </c>
      <c r="E175" s="12">
        <v>1</v>
      </c>
      <c r="F175" s="38" t="s">
        <v>348</v>
      </c>
      <c r="G175" s="64"/>
      <c r="H175" s="66"/>
    </row>
    <row r="176" spans="1:8" s="12" customFormat="1" x14ac:dyDescent="0.2">
      <c r="A176" s="11"/>
      <c r="B176" s="37"/>
      <c r="C176" s="12">
        <f>C175+E175</f>
        <v>2078</v>
      </c>
      <c r="D176" s="12">
        <f>C176+E176-1</f>
        <v>2091</v>
      </c>
      <c r="E176" s="12">
        <v>14</v>
      </c>
      <c r="F176" s="17" t="s">
        <v>153</v>
      </c>
      <c r="G176" s="55"/>
      <c r="H176" s="58"/>
    </row>
    <row r="177" spans="1:8" s="12" customFormat="1" x14ac:dyDescent="0.2">
      <c r="A177" s="11"/>
      <c r="B177" s="37"/>
      <c r="F177" s="9" t="s">
        <v>48</v>
      </c>
      <c r="G177" s="55"/>
      <c r="H177" s="58"/>
    </row>
    <row r="178" spans="1:8" s="12" customFormat="1" ht="12.75" customHeight="1" x14ac:dyDescent="0.2">
      <c r="A178" s="37" t="s">
        <v>309</v>
      </c>
      <c r="B178" s="37" t="s">
        <v>424</v>
      </c>
      <c r="C178" s="12">
        <f>C176+E176</f>
        <v>2092</v>
      </c>
      <c r="D178" s="12">
        <f>C178+E178-1</f>
        <v>2092</v>
      </c>
      <c r="E178" s="12">
        <v>1</v>
      </c>
      <c r="F178" s="38" t="s">
        <v>349</v>
      </c>
      <c r="G178" s="66" t="s">
        <v>58</v>
      </c>
      <c r="H178" s="66" t="s">
        <v>205</v>
      </c>
    </row>
    <row r="179" spans="1:8" s="12" customFormat="1" ht="12.75" customHeight="1" x14ac:dyDescent="0.2">
      <c r="A179" s="37" t="s">
        <v>309</v>
      </c>
      <c r="B179" s="37" t="s">
        <v>424</v>
      </c>
      <c r="C179" s="12">
        <f>C178+E178</f>
        <v>2093</v>
      </c>
      <c r="D179" s="12">
        <f>C179+E179-1</f>
        <v>2093</v>
      </c>
      <c r="E179" s="12">
        <v>1</v>
      </c>
      <c r="F179" s="38" t="s">
        <v>350</v>
      </c>
      <c r="G179" s="64"/>
      <c r="H179" s="66"/>
    </row>
    <row r="180" spans="1:8" s="12" customFormat="1" ht="12.75" customHeight="1" x14ac:dyDescent="0.2">
      <c r="A180" s="37" t="s">
        <v>309</v>
      </c>
      <c r="B180" s="37" t="s">
        <v>424</v>
      </c>
      <c r="C180" s="12">
        <f>C179+E179</f>
        <v>2094</v>
      </c>
      <c r="D180" s="12">
        <f>C180+E180-1</f>
        <v>2094</v>
      </c>
      <c r="E180" s="12">
        <v>1</v>
      </c>
      <c r="F180" s="38" t="s">
        <v>351</v>
      </c>
      <c r="G180" s="64"/>
      <c r="H180" s="66"/>
    </row>
    <row r="181" spans="1:8" s="12" customFormat="1" ht="12.75" customHeight="1" x14ac:dyDescent="0.2">
      <c r="A181" s="37" t="s">
        <v>309</v>
      </c>
      <c r="B181" s="37" t="s">
        <v>424</v>
      </c>
      <c r="C181" s="12">
        <f>C180+E180</f>
        <v>2095</v>
      </c>
      <c r="D181" s="12">
        <f>C181+E181-1</f>
        <v>2095</v>
      </c>
      <c r="E181" s="12">
        <v>1</v>
      </c>
      <c r="F181" s="38" t="s">
        <v>352</v>
      </c>
      <c r="G181" s="64"/>
      <c r="H181" s="66"/>
    </row>
    <row r="182" spans="1:8" s="12" customFormat="1" x14ac:dyDescent="0.2">
      <c r="A182" s="11"/>
      <c r="B182" s="37"/>
      <c r="C182" s="12">
        <f>C181+E181</f>
        <v>2096</v>
      </c>
      <c r="D182" s="12">
        <f>C182+E182-1</f>
        <v>2104</v>
      </c>
      <c r="E182" s="12">
        <v>9</v>
      </c>
      <c r="F182" s="38" t="s">
        <v>153</v>
      </c>
      <c r="G182" s="55"/>
      <c r="H182" s="58"/>
    </row>
    <row r="183" spans="1:8" s="12" customFormat="1" x14ac:dyDescent="0.2">
      <c r="A183" s="11"/>
      <c r="B183" s="37"/>
      <c r="F183" s="9" t="s">
        <v>49</v>
      </c>
      <c r="G183" s="55"/>
      <c r="H183" s="58"/>
    </row>
    <row r="184" spans="1:8" s="12" customFormat="1" ht="63.75" x14ac:dyDescent="0.2">
      <c r="A184" s="37" t="s">
        <v>274</v>
      </c>
      <c r="B184" s="37" t="s">
        <v>424</v>
      </c>
      <c r="C184" s="12">
        <f>C182+E182</f>
        <v>2105</v>
      </c>
      <c r="D184" s="12">
        <f t="shared" ref="D184:D185" si="32">C184+E184-1</f>
        <v>2105</v>
      </c>
      <c r="E184" s="12">
        <v>1</v>
      </c>
      <c r="F184" s="12" t="s">
        <v>50</v>
      </c>
      <c r="G184" s="55" t="s">
        <v>0</v>
      </c>
      <c r="H184" s="54" t="s">
        <v>340</v>
      </c>
    </row>
    <row r="185" spans="1:8" s="12" customFormat="1" ht="102" x14ac:dyDescent="0.2">
      <c r="A185" s="11"/>
      <c r="B185" s="37" t="s">
        <v>424</v>
      </c>
      <c r="C185" s="12">
        <f t="shared" ref="C185" si="33">C184+E184</f>
        <v>2106</v>
      </c>
      <c r="D185" s="12">
        <f t="shared" si="32"/>
        <v>2107</v>
      </c>
      <c r="E185" s="12">
        <v>2</v>
      </c>
      <c r="F185" s="38" t="s">
        <v>280</v>
      </c>
      <c r="G185" s="36" t="s">
        <v>228</v>
      </c>
      <c r="H185" s="58" t="s">
        <v>446</v>
      </c>
    </row>
    <row r="186" spans="1:8" s="12" customFormat="1" x14ac:dyDescent="0.2">
      <c r="A186" s="11"/>
      <c r="B186" s="37"/>
      <c r="F186" s="9" t="s">
        <v>51</v>
      </c>
      <c r="G186" s="55"/>
      <c r="H186" s="58"/>
    </row>
    <row r="187" spans="1:8" s="12" customFormat="1" x14ac:dyDescent="0.2">
      <c r="A187" s="11"/>
      <c r="B187" s="37"/>
      <c r="C187" s="12">
        <f>C185+E185</f>
        <v>2108</v>
      </c>
      <c r="D187" s="12">
        <f t="shared" ref="D187:D190" si="34">C187+E187-1</f>
        <v>2114</v>
      </c>
      <c r="E187" s="12">
        <v>7</v>
      </c>
      <c r="F187" s="38" t="s">
        <v>153</v>
      </c>
      <c r="G187" s="56"/>
      <c r="H187" s="54"/>
    </row>
    <row r="188" spans="1:8" s="12" customFormat="1" ht="63.75" x14ac:dyDescent="0.2">
      <c r="A188" s="11" t="s">
        <v>4</v>
      </c>
      <c r="B188" s="37" t="s">
        <v>424</v>
      </c>
      <c r="C188" s="12">
        <f>C187+E187</f>
        <v>2115</v>
      </c>
      <c r="D188" s="12">
        <f t="shared" si="34"/>
        <v>2115</v>
      </c>
      <c r="E188" s="12">
        <v>1</v>
      </c>
      <c r="F188" s="12" t="s">
        <v>130</v>
      </c>
      <c r="G188" s="55" t="s">
        <v>118</v>
      </c>
      <c r="H188" s="58" t="s">
        <v>209</v>
      </c>
    </row>
    <row r="189" spans="1:8" s="12" customFormat="1" x14ac:dyDescent="0.2">
      <c r="A189" s="11"/>
      <c r="B189" s="37" t="s">
        <v>424</v>
      </c>
      <c r="C189" s="12">
        <f t="shared" ref="C189:C190" si="35">C188+E188</f>
        <v>2116</v>
      </c>
      <c r="D189" s="12">
        <f t="shared" si="34"/>
        <v>2117</v>
      </c>
      <c r="E189" s="12">
        <v>2</v>
      </c>
      <c r="F189" s="38" t="s">
        <v>153</v>
      </c>
      <c r="G189" s="55"/>
      <c r="H189" s="58"/>
    </row>
    <row r="190" spans="1:8" s="12" customFormat="1" ht="76.5" x14ac:dyDescent="0.2">
      <c r="A190" s="11"/>
      <c r="B190" s="37" t="s">
        <v>424</v>
      </c>
      <c r="C190" s="12">
        <f t="shared" si="35"/>
        <v>2118</v>
      </c>
      <c r="D190" s="12">
        <f t="shared" si="34"/>
        <v>2118</v>
      </c>
      <c r="E190" s="12">
        <v>1</v>
      </c>
      <c r="F190" s="38" t="s">
        <v>281</v>
      </c>
      <c r="G190" s="55" t="s">
        <v>229</v>
      </c>
      <c r="H190" s="58" t="s">
        <v>406</v>
      </c>
    </row>
    <row r="191" spans="1:8" s="12" customFormat="1" x14ac:dyDescent="0.2">
      <c r="A191" s="11"/>
      <c r="B191" s="37"/>
      <c r="F191" s="9" t="s">
        <v>131</v>
      </c>
      <c r="G191" s="55"/>
      <c r="H191" s="58"/>
    </row>
    <row r="192" spans="1:8" s="12" customFormat="1" x14ac:dyDescent="0.2">
      <c r="A192" s="11"/>
      <c r="B192" s="37"/>
      <c r="C192" s="12">
        <f>C190+E190</f>
        <v>2119</v>
      </c>
      <c r="D192" s="12">
        <f>C192+E192-1</f>
        <v>2124</v>
      </c>
      <c r="E192" s="12">
        <v>6</v>
      </c>
      <c r="F192" s="17" t="s">
        <v>153</v>
      </c>
      <c r="G192" s="56"/>
      <c r="H192" s="58"/>
    </row>
    <row r="193" spans="1:9" s="12" customFormat="1" ht="63.75" x14ac:dyDescent="0.2">
      <c r="A193" s="11" t="s">
        <v>4</v>
      </c>
      <c r="B193" s="37" t="s">
        <v>424</v>
      </c>
      <c r="C193" s="12">
        <f>C192+E192</f>
        <v>2125</v>
      </c>
      <c r="D193" s="12">
        <f>C193+E193-1</f>
        <v>2125</v>
      </c>
      <c r="E193" s="12">
        <v>1</v>
      </c>
      <c r="F193" s="12" t="s">
        <v>132</v>
      </c>
      <c r="G193" s="55" t="s">
        <v>119</v>
      </c>
      <c r="H193" s="58" t="s">
        <v>417</v>
      </c>
    </row>
    <row r="194" spans="1:9" s="12" customFormat="1" x14ac:dyDescent="0.2">
      <c r="A194" s="11"/>
      <c r="B194" s="37"/>
      <c r="F194" s="9" t="s">
        <v>133</v>
      </c>
      <c r="G194" s="55"/>
      <c r="H194" s="58"/>
    </row>
    <row r="195" spans="1:9" s="12" customFormat="1" x14ac:dyDescent="0.2">
      <c r="A195" s="37" t="s">
        <v>274</v>
      </c>
      <c r="B195" s="37" t="s">
        <v>424</v>
      </c>
      <c r="C195" s="12">
        <f>C193+E193</f>
        <v>2126</v>
      </c>
      <c r="D195" s="12">
        <f t="shared" ref="D195:D200" si="36">C195+E195-1</f>
        <v>2126</v>
      </c>
      <c r="E195" s="12">
        <v>1</v>
      </c>
      <c r="F195" s="61" t="s">
        <v>353</v>
      </c>
      <c r="G195" s="66" t="s">
        <v>383</v>
      </c>
      <c r="H195" s="66" t="s">
        <v>384</v>
      </c>
    </row>
    <row r="196" spans="1:9" s="12" customFormat="1" x14ac:dyDescent="0.2">
      <c r="A196" s="37" t="s">
        <v>274</v>
      </c>
      <c r="B196" s="37" t="s">
        <v>424</v>
      </c>
      <c r="C196" s="12">
        <f>C195+E195</f>
        <v>2127</v>
      </c>
      <c r="D196" s="12">
        <f t="shared" si="36"/>
        <v>2127</v>
      </c>
      <c r="E196" s="12">
        <v>1</v>
      </c>
      <c r="F196" s="61" t="s">
        <v>354</v>
      </c>
      <c r="G196" s="64"/>
      <c r="H196" s="66"/>
    </row>
    <row r="197" spans="1:9" s="12" customFormat="1" x14ac:dyDescent="0.2">
      <c r="A197" s="37" t="s">
        <v>274</v>
      </c>
      <c r="B197" s="37" t="s">
        <v>424</v>
      </c>
      <c r="C197" s="12">
        <f>C196+E196</f>
        <v>2128</v>
      </c>
      <c r="D197" s="12">
        <f t="shared" si="36"/>
        <v>2128</v>
      </c>
      <c r="E197" s="12">
        <v>1</v>
      </c>
      <c r="F197" s="38" t="s">
        <v>355</v>
      </c>
      <c r="G197" s="64"/>
      <c r="H197" s="66"/>
    </row>
    <row r="198" spans="1:9" s="12" customFormat="1" x14ac:dyDescent="0.2">
      <c r="A198" s="37" t="s">
        <v>274</v>
      </c>
      <c r="B198" s="37" t="s">
        <v>424</v>
      </c>
      <c r="C198" s="12">
        <f>C197+E197</f>
        <v>2129</v>
      </c>
      <c r="D198" s="12">
        <f t="shared" si="36"/>
        <v>2129</v>
      </c>
      <c r="E198" s="12">
        <v>1</v>
      </c>
      <c r="F198" s="38" t="s">
        <v>356</v>
      </c>
      <c r="G198" s="64"/>
      <c r="H198" s="66"/>
    </row>
    <row r="199" spans="1:9" s="12" customFormat="1" ht="140.25" x14ac:dyDescent="0.2">
      <c r="A199" s="11"/>
      <c r="B199" s="37" t="s">
        <v>424</v>
      </c>
      <c r="C199" s="12">
        <f>C198+E198</f>
        <v>2130</v>
      </c>
      <c r="D199" s="12">
        <f t="shared" si="36"/>
        <v>2130</v>
      </c>
      <c r="E199" s="12">
        <v>1</v>
      </c>
      <c r="F199" s="38" t="s">
        <v>282</v>
      </c>
      <c r="G199" s="58" t="s">
        <v>415</v>
      </c>
      <c r="H199" s="54" t="s">
        <v>406</v>
      </c>
    </row>
    <row r="200" spans="1:9" s="12" customFormat="1" ht="80.25" customHeight="1" x14ac:dyDescent="0.2">
      <c r="A200" s="37" t="s">
        <v>275</v>
      </c>
      <c r="B200" s="37" t="s">
        <v>138</v>
      </c>
      <c r="C200" s="12">
        <f>C199+E199</f>
        <v>2131</v>
      </c>
      <c r="D200" s="12">
        <f t="shared" si="36"/>
        <v>2131</v>
      </c>
      <c r="E200" s="12">
        <v>1</v>
      </c>
      <c r="F200" s="13" t="s">
        <v>54</v>
      </c>
      <c r="G200" s="55" t="s">
        <v>230</v>
      </c>
      <c r="H200" s="58" t="s">
        <v>266</v>
      </c>
    </row>
    <row r="201" spans="1:9" s="12" customFormat="1" ht="14.25" customHeight="1" x14ac:dyDescent="0.2">
      <c r="A201" s="11"/>
      <c r="B201" s="37"/>
      <c r="F201" s="9" t="s">
        <v>134</v>
      </c>
      <c r="G201" s="53"/>
      <c r="H201" s="54"/>
      <c r="I201" s="23"/>
    </row>
    <row r="202" spans="1:9" s="12" customFormat="1" ht="195" customHeight="1" x14ac:dyDescent="0.2">
      <c r="A202" s="11"/>
      <c r="B202" s="37" t="s">
        <v>424</v>
      </c>
      <c r="C202" s="12">
        <f>C200+E200</f>
        <v>2132</v>
      </c>
      <c r="D202" s="12">
        <f>C202+E202-1</f>
        <v>2133</v>
      </c>
      <c r="E202" s="12">
        <v>2</v>
      </c>
      <c r="F202" s="38" t="s">
        <v>400</v>
      </c>
      <c r="G202" s="58" t="s">
        <v>385</v>
      </c>
      <c r="H202" s="58" t="s">
        <v>429</v>
      </c>
    </row>
    <row r="203" spans="1:9" s="12" customFormat="1" ht="39.75" customHeight="1" x14ac:dyDescent="0.2">
      <c r="A203" s="11"/>
      <c r="B203" s="37" t="s">
        <v>424</v>
      </c>
      <c r="C203" s="12">
        <f>C202+E202</f>
        <v>2134</v>
      </c>
      <c r="D203" s="12">
        <f>C203+E203-1</f>
        <v>2134</v>
      </c>
      <c r="E203" s="12">
        <v>1</v>
      </c>
      <c r="F203" s="12" t="s">
        <v>135</v>
      </c>
      <c r="G203" s="55" t="s">
        <v>53</v>
      </c>
      <c r="H203" s="58" t="s">
        <v>212</v>
      </c>
    </row>
    <row r="204" spans="1:9" s="12" customFormat="1" ht="76.5" x14ac:dyDescent="0.2">
      <c r="A204" s="37" t="s">
        <v>273</v>
      </c>
      <c r="B204" s="37" t="s">
        <v>138</v>
      </c>
      <c r="C204" s="12">
        <f>C203+E203</f>
        <v>2135</v>
      </c>
      <c r="D204" s="12">
        <f>C204+E204-1</f>
        <v>2135</v>
      </c>
      <c r="E204" s="12">
        <v>1</v>
      </c>
      <c r="F204" s="17" t="s">
        <v>69</v>
      </c>
      <c r="G204" s="55" t="s">
        <v>231</v>
      </c>
      <c r="H204" s="58" t="s">
        <v>447</v>
      </c>
    </row>
    <row r="205" spans="1:9" s="12" customFormat="1" ht="76.5" x14ac:dyDescent="0.2">
      <c r="A205" s="11"/>
      <c r="B205" s="37" t="s">
        <v>424</v>
      </c>
      <c r="C205" s="12">
        <f>C204+E204</f>
        <v>2136</v>
      </c>
      <c r="D205" s="12">
        <f t="shared" ref="D205" si="37">C205+E205-1</f>
        <v>2136</v>
      </c>
      <c r="E205" s="12">
        <v>1</v>
      </c>
      <c r="F205" s="38" t="s">
        <v>199</v>
      </c>
      <c r="G205" s="39" t="s">
        <v>200</v>
      </c>
      <c r="H205" s="58" t="s">
        <v>251</v>
      </c>
    </row>
    <row r="206" spans="1:9" s="19" customFormat="1" x14ac:dyDescent="0.2">
      <c r="A206" s="11"/>
      <c r="B206" s="37"/>
      <c r="C206" s="12">
        <f>C205+E205</f>
        <v>2137</v>
      </c>
      <c r="D206" s="12">
        <f>C206+E206-1</f>
        <v>2229</v>
      </c>
      <c r="E206" s="12">
        <v>93</v>
      </c>
      <c r="F206" s="38" t="s">
        <v>153</v>
      </c>
      <c r="G206" s="35"/>
      <c r="H206" s="58"/>
    </row>
    <row r="207" spans="1:9" s="12" customFormat="1" x14ac:dyDescent="0.2">
      <c r="A207" s="11"/>
      <c r="B207" s="37"/>
      <c r="F207" s="9" t="s">
        <v>318</v>
      </c>
      <c r="G207" s="55"/>
      <c r="H207" s="58"/>
    </row>
    <row r="208" spans="1:9" s="12" customFormat="1" x14ac:dyDescent="0.2">
      <c r="A208" s="11"/>
      <c r="B208" s="37" t="s">
        <v>139</v>
      </c>
      <c r="C208" s="12">
        <f>C206+E206</f>
        <v>2230</v>
      </c>
      <c r="D208" s="12">
        <f t="shared" ref="D208:D215" si="38">C208+E208-1</f>
        <v>2231</v>
      </c>
      <c r="E208" s="12">
        <v>2</v>
      </c>
      <c r="F208" s="38" t="s">
        <v>334</v>
      </c>
      <c r="G208" s="66" t="s">
        <v>232</v>
      </c>
      <c r="H208" s="66" t="s">
        <v>448</v>
      </c>
    </row>
    <row r="209" spans="1:8" s="12" customFormat="1" x14ac:dyDescent="0.2">
      <c r="A209" s="11"/>
      <c r="B209" s="37" t="s">
        <v>139</v>
      </c>
      <c r="C209" s="12">
        <f t="shared" ref="C209:C215" si="39">C208+E208</f>
        <v>2232</v>
      </c>
      <c r="D209" s="12">
        <f t="shared" si="38"/>
        <v>2233</v>
      </c>
      <c r="E209" s="12">
        <v>2</v>
      </c>
      <c r="F209" s="38" t="s">
        <v>335</v>
      </c>
      <c r="G209" s="64"/>
      <c r="H209" s="66"/>
    </row>
    <row r="210" spans="1:8" s="12" customFormat="1" x14ac:dyDescent="0.2">
      <c r="A210" s="11"/>
      <c r="B210" s="37" t="s">
        <v>139</v>
      </c>
      <c r="C210" s="12">
        <f t="shared" si="39"/>
        <v>2234</v>
      </c>
      <c r="D210" s="12">
        <f t="shared" si="38"/>
        <v>2235</v>
      </c>
      <c r="E210" s="12">
        <v>2</v>
      </c>
      <c r="F210" s="38" t="s">
        <v>336</v>
      </c>
      <c r="G210" s="64"/>
      <c r="H210" s="66"/>
    </row>
    <row r="211" spans="1:8" s="12" customFormat="1" x14ac:dyDescent="0.2">
      <c r="A211" s="11"/>
      <c r="B211" s="37" t="s">
        <v>139</v>
      </c>
      <c r="C211" s="12">
        <f t="shared" si="39"/>
        <v>2236</v>
      </c>
      <c r="D211" s="12">
        <f t="shared" si="38"/>
        <v>2237</v>
      </c>
      <c r="E211" s="12">
        <v>2</v>
      </c>
      <c r="F211" s="38" t="s">
        <v>337</v>
      </c>
      <c r="G211" s="64"/>
      <c r="H211" s="66"/>
    </row>
    <row r="212" spans="1:8" s="12" customFormat="1" ht="44.25" customHeight="1" x14ac:dyDescent="0.2">
      <c r="A212" s="37" t="s">
        <v>273</v>
      </c>
      <c r="B212" s="37" t="s">
        <v>424</v>
      </c>
      <c r="C212" s="12">
        <f t="shared" si="39"/>
        <v>2238</v>
      </c>
      <c r="D212" s="12">
        <f t="shared" si="38"/>
        <v>2239</v>
      </c>
      <c r="E212" s="12">
        <v>2</v>
      </c>
      <c r="F212" s="12" t="s">
        <v>162</v>
      </c>
      <c r="G212" s="66" t="s">
        <v>232</v>
      </c>
      <c r="H212" s="75" t="s">
        <v>449</v>
      </c>
    </row>
    <row r="213" spans="1:8" s="12" customFormat="1" ht="44.25" customHeight="1" x14ac:dyDescent="0.2">
      <c r="A213" s="37" t="s">
        <v>273</v>
      </c>
      <c r="B213" s="37" t="s">
        <v>432</v>
      </c>
      <c r="C213" s="12">
        <f t="shared" si="39"/>
        <v>2240</v>
      </c>
      <c r="D213" s="12">
        <f t="shared" si="38"/>
        <v>2241</v>
      </c>
      <c r="E213" s="12">
        <v>2</v>
      </c>
      <c r="F213" s="12" t="s">
        <v>163</v>
      </c>
      <c r="G213" s="65"/>
      <c r="H213" s="67"/>
    </row>
    <row r="214" spans="1:8" s="12" customFormat="1" ht="44.25" customHeight="1" x14ac:dyDescent="0.2">
      <c r="A214" s="37" t="s">
        <v>273</v>
      </c>
      <c r="B214" s="37" t="s">
        <v>424</v>
      </c>
      <c r="C214" s="12">
        <f t="shared" si="39"/>
        <v>2242</v>
      </c>
      <c r="D214" s="12">
        <f t="shared" si="38"/>
        <v>2243</v>
      </c>
      <c r="E214" s="12">
        <v>2</v>
      </c>
      <c r="F214" s="12" t="s">
        <v>164</v>
      </c>
      <c r="G214" s="65"/>
      <c r="H214" s="67"/>
    </row>
    <row r="215" spans="1:8" s="12" customFormat="1" x14ac:dyDescent="0.2">
      <c r="A215" s="37"/>
      <c r="B215" s="37"/>
      <c r="C215" s="12">
        <f t="shared" si="39"/>
        <v>2244</v>
      </c>
      <c r="D215" s="12">
        <f t="shared" si="38"/>
        <v>2245</v>
      </c>
      <c r="E215" s="12">
        <v>2</v>
      </c>
      <c r="F215" s="38" t="s">
        <v>153</v>
      </c>
      <c r="G215" s="53"/>
      <c r="H215" s="54"/>
    </row>
    <row r="216" spans="1:8" s="12" customFormat="1" ht="43.5" customHeight="1" x14ac:dyDescent="0.2">
      <c r="A216" s="37" t="s">
        <v>276</v>
      </c>
      <c r="B216" s="37" t="s">
        <v>424</v>
      </c>
      <c r="C216" s="12">
        <f t="shared" ref="C216:C224" si="40">C215+E215</f>
        <v>2246</v>
      </c>
      <c r="D216" s="12">
        <f t="shared" ref="D216:D224" si="41">C216+E216-1</f>
        <v>2247</v>
      </c>
      <c r="E216" s="12">
        <v>2</v>
      </c>
      <c r="F216" s="38" t="s">
        <v>201</v>
      </c>
      <c r="G216" s="66" t="s">
        <v>232</v>
      </c>
      <c r="H216" s="75" t="s">
        <v>450</v>
      </c>
    </row>
    <row r="217" spans="1:8" s="12" customFormat="1" ht="43.5" customHeight="1" x14ac:dyDescent="0.2">
      <c r="A217" s="37" t="s">
        <v>276</v>
      </c>
      <c r="B217" s="37" t="s">
        <v>424</v>
      </c>
      <c r="C217" s="12">
        <f t="shared" si="40"/>
        <v>2248</v>
      </c>
      <c r="D217" s="12">
        <f t="shared" si="41"/>
        <v>2249</v>
      </c>
      <c r="E217" s="12">
        <v>2</v>
      </c>
      <c r="F217" s="38" t="s">
        <v>202</v>
      </c>
      <c r="G217" s="74"/>
      <c r="H217" s="66"/>
    </row>
    <row r="218" spans="1:8" s="12" customFormat="1" ht="43.5" customHeight="1" x14ac:dyDescent="0.2">
      <c r="A218" s="37" t="s">
        <v>276</v>
      </c>
      <c r="B218" s="37" t="s">
        <v>424</v>
      </c>
      <c r="C218" s="12">
        <f t="shared" si="40"/>
        <v>2250</v>
      </c>
      <c r="D218" s="12">
        <f>C218+E218-1</f>
        <v>2251</v>
      </c>
      <c r="E218" s="12">
        <v>2</v>
      </c>
      <c r="F218" s="38" t="s">
        <v>203</v>
      </c>
      <c r="G218" s="74"/>
      <c r="H218" s="66"/>
    </row>
    <row r="219" spans="1:8" s="12" customFormat="1" ht="43.5" customHeight="1" x14ac:dyDescent="0.2">
      <c r="A219" s="37" t="s">
        <v>276</v>
      </c>
      <c r="B219" s="37" t="s">
        <v>424</v>
      </c>
      <c r="C219" s="12">
        <f t="shared" si="40"/>
        <v>2252</v>
      </c>
      <c r="D219" s="12">
        <f t="shared" si="41"/>
        <v>2253</v>
      </c>
      <c r="E219" s="12">
        <v>2</v>
      </c>
      <c r="F219" s="38" t="s">
        <v>204</v>
      </c>
      <c r="G219" s="74"/>
      <c r="H219" s="66"/>
    </row>
    <row r="220" spans="1:8" s="12" customFormat="1" ht="15.75" customHeight="1" x14ac:dyDescent="0.2">
      <c r="A220" s="11"/>
      <c r="B220" s="37"/>
      <c r="C220" s="12">
        <f t="shared" si="40"/>
        <v>2254</v>
      </c>
      <c r="D220" s="12">
        <f t="shared" si="41"/>
        <v>2254</v>
      </c>
      <c r="E220" s="12">
        <v>1</v>
      </c>
      <c r="F220" s="12" t="s">
        <v>153</v>
      </c>
      <c r="G220" s="55"/>
      <c r="H220" s="54"/>
    </row>
    <row r="221" spans="1:8" s="12" customFormat="1" ht="31.5" customHeight="1" x14ac:dyDescent="0.2">
      <c r="A221" s="37" t="s">
        <v>275</v>
      </c>
      <c r="B221" s="37" t="s">
        <v>136</v>
      </c>
      <c r="C221" s="12">
        <f t="shared" si="40"/>
        <v>2255</v>
      </c>
      <c r="D221" s="12">
        <f t="shared" si="41"/>
        <v>2257</v>
      </c>
      <c r="E221" s="12">
        <v>3</v>
      </c>
      <c r="F221" s="38" t="s">
        <v>286</v>
      </c>
      <c r="G221" s="64" t="s">
        <v>233</v>
      </c>
      <c r="H221" s="66" t="s">
        <v>451</v>
      </c>
    </row>
    <row r="222" spans="1:8" s="12" customFormat="1" ht="31.5" customHeight="1" x14ac:dyDescent="0.2">
      <c r="A222" s="37" t="s">
        <v>275</v>
      </c>
      <c r="B222" s="37" t="s">
        <v>136</v>
      </c>
      <c r="C222" s="12">
        <f t="shared" si="40"/>
        <v>2258</v>
      </c>
      <c r="D222" s="12">
        <f t="shared" si="41"/>
        <v>2260</v>
      </c>
      <c r="E222" s="12">
        <v>3</v>
      </c>
      <c r="F222" s="38" t="s">
        <v>287</v>
      </c>
      <c r="G222" s="64"/>
      <c r="H222" s="66"/>
    </row>
    <row r="223" spans="1:8" s="12" customFormat="1" ht="31.5" customHeight="1" x14ac:dyDescent="0.2">
      <c r="A223" s="37" t="s">
        <v>275</v>
      </c>
      <c r="B223" s="37" t="s">
        <v>136</v>
      </c>
      <c r="C223" s="12">
        <f t="shared" si="40"/>
        <v>2261</v>
      </c>
      <c r="D223" s="12">
        <f t="shared" si="41"/>
        <v>2263</v>
      </c>
      <c r="E223" s="12">
        <v>3</v>
      </c>
      <c r="F223" s="38" t="s">
        <v>288</v>
      </c>
      <c r="G223" s="64"/>
      <c r="H223" s="66"/>
    </row>
    <row r="224" spans="1:8" s="12" customFormat="1" ht="31.5" customHeight="1" x14ac:dyDescent="0.2">
      <c r="A224" s="37" t="s">
        <v>275</v>
      </c>
      <c r="B224" s="37" t="s">
        <v>136</v>
      </c>
      <c r="C224" s="12">
        <f t="shared" si="40"/>
        <v>2264</v>
      </c>
      <c r="D224" s="12">
        <f t="shared" si="41"/>
        <v>2266</v>
      </c>
      <c r="E224" s="12">
        <v>3</v>
      </c>
      <c r="F224" s="38" t="s">
        <v>289</v>
      </c>
      <c r="G224" s="64"/>
      <c r="H224" s="66"/>
    </row>
    <row r="225" spans="1:9" s="26" customFormat="1" x14ac:dyDescent="0.2">
      <c r="A225" s="25"/>
      <c r="B225" s="37"/>
      <c r="F225" s="9" t="s">
        <v>149</v>
      </c>
      <c r="G225" s="45"/>
      <c r="H225" s="58"/>
    </row>
    <row r="226" spans="1:9" s="26" customFormat="1" x14ac:dyDescent="0.2">
      <c r="A226" s="11"/>
      <c r="B226" s="37"/>
      <c r="C226" s="12">
        <f>C224+E224</f>
        <v>2267</v>
      </c>
      <c r="D226" s="12">
        <f t="shared" ref="D226:D229" si="42">C226+E226-1</f>
        <v>2270</v>
      </c>
      <c r="E226" s="12">
        <v>4</v>
      </c>
      <c r="F226" s="61" t="s">
        <v>153</v>
      </c>
      <c r="G226" s="57"/>
      <c r="H226" s="54"/>
      <c r="I226" s="27"/>
    </row>
    <row r="227" spans="1:9" s="26" customFormat="1" ht="60.75" customHeight="1" x14ac:dyDescent="0.2">
      <c r="A227" s="11"/>
      <c r="B227" s="37" t="s">
        <v>433</v>
      </c>
      <c r="C227" s="12">
        <f t="shared" ref="C227:C229" si="43">C226+E226</f>
        <v>2271</v>
      </c>
      <c r="D227" s="12">
        <f t="shared" si="42"/>
        <v>2273</v>
      </c>
      <c r="E227" s="40">
        <v>3</v>
      </c>
      <c r="F227" s="38" t="s">
        <v>284</v>
      </c>
      <c r="G227" s="54" t="s">
        <v>234</v>
      </c>
      <c r="H227" s="66" t="s">
        <v>452</v>
      </c>
      <c r="I227" s="27"/>
    </row>
    <row r="228" spans="1:9" s="26" customFormat="1" ht="60.75" customHeight="1" x14ac:dyDescent="0.2">
      <c r="A228" s="11"/>
      <c r="B228" s="37" t="s">
        <v>433</v>
      </c>
      <c r="C228" s="12">
        <f t="shared" si="43"/>
        <v>2274</v>
      </c>
      <c r="D228" s="12">
        <f t="shared" si="42"/>
        <v>2276</v>
      </c>
      <c r="E228" s="51">
        <v>3</v>
      </c>
      <c r="F228" s="52" t="s">
        <v>285</v>
      </c>
      <c r="G228" s="54" t="s">
        <v>235</v>
      </c>
      <c r="H228" s="66"/>
      <c r="I228" s="27"/>
    </row>
    <row r="229" spans="1:9" s="26" customFormat="1" ht="63.75" x14ac:dyDescent="0.2">
      <c r="A229" s="11"/>
      <c r="B229" s="37" t="s">
        <v>424</v>
      </c>
      <c r="C229" s="12">
        <f t="shared" si="43"/>
        <v>2277</v>
      </c>
      <c r="D229" s="12">
        <f t="shared" si="42"/>
        <v>2277</v>
      </c>
      <c r="E229" s="40">
        <v>1</v>
      </c>
      <c r="F229" s="38" t="s">
        <v>404</v>
      </c>
      <c r="G229" s="54" t="s">
        <v>409</v>
      </c>
      <c r="H229" s="54" t="s">
        <v>66</v>
      </c>
      <c r="I229" s="27"/>
    </row>
    <row r="230" spans="1:9" s="26" customFormat="1" ht="63.75" x14ac:dyDescent="0.2">
      <c r="A230" s="11"/>
      <c r="B230" s="37" t="s">
        <v>424</v>
      </c>
      <c r="C230" s="12">
        <f>C229+E229</f>
        <v>2278</v>
      </c>
      <c r="D230" s="12">
        <f>C230+E230-1</f>
        <v>2283</v>
      </c>
      <c r="E230" s="40">
        <v>6</v>
      </c>
      <c r="F230" s="38" t="s">
        <v>405</v>
      </c>
      <c r="G230" s="54" t="s">
        <v>410</v>
      </c>
      <c r="H230" s="54" t="s">
        <v>406</v>
      </c>
      <c r="I230" s="27"/>
    </row>
    <row r="231" spans="1:9" s="26" customFormat="1" ht="51" x14ac:dyDescent="0.2">
      <c r="A231" s="11"/>
      <c r="B231" s="37" t="s">
        <v>424</v>
      </c>
      <c r="C231" s="12">
        <f>C230+E230</f>
        <v>2284</v>
      </c>
      <c r="D231" s="12">
        <f>C231+E231-1</f>
        <v>2286</v>
      </c>
      <c r="E231" s="40">
        <v>3</v>
      </c>
      <c r="F231" s="38" t="s">
        <v>407</v>
      </c>
      <c r="G231" s="54" t="s">
        <v>408</v>
      </c>
      <c r="H231" s="54" t="s">
        <v>406</v>
      </c>
      <c r="I231" s="27"/>
    </row>
    <row r="232" spans="1:9" s="19" customFormat="1" ht="12.75" customHeight="1" x14ac:dyDescent="0.2">
      <c r="A232" s="11"/>
      <c r="B232" s="37"/>
      <c r="C232" s="12">
        <f>C231+E231</f>
        <v>2287</v>
      </c>
      <c r="D232" s="12">
        <f>C232+E232-1</f>
        <v>2602</v>
      </c>
      <c r="E232" s="12">
        <v>316</v>
      </c>
      <c r="F232" s="17" t="s">
        <v>153</v>
      </c>
      <c r="G232" s="55"/>
      <c r="H232" s="58"/>
    </row>
    <row r="233" spans="1:9" s="19" customFormat="1" ht="117" customHeight="1" x14ac:dyDescent="0.2">
      <c r="A233" s="11"/>
      <c r="B233" s="37" t="s">
        <v>424</v>
      </c>
      <c r="C233" s="12">
        <f>+C232+E232</f>
        <v>2603</v>
      </c>
      <c r="D233" s="12">
        <v>2608</v>
      </c>
      <c r="E233" s="12">
        <v>6</v>
      </c>
      <c r="F233" s="17" t="s">
        <v>239</v>
      </c>
      <c r="G233" s="58" t="s">
        <v>304</v>
      </c>
      <c r="H233" s="58" t="s">
        <v>453</v>
      </c>
    </row>
    <row r="234" spans="1:9" s="19" customFormat="1" ht="12.75" customHeight="1" x14ac:dyDescent="0.2">
      <c r="A234" s="11"/>
      <c r="B234" s="37"/>
      <c r="C234" s="12"/>
      <c r="D234" s="12"/>
      <c r="E234" s="12"/>
      <c r="F234" s="9" t="s">
        <v>165</v>
      </c>
      <c r="G234" s="29"/>
      <c r="H234" s="54"/>
    </row>
    <row r="235" spans="1:9" s="19" customFormat="1" ht="54.75" customHeight="1" x14ac:dyDescent="0.2">
      <c r="A235" s="11"/>
      <c r="B235" s="37" t="s">
        <v>424</v>
      </c>
      <c r="C235" s="12">
        <f>C233+E233</f>
        <v>2609</v>
      </c>
      <c r="D235" s="12">
        <f>C235+E235-1</f>
        <v>2614</v>
      </c>
      <c r="E235" s="12">
        <v>6</v>
      </c>
      <c r="F235" s="13" t="s">
        <v>166</v>
      </c>
      <c r="G235" s="72" t="s">
        <v>411</v>
      </c>
      <c r="H235" s="66" t="s">
        <v>454</v>
      </c>
    </row>
    <row r="236" spans="1:9" s="19" customFormat="1" ht="54.75" customHeight="1" x14ac:dyDescent="0.2">
      <c r="A236" s="11"/>
      <c r="B236" s="37" t="s">
        <v>432</v>
      </c>
      <c r="C236" s="12">
        <f>+C235+E235</f>
        <v>2615</v>
      </c>
      <c r="D236" s="12">
        <f>C236+E236-1</f>
        <v>2620</v>
      </c>
      <c r="E236" s="12">
        <v>6</v>
      </c>
      <c r="F236" s="13" t="s">
        <v>167</v>
      </c>
      <c r="G236" s="73"/>
      <c r="H236" s="67"/>
    </row>
    <row r="237" spans="1:9" s="19" customFormat="1" ht="54.75" customHeight="1" x14ac:dyDescent="0.2">
      <c r="A237" s="11"/>
      <c r="B237" s="37" t="s">
        <v>424</v>
      </c>
      <c r="C237" s="12">
        <f>+C236+E236</f>
        <v>2621</v>
      </c>
      <c r="D237" s="12">
        <f>C237+E237-1</f>
        <v>2626</v>
      </c>
      <c r="E237" s="12">
        <v>6</v>
      </c>
      <c r="F237" s="13" t="s">
        <v>168</v>
      </c>
      <c r="G237" s="73"/>
      <c r="H237" s="67"/>
    </row>
    <row r="238" spans="1:9" s="19" customFormat="1" x14ac:dyDescent="0.2">
      <c r="A238" s="11"/>
      <c r="B238" s="37"/>
      <c r="C238" s="12">
        <f>C237+E237</f>
        <v>2627</v>
      </c>
      <c r="D238" s="12">
        <f>C238+E238-1</f>
        <v>2732</v>
      </c>
      <c r="E238" s="12">
        <v>106</v>
      </c>
      <c r="F238" s="12" t="s">
        <v>153</v>
      </c>
      <c r="G238" s="55"/>
      <c r="H238" s="58"/>
    </row>
    <row r="239" spans="1:9" s="19" customFormat="1" ht="38.25" x14ac:dyDescent="0.2">
      <c r="A239" s="11"/>
      <c r="B239" s="37"/>
      <c r="C239" s="12"/>
      <c r="D239" s="12"/>
      <c r="E239" s="12"/>
      <c r="F239" s="9" t="s">
        <v>112</v>
      </c>
      <c r="G239" s="55"/>
      <c r="H239" s="58" t="s">
        <v>328</v>
      </c>
    </row>
    <row r="240" spans="1:9" s="19" customFormat="1" ht="25.5" x14ac:dyDescent="0.2">
      <c r="A240" s="11" t="s">
        <v>4</v>
      </c>
      <c r="B240" s="37" t="s">
        <v>424</v>
      </c>
      <c r="C240" s="12">
        <f>C238+E238</f>
        <v>2733</v>
      </c>
      <c r="D240" s="12">
        <f>C240+E240-1</f>
        <v>2733</v>
      </c>
      <c r="E240" s="12">
        <v>1</v>
      </c>
      <c r="F240" s="12" t="s">
        <v>140</v>
      </c>
      <c r="G240" s="53" t="s">
        <v>56</v>
      </c>
      <c r="H240" s="54" t="s">
        <v>113</v>
      </c>
    </row>
    <row r="241" spans="1:10" s="19" customFormat="1" ht="25.5" x14ac:dyDescent="0.2">
      <c r="A241" s="11"/>
      <c r="B241" s="37" t="s">
        <v>424</v>
      </c>
      <c r="C241" s="12">
        <f>C240+E240</f>
        <v>2734</v>
      </c>
      <c r="D241" s="12">
        <f>C241+E241-1</f>
        <v>2734</v>
      </c>
      <c r="E241" s="12">
        <v>1</v>
      </c>
      <c r="F241" s="12" t="s">
        <v>141</v>
      </c>
      <c r="G241" s="53" t="s">
        <v>56</v>
      </c>
      <c r="H241" s="54" t="s">
        <v>114</v>
      </c>
    </row>
    <row r="242" spans="1:10" s="19" customFormat="1" ht="25.5" x14ac:dyDescent="0.2">
      <c r="A242" s="11"/>
      <c r="B242" s="37" t="s">
        <v>136</v>
      </c>
      <c r="C242" s="12">
        <f>C241+E241</f>
        <v>2735</v>
      </c>
      <c r="D242" s="12">
        <f>C242+E242-1</f>
        <v>2735</v>
      </c>
      <c r="E242" s="12">
        <v>1</v>
      </c>
      <c r="F242" s="38" t="s">
        <v>142</v>
      </c>
      <c r="G242" s="58" t="s">
        <v>56</v>
      </c>
      <c r="H242" s="54" t="s">
        <v>267</v>
      </c>
    </row>
    <row r="243" spans="1:10" s="19" customFormat="1" ht="25.5" x14ac:dyDescent="0.2">
      <c r="A243" s="11"/>
      <c r="B243" s="37" t="s">
        <v>424</v>
      </c>
      <c r="C243" s="12">
        <f>C242+E242</f>
        <v>2736</v>
      </c>
      <c r="D243" s="12">
        <f>C243+E243-1</f>
        <v>2736</v>
      </c>
      <c r="E243" s="12">
        <v>1</v>
      </c>
      <c r="F243" s="12" t="s">
        <v>143</v>
      </c>
      <c r="G243" s="53" t="s">
        <v>56</v>
      </c>
      <c r="H243" s="54" t="s">
        <v>124</v>
      </c>
    </row>
    <row r="244" spans="1:10" s="19" customFormat="1" x14ac:dyDescent="0.2">
      <c r="A244" s="11"/>
      <c r="B244" s="37"/>
      <c r="C244" s="12">
        <f t="shared" ref="C244:C247" si="44">C243+E243</f>
        <v>2737</v>
      </c>
      <c r="D244" s="12">
        <f t="shared" ref="D244:D247" si="45">C244+E244-1</f>
        <v>2737</v>
      </c>
      <c r="E244" s="12">
        <v>1</v>
      </c>
      <c r="F244" s="38" t="s">
        <v>153</v>
      </c>
      <c r="G244" s="53"/>
      <c r="H244" s="54"/>
    </row>
    <row r="245" spans="1:10" s="19" customFormat="1" ht="25.5" x14ac:dyDescent="0.2">
      <c r="A245" s="11"/>
      <c r="B245" s="37" t="s">
        <v>424</v>
      </c>
      <c r="C245" s="12">
        <f t="shared" si="44"/>
        <v>2738</v>
      </c>
      <c r="D245" s="12">
        <f t="shared" si="45"/>
        <v>2738</v>
      </c>
      <c r="E245" s="12">
        <v>1</v>
      </c>
      <c r="F245" s="12" t="s">
        <v>144</v>
      </c>
      <c r="G245" s="53" t="s">
        <v>56</v>
      </c>
      <c r="H245" s="54" t="s">
        <v>52</v>
      </c>
    </row>
    <row r="246" spans="1:10" s="12" customFormat="1" ht="43.5" customHeight="1" x14ac:dyDescent="0.2">
      <c r="A246" s="11"/>
      <c r="B246" s="37"/>
      <c r="C246" s="12">
        <f>C245+E245</f>
        <v>2739</v>
      </c>
      <c r="D246" s="12">
        <f t="shared" si="45"/>
        <v>2741</v>
      </c>
      <c r="E246" s="12">
        <v>3</v>
      </c>
      <c r="F246" s="38" t="s">
        <v>153</v>
      </c>
      <c r="G246" s="58"/>
      <c r="H246" s="54"/>
    </row>
    <row r="247" spans="1:10" s="19" customFormat="1" ht="39" customHeight="1" x14ac:dyDescent="0.2">
      <c r="A247" s="11"/>
      <c r="B247" s="37" t="s">
        <v>136</v>
      </c>
      <c r="C247" s="12">
        <f t="shared" si="44"/>
        <v>2742</v>
      </c>
      <c r="D247" s="12">
        <f t="shared" si="45"/>
        <v>2742</v>
      </c>
      <c r="E247" s="12">
        <v>1</v>
      </c>
      <c r="F247" s="12" t="s">
        <v>145</v>
      </c>
      <c r="G247" s="58" t="s">
        <v>56</v>
      </c>
      <c r="H247" s="54" t="s">
        <v>268</v>
      </c>
    </row>
    <row r="248" spans="1:10" s="19" customFormat="1" x14ac:dyDescent="0.2">
      <c r="A248" s="11"/>
      <c r="B248" s="37"/>
      <c r="C248" s="12">
        <f>C247+E247</f>
        <v>2743</v>
      </c>
      <c r="D248" s="12">
        <f>C248+E248-1</f>
        <v>2788</v>
      </c>
      <c r="E248" s="12">
        <v>46</v>
      </c>
      <c r="F248" s="17" t="s">
        <v>153</v>
      </c>
      <c r="G248" s="55"/>
      <c r="H248" s="58"/>
    </row>
    <row r="249" spans="1:10" s="19" customFormat="1" x14ac:dyDescent="0.2">
      <c r="A249" s="11"/>
      <c r="B249" s="37"/>
      <c r="C249" s="12"/>
      <c r="D249" s="12"/>
      <c r="E249" s="12"/>
      <c r="F249" s="9" t="s">
        <v>125</v>
      </c>
      <c r="G249" s="55"/>
      <c r="H249" s="58"/>
    </row>
    <row r="250" spans="1:10" s="19" customFormat="1" ht="63.75" x14ac:dyDescent="0.2">
      <c r="A250" s="37" t="s">
        <v>243</v>
      </c>
      <c r="B250" s="37" t="s">
        <v>136</v>
      </c>
      <c r="C250" s="12">
        <f>C248+E248</f>
        <v>2789</v>
      </c>
      <c r="D250" s="12">
        <f>C250+E250-1</f>
        <v>2789</v>
      </c>
      <c r="E250" s="12">
        <v>1</v>
      </c>
      <c r="F250" s="38" t="s">
        <v>357</v>
      </c>
      <c r="G250" s="58" t="s">
        <v>56</v>
      </c>
      <c r="H250" s="54" t="s">
        <v>269</v>
      </c>
    </row>
    <row r="251" spans="1:10" s="19" customFormat="1" ht="63.75" x14ac:dyDescent="0.2">
      <c r="A251" s="37" t="s">
        <v>243</v>
      </c>
      <c r="B251" s="37" t="s">
        <v>414</v>
      </c>
      <c r="C251" s="12">
        <f t="shared" ref="C251:C254" si="46">C250+E250</f>
        <v>2790</v>
      </c>
      <c r="D251" s="12">
        <f t="shared" ref="D251:D255" si="47">C251+E251-1</f>
        <v>2790</v>
      </c>
      <c r="E251" s="12">
        <v>1</v>
      </c>
      <c r="F251" s="38" t="s">
        <v>358</v>
      </c>
      <c r="G251" s="54" t="s">
        <v>56</v>
      </c>
      <c r="H251" s="54" t="s">
        <v>455</v>
      </c>
    </row>
    <row r="252" spans="1:10" s="19" customFormat="1" ht="76.5" x14ac:dyDescent="0.2">
      <c r="A252" s="37" t="s">
        <v>276</v>
      </c>
      <c r="B252" s="37" t="s">
        <v>136</v>
      </c>
      <c r="C252" s="12">
        <f t="shared" si="46"/>
        <v>2791</v>
      </c>
      <c r="D252" s="12">
        <f t="shared" si="47"/>
        <v>2791</v>
      </c>
      <c r="E252" s="12">
        <v>1</v>
      </c>
      <c r="F252" s="38" t="s">
        <v>359</v>
      </c>
      <c r="G252" s="58" t="s">
        <v>56</v>
      </c>
      <c r="H252" s="54" t="s">
        <v>270</v>
      </c>
    </row>
    <row r="253" spans="1:10" s="8" customFormat="1" ht="92.25" customHeight="1" x14ac:dyDescent="0.2">
      <c r="A253" s="37" t="s">
        <v>243</v>
      </c>
      <c r="B253" s="37" t="s">
        <v>136</v>
      </c>
      <c r="C253" s="12">
        <f t="shared" si="46"/>
        <v>2792</v>
      </c>
      <c r="D253" s="12">
        <f>C253+E253-1</f>
        <v>2792</v>
      </c>
      <c r="E253" s="12">
        <v>1</v>
      </c>
      <c r="F253" s="38" t="s">
        <v>360</v>
      </c>
      <c r="G253" s="54" t="s">
        <v>56</v>
      </c>
      <c r="H253" s="54" t="s">
        <v>430</v>
      </c>
      <c r="I253" s="12"/>
      <c r="J253" s="12"/>
    </row>
    <row r="254" spans="1:10" s="12" customFormat="1" ht="91.5" customHeight="1" x14ac:dyDescent="0.2">
      <c r="A254" s="37" t="s">
        <v>276</v>
      </c>
      <c r="B254" s="37" t="s">
        <v>432</v>
      </c>
      <c r="C254" s="12">
        <f t="shared" si="46"/>
        <v>2793</v>
      </c>
      <c r="D254" s="12">
        <f t="shared" si="47"/>
        <v>2793</v>
      </c>
      <c r="E254" s="12">
        <v>1</v>
      </c>
      <c r="F254" s="38" t="s">
        <v>361</v>
      </c>
      <c r="G254" s="54" t="s">
        <v>56</v>
      </c>
      <c r="H254" s="54" t="s">
        <v>256</v>
      </c>
    </row>
    <row r="255" spans="1:10" s="19" customFormat="1" x14ac:dyDescent="0.2">
      <c r="B255" s="37"/>
      <c r="C255" s="12">
        <f>C254+E254</f>
        <v>2794</v>
      </c>
      <c r="D255" s="12">
        <f t="shared" si="47"/>
        <v>2798</v>
      </c>
      <c r="E255" s="12">
        <v>5</v>
      </c>
      <c r="F255" s="17" t="s">
        <v>153</v>
      </c>
      <c r="G255" s="55"/>
      <c r="H255" s="58"/>
    </row>
    <row r="256" spans="1:10" s="19" customFormat="1" x14ac:dyDescent="0.2">
      <c r="A256" s="11"/>
      <c r="B256" s="37"/>
      <c r="C256" s="12"/>
      <c r="D256" s="12"/>
      <c r="E256" s="12"/>
      <c r="F256" s="9" t="s">
        <v>127</v>
      </c>
      <c r="G256" s="55"/>
      <c r="H256" s="58"/>
    </row>
    <row r="257" spans="1:10" s="19" customFormat="1" ht="63.75" x14ac:dyDescent="0.2">
      <c r="A257" s="37" t="s">
        <v>243</v>
      </c>
      <c r="B257" s="37" t="s">
        <v>136</v>
      </c>
      <c r="C257" s="12">
        <f>C255+E255</f>
        <v>2799</v>
      </c>
      <c r="D257" s="12">
        <f>C257+E257-1</f>
        <v>2799</v>
      </c>
      <c r="E257" s="12">
        <v>1</v>
      </c>
      <c r="F257" s="38" t="s">
        <v>362</v>
      </c>
      <c r="G257" s="58" t="s">
        <v>56</v>
      </c>
      <c r="H257" s="54" t="s">
        <v>271</v>
      </c>
    </row>
    <row r="258" spans="1:10" s="19" customFormat="1" ht="51" x14ac:dyDescent="0.2">
      <c r="A258" s="37" t="s">
        <v>243</v>
      </c>
      <c r="B258" s="37" t="s">
        <v>414</v>
      </c>
      <c r="C258" s="12">
        <f t="shared" ref="C258:C261" si="48">C257+E257</f>
        <v>2800</v>
      </c>
      <c r="D258" s="12">
        <f t="shared" ref="D258:D262" si="49">C258+E258-1</f>
        <v>2800</v>
      </c>
      <c r="E258" s="12">
        <v>1</v>
      </c>
      <c r="F258" s="38" t="s">
        <v>363</v>
      </c>
      <c r="G258" s="54" t="s">
        <v>56</v>
      </c>
      <c r="H258" s="54" t="s">
        <v>456</v>
      </c>
    </row>
    <row r="259" spans="1:10" s="8" customFormat="1" ht="78.75" customHeight="1" x14ac:dyDescent="0.2">
      <c r="A259" s="37" t="s">
        <v>276</v>
      </c>
      <c r="B259" s="37" t="s">
        <v>136</v>
      </c>
      <c r="C259" s="12">
        <f t="shared" si="48"/>
        <v>2801</v>
      </c>
      <c r="D259" s="12">
        <f t="shared" si="49"/>
        <v>2801</v>
      </c>
      <c r="E259" s="12">
        <v>1</v>
      </c>
      <c r="F259" s="38" t="s">
        <v>364</v>
      </c>
      <c r="G259" s="58" t="s">
        <v>56</v>
      </c>
      <c r="H259" s="54" t="s">
        <v>272</v>
      </c>
      <c r="I259" s="12"/>
      <c r="J259" s="12"/>
    </row>
    <row r="260" spans="1:10" s="12" customFormat="1" ht="93" customHeight="1" x14ac:dyDescent="0.2">
      <c r="A260" s="37" t="s">
        <v>243</v>
      </c>
      <c r="B260" s="37" t="s">
        <v>136</v>
      </c>
      <c r="C260" s="12">
        <f t="shared" si="48"/>
        <v>2802</v>
      </c>
      <c r="D260" s="12">
        <f t="shared" si="49"/>
        <v>2802</v>
      </c>
      <c r="E260" s="12">
        <v>1</v>
      </c>
      <c r="F260" s="38" t="s">
        <v>365</v>
      </c>
      <c r="G260" s="54" t="s">
        <v>56</v>
      </c>
      <c r="H260" s="54" t="s">
        <v>431</v>
      </c>
    </row>
    <row r="261" spans="1:10" s="12" customFormat="1" ht="91.5" customHeight="1" x14ac:dyDescent="0.2">
      <c r="A261" s="37" t="s">
        <v>276</v>
      </c>
      <c r="B261" s="37" t="s">
        <v>432</v>
      </c>
      <c r="C261" s="12">
        <f t="shared" si="48"/>
        <v>2803</v>
      </c>
      <c r="D261" s="12">
        <f t="shared" si="49"/>
        <v>2803</v>
      </c>
      <c r="E261" s="12">
        <v>1</v>
      </c>
      <c r="F261" s="38" t="s">
        <v>366</v>
      </c>
      <c r="G261" s="54" t="s">
        <v>56</v>
      </c>
      <c r="H261" s="54" t="s">
        <v>257</v>
      </c>
    </row>
    <row r="262" spans="1:10" s="12" customFormat="1" x14ac:dyDescent="0.2">
      <c r="A262" s="11"/>
      <c r="B262" s="37"/>
      <c r="C262" s="12">
        <f>C261+E261</f>
        <v>2804</v>
      </c>
      <c r="D262" s="12">
        <f t="shared" si="49"/>
        <v>2808</v>
      </c>
      <c r="E262" s="12">
        <v>5</v>
      </c>
      <c r="F262" s="17" t="s">
        <v>153</v>
      </c>
      <c r="G262" s="55"/>
      <c r="H262" s="58"/>
    </row>
    <row r="263" spans="1:10" s="12" customFormat="1" x14ac:dyDescent="0.2">
      <c r="A263" s="11"/>
      <c r="B263" s="37"/>
      <c r="F263" s="9" t="s">
        <v>128</v>
      </c>
      <c r="G263" s="55"/>
      <c r="H263" s="58"/>
    </row>
    <row r="264" spans="1:10" s="12" customFormat="1" x14ac:dyDescent="0.2">
      <c r="A264" s="11"/>
      <c r="B264" s="37"/>
      <c r="C264" s="12">
        <f>C262+E262</f>
        <v>2809</v>
      </c>
      <c r="D264" s="12">
        <f t="shared" ref="D264:D268" si="50">C264+E264-1</f>
        <v>2810</v>
      </c>
      <c r="E264" s="12">
        <v>2</v>
      </c>
      <c r="F264" s="17" t="s">
        <v>153</v>
      </c>
      <c r="G264" s="55"/>
      <c r="H264" s="54"/>
    </row>
    <row r="265" spans="1:10" s="12" customFormat="1" ht="80.25" customHeight="1" x14ac:dyDescent="0.2">
      <c r="A265" s="37" t="s">
        <v>276</v>
      </c>
      <c r="B265" s="37" t="s">
        <v>136</v>
      </c>
      <c r="C265" s="12">
        <f>C264+E264</f>
        <v>2811</v>
      </c>
      <c r="D265" s="12">
        <f t="shared" si="50"/>
        <v>2811</v>
      </c>
      <c r="E265" s="12">
        <v>1</v>
      </c>
      <c r="F265" s="38" t="s">
        <v>367</v>
      </c>
      <c r="G265" s="58" t="s">
        <v>56</v>
      </c>
      <c r="H265" s="54" t="s">
        <v>252</v>
      </c>
    </row>
    <row r="266" spans="1:10" s="12" customFormat="1" x14ac:dyDescent="0.2">
      <c r="A266" s="11"/>
      <c r="B266" s="37"/>
      <c r="C266" s="12">
        <f>C265+E265</f>
        <v>2812</v>
      </c>
      <c r="D266" s="12">
        <f t="shared" si="50"/>
        <v>2812</v>
      </c>
      <c r="E266" s="12">
        <v>1</v>
      </c>
      <c r="F266" s="17" t="s">
        <v>153</v>
      </c>
      <c r="G266" s="55"/>
      <c r="H266" s="54"/>
    </row>
    <row r="267" spans="1:10" s="12" customFormat="1" ht="92.25" customHeight="1" x14ac:dyDescent="0.2">
      <c r="A267" s="37" t="s">
        <v>276</v>
      </c>
      <c r="B267" s="37" t="s">
        <v>432</v>
      </c>
      <c r="C267" s="12">
        <f>C266+E266</f>
        <v>2813</v>
      </c>
      <c r="D267" s="12">
        <f t="shared" si="50"/>
        <v>2813</v>
      </c>
      <c r="E267" s="12">
        <v>1</v>
      </c>
      <c r="F267" s="38" t="s">
        <v>368</v>
      </c>
      <c r="G267" s="54" t="s">
        <v>56</v>
      </c>
      <c r="H267" s="54" t="s">
        <v>258</v>
      </c>
    </row>
    <row r="268" spans="1:10" s="12" customFormat="1" x14ac:dyDescent="0.2">
      <c r="A268" s="11"/>
      <c r="B268" s="37"/>
      <c r="C268" s="12">
        <f>C267+E267</f>
        <v>2814</v>
      </c>
      <c r="D268" s="12">
        <f t="shared" si="50"/>
        <v>2820</v>
      </c>
      <c r="E268" s="12">
        <v>7</v>
      </c>
      <c r="F268" s="17" t="s">
        <v>153</v>
      </c>
      <c r="G268" s="55"/>
      <c r="H268" s="61"/>
    </row>
    <row r="269" spans="1:10" s="12" customFormat="1" x14ac:dyDescent="0.2">
      <c r="A269" s="11"/>
      <c r="B269" s="37"/>
      <c r="E269" s="17"/>
      <c r="F269" s="9" t="s">
        <v>129</v>
      </c>
      <c r="G269" s="55"/>
      <c r="H269" s="58"/>
    </row>
    <row r="270" spans="1:10" s="12" customFormat="1" ht="91.5" customHeight="1" x14ac:dyDescent="0.2">
      <c r="A270" s="37" t="s">
        <v>276</v>
      </c>
      <c r="B270" s="37" t="s">
        <v>136</v>
      </c>
      <c r="C270" s="12">
        <f>C268+E268</f>
        <v>2821</v>
      </c>
      <c r="D270" s="12">
        <f t="shared" ref="D270:D273" si="51">C270+E270-1</f>
        <v>2821</v>
      </c>
      <c r="E270" s="17">
        <v>1</v>
      </c>
      <c r="F270" s="38" t="s">
        <v>369</v>
      </c>
      <c r="G270" s="58" t="s">
        <v>56</v>
      </c>
      <c r="H270" s="54" t="s">
        <v>253</v>
      </c>
    </row>
    <row r="271" spans="1:10" s="8" customFormat="1" x14ac:dyDescent="0.2">
      <c r="A271" s="11"/>
      <c r="B271" s="37"/>
      <c r="C271" s="12">
        <f>C270+E270</f>
        <v>2822</v>
      </c>
      <c r="D271" s="12">
        <f t="shared" si="51"/>
        <v>2822</v>
      </c>
      <c r="E271" s="17">
        <v>1</v>
      </c>
      <c r="F271" s="17" t="s">
        <v>153</v>
      </c>
      <c r="G271" s="55"/>
      <c r="H271" s="54"/>
      <c r="I271" s="12"/>
      <c r="J271" s="12"/>
    </row>
    <row r="272" spans="1:10" s="8" customFormat="1" ht="93" customHeight="1" x14ac:dyDescent="0.2">
      <c r="A272" s="37" t="s">
        <v>276</v>
      </c>
      <c r="B272" s="37" t="s">
        <v>432</v>
      </c>
      <c r="C272" s="12">
        <f>C271+E271</f>
        <v>2823</v>
      </c>
      <c r="D272" s="12">
        <f t="shared" si="51"/>
        <v>2823</v>
      </c>
      <c r="E272" s="12">
        <v>1</v>
      </c>
      <c r="F272" s="38" t="s">
        <v>370</v>
      </c>
      <c r="G272" s="54" t="s">
        <v>56</v>
      </c>
      <c r="H272" s="54" t="s">
        <v>259</v>
      </c>
      <c r="I272" s="12"/>
      <c r="J272" s="12"/>
    </row>
    <row r="273" spans="1:10" s="8" customFormat="1" x14ac:dyDescent="0.2">
      <c r="A273" s="11"/>
      <c r="B273" s="37"/>
      <c r="C273" s="12">
        <f>C272+E272</f>
        <v>2824</v>
      </c>
      <c r="D273" s="12">
        <f t="shared" si="51"/>
        <v>2826</v>
      </c>
      <c r="E273" s="12">
        <v>3</v>
      </c>
      <c r="F273" s="17" t="s">
        <v>153</v>
      </c>
      <c r="G273" s="55"/>
      <c r="H273" s="58"/>
      <c r="I273" s="12"/>
      <c r="J273" s="12"/>
    </row>
    <row r="274" spans="1:10" ht="25.5" x14ac:dyDescent="0.2">
      <c r="A274" s="11"/>
      <c r="B274" s="37"/>
      <c r="C274" s="12"/>
      <c r="D274" s="12"/>
      <c r="E274" s="12"/>
      <c r="F274" s="16" t="s">
        <v>146</v>
      </c>
      <c r="G274" s="55"/>
      <c r="H274" s="58" t="s">
        <v>387</v>
      </c>
    </row>
    <row r="275" spans="1:10" ht="63.75" x14ac:dyDescent="0.2">
      <c r="A275" s="11"/>
      <c r="B275" s="37" t="s">
        <v>424</v>
      </c>
      <c r="C275" s="12">
        <f>C273+E273</f>
        <v>2827</v>
      </c>
      <c r="D275" s="12">
        <f>C275+E275-1</f>
        <v>2829</v>
      </c>
      <c r="E275" s="12">
        <v>3</v>
      </c>
      <c r="F275" s="38" t="s">
        <v>371</v>
      </c>
      <c r="G275" s="58" t="s">
        <v>279</v>
      </c>
      <c r="H275" s="58" t="s">
        <v>401</v>
      </c>
    </row>
    <row r="276" spans="1:10" x14ac:dyDescent="0.2">
      <c r="A276" s="11"/>
      <c r="B276" s="37"/>
      <c r="C276" s="12">
        <f>C275+E275</f>
        <v>2830</v>
      </c>
      <c r="D276" s="12">
        <f>C276+E276-1</f>
        <v>2869</v>
      </c>
      <c r="E276" s="12">
        <v>40</v>
      </c>
      <c r="F276" s="38" t="s">
        <v>153</v>
      </c>
      <c r="G276" s="55"/>
      <c r="H276" s="58"/>
    </row>
    <row r="277" spans="1:10" x14ac:dyDescent="0.2">
      <c r="A277" s="11"/>
      <c r="B277" s="37"/>
      <c r="C277" s="12"/>
      <c r="D277" s="12"/>
      <c r="E277" s="12"/>
      <c r="F277" s="16" t="s">
        <v>147</v>
      </c>
      <c r="G277" s="55"/>
      <c r="H277" s="58" t="s">
        <v>388</v>
      </c>
    </row>
    <row r="278" spans="1:10" ht="63.75" x14ac:dyDescent="0.2">
      <c r="A278" s="11"/>
      <c r="B278" s="37" t="s">
        <v>432</v>
      </c>
      <c r="C278" s="12">
        <f>+C276+E276</f>
        <v>2870</v>
      </c>
      <c r="D278" s="12">
        <f>C278+E278-1</f>
        <v>2872</v>
      </c>
      <c r="E278" s="12">
        <v>3</v>
      </c>
      <c r="F278" s="38" t="s">
        <v>372</v>
      </c>
      <c r="G278" s="58" t="s">
        <v>279</v>
      </c>
      <c r="H278" s="58" t="s">
        <v>333</v>
      </c>
    </row>
    <row r="279" spans="1:10" x14ac:dyDescent="0.2">
      <c r="A279" s="11"/>
      <c r="B279" s="37"/>
      <c r="C279" s="12">
        <f>C278+E278</f>
        <v>2873</v>
      </c>
      <c r="D279" s="12">
        <f>C279+E279-1</f>
        <v>2912</v>
      </c>
      <c r="E279" s="12">
        <v>40</v>
      </c>
      <c r="F279" s="38" t="s">
        <v>153</v>
      </c>
      <c r="G279" s="55"/>
      <c r="H279" s="58"/>
    </row>
    <row r="280" spans="1:10" ht="25.5" x14ac:dyDescent="0.2">
      <c r="A280" s="11"/>
      <c r="B280" s="37"/>
      <c r="C280" s="12"/>
      <c r="D280" s="12"/>
      <c r="E280" s="12"/>
      <c r="F280" s="16" t="s">
        <v>148</v>
      </c>
      <c r="G280" s="55"/>
      <c r="H280" s="58" t="s">
        <v>394</v>
      </c>
    </row>
    <row r="281" spans="1:10" ht="63.75" x14ac:dyDescent="0.2">
      <c r="A281" s="11"/>
      <c r="B281" s="37" t="s">
        <v>424</v>
      </c>
      <c r="C281" s="12">
        <f>+C279+E279</f>
        <v>2913</v>
      </c>
      <c r="D281" s="12">
        <f>C281+E281-1</f>
        <v>2915</v>
      </c>
      <c r="E281" s="12">
        <v>3</v>
      </c>
      <c r="F281" s="38" t="s">
        <v>373</v>
      </c>
      <c r="G281" s="58" t="s">
        <v>279</v>
      </c>
      <c r="H281" s="58" t="s">
        <v>397</v>
      </c>
    </row>
    <row r="282" spans="1:10" x14ac:dyDescent="0.2">
      <c r="C282" s="12">
        <f>C281+E281</f>
        <v>2916</v>
      </c>
      <c r="D282" s="12">
        <f t="shared" ref="D282:D290" si="52">C282+E282-1</f>
        <v>3007</v>
      </c>
      <c r="E282" s="12">
        <v>92</v>
      </c>
      <c r="F282" s="38" t="s">
        <v>153</v>
      </c>
      <c r="G282" s="46"/>
    </row>
    <row r="283" spans="1:10" ht="51" x14ac:dyDescent="0.2">
      <c r="A283" s="11"/>
      <c r="B283" s="37" t="s">
        <v>424</v>
      </c>
      <c r="C283" s="12">
        <f t="shared" ref="C283:C288" si="53">C282+E282</f>
        <v>3008</v>
      </c>
      <c r="D283" s="12">
        <f t="shared" si="52"/>
        <v>3013</v>
      </c>
      <c r="E283" s="12">
        <v>6</v>
      </c>
      <c r="F283" s="17" t="s">
        <v>150</v>
      </c>
      <c r="G283" s="35" t="s">
        <v>236</v>
      </c>
      <c r="H283" s="58" t="s">
        <v>156</v>
      </c>
    </row>
    <row r="284" spans="1:10" ht="76.5" x14ac:dyDescent="0.2">
      <c r="A284" s="11"/>
      <c r="B284" s="37" t="s">
        <v>424</v>
      </c>
      <c r="C284" s="12">
        <f t="shared" si="53"/>
        <v>3014</v>
      </c>
      <c r="D284" s="12">
        <f t="shared" si="52"/>
        <v>3023</v>
      </c>
      <c r="E284" s="12">
        <v>10</v>
      </c>
      <c r="F284" s="17" t="s">
        <v>283</v>
      </c>
      <c r="G284" s="54" t="s">
        <v>237</v>
      </c>
      <c r="H284" s="58" t="s">
        <v>319</v>
      </c>
    </row>
    <row r="285" spans="1:10" x14ac:dyDescent="0.2">
      <c r="A285" s="11"/>
      <c r="B285" s="37"/>
      <c r="C285" s="12">
        <f t="shared" si="53"/>
        <v>3024</v>
      </c>
      <c r="D285" s="12">
        <f t="shared" si="52"/>
        <v>3102</v>
      </c>
      <c r="E285" s="12">
        <v>79</v>
      </c>
      <c r="F285" s="17" t="s">
        <v>153</v>
      </c>
      <c r="G285" s="59"/>
    </row>
    <row r="286" spans="1:10" ht="64.5" customHeight="1" x14ac:dyDescent="0.2">
      <c r="A286" s="11"/>
      <c r="B286" s="37" t="s">
        <v>136</v>
      </c>
      <c r="C286" s="12">
        <f t="shared" si="53"/>
        <v>3103</v>
      </c>
      <c r="D286" s="12">
        <f t="shared" si="52"/>
        <v>3103</v>
      </c>
      <c r="E286" s="12">
        <v>1</v>
      </c>
      <c r="F286" s="17" t="s">
        <v>179</v>
      </c>
      <c r="G286" s="55" t="s">
        <v>216</v>
      </c>
      <c r="H286" s="58" t="s">
        <v>160</v>
      </c>
    </row>
    <row r="287" spans="1:10" ht="76.5" x14ac:dyDescent="0.2">
      <c r="A287" s="11"/>
      <c r="B287" s="37" t="s">
        <v>136</v>
      </c>
      <c r="C287" s="12">
        <f t="shared" si="53"/>
        <v>3104</v>
      </c>
      <c r="D287" s="12">
        <f t="shared" si="52"/>
        <v>3104</v>
      </c>
      <c r="E287" s="12">
        <v>1</v>
      </c>
      <c r="F287" s="17" t="s">
        <v>180</v>
      </c>
      <c r="G287" s="58" t="s">
        <v>307</v>
      </c>
      <c r="H287" s="71" t="s">
        <v>160</v>
      </c>
    </row>
    <row r="288" spans="1:10" ht="76.5" x14ac:dyDescent="0.2">
      <c r="A288" s="11"/>
      <c r="B288" s="37" t="s">
        <v>136</v>
      </c>
      <c r="C288" s="12">
        <f t="shared" si="53"/>
        <v>3105</v>
      </c>
      <c r="D288" s="12">
        <f t="shared" si="52"/>
        <v>3105</v>
      </c>
      <c r="E288" s="12">
        <v>1</v>
      </c>
      <c r="F288" s="17" t="s">
        <v>181</v>
      </c>
      <c r="G288" s="58" t="s">
        <v>308</v>
      </c>
      <c r="H288" s="71"/>
    </row>
    <row r="289" spans="1:8" x14ac:dyDescent="0.2">
      <c r="A289" s="11"/>
      <c r="B289" s="37"/>
      <c r="C289" s="12"/>
      <c r="D289" s="12"/>
      <c r="E289" s="12"/>
      <c r="F289" s="21" t="s">
        <v>245</v>
      </c>
      <c r="G289" s="55"/>
      <c r="H289" s="58"/>
    </row>
    <row r="290" spans="1:8" ht="69.75" customHeight="1" x14ac:dyDescent="0.2">
      <c r="A290" s="11"/>
      <c r="B290" s="37" t="s">
        <v>424</v>
      </c>
      <c r="C290" s="12">
        <f>C288+E288</f>
        <v>3106</v>
      </c>
      <c r="D290" s="12">
        <f t="shared" si="52"/>
        <v>3107</v>
      </c>
      <c r="E290" s="12">
        <v>2</v>
      </c>
      <c r="F290" s="49" t="s">
        <v>246</v>
      </c>
      <c r="G290" s="76" t="s">
        <v>222</v>
      </c>
      <c r="H290" s="71" t="s">
        <v>211</v>
      </c>
    </row>
    <row r="291" spans="1:8" ht="69" customHeight="1" x14ac:dyDescent="0.2">
      <c r="A291" s="11"/>
      <c r="B291" s="37" t="s">
        <v>424</v>
      </c>
      <c r="C291" s="12">
        <f>C290+E290</f>
        <v>3108</v>
      </c>
      <c r="D291" s="12">
        <f>C291+E291-1</f>
        <v>3109</v>
      </c>
      <c r="E291" s="12">
        <v>2</v>
      </c>
      <c r="F291" s="49" t="s">
        <v>247</v>
      </c>
      <c r="G291" s="76"/>
      <c r="H291" s="71"/>
    </row>
    <row r="292" spans="1:8" ht="70.5" customHeight="1" x14ac:dyDescent="0.2">
      <c r="A292" s="11"/>
      <c r="B292" s="37" t="s">
        <v>424</v>
      </c>
      <c r="C292" s="12">
        <f>C291+E291</f>
        <v>3110</v>
      </c>
      <c r="D292" s="12">
        <f>C292+E292-1</f>
        <v>3111</v>
      </c>
      <c r="E292" s="12">
        <v>2</v>
      </c>
      <c r="F292" s="49" t="s">
        <v>248</v>
      </c>
      <c r="G292" s="76"/>
      <c r="H292" s="71"/>
    </row>
    <row r="293" spans="1:8" ht="69" customHeight="1" x14ac:dyDescent="0.2">
      <c r="A293" s="11"/>
      <c r="B293" s="37" t="s">
        <v>424</v>
      </c>
      <c r="C293" s="12">
        <f>C292+E292</f>
        <v>3112</v>
      </c>
      <c r="D293" s="12">
        <f>C293+E293-1</f>
        <v>3113</v>
      </c>
      <c r="E293" s="12">
        <v>2</v>
      </c>
      <c r="F293" s="49" t="s">
        <v>249</v>
      </c>
      <c r="G293" s="76"/>
      <c r="H293" s="71"/>
    </row>
    <row r="294" spans="1:8" x14ac:dyDescent="0.2">
      <c r="A294" s="11"/>
      <c r="B294" s="37"/>
      <c r="C294" s="12">
        <f>C293+E293</f>
        <v>3114</v>
      </c>
      <c r="D294" s="12">
        <f>C294+E294-1</f>
        <v>3121</v>
      </c>
      <c r="E294" s="12">
        <v>8</v>
      </c>
      <c r="F294" s="17" t="s">
        <v>153</v>
      </c>
      <c r="G294" s="56"/>
      <c r="H294" s="58"/>
    </row>
    <row r="295" spans="1:8" s="12" customFormat="1" x14ac:dyDescent="0.2">
      <c r="A295" s="11"/>
      <c r="B295" s="37"/>
      <c r="F295" s="21" t="s">
        <v>169</v>
      </c>
      <c r="G295" s="56"/>
      <c r="H295" s="58"/>
    </row>
    <row r="296" spans="1:8" s="12" customFormat="1" x14ac:dyDescent="0.2">
      <c r="A296" s="11"/>
      <c r="B296" s="37"/>
      <c r="F296" s="21" t="s">
        <v>170</v>
      </c>
      <c r="G296" s="55"/>
      <c r="H296" s="58"/>
    </row>
    <row r="297" spans="1:8" s="19" customFormat="1" x14ac:dyDescent="0.2">
      <c r="A297" s="11"/>
      <c r="B297" s="37"/>
      <c r="C297" s="12"/>
      <c r="D297" s="12"/>
      <c r="E297" s="12"/>
      <c r="F297" s="21" t="s">
        <v>171</v>
      </c>
      <c r="G297" s="43"/>
      <c r="H297" s="54"/>
    </row>
    <row r="298" spans="1:8" s="19" customFormat="1" ht="12.75" customHeight="1" x14ac:dyDescent="0.2">
      <c r="A298" s="11" t="s">
        <v>4</v>
      </c>
      <c r="B298" s="37" t="s">
        <v>424</v>
      </c>
      <c r="C298" s="12">
        <f>C294+E294</f>
        <v>3122</v>
      </c>
      <c r="D298" s="12">
        <f>C298+E298-1</f>
        <v>3122</v>
      </c>
      <c r="E298" s="12">
        <v>1</v>
      </c>
      <c r="F298" s="12" t="s">
        <v>92</v>
      </c>
      <c r="G298" s="64" t="s">
        <v>178</v>
      </c>
      <c r="H298" s="66" t="s">
        <v>160</v>
      </c>
    </row>
    <row r="299" spans="1:8" s="19" customFormat="1" x14ac:dyDescent="0.2">
      <c r="A299" s="11" t="s">
        <v>4</v>
      </c>
      <c r="B299" s="37" t="s">
        <v>424</v>
      </c>
      <c r="C299" s="12">
        <f>C298+E298</f>
        <v>3123</v>
      </c>
      <c r="D299" s="12">
        <f t="shared" ref="D299:D308" si="54">C299+E299-1</f>
        <v>3123</v>
      </c>
      <c r="E299" s="12">
        <v>1</v>
      </c>
      <c r="F299" s="12" t="s">
        <v>93</v>
      </c>
      <c r="G299" s="64"/>
      <c r="H299" s="66"/>
    </row>
    <row r="300" spans="1:8" s="19" customFormat="1" x14ac:dyDescent="0.2">
      <c r="A300" s="11" t="s">
        <v>4</v>
      </c>
      <c r="B300" s="37" t="s">
        <v>424</v>
      </c>
      <c r="C300" s="12">
        <f t="shared" ref="C300:C308" si="55">C299+E299</f>
        <v>3124</v>
      </c>
      <c r="D300" s="12">
        <f t="shared" si="54"/>
        <v>3124</v>
      </c>
      <c r="E300" s="12">
        <v>1</v>
      </c>
      <c r="F300" s="12" t="s">
        <v>94</v>
      </c>
      <c r="G300" s="64"/>
      <c r="H300" s="66"/>
    </row>
    <row r="301" spans="1:8" s="19" customFormat="1" x14ac:dyDescent="0.2">
      <c r="A301" s="11" t="s">
        <v>4</v>
      </c>
      <c r="B301" s="37" t="s">
        <v>424</v>
      </c>
      <c r="C301" s="12">
        <f t="shared" si="55"/>
        <v>3125</v>
      </c>
      <c r="D301" s="12">
        <f t="shared" si="54"/>
        <v>3125</v>
      </c>
      <c r="E301" s="12">
        <v>1</v>
      </c>
      <c r="F301" s="12" t="s">
        <v>95</v>
      </c>
      <c r="G301" s="64"/>
      <c r="H301" s="66"/>
    </row>
    <row r="302" spans="1:8" s="19" customFormat="1" x14ac:dyDescent="0.2">
      <c r="A302" s="11" t="s">
        <v>4</v>
      </c>
      <c r="B302" s="37" t="s">
        <v>424</v>
      </c>
      <c r="C302" s="12">
        <f t="shared" si="55"/>
        <v>3126</v>
      </c>
      <c r="D302" s="12">
        <f t="shared" si="54"/>
        <v>3126</v>
      </c>
      <c r="E302" s="12">
        <v>1</v>
      </c>
      <c r="F302" s="12" t="s">
        <v>96</v>
      </c>
      <c r="G302" s="64"/>
      <c r="H302" s="66"/>
    </row>
    <row r="303" spans="1:8" s="19" customFormat="1" x14ac:dyDescent="0.2">
      <c r="A303" s="11" t="s">
        <v>4</v>
      </c>
      <c r="B303" s="37" t="s">
        <v>424</v>
      </c>
      <c r="C303" s="12">
        <f>C302+E302</f>
        <v>3127</v>
      </c>
      <c r="D303" s="12">
        <f t="shared" si="54"/>
        <v>3127</v>
      </c>
      <c r="E303" s="12">
        <v>1</v>
      </c>
      <c r="F303" s="12" t="s">
        <v>97</v>
      </c>
      <c r="G303" s="64"/>
      <c r="H303" s="66"/>
    </row>
    <row r="304" spans="1:8" s="19" customFormat="1" ht="12.75" customHeight="1" x14ac:dyDescent="0.2">
      <c r="A304" s="11" t="s">
        <v>4</v>
      </c>
      <c r="B304" s="37" t="s">
        <v>424</v>
      </c>
      <c r="C304" s="12">
        <f t="shared" si="55"/>
        <v>3128</v>
      </c>
      <c r="D304" s="12">
        <f t="shared" si="54"/>
        <v>3128</v>
      </c>
      <c r="E304" s="12">
        <v>1</v>
      </c>
      <c r="F304" s="13" t="s">
        <v>98</v>
      </c>
      <c r="G304" s="64"/>
      <c r="H304" s="66"/>
    </row>
    <row r="305" spans="1:8" s="19" customFormat="1" x14ac:dyDescent="0.2">
      <c r="A305" s="11" t="s">
        <v>4</v>
      </c>
      <c r="B305" s="37" t="s">
        <v>424</v>
      </c>
      <c r="C305" s="12">
        <f t="shared" si="55"/>
        <v>3129</v>
      </c>
      <c r="D305" s="12">
        <f t="shared" si="54"/>
        <v>3129</v>
      </c>
      <c r="E305" s="12">
        <v>1</v>
      </c>
      <c r="F305" s="12" t="s">
        <v>99</v>
      </c>
      <c r="G305" s="64"/>
      <c r="H305" s="66"/>
    </row>
    <row r="306" spans="1:8" s="19" customFormat="1" x14ac:dyDescent="0.2">
      <c r="A306" s="11" t="s">
        <v>4</v>
      </c>
      <c r="B306" s="37" t="s">
        <v>424</v>
      </c>
      <c r="C306" s="12">
        <f t="shared" si="55"/>
        <v>3130</v>
      </c>
      <c r="D306" s="12">
        <f t="shared" si="54"/>
        <v>3130</v>
      </c>
      <c r="E306" s="12">
        <v>1</v>
      </c>
      <c r="F306" s="12" t="s">
        <v>100</v>
      </c>
      <c r="G306" s="64"/>
      <c r="H306" s="66"/>
    </row>
    <row r="307" spans="1:8" s="19" customFormat="1" x14ac:dyDescent="0.2">
      <c r="A307" s="11" t="s">
        <v>4</v>
      </c>
      <c r="B307" s="37" t="s">
        <v>424</v>
      </c>
      <c r="C307" s="12">
        <f t="shared" si="55"/>
        <v>3131</v>
      </c>
      <c r="D307" s="12">
        <f t="shared" si="54"/>
        <v>3131</v>
      </c>
      <c r="E307" s="12">
        <v>1</v>
      </c>
      <c r="F307" s="12" t="s">
        <v>101</v>
      </c>
      <c r="G307" s="64"/>
      <c r="H307" s="66"/>
    </row>
    <row r="308" spans="1:8" s="19" customFormat="1" x14ac:dyDescent="0.2">
      <c r="A308" s="11" t="s">
        <v>4</v>
      </c>
      <c r="B308" s="37" t="s">
        <v>424</v>
      </c>
      <c r="C308" s="12">
        <f t="shared" si="55"/>
        <v>3132</v>
      </c>
      <c r="D308" s="12">
        <f t="shared" si="54"/>
        <v>3132</v>
      </c>
      <c r="E308" s="12">
        <v>1</v>
      </c>
      <c r="F308" s="12" t="s">
        <v>102</v>
      </c>
      <c r="G308" s="64"/>
      <c r="H308" s="66"/>
    </row>
    <row r="309" spans="1:8" s="19" customFormat="1" x14ac:dyDescent="0.2">
      <c r="A309" s="11"/>
      <c r="B309" s="37"/>
      <c r="C309" s="12"/>
      <c r="D309" s="12"/>
      <c r="E309" s="12"/>
      <c r="F309" s="9" t="s">
        <v>172</v>
      </c>
      <c r="G309" s="43"/>
      <c r="H309" s="54"/>
    </row>
    <row r="310" spans="1:8" s="19" customFormat="1" ht="12.75" customHeight="1" x14ac:dyDescent="0.2">
      <c r="A310" s="11" t="s">
        <v>4</v>
      </c>
      <c r="B310" s="37" t="s">
        <v>424</v>
      </c>
      <c r="C310" s="12">
        <f>C308+E308</f>
        <v>3133</v>
      </c>
      <c r="D310" s="12">
        <f t="shared" ref="D310:D315" si="56">C310+E310-1</f>
        <v>3133</v>
      </c>
      <c r="E310" s="12">
        <v>1</v>
      </c>
      <c r="F310" s="12" t="s">
        <v>92</v>
      </c>
      <c r="G310" s="64" t="s">
        <v>178</v>
      </c>
      <c r="H310" s="66" t="s">
        <v>160</v>
      </c>
    </row>
    <row r="311" spans="1:8" s="19" customFormat="1" x14ac:dyDescent="0.2">
      <c r="A311" s="11" t="s">
        <v>4</v>
      </c>
      <c r="B311" s="37" t="s">
        <v>424</v>
      </c>
      <c r="C311" s="12">
        <f>C310+E310</f>
        <v>3134</v>
      </c>
      <c r="D311" s="12">
        <f t="shared" si="56"/>
        <v>3134</v>
      </c>
      <c r="E311" s="12">
        <v>1</v>
      </c>
      <c r="F311" s="12" t="s">
        <v>97</v>
      </c>
      <c r="G311" s="64"/>
      <c r="H311" s="66"/>
    </row>
    <row r="312" spans="1:8" s="19" customFormat="1" x14ac:dyDescent="0.2">
      <c r="A312" s="11" t="s">
        <v>4</v>
      </c>
      <c r="B312" s="37" t="s">
        <v>424</v>
      </c>
      <c r="C312" s="12">
        <f>C311+E311</f>
        <v>3135</v>
      </c>
      <c r="D312" s="12">
        <f t="shared" si="56"/>
        <v>3135</v>
      </c>
      <c r="E312" s="12">
        <v>1</v>
      </c>
      <c r="F312" s="12" t="s">
        <v>100</v>
      </c>
      <c r="G312" s="64"/>
      <c r="H312" s="66"/>
    </row>
    <row r="313" spans="1:8" s="19" customFormat="1" x14ac:dyDescent="0.2">
      <c r="A313" s="11" t="s">
        <v>4</v>
      </c>
      <c r="B313" s="37" t="s">
        <v>424</v>
      </c>
      <c r="C313" s="12">
        <f>C312+E312</f>
        <v>3136</v>
      </c>
      <c r="D313" s="12">
        <f t="shared" si="56"/>
        <v>3136</v>
      </c>
      <c r="E313" s="12">
        <v>1</v>
      </c>
      <c r="F313" s="13" t="s">
        <v>109</v>
      </c>
      <c r="G313" s="64"/>
      <c r="H313" s="66"/>
    </row>
    <row r="314" spans="1:8" s="19" customFormat="1" x14ac:dyDescent="0.2">
      <c r="A314" s="11" t="s">
        <v>4</v>
      </c>
      <c r="B314" s="37" t="s">
        <v>424</v>
      </c>
      <c r="C314" s="12">
        <f>C313+E313</f>
        <v>3137</v>
      </c>
      <c r="D314" s="12">
        <f t="shared" si="56"/>
        <v>3137</v>
      </c>
      <c r="E314" s="12">
        <v>1</v>
      </c>
      <c r="F314" s="13" t="s">
        <v>103</v>
      </c>
      <c r="G314" s="64"/>
      <c r="H314" s="66"/>
    </row>
    <row r="315" spans="1:8" s="19" customFormat="1" x14ac:dyDescent="0.2">
      <c r="A315" s="11" t="s">
        <v>4</v>
      </c>
      <c r="B315" s="37" t="s">
        <v>424</v>
      </c>
      <c r="C315" s="12">
        <f>C314+E314</f>
        <v>3138</v>
      </c>
      <c r="D315" s="12">
        <f t="shared" si="56"/>
        <v>3138</v>
      </c>
      <c r="E315" s="12">
        <v>1</v>
      </c>
      <c r="F315" s="12" t="s">
        <v>101</v>
      </c>
      <c r="G315" s="64"/>
      <c r="H315" s="66"/>
    </row>
    <row r="316" spans="1:8" s="19" customFormat="1" x14ac:dyDescent="0.2">
      <c r="A316" s="11"/>
      <c r="B316" s="37"/>
      <c r="C316" s="12"/>
      <c r="D316" s="12"/>
      <c r="E316" s="12"/>
      <c r="F316" s="9" t="s">
        <v>173</v>
      </c>
      <c r="G316" s="43"/>
      <c r="H316" s="54"/>
    </row>
    <row r="317" spans="1:8" s="19" customFormat="1" ht="12.75" customHeight="1" x14ac:dyDescent="0.2">
      <c r="A317" s="11" t="s">
        <v>4</v>
      </c>
      <c r="B317" s="37" t="s">
        <v>424</v>
      </c>
      <c r="C317" s="12">
        <f>C315+E315</f>
        <v>3139</v>
      </c>
      <c r="D317" s="12">
        <f t="shared" ref="D317:D327" si="57">C317+E317-1</f>
        <v>3139</v>
      </c>
      <c r="E317" s="12">
        <v>1</v>
      </c>
      <c r="F317" s="12" t="s">
        <v>92</v>
      </c>
      <c r="G317" s="64" t="s">
        <v>178</v>
      </c>
      <c r="H317" s="66" t="s">
        <v>160</v>
      </c>
    </row>
    <row r="318" spans="1:8" s="19" customFormat="1" x14ac:dyDescent="0.2">
      <c r="A318" s="11" t="s">
        <v>4</v>
      </c>
      <c r="B318" s="37" t="s">
        <v>424</v>
      </c>
      <c r="C318" s="12">
        <f t="shared" ref="C318:C327" si="58">C317+E317</f>
        <v>3140</v>
      </c>
      <c r="D318" s="12">
        <f t="shared" si="57"/>
        <v>3140</v>
      </c>
      <c r="E318" s="12">
        <v>1</v>
      </c>
      <c r="F318" s="12" t="s">
        <v>93</v>
      </c>
      <c r="G318" s="64"/>
      <c r="H318" s="66"/>
    </row>
    <row r="319" spans="1:8" s="19" customFormat="1" x14ac:dyDescent="0.2">
      <c r="A319" s="11" t="s">
        <v>4</v>
      </c>
      <c r="B319" s="37" t="s">
        <v>424</v>
      </c>
      <c r="C319" s="12">
        <f t="shared" si="58"/>
        <v>3141</v>
      </c>
      <c r="D319" s="12">
        <f t="shared" si="57"/>
        <v>3141</v>
      </c>
      <c r="E319" s="12">
        <v>1</v>
      </c>
      <c r="F319" s="12" t="s">
        <v>94</v>
      </c>
      <c r="G319" s="64"/>
      <c r="H319" s="66"/>
    </row>
    <row r="320" spans="1:8" s="19" customFormat="1" x14ac:dyDescent="0.2">
      <c r="A320" s="11" t="s">
        <v>4</v>
      </c>
      <c r="B320" s="37" t="s">
        <v>424</v>
      </c>
      <c r="C320" s="12">
        <f t="shared" si="58"/>
        <v>3142</v>
      </c>
      <c r="D320" s="12">
        <f t="shared" si="57"/>
        <v>3142</v>
      </c>
      <c r="E320" s="12">
        <v>1</v>
      </c>
      <c r="F320" s="12" t="s">
        <v>95</v>
      </c>
      <c r="G320" s="64"/>
      <c r="H320" s="66"/>
    </row>
    <row r="321" spans="1:8" s="19" customFormat="1" x14ac:dyDescent="0.2">
      <c r="A321" s="11" t="s">
        <v>4</v>
      </c>
      <c r="B321" s="37" t="s">
        <v>424</v>
      </c>
      <c r="C321" s="12">
        <f t="shared" si="58"/>
        <v>3143</v>
      </c>
      <c r="D321" s="12">
        <f t="shared" si="57"/>
        <v>3143</v>
      </c>
      <c r="E321" s="12">
        <v>1</v>
      </c>
      <c r="F321" s="12" t="s">
        <v>96</v>
      </c>
      <c r="G321" s="64"/>
      <c r="H321" s="66"/>
    </row>
    <row r="322" spans="1:8" s="19" customFormat="1" x14ac:dyDescent="0.2">
      <c r="A322" s="11" t="s">
        <v>4</v>
      </c>
      <c r="B322" s="37" t="s">
        <v>424</v>
      </c>
      <c r="C322" s="12">
        <f t="shared" si="58"/>
        <v>3144</v>
      </c>
      <c r="D322" s="12">
        <f t="shared" si="57"/>
        <v>3144</v>
      </c>
      <c r="E322" s="12">
        <v>1</v>
      </c>
      <c r="F322" s="12" t="s">
        <v>97</v>
      </c>
      <c r="G322" s="64"/>
      <c r="H322" s="66"/>
    </row>
    <row r="323" spans="1:8" s="19" customFormat="1" x14ac:dyDescent="0.2">
      <c r="A323" s="11" t="s">
        <v>4</v>
      </c>
      <c r="B323" s="37" t="s">
        <v>424</v>
      </c>
      <c r="C323" s="12">
        <f t="shared" si="58"/>
        <v>3145</v>
      </c>
      <c r="D323" s="12">
        <f t="shared" si="57"/>
        <v>3145</v>
      </c>
      <c r="E323" s="12">
        <v>1</v>
      </c>
      <c r="F323" s="12" t="s">
        <v>98</v>
      </c>
      <c r="G323" s="64"/>
      <c r="H323" s="66"/>
    </row>
    <row r="324" spans="1:8" s="19" customFormat="1" x14ac:dyDescent="0.2">
      <c r="A324" s="11" t="s">
        <v>4</v>
      </c>
      <c r="B324" s="37" t="s">
        <v>424</v>
      </c>
      <c r="C324" s="12">
        <f t="shared" si="58"/>
        <v>3146</v>
      </c>
      <c r="D324" s="12">
        <f t="shared" si="57"/>
        <v>3146</v>
      </c>
      <c r="E324" s="12">
        <v>1</v>
      </c>
      <c r="F324" s="12" t="s">
        <v>99</v>
      </c>
      <c r="G324" s="64"/>
      <c r="H324" s="66"/>
    </row>
    <row r="325" spans="1:8" s="19" customFormat="1" x14ac:dyDescent="0.2">
      <c r="A325" s="11" t="s">
        <v>4</v>
      </c>
      <c r="B325" s="37" t="s">
        <v>424</v>
      </c>
      <c r="C325" s="12">
        <f t="shared" si="58"/>
        <v>3147</v>
      </c>
      <c r="D325" s="12">
        <f t="shared" si="57"/>
        <v>3147</v>
      </c>
      <c r="E325" s="12">
        <v>1</v>
      </c>
      <c r="F325" s="12" t="s">
        <v>100</v>
      </c>
      <c r="G325" s="64"/>
      <c r="H325" s="66"/>
    </row>
    <row r="326" spans="1:8" s="19" customFormat="1" x14ac:dyDescent="0.2">
      <c r="A326" s="11" t="s">
        <v>4</v>
      </c>
      <c r="B326" s="37" t="s">
        <v>424</v>
      </c>
      <c r="C326" s="12">
        <f t="shared" si="58"/>
        <v>3148</v>
      </c>
      <c r="D326" s="12">
        <f t="shared" si="57"/>
        <v>3148</v>
      </c>
      <c r="E326" s="12">
        <v>1</v>
      </c>
      <c r="F326" s="12" t="s">
        <v>101</v>
      </c>
      <c r="G326" s="64"/>
      <c r="H326" s="66"/>
    </row>
    <row r="327" spans="1:8" s="19" customFormat="1" x14ac:dyDescent="0.2">
      <c r="A327" s="11" t="s">
        <v>4</v>
      </c>
      <c r="B327" s="37" t="s">
        <v>424</v>
      </c>
      <c r="C327" s="12">
        <f t="shared" si="58"/>
        <v>3149</v>
      </c>
      <c r="D327" s="12">
        <f t="shared" si="57"/>
        <v>3149</v>
      </c>
      <c r="E327" s="12">
        <v>1</v>
      </c>
      <c r="F327" s="12" t="s">
        <v>102</v>
      </c>
      <c r="G327" s="64"/>
      <c r="H327" s="66"/>
    </row>
    <row r="328" spans="1:8" s="12" customFormat="1" x14ac:dyDescent="0.2">
      <c r="A328" s="11"/>
      <c r="B328" s="37"/>
      <c r="F328" s="21" t="s">
        <v>174</v>
      </c>
      <c r="G328" s="55"/>
      <c r="H328" s="58"/>
    </row>
    <row r="329" spans="1:8" s="19" customFormat="1" x14ac:dyDescent="0.2">
      <c r="A329" s="11"/>
      <c r="B329" s="37"/>
      <c r="C329" s="12"/>
      <c r="D329" s="12"/>
      <c r="E329" s="12"/>
      <c r="F329" s="21" t="s">
        <v>171</v>
      </c>
      <c r="G329" s="43"/>
      <c r="H329" s="54"/>
    </row>
    <row r="330" spans="1:8" s="19" customFormat="1" ht="12.75" customHeight="1" x14ac:dyDescent="0.2">
      <c r="A330" s="11" t="s">
        <v>4</v>
      </c>
      <c r="B330" s="37" t="s">
        <v>424</v>
      </c>
      <c r="C330" s="12">
        <f>C327+E327</f>
        <v>3150</v>
      </c>
      <c r="D330" s="12">
        <f>C330+E330-1</f>
        <v>3150</v>
      </c>
      <c r="E330" s="12">
        <v>1</v>
      </c>
      <c r="F330" s="12" t="s">
        <v>92</v>
      </c>
      <c r="G330" s="64" t="s">
        <v>178</v>
      </c>
      <c r="H330" s="66" t="s">
        <v>160</v>
      </c>
    </row>
    <row r="331" spans="1:8" s="19" customFormat="1" x14ac:dyDescent="0.2">
      <c r="A331" s="11" t="s">
        <v>4</v>
      </c>
      <c r="B331" s="37" t="s">
        <v>424</v>
      </c>
      <c r="C331" s="12">
        <f t="shared" ref="C331:C340" si="59">C330+E330</f>
        <v>3151</v>
      </c>
      <c r="D331" s="12">
        <f t="shared" ref="D331:D340" si="60">C331+E331-1</f>
        <v>3151</v>
      </c>
      <c r="E331" s="12">
        <v>1</v>
      </c>
      <c r="F331" s="12" t="s">
        <v>93</v>
      </c>
      <c r="G331" s="64"/>
      <c r="H331" s="66"/>
    </row>
    <row r="332" spans="1:8" s="19" customFormat="1" x14ac:dyDescent="0.2">
      <c r="A332" s="11" t="s">
        <v>4</v>
      </c>
      <c r="B332" s="37" t="s">
        <v>424</v>
      </c>
      <c r="C332" s="12">
        <f t="shared" si="59"/>
        <v>3152</v>
      </c>
      <c r="D332" s="12">
        <f t="shared" si="60"/>
        <v>3152</v>
      </c>
      <c r="E332" s="12">
        <v>1</v>
      </c>
      <c r="F332" s="12" t="s">
        <v>94</v>
      </c>
      <c r="G332" s="64"/>
      <c r="H332" s="66"/>
    </row>
    <row r="333" spans="1:8" s="19" customFormat="1" x14ac:dyDescent="0.2">
      <c r="A333" s="11" t="s">
        <v>4</v>
      </c>
      <c r="B333" s="37" t="s">
        <v>424</v>
      </c>
      <c r="C333" s="12">
        <f t="shared" si="59"/>
        <v>3153</v>
      </c>
      <c r="D333" s="12">
        <f t="shared" si="60"/>
        <v>3153</v>
      </c>
      <c r="E333" s="12">
        <v>1</v>
      </c>
      <c r="F333" s="12" t="s">
        <v>95</v>
      </c>
      <c r="G333" s="64"/>
      <c r="H333" s="66"/>
    </row>
    <row r="334" spans="1:8" s="19" customFormat="1" x14ac:dyDescent="0.2">
      <c r="A334" s="11" t="s">
        <v>4</v>
      </c>
      <c r="B334" s="37" t="s">
        <v>424</v>
      </c>
      <c r="C334" s="12">
        <f t="shared" si="59"/>
        <v>3154</v>
      </c>
      <c r="D334" s="12">
        <f t="shared" si="60"/>
        <v>3154</v>
      </c>
      <c r="E334" s="12">
        <v>1</v>
      </c>
      <c r="F334" s="12" t="s">
        <v>96</v>
      </c>
      <c r="G334" s="64"/>
      <c r="H334" s="66"/>
    </row>
    <row r="335" spans="1:8" s="19" customFormat="1" x14ac:dyDescent="0.2">
      <c r="A335" s="11" t="s">
        <v>4</v>
      </c>
      <c r="B335" s="37" t="s">
        <v>424</v>
      </c>
      <c r="C335" s="12">
        <f t="shared" si="59"/>
        <v>3155</v>
      </c>
      <c r="D335" s="12">
        <f t="shared" si="60"/>
        <v>3155</v>
      </c>
      <c r="E335" s="12">
        <v>1</v>
      </c>
      <c r="F335" s="12" t="s">
        <v>97</v>
      </c>
      <c r="G335" s="64"/>
      <c r="H335" s="66"/>
    </row>
    <row r="336" spans="1:8" s="19" customFormat="1" ht="12.75" customHeight="1" x14ac:dyDescent="0.2">
      <c r="A336" s="11" t="s">
        <v>4</v>
      </c>
      <c r="B336" s="37" t="s">
        <v>424</v>
      </c>
      <c r="C336" s="12">
        <f t="shared" si="59"/>
        <v>3156</v>
      </c>
      <c r="D336" s="12">
        <f t="shared" si="60"/>
        <v>3156</v>
      </c>
      <c r="E336" s="12">
        <v>1</v>
      </c>
      <c r="F336" s="13" t="s">
        <v>98</v>
      </c>
      <c r="G336" s="64"/>
      <c r="H336" s="66"/>
    </row>
    <row r="337" spans="1:8" s="19" customFormat="1" x14ac:dyDescent="0.2">
      <c r="A337" s="11" t="s">
        <v>4</v>
      </c>
      <c r="B337" s="37" t="s">
        <v>424</v>
      </c>
      <c r="C337" s="12">
        <f t="shared" si="59"/>
        <v>3157</v>
      </c>
      <c r="D337" s="12">
        <f t="shared" si="60"/>
        <v>3157</v>
      </c>
      <c r="E337" s="12">
        <v>1</v>
      </c>
      <c r="F337" s="12" t="s">
        <v>99</v>
      </c>
      <c r="G337" s="64"/>
      <c r="H337" s="66"/>
    </row>
    <row r="338" spans="1:8" s="19" customFormat="1" x14ac:dyDescent="0.2">
      <c r="A338" s="11" t="s">
        <v>4</v>
      </c>
      <c r="B338" s="37" t="s">
        <v>424</v>
      </c>
      <c r="C338" s="12">
        <f t="shared" si="59"/>
        <v>3158</v>
      </c>
      <c r="D338" s="12">
        <f t="shared" si="60"/>
        <v>3158</v>
      </c>
      <c r="E338" s="12">
        <v>1</v>
      </c>
      <c r="F338" s="12" t="s">
        <v>100</v>
      </c>
      <c r="G338" s="64"/>
      <c r="H338" s="66"/>
    </row>
    <row r="339" spans="1:8" s="19" customFormat="1" x14ac:dyDescent="0.2">
      <c r="A339" s="11" t="s">
        <v>4</v>
      </c>
      <c r="B339" s="37" t="s">
        <v>424</v>
      </c>
      <c r="C339" s="12">
        <f t="shared" si="59"/>
        <v>3159</v>
      </c>
      <c r="D339" s="12">
        <f t="shared" si="60"/>
        <v>3159</v>
      </c>
      <c r="E339" s="12">
        <v>1</v>
      </c>
      <c r="F339" s="12" t="s">
        <v>101</v>
      </c>
      <c r="G339" s="64"/>
      <c r="H339" s="66"/>
    </row>
    <row r="340" spans="1:8" s="19" customFormat="1" x14ac:dyDescent="0.2">
      <c r="A340" s="11" t="s">
        <v>4</v>
      </c>
      <c r="B340" s="37" t="s">
        <v>424</v>
      </c>
      <c r="C340" s="12">
        <f t="shared" si="59"/>
        <v>3160</v>
      </c>
      <c r="D340" s="12">
        <f t="shared" si="60"/>
        <v>3160</v>
      </c>
      <c r="E340" s="12">
        <v>1</v>
      </c>
      <c r="F340" s="12" t="s">
        <v>102</v>
      </c>
      <c r="G340" s="64"/>
      <c r="H340" s="66"/>
    </row>
    <row r="341" spans="1:8" s="19" customFormat="1" x14ac:dyDescent="0.2">
      <c r="A341" s="11"/>
      <c r="B341" s="37"/>
      <c r="C341" s="12"/>
      <c r="D341" s="12"/>
      <c r="E341" s="12"/>
      <c r="F341" s="9" t="s">
        <v>172</v>
      </c>
      <c r="G341" s="43"/>
      <c r="H341" s="54"/>
    </row>
    <row r="342" spans="1:8" s="19" customFormat="1" ht="12.75" customHeight="1" x14ac:dyDescent="0.2">
      <c r="A342" s="11" t="s">
        <v>4</v>
      </c>
      <c r="B342" s="37" t="s">
        <v>424</v>
      </c>
      <c r="C342" s="12">
        <f>C340+E340</f>
        <v>3161</v>
      </c>
      <c r="D342" s="12">
        <f t="shared" ref="D342:D347" si="61">C342+E342-1</f>
        <v>3161</v>
      </c>
      <c r="E342" s="12">
        <v>1</v>
      </c>
      <c r="F342" s="12" t="s">
        <v>92</v>
      </c>
      <c r="G342" s="64" t="s">
        <v>178</v>
      </c>
      <c r="H342" s="66" t="s">
        <v>160</v>
      </c>
    </row>
    <row r="343" spans="1:8" s="19" customFormat="1" x14ac:dyDescent="0.2">
      <c r="A343" s="11" t="s">
        <v>4</v>
      </c>
      <c r="B343" s="37" t="s">
        <v>424</v>
      </c>
      <c r="C343" s="12">
        <f>C342+E342</f>
        <v>3162</v>
      </c>
      <c r="D343" s="12">
        <f t="shared" si="61"/>
        <v>3162</v>
      </c>
      <c r="E343" s="12">
        <v>1</v>
      </c>
      <c r="F343" s="12" t="s">
        <v>97</v>
      </c>
      <c r="G343" s="64"/>
      <c r="H343" s="66"/>
    </row>
    <row r="344" spans="1:8" s="19" customFormat="1" x14ac:dyDescent="0.2">
      <c r="A344" s="11" t="s">
        <v>4</v>
      </c>
      <c r="B344" s="37" t="s">
        <v>424</v>
      </c>
      <c r="C344" s="12">
        <f>C343+E343</f>
        <v>3163</v>
      </c>
      <c r="D344" s="12">
        <f t="shared" si="61"/>
        <v>3163</v>
      </c>
      <c r="E344" s="12">
        <v>1</v>
      </c>
      <c r="F344" s="12" t="s">
        <v>100</v>
      </c>
      <c r="G344" s="64"/>
      <c r="H344" s="66"/>
    </row>
    <row r="345" spans="1:8" s="19" customFormat="1" x14ac:dyDescent="0.2">
      <c r="A345" s="11" t="s">
        <v>4</v>
      </c>
      <c r="B345" s="37" t="s">
        <v>424</v>
      </c>
      <c r="C345" s="12">
        <f>C344+E344</f>
        <v>3164</v>
      </c>
      <c r="D345" s="12">
        <f t="shared" si="61"/>
        <v>3164</v>
      </c>
      <c r="E345" s="12">
        <v>1</v>
      </c>
      <c r="F345" s="13" t="s">
        <v>109</v>
      </c>
      <c r="G345" s="64"/>
      <c r="H345" s="66"/>
    </row>
    <row r="346" spans="1:8" s="19" customFormat="1" x14ac:dyDescent="0.2">
      <c r="A346" s="11" t="s">
        <v>4</v>
      </c>
      <c r="B346" s="37" t="s">
        <v>424</v>
      </c>
      <c r="C346" s="12">
        <f>C345+E345</f>
        <v>3165</v>
      </c>
      <c r="D346" s="12">
        <f t="shared" si="61"/>
        <v>3165</v>
      </c>
      <c r="E346" s="12">
        <v>1</v>
      </c>
      <c r="F346" s="13" t="s">
        <v>103</v>
      </c>
      <c r="G346" s="64"/>
      <c r="H346" s="66"/>
    </row>
    <row r="347" spans="1:8" s="19" customFormat="1" x14ac:dyDescent="0.2">
      <c r="A347" s="11" t="s">
        <v>4</v>
      </c>
      <c r="B347" s="37" t="s">
        <v>424</v>
      </c>
      <c r="C347" s="12">
        <f>C346+E346</f>
        <v>3166</v>
      </c>
      <c r="D347" s="12">
        <f t="shared" si="61"/>
        <v>3166</v>
      </c>
      <c r="E347" s="12">
        <v>1</v>
      </c>
      <c r="F347" s="12" t="s">
        <v>101</v>
      </c>
      <c r="G347" s="64"/>
      <c r="H347" s="66"/>
    </row>
    <row r="348" spans="1:8" s="19" customFormat="1" x14ac:dyDescent="0.2">
      <c r="A348" s="11"/>
      <c r="B348" s="37"/>
      <c r="C348" s="12"/>
      <c r="D348" s="12"/>
      <c r="E348" s="12"/>
      <c r="F348" s="9" t="s">
        <v>173</v>
      </c>
      <c r="G348" s="43"/>
      <c r="H348" s="54"/>
    </row>
    <row r="349" spans="1:8" s="19" customFormat="1" ht="12.75" customHeight="1" x14ac:dyDescent="0.2">
      <c r="A349" s="11" t="s">
        <v>4</v>
      </c>
      <c r="B349" s="37" t="s">
        <v>424</v>
      </c>
      <c r="C349" s="12">
        <f>C347+E347</f>
        <v>3167</v>
      </c>
      <c r="D349" s="12">
        <f t="shared" ref="D349:D359" si="62">C349+E349-1</f>
        <v>3167</v>
      </c>
      <c r="E349" s="12">
        <v>1</v>
      </c>
      <c r="F349" s="12" t="s">
        <v>92</v>
      </c>
      <c r="G349" s="64" t="s">
        <v>178</v>
      </c>
      <c r="H349" s="66" t="s">
        <v>160</v>
      </c>
    </row>
    <row r="350" spans="1:8" s="19" customFormat="1" x14ac:dyDescent="0.2">
      <c r="A350" s="11" t="s">
        <v>4</v>
      </c>
      <c r="B350" s="37" t="s">
        <v>424</v>
      </c>
      <c r="C350" s="12">
        <f t="shared" ref="C350:C359" si="63">C349+E349</f>
        <v>3168</v>
      </c>
      <c r="D350" s="12">
        <f t="shared" si="62"/>
        <v>3168</v>
      </c>
      <c r="E350" s="12">
        <v>1</v>
      </c>
      <c r="F350" s="12" t="s">
        <v>93</v>
      </c>
      <c r="G350" s="64"/>
      <c r="H350" s="66"/>
    </row>
    <row r="351" spans="1:8" s="19" customFormat="1" x14ac:dyDescent="0.2">
      <c r="A351" s="11" t="s">
        <v>4</v>
      </c>
      <c r="B351" s="37" t="s">
        <v>424</v>
      </c>
      <c r="C351" s="12">
        <f t="shared" si="63"/>
        <v>3169</v>
      </c>
      <c r="D351" s="12">
        <f t="shared" si="62"/>
        <v>3169</v>
      </c>
      <c r="E351" s="12">
        <v>1</v>
      </c>
      <c r="F351" s="12" t="s">
        <v>94</v>
      </c>
      <c r="G351" s="64"/>
      <c r="H351" s="66"/>
    </row>
    <row r="352" spans="1:8" s="19" customFormat="1" x14ac:dyDescent="0.2">
      <c r="A352" s="11" t="s">
        <v>4</v>
      </c>
      <c r="B352" s="37" t="s">
        <v>424</v>
      </c>
      <c r="C352" s="12">
        <f t="shared" si="63"/>
        <v>3170</v>
      </c>
      <c r="D352" s="12">
        <f t="shared" si="62"/>
        <v>3170</v>
      </c>
      <c r="E352" s="12">
        <v>1</v>
      </c>
      <c r="F352" s="12" t="s">
        <v>95</v>
      </c>
      <c r="G352" s="64"/>
      <c r="H352" s="66"/>
    </row>
    <row r="353" spans="1:8" s="19" customFormat="1" x14ac:dyDescent="0.2">
      <c r="A353" s="11" t="s">
        <v>4</v>
      </c>
      <c r="B353" s="37" t="s">
        <v>424</v>
      </c>
      <c r="C353" s="12">
        <f t="shared" si="63"/>
        <v>3171</v>
      </c>
      <c r="D353" s="12">
        <f t="shared" si="62"/>
        <v>3171</v>
      </c>
      <c r="E353" s="12">
        <v>1</v>
      </c>
      <c r="F353" s="12" t="s">
        <v>96</v>
      </c>
      <c r="G353" s="64"/>
      <c r="H353" s="66"/>
    </row>
    <row r="354" spans="1:8" s="19" customFormat="1" x14ac:dyDescent="0.2">
      <c r="A354" s="11" t="s">
        <v>4</v>
      </c>
      <c r="B354" s="37" t="s">
        <v>424</v>
      </c>
      <c r="C354" s="12">
        <f t="shared" si="63"/>
        <v>3172</v>
      </c>
      <c r="D354" s="12">
        <f t="shared" si="62"/>
        <v>3172</v>
      </c>
      <c r="E354" s="12">
        <v>1</v>
      </c>
      <c r="F354" s="12" t="s">
        <v>97</v>
      </c>
      <c r="G354" s="64"/>
      <c r="H354" s="66"/>
    </row>
    <row r="355" spans="1:8" s="19" customFormat="1" x14ac:dyDescent="0.2">
      <c r="A355" s="11" t="s">
        <v>4</v>
      </c>
      <c r="B355" s="37" t="s">
        <v>424</v>
      </c>
      <c r="C355" s="12">
        <f t="shared" si="63"/>
        <v>3173</v>
      </c>
      <c r="D355" s="12">
        <f t="shared" si="62"/>
        <v>3173</v>
      </c>
      <c r="E355" s="12">
        <v>1</v>
      </c>
      <c r="F355" s="12" t="s">
        <v>98</v>
      </c>
      <c r="G355" s="64"/>
      <c r="H355" s="66"/>
    </row>
    <row r="356" spans="1:8" s="19" customFormat="1" x14ac:dyDescent="0.2">
      <c r="A356" s="11" t="s">
        <v>4</v>
      </c>
      <c r="B356" s="37" t="s">
        <v>424</v>
      </c>
      <c r="C356" s="12">
        <f t="shared" si="63"/>
        <v>3174</v>
      </c>
      <c r="D356" s="12">
        <f t="shared" si="62"/>
        <v>3174</v>
      </c>
      <c r="E356" s="12">
        <v>1</v>
      </c>
      <c r="F356" s="12" t="s">
        <v>99</v>
      </c>
      <c r="G356" s="64"/>
      <c r="H356" s="66"/>
    </row>
    <row r="357" spans="1:8" s="19" customFormat="1" x14ac:dyDescent="0.2">
      <c r="A357" s="11" t="s">
        <v>4</v>
      </c>
      <c r="B357" s="37" t="s">
        <v>424</v>
      </c>
      <c r="C357" s="12">
        <f t="shared" si="63"/>
        <v>3175</v>
      </c>
      <c r="D357" s="12">
        <f t="shared" si="62"/>
        <v>3175</v>
      </c>
      <c r="E357" s="12">
        <v>1</v>
      </c>
      <c r="F357" s="12" t="s">
        <v>100</v>
      </c>
      <c r="G357" s="64"/>
      <c r="H357" s="66"/>
    </row>
    <row r="358" spans="1:8" s="19" customFormat="1" x14ac:dyDescent="0.2">
      <c r="A358" s="11" t="s">
        <v>4</v>
      </c>
      <c r="B358" s="37" t="s">
        <v>424</v>
      </c>
      <c r="C358" s="12">
        <f t="shared" si="63"/>
        <v>3176</v>
      </c>
      <c r="D358" s="12">
        <f t="shared" si="62"/>
        <v>3176</v>
      </c>
      <c r="E358" s="12">
        <v>1</v>
      </c>
      <c r="F358" s="12" t="s">
        <v>101</v>
      </c>
      <c r="G358" s="64"/>
      <c r="H358" s="66"/>
    </row>
    <row r="359" spans="1:8" s="19" customFormat="1" x14ac:dyDescent="0.2">
      <c r="A359" s="11" t="s">
        <v>4</v>
      </c>
      <c r="B359" s="37" t="s">
        <v>424</v>
      </c>
      <c r="C359" s="12">
        <f t="shared" si="63"/>
        <v>3177</v>
      </c>
      <c r="D359" s="12">
        <f t="shared" si="62"/>
        <v>3177</v>
      </c>
      <c r="E359" s="12">
        <v>1</v>
      </c>
      <c r="F359" s="12" t="s">
        <v>102</v>
      </c>
      <c r="G359" s="64"/>
      <c r="H359" s="66"/>
    </row>
    <row r="360" spans="1:8" s="12" customFormat="1" x14ac:dyDescent="0.2">
      <c r="A360" s="11"/>
      <c r="B360" s="37"/>
      <c r="F360" s="21" t="s">
        <v>175</v>
      </c>
      <c r="G360" s="55"/>
      <c r="H360" s="58"/>
    </row>
    <row r="361" spans="1:8" s="19" customFormat="1" x14ac:dyDescent="0.2">
      <c r="A361" s="11"/>
      <c r="B361" s="37"/>
      <c r="C361" s="12"/>
      <c r="D361" s="12"/>
      <c r="E361" s="12"/>
      <c r="F361" s="21" t="s">
        <v>171</v>
      </c>
      <c r="G361" s="43"/>
      <c r="H361" s="54"/>
    </row>
    <row r="362" spans="1:8" s="19" customFormat="1" ht="12.75" customHeight="1" x14ac:dyDescent="0.2">
      <c r="A362" s="11" t="s">
        <v>4</v>
      </c>
      <c r="B362" s="37" t="s">
        <v>424</v>
      </c>
      <c r="C362" s="12">
        <f>C359+E359</f>
        <v>3178</v>
      </c>
      <c r="D362" s="12">
        <f>C362+E362-1</f>
        <v>3178</v>
      </c>
      <c r="E362" s="12">
        <v>1</v>
      </c>
      <c r="F362" s="12" t="s">
        <v>92</v>
      </c>
      <c r="G362" s="64" t="s">
        <v>178</v>
      </c>
      <c r="H362" s="66" t="s">
        <v>160</v>
      </c>
    </row>
    <row r="363" spans="1:8" s="19" customFormat="1" x14ac:dyDescent="0.2">
      <c r="A363" s="11" t="s">
        <v>4</v>
      </c>
      <c r="B363" s="37" t="s">
        <v>424</v>
      </c>
      <c r="C363" s="12">
        <f t="shared" ref="C363:C372" si="64">C362+E362</f>
        <v>3179</v>
      </c>
      <c r="D363" s="12">
        <f t="shared" ref="D363:D372" si="65">C363+E363-1</f>
        <v>3179</v>
      </c>
      <c r="E363" s="12">
        <v>1</v>
      </c>
      <c r="F363" s="12" t="s">
        <v>93</v>
      </c>
      <c r="G363" s="64"/>
      <c r="H363" s="66"/>
    </row>
    <row r="364" spans="1:8" s="19" customFormat="1" x14ac:dyDescent="0.2">
      <c r="A364" s="11" t="s">
        <v>4</v>
      </c>
      <c r="B364" s="37" t="s">
        <v>424</v>
      </c>
      <c r="C364" s="12">
        <f t="shared" si="64"/>
        <v>3180</v>
      </c>
      <c r="D364" s="12">
        <f t="shared" si="65"/>
        <v>3180</v>
      </c>
      <c r="E364" s="12">
        <v>1</v>
      </c>
      <c r="F364" s="12" t="s">
        <v>94</v>
      </c>
      <c r="G364" s="64"/>
      <c r="H364" s="66"/>
    </row>
    <row r="365" spans="1:8" s="19" customFormat="1" x14ac:dyDescent="0.2">
      <c r="A365" s="11" t="s">
        <v>4</v>
      </c>
      <c r="B365" s="37" t="s">
        <v>424</v>
      </c>
      <c r="C365" s="12">
        <f t="shared" si="64"/>
        <v>3181</v>
      </c>
      <c r="D365" s="12">
        <f t="shared" si="65"/>
        <v>3181</v>
      </c>
      <c r="E365" s="12">
        <v>1</v>
      </c>
      <c r="F365" s="12" t="s">
        <v>95</v>
      </c>
      <c r="G365" s="64"/>
      <c r="H365" s="66"/>
    </row>
    <row r="366" spans="1:8" s="19" customFormat="1" x14ac:dyDescent="0.2">
      <c r="A366" s="11" t="s">
        <v>4</v>
      </c>
      <c r="B366" s="37" t="s">
        <v>424</v>
      </c>
      <c r="C366" s="12">
        <f t="shared" si="64"/>
        <v>3182</v>
      </c>
      <c r="D366" s="12">
        <f t="shared" si="65"/>
        <v>3182</v>
      </c>
      <c r="E366" s="12">
        <v>1</v>
      </c>
      <c r="F366" s="12" t="s">
        <v>96</v>
      </c>
      <c r="G366" s="64"/>
      <c r="H366" s="66"/>
    </row>
    <row r="367" spans="1:8" s="19" customFormat="1" x14ac:dyDescent="0.2">
      <c r="A367" s="11" t="s">
        <v>4</v>
      </c>
      <c r="B367" s="37" t="s">
        <v>424</v>
      </c>
      <c r="C367" s="12">
        <f t="shared" si="64"/>
        <v>3183</v>
      </c>
      <c r="D367" s="12">
        <f t="shared" si="65"/>
        <v>3183</v>
      </c>
      <c r="E367" s="12">
        <v>1</v>
      </c>
      <c r="F367" s="12" t="s">
        <v>97</v>
      </c>
      <c r="G367" s="64"/>
      <c r="H367" s="66"/>
    </row>
    <row r="368" spans="1:8" s="19" customFormat="1" ht="12.75" customHeight="1" x14ac:dyDescent="0.2">
      <c r="A368" s="11" t="s">
        <v>4</v>
      </c>
      <c r="B368" s="37" t="s">
        <v>424</v>
      </c>
      <c r="C368" s="12">
        <f t="shared" si="64"/>
        <v>3184</v>
      </c>
      <c r="D368" s="12">
        <f t="shared" si="65"/>
        <v>3184</v>
      </c>
      <c r="E368" s="12">
        <v>1</v>
      </c>
      <c r="F368" s="13" t="s">
        <v>98</v>
      </c>
      <c r="G368" s="64"/>
      <c r="H368" s="66"/>
    </row>
    <row r="369" spans="1:8" s="19" customFormat="1" x14ac:dyDescent="0.2">
      <c r="A369" s="11" t="s">
        <v>4</v>
      </c>
      <c r="B369" s="37" t="s">
        <v>424</v>
      </c>
      <c r="C369" s="12">
        <f t="shared" si="64"/>
        <v>3185</v>
      </c>
      <c r="D369" s="12">
        <f t="shared" si="65"/>
        <v>3185</v>
      </c>
      <c r="E369" s="12">
        <v>1</v>
      </c>
      <c r="F369" s="12" t="s">
        <v>99</v>
      </c>
      <c r="G369" s="64"/>
      <c r="H369" s="66"/>
    </row>
    <row r="370" spans="1:8" s="19" customFormat="1" x14ac:dyDescent="0.2">
      <c r="A370" s="11" t="s">
        <v>4</v>
      </c>
      <c r="B370" s="37" t="s">
        <v>424</v>
      </c>
      <c r="C370" s="12">
        <f t="shared" si="64"/>
        <v>3186</v>
      </c>
      <c r="D370" s="12">
        <f t="shared" si="65"/>
        <v>3186</v>
      </c>
      <c r="E370" s="12">
        <v>1</v>
      </c>
      <c r="F370" s="12" t="s">
        <v>100</v>
      </c>
      <c r="G370" s="64"/>
      <c r="H370" s="66"/>
    </row>
    <row r="371" spans="1:8" s="19" customFormat="1" x14ac:dyDescent="0.2">
      <c r="A371" s="11" t="s">
        <v>4</v>
      </c>
      <c r="B371" s="37" t="s">
        <v>424</v>
      </c>
      <c r="C371" s="12">
        <f t="shared" si="64"/>
        <v>3187</v>
      </c>
      <c r="D371" s="12">
        <f t="shared" si="65"/>
        <v>3187</v>
      </c>
      <c r="E371" s="12">
        <v>1</v>
      </c>
      <c r="F371" s="12" t="s">
        <v>101</v>
      </c>
      <c r="G371" s="64"/>
      <c r="H371" s="66"/>
    </row>
    <row r="372" spans="1:8" s="19" customFormat="1" x14ac:dyDescent="0.2">
      <c r="A372" s="11" t="s">
        <v>4</v>
      </c>
      <c r="B372" s="37" t="s">
        <v>424</v>
      </c>
      <c r="C372" s="12">
        <f t="shared" si="64"/>
        <v>3188</v>
      </c>
      <c r="D372" s="12">
        <f t="shared" si="65"/>
        <v>3188</v>
      </c>
      <c r="E372" s="12">
        <v>1</v>
      </c>
      <c r="F372" s="12" t="s">
        <v>102</v>
      </c>
      <c r="G372" s="64"/>
      <c r="H372" s="66"/>
    </row>
    <row r="373" spans="1:8" s="19" customFormat="1" x14ac:dyDescent="0.2">
      <c r="A373" s="11"/>
      <c r="B373" s="37"/>
      <c r="C373" s="12"/>
      <c r="D373" s="12"/>
      <c r="E373" s="12"/>
      <c r="F373" s="9" t="s">
        <v>172</v>
      </c>
      <c r="G373" s="43"/>
      <c r="H373" s="54"/>
    </row>
    <row r="374" spans="1:8" s="19" customFormat="1" ht="12.75" customHeight="1" x14ac:dyDescent="0.2">
      <c r="A374" s="11" t="s">
        <v>4</v>
      </c>
      <c r="B374" s="37" t="s">
        <v>424</v>
      </c>
      <c r="C374" s="12">
        <f>C372+E372</f>
        <v>3189</v>
      </c>
      <c r="D374" s="12">
        <f t="shared" ref="D374:D379" si="66">C374+E374-1</f>
        <v>3189</v>
      </c>
      <c r="E374" s="12">
        <v>1</v>
      </c>
      <c r="F374" s="12" t="s">
        <v>92</v>
      </c>
      <c r="G374" s="64" t="s">
        <v>178</v>
      </c>
      <c r="H374" s="66" t="s">
        <v>160</v>
      </c>
    </row>
    <row r="375" spans="1:8" s="19" customFormat="1" x14ac:dyDescent="0.2">
      <c r="A375" s="11" t="s">
        <v>4</v>
      </c>
      <c r="B375" s="37" t="s">
        <v>424</v>
      </c>
      <c r="C375" s="12">
        <f>C374+E374</f>
        <v>3190</v>
      </c>
      <c r="D375" s="12">
        <f t="shared" si="66"/>
        <v>3190</v>
      </c>
      <c r="E375" s="12">
        <v>1</v>
      </c>
      <c r="F375" s="12" t="s">
        <v>97</v>
      </c>
      <c r="G375" s="64"/>
      <c r="H375" s="66"/>
    </row>
    <row r="376" spans="1:8" s="19" customFormat="1" x14ac:dyDescent="0.2">
      <c r="A376" s="11" t="s">
        <v>4</v>
      </c>
      <c r="B376" s="37" t="s">
        <v>424</v>
      </c>
      <c r="C376" s="12">
        <f>C375+E375</f>
        <v>3191</v>
      </c>
      <c r="D376" s="12">
        <f t="shared" si="66"/>
        <v>3191</v>
      </c>
      <c r="E376" s="12">
        <v>1</v>
      </c>
      <c r="F376" s="12" t="s">
        <v>100</v>
      </c>
      <c r="G376" s="64"/>
      <c r="H376" s="66"/>
    </row>
    <row r="377" spans="1:8" s="19" customFormat="1" x14ac:dyDescent="0.2">
      <c r="A377" s="11" t="s">
        <v>4</v>
      </c>
      <c r="B377" s="37" t="s">
        <v>424</v>
      </c>
      <c r="C377" s="12">
        <f>C376+E376</f>
        <v>3192</v>
      </c>
      <c r="D377" s="12">
        <f t="shared" si="66"/>
        <v>3192</v>
      </c>
      <c r="E377" s="12">
        <v>1</v>
      </c>
      <c r="F377" s="13" t="s">
        <v>109</v>
      </c>
      <c r="G377" s="64"/>
      <c r="H377" s="66"/>
    </row>
    <row r="378" spans="1:8" s="19" customFormat="1" x14ac:dyDescent="0.2">
      <c r="A378" s="11" t="s">
        <v>4</v>
      </c>
      <c r="B378" s="37" t="s">
        <v>424</v>
      </c>
      <c r="C378" s="12">
        <f>C377+E377</f>
        <v>3193</v>
      </c>
      <c r="D378" s="12">
        <f t="shared" si="66"/>
        <v>3193</v>
      </c>
      <c r="E378" s="12">
        <v>1</v>
      </c>
      <c r="F378" s="13" t="s">
        <v>103</v>
      </c>
      <c r="G378" s="64"/>
      <c r="H378" s="66"/>
    </row>
    <row r="379" spans="1:8" s="19" customFormat="1" x14ac:dyDescent="0.2">
      <c r="A379" s="11" t="s">
        <v>4</v>
      </c>
      <c r="B379" s="37" t="s">
        <v>424</v>
      </c>
      <c r="C379" s="12">
        <f>C378+E378</f>
        <v>3194</v>
      </c>
      <c r="D379" s="12">
        <f t="shared" si="66"/>
        <v>3194</v>
      </c>
      <c r="E379" s="12">
        <v>1</v>
      </c>
      <c r="F379" s="12" t="s">
        <v>101</v>
      </c>
      <c r="G379" s="64"/>
      <c r="H379" s="66"/>
    </row>
    <row r="380" spans="1:8" s="19" customFormat="1" x14ac:dyDescent="0.2">
      <c r="A380" s="11"/>
      <c r="B380" s="37"/>
      <c r="C380" s="12"/>
      <c r="D380" s="12"/>
      <c r="E380" s="12"/>
      <c r="F380" s="9" t="s">
        <v>173</v>
      </c>
      <c r="G380" s="43"/>
      <c r="H380" s="54"/>
    </row>
    <row r="381" spans="1:8" s="19" customFormat="1" ht="12.75" customHeight="1" x14ac:dyDescent="0.2">
      <c r="A381" s="11" t="s">
        <v>4</v>
      </c>
      <c r="B381" s="37" t="s">
        <v>424</v>
      </c>
      <c r="C381" s="12">
        <f>C379+E379</f>
        <v>3195</v>
      </c>
      <c r="D381" s="12">
        <f t="shared" ref="D381:D391" si="67">C381+E381-1</f>
        <v>3195</v>
      </c>
      <c r="E381" s="12">
        <v>1</v>
      </c>
      <c r="F381" s="12" t="s">
        <v>92</v>
      </c>
      <c r="G381" s="64" t="s">
        <v>178</v>
      </c>
      <c r="H381" s="66" t="s">
        <v>160</v>
      </c>
    </row>
    <row r="382" spans="1:8" s="19" customFormat="1" x14ac:dyDescent="0.2">
      <c r="A382" s="11" t="s">
        <v>4</v>
      </c>
      <c r="B382" s="37" t="s">
        <v>424</v>
      </c>
      <c r="C382" s="12">
        <f t="shared" ref="C382:C391" si="68">C381+E381</f>
        <v>3196</v>
      </c>
      <c r="D382" s="12">
        <f t="shared" si="67"/>
        <v>3196</v>
      </c>
      <c r="E382" s="12">
        <v>1</v>
      </c>
      <c r="F382" s="12" t="s">
        <v>93</v>
      </c>
      <c r="G382" s="64"/>
      <c r="H382" s="66"/>
    </row>
    <row r="383" spans="1:8" s="19" customFormat="1" x14ac:dyDescent="0.2">
      <c r="A383" s="11" t="s">
        <v>4</v>
      </c>
      <c r="B383" s="37" t="s">
        <v>424</v>
      </c>
      <c r="C383" s="12">
        <f t="shared" si="68"/>
        <v>3197</v>
      </c>
      <c r="D383" s="12">
        <f t="shared" si="67"/>
        <v>3197</v>
      </c>
      <c r="E383" s="12">
        <v>1</v>
      </c>
      <c r="F383" s="12" t="s">
        <v>94</v>
      </c>
      <c r="G383" s="64"/>
      <c r="H383" s="66"/>
    </row>
    <row r="384" spans="1:8" s="19" customFormat="1" x14ac:dyDescent="0.2">
      <c r="A384" s="11" t="s">
        <v>4</v>
      </c>
      <c r="B384" s="37" t="s">
        <v>424</v>
      </c>
      <c r="C384" s="12">
        <f t="shared" si="68"/>
        <v>3198</v>
      </c>
      <c r="D384" s="12">
        <f t="shared" si="67"/>
        <v>3198</v>
      </c>
      <c r="E384" s="12">
        <v>1</v>
      </c>
      <c r="F384" s="12" t="s">
        <v>95</v>
      </c>
      <c r="G384" s="64"/>
      <c r="H384" s="66"/>
    </row>
    <row r="385" spans="1:8" s="19" customFormat="1" x14ac:dyDescent="0.2">
      <c r="A385" s="11" t="s">
        <v>4</v>
      </c>
      <c r="B385" s="37" t="s">
        <v>424</v>
      </c>
      <c r="C385" s="12">
        <f t="shared" si="68"/>
        <v>3199</v>
      </c>
      <c r="D385" s="12">
        <f t="shared" si="67"/>
        <v>3199</v>
      </c>
      <c r="E385" s="12">
        <v>1</v>
      </c>
      <c r="F385" s="12" t="s">
        <v>96</v>
      </c>
      <c r="G385" s="64"/>
      <c r="H385" s="66"/>
    </row>
    <row r="386" spans="1:8" s="19" customFormat="1" x14ac:dyDescent="0.2">
      <c r="A386" s="11" t="s">
        <v>4</v>
      </c>
      <c r="B386" s="37" t="s">
        <v>424</v>
      </c>
      <c r="C386" s="12">
        <f t="shared" si="68"/>
        <v>3200</v>
      </c>
      <c r="D386" s="12">
        <f t="shared" si="67"/>
        <v>3200</v>
      </c>
      <c r="E386" s="12">
        <v>1</v>
      </c>
      <c r="F386" s="12" t="s">
        <v>97</v>
      </c>
      <c r="G386" s="64"/>
      <c r="H386" s="66"/>
    </row>
    <row r="387" spans="1:8" s="19" customFormat="1" x14ac:dyDescent="0.2">
      <c r="A387" s="11" t="s">
        <v>4</v>
      </c>
      <c r="B387" s="37" t="s">
        <v>424</v>
      </c>
      <c r="C387" s="12">
        <f t="shared" si="68"/>
        <v>3201</v>
      </c>
      <c r="D387" s="12">
        <f t="shared" si="67"/>
        <v>3201</v>
      </c>
      <c r="E387" s="12">
        <v>1</v>
      </c>
      <c r="F387" s="12" t="s">
        <v>98</v>
      </c>
      <c r="G387" s="64"/>
      <c r="H387" s="66"/>
    </row>
    <row r="388" spans="1:8" s="19" customFormat="1" x14ac:dyDescent="0.2">
      <c r="A388" s="11" t="s">
        <v>4</v>
      </c>
      <c r="B388" s="37" t="s">
        <v>424</v>
      </c>
      <c r="C388" s="12">
        <f t="shared" si="68"/>
        <v>3202</v>
      </c>
      <c r="D388" s="12">
        <f t="shared" si="67"/>
        <v>3202</v>
      </c>
      <c r="E388" s="12">
        <v>1</v>
      </c>
      <c r="F388" s="12" t="s">
        <v>99</v>
      </c>
      <c r="G388" s="64"/>
      <c r="H388" s="66"/>
    </row>
    <row r="389" spans="1:8" s="19" customFormat="1" x14ac:dyDescent="0.2">
      <c r="A389" s="11" t="s">
        <v>4</v>
      </c>
      <c r="B389" s="37" t="s">
        <v>424</v>
      </c>
      <c r="C389" s="12">
        <f t="shared" si="68"/>
        <v>3203</v>
      </c>
      <c r="D389" s="12">
        <f t="shared" si="67"/>
        <v>3203</v>
      </c>
      <c r="E389" s="12">
        <v>1</v>
      </c>
      <c r="F389" s="12" t="s">
        <v>100</v>
      </c>
      <c r="G389" s="64"/>
      <c r="H389" s="66"/>
    </row>
    <row r="390" spans="1:8" s="19" customFormat="1" x14ac:dyDescent="0.2">
      <c r="A390" s="11" t="s">
        <v>4</v>
      </c>
      <c r="B390" s="37" t="s">
        <v>424</v>
      </c>
      <c r="C390" s="12">
        <f t="shared" si="68"/>
        <v>3204</v>
      </c>
      <c r="D390" s="12">
        <f t="shared" si="67"/>
        <v>3204</v>
      </c>
      <c r="E390" s="12">
        <v>1</v>
      </c>
      <c r="F390" s="12" t="s">
        <v>101</v>
      </c>
      <c r="G390" s="64"/>
      <c r="H390" s="66"/>
    </row>
    <row r="391" spans="1:8" s="19" customFormat="1" x14ac:dyDescent="0.2">
      <c r="A391" s="11" t="s">
        <v>4</v>
      </c>
      <c r="B391" s="37" t="s">
        <v>424</v>
      </c>
      <c r="C391" s="12">
        <f t="shared" si="68"/>
        <v>3205</v>
      </c>
      <c r="D391" s="12">
        <f t="shared" si="67"/>
        <v>3205</v>
      </c>
      <c r="E391" s="12">
        <v>1</v>
      </c>
      <c r="F391" s="12" t="s">
        <v>102</v>
      </c>
      <c r="G391" s="64"/>
      <c r="H391" s="66"/>
    </row>
    <row r="392" spans="1:8" s="12" customFormat="1" x14ac:dyDescent="0.2">
      <c r="A392" s="11"/>
      <c r="B392" s="37"/>
      <c r="F392" s="21" t="s">
        <v>176</v>
      </c>
      <c r="G392" s="55"/>
      <c r="H392" s="58"/>
    </row>
    <row r="393" spans="1:8" s="19" customFormat="1" x14ac:dyDescent="0.2">
      <c r="A393" s="11"/>
      <c r="B393" s="37"/>
      <c r="C393" s="12"/>
      <c r="D393" s="12"/>
      <c r="E393" s="12"/>
      <c r="F393" s="21" t="s">
        <v>171</v>
      </c>
      <c r="G393" s="43"/>
      <c r="H393" s="54"/>
    </row>
    <row r="394" spans="1:8" s="19" customFormat="1" ht="12.75" customHeight="1" x14ac:dyDescent="0.2">
      <c r="A394" s="11" t="s">
        <v>4</v>
      </c>
      <c r="B394" s="37" t="s">
        <v>424</v>
      </c>
      <c r="C394" s="12">
        <f>C391+E391</f>
        <v>3206</v>
      </c>
      <c r="D394" s="12">
        <f>C394+E394-1</f>
        <v>3206</v>
      </c>
      <c r="E394" s="12">
        <v>1</v>
      </c>
      <c r="F394" s="12" t="s">
        <v>92</v>
      </c>
      <c r="G394" s="64" t="s">
        <v>178</v>
      </c>
      <c r="H394" s="66" t="s">
        <v>160</v>
      </c>
    </row>
    <row r="395" spans="1:8" s="19" customFormat="1" x14ac:dyDescent="0.2">
      <c r="A395" s="11" t="s">
        <v>4</v>
      </c>
      <c r="B395" s="37" t="s">
        <v>424</v>
      </c>
      <c r="C395" s="12">
        <f t="shared" ref="C395:C404" si="69">C394+E394</f>
        <v>3207</v>
      </c>
      <c r="D395" s="12">
        <f t="shared" ref="D395:D404" si="70">C395+E395-1</f>
        <v>3207</v>
      </c>
      <c r="E395" s="12">
        <v>1</v>
      </c>
      <c r="F395" s="12" t="s">
        <v>93</v>
      </c>
      <c r="G395" s="64"/>
      <c r="H395" s="66"/>
    </row>
    <row r="396" spans="1:8" s="19" customFormat="1" x14ac:dyDescent="0.2">
      <c r="A396" s="11" t="s">
        <v>4</v>
      </c>
      <c r="B396" s="37" t="s">
        <v>424</v>
      </c>
      <c r="C396" s="12">
        <f t="shared" si="69"/>
        <v>3208</v>
      </c>
      <c r="D396" s="12">
        <f t="shared" si="70"/>
        <v>3208</v>
      </c>
      <c r="E396" s="12">
        <v>1</v>
      </c>
      <c r="F396" s="12" t="s">
        <v>94</v>
      </c>
      <c r="G396" s="64"/>
      <c r="H396" s="66"/>
    </row>
    <row r="397" spans="1:8" s="19" customFormat="1" x14ac:dyDescent="0.2">
      <c r="A397" s="11" t="s">
        <v>4</v>
      </c>
      <c r="B397" s="37" t="s">
        <v>424</v>
      </c>
      <c r="C397" s="12">
        <f t="shared" si="69"/>
        <v>3209</v>
      </c>
      <c r="D397" s="12">
        <f t="shared" si="70"/>
        <v>3209</v>
      </c>
      <c r="E397" s="12">
        <v>1</v>
      </c>
      <c r="F397" s="12" t="s">
        <v>95</v>
      </c>
      <c r="G397" s="64"/>
      <c r="H397" s="66"/>
    </row>
    <row r="398" spans="1:8" s="19" customFormat="1" x14ac:dyDescent="0.2">
      <c r="A398" s="11" t="s">
        <v>4</v>
      </c>
      <c r="B398" s="37" t="s">
        <v>424</v>
      </c>
      <c r="C398" s="12">
        <f t="shared" si="69"/>
        <v>3210</v>
      </c>
      <c r="D398" s="12">
        <f t="shared" si="70"/>
        <v>3210</v>
      </c>
      <c r="E398" s="12">
        <v>1</v>
      </c>
      <c r="F398" s="12" t="s">
        <v>96</v>
      </c>
      <c r="G398" s="64"/>
      <c r="H398" s="66"/>
    </row>
    <row r="399" spans="1:8" s="19" customFormat="1" x14ac:dyDescent="0.2">
      <c r="A399" s="11" t="s">
        <v>4</v>
      </c>
      <c r="B399" s="37" t="s">
        <v>424</v>
      </c>
      <c r="C399" s="12">
        <f t="shared" si="69"/>
        <v>3211</v>
      </c>
      <c r="D399" s="12">
        <f t="shared" si="70"/>
        <v>3211</v>
      </c>
      <c r="E399" s="12">
        <v>1</v>
      </c>
      <c r="F399" s="12" t="s">
        <v>97</v>
      </c>
      <c r="G399" s="64"/>
      <c r="H399" s="66"/>
    </row>
    <row r="400" spans="1:8" s="19" customFormat="1" ht="12.75" customHeight="1" x14ac:dyDescent="0.2">
      <c r="A400" s="11" t="s">
        <v>4</v>
      </c>
      <c r="B400" s="37" t="s">
        <v>424</v>
      </c>
      <c r="C400" s="12">
        <f t="shared" si="69"/>
        <v>3212</v>
      </c>
      <c r="D400" s="12">
        <f t="shared" si="70"/>
        <v>3212</v>
      </c>
      <c r="E400" s="12">
        <v>1</v>
      </c>
      <c r="F400" s="13" t="s">
        <v>98</v>
      </c>
      <c r="G400" s="64"/>
      <c r="H400" s="66"/>
    </row>
    <row r="401" spans="1:8" s="19" customFormat="1" x14ac:dyDescent="0.2">
      <c r="A401" s="11" t="s">
        <v>4</v>
      </c>
      <c r="B401" s="37" t="s">
        <v>424</v>
      </c>
      <c r="C401" s="12">
        <f t="shared" si="69"/>
        <v>3213</v>
      </c>
      <c r="D401" s="12">
        <f t="shared" si="70"/>
        <v>3213</v>
      </c>
      <c r="E401" s="12">
        <v>1</v>
      </c>
      <c r="F401" s="12" t="s">
        <v>99</v>
      </c>
      <c r="G401" s="64"/>
      <c r="H401" s="66"/>
    </row>
    <row r="402" spans="1:8" s="19" customFormat="1" x14ac:dyDescent="0.2">
      <c r="A402" s="11" t="s">
        <v>4</v>
      </c>
      <c r="B402" s="37" t="s">
        <v>424</v>
      </c>
      <c r="C402" s="12">
        <f t="shared" si="69"/>
        <v>3214</v>
      </c>
      <c r="D402" s="12">
        <f t="shared" si="70"/>
        <v>3214</v>
      </c>
      <c r="E402" s="12">
        <v>1</v>
      </c>
      <c r="F402" s="12" t="s">
        <v>100</v>
      </c>
      <c r="G402" s="64"/>
      <c r="H402" s="66"/>
    </row>
    <row r="403" spans="1:8" s="19" customFormat="1" x14ac:dyDescent="0.2">
      <c r="A403" s="11" t="s">
        <v>4</v>
      </c>
      <c r="B403" s="37" t="s">
        <v>424</v>
      </c>
      <c r="C403" s="12">
        <f t="shared" si="69"/>
        <v>3215</v>
      </c>
      <c r="D403" s="12">
        <f t="shared" si="70"/>
        <v>3215</v>
      </c>
      <c r="E403" s="12">
        <v>1</v>
      </c>
      <c r="F403" s="12" t="s">
        <v>101</v>
      </c>
      <c r="G403" s="64"/>
      <c r="H403" s="66"/>
    </row>
    <row r="404" spans="1:8" s="19" customFormat="1" x14ac:dyDescent="0.2">
      <c r="A404" s="11" t="s">
        <v>4</v>
      </c>
      <c r="B404" s="37" t="s">
        <v>424</v>
      </c>
      <c r="C404" s="12">
        <f t="shared" si="69"/>
        <v>3216</v>
      </c>
      <c r="D404" s="12">
        <f t="shared" si="70"/>
        <v>3216</v>
      </c>
      <c r="E404" s="12">
        <v>1</v>
      </c>
      <c r="F404" s="12" t="s">
        <v>102</v>
      </c>
      <c r="G404" s="64"/>
      <c r="H404" s="66"/>
    </row>
    <row r="405" spans="1:8" s="19" customFormat="1" x14ac:dyDescent="0.2">
      <c r="A405" s="11"/>
      <c r="B405" s="37"/>
      <c r="C405" s="12"/>
      <c r="D405" s="12"/>
      <c r="E405" s="12"/>
      <c r="F405" s="9" t="s">
        <v>172</v>
      </c>
      <c r="G405" s="43"/>
      <c r="H405" s="54"/>
    </row>
    <row r="406" spans="1:8" s="19" customFormat="1" ht="12.75" customHeight="1" x14ac:dyDescent="0.2">
      <c r="A406" s="11" t="s">
        <v>4</v>
      </c>
      <c r="B406" s="37" t="s">
        <v>424</v>
      </c>
      <c r="C406" s="12">
        <f>C404+E404</f>
        <v>3217</v>
      </c>
      <c r="D406" s="12">
        <f t="shared" ref="D406:D411" si="71">C406+E406-1</f>
        <v>3217</v>
      </c>
      <c r="E406" s="12">
        <v>1</v>
      </c>
      <c r="F406" s="12" t="s">
        <v>92</v>
      </c>
      <c r="G406" s="64" t="s">
        <v>178</v>
      </c>
      <c r="H406" s="66" t="s">
        <v>160</v>
      </c>
    </row>
    <row r="407" spans="1:8" s="19" customFormat="1" x14ac:dyDescent="0.2">
      <c r="A407" s="11" t="s">
        <v>4</v>
      </c>
      <c r="B407" s="37" t="s">
        <v>424</v>
      </c>
      <c r="C407" s="12">
        <f>C406+E406</f>
        <v>3218</v>
      </c>
      <c r="D407" s="12">
        <f t="shared" si="71"/>
        <v>3218</v>
      </c>
      <c r="E407" s="12">
        <v>1</v>
      </c>
      <c r="F407" s="12" t="s">
        <v>97</v>
      </c>
      <c r="G407" s="64"/>
      <c r="H407" s="66"/>
    </row>
    <row r="408" spans="1:8" s="19" customFormat="1" x14ac:dyDescent="0.2">
      <c r="A408" s="11" t="s">
        <v>4</v>
      </c>
      <c r="B408" s="37" t="s">
        <v>424</v>
      </c>
      <c r="C408" s="12">
        <f>C407+E407</f>
        <v>3219</v>
      </c>
      <c r="D408" s="12">
        <f t="shared" si="71"/>
        <v>3219</v>
      </c>
      <c r="E408" s="12">
        <v>1</v>
      </c>
      <c r="F408" s="12" t="s">
        <v>100</v>
      </c>
      <c r="G408" s="64"/>
      <c r="H408" s="66"/>
    </row>
    <row r="409" spans="1:8" s="19" customFormat="1" x14ac:dyDescent="0.2">
      <c r="A409" s="11" t="s">
        <v>4</v>
      </c>
      <c r="B409" s="37" t="s">
        <v>424</v>
      </c>
      <c r="C409" s="12">
        <f>C408+E408</f>
        <v>3220</v>
      </c>
      <c r="D409" s="12">
        <f t="shared" si="71"/>
        <v>3220</v>
      </c>
      <c r="E409" s="12">
        <v>1</v>
      </c>
      <c r="F409" s="13" t="s">
        <v>109</v>
      </c>
      <c r="G409" s="64"/>
      <c r="H409" s="66"/>
    </row>
    <row r="410" spans="1:8" s="19" customFormat="1" x14ac:dyDescent="0.2">
      <c r="A410" s="11" t="s">
        <v>4</v>
      </c>
      <c r="B410" s="37" t="s">
        <v>424</v>
      </c>
      <c r="C410" s="12">
        <f>C409+E409</f>
        <v>3221</v>
      </c>
      <c r="D410" s="12">
        <f t="shared" si="71"/>
        <v>3221</v>
      </c>
      <c r="E410" s="12">
        <v>1</v>
      </c>
      <c r="F410" s="13" t="s">
        <v>103</v>
      </c>
      <c r="G410" s="64"/>
      <c r="H410" s="66"/>
    </row>
    <row r="411" spans="1:8" s="19" customFormat="1" x14ac:dyDescent="0.2">
      <c r="A411" s="11" t="s">
        <v>4</v>
      </c>
      <c r="B411" s="37" t="s">
        <v>424</v>
      </c>
      <c r="C411" s="12">
        <f>C410+E410</f>
        <v>3222</v>
      </c>
      <c r="D411" s="12">
        <f t="shared" si="71"/>
        <v>3222</v>
      </c>
      <c r="E411" s="12">
        <v>1</v>
      </c>
      <c r="F411" s="12" t="s">
        <v>101</v>
      </c>
      <c r="G411" s="64"/>
      <c r="H411" s="66"/>
    </row>
    <row r="412" spans="1:8" s="19" customFormat="1" x14ac:dyDescent="0.2">
      <c r="A412" s="11"/>
      <c r="B412" s="37"/>
      <c r="C412" s="12"/>
      <c r="D412" s="12"/>
      <c r="E412" s="12"/>
      <c r="F412" s="9" t="s">
        <v>173</v>
      </c>
      <c r="G412" s="43"/>
      <c r="H412" s="54"/>
    </row>
    <row r="413" spans="1:8" s="19" customFormat="1" ht="12.75" customHeight="1" x14ac:dyDescent="0.2">
      <c r="A413" s="11" t="s">
        <v>4</v>
      </c>
      <c r="B413" s="37" t="s">
        <v>424</v>
      </c>
      <c r="C413" s="12">
        <f>C411+E411</f>
        <v>3223</v>
      </c>
      <c r="D413" s="12">
        <f t="shared" ref="D413:D423" si="72">C413+E413-1</f>
        <v>3223</v>
      </c>
      <c r="E413" s="12">
        <v>1</v>
      </c>
      <c r="F413" s="12" t="s">
        <v>92</v>
      </c>
      <c r="G413" s="64" t="s">
        <v>178</v>
      </c>
      <c r="H413" s="66" t="s">
        <v>160</v>
      </c>
    </row>
    <row r="414" spans="1:8" s="19" customFormat="1" x14ac:dyDescent="0.2">
      <c r="A414" s="11" t="s">
        <v>4</v>
      </c>
      <c r="B414" s="37" t="s">
        <v>424</v>
      </c>
      <c r="C414" s="12">
        <f t="shared" ref="C414:C423" si="73">C413+E413</f>
        <v>3224</v>
      </c>
      <c r="D414" s="12">
        <f t="shared" si="72"/>
        <v>3224</v>
      </c>
      <c r="E414" s="12">
        <v>1</v>
      </c>
      <c r="F414" s="12" t="s">
        <v>93</v>
      </c>
      <c r="G414" s="64"/>
      <c r="H414" s="66"/>
    </row>
    <row r="415" spans="1:8" s="19" customFormat="1" x14ac:dyDescent="0.2">
      <c r="A415" s="11" t="s">
        <v>4</v>
      </c>
      <c r="B415" s="37" t="s">
        <v>424</v>
      </c>
      <c r="C415" s="12">
        <f t="shared" si="73"/>
        <v>3225</v>
      </c>
      <c r="D415" s="12">
        <f t="shared" si="72"/>
        <v>3225</v>
      </c>
      <c r="E415" s="12">
        <v>1</v>
      </c>
      <c r="F415" s="12" t="s">
        <v>94</v>
      </c>
      <c r="G415" s="64"/>
      <c r="H415" s="66"/>
    </row>
    <row r="416" spans="1:8" s="19" customFormat="1" x14ac:dyDescent="0.2">
      <c r="A416" s="11" t="s">
        <v>4</v>
      </c>
      <c r="B416" s="37" t="s">
        <v>424</v>
      </c>
      <c r="C416" s="12">
        <f t="shared" si="73"/>
        <v>3226</v>
      </c>
      <c r="D416" s="12">
        <f t="shared" si="72"/>
        <v>3226</v>
      </c>
      <c r="E416" s="12">
        <v>1</v>
      </c>
      <c r="F416" s="12" t="s">
        <v>95</v>
      </c>
      <c r="G416" s="64"/>
      <c r="H416" s="66"/>
    </row>
    <row r="417" spans="1:8" s="19" customFormat="1" x14ac:dyDescent="0.2">
      <c r="A417" s="11" t="s">
        <v>4</v>
      </c>
      <c r="B417" s="37" t="s">
        <v>424</v>
      </c>
      <c r="C417" s="12">
        <f t="shared" si="73"/>
        <v>3227</v>
      </c>
      <c r="D417" s="12">
        <f t="shared" si="72"/>
        <v>3227</v>
      </c>
      <c r="E417" s="12">
        <v>1</v>
      </c>
      <c r="F417" s="12" t="s">
        <v>96</v>
      </c>
      <c r="G417" s="64"/>
      <c r="H417" s="66"/>
    </row>
    <row r="418" spans="1:8" s="19" customFormat="1" x14ac:dyDescent="0.2">
      <c r="A418" s="11" t="s">
        <v>4</v>
      </c>
      <c r="B418" s="37" t="s">
        <v>424</v>
      </c>
      <c r="C418" s="12">
        <f t="shared" si="73"/>
        <v>3228</v>
      </c>
      <c r="D418" s="12">
        <f t="shared" si="72"/>
        <v>3228</v>
      </c>
      <c r="E418" s="12">
        <v>1</v>
      </c>
      <c r="F418" s="12" t="s">
        <v>97</v>
      </c>
      <c r="G418" s="64"/>
      <c r="H418" s="66"/>
    </row>
    <row r="419" spans="1:8" s="19" customFormat="1" x14ac:dyDescent="0.2">
      <c r="A419" s="11" t="s">
        <v>4</v>
      </c>
      <c r="B419" s="37" t="s">
        <v>424</v>
      </c>
      <c r="C419" s="12">
        <f t="shared" si="73"/>
        <v>3229</v>
      </c>
      <c r="D419" s="12">
        <f t="shared" si="72"/>
        <v>3229</v>
      </c>
      <c r="E419" s="12">
        <v>1</v>
      </c>
      <c r="F419" s="12" t="s">
        <v>98</v>
      </c>
      <c r="G419" s="64"/>
      <c r="H419" s="66"/>
    </row>
    <row r="420" spans="1:8" s="19" customFormat="1" x14ac:dyDescent="0.2">
      <c r="A420" s="11" t="s">
        <v>4</v>
      </c>
      <c r="B420" s="37" t="s">
        <v>424</v>
      </c>
      <c r="C420" s="12">
        <f t="shared" si="73"/>
        <v>3230</v>
      </c>
      <c r="D420" s="12">
        <f t="shared" si="72"/>
        <v>3230</v>
      </c>
      <c r="E420" s="12">
        <v>1</v>
      </c>
      <c r="F420" s="12" t="s">
        <v>99</v>
      </c>
      <c r="G420" s="64"/>
      <c r="H420" s="66"/>
    </row>
    <row r="421" spans="1:8" s="19" customFormat="1" x14ac:dyDescent="0.2">
      <c r="A421" s="11" t="s">
        <v>4</v>
      </c>
      <c r="B421" s="37" t="s">
        <v>424</v>
      </c>
      <c r="C421" s="12">
        <f t="shared" si="73"/>
        <v>3231</v>
      </c>
      <c r="D421" s="12">
        <f t="shared" si="72"/>
        <v>3231</v>
      </c>
      <c r="E421" s="12">
        <v>1</v>
      </c>
      <c r="F421" s="12" t="s">
        <v>100</v>
      </c>
      <c r="G421" s="64"/>
      <c r="H421" s="66"/>
    </row>
    <row r="422" spans="1:8" s="19" customFormat="1" x14ac:dyDescent="0.2">
      <c r="A422" s="11" t="s">
        <v>4</v>
      </c>
      <c r="B422" s="37" t="s">
        <v>424</v>
      </c>
      <c r="C422" s="12">
        <f t="shared" si="73"/>
        <v>3232</v>
      </c>
      <c r="D422" s="12">
        <f t="shared" si="72"/>
        <v>3232</v>
      </c>
      <c r="E422" s="12">
        <v>1</v>
      </c>
      <c r="F422" s="12" t="s">
        <v>101</v>
      </c>
      <c r="G422" s="64"/>
      <c r="H422" s="66"/>
    </row>
    <row r="423" spans="1:8" s="19" customFormat="1" x14ac:dyDescent="0.2">
      <c r="A423" s="11" t="s">
        <v>4</v>
      </c>
      <c r="B423" s="37" t="s">
        <v>424</v>
      </c>
      <c r="C423" s="12">
        <f t="shared" si="73"/>
        <v>3233</v>
      </c>
      <c r="D423" s="12">
        <f t="shared" si="72"/>
        <v>3233</v>
      </c>
      <c r="E423" s="12">
        <v>1</v>
      </c>
      <c r="F423" s="12" t="s">
        <v>102</v>
      </c>
      <c r="G423" s="64"/>
      <c r="H423" s="66"/>
    </row>
    <row r="424" spans="1:8" s="19" customFormat="1" x14ac:dyDescent="0.2">
      <c r="A424" s="11"/>
      <c r="B424" s="37"/>
      <c r="C424" s="12"/>
      <c r="D424" s="12"/>
      <c r="E424" s="12"/>
      <c r="F424" s="21" t="s">
        <v>238</v>
      </c>
      <c r="G424" s="53"/>
      <c r="H424" s="54"/>
    </row>
    <row r="425" spans="1:8" s="19" customFormat="1" x14ac:dyDescent="0.2">
      <c r="A425" s="11"/>
      <c r="B425" s="37"/>
      <c r="C425" s="12">
        <f>C423+E423</f>
        <v>3234</v>
      </c>
      <c r="D425" s="12">
        <f t="shared" ref="D425:D427" si="74">C425+E425-1</f>
        <v>3253</v>
      </c>
      <c r="E425" s="12">
        <v>20</v>
      </c>
      <c r="F425" s="61" t="s">
        <v>153</v>
      </c>
      <c r="G425" s="54"/>
      <c r="H425" s="50"/>
    </row>
    <row r="426" spans="1:8" x14ac:dyDescent="0.2">
      <c r="A426" s="11"/>
      <c r="B426" s="37" t="s">
        <v>424</v>
      </c>
      <c r="C426" s="12">
        <f>C425+E425</f>
        <v>3254</v>
      </c>
      <c r="D426" s="12">
        <f t="shared" si="74"/>
        <v>3272</v>
      </c>
      <c r="E426" s="12">
        <v>19</v>
      </c>
      <c r="F426" s="12" t="s">
        <v>111</v>
      </c>
      <c r="G426" s="54" t="s">
        <v>338</v>
      </c>
      <c r="H426" s="58" t="s">
        <v>115</v>
      </c>
    </row>
    <row r="427" spans="1:8" x14ac:dyDescent="0.2">
      <c r="A427" s="11"/>
      <c r="B427" s="37"/>
      <c r="C427" s="12">
        <f>C426+E426</f>
        <v>3273</v>
      </c>
      <c r="D427" s="12">
        <f t="shared" si="74"/>
        <v>3273</v>
      </c>
      <c r="E427" s="12">
        <v>1</v>
      </c>
      <c r="F427" s="17" t="s">
        <v>153</v>
      </c>
      <c r="G427" s="13"/>
      <c r="H427" s="58"/>
    </row>
    <row r="428" spans="1:8" x14ac:dyDescent="0.2">
      <c r="C428" s="8"/>
      <c r="D428" s="8"/>
      <c r="E428" s="8"/>
      <c r="F428" s="10"/>
      <c r="G428" s="28"/>
      <c r="H428" s="58"/>
    </row>
    <row r="429" spans="1:8" ht="15.75" x14ac:dyDescent="0.2">
      <c r="B429" s="4"/>
      <c r="C429" s="32" t="s">
        <v>1</v>
      </c>
      <c r="D429" s="4">
        <f>D427</f>
        <v>3273</v>
      </c>
      <c r="E429" s="8"/>
      <c r="F429" s="10"/>
      <c r="G429" s="28"/>
      <c r="H429" s="58"/>
    </row>
    <row r="430" spans="1:8" x14ac:dyDescent="0.2">
      <c r="C430" s="8"/>
      <c r="D430" s="8"/>
      <c r="E430" s="8"/>
      <c r="F430" s="20"/>
      <c r="G430" s="28"/>
      <c r="H430" s="58"/>
    </row>
    <row r="431" spans="1:8" x14ac:dyDescent="0.2">
      <c r="C431" s="8"/>
      <c r="D431" s="8"/>
      <c r="E431" s="8"/>
      <c r="F431" s="10"/>
      <c r="G431" s="28"/>
      <c r="H431" s="58"/>
    </row>
    <row r="432" spans="1:8" x14ac:dyDescent="0.2">
      <c r="C432" s="8"/>
      <c r="D432" s="8"/>
      <c r="E432" s="8"/>
      <c r="F432" s="10"/>
      <c r="G432" s="28"/>
      <c r="H432" s="58"/>
    </row>
    <row r="433" spans="3:8" x14ac:dyDescent="0.2">
      <c r="C433" s="8"/>
      <c r="D433" s="8"/>
      <c r="E433" s="8"/>
      <c r="F433" s="10"/>
      <c r="G433" s="28"/>
      <c r="H433" s="58"/>
    </row>
    <row r="434" spans="3:8" x14ac:dyDescent="0.2">
      <c r="C434" s="8"/>
      <c r="D434" s="8"/>
      <c r="E434" s="8"/>
      <c r="F434" s="10"/>
      <c r="G434" s="28"/>
      <c r="H434" s="58"/>
    </row>
    <row r="435" spans="3:8" x14ac:dyDescent="0.2">
      <c r="C435" s="8"/>
      <c r="D435" s="8"/>
      <c r="E435" s="8"/>
      <c r="F435" s="10"/>
      <c r="G435" s="28"/>
      <c r="H435" s="58"/>
    </row>
    <row r="436" spans="3:8" x14ac:dyDescent="0.2">
      <c r="C436" s="8"/>
      <c r="D436" s="8"/>
      <c r="E436" s="8"/>
      <c r="F436" s="10"/>
      <c r="G436" s="28"/>
      <c r="H436" s="58"/>
    </row>
    <row r="437" spans="3:8" x14ac:dyDescent="0.2">
      <c r="C437" s="8"/>
      <c r="D437" s="8"/>
      <c r="E437" s="8"/>
      <c r="F437" s="10"/>
      <c r="G437" s="28"/>
      <c r="H437" s="58"/>
    </row>
    <row r="438" spans="3:8" x14ac:dyDescent="0.2">
      <c r="C438" s="8"/>
      <c r="D438" s="8"/>
      <c r="E438" s="8"/>
      <c r="F438" s="10"/>
      <c r="G438" s="28"/>
      <c r="H438" s="58"/>
    </row>
    <row r="439" spans="3:8" x14ac:dyDescent="0.2">
      <c r="C439" s="8"/>
      <c r="D439" s="8"/>
      <c r="E439" s="8"/>
      <c r="F439" s="10"/>
      <c r="G439" s="28"/>
      <c r="H439" s="58"/>
    </row>
    <row r="440" spans="3:8" x14ac:dyDescent="0.2">
      <c r="C440" s="8"/>
      <c r="D440" s="8"/>
      <c r="E440" s="8"/>
      <c r="F440" s="10"/>
      <c r="G440" s="28"/>
      <c r="H440" s="58"/>
    </row>
    <row r="441" spans="3:8" x14ac:dyDescent="0.2">
      <c r="C441" s="8"/>
      <c r="D441" s="8"/>
      <c r="E441" s="8"/>
      <c r="F441" s="10"/>
      <c r="G441" s="28"/>
      <c r="H441" s="58"/>
    </row>
    <row r="442" spans="3:8" x14ac:dyDescent="0.2">
      <c r="H442" s="58"/>
    </row>
    <row r="443" spans="3:8" x14ac:dyDescent="0.2">
      <c r="H443" s="58"/>
    </row>
    <row r="444" spans="3:8" x14ac:dyDescent="0.2">
      <c r="H444" s="58"/>
    </row>
    <row r="445" spans="3:8" x14ac:dyDescent="0.2">
      <c r="H445" s="58"/>
    </row>
    <row r="446" spans="3:8" x14ac:dyDescent="0.2">
      <c r="H446" s="58"/>
    </row>
    <row r="447" spans="3:8" x14ac:dyDescent="0.2">
      <c r="H447" s="58"/>
    </row>
    <row r="448" spans="3:8" x14ac:dyDescent="0.2">
      <c r="H448" s="58"/>
    </row>
    <row r="449" spans="8:8" x14ac:dyDescent="0.2">
      <c r="H449" s="58"/>
    </row>
    <row r="450" spans="8:8" x14ac:dyDescent="0.2">
      <c r="H450" s="58"/>
    </row>
    <row r="451" spans="8:8" x14ac:dyDescent="0.2">
      <c r="H451" s="58"/>
    </row>
    <row r="452" spans="8:8" x14ac:dyDescent="0.2">
      <c r="H452" s="58"/>
    </row>
    <row r="453" spans="8:8" x14ac:dyDescent="0.2">
      <c r="H453" s="58"/>
    </row>
    <row r="454" spans="8:8" x14ac:dyDescent="0.2">
      <c r="H454" s="58"/>
    </row>
    <row r="455" spans="8:8" x14ac:dyDescent="0.2">
      <c r="H455" s="58"/>
    </row>
    <row r="456" spans="8:8" x14ac:dyDescent="0.2">
      <c r="H456" s="58"/>
    </row>
    <row r="457" spans="8:8" x14ac:dyDescent="0.2">
      <c r="H457" s="58"/>
    </row>
    <row r="458" spans="8:8" x14ac:dyDescent="0.2">
      <c r="H458" s="58"/>
    </row>
    <row r="459" spans="8:8" x14ac:dyDescent="0.2">
      <c r="H459" s="58"/>
    </row>
    <row r="460" spans="8:8" x14ac:dyDescent="0.2">
      <c r="H460" s="58"/>
    </row>
    <row r="461" spans="8:8" x14ac:dyDescent="0.2">
      <c r="H461" s="58"/>
    </row>
    <row r="462" spans="8:8" x14ac:dyDescent="0.2">
      <c r="H462" s="58"/>
    </row>
    <row r="463" spans="8:8" x14ac:dyDescent="0.2">
      <c r="H463" s="58"/>
    </row>
    <row r="464" spans="8:8" x14ac:dyDescent="0.2">
      <c r="H464" s="58"/>
    </row>
    <row r="465" spans="8:8" x14ac:dyDescent="0.2">
      <c r="H465" s="58"/>
    </row>
    <row r="466" spans="8:8" x14ac:dyDescent="0.2">
      <c r="H466" s="58"/>
    </row>
    <row r="467" spans="8:8" x14ac:dyDescent="0.2">
      <c r="H467" s="58"/>
    </row>
    <row r="468" spans="8:8" x14ac:dyDescent="0.2">
      <c r="H468" s="58"/>
    </row>
    <row r="469" spans="8:8" x14ac:dyDescent="0.2">
      <c r="H469" s="58"/>
    </row>
    <row r="470" spans="8:8" x14ac:dyDescent="0.2">
      <c r="H470" s="58"/>
    </row>
    <row r="471" spans="8:8" x14ac:dyDescent="0.2">
      <c r="H471" s="58"/>
    </row>
    <row r="472" spans="8:8" x14ac:dyDescent="0.2">
      <c r="H472" s="58"/>
    </row>
    <row r="473" spans="8:8" x14ac:dyDescent="0.2">
      <c r="H473" s="58"/>
    </row>
    <row r="474" spans="8:8" x14ac:dyDescent="0.2">
      <c r="H474" s="58"/>
    </row>
    <row r="475" spans="8:8" x14ac:dyDescent="0.2">
      <c r="H475" s="58"/>
    </row>
    <row r="476" spans="8:8" x14ac:dyDescent="0.2">
      <c r="H476" s="58"/>
    </row>
    <row r="477" spans="8:8" x14ac:dyDescent="0.2">
      <c r="H477" s="58"/>
    </row>
    <row r="478" spans="8:8" x14ac:dyDescent="0.2">
      <c r="H478" s="58"/>
    </row>
    <row r="479" spans="8:8" x14ac:dyDescent="0.2">
      <c r="H479" s="58"/>
    </row>
    <row r="480" spans="8:8" x14ac:dyDescent="0.2">
      <c r="H480" s="58"/>
    </row>
    <row r="481" spans="8:8" x14ac:dyDescent="0.2">
      <c r="H481" s="58"/>
    </row>
    <row r="482" spans="8:8" x14ac:dyDescent="0.2">
      <c r="H482" s="58"/>
    </row>
    <row r="483" spans="8:8" x14ac:dyDescent="0.2">
      <c r="H483" s="58"/>
    </row>
    <row r="484" spans="8:8" x14ac:dyDescent="0.2">
      <c r="H484" s="58"/>
    </row>
    <row r="485" spans="8:8" x14ac:dyDescent="0.2">
      <c r="H485" s="58"/>
    </row>
    <row r="486" spans="8:8" x14ac:dyDescent="0.2">
      <c r="H486" s="58"/>
    </row>
    <row r="487" spans="8:8" x14ac:dyDescent="0.2">
      <c r="H487" s="58"/>
    </row>
    <row r="488" spans="8:8" x14ac:dyDescent="0.2">
      <c r="H488" s="58"/>
    </row>
    <row r="489" spans="8:8" x14ac:dyDescent="0.2">
      <c r="H489" s="58"/>
    </row>
    <row r="490" spans="8:8" x14ac:dyDescent="0.2">
      <c r="H490" s="58"/>
    </row>
    <row r="491" spans="8:8" x14ac:dyDescent="0.2">
      <c r="H491" s="58"/>
    </row>
    <row r="492" spans="8:8" x14ac:dyDescent="0.2">
      <c r="H492" s="58"/>
    </row>
    <row r="493" spans="8:8" x14ac:dyDescent="0.2">
      <c r="H493" s="58"/>
    </row>
    <row r="494" spans="8:8" x14ac:dyDescent="0.2">
      <c r="H494" s="58"/>
    </row>
    <row r="495" spans="8:8" x14ac:dyDescent="0.2">
      <c r="H495" s="58"/>
    </row>
    <row r="496" spans="8:8" x14ac:dyDescent="0.2">
      <c r="H496" s="58"/>
    </row>
    <row r="497" spans="8:8" x14ac:dyDescent="0.2">
      <c r="H497" s="58"/>
    </row>
    <row r="498" spans="8:8" x14ac:dyDescent="0.2">
      <c r="H498" s="58"/>
    </row>
    <row r="499" spans="8:8" x14ac:dyDescent="0.2">
      <c r="H499" s="58"/>
    </row>
    <row r="500" spans="8:8" x14ac:dyDescent="0.2">
      <c r="H500" s="58"/>
    </row>
    <row r="501" spans="8:8" x14ac:dyDescent="0.2">
      <c r="H501" s="58"/>
    </row>
    <row r="502" spans="8:8" x14ac:dyDescent="0.2">
      <c r="H502" s="58"/>
    </row>
    <row r="503" spans="8:8" x14ac:dyDescent="0.2">
      <c r="H503" s="58"/>
    </row>
    <row r="504" spans="8:8" x14ac:dyDescent="0.2">
      <c r="H504" s="58"/>
    </row>
    <row r="505" spans="8:8" x14ac:dyDescent="0.2">
      <c r="H505" s="58"/>
    </row>
    <row r="506" spans="8:8" x14ac:dyDescent="0.2">
      <c r="H506" s="58"/>
    </row>
    <row r="507" spans="8:8" x14ac:dyDescent="0.2">
      <c r="H507" s="58"/>
    </row>
    <row r="508" spans="8:8" x14ac:dyDescent="0.2">
      <c r="H508" s="58"/>
    </row>
    <row r="509" spans="8:8" x14ac:dyDescent="0.2">
      <c r="H509" s="58"/>
    </row>
    <row r="510" spans="8:8" x14ac:dyDescent="0.2">
      <c r="H510" s="58"/>
    </row>
    <row r="511" spans="8:8" x14ac:dyDescent="0.2">
      <c r="H511" s="58"/>
    </row>
    <row r="512" spans="8:8" x14ac:dyDescent="0.2">
      <c r="H512" s="58"/>
    </row>
    <row r="513" spans="8:8" x14ac:dyDescent="0.2">
      <c r="H513" s="58"/>
    </row>
    <row r="514" spans="8:8" x14ac:dyDescent="0.2">
      <c r="H514" s="58"/>
    </row>
    <row r="515" spans="8:8" x14ac:dyDescent="0.2">
      <c r="H515" s="58"/>
    </row>
    <row r="516" spans="8:8" x14ac:dyDescent="0.2">
      <c r="H516" s="58"/>
    </row>
    <row r="517" spans="8:8" x14ac:dyDescent="0.2">
      <c r="H517" s="58"/>
    </row>
    <row r="518" spans="8:8" x14ac:dyDescent="0.2">
      <c r="H518" s="58"/>
    </row>
    <row r="519" spans="8:8" x14ac:dyDescent="0.2">
      <c r="H519" s="58"/>
    </row>
    <row r="520" spans="8:8" x14ac:dyDescent="0.2">
      <c r="H520" s="58"/>
    </row>
    <row r="521" spans="8:8" x14ac:dyDescent="0.2">
      <c r="H521" s="58"/>
    </row>
    <row r="522" spans="8:8" x14ac:dyDescent="0.2">
      <c r="H522" s="58"/>
    </row>
    <row r="523" spans="8:8" x14ac:dyDescent="0.2">
      <c r="H523" s="58"/>
    </row>
    <row r="524" spans="8:8" x14ac:dyDescent="0.2">
      <c r="H524" s="58"/>
    </row>
    <row r="525" spans="8:8" x14ac:dyDescent="0.2">
      <c r="H525" s="58"/>
    </row>
    <row r="526" spans="8:8" x14ac:dyDescent="0.2">
      <c r="H526" s="58"/>
    </row>
    <row r="527" spans="8:8" x14ac:dyDescent="0.2">
      <c r="H527" s="58"/>
    </row>
    <row r="528" spans="8:8" x14ac:dyDescent="0.2">
      <c r="H528" s="58"/>
    </row>
    <row r="529" spans="8:8" x14ac:dyDescent="0.2">
      <c r="H529" s="58"/>
    </row>
    <row r="530" spans="8:8" x14ac:dyDescent="0.2">
      <c r="H530" s="58"/>
    </row>
    <row r="531" spans="8:8" x14ac:dyDescent="0.2">
      <c r="H531" s="58"/>
    </row>
    <row r="532" spans="8:8" x14ac:dyDescent="0.2">
      <c r="H532" s="58"/>
    </row>
    <row r="533" spans="8:8" x14ac:dyDescent="0.2">
      <c r="H533" s="58"/>
    </row>
    <row r="534" spans="8:8" x14ac:dyDescent="0.2">
      <c r="H534" s="58"/>
    </row>
    <row r="535" spans="8:8" x14ac:dyDescent="0.2">
      <c r="H535" s="58"/>
    </row>
    <row r="536" spans="8:8" x14ac:dyDescent="0.2">
      <c r="H536" s="58"/>
    </row>
    <row r="537" spans="8:8" x14ac:dyDescent="0.2">
      <c r="H537" s="58"/>
    </row>
    <row r="538" spans="8:8" x14ac:dyDescent="0.2">
      <c r="H538" s="58"/>
    </row>
    <row r="539" spans="8:8" x14ac:dyDescent="0.2">
      <c r="H539" s="58"/>
    </row>
    <row r="540" spans="8:8" x14ac:dyDescent="0.2">
      <c r="H540" s="58"/>
    </row>
    <row r="541" spans="8:8" x14ac:dyDescent="0.2">
      <c r="H541" s="58"/>
    </row>
    <row r="542" spans="8:8" x14ac:dyDescent="0.2">
      <c r="H542" s="58"/>
    </row>
    <row r="543" spans="8:8" x14ac:dyDescent="0.2">
      <c r="H543" s="58"/>
    </row>
    <row r="544" spans="8:8" x14ac:dyDescent="0.2">
      <c r="H544" s="58"/>
    </row>
    <row r="545" spans="8:8" x14ac:dyDescent="0.2">
      <c r="H545" s="58"/>
    </row>
    <row r="546" spans="8:8" x14ac:dyDescent="0.2">
      <c r="H546" s="58"/>
    </row>
    <row r="547" spans="8:8" x14ac:dyDescent="0.2">
      <c r="H547" s="58"/>
    </row>
    <row r="548" spans="8:8" x14ac:dyDescent="0.2">
      <c r="H548" s="58"/>
    </row>
    <row r="549" spans="8:8" x14ac:dyDescent="0.2">
      <c r="H549" s="58"/>
    </row>
    <row r="550" spans="8:8" x14ac:dyDescent="0.2">
      <c r="H550" s="58"/>
    </row>
    <row r="551" spans="8:8" x14ac:dyDescent="0.2">
      <c r="H551" s="58"/>
    </row>
    <row r="552" spans="8:8" x14ac:dyDescent="0.2">
      <c r="H552" s="58"/>
    </row>
    <row r="553" spans="8:8" x14ac:dyDescent="0.2">
      <c r="H553" s="58"/>
    </row>
    <row r="554" spans="8:8" x14ac:dyDescent="0.2">
      <c r="H554" s="58"/>
    </row>
  </sheetData>
  <customSheetViews>
    <customSheetView guid="{A5DDCBF3-D6F4-4EB4-918C-ECABFE1A43AD}" fitToPage="1" showRuler="0" topLeftCell="I24">
      <selection activeCell="J33" sqref="J33:J34"/>
      <pageMargins left="0.5" right="0.5" top="0.46" bottom="0.5" header="0.27" footer="0.23"/>
      <printOptions gridLines="1"/>
      <pageSetup scale="59" fitToHeight="20" orientation="landscape" r:id="rId1"/>
      <headerFooter alignWithMargins="0">
        <oddHeader>&amp;L&amp;"Arial,Bold"DRC Confidential&amp;R&amp;"Arial,Bold"&amp;D</oddHeader>
        <oddFooter>&amp;L## Used for a Retest administration only.
** Used for an Operational administration only&amp;CPage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2"/>
      <headerFooter alignWithMargins="0">
        <oddHeader>&amp;L&amp;"Arial,Bold"DRC Confidential&amp;R&amp;"Arial,Bold"&amp;D</oddHeader>
        <oddFooter>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3"/>
      <headerFooter alignWithMargins="0">
        <oddHeader>&amp;L&amp;"Arial,Bold"DRC Confidential&amp;R&amp;"Arial,Bold"&amp;D</oddHeader>
        <oddFooter>Page &amp;P of &amp;N</oddFooter>
      </headerFooter>
    </customSheetView>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4"/>
      <headerFooter alignWithMargins="0">
        <oddHeader>&amp;L&amp;"Arial,Bold"DRC Confidential&amp;R&amp;"Arial,Bold"&amp;D</oddHeader>
        <oddFooter>&amp;L## Used for a Retest administration only.
** Used for an Operational administration only&amp;CPage &amp;P of &amp;N</oddFooter>
      </headerFooter>
    </customSheetView>
  </customSheetViews>
  <mergeCells count="76">
    <mergeCell ref="G1:H1"/>
    <mergeCell ref="G29:G31"/>
    <mergeCell ref="H34:H35"/>
    <mergeCell ref="H7:H8"/>
    <mergeCell ref="H22:H24"/>
    <mergeCell ref="G34:G35"/>
    <mergeCell ref="H12:H13"/>
    <mergeCell ref="H17:H20"/>
    <mergeCell ref="G116:G117"/>
    <mergeCell ref="G89:G92"/>
    <mergeCell ref="G166:G169"/>
    <mergeCell ref="G154:G155"/>
    <mergeCell ref="H72:H78"/>
    <mergeCell ref="G87:G88"/>
    <mergeCell ref="H166:H169"/>
    <mergeCell ref="H154:H155"/>
    <mergeCell ref="H133:H135"/>
    <mergeCell ref="H81:H84"/>
    <mergeCell ref="G72:G78"/>
    <mergeCell ref="H87:H92"/>
    <mergeCell ref="G81:G84"/>
    <mergeCell ref="H116:H117"/>
    <mergeCell ref="H126:H130"/>
    <mergeCell ref="G126:G130"/>
    <mergeCell ref="G148:G151"/>
    <mergeCell ref="H148:H151"/>
    <mergeCell ref="H212:H214"/>
    <mergeCell ref="G212:G214"/>
    <mergeCell ref="H208:H211"/>
    <mergeCell ref="H161:H164"/>
    <mergeCell ref="H195:H198"/>
    <mergeCell ref="H178:H181"/>
    <mergeCell ref="G161:G164"/>
    <mergeCell ref="G195:G198"/>
    <mergeCell ref="G178:G181"/>
    <mergeCell ref="G208:G211"/>
    <mergeCell ref="H317:H327"/>
    <mergeCell ref="H330:H340"/>
    <mergeCell ref="H342:H347"/>
    <mergeCell ref="G413:G423"/>
    <mergeCell ref="G349:G359"/>
    <mergeCell ref="G362:G372"/>
    <mergeCell ref="G374:G379"/>
    <mergeCell ref="G381:G391"/>
    <mergeCell ref="H413:H423"/>
    <mergeCell ref="H349:H359"/>
    <mergeCell ref="H362:H372"/>
    <mergeCell ref="G394:G404"/>
    <mergeCell ref="G330:G340"/>
    <mergeCell ref="G342:G347"/>
    <mergeCell ref="H310:H315"/>
    <mergeCell ref="G235:G237"/>
    <mergeCell ref="G216:G219"/>
    <mergeCell ref="H290:H293"/>
    <mergeCell ref="H235:H237"/>
    <mergeCell ref="H221:H224"/>
    <mergeCell ref="G221:G224"/>
    <mergeCell ref="H216:H219"/>
    <mergeCell ref="H227:H228"/>
    <mergeCell ref="G290:G293"/>
    <mergeCell ref="G107:G113"/>
    <mergeCell ref="H107:H113"/>
    <mergeCell ref="G317:G327"/>
    <mergeCell ref="G406:G411"/>
    <mergeCell ref="A1:F1"/>
    <mergeCell ref="G172:G175"/>
    <mergeCell ref="H172:H175"/>
    <mergeCell ref="G133:G135"/>
    <mergeCell ref="H406:H411"/>
    <mergeCell ref="H381:H391"/>
    <mergeCell ref="H374:H379"/>
    <mergeCell ref="H394:H404"/>
    <mergeCell ref="G310:G315"/>
    <mergeCell ref="H287:H288"/>
    <mergeCell ref="H298:H308"/>
    <mergeCell ref="G298:G308"/>
  </mergeCells>
  <phoneticPr fontId="11" type="noConversion"/>
  <printOptions horizontalCentered="1" gridLines="1"/>
  <pageMargins left="0.5" right="0.5" top="0.46" bottom="0.54" header="0.27" footer="0.28999999999999998"/>
  <pageSetup scale="55" fitToHeight="100" orientation="landscape" r:id="rId5"/>
  <headerFooter alignWithMargins="0">
    <oddHeader>&amp;RLayout provided by Data Recognition Corporation - Proprietary and Confidential</oddHeader>
    <oddFooter>&amp;LK = Key Verification   E = Equating        M = Merge              R = Rescore
C = Corrections         G = GEE Spring   O = LEAP Spring   S = Summer     F = Fall&amp;CPage &amp;P of &amp;N&amp;RLast Saved Date: 7/26/2013 2:43:53 PM</oddFooter>
  </headerFooter>
  <rowBreaks count="6" manualBreakCount="6">
    <brk id="47" max="16383" man="1"/>
    <brk id="98" max="16383" man="1"/>
    <brk id="142" max="16383" man="1"/>
    <brk id="181" max="16383" man="1"/>
    <brk id="198" max="16383" man="1"/>
    <brk id="252" max="16383" man="1"/>
  </rowBreaks>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LDESTD</vt:lpstr>
      <vt:lpstr>LDESTD!Print_Area</vt:lpstr>
      <vt:lpstr>LDESTD!Print_Titles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Jennifer Stanchfield</cp:lastModifiedBy>
  <cp:lastPrinted>2013-04-22T15:35:20Z</cp:lastPrinted>
  <dcterms:created xsi:type="dcterms:W3CDTF">1999-04-08T16:47:24Z</dcterms:created>
  <dcterms:modified xsi:type="dcterms:W3CDTF">2013-07-26T19:46:59Z</dcterms:modified>
</cp:coreProperties>
</file>