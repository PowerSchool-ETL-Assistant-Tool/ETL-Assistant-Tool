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fileSharing readOnlyRecommended="1"/>
  <workbookPr codeName="ThisWorkbook"/>
  <bookViews>
    <workbookView xWindow="-2028" yWindow="60" windowWidth="15480" windowHeight="7116"/>
  </bookViews>
  <sheets>
    <sheet name="iLDESTD" sheetId="1" r:id="rId1"/>
  </sheets>
  <definedNames>
    <definedName name="_xlnm._FilterDatabase" localSheetId="0" hidden="1">iLDESTD!$A$2:$H$232</definedName>
    <definedName name="_xlnm.Print_Titles" localSheetId="0">iLDESTD!$1:$2</definedName>
    <definedName name="Z_711973F9_5431_4922_B46E_FFB4E07E9E58_.wvu.Cols" localSheetId="0" hidden="1">iLDESTD!#REF!</definedName>
    <definedName name="Z_711973F9_5431_4922_B46E_FFB4E07E9E58_.wvu.PrintArea" localSheetId="0" hidden="1">iLDESTD!$A$4:$G$232</definedName>
    <definedName name="Z_711973F9_5431_4922_B46E_FFB4E07E9E58_.wvu.PrintTitles" localSheetId="0" hidden="1">iLDESTD!#REF!</definedName>
    <definedName name="Z_7E4D7CCA_1395_44FA_80A0_38FFA0DD8C49_.wvu.PrintTitles" localSheetId="0" hidden="1">iLDESTD!#REF!</definedName>
    <definedName name="Z_A5DDCBF3_D6F4_4EB4_918C_ECABFE1A43AD_.wvu.PrintTitles" localSheetId="0" hidden="1">iLDESTD!#REF!</definedName>
    <definedName name="Z_B792D786_3755_11D6_AB7B_0050DA2DACD5_.wvu.PrintTitles" localSheetId="0" hidden="1">iLDESTD!#REF!</definedName>
    <definedName name="Z_E34B366C_36F7_11D6_A24B_0050DA0A5BC6_.wvu.PrintTitles" localSheetId="0" hidden="1">iLDESTD!#REF!</definedName>
  </definedNames>
  <calcPr calcId="145621"/>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B5" i="1" l="1"/>
  <c r="C5" i="1" s="1"/>
  <c r="C4" i="1"/>
  <c r="B6" i="1" l="1"/>
  <c r="C6" i="1" s="1"/>
  <c r="B7" i="1" l="1"/>
  <c r="B8" i="1" s="1"/>
  <c r="C7" i="1" l="1"/>
  <c r="C8" i="1"/>
  <c r="B9" i="1"/>
  <c r="C9" i="1" l="1"/>
  <c r="B10" i="1"/>
  <c r="C10" i="1" l="1"/>
  <c r="B11" i="1"/>
  <c r="B12" i="1" l="1"/>
  <c r="C11" i="1"/>
  <c r="B13" i="1" l="1"/>
  <c r="C12" i="1"/>
  <c r="B14" i="1" l="1"/>
  <c r="C13" i="1"/>
  <c r="B15" i="1" l="1"/>
  <c r="C14" i="1"/>
  <c r="C15" i="1" l="1"/>
  <c r="B16" i="1"/>
  <c r="B17" i="1" l="1"/>
  <c r="C16" i="1"/>
  <c r="C17" i="1" l="1"/>
  <c r="B18" i="1"/>
  <c r="B19" i="1" l="1"/>
  <c r="C18" i="1"/>
  <c r="B20" i="1" l="1"/>
  <c r="C19" i="1"/>
  <c r="B21" i="1" l="1"/>
  <c r="C20" i="1"/>
  <c r="C21" i="1" l="1"/>
  <c r="B22" i="1"/>
  <c r="B23" i="1" l="1"/>
  <c r="C22" i="1"/>
  <c r="B24" i="1" l="1"/>
  <c r="C23" i="1"/>
  <c r="B25" i="1" l="1"/>
  <c r="B26" i="1" s="1"/>
  <c r="C24" i="1"/>
  <c r="C25" i="1" l="1"/>
  <c r="B27" i="1" l="1"/>
  <c r="B28" i="1" s="1"/>
  <c r="C26" i="1"/>
  <c r="C27" i="1" l="1"/>
  <c r="B29" i="1" l="1"/>
  <c r="B30" i="1" s="1"/>
  <c r="C28" i="1"/>
  <c r="C29" i="1" l="1"/>
  <c r="C30" i="1" l="1"/>
  <c r="B31" i="1"/>
  <c r="B32" i="1" l="1"/>
  <c r="C31" i="1"/>
  <c r="C32" i="1" l="1"/>
  <c r="B33" i="1"/>
  <c r="B34" i="1" s="1"/>
  <c r="B36" i="1" s="1"/>
  <c r="B37" i="1" l="1"/>
  <c r="C36" i="1"/>
  <c r="C33" i="1"/>
  <c r="B38" i="1" l="1"/>
  <c r="C37" i="1"/>
  <c r="C34" i="1"/>
  <c r="B39" i="1" l="1"/>
  <c r="C38" i="1"/>
  <c r="B40" i="1" l="1"/>
  <c r="C39" i="1"/>
  <c r="B41" i="1" l="1"/>
  <c r="C40" i="1"/>
  <c r="B42" i="1" l="1"/>
  <c r="C41" i="1"/>
  <c r="B43" i="1" l="1"/>
  <c r="C42" i="1"/>
  <c r="B44" i="1" l="1"/>
  <c r="C43" i="1"/>
  <c r="B45" i="1" l="1"/>
  <c r="C44" i="1"/>
  <c r="B46" i="1" l="1"/>
  <c r="B47" i="1" s="1"/>
  <c r="C45" i="1"/>
  <c r="C47" i="1" l="1"/>
  <c r="B49" i="1"/>
  <c r="B50" i="1" s="1"/>
  <c r="C46" i="1"/>
  <c r="C49" i="1" l="1"/>
  <c r="C50" i="1" l="1"/>
  <c r="B51" i="1"/>
  <c r="C51" i="1" l="1"/>
  <c r="B52" i="1"/>
  <c r="C52" i="1" l="1"/>
  <c r="B53" i="1"/>
  <c r="C53" i="1" l="1"/>
  <c r="B54" i="1"/>
  <c r="C54" i="1" l="1"/>
  <c r="B55" i="1"/>
  <c r="B57" i="1" l="1"/>
  <c r="C55" i="1"/>
  <c r="B58" i="1" l="1"/>
  <c r="C57" i="1"/>
  <c r="B59" i="1" l="1"/>
  <c r="C58" i="1"/>
  <c r="C59" i="1" l="1"/>
  <c r="B60" i="1"/>
  <c r="C60" i="1" l="1"/>
  <c r="B61" i="1"/>
  <c r="C61" i="1" l="1"/>
  <c r="B62" i="1"/>
  <c r="C62" i="1" l="1"/>
  <c r="B63" i="1"/>
  <c r="C63" i="1" l="1"/>
  <c r="B64" i="1"/>
  <c r="B65" i="1" l="1"/>
  <c r="C64" i="1"/>
  <c r="C65" i="1" l="1"/>
  <c r="B66" i="1"/>
  <c r="C66" i="1" l="1"/>
  <c r="B67" i="1"/>
  <c r="B68" i="1" l="1"/>
  <c r="C67" i="1"/>
  <c r="C68" i="1" l="1"/>
  <c r="B69" i="1"/>
  <c r="B70" i="1" l="1"/>
  <c r="C69" i="1"/>
  <c r="C70" i="1" l="1"/>
  <c r="B71" i="1"/>
  <c r="B72" i="1" l="1"/>
  <c r="C71" i="1"/>
  <c r="B73" i="1" l="1"/>
  <c r="C72" i="1"/>
  <c r="C73" i="1" l="1"/>
  <c r="B75" i="1"/>
  <c r="B76" i="1" l="1"/>
  <c r="C75" i="1"/>
  <c r="B77" i="1" l="1"/>
  <c r="C76" i="1"/>
  <c r="B78" i="1" l="1"/>
  <c r="C77" i="1"/>
  <c r="B79" i="1" l="1"/>
  <c r="C78" i="1"/>
  <c r="C79" i="1" l="1"/>
  <c r="B80" i="1"/>
  <c r="C80" i="1" l="1"/>
  <c r="B81" i="1"/>
  <c r="B82" i="1" l="1"/>
  <c r="C81" i="1"/>
  <c r="C82" i="1" l="1"/>
  <c r="B83" i="1"/>
  <c r="B84" i="1" l="1"/>
  <c r="C83" i="1"/>
  <c r="C84" i="1" l="1"/>
  <c r="B85" i="1"/>
  <c r="B86" i="1" l="1"/>
  <c r="C85" i="1"/>
  <c r="B88" i="1" l="1"/>
  <c r="C86" i="1"/>
  <c r="C88" i="1" l="1"/>
  <c r="B89" i="1"/>
  <c r="B90" i="1" l="1"/>
  <c r="C89" i="1"/>
  <c r="B91" i="1" l="1"/>
  <c r="C90" i="1"/>
  <c r="C91" i="1" l="1"/>
  <c r="B93" i="1"/>
  <c r="C93" i="1" l="1"/>
  <c r="B94" i="1"/>
  <c r="C94" i="1" l="1"/>
  <c r="B95" i="1"/>
  <c r="C95" i="1" l="1"/>
  <c r="B96" i="1"/>
  <c r="B97" i="1" l="1"/>
  <c r="C96" i="1"/>
  <c r="C97" i="1" l="1"/>
  <c r="B98" i="1"/>
  <c r="B99" i="1" l="1"/>
  <c r="C98" i="1"/>
  <c r="B100" i="1" l="1"/>
  <c r="C99" i="1"/>
  <c r="C100" i="1" l="1"/>
  <c r="B103" i="1"/>
  <c r="B104" i="1" l="1"/>
  <c r="C103" i="1"/>
  <c r="C104" i="1" l="1"/>
  <c r="B105" i="1"/>
  <c r="C105" i="1" l="1"/>
  <c r="B106" i="1"/>
  <c r="C106" i="1" l="1"/>
  <c r="B107" i="1"/>
  <c r="C107" i="1" l="1"/>
  <c r="B109" i="1"/>
  <c r="B110" i="1" l="1"/>
  <c r="C109" i="1"/>
  <c r="C110" i="1" l="1"/>
  <c r="B111" i="1"/>
  <c r="B112" i="1" l="1"/>
  <c r="C111" i="1"/>
  <c r="C112" i="1" l="1"/>
  <c r="B113" i="1"/>
  <c r="B115" i="1" l="1"/>
  <c r="C113" i="1"/>
  <c r="C115" i="1" l="1"/>
  <c r="B116" i="1"/>
  <c r="B117" i="1" l="1"/>
  <c r="C116" i="1"/>
  <c r="C117" i="1" l="1"/>
  <c r="B119" i="1"/>
  <c r="B120" i="1" l="1"/>
  <c r="C119" i="1"/>
  <c r="B121" i="1" l="1"/>
  <c r="C120" i="1"/>
  <c r="B122" i="1" l="1"/>
  <c r="C121" i="1"/>
  <c r="B124" i="1" l="1"/>
  <c r="C122" i="1"/>
  <c r="C124" i="1" l="1"/>
  <c r="B125" i="1"/>
  <c r="B126" i="1" l="1"/>
  <c r="C125" i="1"/>
  <c r="B127" i="1" l="1"/>
  <c r="C126" i="1"/>
  <c r="B129" i="1" l="1"/>
  <c r="C127" i="1"/>
  <c r="C129" i="1" l="1"/>
  <c r="B130" i="1"/>
  <c r="C130" i="1" l="1"/>
  <c r="B131" i="1"/>
  <c r="C131" i="1" l="1"/>
  <c r="B132" i="1"/>
  <c r="C132" i="1" l="1"/>
  <c r="B133" i="1"/>
  <c r="B134" i="1" l="1"/>
  <c r="C133" i="1"/>
  <c r="C134" i="1" l="1"/>
  <c r="B135" i="1"/>
  <c r="C135" i="1" l="1"/>
  <c r="B136" i="1"/>
  <c r="C136" i="1" l="1"/>
  <c r="B138" i="1"/>
  <c r="C138" i="1" l="1"/>
  <c r="B139" i="1"/>
  <c r="B140" i="1" l="1"/>
  <c r="C139" i="1"/>
  <c r="C140" i="1" l="1"/>
  <c r="B142" i="1"/>
  <c r="B143" i="1" l="1"/>
  <c r="C142" i="1"/>
  <c r="B144" i="1" l="1"/>
  <c r="C143" i="1"/>
  <c r="C144" i="1" l="1"/>
  <c r="B145" i="1"/>
  <c r="C145" i="1" l="1"/>
  <c r="B147" i="1"/>
  <c r="C147" i="1" l="1"/>
  <c r="B148" i="1"/>
  <c r="C148" i="1" l="1"/>
  <c r="B149" i="1"/>
  <c r="B150" i="1" l="1"/>
  <c r="C149" i="1"/>
  <c r="C150" i="1" l="1"/>
  <c r="B151" i="1"/>
  <c r="B152" i="1" l="1"/>
  <c r="C151" i="1"/>
  <c r="B154" i="1" l="1"/>
  <c r="C152" i="1"/>
  <c r="B155" i="1" l="1"/>
  <c r="C154" i="1"/>
  <c r="C155" i="1" l="1"/>
  <c r="B157" i="1"/>
  <c r="B158" i="1" l="1"/>
  <c r="C157" i="1"/>
  <c r="B159" i="1" l="1"/>
  <c r="C158" i="1"/>
  <c r="C159" i="1" l="1"/>
  <c r="B160" i="1"/>
  <c r="C160" i="1" l="1"/>
  <c r="B162" i="1"/>
  <c r="B163" i="1" l="1"/>
  <c r="C162" i="1"/>
  <c r="C163" i="1" l="1"/>
  <c r="B164" i="1"/>
  <c r="B165" i="1" l="1"/>
  <c r="C164" i="1"/>
  <c r="C165" i="1" l="1"/>
  <c r="B166" i="1"/>
  <c r="B168" i="1" l="1"/>
  <c r="C166" i="1"/>
  <c r="B169" i="1" l="1"/>
  <c r="C168" i="1"/>
  <c r="C169" i="1" l="1"/>
  <c r="B172" i="1"/>
  <c r="C172" i="1" l="1"/>
  <c r="B173" i="1"/>
  <c r="C173" i="1" l="1"/>
  <c r="B175" i="1"/>
  <c r="C175" i="1" l="1"/>
  <c r="B176" i="1"/>
  <c r="C176" i="1" l="1"/>
  <c r="B177" i="1"/>
  <c r="C177" i="1" l="1"/>
  <c r="B179" i="1"/>
  <c r="C179" i="1" l="1"/>
  <c r="B180" i="1"/>
  <c r="B181" i="1" l="1"/>
  <c r="C180" i="1"/>
  <c r="C181" i="1" l="1"/>
  <c r="B182" i="1"/>
  <c r="B183" i="1" l="1"/>
  <c r="C182" i="1"/>
  <c r="C183" i="1" l="1"/>
  <c r="B185" i="1"/>
  <c r="C185" i="1" l="1"/>
  <c r="B186" i="1"/>
  <c r="B187" i="1" l="1"/>
  <c r="C186" i="1"/>
  <c r="C187" i="1" l="1"/>
  <c r="B188" i="1"/>
  <c r="B189" i="1" l="1"/>
  <c r="C188" i="1"/>
  <c r="C189" i="1" l="1"/>
  <c r="B191" i="1"/>
  <c r="B192" i="1" l="1"/>
  <c r="C191" i="1"/>
  <c r="B193" i="1" l="1"/>
  <c r="C192" i="1"/>
  <c r="B194" i="1" l="1"/>
  <c r="C193" i="1"/>
  <c r="B195" i="1" l="1"/>
  <c r="C194" i="1"/>
  <c r="B196" i="1" l="1"/>
  <c r="C195" i="1"/>
  <c r="B197" i="1" l="1"/>
  <c r="C196" i="1"/>
  <c r="C197" i="1" l="1"/>
  <c r="B198" i="1"/>
  <c r="C198" i="1" l="1"/>
  <c r="B199" i="1"/>
  <c r="C199" i="1" l="1"/>
  <c r="B201" i="1"/>
  <c r="B202" i="1" l="1"/>
  <c r="C201" i="1"/>
  <c r="B203" i="1" l="1"/>
  <c r="C202" i="1"/>
  <c r="C203" i="1" l="1"/>
  <c r="B204" i="1"/>
  <c r="C204" i="1" l="1"/>
  <c r="B205" i="1"/>
  <c r="C205" i="1" l="1"/>
  <c r="B206" i="1"/>
  <c r="B207" i="1" l="1"/>
  <c r="C206" i="1"/>
  <c r="B208" i="1" l="1"/>
  <c r="C207" i="1"/>
  <c r="B209" i="1" l="1"/>
  <c r="C208" i="1"/>
  <c r="B210" i="1" l="1"/>
  <c r="C209" i="1"/>
  <c r="C210" i="1" l="1"/>
  <c r="B212" i="1"/>
  <c r="B213" i="1" l="1"/>
  <c r="C212" i="1"/>
  <c r="B214" i="1" l="1"/>
  <c r="C213" i="1"/>
  <c r="C214" i="1" l="1"/>
  <c r="B215" i="1"/>
  <c r="C215" i="1" l="1"/>
  <c r="B216" i="1"/>
  <c r="B217" i="1" l="1"/>
  <c r="C216" i="1"/>
  <c r="C217" i="1" l="1"/>
  <c r="B218" i="1"/>
  <c r="C218" i="1" l="1"/>
  <c r="B219" i="1"/>
  <c r="B220" i="1" l="1"/>
  <c r="C219" i="1"/>
  <c r="C220" i="1" l="1"/>
  <c r="B221" i="1"/>
  <c r="C221" i="1" l="1"/>
  <c r="B222" i="1"/>
  <c r="C222" i="1" l="1"/>
  <c r="B223" i="1"/>
  <c r="B224" i="1" l="1"/>
  <c r="C223" i="1"/>
  <c r="B226" i="1" l="1"/>
  <c r="C224" i="1"/>
  <c r="C226" i="1" l="1"/>
  <c r="B227" i="1"/>
  <c r="B228" i="1" l="1"/>
  <c r="C227" i="1"/>
  <c r="B230" i="1" l="1"/>
  <c r="C228" i="1"/>
  <c r="B231" i="1" l="1"/>
  <c r="C230" i="1"/>
  <c r="B232" i="1" l="1"/>
  <c r="C232" i="1" s="1"/>
  <c r="C234" i="1" s="1"/>
  <c r="C231" i="1"/>
</calcChain>
</file>

<file path=xl/sharedStrings.xml><?xml version="1.0" encoding="utf-8"?>
<sst xmlns="http://schemas.openxmlformats.org/spreadsheetml/2006/main" count="532" uniqueCount="311">
  <si>
    <t>Bubbled Test Administrator Number</t>
  </si>
  <si>
    <t>Bubbled Section 504 Test Accommodations</t>
  </si>
  <si>
    <t>Bubbled LEP Test Accommodations</t>
  </si>
  <si>
    <t>Bubbled Special Education Test Accommodations</t>
  </si>
  <si>
    <t>LAP Option Code</t>
  </si>
  <si>
    <t>1 = Free Lunch Eligible
2 = Reduced Lunch Eligible
0 = Paid
9 = Unknown</t>
  </si>
  <si>
    <t>State ID</t>
  </si>
  <si>
    <t>Y = student classified as a straggler
N = student not classified as a straggler</t>
  </si>
  <si>
    <t>DRC Unique Student ID</t>
  </si>
  <si>
    <t>Y = Migrant
N = Not Migrant</t>
  </si>
  <si>
    <t>Y = LEP
N = Not LEP</t>
  </si>
  <si>
    <t>Y = 504
N = Not 504</t>
  </si>
  <si>
    <t>Length</t>
  </si>
  <si>
    <t>FILLER</t>
  </si>
  <si>
    <t>Year of test</t>
  </si>
  <si>
    <t>ENGLISH LANGUAGE ARTS SCORING INFORMATION</t>
  </si>
  <si>
    <t>MATH SCORING INFORMATION</t>
  </si>
  <si>
    <t>SCIENCE SCORING INFORMATION</t>
  </si>
  <si>
    <t>SOCIAL STUDIES SCORING INFORMATION</t>
  </si>
  <si>
    <t>File Creation Date and Time Stamp</t>
  </si>
  <si>
    <t>Date the file was generated</t>
  </si>
  <si>
    <t>Processing/Reporting Section</t>
  </si>
  <si>
    <t>Summarization Flags</t>
  </si>
  <si>
    <t>Numeric value with leading zeroes.</t>
  </si>
  <si>
    <t>M = Male
F = Female
I = Invalid</t>
  </si>
  <si>
    <t>1 = Regular Education
2 = Special Education</t>
  </si>
  <si>
    <t>100 - 500
Blank</t>
  </si>
  <si>
    <t>ABV = Above Basic
BAS = Basic
BLW = Below Basic
Blank</t>
  </si>
  <si>
    <t>Includes only items marked with CRT or BOTH in the DOTS</t>
  </si>
  <si>
    <t>Assess Group Type</t>
  </si>
  <si>
    <t>Homeschool Flag</t>
  </si>
  <si>
    <t>Summarized LEP Status</t>
  </si>
  <si>
    <t>Summarized Migrant Status</t>
  </si>
  <si>
    <t>Summarized Section 504 Status</t>
  </si>
  <si>
    <t>Summarized Education Classification</t>
  </si>
  <si>
    <t>Summarized Grade</t>
  </si>
  <si>
    <t>Y = Yes
N = No</t>
  </si>
  <si>
    <t>Bubbled Optional Local Use</t>
  </si>
  <si>
    <t>Bubbled Accountability Code</t>
  </si>
  <si>
    <t>Field Use</t>
  </si>
  <si>
    <t>Starting Location</t>
  </si>
  <si>
    <t>Ending Location</t>
  </si>
  <si>
    <t>Possible Values</t>
  </si>
  <si>
    <t>Description/Comments</t>
  </si>
  <si>
    <t>COMMON DEMOGRAPHIC INFORMATION</t>
  </si>
  <si>
    <t>Test Date Month</t>
  </si>
  <si>
    <t>Test Date Year</t>
  </si>
  <si>
    <t xml:space="preserve">Straggler </t>
  </si>
  <si>
    <t>District Code</t>
  </si>
  <si>
    <t>School Code</t>
  </si>
  <si>
    <t>District Name</t>
  </si>
  <si>
    <t>School Name</t>
  </si>
  <si>
    <t>Document Grade</t>
  </si>
  <si>
    <t>Student Last Name</t>
  </si>
  <si>
    <t>Student First Name</t>
  </si>
  <si>
    <t>Student Middle Initial</t>
  </si>
  <si>
    <t>Summarized DOB Month</t>
  </si>
  <si>
    <t>Summarized DOB Day</t>
  </si>
  <si>
    <t>Summarized DOB Year</t>
  </si>
  <si>
    <t>Summarized Gender</t>
  </si>
  <si>
    <t>Summarized Lunch Status</t>
  </si>
  <si>
    <t>Bubbled Calculator Use (Math Test Only)</t>
  </si>
  <si>
    <t>No Accommodations</t>
  </si>
  <si>
    <t>Braille</t>
  </si>
  <si>
    <t>Large Print</t>
  </si>
  <si>
    <t>Answers Recorded</t>
  </si>
  <si>
    <t>Assistive Technology</t>
  </si>
  <si>
    <t>Extended Time</t>
  </si>
  <si>
    <t>Communication Assistance</t>
  </si>
  <si>
    <t>Transferred Answers</t>
  </si>
  <si>
    <t>Individual/Small Group Administration</t>
  </si>
  <si>
    <t>Tests Read Aloud</t>
  </si>
  <si>
    <t>Other</t>
  </si>
  <si>
    <t>Raw Score for Each Content Standard</t>
  </si>
  <si>
    <t>Raw Score for Each Subtest</t>
  </si>
  <si>
    <t>Raw Scores for Writing</t>
  </si>
  <si>
    <t>Standard 1: Read, comprehend, and respond</t>
  </si>
  <si>
    <t>Standard 3: Use conventions of language</t>
  </si>
  <si>
    <t>Standard 4: Not assessed</t>
  </si>
  <si>
    <t xml:space="preserve">Dimension 2: Style/audience awareness
</t>
  </si>
  <si>
    <t>Total Score for Writing</t>
  </si>
  <si>
    <t>Raw score for Standard 3 (Dimensions)</t>
  </si>
  <si>
    <t>Raw Score for Item Type</t>
  </si>
  <si>
    <t>Multiple-Choice Items</t>
  </si>
  <si>
    <t xml:space="preserve">Constructed-Response Items </t>
  </si>
  <si>
    <t>Reading SubScore</t>
  </si>
  <si>
    <t>Spelling</t>
  </si>
  <si>
    <t>Capitalization</t>
  </si>
  <si>
    <t>Punctuation</t>
  </si>
  <si>
    <t>Usage and Expression</t>
  </si>
  <si>
    <t>Subtest 1: Multiple-Choice Items</t>
  </si>
  <si>
    <t xml:space="preserve">Standard 1: Science as Inquiry
</t>
  </si>
  <si>
    <t xml:space="preserve">Standard 2: Physical Science
</t>
  </si>
  <si>
    <t xml:space="preserve">Standard 3: Life Science
</t>
  </si>
  <si>
    <t xml:space="preserve">Standard 4: Earth and Space Science
</t>
  </si>
  <si>
    <t xml:space="preserve">Standard 5: Science and the Environment
</t>
  </si>
  <si>
    <t xml:space="preserve">Subtest 1: Multiple-Choice Items
 </t>
  </si>
  <si>
    <t>Summarized Void Flag</t>
  </si>
  <si>
    <t>Multiple Choice / Constructed Response Items Taken (attempted) Flag</t>
  </si>
  <si>
    <t>Included in N-counts</t>
  </si>
  <si>
    <t>Test Taken Flag</t>
  </si>
  <si>
    <t>ACCOUNTABILITY FIELDS</t>
  </si>
  <si>
    <t>DOCUMENT IDENTIFICATION</t>
  </si>
  <si>
    <t>Record Length:</t>
  </si>
  <si>
    <t>Rollup to State</t>
  </si>
  <si>
    <t>Include in District Media Reports</t>
  </si>
  <si>
    <t>Include in School Media Reports</t>
  </si>
  <si>
    <t>Summarize to Assessment Group Code for district level reporting</t>
  </si>
  <si>
    <t>Schools summarized to LEA Code for district level reporting</t>
  </si>
  <si>
    <t>Summary Reports</t>
  </si>
  <si>
    <t>Erasure Reports</t>
  </si>
  <si>
    <t>YYYY</t>
  </si>
  <si>
    <t>E</t>
  </si>
  <si>
    <t>K, E</t>
  </si>
  <si>
    <t>Unique number generated at the time the student record is converted into the DRC Student File.  (Starts over each administration.)</t>
  </si>
  <si>
    <t xml:space="preserve">"*", "-", and "_" values are changed to spaces, and then the spaces are removed by compressing the values from the name field. </t>
  </si>
  <si>
    <t xml:space="preserve">00.0-99.0
Blank
</t>
  </si>
  <si>
    <t xml:space="preserve">00.0, 01.0, 02.0, 03.0, 04.0
Blank
</t>
  </si>
  <si>
    <t>Value of "Y" will only appear in the final iLDESTD file.</t>
  </si>
  <si>
    <t>"*", "-", and "_" values are changed to spaces.</t>
  </si>
  <si>
    <t>Includes only items marked with CRT in the DOTS</t>
  </si>
  <si>
    <t xml:space="preserve">Raw Score for Each Content Standard </t>
  </si>
  <si>
    <t>Charter Type</t>
  </si>
  <si>
    <t>1 = Type 1 Charter
2 = Type 2 Charter
3 = Type 3 Charter
4 = Type 4 Charter
5 = Type 5 Charter
Blank = Not a Charter School</t>
  </si>
  <si>
    <t>Summarized McKinney-Vento Act (Homeless)</t>
  </si>
  <si>
    <t>Y = Void in subject
N = No void in subject</t>
  </si>
  <si>
    <t>Y = Include student in summary
      N-counts for subject
N = Do not include student in summary 
      N-counts for subject</t>
  </si>
  <si>
    <t>Y = Subject was attempted
N = Subject was not attempted</t>
  </si>
  <si>
    <t>Summarized Ethnicity/Race</t>
  </si>
  <si>
    <t>0000000000-9999999999
Blank</t>
  </si>
  <si>
    <t xml:space="preserve">000.0-999.0 
Blank </t>
  </si>
  <si>
    <t xml:space="preserve">100-500
Blank </t>
  </si>
  <si>
    <t>00.0-99.0
Blank</t>
  </si>
  <si>
    <t>00.0-99.9
Blank</t>
  </si>
  <si>
    <t>0 = in SIS, not LEP prior 2 yrs
1 = LEP 1 yr prior
2 = LEP 2 yrs prior
3 = LEP current year 
Blank = not in SIS prior 2 years</t>
  </si>
  <si>
    <t>01-34
Blank</t>
  </si>
  <si>
    <t>UNS = Unsatisfactory
APP = Approaching Basic
BAS = Basic
MAS = Mastery
ADV = Advanced
Blank</t>
  </si>
  <si>
    <t>000.0-008.0
Blank</t>
  </si>
  <si>
    <t>1 = Yes
- = No response (document returned)
Blank = document not returned</t>
  </si>
  <si>
    <t>01-99
Blank</t>
  </si>
  <si>
    <t>ASSESSMENT/ACCOUNTABILITY INFORMATION</t>
  </si>
  <si>
    <t>Precoded Site Code</t>
  </si>
  <si>
    <t xml:space="preserve">000-999
Blank
</t>
  </si>
  <si>
    <t>Field Name</t>
  </si>
  <si>
    <t>LAP LEP Indicator Code</t>
  </si>
  <si>
    <t>LAP Home-base Site School Code</t>
  </si>
  <si>
    <t>LAP Home-base Site District Code</t>
  </si>
  <si>
    <t>LAP LDE Unique ID (GUID)</t>
  </si>
  <si>
    <t>1 = Hispanic/Latino
2 = American Indian or Alaska Native
3 = Asian
4 = Black or African American
5 = Native Hawaiian or Other Pacific Islander
6 = White
7 = Two or more races
I = Invalid</t>
  </si>
  <si>
    <t xml:space="preserve">00-39 (0-9 or - in any position)
</t>
  </si>
  <si>
    <t>0-9 or - in any position</t>
  </si>
  <si>
    <t>C</t>
  </si>
  <si>
    <t>Blank</t>
  </si>
  <si>
    <t xml:space="preserve">01-12
--
</t>
  </si>
  <si>
    <t>Raw Score Total - ELA</t>
  </si>
  <si>
    <t>Scaled Score - ELA</t>
  </si>
  <si>
    <t>Assessment Achievement Level - ELA</t>
  </si>
  <si>
    <t>Scaled Score - Reading Subscore</t>
  </si>
  <si>
    <t>Assessment Achievement Level - Reading Subscore</t>
  </si>
  <si>
    <t>Raw Score Total - Math</t>
  </si>
  <si>
    <t>Scaled Score - Math</t>
  </si>
  <si>
    <t>Assessment Achievement Level - Math</t>
  </si>
  <si>
    <t>Scaled Score - Science</t>
  </si>
  <si>
    <t>Assessment Achievement Level - Science</t>
  </si>
  <si>
    <t>Scaled Score - Social Studies</t>
  </si>
  <si>
    <t>Assessment Achievement Level - Social Studies</t>
  </si>
  <si>
    <t>Test Taken Flag - ELA</t>
  </si>
  <si>
    <t>Test Taken Flag - Math</t>
  </si>
  <si>
    <t>Test Taken Flag - Science</t>
  </si>
  <si>
    <t>Test Taken Flag - Social Studies</t>
  </si>
  <si>
    <t>Updated Accountability Code - ELA</t>
  </si>
  <si>
    <t>Updated Accountability Code - Math</t>
  </si>
  <si>
    <t>Updated Accountability Code - Science</t>
  </si>
  <si>
    <t xml:space="preserve">Updated Accountability Code - Social Studies </t>
  </si>
  <si>
    <t>Accountability Achievement Level - ELA</t>
  </si>
  <si>
    <t>Accountability Achievement Level - Math</t>
  </si>
  <si>
    <t>Accountability Achievement Level - Science</t>
  </si>
  <si>
    <t>Accountability Achievement Level - Social Studies</t>
  </si>
  <si>
    <t>Raw Score Total - Reading Subscore</t>
  </si>
  <si>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t>
    </r>
  </si>
  <si>
    <t>M</t>
  </si>
  <si>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Materials and Scoring document for logic to determine the Reporting Site-Code value.</t>
    </r>
  </si>
  <si>
    <t>E, M</t>
  </si>
  <si>
    <t>C, M</t>
  </si>
  <si>
    <t>K, E, M</t>
  </si>
  <si>
    <t>100-899 = School Level
900-999 = District Level 
--- = No response (document returned)
* = Multiple responses in this position
Blank = document not returned</t>
  </si>
  <si>
    <t>0-9, - , or * in each position
---------- = No response (document returned)
Blank = document not returned</t>
  </si>
  <si>
    <t>0-9, - , or * in each position
-- = No response (document returned)
Blank = document not returned</t>
  </si>
  <si>
    <t>LAP Primary Exceptionality</t>
  </si>
  <si>
    <t>Raw Score Total - Science</t>
  </si>
  <si>
    <t>Raw Score Total - Social Studies</t>
  </si>
  <si>
    <t>0 = Neither MC nor CR taken
1 = MC only taken
2 = CR only taken
3 = Both MC and CR taken</t>
  </si>
  <si>
    <t>Format: "YYYY-MM-DD HH:MM:SS"</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</si>
  <si>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99 = Unknown (Multiple Responses)
Blank</t>
  </si>
  <si>
    <r>
      <t>000000000-999999999
---------</t>
    </r>
    <r>
      <rPr>
        <u/>
        <sz val="10"/>
        <color indexed="10"/>
        <rFont val="Arial"/>
        <family val="2"/>
      </rPr>
      <t/>
    </r>
  </si>
  <si>
    <t>As bubbled on the answer document.</t>
  </si>
  <si>
    <r>
      <t xml:space="preserve">As bubbled on the answer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t>
    </r>
  </si>
  <si>
    <t>Total points earned for each writing dimension.
Blank when the Raw Score Total for ELA is blank.</t>
  </si>
  <si>
    <t>Total correct ELA multiple choice items.
Blank when Raw Score Total for ELA is blank.</t>
  </si>
  <si>
    <t>Total correct ELA constructed response items (Include short answer 
items &amp; essay).
Blank when Raw Score Total for ELA is blank.</t>
  </si>
  <si>
    <t>Total points earned for each ELA content standard.
Blank when content standard is not assessed (zero points possible), or when Raw Score Total for ELA is blank.</t>
  </si>
  <si>
    <t>Total points earned for each Science content standard.
Blank when content standard is not assessed (zero points possible), or when Raw Score Total for Science is blank.</t>
  </si>
  <si>
    <t>Total points earned for each Social Studies content standard.
Blank when content standard is not assessed (zero points possible), or when Raw Score Total for Social Studies is blank.</t>
  </si>
  <si>
    <t>As flagged on the LAP file.
Blank for a hand-coded document that could not be matched back to the LAP file.</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</si>
  <si>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</si>
  <si>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03 = Grade 3
05 = Grade 5 
06 = Grade 6
07 = Grade 7
Blank</t>
  </si>
  <si>
    <r>
      <t xml:space="preserve">This represents the answer document that the student took the test on.  It corresponds to the first position of the lithocode for the document.
</t>
    </r>
    <r>
      <rPr>
        <sz val="10"/>
        <rFont val="Arial"/>
        <family val="2"/>
      </rPr>
      <t xml:space="preserve">
Blank when document not returned.</t>
    </r>
  </si>
  <si>
    <t>Standard 5: Locate, select, and synthesize information</t>
  </si>
  <si>
    <t>Standard 6: Read, analyze, and respond to literature</t>
  </si>
  <si>
    <t>Standard 7: Apply reasoning and problem solving skills</t>
  </si>
  <si>
    <t>Standard 2: Write competently</t>
  </si>
  <si>
    <t>Dimension 1: Composing</t>
  </si>
  <si>
    <t>Subtest 2: Constructed-Response Items</t>
  </si>
  <si>
    <t>Standard 1: Geography</t>
  </si>
  <si>
    <t>Standard 2: Civics</t>
  </si>
  <si>
    <t>Standard 3: Economics</t>
  </si>
  <si>
    <t>Standard 4: History</t>
  </si>
  <si>
    <t>03 = March</t>
  </si>
  <si>
    <t>Student's SSN.
"*" and " " values are changed to "-"</t>
  </si>
  <si>
    <t>E, C</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</si>
  <si>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Materials and Scoring document for logic to determine these values based on values from the LAP file and the answer document.</t>
    </r>
  </si>
  <si>
    <r>
      <t>Student's gender.</t>
    </r>
    <r>
      <rPr>
        <sz val="10"/>
        <rFont val="Arial"/>
        <family val="2"/>
      </rPr>
      <t xml:space="preserve">
Refer to the </t>
    </r>
    <r>
      <rPr>
        <b/>
        <u/>
        <sz val="10"/>
        <rFont val="Arial"/>
        <family val="2"/>
      </rPr>
      <t xml:space="preserve">Rules to Determine Demographic Values </t>
    </r>
    <r>
      <rPr>
        <sz val="10"/>
        <rFont val="Arial"/>
        <family val="2"/>
      </rPr>
      <t>section of the Processing Rules - Materials and Scoring document for logic to determine this value based on values from the LAP file and the answer document.</t>
    </r>
  </si>
  <si>
    <r>
      <t xml:space="preserve">Student's summarized ethnicity/race.
Refer to the </t>
    </r>
    <r>
      <rPr>
        <b/>
        <u/>
        <sz val="10"/>
        <rFont val="Arial"/>
        <family val="2"/>
      </rPr>
      <t>Rules to Determine Demographic Values</t>
    </r>
    <r>
      <rPr>
        <b/>
        <sz val="10"/>
        <rFont val="Arial"/>
        <family val="2"/>
      </rPr>
      <t xml:space="preserve"> </t>
    </r>
    <r>
      <rPr>
        <sz val="10"/>
        <rFont val="Arial"/>
        <family val="2"/>
      </rPr>
      <t>section of the Processing Rules - Materials and Scoring document for logic to determine this value based on values from the LAP file and the answer document.</t>
    </r>
  </si>
  <si>
    <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the values from the LAP file and the answer document.</t>
    </r>
  </si>
  <si>
    <t>3 = Grade 3
5 = Grade 5
6 = Grade 6
7 = Grade 7</t>
  </si>
  <si>
    <t>Y = 998 School
N = Not 998 School</t>
  </si>
  <si>
    <t xml:space="preserve">Project: 2013 iLEAP Spring </t>
  </si>
  <si>
    <t>As flagged on the LAP file.
Blank for a hand-coded document that could not be matched back to the LAP file, or if the value was blank on the LAP file.</t>
  </si>
  <si>
    <t>LAP Scholarship Student Flag</t>
  </si>
  <si>
    <t>LAP Scholarship Site Code</t>
  </si>
  <si>
    <t>LAP Residence_LEA</t>
  </si>
  <si>
    <t>3-digit Residential LEA
Blank</t>
  </si>
  <si>
    <t>Summarized Void Flag - ELA</t>
  </si>
  <si>
    <t>Summarized Void Flag - Math</t>
  </si>
  <si>
    <t>Summarized Void Flag - Science</t>
  </si>
  <si>
    <t>Summarized Void Flag - Social Studies</t>
  </si>
  <si>
    <t>Include in N-counts - ELA</t>
  </si>
  <si>
    <t>Include in N-counts - Math</t>
  </si>
  <si>
    <t>Include in N-counts - Science</t>
  </si>
  <si>
    <t>Include in N-counts - Social Studies</t>
  </si>
  <si>
    <t>The Homeschool Flag will be set to "Y" when the School Code = 998.</t>
  </si>
  <si>
    <t>MC / CR Taken - ELA</t>
  </si>
  <si>
    <t>MC / CR Taken - Math</t>
  </si>
  <si>
    <t>Summarized Special Education Exceptionality Category</t>
  </si>
  <si>
    <t>The Assess Group Code value from the School Master File for the school the student is being reported to.</t>
  </si>
  <si>
    <t>Month of test</t>
  </si>
  <si>
    <t>Y = indicates student has an approved scholarship
N = indicates student does not have an approved 
       scholarship
Blank</t>
  </si>
  <si>
    <r>
      <t xml:space="preserve">McKinney-Vento Act (Homeless) for all subjects.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</si>
  <si>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Non-Score Code for Writing</t>
  </si>
  <si>
    <t xml:space="preserve">00.0-99.9
Blank
</t>
  </si>
  <si>
    <t>Accumulated raw scores by Social Studies subtests.
Blank when the Raw Score Total for Social Studies is blank.</t>
  </si>
  <si>
    <t>Accumulated raw scores by Math subtests.
Blank when the Raw Score Total for Math is blank.</t>
  </si>
  <si>
    <t>Accumulated raw scores by Science subtests.
Blank when the Raw Score Total for Science is blank.</t>
  </si>
  <si>
    <t xml:space="preserve">Charter Type as listed in the School Master File.
Blank when School Code = 888 or 998. </t>
  </si>
  <si>
    <t>3-digit district code for the home-base Site 
Blank</t>
  </si>
  <si>
    <t>3-digit school code for the home-base Site 
Blank</t>
  </si>
  <si>
    <t>6-digit site code
Blank</t>
  </si>
  <si>
    <t>The precoded site code is the site where the student received preidentified answer documents.
Site code from the LAP File, which will match the site code on the DRC Precode File. 
Blank for a hand-coded document that could not be matched back to the LAP file.</t>
  </si>
  <si>
    <t>The numeric type for the Assess Group Code value from the School Master File for the school the student is being reported to.</t>
  </si>
  <si>
    <t>Assess Group Code</t>
  </si>
  <si>
    <r>
      <t xml:space="preserve">Student's summarized lunch status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</si>
  <si>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</si>
  <si>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Migrant Status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</si>
  <si>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 xml:space="preserve">ASSESSMENT ROLLUP AND INCLUSION FLAGS </t>
  </si>
  <si>
    <t>Reporting Category: Multiplication and Division</t>
  </si>
  <si>
    <t>Reporting Category: Number</t>
  </si>
  <si>
    <t>Reporting Category: Number and Operations</t>
  </si>
  <si>
    <t>Reporting Category: Fractions</t>
  </si>
  <si>
    <t>Reporting Category: Ratio, Proportion, and Algebra</t>
  </si>
  <si>
    <t>Reporting Category: Number System</t>
  </si>
  <si>
    <t>Reporting Category: Measurement, Data, and Geometry</t>
  </si>
  <si>
    <t>Total points earned for each Math reporting category.
Blank when the reporting category is not assessed (zero points possible), or when Raw Score Total for Math is blank.</t>
  </si>
  <si>
    <t>Provision of English Native Language Word-to-Word Dictionary (No Definitions)</t>
  </si>
  <si>
    <t>Test Administered by ESL Teacher or Individual Providing Language Services</t>
  </si>
  <si>
    <t>Blank when the Raw Score Total for ELA is blank.</t>
  </si>
  <si>
    <r>
      <t xml:space="preserve">Accountability Achievement level for the given subject
Refer to the </t>
    </r>
    <r>
      <rPr>
        <b/>
        <u/>
        <sz val="10"/>
        <rFont val="Arial"/>
        <family val="2"/>
      </rPr>
      <t xml:space="preserve">Resulting iLDESTD Values by Subject </t>
    </r>
    <r>
      <rPr>
        <sz val="10"/>
        <rFont val="Arial"/>
        <family val="2"/>
      </rPr>
      <t>table in the Processing Rules - Materials and Scoring document for the logic to set the Accountability Achievement Level values.</t>
    </r>
  </si>
  <si>
    <t>LEA
LAB
CHA
TRI
NPB
STA
BSE
OJJ
MAR
RES
NPS
RLA
RNO
JUV
RBR</t>
  </si>
  <si>
    <r>
      <t xml:space="preserve">School-level flags set per the LDE School Master Files according to the Assess Group Code of the student's school.
Refer to the </t>
    </r>
    <r>
      <rPr>
        <b/>
        <u/>
        <sz val="10"/>
        <rFont val="Arial"/>
        <family val="2"/>
      </rPr>
      <t>Reporting Summarization and Delivery Table</t>
    </r>
    <r>
      <rPr>
        <sz val="10"/>
        <rFont val="Arial"/>
        <family val="2"/>
      </rPr>
      <t xml:space="preserve"> and the</t>
    </r>
    <r>
      <rPr>
        <sz val="10"/>
        <rFont val="Arial"/>
        <family val="2"/>
      </rPr>
      <t xml:space="preserve"> </t>
    </r>
    <r>
      <rPr>
        <b/>
        <u/>
        <sz val="10"/>
        <rFont val="Arial"/>
        <family val="2"/>
      </rPr>
      <t xml:space="preserve">Table of District/School Types Included on Each Report </t>
    </r>
    <r>
      <rPr>
        <sz val="10"/>
        <rFont val="Arial"/>
        <family val="2"/>
      </rPr>
      <t>in the Common Louisiana Processing Rules - Reporting document for further details.</t>
    </r>
  </si>
  <si>
    <t>Language</t>
  </si>
  <si>
    <t>Reading</t>
  </si>
  <si>
    <r>
      <t xml:space="preserve">The NRT Test Taken Flag will be set to "Y", if the student meets the criteria within the </t>
    </r>
    <r>
      <rPr>
        <b/>
        <u/>
        <sz val="10"/>
        <rFont val="Arial"/>
        <family val="2"/>
      </rPr>
      <t>NRT Test Taken Flag</t>
    </r>
    <r>
      <rPr>
        <sz val="10"/>
        <rFont val="Arial"/>
        <family val="2"/>
      </rPr>
      <t xml:space="preserve"> section in the Processing Rules - Materials and Scoring document.</t>
    </r>
  </si>
  <si>
    <t>NRT Test Taken Flags</t>
  </si>
  <si>
    <t>6-digit site code for the site the student was enrolled in 
     prior to receiving the scholarship
Blank</t>
  </si>
  <si>
    <t>iLEAP LDESTD File Layout - Final file_LDE Staff and Contractors</t>
  </si>
  <si>
    <r>
      <t xml:space="preserve">This is a compilation of the codes from the LAP file and the bubbled categories. Refer to the </t>
    </r>
    <r>
      <rPr>
        <b/>
        <u/>
        <sz val="10"/>
        <rFont val="Arial"/>
        <family val="2"/>
      </rPr>
      <t>Special Education Exceptionality Categories and Codes</t>
    </r>
    <r>
      <rPr>
        <sz val="10"/>
        <rFont val="Arial"/>
        <family val="2"/>
      </rPr>
      <t xml:space="preserve"> section of the Processing Rules - Materials and Scoring document for the list of codes applicable to iLEAP.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</si>
  <si>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Materials and Scoring document for the list of primary exceptionalities applicable to iLEAP.</t>
    </r>
  </si>
  <si>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</si>
  <si>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LEP for all subjects.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</si>
  <si>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Total raw score for ELA for CRT items.
Refer to the </t>
    </r>
    <r>
      <rPr>
        <b/>
        <u/>
        <sz val="10"/>
        <rFont val="Arial"/>
        <family val="2"/>
      </rPr>
      <t>Resulting iLDESTD Values by Subject</t>
    </r>
    <r>
      <rPr>
        <sz val="10"/>
        <rFont val="Arial"/>
        <family val="2"/>
      </rPr>
      <t xml:space="preserve"> section within the Processing Rules - Materials and Scoring document for the logic used to set the Raw Score values.</t>
    </r>
    <r>
      <rPr>
        <strike/>
        <sz val="10"/>
        <rFont val="Arial"/>
        <family val="2"/>
      </rPr>
      <t xml:space="preserve">
</t>
    </r>
    <r>
      <rPr>
        <sz val="10"/>
        <rFont val="Arial"/>
        <family val="2"/>
      </rPr>
      <t>Value is set to zero (000.0) on Equating file for PS if the subject’s handscoring is incomplete.
Field Test Items are not included when determining Raw Score Total - ELA.</t>
    </r>
  </si>
  <si>
    <r>
      <t xml:space="preserve">Scaled Score for ELA 
Refer to the </t>
    </r>
    <r>
      <rPr>
        <b/>
        <u/>
        <sz val="10"/>
        <rFont val="Arial"/>
        <family val="2"/>
      </rPr>
      <t>Resulting iLDESTD Values by Subject</t>
    </r>
    <r>
      <rPr>
        <sz val="10"/>
        <rFont val="Arial"/>
        <family val="2"/>
      </rPr>
      <t xml:space="preserve"> section within the Processing Rules - Materials and Scoring document for the logic used to set the Scaled Score Score values.
</t>
    </r>
    <r>
      <rPr>
        <strike/>
        <sz val="10"/>
        <rFont val="Arial"/>
        <family val="2"/>
      </rPr>
      <t>Blank when Raw Score Total for ELA is blank.</t>
    </r>
  </si>
  <si>
    <r>
      <t xml:space="preserve">Assessment Achievement level for ELA
Refer to the </t>
    </r>
    <r>
      <rPr>
        <b/>
        <u/>
        <sz val="10"/>
        <rFont val="Arial"/>
        <family val="2"/>
      </rPr>
      <t>Resulting iLDESTD Values by Subject</t>
    </r>
    <r>
      <rPr>
        <sz val="10"/>
        <rFont val="Arial"/>
        <family val="2"/>
      </rPr>
      <t xml:space="preserve"> section within the Processing Rules - Materials and Scoring document for the logic used to set the Assessment Achievement Level values.</t>
    </r>
    <r>
      <rPr>
        <strike/>
        <sz val="10"/>
        <color rgb="FFFF0000"/>
        <rFont val="Arial"/>
        <family val="2"/>
      </rPr>
      <t/>
    </r>
  </si>
  <si>
    <t>Total score of all writing dimensions.
Zero (000.0) is a valid score.
Blank when the Raw Score Total for ELA is blank.</t>
  </si>
  <si>
    <t>1 = Unreadable
2 = Foreign Language
3 = Off Topic
4 = Insufficient
5 = Refusal
6 = Blank
7 = Copied Passage
Blank</t>
  </si>
  <si>
    <r>
      <t xml:space="preserve">Values 1-7 are codes indicating reader's reason for no score on all or part of the writing prompt.  Refer to the </t>
    </r>
    <r>
      <rPr>
        <b/>
        <u/>
        <sz val="10"/>
        <rFont val="Arial"/>
        <family val="2"/>
      </rPr>
      <t>Constructed Response Items</t>
    </r>
    <r>
      <rPr>
        <sz val="10"/>
        <rFont val="Arial"/>
        <family val="2"/>
      </rPr>
      <t xml:space="preserve"> section within the Processing Rules - Materials and Scoring document for more information on assigning non-score codes.
This field is Blank when a Non-Score Code was not assigned for the Writing item.</t>
    </r>
  </si>
  <si>
    <t>Sum of total points earned for ELA content standards 1, 6, and 7.
Blank when the Raw Score Total for ELA is blank.</t>
  </si>
  <si>
    <r>
      <t xml:space="preserve">Raw Score for Each </t>
    </r>
    <r>
      <rPr>
        <b/>
        <sz val="10"/>
        <color rgb="FF0000FF"/>
        <rFont val="Arial"/>
        <family val="2"/>
      </rPr>
      <t>Reporting Category</t>
    </r>
  </si>
  <si>
    <r>
      <t xml:space="preserve">Total raw score for Math for CRT items.
Refer to the </t>
    </r>
    <r>
      <rPr>
        <b/>
        <u/>
        <sz val="10"/>
        <rFont val="Arial"/>
        <family val="2"/>
      </rPr>
      <t>Resulting iLDESTD Values by Subject</t>
    </r>
    <r>
      <rPr>
        <sz val="10"/>
        <rFont val="Arial"/>
        <family val="2"/>
      </rPr>
      <t xml:space="preserve"> section within the Processing Rules - Materials and Scoring for the logic used to set the Raw Score values.
Value is set to zero (000.0) on Equating file for PS if the subject’s handscoring is incomplete.
Field Test Items are not included when determining Raw Score Total - Math.</t>
    </r>
  </si>
  <si>
    <r>
      <t xml:space="preserve">Scaled Score for Math 
Refer to the </t>
    </r>
    <r>
      <rPr>
        <b/>
        <u/>
        <sz val="10"/>
        <rFont val="Arial"/>
        <family val="2"/>
      </rPr>
      <t>Resulting iLDESTD Values by Subject</t>
    </r>
    <r>
      <rPr>
        <sz val="10"/>
        <rFont val="Arial"/>
        <family val="2"/>
      </rPr>
      <t xml:space="preserve"> section within the Processing Rules - Materials and Scoring for the logic used to set the Scaled Score Score values.</t>
    </r>
  </si>
  <si>
    <r>
      <t xml:space="preserve">Assessment Achievement level for Math
Refer to the </t>
    </r>
    <r>
      <rPr>
        <b/>
        <u/>
        <sz val="10"/>
        <rFont val="Arial"/>
        <family val="2"/>
      </rPr>
      <t>Resulting iLDESTD Values by Subject</t>
    </r>
    <r>
      <rPr>
        <sz val="10"/>
        <rFont val="Arial"/>
        <family val="2"/>
      </rPr>
      <t xml:space="preserve"> section within the Processing Rules - Materials and Scoring for the logic used to set the Assessment Achievement Level values.</t>
    </r>
  </si>
  <si>
    <r>
      <t xml:space="preserve">Total raw score for Science for CRT items.
Refer to the </t>
    </r>
    <r>
      <rPr>
        <b/>
        <u/>
        <sz val="10"/>
        <rFont val="Arial"/>
        <family val="2"/>
      </rPr>
      <t>Resulting iLDESTD Values by Subject</t>
    </r>
    <r>
      <rPr>
        <sz val="10"/>
        <rFont val="Arial"/>
        <family val="2"/>
      </rPr>
      <t xml:space="preserve"> section within the Processing Rules - Materials and Scoring document for the logic used to set the Raw Score values.
Value is set to zero (000.0) on Equating file for PS if the subject’s handscoring is incomplete.
Field Test Items are not included when determining Raw Score Total - Science.</t>
    </r>
  </si>
  <si>
    <r>
      <t xml:space="preserve">Scaled Score for Science 
Refer to the </t>
    </r>
    <r>
      <rPr>
        <b/>
        <u/>
        <sz val="10"/>
        <rFont val="Arial"/>
        <family val="2"/>
      </rPr>
      <t>Resulting iLDESTD Values by Subject</t>
    </r>
    <r>
      <rPr>
        <sz val="10"/>
        <rFont val="Arial"/>
        <family val="2"/>
      </rPr>
      <t xml:space="preserve"> section within the Processing Rules - Materials and Scoring document for the logic used to set the Scaled Score Score values.
</t>
    </r>
    <r>
      <rPr>
        <strike/>
        <sz val="10"/>
        <rFont val="Arial"/>
        <family val="2"/>
      </rPr>
      <t>Blank when Raw Score Total for Science is blank.</t>
    </r>
  </si>
  <si>
    <r>
      <t xml:space="preserve">Assessment Achievement level for Science.
Refer to the </t>
    </r>
    <r>
      <rPr>
        <b/>
        <u/>
        <sz val="10"/>
        <rFont val="Arial"/>
        <family val="2"/>
      </rPr>
      <t>Resulting iLDESTD Values by Subject</t>
    </r>
    <r>
      <rPr>
        <sz val="10"/>
        <rFont val="Arial"/>
        <family val="2"/>
      </rPr>
      <t xml:space="preserve"> section within the Processing Rules - Materials and Scoring document for the logic used to set the Assessment Achievement Level values.</t>
    </r>
  </si>
  <si>
    <r>
      <t xml:space="preserve">Total raw score for Social Studies for CRT items.
Refer to the </t>
    </r>
    <r>
      <rPr>
        <b/>
        <u/>
        <sz val="10"/>
        <rFont val="Arial"/>
        <family val="2"/>
      </rPr>
      <t>Resulting iLDESTD Values by Subject</t>
    </r>
    <r>
      <rPr>
        <sz val="10"/>
        <rFont val="Arial"/>
        <family val="2"/>
      </rPr>
      <t xml:space="preserve"> section within the Processing Rules - Materials and Scoring document for the logic used to set the Raw Score values.
Value is set to zero (000.0) on Equating file for PS if the subject’s handscoring is incomplete.
Field Test Items are not included when determining Raw Score Total - Social Studies.</t>
    </r>
  </si>
  <si>
    <r>
      <t xml:space="preserve">Scaled Score for Social Studies 
Refer to the </t>
    </r>
    <r>
      <rPr>
        <b/>
        <u/>
        <sz val="10"/>
        <rFont val="Arial"/>
        <family val="2"/>
      </rPr>
      <t>Resulting iLDESTD Values by Subject</t>
    </r>
    <r>
      <rPr>
        <sz val="10"/>
        <rFont val="Arial"/>
        <family val="2"/>
      </rPr>
      <t xml:space="preserve"> section within the Processing Rules - Materials and Scoring document for the logic used to set the Scaled Score Score values.
</t>
    </r>
    <r>
      <rPr>
        <strike/>
        <sz val="10"/>
        <rFont val="Arial"/>
        <family val="2"/>
      </rPr>
      <t>Blank when Raw Score Total for Social Studies is blank.</t>
    </r>
  </si>
  <si>
    <r>
      <t xml:space="preserve">Assessment Achievement level for Social Studies.
Refer to the </t>
    </r>
    <r>
      <rPr>
        <b/>
        <u/>
        <sz val="10"/>
        <rFont val="Arial"/>
        <family val="2"/>
      </rPr>
      <t>Resulting iLDESTD Values by Subject</t>
    </r>
    <r>
      <rPr>
        <sz val="10"/>
        <rFont val="Arial"/>
        <family val="2"/>
      </rPr>
      <t xml:space="preserve"> section within the Processing Rules - Materials and Scoring document for the logic used to set the Assessment Achievement Level values.</t>
    </r>
    <r>
      <rPr>
        <strike/>
        <sz val="10"/>
        <color rgb="FFFF0000"/>
        <rFont val="Arial"/>
        <family val="2"/>
      </rPr>
      <t/>
    </r>
  </si>
  <si>
    <t>Within each subject, indicates whether a student attempted any CRT MC or CR type items on the test.
The MC / CR Taken flag will be set to "0" if the subject was the secondary record involved in a score merge.
Field Test Items are not included when determining MC / CR Taken values.</t>
  </si>
  <si>
    <t>Summary of District Voids and Plagiarism Voids in each subject.  
The Summarized Void Flag will be "Y" for a subject if the student has a row in the LDE approved Void .csv file for the subject.</t>
  </si>
  <si>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Materials and Scoring document.
The Include in N-Counts Flag will be set to "N" if the subject was the secondary record involved in a score merge.</t>
    </r>
  </si>
  <si>
    <r>
      <t xml:space="preserve">Student attempted this Subject.
Refer to the </t>
    </r>
    <r>
      <rPr>
        <b/>
        <u/>
        <sz val="10"/>
        <rFont val="Arial"/>
        <family val="2"/>
      </rPr>
      <t>Test Taken</t>
    </r>
    <r>
      <rPr>
        <sz val="10"/>
        <rFont val="Arial"/>
        <family val="2"/>
      </rPr>
      <t xml:space="preserve"> section in the Processing Rules - Materials and Scoring document for rules on populating these values.
The Test Taken Flag will be set to "N" if the subject was the secondary record involved in a score merge.</t>
    </r>
  </si>
  <si>
    <t>01 = LEA
02 = LAB
03 = CHA
04 = TRI
05 = NPB
06 = STA
08 = BSE
09 = OJJ
10 = MAR
12 = RES
13 = NPS
14 = RLA
15 = RNO
16 = JUV
17 = RBR</t>
  </si>
  <si>
    <t>As flagged on the LAP file.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</si>
</sst>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0"/>
      <name val="Arial"/>
    </font>
    <font>
      <sz val="11"/>
      <color theme="1"/>
      <name val="Calibri"/>
      <family val="2"/>
      <scheme val="minor"/>
    </font>
    <font>
      <sz val="10"/>
      <name val="Arial"/>
      <family val="2"/>
    </font>
    <font>
      <sz val="10"/>
      <color indexed="10"/>
      <name val="Arial"/>
      <family val="2"/>
    </font>
    <font>
      <sz val="10"/>
      <color indexed="12"/>
      <name val="Arial"/>
      <family val="2"/>
    </font>
    <font>
      <sz val="10"/>
      <name val="Arial"/>
      <family val="2"/>
    </font>
    <font>
      <i/>
      <sz val="10"/>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b/>
      <u/>
      <sz val="10"/>
      <name val="Arial"/>
      <family val="2"/>
    </font>
    <font>
      <b/>
      <sz val="16"/>
      <name val="Arial"/>
      <family val="2"/>
    </font>
    <font>
      <b/>
      <sz val="12"/>
      <name val="Arial"/>
      <family val="2"/>
    </font>
    <font>
      <b/>
      <sz val="10"/>
      <color indexed="12"/>
      <name val="Arial"/>
      <family val="2"/>
    </font>
    <font>
      <b/>
      <u/>
      <sz val="12"/>
      <name val="Arial"/>
      <family val="2"/>
    </font>
    <font>
      <b/>
      <u/>
      <sz val="12"/>
      <name val="Arial"/>
      <family val="2"/>
    </font>
    <font>
      <b/>
      <sz val="10"/>
      <color indexed="12"/>
      <name val="Arial"/>
      <family val="2"/>
    </font>
    <font>
      <u/>
      <sz val="10"/>
      <color indexed="10"/>
      <name val="Arial"/>
      <family val="2"/>
    </font>
    <font>
      <sz val="11"/>
      <color theme="1"/>
      <name val="Calibri"/>
      <family val="2"/>
      <scheme val="minor"/>
    </font>
    <font>
      <b/>
      <sz val="10"/>
      <color rgb="FF0000FF"/>
      <name val="Arial"/>
      <family val="2"/>
    </font>
    <font>
      <sz val="10"/>
      <color rgb="FFFF0000"/>
      <name val="Arial"/>
      <family val="2"/>
    </font>
    <font>
      <sz val="10"/>
      <color theme="1"/>
      <name val="Arial"/>
      <family val="2"/>
    </font>
    <font>
      <strike/>
      <sz val="10"/>
      <name val="Arial"/>
      <family val="2"/>
    </font>
    <font>
      <strike/>
      <sz val="10"/>
      <color rgb="FFFF0000"/>
      <name val="Arial"/>
      <family val="2"/>
    </font>
  </fonts>
  <fills count="2">
    <fill>
      <patternFill patternType="none"/>
    </fill>
    <fill>
      <patternFill patternType="gray125"/>
    </fill>
  </fills>
  <borders count="1">
    <border>
      <left/>
      <right/>
      <top/>
      <bottom/>
      <diagonal/>
    </border>
  </borders>
  <cellStyleXfs count="5">
    <xf numFmtId="0" fontId="0" fillId="0" borderId="0"/>
    <xf numFmtId="0" fontId="2" fillId="0" borderId="0"/>
    <xf numFmtId="0" fontId="2" fillId="0" borderId="0"/>
    <xf numFmtId="0" fontId="21" fillId="0" borderId="0"/>
    <xf numFmtId="0" fontId="1" fillId="0" borderId="0"/>
  </cellStyleXfs>
  <cellXfs count="80">
    <xf numFmtId="0" fontId="0" fillId="0" borderId="0" xfId="0"/>
    <xf numFmtId="0" fontId="15" fillId="0" borderId="0" xfId="0" applyFont="1" applyFill="1" applyBorder="1" applyAlignment="1">
      <alignment horizontal="center" vertical="top"/>
    </xf>
    <xf numFmtId="0" fontId="15" fillId="0" borderId="0" xfId="0" applyFont="1" applyFill="1" applyBorder="1" applyAlignment="1">
      <alignment vertical="top"/>
    </xf>
    <xf numFmtId="0" fontId="16" fillId="0" borderId="0" xfId="0" applyFont="1" applyFill="1" applyBorder="1" applyAlignment="1">
      <alignment vertical="top"/>
    </xf>
    <xf numFmtId="1" fontId="2" fillId="0" borderId="0" xfId="0" applyNumberFormat="1" applyFont="1" applyFill="1" applyBorder="1" applyAlignment="1">
      <alignment horizontal="center" vertical="top"/>
    </xf>
    <xf numFmtId="49" fontId="19" fillId="0" borderId="0" xfId="0" applyNumberFormat="1" applyFont="1" applyFill="1" applyBorder="1" applyAlignment="1">
      <alignment horizontal="left" vertical="top"/>
    </xf>
    <xf numFmtId="49" fontId="16" fillId="0" borderId="0" xfId="0" applyNumberFormat="1" applyFont="1" applyFill="1" applyBorder="1" applyAlignment="1">
      <alignment horizontal="left" vertical="top" wrapText="1"/>
    </xf>
    <xf numFmtId="0" fontId="2" fillId="0" borderId="0" xfId="0" applyFont="1" applyFill="1" applyBorder="1" applyAlignment="1">
      <alignment vertical="top" wrapText="1"/>
    </xf>
    <xf numFmtId="49" fontId="17" fillId="0" borderId="0" xfId="0" applyNumberFormat="1" applyFont="1" applyFill="1" applyBorder="1" applyAlignment="1">
      <alignment horizontal="center" vertical="top"/>
    </xf>
    <xf numFmtId="49" fontId="18" fillId="0" borderId="0" xfId="0" applyNumberFormat="1" applyFont="1" applyFill="1" applyBorder="1" applyAlignment="1">
      <alignment horizontal="left" vertical="center"/>
    </xf>
    <xf numFmtId="0" fontId="14" fillId="0" borderId="0" xfId="0" applyFont="1" applyFill="1" applyBorder="1"/>
    <xf numFmtId="0" fontId="15" fillId="0" borderId="0" xfId="0" applyFont="1" applyFill="1" applyBorder="1" applyAlignment="1">
      <alignment wrapText="1"/>
    </xf>
    <xf numFmtId="0" fontId="15" fillId="0" borderId="0" xfId="0" applyFont="1" applyFill="1" applyBorder="1" applyAlignment="1"/>
    <xf numFmtId="0" fontId="5" fillId="0" borderId="0" xfId="0" applyFont="1" applyFill="1" applyBorder="1" applyAlignment="1">
      <alignment horizontal="center" vertical="top"/>
    </xf>
    <xf numFmtId="0" fontId="5" fillId="0" borderId="0" xfId="0" applyFont="1" applyFill="1" applyBorder="1" applyAlignment="1">
      <alignment vertical="top"/>
    </xf>
    <xf numFmtId="49" fontId="5" fillId="0" borderId="0" xfId="0" applyNumberFormat="1" applyFont="1" applyFill="1" applyBorder="1" applyAlignment="1">
      <alignment horizontal="left" vertical="center" wrapText="1"/>
    </xf>
    <xf numFmtId="0" fontId="3" fillId="0" borderId="0" xfId="0" applyFont="1" applyFill="1" applyBorder="1" applyAlignment="1">
      <alignment vertical="top"/>
    </xf>
    <xf numFmtId="0" fontId="3" fillId="0" borderId="0" xfId="0" applyFont="1" applyFill="1" applyBorder="1" applyAlignment="1">
      <alignment horizontal="left" vertical="center" wrapText="1"/>
    </xf>
    <xf numFmtId="0" fontId="5" fillId="0" borderId="0" xfId="0" applyFont="1" applyFill="1" applyBorder="1" applyAlignment="1">
      <alignment vertical="top" wrapText="1"/>
    </xf>
    <xf numFmtId="0" fontId="9" fillId="0" borderId="0" xfId="0" applyFont="1" applyFill="1" applyBorder="1" applyAlignment="1">
      <alignment vertical="top"/>
    </xf>
    <xf numFmtId="0" fontId="9" fillId="0" borderId="0" xfId="0" applyFont="1" applyFill="1" applyBorder="1" applyAlignment="1">
      <alignment vertical="top" wrapText="1"/>
    </xf>
    <xf numFmtId="0" fontId="11" fillId="0" borderId="0" xfId="0" applyFont="1" applyFill="1" applyBorder="1" applyAlignment="1">
      <alignment horizontal="left" vertical="center" wrapText="1"/>
    </xf>
    <xf numFmtId="0" fontId="5" fillId="0" borderId="0" xfId="0" applyFont="1" applyFill="1" applyBorder="1" applyAlignment="1">
      <alignment horizontal="center"/>
    </xf>
    <xf numFmtId="0" fontId="5" fillId="0" borderId="0" xfId="0" applyFont="1" applyFill="1" applyBorder="1" applyAlignment="1">
      <alignment horizontal="left"/>
    </xf>
    <xf numFmtId="0" fontId="7" fillId="0" borderId="0" xfId="0" applyFont="1" applyFill="1" applyBorder="1" applyAlignment="1">
      <alignment horizontal="center" vertical="top"/>
    </xf>
    <xf numFmtId="0" fontId="0" fillId="0" borderId="0" xfId="0" applyFill="1" applyBorder="1"/>
    <xf numFmtId="0" fontId="0" fillId="0" borderId="0" xfId="0" applyFill="1" applyBorder="1" applyAlignment="1">
      <alignment horizontal="center" vertical="top"/>
    </xf>
    <xf numFmtId="0" fontId="0" fillId="0" borderId="0" xfId="0" applyFill="1" applyBorder="1" applyAlignment="1">
      <alignment horizontal="center"/>
    </xf>
    <xf numFmtId="0" fontId="6" fillId="0" borderId="0" xfId="0" applyFont="1" applyFill="1" applyBorder="1" applyAlignment="1">
      <alignment horizontal="left" vertical="center"/>
    </xf>
    <xf numFmtId="0" fontId="8" fillId="0" borderId="0" xfId="0" applyFont="1" applyFill="1" applyBorder="1" applyAlignment="1">
      <alignment vertical="top"/>
    </xf>
    <xf numFmtId="0" fontId="16" fillId="0" borderId="0" xfId="0" applyFont="1" applyFill="1" applyBorder="1" applyAlignment="1">
      <alignment horizontal="left" vertical="top"/>
    </xf>
    <xf numFmtId="0" fontId="0" fillId="0" borderId="0" xfId="0" applyFill="1" applyBorder="1" applyAlignment="1">
      <alignment wrapText="1"/>
    </xf>
    <xf numFmtId="0" fontId="3" fillId="0" borderId="0" xfId="0" applyNumberFormat="1" applyFont="1" applyFill="1" applyBorder="1" applyAlignment="1">
      <alignment horizontal="left" vertical="center" wrapText="1"/>
    </xf>
    <xf numFmtId="0" fontId="0" fillId="0" borderId="0" xfId="0" applyFill="1" applyBorder="1" applyAlignment="1">
      <alignment vertical="top"/>
    </xf>
    <xf numFmtId="0" fontId="7" fillId="0" borderId="0" xfId="0" applyFont="1" applyFill="1" applyBorder="1" applyAlignment="1">
      <alignment horizontal="left" vertical="center" wrapText="1"/>
    </xf>
    <xf numFmtId="0" fontId="12" fillId="0" borderId="0" xfId="0" applyFont="1" applyFill="1" applyBorder="1" applyAlignment="1">
      <alignment vertical="top"/>
    </xf>
    <xf numFmtId="0" fontId="7" fillId="0" borderId="0" xfId="0" applyFont="1" applyFill="1" applyBorder="1" applyAlignment="1">
      <alignment horizontal="center"/>
    </xf>
    <xf numFmtId="0" fontId="4" fillId="0" borderId="0" xfId="0" applyFont="1" applyFill="1" applyBorder="1" applyAlignment="1">
      <alignment vertical="top" wrapText="1"/>
    </xf>
    <xf numFmtId="0" fontId="15" fillId="0" borderId="0" xfId="0" applyFont="1" applyFill="1" applyBorder="1" applyAlignment="1">
      <alignment horizontal="right" vertical="top"/>
    </xf>
    <xf numFmtId="0" fontId="0" fillId="0" borderId="0" xfId="0" applyFill="1" applyBorder="1" applyAlignment="1">
      <alignment vertical="top" wrapText="1"/>
    </xf>
    <xf numFmtId="0" fontId="5" fillId="0" borderId="0" xfId="0" applyFont="1" applyFill="1" applyBorder="1" applyAlignment="1">
      <alignment vertical="center" wrapText="1"/>
    </xf>
    <xf numFmtId="0" fontId="5" fillId="0" borderId="0" xfId="0" applyFont="1" applyFill="1" applyBorder="1" applyAlignment="1">
      <alignment horizontal="center" vertical="top" wrapText="1"/>
    </xf>
    <xf numFmtId="0" fontId="2" fillId="0" borderId="0" xfId="0" applyFont="1" applyFill="1" applyBorder="1" applyAlignment="1">
      <alignment vertical="center" wrapText="1"/>
    </xf>
    <xf numFmtId="16" fontId="2" fillId="0" borderId="0" xfId="0" applyNumberFormat="1" applyFont="1" applyFill="1" applyBorder="1" applyAlignment="1">
      <alignment horizontal="left" vertical="center" wrapText="1"/>
    </xf>
    <xf numFmtId="0" fontId="5" fillId="0" borderId="0" xfId="0" applyFont="1" applyFill="1" applyBorder="1" applyAlignment="1">
      <alignment horizontal="center" vertical="center" wrapText="1"/>
    </xf>
    <xf numFmtId="0" fontId="22" fillId="0" borderId="0" xfId="0" applyFont="1" applyFill="1" applyBorder="1" applyAlignment="1">
      <alignment vertical="top"/>
    </xf>
    <xf numFmtId="0" fontId="23" fillId="0" borderId="0" xfId="0" applyFont="1" applyFill="1" applyBorder="1" applyAlignment="1">
      <alignment horizontal="center" vertical="top"/>
    </xf>
    <xf numFmtId="0" fontId="0" fillId="0" borderId="0" xfId="0" applyFill="1" applyBorder="1" applyAlignment="1">
      <alignment vertical="center"/>
    </xf>
    <xf numFmtId="0" fontId="24" fillId="0" borderId="0" xfId="0" applyFont="1" applyFill="1" applyBorder="1" applyAlignment="1">
      <alignment horizontal="center" vertical="top"/>
    </xf>
    <xf numFmtId="0" fontId="2" fillId="0" borderId="0" xfId="0" applyFont="1" applyFill="1" applyBorder="1" applyAlignment="1">
      <alignment horizontal="left" vertical="top" wrapText="1"/>
    </xf>
    <xf numFmtId="0" fontId="2" fillId="0" borderId="0" xfId="0" applyFont="1" applyFill="1" applyAlignment="1">
      <alignment wrapText="1"/>
    </xf>
    <xf numFmtId="0" fontId="2" fillId="0" borderId="0" xfId="0" applyFont="1" applyFill="1" applyBorder="1" applyAlignment="1">
      <alignment horizontal="left" vertical="center" wrapText="1"/>
    </xf>
    <xf numFmtId="49" fontId="2"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wrapText="1"/>
    </xf>
    <xf numFmtId="0" fontId="5" fillId="0" borderId="0" xfId="0" applyFont="1" applyFill="1" applyBorder="1" applyAlignment="1">
      <alignment horizontal="left" vertical="center"/>
    </xf>
    <xf numFmtId="0" fontId="14" fillId="0" borderId="0" xfId="0" applyFont="1" applyFill="1" applyBorder="1" applyAlignment="1">
      <alignment horizontal="center"/>
    </xf>
    <xf numFmtId="0" fontId="14" fillId="0" borderId="0" xfId="0" applyFont="1" applyFill="1" applyBorder="1" applyAlignment="1">
      <alignment horizontal="left"/>
    </xf>
    <xf numFmtId="0" fontId="2" fillId="0" borderId="0" xfId="0" applyFont="1" applyFill="1" applyBorder="1"/>
    <xf numFmtId="0" fontId="2" fillId="0" borderId="0" xfId="0" applyFont="1" applyFill="1" applyBorder="1" applyAlignment="1">
      <alignment horizontal="center" vertical="top"/>
    </xf>
    <xf numFmtId="49" fontId="16" fillId="0" borderId="0" xfId="0" applyNumberFormat="1" applyFont="1" applyFill="1" applyBorder="1" applyAlignment="1">
      <alignment horizontal="left" vertical="top"/>
    </xf>
    <xf numFmtId="0" fontId="2" fillId="0" borderId="0" xfId="0" applyNumberFormat="1" applyFont="1" applyFill="1" applyBorder="1" applyAlignment="1">
      <alignment horizontal="left" vertical="center" wrapText="1"/>
    </xf>
    <xf numFmtId="0" fontId="2" fillId="0" borderId="0" xfId="0" applyFont="1" applyFill="1" applyBorder="1" applyAlignment="1">
      <alignment vertical="top"/>
    </xf>
    <xf numFmtId="0" fontId="2" fillId="0" borderId="0" xfId="0" applyFont="1" applyFill="1" applyBorder="1" applyAlignment="1">
      <alignment horizontal="left" vertical="center"/>
    </xf>
    <xf numFmtId="0" fontId="0" fillId="0" borderId="0" xfId="0" applyFill="1" applyBorder="1" applyAlignment="1">
      <alignment horizontal="left" vertical="center" wrapText="1"/>
    </xf>
    <xf numFmtId="0" fontId="2" fillId="0" borderId="0" xfId="0" applyFont="1" applyFill="1" applyBorder="1" applyAlignment="1">
      <alignment horizontal="left" vertical="top"/>
    </xf>
    <xf numFmtId="0" fontId="2" fillId="0" borderId="0" xfId="0" applyFont="1" applyFill="1" applyBorder="1" applyAlignment="1">
      <alignment wrapText="1"/>
    </xf>
    <xf numFmtId="0" fontId="2" fillId="0" borderId="0" xfId="0" applyFont="1" applyFill="1" applyAlignment="1">
      <alignment vertical="center"/>
    </xf>
    <xf numFmtId="0" fontId="2"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2" fillId="0" borderId="0" xfId="0" applyFont="1" applyFill="1" applyBorder="1" applyAlignment="1">
      <alignment horizontal="left" vertical="center"/>
    </xf>
    <xf numFmtId="0" fontId="5" fillId="0" borderId="0" xfId="0" applyFont="1" applyFill="1" applyBorder="1" applyAlignment="1">
      <alignment horizontal="left" vertical="center" wrapText="1"/>
    </xf>
    <xf numFmtId="0" fontId="2" fillId="0" borderId="0" xfId="0" applyFont="1" applyFill="1" applyAlignment="1">
      <alignment horizontal="left" vertical="center" wrapText="1"/>
    </xf>
    <xf numFmtId="0" fontId="2" fillId="0" borderId="0" xfId="0" applyFont="1" applyFill="1" applyBorder="1" applyAlignment="1">
      <alignment wrapText="1"/>
    </xf>
    <xf numFmtId="0" fontId="14" fillId="0" borderId="0" xfId="0" applyFont="1" applyFill="1" applyBorder="1" applyAlignment="1">
      <alignment horizontal="left"/>
    </xf>
    <xf numFmtId="0" fontId="2" fillId="0" borderId="0" xfId="0" applyFont="1" applyFill="1"/>
    <xf numFmtId="49" fontId="2" fillId="0" borderId="0" xfId="0" applyNumberFormat="1" applyFont="1" applyFill="1" applyBorder="1" applyAlignment="1">
      <alignment horizontal="left" vertical="center" wrapText="1"/>
    </xf>
    <xf numFmtId="0" fontId="0" fillId="0" borderId="0" xfId="0" applyFill="1" applyAlignment="1">
      <alignment horizontal="left" vertical="center" wrapText="1"/>
    </xf>
    <xf numFmtId="0" fontId="2" fillId="0" borderId="0" xfId="0" applyFont="1" applyFill="1" applyBorder="1" applyAlignment="1">
      <alignment vertical="center"/>
    </xf>
    <xf numFmtId="0" fontId="0" fillId="0" borderId="0" xfId="0" applyFill="1" applyAlignment="1">
      <alignment vertical="center"/>
    </xf>
    <xf numFmtId="0" fontId="5" fillId="0" borderId="0" xfId="0" applyFont="1" applyFill="1" applyBorder="1" applyAlignment="1">
      <alignment horizontal="left" vertical="center"/>
    </xf>
  </cellXfs>
  <cellStyles count="5">
    <cellStyle name="Normal" xfId="0" builtinId="0"/>
    <cellStyle name="Normal 2" xfId="1"/>
    <cellStyle name="Normal 3" xfId="2"/>
    <cellStyle name="Normal 4" xfId="3"/>
    <cellStyle name="Normal 4 2" xfId="4"/>
  </cellStyles>
  <dxfs count="0"/>
  <tableStyles count="0" defaultTableStyle="TableStyleMedium9" defaultPivotStyle="PivotStyleLight16"/>
  <colors>
    <mruColors>
      <color rgb="FF0000FF"/>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0</xdr:colOff>
      <xdr:row>0</xdr:row>
      <xdr:rowOff>0</xdr:rowOff>
    </xdr:to>
    <xdr:sp macro="" textlink="">
      <xdr:nvSpPr>
        <xdr:cNvPr id="4167" name="Rectangle 1"/>
        <xdr:cNvSpPr>
          <a:spLocks noChangeArrowheads="1"/>
        </xdr:cNvSpPr>
      </xdr:nvSpPr>
      <xdr:spPr bwMode="auto">
        <a:xfrm>
          <a:off x="12268200" y="0"/>
          <a:ext cx="0" cy="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H389"/>
  <sheetViews>
    <sheetView tabSelected="1" zoomScale="70" zoomScaleNormal="70" workbookViewId="0">
      <selection activeCell="E2" sqref="E2"/>
    </sheetView>
  </sheetViews>
  <sheetFormatPr defaultColWidth="9.109375" defaultRowHeight="13.2" x14ac:dyDescent="0.25"/>
  <cols>
    <col min="1" max="1" width="12" style="22" customWidth="1"/>
    <col min="2" max="3" width="11.33203125" style="27" customWidth="1"/>
    <col min="4" max="4" width="9.109375" style="27" customWidth="1"/>
    <col min="5" max="5" width="61.6640625" style="31" customWidth="1"/>
    <col min="6" max="6" width="50.44140625" style="28" customWidth="1"/>
    <col min="7" max="7" width="80.109375" style="54" customWidth="1"/>
    <col min="8" max="16384" width="9.109375" style="25"/>
  </cols>
  <sheetData>
    <row r="1" spans="1:8" s="10" customFormat="1" ht="21.75" customHeight="1" x14ac:dyDescent="0.4">
      <c r="A1" s="55"/>
      <c r="B1" s="73" t="s">
        <v>283</v>
      </c>
      <c r="C1" s="73"/>
      <c r="D1" s="73"/>
      <c r="E1" s="73"/>
      <c r="F1" s="73"/>
      <c r="G1" s="56" t="s">
        <v>226</v>
      </c>
    </row>
    <row r="2" spans="1:8" s="2" customFormat="1" ht="64.5" customHeight="1" x14ac:dyDescent="0.3">
      <c r="A2" s="11" t="s">
        <v>39</v>
      </c>
      <c r="B2" s="11" t="s">
        <v>40</v>
      </c>
      <c r="C2" s="11" t="s">
        <v>41</v>
      </c>
      <c r="D2" s="12" t="s">
        <v>12</v>
      </c>
      <c r="E2" s="12" t="s">
        <v>143</v>
      </c>
      <c r="F2" s="11" t="s">
        <v>42</v>
      </c>
      <c r="G2" s="12" t="s">
        <v>43</v>
      </c>
      <c r="H2" s="1"/>
    </row>
    <row r="3" spans="1:8" s="57" customFormat="1" ht="12.75" customHeight="1" x14ac:dyDescent="0.25">
      <c r="A3" s="58"/>
      <c r="B3" s="8"/>
      <c r="C3" s="8"/>
      <c r="E3" s="3" t="s">
        <v>44</v>
      </c>
      <c r="F3" s="9"/>
    </row>
    <row r="4" spans="1:8" s="14" customFormat="1" x14ac:dyDescent="0.25">
      <c r="A4" s="46"/>
      <c r="B4" s="13">
        <v>1</v>
      </c>
      <c r="C4" s="13">
        <f t="shared" ref="C4:C11" si="0">B4+D4-1</f>
        <v>2</v>
      </c>
      <c r="D4" s="13">
        <v>2</v>
      </c>
      <c r="E4" s="14" t="s">
        <v>45</v>
      </c>
      <c r="F4" s="52" t="s">
        <v>217</v>
      </c>
      <c r="G4" s="51" t="s">
        <v>245</v>
      </c>
    </row>
    <row r="5" spans="1:8" s="14" customFormat="1" x14ac:dyDescent="0.25">
      <c r="A5" s="46"/>
      <c r="B5" s="13">
        <f>B4+D4</f>
        <v>3</v>
      </c>
      <c r="C5" s="13">
        <f t="shared" si="0"/>
        <v>6</v>
      </c>
      <c r="D5" s="13">
        <v>4</v>
      </c>
      <c r="E5" s="14" t="s">
        <v>46</v>
      </c>
      <c r="F5" s="15" t="s">
        <v>111</v>
      </c>
      <c r="G5" s="54" t="s">
        <v>14</v>
      </c>
    </row>
    <row r="6" spans="1:8" s="14" customFormat="1" ht="26.4" x14ac:dyDescent="0.25">
      <c r="A6" s="13"/>
      <c r="B6" s="13">
        <f t="shared" ref="B6:B15" si="1">B5+D5</f>
        <v>7</v>
      </c>
      <c r="C6" s="13">
        <f t="shared" si="0"/>
        <v>7</v>
      </c>
      <c r="D6" s="13">
        <v>1</v>
      </c>
      <c r="E6" s="14" t="s">
        <v>47</v>
      </c>
      <c r="F6" s="53" t="s">
        <v>7</v>
      </c>
      <c r="G6" s="53" t="s">
        <v>118</v>
      </c>
    </row>
    <row r="7" spans="1:8" s="14" customFormat="1" ht="31.5" customHeight="1" x14ac:dyDescent="0.25">
      <c r="A7" s="58" t="s">
        <v>112</v>
      </c>
      <c r="B7" s="13">
        <f t="shared" si="1"/>
        <v>8</v>
      </c>
      <c r="C7" s="13">
        <f t="shared" si="0"/>
        <v>10</v>
      </c>
      <c r="D7" s="13">
        <v>3</v>
      </c>
      <c r="E7" s="14" t="s">
        <v>48</v>
      </c>
      <c r="F7" s="53"/>
      <c r="G7" s="75" t="s">
        <v>181</v>
      </c>
    </row>
    <row r="8" spans="1:8" s="14" customFormat="1" ht="32.25" customHeight="1" x14ac:dyDescent="0.25">
      <c r="A8" s="58" t="s">
        <v>112</v>
      </c>
      <c r="B8" s="13">
        <f t="shared" si="1"/>
        <v>11</v>
      </c>
      <c r="C8" s="13">
        <f t="shared" si="0"/>
        <v>13</v>
      </c>
      <c r="D8" s="13">
        <v>3</v>
      </c>
      <c r="E8" s="14" t="s">
        <v>49</v>
      </c>
      <c r="F8" s="53"/>
      <c r="G8" s="76"/>
    </row>
    <row r="9" spans="1:8" s="14" customFormat="1" x14ac:dyDescent="0.25">
      <c r="A9" s="46"/>
      <c r="B9" s="13">
        <f t="shared" si="1"/>
        <v>14</v>
      </c>
      <c r="C9" s="13">
        <f t="shared" si="0"/>
        <v>53</v>
      </c>
      <c r="D9" s="13">
        <v>40</v>
      </c>
      <c r="E9" s="14" t="s">
        <v>50</v>
      </c>
      <c r="F9" s="53"/>
      <c r="G9" s="54"/>
    </row>
    <row r="10" spans="1:8" s="14" customFormat="1" x14ac:dyDescent="0.25">
      <c r="A10" s="46"/>
      <c r="B10" s="13">
        <f t="shared" si="1"/>
        <v>54</v>
      </c>
      <c r="C10" s="13">
        <f t="shared" si="0"/>
        <v>93</v>
      </c>
      <c r="D10" s="13">
        <v>40</v>
      </c>
      <c r="E10" s="14" t="s">
        <v>51</v>
      </c>
      <c r="F10" s="53"/>
      <c r="G10" s="54"/>
    </row>
    <row r="11" spans="1:8" s="14" customFormat="1" ht="66" x14ac:dyDescent="0.25">
      <c r="A11" s="46"/>
      <c r="B11" s="13">
        <f t="shared" si="1"/>
        <v>94</v>
      </c>
      <c r="C11" s="13">
        <f t="shared" si="0"/>
        <v>95</v>
      </c>
      <c r="D11" s="13">
        <v>2</v>
      </c>
      <c r="E11" s="14" t="s">
        <v>52</v>
      </c>
      <c r="F11" s="51" t="s">
        <v>205</v>
      </c>
      <c r="G11" s="51" t="s">
        <v>206</v>
      </c>
    </row>
    <row r="12" spans="1:8" s="14" customFormat="1" x14ac:dyDescent="0.25">
      <c r="A12" s="58" t="s">
        <v>151</v>
      </c>
      <c r="B12" s="13">
        <f>B11+D11</f>
        <v>96</v>
      </c>
      <c r="C12" s="13">
        <f t="shared" ref="C12:C19" si="2">B12+D12-1</f>
        <v>107</v>
      </c>
      <c r="D12" s="13">
        <v>12</v>
      </c>
      <c r="E12" s="14" t="s">
        <v>53</v>
      </c>
      <c r="F12" s="53"/>
      <c r="G12" s="67" t="s">
        <v>115</v>
      </c>
    </row>
    <row r="13" spans="1:8" s="14" customFormat="1" x14ac:dyDescent="0.25">
      <c r="A13" s="58" t="s">
        <v>151</v>
      </c>
      <c r="B13" s="13">
        <f t="shared" si="1"/>
        <v>108</v>
      </c>
      <c r="C13" s="13">
        <f t="shared" si="2"/>
        <v>115</v>
      </c>
      <c r="D13" s="13">
        <v>8</v>
      </c>
      <c r="E13" s="14" t="s">
        <v>54</v>
      </c>
      <c r="F13" s="53"/>
      <c r="G13" s="74"/>
    </row>
    <row r="14" spans="1:8" s="14" customFormat="1" x14ac:dyDescent="0.25">
      <c r="A14" s="13"/>
      <c r="B14" s="13">
        <f t="shared" si="1"/>
        <v>116</v>
      </c>
      <c r="C14" s="13">
        <f t="shared" si="2"/>
        <v>116</v>
      </c>
      <c r="D14" s="13">
        <v>1</v>
      </c>
      <c r="E14" s="14" t="s">
        <v>55</v>
      </c>
      <c r="F14" s="53"/>
      <c r="G14" s="57" t="s">
        <v>119</v>
      </c>
    </row>
    <row r="15" spans="1:8" s="14" customFormat="1" ht="39.6" x14ac:dyDescent="0.25">
      <c r="A15" s="58" t="s">
        <v>151</v>
      </c>
      <c r="B15" s="13">
        <f t="shared" si="1"/>
        <v>117</v>
      </c>
      <c r="C15" s="13">
        <f t="shared" si="2"/>
        <v>125</v>
      </c>
      <c r="D15" s="13">
        <v>9</v>
      </c>
      <c r="E15" s="14" t="s">
        <v>6</v>
      </c>
      <c r="F15" s="51" t="s">
        <v>194</v>
      </c>
      <c r="G15" s="51" t="s">
        <v>218</v>
      </c>
    </row>
    <row r="16" spans="1:8" s="14" customFormat="1" x14ac:dyDescent="0.25">
      <c r="A16" s="13"/>
      <c r="B16" s="13">
        <f>B15+D15</f>
        <v>126</v>
      </c>
      <c r="C16" s="13">
        <f t="shared" si="2"/>
        <v>134</v>
      </c>
      <c r="D16" s="13">
        <v>9</v>
      </c>
      <c r="E16" s="61" t="s">
        <v>13</v>
      </c>
      <c r="F16" s="51"/>
      <c r="G16" s="51"/>
    </row>
    <row r="17" spans="1:7" s="14" customFormat="1" ht="52.8" x14ac:dyDescent="0.25">
      <c r="A17" s="13"/>
      <c r="B17" s="13">
        <f>B16+D16</f>
        <v>135</v>
      </c>
      <c r="C17" s="13">
        <f t="shared" si="2"/>
        <v>135</v>
      </c>
      <c r="D17" s="13">
        <v>1</v>
      </c>
      <c r="E17" s="61" t="s">
        <v>228</v>
      </c>
      <c r="F17" s="51" t="s">
        <v>246</v>
      </c>
      <c r="G17" s="51" t="s">
        <v>203</v>
      </c>
    </row>
    <row r="18" spans="1:7" s="14" customFormat="1" ht="52.8" x14ac:dyDescent="0.25">
      <c r="A18" s="13"/>
      <c r="B18" s="13">
        <f>B17+D17</f>
        <v>136</v>
      </c>
      <c r="C18" s="13">
        <f t="shared" si="2"/>
        <v>141</v>
      </c>
      <c r="D18" s="13">
        <v>6</v>
      </c>
      <c r="E18" s="61" t="s">
        <v>229</v>
      </c>
      <c r="F18" s="51" t="s">
        <v>282</v>
      </c>
      <c r="G18" s="51" t="s">
        <v>227</v>
      </c>
    </row>
    <row r="19" spans="1:7" s="14" customFormat="1" ht="52.8" x14ac:dyDescent="0.25">
      <c r="A19" s="13"/>
      <c r="B19" s="13">
        <f>B18+D18</f>
        <v>142</v>
      </c>
      <c r="C19" s="13">
        <f t="shared" si="2"/>
        <v>144</v>
      </c>
      <c r="D19" s="13">
        <v>3</v>
      </c>
      <c r="E19" s="61" t="s">
        <v>230</v>
      </c>
      <c r="F19" s="51" t="s">
        <v>231</v>
      </c>
      <c r="G19" s="51" t="s">
        <v>227</v>
      </c>
    </row>
    <row r="20" spans="1:7" s="14" customFormat="1" ht="33" customHeight="1" x14ac:dyDescent="0.25">
      <c r="A20" s="58" t="s">
        <v>151</v>
      </c>
      <c r="B20" s="13">
        <f t="shared" ref="B20:B33" si="3">B19+D19</f>
        <v>145</v>
      </c>
      <c r="C20" s="13">
        <f t="shared" ref="C20:C33" si="4">B20+D20-1</f>
        <v>146</v>
      </c>
      <c r="D20" s="13">
        <v>2</v>
      </c>
      <c r="E20" s="14" t="s">
        <v>56</v>
      </c>
      <c r="F20" s="51" t="s">
        <v>153</v>
      </c>
      <c r="G20" s="67" t="s">
        <v>220</v>
      </c>
    </row>
    <row r="21" spans="1:7" s="14" customFormat="1" ht="33" customHeight="1" x14ac:dyDescent="0.25">
      <c r="A21" s="58" t="s">
        <v>151</v>
      </c>
      <c r="B21" s="13">
        <f t="shared" si="3"/>
        <v>147</v>
      </c>
      <c r="C21" s="13">
        <f t="shared" si="4"/>
        <v>148</v>
      </c>
      <c r="D21" s="13">
        <v>2</v>
      </c>
      <c r="E21" s="14" t="s">
        <v>57</v>
      </c>
      <c r="F21" s="51" t="s">
        <v>149</v>
      </c>
      <c r="G21" s="67"/>
    </row>
    <row r="22" spans="1:7" s="14" customFormat="1" ht="33" customHeight="1" x14ac:dyDescent="0.25">
      <c r="A22" s="58" t="s">
        <v>151</v>
      </c>
      <c r="B22" s="13">
        <f t="shared" si="3"/>
        <v>149</v>
      </c>
      <c r="C22" s="13">
        <f t="shared" si="4"/>
        <v>152</v>
      </c>
      <c r="D22" s="13">
        <v>4</v>
      </c>
      <c r="E22" s="14" t="s">
        <v>58</v>
      </c>
      <c r="F22" s="51" t="s">
        <v>150</v>
      </c>
      <c r="G22" s="67"/>
    </row>
    <row r="23" spans="1:7" s="14" customFormat="1" ht="66" x14ac:dyDescent="0.25">
      <c r="A23" s="58" t="s">
        <v>219</v>
      </c>
      <c r="B23" s="13">
        <f t="shared" si="3"/>
        <v>153</v>
      </c>
      <c r="C23" s="13">
        <f t="shared" si="4"/>
        <v>153</v>
      </c>
      <c r="D23" s="13">
        <v>1</v>
      </c>
      <c r="E23" s="14" t="s">
        <v>59</v>
      </c>
      <c r="F23" s="53" t="s">
        <v>24</v>
      </c>
      <c r="G23" s="51" t="s">
        <v>221</v>
      </c>
    </row>
    <row r="24" spans="1:7" s="14" customFormat="1" ht="105.6" x14ac:dyDescent="0.25">
      <c r="A24" s="58" t="s">
        <v>219</v>
      </c>
      <c r="B24" s="13">
        <f t="shared" si="3"/>
        <v>154</v>
      </c>
      <c r="C24" s="13">
        <f t="shared" si="4"/>
        <v>154</v>
      </c>
      <c r="D24" s="13">
        <v>1</v>
      </c>
      <c r="E24" s="61" t="s">
        <v>128</v>
      </c>
      <c r="F24" s="42" t="s">
        <v>148</v>
      </c>
      <c r="G24" s="51" t="s">
        <v>222</v>
      </c>
    </row>
    <row r="25" spans="1:7" s="14" customFormat="1" ht="66" x14ac:dyDescent="0.25">
      <c r="A25" s="58" t="s">
        <v>112</v>
      </c>
      <c r="B25" s="13">
        <f t="shared" si="3"/>
        <v>155</v>
      </c>
      <c r="C25" s="13">
        <f t="shared" si="4"/>
        <v>155</v>
      </c>
      <c r="D25" s="13">
        <v>1</v>
      </c>
      <c r="E25" s="14" t="s">
        <v>60</v>
      </c>
      <c r="F25" s="53" t="s">
        <v>5</v>
      </c>
      <c r="G25" s="51" t="s">
        <v>260</v>
      </c>
    </row>
    <row r="26" spans="1:7" s="16" customFormat="1" x14ac:dyDescent="0.25">
      <c r="A26" s="46"/>
      <c r="B26" s="13">
        <f>B25+D25</f>
        <v>156</v>
      </c>
      <c r="C26" s="13">
        <f t="shared" si="4"/>
        <v>157</v>
      </c>
      <c r="D26" s="13">
        <v>2</v>
      </c>
      <c r="E26" s="61" t="s">
        <v>13</v>
      </c>
      <c r="F26" s="51"/>
      <c r="G26" s="51"/>
    </row>
    <row r="27" spans="1:7" s="16" customFormat="1" ht="39.6" x14ac:dyDescent="0.25">
      <c r="A27" s="13"/>
      <c r="B27" s="13">
        <f t="shared" si="3"/>
        <v>158</v>
      </c>
      <c r="C27" s="13">
        <f t="shared" si="4"/>
        <v>158</v>
      </c>
      <c r="D27" s="13">
        <v>1</v>
      </c>
      <c r="E27" s="14" t="s">
        <v>61</v>
      </c>
      <c r="F27" s="51" t="s">
        <v>138</v>
      </c>
      <c r="G27" s="54" t="s">
        <v>195</v>
      </c>
    </row>
    <row r="28" spans="1:7" s="16" customFormat="1" x14ac:dyDescent="0.25">
      <c r="A28" s="13"/>
      <c r="B28" s="13">
        <f>B27+D27</f>
        <v>159</v>
      </c>
      <c r="C28" s="13">
        <f t="shared" si="4"/>
        <v>161</v>
      </c>
      <c r="D28" s="13">
        <v>3</v>
      </c>
      <c r="E28" s="61" t="s">
        <v>13</v>
      </c>
      <c r="F28" s="40"/>
      <c r="G28" s="51"/>
    </row>
    <row r="29" spans="1:7" s="16" customFormat="1" ht="66" x14ac:dyDescent="0.25">
      <c r="A29" s="13"/>
      <c r="B29" s="13">
        <f t="shared" si="3"/>
        <v>162</v>
      </c>
      <c r="C29" s="13">
        <f t="shared" si="4"/>
        <v>162</v>
      </c>
      <c r="D29" s="13">
        <v>1</v>
      </c>
      <c r="E29" s="61" t="s">
        <v>144</v>
      </c>
      <c r="F29" s="40" t="s">
        <v>134</v>
      </c>
      <c r="G29" s="51" t="s">
        <v>227</v>
      </c>
    </row>
    <row r="30" spans="1:7" s="14" customFormat="1" x14ac:dyDescent="0.25">
      <c r="B30" s="13">
        <f>B29+D29</f>
        <v>163</v>
      </c>
      <c r="C30" s="13">
        <f t="shared" si="4"/>
        <v>172</v>
      </c>
      <c r="D30" s="13">
        <v>10</v>
      </c>
      <c r="E30" s="14" t="s">
        <v>13</v>
      </c>
      <c r="F30" s="53"/>
      <c r="G30" s="62"/>
    </row>
    <row r="31" spans="1:7" s="14" customFormat="1" ht="52.8" x14ac:dyDescent="0.25">
      <c r="A31" s="58" t="s">
        <v>113</v>
      </c>
      <c r="B31" s="13">
        <f t="shared" si="3"/>
        <v>173</v>
      </c>
      <c r="C31" s="13">
        <f t="shared" si="4"/>
        <v>173</v>
      </c>
      <c r="D31" s="13">
        <v>1</v>
      </c>
      <c r="E31" s="14" t="s">
        <v>35</v>
      </c>
      <c r="F31" s="52" t="s">
        <v>224</v>
      </c>
      <c r="G31" s="51" t="s">
        <v>223</v>
      </c>
    </row>
    <row r="32" spans="1:7" s="14" customFormat="1" x14ac:dyDescent="0.25">
      <c r="A32" s="13"/>
      <c r="B32" s="13">
        <f t="shared" si="3"/>
        <v>174</v>
      </c>
      <c r="C32" s="13">
        <f t="shared" si="4"/>
        <v>175</v>
      </c>
      <c r="D32" s="13">
        <v>2</v>
      </c>
      <c r="E32" s="61" t="s">
        <v>13</v>
      </c>
      <c r="F32" s="52"/>
      <c r="G32" s="51"/>
    </row>
    <row r="33" spans="1:7" s="14" customFormat="1" ht="52.8" x14ac:dyDescent="0.25">
      <c r="A33" s="13"/>
      <c r="B33" s="13">
        <f t="shared" si="3"/>
        <v>176</v>
      </c>
      <c r="C33" s="13">
        <f t="shared" si="4"/>
        <v>176</v>
      </c>
      <c r="D33" s="13">
        <v>1</v>
      </c>
      <c r="E33" s="14" t="s">
        <v>4</v>
      </c>
      <c r="F33" s="51" t="s">
        <v>152</v>
      </c>
      <c r="G33" s="51" t="s">
        <v>227</v>
      </c>
    </row>
    <row r="34" spans="1:7" s="14" customFormat="1" x14ac:dyDescent="0.25">
      <c r="A34" s="13" t="s">
        <v>112</v>
      </c>
      <c r="B34" s="13">
        <f>B33+D33</f>
        <v>177</v>
      </c>
      <c r="C34" s="13">
        <f t="shared" ref="C34:C47" si="5">B34+D34-1</f>
        <v>200</v>
      </c>
      <c r="D34" s="13">
        <v>24</v>
      </c>
      <c r="E34" s="19" t="s">
        <v>13</v>
      </c>
      <c r="F34" s="53"/>
      <c r="G34" s="54"/>
    </row>
    <row r="35" spans="1:7" s="14" customFormat="1" x14ac:dyDescent="0.25">
      <c r="A35" s="58"/>
      <c r="B35" s="13"/>
      <c r="C35" s="13"/>
      <c r="D35" s="57"/>
      <c r="E35" s="59" t="s">
        <v>3</v>
      </c>
      <c r="F35" s="60"/>
      <c r="G35" s="57"/>
    </row>
    <row r="36" spans="1:7" s="14" customFormat="1" x14ac:dyDescent="0.25">
      <c r="A36" s="58" t="s">
        <v>112</v>
      </c>
      <c r="B36" s="13">
        <f>B34+D34</f>
        <v>201</v>
      </c>
      <c r="C36" s="13">
        <f t="shared" si="5"/>
        <v>201</v>
      </c>
      <c r="D36" s="58">
        <v>1</v>
      </c>
      <c r="E36" s="61" t="s">
        <v>62</v>
      </c>
      <c r="F36" s="67" t="s">
        <v>138</v>
      </c>
      <c r="G36" s="69" t="s">
        <v>195</v>
      </c>
    </row>
    <row r="37" spans="1:7" s="14" customFormat="1" x14ac:dyDescent="0.25">
      <c r="A37" s="58" t="s">
        <v>112</v>
      </c>
      <c r="B37" s="13">
        <f t="shared" ref="B37:B47" si="6">B36+D36</f>
        <v>202</v>
      </c>
      <c r="C37" s="13">
        <f t="shared" si="5"/>
        <v>202</v>
      </c>
      <c r="D37" s="58">
        <v>1</v>
      </c>
      <c r="E37" s="61" t="s">
        <v>63</v>
      </c>
      <c r="F37" s="68"/>
      <c r="G37" s="69"/>
    </row>
    <row r="38" spans="1:7" s="14" customFormat="1" x14ac:dyDescent="0.25">
      <c r="A38" s="58" t="s">
        <v>112</v>
      </c>
      <c r="B38" s="13">
        <f t="shared" si="6"/>
        <v>203</v>
      </c>
      <c r="C38" s="13">
        <f t="shared" si="5"/>
        <v>203</v>
      </c>
      <c r="D38" s="58">
        <v>1</v>
      </c>
      <c r="E38" s="61" t="s">
        <v>64</v>
      </c>
      <c r="F38" s="68"/>
      <c r="G38" s="69"/>
    </row>
    <row r="39" spans="1:7" s="14" customFormat="1" x14ac:dyDescent="0.25">
      <c r="A39" s="58" t="s">
        <v>112</v>
      </c>
      <c r="B39" s="13">
        <f t="shared" si="6"/>
        <v>204</v>
      </c>
      <c r="C39" s="13">
        <f t="shared" si="5"/>
        <v>204</v>
      </c>
      <c r="D39" s="58">
        <v>1</v>
      </c>
      <c r="E39" s="61" t="s">
        <v>65</v>
      </c>
      <c r="F39" s="68"/>
      <c r="G39" s="69"/>
    </row>
    <row r="40" spans="1:7" s="14" customFormat="1" x14ac:dyDescent="0.25">
      <c r="A40" s="58" t="s">
        <v>112</v>
      </c>
      <c r="B40" s="13">
        <f t="shared" si="6"/>
        <v>205</v>
      </c>
      <c r="C40" s="13">
        <f t="shared" si="5"/>
        <v>205</v>
      </c>
      <c r="D40" s="58">
        <v>1</v>
      </c>
      <c r="E40" s="61" t="s">
        <v>66</v>
      </c>
      <c r="F40" s="68"/>
      <c r="G40" s="69"/>
    </row>
    <row r="41" spans="1:7" s="14" customFormat="1" x14ac:dyDescent="0.25">
      <c r="A41" s="58" t="s">
        <v>112</v>
      </c>
      <c r="B41" s="13">
        <f t="shared" si="6"/>
        <v>206</v>
      </c>
      <c r="C41" s="13">
        <f t="shared" si="5"/>
        <v>206</v>
      </c>
      <c r="D41" s="58">
        <v>1</v>
      </c>
      <c r="E41" s="61" t="s">
        <v>67</v>
      </c>
      <c r="F41" s="68"/>
      <c r="G41" s="69"/>
    </row>
    <row r="42" spans="1:7" s="14" customFormat="1" x14ac:dyDescent="0.25">
      <c r="A42" s="58" t="s">
        <v>112</v>
      </c>
      <c r="B42" s="13">
        <f t="shared" si="6"/>
        <v>207</v>
      </c>
      <c r="C42" s="13">
        <f t="shared" si="5"/>
        <v>207</v>
      </c>
      <c r="D42" s="58">
        <v>1</v>
      </c>
      <c r="E42" s="61" t="s">
        <v>68</v>
      </c>
      <c r="F42" s="68"/>
      <c r="G42" s="69"/>
    </row>
    <row r="43" spans="1:7" s="14" customFormat="1" x14ac:dyDescent="0.25">
      <c r="A43" s="58" t="s">
        <v>112</v>
      </c>
      <c r="B43" s="13">
        <f t="shared" si="6"/>
        <v>208</v>
      </c>
      <c r="C43" s="13">
        <f t="shared" si="5"/>
        <v>208</v>
      </c>
      <c r="D43" s="58">
        <v>1</v>
      </c>
      <c r="E43" s="61" t="s">
        <v>69</v>
      </c>
      <c r="F43" s="68"/>
      <c r="G43" s="69"/>
    </row>
    <row r="44" spans="1:7" s="14" customFormat="1" x14ac:dyDescent="0.25">
      <c r="A44" s="58" t="s">
        <v>112</v>
      </c>
      <c r="B44" s="13">
        <f t="shared" si="6"/>
        <v>209</v>
      </c>
      <c r="C44" s="13">
        <f t="shared" si="5"/>
        <v>209</v>
      </c>
      <c r="D44" s="58">
        <v>1</v>
      </c>
      <c r="E44" s="61" t="s">
        <v>70</v>
      </c>
      <c r="F44" s="68"/>
      <c r="G44" s="69"/>
    </row>
    <row r="45" spans="1:7" s="14" customFormat="1" x14ac:dyDescent="0.25">
      <c r="A45" s="58" t="s">
        <v>112</v>
      </c>
      <c r="B45" s="13">
        <f t="shared" si="6"/>
        <v>210</v>
      </c>
      <c r="C45" s="13">
        <f t="shared" si="5"/>
        <v>210</v>
      </c>
      <c r="D45" s="58">
        <v>1</v>
      </c>
      <c r="E45" s="61" t="s">
        <v>71</v>
      </c>
      <c r="F45" s="68"/>
      <c r="G45" s="69"/>
    </row>
    <row r="46" spans="1:7" s="14" customFormat="1" x14ac:dyDescent="0.25">
      <c r="A46" s="58" t="s">
        <v>112</v>
      </c>
      <c r="B46" s="13">
        <f t="shared" si="6"/>
        <v>211</v>
      </c>
      <c r="C46" s="13">
        <f t="shared" si="5"/>
        <v>211</v>
      </c>
      <c r="D46" s="58">
        <v>1</v>
      </c>
      <c r="E46" s="61" t="s">
        <v>72</v>
      </c>
      <c r="F46" s="68"/>
      <c r="G46" s="69"/>
    </row>
    <row r="47" spans="1:7" s="14" customFormat="1" x14ac:dyDescent="0.25">
      <c r="A47" s="58"/>
      <c r="B47" s="13">
        <f t="shared" si="6"/>
        <v>212</v>
      </c>
      <c r="C47" s="13">
        <f t="shared" si="5"/>
        <v>217</v>
      </c>
      <c r="D47" s="58">
        <v>6</v>
      </c>
      <c r="E47" s="61" t="s">
        <v>13</v>
      </c>
      <c r="F47" s="63"/>
      <c r="G47" s="62"/>
    </row>
    <row r="48" spans="1:7" s="57" customFormat="1" x14ac:dyDescent="0.25">
      <c r="A48" s="58"/>
      <c r="B48" s="4"/>
      <c r="C48" s="4"/>
      <c r="E48" s="59" t="s">
        <v>2</v>
      </c>
      <c r="F48" s="70" t="s">
        <v>138</v>
      </c>
      <c r="G48" s="77" t="s">
        <v>195</v>
      </c>
    </row>
    <row r="49" spans="1:7" s="14" customFormat="1" x14ac:dyDescent="0.25">
      <c r="A49" s="13" t="s">
        <v>112</v>
      </c>
      <c r="B49" s="13">
        <f>B47+D47</f>
        <v>218</v>
      </c>
      <c r="C49" s="13">
        <f>B49+D49-1</f>
        <v>218</v>
      </c>
      <c r="D49" s="13">
        <v>1</v>
      </c>
      <c r="E49" s="14" t="s">
        <v>62</v>
      </c>
      <c r="F49" s="68"/>
      <c r="G49" s="78"/>
    </row>
    <row r="50" spans="1:7" s="14" customFormat="1" x14ac:dyDescent="0.25">
      <c r="A50" s="13" t="s">
        <v>112</v>
      </c>
      <c r="B50" s="13">
        <f>B49+D49</f>
        <v>219</v>
      </c>
      <c r="C50" s="13">
        <f t="shared" ref="C50:C55" si="7">B50+D50-1</f>
        <v>219</v>
      </c>
      <c r="D50" s="13">
        <v>1</v>
      </c>
      <c r="E50" s="14" t="s">
        <v>67</v>
      </c>
      <c r="F50" s="68"/>
      <c r="G50" s="78"/>
    </row>
    <row r="51" spans="1:7" s="14" customFormat="1" x14ac:dyDescent="0.25">
      <c r="A51" s="13" t="s">
        <v>112</v>
      </c>
      <c r="B51" s="13">
        <f t="shared" ref="B51:B55" si="8">B50+D50</f>
        <v>220</v>
      </c>
      <c r="C51" s="13">
        <f t="shared" si="7"/>
        <v>220</v>
      </c>
      <c r="D51" s="13">
        <v>1</v>
      </c>
      <c r="E51" s="14" t="s">
        <v>70</v>
      </c>
      <c r="F51" s="68"/>
      <c r="G51" s="78"/>
    </row>
    <row r="52" spans="1:7" s="14" customFormat="1" ht="26.4" x14ac:dyDescent="0.25">
      <c r="A52" s="13" t="s">
        <v>112</v>
      </c>
      <c r="B52" s="13">
        <f t="shared" si="8"/>
        <v>221</v>
      </c>
      <c r="C52" s="13">
        <f t="shared" si="7"/>
        <v>221</v>
      </c>
      <c r="D52" s="13">
        <v>1</v>
      </c>
      <c r="E52" s="7" t="s">
        <v>272</v>
      </c>
      <c r="F52" s="68"/>
      <c r="G52" s="78"/>
    </row>
    <row r="53" spans="1:7" s="14" customFormat="1" ht="26.4" x14ac:dyDescent="0.25">
      <c r="A53" s="13" t="s">
        <v>112</v>
      </c>
      <c r="B53" s="13">
        <f t="shared" si="8"/>
        <v>222</v>
      </c>
      <c r="C53" s="13">
        <f t="shared" si="7"/>
        <v>222</v>
      </c>
      <c r="D53" s="13">
        <v>1</v>
      </c>
      <c r="E53" s="7" t="s">
        <v>273</v>
      </c>
      <c r="F53" s="68"/>
      <c r="G53" s="78"/>
    </row>
    <row r="54" spans="1:7" s="14" customFormat="1" x14ac:dyDescent="0.25">
      <c r="A54" s="13" t="s">
        <v>112</v>
      </c>
      <c r="B54" s="13">
        <f t="shared" si="8"/>
        <v>223</v>
      </c>
      <c r="C54" s="13">
        <f t="shared" si="7"/>
        <v>223</v>
      </c>
      <c r="D54" s="13">
        <v>1</v>
      </c>
      <c r="E54" s="14" t="s">
        <v>71</v>
      </c>
      <c r="F54" s="68"/>
      <c r="G54" s="78"/>
    </row>
    <row r="55" spans="1:7" s="14" customFormat="1" x14ac:dyDescent="0.25">
      <c r="A55" s="13" t="s">
        <v>112</v>
      </c>
      <c r="B55" s="13">
        <f t="shared" si="8"/>
        <v>224</v>
      </c>
      <c r="C55" s="13">
        <f t="shared" si="7"/>
        <v>229</v>
      </c>
      <c r="D55" s="13">
        <v>6</v>
      </c>
      <c r="E55" s="19" t="s">
        <v>13</v>
      </c>
      <c r="F55" s="53"/>
      <c r="G55" s="54"/>
    </row>
    <row r="56" spans="1:7" s="57" customFormat="1" x14ac:dyDescent="0.25">
      <c r="A56" s="58"/>
      <c r="B56" s="4"/>
      <c r="C56" s="4"/>
      <c r="E56" s="59" t="s">
        <v>1</v>
      </c>
      <c r="F56" s="54"/>
    </row>
    <row r="57" spans="1:7" s="14" customFormat="1" x14ac:dyDescent="0.25">
      <c r="A57" s="13" t="s">
        <v>112</v>
      </c>
      <c r="B57" s="13">
        <f>B55+D55</f>
        <v>230</v>
      </c>
      <c r="C57" s="13">
        <f>B57+D57-1</f>
        <v>230</v>
      </c>
      <c r="D57" s="13">
        <v>1</v>
      </c>
      <c r="E57" s="14" t="s">
        <v>62</v>
      </c>
      <c r="F57" s="67" t="s">
        <v>138</v>
      </c>
      <c r="G57" s="69" t="s">
        <v>195</v>
      </c>
    </row>
    <row r="58" spans="1:7" s="14" customFormat="1" x14ac:dyDescent="0.25">
      <c r="A58" s="13" t="s">
        <v>112</v>
      </c>
      <c r="B58" s="13">
        <f>B57+D57</f>
        <v>231</v>
      </c>
      <c r="C58" s="13">
        <f t="shared" ref="C58:C73" si="9">B58+D58-1</f>
        <v>231</v>
      </c>
      <c r="D58" s="13">
        <v>1</v>
      </c>
      <c r="E58" s="14" t="s">
        <v>63</v>
      </c>
      <c r="F58" s="70"/>
      <c r="G58" s="79"/>
    </row>
    <row r="59" spans="1:7" s="14" customFormat="1" x14ac:dyDescent="0.25">
      <c r="A59" s="13" t="s">
        <v>112</v>
      </c>
      <c r="B59" s="13">
        <f t="shared" ref="B59:B73" si="10">B58+D58</f>
        <v>232</v>
      </c>
      <c r="C59" s="13">
        <f t="shared" si="9"/>
        <v>232</v>
      </c>
      <c r="D59" s="13">
        <v>1</v>
      </c>
      <c r="E59" s="14" t="s">
        <v>64</v>
      </c>
      <c r="F59" s="70"/>
      <c r="G59" s="79"/>
    </row>
    <row r="60" spans="1:7" s="14" customFormat="1" x14ac:dyDescent="0.25">
      <c r="A60" s="13" t="s">
        <v>112</v>
      </c>
      <c r="B60" s="13">
        <f t="shared" si="10"/>
        <v>233</v>
      </c>
      <c r="C60" s="13">
        <f t="shared" si="9"/>
        <v>233</v>
      </c>
      <c r="D60" s="13">
        <v>1</v>
      </c>
      <c r="E60" s="14" t="s">
        <v>65</v>
      </c>
      <c r="F60" s="70"/>
      <c r="G60" s="79"/>
    </row>
    <row r="61" spans="1:7" s="14" customFormat="1" x14ac:dyDescent="0.25">
      <c r="A61" s="13" t="s">
        <v>112</v>
      </c>
      <c r="B61" s="13">
        <f t="shared" si="10"/>
        <v>234</v>
      </c>
      <c r="C61" s="13">
        <f t="shared" si="9"/>
        <v>234</v>
      </c>
      <c r="D61" s="13">
        <v>1</v>
      </c>
      <c r="E61" s="14" t="s">
        <v>66</v>
      </c>
      <c r="F61" s="70"/>
      <c r="G61" s="79"/>
    </row>
    <row r="62" spans="1:7" s="14" customFormat="1" x14ac:dyDescent="0.25">
      <c r="A62" s="13" t="s">
        <v>112</v>
      </c>
      <c r="B62" s="13">
        <f t="shared" si="10"/>
        <v>235</v>
      </c>
      <c r="C62" s="13">
        <f t="shared" si="9"/>
        <v>235</v>
      </c>
      <c r="D62" s="13">
        <v>1</v>
      </c>
      <c r="E62" s="14" t="s">
        <v>67</v>
      </c>
      <c r="F62" s="70"/>
      <c r="G62" s="79"/>
    </row>
    <row r="63" spans="1:7" s="14" customFormat="1" x14ac:dyDescent="0.25">
      <c r="A63" s="13" t="s">
        <v>112</v>
      </c>
      <c r="B63" s="13">
        <f t="shared" si="10"/>
        <v>236</v>
      </c>
      <c r="C63" s="13">
        <f t="shared" si="9"/>
        <v>236</v>
      </c>
      <c r="D63" s="13">
        <v>1</v>
      </c>
      <c r="E63" s="14" t="s">
        <v>68</v>
      </c>
      <c r="F63" s="70"/>
      <c r="G63" s="79"/>
    </row>
    <row r="64" spans="1:7" s="14" customFormat="1" x14ac:dyDescent="0.25">
      <c r="A64" s="13" t="s">
        <v>112</v>
      </c>
      <c r="B64" s="13">
        <f t="shared" si="10"/>
        <v>237</v>
      </c>
      <c r="C64" s="13">
        <f t="shared" si="9"/>
        <v>237</v>
      </c>
      <c r="D64" s="13">
        <v>1</v>
      </c>
      <c r="E64" s="14" t="s">
        <v>69</v>
      </c>
      <c r="F64" s="70"/>
      <c r="G64" s="79"/>
    </row>
    <row r="65" spans="1:7" s="14" customFormat="1" x14ac:dyDescent="0.25">
      <c r="A65" s="13" t="s">
        <v>112</v>
      </c>
      <c r="B65" s="13">
        <f t="shared" si="10"/>
        <v>238</v>
      </c>
      <c r="C65" s="13">
        <f t="shared" si="9"/>
        <v>238</v>
      </c>
      <c r="D65" s="13">
        <v>1</v>
      </c>
      <c r="E65" s="14" t="s">
        <v>70</v>
      </c>
      <c r="F65" s="70"/>
      <c r="G65" s="79"/>
    </row>
    <row r="66" spans="1:7" s="14" customFormat="1" x14ac:dyDescent="0.25">
      <c r="A66" s="13" t="s">
        <v>112</v>
      </c>
      <c r="B66" s="13">
        <f t="shared" si="10"/>
        <v>239</v>
      </c>
      <c r="C66" s="13">
        <f t="shared" si="9"/>
        <v>239</v>
      </c>
      <c r="D66" s="13">
        <v>1</v>
      </c>
      <c r="E66" s="14" t="s">
        <v>71</v>
      </c>
      <c r="F66" s="70"/>
      <c r="G66" s="79"/>
    </row>
    <row r="67" spans="1:7" s="14" customFormat="1" x14ac:dyDescent="0.25">
      <c r="A67" s="13" t="s">
        <v>112</v>
      </c>
      <c r="B67" s="13">
        <f t="shared" si="10"/>
        <v>240</v>
      </c>
      <c r="C67" s="13">
        <f t="shared" si="9"/>
        <v>240</v>
      </c>
      <c r="D67" s="13">
        <v>1</v>
      </c>
      <c r="E67" s="14" t="s">
        <v>72</v>
      </c>
      <c r="F67" s="70"/>
      <c r="G67" s="79"/>
    </row>
    <row r="68" spans="1:7" s="14" customFormat="1" x14ac:dyDescent="0.25">
      <c r="A68" s="46"/>
      <c r="B68" s="13">
        <f>B67+D67</f>
        <v>241</v>
      </c>
      <c r="C68" s="13">
        <f t="shared" si="9"/>
        <v>245</v>
      </c>
      <c r="D68" s="13">
        <v>5</v>
      </c>
      <c r="E68" s="19" t="s">
        <v>13</v>
      </c>
      <c r="F68" s="51"/>
      <c r="G68" s="51"/>
    </row>
    <row r="69" spans="1:7" s="14" customFormat="1" ht="66" x14ac:dyDescent="0.25">
      <c r="A69" s="13"/>
      <c r="B69" s="13">
        <f t="shared" si="10"/>
        <v>246</v>
      </c>
      <c r="C69" s="13">
        <f t="shared" si="9"/>
        <v>248</v>
      </c>
      <c r="D69" s="13">
        <v>3</v>
      </c>
      <c r="E69" s="20" t="s">
        <v>0</v>
      </c>
      <c r="F69" s="51" t="s">
        <v>185</v>
      </c>
      <c r="G69" s="53" t="s">
        <v>195</v>
      </c>
    </row>
    <row r="70" spans="1:7" s="14" customFormat="1" x14ac:dyDescent="0.25">
      <c r="A70" s="13"/>
      <c r="B70" s="13">
        <f>B69+D69</f>
        <v>249</v>
      </c>
      <c r="C70" s="13">
        <f t="shared" si="9"/>
        <v>288</v>
      </c>
      <c r="D70" s="13">
        <v>40</v>
      </c>
      <c r="E70" s="19" t="s">
        <v>13</v>
      </c>
      <c r="F70" s="53"/>
      <c r="G70" s="62"/>
    </row>
    <row r="71" spans="1:7" s="14" customFormat="1" ht="48.75" customHeight="1" x14ac:dyDescent="0.25">
      <c r="A71" s="13"/>
      <c r="B71" s="13">
        <f t="shared" si="10"/>
        <v>289</v>
      </c>
      <c r="C71" s="13">
        <f t="shared" si="9"/>
        <v>298</v>
      </c>
      <c r="D71" s="13">
        <v>10</v>
      </c>
      <c r="E71" s="14" t="s">
        <v>37</v>
      </c>
      <c r="F71" s="52" t="s">
        <v>186</v>
      </c>
      <c r="G71" s="62" t="s">
        <v>195</v>
      </c>
    </row>
    <row r="72" spans="1:7" s="14" customFormat="1" ht="92.4" x14ac:dyDescent="0.25">
      <c r="A72" s="13"/>
      <c r="B72" s="13">
        <f t="shared" si="10"/>
        <v>299</v>
      </c>
      <c r="C72" s="13">
        <f>B72+D72-1</f>
        <v>300</v>
      </c>
      <c r="D72" s="13">
        <v>2</v>
      </c>
      <c r="E72" s="61" t="s">
        <v>38</v>
      </c>
      <c r="F72" s="52" t="s">
        <v>187</v>
      </c>
      <c r="G72" s="51" t="s">
        <v>196</v>
      </c>
    </row>
    <row r="73" spans="1:7" s="14" customFormat="1" x14ac:dyDescent="0.25">
      <c r="A73" s="13"/>
      <c r="B73" s="13">
        <f t="shared" si="10"/>
        <v>301</v>
      </c>
      <c r="C73" s="13">
        <f t="shared" si="9"/>
        <v>306</v>
      </c>
      <c r="D73" s="13">
        <v>6</v>
      </c>
      <c r="E73" s="64" t="s">
        <v>13</v>
      </c>
      <c r="F73" s="51"/>
      <c r="G73" s="51"/>
    </row>
    <row r="74" spans="1:7" s="57" customFormat="1" x14ac:dyDescent="0.25">
      <c r="A74" s="58"/>
      <c r="B74" s="4"/>
      <c r="C74" s="4"/>
      <c r="E74" s="59" t="s">
        <v>22</v>
      </c>
      <c r="F74" s="54"/>
    </row>
    <row r="75" spans="1:7" s="16" customFormat="1" ht="250.8" x14ac:dyDescent="0.25">
      <c r="A75" s="58" t="s">
        <v>112</v>
      </c>
      <c r="B75" s="13">
        <f>B73+D73</f>
        <v>307</v>
      </c>
      <c r="C75" s="13">
        <f>B75+D75-1</f>
        <v>308</v>
      </c>
      <c r="D75" s="13">
        <v>2</v>
      </c>
      <c r="E75" s="7" t="s">
        <v>243</v>
      </c>
      <c r="F75" s="51" t="s">
        <v>193</v>
      </c>
      <c r="G75" s="51" t="s">
        <v>284</v>
      </c>
    </row>
    <row r="76" spans="1:7" s="16" customFormat="1" x14ac:dyDescent="0.25">
      <c r="A76" s="13"/>
      <c r="B76" s="13">
        <f>B75+D75</f>
        <v>309</v>
      </c>
      <c r="C76" s="13">
        <f>B76+D76-1</f>
        <v>313</v>
      </c>
      <c r="D76" s="13">
        <v>5</v>
      </c>
      <c r="E76" s="18" t="s">
        <v>13</v>
      </c>
      <c r="F76" s="53"/>
      <c r="G76" s="51"/>
    </row>
    <row r="77" spans="1:7" s="16" customFormat="1" ht="105.6" x14ac:dyDescent="0.25">
      <c r="A77" s="13"/>
      <c r="B77" s="13">
        <f>B76+D76</f>
        <v>314</v>
      </c>
      <c r="C77" s="13">
        <f t="shared" ref="C77:C85" si="11">B77+D77-1</f>
        <v>315</v>
      </c>
      <c r="D77" s="13">
        <v>2</v>
      </c>
      <c r="E77" s="61" t="s">
        <v>188</v>
      </c>
      <c r="F77" s="53" t="s">
        <v>135</v>
      </c>
      <c r="G77" s="51" t="s">
        <v>285</v>
      </c>
    </row>
    <row r="78" spans="1:7" s="14" customFormat="1" x14ac:dyDescent="0.25">
      <c r="A78" s="13"/>
      <c r="B78" s="13">
        <f>B77+D77</f>
        <v>316</v>
      </c>
      <c r="C78" s="13">
        <f t="shared" si="11"/>
        <v>322</v>
      </c>
      <c r="D78" s="13">
        <v>7</v>
      </c>
      <c r="E78" s="14" t="s">
        <v>13</v>
      </c>
      <c r="F78" s="53"/>
      <c r="G78" s="62"/>
    </row>
    <row r="79" spans="1:7" s="16" customFormat="1" ht="66.75" customHeight="1" x14ac:dyDescent="0.25">
      <c r="A79" s="58" t="s">
        <v>219</v>
      </c>
      <c r="B79" s="13">
        <f t="shared" ref="B79:B84" si="12">B78+D78</f>
        <v>323</v>
      </c>
      <c r="C79" s="13">
        <f t="shared" si="11"/>
        <v>323</v>
      </c>
      <c r="D79" s="13">
        <v>1</v>
      </c>
      <c r="E79" s="14" t="s">
        <v>34</v>
      </c>
      <c r="F79" s="53" t="s">
        <v>25</v>
      </c>
      <c r="G79" s="51" t="s">
        <v>286</v>
      </c>
    </row>
    <row r="80" spans="1:7" s="14" customFormat="1" x14ac:dyDescent="0.25">
      <c r="A80" s="13"/>
      <c r="B80" s="13">
        <f t="shared" si="12"/>
        <v>324</v>
      </c>
      <c r="C80" s="13">
        <f t="shared" si="11"/>
        <v>324</v>
      </c>
      <c r="D80" s="13">
        <v>1</v>
      </c>
      <c r="E80" s="14" t="s">
        <v>13</v>
      </c>
      <c r="F80" s="53"/>
      <c r="G80" s="62"/>
    </row>
    <row r="81" spans="1:7" s="16" customFormat="1" ht="66.75" customHeight="1" x14ac:dyDescent="0.25">
      <c r="A81" s="58" t="s">
        <v>112</v>
      </c>
      <c r="B81" s="13">
        <f t="shared" si="12"/>
        <v>325</v>
      </c>
      <c r="C81" s="13">
        <f t="shared" si="11"/>
        <v>325</v>
      </c>
      <c r="D81" s="13">
        <v>1</v>
      </c>
      <c r="E81" s="14" t="s">
        <v>31</v>
      </c>
      <c r="F81" s="53" t="s">
        <v>10</v>
      </c>
      <c r="G81" s="42" t="s">
        <v>287</v>
      </c>
    </row>
    <row r="82" spans="1:7" s="16" customFormat="1" x14ac:dyDescent="0.25">
      <c r="A82" s="13"/>
      <c r="B82" s="13">
        <f t="shared" si="12"/>
        <v>326</v>
      </c>
      <c r="C82" s="13">
        <f t="shared" si="11"/>
        <v>326</v>
      </c>
      <c r="D82" s="13">
        <v>1</v>
      </c>
      <c r="E82" s="14" t="s">
        <v>13</v>
      </c>
      <c r="F82" s="53"/>
      <c r="G82" s="62"/>
    </row>
    <row r="83" spans="1:7" s="16" customFormat="1" ht="70.5" customHeight="1" x14ac:dyDescent="0.25">
      <c r="A83" s="58" t="s">
        <v>112</v>
      </c>
      <c r="B83" s="13">
        <f t="shared" si="12"/>
        <v>327</v>
      </c>
      <c r="C83" s="13">
        <f t="shared" si="11"/>
        <v>327</v>
      </c>
      <c r="D83" s="13">
        <v>1</v>
      </c>
      <c r="E83" s="14" t="s">
        <v>33</v>
      </c>
      <c r="F83" s="53" t="s">
        <v>11</v>
      </c>
      <c r="G83" s="42" t="s">
        <v>261</v>
      </c>
    </row>
    <row r="84" spans="1:7" s="14" customFormat="1" ht="66" x14ac:dyDescent="0.25">
      <c r="A84" s="58" t="s">
        <v>112</v>
      </c>
      <c r="B84" s="13">
        <f t="shared" si="12"/>
        <v>328</v>
      </c>
      <c r="C84" s="13">
        <f t="shared" si="11"/>
        <v>328</v>
      </c>
      <c r="D84" s="13">
        <v>1</v>
      </c>
      <c r="E84" s="61" t="s">
        <v>124</v>
      </c>
      <c r="F84" s="51" t="s">
        <v>36</v>
      </c>
      <c r="G84" s="42" t="s">
        <v>247</v>
      </c>
    </row>
    <row r="85" spans="1:7" s="14" customFormat="1" ht="67.5" customHeight="1" x14ac:dyDescent="0.25">
      <c r="A85" s="58" t="s">
        <v>112</v>
      </c>
      <c r="B85" s="13">
        <f>B84+D84</f>
        <v>329</v>
      </c>
      <c r="C85" s="13">
        <f t="shared" si="11"/>
        <v>329</v>
      </c>
      <c r="D85" s="13">
        <v>1</v>
      </c>
      <c r="E85" s="14" t="s">
        <v>32</v>
      </c>
      <c r="F85" s="53" t="s">
        <v>9</v>
      </c>
      <c r="G85" s="42" t="s">
        <v>262</v>
      </c>
    </row>
    <row r="86" spans="1:7" s="14" customFormat="1" x14ac:dyDescent="0.25">
      <c r="A86" s="13"/>
      <c r="B86" s="13">
        <f>B85+D85</f>
        <v>330</v>
      </c>
      <c r="C86" s="13">
        <f t="shared" ref="C86" si="13">B86+D86-1</f>
        <v>1502</v>
      </c>
      <c r="D86" s="13">
        <v>1173</v>
      </c>
      <c r="E86" s="14" t="s">
        <v>13</v>
      </c>
      <c r="F86" s="40"/>
      <c r="G86" s="51"/>
    </row>
    <row r="87" spans="1:7" s="14" customFormat="1" x14ac:dyDescent="0.25">
      <c r="A87" s="13"/>
      <c r="E87" s="3" t="s">
        <v>15</v>
      </c>
      <c r="F87" s="40"/>
      <c r="G87" s="51" t="s">
        <v>28</v>
      </c>
    </row>
    <row r="88" spans="1:7" s="14" customFormat="1" ht="105.6" x14ac:dyDescent="0.25">
      <c r="A88" s="48" t="s">
        <v>182</v>
      </c>
      <c r="B88" s="13">
        <f>B86+D86</f>
        <v>1503</v>
      </c>
      <c r="C88" s="13">
        <f t="shared" ref="C88:C91" si="14">B88+D88-1</f>
        <v>1507</v>
      </c>
      <c r="D88" s="13">
        <v>5</v>
      </c>
      <c r="E88" s="61" t="s">
        <v>154</v>
      </c>
      <c r="F88" s="51" t="s">
        <v>130</v>
      </c>
      <c r="G88" s="51" t="s">
        <v>288</v>
      </c>
    </row>
    <row r="89" spans="1:7" s="14" customFormat="1" ht="79.2" x14ac:dyDescent="0.25">
      <c r="A89" s="48" t="s">
        <v>180</v>
      </c>
      <c r="B89" s="13">
        <f>B88+D88</f>
        <v>1508</v>
      </c>
      <c r="C89" s="13">
        <f t="shared" si="14"/>
        <v>1510</v>
      </c>
      <c r="D89" s="13">
        <v>3</v>
      </c>
      <c r="E89" s="61" t="s">
        <v>155</v>
      </c>
      <c r="F89" s="51" t="s">
        <v>131</v>
      </c>
      <c r="G89" s="51" t="s">
        <v>289</v>
      </c>
    </row>
    <row r="90" spans="1:7" s="14" customFormat="1" x14ac:dyDescent="0.25">
      <c r="A90" s="48" t="s">
        <v>180</v>
      </c>
      <c r="B90" s="13">
        <f>B89+D89</f>
        <v>1511</v>
      </c>
      <c r="C90" s="13">
        <f t="shared" si="14"/>
        <v>1519</v>
      </c>
      <c r="D90" s="13">
        <v>9</v>
      </c>
      <c r="E90" s="61" t="s">
        <v>13</v>
      </c>
      <c r="F90" s="51"/>
      <c r="G90" s="51"/>
    </row>
    <row r="91" spans="1:7" s="14" customFormat="1" ht="79.2" x14ac:dyDescent="0.25">
      <c r="A91" s="48" t="s">
        <v>180</v>
      </c>
      <c r="B91" s="13">
        <f>B90+D90</f>
        <v>1520</v>
      </c>
      <c r="C91" s="13">
        <f t="shared" si="14"/>
        <v>1522</v>
      </c>
      <c r="D91" s="13">
        <v>3</v>
      </c>
      <c r="E91" s="61" t="s">
        <v>156</v>
      </c>
      <c r="F91" s="51" t="s">
        <v>136</v>
      </c>
      <c r="G91" s="51" t="s">
        <v>290</v>
      </c>
    </row>
    <row r="92" spans="1:7" s="14" customFormat="1" x14ac:dyDescent="0.25">
      <c r="A92" s="13"/>
      <c r="B92" s="13"/>
      <c r="C92" s="13"/>
      <c r="D92" s="13"/>
      <c r="E92" s="3" t="s">
        <v>121</v>
      </c>
      <c r="F92" s="21"/>
      <c r="G92" s="53" t="s">
        <v>28</v>
      </c>
    </row>
    <row r="93" spans="1:7" s="14" customFormat="1" x14ac:dyDescent="0.25">
      <c r="A93" s="48" t="s">
        <v>182</v>
      </c>
      <c r="B93" s="13">
        <f>B91+D91</f>
        <v>1523</v>
      </c>
      <c r="C93" s="13">
        <f>B93+D93-1</f>
        <v>1526</v>
      </c>
      <c r="D93" s="13">
        <v>4</v>
      </c>
      <c r="E93" s="18" t="s">
        <v>76</v>
      </c>
      <c r="F93" s="67" t="s">
        <v>116</v>
      </c>
      <c r="G93" s="67" t="s">
        <v>200</v>
      </c>
    </row>
    <row r="94" spans="1:7" s="14" customFormat="1" x14ac:dyDescent="0.25">
      <c r="A94" s="48" t="s">
        <v>182</v>
      </c>
      <c r="B94" s="13">
        <f>B93+D93</f>
        <v>1527</v>
      </c>
      <c r="C94" s="13">
        <f t="shared" ref="C94:C103" si="15">B94+D94-1</f>
        <v>1530</v>
      </c>
      <c r="D94" s="13">
        <v>4</v>
      </c>
      <c r="E94" s="7" t="s">
        <v>210</v>
      </c>
      <c r="F94" s="67"/>
      <c r="G94" s="67"/>
    </row>
    <row r="95" spans="1:7" s="14" customFormat="1" x14ac:dyDescent="0.25">
      <c r="A95" s="48" t="s">
        <v>182</v>
      </c>
      <c r="B95" s="13">
        <f t="shared" ref="B95:B104" si="16">B94+D94</f>
        <v>1531</v>
      </c>
      <c r="C95" s="13">
        <f t="shared" si="15"/>
        <v>1534</v>
      </c>
      <c r="D95" s="13">
        <v>4</v>
      </c>
      <c r="E95" s="18" t="s">
        <v>77</v>
      </c>
      <c r="F95" s="67"/>
      <c r="G95" s="67"/>
    </row>
    <row r="96" spans="1:7" s="14" customFormat="1" x14ac:dyDescent="0.25">
      <c r="A96" s="48" t="s">
        <v>182</v>
      </c>
      <c r="B96" s="13">
        <f t="shared" si="16"/>
        <v>1535</v>
      </c>
      <c r="C96" s="13">
        <f t="shared" si="15"/>
        <v>1538</v>
      </c>
      <c r="D96" s="13">
        <v>4</v>
      </c>
      <c r="E96" s="18" t="s">
        <v>78</v>
      </c>
      <c r="F96" s="67"/>
      <c r="G96" s="67"/>
    </row>
    <row r="97" spans="1:7" s="14" customFormat="1" x14ac:dyDescent="0.25">
      <c r="A97" s="48" t="s">
        <v>182</v>
      </c>
      <c r="B97" s="13">
        <f t="shared" si="16"/>
        <v>1539</v>
      </c>
      <c r="C97" s="13">
        <f t="shared" si="15"/>
        <v>1542</v>
      </c>
      <c r="D97" s="13">
        <v>4</v>
      </c>
      <c r="E97" s="7" t="s">
        <v>207</v>
      </c>
      <c r="F97" s="67"/>
      <c r="G97" s="67"/>
    </row>
    <row r="98" spans="1:7" s="14" customFormat="1" x14ac:dyDescent="0.25">
      <c r="A98" s="48" t="s">
        <v>182</v>
      </c>
      <c r="B98" s="13">
        <f t="shared" si="16"/>
        <v>1543</v>
      </c>
      <c r="C98" s="13">
        <f t="shared" si="15"/>
        <v>1546</v>
      </c>
      <c r="D98" s="13">
        <v>4</v>
      </c>
      <c r="E98" s="7" t="s">
        <v>208</v>
      </c>
      <c r="F98" s="67"/>
      <c r="G98" s="67"/>
    </row>
    <row r="99" spans="1:7" s="14" customFormat="1" x14ac:dyDescent="0.25">
      <c r="A99" s="48" t="s">
        <v>182</v>
      </c>
      <c r="B99" s="13">
        <f t="shared" si="16"/>
        <v>1547</v>
      </c>
      <c r="C99" s="13">
        <f t="shared" si="15"/>
        <v>1550</v>
      </c>
      <c r="D99" s="13">
        <v>4</v>
      </c>
      <c r="E99" s="7" t="s">
        <v>209</v>
      </c>
      <c r="F99" s="67"/>
      <c r="G99" s="67"/>
    </row>
    <row r="100" spans="1:7" s="14" customFormat="1" x14ac:dyDescent="0.25">
      <c r="A100" s="13"/>
      <c r="B100" s="13">
        <f t="shared" si="16"/>
        <v>1551</v>
      </c>
      <c r="C100" s="13">
        <f t="shared" si="15"/>
        <v>1578</v>
      </c>
      <c r="D100" s="13">
        <v>28</v>
      </c>
      <c r="E100" s="19" t="s">
        <v>13</v>
      </c>
      <c r="F100" s="51"/>
      <c r="G100" s="51"/>
    </row>
    <row r="101" spans="1:7" s="14" customFormat="1" x14ac:dyDescent="0.25">
      <c r="A101" s="13"/>
      <c r="B101" s="13"/>
      <c r="C101" s="13"/>
      <c r="D101" s="13"/>
      <c r="E101" s="3" t="s">
        <v>74</v>
      </c>
      <c r="F101" s="51"/>
      <c r="G101" s="62"/>
    </row>
    <row r="102" spans="1:7" s="14" customFormat="1" x14ac:dyDescent="0.25">
      <c r="A102" s="13"/>
      <c r="B102" s="13"/>
      <c r="C102" s="13"/>
      <c r="D102" s="13"/>
      <c r="E102" s="3" t="s">
        <v>75</v>
      </c>
      <c r="F102" s="51"/>
      <c r="G102" s="62"/>
    </row>
    <row r="103" spans="1:7" s="14" customFormat="1" x14ac:dyDescent="0.25">
      <c r="A103" s="48" t="s">
        <v>182</v>
      </c>
      <c r="B103" s="13">
        <f>B100+D100</f>
        <v>1579</v>
      </c>
      <c r="C103" s="13">
        <f t="shared" si="15"/>
        <v>1582</v>
      </c>
      <c r="D103" s="13">
        <v>4</v>
      </c>
      <c r="E103" s="7" t="s">
        <v>211</v>
      </c>
      <c r="F103" s="67" t="s">
        <v>117</v>
      </c>
      <c r="G103" s="67" t="s">
        <v>197</v>
      </c>
    </row>
    <row r="104" spans="1:7" s="14" customFormat="1" ht="26.4" x14ac:dyDescent="0.25">
      <c r="A104" s="48" t="s">
        <v>182</v>
      </c>
      <c r="B104" s="13">
        <f t="shared" si="16"/>
        <v>1583</v>
      </c>
      <c r="C104" s="13">
        <f>B104+D104-1</f>
        <v>1586</v>
      </c>
      <c r="D104" s="13">
        <v>4</v>
      </c>
      <c r="E104" s="18" t="s">
        <v>79</v>
      </c>
      <c r="F104" s="67"/>
      <c r="G104" s="67"/>
    </row>
    <row r="105" spans="1:7" s="14" customFormat="1" ht="66" x14ac:dyDescent="0.25">
      <c r="A105" s="48" t="s">
        <v>182</v>
      </c>
      <c r="B105" s="13">
        <f>B104+D104</f>
        <v>1587</v>
      </c>
      <c r="C105" s="13">
        <f>B105+D105-1</f>
        <v>1591</v>
      </c>
      <c r="D105" s="13">
        <v>5</v>
      </c>
      <c r="E105" s="14" t="s">
        <v>80</v>
      </c>
      <c r="F105" s="42" t="s">
        <v>137</v>
      </c>
      <c r="G105" s="51" t="s">
        <v>291</v>
      </c>
    </row>
    <row r="106" spans="1:7" s="14" customFormat="1" ht="105.6" x14ac:dyDescent="0.25">
      <c r="A106" s="13" t="s">
        <v>112</v>
      </c>
      <c r="B106" s="13">
        <f>B105+D105</f>
        <v>1592</v>
      </c>
      <c r="C106" s="13">
        <f>B106+D106-1</f>
        <v>1592</v>
      </c>
      <c r="D106" s="13">
        <v>1</v>
      </c>
      <c r="E106" s="61" t="s">
        <v>248</v>
      </c>
      <c r="F106" s="42" t="s">
        <v>292</v>
      </c>
      <c r="G106" s="51" t="s">
        <v>293</v>
      </c>
    </row>
    <row r="107" spans="1:7" s="14" customFormat="1" ht="28.5" customHeight="1" x14ac:dyDescent="0.25">
      <c r="A107" s="13"/>
      <c r="B107" s="13">
        <f>B106+D106</f>
        <v>1593</v>
      </c>
      <c r="C107" s="13">
        <f>B107+D107-1</f>
        <v>1597</v>
      </c>
      <c r="D107" s="13">
        <v>5</v>
      </c>
      <c r="E107" s="19" t="s">
        <v>13</v>
      </c>
      <c r="F107" s="51"/>
      <c r="G107" s="51"/>
    </row>
    <row r="108" spans="1:7" s="14" customFormat="1" ht="21.75" customHeight="1" x14ac:dyDescent="0.25">
      <c r="A108" s="13"/>
      <c r="B108" s="13"/>
      <c r="C108" s="13"/>
      <c r="D108" s="13"/>
      <c r="E108" s="3" t="s">
        <v>81</v>
      </c>
      <c r="F108" s="51"/>
      <c r="G108" s="51"/>
    </row>
    <row r="109" spans="1:7" s="14" customFormat="1" x14ac:dyDescent="0.25">
      <c r="A109" s="48" t="s">
        <v>182</v>
      </c>
      <c r="B109" s="13">
        <f>+B107+D107</f>
        <v>1598</v>
      </c>
      <c r="C109" s="13">
        <f>B109+D109-1</f>
        <v>1601</v>
      </c>
      <c r="D109" s="13">
        <v>4</v>
      </c>
      <c r="E109" s="14" t="s">
        <v>86</v>
      </c>
      <c r="F109" s="67" t="s">
        <v>132</v>
      </c>
      <c r="G109" s="67" t="s">
        <v>197</v>
      </c>
    </row>
    <row r="110" spans="1:7" s="14" customFormat="1" x14ac:dyDescent="0.25">
      <c r="A110" s="48" t="s">
        <v>182</v>
      </c>
      <c r="B110" s="13">
        <f>B109+D109</f>
        <v>1602</v>
      </c>
      <c r="C110" s="13">
        <f>B110+D110-1</f>
        <v>1605</v>
      </c>
      <c r="D110" s="13">
        <v>4</v>
      </c>
      <c r="E110" s="14" t="s">
        <v>87</v>
      </c>
      <c r="F110" s="67"/>
      <c r="G110" s="67"/>
    </row>
    <row r="111" spans="1:7" s="14" customFormat="1" x14ac:dyDescent="0.25">
      <c r="A111" s="48" t="s">
        <v>182</v>
      </c>
      <c r="B111" s="13">
        <f>B110+D110</f>
        <v>1606</v>
      </c>
      <c r="C111" s="13">
        <f>B111+D111-1</f>
        <v>1609</v>
      </c>
      <c r="D111" s="13">
        <v>4</v>
      </c>
      <c r="E111" s="14" t="s">
        <v>88</v>
      </c>
      <c r="F111" s="67"/>
      <c r="G111" s="71"/>
    </row>
    <row r="112" spans="1:7" s="14" customFormat="1" x14ac:dyDescent="0.25">
      <c r="A112" s="48" t="s">
        <v>182</v>
      </c>
      <c r="B112" s="13">
        <f>B111+D111</f>
        <v>1610</v>
      </c>
      <c r="C112" s="13">
        <f>B112+D112-1</f>
        <v>1613</v>
      </c>
      <c r="D112" s="13">
        <v>4</v>
      </c>
      <c r="E112" s="14" t="s">
        <v>89</v>
      </c>
      <c r="F112" s="67"/>
      <c r="G112" s="71"/>
    </row>
    <row r="113" spans="1:7" s="14" customFormat="1" x14ac:dyDescent="0.25">
      <c r="A113" s="13"/>
      <c r="B113" s="13">
        <f>B112+D112</f>
        <v>1614</v>
      </c>
      <c r="C113" s="13">
        <f>B113+D113-1</f>
        <v>1618</v>
      </c>
      <c r="D113" s="13">
        <v>5</v>
      </c>
      <c r="E113" s="19" t="s">
        <v>13</v>
      </c>
      <c r="F113" s="51"/>
      <c r="G113" s="51"/>
    </row>
    <row r="114" spans="1:7" s="14" customFormat="1" x14ac:dyDescent="0.25">
      <c r="A114" s="13"/>
      <c r="B114" s="13"/>
      <c r="C114" s="13"/>
      <c r="D114" s="13"/>
      <c r="E114" s="3" t="s">
        <v>82</v>
      </c>
      <c r="F114" s="51"/>
      <c r="G114" s="51" t="s">
        <v>28</v>
      </c>
    </row>
    <row r="115" spans="1:7" s="14" customFormat="1" ht="39.6" x14ac:dyDescent="0.25">
      <c r="A115" s="58" t="s">
        <v>184</v>
      </c>
      <c r="B115" s="13">
        <f>+B113+D113</f>
        <v>1619</v>
      </c>
      <c r="C115" s="13">
        <f t="shared" ref="C115:C122" si="17">B115+D115-1</f>
        <v>1621</v>
      </c>
      <c r="D115" s="13">
        <v>3</v>
      </c>
      <c r="E115" s="14" t="s">
        <v>83</v>
      </c>
      <c r="F115" s="51" t="s">
        <v>142</v>
      </c>
      <c r="G115" s="51" t="s">
        <v>198</v>
      </c>
    </row>
    <row r="116" spans="1:7" s="14" customFormat="1" ht="52.8" x14ac:dyDescent="0.25">
      <c r="A116" s="58" t="s">
        <v>182</v>
      </c>
      <c r="B116" s="13">
        <f>B115+D115</f>
        <v>1622</v>
      </c>
      <c r="C116" s="13">
        <f t="shared" si="17"/>
        <v>1625</v>
      </c>
      <c r="D116" s="13">
        <v>4</v>
      </c>
      <c r="E116" s="14" t="s">
        <v>84</v>
      </c>
      <c r="F116" s="51" t="s">
        <v>132</v>
      </c>
      <c r="G116" s="51" t="s">
        <v>199</v>
      </c>
    </row>
    <row r="117" spans="1:7" s="14" customFormat="1" x14ac:dyDescent="0.25">
      <c r="A117" s="13"/>
      <c r="B117" s="13">
        <f xml:space="preserve"> B116+D116</f>
        <v>1626</v>
      </c>
      <c r="C117" s="13">
        <f t="shared" si="17"/>
        <v>1630</v>
      </c>
      <c r="D117" s="13">
        <v>5</v>
      </c>
      <c r="E117" s="14" t="s">
        <v>13</v>
      </c>
      <c r="F117" s="51"/>
      <c r="G117" s="51"/>
    </row>
    <row r="118" spans="1:7" s="14" customFormat="1" x14ac:dyDescent="0.25">
      <c r="A118" s="13"/>
      <c r="B118" s="13"/>
      <c r="C118" s="13"/>
      <c r="D118" s="13"/>
      <c r="E118" s="3" t="s">
        <v>85</v>
      </c>
      <c r="F118" s="51"/>
      <c r="G118" s="51" t="s">
        <v>28</v>
      </c>
    </row>
    <row r="119" spans="1:7" s="14" customFormat="1" ht="39.6" x14ac:dyDescent="0.25">
      <c r="A119" s="48" t="s">
        <v>180</v>
      </c>
      <c r="B119" s="13">
        <f xml:space="preserve"> B117+D117</f>
        <v>1631</v>
      </c>
      <c r="C119" s="13">
        <f>B119+D119-1</f>
        <v>1634</v>
      </c>
      <c r="D119" s="13">
        <v>4</v>
      </c>
      <c r="E119" s="61" t="s">
        <v>178</v>
      </c>
      <c r="F119" s="51" t="s">
        <v>132</v>
      </c>
      <c r="G119" s="51" t="s">
        <v>294</v>
      </c>
    </row>
    <row r="120" spans="1:7" s="14" customFormat="1" ht="26.4" x14ac:dyDescent="0.25">
      <c r="A120" s="48" t="s">
        <v>180</v>
      </c>
      <c r="B120" s="13">
        <f xml:space="preserve"> B119+D119</f>
        <v>1635</v>
      </c>
      <c r="C120" s="13">
        <f>B120+D120-1</f>
        <v>1637</v>
      </c>
      <c r="D120" s="13">
        <v>3</v>
      </c>
      <c r="E120" s="61" t="s">
        <v>157</v>
      </c>
      <c r="F120" s="51" t="s">
        <v>26</v>
      </c>
      <c r="G120" s="51" t="s">
        <v>274</v>
      </c>
    </row>
    <row r="121" spans="1:7" s="14" customFormat="1" ht="52.8" x14ac:dyDescent="0.25">
      <c r="A121" s="48" t="s">
        <v>180</v>
      </c>
      <c r="B121" s="13">
        <f xml:space="preserve"> B120+D120</f>
        <v>1638</v>
      </c>
      <c r="C121" s="13">
        <f>B121+D121-1</f>
        <v>1640</v>
      </c>
      <c r="D121" s="13">
        <v>3</v>
      </c>
      <c r="E121" s="61" t="s">
        <v>158</v>
      </c>
      <c r="F121" s="51" t="s">
        <v>27</v>
      </c>
      <c r="G121" s="51" t="s">
        <v>274</v>
      </c>
    </row>
    <row r="122" spans="1:7" s="14" customFormat="1" x14ac:dyDescent="0.25">
      <c r="A122" s="13"/>
      <c r="B122" s="13">
        <f>B121+D121</f>
        <v>1641</v>
      </c>
      <c r="C122" s="13">
        <f t="shared" si="17"/>
        <v>1681</v>
      </c>
      <c r="D122" s="13">
        <v>41</v>
      </c>
      <c r="E122" s="14" t="s">
        <v>13</v>
      </c>
      <c r="F122" s="51"/>
      <c r="G122" s="51"/>
    </row>
    <row r="123" spans="1:7" s="14" customFormat="1" x14ac:dyDescent="0.25">
      <c r="A123" s="13"/>
      <c r="B123" s="13"/>
      <c r="C123" s="13"/>
      <c r="D123" s="13"/>
      <c r="E123" s="3" t="s">
        <v>16</v>
      </c>
      <c r="F123" s="34"/>
      <c r="G123" s="51" t="s">
        <v>28</v>
      </c>
    </row>
    <row r="124" spans="1:7" s="14" customFormat="1" ht="105.6" x14ac:dyDescent="0.25">
      <c r="A124" s="48" t="s">
        <v>182</v>
      </c>
      <c r="B124" s="13">
        <f>+B122+D122</f>
        <v>1682</v>
      </c>
      <c r="C124" s="13">
        <f t="shared" ref="C124:C127" si="18">B124+D124-1</f>
        <v>1686</v>
      </c>
      <c r="D124" s="13">
        <v>5</v>
      </c>
      <c r="E124" s="61" t="s">
        <v>159</v>
      </c>
      <c r="F124" s="51" t="s">
        <v>130</v>
      </c>
      <c r="G124" s="51" t="s">
        <v>296</v>
      </c>
    </row>
    <row r="125" spans="1:7" s="14" customFormat="1" ht="52.8" x14ac:dyDescent="0.25">
      <c r="A125" s="48" t="s">
        <v>180</v>
      </c>
      <c r="B125" s="13">
        <f>B124+D124</f>
        <v>1687</v>
      </c>
      <c r="C125" s="13">
        <f t="shared" si="18"/>
        <v>1689</v>
      </c>
      <c r="D125" s="13">
        <v>3</v>
      </c>
      <c r="E125" s="61" t="s">
        <v>160</v>
      </c>
      <c r="F125" s="51" t="s">
        <v>131</v>
      </c>
      <c r="G125" s="51" t="s">
        <v>297</v>
      </c>
    </row>
    <row r="126" spans="1:7" s="14" customFormat="1" x14ac:dyDescent="0.25">
      <c r="A126" s="48" t="s">
        <v>180</v>
      </c>
      <c r="B126" s="13">
        <f>B125+D125</f>
        <v>1690</v>
      </c>
      <c r="C126" s="13">
        <f t="shared" si="18"/>
        <v>1698</v>
      </c>
      <c r="D126" s="13">
        <v>9</v>
      </c>
      <c r="E126" s="61" t="s">
        <v>13</v>
      </c>
      <c r="F126" s="51"/>
      <c r="G126" s="51"/>
    </row>
    <row r="127" spans="1:7" s="14" customFormat="1" ht="109.5" customHeight="1" x14ac:dyDescent="0.25">
      <c r="A127" s="48" t="s">
        <v>180</v>
      </c>
      <c r="B127" s="13">
        <f>B126+D126</f>
        <v>1699</v>
      </c>
      <c r="C127" s="13">
        <f t="shared" si="18"/>
        <v>1701</v>
      </c>
      <c r="D127" s="13">
        <v>3</v>
      </c>
      <c r="E127" s="61" t="s">
        <v>161</v>
      </c>
      <c r="F127" s="51" t="s">
        <v>136</v>
      </c>
      <c r="G127" s="51" t="s">
        <v>298</v>
      </c>
    </row>
    <row r="128" spans="1:7" s="14" customFormat="1" x14ac:dyDescent="0.25">
      <c r="A128" s="13"/>
      <c r="B128" s="13"/>
      <c r="C128" s="13"/>
      <c r="D128" s="13"/>
      <c r="E128" s="3" t="s">
        <v>295</v>
      </c>
      <c r="F128" s="53"/>
      <c r="G128" s="51" t="s">
        <v>28</v>
      </c>
    </row>
    <row r="129" spans="1:7" s="14" customFormat="1" ht="13.5" customHeight="1" x14ac:dyDescent="0.25">
      <c r="A129" s="48" t="s">
        <v>182</v>
      </c>
      <c r="B129" s="13">
        <f>+B127+D127</f>
        <v>1702</v>
      </c>
      <c r="C129" s="13">
        <f t="shared" ref="C129:C136" si="19">B129+D129-1</f>
        <v>1705</v>
      </c>
      <c r="D129" s="13">
        <v>4</v>
      </c>
      <c r="E129" s="7" t="s">
        <v>267</v>
      </c>
      <c r="F129" s="67" t="s">
        <v>132</v>
      </c>
      <c r="G129" s="67" t="s">
        <v>271</v>
      </c>
    </row>
    <row r="130" spans="1:7" s="14" customFormat="1" ht="13.5" customHeight="1" x14ac:dyDescent="0.25">
      <c r="A130" s="48" t="s">
        <v>182</v>
      </c>
      <c r="B130" s="13">
        <f t="shared" ref="B130:B136" si="20">B129+D129</f>
        <v>1706</v>
      </c>
      <c r="C130" s="13">
        <f t="shared" si="19"/>
        <v>1709</v>
      </c>
      <c r="D130" s="13">
        <v>4</v>
      </c>
      <c r="E130" s="7" t="s">
        <v>270</v>
      </c>
      <c r="F130" s="67"/>
      <c r="G130" s="67"/>
    </row>
    <row r="131" spans="1:7" s="14" customFormat="1" ht="13.5" customHeight="1" x14ac:dyDescent="0.25">
      <c r="A131" s="48" t="s">
        <v>182</v>
      </c>
      <c r="B131" s="13">
        <f t="shared" si="20"/>
        <v>1710</v>
      </c>
      <c r="C131" s="13">
        <f t="shared" si="19"/>
        <v>1713</v>
      </c>
      <c r="D131" s="13">
        <v>4</v>
      </c>
      <c r="E131" s="7" t="s">
        <v>264</v>
      </c>
      <c r="F131" s="67"/>
      <c r="G131" s="67"/>
    </row>
    <row r="132" spans="1:7" s="14" customFormat="1" ht="13.5" customHeight="1" x14ac:dyDescent="0.25">
      <c r="A132" s="48" t="s">
        <v>182</v>
      </c>
      <c r="B132" s="13">
        <f t="shared" si="20"/>
        <v>1714</v>
      </c>
      <c r="C132" s="13">
        <f t="shared" si="19"/>
        <v>1717</v>
      </c>
      <c r="D132" s="13">
        <v>4</v>
      </c>
      <c r="E132" s="49" t="s">
        <v>265</v>
      </c>
      <c r="F132" s="67"/>
      <c r="G132" s="67"/>
    </row>
    <row r="133" spans="1:7" s="14" customFormat="1" ht="13.5" customHeight="1" x14ac:dyDescent="0.25">
      <c r="A133" s="48" t="s">
        <v>182</v>
      </c>
      <c r="B133" s="13">
        <f t="shared" si="20"/>
        <v>1718</v>
      </c>
      <c r="C133" s="13">
        <f t="shared" si="19"/>
        <v>1721</v>
      </c>
      <c r="D133" s="13">
        <v>4</v>
      </c>
      <c r="E133" s="7" t="s">
        <v>266</v>
      </c>
      <c r="F133" s="67"/>
      <c r="G133" s="67"/>
    </row>
    <row r="134" spans="1:7" s="14" customFormat="1" ht="13.5" customHeight="1" x14ac:dyDescent="0.25">
      <c r="A134" s="48" t="s">
        <v>182</v>
      </c>
      <c r="B134" s="13">
        <f t="shared" si="20"/>
        <v>1722</v>
      </c>
      <c r="C134" s="13">
        <f t="shared" si="19"/>
        <v>1725</v>
      </c>
      <c r="D134" s="13">
        <v>4</v>
      </c>
      <c r="E134" s="7" t="s">
        <v>269</v>
      </c>
      <c r="F134" s="67"/>
      <c r="G134" s="67"/>
    </row>
    <row r="135" spans="1:7" s="14" customFormat="1" ht="13.5" customHeight="1" x14ac:dyDescent="0.25">
      <c r="A135" s="48" t="s">
        <v>182</v>
      </c>
      <c r="B135" s="13">
        <f t="shared" si="20"/>
        <v>1726</v>
      </c>
      <c r="C135" s="13">
        <f t="shared" si="19"/>
        <v>1729</v>
      </c>
      <c r="D135" s="13">
        <v>4</v>
      </c>
      <c r="E135" s="61" t="s">
        <v>268</v>
      </c>
      <c r="F135" s="67"/>
      <c r="G135" s="67"/>
    </row>
    <row r="136" spans="1:7" s="14" customFormat="1" x14ac:dyDescent="0.25">
      <c r="A136" s="13"/>
      <c r="B136" s="13">
        <f t="shared" si="20"/>
        <v>1730</v>
      </c>
      <c r="C136" s="13">
        <f t="shared" si="19"/>
        <v>1730</v>
      </c>
      <c r="D136" s="13">
        <v>1</v>
      </c>
      <c r="E136" s="19" t="s">
        <v>13</v>
      </c>
      <c r="F136" s="53"/>
      <c r="G136" s="51"/>
    </row>
    <row r="137" spans="1:7" s="14" customFormat="1" x14ac:dyDescent="0.25">
      <c r="A137" s="13"/>
      <c r="B137" s="13"/>
      <c r="C137" s="13"/>
      <c r="D137" s="13"/>
      <c r="E137" s="3" t="s">
        <v>74</v>
      </c>
      <c r="F137" s="53"/>
      <c r="G137" s="51" t="s">
        <v>28</v>
      </c>
    </row>
    <row r="138" spans="1:7" s="14" customFormat="1" ht="23.25" customHeight="1" x14ac:dyDescent="0.25">
      <c r="A138" s="48" t="s">
        <v>184</v>
      </c>
      <c r="B138" s="13">
        <f>+B136+D136</f>
        <v>1731</v>
      </c>
      <c r="C138" s="13">
        <f>B138+D138-1</f>
        <v>1734</v>
      </c>
      <c r="D138" s="13">
        <v>4</v>
      </c>
      <c r="E138" s="18" t="s">
        <v>90</v>
      </c>
      <c r="F138" s="67" t="s">
        <v>132</v>
      </c>
      <c r="G138" s="67" t="s">
        <v>251</v>
      </c>
    </row>
    <row r="139" spans="1:7" s="14" customFormat="1" ht="23.25" customHeight="1" x14ac:dyDescent="0.25">
      <c r="A139" s="48" t="s">
        <v>182</v>
      </c>
      <c r="B139" s="13">
        <f>B138+D138</f>
        <v>1735</v>
      </c>
      <c r="C139" s="13">
        <f>B139+D139-1</f>
        <v>1738</v>
      </c>
      <c r="D139" s="13">
        <v>4</v>
      </c>
      <c r="E139" s="7" t="s">
        <v>212</v>
      </c>
      <c r="F139" s="70"/>
      <c r="G139" s="71"/>
    </row>
    <row r="140" spans="1:7" s="14" customFormat="1" x14ac:dyDescent="0.25">
      <c r="A140" s="13"/>
      <c r="B140" s="13">
        <f>B139+D139</f>
        <v>1739</v>
      </c>
      <c r="C140" s="13">
        <f>B140+D140-1</f>
        <v>1749</v>
      </c>
      <c r="D140" s="13">
        <v>11</v>
      </c>
      <c r="E140" s="19" t="s">
        <v>13</v>
      </c>
      <c r="F140" s="53"/>
      <c r="G140" s="51"/>
    </row>
    <row r="141" spans="1:7" s="14" customFormat="1" x14ac:dyDescent="0.25">
      <c r="A141" s="13"/>
      <c r="B141" s="13"/>
      <c r="C141" s="13"/>
      <c r="D141" s="13"/>
      <c r="E141" s="3" t="s">
        <v>17</v>
      </c>
      <c r="F141" s="21"/>
      <c r="G141" s="51" t="s">
        <v>120</v>
      </c>
    </row>
    <row r="142" spans="1:7" s="14" customFormat="1" ht="105.6" x14ac:dyDescent="0.25">
      <c r="A142" s="48" t="s">
        <v>182</v>
      </c>
      <c r="B142" s="13">
        <f>+B140+D140</f>
        <v>1750</v>
      </c>
      <c r="C142" s="13">
        <f t="shared" ref="C142:C145" si="21">B142+D142-1</f>
        <v>1754</v>
      </c>
      <c r="D142" s="13">
        <v>5</v>
      </c>
      <c r="E142" s="61" t="s">
        <v>189</v>
      </c>
      <c r="F142" s="51" t="s">
        <v>130</v>
      </c>
      <c r="G142" s="51" t="s">
        <v>299</v>
      </c>
    </row>
    <row r="143" spans="1:7" s="14" customFormat="1" ht="79.2" x14ac:dyDescent="0.25">
      <c r="A143" s="48" t="s">
        <v>180</v>
      </c>
      <c r="B143" s="13">
        <f>B142+D142</f>
        <v>1755</v>
      </c>
      <c r="C143" s="13">
        <f t="shared" si="21"/>
        <v>1757</v>
      </c>
      <c r="D143" s="13">
        <v>3</v>
      </c>
      <c r="E143" s="61" t="s">
        <v>162</v>
      </c>
      <c r="F143" s="51" t="s">
        <v>131</v>
      </c>
      <c r="G143" s="51" t="s">
        <v>300</v>
      </c>
    </row>
    <row r="144" spans="1:7" s="14" customFormat="1" x14ac:dyDescent="0.25">
      <c r="A144" s="48" t="s">
        <v>180</v>
      </c>
      <c r="B144" s="13">
        <f>B143+D143</f>
        <v>1758</v>
      </c>
      <c r="C144" s="13">
        <f t="shared" si="21"/>
        <v>1766</v>
      </c>
      <c r="D144" s="13">
        <v>9</v>
      </c>
      <c r="E144" s="61" t="s">
        <v>13</v>
      </c>
      <c r="F144" s="51"/>
      <c r="G144" s="51"/>
    </row>
    <row r="145" spans="1:7" s="14" customFormat="1" ht="79.2" x14ac:dyDescent="0.25">
      <c r="A145" s="48" t="s">
        <v>180</v>
      </c>
      <c r="B145" s="13">
        <f>B144+D144</f>
        <v>1767</v>
      </c>
      <c r="C145" s="13">
        <f t="shared" si="21"/>
        <v>1769</v>
      </c>
      <c r="D145" s="13">
        <v>3</v>
      </c>
      <c r="E145" s="61" t="s">
        <v>163</v>
      </c>
      <c r="F145" s="51" t="s">
        <v>136</v>
      </c>
      <c r="G145" s="51" t="s">
        <v>301</v>
      </c>
    </row>
    <row r="146" spans="1:7" s="14" customFormat="1" x14ac:dyDescent="0.25">
      <c r="A146" s="13"/>
      <c r="B146" s="13"/>
      <c r="C146" s="13"/>
      <c r="D146" s="13"/>
      <c r="E146" s="3" t="s">
        <v>73</v>
      </c>
      <c r="F146" s="53"/>
      <c r="G146" s="51" t="s">
        <v>120</v>
      </c>
    </row>
    <row r="147" spans="1:7" s="14" customFormat="1" ht="12.75" customHeight="1" x14ac:dyDescent="0.25">
      <c r="A147" s="48" t="s">
        <v>182</v>
      </c>
      <c r="B147" s="13">
        <f>+B145+D145</f>
        <v>1770</v>
      </c>
      <c r="C147" s="13">
        <f t="shared" ref="C147:C152" si="22">B147+D147-1</f>
        <v>1773</v>
      </c>
      <c r="D147" s="13">
        <v>4</v>
      </c>
      <c r="E147" s="18" t="s">
        <v>91</v>
      </c>
      <c r="F147" s="67" t="s">
        <v>132</v>
      </c>
      <c r="G147" s="67" t="s">
        <v>201</v>
      </c>
    </row>
    <row r="148" spans="1:7" s="14" customFormat="1" ht="12.75" customHeight="1" x14ac:dyDescent="0.25">
      <c r="A148" s="48" t="s">
        <v>182</v>
      </c>
      <c r="B148" s="13">
        <f>B147+D147</f>
        <v>1774</v>
      </c>
      <c r="C148" s="13">
        <f t="shared" si="22"/>
        <v>1777</v>
      </c>
      <c r="D148" s="13">
        <v>4</v>
      </c>
      <c r="E148" s="18" t="s">
        <v>92</v>
      </c>
      <c r="F148" s="68"/>
      <c r="G148" s="67"/>
    </row>
    <row r="149" spans="1:7" s="14" customFormat="1" ht="12.75" customHeight="1" x14ac:dyDescent="0.25">
      <c r="A149" s="48" t="s">
        <v>182</v>
      </c>
      <c r="B149" s="13">
        <f>B148+D148</f>
        <v>1778</v>
      </c>
      <c r="C149" s="13">
        <f t="shared" si="22"/>
        <v>1781</v>
      </c>
      <c r="D149" s="13">
        <v>4</v>
      </c>
      <c r="E149" s="18" t="s">
        <v>93</v>
      </c>
      <c r="F149" s="68"/>
      <c r="G149" s="67"/>
    </row>
    <row r="150" spans="1:7" s="14" customFormat="1" ht="12.75" customHeight="1" x14ac:dyDescent="0.25">
      <c r="A150" s="48" t="s">
        <v>182</v>
      </c>
      <c r="B150" s="13">
        <f>B149+D149</f>
        <v>1782</v>
      </c>
      <c r="C150" s="13">
        <f t="shared" si="22"/>
        <v>1785</v>
      </c>
      <c r="D150" s="13">
        <v>4</v>
      </c>
      <c r="E150" s="18" t="s">
        <v>94</v>
      </c>
      <c r="F150" s="68"/>
      <c r="G150" s="67"/>
    </row>
    <row r="151" spans="1:7" s="14" customFormat="1" ht="12.75" customHeight="1" x14ac:dyDescent="0.25">
      <c r="A151" s="48" t="s">
        <v>182</v>
      </c>
      <c r="B151" s="13">
        <f>B150+D150</f>
        <v>1786</v>
      </c>
      <c r="C151" s="13">
        <f t="shared" si="22"/>
        <v>1789</v>
      </c>
      <c r="D151" s="13">
        <v>4</v>
      </c>
      <c r="E151" s="18" t="s">
        <v>95</v>
      </c>
      <c r="F151" s="68"/>
      <c r="G151" s="67"/>
    </row>
    <row r="152" spans="1:7" s="61" customFormat="1" x14ac:dyDescent="0.25">
      <c r="A152" s="58"/>
      <c r="B152" s="58">
        <f>B151+D151</f>
        <v>1790</v>
      </c>
      <c r="C152" s="58">
        <f t="shared" si="22"/>
        <v>1801</v>
      </c>
      <c r="D152" s="58">
        <v>12</v>
      </c>
      <c r="E152" s="61" t="s">
        <v>13</v>
      </c>
      <c r="F152" s="51"/>
      <c r="G152" s="51"/>
    </row>
    <row r="153" spans="1:7" s="14" customFormat="1" x14ac:dyDescent="0.25">
      <c r="A153" s="13"/>
      <c r="B153" s="13"/>
      <c r="C153" s="13"/>
      <c r="D153" s="13"/>
      <c r="E153" s="3" t="s">
        <v>74</v>
      </c>
      <c r="F153" s="53"/>
      <c r="G153" s="51" t="s">
        <v>120</v>
      </c>
    </row>
    <row r="154" spans="1:7" s="14" customFormat="1" ht="39.6" x14ac:dyDescent="0.25">
      <c r="A154" s="58" t="s">
        <v>184</v>
      </c>
      <c r="B154" s="13">
        <f>+B152+D152</f>
        <v>1802</v>
      </c>
      <c r="C154" s="13">
        <f>B154+D154-1</f>
        <v>1805</v>
      </c>
      <c r="D154" s="13">
        <v>4</v>
      </c>
      <c r="E154" s="18" t="s">
        <v>96</v>
      </c>
      <c r="F154" s="51" t="s">
        <v>249</v>
      </c>
      <c r="G154" s="51" t="s">
        <v>252</v>
      </c>
    </row>
    <row r="155" spans="1:7" s="14" customFormat="1" x14ac:dyDescent="0.25">
      <c r="A155" s="13"/>
      <c r="B155" s="13">
        <f>B154+D154</f>
        <v>1806</v>
      </c>
      <c r="C155" s="13">
        <f>B155+D155-1</f>
        <v>1836</v>
      </c>
      <c r="D155" s="13">
        <v>31</v>
      </c>
      <c r="E155" s="14" t="s">
        <v>13</v>
      </c>
      <c r="F155" s="53"/>
      <c r="G155" s="51"/>
    </row>
    <row r="156" spans="1:7" s="14" customFormat="1" x14ac:dyDescent="0.25">
      <c r="A156" s="13"/>
      <c r="B156" s="13"/>
      <c r="C156" s="13"/>
      <c r="D156" s="13"/>
      <c r="E156" s="3" t="s">
        <v>18</v>
      </c>
      <c r="F156" s="21"/>
      <c r="G156" s="51" t="s">
        <v>120</v>
      </c>
    </row>
    <row r="157" spans="1:7" s="14" customFormat="1" ht="105.6" x14ac:dyDescent="0.25">
      <c r="A157" s="58" t="s">
        <v>182</v>
      </c>
      <c r="B157" s="13">
        <f>+B155+D155</f>
        <v>1837</v>
      </c>
      <c r="C157" s="13">
        <f t="shared" ref="C157:C160" si="23">B157+D157-1</f>
        <v>1841</v>
      </c>
      <c r="D157" s="13">
        <v>5</v>
      </c>
      <c r="E157" s="61" t="s">
        <v>190</v>
      </c>
      <c r="F157" s="51" t="s">
        <v>130</v>
      </c>
      <c r="G157" s="51" t="s">
        <v>302</v>
      </c>
    </row>
    <row r="158" spans="1:7" s="14" customFormat="1" ht="79.2" x14ac:dyDescent="0.25">
      <c r="A158" s="58" t="s">
        <v>180</v>
      </c>
      <c r="B158" s="13">
        <f>B157+D157</f>
        <v>1842</v>
      </c>
      <c r="C158" s="13">
        <f t="shared" si="23"/>
        <v>1844</v>
      </c>
      <c r="D158" s="13">
        <v>3</v>
      </c>
      <c r="E158" s="61" t="s">
        <v>164</v>
      </c>
      <c r="F158" s="51" t="s">
        <v>131</v>
      </c>
      <c r="G158" s="51" t="s">
        <v>303</v>
      </c>
    </row>
    <row r="159" spans="1:7" s="14" customFormat="1" x14ac:dyDescent="0.25">
      <c r="A159" s="58" t="s">
        <v>180</v>
      </c>
      <c r="B159" s="13">
        <f>B158+D158</f>
        <v>1845</v>
      </c>
      <c r="C159" s="13">
        <f t="shared" si="23"/>
        <v>1853</v>
      </c>
      <c r="D159" s="13">
        <v>9</v>
      </c>
      <c r="E159" s="61" t="s">
        <v>13</v>
      </c>
      <c r="F159" s="51"/>
      <c r="G159" s="51"/>
    </row>
    <row r="160" spans="1:7" s="14" customFormat="1" ht="79.2" x14ac:dyDescent="0.25">
      <c r="A160" s="58" t="s">
        <v>180</v>
      </c>
      <c r="B160" s="13">
        <f>B159+D159</f>
        <v>1854</v>
      </c>
      <c r="C160" s="13">
        <f t="shared" si="23"/>
        <v>1856</v>
      </c>
      <c r="D160" s="13">
        <v>3</v>
      </c>
      <c r="E160" s="61" t="s">
        <v>165</v>
      </c>
      <c r="F160" s="51" t="s">
        <v>136</v>
      </c>
      <c r="G160" s="51" t="s">
        <v>304</v>
      </c>
    </row>
    <row r="161" spans="1:7" s="14" customFormat="1" x14ac:dyDescent="0.25">
      <c r="A161" s="13"/>
      <c r="B161" s="13"/>
      <c r="C161" s="13"/>
      <c r="D161" s="13"/>
      <c r="E161" s="3" t="s">
        <v>73</v>
      </c>
      <c r="F161" s="53"/>
      <c r="G161" s="51" t="s">
        <v>120</v>
      </c>
    </row>
    <row r="162" spans="1:7" s="14" customFormat="1" x14ac:dyDescent="0.25">
      <c r="A162" s="58" t="s">
        <v>182</v>
      </c>
      <c r="B162" s="13">
        <f>+B160+D160</f>
        <v>1857</v>
      </c>
      <c r="C162" s="13">
        <f>B162+D162-1</f>
        <v>1860</v>
      </c>
      <c r="D162" s="13">
        <v>4</v>
      </c>
      <c r="E162" s="7" t="s">
        <v>213</v>
      </c>
      <c r="F162" s="67" t="s">
        <v>133</v>
      </c>
      <c r="G162" s="67" t="s">
        <v>202</v>
      </c>
    </row>
    <row r="163" spans="1:7" s="14" customFormat="1" x14ac:dyDescent="0.25">
      <c r="A163" s="58" t="s">
        <v>182</v>
      </c>
      <c r="B163" s="13">
        <f>B162+D162</f>
        <v>1861</v>
      </c>
      <c r="C163" s="13">
        <f>B163+D163-1</f>
        <v>1864</v>
      </c>
      <c r="D163" s="13">
        <v>4</v>
      </c>
      <c r="E163" s="7" t="s">
        <v>214</v>
      </c>
      <c r="F163" s="68"/>
      <c r="G163" s="70"/>
    </row>
    <row r="164" spans="1:7" s="14" customFormat="1" x14ac:dyDescent="0.25">
      <c r="A164" s="58" t="s">
        <v>182</v>
      </c>
      <c r="B164" s="13">
        <f>B163+D163</f>
        <v>1865</v>
      </c>
      <c r="C164" s="13">
        <f>B164+D164-1</f>
        <v>1868</v>
      </c>
      <c r="D164" s="13">
        <v>4</v>
      </c>
      <c r="E164" s="7" t="s">
        <v>215</v>
      </c>
      <c r="F164" s="68"/>
      <c r="G164" s="70"/>
    </row>
    <row r="165" spans="1:7" s="14" customFormat="1" x14ac:dyDescent="0.25">
      <c r="A165" s="58" t="s">
        <v>182</v>
      </c>
      <c r="B165" s="13">
        <f>B164+D164</f>
        <v>1869</v>
      </c>
      <c r="C165" s="13">
        <f>B165+D165-1</f>
        <v>1872</v>
      </c>
      <c r="D165" s="13">
        <v>4</v>
      </c>
      <c r="E165" s="7" t="s">
        <v>216</v>
      </c>
      <c r="F165" s="68"/>
      <c r="G165" s="70"/>
    </row>
    <row r="166" spans="1:7" s="61" customFormat="1" x14ac:dyDescent="0.25">
      <c r="A166" s="58"/>
      <c r="B166" s="58">
        <f>B165+D165</f>
        <v>1873</v>
      </c>
      <c r="C166" s="58">
        <f>B166+D166-1</f>
        <v>1888</v>
      </c>
      <c r="D166" s="58">
        <v>16</v>
      </c>
      <c r="E166" s="61" t="s">
        <v>13</v>
      </c>
      <c r="F166" s="51"/>
      <c r="G166" s="51"/>
    </row>
    <row r="167" spans="1:7" s="14" customFormat="1" x14ac:dyDescent="0.25">
      <c r="A167" s="13"/>
      <c r="B167" s="13"/>
      <c r="C167" s="13"/>
      <c r="D167" s="13"/>
      <c r="E167" s="3" t="s">
        <v>74</v>
      </c>
      <c r="F167" s="53"/>
      <c r="G167" s="51" t="s">
        <v>120</v>
      </c>
    </row>
    <row r="168" spans="1:7" s="14" customFormat="1" ht="39.6" x14ac:dyDescent="0.25">
      <c r="A168" s="58" t="s">
        <v>184</v>
      </c>
      <c r="B168" s="13">
        <f>+B166+D166</f>
        <v>1889</v>
      </c>
      <c r="C168" s="13">
        <f>B168+D168-1</f>
        <v>1892</v>
      </c>
      <c r="D168" s="13">
        <v>4</v>
      </c>
      <c r="E168" s="7" t="s">
        <v>90</v>
      </c>
      <c r="F168" s="51" t="s">
        <v>133</v>
      </c>
      <c r="G168" s="51" t="s">
        <v>250</v>
      </c>
    </row>
    <row r="169" spans="1:7" s="14" customFormat="1" x14ac:dyDescent="0.25">
      <c r="A169" s="13"/>
      <c r="B169" s="13">
        <f>B168+D168</f>
        <v>1893</v>
      </c>
      <c r="C169" s="13">
        <f>B169+D169-1</f>
        <v>2017</v>
      </c>
      <c r="D169" s="13">
        <v>125</v>
      </c>
      <c r="E169" s="14" t="s">
        <v>13</v>
      </c>
      <c r="F169" s="53"/>
      <c r="G169" s="54"/>
    </row>
    <row r="170" spans="1:7" s="29" customFormat="1" x14ac:dyDescent="0.25">
      <c r="A170" s="13"/>
      <c r="B170" s="13"/>
      <c r="C170" s="13"/>
      <c r="D170" s="13"/>
      <c r="E170" s="3" t="s">
        <v>21</v>
      </c>
      <c r="F170" s="28"/>
      <c r="G170" s="54"/>
    </row>
    <row r="171" spans="1:7" s="14" customFormat="1" x14ac:dyDescent="0.25">
      <c r="A171" s="13"/>
      <c r="B171" s="13"/>
      <c r="C171" s="13"/>
      <c r="D171" s="13"/>
      <c r="E171" s="30" t="s">
        <v>98</v>
      </c>
      <c r="F171" s="53"/>
      <c r="G171" s="54"/>
    </row>
    <row r="172" spans="1:7" s="14" customFormat="1" ht="52.8" x14ac:dyDescent="0.25">
      <c r="A172" s="48" t="s">
        <v>184</v>
      </c>
      <c r="B172" s="13">
        <f>B169+D169</f>
        <v>2018</v>
      </c>
      <c r="C172" s="13">
        <f>B172+D172-1</f>
        <v>2018</v>
      </c>
      <c r="D172" s="13">
        <v>1</v>
      </c>
      <c r="E172" s="61" t="s">
        <v>241</v>
      </c>
      <c r="F172" s="51" t="s">
        <v>191</v>
      </c>
      <c r="G172" s="67" t="s">
        <v>305</v>
      </c>
    </row>
    <row r="173" spans="1:7" s="14" customFormat="1" ht="52.8" x14ac:dyDescent="0.25">
      <c r="A173" s="48" t="s">
        <v>184</v>
      </c>
      <c r="B173" s="13">
        <f>B172+D172</f>
        <v>2019</v>
      </c>
      <c r="C173" s="13">
        <f>B173+D173-1</f>
        <v>2019</v>
      </c>
      <c r="D173" s="13">
        <v>1</v>
      </c>
      <c r="E173" s="61" t="s">
        <v>242</v>
      </c>
      <c r="F173" s="51" t="s">
        <v>191</v>
      </c>
      <c r="G173" s="72"/>
    </row>
    <row r="174" spans="1:7" s="14" customFormat="1" x14ac:dyDescent="0.25">
      <c r="A174" s="48"/>
      <c r="B174" s="13"/>
      <c r="C174" s="13"/>
      <c r="D174" s="13"/>
      <c r="E174" s="3" t="s">
        <v>281</v>
      </c>
      <c r="F174" s="51"/>
      <c r="G174" s="65"/>
    </row>
    <row r="175" spans="1:7" s="14" customFormat="1" ht="25.5" customHeight="1" x14ac:dyDescent="0.25">
      <c r="A175" s="48"/>
      <c r="B175" s="13">
        <f>B173+D173</f>
        <v>2020</v>
      </c>
      <c r="C175" s="13">
        <f t="shared" ref="C175:C176" si="24">B175+D175-1</f>
        <v>2020</v>
      </c>
      <c r="D175" s="13">
        <v>1</v>
      </c>
      <c r="E175" s="61" t="s">
        <v>278</v>
      </c>
      <c r="F175" s="67" t="s">
        <v>127</v>
      </c>
      <c r="G175" s="67" t="s">
        <v>280</v>
      </c>
    </row>
    <row r="176" spans="1:7" s="14" customFormat="1" x14ac:dyDescent="0.25">
      <c r="A176" s="48"/>
      <c r="B176" s="13">
        <f t="shared" ref="B176" si="25">B175+D175</f>
        <v>2021</v>
      </c>
      <c r="C176" s="13">
        <f t="shared" si="24"/>
        <v>2021</v>
      </c>
      <c r="D176" s="13">
        <v>1</v>
      </c>
      <c r="E176" s="61" t="s">
        <v>279</v>
      </c>
      <c r="F176" s="67"/>
      <c r="G176" s="67"/>
    </row>
    <row r="177" spans="1:7" s="16" customFormat="1" x14ac:dyDescent="0.25">
      <c r="A177" s="13"/>
      <c r="B177" s="13">
        <f>B176+D176</f>
        <v>2022</v>
      </c>
      <c r="C177" s="13">
        <f>B177+D177-1</f>
        <v>2033</v>
      </c>
      <c r="D177" s="13">
        <v>12</v>
      </c>
      <c r="E177" s="61" t="s">
        <v>13</v>
      </c>
      <c r="F177" s="66"/>
      <c r="G177" s="62"/>
    </row>
    <row r="178" spans="1:7" s="14" customFormat="1" x14ac:dyDescent="0.25">
      <c r="A178" s="13"/>
      <c r="B178" s="13"/>
      <c r="C178" s="13"/>
      <c r="D178" s="13"/>
      <c r="E178" s="30" t="s">
        <v>97</v>
      </c>
      <c r="F178" s="51"/>
      <c r="G178" s="62"/>
    </row>
    <row r="179" spans="1:7" s="14" customFormat="1" x14ac:dyDescent="0.25">
      <c r="A179" s="13"/>
      <c r="B179" s="13">
        <f>B177+D177</f>
        <v>2034</v>
      </c>
      <c r="C179" s="13">
        <f>B179+D179-1</f>
        <v>2034</v>
      </c>
      <c r="D179" s="13">
        <v>1</v>
      </c>
      <c r="E179" s="61" t="s">
        <v>232</v>
      </c>
      <c r="F179" s="67" t="s">
        <v>125</v>
      </c>
      <c r="G179" s="67" t="s">
        <v>306</v>
      </c>
    </row>
    <row r="180" spans="1:7" s="14" customFormat="1" x14ac:dyDescent="0.25">
      <c r="A180" s="13"/>
      <c r="B180" s="13">
        <f>B179+D179</f>
        <v>2035</v>
      </c>
      <c r="C180" s="13">
        <f>B180+D180-1</f>
        <v>2035</v>
      </c>
      <c r="D180" s="13">
        <v>1</v>
      </c>
      <c r="E180" s="61" t="s">
        <v>233</v>
      </c>
      <c r="F180" s="71"/>
      <c r="G180" s="69"/>
    </row>
    <row r="181" spans="1:7" s="14" customFormat="1" x14ac:dyDescent="0.25">
      <c r="A181" s="13"/>
      <c r="B181" s="13">
        <f>B180+D180</f>
        <v>2036</v>
      </c>
      <c r="C181" s="13">
        <f>B181+D181-1</f>
        <v>2036</v>
      </c>
      <c r="D181" s="13">
        <v>1</v>
      </c>
      <c r="E181" s="61" t="s">
        <v>234</v>
      </c>
      <c r="F181" s="71"/>
      <c r="G181" s="69"/>
    </row>
    <row r="182" spans="1:7" s="14" customFormat="1" x14ac:dyDescent="0.25">
      <c r="A182" s="13"/>
      <c r="B182" s="13">
        <f>B181+D181</f>
        <v>2037</v>
      </c>
      <c r="C182" s="13">
        <f>B182+D182-1</f>
        <v>2037</v>
      </c>
      <c r="D182" s="13">
        <v>1</v>
      </c>
      <c r="E182" s="61" t="s">
        <v>235</v>
      </c>
      <c r="F182" s="71"/>
      <c r="G182" s="69"/>
    </row>
    <row r="183" spans="1:7" s="14" customFormat="1" x14ac:dyDescent="0.25">
      <c r="A183" s="13"/>
      <c r="B183" s="13">
        <f>B182+D182</f>
        <v>2038</v>
      </c>
      <c r="C183" s="13">
        <f>B183+D183-1</f>
        <v>2051</v>
      </c>
      <c r="D183" s="13">
        <v>14</v>
      </c>
      <c r="E183" s="19" t="s">
        <v>13</v>
      </c>
      <c r="F183" s="51"/>
      <c r="G183" s="62"/>
    </row>
    <row r="184" spans="1:7" s="14" customFormat="1" x14ac:dyDescent="0.25">
      <c r="A184" s="13"/>
      <c r="B184" s="13"/>
      <c r="C184" s="13"/>
      <c r="D184" s="13"/>
      <c r="E184" s="30" t="s">
        <v>99</v>
      </c>
      <c r="F184" s="51"/>
      <c r="G184" s="62"/>
    </row>
    <row r="185" spans="1:7" s="14" customFormat="1" ht="32.25" customHeight="1" x14ac:dyDescent="0.25">
      <c r="A185" s="58" t="s">
        <v>182</v>
      </c>
      <c r="B185" s="13">
        <f>+B183+D183</f>
        <v>2052</v>
      </c>
      <c r="C185" s="13">
        <f>B185+D185-1</f>
        <v>2052</v>
      </c>
      <c r="D185" s="13">
        <v>1</v>
      </c>
      <c r="E185" s="61" t="s">
        <v>236</v>
      </c>
      <c r="F185" s="67" t="s">
        <v>126</v>
      </c>
      <c r="G185" s="67" t="s">
        <v>307</v>
      </c>
    </row>
    <row r="186" spans="1:7" s="14" customFormat="1" ht="24.75" customHeight="1" x14ac:dyDescent="0.25">
      <c r="A186" s="58" t="s">
        <v>182</v>
      </c>
      <c r="B186" s="13">
        <f>B185+D185</f>
        <v>2053</v>
      </c>
      <c r="C186" s="13">
        <f>B186+D186-1</f>
        <v>2053</v>
      </c>
      <c r="D186" s="13">
        <v>1</v>
      </c>
      <c r="E186" s="61" t="s">
        <v>237</v>
      </c>
      <c r="F186" s="71"/>
      <c r="G186" s="69"/>
    </row>
    <row r="187" spans="1:7" s="14" customFormat="1" ht="24.75" customHeight="1" x14ac:dyDescent="0.25">
      <c r="A187" s="58" t="s">
        <v>182</v>
      </c>
      <c r="B187" s="13">
        <f>B186+D186</f>
        <v>2054</v>
      </c>
      <c r="C187" s="13">
        <f>B187+D187-1</f>
        <v>2054</v>
      </c>
      <c r="D187" s="13">
        <v>1</v>
      </c>
      <c r="E187" s="61" t="s">
        <v>238</v>
      </c>
      <c r="F187" s="71"/>
      <c r="G187" s="69"/>
    </row>
    <row r="188" spans="1:7" s="14" customFormat="1" ht="30" customHeight="1" x14ac:dyDescent="0.25">
      <c r="A188" s="58" t="s">
        <v>182</v>
      </c>
      <c r="B188" s="13">
        <f>B187+D187</f>
        <v>2055</v>
      </c>
      <c r="C188" s="13">
        <f>B188+D188-1</f>
        <v>2055</v>
      </c>
      <c r="D188" s="13">
        <v>1</v>
      </c>
      <c r="E188" s="61" t="s">
        <v>239</v>
      </c>
      <c r="F188" s="71"/>
      <c r="G188" s="69"/>
    </row>
    <row r="189" spans="1:7" s="14" customFormat="1" x14ac:dyDescent="0.25">
      <c r="A189" s="13"/>
      <c r="B189" s="13">
        <f>B188+D188</f>
        <v>2056</v>
      </c>
      <c r="C189" s="13">
        <f>B189+D189-1</f>
        <v>2060</v>
      </c>
      <c r="D189" s="13">
        <v>5</v>
      </c>
      <c r="E189" s="19" t="s">
        <v>13</v>
      </c>
      <c r="F189" s="51"/>
      <c r="G189" s="62"/>
    </row>
    <row r="190" spans="1:7" s="14" customFormat="1" x14ac:dyDescent="0.25">
      <c r="A190" s="13"/>
      <c r="B190" s="13"/>
      <c r="C190" s="13"/>
      <c r="D190" s="13"/>
      <c r="E190" s="30" t="s">
        <v>100</v>
      </c>
      <c r="F190" s="51"/>
      <c r="G190" s="62"/>
    </row>
    <row r="191" spans="1:7" s="14" customFormat="1" ht="19.5" customHeight="1" x14ac:dyDescent="0.25">
      <c r="A191" s="48" t="s">
        <v>184</v>
      </c>
      <c r="B191" s="13">
        <f>+B189+D189</f>
        <v>2061</v>
      </c>
      <c r="C191" s="13">
        <f t="shared" ref="C191:C199" si="26">B191+D191-1</f>
        <v>2061</v>
      </c>
      <c r="D191" s="13">
        <v>1</v>
      </c>
      <c r="E191" s="61" t="s">
        <v>166</v>
      </c>
      <c r="F191" s="67" t="s">
        <v>127</v>
      </c>
      <c r="G191" s="67" t="s">
        <v>308</v>
      </c>
    </row>
    <row r="192" spans="1:7" s="14" customFormat="1" ht="23.25" customHeight="1" x14ac:dyDescent="0.25">
      <c r="A192" s="48" t="s">
        <v>184</v>
      </c>
      <c r="B192" s="13">
        <f t="shared" ref="B192:B199" si="27">B191+D191</f>
        <v>2062</v>
      </c>
      <c r="C192" s="13">
        <f t="shared" si="26"/>
        <v>2062</v>
      </c>
      <c r="D192" s="13">
        <v>1</v>
      </c>
      <c r="E192" s="61" t="s">
        <v>167</v>
      </c>
      <c r="F192" s="71"/>
      <c r="G192" s="69"/>
    </row>
    <row r="193" spans="1:7" s="14" customFormat="1" ht="24.75" customHeight="1" x14ac:dyDescent="0.25">
      <c r="A193" s="48" t="s">
        <v>184</v>
      </c>
      <c r="B193" s="13">
        <f t="shared" si="27"/>
        <v>2063</v>
      </c>
      <c r="C193" s="13">
        <f t="shared" si="26"/>
        <v>2063</v>
      </c>
      <c r="D193" s="13">
        <v>1</v>
      </c>
      <c r="E193" s="61" t="s">
        <v>168</v>
      </c>
      <c r="F193" s="71"/>
      <c r="G193" s="69"/>
    </row>
    <row r="194" spans="1:7" s="14" customFormat="1" ht="23.25" customHeight="1" x14ac:dyDescent="0.25">
      <c r="A194" s="48" t="s">
        <v>184</v>
      </c>
      <c r="B194" s="13">
        <f t="shared" si="27"/>
        <v>2064</v>
      </c>
      <c r="C194" s="13">
        <f t="shared" si="26"/>
        <v>2064</v>
      </c>
      <c r="D194" s="13">
        <v>1</v>
      </c>
      <c r="E194" s="61" t="s">
        <v>169</v>
      </c>
      <c r="F194" s="71"/>
      <c r="G194" s="69"/>
    </row>
    <row r="195" spans="1:7" s="14" customFormat="1" x14ac:dyDescent="0.25">
      <c r="A195" s="13"/>
      <c r="B195" s="13">
        <f t="shared" si="27"/>
        <v>2065</v>
      </c>
      <c r="C195" s="13">
        <f t="shared" si="26"/>
        <v>2069</v>
      </c>
      <c r="D195" s="13">
        <v>5</v>
      </c>
      <c r="E195" s="18" t="s">
        <v>13</v>
      </c>
      <c r="F195" s="51"/>
      <c r="G195" s="51"/>
    </row>
    <row r="196" spans="1:7" s="14" customFormat="1" ht="195" customHeight="1" x14ac:dyDescent="0.25">
      <c r="A196" s="13"/>
      <c r="B196" s="13">
        <f t="shared" si="27"/>
        <v>2070</v>
      </c>
      <c r="C196" s="13">
        <f t="shared" si="26"/>
        <v>2071</v>
      </c>
      <c r="D196" s="13">
        <v>2</v>
      </c>
      <c r="E196" s="14" t="s">
        <v>29</v>
      </c>
      <c r="F196" s="42" t="s">
        <v>309</v>
      </c>
      <c r="G196" s="51" t="s">
        <v>258</v>
      </c>
    </row>
    <row r="197" spans="1:7" s="14" customFormat="1" ht="26.4" x14ac:dyDescent="0.25">
      <c r="A197" s="13"/>
      <c r="B197" s="13">
        <f t="shared" si="27"/>
        <v>2072</v>
      </c>
      <c r="C197" s="13">
        <f t="shared" si="26"/>
        <v>2072</v>
      </c>
      <c r="D197" s="13">
        <v>1</v>
      </c>
      <c r="E197" s="14" t="s">
        <v>30</v>
      </c>
      <c r="F197" s="51" t="s">
        <v>225</v>
      </c>
      <c r="G197" s="51" t="s">
        <v>240</v>
      </c>
    </row>
    <row r="198" spans="1:7" s="14" customFormat="1" ht="79.2" x14ac:dyDescent="0.25">
      <c r="A198" s="13"/>
      <c r="B198" s="13">
        <f t="shared" si="27"/>
        <v>2073</v>
      </c>
      <c r="C198" s="13">
        <f t="shared" si="26"/>
        <v>2073</v>
      </c>
      <c r="D198" s="13">
        <v>1</v>
      </c>
      <c r="E198" s="61" t="s">
        <v>122</v>
      </c>
      <c r="F198" s="43" t="s">
        <v>123</v>
      </c>
      <c r="G198" s="51" t="s">
        <v>253</v>
      </c>
    </row>
    <row r="199" spans="1:7" s="14" customFormat="1" x14ac:dyDescent="0.25">
      <c r="A199" s="13"/>
      <c r="B199" s="13">
        <f t="shared" si="27"/>
        <v>2074</v>
      </c>
      <c r="C199" s="13">
        <f t="shared" si="26"/>
        <v>2077</v>
      </c>
      <c r="D199" s="13">
        <v>4</v>
      </c>
      <c r="E199" s="18" t="s">
        <v>13</v>
      </c>
      <c r="F199" s="53"/>
      <c r="G199" s="53"/>
    </row>
    <row r="200" spans="1:7" s="16" customFormat="1" x14ac:dyDescent="0.25">
      <c r="A200" s="13"/>
      <c r="B200" s="13"/>
      <c r="C200" s="13"/>
      <c r="D200" s="13"/>
      <c r="E200" s="30" t="s">
        <v>263</v>
      </c>
      <c r="F200" s="17"/>
      <c r="G200" s="32"/>
    </row>
    <row r="201" spans="1:7" s="16" customFormat="1" x14ac:dyDescent="0.25">
      <c r="A201" s="13" t="s">
        <v>112</v>
      </c>
      <c r="B201" s="13">
        <f>+B199+D199</f>
        <v>2078</v>
      </c>
      <c r="C201" s="13">
        <f t="shared" ref="C201:C209" si="28">B201+D201-1</f>
        <v>2078</v>
      </c>
      <c r="D201" s="13">
        <v>1</v>
      </c>
      <c r="E201" s="18" t="s">
        <v>104</v>
      </c>
      <c r="F201" s="70" t="s">
        <v>36</v>
      </c>
      <c r="G201" s="67" t="s">
        <v>277</v>
      </c>
    </row>
    <row r="202" spans="1:7" s="16" customFormat="1" x14ac:dyDescent="0.25">
      <c r="A202" s="13"/>
      <c r="B202" s="13">
        <f t="shared" ref="B202:B209" si="29">B201+D201</f>
        <v>2079</v>
      </c>
      <c r="C202" s="13">
        <f t="shared" si="28"/>
        <v>2079</v>
      </c>
      <c r="D202" s="13">
        <v>1</v>
      </c>
      <c r="E202" s="18" t="s">
        <v>105</v>
      </c>
      <c r="F202" s="70"/>
      <c r="G202" s="70"/>
    </row>
    <row r="203" spans="1:7" s="16" customFormat="1" x14ac:dyDescent="0.25">
      <c r="A203" s="13"/>
      <c r="B203" s="13">
        <f t="shared" si="29"/>
        <v>2080</v>
      </c>
      <c r="C203" s="13">
        <f t="shared" si="28"/>
        <v>2080</v>
      </c>
      <c r="D203" s="13">
        <v>1</v>
      </c>
      <c r="E203" s="18" t="s">
        <v>106</v>
      </c>
      <c r="F203" s="70"/>
      <c r="G203" s="70"/>
    </row>
    <row r="204" spans="1:7" s="16" customFormat="1" x14ac:dyDescent="0.25">
      <c r="A204" s="13"/>
      <c r="B204" s="13">
        <f t="shared" si="29"/>
        <v>2081</v>
      </c>
      <c r="C204" s="13">
        <f t="shared" si="28"/>
        <v>2081</v>
      </c>
      <c r="D204" s="13">
        <v>1</v>
      </c>
      <c r="E204" s="18" t="s">
        <v>107</v>
      </c>
      <c r="F204" s="70"/>
      <c r="G204" s="70"/>
    </row>
    <row r="205" spans="1:7" s="16" customFormat="1" x14ac:dyDescent="0.25">
      <c r="A205" s="13"/>
      <c r="B205" s="13">
        <f t="shared" si="29"/>
        <v>2082</v>
      </c>
      <c r="C205" s="13">
        <f t="shared" si="28"/>
        <v>2082</v>
      </c>
      <c r="D205" s="13">
        <v>1</v>
      </c>
      <c r="E205" s="7" t="s">
        <v>13</v>
      </c>
      <c r="F205" s="70"/>
      <c r="G205" s="70"/>
    </row>
    <row r="206" spans="1:7" s="16" customFormat="1" x14ac:dyDescent="0.25">
      <c r="A206" s="13"/>
      <c r="B206" s="13">
        <f t="shared" si="29"/>
        <v>2083</v>
      </c>
      <c r="C206" s="13">
        <f t="shared" si="28"/>
        <v>2083</v>
      </c>
      <c r="D206" s="13">
        <v>1</v>
      </c>
      <c r="E206" s="18" t="s">
        <v>108</v>
      </c>
      <c r="F206" s="70"/>
      <c r="G206" s="70"/>
    </row>
    <row r="207" spans="1:7" s="16" customFormat="1" x14ac:dyDescent="0.25">
      <c r="A207" s="13"/>
      <c r="B207" s="13">
        <f>B206+D206</f>
        <v>2084</v>
      </c>
      <c r="C207" s="13">
        <f t="shared" si="28"/>
        <v>2086</v>
      </c>
      <c r="D207" s="13">
        <v>3</v>
      </c>
      <c r="E207" s="7" t="s">
        <v>13</v>
      </c>
      <c r="F207" s="70"/>
      <c r="G207" s="70"/>
    </row>
    <row r="208" spans="1:7" s="16" customFormat="1" x14ac:dyDescent="0.25">
      <c r="A208" s="13"/>
      <c r="B208" s="13">
        <f t="shared" si="29"/>
        <v>2087</v>
      </c>
      <c r="C208" s="13">
        <f t="shared" si="28"/>
        <v>2087</v>
      </c>
      <c r="D208" s="13">
        <v>1</v>
      </c>
      <c r="E208" s="18" t="s">
        <v>109</v>
      </c>
      <c r="F208" s="70"/>
      <c r="G208" s="70"/>
    </row>
    <row r="209" spans="1:7" s="16" customFormat="1" x14ac:dyDescent="0.25">
      <c r="A209" s="13"/>
      <c r="B209" s="13">
        <f t="shared" si="29"/>
        <v>2088</v>
      </c>
      <c r="C209" s="13">
        <f t="shared" si="28"/>
        <v>2088</v>
      </c>
      <c r="D209" s="13">
        <v>1</v>
      </c>
      <c r="E209" s="18" t="s">
        <v>110</v>
      </c>
      <c r="F209" s="70"/>
      <c r="G209" s="70"/>
    </row>
    <row r="210" spans="1:7" s="16" customFormat="1" x14ac:dyDescent="0.25">
      <c r="A210" s="58"/>
      <c r="B210" s="13">
        <f>B209+D209</f>
        <v>2089</v>
      </c>
      <c r="C210" s="13">
        <f t="shared" ref="C210" si="30">B210+D210-1</f>
        <v>2133</v>
      </c>
      <c r="D210" s="13">
        <v>45</v>
      </c>
      <c r="E210" s="61" t="s">
        <v>13</v>
      </c>
      <c r="F210" s="51"/>
      <c r="G210" s="51"/>
    </row>
    <row r="211" spans="1:7" s="16" customFormat="1" x14ac:dyDescent="0.25">
      <c r="A211" s="13"/>
      <c r="B211" s="13"/>
      <c r="C211" s="13"/>
      <c r="D211" s="13"/>
      <c r="E211" s="5" t="s">
        <v>101</v>
      </c>
      <c r="F211" s="53"/>
      <c r="G211" s="53"/>
    </row>
    <row r="212" spans="1:7" s="14" customFormat="1" ht="21" customHeight="1" x14ac:dyDescent="0.25">
      <c r="A212" s="48" t="s">
        <v>151</v>
      </c>
      <c r="B212" s="13">
        <f>+B210+D210</f>
        <v>2134</v>
      </c>
      <c r="C212" s="13">
        <f t="shared" ref="C212:C217" si="31">B212+D212-1</f>
        <v>2135</v>
      </c>
      <c r="D212" s="13">
        <v>2</v>
      </c>
      <c r="E212" s="61" t="s">
        <v>170</v>
      </c>
      <c r="F212" s="70" t="s">
        <v>139</v>
      </c>
      <c r="G212" s="67" t="s">
        <v>179</v>
      </c>
    </row>
    <row r="213" spans="1:7" s="14" customFormat="1" ht="21" customHeight="1" x14ac:dyDescent="0.25">
      <c r="A213" s="48" t="s">
        <v>151</v>
      </c>
      <c r="B213" s="13">
        <f>B212+D212</f>
        <v>2136</v>
      </c>
      <c r="C213" s="13">
        <f t="shared" si="31"/>
        <v>2137</v>
      </c>
      <c r="D213" s="13">
        <v>2</v>
      </c>
      <c r="E213" s="61" t="s">
        <v>171</v>
      </c>
      <c r="F213" s="70"/>
      <c r="G213" s="67"/>
    </row>
    <row r="214" spans="1:7" s="14" customFormat="1" ht="21" customHeight="1" x14ac:dyDescent="0.25">
      <c r="A214" s="48" t="s">
        <v>151</v>
      </c>
      <c r="B214" s="13">
        <f>B213+D213</f>
        <v>2138</v>
      </c>
      <c r="C214" s="13">
        <f t="shared" si="31"/>
        <v>2139</v>
      </c>
      <c r="D214" s="13">
        <v>2</v>
      </c>
      <c r="E214" s="61" t="s">
        <v>172</v>
      </c>
      <c r="F214" s="70"/>
      <c r="G214" s="67"/>
    </row>
    <row r="215" spans="1:7" s="14" customFormat="1" ht="21" customHeight="1" x14ac:dyDescent="0.25">
      <c r="A215" s="48" t="s">
        <v>151</v>
      </c>
      <c r="B215" s="13">
        <f>B214+D214</f>
        <v>2140</v>
      </c>
      <c r="C215" s="13">
        <f t="shared" si="31"/>
        <v>2141</v>
      </c>
      <c r="D215" s="13">
        <v>2</v>
      </c>
      <c r="E215" s="61" t="s">
        <v>173</v>
      </c>
      <c r="F215" s="70"/>
      <c r="G215" s="67"/>
    </row>
    <row r="216" spans="1:7" s="14" customFormat="1" ht="45" customHeight="1" x14ac:dyDescent="0.25">
      <c r="A216" s="13"/>
      <c r="B216" s="13">
        <f>B215+D215</f>
        <v>2142</v>
      </c>
      <c r="C216" s="13">
        <f t="shared" si="31"/>
        <v>2144</v>
      </c>
      <c r="D216" s="13">
        <v>3</v>
      </c>
      <c r="E216" s="61" t="s">
        <v>146</v>
      </c>
      <c r="F216" s="51" t="s">
        <v>254</v>
      </c>
      <c r="G216" s="67" t="s">
        <v>310</v>
      </c>
    </row>
    <row r="217" spans="1:7" s="14" customFormat="1" ht="57.75" customHeight="1" x14ac:dyDescent="0.25">
      <c r="A217" s="13"/>
      <c r="B217" s="13">
        <f t="shared" ref="B217:B224" si="32">B216+D216</f>
        <v>2145</v>
      </c>
      <c r="C217" s="13">
        <f t="shared" si="31"/>
        <v>2147</v>
      </c>
      <c r="D217" s="44">
        <v>3</v>
      </c>
      <c r="E217" s="49" t="s">
        <v>145</v>
      </c>
      <c r="F217" s="51" t="s">
        <v>255</v>
      </c>
      <c r="G217" s="67"/>
    </row>
    <row r="218" spans="1:7" s="14" customFormat="1" ht="198" x14ac:dyDescent="0.25">
      <c r="A218" s="13"/>
      <c r="B218" s="13">
        <f t="shared" si="32"/>
        <v>2148</v>
      </c>
      <c r="C218" s="13">
        <f t="shared" ref="C218:C223" si="33">B218+D218-1</f>
        <v>2150</v>
      </c>
      <c r="D218" s="13">
        <v>3</v>
      </c>
      <c r="E218" s="61" t="s">
        <v>259</v>
      </c>
      <c r="F218" s="42" t="s">
        <v>276</v>
      </c>
      <c r="G218" s="51" t="s">
        <v>244</v>
      </c>
    </row>
    <row r="219" spans="1:7" s="14" customFormat="1" ht="22.5" customHeight="1" x14ac:dyDescent="0.25">
      <c r="A219" s="48" t="s">
        <v>183</v>
      </c>
      <c r="B219" s="13">
        <f t="shared" si="32"/>
        <v>2151</v>
      </c>
      <c r="C219" s="13">
        <f t="shared" si="33"/>
        <v>2153</v>
      </c>
      <c r="D219" s="13">
        <v>3</v>
      </c>
      <c r="E219" s="61" t="s">
        <v>174</v>
      </c>
      <c r="F219" s="67" t="s">
        <v>136</v>
      </c>
      <c r="G219" s="67" t="s">
        <v>275</v>
      </c>
    </row>
    <row r="220" spans="1:7" s="14" customFormat="1" ht="22.5" customHeight="1" x14ac:dyDescent="0.25">
      <c r="A220" s="48" t="s">
        <v>183</v>
      </c>
      <c r="B220" s="13">
        <f t="shared" si="32"/>
        <v>2154</v>
      </c>
      <c r="C220" s="13">
        <f t="shared" si="33"/>
        <v>2156</v>
      </c>
      <c r="D220" s="13">
        <v>3</v>
      </c>
      <c r="E220" s="61" t="s">
        <v>175</v>
      </c>
      <c r="F220" s="70"/>
      <c r="G220" s="70"/>
    </row>
    <row r="221" spans="1:7" s="14" customFormat="1" ht="22.5" customHeight="1" x14ac:dyDescent="0.25">
      <c r="A221" s="48" t="s">
        <v>183</v>
      </c>
      <c r="B221" s="13">
        <f t="shared" si="32"/>
        <v>2157</v>
      </c>
      <c r="C221" s="13">
        <f t="shared" si="33"/>
        <v>2159</v>
      </c>
      <c r="D221" s="13">
        <v>3</v>
      </c>
      <c r="E221" s="61" t="s">
        <v>176</v>
      </c>
      <c r="F221" s="70"/>
      <c r="G221" s="70"/>
    </row>
    <row r="222" spans="1:7" s="14" customFormat="1" ht="22.5" customHeight="1" x14ac:dyDescent="0.25">
      <c r="A222" s="48" t="s">
        <v>183</v>
      </c>
      <c r="B222" s="13">
        <f t="shared" si="32"/>
        <v>2160</v>
      </c>
      <c r="C222" s="13">
        <f t="shared" si="33"/>
        <v>2162</v>
      </c>
      <c r="D222" s="13">
        <v>3</v>
      </c>
      <c r="E222" s="61" t="s">
        <v>177</v>
      </c>
      <c r="F222" s="70"/>
      <c r="G222" s="70"/>
    </row>
    <row r="223" spans="1:7" s="35" customFormat="1" x14ac:dyDescent="0.25">
      <c r="A223" s="13"/>
      <c r="B223" s="13">
        <f t="shared" si="32"/>
        <v>2163</v>
      </c>
      <c r="C223" s="13">
        <f t="shared" si="33"/>
        <v>2163</v>
      </c>
      <c r="D223" s="13">
        <v>1</v>
      </c>
      <c r="E223" s="7" t="s">
        <v>13</v>
      </c>
      <c r="F223" s="34"/>
      <c r="G223" s="51"/>
    </row>
    <row r="224" spans="1:7" ht="79.2" x14ac:dyDescent="0.25">
      <c r="A224" s="13"/>
      <c r="B224" s="13">
        <f t="shared" si="32"/>
        <v>2164</v>
      </c>
      <c r="C224" s="13">
        <f>B224+D224-1</f>
        <v>2173</v>
      </c>
      <c r="D224" s="13">
        <v>10</v>
      </c>
      <c r="E224" s="7" t="s">
        <v>147</v>
      </c>
      <c r="F224" s="51" t="s">
        <v>129</v>
      </c>
      <c r="G224" s="51" t="s">
        <v>204</v>
      </c>
    </row>
    <row r="225" spans="1:7" s="14" customFormat="1" x14ac:dyDescent="0.25">
      <c r="A225" s="13"/>
      <c r="B225" s="13"/>
      <c r="C225" s="13"/>
      <c r="D225" s="13"/>
      <c r="E225" s="6" t="s">
        <v>102</v>
      </c>
      <c r="F225" s="53"/>
      <c r="G225" s="54"/>
    </row>
    <row r="226" spans="1:7" s="14" customFormat="1" x14ac:dyDescent="0.25">
      <c r="A226" s="13"/>
      <c r="B226" s="13">
        <f>B224+D224</f>
        <v>2174</v>
      </c>
      <c r="C226" s="13">
        <f t="shared" ref="C226:C228" si="34">B226+D226-1</f>
        <v>2205</v>
      </c>
      <c r="D226" s="13">
        <v>32</v>
      </c>
      <c r="E226" s="14" t="s">
        <v>13</v>
      </c>
      <c r="F226" s="53"/>
      <c r="G226" s="54"/>
    </row>
    <row r="227" spans="1:7" s="33" customFormat="1" ht="26.4" x14ac:dyDescent="0.25">
      <c r="A227" s="41" t="s">
        <v>113</v>
      </c>
      <c r="B227" s="13">
        <f t="shared" ref="B227:B228" si="35">+B226+D226</f>
        <v>2206</v>
      </c>
      <c r="C227" s="13">
        <f t="shared" si="34"/>
        <v>2211</v>
      </c>
      <c r="D227" s="13">
        <v>6</v>
      </c>
      <c r="E227" s="19" t="s">
        <v>8</v>
      </c>
      <c r="F227" s="53" t="s">
        <v>23</v>
      </c>
      <c r="G227" s="40" t="s">
        <v>114</v>
      </c>
    </row>
    <row r="228" spans="1:7" s="33" customFormat="1" x14ac:dyDescent="0.25">
      <c r="A228" s="13"/>
      <c r="B228" s="13">
        <f t="shared" si="35"/>
        <v>2212</v>
      </c>
      <c r="C228" s="13">
        <f t="shared" si="34"/>
        <v>2226</v>
      </c>
      <c r="D228" s="13">
        <v>15</v>
      </c>
      <c r="E228" s="33" t="s">
        <v>13</v>
      </c>
      <c r="F228" s="47"/>
    </row>
    <row r="229" spans="1:7" s="33" customFormat="1" x14ac:dyDescent="0.25">
      <c r="A229" s="13"/>
      <c r="B229" s="13"/>
      <c r="C229" s="13"/>
      <c r="D229" s="13"/>
      <c r="E229" s="45" t="s">
        <v>140</v>
      </c>
      <c r="F229" s="51"/>
      <c r="G229" s="53"/>
    </row>
    <row r="230" spans="1:7" s="33" customFormat="1" ht="66" x14ac:dyDescent="0.25">
      <c r="B230" s="13">
        <f>B228+D228</f>
        <v>2227</v>
      </c>
      <c r="C230" s="13">
        <f t="shared" ref="C230:C231" si="36">B230+D230-1</f>
        <v>2232</v>
      </c>
      <c r="D230" s="13">
        <v>6</v>
      </c>
      <c r="E230" s="61" t="s">
        <v>141</v>
      </c>
      <c r="F230" s="51" t="s">
        <v>256</v>
      </c>
      <c r="G230" s="51" t="s">
        <v>257</v>
      </c>
    </row>
    <row r="231" spans="1:7" s="33" customFormat="1" x14ac:dyDescent="0.25">
      <c r="B231" s="13">
        <f>B230+D230</f>
        <v>2233</v>
      </c>
      <c r="C231" s="13">
        <f t="shared" si="36"/>
        <v>2252</v>
      </c>
      <c r="D231" s="58">
        <v>20</v>
      </c>
      <c r="E231" s="7" t="s">
        <v>13</v>
      </c>
      <c r="F231" s="51"/>
      <c r="G231" s="50"/>
    </row>
    <row r="232" spans="1:7" s="14" customFormat="1" x14ac:dyDescent="0.25">
      <c r="A232" s="13"/>
      <c r="B232" s="13">
        <f>B231+D231</f>
        <v>2253</v>
      </c>
      <c r="C232" s="13">
        <f t="shared" ref="C232" si="37">B232+D232-1</f>
        <v>2271</v>
      </c>
      <c r="D232" s="13">
        <v>19</v>
      </c>
      <c r="E232" s="14" t="s">
        <v>19</v>
      </c>
      <c r="F232" s="51" t="s">
        <v>192</v>
      </c>
      <c r="G232" s="54" t="s">
        <v>20</v>
      </c>
    </row>
    <row r="233" spans="1:7" ht="15" customHeight="1" x14ac:dyDescent="0.25">
      <c r="A233" s="36"/>
      <c r="B233" s="13"/>
      <c r="C233" s="26"/>
      <c r="D233" s="26"/>
      <c r="E233" s="37"/>
      <c r="F233" s="21"/>
    </row>
    <row r="234" spans="1:7" ht="15.6" x14ac:dyDescent="0.25">
      <c r="B234" s="38" t="s">
        <v>103</v>
      </c>
      <c r="C234" s="1">
        <f>C232</f>
        <v>2271</v>
      </c>
      <c r="D234" s="24"/>
      <c r="E234" s="39"/>
      <c r="F234" s="54"/>
      <c r="G234" s="53"/>
    </row>
    <row r="235" spans="1:7" x14ac:dyDescent="0.25">
      <c r="B235" s="13"/>
      <c r="C235" s="26"/>
      <c r="D235" s="26"/>
      <c r="E235" s="23"/>
      <c r="F235" s="54"/>
    </row>
    <row r="236" spans="1:7" x14ac:dyDescent="0.25">
      <c r="B236" s="13"/>
      <c r="C236" s="13"/>
      <c r="D236" s="26"/>
      <c r="E236" s="23"/>
      <c r="F236" s="54"/>
    </row>
    <row r="237" spans="1:7" x14ac:dyDescent="0.25">
      <c r="B237" s="13"/>
      <c r="C237" s="13"/>
      <c r="D237" s="26"/>
      <c r="E237" s="23"/>
      <c r="F237" s="54"/>
    </row>
    <row r="238" spans="1:7" x14ac:dyDescent="0.25">
      <c r="B238" s="13"/>
      <c r="C238" s="13"/>
      <c r="D238" s="26"/>
      <c r="E238" s="23"/>
      <c r="F238" s="54"/>
    </row>
    <row r="239" spans="1:7" x14ac:dyDescent="0.25">
      <c r="B239" s="13"/>
      <c r="C239" s="13"/>
      <c r="D239" s="26"/>
      <c r="E239" s="23"/>
      <c r="F239" s="54"/>
    </row>
    <row r="240" spans="1:7" x14ac:dyDescent="0.25">
      <c r="B240" s="13"/>
      <c r="C240" s="13"/>
      <c r="D240" s="26"/>
      <c r="E240" s="23"/>
      <c r="F240" s="54"/>
    </row>
    <row r="241" spans="2:6" x14ac:dyDescent="0.25">
      <c r="B241" s="13"/>
      <c r="C241" s="13"/>
      <c r="D241" s="26"/>
      <c r="E241" s="23"/>
      <c r="F241" s="54"/>
    </row>
    <row r="242" spans="2:6" x14ac:dyDescent="0.25">
      <c r="B242" s="13"/>
      <c r="C242" s="13"/>
      <c r="D242" s="26"/>
      <c r="E242" s="23"/>
      <c r="F242" s="54"/>
    </row>
    <row r="243" spans="2:6" x14ac:dyDescent="0.25">
      <c r="B243" s="13"/>
      <c r="C243" s="13"/>
      <c r="D243" s="26"/>
      <c r="E243" s="23"/>
      <c r="F243" s="54"/>
    </row>
    <row r="244" spans="2:6" x14ac:dyDescent="0.25">
      <c r="B244" s="13"/>
      <c r="C244" s="13"/>
      <c r="D244" s="26"/>
      <c r="E244" s="23"/>
      <c r="F244" s="54"/>
    </row>
    <row r="245" spans="2:6" x14ac:dyDescent="0.25">
      <c r="B245" s="13"/>
      <c r="C245" s="13"/>
      <c r="D245" s="26"/>
      <c r="E245" s="23"/>
      <c r="F245" s="54"/>
    </row>
    <row r="246" spans="2:6" x14ac:dyDescent="0.25">
      <c r="B246" s="13"/>
      <c r="C246" s="13"/>
      <c r="D246" s="26"/>
      <c r="E246" s="23"/>
      <c r="F246" s="54"/>
    </row>
    <row r="247" spans="2:6" x14ac:dyDescent="0.25">
      <c r="B247" s="13"/>
      <c r="C247" s="13"/>
      <c r="D247" s="26"/>
      <c r="E247" s="23"/>
      <c r="F247" s="54"/>
    </row>
    <row r="248" spans="2:6" x14ac:dyDescent="0.25">
      <c r="B248" s="13"/>
      <c r="C248" s="13"/>
      <c r="D248" s="26"/>
      <c r="E248" s="23"/>
      <c r="F248" s="54"/>
    </row>
    <row r="249" spans="2:6" x14ac:dyDescent="0.25">
      <c r="B249" s="13"/>
      <c r="C249" s="13"/>
      <c r="D249" s="26"/>
      <c r="E249" s="23"/>
      <c r="F249" s="54"/>
    </row>
    <row r="250" spans="2:6" x14ac:dyDescent="0.25">
      <c r="B250" s="13"/>
      <c r="C250" s="13"/>
      <c r="D250" s="26"/>
      <c r="E250" s="23"/>
      <c r="F250" s="54"/>
    </row>
    <row r="251" spans="2:6" x14ac:dyDescent="0.25">
      <c r="B251" s="13"/>
      <c r="C251" s="13"/>
      <c r="D251" s="26"/>
      <c r="E251" s="23"/>
      <c r="F251" s="54"/>
    </row>
    <row r="252" spans="2:6" x14ac:dyDescent="0.25">
      <c r="B252" s="13"/>
      <c r="C252" s="13"/>
      <c r="D252" s="26"/>
      <c r="E252" s="23"/>
      <c r="F252" s="54"/>
    </row>
    <row r="253" spans="2:6" x14ac:dyDescent="0.25">
      <c r="B253" s="13"/>
      <c r="C253" s="13"/>
      <c r="D253" s="26"/>
      <c r="E253" s="23"/>
      <c r="F253" s="54"/>
    </row>
    <row r="254" spans="2:6" x14ac:dyDescent="0.25">
      <c r="B254" s="13"/>
      <c r="C254" s="13"/>
      <c r="D254" s="26"/>
      <c r="E254" s="23"/>
      <c r="F254" s="54"/>
    </row>
    <row r="255" spans="2:6" x14ac:dyDescent="0.25">
      <c r="B255" s="13"/>
      <c r="C255" s="13"/>
      <c r="D255" s="26"/>
      <c r="E255" s="23"/>
      <c r="F255" s="54"/>
    </row>
    <row r="256" spans="2:6" x14ac:dyDescent="0.25">
      <c r="B256" s="13"/>
      <c r="C256" s="13"/>
      <c r="D256" s="26"/>
      <c r="E256" s="23"/>
      <c r="F256" s="54"/>
    </row>
    <row r="257" spans="2:7" x14ac:dyDescent="0.25">
      <c r="B257" s="13"/>
      <c r="C257" s="13"/>
      <c r="D257" s="26"/>
      <c r="E257" s="23"/>
      <c r="F257" s="54"/>
    </row>
    <row r="258" spans="2:7" x14ac:dyDescent="0.25">
      <c r="B258" s="13"/>
      <c r="C258" s="13"/>
      <c r="D258" s="26"/>
      <c r="E258" s="23"/>
      <c r="F258" s="54"/>
    </row>
    <row r="259" spans="2:7" x14ac:dyDescent="0.25">
      <c r="B259" s="13"/>
      <c r="C259" s="13"/>
      <c r="D259" s="26"/>
      <c r="E259" s="23"/>
      <c r="F259" s="54"/>
    </row>
    <row r="260" spans="2:7" x14ac:dyDescent="0.25">
      <c r="B260" s="13"/>
      <c r="C260" s="13"/>
      <c r="D260" s="26"/>
      <c r="E260" s="23"/>
      <c r="F260" s="54"/>
    </row>
    <row r="261" spans="2:7" x14ac:dyDescent="0.25">
      <c r="B261" s="13"/>
      <c r="C261" s="13"/>
      <c r="D261" s="26"/>
      <c r="E261" s="23"/>
      <c r="F261" s="54"/>
    </row>
    <row r="262" spans="2:7" x14ac:dyDescent="0.25">
      <c r="B262" s="13"/>
      <c r="C262" s="13"/>
      <c r="D262" s="26"/>
      <c r="E262" s="23"/>
      <c r="F262" s="54"/>
    </row>
    <row r="263" spans="2:7" x14ac:dyDescent="0.25">
      <c r="B263" s="13"/>
      <c r="C263" s="13"/>
      <c r="D263" s="26"/>
      <c r="E263" s="23"/>
      <c r="F263" s="54"/>
    </row>
    <row r="264" spans="2:7" x14ac:dyDescent="0.25">
      <c r="B264" s="13"/>
      <c r="C264" s="13"/>
      <c r="D264" s="26"/>
      <c r="E264" s="23"/>
      <c r="F264" s="54"/>
    </row>
    <row r="265" spans="2:7" x14ac:dyDescent="0.25">
      <c r="F265" s="53"/>
      <c r="G265" s="53"/>
    </row>
    <row r="266" spans="2:7" x14ac:dyDescent="0.25">
      <c r="B266" s="13"/>
      <c r="C266" s="13"/>
      <c r="D266" s="26"/>
      <c r="E266" s="23"/>
    </row>
    <row r="267" spans="2:7" x14ac:dyDescent="0.25">
      <c r="B267" s="13"/>
      <c r="C267" s="13"/>
      <c r="D267" s="26"/>
      <c r="E267" s="23"/>
    </row>
    <row r="268" spans="2:7" x14ac:dyDescent="0.25">
      <c r="B268" s="13"/>
      <c r="C268" s="13"/>
      <c r="D268" s="26"/>
      <c r="E268" s="23"/>
    </row>
    <row r="269" spans="2:7" x14ac:dyDescent="0.25">
      <c r="B269" s="13"/>
      <c r="C269" s="13"/>
      <c r="D269" s="26"/>
      <c r="E269" s="23"/>
    </row>
    <row r="270" spans="2:7" x14ac:dyDescent="0.25">
      <c r="B270" s="13"/>
      <c r="C270" s="13"/>
      <c r="D270" s="26"/>
      <c r="E270" s="23"/>
    </row>
    <row r="271" spans="2:7" x14ac:dyDescent="0.25">
      <c r="B271" s="13"/>
      <c r="C271" s="13"/>
      <c r="D271" s="26"/>
      <c r="E271" s="23"/>
    </row>
    <row r="272" spans="2:7" x14ac:dyDescent="0.25">
      <c r="B272" s="13"/>
      <c r="C272" s="13"/>
      <c r="D272" s="26"/>
      <c r="E272" s="23"/>
    </row>
    <row r="273" spans="2:5" x14ac:dyDescent="0.25">
      <c r="B273" s="13"/>
      <c r="C273" s="13"/>
      <c r="D273" s="26"/>
      <c r="E273" s="23"/>
    </row>
    <row r="274" spans="2:5" x14ac:dyDescent="0.25">
      <c r="B274" s="13"/>
      <c r="C274" s="13"/>
      <c r="D274" s="26"/>
      <c r="E274" s="23"/>
    </row>
    <row r="275" spans="2:5" x14ac:dyDescent="0.25">
      <c r="B275" s="13"/>
      <c r="C275" s="13"/>
      <c r="D275" s="26"/>
      <c r="E275" s="23"/>
    </row>
    <row r="276" spans="2:5" x14ac:dyDescent="0.25">
      <c r="B276" s="13"/>
      <c r="C276" s="13"/>
      <c r="D276" s="26"/>
      <c r="E276" s="23"/>
    </row>
    <row r="277" spans="2:5" x14ac:dyDescent="0.25">
      <c r="B277" s="13"/>
      <c r="C277" s="13"/>
      <c r="D277" s="26"/>
      <c r="E277" s="23"/>
    </row>
    <row r="278" spans="2:5" x14ac:dyDescent="0.25">
      <c r="B278" s="13"/>
      <c r="C278" s="13"/>
      <c r="D278" s="26"/>
      <c r="E278" s="23"/>
    </row>
    <row r="279" spans="2:5" x14ac:dyDescent="0.25">
      <c r="B279" s="13"/>
      <c r="C279" s="13"/>
      <c r="D279" s="26"/>
      <c r="E279" s="23"/>
    </row>
    <row r="280" spans="2:5" x14ac:dyDescent="0.25">
      <c r="B280" s="13"/>
      <c r="C280" s="13"/>
      <c r="D280" s="26"/>
      <c r="E280" s="23"/>
    </row>
    <row r="281" spans="2:5" x14ac:dyDescent="0.25">
      <c r="B281" s="13"/>
      <c r="C281" s="13"/>
      <c r="D281" s="26"/>
      <c r="E281" s="23"/>
    </row>
    <row r="282" spans="2:5" x14ac:dyDescent="0.25">
      <c r="B282" s="13"/>
      <c r="C282" s="13"/>
      <c r="D282" s="26"/>
      <c r="E282" s="23"/>
    </row>
    <row r="283" spans="2:5" x14ac:dyDescent="0.25">
      <c r="B283" s="13"/>
      <c r="C283" s="13"/>
      <c r="D283" s="26"/>
      <c r="E283" s="23"/>
    </row>
    <row r="284" spans="2:5" x14ac:dyDescent="0.25">
      <c r="B284" s="13"/>
      <c r="C284" s="13"/>
      <c r="D284" s="26"/>
      <c r="E284" s="23"/>
    </row>
    <row r="285" spans="2:5" x14ac:dyDescent="0.25">
      <c r="B285" s="13"/>
      <c r="C285" s="13"/>
      <c r="D285" s="26"/>
      <c r="E285" s="23"/>
    </row>
    <row r="286" spans="2:5" x14ac:dyDescent="0.25">
      <c r="B286" s="13"/>
      <c r="C286" s="13"/>
      <c r="D286" s="26"/>
      <c r="E286" s="23"/>
    </row>
    <row r="287" spans="2:5" x14ac:dyDescent="0.25">
      <c r="B287" s="13"/>
      <c r="C287" s="13"/>
      <c r="D287" s="26"/>
      <c r="E287" s="23"/>
    </row>
    <row r="288" spans="2:5" x14ac:dyDescent="0.25">
      <c r="B288" s="13"/>
      <c r="C288" s="13"/>
      <c r="D288" s="26"/>
      <c r="E288" s="23"/>
    </row>
    <row r="289" spans="2:7" x14ac:dyDescent="0.25">
      <c r="B289" s="13"/>
      <c r="C289" s="13"/>
      <c r="D289" s="26"/>
      <c r="E289" s="23"/>
    </row>
    <row r="290" spans="2:7" x14ac:dyDescent="0.25">
      <c r="B290" s="13"/>
      <c r="C290" s="13"/>
      <c r="D290" s="26"/>
      <c r="E290" s="23"/>
    </row>
    <row r="291" spans="2:7" x14ac:dyDescent="0.25">
      <c r="B291" s="13"/>
      <c r="C291" s="13"/>
      <c r="D291" s="26"/>
      <c r="E291" s="23"/>
    </row>
    <row r="292" spans="2:7" x14ac:dyDescent="0.25">
      <c r="B292" s="13"/>
      <c r="C292" s="13"/>
      <c r="D292" s="26"/>
      <c r="E292" s="23"/>
    </row>
    <row r="293" spans="2:7" x14ac:dyDescent="0.25">
      <c r="B293" s="13"/>
      <c r="C293" s="13"/>
      <c r="D293" s="26"/>
      <c r="E293" s="23"/>
    </row>
    <row r="294" spans="2:7" x14ac:dyDescent="0.25">
      <c r="B294" s="13"/>
      <c r="C294" s="13"/>
      <c r="D294" s="26"/>
      <c r="E294" s="23"/>
    </row>
    <row r="295" spans="2:7" x14ac:dyDescent="0.25">
      <c r="B295" s="13"/>
      <c r="C295" s="13"/>
      <c r="D295" s="26"/>
      <c r="E295" s="23"/>
    </row>
    <row r="296" spans="2:7" x14ac:dyDescent="0.25">
      <c r="F296" s="54"/>
      <c r="G296" s="53"/>
    </row>
    <row r="297" spans="2:7" x14ac:dyDescent="0.25">
      <c r="B297" s="13"/>
      <c r="C297" s="13"/>
      <c r="D297" s="26"/>
      <c r="E297" s="23"/>
    </row>
    <row r="298" spans="2:7" x14ac:dyDescent="0.25">
      <c r="C298" s="13"/>
      <c r="D298" s="26"/>
      <c r="E298" s="23"/>
    </row>
    <row r="299" spans="2:7" x14ac:dyDescent="0.25">
      <c r="C299" s="13"/>
      <c r="D299" s="26"/>
      <c r="E299" s="23"/>
    </row>
    <row r="300" spans="2:7" x14ac:dyDescent="0.25">
      <c r="C300" s="13"/>
      <c r="D300" s="26"/>
      <c r="E300" s="23"/>
    </row>
    <row r="301" spans="2:7" x14ac:dyDescent="0.25">
      <c r="C301" s="13"/>
      <c r="D301" s="26"/>
      <c r="E301" s="23"/>
    </row>
    <row r="302" spans="2:7" x14ac:dyDescent="0.25">
      <c r="C302" s="13"/>
      <c r="D302" s="26"/>
      <c r="E302" s="23"/>
    </row>
    <row r="303" spans="2:7" x14ac:dyDescent="0.25">
      <c r="C303" s="13"/>
      <c r="D303" s="26"/>
      <c r="E303" s="23"/>
    </row>
    <row r="304" spans="2:7" x14ac:dyDescent="0.25">
      <c r="C304" s="13"/>
      <c r="D304" s="26"/>
      <c r="E304" s="23"/>
    </row>
    <row r="305" spans="3:5" x14ac:dyDescent="0.25">
      <c r="C305" s="13"/>
      <c r="D305" s="26"/>
      <c r="E305" s="23"/>
    </row>
    <row r="306" spans="3:5" x14ac:dyDescent="0.25">
      <c r="C306" s="13"/>
      <c r="D306" s="26"/>
      <c r="E306" s="23"/>
    </row>
    <row r="307" spans="3:5" x14ac:dyDescent="0.25">
      <c r="C307" s="13"/>
      <c r="D307" s="26"/>
      <c r="E307" s="23"/>
    </row>
    <row r="308" spans="3:5" x14ac:dyDescent="0.25">
      <c r="C308" s="13"/>
      <c r="D308" s="26"/>
      <c r="E308" s="23"/>
    </row>
    <row r="309" spans="3:5" x14ac:dyDescent="0.25">
      <c r="C309" s="13"/>
      <c r="D309" s="26"/>
      <c r="E309" s="23"/>
    </row>
    <row r="310" spans="3:5" x14ac:dyDescent="0.25">
      <c r="C310" s="13"/>
      <c r="D310" s="26"/>
      <c r="E310" s="23"/>
    </row>
    <row r="311" spans="3:5" x14ac:dyDescent="0.25">
      <c r="C311" s="13"/>
      <c r="D311" s="26"/>
      <c r="E311" s="23"/>
    </row>
    <row r="312" spans="3:5" x14ac:dyDescent="0.25">
      <c r="C312" s="13"/>
      <c r="D312" s="26"/>
      <c r="E312" s="23"/>
    </row>
    <row r="313" spans="3:5" x14ac:dyDescent="0.25">
      <c r="C313" s="13"/>
      <c r="D313" s="26"/>
      <c r="E313" s="23"/>
    </row>
    <row r="314" spans="3:5" x14ac:dyDescent="0.25">
      <c r="C314" s="13"/>
      <c r="D314" s="26"/>
      <c r="E314" s="23"/>
    </row>
    <row r="315" spans="3:5" x14ac:dyDescent="0.25">
      <c r="C315" s="13"/>
      <c r="D315" s="26"/>
      <c r="E315" s="23"/>
    </row>
    <row r="316" spans="3:5" x14ac:dyDescent="0.25">
      <c r="C316" s="13"/>
      <c r="D316" s="26"/>
      <c r="E316" s="23"/>
    </row>
    <row r="317" spans="3:5" x14ac:dyDescent="0.25">
      <c r="C317" s="13"/>
      <c r="D317" s="26"/>
      <c r="E317" s="23"/>
    </row>
    <row r="318" spans="3:5" x14ac:dyDescent="0.25">
      <c r="C318" s="13"/>
      <c r="D318" s="26"/>
      <c r="E318" s="23"/>
    </row>
    <row r="319" spans="3:5" x14ac:dyDescent="0.25">
      <c r="C319" s="13"/>
      <c r="D319" s="26"/>
      <c r="E319" s="23"/>
    </row>
    <row r="320" spans="3:5" x14ac:dyDescent="0.25">
      <c r="C320" s="13"/>
      <c r="D320" s="26"/>
      <c r="E320" s="23"/>
    </row>
    <row r="321" spans="3:7" x14ac:dyDescent="0.25">
      <c r="C321" s="13"/>
      <c r="D321" s="26"/>
      <c r="E321" s="23"/>
    </row>
    <row r="322" spans="3:7" x14ac:dyDescent="0.25">
      <c r="C322" s="13"/>
      <c r="D322" s="26"/>
      <c r="E322" s="23"/>
    </row>
    <row r="323" spans="3:7" x14ac:dyDescent="0.25">
      <c r="C323" s="13"/>
      <c r="D323" s="26"/>
      <c r="E323" s="23"/>
    </row>
    <row r="324" spans="3:7" x14ac:dyDescent="0.25">
      <c r="C324" s="13"/>
      <c r="D324" s="26"/>
      <c r="E324" s="23"/>
    </row>
    <row r="325" spans="3:7" x14ac:dyDescent="0.25">
      <c r="C325" s="13"/>
      <c r="D325" s="26"/>
      <c r="E325" s="23"/>
    </row>
    <row r="326" spans="3:7" x14ac:dyDescent="0.25">
      <c r="C326" s="13"/>
      <c r="D326" s="26"/>
      <c r="E326" s="23"/>
    </row>
    <row r="327" spans="3:7" x14ac:dyDescent="0.25">
      <c r="F327" s="54"/>
      <c r="G327" s="53"/>
    </row>
    <row r="328" spans="3:7" x14ac:dyDescent="0.25">
      <c r="C328" s="13"/>
      <c r="D328" s="26"/>
      <c r="E328" s="23"/>
    </row>
    <row r="329" spans="3:7" x14ac:dyDescent="0.25">
      <c r="C329" s="13"/>
      <c r="D329" s="26"/>
      <c r="E329" s="23"/>
    </row>
    <row r="330" spans="3:7" x14ac:dyDescent="0.25">
      <c r="C330" s="13"/>
      <c r="D330" s="26"/>
      <c r="E330" s="23"/>
    </row>
    <row r="331" spans="3:7" x14ac:dyDescent="0.25">
      <c r="C331" s="13"/>
      <c r="D331" s="26"/>
      <c r="E331" s="23"/>
    </row>
    <row r="332" spans="3:7" x14ac:dyDescent="0.25">
      <c r="C332" s="13"/>
      <c r="D332" s="26"/>
      <c r="E332" s="23"/>
    </row>
    <row r="333" spans="3:7" x14ac:dyDescent="0.25">
      <c r="C333" s="13"/>
      <c r="D333" s="26"/>
      <c r="E333" s="23"/>
    </row>
    <row r="334" spans="3:7" x14ac:dyDescent="0.25">
      <c r="C334" s="13"/>
      <c r="D334" s="26"/>
      <c r="E334" s="23"/>
    </row>
    <row r="335" spans="3:7" x14ac:dyDescent="0.25">
      <c r="C335" s="13"/>
      <c r="D335" s="26"/>
      <c r="E335" s="23"/>
    </row>
    <row r="336" spans="3:7" x14ac:dyDescent="0.25">
      <c r="C336" s="13"/>
      <c r="D336" s="26"/>
      <c r="E336" s="23"/>
    </row>
    <row r="337" spans="3:5" x14ac:dyDescent="0.25">
      <c r="C337" s="13"/>
      <c r="D337" s="26"/>
      <c r="E337" s="23"/>
    </row>
    <row r="338" spans="3:5" x14ac:dyDescent="0.25">
      <c r="C338" s="13"/>
      <c r="D338" s="26"/>
      <c r="E338" s="23"/>
    </row>
    <row r="339" spans="3:5" x14ac:dyDescent="0.25">
      <c r="C339" s="13"/>
      <c r="D339" s="26"/>
      <c r="E339" s="23"/>
    </row>
    <row r="340" spans="3:5" x14ac:dyDescent="0.25">
      <c r="C340" s="13"/>
      <c r="D340" s="26"/>
      <c r="E340" s="23"/>
    </row>
    <row r="341" spans="3:5" x14ac:dyDescent="0.25">
      <c r="C341" s="13"/>
      <c r="D341" s="26"/>
      <c r="E341" s="23"/>
    </row>
    <row r="342" spans="3:5" x14ac:dyDescent="0.25">
      <c r="C342" s="13"/>
      <c r="D342" s="26"/>
      <c r="E342" s="23"/>
    </row>
    <row r="343" spans="3:5" x14ac:dyDescent="0.25">
      <c r="C343" s="13"/>
      <c r="D343" s="26"/>
      <c r="E343" s="23"/>
    </row>
    <row r="344" spans="3:5" x14ac:dyDescent="0.25">
      <c r="C344" s="13"/>
      <c r="D344" s="26"/>
      <c r="E344" s="23"/>
    </row>
    <row r="345" spans="3:5" x14ac:dyDescent="0.25">
      <c r="C345" s="13"/>
      <c r="D345" s="26"/>
      <c r="E345" s="23"/>
    </row>
    <row r="346" spans="3:5" x14ac:dyDescent="0.25">
      <c r="C346" s="13"/>
      <c r="D346" s="26"/>
      <c r="E346" s="23"/>
    </row>
    <row r="347" spans="3:5" x14ac:dyDescent="0.25">
      <c r="C347" s="13"/>
      <c r="D347" s="26"/>
      <c r="E347" s="23"/>
    </row>
    <row r="348" spans="3:5" x14ac:dyDescent="0.25">
      <c r="C348" s="13"/>
      <c r="D348" s="26"/>
      <c r="E348" s="23"/>
    </row>
    <row r="349" spans="3:5" x14ac:dyDescent="0.25">
      <c r="C349" s="13"/>
      <c r="D349" s="26"/>
      <c r="E349" s="23"/>
    </row>
    <row r="350" spans="3:5" x14ac:dyDescent="0.25">
      <c r="C350" s="13"/>
      <c r="D350" s="26"/>
      <c r="E350" s="23"/>
    </row>
    <row r="351" spans="3:5" x14ac:dyDescent="0.25">
      <c r="C351" s="13"/>
      <c r="D351" s="26"/>
      <c r="E351" s="23"/>
    </row>
    <row r="352" spans="3:5" x14ac:dyDescent="0.25">
      <c r="C352" s="13"/>
      <c r="D352" s="26"/>
      <c r="E352" s="23"/>
    </row>
    <row r="353" spans="3:7" x14ac:dyDescent="0.25">
      <c r="C353" s="13"/>
      <c r="D353" s="26"/>
      <c r="E353" s="23"/>
    </row>
    <row r="354" spans="3:7" x14ac:dyDescent="0.25">
      <c r="C354" s="13"/>
      <c r="D354" s="26"/>
      <c r="E354" s="23"/>
    </row>
    <row r="355" spans="3:7" x14ac:dyDescent="0.25">
      <c r="C355" s="13"/>
      <c r="D355" s="26"/>
      <c r="E355" s="23"/>
    </row>
    <row r="356" spans="3:7" x14ac:dyDescent="0.25">
      <c r="C356" s="13"/>
      <c r="D356" s="26"/>
      <c r="E356" s="23"/>
    </row>
    <row r="357" spans="3:7" x14ac:dyDescent="0.25">
      <c r="C357" s="13"/>
      <c r="D357" s="26"/>
      <c r="E357" s="23"/>
    </row>
    <row r="358" spans="3:7" x14ac:dyDescent="0.25">
      <c r="F358" s="54"/>
      <c r="G358" s="53"/>
    </row>
    <row r="359" spans="3:7" x14ac:dyDescent="0.25">
      <c r="C359" s="13"/>
      <c r="D359" s="26"/>
      <c r="E359" s="23"/>
    </row>
    <row r="360" spans="3:7" x14ac:dyDescent="0.25">
      <c r="C360" s="13"/>
      <c r="D360" s="26"/>
      <c r="E360" s="23"/>
    </row>
    <row r="361" spans="3:7" x14ac:dyDescent="0.25">
      <c r="C361" s="13"/>
      <c r="D361" s="26"/>
      <c r="E361" s="23"/>
    </row>
    <row r="362" spans="3:7" x14ac:dyDescent="0.25">
      <c r="C362" s="13"/>
      <c r="D362" s="26"/>
      <c r="E362" s="23"/>
    </row>
    <row r="363" spans="3:7" x14ac:dyDescent="0.25">
      <c r="C363" s="13"/>
      <c r="D363" s="26"/>
      <c r="E363" s="23"/>
    </row>
    <row r="364" spans="3:7" x14ac:dyDescent="0.25">
      <c r="C364" s="13"/>
      <c r="D364" s="26"/>
      <c r="E364" s="23"/>
    </row>
    <row r="365" spans="3:7" x14ac:dyDescent="0.25">
      <c r="C365" s="13"/>
      <c r="D365" s="26"/>
      <c r="E365" s="23"/>
    </row>
    <row r="366" spans="3:7" x14ac:dyDescent="0.25">
      <c r="C366" s="13"/>
      <c r="D366" s="26"/>
      <c r="E366" s="23"/>
    </row>
    <row r="367" spans="3:7" x14ac:dyDescent="0.25">
      <c r="C367" s="13"/>
      <c r="D367" s="26"/>
      <c r="E367" s="23"/>
    </row>
    <row r="368" spans="3:7" x14ac:dyDescent="0.25">
      <c r="C368" s="13"/>
      <c r="D368" s="26"/>
      <c r="E368" s="23"/>
    </row>
    <row r="369" spans="3:5" x14ac:dyDescent="0.25">
      <c r="C369" s="13"/>
      <c r="D369" s="26"/>
      <c r="E369" s="23"/>
    </row>
    <row r="370" spans="3:5" x14ac:dyDescent="0.25">
      <c r="C370" s="13"/>
      <c r="D370" s="26"/>
      <c r="E370" s="23"/>
    </row>
    <row r="371" spans="3:5" x14ac:dyDescent="0.25">
      <c r="C371" s="13"/>
      <c r="D371" s="26"/>
      <c r="E371" s="23"/>
    </row>
    <row r="372" spans="3:5" x14ac:dyDescent="0.25">
      <c r="C372" s="13"/>
      <c r="D372" s="26"/>
      <c r="E372" s="23"/>
    </row>
    <row r="373" spans="3:5" x14ac:dyDescent="0.25">
      <c r="C373" s="13"/>
      <c r="D373" s="26"/>
      <c r="E373" s="23"/>
    </row>
    <row r="374" spans="3:5" x14ac:dyDescent="0.25">
      <c r="C374" s="13"/>
      <c r="D374" s="26"/>
      <c r="E374" s="23"/>
    </row>
    <row r="375" spans="3:5" x14ac:dyDescent="0.25">
      <c r="C375" s="13"/>
      <c r="D375" s="26"/>
      <c r="E375" s="23"/>
    </row>
    <row r="376" spans="3:5" x14ac:dyDescent="0.25">
      <c r="C376" s="13"/>
      <c r="D376" s="26"/>
      <c r="E376" s="23"/>
    </row>
    <row r="377" spans="3:5" x14ac:dyDescent="0.25">
      <c r="C377" s="13"/>
      <c r="D377" s="26"/>
      <c r="E377" s="23"/>
    </row>
    <row r="378" spans="3:5" x14ac:dyDescent="0.25">
      <c r="C378" s="13"/>
      <c r="D378" s="26"/>
      <c r="E378" s="23"/>
    </row>
    <row r="379" spans="3:5" x14ac:dyDescent="0.25">
      <c r="C379" s="13"/>
      <c r="D379" s="26"/>
      <c r="E379" s="23"/>
    </row>
    <row r="380" spans="3:5" x14ac:dyDescent="0.25">
      <c r="C380" s="13"/>
      <c r="D380" s="26"/>
      <c r="E380" s="23"/>
    </row>
    <row r="381" spans="3:5" x14ac:dyDescent="0.25">
      <c r="C381" s="13"/>
      <c r="D381" s="26"/>
      <c r="E381" s="23"/>
    </row>
    <row r="382" spans="3:5" x14ac:dyDescent="0.25">
      <c r="C382" s="13"/>
      <c r="D382" s="26"/>
      <c r="E382" s="23"/>
    </row>
    <row r="383" spans="3:5" x14ac:dyDescent="0.25">
      <c r="C383" s="13"/>
      <c r="D383" s="26"/>
      <c r="E383" s="23"/>
    </row>
    <row r="384" spans="3:5" x14ac:dyDescent="0.25">
      <c r="C384" s="13"/>
      <c r="D384" s="26"/>
      <c r="E384" s="23"/>
    </row>
    <row r="385" spans="3:5" x14ac:dyDescent="0.25">
      <c r="C385" s="13"/>
      <c r="D385" s="26"/>
      <c r="E385" s="23"/>
    </row>
    <row r="386" spans="3:5" x14ac:dyDescent="0.25">
      <c r="C386" s="13"/>
      <c r="D386" s="26"/>
      <c r="E386" s="23"/>
    </row>
    <row r="387" spans="3:5" x14ac:dyDescent="0.25">
      <c r="C387" s="13"/>
      <c r="D387" s="26"/>
      <c r="E387" s="23"/>
    </row>
    <row r="388" spans="3:5" x14ac:dyDescent="0.25">
      <c r="C388" s="13"/>
      <c r="D388" s="26"/>
      <c r="E388" s="23"/>
    </row>
    <row r="389" spans="3:5" x14ac:dyDescent="0.25">
      <c r="C389" s="13"/>
      <c r="D389" s="26"/>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40">
    <mergeCell ref="G93:G99"/>
    <mergeCell ref="F93:F99"/>
    <mergeCell ref="F103:F104"/>
    <mergeCell ref="G48:G54"/>
    <mergeCell ref="G57:G67"/>
    <mergeCell ref="F57:F67"/>
    <mergeCell ref="B1:F1"/>
    <mergeCell ref="F48:F54"/>
    <mergeCell ref="F36:F46"/>
    <mergeCell ref="G20:G22"/>
    <mergeCell ref="G12:G13"/>
    <mergeCell ref="G7:G8"/>
    <mergeCell ref="G36:G46"/>
    <mergeCell ref="F201:F209"/>
    <mergeCell ref="F179:F182"/>
    <mergeCell ref="G201:G209"/>
    <mergeCell ref="F219:F222"/>
    <mergeCell ref="G147:G151"/>
    <mergeCell ref="G162:G165"/>
    <mergeCell ref="G219:G222"/>
    <mergeCell ref="G212:G215"/>
    <mergeCell ref="F212:F215"/>
    <mergeCell ref="F185:F188"/>
    <mergeCell ref="F191:F194"/>
    <mergeCell ref="G172:G173"/>
    <mergeCell ref="G216:G217"/>
    <mergeCell ref="G191:G194"/>
    <mergeCell ref="F162:F165"/>
    <mergeCell ref="F175:F176"/>
    <mergeCell ref="F147:F151"/>
    <mergeCell ref="G175:G176"/>
    <mergeCell ref="G103:G104"/>
    <mergeCell ref="F109:F112"/>
    <mergeCell ref="G185:G188"/>
    <mergeCell ref="F138:F139"/>
    <mergeCell ref="G179:G182"/>
    <mergeCell ref="G138:G139"/>
    <mergeCell ref="G109:G112"/>
    <mergeCell ref="F129:F135"/>
    <mergeCell ref="G129:G135"/>
  </mergeCells>
  <phoneticPr fontId="10" type="noConversion"/>
  <printOptions horizontalCentered="1" gridLines="1"/>
  <pageMargins left="0.5" right="0.5" top="0.46" bottom="0.5" header="0.27" footer="0.23"/>
  <pageSetup scale="55" fitToHeight="23" orientation="landscape" r:id="rId6"/>
  <headerFooter alignWithMargins="0">
    <oddHeader>&amp;RLayout provided by Data Recognition Corporation - Proprietary and Confidential</oddHeader>
    <oddFooter>&amp;LK = Key Verification              C = Corrections
E = Equating                        M = Merge&amp;CPage &amp;P of &amp;N&amp;RLast Saved Date: 6/10/2013 12:42:31 PM</oddFooter>
  </headerFooter>
  <drawing r:id="rId7"/>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iLDESTD</vt:lpstr>
      <vt:lpstr>iLDESTD!Print_Titles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Paul Libersher</cp:lastModifiedBy>
  <cp:lastPrinted>2013-02-11T22:17:10Z</cp:lastPrinted>
  <dcterms:created xsi:type="dcterms:W3CDTF">1999-04-08T16:47:24Z</dcterms:created>
  <dcterms:modified xsi:type="dcterms:W3CDTF">2013-07-09T17:13:55Z</dcterms:modified>
</cp:coreProperties>
</file>