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T:\LEAP-iLEAP-GEE\File Layouts_Syntax_txt files\"/>
    </mc:Choice>
  </mc:AlternateContent>
  <bookViews>
    <workbookView xWindow="0" yWindow="0" windowWidth="23070" windowHeight="9660" activeTab="2"/>
  </bookViews>
  <sheets>
    <sheet name="LDESTD" sheetId="1" r:id="rId1"/>
    <sheet name="Reference Locations" sheetId="3" r:id="rId2"/>
    <sheet name="spss load syntax" sheetId="4" r:id="rId3"/>
  </sheets>
  <definedNames>
    <definedName name="_xlnm._FilterDatabase" localSheetId="0" hidden="1">LDESTD!$A$2:$F$449</definedName>
    <definedName name="_xlnm._FilterDatabase" localSheetId="2" hidden="1">'spss load syntax'!$A$2:$I$449</definedName>
  </definedNames>
  <calcPr calcId="162913"/>
</workbook>
</file>

<file path=xl/calcChain.xml><?xml version="1.0" encoding="utf-8"?>
<calcChain xmlns="http://schemas.openxmlformats.org/spreadsheetml/2006/main">
  <c r="F448" i="4" l="1"/>
  <c r="F445" i="4"/>
  <c r="F442" i="4"/>
  <c r="F439" i="4"/>
  <c r="F435" i="4"/>
  <c r="F433" i="4"/>
  <c r="F431" i="4"/>
  <c r="F429" i="4"/>
  <c r="F423" i="4"/>
  <c r="F418" i="4"/>
  <c r="F406" i="4"/>
  <c r="F396" i="4"/>
  <c r="F389" i="4"/>
  <c r="F383" i="4"/>
  <c r="F371" i="4"/>
  <c r="F353" i="4"/>
  <c r="F348" i="4"/>
  <c r="F317" i="4"/>
  <c r="F309" i="4"/>
  <c r="F288" i="4"/>
  <c r="F286" i="4"/>
  <c r="F282" i="4"/>
  <c r="F274" i="4"/>
  <c r="F268" i="4"/>
  <c r="F255" i="4"/>
  <c r="F252" i="4"/>
  <c r="F241" i="4"/>
  <c r="F230" i="4"/>
  <c r="F216" i="4"/>
  <c r="F210" i="4"/>
  <c r="F196" i="4"/>
  <c r="F185" i="4"/>
  <c r="F174" i="4"/>
  <c r="F161" i="4"/>
  <c r="F155" i="4"/>
  <c r="F138" i="4"/>
  <c r="F122" i="4"/>
  <c r="F110" i="4"/>
  <c r="F96" i="4"/>
  <c r="F91" i="4"/>
  <c r="F88" i="4"/>
  <c r="F75" i="4"/>
  <c r="F72" i="4"/>
  <c r="F62" i="4"/>
  <c r="F60" i="4"/>
  <c r="F53" i="4"/>
  <c r="F40" i="4"/>
  <c r="F36" i="4"/>
  <c r="F34" i="4"/>
  <c r="F32" i="4"/>
  <c r="F28" i="4"/>
  <c r="F26" i="4"/>
  <c r="F23" i="4"/>
  <c r="F21" i="4"/>
  <c r="F19" i="4"/>
  <c r="C4" i="4"/>
  <c r="A5" i="4"/>
  <c r="B4" i="4"/>
  <c r="D4" i="4" s="1"/>
  <c r="I4" i="4" l="1"/>
  <c r="B5" i="4"/>
  <c r="D5" i="4" s="1"/>
  <c r="C5" i="4"/>
  <c r="A6" i="4"/>
  <c r="C6" i="4" s="1"/>
  <c r="A5" i="1"/>
  <c r="A6" i="1" s="1"/>
  <c r="B4" i="1"/>
  <c r="I5" i="4" l="1"/>
  <c r="B6" i="4"/>
  <c r="D6" i="4" s="1"/>
  <c r="I6" i="4" s="1"/>
  <c r="A7" i="4"/>
  <c r="C7" i="4" s="1"/>
  <c r="B5" i="1"/>
  <c r="A7" i="1"/>
  <c r="B6" i="1"/>
  <c r="A8" i="4" l="1"/>
  <c r="C8" i="4" s="1"/>
  <c r="B7" i="4"/>
  <c r="D7" i="4" s="1"/>
  <c r="I7" i="4" s="1"/>
  <c r="A8" i="1"/>
  <c r="B7" i="1"/>
  <c r="B8" i="4" l="1"/>
  <c r="D8" i="4" s="1"/>
  <c r="I8" i="4" s="1"/>
  <c r="A9" i="4"/>
  <c r="C9" i="4" s="1"/>
  <c r="A9" i="1"/>
  <c r="B8" i="1"/>
  <c r="B9" i="4" l="1"/>
  <c r="D9" i="4" s="1"/>
  <c r="I9" i="4" s="1"/>
  <c r="A10" i="4"/>
  <c r="C10" i="4" s="1"/>
  <c r="A10" i="1"/>
  <c r="B9" i="1"/>
  <c r="B10" i="4" l="1"/>
  <c r="D10" i="4" s="1"/>
  <c r="I10" i="4" s="1"/>
  <c r="A11" i="4"/>
  <c r="C11" i="4" s="1"/>
  <c r="A11" i="1"/>
  <c r="B10" i="1"/>
  <c r="A12" i="4" l="1"/>
  <c r="C12" i="4" s="1"/>
  <c r="B11" i="4"/>
  <c r="D11" i="4" s="1"/>
  <c r="I11" i="4" s="1"/>
  <c r="A12" i="1"/>
  <c r="B11" i="1"/>
  <c r="B12" i="4" l="1"/>
  <c r="D12" i="4" s="1"/>
  <c r="I12" i="4" s="1"/>
  <c r="A13" i="4"/>
  <c r="C13" i="4" s="1"/>
  <c r="A13" i="1"/>
  <c r="B12" i="1"/>
  <c r="B13" i="4" l="1"/>
  <c r="D13" i="4" s="1"/>
  <c r="I13" i="4" s="1"/>
  <c r="A14" i="4"/>
  <c r="C14" i="4" s="1"/>
  <c r="A14" i="1"/>
  <c r="B13" i="1"/>
  <c r="A15" i="4" l="1"/>
  <c r="C15" i="4" s="1"/>
  <c r="B14" i="4"/>
  <c r="D14" i="4" s="1"/>
  <c r="I14" i="4" s="1"/>
  <c r="A15" i="1"/>
  <c r="B14" i="1"/>
  <c r="A16" i="4" l="1"/>
  <c r="C16" i="4" s="1"/>
  <c r="B15" i="4"/>
  <c r="D15" i="4" s="1"/>
  <c r="I15" i="4" s="1"/>
  <c r="A16" i="1"/>
  <c r="B15" i="1"/>
  <c r="B16" i="4" l="1"/>
  <c r="D16" i="4" s="1"/>
  <c r="I16" i="4" s="1"/>
  <c r="A17" i="4"/>
  <c r="C17" i="4" s="1"/>
  <c r="A17" i="1"/>
  <c r="B16" i="1"/>
  <c r="A18" i="4" l="1"/>
  <c r="C18" i="4" s="1"/>
  <c r="B17" i="4"/>
  <c r="D17" i="4" s="1"/>
  <c r="I17" i="4" s="1"/>
  <c r="A18" i="1"/>
  <c r="B17" i="1"/>
  <c r="B18" i="4" l="1"/>
  <c r="D18" i="4" s="1"/>
  <c r="I18" i="4" s="1"/>
  <c r="A19" i="4"/>
  <c r="C19" i="4" s="1"/>
  <c r="B18" i="1"/>
  <c r="A19" i="1"/>
  <c r="A20" i="1" s="1"/>
  <c r="A20" i="4" l="1"/>
  <c r="C20" i="4" s="1"/>
  <c r="B19" i="4"/>
  <c r="D19" i="4" s="1"/>
  <c r="I19" i="4" s="1"/>
  <c r="B19" i="1"/>
  <c r="B20" i="4" l="1"/>
  <c r="D20" i="4" s="1"/>
  <c r="I20" i="4" s="1"/>
  <c r="A21" i="4"/>
  <c r="C21" i="4" s="1"/>
  <c r="A21" i="1"/>
  <c r="B20" i="1"/>
  <c r="B21" i="4" l="1"/>
  <c r="D21" i="4" s="1"/>
  <c r="I21" i="4" s="1"/>
  <c r="A22" i="4"/>
  <c r="C22" i="4" s="1"/>
  <c r="A22" i="1"/>
  <c r="A23" i="1" s="1"/>
  <c r="B23" i="1" s="1"/>
  <c r="B21" i="1"/>
  <c r="B22" i="4" l="1"/>
  <c r="D22" i="4" s="1"/>
  <c r="I22" i="4" s="1"/>
  <c r="A23" i="4"/>
  <c r="C23" i="4" s="1"/>
  <c r="B22" i="1"/>
  <c r="A24" i="4" l="1"/>
  <c r="C24" i="4" s="1"/>
  <c r="B23" i="4"/>
  <c r="D23" i="4" s="1"/>
  <c r="I23" i="4" s="1"/>
  <c r="A24" i="1"/>
  <c r="B24" i="4" l="1"/>
  <c r="D24" i="4" s="1"/>
  <c r="I24" i="4" s="1"/>
  <c r="A25" i="4"/>
  <c r="C25" i="4" s="1"/>
  <c r="A25" i="1"/>
  <c r="A26" i="1" s="1"/>
  <c r="B24" i="1"/>
  <c r="B25" i="4" l="1"/>
  <c r="D25" i="4" s="1"/>
  <c r="I25" i="4" s="1"/>
  <c r="A26" i="4"/>
  <c r="C26" i="4" s="1"/>
  <c r="B26" i="1"/>
  <c r="A27" i="1"/>
  <c r="A28" i="1" s="1"/>
  <c r="B25" i="1"/>
  <c r="A27" i="4" l="1"/>
  <c r="C27" i="4" s="1"/>
  <c r="B26" i="4"/>
  <c r="D26" i="4" s="1"/>
  <c r="I26" i="4" s="1"/>
  <c r="B27" i="1"/>
  <c r="A28" i="4" l="1"/>
  <c r="C28" i="4" s="1"/>
  <c r="B27" i="4"/>
  <c r="D27" i="4" s="1"/>
  <c r="I27" i="4" s="1"/>
  <c r="A29" i="1"/>
  <c r="A30" i="1" s="1"/>
  <c r="B28" i="1"/>
  <c r="B28" i="4" l="1"/>
  <c r="D28" i="4" s="1"/>
  <c r="I28" i="4" s="1"/>
  <c r="A29" i="4"/>
  <c r="C29" i="4" s="1"/>
  <c r="B29" i="1"/>
  <c r="A31" i="1"/>
  <c r="A32" i="1" s="1"/>
  <c r="B30" i="1"/>
  <c r="B29" i="4" l="1"/>
  <c r="D29" i="4" s="1"/>
  <c r="I29" i="4" s="1"/>
  <c r="A30" i="4"/>
  <c r="C30" i="4" s="1"/>
  <c r="B31" i="1"/>
  <c r="B30" i="4" l="1"/>
  <c r="D30" i="4" s="1"/>
  <c r="I30" i="4" s="1"/>
  <c r="A31" i="4"/>
  <c r="C31" i="4" s="1"/>
  <c r="B32" i="1"/>
  <c r="A33" i="1"/>
  <c r="A34" i="1" s="1"/>
  <c r="A32" i="4" l="1"/>
  <c r="C32" i="4" s="1"/>
  <c r="B31" i="4"/>
  <c r="D31" i="4" s="1"/>
  <c r="I31" i="4" s="1"/>
  <c r="B33" i="1"/>
  <c r="B32" i="4" l="1"/>
  <c r="D32" i="4" s="1"/>
  <c r="I32" i="4" s="1"/>
  <c r="A33" i="4"/>
  <c r="C33" i="4" s="1"/>
  <c r="A35" i="1"/>
  <c r="B34" i="1"/>
  <c r="B33" i="4" l="1"/>
  <c r="D33" i="4" s="1"/>
  <c r="I33" i="4" s="1"/>
  <c r="A34" i="4"/>
  <c r="C34" i="4" s="1"/>
  <c r="B35" i="1"/>
  <c r="A36" i="1"/>
  <c r="A38" i="1" s="1"/>
  <c r="B34" i="4" l="1"/>
  <c r="D34" i="4" s="1"/>
  <c r="I34" i="4" s="1"/>
  <c r="A35" i="4"/>
  <c r="C35" i="4" s="1"/>
  <c r="B36" i="1"/>
  <c r="A36" i="4" l="1"/>
  <c r="C36" i="4" s="1"/>
  <c r="B35" i="4"/>
  <c r="D35" i="4" s="1"/>
  <c r="I35" i="4" s="1"/>
  <c r="A39" i="1"/>
  <c r="A40" i="1" s="1"/>
  <c r="B38" i="1"/>
  <c r="B36" i="4" l="1"/>
  <c r="D36" i="4" s="1"/>
  <c r="I36" i="4" s="1"/>
  <c r="A38" i="4"/>
  <c r="C38" i="4" s="1"/>
  <c r="B39" i="1"/>
  <c r="A39" i="4" l="1"/>
  <c r="C39" i="4" s="1"/>
  <c r="B38" i="4"/>
  <c r="D38" i="4" s="1"/>
  <c r="I38" i="4" s="1"/>
  <c r="A42" i="1"/>
  <c r="B42" i="1" s="1"/>
  <c r="B40" i="1"/>
  <c r="B39" i="4" l="1"/>
  <c r="D39" i="4" s="1"/>
  <c r="I39" i="4" s="1"/>
  <c r="A40" i="4"/>
  <c r="C40" i="4" s="1"/>
  <c r="A43" i="1"/>
  <c r="A44" i="1" s="1"/>
  <c r="A42" i="4" l="1"/>
  <c r="C42" i="4" s="1"/>
  <c r="B40" i="4"/>
  <c r="D40" i="4" s="1"/>
  <c r="I40" i="4" s="1"/>
  <c r="B43" i="1"/>
  <c r="B44" i="1"/>
  <c r="A45" i="1"/>
  <c r="B42" i="4" l="1"/>
  <c r="D42" i="4" s="1"/>
  <c r="I42" i="4" s="1"/>
  <c r="A43" i="4"/>
  <c r="C43" i="4" s="1"/>
  <c r="B45" i="1"/>
  <c r="A46" i="1"/>
  <c r="B43" i="4" l="1"/>
  <c r="D43" i="4" s="1"/>
  <c r="I43" i="4" s="1"/>
  <c r="A44" i="4"/>
  <c r="C44" i="4" s="1"/>
  <c r="A47" i="1"/>
  <c r="B46" i="1"/>
  <c r="A45" i="4" l="1"/>
  <c r="C45" i="4" s="1"/>
  <c r="B44" i="4"/>
  <c r="D44" i="4" s="1"/>
  <c r="I44" i="4" s="1"/>
  <c r="A48" i="1"/>
  <c r="B47" i="1"/>
  <c r="A46" i="4" l="1"/>
  <c r="C46" i="4" s="1"/>
  <c r="B45" i="4"/>
  <c r="D45" i="4" s="1"/>
  <c r="I45" i="4" s="1"/>
  <c r="B48" i="1"/>
  <c r="A49" i="1"/>
  <c r="A50" i="1" s="1"/>
  <c r="B46" i="4" l="1"/>
  <c r="D46" i="4" s="1"/>
  <c r="I46" i="4" s="1"/>
  <c r="A47" i="4"/>
  <c r="C47" i="4" s="1"/>
  <c r="A51" i="1"/>
  <c r="B50" i="1"/>
  <c r="B49" i="1"/>
  <c r="B47" i="4" l="1"/>
  <c r="D47" i="4" s="1"/>
  <c r="I47" i="4" s="1"/>
  <c r="A48" i="4"/>
  <c r="C48" i="4" s="1"/>
  <c r="B51" i="1"/>
  <c r="A53" i="1"/>
  <c r="B53" i="1" s="1"/>
  <c r="B48" i="4" l="1"/>
  <c r="D48" i="4" s="1"/>
  <c r="I48" i="4" s="1"/>
  <c r="A49" i="4"/>
  <c r="C49" i="4" s="1"/>
  <c r="A54" i="1"/>
  <c r="A55" i="1" s="1"/>
  <c r="A50" i="4" l="1"/>
  <c r="C50" i="4" s="1"/>
  <c r="B49" i="4"/>
  <c r="D49" i="4" s="1"/>
  <c r="I49" i="4" s="1"/>
  <c r="B54" i="1"/>
  <c r="A56" i="1"/>
  <c r="B55" i="1"/>
  <c r="B50" i="4" l="1"/>
  <c r="D50" i="4" s="1"/>
  <c r="I50" i="4" s="1"/>
  <c r="A51" i="4"/>
  <c r="C51" i="4" s="1"/>
  <c r="A57" i="1"/>
  <c r="A58" i="1" s="1"/>
  <c r="B56" i="1"/>
  <c r="B51" i="4" l="1"/>
  <c r="D51" i="4" s="1"/>
  <c r="I51" i="4" s="1"/>
  <c r="A53" i="4"/>
  <c r="C53" i="4" s="1"/>
  <c r="A59" i="1"/>
  <c r="B58" i="1"/>
  <c r="B57" i="1"/>
  <c r="B53" i="4" l="1"/>
  <c r="D53" i="4" s="1"/>
  <c r="I53" i="4" s="1"/>
  <c r="A54" i="4"/>
  <c r="C54" i="4" s="1"/>
  <c r="B59" i="1"/>
  <c r="A60" i="1"/>
  <c r="A55" i="4" l="1"/>
  <c r="C55" i="4" s="1"/>
  <c r="B54" i="4"/>
  <c r="D54" i="4" s="1"/>
  <c r="I54" i="4" s="1"/>
  <c r="B60" i="1"/>
  <c r="A62" i="1"/>
  <c r="B55" i="4" l="1"/>
  <c r="D55" i="4" s="1"/>
  <c r="I55" i="4" s="1"/>
  <c r="A56" i="4"/>
  <c r="C56" i="4" s="1"/>
  <c r="A63" i="1"/>
  <c r="A64" i="1" s="1"/>
  <c r="B62" i="1"/>
  <c r="A57" i="4" l="1"/>
  <c r="C57" i="4" s="1"/>
  <c r="B56" i="4"/>
  <c r="D56" i="4" s="1"/>
  <c r="I56" i="4" s="1"/>
  <c r="B63" i="1"/>
  <c r="B57" i="4" l="1"/>
  <c r="D57" i="4" s="1"/>
  <c r="I57" i="4" s="1"/>
  <c r="A58" i="4"/>
  <c r="C58" i="4" s="1"/>
  <c r="B64" i="1"/>
  <c r="A65" i="1"/>
  <c r="A59" i="4" l="1"/>
  <c r="C59" i="4" s="1"/>
  <c r="B58" i="4"/>
  <c r="D58" i="4" s="1"/>
  <c r="I58" i="4" s="1"/>
  <c r="B65" i="1"/>
  <c r="A66" i="1"/>
  <c r="A60" i="4" l="1"/>
  <c r="C60" i="4" s="1"/>
  <c r="B59" i="4"/>
  <c r="D59" i="4" s="1"/>
  <c r="I59" i="4" s="1"/>
  <c r="B66" i="1"/>
  <c r="A67" i="1"/>
  <c r="B60" i="4" l="1"/>
  <c r="D60" i="4" s="1"/>
  <c r="I60" i="4" s="1"/>
  <c r="A62" i="4"/>
  <c r="C62" i="4" s="1"/>
  <c r="A68" i="1"/>
  <c r="B67" i="1"/>
  <c r="A63" i="4" l="1"/>
  <c r="C63" i="4" s="1"/>
  <c r="B62" i="4"/>
  <c r="D62" i="4" s="1"/>
  <c r="I62" i="4" s="1"/>
  <c r="A69" i="1"/>
  <c r="A70" i="1" s="1"/>
  <c r="B68" i="1"/>
  <c r="A64" i="4" l="1"/>
  <c r="C64" i="4" s="1"/>
  <c r="B63" i="4"/>
  <c r="D63" i="4" s="1"/>
  <c r="I63" i="4" s="1"/>
  <c r="A71" i="1"/>
  <c r="B70" i="1"/>
  <c r="B69" i="1"/>
  <c r="A65" i="4" l="1"/>
  <c r="C65" i="4" s="1"/>
  <c r="B64" i="4"/>
  <c r="D64" i="4" s="1"/>
  <c r="I64" i="4" s="1"/>
  <c r="B71" i="1"/>
  <c r="A72" i="1"/>
  <c r="B72" i="1" s="1"/>
  <c r="B65" i="4" l="1"/>
  <c r="D65" i="4" s="1"/>
  <c r="I65" i="4" s="1"/>
  <c r="A66" i="4"/>
  <c r="C66" i="4" s="1"/>
  <c r="A74" i="1"/>
  <c r="B74" i="1" s="1"/>
  <c r="A67" i="4" l="1"/>
  <c r="C67" i="4" s="1"/>
  <c r="B66" i="4"/>
  <c r="D66" i="4" s="1"/>
  <c r="I66" i="4" s="1"/>
  <c r="A75" i="1"/>
  <c r="B75" i="1" s="1"/>
  <c r="A68" i="4" l="1"/>
  <c r="C68" i="4" s="1"/>
  <c r="B67" i="4"/>
  <c r="D67" i="4" s="1"/>
  <c r="I67" i="4" s="1"/>
  <c r="A77" i="1"/>
  <c r="B77" i="1" s="1"/>
  <c r="A69" i="4" l="1"/>
  <c r="C69" i="4" s="1"/>
  <c r="B68" i="4"/>
  <c r="D68" i="4" s="1"/>
  <c r="I68" i="4" s="1"/>
  <c r="A78" i="1"/>
  <c r="B78" i="1" s="1"/>
  <c r="B69" i="4" l="1"/>
  <c r="D69" i="4" s="1"/>
  <c r="I69" i="4" s="1"/>
  <c r="A70" i="4"/>
  <c r="C70" i="4" s="1"/>
  <c r="A79" i="1"/>
  <c r="A80" i="1" s="1"/>
  <c r="A71" i="4" l="1"/>
  <c r="C71" i="4" s="1"/>
  <c r="B70" i="4"/>
  <c r="D70" i="4" s="1"/>
  <c r="I70" i="4" s="1"/>
  <c r="B79" i="1"/>
  <c r="B80" i="1"/>
  <c r="A81" i="1"/>
  <c r="A72" i="4" l="1"/>
  <c r="C72" i="4" s="1"/>
  <c r="B71" i="4"/>
  <c r="D71" i="4" s="1"/>
  <c r="I71" i="4" s="1"/>
  <c r="A82" i="1"/>
  <c r="B81" i="1"/>
  <c r="A74" i="4" l="1"/>
  <c r="C74" i="4" s="1"/>
  <c r="B72" i="4"/>
  <c r="D72" i="4" s="1"/>
  <c r="I72" i="4" s="1"/>
  <c r="A83" i="1"/>
  <c r="B82" i="1"/>
  <c r="B74" i="4" l="1"/>
  <c r="D74" i="4" s="1"/>
  <c r="I74" i="4" s="1"/>
  <c r="A75" i="4"/>
  <c r="C75" i="4" s="1"/>
  <c r="B83" i="1"/>
  <c r="A84" i="1"/>
  <c r="A77" i="4" l="1"/>
  <c r="C77" i="4" s="1"/>
  <c r="B75" i="4"/>
  <c r="D75" i="4" s="1"/>
  <c r="I75" i="4" s="1"/>
  <c r="A85" i="1"/>
  <c r="B84" i="1"/>
  <c r="A78" i="4" l="1"/>
  <c r="C78" i="4" s="1"/>
  <c r="B77" i="4"/>
  <c r="D77" i="4" s="1"/>
  <c r="I77" i="4" s="1"/>
  <c r="B85" i="1"/>
  <c r="A86" i="1"/>
  <c r="A79" i="4" l="1"/>
  <c r="C79" i="4" s="1"/>
  <c r="B78" i="4"/>
  <c r="D78" i="4" s="1"/>
  <c r="I78" i="4" s="1"/>
  <c r="A87" i="1"/>
  <c r="B86" i="1"/>
  <c r="B79" i="4" l="1"/>
  <c r="D79" i="4" s="1"/>
  <c r="I79" i="4" s="1"/>
  <c r="A80" i="4"/>
  <c r="C80" i="4" s="1"/>
  <c r="B87" i="1"/>
  <c r="A88" i="1"/>
  <c r="A81" i="4" l="1"/>
  <c r="C81" i="4" s="1"/>
  <c r="B80" i="4"/>
  <c r="D80" i="4" s="1"/>
  <c r="I80" i="4" s="1"/>
  <c r="A90" i="1"/>
  <c r="A91" i="1" s="1"/>
  <c r="B88" i="1"/>
  <c r="A82" i="4" l="1"/>
  <c r="C82" i="4" s="1"/>
  <c r="B81" i="4"/>
  <c r="D81" i="4" s="1"/>
  <c r="I81" i="4" s="1"/>
  <c r="B90" i="1"/>
  <c r="A83" i="4" l="1"/>
  <c r="C83" i="4" s="1"/>
  <c r="B82" i="4"/>
  <c r="D82" i="4" s="1"/>
  <c r="I82" i="4" s="1"/>
  <c r="B91" i="1"/>
  <c r="A92" i="1"/>
  <c r="B83" i="4" l="1"/>
  <c r="D83" i="4" s="1"/>
  <c r="I83" i="4" s="1"/>
  <c r="A84" i="4"/>
  <c r="C84" i="4" s="1"/>
  <c r="B92" i="1"/>
  <c r="A93" i="1"/>
  <c r="A85" i="4" l="1"/>
  <c r="C85" i="4" s="1"/>
  <c r="B84" i="4"/>
  <c r="D84" i="4" s="1"/>
  <c r="I84" i="4" s="1"/>
  <c r="A94" i="1"/>
  <c r="B93" i="1"/>
  <c r="A86" i="4" l="1"/>
  <c r="C86" i="4" s="1"/>
  <c r="B85" i="4"/>
  <c r="D85" i="4" s="1"/>
  <c r="I85" i="4" s="1"/>
  <c r="B94" i="1"/>
  <c r="A95" i="1"/>
  <c r="A87" i="4" l="1"/>
  <c r="C87" i="4" s="1"/>
  <c r="B86" i="4"/>
  <c r="D86" i="4" s="1"/>
  <c r="I86" i="4" s="1"/>
  <c r="B95" i="1"/>
  <c r="A96" i="1"/>
  <c r="A98" i="1" s="1"/>
  <c r="B87" i="4" l="1"/>
  <c r="D87" i="4" s="1"/>
  <c r="I87" i="4" s="1"/>
  <c r="A88" i="4"/>
  <c r="C88" i="4" s="1"/>
  <c r="B96" i="1"/>
  <c r="A90" i="4" l="1"/>
  <c r="C90" i="4" s="1"/>
  <c r="B88" i="4"/>
  <c r="D88" i="4" s="1"/>
  <c r="I88" i="4" s="1"/>
  <c r="A99" i="1"/>
  <c r="A91" i="4" l="1"/>
  <c r="C91" i="4" s="1"/>
  <c r="B90" i="4"/>
  <c r="D90" i="4" s="1"/>
  <c r="I90" i="4" s="1"/>
  <c r="B98" i="1"/>
  <c r="B99" i="1"/>
  <c r="A100" i="1"/>
  <c r="A92" i="4" l="1"/>
  <c r="C92" i="4" s="1"/>
  <c r="B91" i="4"/>
  <c r="D91" i="4" s="1"/>
  <c r="I91" i="4" s="1"/>
  <c r="A101" i="1"/>
  <c r="B100" i="1"/>
  <c r="B92" i="4" l="1"/>
  <c r="D92" i="4" s="1"/>
  <c r="I92" i="4" s="1"/>
  <c r="A93" i="4"/>
  <c r="C93" i="4" s="1"/>
  <c r="B101" i="1"/>
  <c r="A102" i="1"/>
  <c r="A94" i="4" l="1"/>
  <c r="C94" i="4" s="1"/>
  <c r="B93" i="4"/>
  <c r="D93" i="4" s="1"/>
  <c r="I93" i="4" s="1"/>
  <c r="B102" i="1"/>
  <c r="A103" i="1"/>
  <c r="A95" i="4" l="1"/>
  <c r="C95" i="4" s="1"/>
  <c r="B94" i="4"/>
  <c r="D94" i="4" s="1"/>
  <c r="I94" i="4" s="1"/>
  <c r="A104" i="1"/>
  <c r="B103" i="1"/>
  <c r="A96" i="4" l="1"/>
  <c r="C96" i="4" s="1"/>
  <c r="B95" i="4"/>
  <c r="D95" i="4" s="1"/>
  <c r="I95" i="4" s="1"/>
  <c r="B104" i="1"/>
  <c r="A105" i="1"/>
  <c r="A106" i="1" s="1"/>
  <c r="B96" i="4" l="1"/>
  <c r="D96" i="4" s="1"/>
  <c r="I96" i="4" s="1"/>
  <c r="A98" i="4"/>
  <c r="C98" i="4" s="1"/>
  <c r="A107" i="1"/>
  <c r="B106" i="1"/>
  <c r="B105" i="1"/>
  <c r="A99" i="4" l="1"/>
  <c r="C99" i="4" s="1"/>
  <c r="B98" i="4"/>
  <c r="D98" i="4" s="1"/>
  <c r="I98" i="4" s="1"/>
  <c r="A108" i="1"/>
  <c r="A110" i="1" s="1"/>
  <c r="B107" i="1"/>
  <c r="A100" i="4" l="1"/>
  <c r="C100" i="4" s="1"/>
  <c r="B99" i="4"/>
  <c r="D99" i="4" s="1"/>
  <c r="I99" i="4" s="1"/>
  <c r="B108" i="1"/>
  <c r="B110" i="1"/>
  <c r="A111" i="1"/>
  <c r="A101" i="4" l="1"/>
  <c r="C101" i="4" s="1"/>
  <c r="B100" i="4"/>
  <c r="D100" i="4" s="1"/>
  <c r="I100" i="4" s="1"/>
  <c r="B111" i="1"/>
  <c r="A112" i="1"/>
  <c r="B101" i="4" l="1"/>
  <c r="D101" i="4" s="1"/>
  <c r="I101" i="4" s="1"/>
  <c r="A102" i="4"/>
  <c r="C102" i="4" s="1"/>
  <c r="A113" i="1"/>
  <c r="B112" i="1"/>
  <c r="A103" i="4" l="1"/>
  <c r="C103" i="4" s="1"/>
  <c r="B102" i="4"/>
  <c r="D102" i="4" s="1"/>
  <c r="I102" i="4" s="1"/>
  <c r="B113" i="1"/>
  <c r="A114" i="1"/>
  <c r="A115" i="1" s="1"/>
  <c r="A116" i="1" s="1"/>
  <c r="A104" i="4" l="1"/>
  <c r="C104" i="4" s="1"/>
  <c r="B103" i="4"/>
  <c r="D103" i="4" s="1"/>
  <c r="I103" i="4" s="1"/>
  <c r="A117" i="1"/>
  <c r="B116" i="1"/>
  <c r="B115" i="1"/>
  <c r="B114" i="1"/>
  <c r="A105" i="4" l="1"/>
  <c r="C105" i="4" s="1"/>
  <c r="B104" i="4"/>
  <c r="D104" i="4" s="1"/>
  <c r="I104" i="4" s="1"/>
  <c r="B117" i="1"/>
  <c r="A118" i="1"/>
  <c r="B105" i="4" l="1"/>
  <c r="D105" i="4" s="1"/>
  <c r="I105" i="4" s="1"/>
  <c r="A106" i="4"/>
  <c r="C106" i="4" s="1"/>
  <c r="B118" i="1"/>
  <c r="A119" i="1"/>
  <c r="A107" i="4" l="1"/>
  <c r="C107" i="4" s="1"/>
  <c r="B106" i="4"/>
  <c r="D106" i="4" s="1"/>
  <c r="I106" i="4" s="1"/>
  <c r="A120" i="1"/>
  <c r="B119" i="1"/>
  <c r="A108" i="4" l="1"/>
  <c r="C108" i="4" s="1"/>
  <c r="B107" i="4"/>
  <c r="D107" i="4" s="1"/>
  <c r="I107" i="4" s="1"/>
  <c r="B120" i="1"/>
  <c r="A122" i="1"/>
  <c r="A110" i="4" l="1"/>
  <c r="C110" i="4" s="1"/>
  <c r="B108" i="4"/>
  <c r="D108" i="4" s="1"/>
  <c r="I108" i="4" s="1"/>
  <c r="B122" i="1"/>
  <c r="A123" i="1"/>
  <c r="A124" i="1" s="1"/>
  <c r="B110" i="4" l="1"/>
  <c r="D110" i="4" s="1"/>
  <c r="I110" i="4" s="1"/>
  <c r="A111" i="4"/>
  <c r="C111" i="4" s="1"/>
  <c r="B123" i="1"/>
  <c r="A112" i="4" l="1"/>
  <c r="C112" i="4" s="1"/>
  <c r="B111" i="4"/>
  <c r="D111" i="4" s="1"/>
  <c r="I111" i="4" s="1"/>
  <c r="A125" i="1"/>
  <c r="B124" i="1"/>
  <c r="A113" i="4" l="1"/>
  <c r="C113" i="4" s="1"/>
  <c r="B112" i="4"/>
  <c r="D112" i="4" s="1"/>
  <c r="I112" i="4" s="1"/>
  <c r="B125" i="1"/>
  <c r="A126" i="1"/>
  <c r="A114" i="4" l="1"/>
  <c r="C114" i="4" s="1"/>
  <c r="B113" i="4"/>
  <c r="D113" i="4" s="1"/>
  <c r="I113" i="4" s="1"/>
  <c r="B126" i="1"/>
  <c r="A127" i="1"/>
  <c r="B114" i="4" l="1"/>
  <c r="D114" i="4" s="1"/>
  <c r="I114" i="4" s="1"/>
  <c r="A115" i="4"/>
  <c r="C115" i="4" s="1"/>
  <c r="B127" i="1"/>
  <c r="A128" i="1"/>
  <c r="I115" i="4" l="1"/>
  <c r="A116" i="4"/>
  <c r="C116" i="4" s="1"/>
  <c r="B115" i="4"/>
  <c r="D115" i="4" s="1"/>
  <c r="A129" i="1"/>
  <c r="B128" i="1"/>
  <c r="I116" i="4" l="1"/>
  <c r="A117" i="4"/>
  <c r="C117" i="4" s="1"/>
  <c r="B116" i="4"/>
  <c r="D116" i="4" s="1"/>
  <c r="A130" i="1"/>
  <c r="B129" i="1"/>
  <c r="I117" i="4" l="1"/>
  <c r="A118" i="4"/>
  <c r="C118" i="4" s="1"/>
  <c r="B117" i="4"/>
  <c r="D117" i="4" s="1"/>
  <c r="B130" i="1"/>
  <c r="A131" i="1"/>
  <c r="I118" i="4" l="1"/>
  <c r="B118" i="4"/>
  <c r="D118" i="4" s="1"/>
  <c r="A119" i="4"/>
  <c r="C119" i="4" s="1"/>
  <c r="A132" i="1"/>
  <c r="A134" i="1" s="1"/>
  <c r="B131" i="1"/>
  <c r="A120" i="4" l="1"/>
  <c r="C120" i="4" s="1"/>
  <c r="B119" i="4"/>
  <c r="D119" i="4" s="1"/>
  <c r="I119" i="4" s="1"/>
  <c r="B132" i="1"/>
  <c r="A122" i="4" l="1"/>
  <c r="C122" i="4" s="1"/>
  <c r="B120" i="4"/>
  <c r="D120" i="4" s="1"/>
  <c r="I120" i="4" s="1"/>
  <c r="B134" i="1"/>
  <c r="A135" i="1"/>
  <c r="A123" i="4" l="1"/>
  <c r="C123" i="4" s="1"/>
  <c r="B122" i="4"/>
  <c r="D122" i="4" s="1"/>
  <c r="I122" i="4" s="1"/>
  <c r="A136" i="1"/>
  <c r="B135" i="1"/>
  <c r="B123" i="4" l="1"/>
  <c r="D123" i="4" s="1"/>
  <c r="I123" i="4" s="1"/>
  <c r="A124" i="4"/>
  <c r="C124" i="4" s="1"/>
  <c r="B136" i="1"/>
  <c r="A137" i="1"/>
  <c r="I124" i="4" l="1"/>
  <c r="A125" i="4"/>
  <c r="C125" i="4" s="1"/>
  <c r="B124" i="4"/>
  <c r="D124" i="4" s="1"/>
  <c r="A138" i="1"/>
  <c r="B137" i="1"/>
  <c r="A126" i="4" l="1"/>
  <c r="C126" i="4" s="1"/>
  <c r="B125" i="4"/>
  <c r="D125" i="4" s="1"/>
  <c r="I125" i="4" s="1"/>
  <c r="B138" i="1"/>
  <c r="A140" i="1"/>
  <c r="A127" i="4" l="1"/>
  <c r="C127" i="4" s="1"/>
  <c r="B126" i="4"/>
  <c r="D126" i="4" s="1"/>
  <c r="I126" i="4" s="1"/>
  <c r="B140" i="1"/>
  <c r="A141" i="1"/>
  <c r="I127" i="4" l="1"/>
  <c r="B127" i="4"/>
  <c r="D127" i="4" s="1"/>
  <c r="A128" i="4"/>
  <c r="C128" i="4" s="1"/>
  <c r="B141" i="1"/>
  <c r="A142" i="1"/>
  <c r="I128" i="4" l="1"/>
  <c r="A129" i="4"/>
  <c r="C129" i="4" s="1"/>
  <c r="B128" i="4"/>
  <c r="D128" i="4" s="1"/>
  <c r="A143" i="1"/>
  <c r="B142" i="1"/>
  <c r="I129" i="4" l="1"/>
  <c r="A130" i="4"/>
  <c r="C130" i="4" s="1"/>
  <c r="B129" i="4"/>
  <c r="D129" i="4" s="1"/>
  <c r="B143" i="1"/>
  <c r="A144" i="1"/>
  <c r="I130" i="4" l="1"/>
  <c r="A131" i="4"/>
  <c r="C131" i="4" s="1"/>
  <c r="B130" i="4"/>
  <c r="D130" i="4" s="1"/>
  <c r="B144" i="1"/>
  <c r="A145" i="1"/>
  <c r="I131" i="4" l="1"/>
  <c r="B131" i="4"/>
  <c r="D131" i="4" s="1"/>
  <c r="A132" i="4"/>
  <c r="C132" i="4" s="1"/>
  <c r="B145" i="1"/>
  <c r="A146" i="1"/>
  <c r="I132" i="4" l="1"/>
  <c r="A134" i="4"/>
  <c r="C134" i="4" s="1"/>
  <c r="B132" i="4"/>
  <c r="D132" i="4" s="1"/>
  <c r="B146" i="1"/>
  <c r="A147" i="1"/>
  <c r="I134" i="4" l="1"/>
  <c r="A135" i="4"/>
  <c r="C135" i="4" s="1"/>
  <c r="B134" i="4"/>
  <c r="D134" i="4" s="1"/>
  <c r="B147" i="1"/>
  <c r="A148" i="1"/>
  <c r="I135" i="4" l="1"/>
  <c r="A136" i="4"/>
  <c r="C136" i="4" s="1"/>
  <c r="B135" i="4"/>
  <c r="D135" i="4" s="1"/>
  <c r="A149" i="1"/>
  <c r="B148" i="1"/>
  <c r="I136" i="4" l="1"/>
  <c r="B136" i="4"/>
  <c r="D136" i="4" s="1"/>
  <c r="A137" i="4"/>
  <c r="C137" i="4" s="1"/>
  <c r="A150" i="1"/>
  <c r="B149" i="1"/>
  <c r="A138" i="4" l="1"/>
  <c r="C138" i="4" s="1"/>
  <c r="B137" i="4"/>
  <c r="D137" i="4" s="1"/>
  <c r="I137" i="4" s="1"/>
  <c r="A151" i="1"/>
  <c r="B150" i="1"/>
  <c r="A140" i="4" l="1"/>
  <c r="C140" i="4" s="1"/>
  <c r="B138" i="4"/>
  <c r="D138" i="4" s="1"/>
  <c r="I138" i="4" s="1"/>
  <c r="A152" i="1"/>
  <c r="A153" i="1" s="1"/>
  <c r="B151" i="1"/>
  <c r="I140" i="4" l="1"/>
  <c r="A141" i="4"/>
  <c r="C141" i="4" s="1"/>
  <c r="B140" i="4"/>
  <c r="D140" i="4" s="1"/>
  <c r="A154" i="1"/>
  <c r="B153" i="1"/>
  <c r="B152" i="1"/>
  <c r="I141" i="4" l="1"/>
  <c r="B141" i="4"/>
  <c r="D141" i="4" s="1"/>
  <c r="A142" i="4"/>
  <c r="C142" i="4" s="1"/>
  <c r="B154" i="1"/>
  <c r="A155" i="1"/>
  <c r="A157" i="1" s="1"/>
  <c r="I142" i="4" l="1"/>
  <c r="A143" i="4"/>
  <c r="C143" i="4" s="1"/>
  <c r="B142" i="4"/>
  <c r="D142" i="4" s="1"/>
  <c r="B155" i="1"/>
  <c r="I143" i="4" l="1"/>
  <c r="A144" i="4"/>
  <c r="C144" i="4" s="1"/>
  <c r="B143" i="4"/>
  <c r="D143" i="4" s="1"/>
  <c r="A158" i="1"/>
  <c r="A159" i="1" s="1"/>
  <c r="B157" i="1"/>
  <c r="I144" i="4" l="1"/>
  <c r="A145" i="4"/>
  <c r="C145" i="4" s="1"/>
  <c r="B144" i="4"/>
  <c r="D144" i="4" s="1"/>
  <c r="B158" i="1"/>
  <c r="I145" i="4" l="1"/>
  <c r="B145" i="4"/>
  <c r="D145" i="4" s="1"/>
  <c r="A146" i="4"/>
  <c r="C146" i="4" s="1"/>
  <c r="A160" i="1"/>
  <c r="B159" i="1"/>
  <c r="I146" i="4" l="1"/>
  <c r="A147" i="4"/>
  <c r="C147" i="4" s="1"/>
  <c r="B146" i="4"/>
  <c r="D146" i="4" s="1"/>
  <c r="B160" i="1"/>
  <c r="A161" i="1"/>
  <c r="A163" i="1" s="1"/>
  <c r="A148" i="4" l="1"/>
  <c r="C148" i="4" s="1"/>
  <c r="B147" i="4"/>
  <c r="D147" i="4" s="1"/>
  <c r="I147" i="4" s="1"/>
  <c r="B161" i="1"/>
  <c r="A149" i="4" l="1"/>
  <c r="C149" i="4" s="1"/>
  <c r="B148" i="4"/>
  <c r="D148" i="4" s="1"/>
  <c r="I148" i="4" s="1"/>
  <c r="A164" i="1"/>
  <c r="B163" i="1"/>
  <c r="I149" i="4" l="1"/>
  <c r="B149" i="4"/>
  <c r="D149" i="4" s="1"/>
  <c r="A150" i="4"/>
  <c r="C150" i="4" s="1"/>
  <c r="B164" i="1"/>
  <c r="A165" i="1"/>
  <c r="I150" i="4" l="1"/>
  <c r="A151" i="4"/>
  <c r="C151" i="4" s="1"/>
  <c r="B150" i="4"/>
  <c r="D150" i="4" s="1"/>
  <c r="A166" i="1"/>
  <c r="B165" i="1"/>
  <c r="I151" i="4" l="1"/>
  <c r="A152" i="4"/>
  <c r="C152" i="4" s="1"/>
  <c r="B151" i="4"/>
  <c r="D151" i="4" s="1"/>
  <c r="A167" i="1"/>
  <c r="B166" i="1"/>
  <c r="I152" i="4" l="1"/>
  <c r="A153" i="4"/>
  <c r="C153" i="4" s="1"/>
  <c r="B152" i="4"/>
  <c r="D152" i="4" s="1"/>
  <c r="A168" i="1"/>
  <c r="B167" i="1"/>
  <c r="B153" i="4" l="1"/>
  <c r="D153" i="4" s="1"/>
  <c r="I153" i="4" s="1"/>
  <c r="A154" i="4"/>
  <c r="C154" i="4" s="1"/>
  <c r="B168" i="1"/>
  <c r="A169" i="1"/>
  <c r="A155" i="4" l="1"/>
  <c r="C155" i="4" s="1"/>
  <c r="B154" i="4"/>
  <c r="D154" i="4" s="1"/>
  <c r="I154" i="4" s="1"/>
  <c r="A170" i="1"/>
  <c r="B169" i="1"/>
  <c r="A157" i="4" l="1"/>
  <c r="C157" i="4" s="1"/>
  <c r="B155" i="4"/>
  <c r="D155" i="4" s="1"/>
  <c r="I155" i="4" s="1"/>
  <c r="A171" i="1"/>
  <c r="B170" i="1"/>
  <c r="A158" i="4" l="1"/>
  <c r="C158" i="4" s="1"/>
  <c r="B157" i="4"/>
  <c r="D157" i="4" s="1"/>
  <c r="I157" i="4" s="1"/>
  <c r="A172" i="1"/>
  <c r="B171" i="1"/>
  <c r="A159" i="4" l="1"/>
  <c r="C159" i="4" s="1"/>
  <c r="B158" i="4"/>
  <c r="D158" i="4" s="1"/>
  <c r="I158" i="4" s="1"/>
  <c r="A174" i="1"/>
  <c r="B172" i="1"/>
  <c r="A160" i="4" l="1"/>
  <c r="C160" i="4" s="1"/>
  <c r="B159" i="4"/>
  <c r="D159" i="4" s="1"/>
  <c r="I159" i="4" s="1"/>
  <c r="A175" i="1"/>
  <c r="B174" i="1"/>
  <c r="A161" i="4" l="1"/>
  <c r="C161" i="4" s="1"/>
  <c r="B160" i="4"/>
  <c r="D160" i="4" s="1"/>
  <c r="I160" i="4" s="1"/>
  <c r="A176" i="1"/>
  <c r="B175" i="1"/>
  <c r="A163" i="4" l="1"/>
  <c r="C163" i="4" s="1"/>
  <c r="B161" i="4"/>
  <c r="D161" i="4" s="1"/>
  <c r="I161" i="4" s="1"/>
  <c r="B176" i="1"/>
  <c r="A177" i="1"/>
  <c r="A164" i="4" l="1"/>
  <c r="C164" i="4" s="1"/>
  <c r="B163" i="4"/>
  <c r="D163" i="4" s="1"/>
  <c r="I163" i="4" s="1"/>
  <c r="A178" i="1"/>
  <c r="B177" i="1"/>
  <c r="A165" i="4" l="1"/>
  <c r="C165" i="4" s="1"/>
  <c r="B164" i="4"/>
  <c r="D164" i="4" s="1"/>
  <c r="I164" i="4" s="1"/>
  <c r="B178" i="1"/>
  <c r="A179" i="1"/>
  <c r="A166" i="4" l="1"/>
  <c r="C166" i="4" s="1"/>
  <c r="B165" i="4"/>
  <c r="D165" i="4" s="1"/>
  <c r="I165" i="4" s="1"/>
  <c r="A180" i="1"/>
  <c r="B179" i="1"/>
  <c r="A167" i="4" l="1"/>
  <c r="C167" i="4" s="1"/>
  <c r="B166" i="4"/>
  <c r="D166" i="4" s="1"/>
  <c r="I166" i="4" s="1"/>
  <c r="B180" i="1"/>
  <c r="A181" i="1"/>
  <c r="A168" i="4" l="1"/>
  <c r="C168" i="4" s="1"/>
  <c r="B167" i="4"/>
  <c r="D167" i="4" s="1"/>
  <c r="I167" i="4" s="1"/>
  <c r="A182" i="1"/>
  <c r="B181" i="1"/>
  <c r="A169" i="4" l="1"/>
  <c r="C169" i="4" s="1"/>
  <c r="B168" i="4"/>
  <c r="D168" i="4" s="1"/>
  <c r="I168" i="4" s="1"/>
  <c r="B182" i="1"/>
  <c r="A183" i="1"/>
  <c r="I169" i="4" l="1"/>
  <c r="A170" i="4"/>
  <c r="C170" i="4" s="1"/>
  <c r="B169" i="4"/>
  <c r="D169" i="4" s="1"/>
  <c r="B183" i="1"/>
  <c r="A185" i="1"/>
  <c r="I170" i="4" l="1"/>
  <c r="A171" i="4"/>
  <c r="C171" i="4" s="1"/>
  <c r="B170" i="4"/>
  <c r="D170" i="4" s="1"/>
  <c r="B185" i="1"/>
  <c r="A186" i="1"/>
  <c r="A172" i="4" l="1"/>
  <c r="C172" i="4" s="1"/>
  <c r="B171" i="4"/>
  <c r="D171" i="4" s="1"/>
  <c r="I171" i="4" s="1"/>
  <c r="A187" i="1"/>
  <c r="B186" i="1"/>
  <c r="I172" i="4" l="1"/>
  <c r="A174" i="4"/>
  <c r="C174" i="4" s="1"/>
  <c r="B172" i="4"/>
  <c r="D172" i="4" s="1"/>
  <c r="A188" i="1"/>
  <c r="B187" i="1"/>
  <c r="A175" i="4" l="1"/>
  <c r="C175" i="4" s="1"/>
  <c r="B174" i="4"/>
  <c r="D174" i="4" s="1"/>
  <c r="I174" i="4" s="1"/>
  <c r="A189" i="1"/>
  <c r="B188" i="1"/>
  <c r="A176" i="4" l="1"/>
  <c r="C176" i="4" s="1"/>
  <c r="B175" i="4"/>
  <c r="D175" i="4" s="1"/>
  <c r="I175" i="4" s="1"/>
  <c r="A190" i="1"/>
  <c r="B189" i="1"/>
  <c r="A177" i="4" l="1"/>
  <c r="C177" i="4" s="1"/>
  <c r="B176" i="4"/>
  <c r="D176" i="4" s="1"/>
  <c r="I176" i="4" s="1"/>
  <c r="B190" i="1"/>
  <c r="A191" i="1"/>
  <c r="A178" i="4" l="1"/>
  <c r="C178" i="4" s="1"/>
  <c r="B177" i="4"/>
  <c r="D177" i="4" s="1"/>
  <c r="I177" i="4" s="1"/>
  <c r="A192" i="1"/>
  <c r="B191" i="1"/>
  <c r="A179" i="4" l="1"/>
  <c r="C179" i="4" s="1"/>
  <c r="B178" i="4"/>
  <c r="D178" i="4" s="1"/>
  <c r="I178" i="4" s="1"/>
  <c r="A193" i="1"/>
  <c r="B192" i="1"/>
  <c r="A180" i="4" l="1"/>
  <c r="C180" i="4" s="1"/>
  <c r="B179" i="4"/>
  <c r="D179" i="4" s="1"/>
  <c r="I179" i="4" s="1"/>
  <c r="B193" i="1"/>
  <c r="A194" i="1"/>
  <c r="A181" i="4" l="1"/>
  <c r="C181" i="4" s="1"/>
  <c r="B180" i="4"/>
  <c r="D180" i="4" s="1"/>
  <c r="I180" i="4" s="1"/>
  <c r="A195" i="1"/>
  <c r="B194" i="1"/>
  <c r="A182" i="4" l="1"/>
  <c r="C182" i="4" s="1"/>
  <c r="B181" i="4"/>
  <c r="D181" i="4" s="1"/>
  <c r="I181" i="4" s="1"/>
  <c r="A196" i="1"/>
  <c r="B195" i="1"/>
  <c r="I182" i="4" l="1"/>
  <c r="A183" i="4"/>
  <c r="C183" i="4" s="1"/>
  <c r="B182" i="4"/>
  <c r="D182" i="4" s="1"/>
  <c r="B196" i="1"/>
  <c r="A198" i="1"/>
  <c r="I183" i="4" l="1"/>
  <c r="A185" i="4"/>
  <c r="C185" i="4" s="1"/>
  <c r="B183" i="4"/>
  <c r="D183" i="4" s="1"/>
  <c r="A200" i="1"/>
  <c r="B198" i="1"/>
  <c r="A186" i="4" l="1"/>
  <c r="C186" i="4" s="1"/>
  <c r="B185" i="4"/>
  <c r="D185" i="4" s="1"/>
  <c r="I185" i="4" s="1"/>
  <c r="A201" i="1"/>
  <c r="B200" i="1"/>
  <c r="I186" i="4" l="1"/>
  <c r="A187" i="4"/>
  <c r="C187" i="4" s="1"/>
  <c r="B186" i="4"/>
  <c r="D186" i="4" s="1"/>
  <c r="B201" i="1"/>
  <c r="A202" i="1"/>
  <c r="I187" i="4" l="1"/>
  <c r="A188" i="4"/>
  <c r="C188" i="4" s="1"/>
  <c r="B187" i="4"/>
  <c r="D187" i="4" s="1"/>
  <c r="A203" i="1"/>
  <c r="B202" i="1"/>
  <c r="I188" i="4" l="1"/>
  <c r="A189" i="4"/>
  <c r="C189" i="4" s="1"/>
  <c r="B188" i="4"/>
  <c r="D188" i="4" s="1"/>
  <c r="B203" i="1"/>
  <c r="A204" i="1"/>
  <c r="I189" i="4" l="1"/>
  <c r="A190" i="4"/>
  <c r="C190" i="4" s="1"/>
  <c r="B189" i="4"/>
  <c r="D189" i="4" s="1"/>
  <c r="A205" i="1"/>
  <c r="B204" i="1"/>
  <c r="I190" i="4" l="1"/>
  <c r="A191" i="4"/>
  <c r="C191" i="4" s="1"/>
  <c r="B190" i="4"/>
  <c r="D190" i="4" s="1"/>
  <c r="B205" i="1"/>
  <c r="A206" i="1"/>
  <c r="I191" i="4" l="1"/>
  <c r="A192" i="4"/>
  <c r="C192" i="4" s="1"/>
  <c r="B191" i="4"/>
  <c r="D191" i="4" s="1"/>
  <c r="A207" i="1"/>
  <c r="B206" i="1"/>
  <c r="A193" i="4" l="1"/>
  <c r="C193" i="4" s="1"/>
  <c r="B192" i="4"/>
  <c r="D192" i="4" s="1"/>
  <c r="I192" i="4" s="1"/>
  <c r="B207" i="1"/>
  <c r="A208" i="1"/>
  <c r="A194" i="4" l="1"/>
  <c r="C194" i="4" s="1"/>
  <c r="B193" i="4"/>
  <c r="D193" i="4" s="1"/>
  <c r="I193" i="4" s="1"/>
  <c r="A209" i="1"/>
  <c r="B208" i="1"/>
  <c r="A195" i="4" l="1"/>
  <c r="C195" i="4" s="1"/>
  <c r="B194" i="4"/>
  <c r="D194" i="4" s="1"/>
  <c r="I194" i="4" s="1"/>
  <c r="B209" i="1"/>
  <c r="A210" i="1"/>
  <c r="A212" i="1" s="1"/>
  <c r="A196" i="4" l="1"/>
  <c r="C196" i="4" s="1"/>
  <c r="B195" i="4"/>
  <c r="D195" i="4" s="1"/>
  <c r="I195" i="4" s="1"/>
  <c r="B210" i="1"/>
  <c r="A198" i="4" l="1"/>
  <c r="C198" i="4" s="1"/>
  <c r="B196" i="4"/>
  <c r="D196" i="4" s="1"/>
  <c r="I196" i="4" s="1"/>
  <c r="B212" i="1"/>
  <c r="A213" i="1"/>
  <c r="A200" i="4" l="1"/>
  <c r="C200" i="4" s="1"/>
  <c r="B198" i="4"/>
  <c r="D198" i="4" s="1"/>
  <c r="I198" i="4" s="1"/>
  <c r="A214" i="1"/>
  <c r="B213" i="1"/>
  <c r="A201" i="4" l="1"/>
  <c r="C201" i="4" s="1"/>
  <c r="B200" i="4"/>
  <c r="D200" i="4" s="1"/>
  <c r="I200" i="4" s="1"/>
  <c r="B214" i="1"/>
  <c r="A215" i="1"/>
  <c r="A202" i="4" l="1"/>
  <c r="C202" i="4" s="1"/>
  <c r="B201" i="4"/>
  <c r="D201" i="4" s="1"/>
  <c r="I201" i="4" s="1"/>
  <c r="A216" i="1"/>
  <c r="A218" i="1" s="1"/>
  <c r="B215" i="1"/>
  <c r="A203" i="4" l="1"/>
  <c r="C203" i="4" s="1"/>
  <c r="B202" i="4"/>
  <c r="D202" i="4" s="1"/>
  <c r="I202" i="4" s="1"/>
  <c r="B216" i="1"/>
  <c r="A204" i="4" l="1"/>
  <c r="C204" i="4" s="1"/>
  <c r="B203" i="4"/>
  <c r="D203" i="4" s="1"/>
  <c r="I203" i="4" s="1"/>
  <c r="A219" i="1"/>
  <c r="B218" i="1"/>
  <c r="A205" i="4" l="1"/>
  <c r="C205" i="4" s="1"/>
  <c r="B204" i="4"/>
  <c r="D204" i="4" s="1"/>
  <c r="I204" i="4" s="1"/>
  <c r="B219" i="1"/>
  <c r="A220" i="1"/>
  <c r="A206" i="4" l="1"/>
  <c r="C206" i="4" s="1"/>
  <c r="B205" i="4"/>
  <c r="D205" i="4" s="1"/>
  <c r="I205" i="4" s="1"/>
  <c r="B220" i="1"/>
  <c r="A221" i="1"/>
  <c r="A207" i="4" l="1"/>
  <c r="C207" i="4" s="1"/>
  <c r="B206" i="4"/>
  <c r="D206" i="4" s="1"/>
  <c r="I206" i="4" s="1"/>
  <c r="A222" i="1"/>
  <c r="B221" i="1"/>
  <c r="A208" i="4" l="1"/>
  <c r="C208" i="4" s="1"/>
  <c r="B207" i="4"/>
  <c r="D207" i="4" s="1"/>
  <c r="I207" i="4" s="1"/>
  <c r="A223" i="1"/>
  <c r="B222" i="1"/>
  <c r="A209" i="4" l="1"/>
  <c r="C209" i="4" s="1"/>
  <c r="B208" i="4"/>
  <c r="D208" i="4" s="1"/>
  <c r="I208" i="4" s="1"/>
  <c r="B223" i="1"/>
  <c r="A224" i="1"/>
  <c r="A210" i="4" l="1"/>
  <c r="C210" i="4" s="1"/>
  <c r="B209" i="4"/>
  <c r="D209" i="4" s="1"/>
  <c r="I209" i="4" s="1"/>
  <c r="B224" i="1"/>
  <c r="A225" i="1"/>
  <c r="A212" i="4" l="1"/>
  <c r="C212" i="4" s="1"/>
  <c r="B210" i="4"/>
  <c r="D210" i="4" s="1"/>
  <c r="I210" i="4" s="1"/>
  <c r="A226" i="1"/>
  <c r="B225" i="1"/>
  <c r="A213" i="4" l="1"/>
  <c r="C213" i="4" s="1"/>
  <c r="B212" i="4"/>
  <c r="D212" i="4" s="1"/>
  <c r="I212" i="4" s="1"/>
  <c r="A227" i="1"/>
  <c r="B226" i="1"/>
  <c r="A214" i="4" l="1"/>
  <c r="C214" i="4" s="1"/>
  <c r="B213" i="4"/>
  <c r="D213" i="4" s="1"/>
  <c r="I213" i="4" s="1"/>
  <c r="A228" i="1"/>
  <c r="B227" i="1"/>
  <c r="A215" i="4" l="1"/>
  <c r="C215" i="4" s="1"/>
  <c r="B214" i="4"/>
  <c r="D214" i="4" s="1"/>
  <c r="I214" i="4" s="1"/>
  <c r="A230" i="1"/>
  <c r="B228" i="1"/>
  <c r="A216" i="4" l="1"/>
  <c r="C216" i="4" s="1"/>
  <c r="B215" i="4"/>
  <c r="D215" i="4" s="1"/>
  <c r="I215" i="4" s="1"/>
  <c r="A231" i="1"/>
  <c r="B230" i="1"/>
  <c r="A218" i="4" l="1"/>
  <c r="C218" i="4" s="1"/>
  <c r="B216" i="4"/>
  <c r="D216" i="4" s="1"/>
  <c r="I216" i="4" s="1"/>
  <c r="B231" i="1"/>
  <c r="A232" i="1"/>
  <c r="A219" i="4" l="1"/>
  <c r="C219" i="4" s="1"/>
  <c r="B218" i="4"/>
  <c r="D218" i="4" s="1"/>
  <c r="I218" i="4" s="1"/>
  <c r="A233" i="1"/>
  <c r="B232" i="1"/>
  <c r="A220" i="4" l="1"/>
  <c r="C220" i="4" s="1"/>
  <c r="B219" i="4"/>
  <c r="D219" i="4" s="1"/>
  <c r="I219" i="4" s="1"/>
  <c r="A234" i="1"/>
  <c r="B233" i="1"/>
  <c r="A221" i="4" l="1"/>
  <c r="C221" i="4" s="1"/>
  <c r="B220" i="4"/>
  <c r="D220" i="4" s="1"/>
  <c r="I220" i="4" s="1"/>
  <c r="A235" i="1"/>
  <c r="B234" i="1"/>
  <c r="A222" i="4" l="1"/>
  <c r="C222" i="4" s="1"/>
  <c r="B221" i="4"/>
  <c r="D221" i="4" s="1"/>
  <c r="I221" i="4" s="1"/>
  <c r="A236" i="1"/>
  <c r="B235" i="1"/>
  <c r="A223" i="4" l="1"/>
  <c r="C223" i="4" s="1"/>
  <c r="B222" i="4"/>
  <c r="D222" i="4" s="1"/>
  <c r="I222" i="4" s="1"/>
  <c r="A237" i="1"/>
  <c r="B236" i="1"/>
  <c r="A224" i="4" l="1"/>
  <c r="C224" i="4" s="1"/>
  <c r="B223" i="4"/>
  <c r="D223" i="4" s="1"/>
  <c r="I223" i="4" s="1"/>
  <c r="B237" i="1"/>
  <c r="A238" i="1"/>
  <c r="A225" i="4" l="1"/>
  <c r="C225" i="4" s="1"/>
  <c r="B224" i="4"/>
  <c r="D224" i="4" s="1"/>
  <c r="I224" i="4" s="1"/>
  <c r="B238" i="1"/>
  <c r="A239" i="1"/>
  <c r="A226" i="4" l="1"/>
  <c r="C226" i="4" s="1"/>
  <c r="B225" i="4"/>
  <c r="D225" i="4" s="1"/>
  <c r="I225" i="4" s="1"/>
  <c r="B239" i="1"/>
  <c r="A241" i="1"/>
  <c r="A227" i="4" l="1"/>
  <c r="C227" i="4" s="1"/>
  <c r="B226" i="4"/>
  <c r="D226" i="4" s="1"/>
  <c r="I226" i="4" s="1"/>
  <c r="A242" i="1"/>
  <c r="B241" i="1"/>
  <c r="A228" i="4" l="1"/>
  <c r="C228" i="4" s="1"/>
  <c r="B227" i="4"/>
  <c r="D227" i="4" s="1"/>
  <c r="I227" i="4" s="1"/>
  <c r="A243" i="1"/>
  <c r="B242" i="1"/>
  <c r="A230" i="4" l="1"/>
  <c r="C230" i="4" s="1"/>
  <c r="B228" i="4"/>
  <c r="D228" i="4" s="1"/>
  <c r="I228" i="4" s="1"/>
  <c r="B243" i="1"/>
  <c r="A244" i="1"/>
  <c r="A231" i="4" l="1"/>
  <c r="C231" i="4" s="1"/>
  <c r="B230" i="4"/>
  <c r="D230" i="4" s="1"/>
  <c r="I230" i="4" s="1"/>
  <c r="A245" i="1"/>
  <c r="B244" i="1"/>
  <c r="A232" i="4" l="1"/>
  <c r="C232" i="4" s="1"/>
  <c r="B231" i="4"/>
  <c r="D231" i="4" s="1"/>
  <c r="I231" i="4" s="1"/>
  <c r="A246" i="1"/>
  <c r="B245" i="1"/>
  <c r="A233" i="4" l="1"/>
  <c r="C233" i="4" s="1"/>
  <c r="B232" i="4"/>
  <c r="D232" i="4" s="1"/>
  <c r="I232" i="4" s="1"/>
  <c r="A247" i="1"/>
  <c r="B246" i="1"/>
  <c r="A234" i="4" l="1"/>
  <c r="C234" i="4" s="1"/>
  <c r="B233" i="4"/>
  <c r="D233" i="4" s="1"/>
  <c r="I233" i="4" s="1"/>
  <c r="B247" i="1"/>
  <c r="A248" i="1"/>
  <c r="A235" i="4" l="1"/>
  <c r="C235" i="4" s="1"/>
  <c r="B234" i="4"/>
  <c r="D234" i="4" s="1"/>
  <c r="I234" i="4" s="1"/>
  <c r="A249" i="1"/>
  <c r="B248" i="1"/>
  <c r="A236" i="4" l="1"/>
  <c r="C236" i="4" s="1"/>
  <c r="B235" i="4"/>
  <c r="D235" i="4" s="1"/>
  <c r="I235" i="4" s="1"/>
  <c r="A250" i="1"/>
  <c r="B249" i="1"/>
  <c r="A237" i="4" l="1"/>
  <c r="C237" i="4" s="1"/>
  <c r="B236" i="4"/>
  <c r="D236" i="4" s="1"/>
  <c r="I236" i="4" s="1"/>
  <c r="B250" i="1"/>
  <c r="A251" i="1"/>
  <c r="A238" i="4" l="1"/>
  <c r="C238" i="4" s="1"/>
  <c r="B237" i="4"/>
  <c r="D237" i="4" s="1"/>
  <c r="I237" i="4" s="1"/>
  <c r="A252" i="1"/>
  <c r="B251" i="1"/>
  <c r="A239" i="4" l="1"/>
  <c r="C239" i="4" s="1"/>
  <c r="B238" i="4"/>
  <c r="D238" i="4" s="1"/>
  <c r="I238" i="4" s="1"/>
  <c r="A254" i="1"/>
  <c r="B252" i="1"/>
  <c r="A241" i="4" l="1"/>
  <c r="C241" i="4" s="1"/>
  <c r="B239" i="4"/>
  <c r="D239" i="4" s="1"/>
  <c r="I239" i="4" s="1"/>
  <c r="A255" i="1"/>
  <c r="B254" i="1"/>
  <c r="A242" i="4" l="1"/>
  <c r="C242" i="4" s="1"/>
  <c r="B241" i="4"/>
  <c r="D241" i="4" s="1"/>
  <c r="I241" i="4" s="1"/>
  <c r="B255" i="1"/>
  <c r="A257" i="1"/>
  <c r="A243" i="4" l="1"/>
  <c r="C243" i="4" s="1"/>
  <c r="B242" i="4"/>
  <c r="D242" i="4" s="1"/>
  <c r="I242" i="4" s="1"/>
  <c r="B257" i="1"/>
  <c r="A258" i="1"/>
  <c r="A244" i="4" l="1"/>
  <c r="C244" i="4" s="1"/>
  <c r="B243" i="4"/>
  <c r="D243" i="4" s="1"/>
  <c r="I243" i="4" s="1"/>
  <c r="A259" i="1"/>
  <c r="B258" i="1"/>
  <c r="A245" i="4" l="1"/>
  <c r="C245" i="4" s="1"/>
  <c r="B244" i="4"/>
  <c r="D244" i="4" s="1"/>
  <c r="I244" i="4" s="1"/>
  <c r="A260" i="1"/>
  <c r="B259" i="1"/>
  <c r="A246" i="4" l="1"/>
  <c r="C246" i="4" s="1"/>
  <c r="B245" i="4"/>
  <c r="D245" i="4" s="1"/>
  <c r="I245" i="4" s="1"/>
  <c r="B260" i="1"/>
  <c r="A261" i="1"/>
  <c r="A247" i="4" l="1"/>
  <c r="C247" i="4" s="1"/>
  <c r="B246" i="4"/>
  <c r="D246" i="4" s="1"/>
  <c r="I246" i="4" s="1"/>
  <c r="B261" i="1"/>
  <c r="A262" i="1"/>
  <c r="A248" i="4" l="1"/>
  <c r="C248" i="4" s="1"/>
  <c r="B247" i="4"/>
  <c r="D247" i="4" s="1"/>
  <c r="I247" i="4" s="1"/>
  <c r="B262" i="1"/>
  <c r="A263" i="1"/>
  <c r="A249" i="4" l="1"/>
  <c r="C249" i="4" s="1"/>
  <c r="B248" i="4"/>
  <c r="D248" i="4" s="1"/>
  <c r="I248" i="4" s="1"/>
  <c r="B263" i="1"/>
  <c r="A264" i="1"/>
  <c r="A250" i="4" l="1"/>
  <c r="C250" i="4" s="1"/>
  <c r="B249" i="4"/>
  <c r="D249" i="4" s="1"/>
  <c r="I249" i="4" s="1"/>
  <c r="A265" i="1"/>
  <c r="B264" i="1"/>
  <c r="A251" i="4" l="1"/>
  <c r="C251" i="4" s="1"/>
  <c r="B250" i="4"/>
  <c r="D250" i="4" s="1"/>
  <c r="I250" i="4" s="1"/>
  <c r="A266" i="1"/>
  <c r="B265" i="1"/>
  <c r="A252" i="4" l="1"/>
  <c r="C252" i="4" s="1"/>
  <c r="B251" i="4"/>
  <c r="D251" i="4" s="1"/>
  <c r="I251" i="4" s="1"/>
  <c r="A267" i="1"/>
  <c r="B266" i="1"/>
  <c r="A254" i="4" l="1"/>
  <c r="C254" i="4" s="1"/>
  <c r="B252" i="4"/>
  <c r="D252" i="4" s="1"/>
  <c r="I252" i="4" s="1"/>
  <c r="B267" i="1"/>
  <c r="A268" i="1"/>
  <c r="A271" i="1" s="1"/>
  <c r="A255" i="4" l="1"/>
  <c r="C255" i="4" s="1"/>
  <c r="B254" i="4"/>
  <c r="D254" i="4" s="1"/>
  <c r="I254" i="4" s="1"/>
  <c r="B268" i="1"/>
  <c r="A257" i="4" l="1"/>
  <c r="C257" i="4" s="1"/>
  <c r="B255" i="4"/>
  <c r="D255" i="4" s="1"/>
  <c r="I255" i="4" s="1"/>
  <c r="A273" i="1"/>
  <c r="B271" i="1"/>
  <c r="A258" i="4" l="1"/>
  <c r="C258" i="4" s="1"/>
  <c r="B257" i="4"/>
  <c r="D257" i="4" s="1"/>
  <c r="I257" i="4" s="1"/>
  <c r="B273" i="1"/>
  <c r="A274" i="1"/>
  <c r="A259" i="4" l="1"/>
  <c r="C259" i="4" s="1"/>
  <c r="B258" i="4"/>
  <c r="D258" i="4" s="1"/>
  <c r="I258" i="4" s="1"/>
  <c r="B274" i="1"/>
  <c r="A275" i="1"/>
  <c r="A260" i="4" l="1"/>
  <c r="C260" i="4" s="1"/>
  <c r="B259" i="4"/>
  <c r="D259" i="4" s="1"/>
  <c r="I259" i="4" s="1"/>
  <c r="A276" i="1"/>
  <c r="B275" i="1"/>
  <c r="A261" i="4" l="1"/>
  <c r="C261" i="4" s="1"/>
  <c r="B260" i="4"/>
  <c r="D260" i="4" s="1"/>
  <c r="I260" i="4" s="1"/>
  <c r="B276" i="1"/>
  <c r="A277" i="1"/>
  <c r="A262" i="4" l="1"/>
  <c r="C262" i="4" s="1"/>
  <c r="B261" i="4"/>
  <c r="D261" i="4" s="1"/>
  <c r="I261" i="4" s="1"/>
  <c r="A278" i="1"/>
  <c r="B277" i="1"/>
  <c r="A263" i="4" l="1"/>
  <c r="C263" i="4" s="1"/>
  <c r="B262" i="4"/>
  <c r="D262" i="4" s="1"/>
  <c r="I262" i="4" s="1"/>
  <c r="B278" i="1"/>
  <c r="A279" i="1"/>
  <c r="A264" i="4" l="1"/>
  <c r="C264" i="4" s="1"/>
  <c r="B263" i="4"/>
  <c r="D263" i="4" s="1"/>
  <c r="I263" i="4" s="1"/>
  <c r="B279" i="1"/>
  <c r="A281" i="1"/>
  <c r="A265" i="4" l="1"/>
  <c r="C265" i="4" s="1"/>
  <c r="B264" i="4"/>
  <c r="D264" i="4" s="1"/>
  <c r="I264" i="4" s="1"/>
  <c r="A282" i="1"/>
  <c r="A283" i="1" s="1"/>
  <c r="B281" i="1"/>
  <c r="A266" i="4" l="1"/>
  <c r="C266" i="4" s="1"/>
  <c r="B265" i="4"/>
  <c r="D265" i="4" s="1"/>
  <c r="I265" i="4" s="1"/>
  <c r="B282" i="1"/>
  <c r="A267" i="4" l="1"/>
  <c r="C267" i="4" s="1"/>
  <c r="B266" i="4"/>
  <c r="D266" i="4" s="1"/>
  <c r="I266" i="4" s="1"/>
  <c r="B283" i="1"/>
  <c r="A284" i="1"/>
  <c r="A268" i="4" l="1"/>
  <c r="C268" i="4" s="1"/>
  <c r="B267" i="4"/>
  <c r="D267" i="4" s="1"/>
  <c r="I267" i="4" s="1"/>
  <c r="A286" i="1"/>
  <c r="A287" i="1" s="1"/>
  <c r="A288" i="1" s="1"/>
  <c r="B284" i="1"/>
  <c r="A271" i="4" l="1"/>
  <c r="C271" i="4" s="1"/>
  <c r="B268" i="4"/>
  <c r="D268" i="4" s="1"/>
  <c r="I268" i="4" s="1"/>
  <c r="B286" i="1"/>
  <c r="A273" i="4" l="1"/>
  <c r="C273" i="4" s="1"/>
  <c r="B271" i="4"/>
  <c r="D271" i="4" s="1"/>
  <c r="I271" i="4" s="1"/>
  <c r="B287" i="1"/>
  <c r="A274" i="4" l="1"/>
  <c r="C274" i="4" s="1"/>
  <c r="B273" i="4"/>
  <c r="D273" i="4" s="1"/>
  <c r="I273" i="4" s="1"/>
  <c r="B288" i="1"/>
  <c r="A290" i="1"/>
  <c r="A275" i="4" l="1"/>
  <c r="C275" i="4" s="1"/>
  <c r="B274" i="4"/>
  <c r="D274" i="4" s="1"/>
  <c r="I274" i="4" s="1"/>
  <c r="B290" i="1"/>
  <c r="A291" i="1"/>
  <c r="A276" i="4" l="1"/>
  <c r="C276" i="4" s="1"/>
  <c r="B275" i="4"/>
  <c r="D275" i="4" s="1"/>
  <c r="I275" i="4" s="1"/>
  <c r="A292" i="1"/>
  <c r="B291" i="1"/>
  <c r="A277" i="4" l="1"/>
  <c r="C277" i="4" s="1"/>
  <c r="B276" i="4"/>
  <c r="D276" i="4" s="1"/>
  <c r="I276" i="4" s="1"/>
  <c r="B292" i="1"/>
  <c r="A294" i="1"/>
  <c r="A278" i="4" l="1"/>
  <c r="C278" i="4" s="1"/>
  <c r="B277" i="4"/>
  <c r="D277" i="4" s="1"/>
  <c r="I277" i="4" s="1"/>
  <c r="A295" i="1"/>
  <c r="B294" i="1"/>
  <c r="A279" i="4" l="1"/>
  <c r="C279" i="4" s="1"/>
  <c r="B278" i="4"/>
  <c r="D278" i="4" s="1"/>
  <c r="I278" i="4" s="1"/>
  <c r="B295" i="1"/>
  <c r="A296" i="1"/>
  <c r="A281" i="4" l="1"/>
  <c r="C281" i="4" s="1"/>
  <c r="B279" i="4"/>
  <c r="D279" i="4" s="1"/>
  <c r="I279" i="4" s="1"/>
  <c r="B296" i="1"/>
  <c r="A297" i="1"/>
  <c r="A282" i="4" l="1"/>
  <c r="C282" i="4" s="1"/>
  <c r="B281" i="4"/>
  <c r="D281" i="4" s="1"/>
  <c r="I281" i="4" s="1"/>
  <c r="B297" i="1"/>
  <c r="A298" i="1"/>
  <c r="A283" i="4" l="1"/>
  <c r="C283" i="4" s="1"/>
  <c r="B282" i="4"/>
  <c r="D282" i="4" s="1"/>
  <c r="I282" i="4" s="1"/>
  <c r="B298" i="1"/>
  <c r="A299" i="1"/>
  <c r="A284" i="4" l="1"/>
  <c r="C284" i="4" s="1"/>
  <c r="B283" i="4"/>
  <c r="D283" i="4" s="1"/>
  <c r="I283" i="4" s="1"/>
  <c r="A300" i="1"/>
  <c r="B299" i="1"/>
  <c r="A286" i="4" l="1"/>
  <c r="C286" i="4" s="1"/>
  <c r="B284" i="4"/>
  <c r="D284" i="4" s="1"/>
  <c r="I284" i="4" s="1"/>
  <c r="B300" i="1"/>
  <c r="A301" i="1"/>
  <c r="A287" i="4" l="1"/>
  <c r="C287" i="4" s="1"/>
  <c r="B286" i="4"/>
  <c r="D286" i="4" s="1"/>
  <c r="I286" i="4" s="1"/>
  <c r="A302" i="1"/>
  <c r="B301" i="1"/>
  <c r="A288" i="4" l="1"/>
  <c r="C288" i="4" s="1"/>
  <c r="B287" i="4"/>
  <c r="D287" i="4" s="1"/>
  <c r="I287" i="4" s="1"/>
  <c r="B302" i="1"/>
  <c r="A303" i="1"/>
  <c r="A290" i="4" l="1"/>
  <c r="C290" i="4" s="1"/>
  <c r="B288" i="4"/>
  <c r="D288" i="4" s="1"/>
  <c r="I288" i="4" s="1"/>
  <c r="B303" i="1"/>
  <c r="A304" i="1"/>
  <c r="A291" i="4" l="1"/>
  <c r="C291" i="4" s="1"/>
  <c r="B290" i="4"/>
  <c r="D290" i="4" s="1"/>
  <c r="I290" i="4" s="1"/>
  <c r="B304" i="1"/>
  <c r="A305" i="1"/>
  <c r="A292" i="4" l="1"/>
  <c r="C292" i="4" s="1"/>
  <c r="B291" i="4"/>
  <c r="D291" i="4" s="1"/>
  <c r="I291" i="4" s="1"/>
  <c r="B305" i="1"/>
  <c r="A306" i="1"/>
  <c r="A294" i="4" l="1"/>
  <c r="C294" i="4" s="1"/>
  <c r="B292" i="4"/>
  <c r="D292" i="4" s="1"/>
  <c r="I292" i="4" s="1"/>
  <c r="A307" i="1"/>
  <c r="B306" i="1"/>
  <c r="A295" i="4" l="1"/>
  <c r="C295" i="4" s="1"/>
  <c r="B294" i="4"/>
  <c r="D294" i="4" s="1"/>
  <c r="I294" i="4" s="1"/>
  <c r="B307" i="1"/>
  <c r="A308" i="1"/>
  <c r="A296" i="4" l="1"/>
  <c r="C296" i="4" s="1"/>
  <c r="B295" i="4"/>
  <c r="D295" i="4" s="1"/>
  <c r="I295" i="4" s="1"/>
  <c r="B308" i="1"/>
  <c r="A309" i="1"/>
  <c r="A297" i="4" l="1"/>
  <c r="C297" i="4" s="1"/>
  <c r="B296" i="4"/>
  <c r="D296" i="4" s="1"/>
  <c r="I296" i="4" s="1"/>
  <c r="A311" i="1"/>
  <c r="B309" i="1"/>
  <c r="A298" i="4" l="1"/>
  <c r="C298" i="4" s="1"/>
  <c r="B297" i="4"/>
  <c r="D297" i="4" s="1"/>
  <c r="I297" i="4" s="1"/>
  <c r="A312" i="1"/>
  <c r="B311" i="1"/>
  <c r="A299" i="4" l="1"/>
  <c r="C299" i="4" s="1"/>
  <c r="B298" i="4"/>
  <c r="D298" i="4" s="1"/>
  <c r="I298" i="4" s="1"/>
  <c r="A313" i="1"/>
  <c r="B312" i="1"/>
  <c r="A300" i="4" l="1"/>
  <c r="C300" i="4" s="1"/>
  <c r="B299" i="4"/>
  <c r="D299" i="4" s="1"/>
  <c r="I299" i="4" s="1"/>
  <c r="A314" i="1"/>
  <c r="B313" i="1"/>
  <c r="A301" i="4" l="1"/>
  <c r="C301" i="4" s="1"/>
  <c r="B300" i="4"/>
  <c r="D300" i="4" s="1"/>
  <c r="I300" i="4" s="1"/>
  <c r="A315" i="1"/>
  <c r="B314" i="1"/>
  <c r="A302" i="4" l="1"/>
  <c r="C302" i="4" s="1"/>
  <c r="B301" i="4"/>
  <c r="D301" i="4" s="1"/>
  <c r="I301" i="4" s="1"/>
  <c r="A316" i="1"/>
  <c r="A317" i="1" s="1"/>
  <c r="B315" i="1"/>
  <c r="A303" i="4" l="1"/>
  <c r="C303" i="4" s="1"/>
  <c r="B302" i="4"/>
  <c r="D302" i="4" s="1"/>
  <c r="I302" i="4" s="1"/>
  <c r="B316" i="1"/>
  <c r="A304" i="4" l="1"/>
  <c r="C304" i="4" s="1"/>
  <c r="B303" i="4"/>
  <c r="D303" i="4" s="1"/>
  <c r="I303" i="4" s="1"/>
  <c r="A319" i="1"/>
  <c r="B317" i="1"/>
  <c r="A305" i="4" l="1"/>
  <c r="C305" i="4" s="1"/>
  <c r="B304" i="4"/>
  <c r="D304" i="4" s="1"/>
  <c r="I304" i="4" s="1"/>
  <c r="A320" i="1"/>
  <c r="B319" i="1"/>
  <c r="A306" i="4" l="1"/>
  <c r="C306" i="4" s="1"/>
  <c r="B305" i="4"/>
  <c r="D305" i="4" s="1"/>
  <c r="I305" i="4" s="1"/>
  <c r="B320" i="1"/>
  <c r="A321" i="1"/>
  <c r="A307" i="4" l="1"/>
  <c r="C307" i="4" s="1"/>
  <c r="B306" i="4"/>
  <c r="D306" i="4" s="1"/>
  <c r="I306" i="4" s="1"/>
  <c r="B321" i="1"/>
  <c r="A323" i="1"/>
  <c r="A308" i="4" l="1"/>
  <c r="C308" i="4" s="1"/>
  <c r="B307" i="4"/>
  <c r="D307" i="4" s="1"/>
  <c r="I307" i="4" s="1"/>
  <c r="A324" i="1"/>
  <c r="B323" i="1"/>
  <c r="A309" i="4" l="1"/>
  <c r="C309" i="4" s="1"/>
  <c r="B308" i="4"/>
  <c r="D308" i="4" s="1"/>
  <c r="I308" i="4" s="1"/>
  <c r="A325" i="1"/>
  <c r="B324" i="1"/>
  <c r="A311" i="4" l="1"/>
  <c r="C311" i="4" s="1"/>
  <c r="B309" i="4"/>
  <c r="D309" i="4" s="1"/>
  <c r="I309" i="4" s="1"/>
  <c r="B325" i="1"/>
  <c r="A326" i="1"/>
  <c r="A312" i="4" l="1"/>
  <c r="C312" i="4" s="1"/>
  <c r="B311" i="4"/>
  <c r="D311" i="4" s="1"/>
  <c r="I311" i="4" s="1"/>
  <c r="A327" i="1"/>
  <c r="B326" i="1"/>
  <c r="A313" i="4" l="1"/>
  <c r="C313" i="4" s="1"/>
  <c r="B312" i="4"/>
  <c r="D312" i="4" s="1"/>
  <c r="I312" i="4" s="1"/>
  <c r="A328" i="1"/>
  <c r="B327" i="1"/>
  <c r="A314" i="4" l="1"/>
  <c r="C314" i="4" s="1"/>
  <c r="B313" i="4"/>
  <c r="D313" i="4" s="1"/>
  <c r="I313" i="4" s="1"/>
  <c r="B328" i="1"/>
  <c r="A329" i="1"/>
  <c r="A315" i="4" l="1"/>
  <c r="C315" i="4" s="1"/>
  <c r="B314" i="4"/>
  <c r="D314" i="4" s="1"/>
  <c r="I314" i="4" s="1"/>
  <c r="A330" i="1"/>
  <c r="B329" i="1"/>
  <c r="A316" i="4" l="1"/>
  <c r="C316" i="4" s="1"/>
  <c r="B315" i="4"/>
  <c r="D315" i="4" s="1"/>
  <c r="I315" i="4" s="1"/>
  <c r="A331" i="1"/>
  <c r="B330" i="1"/>
  <c r="A317" i="4" l="1"/>
  <c r="C317" i="4" s="1"/>
  <c r="B316" i="4"/>
  <c r="D316" i="4" s="1"/>
  <c r="I316" i="4" s="1"/>
  <c r="A332" i="1"/>
  <c r="B331" i="1"/>
  <c r="A319" i="4" l="1"/>
  <c r="C319" i="4" s="1"/>
  <c r="B317" i="4"/>
  <c r="D317" i="4" s="1"/>
  <c r="I317" i="4" s="1"/>
  <c r="B332" i="1"/>
  <c r="A333" i="1"/>
  <c r="A320" i="4" l="1"/>
  <c r="C320" i="4" s="1"/>
  <c r="B319" i="4"/>
  <c r="D319" i="4" s="1"/>
  <c r="I319" i="4" s="1"/>
  <c r="A334" i="1"/>
  <c r="B333" i="1"/>
  <c r="A321" i="4" l="1"/>
  <c r="C321" i="4" s="1"/>
  <c r="B320" i="4"/>
  <c r="D320" i="4" s="1"/>
  <c r="I320" i="4" s="1"/>
  <c r="A336" i="1"/>
  <c r="B334" i="1"/>
  <c r="A323" i="4" l="1"/>
  <c r="C323" i="4" s="1"/>
  <c r="B321" i="4"/>
  <c r="D321" i="4" s="1"/>
  <c r="I321" i="4" s="1"/>
  <c r="A337" i="1"/>
  <c r="B336" i="1"/>
  <c r="A324" i="4" l="1"/>
  <c r="C324" i="4" s="1"/>
  <c r="B323" i="4"/>
  <c r="D323" i="4" s="1"/>
  <c r="I323" i="4" s="1"/>
  <c r="B337" i="1"/>
  <c r="A338" i="1"/>
  <c r="A325" i="4" l="1"/>
  <c r="C325" i="4" s="1"/>
  <c r="B324" i="4"/>
  <c r="D324" i="4" s="1"/>
  <c r="I324" i="4" s="1"/>
  <c r="B338" i="1"/>
  <c r="A339" i="1"/>
  <c r="A326" i="4" l="1"/>
  <c r="C326" i="4" s="1"/>
  <c r="B325" i="4"/>
  <c r="D325" i="4" s="1"/>
  <c r="I325" i="4" s="1"/>
  <c r="A340" i="1"/>
  <c r="B339" i="1"/>
  <c r="A327" i="4" l="1"/>
  <c r="C327" i="4" s="1"/>
  <c r="B326" i="4"/>
  <c r="D326" i="4" s="1"/>
  <c r="I326" i="4" s="1"/>
  <c r="B340" i="1"/>
  <c r="A341" i="1"/>
  <c r="A328" i="4" l="1"/>
  <c r="C328" i="4" s="1"/>
  <c r="B327" i="4"/>
  <c r="D327" i="4" s="1"/>
  <c r="I327" i="4" s="1"/>
  <c r="A342" i="1"/>
  <c r="B341" i="1"/>
  <c r="A329" i="4" l="1"/>
  <c r="C329" i="4" s="1"/>
  <c r="B328" i="4"/>
  <c r="D328" i="4" s="1"/>
  <c r="I328" i="4" s="1"/>
  <c r="B342" i="1"/>
  <c r="A343" i="1"/>
  <c r="A330" i="4" l="1"/>
  <c r="C330" i="4" s="1"/>
  <c r="B329" i="4"/>
  <c r="D329" i="4" s="1"/>
  <c r="I329" i="4" s="1"/>
  <c r="A344" i="1"/>
  <c r="B343" i="1"/>
  <c r="A331" i="4" l="1"/>
  <c r="C331" i="4" s="1"/>
  <c r="B330" i="4"/>
  <c r="D330" i="4" s="1"/>
  <c r="I330" i="4" s="1"/>
  <c r="A345" i="1"/>
  <c r="B344" i="1"/>
  <c r="A332" i="4" l="1"/>
  <c r="C332" i="4" s="1"/>
  <c r="B331" i="4"/>
  <c r="D331" i="4" s="1"/>
  <c r="I331" i="4" s="1"/>
  <c r="B345" i="1"/>
  <c r="A346" i="1"/>
  <c r="A333" i="4" l="1"/>
  <c r="C333" i="4" s="1"/>
  <c r="B332" i="4"/>
  <c r="D332" i="4" s="1"/>
  <c r="I332" i="4" s="1"/>
  <c r="B346" i="1"/>
  <c r="A347" i="1"/>
  <c r="A348" i="1" s="1"/>
  <c r="A334" i="4" l="1"/>
  <c r="C334" i="4" s="1"/>
  <c r="B333" i="4"/>
  <c r="D333" i="4" s="1"/>
  <c r="I333" i="4" s="1"/>
  <c r="B347" i="1"/>
  <c r="A336" i="4" l="1"/>
  <c r="C336" i="4" s="1"/>
  <c r="B334" i="4"/>
  <c r="D334" i="4" s="1"/>
  <c r="I334" i="4" s="1"/>
  <c r="B348" i="1"/>
  <c r="A350" i="1"/>
  <c r="A337" i="4" l="1"/>
  <c r="C337" i="4" s="1"/>
  <c r="B336" i="4"/>
  <c r="D336" i="4" s="1"/>
  <c r="I336" i="4" s="1"/>
  <c r="B350" i="1"/>
  <c r="A351" i="1"/>
  <c r="A338" i="4" l="1"/>
  <c r="C338" i="4" s="1"/>
  <c r="B337" i="4"/>
  <c r="D337" i="4" s="1"/>
  <c r="I337" i="4" s="1"/>
  <c r="B351" i="1"/>
  <c r="A352" i="1"/>
  <c r="A353" i="1" s="1"/>
  <c r="A339" i="4" l="1"/>
  <c r="C339" i="4" s="1"/>
  <c r="B338" i="4"/>
  <c r="D338" i="4" s="1"/>
  <c r="I338" i="4" s="1"/>
  <c r="B352" i="1"/>
  <c r="A340" i="4" l="1"/>
  <c r="C340" i="4" s="1"/>
  <c r="B339" i="4"/>
  <c r="D339" i="4" s="1"/>
  <c r="I339" i="4" s="1"/>
  <c r="A355" i="1"/>
  <c r="B353" i="1"/>
  <c r="A341" i="4" l="1"/>
  <c r="C341" i="4" s="1"/>
  <c r="B340" i="4"/>
  <c r="D340" i="4" s="1"/>
  <c r="I340" i="4" s="1"/>
  <c r="B355" i="1"/>
  <c r="A356" i="1"/>
  <c r="A342" i="4" l="1"/>
  <c r="C342" i="4" s="1"/>
  <c r="B341" i="4"/>
  <c r="D341" i="4" s="1"/>
  <c r="I341" i="4" s="1"/>
  <c r="B356" i="1"/>
  <c r="A357" i="1"/>
  <c r="A343" i="4" l="1"/>
  <c r="C343" i="4" s="1"/>
  <c r="B342" i="4"/>
  <c r="D342" i="4" s="1"/>
  <c r="I342" i="4" s="1"/>
  <c r="B357" i="1"/>
  <c r="A359" i="1"/>
  <c r="A344" i="4" l="1"/>
  <c r="C344" i="4" s="1"/>
  <c r="B343" i="4"/>
  <c r="D343" i="4" s="1"/>
  <c r="I343" i="4" s="1"/>
  <c r="A360" i="1"/>
  <c r="B359" i="1"/>
  <c r="A345" i="4" l="1"/>
  <c r="C345" i="4" s="1"/>
  <c r="B344" i="4"/>
  <c r="D344" i="4" s="1"/>
  <c r="I344" i="4" s="1"/>
  <c r="A361" i="1"/>
  <c r="B360" i="1"/>
  <c r="A346" i="4" l="1"/>
  <c r="C346" i="4" s="1"/>
  <c r="B345" i="4"/>
  <c r="D345" i="4" s="1"/>
  <c r="I345" i="4" s="1"/>
  <c r="B361" i="1"/>
  <c r="A362" i="1"/>
  <c r="A347" i="4" l="1"/>
  <c r="C347" i="4" s="1"/>
  <c r="B346" i="4"/>
  <c r="D346" i="4" s="1"/>
  <c r="I346" i="4" s="1"/>
  <c r="B362" i="1"/>
  <c r="A363" i="1"/>
  <c r="A348" i="4" l="1"/>
  <c r="C348" i="4" s="1"/>
  <c r="B347" i="4"/>
  <c r="D347" i="4" s="1"/>
  <c r="I347" i="4" s="1"/>
  <c r="A364" i="1"/>
  <c r="B363" i="1"/>
  <c r="A350" i="4" l="1"/>
  <c r="C350" i="4" s="1"/>
  <c r="B348" i="4"/>
  <c r="D348" i="4" s="1"/>
  <c r="I348" i="4" s="1"/>
  <c r="B364" i="1"/>
  <c r="A365" i="1"/>
  <c r="A351" i="4" l="1"/>
  <c r="C351" i="4" s="1"/>
  <c r="B350" i="4"/>
  <c r="D350" i="4" s="1"/>
  <c r="I350" i="4" s="1"/>
  <c r="A366" i="1"/>
  <c r="B365" i="1"/>
  <c r="A352" i="4" l="1"/>
  <c r="C352" i="4" s="1"/>
  <c r="B351" i="4"/>
  <c r="D351" i="4" s="1"/>
  <c r="I351" i="4" s="1"/>
  <c r="A367" i="1"/>
  <c r="B366" i="1"/>
  <c r="A353" i="4" l="1"/>
  <c r="C353" i="4" s="1"/>
  <c r="B352" i="4"/>
  <c r="D352" i="4" s="1"/>
  <c r="I352" i="4" s="1"/>
  <c r="A368" i="1"/>
  <c r="B367" i="1"/>
  <c r="A355" i="4" l="1"/>
  <c r="C355" i="4" s="1"/>
  <c r="B353" i="4"/>
  <c r="D353" i="4" s="1"/>
  <c r="I353" i="4" s="1"/>
  <c r="A369" i="1"/>
  <c r="B368" i="1"/>
  <c r="A356" i="4" l="1"/>
  <c r="C356" i="4" s="1"/>
  <c r="B355" i="4"/>
  <c r="D355" i="4" s="1"/>
  <c r="I355" i="4" s="1"/>
  <c r="A370" i="1"/>
  <c r="A371" i="1" s="1"/>
  <c r="B369" i="1"/>
  <c r="A357" i="4" l="1"/>
  <c r="C357" i="4" s="1"/>
  <c r="B356" i="4"/>
  <c r="D356" i="4" s="1"/>
  <c r="I356" i="4" s="1"/>
  <c r="B370" i="1"/>
  <c r="A359" i="4" l="1"/>
  <c r="C359" i="4" s="1"/>
  <c r="B357" i="4"/>
  <c r="D357" i="4" s="1"/>
  <c r="I357" i="4" s="1"/>
  <c r="A374" i="1"/>
  <c r="B371" i="1"/>
  <c r="A360" i="4" l="1"/>
  <c r="C360" i="4" s="1"/>
  <c r="B359" i="4"/>
  <c r="D359" i="4" s="1"/>
  <c r="I359" i="4" s="1"/>
  <c r="B374" i="1"/>
  <c r="A375" i="1"/>
  <c r="A361" i="4" l="1"/>
  <c r="C361" i="4" s="1"/>
  <c r="B360" i="4"/>
  <c r="D360" i="4" s="1"/>
  <c r="I360" i="4" s="1"/>
  <c r="A376" i="1"/>
  <c r="B375" i="1"/>
  <c r="A362" i="4" l="1"/>
  <c r="C362" i="4" s="1"/>
  <c r="B361" i="4"/>
  <c r="D361" i="4" s="1"/>
  <c r="I361" i="4" s="1"/>
  <c r="A377" i="1"/>
  <c r="B376" i="1"/>
  <c r="A363" i="4" l="1"/>
  <c r="C363" i="4" s="1"/>
  <c r="B362" i="4"/>
  <c r="D362" i="4" s="1"/>
  <c r="I362" i="4" s="1"/>
  <c r="B377" i="1"/>
  <c r="A379" i="1"/>
  <c r="A364" i="4" l="1"/>
  <c r="C364" i="4" s="1"/>
  <c r="B363" i="4"/>
  <c r="D363" i="4" s="1"/>
  <c r="I363" i="4" s="1"/>
  <c r="B379" i="1"/>
  <c r="A380" i="1"/>
  <c r="A365" i="4" l="1"/>
  <c r="C365" i="4" s="1"/>
  <c r="B364" i="4"/>
  <c r="D364" i="4" s="1"/>
  <c r="I364" i="4" s="1"/>
  <c r="B380" i="1"/>
  <c r="A381" i="1"/>
  <c r="A366" i="4" l="1"/>
  <c r="C366" i="4" s="1"/>
  <c r="B365" i="4"/>
  <c r="D365" i="4" s="1"/>
  <c r="I365" i="4" s="1"/>
  <c r="B381" i="1"/>
  <c r="A382" i="1"/>
  <c r="A383" i="1" s="1"/>
  <c r="A367" i="4" l="1"/>
  <c r="C367" i="4" s="1"/>
  <c r="B366" i="4"/>
  <c r="D366" i="4" s="1"/>
  <c r="I366" i="4" s="1"/>
  <c r="B382" i="1"/>
  <c r="A368" i="4" l="1"/>
  <c r="C368" i="4" s="1"/>
  <c r="B367" i="4"/>
  <c r="D367" i="4" s="1"/>
  <c r="I367" i="4" s="1"/>
  <c r="B383" i="1"/>
  <c r="A385" i="1"/>
  <c r="A369" i="4" l="1"/>
  <c r="C369" i="4" s="1"/>
  <c r="B368" i="4"/>
  <c r="D368" i="4" s="1"/>
  <c r="I368" i="4" s="1"/>
  <c r="B385" i="1"/>
  <c r="A386" i="1"/>
  <c r="A370" i="4" l="1"/>
  <c r="C370" i="4" s="1"/>
  <c r="B369" i="4"/>
  <c r="D369" i="4" s="1"/>
  <c r="I369" i="4" s="1"/>
  <c r="B386" i="1"/>
  <c r="A387" i="1"/>
  <c r="A371" i="4" l="1"/>
  <c r="C371" i="4" s="1"/>
  <c r="B370" i="4"/>
  <c r="D370" i="4" s="1"/>
  <c r="I370" i="4" s="1"/>
  <c r="B387" i="1"/>
  <c r="A388" i="1"/>
  <c r="A374" i="4" l="1"/>
  <c r="C374" i="4" s="1"/>
  <c r="B371" i="4"/>
  <c r="D371" i="4" s="1"/>
  <c r="I371" i="4" s="1"/>
  <c r="B388" i="1"/>
  <c r="A389" i="1"/>
  <c r="A375" i="4" l="1"/>
  <c r="C375" i="4" s="1"/>
  <c r="B374" i="4"/>
  <c r="D374" i="4" s="1"/>
  <c r="I374" i="4" s="1"/>
  <c r="A392" i="1"/>
  <c r="B389" i="1"/>
  <c r="A376" i="4" l="1"/>
  <c r="C376" i="4" s="1"/>
  <c r="B375" i="4"/>
  <c r="D375" i="4" s="1"/>
  <c r="I375" i="4" s="1"/>
  <c r="A393" i="1"/>
  <c r="B392" i="1"/>
  <c r="A377" i="4" l="1"/>
  <c r="C377" i="4" s="1"/>
  <c r="B376" i="4"/>
  <c r="D376" i="4" s="1"/>
  <c r="I376" i="4" s="1"/>
  <c r="B393" i="1"/>
  <c r="A394" i="1"/>
  <c r="A379" i="4" l="1"/>
  <c r="C379" i="4" s="1"/>
  <c r="B377" i="4"/>
  <c r="D377" i="4" s="1"/>
  <c r="I377" i="4" s="1"/>
  <c r="B394" i="1"/>
  <c r="A395" i="1"/>
  <c r="A380" i="4" l="1"/>
  <c r="C380" i="4" s="1"/>
  <c r="B379" i="4"/>
  <c r="D379" i="4" s="1"/>
  <c r="I379" i="4" s="1"/>
  <c r="B395" i="1"/>
  <c r="A396" i="1"/>
  <c r="A381" i="4" l="1"/>
  <c r="C381" i="4" s="1"/>
  <c r="B380" i="4"/>
  <c r="D380" i="4" s="1"/>
  <c r="I380" i="4" s="1"/>
  <c r="A398" i="1"/>
  <c r="B396" i="1"/>
  <c r="A382" i="4" l="1"/>
  <c r="C382" i="4" s="1"/>
  <c r="B381" i="4"/>
  <c r="D381" i="4" s="1"/>
  <c r="I381" i="4" s="1"/>
  <c r="A399" i="1"/>
  <c r="B398" i="1"/>
  <c r="A383" i="4" l="1"/>
  <c r="C383" i="4" s="1"/>
  <c r="B382" i="4"/>
  <c r="D382" i="4" s="1"/>
  <c r="I382" i="4" s="1"/>
  <c r="B399" i="1"/>
  <c r="A400" i="1"/>
  <c r="A385" i="4" l="1"/>
  <c r="C385" i="4" s="1"/>
  <c r="B383" i="4"/>
  <c r="D383" i="4" s="1"/>
  <c r="I383" i="4" s="1"/>
  <c r="B400" i="1"/>
  <c r="A401" i="1"/>
  <c r="A386" i="4" l="1"/>
  <c r="C386" i="4" s="1"/>
  <c r="B385" i="4"/>
  <c r="D385" i="4" s="1"/>
  <c r="I385" i="4" s="1"/>
  <c r="B401" i="1"/>
  <c r="A402" i="1"/>
  <c r="A387" i="4" l="1"/>
  <c r="C387" i="4" s="1"/>
  <c r="B386" i="4"/>
  <c r="D386" i="4" s="1"/>
  <c r="I386" i="4" s="1"/>
  <c r="A403" i="1"/>
  <c r="B402" i="1"/>
  <c r="A388" i="4" l="1"/>
  <c r="C388" i="4" s="1"/>
  <c r="B387" i="4"/>
  <c r="D387" i="4" s="1"/>
  <c r="I387" i="4" s="1"/>
  <c r="B403" i="1"/>
  <c r="A404" i="1"/>
  <c r="A389" i="4" l="1"/>
  <c r="C389" i="4" s="1"/>
  <c r="B388" i="4"/>
  <c r="D388" i="4" s="1"/>
  <c r="I388" i="4" s="1"/>
  <c r="A405" i="1"/>
  <c r="B404" i="1"/>
  <c r="A392" i="4" l="1"/>
  <c r="C392" i="4" s="1"/>
  <c r="B389" i="4"/>
  <c r="D389" i="4" s="1"/>
  <c r="I389" i="4" s="1"/>
  <c r="B405" i="1"/>
  <c r="A406" i="1"/>
  <c r="A393" i="4" l="1"/>
  <c r="C393" i="4" s="1"/>
  <c r="B392" i="4"/>
  <c r="D392" i="4" s="1"/>
  <c r="I392" i="4" s="1"/>
  <c r="A408" i="1"/>
  <c r="B406" i="1"/>
  <c r="A394" i="4" l="1"/>
  <c r="C394" i="4" s="1"/>
  <c r="B393" i="4"/>
  <c r="D393" i="4" s="1"/>
  <c r="I393" i="4" s="1"/>
  <c r="A409" i="1"/>
  <c r="B408" i="1"/>
  <c r="A395" i="4" l="1"/>
  <c r="C395" i="4" s="1"/>
  <c r="B394" i="4"/>
  <c r="D394" i="4" s="1"/>
  <c r="I394" i="4" s="1"/>
  <c r="A410" i="1"/>
  <c r="B409" i="1"/>
  <c r="A396" i="4" l="1"/>
  <c r="C396" i="4" s="1"/>
  <c r="B395" i="4"/>
  <c r="D395" i="4" s="1"/>
  <c r="I395" i="4" s="1"/>
  <c r="A411" i="1"/>
  <c r="B410" i="1"/>
  <c r="A398" i="4" l="1"/>
  <c r="C398" i="4" s="1"/>
  <c r="B396" i="4"/>
  <c r="D396" i="4" s="1"/>
  <c r="I396" i="4" s="1"/>
  <c r="A413" i="1"/>
  <c r="B411" i="1"/>
  <c r="A399" i="4" l="1"/>
  <c r="C399" i="4" s="1"/>
  <c r="B398" i="4"/>
  <c r="D398" i="4" s="1"/>
  <c r="I398" i="4" s="1"/>
  <c r="A414" i="1"/>
  <c r="B413" i="1"/>
  <c r="A400" i="4" l="1"/>
  <c r="C400" i="4" s="1"/>
  <c r="B399" i="4"/>
  <c r="D399" i="4" s="1"/>
  <c r="I399" i="4" s="1"/>
  <c r="A415" i="1"/>
  <c r="B414" i="1"/>
  <c r="A401" i="4" l="1"/>
  <c r="C401" i="4" s="1"/>
  <c r="B400" i="4"/>
  <c r="D400" i="4" s="1"/>
  <c r="I400" i="4" s="1"/>
  <c r="A416" i="1"/>
  <c r="B415" i="1"/>
  <c r="A402" i="4" l="1"/>
  <c r="C402" i="4" s="1"/>
  <c r="B401" i="4"/>
  <c r="D401" i="4" s="1"/>
  <c r="I401" i="4" s="1"/>
  <c r="A417" i="1"/>
  <c r="A418" i="1" s="1"/>
  <c r="B416" i="1"/>
  <c r="A403" i="4" l="1"/>
  <c r="C403" i="4" s="1"/>
  <c r="B402" i="4"/>
  <c r="D402" i="4" s="1"/>
  <c r="I402" i="4" s="1"/>
  <c r="B417" i="1"/>
  <c r="A404" i="4" l="1"/>
  <c r="C404" i="4" s="1"/>
  <c r="B403" i="4"/>
  <c r="D403" i="4" s="1"/>
  <c r="I403" i="4" s="1"/>
  <c r="A420" i="1"/>
  <c r="B418" i="1"/>
  <c r="A405" i="4" l="1"/>
  <c r="C405" i="4" s="1"/>
  <c r="B404" i="4"/>
  <c r="D404" i="4" s="1"/>
  <c r="I404" i="4" s="1"/>
  <c r="B420" i="1"/>
  <c r="A421" i="1"/>
  <c r="A406" i="4" l="1"/>
  <c r="C406" i="4" s="1"/>
  <c r="B405" i="4"/>
  <c r="D405" i="4" s="1"/>
  <c r="I405" i="4" s="1"/>
  <c r="B421" i="1"/>
  <c r="A422" i="1"/>
  <c r="A423" i="1" s="1"/>
  <c r="A408" i="4" l="1"/>
  <c r="C408" i="4" s="1"/>
  <c r="B406" i="4"/>
  <c r="D406" i="4" s="1"/>
  <c r="I406" i="4" s="1"/>
  <c r="B422" i="1"/>
  <c r="A409" i="4" l="1"/>
  <c r="C409" i="4" s="1"/>
  <c r="B408" i="4"/>
  <c r="D408" i="4" s="1"/>
  <c r="I408" i="4" s="1"/>
  <c r="B423" i="1"/>
  <c r="A425" i="1"/>
  <c r="A410" i="4" l="1"/>
  <c r="C410" i="4" s="1"/>
  <c r="B409" i="4"/>
  <c r="D409" i="4" s="1"/>
  <c r="I409" i="4" s="1"/>
  <c r="A426" i="1"/>
  <c r="B425" i="1"/>
  <c r="A411" i="4" l="1"/>
  <c r="C411" i="4" s="1"/>
  <c r="B410" i="4"/>
  <c r="D410" i="4" s="1"/>
  <c r="I410" i="4" s="1"/>
  <c r="A427" i="1"/>
  <c r="B426" i="1"/>
  <c r="A413" i="4" l="1"/>
  <c r="C413" i="4" s="1"/>
  <c r="B411" i="4"/>
  <c r="D411" i="4" s="1"/>
  <c r="I411" i="4" s="1"/>
  <c r="B427" i="1"/>
  <c r="A428" i="1"/>
  <c r="A414" i="4" l="1"/>
  <c r="C414" i="4" s="1"/>
  <c r="B413" i="4"/>
  <c r="D413" i="4" s="1"/>
  <c r="I413" i="4" s="1"/>
  <c r="B428" i="1"/>
  <c r="A429" i="1"/>
  <c r="A415" i="4" l="1"/>
  <c r="C415" i="4" s="1"/>
  <c r="B414" i="4"/>
  <c r="D414" i="4" s="1"/>
  <c r="I414" i="4" s="1"/>
  <c r="B429" i="1"/>
  <c r="A430" i="1"/>
  <c r="A416" i="4" l="1"/>
  <c r="C416" i="4" s="1"/>
  <c r="B415" i="4"/>
  <c r="D415" i="4" s="1"/>
  <c r="I415" i="4" s="1"/>
  <c r="A431" i="1"/>
  <c r="B430" i="1"/>
  <c r="A417" i="4" l="1"/>
  <c r="C417" i="4" s="1"/>
  <c r="B416" i="4"/>
  <c r="D416" i="4" s="1"/>
  <c r="I416" i="4" s="1"/>
  <c r="A432" i="1"/>
  <c r="B431" i="1"/>
  <c r="A418" i="4" l="1"/>
  <c r="C418" i="4" s="1"/>
  <c r="B417" i="4"/>
  <c r="D417" i="4" s="1"/>
  <c r="I417" i="4" s="1"/>
  <c r="A433" i="1"/>
  <c r="A434" i="1" s="1"/>
  <c r="A435" i="1" s="1"/>
  <c r="B432" i="1"/>
  <c r="A420" i="4" l="1"/>
  <c r="C420" i="4" s="1"/>
  <c r="B418" i="4"/>
  <c r="D418" i="4" s="1"/>
  <c r="I418" i="4" s="1"/>
  <c r="B433" i="1"/>
  <c r="A421" i="4" l="1"/>
  <c r="C421" i="4" s="1"/>
  <c r="B420" i="4"/>
  <c r="D420" i="4" s="1"/>
  <c r="I420" i="4" s="1"/>
  <c r="B434" i="1"/>
  <c r="A422" i="4" l="1"/>
  <c r="C422" i="4" s="1"/>
  <c r="B421" i="4"/>
  <c r="D421" i="4" s="1"/>
  <c r="I421" i="4" s="1"/>
  <c r="A438" i="1"/>
  <c r="B435" i="1"/>
  <c r="A423" i="4" l="1"/>
  <c r="C423" i="4" s="1"/>
  <c r="B422" i="4"/>
  <c r="D422" i="4" s="1"/>
  <c r="I422" i="4" s="1"/>
  <c r="B438" i="1"/>
  <c r="A439" i="1"/>
  <c r="A441" i="1" s="1"/>
  <c r="A425" i="4" l="1"/>
  <c r="C425" i="4" s="1"/>
  <c r="B423" i="4"/>
  <c r="D423" i="4" s="1"/>
  <c r="I423" i="4" s="1"/>
  <c r="B439" i="1"/>
  <c r="A426" i="4" l="1"/>
  <c r="C426" i="4" s="1"/>
  <c r="B425" i="4"/>
  <c r="D425" i="4" s="1"/>
  <c r="I425" i="4" s="1"/>
  <c r="B441" i="1"/>
  <c r="A442" i="1"/>
  <c r="A444" i="1" s="1"/>
  <c r="A427" i="4" l="1"/>
  <c r="C427" i="4" s="1"/>
  <c r="B426" i="4"/>
  <c r="D426" i="4" s="1"/>
  <c r="I426" i="4" s="1"/>
  <c r="B442" i="1"/>
  <c r="A428" i="4" l="1"/>
  <c r="C428" i="4" s="1"/>
  <c r="B427" i="4"/>
  <c r="D427" i="4" s="1"/>
  <c r="I427" i="4" s="1"/>
  <c r="B444" i="1"/>
  <c r="A445" i="1"/>
  <c r="A447" i="1" s="1"/>
  <c r="A448" i="1" s="1"/>
  <c r="A429" i="4" l="1"/>
  <c r="C429" i="4" s="1"/>
  <c r="B428" i="4"/>
  <c r="D428" i="4" s="1"/>
  <c r="I428" i="4" s="1"/>
  <c r="B445" i="1"/>
  <c r="A430" i="4" l="1"/>
  <c r="C430" i="4" s="1"/>
  <c r="B429" i="4"/>
  <c r="D429" i="4" s="1"/>
  <c r="I429" i="4" s="1"/>
  <c r="B447" i="1"/>
  <c r="A431" i="4" l="1"/>
  <c r="C431" i="4" s="1"/>
  <c r="B430" i="4"/>
  <c r="D430" i="4" s="1"/>
  <c r="I430" i="4" s="1"/>
  <c r="B448" i="1"/>
  <c r="A449" i="1"/>
  <c r="B449" i="1" s="1"/>
  <c r="C452" i="1" s="1"/>
  <c r="A432" i="4" l="1"/>
  <c r="C432" i="4" s="1"/>
  <c r="B431" i="4"/>
  <c r="D431" i="4" s="1"/>
  <c r="I431" i="4" s="1"/>
  <c r="A433" i="4" l="1"/>
  <c r="C433" i="4" s="1"/>
  <c r="B432" i="4"/>
  <c r="D432" i="4" s="1"/>
  <c r="I432" i="4" s="1"/>
  <c r="A434" i="4" l="1"/>
  <c r="C434" i="4" s="1"/>
  <c r="B433" i="4"/>
  <c r="D433" i="4" s="1"/>
  <c r="I433" i="4" s="1"/>
  <c r="A435" i="4" l="1"/>
  <c r="C435" i="4" s="1"/>
  <c r="B434" i="4"/>
  <c r="D434" i="4" s="1"/>
  <c r="I434" i="4" s="1"/>
  <c r="A438" i="4" l="1"/>
  <c r="C438" i="4" s="1"/>
  <c r="B435" i="4"/>
  <c r="D435" i="4" s="1"/>
  <c r="I435" i="4" s="1"/>
  <c r="A439" i="4" l="1"/>
  <c r="C439" i="4" s="1"/>
  <c r="B438" i="4"/>
  <c r="D438" i="4" s="1"/>
  <c r="I438" i="4" s="1"/>
  <c r="A441" i="4" l="1"/>
  <c r="C441" i="4" s="1"/>
  <c r="B439" i="4"/>
  <c r="D439" i="4" s="1"/>
  <c r="I439" i="4" s="1"/>
  <c r="A442" i="4" l="1"/>
  <c r="C442" i="4" s="1"/>
  <c r="B441" i="4"/>
  <c r="D441" i="4" s="1"/>
  <c r="I441" i="4" s="1"/>
  <c r="A444" i="4" l="1"/>
  <c r="C444" i="4" s="1"/>
  <c r="B442" i="4"/>
  <c r="D442" i="4" s="1"/>
  <c r="I442" i="4" s="1"/>
  <c r="A445" i="4" l="1"/>
  <c r="C445" i="4" s="1"/>
  <c r="B444" i="4"/>
  <c r="D444" i="4" s="1"/>
  <c r="I444" i="4" s="1"/>
  <c r="A447" i="4" l="1"/>
  <c r="C447" i="4" s="1"/>
  <c r="B445" i="4"/>
  <c r="D445" i="4" s="1"/>
  <c r="I445" i="4" s="1"/>
  <c r="A448" i="4" l="1"/>
  <c r="C448" i="4" s="1"/>
  <c r="B447" i="4"/>
  <c r="D447" i="4" s="1"/>
  <c r="I447" i="4" s="1"/>
  <c r="A449" i="4" l="1"/>
  <c r="B448" i="4"/>
  <c r="D448" i="4" s="1"/>
  <c r="I448" i="4" s="1"/>
  <c r="B449" i="4" l="1"/>
  <c r="C449" i="4"/>
  <c r="E452" i="4" l="1"/>
  <c r="D449" i="4"/>
  <c r="I449" i="4" s="1"/>
</calcChain>
</file>

<file path=xl/sharedStrings.xml><?xml version="1.0" encoding="utf-8"?>
<sst xmlns="http://schemas.openxmlformats.org/spreadsheetml/2006/main" count="1236" uniqueCount="612">
  <si>
    <t>Starting Location</t>
  </si>
  <si>
    <t>Ending Location</t>
  </si>
  <si>
    <t>Length</t>
  </si>
  <si>
    <t>Field Name</t>
  </si>
  <si>
    <t>Possible Values</t>
  </si>
  <si>
    <t>Description/Comments</t>
  </si>
  <si>
    <t>COMMON DEMOGRAPHIC INFORMATION</t>
  </si>
  <si>
    <t>Test Date Month</t>
  </si>
  <si>
    <t>Test Date Year</t>
  </si>
  <si>
    <t>Straggler</t>
  </si>
  <si>
    <t>District Code</t>
  </si>
  <si>
    <t>School Code</t>
  </si>
  <si>
    <t>District Name</t>
  </si>
  <si>
    <t>School Name</t>
  </si>
  <si>
    <t>Student Last Name</t>
  </si>
  <si>
    <t>Student First Name</t>
  </si>
  <si>
    <t>Student Middle Initial</t>
  </si>
  <si>
    <t>LASID</t>
  </si>
  <si>
    <t>Barcode/Student Precode Number</t>
  </si>
  <si>
    <t>Summarized Grade</t>
  </si>
  <si>
    <t>Summarized DOB Day</t>
  </si>
  <si>
    <t>Summarized Gender</t>
  </si>
  <si>
    <t>Summarized Ethnicity/Race</t>
  </si>
  <si>
    <t>Summarized Migrant Status</t>
  </si>
  <si>
    <t>Summarized McKinney-Vento Act (Homeless)</t>
  </si>
  <si>
    <t>ELA (DOCUMENT 1) DEMOGRAPHIC INFORMATION</t>
  </si>
  <si>
    <t>Bubbled Special Education Test Accommodations</t>
  </si>
  <si>
    <t>No Accommodations</t>
  </si>
  <si>
    <t>Braille</t>
  </si>
  <si>
    <t>Large Print</t>
  </si>
  <si>
    <t>Answers Recorded</t>
  </si>
  <si>
    <t>Extended Time</t>
  </si>
  <si>
    <t>Transferred Answers</t>
  </si>
  <si>
    <t>Individual/Small Group Administration</t>
  </si>
  <si>
    <t>Bubbled LEP Status and Test Accommodations</t>
  </si>
  <si>
    <t>Provision of English/Native Language Word-to-Word Dictionary (No Definitions)</t>
  </si>
  <si>
    <t>Bubbled Section 504 Status and Test Accommodations</t>
  </si>
  <si>
    <t>Bubbled Accessibility Feature Recorded in Personal Needs Profile</t>
  </si>
  <si>
    <t>Bubbled Optional Local Use</t>
  </si>
  <si>
    <t>Bubbled Accountability Code</t>
  </si>
  <si>
    <t>MATH (DOCUMENT 2) DEMOGRAPHIC INFORMATION</t>
  </si>
  <si>
    <t>Spanish Tester</t>
  </si>
  <si>
    <t>Calculator Use</t>
  </si>
  <si>
    <t>SCIENCE (DOCUMENT 3) DEMOGRAPHIC INFORMATION</t>
  </si>
  <si>
    <t>SOCIAL STUDIES (DOCUMENT 4) DEMOGRAPHIC INFORMATION</t>
  </si>
  <si>
    <t>ELA SCORING INFORMATION</t>
  </si>
  <si>
    <t>Raw Score Total - ELA</t>
  </si>
  <si>
    <t>Assessment Achievement Level - ELA</t>
  </si>
  <si>
    <t>Subclaim Scoring Information</t>
  </si>
  <si>
    <t>Claim Scoring Information</t>
  </si>
  <si>
    <t>Written Expression Raw Score</t>
  </si>
  <si>
    <t>Knowledge &amp; Use of Language Conventions Raw Score</t>
  </si>
  <si>
    <t>Reading Raw Score</t>
  </si>
  <si>
    <t>Writing Raw Score</t>
  </si>
  <si>
    <t>MATH SCORING INFORMATION</t>
  </si>
  <si>
    <t>Raw Score Total - Math</t>
  </si>
  <si>
    <t>Assessment Achievement Level - Math</t>
  </si>
  <si>
    <t>Major Content Raw Score</t>
  </si>
  <si>
    <t>Additional &amp; Supporting Content Raw Score</t>
  </si>
  <si>
    <t>Expressing Mathematical Reasoning Raw Score</t>
  </si>
  <si>
    <t>Modeling &amp; Application Raw Score</t>
  </si>
  <si>
    <t>SCIENCE SCORING INFORMATION</t>
  </si>
  <si>
    <t>Raw Score Total - Science</t>
  </si>
  <si>
    <t>Assessment Achievement Level - Science</t>
  </si>
  <si>
    <t>FILLER</t>
  </si>
  <si>
    <t>SOCIAL STUDIES SCORING INFORMATION</t>
  </si>
  <si>
    <t>Raw Score Total - Social Studies</t>
  </si>
  <si>
    <t>Assessment Achievement Level - Social Studies</t>
  </si>
  <si>
    <t>Raw Score for Each Reporting Category</t>
  </si>
  <si>
    <t>History</t>
  </si>
  <si>
    <t>Geography</t>
  </si>
  <si>
    <t>Civics</t>
  </si>
  <si>
    <t>Economics</t>
  </si>
  <si>
    <t>Reading Literary Text Raw Score</t>
  </si>
  <si>
    <t>Reading Informational Text Raw Score</t>
  </si>
  <si>
    <t>Reading Vocabulary Raw Score</t>
  </si>
  <si>
    <t>STUDENT FLAGS BY SUBJECT</t>
  </si>
  <si>
    <t>Test Taken Flag</t>
  </si>
  <si>
    <t>Test Taken Flag - ELA</t>
  </si>
  <si>
    <t>Test Taken Flag - Math</t>
  </si>
  <si>
    <t>Test Taken Flag - Science</t>
  </si>
  <si>
    <t>Test Taken Flag - Social Studies</t>
  </si>
  <si>
    <t>Multiple-Choice / Constructed Response Items Attempted Flag</t>
  </si>
  <si>
    <t>MC / CR Taken - ELA</t>
  </si>
  <si>
    <t>MC / CR Taken - Math</t>
  </si>
  <si>
    <t>MC / CR Taken - Science</t>
  </si>
  <si>
    <t>MC / CR Taken - Social Studies</t>
  </si>
  <si>
    <t>Included in N-Counts</t>
  </si>
  <si>
    <t>Include in N-counts - ELA</t>
  </si>
  <si>
    <t>Include in N-counts - Math</t>
  </si>
  <si>
    <t>Include in N-counts - Science</t>
  </si>
  <si>
    <t>Include in N-counts - Social Studies</t>
  </si>
  <si>
    <t>VOID FLAGS</t>
  </si>
  <si>
    <t>Summarized Void Flags</t>
  </si>
  <si>
    <t>Summarized Void Flag - ELA</t>
  </si>
  <si>
    <t>Summarized Void Flag - Math</t>
  </si>
  <si>
    <t>Summarized Void Flag - Science</t>
  </si>
  <si>
    <t>Summarized Void Flag - Social Studies</t>
  </si>
  <si>
    <t>LAP Primary Exceptionality</t>
  </si>
  <si>
    <t>LAP LEP Indicator Code</t>
  </si>
  <si>
    <t>Precoded Tester</t>
  </si>
  <si>
    <t>Online Accommodations</t>
  </si>
  <si>
    <t>Text-to-Speech</t>
  </si>
  <si>
    <t>Spanish Test</t>
  </si>
  <si>
    <t>Human Read Aloud</t>
  </si>
  <si>
    <t>Native Language Word-to-Word Dictionary</t>
  </si>
  <si>
    <t>Directions in Native Language</t>
  </si>
  <si>
    <t>Calculator</t>
  </si>
  <si>
    <t>Individual or Small Group Administration</t>
  </si>
  <si>
    <t>Other</t>
  </si>
  <si>
    <t>Test Administered by ESL Teacher or Individual Providing Language Services</t>
  </si>
  <si>
    <t>SUMMARIZED DEMOGRAPHICS</t>
  </si>
  <si>
    <t>Summarized Education Classification Flag</t>
  </si>
  <si>
    <t>LEP Flag</t>
  </si>
  <si>
    <t xml:space="preserve">Summarized LEP Status </t>
  </si>
  <si>
    <t>Section 504 Flag</t>
  </si>
  <si>
    <t xml:space="preserve">Summarized Section 504 Status </t>
  </si>
  <si>
    <t>SCHOOL TYPE FLAGS</t>
  </si>
  <si>
    <t>Assess Group Type</t>
  </si>
  <si>
    <t>Home Study/Nonpublic Flag</t>
  </si>
  <si>
    <t>Charter Type</t>
  </si>
  <si>
    <t>ACCOUNTABILITY INFORMATION</t>
  </si>
  <si>
    <t>Updated Accountability Code - Document 1 (ELA)</t>
  </si>
  <si>
    <t>Updated Accountability Code - Document 2 (Math)</t>
  </si>
  <si>
    <t>Updated Accountability Code - Document 3 (Science)</t>
  </si>
  <si>
    <t>Updated Accountability Code - Document 4 (Social Studies)</t>
  </si>
  <si>
    <t>Accountability Achievement Level - ELA</t>
  </si>
  <si>
    <t>Accountability Achievement Level - Math</t>
  </si>
  <si>
    <t>Accountability Achievement Level - Science</t>
  </si>
  <si>
    <t>Accountability Achievement Level - Social Studies</t>
  </si>
  <si>
    <t>LAP Twin Flag</t>
  </si>
  <si>
    <t>LAP TDR Tester</t>
  </si>
  <si>
    <t>LAP Scholarship Student Flag</t>
  </si>
  <si>
    <t>Site Code - Document 1 (ELA)</t>
  </si>
  <si>
    <t>Site Code - Document 2 (Math)</t>
  </si>
  <si>
    <t>Site Code - Document 3 (Science)</t>
  </si>
  <si>
    <t>Site Code - Document 4 (Social Studies)</t>
  </si>
  <si>
    <t>LAP Site Code</t>
  </si>
  <si>
    <t>Summarized Special Education Exceptionality by Subject</t>
  </si>
  <si>
    <t>Summarized Special Education Exceptionality Category - Document 1 (ELA)</t>
  </si>
  <si>
    <t>Summarized Special Education Exceptionality Category - Document 2 (Math)</t>
  </si>
  <si>
    <t>Summarized Special Education Exceptionality Category - Document 3 (Science)</t>
  </si>
  <si>
    <t>Summarized Special Education Exceptionality Category - Document 4 (Social Studies)</t>
  </si>
  <si>
    <t>ASSESSMENT ROLLUP AND INCLUSION FLAGS</t>
  </si>
  <si>
    <t>Rollup to State</t>
  </si>
  <si>
    <t>Include in District Media Reports</t>
  </si>
  <si>
    <t>Include in School Media Reports</t>
  </si>
  <si>
    <t>Summarize to Assessment Group Code for district level reporting</t>
  </si>
  <si>
    <t>Schools summarized to LEA Code for district level reporting</t>
  </si>
  <si>
    <t>Summary Reports</t>
  </si>
  <si>
    <t>TEST ADMINISTRATOR INFORMATION</t>
  </si>
  <si>
    <t>Document 1 (ELA)</t>
  </si>
  <si>
    <t>Document 2 (Math)</t>
  </si>
  <si>
    <t>Document 3 (Science)</t>
  </si>
  <si>
    <t>Document 4 (Social Studies)</t>
  </si>
  <si>
    <t>DRC Unique Student ID</t>
  </si>
  <si>
    <t>File Creation Date and Time Stamp</t>
  </si>
  <si>
    <t>SITE CODE</t>
  </si>
  <si>
    <t>Format: "YYYY-MM-DD HH:MM:SS"</t>
  </si>
  <si>
    <t>Date the file was generated</t>
  </si>
  <si>
    <t>Month of test</t>
  </si>
  <si>
    <t>Year of test</t>
  </si>
  <si>
    <t>Y = Yes, student classified as a straggler 
N = No, student not classified as a straggler</t>
  </si>
  <si>
    <t>Value of "Y" will only appear in the final LDESTD file</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</si>
  <si>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</si>
  <si>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&lt;Barcode Value&gt;
Blank</t>
  </si>
  <si>
    <t>Y = Student was on the LAP File
N = Student was not on the LAP File</t>
  </si>
  <si>
    <t>Value of "Y" will display for any student that matched back to the March LAP File.</t>
  </si>
  <si>
    <t>0-9 or - in any position</t>
  </si>
  <si>
    <t>03 = Grade 3
04 = Grade 4
05 = Grade 5
06 = Grade 6
07 = Grade 7
08 = Grade 8</t>
  </si>
  <si>
    <t>00-39 (0-9 or - in any position)
99</t>
  </si>
  <si>
    <t>M = Male
F = Female
I = Invalid</t>
  </si>
  <si>
    <t>1 = Hispanic/Latino
2 = American Indian or Alaska Native
3 = Asian
4 = Black or African American
5 = Native Hawaiian or Other Pacific
       Islander
6 = White
7 = Two or more races
 I = Invalid</t>
  </si>
  <si>
    <t>Y = Classified as a Migrant Student
N = Not classified as a Migrant Student</t>
  </si>
  <si>
    <t>Y = Yes
N = No</t>
  </si>
  <si>
    <t>As bubbled on the ELA consumable test booklet.
Blank for online testers.</t>
  </si>
  <si>
    <t>1 = Yes
- = No response (document returned)
Blank = document not returned</t>
  </si>
  <si>
    <t>0-9, -, or * in each position
-- = No response (document returned)
Blank = document not returned</t>
  </si>
  <si>
    <t>0-9, - , or * in each position
---------- = No response (document returned)
Blank = document not returned</t>
  </si>
  <si>
    <t>1 = Yes
- = No response
Blank</t>
  </si>
  <si>
    <t>As valued in eDIRECT for online testers.
Blank for paper testers.</t>
  </si>
  <si>
    <t>000.0-999.5
Blank</t>
  </si>
  <si>
    <t>650-850
Blank</t>
  </si>
  <si>
    <t>UNS = Unsatisfactory
APP = Approaching Basic
BAS = Basic
MAS = Mastery
ADV = Advanced
INC = Include in reports
Blank</t>
  </si>
  <si>
    <r>
      <t xml:space="preserve">Total raw score for ELA.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</si>
  <si>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t>00.0-99.5
Blank</t>
  </si>
  <si>
    <t>Total points earned for the ELA Reading Literary Text subclaim.
Blank when subclaim is not assessed (zero points possible), or when the Raw Score Total for ELA is blank.</t>
  </si>
  <si>
    <t>Total points earned for the ELA Reading Informational Text subclaim.
Blank when subclaim is not assessed (zero points possible), or when the Raw Score Total for ELA is blank.</t>
  </si>
  <si>
    <t>Total points earned for the ELA Reading Vocabulary subclaim.
Blank when subclaim is not assessed (zero points possible), or when the Raw Score Total for ELA is blank.</t>
  </si>
  <si>
    <t>Total points earned for the ELA Written Expression subclaim.
Blank when subclaim is not assessed (zero points possible), or when the Raw Score Total for ELA is blank.</t>
  </si>
  <si>
    <t>Total points earned for the ELA Knowledge &amp; Use of Language Conventions subclaim.
Blank when subclaim is not assessed (zero points possible), or when the Raw Score Total for ELA is blank.</t>
  </si>
  <si>
    <t>Total points earned for the ELA Reading claim.
Blank when subclaim is not assessed (zero points possible), or when the Raw Score Total for ELA is blank.</t>
  </si>
  <si>
    <t>Total points earned for the ELA Writing subclaim.
Blank when subclaim is not assessed (zero points possible), or when the Raw Score Total for ELA is blank.</t>
  </si>
  <si>
    <r>
      <t xml:space="preserve">Total raw score for Math.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</si>
  <si>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Total raw score for Science.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</si>
  <si>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t>Y = Subject was attempted
N = Subject was not attempted</t>
  </si>
  <si>
    <t>0 = Neither MC nor CR taken
1 = MC only taken
2 = CR only taken
3 = Both MC and CR taken
Blank</t>
  </si>
  <si>
    <t>Y = Include student in summary
      N-counts for subject
N = Do not include student in summary 
      N-counts for subject</t>
  </si>
  <si>
    <t>1 = Regular Education
2 = Special Education</t>
  </si>
  <si>
    <t>01-34
Blank</t>
  </si>
  <si>
    <t>Y = LEP
N = Not LEP</t>
  </si>
  <si>
    <t>01 = Not LEP
02 = LEP
Blank</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</si>
  <si>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manually added online testers, or if the value was blank on the LAP file.</t>
    </r>
  </si>
  <si>
    <t>As flagged on the LAP file.
Blank for a hand-coded document that could not be matched back to the LAP file, manually added online testers, or if the value was blank on the LAP file.</t>
  </si>
  <si>
    <t>Y = 504
N = Not 504</t>
  </si>
  <si>
    <t>01 = LEA
02 = LAB
03 = CHA
04 = TRI
05 = NPB
06 = STA
08 = BSE
09 = OJJ
10 = MAR
12 = RES
13 = NPS
14 = RLA
15 = RNO
16 = JUV
17 = RBR</t>
  </si>
  <si>
    <t>The numeric type for the Assess Group Code value from the School Master File for the school the student is being reported to.</t>
  </si>
  <si>
    <t>1 = Regular
2 = Home Study
3 = Nonpublic School</t>
  </si>
  <si>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</si>
  <si>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t>1 = Type 1 Charter
2 = Type 2 Charter
3 = Type 3 Charter
4 = Type 4 Charter
5 = Type 5 Charter
6 = Type 3B Charter
Blank = Not a Charter School</t>
  </si>
  <si>
    <t>01-99
Blank (default value)</t>
  </si>
  <si>
    <t>UNS = Unsatisfactory
APP = Approaching Basic
BAS = Basic
MAS = Mastery
ADV = Advanced
Blank</t>
  </si>
  <si>
    <t>Y = Indicated as one of the twins
N = Not Indicated as one of the twins
Blank</t>
  </si>
  <si>
    <t>As flagged on the LAP file.
Blank for a paper hand-coded document that could not be matched back to the LAP file or for a manually added online tester.</t>
  </si>
  <si>
    <t>Y = indicates student has an approved 
        scholarship
N = indicates student does not have an 
        approved scholarship
Blank</t>
  </si>
  <si>
    <t>6 digit site code
Blank</t>
  </si>
  <si>
    <r>
      <t xml:space="preserve">This is the November LAP site code for paper and online testers.
Blank for paper testers when the record could not be matched back to the DRC precode file or for manually added online testers.
</t>
    </r>
    <r>
      <rPr>
        <strike/>
        <sz val="10"/>
        <color rgb="FFFF0000"/>
        <rFont val="Arial"/>
        <family val="2"/>
      </rPr>
      <t/>
    </r>
  </si>
  <si>
    <t>6 digit site code
Blank = document not returned</t>
  </si>
  <si>
    <t>Student's scores were summarized in the State totals.</t>
  </si>
  <si>
    <t>Student's school was included in the district level media reports.</t>
  </si>
  <si>
    <t>Student's school was included in the school level media reports.</t>
  </si>
  <si>
    <t>Student's school was included in Assessment Group Code for district level reporting.</t>
  </si>
  <si>
    <t>Student's school was included in LEA code for district level reporting.</t>
  </si>
  <si>
    <t>Student's school was included in summary reports.</t>
  </si>
  <si>
    <t>100-899 = School Level
900-999 = District Level
--- = No response (document returned)
* = Multiple Response
Blank = document not returned</t>
  </si>
  <si>
    <t>Numeric value with leading zeros
Blank</t>
  </si>
  <si>
    <t>Unique number generated at the time the student record is converted into the DRC Student File.  (Starts over each administration.)
Blank for Equating file.</t>
  </si>
  <si>
    <t>As bubbled on the Math/Spanish Math consumable test booklet.
Blank for online testers.</t>
  </si>
  <si>
    <t xml:space="preserve">As bubbled on the Math/Spanish Math consumable test booklet.
Blank for online testers.
Refer to the Bubbled and Updated Accountability Codes section of the Processing Rules - Scoring document for the logic for setting these values (pre and post OCS) </t>
  </si>
  <si>
    <t>6-digit school code
3 digit district code
3 character assess group</t>
  </si>
  <si>
    <t>Student's site reports should be rolled up/reported to.</t>
  </si>
  <si>
    <r>
      <t xml:space="preserve">"*", "-", and "_" values are changed to spaces, and then the spaces are removed by compressing the values from the name field.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</si>
  <si>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Site Report Code</t>
  </si>
  <si>
    <t>Test Administrator Number - Social Studies</t>
  </si>
  <si>
    <t>Test Administrator Number - Math</t>
  </si>
  <si>
    <t>Test Administrator Number - ELA</t>
  </si>
  <si>
    <t>Test Administrator Number - Science</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</si>
  <si>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</si>
  <si>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</si>
  <si>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</si>
  <si>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</si>
  <si>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</si>
  <si>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</si>
  <si>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</si>
  <si>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http://drcdirect/informationsystems/eis/dteam/Louisiana/Accountability/</t>
  </si>
  <si>
    <t>Document Name</t>
  </si>
  <si>
    <t>LDE SFTP Location</t>
  </si>
  <si>
    <t>DRC Location</t>
  </si>
  <si>
    <t>http://drcdirect/informationsystems/eis/dteam/Louisiana/LEAP Spring</t>
  </si>
  <si>
    <t>http://drcdirect/informationsystems/eis/dteam/Louisiana/Common Louisiana Spring/Reporting/</t>
  </si>
  <si>
    <t>Reading Literary Text Percent Correct</t>
  </si>
  <si>
    <t>0-100
Blank</t>
  </si>
  <si>
    <t>Percent correct for the ELA Reading Literary Text subclaim. This is calculated by dividing the total points earned by the total points possible for the subclaim.
Blank when Reading Literary Text Raw Score is blank.</t>
  </si>
  <si>
    <t>Reading Informational Text Percent Correct</t>
  </si>
  <si>
    <t>Percent correct for the ELA Reading Informational Text subclaim. This is calculated by dividing the total points earned by the total points possible for the subclaim.
Blank when Reading Informational Text Raw Score is blank.</t>
  </si>
  <si>
    <t>Reading Vocabulary Percent Correct</t>
  </si>
  <si>
    <t>Percent correct for the ELA Reading Vocabulary subclaim. This is calculated by dividing the total points earned by the total points possible for the subclaim.
Blank when Reading Vocabulary Raw Score is blank.</t>
  </si>
  <si>
    <t>Knowledge &amp; Use of Language Conventions Percent Correct</t>
  </si>
  <si>
    <t>Percent correct for the ELA Knowledge &amp; Use of Language Conventions subclaim. This is calculated by dividing the total points earned by the total points possible for the subclaim.
Blank when Knowledge &amp; Use of Language Conventions Raw Score is blank.</t>
  </si>
  <si>
    <t>Written Expression Percent Correct</t>
  </si>
  <si>
    <t>Percent correct for the ELA Written Expression subclaim. This is calculated by dividing the total points earned by the total points possible for the subclaim.
Blank when Written Expression Raw Score is blank.</t>
  </si>
  <si>
    <t>Reading Percent Correct</t>
  </si>
  <si>
    <t>Writing Percent Correct</t>
  </si>
  <si>
    <t>Major Content Percent Correct</t>
  </si>
  <si>
    <t>Percent correct for the Math Major Content subclaim. This is calculated by dividing the total points earned by the total points possible for the subclaim.
Blank when Major Content Raw Score is blank.</t>
  </si>
  <si>
    <t>Additional &amp; Supporting Content Percent Correct</t>
  </si>
  <si>
    <t>Percent correct for the Math Additional &amp; Supporting Content subclaim. This is calculated by dividing the total points earned by the total points possible for the subclaim.
Blank when Additional &amp; Supporting Content Raw Score is blank.</t>
  </si>
  <si>
    <t>Expressing Mathematical Reasoning Percent Correct</t>
  </si>
  <si>
    <t>Percent correct for the Math Expressing Mathematical Reasoning subclaim. This is calculated by dividing the total points earned by the total points possible for the subclaim.
Blank when Expressing Mathematical Reasoning Raw Score is blank.</t>
  </si>
  <si>
    <t>Modeling &amp; Application Percent Correct</t>
  </si>
  <si>
    <t>Percent correct for the Math Modeling &amp; Application subclaim. This is calculated by dividing the total points earned by the total points possible for the subclaim.
Blank when Modeling &amp; Application Raw Score is blank.</t>
  </si>
  <si>
    <t>Percent correct for the ELA Reading claim. This is calculated by dividing the total points earned by the total points possible for the claim.
Blank when Reading Raw Score is blank.</t>
  </si>
  <si>
    <t>Percent correct for the ELA Writing claim. This is calculated by dividing the total points earned by the total points possible for the claim.
Blank when Writing Raw Score is blank.</t>
  </si>
  <si>
    <t>Record Length:</t>
  </si>
  <si>
    <r>
      <t xml:space="preserve">Assessment achievement level for ELA.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</si>
  <si>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1 = Weak Performance
2 = Moderate Performance
3 = Strong Performance
Blank</t>
  </si>
  <si>
    <r>
      <t xml:space="preserve">Assessment achievement level for Math.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</si>
  <si>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Y = Spanish version of the math form
N = English version of the math form
Blank = document not returned</t>
  </si>
  <si>
    <t>Reading Literary Text Rating</t>
  </si>
  <si>
    <t>Rating associated with the Reading Literary Text Raw Score.
Blank when Reading Literary Text Raw Score is blank.</t>
  </si>
  <si>
    <t>Reading Informational Text Rating</t>
  </si>
  <si>
    <t>Rating associated with the Reading Informational Text Raw Score.
Blank when Reading Literary Text Raw Score is blank.</t>
  </si>
  <si>
    <t>Reading Vocabulary Rating</t>
  </si>
  <si>
    <t>Rating associated with the Reading Vocabulary Raw Score.
Blank when Reading Literary Text Raw Score is blank.</t>
  </si>
  <si>
    <t>Written Expression Rating</t>
  </si>
  <si>
    <t>Rating associated with the Written Expression Raw Score.
Blank when Reading Literary Text Raw Score is blank.</t>
  </si>
  <si>
    <t>Knowledge &amp; Use of Language Conventions Rating</t>
  </si>
  <si>
    <t>Rating associated with the Knowledge &amp; Use of Language Conventions Raw Score.
Blank when Reading Literary Text Raw Score is blank.</t>
  </si>
  <si>
    <t xml:space="preserve">Reading Rating </t>
  </si>
  <si>
    <t>Rating associated with the Reading Raw Score.
Blank when Reading Literary Text Raw Score is blank.</t>
  </si>
  <si>
    <t>Writing Rating</t>
  </si>
  <si>
    <t>Rating associated with the Writing Raw Score.
Blank when Reading Literary Text Raw Score is blank.</t>
  </si>
  <si>
    <t>Major Content Rating</t>
  </si>
  <si>
    <t>Additional &amp; Supporting Content Rating</t>
  </si>
  <si>
    <t>Expressing Mathematical Reasoning Rating</t>
  </si>
  <si>
    <t>Modeling &amp; Application Rating</t>
  </si>
  <si>
    <t>04 = Spring</t>
  </si>
  <si>
    <t>P = Paper
O = Online
Blank = document not returned</t>
  </si>
  <si>
    <t>eDIRECT Exceptionality Category</t>
  </si>
  <si>
    <t>LAP LEP Code</t>
  </si>
  <si>
    <t>Accommodated Paper</t>
  </si>
  <si>
    <t>Communication Assistance Scripts</t>
  </si>
  <si>
    <t>Bubbled LEP Status and  Test Accommodations</t>
  </si>
  <si>
    <t>As bubbled on the Social Studies consumable test booklet.
Blank for online testers.</t>
  </si>
  <si>
    <t xml:space="preserve">Human Read Aloud </t>
  </si>
  <si>
    <r>
      <t xml:space="preserve">As valued in eDIRECT.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if the value was blank in eDIRECT or for hand-coded students that could not be matched back to the LAP file.</t>
    </r>
  </si>
  <si>
    <t>0 = in SIS, not LEP prior 2 yrs
1 = LEP 1 yr prior
2 = LEP 2 yrs prior
3 = LEP current year
Blank = not in SIS prior 2 years or student is not on the LAP file</t>
  </si>
  <si>
    <r>
      <t xml:space="preserve">Total raw score for Social Studies.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</si>
  <si>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Assessment achievement level for Social Studies.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</si>
  <si>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History Percent Correct</t>
  </si>
  <si>
    <t>Geography Percent Correct</t>
  </si>
  <si>
    <t>Civics Percent Correct</t>
  </si>
  <si>
    <t>Economics Percent Correct</t>
  </si>
  <si>
    <t>Total points earned for each Social Studies content standard.
Blank when content standard is not assessed (zero points possible), or when the Raw Score Total for Social Studies is blank.</t>
  </si>
  <si>
    <t>Percent correct for the Social Studies Standard 4: Earth and Space Social Studies content standard. This is calculated by dividing the total points earned by the total points possible for the content standard.
Blank when Economics Raw Score is blank.</t>
  </si>
  <si>
    <t>Percent correct for the Social Studies Standard 3: Life Social Studies content standard. This is calculated by dividing the total points earned by the total points possible for the content standard.
Blank when Civics Raw Score is blank.</t>
  </si>
  <si>
    <t>Percent correct for the Social Studies Standard 2: Physical Social Studies content standard. This is calculated by dividing the total points earned by the total points possible for the content standard.
Blank when Standard 2: Geography Raw Score is blank.</t>
  </si>
  <si>
    <t>Percent correct for the Social Studies Standard 1: Social Studies as Inquiry content standard. This is calculated by dividing the total points earned by the total points possible for the content standard.
Blank when History Raw Score is blank.</t>
  </si>
  <si>
    <t>TEST MODE</t>
  </si>
  <si>
    <t>Test Mode - ELA</t>
  </si>
  <si>
    <t>Test Mode - Math</t>
  </si>
  <si>
    <t>Test Mode - Science</t>
  </si>
  <si>
    <t>Test Mode - Social Studies</t>
  </si>
  <si>
    <t>Identifies if the student tested the subject online or paper/pencil.</t>
  </si>
  <si>
    <t xml:space="preserve">History Rating </t>
  </si>
  <si>
    <t xml:space="preserve">Geography Rating </t>
  </si>
  <si>
    <t>Rating associated with the History Raw Score.
Blank when History Raw Score is blank.</t>
  </si>
  <si>
    <t>Rating associated with the Geography Raw Score.
Blank when Geography Raw Score is blank.</t>
  </si>
  <si>
    <t>Rating associated with the Civics Raw Score.
Blank when Civics Raw Score is blank.</t>
  </si>
  <si>
    <t xml:space="preserve">Civics Rating </t>
  </si>
  <si>
    <t xml:space="preserve">Economics Rating </t>
  </si>
  <si>
    <t>Rating associated with the Economics Raw Score.
Blank when Economics Raw Score is blank.</t>
  </si>
  <si>
    <t>Project: LEAP 2025 Gr. 3-8 Spring 2018</t>
  </si>
  <si>
    <t xml:space="preserve">Unique student identification number generated by LDE.
"*" and  " "  values are changed to -
This is the retired LASID for precoded students that were given a new LASID in the March LAP file. The new LASID is in the new LASID field at the end of this layout. </t>
  </si>
  <si>
    <r>
      <t xml:space="preserve">As valued in eDIRECT for online testers.
</t>
    </r>
    <r>
      <rPr>
        <b/>
        <sz val="10"/>
        <rFont val="Arial"/>
        <family val="2"/>
      </rPr>
      <t xml:space="preserve">Note: </t>
    </r>
    <r>
      <rPr>
        <sz val="10"/>
        <rFont val="Arial"/>
        <family val="2"/>
      </rPr>
      <t>Students using the Spanish TTS accommodation will have a "1" for Text-to-Speech and a "1" for Spanish Test.
Blank for paper testers.</t>
    </r>
  </si>
  <si>
    <t>01-17
Blank</t>
  </si>
  <si>
    <t>As flagged on the LAP file.
Blank for a hand coded paper document that could not be matched back to the LAP file, for manually added online tester, or if the value was blank in the LAP file.</t>
  </si>
  <si>
    <r>
      <t xml:space="preserve">Refer to the </t>
    </r>
    <r>
      <rPr>
        <b/>
        <u/>
        <sz val="10"/>
        <rFont val="Arial"/>
        <family val="2"/>
      </rPr>
      <t>Test Taken</t>
    </r>
    <r>
      <rPr>
        <sz val="10"/>
        <rFont val="Arial"/>
        <family val="2"/>
      </rPr>
      <t xml:space="preserve"> section of the Processing Rules - Scoring document for rules on populating these values.
The Test Taken Flag will be set to "N" if the subject was the secondary record involved in a score merge.</t>
    </r>
  </si>
  <si>
    <t>Within each subject, indicates whether a student attempted any operational MC or CR type items on the test.
Autoscored Items are considered CR type items.
The MC / CR Taken flag will be set to "0" if the subject was secondary record involved in a score merge.</t>
  </si>
  <si>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t>
    </r>
  </si>
  <si>
    <t>1 = Plagiarism
2 = District
4 = Off-Grade
Blank</t>
  </si>
  <si>
    <r>
      <rPr>
        <sz val="10"/>
        <rFont val="Arial"/>
        <family val="2"/>
      </rP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</si>
  <si>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t>
    </r>
  </si>
  <si>
    <t>Charter type as listed in the School Master File.
Blank for 888 and 998 school types.</t>
  </si>
  <si>
    <t>Bubbled Military Affiliated</t>
  </si>
  <si>
    <t>Bubbled Foster Care</t>
  </si>
  <si>
    <t>As bubbled on the Science consumable test booklet.
Blank for online testers.</t>
  </si>
  <si>
    <t>Summarized Military Affiliation</t>
  </si>
  <si>
    <t>Summarized Foster Care</t>
  </si>
  <si>
    <t>Read Aloud Recorded Voice</t>
  </si>
  <si>
    <t>Read Aloud Human Reader</t>
  </si>
  <si>
    <t>Major Content Subcategories</t>
  </si>
  <si>
    <t>Major Content Subcategory 1 Raw Score</t>
  </si>
  <si>
    <t>Major Content Subcategory 1 Rating</t>
  </si>
  <si>
    <t>Major Content Subcategory 2 Raw Score</t>
  </si>
  <si>
    <t>Major Content Subcategory 2 Rating</t>
  </si>
  <si>
    <t>Major Content Subcategory 3 Raw Score</t>
  </si>
  <si>
    <t>Major Content Subcategory 3 Rating</t>
  </si>
  <si>
    <t>Rating associated with the Modeling &amp; Application Raw Score.
Blank when Modeling &amp; Application Raw Score is blank.</t>
  </si>
  <si>
    <t>Total points earned for the Math Modeling &amp; Application Raw Score subclaim.
Blank when subclaim is not assessed (zero points possible), or when the Raw Score Total for Math is blank.</t>
  </si>
  <si>
    <t>Rating associated with the Expressing Mathematical Reasoning Raw Score.
Blank when Expressing Mathematical Reasoning Text Raw Score is blank.</t>
  </si>
  <si>
    <t>Total points earned for the Math Expressing Mathematical Reasoning subclaim.
Blank when subclaim is not assessed (zero points possible), or when the Raw Score Total for Math is blank.</t>
  </si>
  <si>
    <t>Rating associated with the Additional &amp; Supporting Content Raw Score.
Blank when Additional &amp; Supporting Content Raw Score is blank.</t>
  </si>
  <si>
    <t>Total points earned for the Math Additional &amp; Supporting Content subclaim.
Blank when subclaim is not assessed (zero points possible), or when the Raw Score Total for Math is blank.</t>
  </si>
  <si>
    <t>Rating associated with the Major Content Raw Score.
Blank when Major Content Raw Score is blank.</t>
  </si>
  <si>
    <t>Total points earned for the Math Major Content subclaim.
Blank when subclaim is not assessed (zero points possible), or when the Raw Score Total for Math is blank.</t>
  </si>
  <si>
    <r>
      <t xml:space="preserve">Rating associated with the Major Content Subcategory 1 Raw Score.
Blank when Major Content Subcategory 1 Raw Score is blank.
Refer to the </t>
    </r>
    <r>
      <rPr>
        <b/>
        <u/>
        <sz val="10"/>
        <rFont val="Arial"/>
        <family val="2"/>
      </rPr>
      <t xml:space="preserve">Subclaims, Claims, Subcategories and Reporting Categories </t>
    </r>
    <r>
      <rPr>
        <sz val="10"/>
        <rFont val="Arial"/>
        <family val="2"/>
      </rPr>
      <t>section of the Processing Rules - Scoring document for the Major Content Subcategory 1 associated to each grade.</t>
    </r>
  </si>
  <si>
    <t>As bubbled on the Science consumable test booklet.</t>
  </si>
  <si>
    <t>First character ("P" or "L"), followed by the last 8 digits of the number.
"P" when the consumable test booklet is precoded, or when a hand-coded consumable test booklet matches by 4 demographics to a precode record. The first non-blank consumable test booklet (Doc1-&gt;Doc2-&gt;Doc3-&gt;Doc4) will have the documents Barcode/Student Precode Number populated.
"L" when a hand-coded consumable test booklet does not match to a precode record by 4 demographics.   The first non-blank consumable test booklet (Doc1-&gt;Doc2-&gt;Doc3-&gt;Doc4) will have the documents Barcode/Student Precode Number populated.
Blank for students who tested all subjects online.</t>
  </si>
  <si>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consumable test booklet.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</si>
  <si>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consumable test booklet.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</si>
  <si>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consumable test booklet.</t>
    </r>
  </si>
  <si>
    <t>00-99
Blank</t>
  </si>
  <si>
    <t>Major Content Subcategory 4 Raw Score</t>
  </si>
  <si>
    <t>Major Content Subcategory 4 Rating</t>
  </si>
  <si>
    <r>
      <t>Rating associated with the Major Content Subcategory 2 Raw Score.
Blank when Major Content Subcategory 2 Raw Score is blank.
Refer to the S</t>
    </r>
    <r>
      <rPr>
        <b/>
        <u/>
        <sz val="10"/>
        <rFont val="Arial"/>
        <family val="2"/>
      </rPr>
      <t>ubclaims, Claims, Subcategories and Reporting Categories</t>
    </r>
    <r>
      <rPr>
        <sz val="10"/>
        <rFont val="Arial"/>
        <family val="2"/>
      </rPr>
      <t xml:space="preserve"> section of the Processing Rules - Scoring document for the Major Content Subcategory 2 associated to each grade.</t>
    </r>
  </si>
  <si>
    <r>
      <t xml:space="preserve">Rating associated with the Major Content Subcategory 3 Raw Score.
Blank when Major Content Subcategory 3 Raw Score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3 associated to each grade.</t>
    </r>
  </si>
  <si>
    <r>
      <t xml:space="preserve">Rating associated with the Major Content Subcategory 4 Raw Score.
Blank when Major Content Subcategory 4 Raw Score is blank.
Refer to the </t>
    </r>
    <r>
      <rPr>
        <b/>
        <u/>
        <sz val="10"/>
        <rFont val="Arial"/>
        <family val="2"/>
      </rPr>
      <t xml:space="preserve">Subclaims, Claims, Subcategories and Reporting Categories </t>
    </r>
    <r>
      <rPr>
        <sz val="10"/>
        <rFont val="Arial"/>
        <family val="2"/>
      </rPr>
      <t>section of the Processing Rules - Scoring document for the Major Content Subcategory 4 associated to each grade.</t>
    </r>
  </si>
  <si>
    <t>Basic Calculator</t>
  </si>
  <si>
    <t>Scientific Calculator</t>
  </si>
  <si>
    <t>Y = Classified as Military Affiliated
N = Not classified as Military Affiliated</t>
  </si>
  <si>
    <t>Y = Classified as Foster Care
N = Not classified as Foster Care</t>
  </si>
  <si>
    <t>Major Content Subcategory 1 Percent Correct</t>
  </si>
  <si>
    <t>Major Content Subcategory 2 Percent Correct</t>
  </si>
  <si>
    <t>Major Content Subcategory 3 Percent Correct</t>
  </si>
  <si>
    <t>Major Content Subcategory 4 Percent Correct</t>
  </si>
  <si>
    <t>Scale score for Math.
Refer to the Resulting LDESTD Values by Subject section within the LEAP Processing Rules - Scoring document for the logic used to set the Scale Score value.</t>
  </si>
  <si>
    <t>Scale score for Science
Refer to the Resulting LDESTD Values by Subject section within the LEAP Processing Rules - Scoring document for the logic used to set the Scale Score value.
Science is a field test in 2018 and will not have any scale score values.</t>
  </si>
  <si>
    <t>Scale score for Social Studies.
Refer to the Resulting LDESTD Values by Subject section within the LEAP Processing Rules - Scoring document for the logic used to set the Scale Score value.</t>
  </si>
  <si>
    <t>Blank</t>
  </si>
  <si>
    <r>
      <t>Scale</t>
    </r>
    <r>
      <rPr>
        <sz val="10"/>
        <rFont val="Arial"/>
        <family val="2"/>
      </rPr>
      <t xml:space="preserve"> Score - Science</t>
    </r>
  </si>
  <si>
    <r>
      <t>Scale</t>
    </r>
    <r>
      <rPr>
        <sz val="10"/>
        <color theme="1"/>
        <rFont val="Arial"/>
        <family val="2"/>
      </rPr>
      <t xml:space="preserve"> Score - Social Studies</t>
    </r>
  </si>
  <si>
    <r>
      <t>Scale</t>
    </r>
    <r>
      <rPr>
        <sz val="10"/>
        <rFont val="Arial"/>
        <family val="2"/>
      </rPr>
      <t xml:space="preserve"> Score - Math</t>
    </r>
  </si>
  <si>
    <t>Scale Score - ELA</t>
  </si>
  <si>
    <r>
      <t xml:space="preserve">Scale score for ELA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</si>
  <si>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Read Aloud Kurzweil</t>
  </si>
  <si>
    <r>
      <t>Directions</t>
    </r>
    <r>
      <rPr>
        <sz val="10"/>
        <rFont val="Arial"/>
        <family val="2"/>
      </rPr>
      <t xml:space="preserve"> in Native Language</t>
    </r>
  </si>
  <si>
    <r>
      <t xml:space="preserve">Directions </t>
    </r>
    <r>
      <rPr>
        <sz val="10"/>
        <rFont val="Arial"/>
        <family val="2"/>
      </rPr>
      <t>in Native Language</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</si>
  <si>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theconsumable test booklets.
</t>
    </r>
    <r>
      <rPr>
        <b/>
        <sz val="10"/>
        <rFont val="Arial"/>
        <family val="2"/>
      </rPr>
      <t xml:space="preserve">Paper: </t>
    </r>
    <r>
      <rPr>
        <sz val="10"/>
        <rFont val="Arial"/>
        <family val="2"/>
      </rPr>
      <t xml:space="preserve">Values are derived from type of booklet for a hand-coded document, or from LAP file for a preidentified document. For students who tested in a grade that differs from their grade on the LAP file, the grade level of the document will be populated here.
</t>
    </r>
    <r>
      <rPr>
        <b/>
        <sz val="10"/>
        <rFont val="Arial"/>
        <family val="2"/>
      </rPr>
      <t xml:space="preserve">Online: </t>
    </r>
    <r>
      <rPr>
        <sz val="10"/>
        <rFont val="Arial"/>
        <family val="2"/>
      </rPr>
      <t>Values are derived from the test session grade, or from the LAP file. For students who tested in a grade that differs from their grade on the LAP file, the grade level from the test session will be populated here.</t>
    </r>
  </si>
  <si>
    <t>Y = TDR Student
N = Non-TDR Student
Blank</t>
  </si>
  <si>
    <t>As flagged on the LAP file.
Identifies the Tuition Donation Rebate (TDR) students.
Blank for a paper hand-coded document that could not be matched back to the LAP file or for a manually added online tester.</t>
  </si>
  <si>
    <r>
      <t xml:space="preserve">As bubbled on the ELA consumable test booklet.
Blank for online testers.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</si>
  <si>
    <r>
      <t xml:space="preserve">As bubbled on the Science consumable test booklet.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</si>
  <si>
    <r>
      <t xml:space="preserve">As bubbled on the Social Studies consumable test booklet.
Blank for online testers.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</si>
  <si>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consumable test booklet.</t>
    </r>
  </si>
  <si>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99 = Unknown (multiple values bubbled)
Blank = student has no special education category</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</si>
  <si>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consumable test booklet.</t>
    </r>
  </si>
  <si>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consumable test booklet.</t>
    </r>
  </si>
  <si>
    <r>
      <t xml:space="preserve">Section 504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consumable test booklet.</t>
    </r>
  </si>
  <si>
    <r>
      <t xml:space="preserve">Total points earned for the Major Content Subcategory 1 Raw Score.
Blank when subcategory is not assessed (zero points possible), or when the Raw Score Total for Math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1 associated to each grade.
</t>
    </r>
  </si>
  <si>
    <r>
      <t xml:space="preserve">Percent correct for the Major Content Subcategory 1. This is calculated by dividing the total points earned by the total points possible for the subcategory.
Blank when Major Content Subcategory 1 Raw Score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1 associated to each grade.</t>
    </r>
  </si>
  <si>
    <r>
      <t xml:space="preserve">Total points earned for the Major Content Subcategory 2 Raw Score.
Blank when subcategory is not assessed (zero points possible), or when the Raw Score Total for Math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2 associated to each grade.
</t>
    </r>
  </si>
  <si>
    <r>
      <t xml:space="preserve">Percent correct for the Major Content Subcategory 2. This is calculated by dividing the total points earned by the total points possible for the subcategory.
Blank when Major Content Subcategory 2 Raw Score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2 associated to each grade.</t>
    </r>
  </si>
  <si>
    <r>
      <t xml:space="preserve">Total points earned for the Major Content Subcategory 3 Raw Score.
Blank when subcategory is not assessed (zero points possible), or when the Raw Score Total for Math is blank.
Refer to the </t>
    </r>
    <r>
      <rPr>
        <b/>
        <u/>
        <sz val="10"/>
        <rFont val="Arial"/>
        <family val="2"/>
      </rPr>
      <t xml:space="preserve">Subclaims, Claims, Subcategories and Reporting Categories </t>
    </r>
    <r>
      <rPr>
        <sz val="10"/>
        <rFont val="Arial"/>
        <family val="2"/>
      </rPr>
      <t xml:space="preserve">section of the Processing Rules - Scoring document for the Major Content Subcategory 3 associated to each grade.
</t>
    </r>
  </si>
  <si>
    <r>
      <t xml:space="preserve">Percent correct for the Major Content Subcategory 3. This is calculated by dividing the total points earned by the total points possible for the subcategory.
Blank when Major Content Subcategory 3 Raw Score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3 associated to each grade.</t>
    </r>
  </si>
  <si>
    <r>
      <t xml:space="preserve">Total points earned for the Major Content Subcategory 4 Raw Score.
Blank when subcategory is not assessed (zero points possible), or when the Raw Score Total for Math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4 associated to each grade.
</t>
    </r>
  </si>
  <si>
    <r>
      <t xml:space="preserve">Percent correct for the Major Content Subcategory 4. This is calculated by dividing the total points earned by the total points possible for the subcategory.
Blank when Major Content Subcategory 4 Raw Score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4 associated to each grade.</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</si>
  <si>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
Science is a field test in 2018 and will not have any achievement level values.</t>
    </r>
  </si>
  <si>
    <t>Summary of District Voids, Plagiarism Voids and Off-Grade Voids in each subject.  
The Summarized Void flag will be "1" for a subject if the student has a row in the LDE approved Void .csv file for the subject and the LDE Type of Void field contains "1"
The Summarized Void flag will be "2" for a subject if the student has a row in the LDE approved Void .csv file for the subject and the LDE Type of Void field contains "2"
The Summarized Void flag will be "4" for a subject if the student has a row in the LDE approved Void .csv file for the subject and the LDE Type of Void field contains "4"
Blank when the subject is not voided
Science is a field test in 2018. Void Flag will be blank for all students.</t>
  </si>
  <si>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The Accountability Achievement Level fields will be set to Blank if the subject was the secondary record involved in a score merge.
Science is a field test in 2018. All Accountability Achievement Levels will be set to Blank for Science.</t>
    </r>
  </si>
  <si>
    <r>
      <rPr>
        <b/>
        <sz val="10"/>
        <rFont val="Arial"/>
        <family val="2"/>
      </rPr>
      <t xml:space="preserve">For paper testers: </t>
    </r>
    <r>
      <rPr>
        <sz val="10"/>
        <rFont val="Arial"/>
        <family val="2"/>
      </rPr>
      <t xml:space="preserve">As bubbled on the ELA consumable test booklet. Can be any combination of numbers, dashes, or asterisks in each position based on what was bubbled on the document.
</t>
    </r>
    <r>
      <rPr>
        <b/>
        <sz val="10"/>
        <rFont val="Arial"/>
        <family val="2"/>
      </rPr>
      <t xml:space="preserve">For online testers: </t>
    </r>
    <r>
      <rPr>
        <sz val="10"/>
        <rFont val="Arial"/>
        <family val="2"/>
      </rPr>
      <t>Test Administrator Number associated with the eDIRECT test session</t>
    </r>
  </si>
  <si>
    <t>LDESTD File Layout - Final file_Staff and Contractor</t>
  </si>
  <si>
    <t>SPSS START</t>
  </si>
  <si>
    <t>SPSS END</t>
  </si>
  <si>
    <t>temp</t>
  </si>
  <si>
    <t>final</t>
  </si>
  <si>
    <t>filler count</t>
  </si>
  <si>
    <t>FieldName</t>
  </si>
  <si>
    <t>TestDateMonth</t>
  </si>
  <si>
    <t>TestDateYear</t>
  </si>
  <si>
    <t>DistrictCode</t>
  </si>
  <si>
    <t>SchoolCode</t>
  </si>
  <si>
    <t>DistrictName</t>
  </si>
  <si>
    <t>SchoolName</t>
  </si>
  <si>
    <t>DRCUniqueStudentID</t>
  </si>
  <si>
    <t>PrecodedTester</t>
  </si>
  <si>
    <t>StudentLastName</t>
  </si>
  <si>
    <t>StudentFirstName</t>
  </si>
  <si>
    <t>StudentMiddleInitial</t>
  </si>
  <si>
    <t>SummarizedGrade</t>
  </si>
  <si>
    <t>SummarizedDOBDay</t>
  </si>
  <si>
    <t>SummarizedGender</t>
  </si>
  <si>
    <t>SummarizedMigrantStatus</t>
  </si>
  <si>
    <t>LAPTwinFlag</t>
  </si>
  <si>
    <t>LAPTDRTester</t>
  </si>
  <si>
    <t>LAPScholarshipStudentFlag</t>
  </si>
  <si>
    <t>SummarizedMilitaryAffiliation</t>
  </si>
  <si>
    <t>SummarizedFosterCare</t>
  </si>
  <si>
    <t>BubbledOptionalLocalUse</t>
  </si>
  <si>
    <t>BubbledAccountabilityCode</t>
  </si>
  <si>
    <t>NoAccommodations</t>
  </si>
  <si>
    <t>LargePrint</t>
  </si>
  <si>
    <t>AnswersRecorded</t>
  </si>
  <si>
    <t>ExtendedTime</t>
  </si>
  <si>
    <t>TransferredAnswers</t>
  </si>
  <si>
    <t>ReadAloudKurzweil</t>
  </si>
  <si>
    <t>ReadAloudRecordedVoice</t>
  </si>
  <si>
    <t>ReadAloudHumanReader</t>
  </si>
  <si>
    <t>TestAdministeredbyESLTeacherorIndividualProvidingLanguageServices</t>
  </si>
  <si>
    <t>DirectionsinNativeLanguage</t>
  </si>
  <si>
    <t>HumanReadAloud</t>
  </si>
  <si>
    <t>IndividualorSmallGroupAdministration</t>
  </si>
  <si>
    <t>AccommodatedPaper</t>
  </si>
  <si>
    <t>CommunicationAssistanceScripts</t>
  </si>
  <si>
    <t>SpanishTester</t>
  </si>
  <si>
    <t>BubbledMilitaryAffiliated</t>
  </si>
  <si>
    <t>BubbledFosterCare</t>
  </si>
  <si>
    <t>CalculatorUse</t>
  </si>
  <si>
    <t>SpanishTest</t>
  </si>
  <si>
    <t>BasicCalculator</t>
  </si>
  <si>
    <t>ScientificCalculator</t>
  </si>
  <si>
    <t>SummarizedEducationClassificationFlag</t>
  </si>
  <si>
    <t>LAPPrimaryExceptionality</t>
  </si>
  <si>
    <t>eDIRECTExceptionalityCategory</t>
  </si>
  <si>
    <t>LAPLEPCode</t>
  </si>
  <si>
    <t>SummarizedLEPStatus</t>
  </si>
  <si>
    <t>LAPLEPIndicatorCode</t>
  </si>
  <si>
    <t>SummarizedSection504Status</t>
  </si>
  <si>
    <t>ReadingLiteraryTextRawScore</t>
  </si>
  <si>
    <t>ReadingLiteraryTextRating</t>
  </si>
  <si>
    <t>ReadingInformationalTextRawScore</t>
  </si>
  <si>
    <t>ReadingInformationalTextRating</t>
  </si>
  <si>
    <t>ReadingVocabularyRawScore</t>
  </si>
  <si>
    <t>ReadingVocabularyRating</t>
  </si>
  <si>
    <t>WrittenExpressionRawScore</t>
  </si>
  <si>
    <t>WrittenExpressionRating</t>
  </si>
  <si>
    <t>ReadingRawScore</t>
  </si>
  <si>
    <t>ReadingRating</t>
  </si>
  <si>
    <t>WritingRawScore</t>
  </si>
  <si>
    <t>WritingRating</t>
  </si>
  <si>
    <t>MajorContentRawScore</t>
  </si>
  <si>
    <t>MajorContentRating</t>
  </si>
  <si>
    <t>HistoryRating</t>
  </si>
  <si>
    <t>GeographyRating</t>
  </si>
  <si>
    <t>CivicsRating</t>
  </si>
  <si>
    <t>EconomicsRating</t>
  </si>
  <si>
    <t>LAPSiteCode</t>
  </si>
  <si>
    <t>AssessGroupType</t>
  </si>
  <si>
    <t>CharterType</t>
  </si>
  <si>
    <t>RolluptoState</t>
  </si>
  <si>
    <t>IncludeinDistrictMediaReports</t>
  </si>
  <si>
    <t>IncludeinSchoolMediaReports</t>
  </si>
  <si>
    <t>SummarizetoAssessmentGroupCodefordistrictlevelreporting</t>
  </si>
  <si>
    <t>SchoolssummarizedtoLEACodefordistrictlevelreporting</t>
  </si>
  <si>
    <t>SiteReportCode</t>
  </si>
  <si>
    <t>SummaryReports</t>
  </si>
  <si>
    <t>FileCreationDateandTimeStamp</t>
  </si>
  <si>
    <t>TexttoSpeech</t>
  </si>
  <si>
    <t>NativeLanguageWordtoWordDictionary</t>
  </si>
  <si>
    <t>RawScoreTotalELA</t>
  </si>
  <si>
    <t>ScaleScoreELA</t>
  </si>
  <si>
    <t>AssessmentAchievementLevelELA</t>
  </si>
  <si>
    <t>TestTakenFlagELA</t>
  </si>
  <si>
    <t>IncludeinNcountsELA</t>
  </si>
  <si>
    <t>SummarizedVoidFlagELA</t>
  </si>
  <si>
    <t>AccountabilityAchievementLevelELA</t>
  </si>
  <si>
    <t>TestModeELA</t>
  </si>
  <si>
    <t>TestAdministratorNumberELA</t>
  </si>
  <si>
    <t>KnowledgeUseofLanguageConventionsRawScore</t>
  </si>
  <si>
    <t>KnowledgeUseofLanguageConventionsRating</t>
  </si>
  <si>
    <t>BarcodeStudentPrecodeNumber</t>
  </si>
  <si>
    <t>SummarizedEthnicityRace</t>
  </si>
  <si>
    <t>IndividualSmallGroupAdministration</t>
  </si>
  <si>
    <t>MCCRTakenELA</t>
  </si>
  <si>
    <t>HomeStudyNonpublicFlag</t>
  </si>
  <si>
    <t>ProvisionofEnglishNativeLanguageWordtoWordDictionaryNoDef</t>
  </si>
  <si>
    <t>ReadingLiteraryTextPctCorrect</t>
  </si>
  <si>
    <t>ReadingInformationalTextPctCorrect</t>
  </si>
  <si>
    <t>ReadingVocabularyPctCorrect</t>
  </si>
  <si>
    <t>WrittenExpressionPctCorrect</t>
  </si>
  <si>
    <t>KnowledgeUseofLanguageConventionsPctCorrect</t>
  </si>
  <si>
    <t>ReadingPctCorrect</t>
  </si>
  <si>
    <t>WritingPctCorrect</t>
  </si>
  <si>
    <t>MajorContentPctCorrect</t>
  </si>
  <si>
    <t>HistoryPctCorrect</t>
  </si>
  <si>
    <t>GeographyPctCorrect</t>
  </si>
  <si>
    <t>CivicsPctCorrect</t>
  </si>
  <si>
    <t>EconomicsPctCorrect</t>
  </si>
  <si>
    <t>MajorContentSubcat1RawScore</t>
  </si>
  <si>
    <t>MajorContentSubcat1Rating</t>
  </si>
  <si>
    <t>MajorContentSubcat1PctCorrect</t>
  </si>
  <si>
    <t>MajorContentSubcat2RawScore</t>
  </si>
  <si>
    <t>MajorContentSubcat2Rating</t>
  </si>
  <si>
    <t>MajorContentSubcat2PctCorrect</t>
  </si>
  <si>
    <t>MajorContentSubcat3RawScore</t>
  </si>
  <si>
    <t>MajorContentSubcat3Rating</t>
  </si>
  <si>
    <t>MajorContentSubcat3PctCorrect</t>
  </si>
  <si>
    <t>MajorContentSubcat4RawScore</t>
  </si>
  <si>
    <t>MajorContentSubcat4Rating</t>
  </si>
  <si>
    <t>MajorContentSubcat4PctCorrect</t>
  </si>
  <si>
    <t>AddSupportContentRawScore</t>
  </si>
  <si>
    <t>AddSupportContentRating</t>
  </si>
  <si>
    <t>AddSupportContentPctCorrect</t>
  </si>
  <si>
    <t>ModelingApplicRawScore</t>
  </si>
  <si>
    <t>ModelingApplicRating</t>
  </si>
  <si>
    <t>ModelingApplicPctCorrect</t>
  </si>
  <si>
    <t>MTH (DOCUMENT 2) DEMOGRAPHIC INFORMATION</t>
  </si>
  <si>
    <t>MTH SCORING INFORMATION</t>
  </si>
  <si>
    <t>RawScoreTotalMTH</t>
  </si>
  <si>
    <t>ScaleScoreMTH</t>
  </si>
  <si>
    <t>AssessmentAchievementLevelMTH</t>
  </si>
  <si>
    <t>ExpressingMTHematicalReasonRawScore</t>
  </si>
  <si>
    <t>ExpressingMTHematicalReasonRating</t>
  </si>
  <si>
    <t>ExpressingMTHematicalReasonPctCorrect</t>
  </si>
  <si>
    <t>TestTakenFlagMTH</t>
  </si>
  <si>
    <t>MCCRTakenMTH</t>
  </si>
  <si>
    <t>IncludeinNcountsMTH</t>
  </si>
  <si>
    <t>SummarizedVoidFlagMTH</t>
  </si>
  <si>
    <t>AccountabilityAchievementLevelMTH</t>
  </si>
  <si>
    <t>TestModeMTH</t>
  </si>
  <si>
    <t>TestAdministratorNumberMTH</t>
  </si>
  <si>
    <t>SCI (DOCUMENT 3) DEMOGRAPHIC INFORMATION</t>
  </si>
  <si>
    <t>SCI SCORING INFORMATION</t>
  </si>
  <si>
    <t>RawScoreTotalSCI</t>
  </si>
  <si>
    <t>ScaleScoreSCI</t>
  </si>
  <si>
    <t>AssessmentAchievementLevelSCI</t>
  </si>
  <si>
    <t>TestTakenFlagSCI</t>
  </si>
  <si>
    <t>MCCRTakenSCI</t>
  </si>
  <si>
    <t>IncludeinNcountsSCI</t>
  </si>
  <si>
    <t>SummarizedVoidFlagSCI</t>
  </si>
  <si>
    <t>AccountabilityAchievementLevelSCI</t>
  </si>
  <si>
    <t>TestModeSCI</t>
  </si>
  <si>
    <t>TestAdministratorNumberSCI</t>
  </si>
  <si>
    <t>SST (DOCUMENT 4) DEMOGRAPHIC INFORMATION</t>
  </si>
  <si>
    <t>SST SCORING INFORMATION</t>
  </si>
  <si>
    <t>RawScoreTotalSST</t>
  </si>
  <si>
    <t>ScaleScoreSST</t>
  </si>
  <si>
    <t>AssessmentAchievementLevelSST</t>
  </si>
  <si>
    <t>TestTakenFlagSST</t>
  </si>
  <si>
    <t>MCCRTakenSST</t>
  </si>
  <si>
    <t>IncludeinNcountsSST</t>
  </si>
  <si>
    <t>SummarizedVoidFlagSST</t>
  </si>
  <si>
    <t>AccountabilityAchievementLevelSST</t>
  </si>
  <si>
    <t>TestModeSST</t>
  </si>
  <si>
    <t>TestAdministratorNumberSST</t>
  </si>
  <si>
    <t>SummarizedSpecialEducationExceptionalityCategoryDocument1ELA</t>
  </si>
  <si>
    <t>UpdatedAccountabilityCodeDocument1ELA</t>
  </si>
  <si>
    <t>SiteCodeDocument1ELA</t>
  </si>
  <si>
    <t>Document 1 ELA</t>
  </si>
  <si>
    <t>SummarizedSpecialEducationExceptionalityCategoryDocument2MTH</t>
  </si>
  <si>
    <t>UpdatedAccountabilityCodeDocument2MTH</t>
  </si>
  <si>
    <t>SiteCodeDocument2MTH</t>
  </si>
  <si>
    <t>Document 2 MTH</t>
  </si>
  <si>
    <t>SummarizedSpecialEducationExceptionalityCategoryDocument3SCI</t>
  </si>
  <si>
    <t>UpdatedAccountabilityCodeDocument3SCI</t>
  </si>
  <si>
    <t>SiteCodeDocument3SCI</t>
  </si>
  <si>
    <t>Document 3 SCI</t>
  </si>
  <si>
    <t>SummarizedSpecialEducationExceptionalityCategoryDocument4SST</t>
  </si>
  <si>
    <t>UpdatedAccountabilityCodeDocument4SST</t>
  </si>
  <si>
    <t>SiteCodeDocument4SST</t>
  </si>
  <si>
    <t>Document 4 SST</t>
  </si>
  <si>
    <t>SummarizedMcKinneyVentoActHomeless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</si>
</sst>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theme="1"/>
      <name val="Calibri"/>
      <family val="2"/>
      <scheme val="minor"/>
    </font>
    <font>
      <sz val="11"/>
      <color theme="1"/>
      <name val="Calibri"/>
      <family val="2"/>
      <scheme val="minor"/>
    </font>
    <font>
      <sz val="10"/>
      <name val="Arial"/>
      <family val="2"/>
    </font>
    <font>
      <b/>
      <sz val="12"/>
      <name val="Arial"/>
      <family val="2"/>
    </font>
    <font>
      <b/>
      <sz val="10"/>
      <color indexed="12"/>
      <name val="Arial"/>
      <family val="2"/>
    </font>
    <font>
      <b/>
      <sz val="10"/>
      <color rgb="FF0000FF"/>
      <name val="Arial"/>
      <family val="2"/>
    </font>
    <font>
      <sz val="10"/>
      <name val="Arial"/>
      <family val="2"/>
    </font>
    <font>
      <b/>
      <sz val="16"/>
      <name val="Arial"/>
      <family val="2"/>
    </font>
    <font>
      <b/>
      <sz val="10"/>
      <name val="Arial"/>
      <family val="2"/>
    </font>
    <font>
      <strike/>
      <sz val="10"/>
      <name val="Arial"/>
      <family val="2"/>
    </font>
    <font>
      <b/>
      <u/>
      <sz val="10"/>
      <name val="Arial"/>
      <family val="2"/>
    </font>
    <font>
      <sz val="10"/>
      <color theme="1"/>
      <name val="Arial"/>
      <family val="2"/>
    </font>
    <font>
      <b/>
      <sz val="10"/>
      <color theme="1"/>
      <name val="Arial"/>
      <family val="2"/>
    </font>
    <font>
      <strike/>
      <sz val="10"/>
      <color rgb="FFFF0000"/>
      <name val="Arial"/>
      <family val="2"/>
    </font>
    <font>
      <u/>
      <sz val="10"/>
      <color theme="10"/>
      <name val="Arial"/>
      <family val="2"/>
    </font>
    <font>
      <b/>
      <strike/>
      <sz val="10"/>
      <name val="Arial"/>
      <family val="2"/>
    </font>
  </fonts>
  <fills count="3">
    <fill>
      <patternFill patternType="none"/>
    </fill>
    <fill>
      <patternFill patternType="gray125"/>
    </fill>
    <fill>
      <patternFill patternType="solid">
        <fgColor them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723">
    <xf numFmtId="0" fontId="0"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14" fillId="0" borderId="0" applyNumberFormat="0" applyFill="0" applyBorder="0" applyAlignment="0" applyProtection="0"/>
    <xf numFmtId="0" fontId="2" fillId="0" borderId="0"/>
  </cellStyleXfs>
  <cellXfs count="59">
    <xf numFmtId="0" fontId="0" fillId="0" borderId="0" xfId="0"/>
    <xf numFmtId="0" fontId="3" fillId="0" borderId="0" xfId="880" applyFont="1" applyFill="1" applyBorder="1" applyAlignment="1">
      <alignment vertical="center" wrapText="1"/>
    </xf>
    <xf numFmtId="0" fontId="3" fillId="0" borderId="0" xfId="880" applyFont="1" applyFill="1" applyBorder="1" applyAlignment="1">
      <alignment horizontal="right" wrapText="1"/>
    </xf>
    <xf numFmtId="0" fontId="3" fillId="0" borderId="0" xfId="880" applyFont="1" applyFill="1" applyBorder="1" applyAlignment="1">
      <alignment horizontal="right"/>
    </xf>
    <xf numFmtId="0" fontId="2" fillId="0" borderId="0" xfId="22" applyFont="1" applyFill="1" applyBorder="1" applyAlignment="1">
      <alignment vertical="top" wrapText="1"/>
    </xf>
    <xf numFmtId="0" fontId="5" fillId="0" borderId="0" xfId="22" applyFont="1" applyFill="1" applyBorder="1" applyAlignment="1">
      <alignment vertical="top" wrapText="1"/>
    </xf>
    <xf numFmtId="49" fontId="2" fillId="0" borderId="0" xfId="22" applyNumberFormat="1" applyFont="1" applyFill="1" applyBorder="1" applyAlignment="1">
      <alignment horizontal="left" vertical="center" wrapText="1"/>
    </xf>
    <xf numFmtId="1" fontId="2" fillId="0" borderId="0" xfId="22" applyNumberFormat="1" applyFont="1" applyFill="1" applyBorder="1" applyAlignment="1">
      <alignment horizontal="right" vertical="top"/>
    </xf>
    <xf numFmtId="0" fontId="2" fillId="0" borderId="0" xfId="22" applyFont="1" applyFill="1" applyBorder="1" applyAlignment="1">
      <alignment horizontal="right" vertical="top"/>
    </xf>
    <xf numFmtId="16" fontId="2" fillId="0" borderId="0" xfId="880" applyNumberFormat="1" applyFont="1" applyFill="1" applyBorder="1" applyAlignment="1">
      <alignment horizontal="left" vertical="center" wrapText="1"/>
    </xf>
    <xf numFmtId="0" fontId="2" fillId="0" borderId="0" xfId="880" applyFont="1" applyFill="1" applyBorder="1" applyAlignment="1">
      <alignment horizontal="right" vertical="top"/>
    </xf>
    <xf numFmtId="49" fontId="2" fillId="0" borderId="0" xfId="2" applyNumberFormat="1" applyFont="1" applyFill="1" applyBorder="1" applyAlignment="1">
      <alignment horizontal="left" vertical="center" wrapText="1"/>
    </xf>
    <xf numFmtId="0" fontId="8" fillId="2" borderId="1" xfId="22" applyFont="1" applyFill="1" applyBorder="1"/>
    <xf numFmtId="0" fontId="2" fillId="0" borderId="1" xfId="22" applyFont="1" applyBorder="1" applyAlignment="1">
      <alignment wrapText="1"/>
    </xf>
    <xf numFmtId="0" fontId="14" fillId="0" borderId="1" xfId="1721" applyBorder="1" applyAlignment="1">
      <alignment wrapText="1"/>
    </xf>
    <xf numFmtId="0" fontId="14" fillId="0" borderId="3" xfId="1721" applyBorder="1" applyAlignment="1">
      <alignment wrapText="1"/>
    </xf>
    <xf numFmtId="0" fontId="14" fillId="0" borderId="2" xfId="1721" applyBorder="1" applyAlignment="1">
      <alignment wrapText="1"/>
    </xf>
    <xf numFmtId="0" fontId="2" fillId="0" borderId="2" xfId="22" applyFont="1" applyBorder="1" applyAlignment="1">
      <alignment horizontal="left" wrapText="1"/>
    </xf>
    <xf numFmtId="0" fontId="2" fillId="0" borderId="0" xfId="0" applyFont="1" applyFill="1" applyAlignment="1">
      <alignment vertical="center"/>
    </xf>
    <xf numFmtId="0" fontId="2" fillId="0" borderId="0" xfId="0" applyFont="1" applyFill="1" applyAlignment="1">
      <alignment vertical="center" wrapText="1"/>
    </xf>
    <xf numFmtId="0" fontId="2" fillId="0" borderId="0" xfId="0" applyFont="1" applyFill="1" applyAlignment="1">
      <alignment horizontal="right" vertical="top"/>
    </xf>
    <xf numFmtId="0" fontId="11" fillId="0" borderId="0" xfId="0" applyFont="1" applyFill="1" applyAlignment="1">
      <alignment horizontal="right" vertical="top"/>
    </xf>
    <xf numFmtId="16" fontId="2" fillId="0" borderId="0" xfId="0" applyNumberFormat="1" applyFont="1" applyFill="1" applyAlignment="1">
      <alignment vertical="center" wrapText="1"/>
    </xf>
    <xf numFmtId="0" fontId="3" fillId="0" borderId="0" xfId="880" applyFont="1" applyFill="1" applyBorder="1" applyAlignment="1">
      <alignment vertical="top" wrapText="1"/>
    </xf>
    <xf numFmtId="0" fontId="4" fillId="0" borderId="0" xfId="880" applyFont="1" applyFill="1" applyBorder="1" applyAlignment="1">
      <alignment vertical="top" wrapText="1"/>
    </xf>
    <xf numFmtId="0" fontId="2" fillId="0" borderId="0" xfId="880" applyFont="1" applyFill="1" applyBorder="1" applyAlignment="1">
      <alignment vertical="top" wrapText="1"/>
    </xf>
    <xf numFmtId="0" fontId="4" fillId="0" borderId="0" xfId="22" applyFont="1" applyFill="1" applyBorder="1" applyAlignment="1">
      <alignment vertical="top" wrapText="1"/>
    </xf>
    <xf numFmtId="0" fontId="2" fillId="0" borderId="0" xfId="1" applyFont="1" applyFill="1" applyBorder="1" applyAlignment="1">
      <alignment vertical="top" wrapText="1"/>
    </xf>
    <xf numFmtId="0" fontId="5" fillId="0" borderId="0" xfId="0" applyFont="1" applyFill="1" applyAlignment="1">
      <alignment vertical="top" wrapText="1"/>
    </xf>
    <xf numFmtId="0" fontId="11" fillId="0" borderId="0" xfId="0" applyFont="1" applyFill="1" applyAlignment="1">
      <alignment vertical="top" wrapText="1"/>
    </xf>
    <xf numFmtId="0" fontId="5" fillId="0" borderId="0" xfId="1" applyFont="1" applyFill="1" applyBorder="1" applyAlignment="1">
      <alignment vertical="top" wrapText="1"/>
    </xf>
    <xf numFmtId="0" fontId="11" fillId="0" borderId="0" xfId="0" applyFont="1" applyFill="1"/>
    <xf numFmtId="0" fontId="2" fillId="0" borderId="0" xfId="0" applyFont="1" applyFill="1" applyAlignment="1">
      <alignment vertical="top" wrapText="1"/>
    </xf>
    <xf numFmtId="49" fontId="2" fillId="0" borderId="0" xfId="22" applyNumberFormat="1" applyFont="1" applyFill="1" applyBorder="1" applyAlignment="1">
      <alignment vertical="center" wrapText="1"/>
    </xf>
    <xf numFmtId="0" fontId="2" fillId="0" borderId="0" xfId="0" applyFont="1" applyFill="1" applyBorder="1" applyAlignment="1">
      <alignment horizontal="center" vertical="top"/>
    </xf>
    <xf numFmtId="0" fontId="2" fillId="0" borderId="0" xfId="0" applyFont="1" applyFill="1" applyBorder="1" applyAlignment="1">
      <alignment horizontal="left" vertical="top"/>
    </xf>
    <xf numFmtId="0" fontId="12" fillId="0" borderId="0" xfId="0" applyFont="1" applyFill="1" applyAlignment="1">
      <alignment horizontal="left"/>
    </xf>
    <xf numFmtId="0" fontId="2" fillId="0" borderId="0" xfId="22" applyFont="1" applyFill="1" applyBorder="1" applyAlignment="1">
      <alignment horizontal="left" vertical="center" wrapText="1"/>
    </xf>
    <xf numFmtId="0" fontId="2" fillId="0" borderId="0" xfId="0" applyFont="1" applyFill="1" applyAlignment="1">
      <alignment horizontal="left" vertical="center" wrapText="1"/>
    </xf>
    <xf numFmtId="0" fontId="2" fillId="0" borderId="0" xfId="880" applyFont="1" applyFill="1" applyBorder="1" applyAlignment="1">
      <alignment horizontal="left" vertical="center" wrapText="1"/>
    </xf>
    <xf numFmtId="0" fontId="2" fillId="0" borderId="0" xfId="22" applyFont="1" applyFill="1" applyBorder="1" applyAlignment="1">
      <alignment vertical="center" wrapText="1"/>
    </xf>
    <xf numFmtId="0" fontId="2" fillId="0" borderId="0" xfId="880" applyFont="1" applyFill="1" applyBorder="1" applyAlignment="1">
      <alignment vertical="center" wrapText="1"/>
    </xf>
    <xf numFmtId="0" fontId="2" fillId="0" borderId="0" xfId="0" applyFont="1" applyFill="1" applyBorder="1" applyAlignment="1">
      <alignment horizontal="left" vertical="center" wrapText="1"/>
    </xf>
    <xf numFmtId="0" fontId="2" fillId="0" borderId="0" xfId="0" applyFont="1" applyFill="1" applyBorder="1" applyAlignment="1">
      <alignment horizontal="right" vertical="top"/>
    </xf>
    <xf numFmtId="0" fontId="15" fillId="0" borderId="0" xfId="0" applyFont="1" applyFill="1" applyAlignment="1">
      <alignment vertical="center" wrapText="1"/>
    </xf>
    <xf numFmtId="0" fontId="2" fillId="0" borderId="0" xfId="0" applyFont="1" applyFill="1"/>
    <xf numFmtId="0" fontId="2" fillId="0" borderId="0" xfId="0" applyFont="1" applyFill="1" applyAlignment="1">
      <alignment horizontal="left" vertical="center"/>
    </xf>
    <xf numFmtId="0" fontId="2" fillId="0" borderId="0" xfId="1722" applyFont="1" applyFill="1" applyBorder="1" applyAlignment="1">
      <alignment vertical="top" wrapText="1"/>
    </xf>
    <xf numFmtId="1" fontId="11" fillId="0" borderId="0" xfId="0" applyNumberFormat="1" applyFont="1" applyFill="1" applyAlignment="1">
      <alignment horizontal="right" vertical="top"/>
    </xf>
    <xf numFmtId="1" fontId="12" fillId="0" borderId="0" xfId="0" applyNumberFormat="1" applyFont="1" applyFill="1" applyAlignment="1">
      <alignment horizontal="right" vertical="top"/>
    </xf>
    <xf numFmtId="0" fontId="2" fillId="0" borderId="0" xfId="0" applyFont="1" applyFill="1" applyAlignment="1">
      <alignment horizontal="left" vertical="center" wrapText="1"/>
    </xf>
    <xf numFmtId="0" fontId="2" fillId="0" borderId="0" xfId="880" applyFont="1" applyFill="1" applyBorder="1" applyAlignment="1">
      <alignment horizontal="left" vertical="center" wrapText="1"/>
    </xf>
    <xf numFmtId="0" fontId="2" fillId="0" borderId="0" xfId="22" applyFont="1" applyFill="1" applyBorder="1" applyAlignment="1">
      <alignment horizontal="left" vertical="center" wrapText="1"/>
    </xf>
    <xf numFmtId="0" fontId="7" fillId="0" borderId="0" xfId="880" applyFont="1" applyFill="1" applyBorder="1" applyAlignment="1">
      <alignment horizontal="left"/>
    </xf>
    <xf numFmtId="49" fontId="2" fillId="0" borderId="0" xfId="880" applyNumberFormat="1" applyFont="1" applyFill="1" applyBorder="1" applyAlignment="1">
      <alignment vertical="center" wrapText="1"/>
    </xf>
    <xf numFmtId="0" fontId="2" fillId="0" borderId="0" xfId="880" applyFont="1" applyFill="1" applyBorder="1" applyAlignment="1">
      <alignment vertical="center" wrapText="1"/>
    </xf>
    <xf numFmtId="0" fontId="2" fillId="0" borderId="0" xfId="880" applyFont="1" applyFill="1" applyAlignment="1">
      <alignment horizontal="left" vertical="center" wrapText="1"/>
    </xf>
    <xf numFmtId="0" fontId="10" fillId="0" borderId="0" xfId="880" applyFont="1" applyFill="1" applyBorder="1" applyAlignment="1">
      <alignment horizontal="left" vertical="center" wrapText="1"/>
    </xf>
    <xf numFmtId="0" fontId="2" fillId="0" borderId="0" xfId="0" applyFont="1" applyFill="1" applyAlignment="1">
      <alignment horizontal="left" vertical="center"/>
    </xf>
  </cellXfs>
  <cellStyles count="1723">
    <cellStyle name="Hyperlink" xfId="1721" builtinId="8"/>
    <cellStyle name="Normal" xfId="0" builtinId="0"/>
    <cellStyle name="Normal 10" xfId="18"/>
    <cellStyle name="Normal 10 10" xfId="883"/>
    <cellStyle name="Normal 10 2" xfId="24"/>
    <cellStyle name="Normal 10 2 2" xfId="35"/>
    <cellStyle name="Normal 10 2 2 2" xfId="56"/>
    <cellStyle name="Normal 10 2 2 2 2" xfId="99"/>
    <cellStyle name="Normal 10 2 2 2 2 2" xfId="183"/>
    <cellStyle name="Normal 10 2 2 2 2 2 2" xfId="370"/>
    <cellStyle name="Normal 10 2 2 2 2 2 2 2" xfId="876"/>
    <cellStyle name="Normal 10 2 2 2 2 2 2 2 2" xfId="1708"/>
    <cellStyle name="Normal 10 2 2 2 2 2 2 3" xfId="1205"/>
    <cellStyle name="Normal 10 2 2 2 2 2 3" xfId="712"/>
    <cellStyle name="Normal 10 2 2 2 2 2 3 2" xfId="1544"/>
    <cellStyle name="Normal 10 2 2 2 2 2 4" xfId="548"/>
    <cellStyle name="Normal 10 2 2 2 2 2 4 2" xfId="1381"/>
    <cellStyle name="Normal 10 2 2 2 2 2 5" xfId="1041"/>
    <cellStyle name="Normal 10 2 2 2 2 3" xfId="288"/>
    <cellStyle name="Normal 10 2 2 2 2 3 2" xfId="794"/>
    <cellStyle name="Normal 10 2 2 2 2 3 2 2" xfId="1626"/>
    <cellStyle name="Normal 10 2 2 2 2 3 3" xfId="1123"/>
    <cellStyle name="Normal 10 2 2 2 2 4" xfId="630"/>
    <cellStyle name="Normal 10 2 2 2 2 4 2" xfId="1462"/>
    <cellStyle name="Normal 10 2 2 2 2 5" xfId="460"/>
    <cellStyle name="Normal 10 2 2 2 2 5 2" xfId="1293"/>
    <cellStyle name="Normal 10 2 2 2 2 6" xfId="959"/>
    <cellStyle name="Normal 10 2 2 2 3" xfId="141"/>
    <cellStyle name="Normal 10 2 2 2 3 2" xfId="329"/>
    <cellStyle name="Normal 10 2 2 2 3 2 2" xfId="835"/>
    <cellStyle name="Normal 10 2 2 2 3 2 2 2" xfId="1667"/>
    <cellStyle name="Normal 10 2 2 2 3 2 3" xfId="1164"/>
    <cellStyle name="Normal 10 2 2 2 3 3" xfId="671"/>
    <cellStyle name="Normal 10 2 2 2 3 3 2" xfId="1503"/>
    <cellStyle name="Normal 10 2 2 2 3 4" xfId="504"/>
    <cellStyle name="Normal 10 2 2 2 3 4 2" xfId="1337"/>
    <cellStyle name="Normal 10 2 2 2 3 5" xfId="1000"/>
    <cellStyle name="Normal 10 2 2 2 4" xfId="247"/>
    <cellStyle name="Normal 10 2 2 2 4 2" xfId="753"/>
    <cellStyle name="Normal 10 2 2 2 4 2 2" xfId="1585"/>
    <cellStyle name="Normal 10 2 2 2 4 3" xfId="1082"/>
    <cellStyle name="Normal 10 2 2 2 5" xfId="589"/>
    <cellStyle name="Normal 10 2 2 2 5 2" xfId="1421"/>
    <cellStyle name="Normal 10 2 2 2 6" xfId="416"/>
    <cellStyle name="Normal 10 2 2 2 6 2" xfId="1249"/>
    <cellStyle name="Normal 10 2 2 2 7" xfId="918"/>
    <cellStyle name="Normal 10 2 2 3" xfId="78"/>
    <cellStyle name="Normal 10 2 2 3 2" xfId="163"/>
    <cellStyle name="Normal 10 2 2 3 2 2" xfId="350"/>
    <cellStyle name="Normal 10 2 2 3 2 2 2" xfId="856"/>
    <cellStyle name="Normal 10 2 2 3 2 2 2 2" xfId="1688"/>
    <cellStyle name="Normal 10 2 2 3 2 2 3" xfId="1185"/>
    <cellStyle name="Normal 10 2 2 3 2 3" xfId="692"/>
    <cellStyle name="Normal 10 2 2 3 2 3 2" xfId="1524"/>
    <cellStyle name="Normal 10 2 2 3 2 4" xfId="528"/>
    <cellStyle name="Normal 10 2 2 3 2 4 2" xfId="1361"/>
    <cellStyle name="Normal 10 2 2 3 2 5" xfId="1021"/>
    <cellStyle name="Normal 10 2 2 3 3" xfId="268"/>
    <cellStyle name="Normal 10 2 2 3 3 2" xfId="774"/>
    <cellStyle name="Normal 10 2 2 3 3 2 2" xfId="1606"/>
    <cellStyle name="Normal 10 2 2 3 3 3" xfId="1103"/>
    <cellStyle name="Normal 10 2 2 3 4" xfId="610"/>
    <cellStyle name="Normal 10 2 2 3 4 2" xfId="1442"/>
    <cellStyle name="Normal 10 2 2 3 5" xfId="440"/>
    <cellStyle name="Normal 10 2 2 3 5 2" xfId="1273"/>
    <cellStyle name="Normal 10 2 2 3 6" xfId="939"/>
    <cellStyle name="Normal 10 2 2 4" xfId="121"/>
    <cellStyle name="Normal 10 2 2 4 2" xfId="309"/>
    <cellStyle name="Normal 10 2 2 4 2 2" xfId="815"/>
    <cellStyle name="Normal 10 2 2 4 2 2 2" xfId="1647"/>
    <cellStyle name="Normal 10 2 2 4 2 3" xfId="1144"/>
    <cellStyle name="Normal 10 2 2 4 3" xfId="651"/>
    <cellStyle name="Normal 10 2 2 4 3 2" xfId="1483"/>
    <cellStyle name="Normal 10 2 2 4 4" xfId="484"/>
    <cellStyle name="Normal 10 2 2 4 4 2" xfId="1317"/>
    <cellStyle name="Normal 10 2 2 4 5" xfId="980"/>
    <cellStyle name="Normal 10 2 2 5" xfId="227"/>
    <cellStyle name="Normal 10 2 2 5 2" xfId="733"/>
    <cellStyle name="Normal 10 2 2 5 2 2" xfId="1565"/>
    <cellStyle name="Normal 10 2 2 5 3" xfId="1062"/>
    <cellStyle name="Normal 10 2 2 6" xfId="569"/>
    <cellStyle name="Normal 10 2 2 6 2" xfId="1401"/>
    <cellStyle name="Normal 10 2 2 7" xfId="396"/>
    <cellStyle name="Normal 10 2 2 7 2" xfId="1229"/>
    <cellStyle name="Normal 10 2 2 8" xfId="898"/>
    <cellStyle name="Normal 10 2 3" xfId="46"/>
    <cellStyle name="Normal 10 2 3 2" xfId="89"/>
    <cellStyle name="Normal 10 2 3 2 2" xfId="173"/>
    <cellStyle name="Normal 10 2 3 2 2 2" xfId="360"/>
    <cellStyle name="Normal 10 2 3 2 2 2 2" xfId="866"/>
    <cellStyle name="Normal 10 2 3 2 2 2 2 2" xfId="1698"/>
    <cellStyle name="Normal 10 2 3 2 2 2 3" xfId="1195"/>
    <cellStyle name="Normal 10 2 3 2 2 3" xfId="702"/>
    <cellStyle name="Normal 10 2 3 2 2 3 2" xfId="1534"/>
    <cellStyle name="Normal 10 2 3 2 2 4" xfId="538"/>
    <cellStyle name="Normal 10 2 3 2 2 4 2" xfId="1371"/>
    <cellStyle name="Normal 10 2 3 2 2 5" xfId="1031"/>
    <cellStyle name="Normal 10 2 3 2 3" xfId="278"/>
    <cellStyle name="Normal 10 2 3 2 3 2" xfId="784"/>
    <cellStyle name="Normal 10 2 3 2 3 2 2" xfId="1616"/>
    <cellStyle name="Normal 10 2 3 2 3 3" xfId="1113"/>
    <cellStyle name="Normal 10 2 3 2 4" xfId="620"/>
    <cellStyle name="Normal 10 2 3 2 4 2" xfId="1452"/>
    <cellStyle name="Normal 10 2 3 2 5" xfId="450"/>
    <cellStyle name="Normal 10 2 3 2 5 2" xfId="1283"/>
    <cellStyle name="Normal 10 2 3 2 6" xfId="949"/>
    <cellStyle name="Normal 10 2 3 3" xfId="131"/>
    <cellStyle name="Normal 10 2 3 3 2" xfId="319"/>
    <cellStyle name="Normal 10 2 3 3 2 2" xfId="825"/>
    <cellStyle name="Normal 10 2 3 3 2 2 2" xfId="1657"/>
    <cellStyle name="Normal 10 2 3 3 2 3" xfId="1154"/>
    <cellStyle name="Normal 10 2 3 3 3" xfId="661"/>
    <cellStyle name="Normal 10 2 3 3 3 2" xfId="1493"/>
    <cellStyle name="Normal 10 2 3 3 4" xfId="494"/>
    <cellStyle name="Normal 10 2 3 3 4 2" xfId="1327"/>
    <cellStyle name="Normal 10 2 3 3 5" xfId="990"/>
    <cellStyle name="Normal 10 2 3 4" xfId="237"/>
    <cellStyle name="Normal 10 2 3 4 2" xfId="743"/>
    <cellStyle name="Normal 10 2 3 4 2 2" xfId="1575"/>
    <cellStyle name="Normal 10 2 3 4 3" xfId="1072"/>
    <cellStyle name="Normal 10 2 3 5" xfId="579"/>
    <cellStyle name="Normal 10 2 3 5 2" xfId="1411"/>
    <cellStyle name="Normal 10 2 3 6" xfId="406"/>
    <cellStyle name="Normal 10 2 3 6 2" xfId="1239"/>
    <cellStyle name="Normal 10 2 3 7" xfId="908"/>
    <cellStyle name="Normal 10 2 4" xfId="68"/>
    <cellStyle name="Normal 10 2 4 2" xfId="153"/>
    <cellStyle name="Normal 10 2 4 2 2" xfId="340"/>
    <cellStyle name="Normal 10 2 4 2 2 2" xfId="846"/>
    <cellStyle name="Normal 10 2 4 2 2 2 2" xfId="1678"/>
    <cellStyle name="Normal 10 2 4 2 2 3" xfId="1175"/>
    <cellStyle name="Normal 10 2 4 2 3" xfId="682"/>
    <cellStyle name="Normal 10 2 4 2 3 2" xfId="1514"/>
    <cellStyle name="Normal 10 2 4 2 4" xfId="518"/>
    <cellStyle name="Normal 10 2 4 2 4 2" xfId="1351"/>
    <cellStyle name="Normal 10 2 4 2 5" xfId="1011"/>
    <cellStyle name="Normal 10 2 4 3" xfId="258"/>
    <cellStyle name="Normal 10 2 4 3 2" xfId="764"/>
    <cellStyle name="Normal 10 2 4 3 2 2" xfId="1596"/>
    <cellStyle name="Normal 10 2 4 3 3" xfId="1093"/>
    <cellStyle name="Normal 10 2 4 4" xfId="600"/>
    <cellStyle name="Normal 10 2 4 4 2" xfId="1432"/>
    <cellStyle name="Normal 10 2 4 5" xfId="430"/>
    <cellStyle name="Normal 10 2 4 5 2" xfId="1263"/>
    <cellStyle name="Normal 10 2 4 6" xfId="929"/>
    <cellStyle name="Normal 10 2 5" xfId="111"/>
    <cellStyle name="Normal 10 2 5 2" xfId="299"/>
    <cellStyle name="Normal 10 2 5 2 2" xfId="805"/>
    <cellStyle name="Normal 10 2 5 2 2 2" xfId="1637"/>
    <cellStyle name="Normal 10 2 5 2 3" xfId="1134"/>
    <cellStyle name="Normal 10 2 5 3" xfId="641"/>
    <cellStyle name="Normal 10 2 5 3 2" xfId="1473"/>
    <cellStyle name="Normal 10 2 5 4" xfId="474"/>
    <cellStyle name="Normal 10 2 5 4 2" xfId="1307"/>
    <cellStyle name="Normal 10 2 5 5" xfId="970"/>
    <cellStyle name="Normal 10 2 6" xfId="217"/>
    <cellStyle name="Normal 10 2 6 2" xfId="723"/>
    <cellStyle name="Normal 10 2 6 2 2" xfId="1555"/>
    <cellStyle name="Normal 10 2 6 3" xfId="1052"/>
    <cellStyle name="Normal 10 2 7" xfId="559"/>
    <cellStyle name="Normal 10 2 7 2" xfId="1391"/>
    <cellStyle name="Normal 10 2 8" xfId="386"/>
    <cellStyle name="Normal 10 2 8 2" xfId="1219"/>
    <cellStyle name="Normal 10 2 9" xfId="888"/>
    <cellStyle name="Normal 10 3" xfId="30"/>
    <cellStyle name="Normal 10 3 2" xfId="51"/>
    <cellStyle name="Normal 10 3 2 2" xfId="94"/>
    <cellStyle name="Normal 10 3 2 2 2" xfId="178"/>
    <cellStyle name="Normal 10 3 2 2 2 2" xfId="365"/>
    <cellStyle name="Normal 10 3 2 2 2 2 2" xfId="871"/>
    <cellStyle name="Normal 10 3 2 2 2 2 2 2" xfId="1703"/>
    <cellStyle name="Normal 10 3 2 2 2 2 3" xfId="1200"/>
    <cellStyle name="Normal 10 3 2 2 2 3" xfId="707"/>
    <cellStyle name="Normal 10 3 2 2 2 3 2" xfId="1539"/>
    <cellStyle name="Normal 10 3 2 2 2 4" xfId="543"/>
    <cellStyle name="Normal 10 3 2 2 2 4 2" xfId="1376"/>
    <cellStyle name="Normal 10 3 2 2 2 5" xfId="1036"/>
    <cellStyle name="Normal 10 3 2 2 3" xfId="283"/>
    <cellStyle name="Normal 10 3 2 2 3 2" xfId="789"/>
    <cellStyle name="Normal 10 3 2 2 3 2 2" xfId="1621"/>
    <cellStyle name="Normal 10 3 2 2 3 3" xfId="1118"/>
    <cellStyle name="Normal 10 3 2 2 4" xfId="625"/>
    <cellStyle name="Normal 10 3 2 2 4 2" xfId="1457"/>
    <cellStyle name="Normal 10 3 2 2 5" xfId="455"/>
    <cellStyle name="Normal 10 3 2 2 5 2" xfId="1288"/>
    <cellStyle name="Normal 10 3 2 2 6" xfId="954"/>
    <cellStyle name="Normal 10 3 2 3" xfId="136"/>
    <cellStyle name="Normal 10 3 2 3 2" xfId="324"/>
    <cellStyle name="Normal 10 3 2 3 2 2" xfId="830"/>
    <cellStyle name="Normal 10 3 2 3 2 2 2" xfId="1662"/>
    <cellStyle name="Normal 10 3 2 3 2 3" xfId="1159"/>
    <cellStyle name="Normal 10 3 2 3 3" xfId="666"/>
    <cellStyle name="Normal 10 3 2 3 3 2" xfId="1498"/>
    <cellStyle name="Normal 10 3 2 3 4" xfId="499"/>
    <cellStyle name="Normal 10 3 2 3 4 2" xfId="1332"/>
    <cellStyle name="Normal 10 3 2 3 5" xfId="995"/>
    <cellStyle name="Normal 10 3 2 4" xfId="242"/>
    <cellStyle name="Normal 10 3 2 4 2" xfId="748"/>
    <cellStyle name="Normal 10 3 2 4 2 2" xfId="1580"/>
    <cellStyle name="Normal 10 3 2 4 3" xfId="1077"/>
    <cellStyle name="Normal 10 3 2 5" xfId="584"/>
    <cellStyle name="Normal 10 3 2 5 2" xfId="1416"/>
    <cellStyle name="Normal 10 3 2 6" xfId="411"/>
    <cellStyle name="Normal 10 3 2 6 2" xfId="1244"/>
    <cellStyle name="Normal 10 3 2 7" xfId="913"/>
    <cellStyle name="Normal 10 3 3" xfId="73"/>
    <cellStyle name="Normal 10 3 3 2" xfId="158"/>
    <cellStyle name="Normal 10 3 3 2 2" xfId="345"/>
    <cellStyle name="Normal 10 3 3 2 2 2" xfId="851"/>
    <cellStyle name="Normal 10 3 3 2 2 2 2" xfId="1683"/>
    <cellStyle name="Normal 10 3 3 2 2 3" xfId="1180"/>
    <cellStyle name="Normal 10 3 3 2 3" xfId="687"/>
    <cellStyle name="Normal 10 3 3 2 3 2" xfId="1519"/>
    <cellStyle name="Normal 10 3 3 2 4" xfId="523"/>
    <cellStyle name="Normal 10 3 3 2 4 2" xfId="1356"/>
    <cellStyle name="Normal 10 3 3 2 5" xfId="1016"/>
    <cellStyle name="Normal 10 3 3 3" xfId="263"/>
    <cellStyle name="Normal 10 3 3 3 2" xfId="769"/>
    <cellStyle name="Normal 10 3 3 3 2 2" xfId="1601"/>
    <cellStyle name="Normal 10 3 3 3 3" xfId="1098"/>
    <cellStyle name="Normal 10 3 3 4" xfId="605"/>
    <cellStyle name="Normal 10 3 3 4 2" xfId="1437"/>
    <cellStyle name="Normal 10 3 3 5" xfId="435"/>
    <cellStyle name="Normal 10 3 3 5 2" xfId="1268"/>
    <cellStyle name="Normal 10 3 3 6" xfId="934"/>
    <cellStyle name="Normal 10 3 4" xfId="116"/>
    <cellStyle name="Normal 10 3 4 2" xfId="304"/>
    <cellStyle name="Normal 10 3 4 2 2" xfId="810"/>
    <cellStyle name="Normal 10 3 4 2 2 2" xfId="1642"/>
    <cellStyle name="Normal 10 3 4 2 3" xfId="1139"/>
    <cellStyle name="Normal 10 3 4 3" xfId="646"/>
    <cellStyle name="Normal 10 3 4 3 2" xfId="1478"/>
    <cellStyle name="Normal 10 3 4 4" xfId="479"/>
    <cellStyle name="Normal 10 3 4 4 2" xfId="1312"/>
    <cellStyle name="Normal 10 3 4 5" xfId="975"/>
    <cellStyle name="Normal 10 3 5" xfId="222"/>
    <cellStyle name="Normal 10 3 5 2" xfId="728"/>
    <cellStyle name="Normal 10 3 5 2 2" xfId="1560"/>
    <cellStyle name="Normal 10 3 5 3" xfId="1057"/>
    <cellStyle name="Normal 10 3 6" xfId="564"/>
    <cellStyle name="Normal 10 3 6 2" xfId="1396"/>
    <cellStyle name="Normal 10 3 7" xfId="391"/>
    <cellStyle name="Normal 10 3 7 2" xfId="1224"/>
    <cellStyle name="Normal 10 3 8" xfId="893"/>
    <cellStyle name="Normal 10 4" xfId="41"/>
    <cellStyle name="Normal 10 4 2" xfId="84"/>
    <cellStyle name="Normal 10 4 2 2" xfId="168"/>
    <cellStyle name="Normal 10 4 2 2 2" xfId="355"/>
    <cellStyle name="Normal 10 4 2 2 2 2" xfId="861"/>
    <cellStyle name="Normal 10 4 2 2 2 2 2" xfId="1693"/>
    <cellStyle name="Normal 10 4 2 2 2 3" xfId="1190"/>
    <cellStyle name="Normal 10 4 2 2 3" xfId="697"/>
    <cellStyle name="Normal 10 4 2 2 3 2" xfId="1529"/>
    <cellStyle name="Normal 10 4 2 2 4" xfId="533"/>
    <cellStyle name="Normal 10 4 2 2 4 2" xfId="1366"/>
    <cellStyle name="Normal 10 4 2 2 5" xfId="1026"/>
    <cellStyle name="Normal 10 4 2 3" xfId="273"/>
    <cellStyle name="Normal 10 4 2 3 2" xfId="779"/>
    <cellStyle name="Normal 10 4 2 3 2 2" xfId="1611"/>
    <cellStyle name="Normal 10 4 2 3 3" xfId="1108"/>
    <cellStyle name="Normal 10 4 2 4" xfId="615"/>
    <cellStyle name="Normal 10 4 2 4 2" xfId="1447"/>
    <cellStyle name="Normal 10 4 2 5" xfId="445"/>
    <cellStyle name="Normal 10 4 2 5 2" xfId="1278"/>
    <cellStyle name="Normal 10 4 2 6" xfId="944"/>
    <cellStyle name="Normal 10 4 3" xfId="126"/>
    <cellStyle name="Normal 10 4 3 2" xfId="314"/>
    <cellStyle name="Normal 10 4 3 2 2" xfId="820"/>
    <cellStyle name="Normal 10 4 3 2 2 2" xfId="1652"/>
    <cellStyle name="Normal 10 4 3 2 3" xfId="1149"/>
    <cellStyle name="Normal 10 4 3 3" xfId="656"/>
    <cellStyle name="Normal 10 4 3 3 2" xfId="1488"/>
    <cellStyle name="Normal 10 4 3 4" xfId="489"/>
    <cellStyle name="Normal 10 4 3 4 2" xfId="1322"/>
    <cellStyle name="Normal 10 4 3 5" xfId="985"/>
    <cellStyle name="Normal 10 4 4" xfId="232"/>
    <cellStyle name="Normal 10 4 4 2" xfId="738"/>
    <cellStyle name="Normal 10 4 4 2 2" xfId="1570"/>
    <cellStyle name="Normal 10 4 4 3" xfId="1067"/>
    <cellStyle name="Normal 10 4 5" xfId="574"/>
    <cellStyle name="Normal 10 4 5 2" xfId="1406"/>
    <cellStyle name="Normal 10 4 6" xfId="401"/>
    <cellStyle name="Normal 10 4 6 2" xfId="1234"/>
    <cellStyle name="Normal 10 4 7" xfId="903"/>
    <cellStyle name="Normal 10 5" xfId="63"/>
    <cellStyle name="Normal 10 5 2" xfId="148"/>
    <cellStyle name="Normal 10 5 2 2" xfId="335"/>
    <cellStyle name="Normal 10 5 2 2 2" xfId="841"/>
    <cellStyle name="Normal 10 5 2 2 2 2" xfId="1673"/>
    <cellStyle name="Normal 10 5 2 2 3" xfId="1170"/>
    <cellStyle name="Normal 10 5 2 3" xfId="677"/>
    <cellStyle name="Normal 10 5 2 3 2" xfId="1509"/>
    <cellStyle name="Normal 10 5 2 4" xfId="513"/>
    <cellStyle name="Normal 10 5 2 4 2" xfId="1346"/>
    <cellStyle name="Normal 10 5 2 5" xfId="1006"/>
    <cellStyle name="Normal 10 5 3" xfId="253"/>
    <cellStyle name="Normal 10 5 3 2" xfId="759"/>
    <cellStyle name="Normal 10 5 3 2 2" xfId="1591"/>
    <cellStyle name="Normal 10 5 3 3" xfId="1088"/>
    <cellStyle name="Normal 10 5 4" xfId="595"/>
    <cellStyle name="Normal 10 5 4 2" xfId="1427"/>
    <cellStyle name="Normal 10 5 5" xfId="425"/>
    <cellStyle name="Normal 10 5 5 2" xfId="1258"/>
    <cellStyle name="Normal 10 5 6" xfId="924"/>
    <cellStyle name="Normal 10 6" xfId="106"/>
    <cellStyle name="Normal 10 6 2" xfId="294"/>
    <cellStyle name="Normal 10 6 2 2" xfId="800"/>
    <cellStyle name="Normal 10 6 2 2 2" xfId="1632"/>
    <cellStyle name="Normal 10 6 2 3" xfId="1129"/>
    <cellStyle name="Normal 10 6 3" xfId="636"/>
    <cellStyle name="Normal 10 6 3 2" xfId="1468"/>
    <cellStyle name="Normal 10 6 4" xfId="469"/>
    <cellStyle name="Normal 10 6 4 2" xfId="1302"/>
    <cellStyle name="Normal 10 6 5" xfId="965"/>
    <cellStyle name="Normal 10 7" xfId="212"/>
    <cellStyle name="Normal 10 7 2" xfId="718"/>
    <cellStyle name="Normal 10 7 2 2" xfId="1550"/>
    <cellStyle name="Normal 10 7 3" xfId="1047"/>
    <cellStyle name="Normal 10 8" xfId="554"/>
    <cellStyle name="Normal 10 8 2" xfId="1386"/>
    <cellStyle name="Normal 10 9" xfId="381"/>
    <cellStyle name="Normal 10 9 2" xfId="1214"/>
    <cellStyle name="Normal 11" xfId="20"/>
    <cellStyle name="Normal 11 10" xfId="885"/>
    <cellStyle name="Normal 11 2" xfId="26"/>
    <cellStyle name="Normal 11 2 2" xfId="37"/>
    <cellStyle name="Normal 11 2 2 2" xfId="58"/>
    <cellStyle name="Normal 11 2 2 2 2" xfId="101"/>
    <cellStyle name="Normal 11 2 2 2 2 2" xfId="185"/>
    <cellStyle name="Normal 11 2 2 2 2 2 2" xfId="372"/>
    <cellStyle name="Normal 11 2 2 2 2 2 2 2" xfId="878"/>
    <cellStyle name="Normal 11 2 2 2 2 2 2 2 2" xfId="1710"/>
    <cellStyle name="Normal 11 2 2 2 2 2 2 3" xfId="1207"/>
    <cellStyle name="Normal 11 2 2 2 2 2 3" xfId="714"/>
    <cellStyle name="Normal 11 2 2 2 2 2 3 2" xfId="1546"/>
    <cellStyle name="Normal 11 2 2 2 2 2 4" xfId="550"/>
    <cellStyle name="Normal 11 2 2 2 2 2 4 2" xfId="1383"/>
    <cellStyle name="Normal 11 2 2 2 2 2 5" xfId="1043"/>
    <cellStyle name="Normal 11 2 2 2 2 3" xfId="290"/>
    <cellStyle name="Normal 11 2 2 2 2 3 2" xfId="796"/>
    <cellStyle name="Normal 11 2 2 2 2 3 2 2" xfId="1628"/>
    <cellStyle name="Normal 11 2 2 2 2 3 3" xfId="1125"/>
    <cellStyle name="Normal 11 2 2 2 2 4" xfId="632"/>
    <cellStyle name="Normal 11 2 2 2 2 4 2" xfId="1464"/>
    <cellStyle name="Normal 11 2 2 2 2 5" xfId="462"/>
    <cellStyle name="Normal 11 2 2 2 2 5 2" xfId="1295"/>
    <cellStyle name="Normal 11 2 2 2 2 6" xfId="961"/>
    <cellStyle name="Normal 11 2 2 2 3" xfId="143"/>
    <cellStyle name="Normal 11 2 2 2 3 2" xfId="331"/>
    <cellStyle name="Normal 11 2 2 2 3 2 2" xfId="837"/>
    <cellStyle name="Normal 11 2 2 2 3 2 2 2" xfId="1669"/>
    <cellStyle name="Normal 11 2 2 2 3 2 3" xfId="1166"/>
    <cellStyle name="Normal 11 2 2 2 3 3" xfId="673"/>
    <cellStyle name="Normal 11 2 2 2 3 3 2" xfId="1505"/>
    <cellStyle name="Normal 11 2 2 2 3 4" xfId="506"/>
    <cellStyle name="Normal 11 2 2 2 3 4 2" xfId="1339"/>
    <cellStyle name="Normal 11 2 2 2 3 5" xfId="1002"/>
    <cellStyle name="Normal 11 2 2 2 4" xfId="249"/>
    <cellStyle name="Normal 11 2 2 2 4 2" xfId="755"/>
    <cellStyle name="Normal 11 2 2 2 4 2 2" xfId="1587"/>
    <cellStyle name="Normal 11 2 2 2 4 3" xfId="1084"/>
    <cellStyle name="Normal 11 2 2 2 5" xfId="591"/>
    <cellStyle name="Normal 11 2 2 2 5 2" xfId="1423"/>
    <cellStyle name="Normal 11 2 2 2 6" xfId="418"/>
    <cellStyle name="Normal 11 2 2 2 6 2" xfId="1251"/>
    <cellStyle name="Normal 11 2 2 2 7" xfId="920"/>
    <cellStyle name="Normal 11 2 2 3" xfId="80"/>
    <cellStyle name="Normal 11 2 2 3 2" xfId="165"/>
    <cellStyle name="Normal 11 2 2 3 2 2" xfId="352"/>
    <cellStyle name="Normal 11 2 2 3 2 2 2" xfId="858"/>
    <cellStyle name="Normal 11 2 2 3 2 2 2 2" xfId="1690"/>
    <cellStyle name="Normal 11 2 2 3 2 2 3" xfId="1187"/>
    <cellStyle name="Normal 11 2 2 3 2 3" xfId="694"/>
    <cellStyle name="Normal 11 2 2 3 2 3 2" xfId="1526"/>
    <cellStyle name="Normal 11 2 2 3 2 4" xfId="530"/>
    <cellStyle name="Normal 11 2 2 3 2 4 2" xfId="1363"/>
    <cellStyle name="Normal 11 2 2 3 2 5" xfId="1023"/>
    <cellStyle name="Normal 11 2 2 3 3" xfId="270"/>
    <cellStyle name="Normal 11 2 2 3 3 2" xfId="776"/>
    <cellStyle name="Normal 11 2 2 3 3 2 2" xfId="1608"/>
    <cellStyle name="Normal 11 2 2 3 3 3" xfId="1105"/>
    <cellStyle name="Normal 11 2 2 3 4" xfId="612"/>
    <cellStyle name="Normal 11 2 2 3 4 2" xfId="1444"/>
    <cellStyle name="Normal 11 2 2 3 5" xfId="442"/>
    <cellStyle name="Normal 11 2 2 3 5 2" xfId="1275"/>
    <cellStyle name="Normal 11 2 2 3 6" xfId="941"/>
    <cellStyle name="Normal 11 2 2 4" xfId="123"/>
    <cellStyle name="Normal 11 2 2 4 2" xfId="311"/>
    <cellStyle name="Normal 11 2 2 4 2 2" xfId="817"/>
    <cellStyle name="Normal 11 2 2 4 2 2 2" xfId="1649"/>
    <cellStyle name="Normal 11 2 2 4 2 3" xfId="1146"/>
    <cellStyle name="Normal 11 2 2 4 3" xfId="653"/>
    <cellStyle name="Normal 11 2 2 4 3 2" xfId="1485"/>
    <cellStyle name="Normal 11 2 2 4 4" xfId="486"/>
    <cellStyle name="Normal 11 2 2 4 4 2" xfId="1319"/>
    <cellStyle name="Normal 11 2 2 4 5" xfId="982"/>
    <cellStyle name="Normal 11 2 2 5" xfId="229"/>
    <cellStyle name="Normal 11 2 2 5 2" xfId="735"/>
    <cellStyle name="Normal 11 2 2 5 2 2" xfId="1567"/>
    <cellStyle name="Normal 11 2 2 5 3" xfId="1064"/>
    <cellStyle name="Normal 11 2 2 6" xfId="571"/>
    <cellStyle name="Normal 11 2 2 6 2" xfId="1403"/>
    <cellStyle name="Normal 11 2 2 7" xfId="398"/>
    <cellStyle name="Normal 11 2 2 7 2" xfId="1231"/>
    <cellStyle name="Normal 11 2 2 8" xfId="900"/>
    <cellStyle name="Normal 11 2 3" xfId="48"/>
    <cellStyle name="Normal 11 2 3 2" xfId="91"/>
    <cellStyle name="Normal 11 2 3 2 2" xfId="175"/>
    <cellStyle name="Normal 11 2 3 2 2 2" xfId="362"/>
    <cellStyle name="Normal 11 2 3 2 2 2 2" xfId="868"/>
    <cellStyle name="Normal 11 2 3 2 2 2 2 2" xfId="1700"/>
    <cellStyle name="Normal 11 2 3 2 2 2 3" xfId="1197"/>
    <cellStyle name="Normal 11 2 3 2 2 3" xfId="704"/>
    <cellStyle name="Normal 11 2 3 2 2 3 2" xfId="1536"/>
    <cellStyle name="Normal 11 2 3 2 2 4" xfId="540"/>
    <cellStyle name="Normal 11 2 3 2 2 4 2" xfId="1373"/>
    <cellStyle name="Normal 11 2 3 2 2 5" xfId="1033"/>
    <cellStyle name="Normal 11 2 3 2 3" xfId="280"/>
    <cellStyle name="Normal 11 2 3 2 3 2" xfId="786"/>
    <cellStyle name="Normal 11 2 3 2 3 2 2" xfId="1618"/>
    <cellStyle name="Normal 11 2 3 2 3 3" xfId="1115"/>
    <cellStyle name="Normal 11 2 3 2 4" xfId="622"/>
    <cellStyle name="Normal 11 2 3 2 4 2" xfId="1454"/>
    <cellStyle name="Normal 11 2 3 2 5" xfId="452"/>
    <cellStyle name="Normal 11 2 3 2 5 2" xfId="1285"/>
    <cellStyle name="Normal 11 2 3 2 6" xfId="951"/>
    <cellStyle name="Normal 11 2 3 3" xfId="133"/>
    <cellStyle name="Normal 11 2 3 3 2" xfId="321"/>
    <cellStyle name="Normal 11 2 3 3 2 2" xfId="827"/>
    <cellStyle name="Normal 11 2 3 3 2 2 2" xfId="1659"/>
    <cellStyle name="Normal 11 2 3 3 2 3" xfId="1156"/>
    <cellStyle name="Normal 11 2 3 3 3" xfId="663"/>
    <cellStyle name="Normal 11 2 3 3 3 2" xfId="1495"/>
    <cellStyle name="Normal 11 2 3 3 4" xfId="496"/>
    <cellStyle name="Normal 11 2 3 3 4 2" xfId="1329"/>
    <cellStyle name="Normal 11 2 3 3 5" xfId="992"/>
    <cellStyle name="Normal 11 2 3 4" xfId="239"/>
    <cellStyle name="Normal 11 2 3 4 2" xfId="745"/>
    <cellStyle name="Normal 11 2 3 4 2 2" xfId="1577"/>
    <cellStyle name="Normal 11 2 3 4 3" xfId="1074"/>
    <cellStyle name="Normal 11 2 3 5" xfId="581"/>
    <cellStyle name="Normal 11 2 3 5 2" xfId="1413"/>
    <cellStyle name="Normal 11 2 3 6" xfId="408"/>
    <cellStyle name="Normal 11 2 3 6 2" xfId="1241"/>
    <cellStyle name="Normal 11 2 3 7" xfId="910"/>
    <cellStyle name="Normal 11 2 4" xfId="70"/>
    <cellStyle name="Normal 11 2 4 2" xfId="155"/>
    <cellStyle name="Normal 11 2 4 2 2" xfId="342"/>
    <cellStyle name="Normal 11 2 4 2 2 2" xfId="848"/>
    <cellStyle name="Normal 11 2 4 2 2 2 2" xfId="1680"/>
    <cellStyle name="Normal 11 2 4 2 2 3" xfId="1177"/>
    <cellStyle name="Normal 11 2 4 2 3" xfId="684"/>
    <cellStyle name="Normal 11 2 4 2 3 2" xfId="1516"/>
    <cellStyle name="Normal 11 2 4 2 4" xfId="520"/>
    <cellStyle name="Normal 11 2 4 2 4 2" xfId="1353"/>
    <cellStyle name="Normal 11 2 4 2 5" xfId="1013"/>
    <cellStyle name="Normal 11 2 4 3" xfId="260"/>
    <cellStyle name="Normal 11 2 4 3 2" xfId="766"/>
    <cellStyle name="Normal 11 2 4 3 2 2" xfId="1598"/>
    <cellStyle name="Normal 11 2 4 3 3" xfId="1095"/>
    <cellStyle name="Normal 11 2 4 4" xfId="602"/>
    <cellStyle name="Normal 11 2 4 4 2" xfId="1434"/>
    <cellStyle name="Normal 11 2 4 5" xfId="432"/>
    <cellStyle name="Normal 11 2 4 5 2" xfId="1265"/>
    <cellStyle name="Normal 11 2 4 6" xfId="931"/>
    <cellStyle name="Normal 11 2 5" xfId="113"/>
    <cellStyle name="Normal 11 2 5 2" xfId="301"/>
    <cellStyle name="Normal 11 2 5 2 2" xfId="807"/>
    <cellStyle name="Normal 11 2 5 2 2 2" xfId="1639"/>
    <cellStyle name="Normal 11 2 5 2 3" xfId="1136"/>
    <cellStyle name="Normal 11 2 5 3" xfId="643"/>
    <cellStyle name="Normal 11 2 5 3 2" xfId="1475"/>
    <cellStyle name="Normal 11 2 5 4" xfId="476"/>
    <cellStyle name="Normal 11 2 5 4 2" xfId="1309"/>
    <cellStyle name="Normal 11 2 5 5" xfId="972"/>
    <cellStyle name="Normal 11 2 6" xfId="219"/>
    <cellStyle name="Normal 11 2 6 2" xfId="725"/>
    <cellStyle name="Normal 11 2 6 2 2" xfId="1557"/>
    <cellStyle name="Normal 11 2 6 3" xfId="1054"/>
    <cellStyle name="Normal 11 2 7" xfId="561"/>
    <cellStyle name="Normal 11 2 7 2" xfId="1393"/>
    <cellStyle name="Normal 11 2 8" xfId="388"/>
    <cellStyle name="Normal 11 2 8 2" xfId="1221"/>
    <cellStyle name="Normal 11 2 9" xfId="890"/>
    <cellStyle name="Normal 11 3" xfId="32"/>
    <cellStyle name="Normal 11 3 2" xfId="53"/>
    <cellStyle name="Normal 11 3 2 2" xfId="96"/>
    <cellStyle name="Normal 11 3 2 2 2" xfId="180"/>
    <cellStyle name="Normal 11 3 2 2 2 2" xfId="367"/>
    <cellStyle name="Normal 11 3 2 2 2 2 2" xfId="873"/>
    <cellStyle name="Normal 11 3 2 2 2 2 2 2" xfId="1705"/>
    <cellStyle name="Normal 11 3 2 2 2 2 3" xfId="1202"/>
    <cellStyle name="Normal 11 3 2 2 2 3" xfId="709"/>
    <cellStyle name="Normal 11 3 2 2 2 3 2" xfId="1541"/>
    <cellStyle name="Normal 11 3 2 2 2 4" xfId="545"/>
    <cellStyle name="Normal 11 3 2 2 2 4 2" xfId="1378"/>
    <cellStyle name="Normal 11 3 2 2 2 5" xfId="1038"/>
    <cellStyle name="Normal 11 3 2 2 3" xfId="285"/>
    <cellStyle name="Normal 11 3 2 2 3 2" xfId="791"/>
    <cellStyle name="Normal 11 3 2 2 3 2 2" xfId="1623"/>
    <cellStyle name="Normal 11 3 2 2 3 3" xfId="1120"/>
    <cellStyle name="Normal 11 3 2 2 4" xfId="627"/>
    <cellStyle name="Normal 11 3 2 2 4 2" xfId="1459"/>
    <cellStyle name="Normal 11 3 2 2 5" xfId="457"/>
    <cellStyle name="Normal 11 3 2 2 5 2" xfId="1290"/>
    <cellStyle name="Normal 11 3 2 2 6" xfId="956"/>
    <cellStyle name="Normal 11 3 2 3" xfId="138"/>
    <cellStyle name="Normal 11 3 2 3 2" xfId="326"/>
    <cellStyle name="Normal 11 3 2 3 2 2" xfId="832"/>
    <cellStyle name="Normal 11 3 2 3 2 2 2" xfId="1664"/>
    <cellStyle name="Normal 11 3 2 3 2 3" xfId="1161"/>
    <cellStyle name="Normal 11 3 2 3 3" xfId="668"/>
    <cellStyle name="Normal 11 3 2 3 3 2" xfId="1500"/>
    <cellStyle name="Normal 11 3 2 3 4" xfId="501"/>
    <cellStyle name="Normal 11 3 2 3 4 2" xfId="1334"/>
    <cellStyle name="Normal 11 3 2 3 5" xfId="997"/>
    <cellStyle name="Normal 11 3 2 4" xfId="244"/>
    <cellStyle name="Normal 11 3 2 4 2" xfId="750"/>
    <cellStyle name="Normal 11 3 2 4 2 2" xfId="1582"/>
    <cellStyle name="Normal 11 3 2 4 3" xfId="1079"/>
    <cellStyle name="Normal 11 3 2 5" xfId="586"/>
    <cellStyle name="Normal 11 3 2 5 2" xfId="1418"/>
    <cellStyle name="Normal 11 3 2 6" xfId="413"/>
    <cellStyle name="Normal 11 3 2 6 2" xfId="1246"/>
    <cellStyle name="Normal 11 3 2 7" xfId="915"/>
    <cellStyle name="Normal 11 3 3" xfId="75"/>
    <cellStyle name="Normal 11 3 3 2" xfId="160"/>
    <cellStyle name="Normal 11 3 3 2 2" xfId="347"/>
    <cellStyle name="Normal 11 3 3 2 2 2" xfId="853"/>
    <cellStyle name="Normal 11 3 3 2 2 2 2" xfId="1685"/>
    <cellStyle name="Normal 11 3 3 2 2 3" xfId="1182"/>
    <cellStyle name="Normal 11 3 3 2 3" xfId="689"/>
    <cellStyle name="Normal 11 3 3 2 3 2" xfId="1521"/>
    <cellStyle name="Normal 11 3 3 2 4" xfId="525"/>
    <cellStyle name="Normal 11 3 3 2 4 2" xfId="1358"/>
    <cellStyle name="Normal 11 3 3 2 5" xfId="1018"/>
    <cellStyle name="Normal 11 3 3 3" xfId="265"/>
    <cellStyle name="Normal 11 3 3 3 2" xfId="771"/>
    <cellStyle name="Normal 11 3 3 3 2 2" xfId="1603"/>
    <cellStyle name="Normal 11 3 3 3 3" xfId="1100"/>
    <cellStyle name="Normal 11 3 3 4" xfId="607"/>
    <cellStyle name="Normal 11 3 3 4 2" xfId="1439"/>
    <cellStyle name="Normal 11 3 3 5" xfId="437"/>
    <cellStyle name="Normal 11 3 3 5 2" xfId="1270"/>
    <cellStyle name="Normal 11 3 3 6" xfId="936"/>
    <cellStyle name="Normal 11 3 4" xfId="118"/>
    <cellStyle name="Normal 11 3 4 2" xfId="306"/>
    <cellStyle name="Normal 11 3 4 2 2" xfId="812"/>
    <cellStyle name="Normal 11 3 4 2 2 2" xfId="1644"/>
    <cellStyle name="Normal 11 3 4 2 3" xfId="1141"/>
    <cellStyle name="Normal 11 3 4 3" xfId="648"/>
    <cellStyle name="Normal 11 3 4 3 2" xfId="1480"/>
    <cellStyle name="Normal 11 3 4 4" xfId="481"/>
    <cellStyle name="Normal 11 3 4 4 2" xfId="1314"/>
    <cellStyle name="Normal 11 3 4 5" xfId="977"/>
    <cellStyle name="Normal 11 3 5" xfId="224"/>
    <cellStyle name="Normal 11 3 5 2" xfId="730"/>
    <cellStyle name="Normal 11 3 5 2 2" xfId="1562"/>
    <cellStyle name="Normal 11 3 5 3" xfId="1059"/>
    <cellStyle name="Normal 11 3 6" xfId="566"/>
    <cellStyle name="Normal 11 3 6 2" xfId="1398"/>
    <cellStyle name="Normal 11 3 7" xfId="393"/>
    <cellStyle name="Normal 11 3 7 2" xfId="1226"/>
    <cellStyle name="Normal 11 3 8" xfId="895"/>
    <cellStyle name="Normal 11 4" xfId="43"/>
    <cellStyle name="Normal 11 4 2" xfId="86"/>
    <cellStyle name="Normal 11 4 2 2" xfId="170"/>
    <cellStyle name="Normal 11 4 2 2 2" xfId="357"/>
    <cellStyle name="Normal 11 4 2 2 2 2" xfId="863"/>
    <cellStyle name="Normal 11 4 2 2 2 2 2" xfId="1695"/>
    <cellStyle name="Normal 11 4 2 2 2 3" xfId="1192"/>
    <cellStyle name="Normal 11 4 2 2 3" xfId="699"/>
    <cellStyle name="Normal 11 4 2 2 3 2" xfId="1531"/>
    <cellStyle name="Normal 11 4 2 2 4" xfId="535"/>
    <cellStyle name="Normal 11 4 2 2 4 2" xfId="1368"/>
    <cellStyle name="Normal 11 4 2 2 5" xfId="1028"/>
    <cellStyle name="Normal 11 4 2 3" xfId="275"/>
    <cellStyle name="Normal 11 4 2 3 2" xfId="781"/>
    <cellStyle name="Normal 11 4 2 3 2 2" xfId="1613"/>
    <cellStyle name="Normal 11 4 2 3 3" xfId="1110"/>
    <cellStyle name="Normal 11 4 2 4" xfId="617"/>
    <cellStyle name="Normal 11 4 2 4 2" xfId="1449"/>
    <cellStyle name="Normal 11 4 2 5" xfId="447"/>
    <cellStyle name="Normal 11 4 2 5 2" xfId="1280"/>
    <cellStyle name="Normal 11 4 2 6" xfId="946"/>
    <cellStyle name="Normal 11 4 3" xfId="128"/>
    <cellStyle name="Normal 11 4 3 2" xfId="316"/>
    <cellStyle name="Normal 11 4 3 2 2" xfId="822"/>
    <cellStyle name="Normal 11 4 3 2 2 2" xfId="1654"/>
    <cellStyle name="Normal 11 4 3 2 3" xfId="1151"/>
    <cellStyle name="Normal 11 4 3 3" xfId="658"/>
    <cellStyle name="Normal 11 4 3 3 2" xfId="1490"/>
    <cellStyle name="Normal 11 4 3 4" xfId="491"/>
    <cellStyle name="Normal 11 4 3 4 2" xfId="1324"/>
    <cellStyle name="Normal 11 4 3 5" xfId="987"/>
    <cellStyle name="Normal 11 4 4" xfId="234"/>
    <cellStyle name="Normal 11 4 4 2" xfId="740"/>
    <cellStyle name="Normal 11 4 4 2 2" xfId="1572"/>
    <cellStyle name="Normal 11 4 4 3" xfId="1069"/>
    <cellStyle name="Normal 11 4 5" xfId="576"/>
    <cellStyle name="Normal 11 4 5 2" xfId="1408"/>
    <cellStyle name="Normal 11 4 6" xfId="403"/>
    <cellStyle name="Normal 11 4 6 2" xfId="1236"/>
    <cellStyle name="Normal 11 4 7" xfId="905"/>
    <cellStyle name="Normal 11 5" xfId="65"/>
    <cellStyle name="Normal 11 5 2" xfId="150"/>
    <cellStyle name="Normal 11 5 2 2" xfId="337"/>
    <cellStyle name="Normal 11 5 2 2 2" xfId="843"/>
    <cellStyle name="Normal 11 5 2 2 2 2" xfId="1675"/>
    <cellStyle name="Normal 11 5 2 2 3" xfId="1172"/>
    <cellStyle name="Normal 11 5 2 3" xfId="679"/>
    <cellStyle name="Normal 11 5 2 3 2" xfId="1511"/>
    <cellStyle name="Normal 11 5 2 4" xfId="515"/>
    <cellStyle name="Normal 11 5 2 4 2" xfId="1348"/>
    <cellStyle name="Normal 11 5 2 5" xfId="1008"/>
    <cellStyle name="Normal 11 5 3" xfId="255"/>
    <cellStyle name="Normal 11 5 3 2" xfId="761"/>
    <cellStyle name="Normal 11 5 3 2 2" xfId="1593"/>
    <cellStyle name="Normal 11 5 3 3" xfId="1090"/>
    <cellStyle name="Normal 11 5 4" xfId="597"/>
    <cellStyle name="Normal 11 5 4 2" xfId="1429"/>
    <cellStyle name="Normal 11 5 5" xfId="427"/>
    <cellStyle name="Normal 11 5 5 2" xfId="1260"/>
    <cellStyle name="Normal 11 5 6" xfId="926"/>
    <cellStyle name="Normal 11 6" xfId="108"/>
    <cellStyle name="Normal 11 6 2" xfId="296"/>
    <cellStyle name="Normal 11 6 2 2" xfId="802"/>
    <cellStyle name="Normal 11 6 2 2 2" xfId="1634"/>
    <cellStyle name="Normal 11 6 2 3" xfId="1131"/>
    <cellStyle name="Normal 11 6 3" xfId="638"/>
    <cellStyle name="Normal 11 6 3 2" xfId="1470"/>
    <cellStyle name="Normal 11 6 4" xfId="471"/>
    <cellStyle name="Normal 11 6 4 2" xfId="1304"/>
    <cellStyle name="Normal 11 6 5" xfId="967"/>
    <cellStyle name="Normal 11 7" xfId="214"/>
    <cellStyle name="Normal 11 7 2" xfId="720"/>
    <cellStyle name="Normal 11 7 2 2" xfId="1552"/>
    <cellStyle name="Normal 11 7 3" xfId="1049"/>
    <cellStyle name="Normal 11 8" xfId="556"/>
    <cellStyle name="Normal 11 8 2" xfId="1388"/>
    <cellStyle name="Normal 11 9" xfId="383"/>
    <cellStyle name="Normal 11 9 2" xfId="1216"/>
    <cellStyle name="Normal 12" xfId="22"/>
    <cellStyle name="Normal 12 2" xfId="203"/>
    <cellStyle name="Normal 13" xfId="21"/>
    <cellStyle name="Normal 13 2" xfId="33"/>
    <cellStyle name="Normal 13 2 2" xfId="54"/>
    <cellStyle name="Normal 13 2 2 2" xfId="97"/>
    <cellStyle name="Normal 13 2 2 2 2" xfId="181"/>
    <cellStyle name="Normal 13 2 2 2 2 2" xfId="368"/>
    <cellStyle name="Normal 13 2 2 2 2 2 2" xfId="874"/>
    <cellStyle name="Normal 13 2 2 2 2 2 2 2" xfId="1706"/>
    <cellStyle name="Normal 13 2 2 2 2 2 3" xfId="1203"/>
    <cellStyle name="Normal 13 2 2 2 2 3" xfId="710"/>
    <cellStyle name="Normal 13 2 2 2 2 3 2" xfId="1542"/>
    <cellStyle name="Normal 13 2 2 2 2 4" xfId="546"/>
    <cellStyle name="Normal 13 2 2 2 2 4 2" xfId="1379"/>
    <cellStyle name="Normal 13 2 2 2 2 5" xfId="1039"/>
    <cellStyle name="Normal 13 2 2 2 3" xfId="286"/>
    <cellStyle name="Normal 13 2 2 2 3 2" xfId="792"/>
    <cellStyle name="Normal 13 2 2 2 3 2 2" xfId="1624"/>
    <cellStyle name="Normal 13 2 2 2 3 3" xfId="1121"/>
    <cellStyle name="Normal 13 2 2 2 4" xfId="628"/>
    <cellStyle name="Normal 13 2 2 2 4 2" xfId="1460"/>
    <cellStyle name="Normal 13 2 2 2 5" xfId="458"/>
    <cellStyle name="Normal 13 2 2 2 5 2" xfId="1291"/>
    <cellStyle name="Normal 13 2 2 2 6" xfId="957"/>
    <cellStyle name="Normal 13 2 2 3" xfId="139"/>
    <cellStyle name="Normal 13 2 2 3 2" xfId="327"/>
    <cellStyle name="Normal 13 2 2 3 2 2" xfId="833"/>
    <cellStyle name="Normal 13 2 2 3 2 2 2" xfId="1665"/>
    <cellStyle name="Normal 13 2 2 3 2 3" xfId="1162"/>
    <cellStyle name="Normal 13 2 2 3 3" xfId="669"/>
    <cellStyle name="Normal 13 2 2 3 3 2" xfId="1501"/>
    <cellStyle name="Normal 13 2 2 3 4" xfId="502"/>
    <cellStyle name="Normal 13 2 2 3 4 2" xfId="1335"/>
    <cellStyle name="Normal 13 2 2 3 5" xfId="998"/>
    <cellStyle name="Normal 13 2 2 4" xfId="245"/>
    <cellStyle name="Normal 13 2 2 4 2" xfId="751"/>
    <cellStyle name="Normal 13 2 2 4 2 2" xfId="1583"/>
    <cellStyle name="Normal 13 2 2 4 3" xfId="1080"/>
    <cellStyle name="Normal 13 2 2 5" xfId="587"/>
    <cellStyle name="Normal 13 2 2 5 2" xfId="1419"/>
    <cellStyle name="Normal 13 2 2 6" xfId="414"/>
    <cellStyle name="Normal 13 2 2 6 2" xfId="1247"/>
    <cellStyle name="Normal 13 2 2 7" xfId="916"/>
    <cellStyle name="Normal 13 2 3" xfId="76"/>
    <cellStyle name="Normal 13 2 3 2" xfId="161"/>
    <cellStyle name="Normal 13 2 3 2 2" xfId="348"/>
    <cellStyle name="Normal 13 2 3 2 2 2" xfId="854"/>
    <cellStyle name="Normal 13 2 3 2 2 2 2" xfId="1686"/>
    <cellStyle name="Normal 13 2 3 2 2 3" xfId="1183"/>
    <cellStyle name="Normal 13 2 3 2 3" xfId="690"/>
    <cellStyle name="Normal 13 2 3 2 3 2" xfId="1522"/>
    <cellStyle name="Normal 13 2 3 2 4" xfId="526"/>
    <cellStyle name="Normal 13 2 3 2 4 2" xfId="1359"/>
    <cellStyle name="Normal 13 2 3 2 5" xfId="1019"/>
    <cellStyle name="Normal 13 2 3 3" xfId="266"/>
    <cellStyle name="Normal 13 2 3 3 2" xfId="772"/>
    <cellStyle name="Normal 13 2 3 3 2 2" xfId="1604"/>
    <cellStyle name="Normal 13 2 3 3 3" xfId="1101"/>
    <cellStyle name="Normal 13 2 3 4" xfId="608"/>
    <cellStyle name="Normal 13 2 3 4 2" xfId="1440"/>
    <cellStyle name="Normal 13 2 3 5" xfId="438"/>
    <cellStyle name="Normal 13 2 3 5 2" xfId="1271"/>
    <cellStyle name="Normal 13 2 3 6" xfId="937"/>
    <cellStyle name="Normal 13 2 4" xfId="119"/>
    <cellStyle name="Normal 13 2 4 2" xfId="307"/>
    <cellStyle name="Normal 13 2 4 2 2" xfId="813"/>
    <cellStyle name="Normal 13 2 4 2 2 2" xfId="1645"/>
    <cellStyle name="Normal 13 2 4 2 3" xfId="1142"/>
    <cellStyle name="Normal 13 2 4 3" xfId="649"/>
    <cellStyle name="Normal 13 2 4 3 2" xfId="1481"/>
    <cellStyle name="Normal 13 2 4 4" xfId="482"/>
    <cellStyle name="Normal 13 2 4 4 2" xfId="1315"/>
    <cellStyle name="Normal 13 2 4 5" xfId="978"/>
    <cellStyle name="Normal 13 2 5" xfId="225"/>
    <cellStyle name="Normal 13 2 5 2" xfId="731"/>
    <cellStyle name="Normal 13 2 5 2 2" xfId="1563"/>
    <cellStyle name="Normal 13 2 5 3" xfId="1060"/>
    <cellStyle name="Normal 13 2 6" xfId="567"/>
    <cellStyle name="Normal 13 2 6 2" xfId="1399"/>
    <cellStyle name="Normal 13 2 7" xfId="394"/>
    <cellStyle name="Normal 13 2 7 2" xfId="1227"/>
    <cellStyle name="Normal 13 2 8" xfId="896"/>
    <cellStyle name="Normal 13 3" xfId="44"/>
    <cellStyle name="Normal 13 3 2" xfId="87"/>
    <cellStyle name="Normal 13 3 2 2" xfId="171"/>
    <cellStyle name="Normal 13 3 2 2 2" xfId="358"/>
    <cellStyle name="Normal 13 3 2 2 2 2" xfId="864"/>
    <cellStyle name="Normal 13 3 2 2 2 2 2" xfId="1696"/>
    <cellStyle name="Normal 13 3 2 2 2 3" xfId="1193"/>
    <cellStyle name="Normal 13 3 2 2 3" xfId="700"/>
    <cellStyle name="Normal 13 3 2 2 3 2" xfId="1532"/>
    <cellStyle name="Normal 13 3 2 2 4" xfId="536"/>
    <cellStyle name="Normal 13 3 2 2 4 2" xfId="1369"/>
    <cellStyle name="Normal 13 3 2 2 5" xfId="1029"/>
    <cellStyle name="Normal 13 3 2 3" xfId="276"/>
    <cellStyle name="Normal 13 3 2 3 2" xfId="782"/>
    <cellStyle name="Normal 13 3 2 3 2 2" xfId="1614"/>
    <cellStyle name="Normal 13 3 2 3 3" xfId="1111"/>
    <cellStyle name="Normal 13 3 2 4" xfId="618"/>
    <cellStyle name="Normal 13 3 2 4 2" xfId="1450"/>
    <cellStyle name="Normal 13 3 2 5" xfId="448"/>
    <cellStyle name="Normal 13 3 2 5 2" xfId="1281"/>
    <cellStyle name="Normal 13 3 2 6" xfId="947"/>
    <cellStyle name="Normal 13 3 3" xfId="129"/>
    <cellStyle name="Normal 13 3 3 2" xfId="317"/>
    <cellStyle name="Normal 13 3 3 2 2" xfId="823"/>
    <cellStyle name="Normal 13 3 3 2 2 2" xfId="1655"/>
    <cellStyle name="Normal 13 3 3 2 3" xfId="1152"/>
    <cellStyle name="Normal 13 3 3 3" xfId="659"/>
    <cellStyle name="Normal 13 3 3 3 2" xfId="1491"/>
    <cellStyle name="Normal 13 3 3 4" xfId="492"/>
    <cellStyle name="Normal 13 3 3 4 2" xfId="1325"/>
    <cellStyle name="Normal 13 3 3 5" xfId="988"/>
    <cellStyle name="Normal 13 3 4" xfId="235"/>
    <cellStyle name="Normal 13 3 4 2" xfId="741"/>
    <cellStyle name="Normal 13 3 4 2 2" xfId="1573"/>
    <cellStyle name="Normal 13 3 4 3" xfId="1070"/>
    <cellStyle name="Normal 13 3 5" xfId="577"/>
    <cellStyle name="Normal 13 3 5 2" xfId="1409"/>
    <cellStyle name="Normal 13 3 6" xfId="404"/>
    <cellStyle name="Normal 13 3 6 2" xfId="1237"/>
    <cellStyle name="Normal 13 3 7" xfId="906"/>
    <cellStyle name="Normal 13 4" xfId="66"/>
    <cellStyle name="Normal 13 4 2" xfId="151"/>
    <cellStyle name="Normal 13 4 2 2" xfId="338"/>
    <cellStyle name="Normal 13 4 2 2 2" xfId="844"/>
    <cellStyle name="Normal 13 4 2 2 2 2" xfId="1676"/>
    <cellStyle name="Normal 13 4 2 2 3" xfId="1173"/>
    <cellStyle name="Normal 13 4 2 3" xfId="680"/>
    <cellStyle name="Normal 13 4 2 3 2" xfId="1512"/>
    <cellStyle name="Normal 13 4 2 4" xfId="516"/>
    <cellStyle name="Normal 13 4 2 4 2" xfId="1349"/>
    <cellStyle name="Normal 13 4 2 5" xfId="1009"/>
    <cellStyle name="Normal 13 4 3" xfId="256"/>
    <cellStyle name="Normal 13 4 3 2" xfId="762"/>
    <cellStyle name="Normal 13 4 3 2 2" xfId="1594"/>
    <cellStyle name="Normal 13 4 3 3" xfId="1091"/>
    <cellStyle name="Normal 13 4 4" xfId="598"/>
    <cellStyle name="Normal 13 4 4 2" xfId="1430"/>
    <cellStyle name="Normal 13 4 5" xfId="428"/>
    <cellStyle name="Normal 13 4 5 2" xfId="1261"/>
    <cellStyle name="Normal 13 4 6" xfId="927"/>
    <cellStyle name="Normal 13 5" xfId="109"/>
    <cellStyle name="Normal 13 5 2" xfId="297"/>
    <cellStyle name="Normal 13 5 2 2" xfId="803"/>
    <cellStyle name="Normal 13 5 2 2 2" xfId="1635"/>
    <cellStyle name="Normal 13 5 2 3" xfId="1132"/>
    <cellStyle name="Normal 13 5 3" xfId="639"/>
    <cellStyle name="Normal 13 5 3 2" xfId="1471"/>
    <cellStyle name="Normal 13 5 4" xfId="472"/>
    <cellStyle name="Normal 13 5 4 2" xfId="1305"/>
    <cellStyle name="Normal 13 5 5" xfId="968"/>
    <cellStyle name="Normal 13 6" xfId="215"/>
    <cellStyle name="Normal 13 6 2" xfId="721"/>
    <cellStyle name="Normal 13 6 2 2" xfId="1553"/>
    <cellStyle name="Normal 13 6 3" xfId="1050"/>
    <cellStyle name="Normal 13 7" xfId="557"/>
    <cellStyle name="Normal 13 7 2" xfId="1389"/>
    <cellStyle name="Normal 13 8" xfId="384"/>
    <cellStyle name="Normal 13 8 2" xfId="1217"/>
    <cellStyle name="Normal 13 9" xfId="886"/>
    <cellStyle name="Normal 14" xfId="28"/>
    <cellStyle name="Normal 14 2" xfId="204"/>
    <cellStyle name="Normal 15" xfId="27"/>
    <cellStyle name="Normal 15 2" xfId="49"/>
    <cellStyle name="Normal 15 2 2" xfId="92"/>
    <cellStyle name="Normal 15 2 2 2" xfId="176"/>
    <cellStyle name="Normal 15 2 2 2 2" xfId="363"/>
    <cellStyle name="Normal 15 2 2 2 2 2" xfId="869"/>
    <cellStyle name="Normal 15 2 2 2 2 2 2" xfId="1701"/>
    <cellStyle name="Normal 15 2 2 2 2 3" xfId="1198"/>
    <cellStyle name="Normal 15 2 2 2 3" xfId="705"/>
    <cellStyle name="Normal 15 2 2 2 3 2" xfId="1537"/>
    <cellStyle name="Normal 15 2 2 2 4" xfId="541"/>
    <cellStyle name="Normal 15 2 2 2 4 2" xfId="1374"/>
    <cellStyle name="Normal 15 2 2 2 5" xfId="1034"/>
    <cellStyle name="Normal 15 2 2 3" xfId="281"/>
    <cellStyle name="Normal 15 2 2 3 2" xfId="787"/>
    <cellStyle name="Normal 15 2 2 3 2 2" xfId="1619"/>
    <cellStyle name="Normal 15 2 2 3 3" xfId="1116"/>
    <cellStyle name="Normal 15 2 2 4" xfId="623"/>
    <cellStyle name="Normal 15 2 2 4 2" xfId="1455"/>
    <cellStyle name="Normal 15 2 2 5" xfId="453"/>
    <cellStyle name="Normal 15 2 2 5 2" xfId="1286"/>
    <cellStyle name="Normal 15 2 2 6" xfId="952"/>
    <cellStyle name="Normal 15 2 3" xfId="134"/>
    <cellStyle name="Normal 15 2 3 2" xfId="322"/>
    <cellStyle name="Normal 15 2 3 2 2" xfId="828"/>
    <cellStyle name="Normal 15 2 3 2 2 2" xfId="1660"/>
    <cellStyle name="Normal 15 2 3 2 3" xfId="1157"/>
    <cellStyle name="Normal 15 2 3 3" xfId="664"/>
    <cellStyle name="Normal 15 2 3 3 2" xfId="1496"/>
    <cellStyle name="Normal 15 2 3 4" xfId="497"/>
    <cellStyle name="Normal 15 2 3 4 2" xfId="1330"/>
    <cellStyle name="Normal 15 2 3 5" xfId="993"/>
    <cellStyle name="Normal 15 2 4" xfId="240"/>
    <cellStyle name="Normal 15 2 4 2" xfId="746"/>
    <cellStyle name="Normal 15 2 4 2 2" xfId="1578"/>
    <cellStyle name="Normal 15 2 4 3" xfId="1075"/>
    <cellStyle name="Normal 15 2 5" xfId="582"/>
    <cellStyle name="Normal 15 2 5 2" xfId="1414"/>
    <cellStyle name="Normal 15 2 6" xfId="409"/>
    <cellStyle name="Normal 15 2 6 2" xfId="1242"/>
    <cellStyle name="Normal 15 2 7" xfId="911"/>
    <cellStyle name="Normal 15 3" xfId="71"/>
    <cellStyle name="Normal 15 3 2" xfId="156"/>
    <cellStyle name="Normal 15 3 2 2" xfId="343"/>
    <cellStyle name="Normal 15 3 2 2 2" xfId="849"/>
    <cellStyle name="Normal 15 3 2 2 2 2" xfId="1681"/>
    <cellStyle name="Normal 15 3 2 2 3" xfId="1178"/>
    <cellStyle name="Normal 15 3 2 3" xfId="685"/>
    <cellStyle name="Normal 15 3 2 3 2" xfId="1517"/>
    <cellStyle name="Normal 15 3 2 4" xfId="521"/>
    <cellStyle name="Normal 15 3 2 4 2" xfId="1354"/>
    <cellStyle name="Normal 15 3 2 5" xfId="1014"/>
    <cellStyle name="Normal 15 3 3" xfId="261"/>
    <cellStyle name="Normal 15 3 3 2" xfId="767"/>
    <cellStyle name="Normal 15 3 3 2 2" xfId="1599"/>
    <cellStyle name="Normal 15 3 3 3" xfId="1096"/>
    <cellStyle name="Normal 15 3 4" xfId="603"/>
    <cellStyle name="Normal 15 3 4 2" xfId="1435"/>
    <cellStyle name="Normal 15 3 5" xfId="433"/>
    <cellStyle name="Normal 15 3 5 2" xfId="1266"/>
    <cellStyle name="Normal 15 3 6" xfId="932"/>
    <cellStyle name="Normal 15 4" xfId="114"/>
    <cellStyle name="Normal 15 4 2" xfId="302"/>
    <cellStyle name="Normal 15 4 2 2" xfId="808"/>
    <cellStyle name="Normal 15 4 2 2 2" xfId="1640"/>
    <cellStyle name="Normal 15 4 2 3" xfId="1137"/>
    <cellStyle name="Normal 15 4 3" xfId="644"/>
    <cellStyle name="Normal 15 4 3 2" xfId="1476"/>
    <cellStyle name="Normal 15 4 4" xfId="477"/>
    <cellStyle name="Normal 15 4 4 2" xfId="1310"/>
    <cellStyle name="Normal 15 4 5" xfId="973"/>
    <cellStyle name="Normal 15 5" xfId="220"/>
    <cellStyle name="Normal 15 5 2" xfId="726"/>
    <cellStyle name="Normal 15 5 2 2" xfId="1558"/>
    <cellStyle name="Normal 15 5 3" xfId="1055"/>
    <cellStyle name="Normal 15 6" xfId="562"/>
    <cellStyle name="Normal 15 6 2" xfId="1394"/>
    <cellStyle name="Normal 15 7" xfId="389"/>
    <cellStyle name="Normal 15 7 2" xfId="1222"/>
    <cellStyle name="Normal 15 8" xfId="891"/>
    <cellStyle name="Normal 16" xfId="39"/>
    <cellStyle name="Normal 16 2" xfId="82"/>
    <cellStyle name="Normal 16 2 2" xfId="207"/>
    <cellStyle name="Normal 16 3" xfId="205"/>
    <cellStyle name="Normal 17" xfId="38"/>
    <cellStyle name="Normal 17 2" xfId="81"/>
    <cellStyle name="Normal 17 2 2" xfId="166"/>
    <cellStyle name="Normal 17 2 2 2" xfId="353"/>
    <cellStyle name="Normal 17 2 2 2 2" xfId="859"/>
    <cellStyle name="Normal 17 2 2 2 2 2" xfId="1691"/>
    <cellStyle name="Normal 17 2 2 2 3" xfId="1188"/>
    <cellStyle name="Normal 17 2 2 3" xfId="695"/>
    <cellStyle name="Normal 17 2 2 3 2" xfId="1527"/>
    <cellStyle name="Normal 17 2 2 4" xfId="531"/>
    <cellStyle name="Normal 17 2 2 4 2" xfId="1364"/>
    <cellStyle name="Normal 17 2 2 5" xfId="1024"/>
    <cellStyle name="Normal 17 2 3" xfId="271"/>
    <cellStyle name="Normal 17 2 3 2" xfId="777"/>
    <cellStyle name="Normal 17 2 3 2 2" xfId="1609"/>
    <cellStyle name="Normal 17 2 3 3" xfId="1106"/>
    <cellStyle name="Normal 17 2 4" xfId="613"/>
    <cellStyle name="Normal 17 2 4 2" xfId="1445"/>
    <cellStyle name="Normal 17 2 5" xfId="443"/>
    <cellStyle name="Normal 17 2 5 2" xfId="1276"/>
    <cellStyle name="Normal 17 2 6" xfId="942"/>
    <cellStyle name="Normal 17 3" xfId="124"/>
    <cellStyle name="Normal 17 3 2" xfId="312"/>
    <cellStyle name="Normal 17 3 2 2" xfId="818"/>
    <cellStyle name="Normal 17 3 2 2 2" xfId="1650"/>
    <cellStyle name="Normal 17 3 2 3" xfId="1147"/>
    <cellStyle name="Normal 17 3 3" xfId="654"/>
    <cellStyle name="Normal 17 3 3 2" xfId="1486"/>
    <cellStyle name="Normal 17 3 4" xfId="487"/>
    <cellStyle name="Normal 17 3 4 2" xfId="1320"/>
    <cellStyle name="Normal 17 3 5" xfId="983"/>
    <cellStyle name="Normal 17 4" xfId="230"/>
    <cellStyle name="Normal 17 4 2" xfId="736"/>
    <cellStyle name="Normal 17 4 2 2" xfId="1568"/>
    <cellStyle name="Normal 17 4 3" xfId="1065"/>
    <cellStyle name="Normal 17 5" xfId="572"/>
    <cellStyle name="Normal 17 5 2" xfId="1404"/>
    <cellStyle name="Normal 17 6" xfId="399"/>
    <cellStyle name="Normal 17 6 2" xfId="1232"/>
    <cellStyle name="Normal 17 7" xfId="901"/>
    <cellStyle name="Normal 18" xfId="59"/>
    <cellStyle name="Normal 18 2" xfId="102"/>
    <cellStyle name="Normal 18 2 2" xfId="186"/>
    <cellStyle name="Normal 18 2 2 2" xfId="373"/>
    <cellStyle name="Normal 18 2 2 2 2" xfId="879"/>
    <cellStyle name="Normal 18 2 2 2 2 2" xfId="1711"/>
    <cellStyle name="Normal 18 2 2 2 3" xfId="1208"/>
    <cellStyle name="Normal 18 2 2 3" xfId="715"/>
    <cellStyle name="Normal 18 2 2 3 2" xfId="1547"/>
    <cellStyle name="Normal 18 2 2 4" xfId="510"/>
    <cellStyle name="Normal 18 2 2 4 2" xfId="1343"/>
    <cellStyle name="Normal 18 2 2 5" xfId="1044"/>
    <cellStyle name="Normal 18 2 3" xfId="291"/>
    <cellStyle name="Normal 18 2 3 2" xfId="797"/>
    <cellStyle name="Normal 18 2 3 2 2" xfId="1629"/>
    <cellStyle name="Normal 18 2 3 3" xfId="1126"/>
    <cellStyle name="Normal 18 2 4" xfId="633"/>
    <cellStyle name="Normal 18 2 4 2" xfId="1465"/>
    <cellStyle name="Normal 18 2 5" xfId="422"/>
    <cellStyle name="Normal 18 2 5 2" xfId="1255"/>
    <cellStyle name="Normal 18 2 6" xfId="962"/>
    <cellStyle name="Normal 18 3" xfId="144"/>
    <cellStyle name="Normal 18 3 2" xfId="332"/>
    <cellStyle name="Normal 18 3 2 2" xfId="838"/>
    <cellStyle name="Normal 18 3 2 2 2" xfId="1670"/>
    <cellStyle name="Normal 18 3 2 3" xfId="1167"/>
    <cellStyle name="Normal 18 3 3" xfId="674"/>
    <cellStyle name="Normal 18 3 3 2" xfId="1506"/>
    <cellStyle name="Normal 18 3 4" xfId="466"/>
    <cellStyle name="Normal 18 3 4 2" xfId="1299"/>
    <cellStyle name="Normal 18 3 5" xfId="1003"/>
    <cellStyle name="Normal 18 4" xfId="250"/>
    <cellStyle name="Normal 18 4 2" xfId="756"/>
    <cellStyle name="Normal 18 4 2 2" xfId="1588"/>
    <cellStyle name="Normal 18 4 3" xfId="1085"/>
    <cellStyle name="Normal 18 5" xfId="592"/>
    <cellStyle name="Normal 18 5 2" xfId="1424"/>
    <cellStyle name="Normal 18 6" xfId="376"/>
    <cellStyle name="Normal 18 6 2" xfId="1211"/>
    <cellStyle name="Normal 18 7" xfId="921"/>
    <cellStyle name="Normal 19" xfId="61"/>
    <cellStyle name="Normal 19 2" xfId="146"/>
    <cellStyle name="Normal 19 2 2" xfId="209"/>
    <cellStyle name="Normal 19 3" xfId="206"/>
    <cellStyle name="Normal 2" xfId="2"/>
    <cellStyle name="Normal 2 2" xfId="188"/>
    <cellStyle name="Normal 2 3" xfId="1713"/>
    <cellStyle name="Normal 20" xfId="60"/>
    <cellStyle name="Normal 20 2" xfId="145"/>
    <cellStyle name="Normal 20 2 2" xfId="333"/>
    <cellStyle name="Normal 20 2 2 2" xfId="839"/>
    <cellStyle name="Normal 20 2 2 2 2" xfId="1671"/>
    <cellStyle name="Normal 20 2 2 3" xfId="1168"/>
    <cellStyle name="Normal 20 2 3" xfId="675"/>
    <cellStyle name="Normal 20 2 3 2" xfId="1507"/>
    <cellStyle name="Normal 20 2 4" xfId="507"/>
    <cellStyle name="Normal 20 2 4 2" xfId="1340"/>
    <cellStyle name="Normal 20 2 5" xfId="1004"/>
    <cellStyle name="Normal 20 3" xfId="251"/>
    <cellStyle name="Normal 20 3 2" xfId="757"/>
    <cellStyle name="Normal 20 3 2 2" xfId="1589"/>
    <cellStyle name="Normal 20 3 3" xfId="1086"/>
    <cellStyle name="Normal 20 4" xfId="593"/>
    <cellStyle name="Normal 20 4 2" xfId="1425"/>
    <cellStyle name="Normal 20 5" xfId="419"/>
    <cellStyle name="Normal 20 5 2" xfId="1252"/>
    <cellStyle name="Normal 20 6" xfId="922"/>
    <cellStyle name="Normal 21" xfId="104"/>
    <cellStyle name="Normal 21 2" xfId="208"/>
    <cellStyle name="Normal 22" xfId="103"/>
    <cellStyle name="Normal 22 2" xfId="292"/>
    <cellStyle name="Normal 22 2 2" xfId="798"/>
    <cellStyle name="Normal 22 2 2 2" xfId="1630"/>
    <cellStyle name="Normal 22 2 3" xfId="1127"/>
    <cellStyle name="Normal 22 3" xfId="634"/>
    <cellStyle name="Normal 22 3 2" xfId="1466"/>
    <cellStyle name="Normal 22 4" xfId="463"/>
    <cellStyle name="Normal 22 4 2" xfId="1296"/>
    <cellStyle name="Normal 22 5" xfId="963"/>
    <cellStyle name="Normal 23" xfId="1"/>
    <cellStyle name="Normal 24" xfId="210"/>
    <cellStyle name="Normal 24 2" xfId="716"/>
    <cellStyle name="Normal 24 2 2" xfId="1548"/>
    <cellStyle name="Normal 24 3" xfId="1045"/>
    <cellStyle name="Normal 25" xfId="552"/>
    <cellStyle name="Normal 26" xfId="551"/>
    <cellStyle name="Normal 26 2" xfId="1384"/>
    <cellStyle name="Normal 27" xfId="187"/>
    <cellStyle name="Normal 28" xfId="881"/>
    <cellStyle name="Normal 29" xfId="880"/>
    <cellStyle name="Normal 29 2" xfId="1722"/>
    <cellStyle name="Normal 3" xfId="3"/>
    <cellStyle name="Normal 3 2" xfId="189"/>
    <cellStyle name="Normal 3 2 2" xfId="1714"/>
    <cellStyle name="Normal 3 3" xfId="1718"/>
    <cellStyle name="Normal 4" xfId="4"/>
    <cellStyle name="Normal 4 10" xfId="374"/>
    <cellStyle name="Normal 4 10 2" xfId="1209"/>
    <cellStyle name="Normal 4 11" xfId="882"/>
    <cellStyle name="Normal 4 2" xfId="19"/>
    <cellStyle name="Normal 4 2 10" xfId="884"/>
    <cellStyle name="Normal 4 2 2" xfId="25"/>
    <cellStyle name="Normal 4 2 2 2" xfId="36"/>
    <cellStyle name="Normal 4 2 2 2 2" xfId="57"/>
    <cellStyle name="Normal 4 2 2 2 2 2" xfId="100"/>
    <cellStyle name="Normal 4 2 2 2 2 2 2" xfId="184"/>
    <cellStyle name="Normal 4 2 2 2 2 2 2 2" xfId="371"/>
    <cellStyle name="Normal 4 2 2 2 2 2 2 2 2" xfId="877"/>
    <cellStyle name="Normal 4 2 2 2 2 2 2 2 2 2" xfId="1709"/>
    <cellStyle name="Normal 4 2 2 2 2 2 2 2 3" xfId="1206"/>
    <cellStyle name="Normal 4 2 2 2 2 2 2 3" xfId="713"/>
    <cellStyle name="Normal 4 2 2 2 2 2 2 3 2" xfId="1545"/>
    <cellStyle name="Normal 4 2 2 2 2 2 2 4" xfId="549"/>
    <cellStyle name="Normal 4 2 2 2 2 2 2 4 2" xfId="1382"/>
    <cellStyle name="Normal 4 2 2 2 2 2 2 5" xfId="1042"/>
    <cellStyle name="Normal 4 2 2 2 2 2 3" xfId="289"/>
    <cellStyle name="Normal 4 2 2 2 2 2 3 2" xfId="795"/>
    <cellStyle name="Normal 4 2 2 2 2 2 3 2 2" xfId="1627"/>
    <cellStyle name="Normal 4 2 2 2 2 2 3 3" xfId="1124"/>
    <cellStyle name="Normal 4 2 2 2 2 2 4" xfId="631"/>
    <cellStyle name="Normal 4 2 2 2 2 2 4 2" xfId="1463"/>
    <cellStyle name="Normal 4 2 2 2 2 2 5" xfId="461"/>
    <cellStyle name="Normal 4 2 2 2 2 2 5 2" xfId="1294"/>
    <cellStyle name="Normal 4 2 2 2 2 2 6" xfId="960"/>
    <cellStyle name="Normal 4 2 2 2 2 3" xfId="142"/>
    <cellStyle name="Normal 4 2 2 2 2 3 2" xfId="330"/>
    <cellStyle name="Normal 4 2 2 2 2 3 2 2" xfId="836"/>
    <cellStyle name="Normal 4 2 2 2 2 3 2 2 2" xfId="1668"/>
    <cellStyle name="Normal 4 2 2 2 2 3 2 3" xfId="1165"/>
    <cellStyle name="Normal 4 2 2 2 2 3 3" xfId="672"/>
    <cellStyle name="Normal 4 2 2 2 2 3 3 2" xfId="1504"/>
    <cellStyle name="Normal 4 2 2 2 2 3 4" xfId="505"/>
    <cellStyle name="Normal 4 2 2 2 2 3 4 2" xfId="1338"/>
    <cellStyle name="Normal 4 2 2 2 2 3 5" xfId="1001"/>
    <cellStyle name="Normal 4 2 2 2 2 4" xfId="248"/>
    <cellStyle name="Normal 4 2 2 2 2 4 2" xfId="754"/>
    <cellStyle name="Normal 4 2 2 2 2 4 2 2" xfId="1586"/>
    <cellStyle name="Normal 4 2 2 2 2 4 3" xfId="1083"/>
    <cellStyle name="Normal 4 2 2 2 2 5" xfId="590"/>
    <cellStyle name="Normal 4 2 2 2 2 5 2" xfId="1422"/>
    <cellStyle name="Normal 4 2 2 2 2 6" xfId="417"/>
    <cellStyle name="Normal 4 2 2 2 2 6 2" xfId="1250"/>
    <cellStyle name="Normal 4 2 2 2 2 7" xfId="919"/>
    <cellStyle name="Normal 4 2 2 2 3" xfId="79"/>
    <cellStyle name="Normal 4 2 2 2 3 2" xfId="164"/>
    <cellStyle name="Normal 4 2 2 2 3 2 2" xfId="351"/>
    <cellStyle name="Normal 4 2 2 2 3 2 2 2" xfId="857"/>
    <cellStyle name="Normal 4 2 2 2 3 2 2 2 2" xfId="1689"/>
    <cellStyle name="Normal 4 2 2 2 3 2 2 3" xfId="1186"/>
    <cellStyle name="Normal 4 2 2 2 3 2 3" xfId="693"/>
    <cellStyle name="Normal 4 2 2 2 3 2 3 2" xfId="1525"/>
    <cellStyle name="Normal 4 2 2 2 3 2 4" xfId="529"/>
    <cellStyle name="Normal 4 2 2 2 3 2 4 2" xfId="1362"/>
    <cellStyle name="Normal 4 2 2 2 3 2 5" xfId="1022"/>
    <cellStyle name="Normal 4 2 2 2 3 3" xfId="269"/>
    <cellStyle name="Normal 4 2 2 2 3 3 2" xfId="775"/>
    <cellStyle name="Normal 4 2 2 2 3 3 2 2" xfId="1607"/>
    <cellStyle name="Normal 4 2 2 2 3 3 3" xfId="1104"/>
    <cellStyle name="Normal 4 2 2 2 3 4" xfId="611"/>
    <cellStyle name="Normal 4 2 2 2 3 4 2" xfId="1443"/>
    <cellStyle name="Normal 4 2 2 2 3 5" xfId="441"/>
    <cellStyle name="Normal 4 2 2 2 3 5 2" xfId="1274"/>
    <cellStyle name="Normal 4 2 2 2 3 6" xfId="940"/>
    <cellStyle name="Normal 4 2 2 2 4" xfId="122"/>
    <cellStyle name="Normal 4 2 2 2 4 2" xfId="310"/>
    <cellStyle name="Normal 4 2 2 2 4 2 2" xfId="816"/>
    <cellStyle name="Normal 4 2 2 2 4 2 2 2" xfId="1648"/>
    <cellStyle name="Normal 4 2 2 2 4 2 3" xfId="1145"/>
    <cellStyle name="Normal 4 2 2 2 4 3" xfId="652"/>
    <cellStyle name="Normal 4 2 2 2 4 3 2" xfId="1484"/>
    <cellStyle name="Normal 4 2 2 2 4 4" xfId="485"/>
    <cellStyle name="Normal 4 2 2 2 4 4 2" xfId="1318"/>
    <cellStyle name="Normal 4 2 2 2 4 5" xfId="981"/>
    <cellStyle name="Normal 4 2 2 2 5" xfId="228"/>
    <cellStyle name="Normal 4 2 2 2 5 2" xfId="734"/>
    <cellStyle name="Normal 4 2 2 2 5 2 2" xfId="1566"/>
    <cellStyle name="Normal 4 2 2 2 5 3" xfId="1063"/>
    <cellStyle name="Normal 4 2 2 2 6" xfId="570"/>
    <cellStyle name="Normal 4 2 2 2 6 2" xfId="1402"/>
    <cellStyle name="Normal 4 2 2 2 7" xfId="397"/>
    <cellStyle name="Normal 4 2 2 2 7 2" xfId="1230"/>
    <cellStyle name="Normal 4 2 2 2 8" xfId="899"/>
    <cellStyle name="Normal 4 2 2 3" xfId="47"/>
    <cellStyle name="Normal 4 2 2 3 2" xfId="90"/>
    <cellStyle name="Normal 4 2 2 3 2 2" xfId="174"/>
    <cellStyle name="Normal 4 2 2 3 2 2 2" xfId="361"/>
    <cellStyle name="Normal 4 2 2 3 2 2 2 2" xfId="867"/>
    <cellStyle name="Normal 4 2 2 3 2 2 2 2 2" xfId="1699"/>
    <cellStyle name="Normal 4 2 2 3 2 2 2 3" xfId="1196"/>
    <cellStyle name="Normal 4 2 2 3 2 2 3" xfId="703"/>
    <cellStyle name="Normal 4 2 2 3 2 2 3 2" xfId="1535"/>
    <cellStyle name="Normal 4 2 2 3 2 2 4" xfId="539"/>
    <cellStyle name="Normal 4 2 2 3 2 2 4 2" xfId="1372"/>
    <cellStyle name="Normal 4 2 2 3 2 2 5" xfId="1032"/>
    <cellStyle name="Normal 4 2 2 3 2 3" xfId="279"/>
    <cellStyle name="Normal 4 2 2 3 2 3 2" xfId="785"/>
    <cellStyle name="Normal 4 2 2 3 2 3 2 2" xfId="1617"/>
    <cellStyle name="Normal 4 2 2 3 2 3 3" xfId="1114"/>
    <cellStyle name="Normal 4 2 2 3 2 4" xfId="621"/>
    <cellStyle name="Normal 4 2 2 3 2 4 2" xfId="1453"/>
    <cellStyle name="Normal 4 2 2 3 2 5" xfId="451"/>
    <cellStyle name="Normal 4 2 2 3 2 5 2" xfId="1284"/>
    <cellStyle name="Normal 4 2 2 3 2 6" xfId="950"/>
    <cellStyle name="Normal 4 2 2 3 3" xfId="132"/>
    <cellStyle name="Normal 4 2 2 3 3 2" xfId="320"/>
    <cellStyle name="Normal 4 2 2 3 3 2 2" xfId="826"/>
    <cellStyle name="Normal 4 2 2 3 3 2 2 2" xfId="1658"/>
    <cellStyle name="Normal 4 2 2 3 3 2 3" xfId="1155"/>
    <cellStyle name="Normal 4 2 2 3 3 3" xfId="662"/>
    <cellStyle name="Normal 4 2 2 3 3 3 2" xfId="1494"/>
    <cellStyle name="Normal 4 2 2 3 3 4" xfId="495"/>
    <cellStyle name="Normal 4 2 2 3 3 4 2" xfId="1328"/>
    <cellStyle name="Normal 4 2 2 3 3 5" xfId="991"/>
    <cellStyle name="Normal 4 2 2 3 4" xfId="238"/>
    <cellStyle name="Normal 4 2 2 3 4 2" xfId="744"/>
    <cellStyle name="Normal 4 2 2 3 4 2 2" xfId="1576"/>
    <cellStyle name="Normal 4 2 2 3 4 3" xfId="1073"/>
    <cellStyle name="Normal 4 2 2 3 5" xfId="580"/>
    <cellStyle name="Normal 4 2 2 3 5 2" xfId="1412"/>
    <cellStyle name="Normal 4 2 2 3 6" xfId="407"/>
    <cellStyle name="Normal 4 2 2 3 6 2" xfId="1240"/>
    <cellStyle name="Normal 4 2 2 3 7" xfId="909"/>
    <cellStyle name="Normal 4 2 2 4" xfId="69"/>
    <cellStyle name="Normal 4 2 2 4 2" xfId="154"/>
    <cellStyle name="Normal 4 2 2 4 2 2" xfId="341"/>
    <cellStyle name="Normal 4 2 2 4 2 2 2" xfId="847"/>
    <cellStyle name="Normal 4 2 2 4 2 2 2 2" xfId="1679"/>
    <cellStyle name="Normal 4 2 2 4 2 2 3" xfId="1176"/>
    <cellStyle name="Normal 4 2 2 4 2 3" xfId="683"/>
    <cellStyle name="Normal 4 2 2 4 2 3 2" xfId="1515"/>
    <cellStyle name="Normal 4 2 2 4 2 4" xfId="519"/>
    <cellStyle name="Normal 4 2 2 4 2 4 2" xfId="1352"/>
    <cellStyle name="Normal 4 2 2 4 2 5" xfId="1012"/>
    <cellStyle name="Normal 4 2 2 4 3" xfId="259"/>
    <cellStyle name="Normal 4 2 2 4 3 2" xfId="765"/>
    <cellStyle name="Normal 4 2 2 4 3 2 2" xfId="1597"/>
    <cellStyle name="Normal 4 2 2 4 3 3" xfId="1094"/>
    <cellStyle name="Normal 4 2 2 4 4" xfId="601"/>
    <cellStyle name="Normal 4 2 2 4 4 2" xfId="1433"/>
    <cellStyle name="Normal 4 2 2 4 5" xfId="431"/>
    <cellStyle name="Normal 4 2 2 4 5 2" xfId="1264"/>
    <cellStyle name="Normal 4 2 2 4 6" xfId="930"/>
    <cellStyle name="Normal 4 2 2 5" xfId="112"/>
    <cellStyle name="Normal 4 2 2 5 2" xfId="300"/>
    <cellStyle name="Normal 4 2 2 5 2 2" xfId="806"/>
    <cellStyle name="Normal 4 2 2 5 2 2 2" xfId="1638"/>
    <cellStyle name="Normal 4 2 2 5 2 3" xfId="1135"/>
    <cellStyle name="Normal 4 2 2 5 3" xfId="642"/>
    <cellStyle name="Normal 4 2 2 5 3 2" xfId="1474"/>
    <cellStyle name="Normal 4 2 2 5 4" xfId="475"/>
    <cellStyle name="Normal 4 2 2 5 4 2" xfId="1308"/>
    <cellStyle name="Normal 4 2 2 5 5" xfId="971"/>
    <cellStyle name="Normal 4 2 2 6" xfId="218"/>
    <cellStyle name="Normal 4 2 2 6 2" xfId="724"/>
    <cellStyle name="Normal 4 2 2 6 2 2" xfId="1556"/>
    <cellStyle name="Normal 4 2 2 6 3" xfId="1053"/>
    <cellStyle name="Normal 4 2 2 7" xfId="560"/>
    <cellStyle name="Normal 4 2 2 7 2" xfId="1392"/>
    <cellStyle name="Normal 4 2 2 8" xfId="387"/>
    <cellStyle name="Normal 4 2 2 8 2" xfId="1220"/>
    <cellStyle name="Normal 4 2 2 9" xfId="889"/>
    <cellStyle name="Normal 4 2 3" xfId="31"/>
    <cellStyle name="Normal 4 2 3 2" xfId="52"/>
    <cellStyle name="Normal 4 2 3 2 2" xfId="95"/>
    <cellStyle name="Normal 4 2 3 2 2 2" xfId="179"/>
    <cellStyle name="Normal 4 2 3 2 2 2 2" xfId="366"/>
    <cellStyle name="Normal 4 2 3 2 2 2 2 2" xfId="872"/>
    <cellStyle name="Normal 4 2 3 2 2 2 2 2 2" xfId="1704"/>
    <cellStyle name="Normal 4 2 3 2 2 2 2 3" xfId="1201"/>
    <cellStyle name="Normal 4 2 3 2 2 2 3" xfId="708"/>
    <cellStyle name="Normal 4 2 3 2 2 2 3 2" xfId="1540"/>
    <cellStyle name="Normal 4 2 3 2 2 2 4" xfId="544"/>
    <cellStyle name="Normal 4 2 3 2 2 2 4 2" xfId="1377"/>
    <cellStyle name="Normal 4 2 3 2 2 2 5" xfId="1037"/>
    <cellStyle name="Normal 4 2 3 2 2 3" xfId="284"/>
    <cellStyle name="Normal 4 2 3 2 2 3 2" xfId="790"/>
    <cellStyle name="Normal 4 2 3 2 2 3 2 2" xfId="1622"/>
    <cellStyle name="Normal 4 2 3 2 2 3 3" xfId="1119"/>
    <cellStyle name="Normal 4 2 3 2 2 4" xfId="626"/>
    <cellStyle name="Normal 4 2 3 2 2 4 2" xfId="1458"/>
    <cellStyle name="Normal 4 2 3 2 2 5" xfId="456"/>
    <cellStyle name="Normal 4 2 3 2 2 5 2" xfId="1289"/>
    <cellStyle name="Normal 4 2 3 2 2 6" xfId="955"/>
    <cellStyle name="Normal 4 2 3 2 3" xfId="137"/>
    <cellStyle name="Normal 4 2 3 2 3 2" xfId="325"/>
    <cellStyle name="Normal 4 2 3 2 3 2 2" xfId="831"/>
    <cellStyle name="Normal 4 2 3 2 3 2 2 2" xfId="1663"/>
    <cellStyle name="Normal 4 2 3 2 3 2 3" xfId="1160"/>
    <cellStyle name="Normal 4 2 3 2 3 3" xfId="667"/>
    <cellStyle name="Normal 4 2 3 2 3 3 2" xfId="1499"/>
    <cellStyle name="Normal 4 2 3 2 3 4" xfId="500"/>
    <cellStyle name="Normal 4 2 3 2 3 4 2" xfId="1333"/>
    <cellStyle name="Normal 4 2 3 2 3 5" xfId="996"/>
    <cellStyle name="Normal 4 2 3 2 4" xfId="243"/>
    <cellStyle name="Normal 4 2 3 2 4 2" xfId="749"/>
    <cellStyle name="Normal 4 2 3 2 4 2 2" xfId="1581"/>
    <cellStyle name="Normal 4 2 3 2 4 3" xfId="1078"/>
    <cellStyle name="Normal 4 2 3 2 5" xfId="585"/>
    <cellStyle name="Normal 4 2 3 2 5 2" xfId="1417"/>
    <cellStyle name="Normal 4 2 3 2 6" xfId="412"/>
    <cellStyle name="Normal 4 2 3 2 6 2" xfId="1245"/>
    <cellStyle name="Normal 4 2 3 2 7" xfId="914"/>
    <cellStyle name="Normal 4 2 3 3" xfId="74"/>
    <cellStyle name="Normal 4 2 3 3 2" xfId="159"/>
    <cellStyle name="Normal 4 2 3 3 2 2" xfId="346"/>
    <cellStyle name="Normal 4 2 3 3 2 2 2" xfId="852"/>
    <cellStyle name="Normal 4 2 3 3 2 2 2 2" xfId="1684"/>
    <cellStyle name="Normal 4 2 3 3 2 2 3" xfId="1181"/>
    <cellStyle name="Normal 4 2 3 3 2 3" xfId="688"/>
    <cellStyle name="Normal 4 2 3 3 2 3 2" xfId="1520"/>
    <cellStyle name="Normal 4 2 3 3 2 4" xfId="524"/>
    <cellStyle name="Normal 4 2 3 3 2 4 2" xfId="1357"/>
    <cellStyle name="Normal 4 2 3 3 2 5" xfId="1017"/>
    <cellStyle name="Normal 4 2 3 3 3" xfId="264"/>
    <cellStyle name="Normal 4 2 3 3 3 2" xfId="770"/>
    <cellStyle name="Normal 4 2 3 3 3 2 2" xfId="1602"/>
    <cellStyle name="Normal 4 2 3 3 3 3" xfId="1099"/>
    <cellStyle name="Normal 4 2 3 3 4" xfId="606"/>
    <cellStyle name="Normal 4 2 3 3 4 2" xfId="1438"/>
    <cellStyle name="Normal 4 2 3 3 5" xfId="436"/>
    <cellStyle name="Normal 4 2 3 3 5 2" xfId="1269"/>
    <cellStyle name="Normal 4 2 3 3 6" xfId="935"/>
    <cellStyle name="Normal 4 2 3 4" xfId="117"/>
    <cellStyle name="Normal 4 2 3 4 2" xfId="305"/>
    <cellStyle name="Normal 4 2 3 4 2 2" xfId="811"/>
    <cellStyle name="Normal 4 2 3 4 2 2 2" xfId="1643"/>
    <cellStyle name="Normal 4 2 3 4 2 3" xfId="1140"/>
    <cellStyle name="Normal 4 2 3 4 3" xfId="647"/>
    <cellStyle name="Normal 4 2 3 4 3 2" xfId="1479"/>
    <cellStyle name="Normal 4 2 3 4 4" xfId="480"/>
    <cellStyle name="Normal 4 2 3 4 4 2" xfId="1313"/>
    <cellStyle name="Normal 4 2 3 4 5" xfId="976"/>
    <cellStyle name="Normal 4 2 3 5" xfId="223"/>
    <cellStyle name="Normal 4 2 3 5 2" xfId="729"/>
    <cellStyle name="Normal 4 2 3 5 2 2" xfId="1561"/>
    <cellStyle name="Normal 4 2 3 5 3" xfId="1058"/>
    <cellStyle name="Normal 4 2 3 6" xfId="565"/>
    <cellStyle name="Normal 4 2 3 6 2" xfId="1397"/>
    <cellStyle name="Normal 4 2 3 7" xfId="392"/>
    <cellStyle name="Normal 4 2 3 7 2" xfId="1225"/>
    <cellStyle name="Normal 4 2 3 8" xfId="894"/>
    <cellStyle name="Normal 4 2 4" xfId="42"/>
    <cellStyle name="Normal 4 2 4 2" xfId="85"/>
    <cellStyle name="Normal 4 2 4 2 2" xfId="169"/>
    <cellStyle name="Normal 4 2 4 2 2 2" xfId="356"/>
    <cellStyle name="Normal 4 2 4 2 2 2 2" xfId="862"/>
    <cellStyle name="Normal 4 2 4 2 2 2 2 2" xfId="1694"/>
    <cellStyle name="Normal 4 2 4 2 2 2 3" xfId="1191"/>
    <cellStyle name="Normal 4 2 4 2 2 3" xfId="698"/>
    <cellStyle name="Normal 4 2 4 2 2 3 2" xfId="1530"/>
    <cellStyle name="Normal 4 2 4 2 2 4" xfId="534"/>
    <cellStyle name="Normal 4 2 4 2 2 4 2" xfId="1367"/>
    <cellStyle name="Normal 4 2 4 2 2 5" xfId="1027"/>
    <cellStyle name="Normal 4 2 4 2 3" xfId="274"/>
    <cellStyle name="Normal 4 2 4 2 3 2" xfId="780"/>
    <cellStyle name="Normal 4 2 4 2 3 2 2" xfId="1612"/>
    <cellStyle name="Normal 4 2 4 2 3 3" xfId="1109"/>
    <cellStyle name="Normal 4 2 4 2 4" xfId="616"/>
    <cellStyle name="Normal 4 2 4 2 4 2" xfId="1448"/>
    <cellStyle name="Normal 4 2 4 2 5" xfId="446"/>
    <cellStyle name="Normal 4 2 4 2 5 2" xfId="1279"/>
    <cellStyle name="Normal 4 2 4 2 6" xfId="945"/>
    <cellStyle name="Normal 4 2 4 3" xfId="127"/>
    <cellStyle name="Normal 4 2 4 3 2" xfId="315"/>
    <cellStyle name="Normal 4 2 4 3 2 2" xfId="821"/>
    <cellStyle name="Normal 4 2 4 3 2 2 2" xfId="1653"/>
    <cellStyle name="Normal 4 2 4 3 2 3" xfId="1150"/>
    <cellStyle name="Normal 4 2 4 3 3" xfId="657"/>
    <cellStyle name="Normal 4 2 4 3 3 2" xfId="1489"/>
    <cellStyle name="Normal 4 2 4 3 4" xfId="490"/>
    <cellStyle name="Normal 4 2 4 3 4 2" xfId="1323"/>
    <cellStyle name="Normal 4 2 4 3 5" xfId="986"/>
    <cellStyle name="Normal 4 2 4 4" xfId="233"/>
    <cellStyle name="Normal 4 2 4 4 2" xfId="739"/>
    <cellStyle name="Normal 4 2 4 4 2 2" xfId="1571"/>
    <cellStyle name="Normal 4 2 4 4 3" xfId="1068"/>
    <cellStyle name="Normal 4 2 4 5" xfId="575"/>
    <cellStyle name="Normal 4 2 4 5 2" xfId="1407"/>
    <cellStyle name="Normal 4 2 4 6" xfId="402"/>
    <cellStyle name="Normal 4 2 4 6 2" xfId="1235"/>
    <cellStyle name="Normal 4 2 4 7" xfId="904"/>
    <cellStyle name="Normal 4 2 5" xfId="64"/>
    <cellStyle name="Normal 4 2 5 2" xfId="149"/>
    <cellStyle name="Normal 4 2 5 2 2" xfId="336"/>
    <cellStyle name="Normal 4 2 5 2 2 2" xfId="842"/>
    <cellStyle name="Normal 4 2 5 2 2 2 2" xfId="1674"/>
    <cellStyle name="Normal 4 2 5 2 2 3" xfId="1171"/>
    <cellStyle name="Normal 4 2 5 2 3" xfId="678"/>
    <cellStyle name="Normal 4 2 5 2 3 2" xfId="1510"/>
    <cellStyle name="Normal 4 2 5 2 4" xfId="514"/>
    <cellStyle name="Normal 4 2 5 2 4 2" xfId="1347"/>
    <cellStyle name="Normal 4 2 5 2 5" xfId="1007"/>
    <cellStyle name="Normal 4 2 5 3" xfId="254"/>
    <cellStyle name="Normal 4 2 5 3 2" xfId="760"/>
    <cellStyle name="Normal 4 2 5 3 2 2" xfId="1592"/>
    <cellStyle name="Normal 4 2 5 3 3" xfId="1089"/>
    <cellStyle name="Normal 4 2 5 4" xfId="596"/>
    <cellStyle name="Normal 4 2 5 4 2" xfId="1428"/>
    <cellStyle name="Normal 4 2 5 5" xfId="426"/>
    <cellStyle name="Normal 4 2 5 5 2" xfId="1259"/>
    <cellStyle name="Normal 4 2 5 6" xfId="925"/>
    <cellStyle name="Normal 4 2 6" xfId="107"/>
    <cellStyle name="Normal 4 2 6 2" xfId="295"/>
    <cellStyle name="Normal 4 2 6 2 2" xfId="801"/>
    <cellStyle name="Normal 4 2 6 2 2 2" xfId="1633"/>
    <cellStyle name="Normal 4 2 6 2 3" xfId="1130"/>
    <cellStyle name="Normal 4 2 6 3" xfId="637"/>
    <cellStyle name="Normal 4 2 6 3 2" xfId="1469"/>
    <cellStyle name="Normal 4 2 6 4" xfId="470"/>
    <cellStyle name="Normal 4 2 6 4 2" xfId="1303"/>
    <cellStyle name="Normal 4 2 6 5" xfId="966"/>
    <cellStyle name="Normal 4 2 7" xfId="213"/>
    <cellStyle name="Normal 4 2 7 2" xfId="719"/>
    <cellStyle name="Normal 4 2 7 2 2" xfId="1551"/>
    <cellStyle name="Normal 4 2 7 3" xfId="1048"/>
    <cellStyle name="Normal 4 2 8" xfId="555"/>
    <cellStyle name="Normal 4 2 8 2" xfId="1387"/>
    <cellStyle name="Normal 4 2 9" xfId="382"/>
    <cellStyle name="Normal 4 2 9 2" xfId="1215"/>
    <cellStyle name="Normal 4 3" xfId="23"/>
    <cellStyle name="Normal 4 3 2" xfId="34"/>
    <cellStyle name="Normal 4 3 2 2" xfId="55"/>
    <cellStyle name="Normal 4 3 2 2 2" xfId="98"/>
    <cellStyle name="Normal 4 3 2 2 2 2" xfId="182"/>
    <cellStyle name="Normal 4 3 2 2 2 2 2" xfId="369"/>
    <cellStyle name="Normal 4 3 2 2 2 2 2 2" xfId="875"/>
    <cellStyle name="Normal 4 3 2 2 2 2 2 2 2" xfId="1707"/>
    <cellStyle name="Normal 4 3 2 2 2 2 2 3" xfId="1204"/>
    <cellStyle name="Normal 4 3 2 2 2 2 3" xfId="711"/>
    <cellStyle name="Normal 4 3 2 2 2 2 3 2" xfId="1543"/>
    <cellStyle name="Normal 4 3 2 2 2 2 4" xfId="547"/>
    <cellStyle name="Normal 4 3 2 2 2 2 4 2" xfId="1380"/>
    <cellStyle name="Normal 4 3 2 2 2 2 5" xfId="1040"/>
    <cellStyle name="Normal 4 3 2 2 2 3" xfId="287"/>
    <cellStyle name="Normal 4 3 2 2 2 3 2" xfId="793"/>
    <cellStyle name="Normal 4 3 2 2 2 3 2 2" xfId="1625"/>
    <cellStyle name="Normal 4 3 2 2 2 3 3" xfId="1122"/>
    <cellStyle name="Normal 4 3 2 2 2 4" xfId="629"/>
    <cellStyle name="Normal 4 3 2 2 2 4 2" xfId="1461"/>
    <cellStyle name="Normal 4 3 2 2 2 5" xfId="459"/>
    <cellStyle name="Normal 4 3 2 2 2 5 2" xfId="1292"/>
    <cellStyle name="Normal 4 3 2 2 2 6" xfId="958"/>
    <cellStyle name="Normal 4 3 2 2 3" xfId="140"/>
    <cellStyle name="Normal 4 3 2 2 3 2" xfId="328"/>
    <cellStyle name="Normal 4 3 2 2 3 2 2" xfId="834"/>
    <cellStyle name="Normal 4 3 2 2 3 2 2 2" xfId="1666"/>
    <cellStyle name="Normal 4 3 2 2 3 2 3" xfId="1163"/>
    <cellStyle name="Normal 4 3 2 2 3 3" xfId="670"/>
    <cellStyle name="Normal 4 3 2 2 3 3 2" xfId="1502"/>
    <cellStyle name="Normal 4 3 2 2 3 4" xfId="503"/>
    <cellStyle name="Normal 4 3 2 2 3 4 2" xfId="1336"/>
    <cellStyle name="Normal 4 3 2 2 3 5" xfId="999"/>
    <cellStyle name="Normal 4 3 2 2 4" xfId="246"/>
    <cellStyle name="Normal 4 3 2 2 4 2" xfId="752"/>
    <cellStyle name="Normal 4 3 2 2 4 2 2" xfId="1584"/>
    <cellStyle name="Normal 4 3 2 2 4 3" xfId="1081"/>
    <cellStyle name="Normal 4 3 2 2 5" xfId="588"/>
    <cellStyle name="Normal 4 3 2 2 5 2" xfId="1420"/>
    <cellStyle name="Normal 4 3 2 2 6" xfId="415"/>
    <cellStyle name="Normal 4 3 2 2 6 2" xfId="1248"/>
    <cellStyle name="Normal 4 3 2 2 7" xfId="917"/>
    <cellStyle name="Normal 4 3 2 3" xfId="77"/>
    <cellStyle name="Normal 4 3 2 3 2" xfId="162"/>
    <cellStyle name="Normal 4 3 2 3 2 2" xfId="349"/>
    <cellStyle name="Normal 4 3 2 3 2 2 2" xfId="855"/>
    <cellStyle name="Normal 4 3 2 3 2 2 2 2" xfId="1687"/>
    <cellStyle name="Normal 4 3 2 3 2 2 3" xfId="1184"/>
    <cellStyle name="Normal 4 3 2 3 2 3" xfId="691"/>
    <cellStyle name="Normal 4 3 2 3 2 3 2" xfId="1523"/>
    <cellStyle name="Normal 4 3 2 3 2 4" xfId="527"/>
    <cellStyle name="Normal 4 3 2 3 2 4 2" xfId="1360"/>
    <cellStyle name="Normal 4 3 2 3 2 5" xfId="1020"/>
    <cellStyle name="Normal 4 3 2 3 3" xfId="267"/>
    <cellStyle name="Normal 4 3 2 3 3 2" xfId="773"/>
    <cellStyle name="Normal 4 3 2 3 3 2 2" xfId="1605"/>
    <cellStyle name="Normal 4 3 2 3 3 3" xfId="1102"/>
    <cellStyle name="Normal 4 3 2 3 4" xfId="609"/>
    <cellStyle name="Normal 4 3 2 3 4 2" xfId="1441"/>
    <cellStyle name="Normal 4 3 2 3 5" xfId="439"/>
    <cellStyle name="Normal 4 3 2 3 5 2" xfId="1272"/>
    <cellStyle name="Normal 4 3 2 3 6" xfId="938"/>
    <cellStyle name="Normal 4 3 2 4" xfId="120"/>
    <cellStyle name="Normal 4 3 2 4 2" xfId="308"/>
    <cellStyle name="Normal 4 3 2 4 2 2" xfId="814"/>
    <cellStyle name="Normal 4 3 2 4 2 2 2" xfId="1646"/>
    <cellStyle name="Normal 4 3 2 4 2 3" xfId="1143"/>
    <cellStyle name="Normal 4 3 2 4 3" xfId="650"/>
    <cellStyle name="Normal 4 3 2 4 3 2" xfId="1482"/>
    <cellStyle name="Normal 4 3 2 4 4" xfId="483"/>
    <cellStyle name="Normal 4 3 2 4 4 2" xfId="1316"/>
    <cellStyle name="Normal 4 3 2 4 5" xfId="979"/>
    <cellStyle name="Normal 4 3 2 5" xfId="226"/>
    <cellStyle name="Normal 4 3 2 5 2" xfId="732"/>
    <cellStyle name="Normal 4 3 2 5 2 2" xfId="1564"/>
    <cellStyle name="Normal 4 3 2 5 3" xfId="1061"/>
    <cellStyle name="Normal 4 3 2 6" xfId="568"/>
    <cellStyle name="Normal 4 3 2 6 2" xfId="1400"/>
    <cellStyle name="Normal 4 3 2 7" xfId="395"/>
    <cellStyle name="Normal 4 3 2 7 2" xfId="1228"/>
    <cellStyle name="Normal 4 3 2 8" xfId="897"/>
    <cellStyle name="Normal 4 3 3" xfId="45"/>
    <cellStyle name="Normal 4 3 3 2" xfId="88"/>
    <cellStyle name="Normal 4 3 3 2 2" xfId="172"/>
    <cellStyle name="Normal 4 3 3 2 2 2" xfId="359"/>
    <cellStyle name="Normal 4 3 3 2 2 2 2" xfId="865"/>
    <cellStyle name="Normal 4 3 3 2 2 2 2 2" xfId="1697"/>
    <cellStyle name="Normal 4 3 3 2 2 2 3" xfId="1194"/>
    <cellStyle name="Normal 4 3 3 2 2 3" xfId="701"/>
    <cellStyle name="Normal 4 3 3 2 2 3 2" xfId="1533"/>
    <cellStyle name="Normal 4 3 3 2 2 4" xfId="537"/>
    <cellStyle name="Normal 4 3 3 2 2 4 2" xfId="1370"/>
    <cellStyle name="Normal 4 3 3 2 2 5" xfId="1030"/>
    <cellStyle name="Normal 4 3 3 2 3" xfId="277"/>
    <cellStyle name="Normal 4 3 3 2 3 2" xfId="783"/>
    <cellStyle name="Normal 4 3 3 2 3 2 2" xfId="1615"/>
    <cellStyle name="Normal 4 3 3 2 3 3" xfId="1112"/>
    <cellStyle name="Normal 4 3 3 2 4" xfId="619"/>
    <cellStyle name="Normal 4 3 3 2 4 2" xfId="1451"/>
    <cellStyle name="Normal 4 3 3 2 5" xfId="449"/>
    <cellStyle name="Normal 4 3 3 2 5 2" xfId="1282"/>
    <cellStyle name="Normal 4 3 3 2 6" xfId="948"/>
    <cellStyle name="Normal 4 3 3 3" xfId="130"/>
    <cellStyle name="Normal 4 3 3 3 2" xfId="318"/>
    <cellStyle name="Normal 4 3 3 3 2 2" xfId="824"/>
    <cellStyle name="Normal 4 3 3 3 2 2 2" xfId="1656"/>
    <cellStyle name="Normal 4 3 3 3 2 3" xfId="1153"/>
    <cellStyle name="Normal 4 3 3 3 3" xfId="660"/>
    <cellStyle name="Normal 4 3 3 3 3 2" xfId="1492"/>
    <cellStyle name="Normal 4 3 3 3 4" xfId="493"/>
    <cellStyle name="Normal 4 3 3 3 4 2" xfId="1326"/>
    <cellStyle name="Normal 4 3 3 3 5" xfId="989"/>
    <cellStyle name="Normal 4 3 3 4" xfId="236"/>
    <cellStyle name="Normal 4 3 3 4 2" xfId="742"/>
    <cellStyle name="Normal 4 3 3 4 2 2" xfId="1574"/>
    <cellStyle name="Normal 4 3 3 4 3" xfId="1071"/>
    <cellStyle name="Normal 4 3 3 5" xfId="578"/>
    <cellStyle name="Normal 4 3 3 5 2" xfId="1410"/>
    <cellStyle name="Normal 4 3 3 6" xfId="405"/>
    <cellStyle name="Normal 4 3 3 6 2" xfId="1238"/>
    <cellStyle name="Normal 4 3 3 7" xfId="907"/>
    <cellStyle name="Normal 4 3 4" xfId="67"/>
    <cellStyle name="Normal 4 3 4 2" xfId="152"/>
    <cellStyle name="Normal 4 3 4 2 2" xfId="339"/>
    <cellStyle name="Normal 4 3 4 2 2 2" xfId="845"/>
    <cellStyle name="Normal 4 3 4 2 2 2 2" xfId="1677"/>
    <cellStyle name="Normal 4 3 4 2 2 3" xfId="1174"/>
    <cellStyle name="Normal 4 3 4 2 3" xfId="681"/>
    <cellStyle name="Normal 4 3 4 2 3 2" xfId="1513"/>
    <cellStyle name="Normal 4 3 4 2 4" xfId="517"/>
    <cellStyle name="Normal 4 3 4 2 4 2" xfId="1350"/>
    <cellStyle name="Normal 4 3 4 2 5" xfId="1010"/>
    <cellStyle name="Normal 4 3 4 3" xfId="257"/>
    <cellStyle name="Normal 4 3 4 3 2" xfId="763"/>
    <cellStyle name="Normal 4 3 4 3 2 2" xfId="1595"/>
    <cellStyle name="Normal 4 3 4 3 3" xfId="1092"/>
    <cellStyle name="Normal 4 3 4 4" xfId="599"/>
    <cellStyle name="Normal 4 3 4 4 2" xfId="1431"/>
    <cellStyle name="Normal 4 3 4 5" xfId="429"/>
    <cellStyle name="Normal 4 3 4 5 2" xfId="1262"/>
    <cellStyle name="Normal 4 3 4 6" xfId="928"/>
    <cellStyle name="Normal 4 3 5" xfId="110"/>
    <cellStyle name="Normal 4 3 5 2" xfId="298"/>
    <cellStyle name="Normal 4 3 5 2 2" xfId="804"/>
    <cellStyle name="Normal 4 3 5 2 2 2" xfId="1636"/>
    <cellStyle name="Normal 4 3 5 2 3" xfId="1133"/>
    <cellStyle name="Normal 4 3 5 3" xfId="640"/>
    <cellStyle name="Normal 4 3 5 3 2" xfId="1472"/>
    <cellStyle name="Normal 4 3 5 4" xfId="473"/>
    <cellStyle name="Normal 4 3 5 4 2" xfId="1306"/>
    <cellStyle name="Normal 4 3 5 5" xfId="969"/>
    <cellStyle name="Normal 4 3 6" xfId="216"/>
    <cellStyle name="Normal 4 3 6 2" xfId="722"/>
    <cellStyle name="Normal 4 3 6 2 2" xfId="1554"/>
    <cellStyle name="Normal 4 3 6 3" xfId="1051"/>
    <cellStyle name="Normal 4 3 7" xfId="558"/>
    <cellStyle name="Normal 4 3 7 2" xfId="1390"/>
    <cellStyle name="Normal 4 3 8" xfId="385"/>
    <cellStyle name="Normal 4 3 8 2" xfId="1218"/>
    <cellStyle name="Normal 4 3 9" xfId="887"/>
    <cellStyle name="Normal 4 4" xfId="29"/>
    <cellStyle name="Normal 4 4 2" xfId="50"/>
    <cellStyle name="Normal 4 4 2 2" xfId="93"/>
    <cellStyle name="Normal 4 4 2 2 2" xfId="177"/>
    <cellStyle name="Normal 4 4 2 2 2 2" xfId="364"/>
    <cellStyle name="Normal 4 4 2 2 2 2 2" xfId="870"/>
    <cellStyle name="Normal 4 4 2 2 2 2 2 2" xfId="1702"/>
    <cellStyle name="Normal 4 4 2 2 2 2 3" xfId="1199"/>
    <cellStyle name="Normal 4 4 2 2 2 3" xfId="706"/>
    <cellStyle name="Normal 4 4 2 2 2 3 2" xfId="1538"/>
    <cellStyle name="Normal 4 4 2 2 2 4" xfId="542"/>
    <cellStyle name="Normal 4 4 2 2 2 4 2" xfId="1375"/>
    <cellStyle name="Normal 4 4 2 2 2 5" xfId="1035"/>
    <cellStyle name="Normal 4 4 2 2 3" xfId="282"/>
    <cellStyle name="Normal 4 4 2 2 3 2" xfId="788"/>
    <cellStyle name="Normal 4 4 2 2 3 2 2" xfId="1620"/>
    <cellStyle name="Normal 4 4 2 2 3 3" xfId="1117"/>
    <cellStyle name="Normal 4 4 2 2 4" xfId="624"/>
    <cellStyle name="Normal 4 4 2 2 4 2" xfId="1456"/>
    <cellStyle name="Normal 4 4 2 2 5" xfId="454"/>
    <cellStyle name="Normal 4 4 2 2 5 2" xfId="1287"/>
    <cellStyle name="Normal 4 4 2 2 6" xfId="953"/>
    <cellStyle name="Normal 4 4 2 3" xfId="135"/>
    <cellStyle name="Normal 4 4 2 3 2" xfId="323"/>
    <cellStyle name="Normal 4 4 2 3 2 2" xfId="829"/>
    <cellStyle name="Normal 4 4 2 3 2 2 2" xfId="1661"/>
    <cellStyle name="Normal 4 4 2 3 2 3" xfId="1158"/>
    <cellStyle name="Normal 4 4 2 3 3" xfId="665"/>
    <cellStyle name="Normal 4 4 2 3 3 2" xfId="1497"/>
    <cellStyle name="Normal 4 4 2 3 4" xfId="498"/>
    <cellStyle name="Normal 4 4 2 3 4 2" xfId="1331"/>
    <cellStyle name="Normal 4 4 2 3 5" xfId="994"/>
    <cellStyle name="Normal 4 4 2 4" xfId="241"/>
    <cellStyle name="Normal 4 4 2 4 2" xfId="747"/>
    <cellStyle name="Normal 4 4 2 4 2 2" xfId="1579"/>
    <cellStyle name="Normal 4 4 2 4 3" xfId="1076"/>
    <cellStyle name="Normal 4 4 2 5" xfId="583"/>
    <cellStyle name="Normal 4 4 2 5 2" xfId="1415"/>
    <cellStyle name="Normal 4 4 2 6" xfId="410"/>
    <cellStyle name="Normal 4 4 2 6 2" xfId="1243"/>
    <cellStyle name="Normal 4 4 2 7" xfId="912"/>
    <cellStyle name="Normal 4 4 3" xfId="72"/>
    <cellStyle name="Normal 4 4 3 2" xfId="157"/>
    <cellStyle name="Normal 4 4 3 2 2" xfId="344"/>
    <cellStyle name="Normal 4 4 3 2 2 2" xfId="850"/>
    <cellStyle name="Normal 4 4 3 2 2 2 2" xfId="1682"/>
    <cellStyle name="Normal 4 4 3 2 2 3" xfId="1179"/>
    <cellStyle name="Normal 4 4 3 2 3" xfId="686"/>
    <cellStyle name="Normal 4 4 3 2 3 2" xfId="1518"/>
    <cellStyle name="Normal 4 4 3 2 4" xfId="522"/>
    <cellStyle name="Normal 4 4 3 2 4 2" xfId="1355"/>
    <cellStyle name="Normal 4 4 3 2 5" xfId="1015"/>
    <cellStyle name="Normal 4 4 3 3" xfId="262"/>
    <cellStyle name="Normal 4 4 3 3 2" xfId="768"/>
    <cellStyle name="Normal 4 4 3 3 2 2" xfId="1600"/>
    <cellStyle name="Normal 4 4 3 3 3" xfId="1097"/>
    <cellStyle name="Normal 4 4 3 4" xfId="604"/>
    <cellStyle name="Normal 4 4 3 4 2" xfId="1436"/>
    <cellStyle name="Normal 4 4 3 5" xfId="434"/>
    <cellStyle name="Normal 4 4 3 5 2" xfId="1267"/>
    <cellStyle name="Normal 4 4 3 6" xfId="933"/>
    <cellStyle name="Normal 4 4 4" xfId="115"/>
    <cellStyle name="Normal 4 4 4 2" xfId="303"/>
    <cellStyle name="Normal 4 4 4 2 2" xfId="809"/>
    <cellStyle name="Normal 4 4 4 2 2 2" xfId="1641"/>
    <cellStyle name="Normal 4 4 4 2 3" xfId="1138"/>
    <cellStyle name="Normal 4 4 4 3" xfId="645"/>
    <cellStyle name="Normal 4 4 4 3 2" xfId="1477"/>
    <cellStyle name="Normal 4 4 4 4" xfId="478"/>
    <cellStyle name="Normal 4 4 4 4 2" xfId="1311"/>
    <cellStyle name="Normal 4 4 4 5" xfId="974"/>
    <cellStyle name="Normal 4 4 5" xfId="221"/>
    <cellStyle name="Normal 4 4 5 2" xfId="727"/>
    <cellStyle name="Normal 4 4 5 2 2" xfId="1559"/>
    <cellStyle name="Normal 4 4 5 3" xfId="1056"/>
    <cellStyle name="Normal 4 4 6" xfId="563"/>
    <cellStyle name="Normal 4 4 6 2" xfId="1395"/>
    <cellStyle name="Normal 4 4 7" xfId="390"/>
    <cellStyle name="Normal 4 4 7 2" xfId="1223"/>
    <cellStyle name="Normal 4 4 8" xfId="892"/>
    <cellStyle name="Normal 4 5" xfId="40"/>
    <cellStyle name="Normal 4 5 2" xfId="83"/>
    <cellStyle name="Normal 4 5 2 2" xfId="167"/>
    <cellStyle name="Normal 4 5 2 2 2" xfId="354"/>
    <cellStyle name="Normal 4 5 2 2 2 2" xfId="860"/>
    <cellStyle name="Normal 4 5 2 2 2 2 2" xfId="1692"/>
    <cellStyle name="Normal 4 5 2 2 2 3" xfId="1189"/>
    <cellStyle name="Normal 4 5 2 2 3" xfId="696"/>
    <cellStyle name="Normal 4 5 2 2 3 2" xfId="1528"/>
    <cellStyle name="Normal 4 5 2 2 4" xfId="532"/>
    <cellStyle name="Normal 4 5 2 2 4 2" xfId="1365"/>
    <cellStyle name="Normal 4 5 2 2 5" xfId="1025"/>
    <cellStyle name="Normal 4 5 2 3" xfId="272"/>
    <cellStyle name="Normal 4 5 2 3 2" xfId="778"/>
    <cellStyle name="Normal 4 5 2 3 2 2" xfId="1610"/>
    <cellStyle name="Normal 4 5 2 3 3" xfId="1107"/>
    <cellStyle name="Normal 4 5 2 4" xfId="614"/>
    <cellStyle name="Normal 4 5 2 4 2" xfId="1446"/>
    <cellStyle name="Normal 4 5 2 5" xfId="444"/>
    <cellStyle name="Normal 4 5 2 5 2" xfId="1277"/>
    <cellStyle name="Normal 4 5 2 6" xfId="943"/>
    <cellStyle name="Normal 4 5 3" xfId="125"/>
    <cellStyle name="Normal 4 5 3 2" xfId="313"/>
    <cellStyle name="Normal 4 5 3 2 2" xfId="819"/>
    <cellStyle name="Normal 4 5 3 2 2 2" xfId="1651"/>
    <cellStyle name="Normal 4 5 3 2 3" xfId="1148"/>
    <cellStyle name="Normal 4 5 3 3" xfId="655"/>
    <cellStyle name="Normal 4 5 3 3 2" xfId="1487"/>
    <cellStyle name="Normal 4 5 3 4" xfId="488"/>
    <cellStyle name="Normal 4 5 3 4 2" xfId="1321"/>
    <cellStyle name="Normal 4 5 3 5" xfId="984"/>
    <cellStyle name="Normal 4 5 4" xfId="231"/>
    <cellStyle name="Normal 4 5 4 2" xfId="737"/>
    <cellStyle name="Normal 4 5 4 2 2" xfId="1569"/>
    <cellStyle name="Normal 4 5 4 3" xfId="1066"/>
    <cellStyle name="Normal 4 5 5" xfId="573"/>
    <cellStyle name="Normal 4 5 5 2" xfId="1405"/>
    <cellStyle name="Normal 4 5 6" xfId="400"/>
    <cellStyle name="Normal 4 5 6 2" xfId="1233"/>
    <cellStyle name="Normal 4 5 7" xfId="902"/>
    <cellStyle name="Normal 4 6" xfId="62"/>
    <cellStyle name="Normal 4 6 2" xfId="147"/>
    <cellStyle name="Normal 4 6 2 2" xfId="334"/>
    <cellStyle name="Normal 4 6 2 2 2" xfId="840"/>
    <cellStyle name="Normal 4 6 2 2 2 2" xfId="1672"/>
    <cellStyle name="Normal 4 6 2 2 3" xfId="511"/>
    <cellStyle name="Normal 4 6 2 2 3 2" xfId="1344"/>
    <cellStyle name="Normal 4 6 2 2 4" xfId="1169"/>
    <cellStyle name="Normal 4 6 2 3" xfId="676"/>
    <cellStyle name="Normal 4 6 2 3 2" xfId="1508"/>
    <cellStyle name="Normal 4 6 2 4" xfId="423"/>
    <cellStyle name="Normal 4 6 2 4 2" xfId="1256"/>
    <cellStyle name="Normal 4 6 2 5" xfId="1005"/>
    <cellStyle name="Normal 4 6 3" xfId="252"/>
    <cellStyle name="Normal 4 6 3 2" xfId="758"/>
    <cellStyle name="Normal 4 6 3 2 2" xfId="1590"/>
    <cellStyle name="Normal 4 6 3 3" xfId="467"/>
    <cellStyle name="Normal 4 6 3 3 2" xfId="1300"/>
    <cellStyle name="Normal 4 6 3 4" xfId="1087"/>
    <cellStyle name="Normal 4 6 4" xfId="594"/>
    <cellStyle name="Normal 4 6 4 2" xfId="1426"/>
    <cellStyle name="Normal 4 6 5" xfId="377"/>
    <cellStyle name="Normal 4 6 5 2" xfId="1212"/>
    <cellStyle name="Normal 4 6 6" xfId="923"/>
    <cellStyle name="Normal 4 7" xfId="105"/>
    <cellStyle name="Normal 4 7 2" xfId="293"/>
    <cellStyle name="Normal 4 7 2 2" xfId="799"/>
    <cellStyle name="Normal 4 7 2 2 2" xfId="1631"/>
    <cellStyle name="Normal 4 7 2 3" xfId="508"/>
    <cellStyle name="Normal 4 7 2 3 2" xfId="1341"/>
    <cellStyle name="Normal 4 7 2 4" xfId="1128"/>
    <cellStyle name="Normal 4 7 3" xfId="635"/>
    <cellStyle name="Normal 4 7 3 2" xfId="1467"/>
    <cellStyle name="Normal 4 7 4" xfId="420"/>
    <cellStyle name="Normal 4 7 4 2" xfId="1253"/>
    <cellStyle name="Normal 4 7 5" xfId="964"/>
    <cellStyle name="Normal 4 8" xfId="211"/>
    <cellStyle name="Normal 4 8 2" xfId="717"/>
    <cellStyle name="Normal 4 8 2 2" xfId="1549"/>
    <cellStyle name="Normal 4 8 3" xfId="464"/>
    <cellStyle name="Normal 4 8 3 2" xfId="1297"/>
    <cellStyle name="Normal 4 8 4" xfId="1046"/>
    <cellStyle name="Normal 4 9" xfId="553"/>
    <cellStyle name="Normal 4 9 2" xfId="1385"/>
    <cellStyle name="Normal 5" xfId="5"/>
    <cellStyle name="Normal 5 2" xfId="6"/>
    <cellStyle name="Normal 5 2 2" xfId="7"/>
    <cellStyle name="Normal 5 2 2 2" xfId="192"/>
    <cellStyle name="Normal 5 2 3" xfId="8"/>
    <cellStyle name="Normal 5 2 3 2" xfId="193"/>
    <cellStyle name="Normal 5 2 4" xfId="191"/>
    <cellStyle name="Normal 5 3" xfId="379"/>
    <cellStyle name="Normal 5 4" xfId="378"/>
    <cellStyle name="Normal 5 4 2" xfId="424"/>
    <cellStyle name="Normal 5 4 2 2" xfId="512"/>
    <cellStyle name="Normal 5 4 2 2 2" xfId="1345"/>
    <cellStyle name="Normal 5 4 2 3" xfId="1257"/>
    <cellStyle name="Normal 5 4 3" xfId="468"/>
    <cellStyle name="Normal 5 4 3 2" xfId="1301"/>
    <cellStyle name="Normal 5 4 4" xfId="1213"/>
    <cellStyle name="Normal 5 5" xfId="421"/>
    <cellStyle name="Normal 5 5 2" xfId="509"/>
    <cellStyle name="Normal 5 5 2 2" xfId="1342"/>
    <cellStyle name="Normal 5 5 3" xfId="1254"/>
    <cellStyle name="Normal 5 6" xfId="465"/>
    <cellStyle name="Normal 5 6 2" xfId="1298"/>
    <cellStyle name="Normal 5 7" xfId="375"/>
    <cellStyle name="Normal 5 7 2" xfId="1210"/>
    <cellStyle name="Normal 5 8" xfId="190"/>
    <cellStyle name="Normal 6" xfId="9"/>
    <cellStyle name="Normal 6 2" xfId="10"/>
    <cellStyle name="Normal 6 2 2" xfId="195"/>
    <cellStyle name="Normal 6 2 3" xfId="1720"/>
    <cellStyle name="Normal 6 3" xfId="11"/>
    <cellStyle name="Normal 6 3 2" xfId="12"/>
    <cellStyle name="Normal 6 3 2 2" xfId="197"/>
    <cellStyle name="Normal 6 3 3" xfId="196"/>
    <cellStyle name="Normal 6 3 4" xfId="1712"/>
    <cellStyle name="Normal 6 4" xfId="380"/>
    <cellStyle name="Normal 6 5" xfId="194"/>
    <cellStyle name="Normal 6 6" xfId="1717"/>
    <cellStyle name="Normal 7" xfId="13"/>
    <cellStyle name="Normal 7 2" xfId="14"/>
    <cellStyle name="Normal 7 2 2" xfId="199"/>
    <cellStyle name="Normal 7 2 3" xfId="1719"/>
    <cellStyle name="Normal 7 3" xfId="198"/>
    <cellStyle name="Normal 7 3 2" xfId="1716"/>
    <cellStyle name="Normal 8" xfId="15"/>
    <cellStyle name="Normal 8 2" xfId="16"/>
    <cellStyle name="Normal 8 2 2" xfId="201"/>
    <cellStyle name="Normal 8 3" xfId="200"/>
    <cellStyle name="Normal 9" xfId="17"/>
    <cellStyle name="Normal 9 2" xfId="202"/>
    <cellStyle name="Normal 9 3" xfId="1715"/>
  </cellStyles>
  <dxfs count="0"/>
  <tableStyles count="0" defaultTableStyle="TableStyleMedium2" defaultPivotStyle="PivotStyleLight16"/>
  <colors>
    <mruColors>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file:///C:\Users\mjohannes\LEAP%20Spring" TargetMode="External"/><Relationship Id="rId2" Type="http://schemas.openxmlformats.org/officeDocument/2006/relationships/hyperlink" Target="file:///C:\Users\mjohannes\Accountability\" TargetMode="External"/><Relationship Id="rId1" Type="http://schemas.openxmlformats.org/officeDocument/2006/relationships/hyperlink" Target="file:///C:\Users\mjohannes\Common%20Louisiana%20Spring\Reporting\" TargetMode="External"/><Relationship Id="rId4" Type="http://schemas.openxmlformats.org/officeDocument/2006/relationships/hyperlink" Target="file:///C:\Users\mjohannes\LEAP%20Sprin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F452"/>
  <sheetViews>
    <sheetView zoomScale="80" zoomScaleNormal="80" zoomScalePageLayoutView="70" workbookViewId="0">
      <selection activeCell="B449" sqref="B449"/>
    </sheetView>
  </sheetViews>
  <sheetFormatPr defaultRowHeight="12.75" x14ac:dyDescent="0.2"/>
  <cols>
    <col min="1" max="3" width="10.85546875" style="21" customWidth="1"/>
    <col min="4" max="4" width="71.140625" style="29" customWidth="1"/>
    <col min="5" max="5" width="36.5703125" style="18" customWidth="1"/>
    <col min="6" max="6" width="70.140625" style="19" customWidth="1"/>
    <col min="7" max="16384" width="9.140625" style="31"/>
  </cols>
  <sheetData>
    <row r="1" spans="1:6" ht="20.25" x14ac:dyDescent="0.3">
      <c r="A1" s="53" t="s">
        <v>421</v>
      </c>
      <c r="B1" s="53"/>
      <c r="C1" s="53"/>
      <c r="D1" s="53"/>
      <c r="E1" s="53" t="s">
        <v>332</v>
      </c>
      <c r="F1" s="53"/>
    </row>
    <row r="2" spans="1:6" ht="31.5" x14ac:dyDescent="0.25">
      <c r="A2" s="2" t="s">
        <v>0</v>
      </c>
      <c r="B2" s="2" t="s">
        <v>1</v>
      </c>
      <c r="C2" s="3" t="s">
        <v>2</v>
      </c>
      <c r="D2" s="23" t="s">
        <v>3</v>
      </c>
      <c r="E2" s="1" t="s">
        <v>4</v>
      </c>
      <c r="F2" s="1" t="s">
        <v>5</v>
      </c>
    </row>
    <row r="3" spans="1:6" x14ac:dyDescent="0.2">
      <c r="D3" s="24" t="s">
        <v>6</v>
      </c>
    </row>
    <row r="4" spans="1:6" x14ac:dyDescent="0.2">
      <c r="A4" s="21">
        <v>1</v>
      </c>
      <c r="B4" s="7">
        <f>A4+C4-1</f>
        <v>2</v>
      </c>
      <c r="C4" s="8">
        <v>2</v>
      </c>
      <c r="D4" s="25" t="s">
        <v>7</v>
      </c>
      <c r="E4" s="18" t="s">
        <v>296</v>
      </c>
      <c r="F4" s="19" t="s">
        <v>160</v>
      </c>
    </row>
    <row r="5" spans="1:6" x14ac:dyDescent="0.2">
      <c r="A5" s="21">
        <f>A4+C4</f>
        <v>3</v>
      </c>
      <c r="B5" s="7">
        <f t="shared" ref="B5:B44" si="0">A5+C5-1</f>
        <v>6</v>
      </c>
      <c r="C5" s="8">
        <v>4</v>
      </c>
      <c r="D5" s="25" t="s">
        <v>8</v>
      </c>
      <c r="F5" s="19" t="s">
        <v>161</v>
      </c>
    </row>
    <row r="6" spans="1:6" ht="38.25" x14ac:dyDescent="0.2">
      <c r="A6" s="21">
        <f t="shared" ref="A6:A31" si="1">A5+C5</f>
        <v>7</v>
      </c>
      <c r="B6" s="7">
        <f t="shared" si="0"/>
        <v>7</v>
      </c>
      <c r="C6" s="8">
        <v>1</v>
      </c>
      <c r="D6" s="25" t="s">
        <v>9</v>
      </c>
      <c r="E6" s="41" t="s">
        <v>162</v>
      </c>
      <c r="F6" s="39" t="s">
        <v>163</v>
      </c>
    </row>
    <row r="7" spans="1:6" ht="29.25" customHeight="1" x14ac:dyDescent="0.2">
      <c r="A7" s="21">
        <f t="shared" si="1"/>
        <v>8</v>
      </c>
      <c r="B7" s="7">
        <f t="shared" si="0"/>
        <v>10</v>
      </c>
      <c r="C7" s="8">
        <v>3</v>
      </c>
      <c r="D7" s="25" t="s">
        <v>10</v>
      </c>
      <c r="E7" s="41"/>
      <c r="F7" s="54" t="s">
        <v>164</v>
      </c>
    </row>
    <row r="8" spans="1:6" ht="33.75" customHeight="1" x14ac:dyDescent="0.2">
      <c r="A8" s="21">
        <f t="shared" si="1"/>
        <v>11</v>
      </c>
      <c r="B8" s="7">
        <f t="shared" si="0"/>
        <v>13</v>
      </c>
      <c r="C8" s="8">
        <v>3</v>
      </c>
      <c r="D8" s="25" t="s">
        <v>11</v>
      </c>
      <c r="E8" s="41"/>
      <c r="F8" s="55"/>
    </row>
    <row r="9" spans="1:6" x14ac:dyDescent="0.2">
      <c r="A9" s="21">
        <f t="shared" si="1"/>
        <v>14</v>
      </c>
      <c r="B9" s="7">
        <f t="shared" si="0"/>
        <v>53</v>
      </c>
      <c r="C9" s="8">
        <v>40</v>
      </c>
      <c r="D9" s="25" t="s">
        <v>12</v>
      </c>
    </row>
    <row r="10" spans="1:6" x14ac:dyDescent="0.2">
      <c r="A10" s="21">
        <f t="shared" si="1"/>
        <v>54</v>
      </c>
      <c r="B10" s="7">
        <f t="shared" si="0"/>
        <v>93</v>
      </c>
      <c r="C10" s="8">
        <v>40</v>
      </c>
      <c r="D10" s="25" t="s">
        <v>13</v>
      </c>
    </row>
    <row r="11" spans="1:6" ht="165.75" x14ac:dyDescent="0.2">
      <c r="A11" s="21">
        <f t="shared" si="1"/>
        <v>94</v>
      </c>
      <c r="B11" s="7">
        <f t="shared" si="0"/>
        <v>102</v>
      </c>
      <c r="C11" s="8">
        <v>9</v>
      </c>
      <c r="D11" s="25" t="s">
        <v>18</v>
      </c>
      <c r="E11" s="19" t="s">
        <v>165</v>
      </c>
      <c r="F11" s="39" t="s">
        <v>368</v>
      </c>
    </row>
    <row r="12" spans="1:6" ht="51" x14ac:dyDescent="0.2">
      <c r="A12" s="21">
        <f t="shared" si="1"/>
        <v>103</v>
      </c>
      <c r="B12" s="7">
        <f t="shared" si="0"/>
        <v>108</v>
      </c>
      <c r="C12" s="8">
        <v>6</v>
      </c>
      <c r="D12" s="25" t="s">
        <v>155</v>
      </c>
      <c r="E12" s="41" t="s">
        <v>225</v>
      </c>
      <c r="F12" s="41" t="s">
        <v>226</v>
      </c>
    </row>
    <row r="13" spans="1:6" ht="25.5" x14ac:dyDescent="0.2">
      <c r="A13" s="21">
        <f t="shared" si="1"/>
        <v>109</v>
      </c>
      <c r="B13" s="7">
        <f t="shared" si="0"/>
        <v>109</v>
      </c>
      <c r="C13" s="8">
        <v>1</v>
      </c>
      <c r="D13" s="32" t="s">
        <v>100</v>
      </c>
      <c r="E13" s="19" t="s">
        <v>166</v>
      </c>
      <c r="F13" s="19" t="s">
        <v>167</v>
      </c>
    </row>
    <row r="14" spans="1:6" ht="55.5" customHeight="1" x14ac:dyDescent="0.2">
      <c r="A14" s="21">
        <f t="shared" si="1"/>
        <v>110</v>
      </c>
      <c r="B14" s="7">
        <f t="shared" si="0"/>
        <v>121</v>
      </c>
      <c r="C14" s="8">
        <v>12</v>
      </c>
      <c r="D14" s="25" t="s">
        <v>14</v>
      </c>
      <c r="F14" s="56" t="s">
        <v>231</v>
      </c>
    </row>
    <row r="15" spans="1:6" ht="56.25" customHeight="1" x14ac:dyDescent="0.2">
      <c r="A15" s="21">
        <f t="shared" si="1"/>
        <v>122</v>
      </c>
      <c r="B15" s="7">
        <f t="shared" si="0"/>
        <v>129</v>
      </c>
      <c r="C15" s="8">
        <v>8</v>
      </c>
      <c r="D15" s="25" t="s">
        <v>15</v>
      </c>
      <c r="F15" s="56"/>
    </row>
    <row r="16" spans="1:6" ht="56.25" customHeight="1" x14ac:dyDescent="0.2">
      <c r="A16" s="21">
        <f t="shared" si="1"/>
        <v>130</v>
      </c>
      <c r="B16" s="7">
        <f t="shared" si="0"/>
        <v>130</v>
      </c>
      <c r="C16" s="8">
        <v>1</v>
      </c>
      <c r="D16" s="25" t="s">
        <v>16</v>
      </c>
      <c r="F16" s="56"/>
    </row>
    <row r="17" spans="1:6" ht="76.5" x14ac:dyDescent="0.2">
      <c r="A17" s="21">
        <f t="shared" si="1"/>
        <v>131</v>
      </c>
      <c r="B17" s="7">
        <f t="shared" si="0"/>
        <v>140</v>
      </c>
      <c r="C17" s="8">
        <v>10</v>
      </c>
      <c r="D17" s="25" t="s">
        <v>17</v>
      </c>
      <c r="E17" s="18" t="s">
        <v>168</v>
      </c>
      <c r="F17" s="19" t="s">
        <v>333</v>
      </c>
    </row>
    <row r="18" spans="1:6" ht="165.75" customHeight="1" x14ac:dyDescent="0.2">
      <c r="A18" s="21">
        <f t="shared" si="1"/>
        <v>141</v>
      </c>
      <c r="B18" s="7">
        <f t="shared" si="0"/>
        <v>142</v>
      </c>
      <c r="C18" s="8">
        <v>2</v>
      </c>
      <c r="D18" s="25" t="s">
        <v>19</v>
      </c>
      <c r="E18" s="19" t="s">
        <v>169</v>
      </c>
      <c r="F18" s="19" t="s">
        <v>398</v>
      </c>
    </row>
    <row r="19" spans="1:6" x14ac:dyDescent="0.2">
      <c r="A19" s="21">
        <f t="shared" si="1"/>
        <v>143</v>
      </c>
      <c r="B19" s="7">
        <f t="shared" si="0"/>
        <v>146</v>
      </c>
      <c r="C19" s="8">
        <v>4</v>
      </c>
      <c r="D19" s="25" t="s">
        <v>64</v>
      </c>
      <c r="E19" s="19"/>
      <c r="F19" s="40"/>
    </row>
    <row r="20" spans="1:6" ht="90.75" customHeight="1" x14ac:dyDescent="0.2">
      <c r="A20" s="20">
        <f>A19+C19</f>
        <v>147</v>
      </c>
      <c r="B20" s="7">
        <f t="shared" si="0"/>
        <v>148</v>
      </c>
      <c r="C20" s="8">
        <v>2</v>
      </c>
      <c r="D20" s="25" t="s">
        <v>20</v>
      </c>
      <c r="E20" s="11" t="s">
        <v>170</v>
      </c>
      <c r="F20" s="52"/>
    </row>
    <row r="21" spans="1:6" ht="17.25" customHeight="1" x14ac:dyDescent="0.2">
      <c r="A21" s="20">
        <f t="shared" si="1"/>
        <v>149</v>
      </c>
      <c r="B21" s="7">
        <f t="shared" si="0"/>
        <v>152</v>
      </c>
      <c r="C21" s="8">
        <v>4</v>
      </c>
      <c r="D21" s="25" t="s">
        <v>64</v>
      </c>
      <c r="E21" s="11"/>
      <c r="F21" s="52"/>
    </row>
    <row r="22" spans="1:6" ht="63.75" x14ac:dyDescent="0.2">
      <c r="A22" s="20">
        <f t="shared" si="1"/>
        <v>153</v>
      </c>
      <c r="B22" s="7">
        <f t="shared" si="0"/>
        <v>153</v>
      </c>
      <c r="C22" s="8">
        <v>1</v>
      </c>
      <c r="D22" s="25" t="s">
        <v>21</v>
      </c>
      <c r="E22" s="40" t="s">
        <v>171</v>
      </c>
      <c r="F22" s="37" t="s">
        <v>369</v>
      </c>
    </row>
    <row r="23" spans="1:6" x14ac:dyDescent="0.2">
      <c r="A23" s="20">
        <f>A22+C22</f>
        <v>154</v>
      </c>
      <c r="B23" s="7">
        <f t="shared" ref="B23" si="2">A23+C23-1</f>
        <v>154</v>
      </c>
      <c r="C23" s="8">
        <v>1</v>
      </c>
      <c r="D23" s="25" t="s">
        <v>64</v>
      </c>
      <c r="E23" s="6"/>
      <c r="F23" s="40"/>
    </row>
    <row r="24" spans="1:6" ht="114.75" x14ac:dyDescent="0.2">
      <c r="A24" s="20">
        <f t="shared" si="1"/>
        <v>155</v>
      </c>
      <c r="B24" s="7">
        <f t="shared" si="0"/>
        <v>155</v>
      </c>
      <c r="C24" s="8">
        <v>1</v>
      </c>
      <c r="D24" s="25" t="s">
        <v>22</v>
      </c>
      <c r="E24" s="40" t="s">
        <v>172</v>
      </c>
      <c r="F24" s="37" t="s">
        <v>370</v>
      </c>
    </row>
    <row r="25" spans="1:6" ht="38.25" x14ac:dyDescent="0.2">
      <c r="A25" s="20">
        <f t="shared" si="1"/>
        <v>156</v>
      </c>
      <c r="B25" s="7">
        <f t="shared" si="0"/>
        <v>156</v>
      </c>
      <c r="C25" s="8">
        <v>1</v>
      </c>
      <c r="D25" s="25" t="s">
        <v>23</v>
      </c>
      <c r="E25" s="40" t="s">
        <v>173</v>
      </c>
      <c r="F25" s="40" t="s">
        <v>371</v>
      </c>
    </row>
    <row r="26" spans="1:6" x14ac:dyDescent="0.2">
      <c r="A26" s="20">
        <f>A25+C25</f>
        <v>157</v>
      </c>
      <c r="B26" s="7">
        <f t="shared" ref="B26" si="3">A26+C26-1</f>
        <v>158</v>
      </c>
      <c r="C26" s="8">
        <v>2</v>
      </c>
      <c r="D26" s="25" t="s">
        <v>64</v>
      </c>
      <c r="E26" s="40"/>
      <c r="F26" s="40"/>
    </row>
    <row r="27" spans="1:6" ht="38.25" x14ac:dyDescent="0.2">
      <c r="A27" s="20">
        <f>A26+C26</f>
        <v>159</v>
      </c>
      <c r="B27" s="7">
        <f t="shared" si="0"/>
        <v>159</v>
      </c>
      <c r="C27" s="8">
        <v>1</v>
      </c>
      <c r="D27" s="25" t="s">
        <v>24</v>
      </c>
      <c r="E27" s="40" t="s">
        <v>174</v>
      </c>
      <c r="F27" s="40" t="s">
        <v>371</v>
      </c>
    </row>
    <row r="28" spans="1:6" x14ac:dyDescent="0.2">
      <c r="A28" s="20">
        <f>A27+C27</f>
        <v>160</v>
      </c>
      <c r="B28" s="7">
        <f t="shared" ref="B28" si="4">A28+C28-1</f>
        <v>162</v>
      </c>
      <c r="C28" s="8">
        <v>3</v>
      </c>
      <c r="D28" s="25" t="s">
        <v>64</v>
      </c>
      <c r="E28" s="40"/>
      <c r="F28" s="6"/>
    </row>
    <row r="29" spans="1:6" ht="51" x14ac:dyDescent="0.2">
      <c r="A29" s="21">
        <f>A28+C28</f>
        <v>163</v>
      </c>
      <c r="B29" s="7">
        <f t="shared" si="0"/>
        <v>163</v>
      </c>
      <c r="C29" s="8">
        <v>1</v>
      </c>
      <c r="D29" s="25" t="s">
        <v>130</v>
      </c>
      <c r="E29" s="39" t="s">
        <v>212</v>
      </c>
      <c r="F29" s="39" t="s">
        <v>213</v>
      </c>
    </row>
    <row r="30" spans="1:6" ht="76.5" x14ac:dyDescent="0.2">
      <c r="A30" s="21">
        <f t="shared" si="1"/>
        <v>164</v>
      </c>
      <c r="B30" s="7">
        <f t="shared" si="0"/>
        <v>164</v>
      </c>
      <c r="C30" s="8">
        <v>1</v>
      </c>
      <c r="D30" s="25" t="s">
        <v>131</v>
      </c>
      <c r="E30" s="19" t="s">
        <v>399</v>
      </c>
      <c r="F30" s="19" t="s">
        <v>400</v>
      </c>
    </row>
    <row r="31" spans="1:6" ht="63.75" x14ac:dyDescent="0.2">
      <c r="A31" s="21">
        <f t="shared" si="1"/>
        <v>165</v>
      </c>
      <c r="B31" s="7">
        <f t="shared" si="0"/>
        <v>165</v>
      </c>
      <c r="C31" s="8">
        <v>1</v>
      </c>
      <c r="D31" s="4" t="s">
        <v>132</v>
      </c>
      <c r="E31" s="39" t="s">
        <v>214</v>
      </c>
      <c r="F31" s="39" t="s">
        <v>213</v>
      </c>
    </row>
    <row r="32" spans="1:6" x14ac:dyDescent="0.2">
      <c r="A32" s="20">
        <f>A31+C31</f>
        <v>166</v>
      </c>
      <c r="B32" s="7">
        <f t="shared" ref="B32:B35" si="5">A32+C32-1</f>
        <v>171</v>
      </c>
      <c r="C32" s="8">
        <v>6</v>
      </c>
      <c r="D32" s="25" t="s">
        <v>64</v>
      </c>
      <c r="E32" s="40"/>
      <c r="F32" s="40"/>
    </row>
    <row r="33" spans="1:6" ht="38.25" x14ac:dyDescent="0.2">
      <c r="A33" s="20">
        <f t="shared" ref="A33:A35" si="6">A32+C32</f>
        <v>172</v>
      </c>
      <c r="B33" s="7">
        <f t="shared" si="5"/>
        <v>172</v>
      </c>
      <c r="C33" s="8">
        <v>1</v>
      </c>
      <c r="D33" s="25" t="s">
        <v>347</v>
      </c>
      <c r="E33" s="40" t="s">
        <v>380</v>
      </c>
      <c r="F33" s="40" t="s">
        <v>371</v>
      </c>
    </row>
    <row r="34" spans="1:6" x14ac:dyDescent="0.2">
      <c r="A34" s="20">
        <f>A33+C33</f>
        <v>173</v>
      </c>
      <c r="B34" s="7">
        <f t="shared" si="5"/>
        <v>174</v>
      </c>
      <c r="C34" s="8">
        <v>2</v>
      </c>
      <c r="D34" s="25" t="s">
        <v>64</v>
      </c>
      <c r="E34" s="40"/>
      <c r="F34" s="40"/>
    </row>
    <row r="35" spans="1:6" ht="38.25" x14ac:dyDescent="0.2">
      <c r="A35" s="20">
        <f t="shared" si="6"/>
        <v>175</v>
      </c>
      <c r="B35" s="7">
        <f t="shared" si="5"/>
        <v>175</v>
      </c>
      <c r="C35" s="8">
        <v>1</v>
      </c>
      <c r="D35" s="25" t="s">
        <v>348</v>
      </c>
      <c r="E35" s="40" t="s">
        <v>381</v>
      </c>
      <c r="F35" s="40" t="s">
        <v>371</v>
      </c>
    </row>
    <row r="36" spans="1:6" x14ac:dyDescent="0.2">
      <c r="A36" s="20">
        <f>A35+C35</f>
        <v>176</v>
      </c>
      <c r="B36" s="7">
        <f t="shared" ref="B36" si="7">A36+C36-1</f>
        <v>185</v>
      </c>
      <c r="C36" s="8">
        <v>10</v>
      </c>
      <c r="D36" s="4" t="s">
        <v>64</v>
      </c>
    </row>
    <row r="37" spans="1:6" x14ac:dyDescent="0.2">
      <c r="D37" s="28" t="s">
        <v>25</v>
      </c>
    </row>
    <row r="38" spans="1:6" ht="51" x14ac:dyDescent="0.2">
      <c r="A38" s="21">
        <f>A36+C36</f>
        <v>186</v>
      </c>
      <c r="B38" s="7">
        <f t="shared" si="0"/>
        <v>195</v>
      </c>
      <c r="C38" s="8">
        <v>10</v>
      </c>
      <c r="D38" s="4" t="s">
        <v>38</v>
      </c>
      <c r="E38" s="6" t="s">
        <v>178</v>
      </c>
      <c r="F38" s="19" t="s">
        <v>175</v>
      </c>
    </row>
    <row r="39" spans="1:6" ht="89.25" x14ac:dyDescent="0.2">
      <c r="A39" s="21">
        <f t="shared" ref="A39" si="8">A38+C38</f>
        <v>196</v>
      </c>
      <c r="B39" s="7">
        <f t="shared" si="0"/>
        <v>197</v>
      </c>
      <c r="C39" s="8">
        <v>2</v>
      </c>
      <c r="D39" s="4" t="s">
        <v>39</v>
      </c>
      <c r="E39" s="40" t="s">
        <v>177</v>
      </c>
      <c r="F39" s="19" t="s">
        <v>401</v>
      </c>
    </row>
    <row r="40" spans="1:6" x14ac:dyDescent="0.2">
      <c r="A40" s="21">
        <f>A39+C39</f>
        <v>198</v>
      </c>
      <c r="B40" s="7">
        <f t="shared" ref="B40" si="9">A40+C40-1</f>
        <v>244</v>
      </c>
      <c r="C40" s="8">
        <v>47</v>
      </c>
      <c r="D40" s="4" t="s">
        <v>64</v>
      </c>
      <c r="E40" s="39"/>
      <c r="F40" s="37"/>
    </row>
    <row r="41" spans="1:6" x14ac:dyDescent="0.2">
      <c r="D41" s="26" t="s">
        <v>26</v>
      </c>
    </row>
    <row r="42" spans="1:6" ht="15" customHeight="1" x14ac:dyDescent="0.2">
      <c r="A42" s="21">
        <f>A40+C40</f>
        <v>245</v>
      </c>
      <c r="B42" s="7">
        <f t="shared" si="0"/>
        <v>245</v>
      </c>
      <c r="C42" s="8">
        <v>1</v>
      </c>
      <c r="D42" s="4" t="s">
        <v>27</v>
      </c>
      <c r="E42" s="52" t="s">
        <v>176</v>
      </c>
      <c r="F42" s="50" t="s">
        <v>175</v>
      </c>
    </row>
    <row r="43" spans="1:6" x14ac:dyDescent="0.2">
      <c r="A43" s="21">
        <f t="shared" ref="A43" si="10">A42+C42</f>
        <v>246</v>
      </c>
      <c r="B43" s="7">
        <f t="shared" si="0"/>
        <v>246</v>
      </c>
      <c r="C43" s="8">
        <v>1</v>
      </c>
      <c r="D43" s="4" t="s">
        <v>28</v>
      </c>
      <c r="E43" s="52"/>
      <c r="F43" s="50"/>
    </row>
    <row r="44" spans="1:6" x14ac:dyDescent="0.2">
      <c r="A44" s="21">
        <f t="shared" ref="A44:A49" si="11">A43+C43</f>
        <v>247</v>
      </c>
      <c r="B44" s="7">
        <f t="shared" si="0"/>
        <v>247</v>
      </c>
      <c r="C44" s="8">
        <v>1</v>
      </c>
      <c r="D44" s="4" t="s">
        <v>29</v>
      </c>
      <c r="E44" s="52"/>
      <c r="F44" s="50"/>
    </row>
    <row r="45" spans="1:6" x14ac:dyDescent="0.2">
      <c r="A45" s="21">
        <f t="shared" si="11"/>
        <v>248</v>
      </c>
      <c r="B45" s="7">
        <f t="shared" ref="B45:B49" si="12">A45+C45-1</f>
        <v>248</v>
      </c>
      <c r="C45" s="8">
        <v>1</v>
      </c>
      <c r="D45" s="4" t="s">
        <v>30</v>
      </c>
      <c r="E45" s="52"/>
      <c r="F45" s="50"/>
    </row>
    <row r="46" spans="1:6" x14ac:dyDescent="0.2">
      <c r="A46" s="21">
        <f t="shared" si="11"/>
        <v>249</v>
      </c>
      <c r="B46" s="7">
        <f t="shared" si="12"/>
        <v>249</v>
      </c>
      <c r="C46" s="8">
        <v>1</v>
      </c>
      <c r="D46" s="4" t="s">
        <v>31</v>
      </c>
      <c r="E46" s="52"/>
      <c r="F46" s="50"/>
    </row>
    <row r="47" spans="1:6" x14ac:dyDescent="0.2">
      <c r="A47" s="21">
        <f t="shared" si="11"/>
        <v>250</v>
      </c>
      <c r="B47" s="7">
        <f t="shared" si="12"/>
        <v>250</v>
      </c>
      <c r="C47" s="8">
        <v>1</v>
      </c>
      <c r="D47" s="4" t="s">
        <v>32</v>
      </c>
      <c r="E47" s="52"/>
      <c r="F47" s="50"/>
    </row>
    <row r="48" spans="1:6" x14ac:dyDescent="0.2">
      <c r="A48" s="21">
        <f t="shared" si="11"/>
        <v>251</v>
      </c>
      <c r="B48" s="7">
        <f t="shared" si="12"/>
        <v>251</v>
      </c>
      <c r="C48" s="8">
        <v>1</v>
      </c>
      <c r="D48" s="4" t="s">
        <v>33</v>
      </c>
      <c r="E48" s="52"/>
      <c r="F48" s="50"/>
    </row>
    <row r="49" spans="1:6" x14ac:dyDescent="0.2">
      <c r="A49" s="21">
        <f t="shared" si="11"/>
        <v>252</v>
      </c>
      <c r="B49" s="7">
        <f t="shared" si="12"/>
        <v>252</v>
      </c>
      <c r="C49" s="8">
        <v>1</v>
      </c>
      <c r="D49" s="4" t="s">
        <v>395</v>
      </c>
      <c r="E49" s="52"/>
      <c r="F49" s="50"/>
    </row>
    <row r="50" spans="1:6" x14ac:dyDescent="0.2">
      <c r="A50" s="21">
        <f t="shared" ref="A50:A51" si="13">A49+C49</f>
        <v>253</v>
      </c>
      <c r="B50" s="7">
        <f t="shared" ref="B50:B51" si="14">A50+C50-1</f>
        <v>253</v>
      </c>
      <c r="C50" s="8">
        <v>1</v>
      </c>
      <c r="D50" s="4" t="s">
        <v>349</v>
      </c>
      <c r="E50" s="52"/>
      <c r="F50" s="50"/>
    </row>
    <row r="51" spans="1:6" x14ac:dyDescent="0.2">
      <c r="A51" s="21">
        <f t="shared" si="13"/>
        <v>254</v>
      </c>
      <c r="B51" s="7">
        <f t="shared" si="14"/>
        <v>254</v>
      </c>
      <c r="C51" s="8">
        <v>1</v>
      </c>
      <c r="D51" s="4" t="s">
        <v>350</v>
      </c>
      <c r="E51" s="52"/>
      <c r="F51" s="50"/>
    </row>
    <row r="52" spans="1:6" ht="15" customHeight="1" x14ac:dyDescent="0.2">
      <c r="D52" s="26" t="s">
        <v>34</v>
      </c>
    </row>
    <row r="53" spans="1:6" x14ac:dyDescent="0.2">
      <c r="A53" s="21">
        <f>A51+C51</f>
        <v>255</v>
      </c>
      <c r="B53" s="7">
        <f t="shared" ref="B53:B60" si="15">A53+C53-1</f>
        <v>255</v>
      </c>
      <c r="C53" s="8">
        <v>1</v>
      </c>
      <c r="D53" s="4" t="s">
        <v>64</v>
      </c>
      <c r="E53" s="40"/>
    </row>
    <row r="54" spans="1:6" x14ac:dyDescent="0.2">
      <c r="A54" s="21">
        <f>A53+C53</f>
        <v>256</v>
      </c>
      <c r="B54" s="7">
        <f t="shared" si="15"/>
        <v>256</v>
      </c>
      <c r="C54" s="8">
        <v>1</v>
      </c>
      <c r="D54" s="4" t="s">
        <v>27</v>
      </c>
      <c r="E54" s="52" t="s">
        <v>176</v>
      </c>
      <c r="F54" s="50" t="s">
        <v>175</v>
      </c>
    </row>
    <row r="55" spans="1:6" x14ac:dyDescent="0.2">
      <c r="A55" s="21">
        <f t="shared" ref="A55:A60" si="16">A54+C54</f>
        <v>257</v>
      </c>
      <c r="B55" s="7">
        <f t="shared" si="15"/>
        <v>257</v>
      </c>
      <c r="C55" s="8">
        <v>1</v>
      </c>
      <c r="D55" s="4" t="s">
        <v>31</v>
      </c>
      <c r="E55" s="52"/>
      <c r="F55" s="50"/>
    </row>
    <row r="56" spans="1:6" x14ac:dyDescent="0.2">
      <c r="A56" s="21">
        <f t="shared" si="16"/>
        <v>258</v>
      </c>
      <c r="B56" s="7">
        <f t="shared" si="15"/>
        <v>258</v>
      </c>
      <c r="C56" s="8">
        <v>1</v>
      </c>
      <c r="D56" s="4" t="s">
        <v>33</v>
      </c>
      <c r="E56" s="52"/>
      <c r="F56" s="50"/>
    </row>
    <row r="57" spans="1:6" x14ac:dyDescent="0.2">
      <c r="A57" s="21">
        <f t="shared" si="16"/>
        <v>259</v>
      </c>
      <c r="B57" s="7">
        <f t="shared" si="15"/>
        <v>259</v>
      </c>
      <c r="C57" s="8">
        <v>1</v>
      </c>
      <c r="D57" s="4" t="s">
        <v>35</v>
      </c>
      <c r="E57" s="52"/>
      <c r="F57" s="50"/>
    </row>
    <row r="58" spans="1:6" x14ac:dyDescent="0.2">
      <c r="A58" s="21">
        <f t="shared" ref="A58" si="17">A57+C57</f>
        <v>260</v>
      </c>
      <c r="B58" s="7">
        <f t="shared" ref="B58" si="18">A58+C58-1</f>
        <v>260</v>
      </c>
      <c r="C58" s="8">
        <v>1</v>
      </c>
      <c r="D58" s="4" t="s">
        <v>110</v>
      </c>
      <c r="E58" s="52"/>
      <c r="F58" s="50"/>
    </row>
    <row r="59" spans="1:6" x14ac:dyDescent="0.2">
      <c r="A59" s="21">
        <f>A58+C58</f>
        <v>261</v>
      </c>
      <c r="B59" s="7">
        <f t="shared" si="15"/>
        <v>261</v>
      </c>
      <c r="C59" s="8">
        <v>1</v>
      </c>
      <c r="D59" s="4" t="s">
        <v>397</v>
      </c>
      <c r="E59" s="52"/>
      <c r="F59" s="50"/>
    </row>
    <row r="60" spans="1:6" x14ac:dyDescent="0.2">
      <c r="A60" s="21">
        <f t="shared" si="16"/>
        <v>262</v>
      </c>
      <c r="B60" s="7">
        <f t="shared" si="15"/>
        <v>263</v>
      </c>
      <c r="C60" s="8">
        <v>2</v>
      </c>
      <c r="D60" s="4" t="s">
        <v>64</v>
      </c>
      <c r="E60" s="40"/>
    </row>
    <row r="61" spans="1:6" x14ac:dyDescent="0.2">
      <c r="D61" s="26" t="s">
        <v>36</v>
      </c>
    </row>
    <row r="62" spans="1:6" x14ac:dyDescent="0.2">
      <c r="A62" s="21">
        <f>A60+C60</f>
        <v>264</v>
      </c>
      <c r="B62" s="7">
        <f t="shared" ref="B62:B72" si="19">A62+C62-1</f>
        <v>264</v>
      </c>
      <c r="C62" s="8">
        <v>1</v>
      </c>
      <c r="D62" s="4" t="s">
        <v>64</v>
      </c>
      <c r="E62" s="40"/>
    </row>
    <row r="63" spans="1:6" ht="12.75" customHeight="1" x14ac:dyDescent="0.2">
      <c r="A63" s="21">
        <f t="shared" ref="A63" si="20">A62+C62</f>
        <v>265</v>
      </c>
      <c r="B63" s="7">
        <f t="shared" si="19"/>
        <v>265</v>
      </c>
      <c r="C63" s="8">
        <v>1</v>
      </c>
      <c r="D63" s="4" t="s">
        <v>27</v>
      </c>
      <c r="E63" s="50" t="s">
        <v>176</v>
      </c>
      <c r="F63" s="50" t="s">
        <v>175</v>
      </c>
    </row>
    <row r="64" spans="1:6" x14ac:dyDescent="0.2">
      <c r="A64" s="21">
        <f>A63+C63</f>
        <v>266</v>
      </c>
      <c r="B64" s="7">
        <f t="shared" si="19"/>
        <v>266</v>
      </c>
      <c r="C64" s="8">
        <v>1</v>
      </c>
      <c r="D64" s="4" t="s">
        <v>29</v>
      </c>
      <c r="E64" s="50"/>
      <c r="F64" s="50"/>
    </row>
    <row r="65" spans="1:6" x14ac:dyDescent="0.2">
      <c r="A65" s="21">
        <f t="shared" ref="A65:A69" si="21">A64+C64</f>
        <v>267</v>
      </c>
      <c r="B65" s="7">
        <f t="shared" si="19"/>
        <v>267</v>
      </c>
      <c r="C65" s="8">
        <v>1</v>
      </c>
      <c r="D65" s="4" t="s">
        <v>30</v>
      </c>
      <c r="E65" s="50"/>
      <c r="F65" s="50"/>
    </row>
    <row r="66" spans="1:6" x14ac:dyDescent="0.2">
      <c r="A66" s="21">
        <f t="shared" si="21"/>
        <v>268</v>
      </c>
      <c r="B66" s="7">
        <f t="shared" si="19"/>
        <v>268</v>
      </c>
      <c r="C66" s="8">
        <v>1</v>
      </c>
      <c r="D66" s="4" t="s">
        <v>31</v>
      </c>
      <c r="E66" s="50"/>
      <c r="F66" s="50"/>
    </row>
    <row r="67" spans="1:6" x14ac:dyDescent="0.2">
      <c r="A67" s="21">
        <f t="shared" si="21"/>
        <v>269</v>
      </c>
      <c r="B67" s="7">
        <f t="shared" si="19"/>
        <v>269</v>
      </c>
      <c r="C67" s="8">
        <v>1</v>
      </c>
      <c r="D67" s="4" t="s">
        <v>32</v>
      </c>
      <c r="E67" s="50"/>
      <c r="F67" s="50"/>
    </row>
    <row r="68" spans="1:6" x14ac:dyDescent="0.2">
      <c r="A68" s="21">
        <f t="shared" si="21"/>
        <v>270</v>
      </c>
      <c r="B68" s="7">
        <f t="shared" si="19"/>
        <v>270</v>
      </c>
      <c r="C68" s="8">
        <v>1</v>
      </c>
      <c r="D68" s="4" t="s">
        <v>33</v>
      </c>
      <c r="E68" s="50"/>
      <c r="F68" s="50"/>
    </row>
    <row r="69" spans="1:6" x14ac:dyDescent="0.2">
      <c r="A69" s="21">
        <f t="shared" si="21"/>
        <v>271</v>
      </c>
      <c r="B69" s="7">
        <f t="shared" si="19"/>
        <v>271</v>
      </c>
      <c r="C69" s="8">
        <v>1</v>
      </c>
      <c r="D69" s="4" t="s">
        <v>395</v>
      </c>
      <c r="E69" s="50"/>
      <c r="F69" s="50"/>
    </row>
    <row r="70" spans="1:6" x14ac:dyDescent="0.2">
      <c r="A70" s="21">
        <f t="shared" ref="A70:A71" si="22">A69+C69</f>
        <v>272</v>
      </c>
      <c r="B70" s="7">
        <f t="shared" ref="B70:B71" si="23">A70+C70-1</f>
        <v>272</v>
      </c>
      <c r="C70" s="8">
        <v>1</v>
      </c>
      <c r="D70" s="4" t="s">
        <v>349</v>
      </c>
      <c r="E70" s="50"/>
      <c r="F70" s="50"/>
    </row>
    <row r="71" spans="1:6" x14ac:dyDescent="0.2">
      <c r="A71" s="21">
        <f t="shared" si="22"/>
        <v>273</v>
      </c>
      <c r="B71" s="7">
        <f t="shared" si="23"/>
        <v>273</v>
      </c>
      <c r="C71" s="8">
        <v>1</v>
      </c>
      <c r="D71" s="4" t="s">
        <v>350</v>
      </c>
      <c r="E71" s="50"/>
      <c r="F71" s="50"/>
    </row>
    <row r="72" spans="1:6" x14ac:dyDescent="0.2">
      <c r="A72" s="21">
        <f>A71+C71</f>
        <v>274</v>
      </c>
      <c r="B72" s="7">
        <f t="shared" si="19"/>
        <v>277</v>
      </c>
      <c r="C72" s="8">
        <v>4</v>
      </c>
      <c r="D72" s="4" t="s">
        <v>64</v>
      </c>
    </row>
    <row r="73" spans="1:6" x14ac:dyDescent="0.2">
      <c r="D73" s="5" t="s">
        <v>37</v>
      </c>
    </row>
    <row r="74" spans="1:6" ht="38.25" x14ac:dyDescent="0.2">
      <c r="A74" s="21">
        <f>A72+C72</f>
        <v>278</v>
      </c>
      <c r="B74" s="7">
        <f t="shared" ref="B74:B75" si="24">A74+C74-1</f>
        <v>278</v>
      </c>
      <c r="C74" s="8">
        <v>1</v>
      </c>
      <c r="D74" s="4" t="s">
        <v>33</v>
      </c>
      <c r="E74" s="19" t="s">
        <v>176</v>
      </c>
      <c r="F74" s="19" t="s">
        <v>175</v>
      </c>
    </row>
    <row r="75" spans="1:6" x14ac:dyDescent="0.2">
      <c r="A75" s="21">
        <f>A74+C74</f>
        <v>279</v>
      </c>
      <c r="B75" s="7">
        <f t="shared" si="24"/>
        <v>283</v>
      </c>
      <c r="C75" s="8">
        <v>5</v>
      </c>
      <c r="D75" s="4" t="s">
        <v>64</v>
      </c>
    </row>
    <row r="76" spans="1:6" x14ac:dyDescent="0.2">
      <c r="D76" s="5" t="s">
        <v>101</v>
      </c>
    </row>
    <row r="77" spans="1:6" ht="12.75" customHeight="1" x14ac:dyDescent="0.2">
      <c r="A77" s="21">
        <f>A75+C75</f>
        <v>284</v>
      </c>
      <c r="B77" s="7">
        <f t="shared" ref="B77:B88" si="25">A77+C77-1</f>
        <v>284</v>
      </c>
      <c r="C77" s="8">
        <v>1</v>
      </c>
      <c r="D77" s="4" t="s">
        <v>102</v>
      </c>
      <c r="E77" s="50" t="s">
        <v>179</v>
      </c>
      <c r="F77" s="50" t="s">
        <v>180</v>
      </c>
    </row>
    <row r="78" spans="1:6" x14ac:dyDescent="0.2">
      <c r="A78" s="21">
        <f t="shared" ref="A78" si="26">A77+C77</f>
        <v>285</v>
      </c>
      <c r="B78" s="7">
        <f t="shared" si="25"/>
        <v>285</v>
      </c>
      <c r="C78" s="8">
        <v>1</v>
      </c>
      <c r="D78" s="4" t="s">
        <v>104</v>
      </c>
      <c r="E78" s="50"/>
      <c r="F78" s="50"/>
    </row>
    <row r="79" spans="1:6" x14ac:dyDescent="0.2">
      <c r="A79" s="21">
        <f t="shared" ref="A79:A84" si="27">A78+C78</f>
        <v>286</v>
      </c>
      <c r="B79" s="7">
        <f t="shared" si="25"/>
        <v>286</v>
      </c>
      <c r="C79" s="8">
        <v>1</v>
      </c>
      <c r="D79" s="4" t="s">
        <v>105</v>
      </c>
      <c r="E79" s="50"/>
      <c r="F79" s="50"/>
    </row>
    <row r="80" spans="1:6" x14ac:dyDescent="0.2">
      <c r="A80" s="21">
        <f t="shared" si="27"/>
        <v>287</v>
      </c>
      <c r="B80" s="7">
        <f t="shared" si="25"/>
        <v>287</v>
      </c>
      <c r="C80" s="8">
        <v>1</v>
      </c>
      <c r="D80" s="4" t="s">
        <v>106</v>
      </c>
      <c r="E80" s="50"/>
      <c r="F80" s="50"/>
    </row>
    <row r="81" spans="1:6" x14ac:dyDescent="0.2">
      <c r="A81" s="21">
        <f t="shared" si="27"/>
        <v>288</v>
      </c>
      <c r="B81" s="7">
        <f t="shared" si="25"/>
        <v>288</v>
      </c>
      <c r="C81" s="8">
        <v>1</v>
      </c>
      <c r="D81" s="4" t="s">
        <v>32</v>
      </c>
      <c r="E81" s="50"/>
      <c r="F81" s="50"/>
    </row>
    <row r="82" spans="1:6" x14ac:dyDescent="0.2">
      <c r="A82" s="21">
        <f t="shared" si="27"/>
        <v>289</v>
      </c>
      <c r="B82" s="7">
        <f t="shared" si="25"/>
        <v>289</v>
      </c>
      <c r="C82" s="8">
        <v>1</v>
      </c>
      <c r="D82" s="4" t="s">
        <v>30</v>
      </c>
      <c r="E82" s="50"/>
      <c r="F82" s="50"/>
    </row>
    <row r="83" spans="1:6" x14ac:dyDescent="0.2">
      <c r="A83" s="21">
        <f t="shared" si="27"/>
        <v>290</v>
      </c>
      <c r="B83" s="7">
        <f t="shared" si="25"/>
        <v>290</v>
      </c>
      <c r="C83" s="8">
        <v>1</v>
      </c>
      <c r="D83" s="4" t="s">
        <v>31</v>
      </c>
      <c r="E83" s="50"/>
      <c r="F83" s="50"/>
    </row>
    <row r="84" spans="1:6" x14ac:dyDescent="0.2">
      <c r="A84" s="21">
        <f t="shared" si="27"/>
        <v>291</v>
      </c>
      <c r="B84" s="7">
        <f t="shared" si="25"/>
        <v>291</v>
      </c>
      <c r="C84" s="8">
        <v>1</v>
      </c>
      <c r="D84" s="4" t="s">
        <v>108</v>
      </c>
      <c r="E84" s="50"/>
      <c r="F84" s="50"/>
    </row>
    <row r="85" spans="1:6" x14ac:dyDescent="0.2">
      <c r="A85" s="21">
        <f t="shared" ref="A85:A87" si="28">A84+C84</f>
        <v>292</v>
      </c>
      <c r="B85" s="7">
        <f t="shared" ref="B85:B87" si="29">A85+C85-1</f>
        <v>292</v>
      </c>
      <c r="C85" s="8">
        <v>1</v>
      </c>
      <c r="D85" s="4" t="s">
        <v>300</v>
      </c>
      <c r="E85" s="50"/>
      <c r="F85" s="50"/>
    </row>
    <row r="86" spans="1:6" x14ac:dyDescent="0.2">
      <c r="A86" s="21">
        <f t="shared" si="28"/>
        <v>293</v>
      </c>
      <c r="B86" s="7">
        <f t="shared" si="29"/>
        <v>293</v>
      </c>
      <c r="C86" s="8">
        <v>1</v>
      </c>
      <c r="D86" s="4" t="s">
        <v>28</v>
      </c>
      <c r="E86" s="50"/>
      <c r="F86" s="50"/>
    </row>
    <row r="87" spans="1:6" x14ac:dyDescent="0.2">
      <c r="A87" s="21">
        <f t="shared" si="28"/>
        <v>294</v>
      </c>
      <c r="B87" s="7">
        <f t="shared" si="29"/>
        <v>294</v>
      </c>
      <c r="C87" s="8">
        <v>1</v>
      </c>
      <c r="D87" s="4" t="s">
        <v>301</v>
      </c>
      <c r="E87" s="50"/>
      <c r="F87" s="50"/>
    </row>
    <row r="88" spans="1:6" x14ac:dyDescent="0.2">
      <c r="A88" s="21">
        <f>A87+C87</f>
        <v>295</v>
      </c>
      <c r="B88" s="7">
        <f t="shared" si="25"/>
        <v>296</v>
      </c>
      <c r="C88" s="8">
        <v>2</v>
      </c>
      <c r="D88" s="4" t="s">
        <v>64</v>
      </c>
    </row>
    <row r="89" spans="1:6" x14ac:dyDescent="0.2">
      <c r="D89" s="28" t="s">
        <v>40</v>
      </c>
    </row>
    <row r="90" spans="1:6" ht="38.25" x14ac:dyDescent="0.2">
      <c r="A90" s="21">
        <f>A88+C88</f>
        <v>297</v>
      </c>
      <c r="B90" s="7">
        <f t="shared" ref="B90:B96" si="30">A90+C90-1</f>
        <v>297</v>
      </c>
      <c r="C90" s="8">
        <v>1</v>
      </c>
      <c r="D90" s="32" t="s">
        <v>41</v>
      </c>
      <c r="E90" s="19" t="s">
        <v>277</v>
      </c>
    </row>
    <row r="91" spans="1:6" x14ac:dyDescent="0.2">
      <c r="A91" s="21">
        <f>A90+C90</f>
        <v>298</v>
      </c>
      <c r="B91" s="7">
        <f t="shared" si="30"/>
        <v>301</v>
      </c>
      <c r="C91" s="8">
        <v>4</v>
      </c>
      <c r="D91" s="25" t="s">
        <v>64</v>
      </c>
      <c r="E91" s="40"/>
    </row>
    <row r="92" spans="1:6" ht="51" x14ac:dyDescent="0.2">
      <c r="A92" s="21">
        <f t="shared" ref="A92:A93" si="31">A91+C91</f>
        <v>302</v>
      </c>
      <c r="B92" s="7">
        <f t="shared" si="30"/>
        <v>311</v>
      </c>
      <c r="C92" s="8">
        <v>10</v>
      </c>
      <c r="D92" s="4" t="s">
        <v>38</v>
      </c>
      <c r="E92" s="6" t="s">
        <v>178</v>
      </c>
      <c r="F92" s="19" t="s">
        <v>227</v>
      </c>
    </row>
    <row r="93" spans="1:6" ht="89.25" x14ac:dyDescent="0.2">
      <c r="A93" s="21">
        <f t="shared" si="31"/>
        <v>312</v>
      </c>
      <c r="B93" s="7">
        <f t="shared" si="30"/>
        <v>313</v>
      </c>
      <c r="C93" s="8">
        <v>2</v>
      </c>
      <c r="D93" s="4" t="s">
        <v>39</v>
      </c>
      <c r="E93" s="40" t="s">
        <v>177</v>
      </c>
      <c r="F93" s="19" t="s">
        <v>228</v>
      </c>
    </row>
    <row r="94" spans="1:6" ht="38.25" x14ac:dyDescent="0.2">
      <c r="A94" s="21">
        <f t="shared" ref="A94:A95" si="32">A93+C93</f>
        <v>314</v>
      </c>
      <c r="B94" s="7">
        <f t="shared" ref="B94:B95" si="33">A94+C94-1</f>
        <v>314</v>
      </c>
      <c r="C94" s="8">
        <v>1</v>
      </c>
      <c r="D94" s="47" t="s">
        <v>344</v>
      </c>
      <c r="E94" s="40" t="s">
        <v>176</v>
      </c>
      <c r="F94" s="19" t="s">
        <v>227</v>
      </c>
    </row>
    <row r="95" spans="1:6" ht="38.25" x14ac:dyDescent="0.2">
      <c r="A95" s="21">
        <f t="shared" si="32"/>
        <v>315</v>
      </c>
      <c r="B95" s="7">
        <f t="shared" si="33"/>
        <v>315</v>
      </c>
      <c r="C95" s="8">
        <v>1</v>
      </c>
      <c r="D95" s="47" t="s">
        <v>345</v>
      </c>
      <c r="E95" s="40" t="s">
        <v>176</v>
      </c>
      <c r="F95" s="19" t="s">
        <v>227</v>
      </c>
    </row>
    <row r="96" spans="1:6" x14ac:dyDescent="0.2">
      <c r="A96" s="21">
        <f>A95+C95</f>
        <v>316</v>
      </c>
      <c r="B96" s="7">
        <f t="shared" si="30"/>
        <v>363</v>
      </c>
      <c r="C96" s="8">
        <v>48</v>
      </c>
      <c r="D96" s="4" t="s">
        <v>64</v>
      </c>
    </row>
    <row r="97" spans="1:6" x14ac:dyDescent="0.2">
      <c r="D97" s="26" t="s">
        <v>26</v>
      </c>
    </row>
    <row r="98" spans="1:6" ht="15" customHeight="1" x14ac:dyDescent="0.2">
      <c r="A98" s="21">
        <f>A96+C96</f>
        <v>364</v>
      </c>
      <c r="B98" s="7">
        <f t="shared" ref="B98:B108" si="34">A98+C98-1</f>
        <v>364</v>
      </c>
      <c r="C98" s="8">
        <v>1</v>
      </c>
      <c r="D98" s="4" t="s">
        <v>27</v>
      </c>
      <c r="E98" s="52" t="s">
        <v>176</v>
      </c>
      <c r="F98" s="50" t="s">
        <v>227</v>
      </c>
    </row>
    <row r="99" spans="1:6" x14ac:dyDescent="0.2">
      <c r="A99" s="21">
        <f t="shared" ref="A99" si="35">A98+C98</f>
        <v>365</v>
      </c>
      <c r="B99" s="7">
        <f t="shared" si="34"/>
        <v>365</v>
      </c>
      <c r="C99" s="8">
        <v>1</v>
      </c>
      <c r="D99" s="4" t="s">
        <v>28</v>
      </c>
      <c r="E99" s="52"/>
      <c r="F99" s="50"/>
    </row>
    <row r="100" spans="1:6" x14ac:dyDescent="0.2">
      <c r="A100" s="21">
        <f t="shared" ref="A100:A105" si="36">A99+C99</f>
        <v>366</v>
      </c>
      <c r="B100" s="7">
        <f t="shared" si="34"/>
        <v>366</v>
      </c>
      <c r="C100" s="8">
        <v>1</v>
      </c>
      <c r="D100" s="4" t="s">
        <v>29</v>
      </c>
      <c r="E100" s="52"/>
      <c r="F100" s="50"/>
    </row>
    <row r="101" spans="1:6" x14ac:dyDescent="0.2">
      <c r="A101" s="21">
        <f t="shared" si="36"/>
        <v>367</v>
      </c>
      <c r="B101" s="7">
        <f t="shared" si="34"/>
        <v>367</v>
      </c>
      <c r="C101" s="8">
        <v>1</v>
      </c>
      <c r="D101" s="4" t="s">
        <v>30</v>
      </c>
      <c r="E101" s="52"/>
      <c r="F101" s="50"/>
    </row>
    <row r="102" spans="1:6" x14ac:dyDescent="0.2">
      <c r="A102" s="21">
        <f t="shared" si="36"/>
        <v>368</v>
      </c>
      <c r="B102" s="7">
        <f t="shared" si="34"/>
        <v>368</v>
      </c>
      <c r="C102" s="8">
        <v>1</v>
      </c>
      <c r="D102" s="4" t="s">
        <v>31</v>
      </c>
      <c r="E102" s="52"/>
      <c r="F102" s="50"/>
    </row>
    <row r="103" spans="1:6" x14ac:dyDescent="0.2">
      <c r="A103" s="21">
        <f t="shared" si="36"/>
        <v>369</v>
      </c>
      <c r="B103" s="7">
        <f t="shared" si="34"/>
        <v>369</v>
      </c>
      <c r="C103" s="8">
        <v>1</v>
      </c>
      <c r="D103" s="4" t="s">
        <v>32</v>
      </c>
      <c r="E103" s="52"/>
      <c r="F103" s="50"/>
    </row>
    <row r="104" spans="1:6" x14ac:dyDescent="0.2">
      <c r="A104" s="21">
        <f t="shared" si="36"/>
        <v>370</v>
      </c>
      <c r="B104" s="7">
        <f t="shared" si="34"/>
        <v>370</v>
      </c>
      <c r="C104" s="8">
        <v>1</v>
      </c>
      <c r="D104" s="4" t="s">
        <v>33</v>
      </c>
      <c r="E104" s="52"/>
      <c r="F104" s="50"/>
    </row>
    <row r="105" spans="1:6" x14ac:dyDescent="0.2">
      <c r="A105" s="21">
        <f t="shared" si="36"/>
        <v>371</v>
      </c>
      <c r="B105" s="7">
        <f t="shared" si="34"/>
        <v>371</v>
      </c>
      <c r="C105" s="8">
        <v>1</v>
      </c>
      <c r="D105" s="4" t="s">
        <v>395</v>
      </c>
      <c r="E105" s="52"/>
      <c r="F105" s="50"/>
    </row>
    <row r="106" spans="1:6" x14ac:dyDescent="0.2">
      <c r="A106" s="21">
        <f t="shared" ref="A106:A107" si="37">A105+C105</f>
        <v>372</v>
      </c>
      <c r="B106" s="7">
        <f t="shared" ref="B106:B107" si="38">A106+C106-1</f>
        <v>372</v>
      </c>
      <c r="C106" s="8">
        <v>1</v>
      </c>
      <c r="D106" s="4" t="s">
        <v>349</v>
      </c>
      <c r="E106" s="52"/>
      <c r="F106" s="50"/>
    </row>
    <row r="107" spans="1:6" x14ac:dyDescent="0.2">
      <c r="A107" s="21">
        <f t="shared" si="37"/>
        <v>373</v>
      </c>
      <c r="B107" s="7">
        <f t="shared" si="38"/>
        <v>373</v>
      </c>
      <c r="C107" s="8">
        <v>1</v>
      </c>
      <c r="D107" s="4" t="s">
        <v>350</v>
      </c>
      <c r="E107" s="52"/>
      <c r="F107" s="50"/>
    </row>
    <row r="108" spans="1:6" x14ac:dyDescent="0.2">
      <c r="A108" s="21">
        <f>A107+C107</f>
        <v>374</v>
      </c>
      <c r="B108" s="7">
        <f t="shared" si="34"/>
        <v>374</v>
      </c>
      <c r="C108" s="8">
        <v>1</v>
      </c>
      <c r="D108" s="4" t="s">
        <v>42</v>
      </c>
      <c r="E108" s="52"/>
      <c r="F108" s="50"/>
    </row>
    <row r="109" spans="1:6" x14ac:dyDescent="0.2">
      <c r="D109" s="26" t="s">
        <v>302</v>
      </c>
    </row>
    <row r="110" spans="1:6" x14ac:dyDescent="0.2">
      <c r="A110" s="21">
        <f>A108+C108</f>
        <v>375</v>
      </c>
      <c r="B110" s="7">
        <f t="shared" ref="B110:B114" si="39">A110+C110-1</f>
        <v>375</v>
      </c>
      <c r="C110" s="8">
        <v>1</v>
      </c>
      <c r="D110" s="4" t="s">
        <v>64</v>
      </c>
      <c r="E110" s="40"/>
    </row>
    <row r="111" spans="1:6" ht="12.75" customHeight="1" x14ac:dyDescent="0.2">
      <c r="A111" s="21">
        <f t="shared" ref="A111" si="40">A110+C110</f>
        <v>376</v>
      </c>
      <c r="B111" s="7">
        <f t="shared" si="39"/>
        <v>376</v>
      </c>
      <c r="C111" s="8">
        <v>1</v>
      </c>
      <c r="D111" s="4" t="s">
        <v>27</v>
      </c>
      <c r="E111" s="52" t="s">
        <v>176</v>
      </c>
      <c r="F111" s="50" t="s">
        <v>227</v>
      </c>
    </row>
    <row r="112" spans="1:6" x14ac:dyDescent="0.2">
      <c r="A112" s="21">
        <f t="shared" ref="A112:A114" si="41">A111+C111</f>
        <v>377</v>
      </c>
      <c r="B112" s="7">
        <f t="shared" si="39"/>
        <v>377</v>
      </c>
      <c r="C112" s="8">
        <v>1</v>
      </c>
      <c r="D112" s="4" t="s">
        <v>31</v>
      </c>
      <c r="E112" s="52"/>
      <c r="F112" s="50"/>
    </row>
    <row r="113" spans="1:6" x14ac:dyDescent="0.2">
      <c r="A113" s="21">
        <f t="shared" si="41"/>
        <v>378</v>
      </c>
      <c r="B113" s="7">
        <f t="shared" si="39"/>
        <v>378</v>
      </c>
      <c r="C113" s="8">
        <v>1</v>
      </c>
      <c r="D113" s="4" t="s">
        <v>33</v>
      </c>
      <c r="E113" s="52"/>
      <c r="F113" s="50"/>
    </row>
    <row r="114" spans="1:6" x14ac:dyDescent="0.2">
      <c r="A114" s="21">
        <f t="shared" si="41"/>
        <v>379</v>
      </c>
      <c r="B114" s="7">
        <f t="shared" si="39"/>
        <v>379</v>
      </c>
      <c r="C114" s="8">
        <v>1</v>
      </c>
      <c r="D114" s="4" t="s">
        <v>35</v>
      </c>
      <c r="E114" s="52"/>
      <c r="F114" s="50"/>
    </row>
    <row r="115" spans="1:6" x14ac:dyDescent="0.2">
      <c r="A115" s="21">
        <f t="shared" ref="A115:A120" si="42">A114+C114</f>
        <v>380</v>
      </c>
      <c r="B115" s="7">
        <f t="shared" ref="B115:B120" si="43">A115+C115-1</f>
        <v>380</v>
      </c>
      <c r="C115" s="8">
        <v>1</v>
      </c>
      <c r="D115" s="4" t="s">
        <v>110</v>
      </c>
      <c r="E115" s="52"/>
      <c r="F115" s="50"/>
    </row>
    <row r="116" spans="1:6" x14ac:dyDescent="0.2">
      <c r="A116" s="21">
        <f t="shared" ref="A116" si="44">A115+C115</f>
        <v>381</v>
      </c>
      <c r="B116" s="7">
        <f t="shared" ref="B116" si="45">A116+C116-1</f>
        <v>381</v>
      </c>
      <c r="C116" s="8">
        <v>1</v>
      </c>
      <c r="D116" s="4" t="s">
        <v>103</v>
      </c>
      <c r="E116" s="52"/>
      <c r="F116" s="50"/>
    </row>
    <row r="117" spans="1:6" x14ac:dyDescent="0.2">
      <c r="A117" s="21">
        <f>A116+C116</f>
        <v>382</v>
      </c>
      <c r="B117" s="7">
        <f t="shared" si="43"/>
        <v>382</v>
      </c>
      <c r="C117" s="8">
        <v>1</v>
      </c>
      <c r="D117" s="4" t="s">
        <v>396</v>
      </c>
      <c r="E117" s="52"/>
      <c r="F117" s="50"/>
    </row>
    <row r="118" spans="1:6" x14ac:dyDescent="0.2">
      <c r="A118" s="21">
        <f t="shared" si="42"/>
        <v>383</v>
      </c>
      <c r="B118" s="7">
        <f t="shared" si="43"/>
        <v>383</v>
      </c>
      <c r="C118" s="8">
        <v>1</v>
      </c>
      <c r="D118" s="4" t="s">
        <v>395</v>
      </c>
      <c r="E118" s="52"/>
      <c r="F118" s="50"/>
    </row>
    <row r="119" spans="1:6" x14ac:dyDescent="0.2">
      <c r="A119" s="21">
        <f t="shared" si="42"/>
        <v>384</v>
      </c>
      <c r="B119" s="7">
        <f t="shared" si="43"/>
        <v>384</v>
      </c>
      <c r="C119" s="8">
        <v>1</v>
      </c>
      <c r="D119" s="4" t="s">
        <v>349</v>
      </c>
      <c r="E119" s="52"/>
      <c r="F119" s="50"/>
    </row>
    <row r="120" spans="1:6" x14ac:dyDescent="0.2">
      <c r="A120" s="21">
        <f t="shared" si="42"/>
        <v>385</v>
      </c>
      <c r="B120" s="7">
        <f t="shared" si="43"/>
        <v>385</v>
      </c>
      <c r="C120" s="8">
        <v>1</v>
      </c>
      <c r="D120" s="4" t="s">
        <v>350</v>
      </c>
      <c r="E120" s="52"/>
      <c r="F120" s="50"/>
    </row>
    <row r="121" spans="1:6" x14ac:dyDescent="0.2">
      <c r="D121" s="26" t="s">
        <v>36</v>
      </c>
    </row>
    <row r="122" spans="1:6" x14ac:dyDescent="0.2">
      <c r="A122" s="21">
        <f>A120+C120</f>
        <v>386</v>
      </c>
      <c r="B122" s="7">
        <f t="shared" ref="B122:B132" si="46">A122+C122-1</f>
        <v>386</v>
      </c>
      <c r="C122" s="8">
        <v>1</v>
      </c>
      <c r="D122" s="4" t="s">
        <v>64</v>
      </c>
      <c r="E122" s="40"/>
    </row>
    <row r="123" spans="1:6" ht="15" customHeight="1" x14ac:dyDescent="0.2">
      <c r="A123" s="21">
        <f t="shared" ref="A123" si="47">A122+C122</f>
        <v>387</v>
      </c>
      <c r="B123" s="7">
        <f t="shared" si="46"/>
        <v>387</v>
      </c>
      <c r="C123" s="8">
        <v>1</v>
      </c>
      <c r="D123" s="4" t="s">
        <v>27</v>
      </c>
      <c r="E123" s="52" t="s">
        <v>176</v>
      </c>
      <c r="F123" s="50" t="s">
        <v>227</v>
      </c>
    </row>
    <row r="124" spans="1:6" x14ac:dyDescent="0.2">
      <c r="A124" s="48">
        <f>A123+C123</f>
        <v>388</v>
      </c>
      <c r="B124" s="7">
        <f t="shared" si="46"/>
        <v>388</v>
      </c>
      <c r="C124" s="8">
        <v>1</v>
      </c>
      <c r="D124" s="4" t="s">
        <v>29</v>
      </c>
      <c r="E124" s="52"/>
      <c r="F124" s="50"/>
    </row>
    <row r="125" spans="1:6" x14ac:dyDescent="0.2">
      <c r="A125" s="21">
        <f t="shared" ref="A125:A129" si="48">A124+C124</f>
        <v>389</v>
      </c>
      <c r="B125" s="7">
        <f t="shared" si="46"/>
        <v>389</v>
      </c>
      <c r="C125" s="8">
        <v>1</v>
      </c>
      <c r="D125" s="4" t="s">
        <v>30</v>
      </c>
      <c r="E125" s="52"/>
      <c r="F125" s="50"/>
    </row>
    <row r="126" spans="1:6" x14ac:dyDescent="0.2">
      <c r="A126" s="21">
        <f t="shared" si="48"/>
        <v>390</v>
      </c>
      <c r="B126" s="7">
        <f t="shared" si="46"/>
        <v>390</v>
      </c>
      <c r="C126" s="8">
        <v>1</v>
      </c>
      <c r="D126" s="4" t="s">
        <v>31</v>
      </c>
      <c r="E126" s="52"/>
      <c r="F126" s="50"/>
    </row>
    <row r="127" spans="1:6" x14ac:dyDescent="0.2">
      <c r="A127" s="21">
        <f t="shared" si="48"/>
        <v>391</v>
      </c>
      <c r="B127" s="7">
        <f t="shared" si="46"/>
        <v>391</v>
      </c>
      <c r="C127" s="8">
        <v>1</v>
      </c>
      <c r="D127" s="4" t="s">
        <v>32</v>
      </c>
      <c r="E127" s="52"/>
      <c r="F127" s="50"/>
    </row>
    <row r="128" spans="1:6" x14ac:dyDescent="0.2">
      <c r="A128" s="21">
        <f t="shared" si="48"/>
        <v>392</v>
      </c>
      <c r="B128" s="7">
        <f t="shared" si="46"/>
        <v>392</v>
      </c>
      <c r="C128" s="8">
        <v>1</v>
      </c>
      <c r="D128" s="4" t="s">
        <v>33</v>
      </c>
      <c r="E128" s="52"/>
      <c r="F128" s="50"/>
    </row>
    <row r="129" spans="1:6" x14ac:dyDescent="0.2">
      <c r="A129" s="21">
        <f t="shared" si="48"/>
        <v>393</v>
      </c>
      <c r="B129" s="7">
        <f t="shared" si="46"/>
        <v>393</v>
      </c>
      <c r="C129" s="8">
        <v>1</v>
      </c>
      <c r="D129" s="4" t="s">
        <v>395</v>
      </c>
      <c r="E129" s="52"/>
      <c r="F129" s="50"/>
    </row>
    <row r="130" spans="1:6" x14ac:dyDescent="0.2">
      <c r="A130" s="21">
        <f t="shared" ref="A130:A131" si="49">A129+C129</f>
        <v>394</v>
      </c>
      <c r="B130" s="7">
        <f t="shared" ref="B130:B131" si="50">A130+C130-1</f>
        <v>394</v>
      </c>
      <c r="C130" s="8">
        <v>1</v>
      </c>
      <c r="D130" s="4" t="s">
        <v>349</v>
      </c>
      <c r="E130" s="52"/>
      <c r="F130" s="50"/>
    </row>
    <row r="131" spans="1:6" x14ac:dyDescent="0.2">
      <c r="A131" s="21">
        <f t="shared" si="49"/>
        <v>395</v>
      </c>
      <c r="B131" s="7">
        <f t="shared" si="50"/>
        <v>395</v>
      </c>
      <c r="C131" s="8">
        <v>1</v>
      </c>
      <c r="D131" s="4" t="s">
        <v>350</v>
      </c>
      <c r="E131" s="52"/>
      <c r="F131" s="50"/>
    </row>
    <row r="132" spans="1:6" x14ac:dyDescent="0.2">
      <c r="A132" s="21">
        <f>A131+C131</f>
        <v>396</v>
      </c>
      <c r="B132" s="7">
        <f t="shared" si="46"/>
        <v>396</v>
      </c>
      <c r="C132" s="8">
        <v>1</v>
      </c>
      <c r="D132" s="4" t="s">
        <v>42</v>
      </c>
      <c r="E132" s="52"/>
      <c r="F132" s="50"/>
    </row>
    <row r="133" spans="1:6" x14ac:dyDescent="0.2">
      <c r="D133" s="5" t="s">
        <v>37</v>
      </c>
    </row>
    <row r="134" spans="1:6" ht="12.75" customHeight="1" x14ac:dyDescent="0.2">
      <c r="A134" s="21">
        <f>A132+C132</f>
        <v>397</v>
      </c>
      <c r="B134" s="7">
        <f t="shared" ref="B134:B138" si="51">A134+C134-1</f>
        <v>397</v>
      </c>
      <c r="C134" s="8">
        <v>1</v>
      </c>
      <c r="D134" s="4" t="s">
        <v>33</v>
      </c>
      <c r="E134" s="52" t="s">
        <v>176</v>
      </c>
      <c r="F134" s="50" t="s">
        <v>227</v>
      </c>
    </row>
    <row r="135" spans="1:6" x14ac:dyDescent="0.2">
      <c r="A135" s="21">
        <f t="shared" ref="A135" si="52">A134+C134</f>
        <v>398</v>
      </c>
      <c r="B135" s="7">
        <f t="shared" si="51"/>
        <v>398</v>
      </c>
      <c r="C135" s="8">
        <v>1</v>
      </c>
      <c r="D135" s="4" t="s">
        <v>395</v>
      </c>
      <c r="E135" s="52"/>
      <c r="F135" s="50"/>
    </row>
    <row r="136" spans="1:6" x14ac:dyDescent="0.2">
      <c r="A136" s="21">
        <f t="shared" ref="A136" si="53">A135+C135</f>
        <v>399</v>
      </c>
      <c r="B136" s="7">
        <f t="shared" ref="B136:B137" si="54">A136+C136-1</f>
        <v>399</v>
      </c>
      <c r="C136" s="8">
        <v>1</v>
      </c>
      <c r="D136" s="4" t="s">
        <v>349</v>
      </c>
      <c r="E136" s="52"/>
      <c r="F136" s="50"/>
    </row>
    <row r="137" spans="1:6" x14ac:dyDescent="0.2">
      <c r="A137" s="21">
        <f>A136+C136</f>
        <v>400</v>
      </c>
      <c r="B137" s="7">
        <f t="shared" si="54"/>
        <v>400</v>
      </c>
      <c r="C137" s="8">
        <v>1</v>
      </c>
      <c r="D137" s="4" t="s">
        <v>350</v>
      </c>
      <c r="E137" s="52"/>
      <c r="F137" s="50"/>
    </row>
    <row r="138" spans="1:6" x14ac:dyDescent="0.2">
      <c r="A138" s="21">
        <f>A137+C137</f>
        <v>401</v>
      </c>
      <c r="B138" s="7">
        <f t="shared" si="51"/>
        <v>403</v>
      </c>
      <c r="C138" s="8">
        <v>3</v>
      </c>
      <c r="D138" s="4" t="s">
        <v>64</v>
      </c>
      <c r="E138" s="40"/>
    </row>
    <row r="139" spans="1:6" x14ac:dyDescent="0.2">
      <c r="D139" s="28" t="s">
        <v>101</v>
      </c>
      <c r="E139" s="40"/>
    </row>
    <row r="140" spans="1:6" ht="15" customHeight="1" x14ac:dyDescent="0.2">
      <c r="A140" s="21">
        <f>A138+C138</f>
        <v>404</v>
      </c>
      <c r="B140" s="7">
        <f t="shared" ref="B140:B155" si="55">A140+C140-1</f>
        <v>404</v>
      </c>
      <c r="C140" s="8">
        <v>1</v>
      </c>
      <c r="D140" s="4" t="s">
        <v>102</v>
      </c>
      <c r="E140" s="50" t="s">
        <v>179</v>
      </c>
      <c r="F140" s="50" t="s">
        <v>334</v>
      </c>
    </row>
    <row r="141" spans="1:6" x14ac:dyDescent="0.2">
      <c r="A141" s="21">
        <f t="shared" ref="A141" si="56">A140+C140</f>
        <v>405</v>
      </c>
      <c r="B141" s="7">
        <f t="shared" si="55"/>
        <v>405</v>
      </c>
      <c r="C141" s="8">
        <v>1</v>
      </c>
      <c r="D141" s="4" t="s">
        <v>103</v>
      </c>
      <c r="E141" s="50"/>
      <c r="F141" s="50"/>
    </row>
    <row r="142" spans="1:6" x14ac:dyDescent="0.2">
      <c r="A142" s="21">
        <f t="shared" ref="A142:A150" si="57">A141+C141</f>
        <v>406</v>
      </c>
      <c r="B142" s="7">
        <f t="shared" si="55"/>
        <v>406</v>
      </c>
      <c r="C142" s="8">
        <v>1</v>
      </c>
      <c r="D142" s="4" t="s">
        <v>300</v>
      </c>
      <c r="E142" s="50"/>
      <c r="F142" s="50"/>
    </row>
    <row r="143" spans="1:6" x14ac:dyDescent="0.2">
      <c r="A143" s="21">
        <f t="shared" si="57"/>
        <v>407</v>
      </c>
      <c r="B143" s="7">
        <f t="shared" si="55"/>
        <v>407</v>
      </c>
      <c r="C143" s="8">
        <v>1</v>
      </c>
      <c r="D143" s="4" t="s">
        <v>104</v>
      </c>
      <c r="E143" s="50"/>
      <c r="F143" s="50"/>
    </row>
    <row r="144" spans="1:6" x14ac:dyDescent="0.2">
      <c r="A144" s="21">
        <f t="shared" si="57"/>
        <v>408</v>
      </c>
      <c r="B144" s="7">
        <f t="shared" si="55"/>
        <v>408</v>
      </c>
      <c r="C144" s="8">
        <v>1</v>
      </c>
      <c r="D144" s="4" t="s">
        <v>105</v>
      </c>
      <c r="E144" s="50"/>
      <c r="F144" s="50"/>
    </row>
    <row r="145" spans="1:6" x14ac:dyDescent="0.2">
      <c r="A145" s="21">
        <f t="shared" si="57"/>
        <v>409</v>
      </c>
      <c r="B145" s="7">
        <f t="shared" si="55"/>
        <v>409</v>
      </c>
      <c r="C145" s="8">
        <v>1</v>
      </c>
      <c r="D145" s="4" t="s">
        <v>106</v>
      </c>
      <c r="E145" s="50"/>
      <c r="F145" s="50"/>
    </row>
    <row r="146" spans="1:6" x14ac:dyDescent="0.2">
      <c r="A146" s="21">
        <f t="shared" si="57"/>
        <v>410</v>
      </c>
      <c r="B146" s="7">
        <f t="shared" si="55"/>
        <v>410</v>
      </c>
      <c r="C146" s="8">
        <v>1</v>
      </c>
      <c r="D146" s="4" t="s">
        <v>32</v>
      </c>
      <c r="E146" s="50"/>
      <c r="F146" s="50"/>
    </row>
    <row r="147" spans="1:6" x14ac:dyDescent="0.2">
      <c r="A147" s="21">
        <f t="shared" si="57"/>
        <v>411</v>
      </c>
      <c r="B147" s="7">
        <f t="shared" si="55"/>
        <v>411</v>
      </c>
      <c r="C147" s="8">
        <v>1</v>
      </c>
      <c r="D147" s="4" t="s">
        <v>30</v>
      </c>
      <c r="E147" s="50"/>
      <c r="F147" s="50"/>
    </row>
    <row r="148" spans="1:6" x14ac:dyDescent="0.2">
      <c r="A148" s="21">
        <f t="shared" si="57"/>
        <v>412</v>
      </c>
      <c r="B148" s="7">
        <f t="shared" si="55"/>
        <v>412</v>
      </c>
      <c r="C148" s="8">
        <v>1</v>
      </c>
      <c r="D148" s="4" t="s">
        <v>107</v>
      </c>
      <c r="E148" s="50"/>
      <c r="F148" s="50"/>
    </row>
    <row r="149" spans="1:6" x14ac:dyDescent="0.2">
      <c r="A149" s="21">
        <f t="shared" si="57"/>
        <v>413</v>
      </c>
      <c r="B149" s="7">
        <f t="shared" si="55"/>
        <v>413</v>
      </c>
      <c r="C149" s="8">
        <v>1</v>
      </c>
      <c r="D149" s="4" t="s">
        <v>31</v>
      </c>
      <c r="E149" s="50"/>
      <c r="F149" s="50"/>
    </row>
    <row r="150" spans="1:6" x14ac:dyDescent="0.2">
      <c r="A150" s="21">
        <f t="shared" si="57"/>
        <v>414</v>
      </c>
      <c r="B150" s="7">
        <f t="shared" si="55"/>
        <v>414</v>
      </c>
      <c r="C150" s="8">
        <v>1</v>
      </c>
      <c r="D150" s="4" t="s">
        <v>108</v>
      </c>
      <c r="E150" s="50"/>
      <c r="F150" s="50"/>
    </row>
    <row r="151" spans="1:6" x14ac:dyDescent="0.2">
      <c r="A151" s="21">
        <f t="shared" ref="A151:A152" si="58">A150+C150</f>
        <v>415</v>
      </c>
      <c r="B151" s="7">
        <f t="shared" ref="B151:B152" si="59">A151+C151-1</f>
        <v>415</v>
      </c>
      <c r="C151" s="8">
        <v>1</v>
      </c>
      <c r="D151" s="4" t="s">
        <v>28</v>
      </c>
      <c r="E151" s="50"/>
      <c r="F151" s="50"/>
    </row>
    <row r="152" spans="1:6" x14ac:dyDescent="0.2">
      <c r="A152" s="21">
        <f t="shared" si="58"/>
        <v>416</v>
      </c>
      <c r="B152" s="7">
        <f t="shared" si="59"/>
        <v>416</v>
      </c>
      <c r="C152" s="8">
        <v>1</v>
      </c>
      <c r="D152" s="4" t="s">
        <v>301</v>
      </c>
      <c r="E152" s="50"/>
      <c r="F152" s="50"/>
    </row>
    <row r="153" spans="1:6" x14ac:dyDescent="0.2">
      <c r="A153" s="21">
        <f t="shared" ref="A153:A154" si="60">A152+C152</f>
        <v>417</v>
      </c>
      <c r="B153" s="7">
        <f t="shared" ref="B153:B154" si="61">A153+C153-1</f>
        <v>417</v>
      </c>
      <c r="C153" s="8">
        <v>1</v>
      </c>
      <c r="D153" s="4" t="s">
        <v>378</v>
      </c>
      <c r="E153" s="50"/>
      <c r="F153" s="50"/>
    </row>
    <row r="154" spans="1:6" x14ac:dyDescent="0.2">
      <c r="A154" s="21">
        <f t="shared" si="60"/>
        <v>418</v>
      </c>
      <c r="B154" s="7">
        <f t="shared" si="61"/>
        <v>418</v>
      </c>
      <c r="C154" s="8">
        <v>1</v>
      </c>
      <c r="D154" s="4" t="s">
        <v>379</v>
      </c>
      <c r="E154" s="50"/>
      <c r="F154" s="50"/>
    </row>
    <row r="155" spans="1:6" x14ac:dyDescent="0.2">
      <c r="A155" s="21">
        <f>A154+C154</f>
        <v>419</v>
      </c>
      <c r="B155" s="7">
        <f t="shared" si="55"/>
        <v>423</v>
      </c>
      <c r="C155" s="8">
        <v>5</v>
      </c>
      <c r="D155" s="4" t="s">
        <v>64</v>
      </c>
    </row>
    <row r="156" spans="1:6" x14ac:dyDescent="0.2">
      <c r="D156" s="28" t="s">
        <v>43</v>
      </c>
      <c r="F156" s="44"/>
    </row>
    <row r="157" spans="1:6" ht="51" x14ac:dyDescent="0.2">
      <c r="A157" s="21">
        <f>A155+C155</f>
        <v>424</v>
      </c>
      <c r="B157" s="7">
        <f t="shared" ref="B157:B161" si="62">A157+C157-1</f>
        <v>433</v>
      </c>
      <c r="C157" s="8">
        <v>10</v>
      </c>
      <c r="D157" s="4" t="s">
        <v>38</v>
      </c>
      <c r="E157" s="6" t="s">
        <v>178</v>
      </c>
      <c r="F157" s="19" t="s">
        <v>367</v>
      </c>
    </row>
    <row r="158" spans="1:6" ht="63.75" x14ac:dyDescent="0.2">
      <c r="A158" s="21">
        <f t="shared" ref="A158" si="63">A157+C157</f>
        <v>434</v>
      </c>
      <c r="B158" s="7">
        <f t="shared" si="62"/>
        <v>435</v>
      </c>
      <c r="C158" s="8">
        <v>2</v>
      </c>
      <c r="D158" s="4" t="s">
        <v>39</v>
      </c>
      <c r="E158" s="40" t="s">
        <v>177</v>
      </c>
      <c r="F158" s="19" t="s">
        <v>402</v>
      </c>
    </row>
    <row r="159" spans="1:6" ht="38.25" x14ac:dyDescent="0.2">
      <c r="A159" s="20">
        <f>A158+C158</f>
        <v>436</v>
      </c>
      <c r="B159" s="7">
        <f t="shared" ref="B159:B160" si="64">A159+C159-1</f>
        <v>436</v>
      </c>
      <c r="C159" s="8">
        <v>1</v>
      </c>
      <c r="D159" s="47" t="s">
        <v>344</v>
      </c>
      <c r="E159" s="40" t="s">
        <v>176</v>
      </c>
      <c r="F159" s="19" t="s">
        <v>346</v>
      </c>
    </row>
    <row r="160" spans="1:6" ht="38.25" x14ac:dyDescent="0.2">
      <c r="A160" s="20">
        <f t="shared" ref="A160" si="65">A159+C159</f>
        <v>437</v>
      </c>
      <c r="B160" s="7">
        <f t="shared" si="64"/>
        <v>437</v>
      </c>
      <c r="C160" s="8">
        <v>1</v>
      </c>
      <c r="D160" s="47" t="s">
        <v>345</v>
      </c>
      <c r="E160" s="40" t="s">
        <v>176</v>
      </c>
      <c r="F160" s="19" t="s">
        <v>346</v>
      </c>
    </row>
    <row r="161" spans="1:6" x14ac:dyDescent="0.2">
      <c r="A161" s="21">
        <f>A160+C160</f>
        <v>438</v>
      </c>
      <c r="B161" s="7">
        <f t="shared" si="62"/>
        <v>486</v>
      </c>
      <c r="C161" s="8">
        <v>49</v>
      </c>
      <c r="D161" s="4" t="s">
        <v>64</v>
      </c>
    </row>
    <row r="162" spans="1:6" x14ac:dyDescent="0.2">
      <c r="C162" s="8"/>
      <c r="D162" s="26" t="s">
        <v>26</v>
      </c>
    </row>
    <row r="163" spans="1:6" ht="15" customHeight="1" x14ac:dyDescent="0.2">
      <c r="A163" s="21">
        <f>A161+C161</f>
        <v>487</v>
      </c>
      <c r="B163" s="7">
        <f t="shared" ref="B163:B172" si="66">A163+C163-1</f>
        <v>487</v>
      </c>
      <c r="C163" s="8">
        <v>1</v>
      </c>
      <c r="D163" s="4" t="s">
        <v>27</v>
      </c>
      <c r="E163" s="52" t="s">
        <v>176</v>
      </c>
      <c r="F163" s="50" t="s">
        <v>367</v>
      </c>
    </row>
    <row r="164" spans="1:6" x14ac:dyDescent="0.2">
      <c r="A164" s="21">
        <f>A163+C163</f>
        <v>488</v>
      </c>
      <c r="B164" s="7">
        <f t="shared" si="66"/>
        <v>488</v>
      </c>
      <c r="C164" s="8">
        <v>1</v>
      </c>
      <c r="D164" s="4" t="s">
        <v>29</v>
      </c>
      <c r="E164" s="52"/>
      <c r="F164" s="50"/>
    </row>
    <row r="165" spans="1:6" x14ac:dyDescent="0.2">
      <c r="A165" s="21">
        <f t="shared" ref="A165:A169" si="67">A164+C164</f>
        <v>489</v>
      </c>
      <c r="B165" s="7">
        <f t="shared" si="66"/>
        <v>489</v>
      </c>
      <c r="C165" s="8">
        <v>1</v>
      </c>
      <c r="D165" s="4" t="s">
        <v>30</v>
      </c>
      <c r="E165" s="52"/>
      <c r="F165" s="50"/>
    </row>
    <row r="166" spans="1:6" x14ac:dyDescent="0.2">
      <c r="A166" s="21">
        <f>A165+C165</f>
        <v>490</v>
      </c>
      <c r="B166" s="7">
        <f t="shared" si="66"/>
        <v>490</v>
      </c>
      <c r="C166" s="8">
        <v>1</v>
      </c>
      <c r="D166" s="4" t="s">
        <v>31</v>
      </c>
      <c r="E166" s="52"/>
      <c r="F166" s="50"/>
    </row>
    <row r="167" spans="1:6" x14ac:dyDescent="0.2">
      <c r="A167" s="21">
        <f>A166+C166</f>
        <v>491</v>
      </c>
      <c r="B167" s="7">
        <f t="shared" si="66"/>
        <v>491</v>
      </c>
      <c r="C167" s="8">
        <v>1</v>
      </c>
      <c r="D167" s="4" t="s">
        <v>32</v>
      </c>
      <c r="E167" s="52"/>
      <c r="F167" s="50"/>
    </row>
    <row r="168" spans="1:6" x14ac:dyDescent="0.2">
      <c r="A168" s="21">
        <f t="shared" si="67"/>
        <v>492</v>
      </c>
      <c r="B168" s="7">
        <f t="shared" si="66"/>
        <v>492</v>
      </c>
      <c r="C168" s="8">
        <v>1</v>
      </c>
      <c r="D168" s="4" t="s">
        <v>33</v>
      </c>
      <c r="E168" s="52"/>
      <c r="F168" s="50"/>
    </row>
    <row r="169" spans="1:6" x14ac:dyDescent="0.2">
      <c r="A169" s="21">
        <f t="shared" si="67"/>
        <v>493</v>
      </c>
      <c r="B169" s="7">
        <f t="shared" si="66"/>
        <v>493</v>
      </c>
      <c r="C169" s="8">
        <v>1</v>
      </c>
      <c r="D169" s="4" t="s">
        <v>395</v>
      </c>
      <c r="E169" s="52"/>
      <c r="F169" s="50"/>
    </row>
    <row r="170" spans="1:6" x14ac:dyDescent="0.2">
      <c r="A170" s="21">
        <f t="shared" ref="A170:A171" si="68">A169+C169</f>
        <v>494</v>
      </c>
      <c r="B170" s="7">
        <f t="shared" ref="B170:B171" si="69">A170+C170-1</f>
        <v>494</v>
      </c>
      <c r="C170" s="8">
        <v>1</v>
      </c>
      <c r="D170" s="4" t="s">
        <v>349</v>
      </c>
      <c r="E170" s="52"/>
      <c r="F170" s="50"/>
    </row>
    <row r="171" spans="1:6" x14ac:dyDescent="0.2">
      <c r="A171" s="21">
        <f t="shared" si="68"/>
        <v>495</v>
      </c>
      <c r="B171" s="7">
        <f t="shared" si="69"/>
        <v>495</v>
      </c>
      <c r="C171" s="8">
        <v>1</v>
      </c>
      <c r="D171" s="4" t="s">
        <v>350</v>
      </c>
      <c r="E171" s="52"/>
      <c r="F171" s="50"/>
    </row>
    <row r="172" spans="1:6" x14ac:dyDescent="0.2">
      <c r="A172" s="21">
        <f>A171+C171</f>
        <v>496</v>
      </c>
      <c r="B172" s="7">
        <f t="shared" si="66"/>
        <v>496</v>
      </c>
      <c r="C172" s="8">
        <v>1</v>
      </c>
      <c r="D172" s="4" t="s">
        <v>109</v>
      </c>
      <c r="E172" s="52"/>
      <c r="F172" s="50"/>
    </row>
    <row r="173" spans="1:6" x14ac:dyDescent="0.2">
      <c r="D173" s="26" t="s">
        <v>302</v>
      </c>
    </row>
    <row r="174" spans="1:6" x14ac:dyDescent="0.2">
      <c r="A174" s="21">
        <f>A172+C172</f>
        <v>497</v>
      </c>
      <c r="B174" s="7">
        <f t="shared" ref="B174:B179" si="70">A174+C174-1</f>
        <v>497</v>
      </c>
      <c r="C174" s="8">
        <v>1</v>
      </c>
      <c r="D174" s="4" t="s">
        <v>64</v>
      </c>
      <c r="E174" s="40"/>
    </row>
    <row r="175" spans="1:6" ht="12.75" customHeight="1" x14ac:dyDescent="0.2">
      <c r="A175" s="21">
        <f t="shared" ref="A175" si="71">A174+C174</f>
        <v>498</v>
      </c>
      <c r="B175" s="7">
        <f t="shared" si="70"/>
        <v>498</v>
      </c>
      <c r="C175" s="8">
        <v>1</v>
      </c>
      <c r="D175" s="4" t="s">
        <v>27</v>
      </c>
      <c r="E175" s="52" t="s">
        <v>176</v>
      </c>
      <c r="F175" s="50" t="s">
        <v>367</v>
      </c>
    </row>
    <row r="176" spans="1:6" x14ac:dyDescent="0.2">
      <c r="A176" s="21">
        <f t="shared" ref="A176:A179" si="72">A175+C175</f>
        <v>499</v>
      </c>
      <c r="B176" s="7">
        <f t="shared" si="70"/>
        <v>499</v>
      </c>
      <c r="C176" s="8">
        <v>1</v>
      </c>
      <c r="D176" s="4" t="s">
        <v>31</v>
      </c>
      <c r="E176" s="52"/>
      <c r="F176" s="50"/>
    </row>
    <row r="177" spans="1:6" x14ac:dyDescent="0.2">
      <c r="A177" s="21">
        <f t="shared" si="72"/>
        <v>500</v>
      </c>
      <c r="B177" s="7">
        <f t="shared" si="70"/>
        <v>500</v>
      </c>
      <c r="C177" s="8">
        <v>1</v>
      </c>
      <c r="D177" s="4" t="s">
        <v>33</v>
      </c>
      <c r="E177" s="52"/>
      <c r="F177" s="50"/>
    </row>
    <row r="178" spans="1:6" x14ac:dyDescent="0.2">
      <c r="A178" s="21">
        <f t="shared" si="72"/>
        <v>501</v>
      </c>
      <c r="B178" s="7">
        <f t="shared" si="70"/>
        <v>501</v>
      </c>
      <c r="C178" s="8">
        <v>1</v>
      </c>
      <c r="D178" s="4" t="s">
        <v>35</v>
      </c>
      <c r="E178" s="52"/>
      <c r="F178" s="50"/>
    </row>
    <row r="179" spans="1:6" x14ac:dyDescent="0.2">
      <c r="A179" s="21">
        <f t="shared" si="72"/>
        <v>502</v>
      </c>
      <c r="B179" s="7">
        <f t="shared" si="70"/>
        <v>502</v>
      </c>
      <c r="C179" s="8">
        <v>1</v>
      </c>
      <c r="D179" s="4" t="s">
        <v>110</v>
      </c>
      <c r="E179" s="52"/>
      <c r="F179" s="50"/>
    </row>
    <row r="180" spans="1:6" x14ac:dyDescent="0.2">
      <c r="A180" s="21">
        <f t="shared" ref="A180:A183" si="73">A179+C179</f>
        <v>503</v>
      </c>
      <c r="B180" s="7">
        <f t="shared" ref="B180:B183" si="74">A180+C180-1</f>
        <v>503</v>
      </c>
      <c r="C180" s="8">
        <v>1</v>
      </c>
      <c r="D180" s="4" t="s">
        <v>106</v>
      </c>
      <c r="E180" s="52"/>
      <c r="F180" s="50"/>
    </row>
    <row r="181" spans="1:6" x14ac:dyDescent="0.2">
      <c r="A181" s="21">
        <f t="shared" si="73"/>
        <v>504</v>
      </c>
      <c r="B181" s="7">
        <f t="shared" si="74"/>
        <v>504</v>
      </c>
      <c r="C181" s="8">
        <v>1</v>
      </c>
      <c r="D181" s="4" t="s">
        <v>395</v>
      </c>
      <c r="E181" s="52"/>
      <c r="F181" s="50"/>
    </row>
    <row r="182" spans="1:6" x14ac:dyDescent="0.2">
      <c r="A182" s="21">
        <f t="shared" si="73"/>
        <v>505</v>
      </c>
      <c r="B182" s="7">
        <f t="shared" si="74"/>
        <v>505</v>
      </c>
      <c r="C182" s="8">
        <v>1</v>
      </c>
      <c r="D182" s="4" t="s">
        <v>349</v>
      </c>
      <c r="E182" s="52"/>
      <c r="F182" s="50"/>
    </row>
    <row r="183" spans="1:6" x14ac:dyDescent="0.2">
      <c r="A183" s="21">
        <f t="shared" si="73"/>
        <v>506</v>
      </c>
      <c r="B183" s="7">
        <f t="shared" si="74"/>
        <v>506</v>
      </c>
      <c r="C183" s="8">
        <v>1</v>
      </c>
      <c r="D183" s="4" t="s">
        <v>350</v>
      </c>
      <c r="E183" s="52"/>
      <c r="F183" s="50"/>
    </row>
    <row r="184" spans="1:6" x14ac:dyDescent="0.2">
      <c r="D184" s="26" t="s">
        <v>36</v>
      </c>
    </row>
    <row r="185" spans="1:6" x14ac:dyDescent="0.2">
      <c r="A185" s="21">
        <f>A183+C183</f>
        <v>507</v>
      </c>
      <c r="B185" s="7">
        <f t="shared" ref="B185:B196" si="75">A185+C185-1</f>
        <v>507</v>
      </c>
      <c r="C185" s="8">
        <v>1</v>
      </c>
      <c r="D185" s="4" t="s">
        <v>64</v>
      </c>
      <c r="E185" s="40"/>
    </row>
    <row r="186" spans="1:6" ht="15" customHeight="1" x14ac:dyDescent="0.2">
      <c r="A186" s="21">
        <f t="shared" ref="A186" si="76">A185+C185</f>
        <v>508</v>
      </c>
      <c r="B186" s="7">
        <f t="shared" si="75"/>
        <v>508</v>
      </c>
      <c r="C186" s="8">
        <v>1</v>
      </c>
      <c r="D186" s="4" t="s">
        <v>27</v>
      </c>
      <c r="E186" s="52" t="s">
        <v>176</v>
      </c>
      <c r="F186" s="50" t="s">
        <v>367</v>
      </c>
    </row>
    <row r="187" spans="1:6" x14ac:dyDescent="0.2">
      <c r="A187" s="21">
        <f>A186+C186</f>
        <v>509</v>
      </c>
      <c r="B187" s="7">
        <f t="shared" si="75"/>
        <v>509</v>
      </c>
      <c r="C187" s="8">
        <v>1</v>
      </c>
      <c r="D187" s="4" t="s">
        <v>29</v>
      </c>
      <c r="E187" s="52"/>
      <c r="F187" s="50"/>
    </row>
    <row r="188" spans="1:6" x14ac:dyDescent="0.2">
      <c r="A188" s="21">
        <f t="shared" ref="A188:A196" si="77">A187+C187</f>
        <v>510</v>
      </c>
      <c r="B188" s="7">
        <f t="shared" si="75"/>
        <v>510</v>
      </c>
      <c r="C188" s="8">
        <v>1</v>
      </c>
      <c r="D188" s="4" t="s">
        <v>30</v>
      </c>
      <c r="E188" s="52"/>
      <c r="F188" s="50"/>
    </row>
    <row r="189" spans="1:6" x14ac:dyDescent="0.2">
      <c r="A189" s="21">
        <f>A188+C188</f>
        <v>511</v>
      </c>
      <c r="B189" s="7">
        <f t="shared" si="75"/>
        <v>511</v>
      </c>
      <c r="C189" s="8">
        <v>1</v>
      </c>
      <c r="D189" s="4" t="s">
        <v>31</v>
      </c>
      <c r="E189" s="52"/>
      <c r="F189" s="50"/>
    </row>
    <row r="190" spans="1:6" x14ac:dyDescent="0.2">
      <c r="A190" s="21">
        <f>A189+C189</f>
        <v>512</v>
      </c>
      <c r="B190" s="7">
        <f t="shared" si="75"/>
        <v>512</v>
      </c>
      <c r="C190" s="8">
        <v>1</v>
      </c>
      <c r="D190" s="4" t="s">
        <v>32</v>
      </c>
      <c r="E190" s="52"/>
      <c r="F190" s="50"/>
    </row>
    <row r="191" spans="1:6" x14ac:dyDescent="0.2">
      <c r="A191" s="21">
        <f t="shared" si="77"/>
        <v>513</v>
      </c>
      <c r="B191" s="7">
        <f t="shared" si="75"/>
        <v>513</v>
      </c>
      <c r="C191" s="8">
        <v>1</v>
      </c>
      <c r="D191" s="4" t="s">
        <v>33</v>
      </c>
      <c r="E191" s="52"/>
      <c r="F191" s="50"/>
    </row>
    <row r="192" spans="1:6" x14ac:dyDescent="0.2">
      <c r="A192" s="21">
        <f t="shared" si="77"/>
        <v>514</v>
      </c>
      <c r="B192" s="7">
        <f t="shared" si="75"/>
        <v>514</v>
      </c>
      <c r="C192" s="8">
        <v>1</v>
      </c>
      <c r="D192" s="4" t="s">
        <v>395</v>
      </c>
      <c r="E192" s="52"/>
      <c r="F192" s="50"/>
    </row>
    <row r="193" spans="1:6" x14ac:dyDescent="0.2">
      <c r="A193" s="21">
        <f t="shared" ref="A193:A194" si="78">A192+C192</f>
        <v>515</v>
      </c>
      <c r="B193" s="7">
        <f t="shared" ref="B193:B194" si="79">A193+C193-1</f>
        <v>515</v>
      </c>
      <c r="C193" s="8">
        <v>1</v>
      </c>
      <c r="D193" s="4" t="s">
        <v>349</v>
      </c>
      <c r="E193" s="52"/>
      <c r="F193" s="50"/>
    </row>
    <row r="194" spans="1:6" x14ac:dyDescent="0.2">
      <c r="A194" s="21">
        <f t="shared" si="78"/>
        <v>516</v>
      </c>
      <c r="B194" s="7">
        <f t="shared" si="79"/>
        <v>516</v>
      </c>
      <c r="C194" s="8">
        <v>1</v>
      </c>
      <c r="D194" s="4" t="s">
        <v>350</v>
      </c>
      <c r="E194" s="52"/>
      <c r="F194" s="50"/>
    </row>
    <row r="195" spans="1:6" x14ac:dyDescent="0.2">
      <c r="A195" s="21">
        <f>A194+C194</f>
        <v>517</v>
      </c>
      <c r="B195" s="7">
        <f t="shared" si="75"/>
        <v>517</v>
      </c>
      <c r="C195" s="8">
        <v>1</v>
      </c>
      <c r="D195" s="4" t="s">
        <v>109</v>
      </c>
      <c r="E195" s="52"/>
      <c r="F195" s="50"/>
    </row>
    <row r="196" spans="1:6" x14ac:dyDescent="0.2">
      <c r="A196" s="21">
        <f t="shared" si="77"/>
        <v>518</v>
      </c>
      <c r="B196" s="7">
        <f t="shared" si="75"/>
        <v>523</v>
      </c>
      <c r="C196" s="8">
        <v>6</v>
      </c>
      <c r="D196" s="4" t="s">
        <v>64</v>
      </c>
    </row>
    <row r="197" spans="1:6" ht="12.75" customHeight="1" x14ac:dyDescent="0.2">
      <c r="D197" s="5" t="s">
        <v>37</v>
      </c>
    </row>
    <row r="198" spans="1:6" ht="12.75" customHeight="1" x14ac:dyDescent="0.2">
      <c r="A198" s="21">
        <f>A196+C196</f>
        <v>524</v>
      </c>
      <c r="B198" s="7">
        <f t="shared" ref="B198" si="80">A198+C198-1</f>
        <v>524</v>
      </c>
      <c r="C198" s="8">
        <v>1</v>
      </c>
      <c r="D198" s="4" t="s">
        <v>33</v>
      </c>
      <c r="E198" s="19" t="s">
        <v>176</v>
      </c>
      <c r="F198" s="19" t="s">
        <v>367</v>
      </c>
    </row>
    <row r="199" spans="1:6" x14ac:dyDescent="0.2">
      <c r="D199" s="28" t="s">
        <v>101</v>
      </c>
    </row>
    <row r="200" spans="1:6" x14ac:dyDescent="0.2">
      <c r="A200" s="21">
        <f>A198+C198</f>
        <v>525</v>
      </c>
      <c r="B200" s="7">
        <f t="shared" ref="B200:B208" si="81">A200+C200-1</f>
        <v>525</v>
      </c>
      <c r="C200" s="21">
        <v>1</v>
      </c>
      <c r="D200" s="4" t="s">
        <v>102</v>
      </c>
      <c r="E200" s="50" t="s">
        <v>179</v>
      </c>
      <c r="F200" s="50" t="s">
        <v>180</v>
      </c>
    </row>
    <row r="201" spans="1:6" x14ac:dyDescent="0.2">
      <c r="A201" s="21">
        <f t="shared" ref="A201:A208" si="82">A200+C200</f>
        <v>526</v>
      </c>
      <c r="B201" s="7">
        <f t="shared" si="81"/>
        <v>526</v>
      </c>
      <c r="C201" s="21">
        <v>1</v>
      </c>
      <c r="D201" s="4" t="s">
        <v>304</v>
      </c>
      <c r="E201" s="50"/>
      <c r="F201" s="50"/>
    </row>
    <row r="202" spans="1:6" x14ac:dyDescent="0.2">
      <c r="A202" s="21">
        <f t="shared" si="82"/>
        <v>527</v>
      </c>
      <c r="B202" s="7">
        <f t="shared" si="81"/>
        <v>527</v>
      </c>
      <c r="C202" s="21">
        <v>1</v>
      </c>
      <c r="D202" s="4" t="s">
        <v>105</v>
      </c>
      <c r="E202" s="50"/>
      <c r="F202" s="50"/>
    </row>
    <row r="203" spans="1:6" x14ac:dyDescent="0.2">
      <c r="A203" s="21">
        <f t="shared" si="82"/>
        <v>528</v>
      </c>
      <c r="B203" s="7">
        <f t="shared" si="81"/>
        <v>528</v>
      </c>
      <c r="C203" s="21">
        <v>1</v>
      </c>
      <c r="D203" s="4" t="s">
        <v>106</v>
      </c>
      <c r="E203" s="50"/>
      <c r="F203" s="50"/>
    </row>
    <row r="204" spans="1:6" x14ac:dyDescent="0.2">
      <c r="A204" s="21">
        <f t="shared" si="82"/>
        <v>529</v>
      </c>
      <c r="B204" s="7">
        <f t="shared" si="81"/>
        <v>529</v>
      </c>
      <c r="C204" s="21">
        <v>1</v>
      </c>
      <c r="D204" s="4" t="s">
        <v>32</v>
      </c>
      <c r="E204" s="50"/>
      <c r="F204" s="50"/>
    </row>
    <row r="205" spans="1:6" x14ac:dyDescent="0.2">
      <c r="A205" s="21">
        <f t="shared" si="82"/>
        <v>530</v>
      </c>
      <c r="B205" s="7">
        <f t="shared" si="81"/>
        <v>530</v>
      </c>
      <c r="C205" s="21">
        <v>1</v>
      </c>
      <c r="D205" s="4" t="s">
        <v>30</v>
      </c>
      <c r="E205" s="50"/>
      <c r="F205" s="50"/>
    </row>
    <row r="206" spans="1:6" x14ac:dyDescent="0.2">
      <c r="A206" s="21">
        <f t="shared" si="82"/>
        <v>531</v>
      </c>
      <c r="B206" s="7">
        <f t="shared" si="81"/>
        <v>531</v>
      </c>
      <c r="C206" s="21">
        <v>1</v>
      </c>
      <c r="D206" s="4" t="s">
        <v>31</v>
      </c>
      <c r="E206" s="50"/>
      <c r="F206" s="50"/>
    </row>
    <row r="207" spans="1:6" x14ac:dyDescent="0.2">
      <c r="A207" s="21">
        <f t="shared" si="82"/>
        <v>532</v>
      </c>
      <c r="B207" s="7">
        <f t="shared" si="81"/>
        <v>532</v>
      </c>
      <c r="C207" s="21">
        <v>1</v>
      </c>
      <c r="D207" s="4" t="s">
        <v>108</v>
      </c>
      <c r="E207" s="50"/>
      <c r="F207" s="50"/>
    </row>
    <row r="208" spans="1:6" x14ac:dyDescent="0.2">
      <c r="A208" s="21">
        <f t="shared" si="82"/>
        <v>533</v>
      </c>
      <c r="B208" s="7">
        <f t="shared" si="81"/>
        <v>533</v>
      </c>
      <c r="C208" s="8">
        <v>1</v>
      </c>
      <c r="D208" s="4" t="s">
        <v>300</v>
      </c>
      <c r="E208" s="50"/>
      <c r="F208" s="50"/>
    </row>
    <row r="209" spans="1:6" x14ac:dyDescent="0.2">
      <c r="A209" s="21">
        <f>A208+C208</f>
        <v>534</v>
      </c>
      <c r="B209" s="7">
        <f t="shared" ref="B209" si="83">A209+C209-1</f>
        <v>534</v>
      </c>
      <c r="C209" s="8">
        <v>1</v>
      </c>
      <c r="D209" s="4" t="s">
        <v>301</v>
      </c>
      <c r="E209" s="50"/>
      <c r="F209" s="50"/>
    </row>
    <row r="210" spans="1:6" x14ac:dyDescent="0.2">
      <c r="A210" s="21">
        <f>A209+C209</f>
        <v>535</v>
      </c>
      <c r="B210" s="7">
        <f t="shared" ref="B210" si="84">A210+C210-1</f>
        <v>548</v>
      </c>
      <c r="C210" s="21">
        <v>14</v>
      </c>
      <c r="D210" s="4" t="s">
        <v>64</v>
      </c>
    </row>
    <row r="211" spans="1:6" x14ac:dyDescent="0.2">
      <c r="B211" s="7"/>
      <c r="D211" s="28" t="s">
        <v>44</v>
      </c>
      <c r="F211" s="44"/>
    </row>
    <row r="212" spans="1:6" ht="51" x14ac:dyDescent="0.2">
      <c r="A212" s="21">
        <f>A210+C210</f>
        <v>549</v>
      </c>
      <c r="B212" s="7">
        <f t="shared" ref="B212:B216" si="85">A212+C212-1</f>
        <v>558</v>
      </c>
      <c r="C212" s="21">
        <v>10</v>
      </c>
      <c r="D212" s="4" t="s">
        <v>38</v>
      </c>
      <c r="E212" s="6" t="s">
        <v>178</v>
      </c>
      <c r="F212" s="19" t="s">
        <v>303</v>
      </c>
    </row>
    <row r="213" spans="1:6" ht="89.25" x14ac:dyDescent="0.2">
      <c r="A213" s="21">
        <f t="shared" ref="A213" si="86">A212+C212</f>
        <v>559</v>
      </c>
      <c r="B213" s="7">
        <f t="shared" si="85"/>
        <v>560</v>
      </c>
      <c r="C213" s="21">
        <v>2</v>
      </c>
      <c r="D213" s="4" t="s">
        <v>39</v>
      </c>
      <c r="E213" s="40" t="s">
        <v>177</v>
      </c>
      <c r="F213" s="19" t="s">
        <v>403</v>
      </c>
    </row>
    <row r="214" spans="1:6" ht="38.25" x14ac:dyDescent="0.2">
      <c r="A214" s="21">
        <f t="shared" ref="A214:A215" si="87">A213+C213</f>
        <v>561</v>
      </c>
      <c r="B214" s="7">
        <f t="shared" ref="B214:B215" si="88">A214+C214-1</f>
        <v>561</v>
      </c>
      <c r="C214" s="8">
        <v>1</v>
      </c>
      <c r="D214" s="47" t="s">
        <v>344</v>
      </c>
      <c r="E214" s="40" t="s">
        <v>176</v>
      </c>
      <c r="F214" s="19" t="s">
        <v>303</v>
      </c>
    </row>
    <row r="215" spans="1:6" ht="38.25" x14ac:dyDescent="0.2">
      <c r="A215" s="21">
        <f t="shared" si="87"/>
        <v>562</v>
      </c>
      <c r="B215" s="7">
        <f t="shared" si="88"/>
        <v>562</v>
      </c>
      <c r="C215" s="8">
        <v>1</v>
      </c>
      <c r="D215" s="47" t="s">
        <v>345</v>
      </c>
      <c r="E215" s="40" t="s">
        <v>176</v>
      </c>
      <c r="F215" s="19" t="s">
        <v>303</v>
      </c>
    </row>
    <row r="216" spans="1:6" x14ac:dyDescent="0.2">
      <c r="A216" s="21">
        <f>A215+C215</f>
        <v>563</v>
      </c>
      <c r="B216" s="7">
        <f t="shared" si="85"/>
        <v>611</v>
      </c>
      <c r="C216" s="21">
        <v>49</v>
      </c>
      <c r="D216" s="4" t="s">
        <v>64</v>
      </c>
    </row>
    <row r="217" spans="1:6" x14ac:dyDescent="0.2">
      <c r="D217" s="26" t="s">
        <v>26</v>
      </c>
    </row>
    <row r="218" spans="1:6" ht="12.75" customHeight="1" x14ac:dyDescent="0.2">
      <c r="A218" s="21">
        <f>A216+C216</f>
        <v>612</v>
      </c>
      <c r="B218" s="7">
        <f t="shared" ref="B218:B228" si="89">A218+C218-1</f>
        <v>612</v>
      </c>
      <c r="C218" s="21">
        <v>1</v>
      </c>
      <c r="D218" s="4" t="s">
        <v>27</v>
      </c>
      <c r="E218" s="52" t="s">
        <v>176</v>
      </c>
      <c r="F218" s="50" t="s">
        <v>303</v>
      </c>
    </row>
    <row r="219" spans="1:6" x14ac:dyDescent="0.2">
      <c r="A219" s="21">
        <f t="shared" ref="A219" si="90">A218+C218</f>
        <v>613</v>
      </c>
      <c r="B219" s="7">
        <f t="shared" si="89"/>
        <v>613</v>
      </c>
      <c r="C219" s="21">
        <v>1</v>
      </c>
      <c r="D219" s="4" t="s">
        <v>28</v>
      </c>
      <c r="E219" s="52"/>
      <c r="F219" s="50"/>
    </row>
    <row r="220" spans="1:6" x14ac:dyDescent="0.2">
      <c r="A220" s="21">
        <f t="shared" ref="A220:A225" si="91">A219+C219</f>
        <v>614</v>
      </c>
      <c r="B220" s="7">
        <f t="shared" si="89"/>
        <v>614</v>
      </c>
      <c r="C220" s="21">
        <v>1</v>
      </c>
      <c r="D220" s="4" t="s">
        <v>29</v>
      </c>
      <c r="E220" s="52"/>
      <c r="F220" s="50"/>
    </row>
    <row r="221" spans="1:6" x14ac:dyDescent="0.2">
      <c r="A221" s="21">
        <f t="shared" si="91"/>
        <v>615</v>
      </c>
      <c r="B221" s="7">
        <f t="shared" si="89"/>
        <v>615</v>
      </c>
      <c r="C221" s="21">
        <v>1</v>
      </c>
      <c r="D221" s="4" t="s">
        <v>30</v>
      </c>
      <c r="E221" s="52"/>
      <c r="F221" s="50"/>
    </row>
    <row r="222" spans="1:6" x14ac:dyDescent="0.2">
      <c r="A222" s="21">
        <f>A221+C221</f>
        <v>616</v>
      </c>
      <c r="B222" s="7">
        <f t="shared" si="89"/>
        <v>616</v>
      </c>
      <c r="C222" s="21">
        <v>1</v>
      </c>
      <c r="D222" s="4" t="s">
        <v>31</v>
      </c>
      <c r="E222" s="52"/>
      <c r="F222" s="50"/>
    </row>
    <row r="223" spans="1:6" x14ac:dyDescent="0.2">
      <c r="A223" s="21">
        <f>A222+C222</f>
        <v>617</v>
      </c>
      <c r="B223" s="7">
        <f t="shared" si="89"/>
        <v>617</v>
      </c>
      <c r="C223" s="21">
        <v>1</v>
      </c>
      <c r="D223" s="4" t="s">
        <v>32</v>
      </c>
      <c r="E223" s="52"/>
      <c r="F223" s="50"/>
    </row>
    <row r="224" spans="1:6" x14ac:dyDescent="0.2">
      <c r="A224" s="21">
        <f t="shared" si="91"/>
        <v>618</v>
      </c>
      <c r="B224" s="7">
        <f t="shared" si="89"/>
        <v>618</v>
      </c>
      <c r="C224" s="21">
        <v>1</v>
      </c>
      <c r="D224" s="4" t="s">
        <v>33</v>
      </c>
      <c r="E224" s="52"/>
      <c r="F224" s="50"/>
    </row>
    <row r="225" spans="1:6" x14ac:dyDescent="0.2">
      <c r="A225" s="21">
        <f t="shared" si="91"/>
        <v>619</v>
      </c>
      <c r="B225" s="7">
        <f t="shared" si="89"/>
        <v>619</v>
      </c>
      <c r="C225" s="8">
        <v>1</v>
      </c>
      <c r="D225" s="4" t="s">
        <v>395</v>
      </c>
      <c r="E225" s="52"/>
      <c r="F225" s="50"/>
    </row>
    <row r="226" spans="1:6" x14ac:dyDescent="0.2">
      <c r="A226" s="21">
        <f t="shared" ref="A226" si="92">A225+C225</f>
        <v>620</v>
      </c>
      <c r="B226" s="7">
        <f t="shared" ref="B226" si="93">A226+C226-1</f>
        <v>620</v>
      </c>
      <c r="C226" s="8">
        <v>1</v>
      </c>
      <c r="D226" s="4" t="s">
        <v>349</v>
      </c>
      <c r="E226" s="52"/>
      <c r="F226" s="50"/>
    </row>
    <row r="227" spans="1:6" x14ac:dyDescent="0.2">
      <c r="A227" s="21">
        <f>A226+C226</f>
        <v>621</v>
      </c>
      <c r="B227" s="7">
        <f t="shared" ref="B227" si="94">A227+C227-1</f>
        <v>621</v>
      </c>
      <c r="C227" s="8">
        <v>1</v>
      </c>
      <c r="D227" s="4" t="s">
        <v>350</v>
      </c>
      <c r="E227" s="52"/>
      <c r="F227" s="50"/>
    </row>
    <row r="228" spans="1:6" x14ac:dyDescent="0.2">
      <c r="A228" s="21">
        <f>A227+C227</f>
        <v>622</v>
      </c>
      <c r="B228" s="7">
        <f t="shared" si="89"/>
        <v>622</v>
      </c>
      <c r="C228" s="21">
        <v>1</v>
      </c>
      <c r="D228" s="4" t="s">
        <v>109</v>
      </c>
      <c r="E228" s="52"/>
      <c r="F228" s="50"/>
    </row>
    <row r="229" spans="1:6" x14ac:dyDescent="0.2">
      <c r="D229" s="26" t="s">
        <v>34</v>
      </c>
    </row>
    <row r="230" spans="1:6" x14ac:dyDescent="0.2">
      <c r="A230" s="21">
        <f>A228+C228</f>
        <v>623</v>
      </c>
      <c r="B230" s="7">
        <f t="shared" ref="B230:B235" si="95">A230+C230-1</f>
        <v>623</v>
      </c>
      <c r="C230" s="21">
        <v>1</v>
      </c>
      <c r="D230" s="4" t="s">
        <v>64</v>
      </c>
      <c r="E230" s="40"/>
    </row>
    <row r="231" spans="1:6" ht="12.75" customHeight="1" x14ac:dyDescent="0.2">
      <c r="A231" s="21">
        <f t="shared" ref="A231" si="96">A230+C230</f>
        <v>624</v>
      </c>
      <c r="B231" s="7">
        <f t="shared" si="95"/>
        <v>624</v>
      </c>
      <c r="C231" s="21">
        <v>1</v>
      </c>
      <c r="D231" s="4" t="s">
        <v>27</v>
      </c>
      <c r="E231" s="52" t="s">
        <v>176</v>
      </c>
      <c r="F231" s="50" t="s">
        <v>303</v>
      </c>
    </row>
    <row r="232" spans="1:6" x14ac:dyDescent="0.2">
      <c r="A232" s="21">
        <f t="shared" ref="A232:A235" si="97">A231+C231</f>
        <v>625</v>
      </c>
      <c r="B232" s="7">
        <f t="shared" si="95"/>
        <v>625</v>
      </c>
      <c r="C232" s="21">
        <v>1</v>
      </c>
      <c r="D232" s="4" t="s">
        <v>31</v>
      </c>
      <c r="E232" s="52"/>
      <c r="F232" s="50"/>
    </row>
    <row r="233" spans="1:6" x14ac:dyDescent="0.2">
      <c r="A233" s="21">
        <f t="shared" si="97"/>
        <v>626</v>
      </c>
      <c r="B233" s="7">
        <f t="shared" si="95"/>
        <v>626</v>
      </c>
      <c r="C233" s="21">
        <v>1</v>
      </c>
      <c r="D233" s="4" t="s">
        <v>33</v>
      </c>
      <c r="E233" s="52"/>
      <c r="F233" s="50"/>
    </row>
    <row r="234" spans="1:6" x14ac:dyDescent="0.2">
      <c r="A234" s="21">
        <f t="shared" si="97"/>
        <v>627</v>
      </c>
      <c r="B234" s="7">
        <f t="shared" si="95"/>
        <v>627</v>
      </c>
      <c r="C234" s="21">
        <v>1</v>
      </c>
      <c r="D234" s="4" t="s">
        <v>35</v>
      </c>
      <c r="E234" s="52"/>
      <c r="F234" s="50"/>
    </row>
    <row r="235" spans="1:6" x14ac:dyDescent="0.2">
      <c r="A235" s="21">
        <f t="shared" si="97"/>
        <v>628</v>
      </c>
      <c r="B235" s="7">
        <f t="shared" si="95"/>
        <v>628</v>
      </c>
      <c r="C235" s="21">
        <v>1</v>
      </c>
      <c r="D235" s="4" t="s">
        <v>110</v>
      </c>
      <c r="E235" s="52"/>
      <c r="F235" s="50"/>
    </row>
    <row r="236" spans="1:6" x14ac:dyDescent="0.2">
      <c r="A236" s="21">
        <f>A235+C235</f>
        <v>629</v>
      </c>
      <c r="B236" s="7">
        <f t="shared" ref="B236:B239" si="98">A236+C236-1</f>
        <v>629</v>
      </c>
      <c r="C236" s="8">
        <v>1</v>
      </c>
      <c r="D236" s="4" t="s">
        <v>106</v>
      </c>
      <c r="E236" s="52"/>
      <c r="F236" s="50"/>
    </row>
    <row r="237" spans="1:6" x14ac:dyDescent="0.2">
      <c r="A237" s="21">
        <f t="shared" ref="A237:A239" si="99">A236+C236</f>
        <v>630</v>
      </c>
      <c r="B237" s="7">
        <f t="shared" si="98"/>
        <v>630</v>
      </c>
      <c r="C237" s="8">
        <v>1</v>
      </c>
      <c r="D237" s="4" t="s">
        <v>395</v>
      </c>
      <c r="E237" s="52"/>
      <c r="F237" s="50"/>
    </row>
    <row r="238" spans="1:6" x14ac:dyDescent="0.2">
      <c r="A238" s="21">
        <f t="shared" si="99"/>
        <v>631</v>
      </c>
      <c r="B238" s="7">
        <f t="shared" si="98"/>
        <v>631</v>
      </c>
      <c r="C238" s="8">
        <v>1</v>
      </c>
      <c r="D238" s="4" t="s">
        <v>349</v>
      </c>
      <c r="E238" s="52"/>
      <c r="F238" s="50"/>
    </row>
    <row r="239" spans="1:6" x14ac:dyDescent="0.2">
      <c r="A239" s="21">
        <f t="shared" si="99"/>
        <v>632</v>
      </c>
      <c r="B239" s="7">
        <f t="shared" si="98"/>
        <v>632</v>
      </c>
      <c r="C239" s="8">
        <v>1</v>
      </c>
      <c r="D239" s="4" t="s">
        <v>350</v>
      </c>
      <c r="E239" s="52"/>
      <c r="F239" s="50"/>
    </row>
    <row r="240" spans="1:6" x14ac:dyDescent="0.2">
      <c r="D240" s="26" t="s">
        <v>36</v>
      </c>
    </row>
    <row r="241" spans="1:6" x14ac:dyDescent="0.2">
      <c r="A241" s="21">
        <f>A239+C239</f>
        <v>633</v>
      </c>
      <c r="B241" s="7">
        <f t="shared" ref="B241:B252" si="100">A241+C241-1</f>
        <v>633</v>
      </c>
      <c r="C241" s="21">
        <v>1</v>
      </c>
      <c r="D241" s="4" t="s">
        <v>64</v>
      </c>
      <c r="E241" s="40"/>
    </row>
    <row r="242" spans="1:6" ht="12.75" customHeight="1" x14ac:dyDescent="0.2">
      <c r="A242" s="21">
        <f t="shared" ref="A242" si="101">A241+C241</f>
        <v>634</v>
      </c>
      <c r="B242" s="7">
        <f t="shared" si="100"/>
        <v>634</v>
      </c>
      <c r="C242" s="21">
        <v>1</v>
      </c>
      <c r="D242" s="4" t="s">
        <v>27</v>
      </c>
      <c r="E242" s="52" t="s">
        <v>176</v>
      </c>
      <c r="F242" s="50" t="s">
        <v>303</v>
      </c>
    </row>
    <row r="243" spans="1:6" x14ac:dyDescent="0.2">
      <c r="A243" s="21">
        <f>A242+C242</f>
        <v>635</v>
      </c>
      <c r="B243" s="7">
        <f t="shared" si="100"/>
        <v>635</v>
      </c>
      <c r="C243" s="21">
        <v>1</v>
      </c>
      <c r="D243" s="4" t="s">
        <v>29</v>
      </c>
      <c r="E243" s="52"/>
      <c r="F243" s="50"/>
    </row>
    <row r="244" spans="1:6" x14ac:dyDescent="0.2">
      <c r="A244" s="21">
        <f t="shared" ref="A244:A252" si="102">A243+C243</f>
        <v>636</v>
      </c>
      <c r="B244" s="7">
        <f t="shared" si="100"/>
        <v>636</v>
      </c>
      <c r="C244" s="21">
        <v>1</v>
      </c>
      <c r="D244" s="4" t="s">
        <v>30</v>
      </c>
      <c r="E244" s="52"/>
      <c r="F244" s="50"/>
    </row>
    <row r="245" spans="1:6" x14ac:dyDescent="0.2">
      <c r="A245" s="21">
        <f>A244+C244</f>
        <v>637</v>
      </c>
      <c r="B245" s="7">
        <f t="shared" si="100"/>
        <v>637</v>
      </c>
      <c r="C245" s="21">
        <v>1</v>
      </c>
      <c r="D245" s="4" t="s">
        <v>31</v>
      </c>
      <c r="E245" s="52"/>
      <c r="F245" s="50"/>
    </row>
    <row r="246" spans="1:6" x14ac:dyDescent="0.2">
      <c r="A246" s="21">
        <f>A245+C245</f>
        <v>638</v>
      </c>
      <c r="B246" s="7">
        <f t="shared" si="100"/>
        <v>638</v>
      </c>
      <c r="C246" s="21">
        <v>1</v>
      </c>
      <c r="D246" s="4" t="s">
        <v>32</v>
      </c>
      <c r="E246" s="52"/>
      <c r="F246" s="50"/>
    </row>
    <row r="247" spans="1:6" x14ac:dyDescent="0.2">
      <c r="A247" s="21">
        <f t="shared" si="102"/>
        <v>639</v>
      </c>
      <c r="B247" s="7">
        <f t="shared" si="100"/>
        <v>639</v>
      </c>
      <c r="C247" s="21">
        <v>1</v>
      </c>
      <c r="D247" s="4" t="s">
        <v>33</v>
      </c>
      <c r="E247" s="52"/>
      <c r="F247" s="50"/>
    </row>
    <row r="248" spans="1:6" x14ac:dyDescent="0.2">
      <c r="A248" s="21">
        <f t="shared" si="102"/>
        <v>640</v>
      </c>
      <c r="B248" s="7">
        <f t="shared" si="100"/>
        <v>640</v>
      </c>
      <c r="C248" s="8">
        <v>1</v>
      </c>
      <c r="D248" s="4" t="s">
        <v>395</v>
      </c>
      <c r="E248" s="52"/>
      <c r="F248" s="50"/>
    </row>
    <row r="249" spans="1:6" x14ac:dyDescent="0.2">
      <c r="A249" s="21">
        <f t="shared" ref="A249:A250" si="103">A248+C248</f>
        <v>641</v>
      </c>
      <c r="B249" s="7">
        <f t="shared" ref="B249:B250" si="104">A249+C249-1</f>
        <v>641</v>
      </c>
      <c r="C249" s="8">
        <v>1</v>
      </c>
      <c r="D249" s="4" t="s">
        <v>349</v>
      </c>
      <c r="E249" s="52"/>
      <c r="F249" s="50"/>
    </row>
    <row r="250" spans="1:6" x14ac:dyDescent="0.2">
      <c r="A250" s="21">
        <f t="shared" si="103"/>
        <v>642</v>
      </c>
      <c r="B250" s="7">
        <f t="shared" si="104"/>
        <v>642</v>
      </c>
      <c r="C250" s="8">
        <v>1</v>
      </c>
      <c r="D250" s="4" t="s">
        <v>350</v>
      </c>
      <c r="E250" s="52"/>
      <c r="F250" s="50"/>
    </row>
    <row r="251" spans="1:6" x14ac:dyDescent="0.2">
      <c r="A251" s="21">
        <f>A250+C250</f>
        <v>643</v>
      </c>
      <c r="B251" s="7">
        <f t="shared" si="100"/>
        <v>643</v>
      </c>
      <c r="C251" s="21">
        <v>1</v>
      </c>
      <c r="D251" s="4" t="s">
        <v>109</v>
      </c>
      <c r="E251" s="52"/>
      <c r="F251" s="50"/>
    </row>
    <row r="252" spans="1:6" x14ac:dyDescent="0.2">
      <c r="A252" s="21">
        <f t="shared" si="102"/>
        <v>644</v>
      </c>
      <c r="B252" s="7">
        <f t="shared" si="100"/>
        <v>648</v>
      </c>
      <c r="C252" s="21">
        <v>5</v>
      </c>
      <c r="D252" s="4" t="s">
        <v>64</v>
      </c>
    </row>
    <row r="253" spans="1:6" ht="12.75" customHeight="1" x14ac:dyDescent="0.2">
      <c r="D253" s="5" t="s">
        <v>37</v>
      </c>
      <c r="E253" s="45"/>
      <c r="F253" s="45"/>
    </row>
    <row r="254" spans="1:6" ht="38.25" x14ac:dyDescent="0.2">
      <c r="A254" s="21">
        <f>A252+C252</f>
        <v>649</v>
      </c>
      <c r="B254" s="7">
        <f t="shared" ref="B254:B255" si="105">A254+C254-1</f>
        <v>649</v>
      </c>
      <c r="C254" s="21">
        <v>1</v>
      </c>
      <c r="D254" s="4" t="s">
        <v>33</v>
      </c>
      <c r="E254" s="40" t="s">
        <v>176</v>
      </c>
      <c r="F254" s="19" t="s">
        <v>303</v>
      </c>
    </row>
    <row r="255" spans="1:6" x14ac:dyDescent="0.2">
      <c r="A255" s="21">
        <f>A254+C254</f>
        <v>650</v>
      </c>
      <c r="B255" s="7">
        <f t="shared" si="105"/>
        <v>654</v>
      </c>
      <c r="C255" s="21">
        <v>5</v>
      </c>
      <c r="D255" s="4" t="s">
        <v>64</v>
      </c>
    </row>
    <row r="256" spans="1:6" x14ac:dyDescent="0.2">
      <c r="D256" s="28" t="s">
        <v>101</v>
      </c>
    </row>
    <row r="257" spans="1:6" x14ac:dyDescent="0.2">
      <c r="A257" s="21">
        <f>A255+C255</f>
        <v>655</v>
      </c>
      <c r="B257" s="7">
        <f t="shared" ref="B257:B268" si="106">A257+C257-1</f>
        <v>655</v>
      </c>
      <c r="C257" s="21">
        <v>1</v>
      </c>
      <c r="D257" s="4" t="s">
        <v>102</v>
      </c>
      <c r="E257" s="50" t="s">
        <v>179</v>
      </c>
      <c r="F257" s="50" t="s">
        <v>180</v>
      </c>
    </row>
    <row r="258" spans="1:6" x14ac:dyDescent="0.2">
      <c r="A258" s="21">
        <f t="shared" ref="A258" si="107">A257+C257</f>
        <v>656</v>
      </c>
      <c r="B258" s="7">
        <f t="shared" si="106"/>
        <v>656</v>
      </c>
      <c r="C258" s="21">
        <v>1</v>
      </c>
      <c r="D258" s="4" t="s">
        <v>304</v>
      </c>
      <c r="E258" s="50"/>
      <c r="F258" s="50"/>
    </row>
    <row r="259" spans="1:6" x14ac:dyDescent="0.2">
      <c r="A259" s="21">
        <f t="shared" ref="A259:A267" si="108">A258+C258</f>
        <v>657</v>
      </c>
      <c r="B259" s="7">
        <f t="shared" si="106"/>
        <v>657</v>
      </c>
      <c r="C259" s="21">
        <v>1</v>
      </c>
      <c r="D259" s="4" t="s">
        <v>105</v>
      </c>
      <c r="E259" s="50"/>
      <c r="F259" s="50"/>
    </row>
    <row r="260" spans="1:6" x14ac:dyDescent="0.2">
      <c r="A260" s="21">
        <f t="shared" si="108"/>
        <v>658</v>
      </c>
      <c r="B260" s="7">
        <f t="shared" si="106"/>
        <v>658</v>
      </c>
      <c r="C260" s="21">
        <v>1</v>
      </c>
      <c r="D260" s="4" t="s">
        <v>106</v>
      </c>
      <c r="E260" s="50"/>
      <c r="F260" s="50"/>
    </row>
    <row r="261" spans="1:6" x14ac:dyDescent="0.2">
      <c r="A261" s="21">
        <f t="shared" si="108"/>
        <v>659</v>
      </c>
      <c r="B261" s="7">
        <f t="shared" si="106"/>
        <v>659</v>
      </c>
      <c r="C261" s="21">
        <v>1</v>
      </c>
      <c r="D261" s="4" t="s">
        <v>32</v>
      </c>
      <c r="E261" s="50"/>
      <c r="F261" s="50"/>
    </row>
    <row r="262" spans="1:6" x14ac:dyDescent="0.2">
      <c r="A262" s="21">
        <f t="shared" si="108"/>
        <v>660</v>
      </c>
      <c r="B262" s="7">
        <f t="shared" si="106"/>
        <v>660</v>
      </c>
      <c r="C262" s="21">
        <v>1</v>
      </c>
      <c r="D262" s="4" t="s">
        <v>30</v>
      </c>
      <c r="E262" s="50"/>
      <c r="F262" s="50"/>
    </row>
    <row r="263" spans="1:6" x14ac:dyDescent="0.2">
      <c r="A263" s="21">
        <f t="shared" si="108"/>
        <v>661</v>
      </c>
      <c r="B263" s="7">
        <f t="shared" si="106"/>
        <v>661</v>
      </c>
      <c r="C263" s="21">
        <v>1</v>
      </c>
      <c r="D263" s="4" t="s">
        <v>31</v>
      </c>
      <c r="E263" s="50"/>
      <c r="F263" s="50"/>
    </row>
    <row r="264" spans="1:6" x14ac:dyDescent="0.2">
      <c r="A264" s="21">
        <f t="shared" si="108"/>
        <v>662</v>
      </c>
      <c r="B264" s="7">
        <f t="shared" si="106"/>
        <v>662</v>
      </c>
      <c r="C264" s="21">
        <v>1</v>
      </c>
      <c r="D264" s="4" t="s">
        <v>108</v>
      </c>
      <c r="E264" s="50"/>
      <c r="F264" s="50"/>
    </row>
    <row r="265" spans="1:6" x14ac:dyDescent="0.2">
      <c r="A265" s="21">
        <f t="shared" si="108"/>
        <v>663</v>
      </c>
      <c r="B265" s="7">
        <f t="shared" si="106"/>
        <v>663</v>
      </c>
      <c r="C265" s="8">
        <v>1</v>
      </c>
      <c r="D265" s="4" t="s">
        <v>300</v>
      </c>
      <c r="E265" s="50"/>
      <c r="F265" s="50"/>
    </row>
    <row r="266" spans="1:6" x14ac:dyDescent="0.2">
      <c r="A266" s="21">
        <f t="shared" si="108"/>
        <v>664</v>
      </c>
      <c r="B266" s="7">
        <f t="shared" si="106"/>
        <v>664</v>
      </c>
      <c r="C266" s="8">
        <v>1</v>
      </c>
      <c r="D266" s="4" t="s">
        <v>28</v>
      </c>
      <c r="E266" s="50"/>
      <c r="F266" s="50"/>
    </row>
    <row r="267" spans="1:6" x14ac:dyDescent="0.2">
      <c r="A267" s="21">
        <f t="shared" si="108"/>
        <v>665</v>
      </c>
      <c r="B267" s="7">
        <f t="shared" si="106"/>
        <v>665</v>
      </c>
      <c r="C267" s="8">
        <v>1</v>
      </c>
      <c r="D267" s="4" t="s">
        <v>301</v>
      </c>
      <c r="E267" s="50"/>
      <c r="F267" s="50"/>
    </row>
    <row r="268" spans="1:6" x14ac:dyDescent="0.2">
      <c r="A268" s="21">
        <f>A267+C267</f>
        <v>666</v>
      </c>
      <c r="B268" s="7">
        <f t="shared" si="106"/>
        <v>674</v>
      </c>
      <c r="C268" s="21">
        <v>9</v>
      </c>
      <c r="D268" s="4" t="s">
        <v>64</v>
      </c>
    </row>
    <row r="269" spans="1:6" x14ac:dyDescent="0.2">
      <c r="D269" s="28" t="s">
        <v>111</v>
      </c>
    </row>
    <row r="270" spans="1:6" x14ac:dyDescent="0.2">
      <c r="D270" s="28" t="s">
        <v>112</v>
      </c>
    </row>
    <row r="271" spans="1:6" ht="81.75" customHeight="1" x14ac:dyDescent="0.2">
      <c r="A271" s="21">
        <f>A268+C268</f>
        <v>675</v>
      </c>
      <c r="B271" s="7">
        <f t="shared" ref="B271" si="109">A271+C271-1</f>
        <v>675</v>
      </c>
      <c r="C271" s="21">
        <v>1</v>
      </c>
      <c r="D271" s="29" t="s">
        <v>112</v>
      </c>
      <c r="E271" s="40" t="s">
        <v>198</v>
      </c>
      <c r="F271" s="37" t="s">
        <v>404</v>
      </c>
    </row>
    <row r="272" spans="1:6" x14ac:dyDescent="0.2">
      <c r="D272" s="28" t="s">
        <v>138</v>
      </c>
    </row>
    <row r="273" spans="1:6" ht="102" x14ac:dyDescent="0.2">
      <c r="A273" s="21">
        <f>A271+C271</f>
        <v>676</v>
      </c>
      <c r="B273" s="7">
        <f t="shared" ref="B273:B279" si="110">A273+C273-1</f>
        <v>677</v>
      </c>
      <c r="C273" s="21">
        <v>2</v>
      </c>
      <c r="D273" s="29" t="s">
        <v>98</v>
      </c>
      <c r="E273" s="6" t="s">
        <v>199</v>
      </c>
      <c r="F273" s="40" t="s">
        <v>202</v>
      </c>
    </row>
    <row r="274" spans="1:6" x14ac:dyDescent="0.2">
      <c r="A274" s="21">
        <f>A273+C273</f>
        <v>678</v>
      </c>
      <c r="B274" s="7">
        <f t="shared" si="110"/>
        <v>679</v>
      </c>
      <c r="C274" s="21">
        <v>2</v>
      </c>
      <c r="D274" s="29" t="s">
        <v>64</v>
      </c>
      <c r="E274" s="33"/>
      <c r="F274" s="40"/>
    </row>
    <row r="275" spans="1:6" ht="102" x14ac:dyDescent="0.2">
      <c r="A275" s="21">
        <f>A274+C274</f>
        <v>680</v>
      </c>
      <c r="B275" s="7">
        <f t="shared" si="110"/>
        <v>681</v>
      </c>
      <c r="C275" s="21">
        <v>2</v>
      </c>
      <c r="D275" s="29" t="s">
        <v>298</v>
      </c>
      <c r="E275" s="33" t="s">
        <v>335</v>
      </c>
      <c r="F275" s="40" t="s">
        <v>305</v>
      </c>
    </row>
    <row r="276" spans="1:6" ht="72.75" customHeight="1" x14ac:dyDescent="0.2">
      <c r="A276" s="21">
        <f t="shared" ref="A276:A279" si="111">A275+C275</f>
        <v>682</v>
      </c>
      <c r="B276" s="7">
        <f t="shared" si="110"/>
        <v>683</v>
      </c>
      <c r="C276" s="21">
        <v>2</v>
      </c>
      <c r="D276" s="25" t="s">
        <v>139</v>
      </c>
      <c r="E276" s="51" t="s">
        <v>405</v>
      </c>
      <c r="F276" s="51" t="s">
        <v>406</v>
      </c>
    </row>
    <row r="277" spans="1:6" ht="72.75" customHeight="1" x14ac:dyDescent="0.2">
      <c r="A277" s="21">
        <f t="shared" si="111"/>
        <v>684</v>
      </c>
      <c r="B277" s="7">
        <f t="shared" si="110"/>
        <v>685</v>
      </c>
      <c r="C277" s="21">
        <v>2</v>
      </c>
      <c r="D277" s="25" t="s">
        <v>140</v>
      </c>
      <c r="E277" s="51"/>
      <c r="F277" s="51"/>
    </row>
    <row r="278" spans="1:6" ht="71.25" customHeight="1" x14ac:dyDescent="0.2">
      <c r="A278" s="21">
        <f t="shared" si="111"/>
        <v>686</v>
      </c>
      <c r="B278" s="7">
        <f t="shared" si="110"/>
        <v>687</v>
      </c>
      <c r="C278" s="21">
        <v>2</v>
      </c>
      <c r="D278" s="25" t="s">
        <v>141</v>
      </c>
      <c r="E278" s="51"/>
      <c r="F278" s="51"/>
    </row>
    <row r="279" spans="1:6" ht="71.25" customHeight="1" x14ac:dyDescent="0.2">
      <c r="A279" s="21">
        <f t="shared" si="111"/>
        <v>688</v>
      </c>
      <c r="B279" s="7">
        <f t="shared" si="110"/>
        <v>689</v>
      </c>
      <c r="C279" s="21">
        <v>2</v>
      </c>
      <c r="D279" s="25" t="s">
        <v>142</v>
      </c>
      <c r="E279" s="51"/>
      <c r="F279" s="51"/>
    </row>
    <row r="280" spans="1:6" x14ac:dyDescent="0.2">
      <c r="D280" s="28" t="s">
        <v>113</v>
      </c>
    </row>
    <row r="281" spans="1:6" ht="63.75" x14ac:dyDescent="0.2">
      <c r="A281" s="21">
        <f>A279+C279</f>
        <v>690</v>
      </c>
      <c r="B281" s="7">
        <f t="shared" ref="B281:B284" si="112">A281+C281-1</f>
        <v>691</v>
      </c>
      <c r="C281" s="21">
        <v>2</v>
      </c>
      <c r="D281" s="29" t="s">
        <v>299</v>
      </c>
      <c r="E281" s="19" t="s">
        <v>201</v>
      </c>
      <c r="F281" s="40" t="s">
        <v>336</v>
      </c>
    </row>
    <row r="282" spans="1:6" x14ac:dyDescent="0.2">
      <c r="A282" s="21">
        <f>A281+C281</f>
        <v>692</v>
      </c>
      <c r="B282" s="7">
        <f t="shared" si="112"/>
        <v>697</v>
      </c>
      <c r="C282" s="21">
        <v>6</v>
      </c>
      <c r="D282" s="29" t="s">
        <v>64</v>
      </c>
      <c r="E282" s="40"/>
      <c r="F282" s="40"/>
    </row>
    <row r="283" spans="1:6" ht="78.75" customHeight="1" x14ac:dyDescent="0.2">
      <c r="A283" s="21">
        <f>A282+C282</f>
        <v>698</v>
      </c>
      <c r="B283" s="7">
        <f t="shared" si="112"/>
        <v>698</v>
      </c>
      <c r="C283" s="21">
        <v>1</v>
      </c>
      <c r="D283" s="29" t="s">
        <v>114</v>
      </c>
      <c r="E283" s="40" t="s">
        <v>200</v>
      </c>
      <c r="F283" s="40" t="s">
        <v>407</v>
      </c>
    </row>
    <row r="284" spans="1:6" ht="76.5" x14ac:dyDescent="0.2">
      <c r="A284" s="21">
        <f t="shared" ref="A284" si="113">A283+C283</f>
        <v>699</v>
      </c>
      <c r="B284" s="7">
        <f t="shared" si="112"/>
        <v>699</v>
      </c>
      <c r="C284" s="21">
        <v>1</v>
      </c>
      <c r="D284" s="29" t="s">
        <v>99</v>
      </c>
      <c r="E284" s="40" t="s">
        <v>306</v>
      </c>
      <c r="F284" s="40" t="s">
        <v>203</v>
      </c>
    </row>
    <row r="285" spans="1:6" x14ac:dyDescent="0.2">
      <c r="D285" s="28" t="s">
        <v>115</v>
      </c>
    </row>
    <row r="286" spans="1:6" x14ac:dyDescent="0.2">
      <c r="A286" s="21">
        <f>A284+C284</f>
        <v>700</v>
      </c>
      <c r="B286" s="7">
        <f t="shared" ref="B286:B287" si="114">A286+C286-1</f>
        <v>705</v>
      </c>
      <c r="C286" s="21">
        <v>6</v>
      </c>
      <c r="D286" s="32" t="s">
        <v>64</v>
      </c>
      <c r="E286" s="19"/>
      <c r="F286" s="40"/>
    </row>
    <row r="287" spans="1:6" ht="80.25" customHeight="1" x14ac:dyDescent="0.2">
      <c r="A287" s="21">
        <f>A286+C286</f>
        <v>706</v>
      </c>
      <c r="B287" s="7">
        <f t="shared" si="114"/>
        <v>706</v>
      </c>
      <c r="C287" s="21">
        <v>1</v>
      </c>
      <c r="D287" s="29" t="s">
        <v>116</v>
      </c>
      <c r="E287" s="40" t="s">
        <v>204</v>
      </c>
      <c r="F287" s="40" t="s">
        <v>408</v>
      </c>
    </row>
    <row r="288" spans="1:6" x14ac:dyDescent="0.2">
      <c r="A288" s="21">
        <f>A287+C287</f>
        <v>707</v>
      </c>
      <c r="B288" s="7">
        <f t="shared" ref="B288" si="115">A288+C288-1</f>
        <v>733</v>
      </c>
      <c r="C288" s="21">
        <v>27</v>
      </c>
      <c r="D288" s="4" t="s">
        <v>64</v>
      </c>
    </row>
    <row r="289" spans="1:6" x14ac:dyDescent="0.2">
      <c r="D289" s="28" t="s">
        <v>45</v>
      </c>
    </row>
    <row r="290" spans="1:6" ht="63.75" x14ac:dyDescent="0.2">
      <c r="A290" s="21">
        <f>A288+C288</f>
        <v>734</v>
      </c>
      <c r="B290" s="7">
        <f t="shared" ref="B290:B292" si="116">A290+C290-1</f>
        <v>738</v>
      </c>
      <c r="C290" s="21">
        <v>5</v>
      </c>
      <c r="D290" s="27" t="s">
        <v>46</v>
      </c>
      <c r="E290" s="40" t="s">
        <v>181</v>
      </c>
      <c r="F290" s="40" t="s">
        <v>184</v>
      </c>
    </row>
    <row r="291" spans="1:6" ht="63.75" x14ac:dyDescent="0.2">
      <c r="A291" s="21">
        <f t="shared" ref="A291" si="117">A290+C290</f>
        <v>739</v>
      </c>
      <c r="B291" s="7">
        <f t="shared" si="116"/>
        <v>741</v>
      </c>
      <c r="C291" s="21">
        <v>3</v>
      </c>
      <c r="D291" s="27" t="s">
        <v>393</v>
      </c>
      <c r="E291" s="19" t="s">
        <v>182</v>
      </c>
      <c r="F291" s="40" t="s">
        <v>394</v>
      </c>
    </row>
    <row r="292" spans="1:6" ht="114.75" x14ac:dyDescent="0.2">
      <c r="A292" s="21">
        <f t="shared" ref="A292" si="118">A291+C291</f>
        <v>742</v>
      </c>
      <c r="B292" s="7">
        <f t="shared" si="116"/>
        <v>744</v>
      </c>
      <c r="C292" s="21">
        <v>3</v>
      </c>
      <c r="D292" s="27" t="s">
        <v>47</v>
      </c>
      <c r="E292" s="40" t="s">
        <v>183</v>
      </c>
      <c r="F292" s="37" t="s">
        <v>274</v>
      </c>
    </row>
    <row r="293" spans="1:6" x14ac:dyDescent="0.2">
      <c r="D293" s="28" t="s">
        <v>48</v>
      </c>
    </row>
    <row r="294" spans="1:6" ht="51" x14ac:dyDescent="0.2">
      <c r="A294" s="21">
        <f>A292+C292</f>
        <v>745</v>
      </c>
      <c r="B294" s="7">
        <f t="shared" ref="B294:B309" si="119">A294+C294-1</f>
        <v>748</v>
      </c>
      <c r="C294" s="21">
        <v>4</v>
      </c>
      <c r="D294" s="27" t="s">
        <v>73</v>
      </c>
      <c r="E294" s="19" t="s">
        <v>185</v>
      </c>
      <c r="F294" s="19" t="s">
        <v>186</v>
      </c>
    </row>
    <row r="295" spans="1:6" ht="51" x14ac:dyDescent="0.2">
      <c r="A295" s="21">
        <f t="shared" ref="A295" si="120">A294+C294</f>
        <v>749</v>
      </c>
      <c r="B295" s="7">
        <f t="shared" si="119"/>
        <v>749</v>
      </c>
      <c r="C295" s="21">
        <v>1</v>
      </c>
      <c r="D295" s="27" t="s">
        <v>278</v>
      </c>
      <c r="E295" s="22" t="s">
        <v>275</v>
      </c>
      <c r="F295" s="19" t="s">
        <v>279</v>
      </c>
    </row>
    <row r="296" spans="1:6" ht="51" x14ac:dyDescent="0.2">
      <c r="A296" s="21">
        <f t="shared" ref="A296" si="121">A295+C295</f>
        <v>750</v>
      </c>
      <c r="B296" s="7">
        <f t="shared" ref="B296" si="122">A296+C296-1</f>
        <v>752</v>
      </c>
      <c r="C296" s="21">
        <v>3</v>
      </c>
      <c r="D296" s="27" t="s">
        <v>250</v>
      </c>
      <c r="E296" s="22" t="s">
        <v>251</v>
      </c>
      <c r="F296" s="19" t="s">
        <v>252</v>
      </c>
    </row>
    <row r="297" spans="1:6" ht="51" x14ac:dyDescent="0.2">
      <c r="A297" s="21">
        <f>A296+C296</f>
        <v>753</v>
      </c>
      <c r="B297" s="7">
        <f t="shared" si="119"/>
        <v>756</v>
      </c>
      <c r="C297" s="21">
        <v>4</v>
      </c>
      <c r="D297" s="27" t="s">
        <v>74</v>
      </c>
      <c r="E297" s="19" t="s">
        <v>185</v>
      </c>
      <c r="F297" s="19" t="s">
        <v>187</v>
      </c>
    </row>
    <row r="298" spans="1:6" ht="51" x14ac:dyDescent="0.2">
      <c r="A298" s="21">
        <f t="shared" ref="A298:A307" si="123">A297+C297</f>
        <v>757</v>
      </c>
      <c r="B298" s="7">
        <f t="shared" si="119"/>
        <v>757</v>
      </c>
      <c r="C298" s="21">
        <v>1</v>
      </c>
      <c r="D298" s="27" t="s">
        <v>280</v>
      </c>
      <c r="E298" s="22" t="s">
        <v>275</v>
      </c>
      <c r="F298" s="19" t="s">
        <v>281</v>
      </c>
    </row>
    <row r="299" spans="1:6" ht="63.75" x14ac:dyDescent="0.2">
      <c r="A299" s="21">
        <f>A298+C298</f>
        <v>758</v>
      </c>
      <c r="B299" s="7">
        <f t="shared" ref="B299" si="124">A299+C299-1</f>
        <v>760</v>
      </c>
      <c r="C299" s="21">
        <v>3</v>
      </c>
      <c r="D299" s="27" t="s">
        <v>253</v>
      </c>
      <c r="E299" s="22" t="s">
        <v>251</v>
      </c>
      <c r="F299" s="19" t="s">
        <v>254</v>
      </c>
    </row>
    <row r="300" spans="1:6" ht="51" x14ac:dyDescent="0.2">
      <c r="A300" s="21">
        <f>A299+C299</f>
        <v>761</v>
      </c>
      <c r="B300" s="7">
        <f t="shared" si="119"/>
        <v>764</v>
      </c>
      <c r="C300" s="21">
        <v>4</v>
      </c>
      <c r="D300" s="27" t="s">
        <v>75</v>
      </c>
      <c r="E300" s="19" t="s">
        <v>185</v>
      </c>
      <c r="F300" s="19" t="s">
        <v>188</v>
      </c>
    </row>
    <row r="301" spans="1:6" ht="51" x14ac:dyDescent="0.2">
      <c r="A301" s="21">
        <f t="shared" si="123"/>
        <v>765</v>
      </c>
      <c r="B301" s="7">
        <f t="shared" si="119"/>
        <v>765</v>
      </c>
      <c r="C301" s="21">
        <v>1</v>
      </c>
      <c r="D301" s="27" t="s">
        <v>282</v>
      </c>
      <c r="E301" s="22" t="s">
        <v>275</v>
      </c>
      <c r="F301" s="19" t="s">
        <v>283</v>
      </c>
    </row>
    <row r="302" spans="1:6" ht="51" x14ac:dyDescent="0.2">
      <c r="A302" s="21">
        <f>A301+C301</f>
        <v>766</v>
      </c>
      <c r="B302" s="7">
        <f t="shared" si="119"/>
        <v>768</v>
      </c>
      <c r="C302" s="21">
        <v>3</v>
      </c>
      <c r="D302" s="27" t="s">
        <v>255</v>
      </c>
      <c r="E302" s="22" t="s">
        <v>251</v>
      </c>
      <c r="F302" s="19" t="s">
        <v>256</v>
      </c>
    </row>
    <row r="303" spans="1:6" ht="51" x14ac:dyDescent="0.2">
      <c r="A303" s="21">
        <f>A302+C302</f>
        <v>769</v>
      </c>
      <c r="B303" s="7">
        <f t="shared" si="119"/>
        <v>772</v>
      </c>
      <c r="C303" s="21">
        <v>4</v>
      </c>
      <c r="D303" s="27" t="s">
        <v>50</v>
      </c>
      <c r="E303" s="19" t="s">
        <v>185</v>
      </c>
      <c r="F303" s="19" t="s">
        <v>189</v>
      </c>
    </row>
    <row r="304" spans="1:6" ht="51" x14ac:dyDescent="0.2">
      <c r="A304" s="21">
        <f t="shared" si="123"/>
        <v>773</v>
      </c>
      <c r="B304" s="7">
        <f t="shared" si="119"/>
        <v>773</v>
      </c>
      <c r="C304" s="21">
        <v>1</v>
      </c>
      <c r="D304" s="27" t="s">
        <v>284</v>
      </c>
      <c r="E304" s="22" t="s">
        <v>275</v>
      </c>
      <c r="F304" s="19" t="s">
        <v>285</v>
      </c>
    </row>
    <row r="305" spans="1:6" ht="51" x14ac:dyDescent="0.2">
      <c r="A305" s="21">
        <f>A304+C304</f>
        <v>774</v>
      </c>
      <c r="B305" s="7">
        <f t="shared" ref="B305" si="125">A305+C305-1</f>
        <v>776</v>
      </c>
      <c r="C305" s="21">
        <v>3</v>
      </c>
      <c r="D305" s="27" t="s">
        <v>259</v>
      </c>
      <c r="E305" s="22" t="s">
        <v>251</v>
      </c>
      <c r="F305" s="19" t="s">
        <v>260</v>
      </c>
    </row>
    <row r="306" spans="1:6" ht="63.75" x14ac:dyDescent="0.2">
      <c r="A306" s="21">
        <f>A305+C305</f>
        <v>777</v>
      </c>
      <c r="B306" s="7">
        <f t="shared" si="119"/>
        <v>780</v>
      </c>
      <c r="C306" s="21">
        <v>4</v>
      </c>
      <c r="D306" s="27" t="s">
        <v>51</v>
      </c>
      <c r="E306" s="19" t="s">
        <v>185</v>
      </c>
      <c r="F306" s="19" t="s">
        <v>190</v>
      </c>
    </row>
    <row r="307" spans="1:6" ht="51" x14ac:dyDescent="0.2">
      <c r="A307" s="21">
        <f t="shared" si="123"/>
        <v>781</v>
      </c>
      <c r="B307" s="7">
        <f t="shared" si="119"/>
        <v>781</v>
      </c>
      <c r="C307" s="21">
        <v>1</v>
      </c>
      <c r="D307" s="27" t="s">
        <v>286</v>
      </c>
      <c r="E307" s="22" t="s">
        <v>275</v>
      </c>
      <c r="F307" s="19" t="s">
        <v>287</v>
      </c>
    </row>
    <row r="308" spans="1:6" ht="63.75" x14ac:dyDescent="0.2">
      <c r="A308" s="21">
        <f>A307+C307</f>
        <v>782</v>
      </c>
      <c r="B308" s="7">
        <f t="shared" si="119"/>
        <v>784</v>
      </c>
      <c r="C308" s="21">
        <v>3</v>
      </c>
      <c r="D308" s="27" t="s">
        <v>257</v>
      </c>
      <c r="E308" s="22" t="s">
        <v>251</v>
      </c>
      <c r="F308" s="19" t="s">
        <v>258</v>
      </c>
    </row>
    <row r="309" spans="1:6" x14ac:dyDescent="0.2">
      <c r="A309" s="21">
        <f>A308+C308</f>
        <v>785</v>
      </c>
      <c r="B309" s="7">
        <f t="shared" si="119"/>
        <v>804</v>
      </c>
      <c r="C309" s="21">
        <v>20</v>
      </c>
      <c r="D309" s="27" t="s">
        <v>64</v>
      </c>
    </row>
    <row r="310" spans="1:6" x14ac:dyDescent="0.2">
      <c r="D310" s="28" t="s">
        <v>49</v>
      </c>
    </row>
    <row r="311" spans="1:6" ht="51" x14ac:dyDescent="0.2">
      <c r="A311" s="21">
        <f>A309+C309</f>
        <v>805</v>
      </c>
      <c r="B311" s="7">
        <f t="shared" ref="B311:B315" si="126">A311+C311-1</f>
        <v>808</v>
      </c>
      <c r="C311" s="21">
        <v>4</v>
      </c>
      <c r="D311" s="27" t="s">
        <v>52</v>
      </c>
      <c r="E311" s="19" t="s">
        <v>185</v>
      </c>
      <c r="F311" s="19" t="s">
        <v>191</v>
      </c>
    </row>
    <row r="312" spans="1:6" ht="51" x14ac:dyDescent="0.2">
      <c r="A312" s="21">
        <f t="shared" ref="A312" si="127">A311+C311</f>
        <v>809</v>
      </c>
      <c r="B312" s="7">
        <f t="shared" si="126"/>
        <v>809</v>
      </c>
      <c r="C312" s="21">
        <v>1</v>
      </c>
      <c r="D312" s="27" t="s">
        <v>288</v>
      </c>
      <c r="E312" s="22" t="s">
        <v>275</v>
      </c>
      <c r="F312" s="19" t="s">
        <v>289</v>
      </c>
    </row>
    <row r="313" spans="1:6" ht="51" x14ac:dyDescent="0.2">
      <c r="A313" s="21">
        <f>A312+C312</f>
        <v>810</v>
      </c>
      <c r="B313" s="7">
        <f t="shared" si="126"/>
        <v>812</v>
      </c>
      <c r="C313" s="21">
        <v>3</v>
      </c>
      <c r="D313" s="27" t="s">
        <v>261</v>
      </c>
      <c r="E313" s="22" t="s">
        <v>251</v>
      </c>
      <c r="F313" s="19" t="s">
        <v>271</v>
      </c>
    </row>
    <row r="314" spans="1:6" ht="51" x14ac:dyDescent="0.2">
      <c r="A314" s="21">
        <f>A313+C313</f>
        <v>813</v>
      </c>
      <c r="B314" s="7">
        <f t="shared" si="126"/>
        <v>816</v>
      </c>
      <c r="C314" s="21">
        <v>4</v>
      </c>
      <c r="D314" s="27" t="s">
        <v>53</v>
      </c>
      <c r="E314" s="19" t="s">
        <v>185</v>
      </c>
      <c r="F314" s="19" t="s">
        <v>192</v>
      </c>
    </row>
    <row r="315" spans="1:6" ht="51" x14ac:dyDescent="0.2">
      <c r="A315" s="21">
        <f t="shared" ref="A315" si="128">A314+C314</f>
        <v>817</v>
      </c>
      <c r="B315" s="7">
        <f t="shared" si="126"/>
        <v>817</v>
      </c>
      <c r="C315" s="21">
        <v>1</v>
      </c>
      <c r="D315" s="27" t="s">
        <v>290</v>
      </c>
      <c r="E315" s="22" t="s">
        <v>275</v>
      </c>
      <c r="F315" s="19" t="s">
        <v>291</v>
      </c>
    </row>
    <row r="316" spans="1:6" ht="51" x14ac:dyDescent="0.2">
      <c r="A316" s="21">
        <f>A315+C315</f>
        <v>818</v>
      </c>
      <c r="B316" s="7">
        <f t="shared" ref="B316" si="129">A316+C316-1</f>
        <v>820</v>
      </c>
      <c r="C316" s="21">
        <v>3</v>
      </c>
      <c r="D316" s="27" t="s">
        <v>262</v>
      </c>
      <c r="E316" s="22" t="s">
        <v>251</v>
      </c>
      <c r="F316" s="19" t="s">
        <v>272</v>
      </c>
    </row>
    <row r="317" spans="1:6" x14ac:dyDescent="0.2">
      <c r="A317" s="21">
        <f>A316+C316</f>
        <v>821</v>
      </c>
      <c r="B317" s="7">
        <f t="shared" ref="B317" si="130">A317+C317-1</f>
        <v>856</v>
      </c>
      <c r="C317" s="21">
        <v>36</v>
      </c>
      <c r="D317" s="27" t="s">
        <v>64</v>
      </c>
    </row>
    <row r="318" spans="1:6" x14ac:dyDescent="0.2">
      <c r="D318" s="28" t="s">
        <v>54</v>
      </c>
    </row>
    <row r="319" spans="1:6" ht="63.75" x14ac:dyDescent="0.2">
      <c r="A319" s="21">
        <f>A317+C317</f>
        <v>857</v>
      </c>
      <c r="B319" s="7">
        <f t="shared" ref="B319:B321" si="131">A319+C319-1</f>
        <v>861</v>
      </c>
      <c r="C319" s="21">
        <v>5</v>
      </c>
      <c r="D319" s="27" t="s">
        <v>55</v>
      </c>
      <c r="E319" s="40" t="s">
        <v>181</v>
      </c>
      <c r="F319" s="40" t="s">
        <v>193</v>
      </c>
    </row>
    <row r="320" spans="1:6" ht="63.75" x14ac:dyDescent="0.2">
      <c r="A320" s="21">
        <f t="shared" ref="A320" si="132">A319+C319</f>
        <v>862</v>
      </c>
      <c r="B320" s="7">
        <f t="shared" si="131"/>
        <v>864</v>
      </c>
      <c r="C320" s="21">
        <v>3</v>
      </c>
      <c r="D320" s="27" t="s">
        <v>392</v>
      </c>
      <c r="E320" s="19" t="s">
        <v>182</v>
      </c>
      <c r="F320" s="40" t="s">
        <v>386</v>
      </c>
    </row>
    <row r="321" spans="1:6" ht="114.75" x14ac:dyDescent="0.2">
      <c r="A321" s="21">
        <f t="shared" ref="A321" si="133">A320+C320</f>
        <v>865</v>
      </c>
      <c r="B321" s="7">
        <f t="shared" si="131"/>
        <v>867</v>
      </c>
      <c r="C321" s="21">
        <v>3</v>
      </c>
      <c r="D321" s="27" t="s">
        <v>56</v>
      </c>
      <c r="E321" s="40" t="s">
        <v>183</v>
      </c>
      <c r="F321" s="37" t="s">
        <v>276</v>
      </c>
    </row>
    <row r="322" spans="1:6" x14ac:dyDescent="0.2">
      <c r="D322" s="28" t="s">
        <v>48</v>
      </c>
    </row>
    <row r="323" spans="1:6" ht="51" x14ac:dyDescent="0.2">
      <c r="A323" s="21">
        <f>A321+C321</f>
        <v>868</v>
      </c>
      <c r="B323" s="7">
        <f t="shared" ref="B323:B333" si="134">A323+C323-1</f>
        <v>871</v>
      </c>
      <c r="C323" s="21">
        <v>4</v>
      </c>
      <c r="D323" s="27" t="s">
        <v>57</v>
      </c>
      <c r="E323" s="19" t="s">
        <v>185</v>
      </c>
      <c r="F323" s="19" t="s">
        <v>365</v>
      </c>
    </row>
    <row r="324" spans="1:6" ht="51" x14ac:dyDescent="0.2">
      <c r="A324" s="21">
        <f t="shared" ref="A324" si="135">A323+C323</f>
        <v>872</v>
      </c>
      <c r="B324" s="7">
        <f t="shared" si="134"/>
        <v>872</v>
      </c>
      <c r="C324" s="21">
        <v>1</v>
      </c>
      <c r="D324" s="27" t="s">
        <v>292</v>
      </c>
      <c r="E324" s="22" t="s">
        <v>275</v>
      </c>
      <c r="F324" s="19" t="s">
        <v>364</v>
      </c>
    </row>
    <row r="325" spans="1:6" ht="51" x14ac:dyDescent="0.2">
      <c r="A325" s="21">
        <f>A324+C324</f>
        <v>873</v>
      </c>
      <c r="B325" s="7">
        <f t="shared" si="134"/>
        <v>875</v>
      </c>
      <c r="C325" s="21">
        <v>3</v>
      </c>
      <c r="D325" s="27" t="s">
        <v>263</v>
      </c>
      <c r="E325" s="22" t="s">
        <v>251</v>
      </c>
      <c r="F325" s="19" t="s">
        <v>264</v>
      </c>
    </row>
    <row r="326" spans="1:6" ht="51" x14ac:dyDescent="0.2">
      <c r="A326" s="21">
        <f>A325+C325</f>
        <v>876</v>
      </c>
      <c r="B326" s="7">
        <f t="shared" si="134"/>
        <v>879</v>
      </c>
      <c r="C326" s="21">
        <v>4</v>
      </c>
      <c r="D326" s="27" t="s">
        <v>58</v>
      </c>
      <c r="E326" s="19" t="s">
        <v>185</v>
      </c>
      <c r="F326" s="19" t="s">
        <v>363</v>
      </c>
    </row>
    <row r="327" spans="1:6" ht="51" x14ac:dyDescent="0.2">
      <c r="A327" s="21">
        <f t="shared" ref="A327:A333" si="136">A326+C326</f>
        <v>880</v>
      </c>
      <c r="B327" s="7">
        <f t="shared" si="134"/>
        <v>880</v>
      </c>
      <c r="C327" s="21">
        <v>1</v>
      </c>
      <c r="D327" s="27" t="s">
        <v>293</v>
      </c>
      <c r="E327" s="22" t="s">
        <v>275</v>
      </c>
      <c r="F327" s="19" t="s">
        <v>362</v>
      </c>
    </row>
    <row r="328" spans="1:6" ht="63.75" x14ac:dyDescent="0.2">
      <c r="A328" s="21">
        <f>A327+C327</f>
        <v>881</v>
      </c>
      <c r="B328" s="7">
        <f t="shared" ref="B328" si="137">A328+C328-1</f>
        <v>883</v>
      </c>
      <c r="C328" s="21">
        <v>3</v>
      </c>
      <c r="D328" s="27" t="s">
        <v>265</v>
      </c>
      <c r="E328" s="22" t="s">
        <v>251</v>
      </c>
      <c r="F328" s="19" t="s">
        <v>266</v>
      </c>
    </row>
    <row r="329" spans="1:6" ht="51" x14ac:dyDescent="0.2">
      <c r="A329" s="21">
        <f>A328+C328</f>
        <v>884</v>
      </c>
      <c r="B329" s="7">
        <f t="shared" si="134"/>
        <v>887</v>
      </c>
      <c r="C329" s="21">
        <v>4</v>
      </c>
      <c r="D329" s="27" t="s">
        <v>59</v>
      </c>
      <c r="E329" s="19" t="s">
        <v>185</v>
      </c>
      <c r="F329" s="19" t="s">
        <v>361</v>
      </c>
    </row>
    <row r="330" spans="1:6" ht="51" x14ac:dyDescent="0.2">
      <c r="A330" s="21">
        <f t="shared" si="136"/>
        <v>888</v>
      </c>
      <c r="B330" s="7">
        <f t="shared" si="134"/>
        <v>888</v>
      </c>
      <c r="C330" s="21">
        <v>1</v>
      </c>
      <c r="D330" s="27" t="s">
        <v>294</v>
      </c>
      <c r="E330" s="22" t="s">
        <v>275</v>
      </c>
      <c r="F330" s="19" t="s">
        <v>360</v>
      </c>
    </row>
    <row r="331" spans="1:6" ht="63.75" x14ac:dyDescent="0.2">
      <c r="A331" s="21">
        <f>A330+C330</f>
        <v>889</v>
      </c>
      <c r="B331" s="7">
        <f t="shared" ref="B331" si="138">A331+C331-1</f>
        <v>891</v>
      </c>
      <c r="C331" s="21">
        <v>3</v>
      </c>
      <c r="D331" s="27" t="s">
        <v>267</v>
      </c>
      <c r="E331" s="22" t="s">
        <v>251</v>
      </c>
      <c r="F331" s="19" t="s">
        <v>268</v>
      </c>
    </row>
    <row r="332" spans="1:6" ht="51" x14ac:dyDescent="0.2">
      <c r="A332" s="21">
        <f>A331+C331</f>
        <v>892</v>
      </c>
      <c r="B332" s="7">
        <f t="shared" si="134"/>
        <v>895</v>
      </c>
      <c r="C332" s="21">
        <v>4</v>
      </c>
      <c r="D332" s="27" t="s">
        <v>60</v>
      </c>
      <c r="E332" s="19" t="s">
        <v>185</v>
      </c>
      <c r="F332" s="19" t="s">
        <v>359</v>
      </c>
    </row>
    <row r="333" spans="1:6" ht="51" x14ac:dyDescent="0.2">
      <c r="A333" s="21">
        <f t="shared" si="136"/>
        <v>896</v>
      </c>
      <c r="B333" s="7">
        <f t="shared" si="134"/>
        <v>896</v>
      </c>
      <c r="C333" s="21">
        <v>1</v>
      </c>
      <c r="D333" s="27" t="s">
        <v>295</v>
      </c>
      <c r="E333" s="22" t="s">
        <v>275</v>
      </c>
      <c r="F333" s="19" t="s">
        <v>358</v>
      </c>
    </row>
    <row r="334" spans="1:6" ht="65.25" customHeight="1" x14ac:dyDescent="0.2">
      <c r="A334" s="21">
        <f>A333+C333</f>
        <v>897</v>
      </c>
      <c r="B334" s="7">
        <f t="shared" ref="B334" si="139">A334+C334-1</f>
        <v>899</v>
      </c>
      <c r="C334" s="21">
        <v>3</v>
      </c>
      <c r="D334" s="27" t="s">
        <v>269</v>
      </c>
      <c r="E334" s="22" t="s">
        <v>251</v>
      </c>
      <c r="F334" s="19" t="s">
        <v>270</v>
      </c>
    </row>
    <row r="335" spans="1:6" x14ac:dyDescent="0.2">
      <c r="B335" s="7"/>
      <c r="D335" s="30" t="s">
        <v>351</v>
      </c>
      <c r="E335" s="22"/>
    </row>
    <row r="336" spans="1:6" ht="114.75" x14ac:dyDescent="0.2">
      <c r="A336" s="21">
        <f>A334+C334</f>
        <v>900</v>
      </c>
      <c r="B336" s="7">
        <f t="shared" ref="B336" si="140">A336+C336-1</f>
        <v>901</v>
      </c>
      <c r="C336" s="21">
        <v>2</v>
      </c>
      <c r="D336" s="27" t="s">
        <v>352</v>
      </c>
      <c r="E336" s="19" t="s">
        <v>372</v>
      </c>
      <c r="F336" s="19" t="s">
        <v>409</v>
      </c>
    </row>
    <row r="337" spans="1:6" ht="89.25" x14ac:dyDescent="0.2">
      <c r="A337" s="21">
        <f t="shared" ref="A337:A344" si="141">A336+C336</f>
        <v>902</v>
      </c>
      <c r="B337" s="7">
        <f t="shared" ref="B337:B344" si="142">A337+C337-1</f>
        <v>902</v>
      </c>
      <c r="C337" s="21">
        <v>1</v>
      </c>
      <c r="D337" s="27" t="s">
        <v>353</v>
      </c>
      <c r="E337" s="22" t="s">
        <v>275</v>
      </c>
      <c r="F337" s="19" t="s">
        <v>366</v>
      </c>
    </row>
    <row r="338" spans="1:6" ht="102" x14ac:dyDescent="0.2">
      <c r="A338" s="21">
        <f t="shared" si="141"/>
        <v>903</v>
      </c>
      <c r="B338" s="7">
        <f t="shared" si="142"/>
        <v>905</v>
      </c>
      <c r="C338" s="21">
        <v>3</v>
      </c>
      <c r="D338" s="27" t="s">
        <v>382</v>
      </c>
      <c r="E338" s="22" t="s">
        <v>251</v>
      </c>
      <c r="F338" s="19" t="s">
        <v>410</v>
      </c>
    </row>
    <row r="339" spans="1:6" ht="114.75" x14ac:dyDescent="0.2">
      <c r="A339" s="21">
        <f t="shared" si="141"/>
        <v>906</v>
      </c>
      <c r="B339" s="7">
        <f t="shared" si="142"/>
        <v>907</v>
      </c>
      <c r="C339" s="21">
        <v>2</v>
      </c>
      <c r="D339" s="27" t="s">
        <v>354</v>
      </c>
      <c r="E339" s="19" t="s">
        <v>372</v>
      </c>
      <c r="F339" s="19" t="s">
        <v>411</v>
      </c>
    </row>
    <row r="340" spans="1:6" ht="89.25" x14ac:dyDescent="0.2">
      <c r="A340" s="21">
        <f t="shared" si="141"/>
        <v>908</v>
      </c>
      <c r="B340" s="7">
        <f t="shared" si="142"/>
        <v>908</v>
      </c>
      <c r="C340" s="21">
        <v>1</v>
      </c>
      <c r="D340" s="27" t="s">
        <v>355</v>
      </c>
      <c r="E340" s="22" t="s">
        <v>275</v>
      </c>
      <c r="F340" s="19" t="s">
        <v>375</v>
      </c>
    </row>
    <row r="341" spans="1:6" ht="102" x14ac:dyDescent="0.2">
      <c r="A341" s="21">
        <f t="shared" si="141"/>
        <v>909</v>
      </c>
      <c r="B341" s="7">
        <f t="shared" si="142"/>
        <v>911</v>
      </c>
      <c r="C341" s="21">
        <v>3</v>
      </c>
      <c r="D341" s="27" t="s">
        <v>383</v>
      </c>
      <c r="E341" s="22" t="s">
        <v>251</v>
      </c>
      <c r="F341" s="19" t="s">
        <v>412</v>
      </c>
    </row>
    <row r="342" spans="1:6" ht="114.75" x14ac:dyDescent="0.2">
      <c r="A342" s="21">
        <f t="shared" si="141"/>
        <v>912</v>
      </c>
      <c r="B342" s="7">
        <f t="shared" si="142"/>
        <v>913</v>
      </c>
      <c r="C342" s="21">
        <v>2</v>
      </c>
      <c r="D342" s="27" t="s">
        <v>356</v>
      </c>
      <c r="E342" s="19" t="s">
        <v>372</v>
      </c>
      <c r="F342" s="19" t="s">
        <v>413</v>
      </c>
    </row>
    <row r="343" spans="1:6" ht="89.25" x14ac:dyDescent="0.2">
      <c r="A343" s="21">
        <f t="shared" si="141"/>
        <v>914</v>
      </c>
      <c r="B343" s="7">
        <f t="shared" si="142"/>
        <v>914</v>
      </c>
      <c r="C343" s="21">
        <v>1</v>
      </c>
      <c r="D343" s="27" t="s">
        <v>357</v>
      </c>
      <c r="E343" s="22" t="s">
        <v>275</v>
      </c>
      <c r="F343" s="19" t="s">
        <v>376</v>
      </c>
    </row>
    <row r="344" spans="1:6" ht="102" x14ac:dyDescent="0.2">
      <c r="A344" s="21">
        <f t="shared" si="141"/>
        <v>915</v>
      </c>
      <c r="B344" s="7">
        <f t="shared" si="142"/>
        <v>917</v>
      </c>
      <c r="C344" s="21">
        <v>3</v>
      </c>
      <c r="D344" s="27" t="s">
        <v>384</v>
      </c>
      <c r="E344" s="22" t="s">
        <v>251</v>
      </c>
      <c r="F344" s="19" t="s">
        <v>414</v>
      </c>
    </row>
    <row r="345" spans="1:6" ht="114.75" x14ac:dyDescent="0.2">
      <c r="A345" s="21">
        <f t="shared" ref="A345:A347" si="143">A344+C344</f>
        <v>918</v>
      </c>
      <c r="B345" s="7">
        <f t="shared" ref="B345:B347" si="144">A345+C345-1</f>
        <v>919</v>
      </c>
      <c r="C345" s="21">
        <v>2</v>
      </c>
      <c r="D345" s="27" t="s">
        <v>373</v>
      </c>
      <c r="E345" s="19" t="s">
        <v>372</v>
      </c>
      <c r="F345" s="19" t="s">
        <v>415</v>
      </c>
    </row>
    <row r="346" spans="1:6" ht="89.25" x14ac:dyDescent="0.2">
      <c r="A346" s="21">
        <f t="shared" si="143"/>
        <v>920</v>
      </c>
      <c r="B346" s="7">
        <f t="shared" si="144"/>
        <v>920</v>
      </c>
      <c r="C346" s="21">
        <v>1</v>
      </c>
      <c r="D346" s="27" t="s">
        <v>374</v>
      </c>
      <c r="E346" s="22" t="s">
        <v>275</v>
      </c>
      <c r="F346" s="19" t="s">
        <v>377</v>
      </c>
    </row>
    <row r="347" spans="1:6" ht="101.25" customHeight="1" x14ac:dyDescent="0.2">
      <c r="A347" s="21">
        <f t="shared" si="143"/>
        <v>921</v>
      </c>
      <c r="B347" s="7">
        <f t="shared" si="144"/>
        <v>923</v>
      </c>
      <c r="C347" s="21">
        <v>3</v>
      </c>
      <c r="D347" s="27" t="s">
        <v>385</v>
      </c>
      <c r="E347" s="22" t="s">
        <v>251</v>
      </c>
      <c r="F347" s="19" t="s">
        <v>416</v>
      </c>
    </row>
    <row r="348" spans="1:6" x14ac:dyDescent="0.2">
      <c r="A348" s="21">
        <f>A347+C347</f>
        <v>924</v>
      </c>
      <c r="B348" s="7">
        <f t="shared" ref="B348" si="145">A348+C348-1</f>
        <v>935</v>
      </c>
      <c r="C348" s="21">
        <v>12</v>
      </c>
      <c r="D348" s="27" t="s">
        <v>64</v>
      </c>
    </row>
    <row r="349" spans="1:6" x14ac:dyDescent="0.2">
      <c r="D349" s="28" t="s">
        <v>61</v>
      </c>
    </row>
    <row r="350" spans="1:6" ht="63.75" x14ac:dyDescent="0.2">
      <c r="A350" s="21">
        <f>A348+C348</f>
        <v>936</v>
      </c>
      <c r="B350" s="7">
        <f t="shared" ref="B350:B352" si="146">A350+C350-1</f>
        <v>940</v>
      </c>
      <c r="C350" s="21">
        <v>5</v>
      </c>
      <c r="D350" s="4" t="s">
        <v>62</v>
      </c>
      <c r="E350" s="40" t="s">
        <v>181</v>
      </c>
      <c r="F350" s="40" t="s">
        <v>194</v>
      </c>
    </row>
    <row r="351" spans="1:6" ht="89.25" x14ac:dyDescent="0.2">
      <c r="A351" s="21">
        <f t="shared" ref="A351" si="147">A350+C350</f>
        <v>941</v>
      </c>
      <c r="B351" s="7">
        <f t="shared" si="146"/>
        <v>943</v>
      </c>
      <c r="C351" s="21">
        <v>3</v>
      </c>
      <c r="D351" s="4" t="s">
        <v>390</v>
      </c>
      <c r="E351" s="40" t="s">
        <v>389</v>
      </c>
      <c r="F351" s="40" t="s">
        <v>387</v>
      </c>
    </row>
    <row r="352" spans="1:6" ht="140.25" x14ac:dyDescent="0.2">
      <c r="A352" s="21">
        <f t="shared" ref="A352" si="148">A351+C351</f>
        <v>944</v>
      </c>
      <c r="B352" s="7">
        <f t="shared" si="146"/>
        <v>946</v>
      </c>
      <c r="C352" s="21">
        <v>3</v>
      </c>
      <c r="D352" s="4" t="s">
        <v>63</v>
      </c>
      <c r="E352" s="40" t="s">
        <v>389</v>
      </c>
      <c r="F352" s="37" t="s">
        <v>417</v>
      </c>
    </row>
    <row r="353" spans="1:6" x14ac:dyDescent="0.2">
      <c r="A353" s="21">
        <f>A352+C352</f>
        <v>947</v>
      </c>
      <c r="B353" s="7">
        <f t="shared" ref="B353" si="149">A353+C353-1</f>
        <v>1056</v>
      </c>
      <c r="C353" s="10">
        <v>110</v>
      </c>
      <c r="D353" s="27" t="s">
        <v>64</v>
      </c>
    </row>
    <row r="354" spans="1:6" x14ac:dyDescent="0.2">
      <c r="D354" s="28" t="s">
        <v>65</v>
      </c>
      <c r="F354" s="44"/>
    </row>
    <row r="355" spans="1:6" ht="63.75" x14ac:dyDescent="0.2">
      <c r="A355" s="21">
        <f>A353+C353</f>
        <v>1057</v>
      </c>
      <c r="B355" s="7">
        <f t="shared" ref="B355:B357" si="150">A355+C355-1</f>
        <v>1061</v>
      </c>
      <c r="C355" s="10">
        <v>5</v>
      </c>
      <c r="D355" s="29" t="s">
        <v>66</v>
      </c>
      <c r="E355" s="40" t="s">
        <v>181</v>
      </c>
      <c r="F355" s="40" t="s">
        <v>307</v>
      </c>
    </row>
    <row r="356" spans="1:6" ht="63.75" x14ac:dyDescent="0.2">
      <c r="A356" s="21">
        <f t="shared" ref="A356" si="151">A355+C355</f>
        <v>1062</v>
      </c>
      <c r="B356" s="7">
        <f t="shared" si="150"/>
        <v>1064</v>
      </c>
      <c r="C356" s="10">
        <v>3</v>
      </c>
      <c r="D356" s="29" t="s">
        <v>391</v>
      </c>
      <c r="E356" s="40" t="s">
        <v>182</v>
      </c>
      <c r="F356" s="40" t="s">
        <v>388</v>
      </c>
    </row>
    <row r="357" spans="1:6" ht="114.75" x14ac:dyDescent="0.2">
      <c r="A357" s="21">
        <f t="shared" ref="A357" si="152">A356+C356</f>
        <v>1065</v>
      </c>
      <c r="B357" s="7">
        <f t="shared" si="150"/>
        <v>1067</v>
      </c>
      <c r="C357" s="10">
        <v>3</v>
      </c>
      <c r="D357" s="29" t="s">
        <v>67</v>
      </c>
      <c r="E357" s="40" t="s">
        <v>183</v>
      </c>
      <c r="F357" s="37" t="s">
        <v>308</v>
      </c>
    </row>
    <row r="358" spans="1:6" x14ac:dyDescent="0.2">
      <c r="D358" s="28" t="s">
        <v>68</v>
      </c>
    </row>
    <row r="359" spans="1:6" ht="51" x14ac:dyDescent="0.2">
      <c r="A359" s="21">
        <f>A357+C357</f>
        <v>1068</v>
      </c>
      <c r="B359" s="7">
        <f t="shared" ref="B359" si="153">A359+C359-1</f>
        <v>1071</v>
      </c>
      <c r="C359" s="10">
        <v>4</v>
      </c>
      <c r="D359" s="29" t="s">
        <v>69</v>
      </c>
      <c r="E359" s="40" t="s">
        <v>185</v>
      </c>
      <c r="F359" s="40" t="s">
        <v>313</v>
      </c>
    </row>
    <row r="360" spans="1:6" ht="63.75" x14ac:dyDescent="0.2">
      <c r="A360" s="21">
        <f>A359+C359</f>
        <v>1072</v>
      </c>
      <c r="B360" s="7">
        <f t="shared" ref="B360:B361" si="154">A360+C360-1</f>
        <v>1074</v>
      </c>
      <c r="C360" s="10">
        <v>3</v>
      </c>
      <c r="D360" s="29" t="s">
        <v>309</v>
      </c>
      <c r="E360" s="22" t="s">
        <v>251</v>
      </c>
      <c r="F360" s="19" t="s">
        <v>317</v>
      </c>
    </row>
    <row r="361" spans="1:6" ht="51" x14ac:dyDescent="0.2">
      <c r="A361" s="21">
        <f>A360+C360</f>
        <v>1075</v>
      </c>
      <c r="B361" s="7">
        <f t="shared" si="154"/>
        <v>1075</v>
      </c>
      <c r="C361" s="21">
        <v>1</v>
      </c>
      <c r="D361" s="27" t="s">
        <v>324</v>
      </c>
      <c r="E361" s="22" t="s">
        <v>275</v>
      </c>
      <c r="F361" s="19" t="s">
        <v>326</v>
      </c>
    </row>
    <row r="362" spans="1:6" ht="51" x14ac:dyDescent="0.2">
      <c r="A362" s="21">
        <f>A361+C361</f>
        <v>1076</v>
      </c>
      <c r="B362" s="7">
        <f t="shared" ref="B362:B370" si="155">A362+C362-1</f>
        <v>1079</v>
      </c>
      <c r="C362" s="10">
        <v>4</v>
      </c>
      <c r="D362" s="29" t="s">
        <v>70</v>
      </c>
      <c r="E362" s="40" t="s">
        <v>185</v>
      </c>
      <c r="F362" s="40" t="s">
        <v>313</v>
      </c>
    </row>
    <row r="363" spans="1:6" ht="63.75" x14ac:dyDescent="0.2">
      <c r="A363" s="21">
        <f t="shared" ref="A363:A369" si="156">A362+C362</f>
        <v>1080</v>
      </c>
      <c r="B363" s="7">
        <f t="shared" si="155"/>
        <v>1082</v>
      </c>
      <c r="C363" s="10">
        <v>3</v>
      </c>
      <c r="D363" s="29" t="s">
        <v>310</v>
      </c>
      <c r="E363" s="22" t="s">
        <v>251</v>
      </c>
      <c r="F363" s="19" t="s">
        <v>316</v>
      </c>
    </row>
    <row r="364" spans="1:6" ht="51" x14ac:dyDescent="0.2">
      <c r="A364" s="21">
        <f>A363+C363</f>
        <v>1083</v>
      </c>
      <c r="B364" s="7">
        <f t="shared" si="155"/>
        <v>1083</v>
      </c>
      <c r="C364" s="21">
        <v>1</v>
      </c>
      <c r="D364" s="27" t="s">
        <v>325</v>
      </c>
      <c r="E364" s="22" t="s">
        <v>275</v>
      </c>
      <c r="F364" s="19" t="s">
        <v>327</v>
      </c>
    </row>
    <row r="365" spans="1:6" ht="51" x14ac:dyDescent="0.2">
      <c r="A365" s="21">
        <f>A364+C364</f>
        <v>1084</v>
      </c>
      <c r="B365" s="7">
        <f t="shared" si="155"/>
        <v>1087</v>
      </c>
      <c r="C365" s="10">
        <v>4</v>
      </c>
      <c r="D365" s="29" t="s">
        <v>71</v>
      </c>
      <c r="E365" s="40" t="s">
        <v>185</v>
      </c>
      <c r="F365" s="40" t="s">
        <v>313</v>
      </c>
    </row>
    <row r="366" spans="1:6" ht="63.75" x14ac:dyDescent="0.2">
      <c r="A366" s="21">
        <f t="shared" si="156"/>
        <v>1088</v>
      </c>
      <c r="B366" s="7">
        <f t="shared" si="155"/>
        <v>1090</v>
      </c>
      <c r="C366" s="10">
        <v>3</v>
      </c>
      <c r="D366" s="29" t="s">
        <v>311</v>
      </c>
      <c r="E366" s="22" t="s">
        <v>251</v>
      </c>
      <c r="F366" s="19" t="s">
        <v>315</v>
      </c>
    </row>
    <row r="367" spans="1:6" ht="51" x14ac:dyDescent="0.2">
      <c r="A367" s="21">
        <f>A366+C366</f>
        <v>1091</v>
      </c>
      <c r="B367" s="7">
        <f t="shared" si="155"/>
        <v>1091</v>
      </c>
      <c r="C367" s="21">
        <v>1</v>
      </c>
      <c r="D367" s="27" t="s">
        <v>329</v>
      </c>
      <c r="E367" s="22" t="s">
        <v>275</v>
      </c>
      <c r="F367" s="19" t="s">
        <v>328</v>
      </c>
    </row>
    <row r="368" spans="1:6" ht="51" x14ac:dyDescent="0.2">
      <c r="A368" s="21">
        <f>A367+C367</f>
        <v>1092</v>
      </c>
      <c r="B368" s="7">
        <f t="shared" si="155"/>
        <v>1095</v>
      </c>
      <c r="C368" s="10">
        <v>4</v>
      </c>
      <c r="D368" s="29" t="s">
        <v>72</v>
      </c>
      <c r="E368" s="40" t="s">
        <v>185</v>
      </c>
      <c r="F368" s="40" t="s">
        <v>313</v>
      </c>
    </row>
    <row r="369" spans="1:6" ht="63.75" x14ac:dyDescent="0.2">
      <c r="A369" s="21">
        <f t="shared" si="156"/>
        <v>1096</v>
      </c>
      <c r="B369" s="7">
        <f t="shared" si="155"/>
        <v>1098</v>
      </c>
      <c r="C369" s="10">
        <v>3</v>
      </c>
      <c r="D369" s="29" t="s">
        <v>312</v>
      </c>
      <c r="E369" s="22" t="s">
        <v>251</v>
      </c>
      <c r="F369" s="19" t="s">
        <v>314</v>
      </c>
    </row>
    <row r="370" spans="1:6" ht="51" x14ac:dyDescent="0.2">
      <c r="A370" s="21">
        <f>A369+C369</f>
        <v>1099</v>
      </c>
      <c r="B370" s="7">
        <f t="shared" si="155"/>
        <v>1099</v>
      </c>
      <c r="C370" s="21">
        <v>1</v>
      </c>
      <c r="D370" s="27" t="s">
        <v>330</v>
      </c>
      <c r="E370" s="22" t="s">
        <v>275</v>
      </c>
      <c r="F370" s="19" t="s">
        <v>331</v>
      </c>
    </row>
    <row r="371" spans="1:6" x14ac:dyDescent="0.2">
      <c r="A371" s="21">
        <f>A370+C370</f>
        <v>1100</v>
      </c>
      <c r="B371" s="7">
        <f t="shared" ref="B371" si="157">A371+C371-1</f>
        <v>1169</v>
      </c>
      <c r="C371" s="10">
        <v>70</v>
      </c>
      <c r="D371" s="27" t="s">
        <v>64</v>
      </c>
    </row>
    <row r="372" spans="1:6" x14ac:dyDescent="0.2">
      <c r="D372" s="28" t="s">
        <v>76</v>
      </c>
    </row>
    <row r="373" spans="1:6" x14ac:dyDescent="0.2">
      <c r="D373" s="28" t="s">
        <v>77</v>
      </c>
    </row>
    <row r="374" spans="1:6" ht="30" customHeight="1" x14ac:dyDescent="0.2">
      <c r="A374" s="21">
        <f>A371+C371</f>
        <v>1170</v>
      </c>
      <c r="B374" s="7">
        <f t="shared" ref="B374:B377" si="158">A374+C374-1</f>
        <v>1170</v>
      </c>
      <c r="C374" s="10">
        <v>1</v>
      </c>
      <c r="D374" s="29" t="s">
        <v>78</v>
      </c>
      <c r="E374" s="50" t="s">
        <v>195</v>
      </c>
      <c r="F374" s="50" t="s">
        <v>337</v>
      </c>
    </row>
    <row r="375" spans="1:6" ht="25.5" customHeight="1" x14ac:dyDescent="0.2">
      <c r="A375" s="21">
        <f>A374+C374</f>
        <v>1171</v>
      </c>
      <c r="B375" s="7">
        <f t="shared" si="158"/>
        <v>1171</v>
      </c>
      <c r="C375" s="10">
        <v>1</v>
      </c>
      <c r="D375" s="29" t="s">
        <v>79</v>
      </c>
      <c r="E375" s="58"/>
      <c r="F375" s="50"/>
    </row>
    <row r="376" spans="1:6" ht="24.75" customHeight="1" x14ac:dyDescent="0.2">
      <c r="A376" s="21">
        <f t="shared" ref="A376:A377" si="159">A375+C375</f>
        <v>1172</v>
      </c>
      <c r="B376" s="7">
        <f t="shared" si="158"/>
        <v>1172</v>
      </c>
      <c r="C376" s="10">
        <v>1</v>
      </c>
      <c r="D376" s="29" t="s">
        <v>80</v>
      </c>
      <c r="E376" s="58"/>
      <c r="F376" s="50"/>
    </row>
    <row r="377" spans="1:6" ht="27" customHeight="1" x14ac:dyDescent="0.2">
      <c r="A377" s="21">
        <f t="shared" si="159"/>
        <v>1173</v>
      </c>
      <c r="B377" s="7">
        <f t="shared" si="158"/>
        <v>1173</v>
      </c>
      <c r="C377" s="10">
        <v>1</v>
      </c>
      <c r="D377" s="29" t="s">
        <v>81</v>
      </c>
      <c r="E377" s="58"/>
      <c r="F377" s="50"/>
    </row>
    <row r="378" spans="1:6" x14ac:dyDescent="0.2">
      <c r="D378" s="28" t="s">
        <v>82</v>
      </c>
    </row>
    <row r="379" spans="1:6" ht="32.25" customHeight="1" x14ac:dyDescent="0.2">
      <c r="A379" s="21">
        <f>A377+C377</f>
        <v>1174</v>
      </c>
      <c r="B379" s="7">
        <f t="shared" ref="B379:B382" si="160">A379+C379-1</f>
        <v>1174</v>
      </c>
      <c r="C379" s="10">
        <v>1</v>
      </c>
      <c r="D379" s="29" t="s">
        <v>83</v>
      </c>
      <c r="E379" s="50" t="s">
        <v>196</v>
      </c>
      <c r="F379" s="50" t="s">
        <v>338</v>
      </c>
    </row>
    <row r="380" spans="1:6" ht="33" customHeight="1" x14ac:dyDescent="0.2">
      <c r="A380" s="21">
        <f t="shared" ref="A380" si="161">A379+C379</f>
        <v>1175</v>
      </c>
      <c r="B380" s="7">
        <f t="shared" si="160"/>
        <v>1175</v>
      </c>
      <c r="C380" s="10">
        <v>1</v>
      </c>
      <c r="D380" s="29" t="s">
        <v>84</v>
      </c>
      <c r="E380" s="58"/>
      <c r="F380" s="50"/>
    </row>
    <row r="381" spans="1:6" ht="36.75" customHeight="1" x14ac:dyDescent="0.2">
      <c r="A381" s="21">
        <f t="shared" ref="A381:A382" si="162">A380+C380</f>
        <v>1176</v>
      </c>
      <c r="B381" s="7">
        <f t="shared" si="160"/>
        <v>1176</v>
      </c>
      <c r="C381" s="10">
        <v>1</v>
      </c>
      <c r="D381" s="29" t="s">
        <v>85</v>
      </c>
      <c r="E381" s="58"/>
      <c r="F381" s="50"/>
    </row>
    <row r="382" spans="1:6" ht="33" customHeight="1" x14ac:dyDescent="0.2">
      <c r="A382" s="21">
        <f t="shared" si="162"/>
        <v>1177</v>
      </c>
      <c r="B382" s="7">
        <f t="shared" si="160"/>
        <v>1177</v>
      </c>
      <c r="C382" s="10">
        <v>1</v>
      </c>
      <c r="D382" s="29" t="s">
        <v>86</v>
      </c>
      <c r="E382" s="58"/>
      <c r="F382" s="50"/>
    </row>
    <row r="383" spans="1:6" ht="15.75" customHeight="1" x14ac:dyDescent="0.2">
      <c r="A383" s="21">
        <f>A382+C382</f>
        <v>1178</v>
      </c>
      <c r="B383" s="7">
        <f t="shared" ref="B383" si="163">A383+C383-1</f>
        <v>1181</v>
      </c>
      <c r="C383" s="10">
        <v>4</v>
      </c>
      <c r="D383" s="29" t="s">
        <v>64</v>
      </c>
      <c r="E383" s="46"/>
      <c r="F383" s="38"/>
    </row>
    <row r="384" spans="1:6" x14ac:dyDescent="0.2">
      <c r="D384" s="28" t="s">
        <v>87</v>
      </c>
    </row>
    <row r="385" spans="1:6" ht="25.5" customHeight="1" x14ac:dyDescent="0.2">
      <c r="A385" s="21">
        <f>A383+C383</f>
        <v>1182</v>
      </c>
      <c r="B385" s="7">
        <f t="shared" ref="B385:B389" si="164">A385+C385-1</f>
        <v>1182</v>
      </c>
      <c r="C385" s="10">
        <v>1</v>
      </c>
      <c r="D385" s="29" t="s">
        <v>88</v>
      </c>
      <c r="E385" s="50" t="s">
        <v>197</v>
      </c>
      <c r="F385" s="52" t="s">
        <v>339</v>
      </c>
    </row>
    <row r="386" spans="1:6" ht="21" customHeight="1" x14ac:dyDescent="0.2">
      <c r="A386" s="21">
        <f t="shared" ref="A386" si="165">A385+C385</f>
        <v>1183</v>
      </c>
      <c r="B386" s="7">
        <f t="shared" si="164"/>
        <v>1183</v>
      </c>
      <c r="C386" s="10">
        <v>1</v>
      </c>
      <c r="D386" s="29" t="s">
        <v>89</v>
      </c>
      <c r="E386" s="58"/>
      <c r="F386" s="52"/>
    </row>
    <row r="387" spans="1:6" ht="19.5" customHeight="1" x14ac:dyDescent="0.2">
      <c r="A387" s="21">
        <f t="shared" ref="A387:A389" si="166">A386+C386</f>
        <v>1184</v>
      </c>
      <c r="B387" s="7">
        <f t="shared" si="164"/>
        <v>1184</v>
      </c>
      <c r="C387" s="10">
        <v>1</v>
      </c>
      <c r="D387" s="29" t="s">
        <v>90</v>
      </c>
      <c r="E387" s="58"/>
      <c r="F387" s="52"/>
    </row>
    <row r="388" spans="1:6" ht="19.5" customHeight="1" x14ac:dyDescent="0.2">
      <c r="A388" s="21">
        <f t="shared" si="166"/>
        <v>1185</v>
      </c>
      <c r="B388" s="7">
        <f t="shared" si="164"/>
        <v>1185</v>
      </c>
      <c r="C388" s="10">
        <v>1</v>
      </c>
      <c r="D388" s="29" t="s">
        <v>91</v>
      </c>
      <c r="E388" s="58"/>
      <c r="F388" s="52"/>
    </row>
    <row r="389" spans="1:6" x14ac:dyDescent="0.2">
      <c r="A389" s="21">
        <f t="shared" si="166"/>
        <v>1186</v>
      </c>
      <c r="B389" s="7">
        <f t="shared" si="164"/>
        <v>1205</v>
      </c>
      <c r="C389" s="21">
        <v>20</v>
      </c>
      <c r="D389" s="29" t="s">
        <v>64</v>
      </c>
    </row>
    <row r="390" spans="1:6" x14ac:dyDescent="0.2">
      <c r="D390" s="28" t="s">
        <v>92</v>
      </c>
    </row>
    <row r="391" spans="1:6" x14ac:dyDescent="0.2">
      <c r="D391" s="28" t="s">
        <v>93</v>
      </c>
    </row>
    <row r="392" spans="1:6" ht="56.25" customHeight="1" x14ac:dyDescent="0.2">
      <c r="A392" s="21">
        <f>A389+C389</f>
        <v>1206</v>
      </c>
      <c r="B392" s="7">
        <f t="shared" ref="B392:B395" si="167">A392+C392-1</f>
        <v>1206</v>
      </c>
      <c r="C392" s="21">
        <v>1</v>
      </c>
      <c r="D392" s="29" t="s">
        <v>94</v>
      </c>
      <c r="E392" s="50" t="s">
        <v>340</v>
      </c>
      <c r="F392" s="50" t="s">
        <v>418</v>
      </c>
    </row>
    <row r="393" spans="1:6" ht="56.25" customHeight="1" x14ac:dyDescent="0.2">
      <c r="A393" s="21">
        <f t="shared" ref="A393" si="168">A392+C392</f>
        <v>1207</v>
      </c>
      <c r="B393" s="7">
        <f t="shared" si="167"/>
        <v>1207</v>
      </c>
      <c r="C393" s="21">
        <v>1</v>
      </c>
      <c r="D393" s="29" t="s">
        <v>95</v>
      </c>
      <c r="E393" s="58"/>
      <c r="F393" s="50"/>
    </row>
    <row r="394" spans="1:6" ht="56.25" customHeight="1" x14ac:dyDescent="0.2">
      <c r="A394" s="21">
        <f t="shared" ref="A394:A395" si="169">A393+C393</f>
        <v>1208</v>
      </c>
      <c r="B394" s="7">
        <f t="shared" si="167"/>
        <v>1208</v>
      </c>
      <c r="C394" s="21">
        <v>1</v>
      </c>
      <c r="D394" s="29" t="s">
        <v>96</v>
      </c>
      <c r="E394" s="58"/>
      <c r="F394" s="50"/>
    </row>
    <row r="395" spans="1:6" ht="67.5" customHeight="1" x14ac:dyDescent="0.2">
      <c r="A395" s="21">
        <f t="shared" si="169"/>
        <v>1209</v>
      </c>
      <c r="B395" s="7">
        <f t="shared" si="167"/>
        <v>1209</v>
      </c>
      <c r="C395" s="21">
        <v>1</v>
      </c>
      <c r="D395" s="29" t="s">
        <v>97</v>
      </c>
      <c r="E395" s="58"/>
      <c r="F395" s="50"/>
    </row>
    <row r="396" spans="1:6" x14ac:dyDescent="0.2">
      <c r="A396" s="21">
        <f>A395+C395</f>
        <v>1210</v>
      </c>
      <c r="B396" s="7">
        <f t="shared" ref="B396" si="170">A396+C396-1</f>
        <v>1227</v>
      </c>
      <c r="C396" s="21">
        <v>18</v>
      </c>
      <c r="D396" s="29" t="s">
        <v>64</v>
      </c>
    </row>
    <row r="397" spans="1:6" x14ac:dyDescent="0.2">
      <c r="D397" s="28" t="s">
        <v>121</v>
      </c>
    </row>
    <row r="398" spans="1:6" ht="27.75" customHeight="1" x14ac:dyDescent="0.2">
      <c r="A398" s="21">
        <f>A396+C396</f>
        <v>1228</v>
      </c>
      <c r="B398" s="7">
        <f t="shared" ref="B398:B406" si="171">A398+C398-1</f>
        <v>1229</v>
      </c>
      <c r="C398" s="21">
        <v>2</v>
      </c>
      <c r="D398" s="27" t="s">
        <v>122</v>
      </c>
      <c r="E398" s="51" t="s">
        <v>210</v>
      </c>
      <c r="F398" s="57" t="s">
        <v>341</v>
      </c>
    </row>
    <row r="399" spans="1:6" ht="25.5" customHeight="1" x14ac:dyDescent="0.2">
      <c r="A399" s="21">
        <f t="shared" ref="A399" si="172">A398+C398</f>
        <v>1230</v>
      </c>
      <c r="B399" s="7">
        <f t="shared" si="171"/>
        <v>1231</v>
      </c>
      <c r="C399" s="21">
        <v>2</v>
      </c>
      <c r="D399" s="27" t="s">
        <v>123</v>
      </c>
      <c r="E399" s="51"/>
      <c r="F399" s="57"/>
    </row>
    <row r="400" spans="1:6" ht="26.25" customHeight="1" x14ac:dyDescent="0.2">
      <c r="A400" s="21">
        <f t="shared" ref="A400:A406" si="173">A399+C399</f>
        <v>1232</v>
      </c>
      <c r="B400" s="7">
        <f t="shared" si="171"/>
        <v>1233</v>
      </c>
      <c r="C400" s="21">
        <v>2</v>
      </c>
      <c r="D400" s="27" t="s">
        <v>124</v>
      </c>
      <c r="E400" s="51"/>
      <c r="F400" s="57"/>
    </row>
    <row r="401" spans="1:6" ht="21" customHeight="1" x14ac:dyDescent="0.2">
      <c r="A401" s="21">
        <f t="shared" si="173"/>
        <v>1234</v>
      </c>
      <c r="B401" s="7">
        <f t="shared" si="171"/>
        <v>1235</v>
      </c>
      <c r="C401" s="21">
        <v>2</v>
      </c>
      <c r="D401" s="27" t="s">
        <v>125</v>
      </c>
      <c r="E401" s="51"/>
      <c r="F401" s="57"/>
    </row>
    <row r="402" spans="1:6" ht="29.25" customHeight="1" x14ac:dyDescent="0.2">
      <c r="A402" s="21">
        <f t="shared" si="173"/>
        <v>1236</v>
      </c>
      <c r="B402" s="7">
        <f t="shared" si="171"/>
        <v>1238</v>
      </c>
      <c r="C402" s="21">
        <v>3</v>
      </c>
      <c r="D402" s="27" t="s">
        <v>126</v>
      </c>
      <c r="E402" s="51" t="s">
        <v>211</v>
      </c>
      <c r="F402" s="51" t="s">
        <v>419</v>
      </c>
    </row>
    <row r="403" spans="1:6" ht="30" customHeight="1" x14ac:dyDescent="0.2">
      <c r="A403" s="21">
        <f t="shared" si="173"/>
        <v>1239</v>
      </c>
      <c r="B403" s="7">
        <f t="shared" si="171"/>
        <v>1241</v>
      </c>
      <c r="C403" s="21">
        <v>3</v>
      </c>
      <c r="D403" s="27" t="s">
        <v>127</v>
      </c>
      <c r="E403" s="51"/>
      <c r="F403" s="51"/>
    </row>
    <row r="404" spans="1:6" ht="31.5" customHeight="1" x14ac:dyDescent="0.2">
      <c r="A404" s="21">
        <f t="shared" si="173"/>
        <v>1242</v>
      </c>
      <c r="B404" s="7">
        <f t="shared" si="171"/>
        <v>1244</v>
      </c>
      <c r="C404" s="21">
        <v>3</v>
      </c>
      <c r="D404" s="27" t="s">
        <v>128</v>
      </c>
      <c r="E404" s="51"/>
      <c r="F404" s="51"/>
    </row>
    <row r="405" spans="1:6" ht="36.75" customHeight="1" x14ac:dyDescent="0.2">
      <c r="A405" s="21">
        <f t="shared" si="173"/>
        <v>1245</v>
      </c>
      <c r="B405" s="7">
        <f t="shared" si="171"/>
        <v>1247</v>
      </c>
      <c r="C405" s="21">
        <v>3</v>
      </c>
      <c r="D405" s="27" t="s">
        <v>129</v>
      </c>
      <c r="E405" s="51"/>
      <c r="F405" s="51"/>
    </row>
    <row r="406" spans="1:6" x14ac:dyDescent="0.2">
      <c r="A406" s="21">
        <f t="shared" si="173"/>
        <v>1248</v>
      </c>
      <c r="B406" s="7">
        <f t="shared" si="171"/>
        <v>1273</v>
      </c>
      <c r="C406" s="21">
        <v>26</v>
      </c>
      <c r="D406" s="27" t="s">
        <v>64</v>
      </c>
    </row>
    <row r="407" spans="1:6" x14ac:dyDescent="0.2">
      <c r="B407" s="7"/>
      <c r="D407" s="30" t="s">
        <v>318</v>
      </c>
    </row>
    <row r="408" spans="1:6" ht="12.75" customHeight="1" x14ac:dyDescent="0.2">
      <c r="A408" s="21">
        <f>A406+C406</f>
        <v>1274</v>
      </c>
      <c r="B408" s="7">
        <f t="shared" ref="B408" si="174">A408+C408-1</f>
        <v>1274</v>
      </c>
      <c r="C408" s="21">
        <v>1</v>
      </c>
      <c r="D408" s="4" t="s">
        <v>319</v>
      </c>
      <c r="E408" s="50" t="s">
        <v>297</v>
      </c>
      <c r="F408" s="50" t="s">
        <v>323</v>
      </c>
    </row>
    <row r="409" spans="1:6" x14ac:dyDescent="0.2">
      <c r="A409" s="21">
        <f t="shared" ref="A409:A411" si="175">A408+C408</f>
        <v>1275</v>
      </c>
      <c r="B409" s="7">
        <f t="shared" ref="B409:B411" si="176">A409+C409-1</f>
        <v>1275</v>
      </c>
      <c r="C409" s="21">
        <v>1</v>
      </c>
      <c r="D409" s="4" t="s">
        <v>320</v>
      </c>
      <c r="E409" s="50"/>
      <c r="F409" s="50"/>
    </row>
    <row r="410" spans="1:6" x14ac:dyDescent="0.2">
      <c r="A410" s="21">
        <f t="shared" si="175"/>
        <v>1276</v>
      </c>
      <c r="B410" s="7">
        <f t="shared" si="176"/>
        <v>1276</v>
      </c>
      <c r="C410" s="21">
        <v>1</v>
      </c>
      <c r="D410" s="4" t="s">
        <v>321</v>
      </c>
      <c r="E410" s="50"/>
      <c r="F410" s="50"/>
    </row>
    <row r="411" spans="1:6" x14ac:dyDescent="0.2">
      <c r="A411" s="21">
        <f t="shared" si="175"/>
        <v>1277</v>
      </c>
      <c r="B411" s="7">
        <f t="shared" si="176"/>
        <v>1277</v>
      </c>
      <c r="C411" s="21">
        <v>1</v>
      </c>
      <c r="D411" s="4" t="s">
        <v>322</v>
      </c>
      <c r="E411" s="50"/>
      <c r="F411" s="50"/>
    </row>
    <row r="412" spans="1:6" x14ac:dyDescent="0.2">
      <c r="D412" s="30" t="s">
        <v>157</v>
      </c>
    </row>
    <row r="413" spans="1:6" ht="63.75" x14ac:dyDescent="0.2">
      <c r="A413" s="21">
        <f>A411+C411</f>
        <v>1278</v>
      </c>
      <c r="B413" s="7">
        <f t="shared" ref="B413:B417" si="177">A413+C413-1</f>
        <v>1283</v>
      </c>
      <c r="C413" s="21">
        <v>6</v>
      </c>
      <c r="D413" s="27" t="s">
        <v>137</v>
      </c>
      <c r="E413" s="41" t="s">
        <v>215</v>
      </c>
      <c r="F413" s="41" t="s">
        <v>216</v>
      </c>
    </row>
    <row r="414" spans="1:6" ht="24.75" customHeight="1" x14ac:dyDescent="0.2">
      <c r="A414" s="21">
        <f t="shared" ref="A414" si="178">A413+C413</f>
        <v>1284</v>
      </c>
      <c r="B414" s="7">
        <f t="shared" si="177"/>
        <v>1289</v>
      </c>
      <c r="C414" s="21">
        <v>6</v>
      </c>
      <c r="D414" s="27" t="s">
        <v>133</v>
      </c>
      <c r="E414" s="51" t="s">
        <v>217</v>
      </c>
      <c r="F414" s="51" t="s">
        <v>342</v>
      </c>
    </row>
    <row r="415" spans="1:6" ht="22.5" customHeight="1" x14ac:dyDescent="0.2">
      <c r="A415" s="21">
        <f t="shared" ref="A415:A417" si="179">A414+C414</f>
        <v>1290</v>
      </c>
      <c r="B415" s="7">
        <f t="shared" si="177"/>
        <v>1295</v>
      </c>
      <c r="C415" s="21">
        <v>6</v>
      </c>
      <c r="D415" s="27" t="s">
        <v>134</v>
      </c>
      <c r="E415" s="51"/>
      <c r="F415" s="51"/>
    </row>
    <row r="416" spans="1:6" ht="23.25" customHeight="1" x14ac:dyDescent="0.2">
      <c r="A416" s="21">
        <f t="shared" si="179"/>
        <v>1296</v>
      </c>
      <c r="B416" s="7">
        <f t="shared" si="177"/>
        <v>1301</v>
      </c>
      <c r="C416" s="21">
        <v>6</v>
      </c>
      <c r="D416" s="27" t="s">
        <v>135</v>
      </c>
      <c r="E416" s="51"/>
      <c r="F416" s="51"/>
    </row>
    <row r="417" spans="1:6" ht="22.5" customHeight="1" x14ac:dyDescent="0.2">
      <c r="A417" s="21">
        <f t="shared" si="179"/>
        <v>1302</v>
      </c>
      <c r="B417" s="7">
        <f t="shared" si="177"/>
        <v>1307</v>
      </c>
      <c r="C417" s="21">
        <v>6</v>
      </c>
      <c r="D417" s="27" t="s">
        <v>136</v>
      </c>
      <c r="E417" s="51"/>
      <c r="F417" s="51"/>
    </row>
    <row r="418" spans="1:6" x14ac:dyDescent="0.2">
      <c r="A418" s="21">
        <f>A417+C417</f>
        <v>1308</v>
      </c>
      <c r="B418" s="7">
        <f t="shared" ref="B418" si="180">A418+C418-1</f>
        <v>1311</v>
      </c>
      <c r="C418" s="21">
        <v>4</v>
      </c>
      <c r="D418" s="27" t="s">
        <v>64</v>
      </c>
      <c r="E418" s="39"/>
      <c r="F418" s="39"/>
    </row>
    <row r="419" spans="1:6" x14ac:dyDescent="0.2">
      <c r="D419" s="28" t="s">
        <v>117</v>
      </c>
    </row>
    <row r="420" spans="1:6" ht="191.25" x14ac:dyDescent="0.2">
      <c r="A420" s="21">
        <f>A418+C418</f>
        <v>1312</v>
      </c>
      <c r="B420" s="7">
        <f t="shared" ref="B420:B422" si="181">A420+C420-1</f>
        <v>1313</v>
      </c>
      <c r="C420" s="21">
        <v>2</v>
      </c>
      <c r="D420" s="4" t="s">
        <v>118</v>
      </c>
      <c r="E420" s="41" t="s">
        <v>205</v>
      </c>
      <c r="F420" s="41" t="s">
        <v>206</v>
      </c>
    </row>
    <row r="421" spans="1:6" ht="38.25" x14ac:dyDescent="0.2">
      <c r="A421" s="21">
        <f t="shared" ref="A421" si="182">A420+C420</f>
        <v>1314</v>
      </c>
      <c r="B421" s="7">
        <f t="shared" si="181"/>
        <v>1314</v>
      </c>
      <c r="C421" s="21">
        <v>1</v>
      </c>
      <c r="D421" s="29" t="s">
        <v>119</v>
      </c>
      <c r="E421" s="41" t="s">
        <v>207</v>
      </c>
      <c r="F421" s="41" t="s">
        <v>208</v>
      </c>
    </row>
    <row r="422" spans="1:6" ht="89.25" x14ac:dyDescent="0.2">
      <c r="A422" s="21">
        <f t="shared" ref="A422" si="183">A421+C421</f>
        <v>1315</v>
      </c>
      <c r="B422" s="7">
        <f t="shared" si="181"/>
        <v>1315</v>
      </c>
      <c r="C422" s="21">
        <v>1</v>
      </c>
      <c r="D422" s="29" t="s">
        <v>120</v>
      </c>
      <c r="E422" s="9" t="s">
        <v>209</v>
      </c>
      <c r="F422" s="41" t="s">
        <v>343</v>
      </c>
    </row>
    <row r="423" spans="1:6" x14ac:dyDescent="0.2">
      <c r="A423" s="21">
        <f>A422+C422</f>
        <v>1316</v>
      </c>
      <c r="B423" s="7">
        <f t="shared" ref="B423" si="184">A423+C423-1</f>
        <v>1511</v>
      </c>
      <c r="C423" s="21">
        <v>196</v>
      </c>
      <c r="D423" s="27" t="s">
        <v>64</v>
      </c>
    </row>
    <row r="424" spans="1:6" x14ac:dyDescent="0.2">
      <c r="D424" s="28" t="s">
        <v>143</v>
      </c>
    </row>
    <row r="425" spans="1:6" ht="25.5" x14ac:dyDescent="0.2">
      <c r="A425" s="21">
        <f>A423+C423</f>
        <v>1512</v>
      </c>
      <c r="B425" s="7">
        <f t="shared" ref="B425:B434" si="185">A425+C425-1</f>
        <v>1512</v>
      </c>
      <c r="C425" s="21">
        <v>1</v>
      </c>
      <c r="D425" s="4" t="s">
        <v>144</v>
      </c>
      <c r="E425" s="37" t="s">
        <v>174</v>
      </c>
      <c r="F425" s="37" t="s">
        <v>218</v>
      </c>
    </row>
    <row r="426" spans="1:6" ht="25.5" x14ac:dyDescent="0.2">
      <c r="A426" s="21">
        <f t="shared" ref="A426" si="186">A425+C425</f>
        <v>1513</v>
      </c>
      <c r="B426" s="7">
        <f t="shared" si="185"/>
        <v>1513</v>
      </c>
      <c r="C426" s="21">
        <v>1</v>
      </c>
      <c r="D426" s="4" t="s">
        <v>145</v>
      </c>
      <c r="E426" s="37" t="s">
        <v>174</v>
      </c>
      <c r="F426" s="37" t="s">
        <v>219</v>
      </c>
    </row>
    <row r="427" spans="1:6" ht="25.5" x14ac:dyDescent="0.2">
      <c r="A427" s="21">
        <f t="shared" ref="A427:A433" si="187">A426+C426</f>
        <v>1514</v>
      </c>
      <c r="B427" s="7">
        <f t="shared" si="185"/>
        <v>1514</v>
      </c>
      <c r="C427" s="21">
        <v>1</v>
      </c>
      <c r="D427" s="4" t="s">
        <v>146</v>
      </c>
      <c r="E427" s="37" t="s">
        <v>174</v>
      </c>
      <c r="F427" s="37" t="s">
        <v>220</v>
      </c>
    </row>
    <row r="428" spans="1:6" ht="25.5" x14ac:dyDescent="0.2">
      <c r="A428" s="21">
        <f t="shared" si="187"/>
        <v>1515</v>
      </c>
      <c r="B428" s="7">
        <f t="shared" si="185"/>
        <v>1515</v>
      </c>
      <c r="C428" s="21">
        <v>1</v>
      </c>
      <c r="D428" s="4" t="s">
        <v>147</v>
      </c>
      <c r="E428" s="37" t="s">
        <v>174</v>
      </c>
      <c r="F428" s="37" t="s">
        <v>221</v>
      </c>
    </row>
    <row r="429" spans="1:6" x14ac:dyDescent="0.2">
      <c r="A429" s="21">
        <f t="shared" si="187"/>
        <v>1516</v>
      </c>
      <c r="B429" s="7">
        <f t="shared" si="185"/>
        <v>1516</v>
      </c>
      <c r="C429" s="21">
        <v>1</v>
      </c>
      <c r="D429" s="4" t="s">
        <v>64</v>
      </c>
      <c r="E429" s="37"/>
      <c r="F429" s="37"/>
    </row>
    <row r="430" spans="1:6" ht="25.5" x14ac:dyDescent="0.2">
      <c r="A430" s="21">
        <f t="shared" si="187"/>
        <v>1517</v>
      </c>
      <c r="B430" s="7">
        <f t="shared" si="185"/>
        <v>1517</v>
      </c>
      <c r="C430" s="21">
        <v>1</v>
      </c>
      <c r="D430" s="4" t="s">
        <v>148</v>
      </c>
      <c r="E430" s="37" t="s">
        <v>174</v>
      </c>
      <c r="F430" s="37" t="s">
        <v>222</v>
      </c>
    </row>
    <row r="431" spans="1:6" x14ac:dyDescent="0.2">
      <c r="A431" s="21">
        <f t="shared" si="187"/>
        <v>1518</v>
      </c>
      <c r="B431" s="7">
        <f t="shared" si="185"/>
        <v>1518</v>
      </c>
      <c r="C431" s="21">
        <v>1</v>
      </c>
      <c r="D431" s="4" t="s">
        <v>64</v>
      </c>
      <c r="E431" s="37"/>
      <c r="F431" s="37"/>
    </row>
    <row r="432" spans="1:6" ht="38.25" x14ac:dyDescent="0.2">
      <c r="A432" s="21">
        <f t="shared" si="187"/>
        <v>1519</v>
      </c>
      <c r="B432" s="7">
        <f t="shared" si="185"/>
        <v>1524</v>
      </c>
      <c r="C432" s="21">
        <v>6</v>
      </c>
      <c r="D432" s="4" t="s">
        <v>232</v>
      </c>
      <c r="E432" s="19" t="s">
        <v>229</v>
      </c>
      <c r="F432" s="19" t="s">
        <v>230</v>
      </c>
    </row>
    <row r="433" spans="1:6" x14ac:dyDescent="0.2">
      <c r="A433" s="21">
        <f t="shared" si="187"/>
        <v>1525</v>
      </c>
      <c r="B433" s="7">
        <f t="shared" si="185"/>
        <v>1526</v>
      </c>
      <c r="C433" s="21">
        <v>2</v>
      </c>
      <c r="D433" s="4" t="s">
        <v>64</v>
      </c>
      <c r="E433" s="37"/>
      <c r="F433" s="37"/>
    </row>
    <row r="434" spans="1:6" ht="25.5" x14ac:dyDescent="0.2">
      <c r="A434" s="21">
        <f>A433+C433</f>
        <v>1527</v>
      </c>
      <c r="B434" s="7">
        <f t="shared" si="185"/>
        <v>1527</v>
      </c>
      <c r="C434" s="21">
        <v>1</v>
      </c>
      <c r="D434" s="4" t="s">
        <v>149</v>
      </c>
      <c r="E434" s="37" t="s">
        <v>174</v>
      </c>
      <c r="F434" s="37" t="s">
        <v>223</v>
      </c>
    </row>
    <row r="435" spans="1:6" x14ac:dyDescent="0.2">
      <c r="A435" s="21">
        <f>A434+C434</f>
        <v>1528</v>
      </c>
      <c r="B435" s="7">
        <f t="shared" ref="B435" si="188">A435+C435-1</f>
        <v>1560</v>
      </c>
      <c r="C435" s="21">
        <v>33</v>
      </c>
      <c r="D435" s="29" t="s">
        <v>64</v>
      </c>
    </row>
    <row r="436" spans="1:6" x14ac:dyDescent="0.2">
      <c r="D436" s="28" t="s">
        <v>150</v>
      </c>
    </row>
    <row r="437" spans="1:6" x14ac:dyDescent="0.2">
      <c r="D437" s="28" t="s">
        <v>151</v>
      </c>
    </row>
    <row r="438" spans="1:6" ht="76.5" x14ac:dyDescent="0.2">
      <c r="A438" s="21">
        <f>A435+C435</f>
        <v>1561</v>
      </c>
      <c r="B438" s="7">
        <f t="shared" ref="B438:B439" si="189">A438+C438-1</f>
        <v>1563</v>
      </c>
      <c r="C438" s="21">
        <v>3</v>
      </c>
      <c r="D438" s="29" t="s">
        <v>235</v>
      </c>
      <c r="E438" s="41" t="s">
        <v>224</v>
      </c>
      <c r="F438" s="41" t="s">
        <v>420</v>
      </c>
    </row>
    <row r="439" spans="1:6" x14ac:dyDescent="0.2">
      <c r="A439" s="21">
        <f>A438+C438</f>
        <v>1564</v>
      </c>
      <c r="B439" s="7">
        <f t="shared" si="189"/>
        <v>1603</v>
      </c>
      <c r="C439" s="21">
        <v>40</v>
      </c>
      <c r="D439" s="29" t="s">
        <v>64</v>
      </c>
    </row>
    <row r="440" spans="1:6" x14ac:dyDescent="0.2">
      <c r="D440" s="28" t="s">
        <v>152</v>
      </c>
    </row>
    <row r="441" spans="1:6" ht="76.5" x14ac:dyDescent="0.2">
      <c r="A441" s="21">
        <f>A439+C439</f>
        <v>1604</v>
      </c>
      <c r="B441" s="7">
        <f t="shared" ref="B441:B442" si="190">A441+C441-1</f>
        <v>1606</v>
      </c>
      <c r="C441" s="21">
        <v>3</v>
      </c>
      <c r="D441" s="29" t="s">
        <v>234</v>
      </c>
      <c r="E441" s="41" t="s">
        <v>224</v>
      </c>
      <c r="F441" s="41" t="s">
        <v>420</v>
      </c>
    </row>
    <row r="442" spans="1:6" x14ac:dyDescent="0.2">
      <c r="A442" s="21">
        <f t="shared" ref="A442" si="191">A441+C441</f>
        <v>1607</v>
      </c>
      <c r="B442" s="7">
        <f t="shared" si="190"/>
        <v>1646</v>
      </c>
      <c r="C442" s="21">
        <v>40</v>
      </c>
      <c r="D442" s="29" t="s">
        <v>64</v>
      </c>
    </row>
    <row r="443" spans="1:6" x14ac:dyDescent="0.2">
      <c r="D443" s="28" t="s">
        <v>153</v>
      </c>
    </row>
    <row r="444" spans="1:6" ht="76.5" x14ac:dyDescent="0.2">
      <c r="A444" s="21">
        <f>A442+C442</f>
        <v>1647</v>
      </c>
      <c r="B444" s="7">
        <f t="shared" ref="B444:B445" si="192">A444+C444-1</f>
        <v>1649</v>
      </c>
      <c r="C444" s="21">
        <v>3</v>
      </c>
      <c r="D444" s="29" t="s">
        <v>236</v>
      </c>
      <c r="E444" s="41" t="s">
        <v>224</v>
      </c>
      <c r="F444" s="41" t="s">
        <v>420</v>
      </c>
    </row>
    <row r="445" spans="1:6" x14ac:dyDescent="0.2">
      <c r="A445" s="21">
        <f t="shared" ref="A445" si="193">A444+C444</f>
        <v>1650</v>
      </c>
      <c r="B445" s="7">
        <f t="shared" si="192"/>
        <v>1689</v>
      </c>
      <c r="C445" s="21">
        <v>40</v>
      </c>
      <c r="D445" s="29" t="s">
        <v>64</v>
      </c>
    </row>
    <row r="446" spans="1:6" x14ac:dyDescent="0.2">
      <c r="D446" s="28" t="s">
        <v>154</v>
      </c>
      <c r="F446" s="44"/>
    </row>
    <row r="447" spans="1:6" ht="76.5" x14ac:dyDescent="0.2">
      <c r="A447" s="21">
        <f>A445+C445</f>
        <v>1690</v>
      </c>
      <c r="B447" s="7">
        <f t="shared" ref="B447" si="194">A447+C447-1</f>
        <v>1692</v>
      </c>
      <c r="C447" s="21">
        <v>3</v>
      </c>
      <c r="D447" s="29" t="s">
        <v>233</v>
      </c>
      <c r="E447" s="41" t="s">
        <v>224</v>
      </c>
      <c r="F447" s="41" t="s">
        <v>420</v>
      </c>
    </row>
    <row r="448" spans="1:6" x14ac:dyDescent="0.2">
      <c r="A448" s="34">
        <f>A447+C447</f>
        <v>1693</v>
      </c>
      <c r="B448" s="34">
        <f t="shared" ref="B448" si="195">A448+C448-1</f>
        <v>3027</v>
      </c>
      <c r="C448" s="43">
        <v>1335</v>
      </c>
      <c r="D448" s="35" t="s">
        <v>64</v>
      </c>
      <c r="E448" s="42"/>
      <c r="F448" s="42"/>
    </row>
    <row r="449" spans="1:6" x14ac:dyDescent="0.2">
      <c r="A449" s="20">
        <f>A448+C448</f>
        <v>3028</v>
      </c>
      <c r="B449" s="7">
        <f t="shared" ref="B449" si="196">A449+C449-1</f>
        <v>3046</v>
      </c>
      <c r="C449" s="21">
        <v>19</v>
      </c>
      <c r="D449" s="4" t="s">
        <v>156</v>
      </c>
      <c r="E449" s="39" t="s">
        <v>158</v>
      </c>
      <c r="F449" s="41" t="s">
        <v>159</v>
      </c>
    </row>
    <row r="452" spans="1:6" x14ac:dyDescent="0.2">
      <c r="A452" s="36" t="s">
        <v>273</v>
      </c>
      <c r="B452" s="31"/>
      <c r="C452" s="49">
        <f>B449</f>
        <v>3046</v>
      </c>
    </row>
  </sheetData>
  <mergeCells count="57">
    <mergeCell ref="E414:E417"/>
    <mergeCell ref="F414:F417"/>
    <mergeCell ref="E218:E228"/>
    <mergeCell ref="E242:E251"/>
    <mergeCell ref="E231:E239"/>
    <mergeCell ref="E398:E401"/>
    <mergeCell ref="F398:F401"/>
    <mergeCell ref="E385:E388"/>
    <mergeCell ref="F385:F388"/>
    <mergeCell ref="E402:E405"/>
    <mergeCell ref="F402:F405"/>
    <mergeCell ref="E392:E395"/>
    <mergeCell ref="F392:F395"/>
    <mergeCell ref="E374:E377"/>
    <mergeCell ref="F374:F377"/>
    <mergeCell ref="E379:E382"/>
    <mergeCell ref="E186:E195"/>
    <mergeCell ref="E123:E132"/>
    <mergeCell ref="F123:F132"/>
    <mergeCell ref="F98:F108"/>
    <mergeCell ref="E77:E87"/>
    <mergeCell ref="F186:F195"/>
    <mergeCell ref="E408:E411"/>
    <mergeCell ref="F408:F411"/>
    <mergeCell ref="F276:F279"/>
    <mergeCell ref="F218:F228"/>
    <mergeCell ref="F242:F251"/>
    <mergeCell ref="A1:D1"/>
    <mergeCell ref="E54:E59"/>
    <mergeCell ref="F54:F59"/>
    <mergeCell ref="E42:E51"/>
    <mergeCell ref="F42:F51"/>
    <mergeCell ref="E175:E183"/>
    <mergeCell ref="F175:F183"/>
    <mergeCell ref="E140:E154"/>
    <mergeCell ref="F140:F154"/>
    <mergeCell ref="E1:F1"/>
    <mergeCell ref="F7:F8"/>
    <mergeCell ref="F14:F16"/>
    <mergeCell ref="F20:F21"/>
    <mergeCell ref="F77:F87"/>
    <mergeCell ref="F379:F382"/>
    <mergeCell ref="E276:E279"/>
    <mergeCell ref="E63:E71"/>
    <mergeCell ref="F63:F71"/>
    <mergeCell ref="E111:E120"/>
    <mergeCell ref="F111:F120"/>
    <mergeCell ref="E134:E137"/>
    <mergeCell ref="F134:F137"/>
    <mergeCell ref="E200:E209"/>
    <mergeCell ref="F200:F209"/>
    <mergeCell ref="E257:E267"/>
    <mergeCell ref="F257:F267"/>
    <mergeCell ref="F231:F239"/>
    <mergeCell ref="E163:E172"/>
    <mergeCell ref="F163:F172"/>
    <mergeCell ref="E98:E108"/>
  </mergeCells>
  <printOptions gridLines="1"/>
  <pageMargins left="0.7" right="0.7" top="0.49657738095238102" bottom="0.75" header="0.3" footer="0.3"/>
  <pageSetup scale="48" fitToHeight="0" orientation="landscape" r:id="rId1"/>
  <headerFooter>
    <oddHeader>&amp;RLayout provided by Data Recognition Corporation - Proprietary and Confidential</oddHeader>
    <oddFooter>&amp;LK = Key Verification     E = Equating      M = Merge      C = Corrections&amp;CPage &amp;P of &amp;N&amp;RLast Saved Date: 7/5/2018 5:46:23 PM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A36" sqref="A36"/>
    </sheetView>
  </sheetViews>
  <sheetFormatPr defaultRowHeight="15" x14ac:dyDescent="0.25"/>
  <cols>
    <col min="1" max="1" width="24.5703125" customWidth="1"/>
    <col min="2" max="2" width="25.28515625" customWidth="1"/>
    <col min="3" max="3" width="38.5703125" customWidth="1"/>
  </cols>
  <sheetData>
    <row r="1" spans="1:3" x14ac:dyDescent="0.25">
      <c r="A1" s="12" t="s">
        <v>245</v>
      </c>
      <c r="B1" s="12" t="s">
        <v>246</v>
      </c>
      <c r="C1" s="12" t="s">
        <v>247</v>
      </c>
    </row>
    <row r="2" spans="1:3" ht="26.25" customHeight="1" x14ac:dyDescent="0.25">
      <c r="A2" s="17" t="s">
        <v>237</v>
      </c>
      <c r="B2" s="17" t="s">
        <v>238</v>
      </c>
      <c r="C2" s="15" t="s">
        <v>248</v>
      </c>
    </row>
    <row r="3" spans="1:3" ht="26.25" customHeight="1" x14ac:dyDescent="0.25">
      <c r="A3" s="17" t="s">
        <v>239</v>
      </c>
      <c r="B3" s="17" t="s">
        <v>240</v>
      </c>
      <c r="C3" s="15" t="s">
        <v>248</v>
      </c>
    </row>
    <row r="4" spans="1:3" ht="39" x14ac:dyDescent="0.25">
      <c r="A4" s="17" t="s">
        <v>241</v>
      </c>
      <c r="B4" s="17" t="s">
        <v>240</v>
      </c>
      <c r="C4" s="16" t="s">
        <v>249</v>
      </c>
    </row>
    <row r="5" spans="1:3" ht="39" x14ac:dyDescent="0.25">
      <c r="A5" s="13" t="s">
        <v>242</v>
      </c>
      <c r="B5" s="13" t="s">
        <v>243</v>
      </c>
      <c r="C5" s="14" t="s">
        <v>244</v>
      </c>
    </row>
  </sheetData>
  <hyperlinks>
    <hyperlink ref="C4" r:id="rId1"/>
    <hyperlink ref="C5" r:id="rId2"/>
    <hyperlink ref="C2" r:id="rId3"/>
    <hyperlink ref="C3" r:id="rId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I452"/>
  <sheetViews>
    <sheetView tabSelected="1" topLeftCell="A361" zoomScale="80" zoomScaleNormal="80" zoomScalePageLayoutView="70" workbookViewId="0">
      <selection activeCell="F381" sqref="F381"/>
    </sheetView>
  </sheetViews>
  <sheetFormatPr defaultRowHeight="12.75" x14ac:dyDescent="0.2"/>
  <cols>
    <col min="1" max="5" width="10.85546875" style="21" customWidth="1"/>
    <col min="6" max="6" width="46" style="29" customWidth="1"/>
    <col min="7" max="16384" width="9.140625" style="31"/>
  </cols>
  <sheetData>
    <row r="1" spans="1:9" ht="20.25" x14ac:dyDescent="0.3">
      <c r="A1" s="53" t="s">
        <v>421</v>
      </c>
      <c r="B1" s="53"/>
      <c r="C1" s="53"/>
      <c r="D1" s="53"/>
      <c r="E1" s="53"/>
      <c r="F1" s="53"/>
    </row>
    <row r="2" spans="1:9" ht="31.5" x14ac:dyDescent="0.25">
      <c r="A2" s="2" t="s">
        <v>0</v>
      </c>
      <c r="B2" s="2" t="s">
        <v>1</v>
      </c>
      <c r="C2" s="2" t="s">
        <v>422</v>
      </c>
      <c r="D2" s="2" t="s">
        <v>423</v>
      </c>
      <c r="E2" s="3" t="s">
        <v>2</v>
      </c>
      <c r="F2" s="23" t="s">
        <v>427</v>
      </c>
      <c r="G2" s="31" t="s">
        <v>426</v>
      </c>
      <c r="H2" s="31" t="s">
        <v>424</v>
      </c>
      <c r="I2" s="31" t="s">
        <v>425</v>
      </c>
    </row>
    <row r="3" spans="1:9" x14ac:dyDescent="0.2">
      <c r="F3" s="24" t="s">
        <v>6</v>
      </c>
    </row>
    <row r="4" spans="1:9" x14ac:dyDescent="0.2">
      <c r="A4" s="21">
        <v>1</v>
      </c>
      <c r="B4" s="7">
        <f>A4+E4-1</f>
        <v>2</v>
      </c>
      <c r="C4" s="7">
        <f>A4-1</f>
        <v>0</v>
      </c>
      <c r="D4" s="7">
        <f>B4-1</f>
        <v>1</v>
      </c>
      <c r="E4" s="8">
        <v>2</v>
      </c>
      <c r="F4" s="25" t="s">
        <v>428</v>
      </c>
      <c r="I4" s="31" t="str">
        <f>CONCATENATE(F4," ",C4,"-",D4," A",E4)</f>
        <v>TestDateMonth 0-1 A2</v>
      </c>
    </row>
    <row r="5" spans="1:9" x14ac:dyDescent="0.2">
      <c r="A5" s="21">
        <f>A4+E4</f>
        <v>3</v>
      </c>
      <c r="B5" s="7">
        <f t="shared" ref="B5:B51" si="0">A5+E5-1</f>
        <v>6</v>
      </c>
      <c r="C5" s="7">
        <f t="shared" ref="C5:C68" si="1">A5-1</f>
        <v>2</v>
      </c>
      <c r="D5" s="7">
        <f t="shared" ref="D5:D68" si="2">B5-1</f>
        <v>5</v>
      </c>
      <c r="E5" s="8">
        <v>4</v>
      </c>
      <c r="F5" s="25" t="s">
        <v>429</v>
      </c>
      <c r="I5" s="31" t="str">
        <f t="shared" ref="I5:I36" si="3">CONCATENATE(F5," ",C5,"-",D5," A",E5)</f>
        <v>TestDateYear 2-5 A4</v>
      </c>
    </row>
    <row r="6" spans="1:9" x14ac:dyDescent="0.2">
      <c r="A6" s="21">
        <f t="shared" ref="A6:A31" si="4">A5+E5</f>
        <v>7</v>
      </c>
      <c r="B6" s="7">
        <f t="shared" si="0"/>
        <v>7</v>
      </c>
      <c r="C6" s="7">
        <f t="shared" si="1"/>
        <v>6</v>
      </c>
      <c r="D6" s="7">
        <f t="shared" si="2"/>
        <v>6</v>
      </c>
      <c r="E6" s="8">
        <v>1</v>
      </c>
      <c r="F6" s="25" t="s">
        <v>9</v>
      </c>
      <c r="I6" s="31" t="str">
        <f t="shared" si="3"/>
        <v>Straggler 6-6 A1</v>
      </c>
    </row>
    <row r="7" spans="1:9" ht="29.25" customHeight="1" x14ac:dyDescent="0.2">
      <c r="A7" s="21">
        <f t="shared" si="4"/>
        <v>8</v>
      </c>
      <c r="B7" s="7">
        <f t="shared" si="0"/>
        <v>10</v>
      </c>
      <c r="C7" s="7">
        <f t="shared" si="1"/>
        <v>7</v>
      </c>
      <c r="D7" s="7">
        <f t="shared" si="2"/>
        <v>9</v>
      </c>
      <c r="E7" s="8">
        <v>3</v>
      </c>
      <c r="F7" s="25" t="s">
        <v>430</v>
      </c>
      <c r="I7" s="31" t="str">
        <f t="shared" si="3"/>
        <v>DistrictCode 7-9 A3</v>
      </c>
    </row>
    <row r="8" spans="1:9" ht="33.75" customHeight="1" x14ac:dyDescent="0.2">
      <c r="A8" s="21">
        <f t="shared" si="4"/>
        <v>11</v>
      </c>
      <c r="B8" s="7">
        <f t="shared" si="0"/>
        <v>13</v>
      </c>
      <c r="C8" s="7">
        <f t="shared" si="1"/>
        <v>10</v>
      </c>
      <c r="D8" s="7">
        <f t="shared" si="2"/>
        <v>12</v>
      </c>
      <c r="E8" s="8">
        <v>3</v>
      </c>
      <c r="F8" s="25" t="s">
        <v>431</v>
      </c>
      <c r="I8" s="31" t="str">
        <f t="shared" si="3"/>
        <v>SchoolCode 10-12 A3</v>
      </c>
    </row>
    <row r="9" spans="1:9" x14ac:dyDescent="0.2">
      <c r="A9" s="21">
        <f t="shared" si="4"/>
        <v>14</v>
      </c>
      <c r="B9" s="7">
        <f t="shared" si="0"/>
        <v>53</v>
      </c>
      <c r="C9" s="7">
        <f t="shared" si="1"/>
        <v>13</v>
      </c>
      <c r="D9" s="7">
        <f t="shared" si="2"/>
        <v>52</v>
      </c>
      <c r="E9" s="8">
        <v>40</v>
      </c>
      <c r="F9" s="25" t="s">
        <v>432</v>
      </c>
      <c r="I9" s="31" t="str">
        <f t="shared" si="3"/>
        <v>DistrictName 13-52 A40</v>
      </c>
    </row>
    <row r="10" spans="1:9" x14ac:dyDescent="0.2">
      <c r="A10" s="21">
        <f t="shared" si="4"/>
        <v>54</v>
      </c>
      <c r="B10" s="7">
        <f t="shared" si="0"/>
        <v>93</v>
      </c>
      <c r="C10" s="7">
        <f t="shared" si="1"/>
        <v>53</v>
      </c>
      <c r="D10" s="7">
        <f t="shared" si="2"/>
        <v>92</v>
      </c>
      <c r="E10" s="8">
        <v>40</v>
      </c>
      <c r="F10" s="25" t="s">
        <v>433</v>
      </c>
      <c r="I10" s="31" t="str">
        <f t="shared" si="3"/>
        <v>SchoolName 53-92 A40</v>
      </c>
    </row>
    <row r="11" spans="1:9" x14ac:dyDescent="0.2">
      <c r="A11" s="21">
        <f t="shared" si="4"/>
        <v>94</v>
      </c>
      <c r="B11" s="7">
        <f t="shared" si="0"/>
        <v>102</v>
      </c>
      <c r="C11" s="7">
        <f t="shared" si="1"/>
        <v>93</v>
      </c>
      <c r="D11" s="7">
        <f t="shared" si="2"/>
        <v>101</v>
      </c>
      <c r="E11" s="8">
        <v>9</v>
      </c>
      <c r="F11" s="25" t="s">
        <v>520</v>
      </c>
      <c r="I11" s="31" t="str">
        <f t="shared" si="3"/>
        <v>BarcodeStudentPrecodeNumber 93-101 A9</v>
      </c>
    </row>
    <row r="12" spans="1:9" x14ac:dyDescent="0.2">
      <c r="A12" s="21">
        <f t="shared" si="4"/>
        <v>103</v>
      </c>
      <c r="B12" s="7">
        <f t="shared" si="0"/>
        <v>108</v>
      </c>
      <c r="C12" s="7">
        <f t="shared" si="1"/>
        <v>102</v>
      </c>
      <c r="D12" s="7">
        <f t="shared" si="2"/>
        <v>107</v>
      </c>
      <c r="E12" s="8">
        <v>6</v>
      </c>
      <c r="F12" s="25" t="s">
        <v>434</v>
      </c>
      <c r="I12" s="31" t="str">
        <f t="shared" si="3"/>
        <v>DRCUniqueStudentID 102-107 A6</v>
      </c>
    </row>
    <row r="13" spans="1:9" x14ac:dyDescent="0.2">
      <c r="A13" s="21">
        <f t="shared" si="4"/>
        <v>109</v>
      </c>
      <c r="B13" s="7">
        <f t="shared" si="0"/>
        <v>109</v>
      </c>
      <c r="C13" s="7">
        <f t="shared" si="1"/>
        <v>108</v>
      </c>
      <c r="D13" s="7">
        <f t="shared" si="2"/>
        <v>108</v>
      </c>
      <c r="E13" s="8">
        <v>1</v>
      </c>
      <c r="F13" s="32" t="s">
        <v>435</v>
      </c>
      <c r="I13" s="31" t="str">
        <f t="shared" si="3"/>
        <v>PrecodedTester 108-108 A1</v>
      </c>
    </row>
    <row r="14" spans="1:9" ht="55.5" customHeight="1" x14ac:dyDescent="0.2">
      <c r="A14" s="21">
        <f t="shared" si="4"/>
        <v>110</v>
      </c>
      <c r="B14" s="7">
        <f t="shared" si="0"/>
        <v>121</v>
      </c>
      <c r="C14" s="7">
        <f t="shared" si="1"/>
        <v>109</v>
      </c>
      <c r="D14" s="7">
        <f t="shared" si="2"/>
        <v>120</v>
      </c>
      <c r="E14" s="8">
        <v>12</v>
      </c>
      <c r="F14" s="25" t="s">
        <v>436</v>
      </c>
      <c r="I14" s="31" t="str">
        <f t="shared" si="3"/>
        <v>StudentLastName 109-120 A12</v>
      </c>
    </row>
    <row r="15" spans="1:9" ht="56.25" customHeight="1" x14ac:dyDescent="0.2">
      <c r="A15" s="21">
        <f t="shared" si="4"/>
        <v>122</v>
      </c>
      <c r="B15" s="7">
        <f t="shared" si="0"/>
        <v>129</v>
      </c>
      <c r="C15" s="7">
        <f t="shared" si="1"/>
        <v>121</v>
      </c>
      <c r="D15" s="7">
        <f t="shared" si="2"/>
        <v>128</v>
      </c>
      <c r="E15" s="8">
        <v>8</v>
      </c>
      <c r="F15" s="25" t="s">
        <v>437</v>
      </c>
      <c r="I15" s="31" t="str">
        <f t="shared" si="3"/>
        <v>StudentFirstName 121-128 A8</v>
      </c>
    </row>
    <row r="16" spans="1:9" ht="56.25" customHeight="1" x14ac:dyDescent="0.2">
      <c r="A16" s="21">
        <f t="shared" si="4"/>
        <v>130</v>
      </c>
      <c r="B16" s="7">
        <f t="shared" si="0"/>
        <v>130</v>
      </c>
      <c r="C16" s="7">
        <f t="shared" si="1"/>
        <v>129</v>
      </c>
      <c r="D16" s="7">
        <f t="shared" si="2"/>
        <v>129</v>
      </c>
      <c r="E16" s="8">
        <v>1</v>
      </c>
      <c r="F16" s="25" t="s">
        <v>438</v>
      </c>
      <c r="I16" s="31" t="str">
        <f t="shared" si="3"/>
        <v>StudentMiddleInitial 129-129 A1</v>
      </c>
    </row>
    <row r="17" spans="1:9" x14ac:dyDescent="0.2">
      <c r="A17" s="21">
        <f t="shared" si="4"/>
        <v>131</v>
      </c>
      <c r="B17" s="7">
        <f t="shared" si="0"/>
        <v>140</v>
      </c>
      <c r="C17" s="7">
        <f t="shared" si="1"/>
        <v>130</v>
      </c>
      <c r="D17" s="7">
        <f t="shared" si="2"/>
        <v>139</v>
      </c>
      <c r="E17" s="8">
        <v>10</v>
      </c>
      <c r="F17" s="25" t="s">
        <v>17</v>
      </c>
      <c r="I17" s="31" t="str">
        <f t="shared" si="3"/>
        <v>LASID 130-139 A10</v>
      </c>
    </row>
    <row r="18" spans="1:9" ht="165.75" customHeight="1" x14ac:dyDescent="0.2">
      <c r="A18" s="21">
        <f t="shared" si="4"/>
        <v>141</v>
      </c>
      <c r="B18" s="7">
        <f t="shared" si="0"/>
        <v>142</v>
      </c>
      <c r="C18" s="7">
        <f t="shared" si="1"/>
        <v>140</v>
      </c>
      <c r="D18" s="7">
        <f t="shared" si="2"/>
        <v>141</v>
      </c>
      <c r="E18" s="8">
        <v>2</v>
      </c>
      <c r="F18" s="25" t="s">
        <v>439</v>
      </c>
      <c r="I18" s="31" t="str">
        <f t="shared" si="3"/>
        <v>SummarizedGrade 140-141 A2</v>
      </c>
    </row>
    <row r="19" spans="1:9" x14ac:dyDescent="0.2">
      <c r="A19" s="21">
        <f t="shared" si="4"/>
        <v>143</v>
      </c>
      <c r="B19" s="7">
        <f t="shared" si="0"/>
        <v>146</v>
      </c>
      <c r="C19" s="7">
        <f t="shared" si="1"/>
        <v>142</v>
      </c>
      <c r="D19" s="7">
        <f t="shared" si="2"/>
        <v>145</v>
      </c>
      <c r="E19" s="8">
        <v>4</v>
      </c>
      <c r="F19" s="25" t="str">
        <f>CONCATENATE(H19,G19)</f>
        <v>FILLER1</v>
      </c>
      <c r="G19" s="31">
        <v>1</v>
      </c>
      <c r="H19" s="25" t="s">
        <v>64</v>
      </c>
      <c r="I19" s="31" t="str">
        <f t="shared" si="3"/>
        <v>FILLER1 142-145 A4</v>
      </c>
    </row>
    <row r="20" spans="1:9" ht="90.75" customHeight="1" x14ac:dyDescent="0.2">
      <c r="A20" s="20">
        <f>A19+E19</f>
        <v>147</v>
      </c>
      <c r="B20" s="7">
        <f t="shared" si="0"/>
        <v>148</v>
      </c>
      <c r="C20" s="7">
        <f t="shared" si="1"/>
        <v>146</v>
      </c>
      <c r="D20" s="7">
        <f t="shared" si="2"/>
        <v>147</v>
      </c>
      <c r="E20" s="8">
        <v>2</v>
      </c>
      <c r="F20" s="25" t="s">
        <v>440</v>
      </c>
      <c r="I20" s="31" t="str">
        <f t="shared" si="3"/>
        <v>SummarizedDOBDay 146-147 A2</v>
      </c>
    </row>
    <row r="21" spans="1:9" ht="17.25" customHeight="1" x14ac:dyDescent="0.2">
      <c r="A21" s="20">
        <f t="shared" si="4"/>
        <v>149</v>
      </c>
      <c r="B21" s="7">
        <f t="shared" si="0"/>
        <v>152</v>
      </c>
      <c r="C21" s="7">
        <f t="shared" si="1"/>
        <v>148</v>
      </c>
      <c r="D21" s="7">
        <f t="shared" si="2"/>
        <v>151</v>
      </c>
      <c r="E21" s="8">
        <v>4</v>
      </c>
      <c r="F21" s="25" t="str">
        <f>CONCATENATE(H21,G21)</f>
        <v>FILLER2</v>
      </c>
      <c r="G21" s="31">
        <v>2</v>
      </c>
      <c r="H21" s="25" t="s">
        <v>64</v>
      </c>
      <c r="I21" s="31" t="str">
        <f t="shared" si="3"/>
        <v>FILLER2 148-151 A4</v>
      </c>
    </row>
    <row r="22" spans="1:9" x14ac:dyDescent="0.2">
      <c r="A22" s="20">
        <f t="shared" si="4"/>
        <v>153</v>
      </c>
      <c r="B22" s="7">
        <f t="shared" si="0"/>
        <v>153</v>
      </c>
      <c r="C22" s="7">
        <f t="shared" si="1"/>
        <v>152</v>
      </c>
      <c r="D22" s="7">
        <f t="shared" si="2"/>
        <v>152</v>
      </c>
      <c r="E22" s="8">
        <v>1</v>
      </c>
      <c r="F22" s="25" t="s">
        <v>441</v>
      </c>
      <c r="I22" s="31" t="str">
        <f t="shared" si="3"/>
        <v>SummarizedGender 152-152 A1</v>
      </c>
    </row>
    <row r="23" spans="1:9" x14ac:dyDescent="0.2">
      <c r="A23" s="20">
        <f>A22+E22</f>
        <v>154</v>
      </c>
      <c r="B23" s="7">
        <f t="shared" si="0"/>
        <v>154</v>
      </c>
      <c r="C23" s="7">
        <f t="shared" si="1"/>
        <v>153</v>
      </c>
      <c r="D23" s="7">
        <f t="shared" si="2"/>
        <v>153</v>
      </c>
      <c r="E23" s="8">
        <v>1</v>
      </c>
      <c r="F23" s="25" t="str">
        <f>CONCATENATE(H23,G23)</f>
        <v>FILLER3</v>
      </c>
      <c r="G23" s="31">
        <v>3</v>
      </c>
      <c r="H23" s="25" t="s">
        <v>64</v>
      </c>
      <c r="I23" s="31" t="str">
        <f t="shared" si="3"/>
        <v>FILLER3 153-153 A1</v>
      </c>
    </row>
    <row r="24" spans="1:9" x14ac:dyDescent="0.2">
      <c r="A24" s="20">
        <f t="shared" si="4"/>
        <v>155</v>
      </c>
      <c r="B24" s="7">
        <f t="shared" si="0"/>
        <v>155</v>
      </c>
      <c r="C24" s="7">
        <f t="shared" si="1"/>
        <v>154</v>
      </c>
      <c r="D24" s="7">
        <f t="shared" si="2"/>
        <v>154</v>
      </c>
      <c r="E24" s="8">
        <v>1</v>
      </c>
      <c r="F24" s="25" t="s">
        <v>521</v>
      </c>
      <c r="I24" s="31" t="str">
        <f t="shared" si="3"/>
        <v>SummarizedEthnicityRace 154-154 A1</v>
      </c>
    </row>
    <row r="25" spans="1:9" x14ac:dyDescent="0.2">
      <c r="A25" s="20">
        <f t="shared" si="4"/>
        <v>156</v>
      </c>
      <c r="B25" s="7">
        <f t="shared" si="0"/>
        <v>156</v>
      </c>
      <c r="C25" s="7">
        <f t="shared" si="1"/>
        <v>155</v>
      </c>
      <c r="D25" s="7">
        <f t="shared" si="2"/>
        <v>155</v>
      </c>
      <c r="E25" s="8">
        <v>1</v>
      </c>
      <c r="F25" s="25" t="s">
        <v>442</v>
      </c>
      <c r="I25" s="31" t="str">
        <f t="shared" si="3"/>
        <v>SummarizedMigrantStatus 155-155 A1</v>
      </c>
    </row>
    <row r="26" spans="1:9" x14ac:dyDescent="0.2">
      <c r="A26" s="20">
        <f>A25+E25</f>
        <v>157</v>
      </c>
      <c r="B26" s="7">
        <f t="shared" si="0"/>
        <v>158</v>
      </c>
      <c r="C26" s="7">
        <f t="shared" si="1"/>
        <v>156</v>
      </c>
      <c r="D26" s="7">
        <f t="shared" si="2"/>
        <v>157</v>
      </c>
      <c r="E26" s="8">
        <v>2</v>
      </c>
      <c r="F26" s="25" t="str">
        <f>CONCATENATE(H26,G26)</f>
        <v>FILLER4</v>
      </c>
      <c r="G26" s="31">
        <v>4</v>
      </c>
      <c r="H26" s="25" t="s">
        <v>64</v>
      </c>
      <c r="I26" s="31" t="str">
        <f t="shared" si="3"/>
        <v>FILLER4 156-157 A2</v>
      </c>
    </row>
    <row r="27" spans="1:9" x14ac:dyDescent="0.2">
      <c r="A27" s="20">
        <f>A26+E26</f>
        <v>159</v>
      </c>
      <c r="B27" s="7">
        <f t="shared" si="0"/>
        <v>159</v>
      </c>
      <c r="C27" s="7">
        <f t="shared" si="1"/>
        <v>158</v>
      </c>
      <c r="D27" s="7">
        <f t="shared" si="2"/>
        <v>158</v>
      </c>
      <c r="E27" s="8">
        <v>1</v>
      </c>
      <c r="F27" s="25" t="s">
        <v>611</v>
      </c>
      <c r="I27" s="31" t="str">
        <f t="shared" si="3"/>
        <v>SummarizedMcKinneyVentoActHomeless 158-158 A1</v>
      </c>
    </row>
    <row r="28" spans="1:9" x14ac:dyDescent="0.2">
      <c r="A28" s="20">
        <f>A27+E27</f>
        <v>160</v>
      </c>
      <c r="B28" s="7">
        <f t="shared" si="0"/>
        <v>162</v>
      </c>
      <c r="C28" s="7">
        <f t="shared" si="1"/>
        <v>159</v>
      </c>
      <c r="D28" s="7">
        <f t="shared" si="2"/>
        <v>161</v>
      </c>
      <c r="E28" s="8">
        <v>3</v>
      </c>
      <c r="F28" s="25" t="str">
        <f>CONCATENATE(H28,G28)</f>
        <v>FILLER5</v>
      </c>
      <c r="G28" s="31">
        <v>5</v>
      </c>
      <c r="H28" s="25" t="s">
        <v>64</v>
      </c>
      <c r="I28" s="31" t="str">
        <f t="shared" si="3"/>
        <v>FILLER5 159-161 A3</v>
      </c>
    </row>
    <row r="29" spans="1:9" x14ac:dyDescent="0.2">
      <c r="A29" s="21">
        <f>A28+E28</f>
        <v>163</v>
      </c>
      <c r="B29" s="7">
        <f t="shared" si="0"/>
        <v>163</v>
      </c>
      <c r="C29" s="7">
        <f t="shared" si="1"/>
        <v>162</v>
      </c>
      <c r="D29" s="7">
        <f t="shared" si="2"/>
        <v>162</v>
      </c>
      <c r="E29" s="8">
        <v>1</v>
      </c>
      <c r="F29" s="25" t="s">
        <v>443</v>
      </c>
      <c r="I29" s="31" t="str">
        <f t="shared" si="3"/>
        <v>LAPTwinFlag 162-162 A1</v>
      </c>
    </row>
    <row r="30" spans="1:9" x14ac:dyDescent="0.2">
      <c r="A30" s="21">
        <f t="shared" si="4"/>
        <v>164</v>
      </c>
      <c r="B30" s="7">
        <f t="shared" si="0"/>
        <v>164</v>
      </c>
      <c r="C30" s="7">
        <f t="shared" si="1"/>
        <v>163</v>
      </c>
      <c r="D30" s="7">
        <f t="shared" si="2"/>
        <v>163</v>
      </c>
      <c r="E30" s="8">
        <v>1</v>
      </c>
      <c r="F30" s="25" t="s">
        <v>444</v>
      </c>
      <c r="I30" s="31" t="str">
        <f t="shared" si="3"/>
        <v>LAPTDRTester 163-163 A1</v>
      </c>
    </row>
    <row r="31" spans="1:9" x14ac:dyDescent="0.2">
      <c r="A31" s="21">
        <f t="shared" si="4"/>
        <v>165</v>
      </c>
      <c r="B31" s="7">
        <f t="shared" si="0"/>
        <v>165</v>
      </c>
      <c r="C31" s="7">
        <f t="shared" si="1"/>
        <v>164</v>
      </c>
      <c r="D31" s="7">
        <f t="shared" si="2"/>
        <v>164</v>
      </c>
      <c r="E31" s="8">
        <v>1</v>
      </c>
      <c r="F31" s="4" t="s">
        <v>445</v>
      </c>
      <c r="I31" s="31" t="str">
        <f t="shared" si="3"/>
        <v>LAPScholarshipStudentFlag 164-164 A1</v>
      </c>
    </row>
    <row r="32" spans="1:9" x14ac:dyDescent="0.2">
      <c r="A32" s="20">
        <f>A31+E31</f>
        <v>166</v>
      </c>
      <c r="B32" s="7">
        <f t="shared" si="0"/>
        <v>171</v>
      </c>
      <c r="C32" s="7">
        <f t="shared" si="1"/>
        <v>165</v>
      </c>
      <c r="D32" s="7">
        <f t="shared" si="2"/>
        <v>170</v>
      </c>
      <c r="E32" s="8">
        <v>6</v>
      </c>
      <c r="F32" s="25" t="str">
        <f>CONCATENATE(H32,G32)</f>
        <v>FILLER6</v>
      </c>
      <c r="G32" s="31">
        <v>6</v>
      </c>
      <c r="H32" s="25" t="s">
        <v>64</v>
      </c>
      <c r="I32" s="31" t="str">
        <f t="shared" si="3"/>
        <v>FILLER6 165-170 A6</v>
      </c>
    </row>
    <row r="33" spans="1:9" x14ac:dyDescent="0.2">
      <c r="A33" s="20">
        <f t="shared" ref="A33:A35" si="5">A32+E32</f>
        <v>172</v>
      </c>
      <c r="B33" s="7">
        <f t="shared" si="0"/>
        <v>172</v>
      </c>
      <c r="C33" s="7">
        <f t="shared" si="1"/>
        <v>171</v>
      </c>
      <c r="D33" s="7">
        <f t="shared" si="2"/>
        <v>171</v>
      </c>
      <c r="E33" s="8">
        <v>1</v>
      </c>
      <c r="F33" s="25" t="s">
        <v>446</v>
      </c>
      <c r="I33" s="31" t="str">
        <f t="shared" si="3"/>
        <v>SummarizedMilitaryAffiliation 171-171 A1</v>
      </c>
    </row>
    <row r="34" spans="1:9" x14ac:dyDescent="0.2">
      <c r="A34" s="20">
        <f>A33+E33</f>
        <v>173</v>
      </c>
      <c r="B34" s="7">
        <f t="shared" si="0"/>
        <v>174</v>
      </c>
      <c r="C34" s="7">
        <f t="shared" si="1"/>
        <v>172</v>
      </c>
      <c r="D34" s="7">
        <f t="shared" si="2"/>
        <v>173</v>
      </c>
      <c r="E34" s="8">
        <v>2</v>
      </c>
      <c r="F34" s="25" t="str">
        <f>CONCATENATE(H34,G34)</f>
        <v>FILLER7</v>
      </c>
      <c r="G34" s="31">
        <v>7</v>
      </c>
      <c r="H34" s="25" t="s">
        <v>64</v>
      </c>
      <c r="I34" s="31" t="str">
        <f t="shared" si="3"/>
        <v>FILLER7 172-173 A2</v>
      </c>
    </row>
    <row r="35" spans="1:9" x14ac:dyDescent="0.2">
      <c r="A35" s="20">
        <f t="shared" si="5"/>
        <v>175</v>
      </c>
      <c r="B35" s="7">
        <f t="shared" si="0"/>
        <v>175</v>
      </c>
      <c r="C35" s="7">
        <f t="shared" si="1"/>
        <v>174</v>
      </c>
      <c r="D35" s="7">
        <f t="shared" si="2"/>
        <v>174</v>
      </c>
      <c r="E35" s="8">
        <v>1</v>
      </c>
      <c r="F35" s="25" t="s">
        <v>447</v>
      </c>
      <c r="I35" s="31" t="str">
        <f t="shared" si="3"/>
        <v>SummarizedFosterCare 174-174 A1</v>
      </c>
    </row>
    <row r="36" spans="1:9" x14ac:dyDescent="0.2">
      <c r="A36" s="20">
        <f>A35+E35</f>
        <v>176</v>
      </c>
      <c r="B36" s="7">
        <f t="shared" si="0"/>
        <v>185</v>
      </c>
      <c r="C36" s="7">
        <f t="shared" si="1"/>
        <v>175</v>
      </c>
      <c r="D36" s="7">
        <f t="shared" si="2"/>
        <v>184</v>
      </c>
      <c r="E36" s="8">
        <v>10</v>
      </c>
      <c r="F36" s="25" t="str">
        <f>CONCATENATE(H36,G36)</f>
        <v>FILLER8</v>
      </c>
      <c r="G36" s="31">
        <v>8</v>
      </c>
      <c r="H36" s="25" t="s">
        <v>64</v>
      </c>
      <c r="I36" s="31" t="str">
        <f t="shared" si="3"/>
        <v>FILLER8 175-184 A10</v>
      </c>
    </row>
    <row r="37" spans="1:9" ht="25.5" x14ac:dyDescent="0.2">
      <c r="C37" s="7"/>
      <c r="D37" s="7"/>
      <c r="F37" s="28" t="s">
        <v>25</v>
      </c>
    </row>
    <row r="38" spans="1:9" x14ac:dyDescent="0.2">
      <c r="A38" s="21">
        <f>A36+E36</f>
        <v>186</v>
      </c>
      <c r="B38" s="7">
        <f t="shared" si="0"/>
        <v>195</v>
      </c>
      <c r="C38" s="7">
        <f t="shared" si="1"/>
        <v>185</v>
      </c>
      <c r="D38" s="7">
        <f t="shared" si="2"/>
        <v>194</v>
      </c>
      <c r="E38" s="8">
        <v>10</v>
      </c>
      <c r="F38" s="4" t="s">
        <v>448</v>
      </c>
      <c r="I38" s="31" t="str">
        <f>CONCATENATE(F38,"_ELA ",C38,"-",D38," A",E38)</f>
        <v>BubbledOptionalLocalUse_ELA 185-194 A10</v>
      </c>
    </row>
    <row r="39" spans="1:9" x14ac:dyDescent="0.2">
      <c r="A39" s="21">
        <f t="shared" ref="A39" si="6">A38+E38</f>
        <v>196</v>
      </c>
      <c r="B39" s="7">
        <f t="shared" si="0"/>
        <v>197</v>
      </c>
      <c r="C39" s="7">
        <f t="shared" si="1"/>
        <v>195</v>
      </c>
      <c r="D39" s="7">
        <f t="shared" si="2"/>
        <v>196</v>
      </c>
      <c r="E39" s="8">
        <v>2</v>
      </c>
      <c r="F39" s="4" t="s">
        <v>449</v>
      </c>
      <c r="I39" s="31" t="str">
        <f>CONCATENATE(F39,"_ELA ",C39,"-",D39," A",E39)</f>
        <v>BubbledAccountabilityCode_ELA 195-196 A2</v>
      </c>
    </row>
    <row r="40" spans="1:9" x14ac:dyDescent="0.2">
      <c r="A40" s="21">
        <f>A39+E39</f>
        <v>198</v>
      </c>
      <c r="B40" s="7">
        <f t="shared" si="0"/>
        <v>244</v>
      </c>
      <c r="C40" s="7">
        <f t="shared" si="1"/>
        <v>197</v>
      </c>
      <c r="D40" s="7">
        <f t="shared" si="2"/>
        <v>243</v>
      </c>
      <c r="E40" s="8">
        <v>47</v>
      </c>
      <c r="F40" s="25" t="str">
        <f>CONCATENATE(H40,G40)</f>
        <v>FILLER9</v>
      </c>
      <c r="G40" s="31">
        <v>9</v>
      </c>
      <c r="H40" s="25" t="s">
        <v>64</v>
      </c>
      <c r="I40" s="31" t="str">
        <f t="shared" ref="I40" si="7">CONCATENATE(F40," ",C40,"-",D40," A",E40)</f>
        <v>FILLER9 197-243 A47</v>
      </c>
    </row>
    <row r="41" spans="1:9" ht="25.5" x14ac:dyDescent="0.2">
      <c r="C41" s="7"/>
      <c r="D41" s="7"/>
      <c r="F41" s="26" t="s">
        <v>26</v>
      </c>
    </row>
    <row r="42" spans="1:9" ht="15" customHeight="1" x14ac:dyDescent="0.2">
      <c r="A42" s="21">
        <f>A40+E40</f>
        <v>245</v>
      </c>
      <c r="B42" s="7">
        <f t="shared" si="0"/>
        <v>245</v>
      </c>
      <c r="C42" s="7">
        <f t="shared" si="1"/>
        <v>244</v>
      </c>
      <c r="D42" s="7">
        <f t="shared" si="2"/>
        <v>244</v>
      </c>
      <c r="E42" s="8">
        <v>1</v>
      </c>
      <c r="F42" s="4" t="s">
        <v>450</v>
      </c>
      <c r="I42" s="31" t="str">
        <f>CONCATENATE("SPED",F42,"_ELA ",C42,"-",D42," A",E42)</f>
        <v>SPEDNoAccommodations_ELA 244-244 A1</v>
      </c>
    </row>
    <row r="43" spans="1:9" x14ac:dyDescent="0.2">
      <c r="A43" s="21">
        <f t="shared" ref="A43:A51" si="8">A42+E42</f>
        <v>246</v>
      </c>
      <c r="B43" s="7">
        <f t="shared" si="0"/>
        <v>246</v>
      </c>
      <c r="C43" s="7">
        <f t="shared" si="1"/>
        <v>245</v>
      </c>
      <c r="D43" s="7">
        <f t="shared" si="2"/>
        <v>245</v>
      </c>
      <c r="E43" s="8">
        <v>1</v>
      </c>
      <c r="F43" s="4" t="s">
        <v>28</v>
      </c>
      <c r="I43" s="31" t="str">
        <f t="shared" ref="I43:I51" si="9">CONCATENATE("SPED",F43,"_ELA ",C43,"-",D43," A",E43)</f>
        <v>SPEDBraille_ELA 245-245 A1</v>
      </c>
    </row>
    <row r="44" spans="1:9" x14ac:dyDescent="0.2">
      <c r="A44" s="21">
        <f t="shared" si="8"/>
        <v>247</v>
      </c>
      <c r="B44" s="7">
        <f t="shared" si="0"/>
        <v>247</v>
      </c>
      <c r="C44" s="7">
        <f t="shared" si="1"/>
        <v>246</v>
      </c>
      <c r="D44" s="7">
        <f t="shared" si="2"/>
        <v>246</v>
      </c>
      <c r="E44" s="8">
        <v>1</v>
      </c>
      <c r="F44" s="4" t="s">
        <v>451</v>
      </c>
      <c r="I44" s="31" t="str">
        <f t="shared" si="9"/>
        <v>SPEDLargePrint_ELA 246-246 A1</v>
      </c>
    </row>
    <row r="45" spans="1:9" x14ac:dyDescent="0.2">
      <c r="A45" s="21">
        <f t="shared" si="8"/>
        <v>248</v>
      </c>
      <c r="B45" s="7">
        <f t="shared" si="0"/>
        <v>248</v>
      </c>
      <c r="C45" s="7">
        <f t="shared" si="1"/>
        <v>247</v>
      </c>
      <c r="D45" s="7">
        <f t="shared" si="2"/>
        <v>247</v>
      </c>
      <c r="E45" s="8">
        <v>1</v>
      </c>
      <c r="F45" s="4" t="s">
        <v>452</v>
      </c>
      <c r="I45" s="31" t="str">
        <f t="shared" si="9"/>
        <v>SPEDAnswersRecorded_ELA 247-247 A1</v>
      </c>
    </row>
    <row r="46" spans="1:9" x14ac:dyDescent="0.2">
      <c r="A46" s="21">
        <f t="shared" si="8"/>
        <v>249</v>
      </c>
      <c r="B46" s="7">
        <f t="shared" si="0"/>
        <v>249</v>
      </c>
      <c r="C46" s="7">
        <f t="shared" si="1"/>
        <v>248</v>
      </c>
      <c r="D46" s="7">
        <f t="shared" si="2"/>
        <v>248</v>
      </c>
      <c r="E46" s="8">
        <v>1</v>
      </c>
      <c r="F46" s="4" t="s">
        <v>453</v>
      </c>
      <c r="I46" s="31" t="str">
        <f t="shared" si="9"/>
        <v>SPEDExtendedTime_ELA 248-248 A1</v>
      </c>
    </row>
    <row r="47" spans="1:9" x14ac:dyDescent="0.2">
      <c r="A47" s="21">
        <f t="shared" si="8"/>
        <v>250</v>
      </c>
      <c r="B47" s="7">
        <f t="shared" si="0"/>
        <v>250</v>
      </c>
      <c r="C47" s="7">
        <f t="shared" si="1"/>
        <v>249</v>
      </c>
      <c r="D47" s="7">
        <f t="shared" si="2"/>
        <v>249</v>
      </c>
      <c r="E47" s="8">
        <v>1</v>
      </c>
      <c r="F47" s="4" t="s">
        <v>454</v>
      </c>
      <c r="I47" s="31" t="str">
        <f t="shared" si="9"/>
        <v>SPEDTransferredAnswers_ELA 249-249 A1</v>
      </c>
    </row>
    <row r="48" spans="1:9" x14ac:dyDescent="0.2">
      <c r="A48" s="21">
        <f t="shared" si="8"/>
        <v>251</v>
      </c>
      <c r="B48" s="7">
        <f t="shared" si="0"/>
        <v>251</v>
      </c>
      <c r="C48" s="7">
        <f t="shared" si="1"/>
        <v>250</v>
      </c>
      <c r="D48" s="7">
        <f t="shared" si="2"/>
        <v>250</v>
      </c>
      <c r="E48" s="8">
        <v>1</v>
      </c>
      <c r="F48" s="4" t="s">
        <v>522</v>
      </c>
      <c r="I48" s="31" t="str">
        <f t="shared" si="9"/>
        <v>SPEDIndividualSmallGroupAdministration_ELA 250-250 A1</v>
      </c>
    </row>
    <row r="49" spans="1:9" x14ac:dyDescent="0.2">
      <c r="A49" s="21">
        <f t="shared" si="8"/>
        <v>252</v>
      </c>
      <c r="B49" s="7">
        <f t="shared" si="0"/>
        <v>252</v>
      </c>
      <c r="C49" s="7">
        <f t="shared" si="1"/>
        <v>251</v>
      </c>
      <c r="D49" s="7">
        <f t="shared" si="2"/>
        <v>251</v>
      </c>
      <c r="E49" s="8">
        <v>1</v>
      </c>
      <c r="F49" s="4" t="s">
        <v>455</v>
      </c>
      <c r="I49" s="31" t="str">
        <f t="shared" si="9"/>
        <v>SPEDReadAloudKurzweil_ELA 251-251 A1</v>
      </c>
    </row>
    <row r="50" spans="1:9" x14ac:dyDescent="0.2">
      <c r="A50" s="21">
        <f t="shared" si="8"/>
        <v>253</v>
      </c>
      <c r="B50" s="7">
        <f t="shared" si="0"/>
        <v>253</v>
      </c>
      <c r="C50" s="7">
        <f t="shared" si="1"/>
        <v>252</v>
      </c>
      <c r="D50" s="7">
        <f t="shared" si="2"/>
        <v>252</v>
      </c>
      <c r="E50" s="8">
        <v>1</v>
      </c>
      <c r="F50" s="4" t="s">
        <v>456</v>
      </c>
      <c r="I50" s="31" t="str">
        <f t="shared" si="9"/>
        <v>SPEDReadAloudRecordedVoice_ELA 252-252 A1</v>
      </c>
    </row>
    <row r="51" spans="1:9" x14ac:dyDescent="0.2">
      <c r="A51" s="21">
        <f t="shared" si="8"/>
        <v>254</v>
      </c>
      <c r="B51" s="7">
        <f t="shared" si="0"/>
        <v>254</v>
      </c>
      <c r="C51" s="7">
        <f t="shared" si="1"/>
        <v>253</v>
      </c>
      <c r="D51" s="7">
        <f t="shared" si="2"/>
        <v>253</v>
      </c>
      <c r="E51" s="8">
        <v>1</v>
      </c>
      <c r="F51" s="4" t="s">
        <v>457</v>
      </c>
      <c r="I51" s="31" t="str">
        <f t="shared" si="9"/>
        <v>SPEDReadAloudHumanReader_ELA 253-253 A1</v>
      </c>
    </row>
    <row r="52" spans="1:9" ht="15" customHeight="1" x14ac:dyDescent="0.2">
      <c r="C52" s="7"/>
      <c r="D52" s="7"/>
      <c r="F52" s="26" t="s">
        <v>34</v>
      </c>
    </row>
    <row r="53" spans="1:9" x14ac:dyDescent="0.2">
      <c r="A53" s="21">
        <f>A51+E51</f>
        <v>255</v>
      </c>
      <c r="B53" s="7">
        <f t="shared" ref="B53:B60" si="10">A53+E53-1</f>
        <v>255</v>
      </c>
      <c r="C53" s="7">
        <f t="shared" si="1"/>
        <v>254</v>
      </c>
      <c r="D53" s="7">
        <f t="shared" si="2"/>
        <v>254</v>
      </c>
      <c r="E53" s="8">
        <v>1</v>
      </c>
      <c r="F53" s="25" t="str">
        <f>CONCATENATE(H53,G53)</f>
        <v>FILLER10</v>
      </c>
      <c r="G53" s="31">
        <v>10</v>
      </c>
      <c r="H53" s="25" t="s">
        <v>64</v>
      </c>
      <c r="I53" s="31" t="str">
        <f t="shared" ref="I53:I60" si="11">CONCATENATE(F53," ",C53,"-",D53," A",E53)</f>
        <v>FILLER10 254-254 A1</v>
      </c>
    </row>
    <row r="54" spans="1:9" ht="12.75" customHeight="1" x14ac:dyDescent="0.2">
      <c r="A54" s="21">
        <f>A53+E53</f>
        <v>256</v>
      </c>
      <c r="B54" s="7">
        <f t="shared" si="10"/>
        <v>256</v>
      </c>
      <c r="C54" s="7">
        <f t="shared" si="1"/>
        <v>255</v>
      </c>
      <c r="D54" s="7">
        <f t="shared" si="2"/>
        <v>255</v>
      </c>
      <c r="E54" s="8">
        <v>1</v>
      </c>
      <c r="F54" s="4" t="s">
        <v>450</v>
      </c>
      <c r="I54" s="31" t="str">
        <f>CONCATENATE("LEP",F54,"_ELA ",C54,"-",D54," A",E54)</f>
        <v>LEPNoAccommodations_ELA 255-255 A1</v>
      </c>
    </row>
    <row r="55" spans="1:9" x14ac:dyDescent="0.2">
      <c r="A55" s="21">
        <f t="shared" ref="A55:A60" si="12">A54+E54</f>
        <v>257</v>
      </c>
      <c r="B55" s="7">
        <f t="shared" si="10"/>
        <v>257</v>
      </c>
      <c r="C55" s="7">
        <f t="shared" si="1"/>
        <v>256</v>
      </c>
      <c r="D55" s="7">
        <f t="shared" si="2"/>
        <v>256</v>
      </c>
      <c r="E55" s="8">
        <v>1</v>
      </c>
      <c r="F55" s="4" t="s">
        <v>453</v>
      </c>
      <c r="I55" s="31" t="str">
        <f t="shared" ref="I55:I59" si="13">CONCATENATE("LEP",F55,"_ELA ",C55,"-",D55," A",E55)</f>
        <v>LEPExtendedTime_ELA 256-256 A1</v>
      </c>
    </row>
    <row r="56" spans="1:9" x14ac:dyDescent="0.2">
      <c r="A56" s="21">
        <f t="shared" si="12"/>
        <v>258</v>
      </c>
      <c r="B56" s="7">
        <f t="shared" si="10"/>
        <v>258</v>
      </c>
      <c r="C56" s="7">
        <f t="shared" si="1"/>
        <v>257</v>
      </c>
      <c r="D56" s="7">
        <f t="shared" si="2"/>
        <v>257</v>
      </c>
      <c r="E56" s="8">
        <v>1</v>
      </c>
      <c r="F56" s="4" t="s">
        <v>522</v>
      </c>
      <c r="I56" s="31" t="str">
        <f t="shared" si="13"/>
        <v>LEPIndividualSmallGroupAdministration_ELA 257-257 A1</v>
      </c>
    </row>
    <row r="57" spans="1:9" ht="25.5" x14ac:dyDescent="0.2">
      <c r="A57" s="21">
        <f t="shared" si="12"/>
        <v>259</v>
      </c>
      <c r="B57" s="7">
        <f t="shared" si="10"/>
        <v>259</v>
      </c>
      <c r="C57" s="7">
        <f t="shared" si="1"/>
        <v>258</v>
      </c>
      <c r="D57" s="7">
        <f t="shared" si="2"/>
        <v>258</v>
      </c>
      <c r="E57" s="8">
        <v>1</v>
      </c>
      <c r="F57" s="4" t="s">
        <v>525</v>
      </c>
      <c r="I57" s="31" t="str">
        <f t="shared" si="13"/>
        <v>LEPProvisionofEnglishNativeLanguageWordtoWordDictionaryNoDef_ELA 258-258 A1</v>
      </c>
    </row>
    <row r="58" spans="1:9" ht="25.5" x14ac:dyDescent="0.2">
      <c r="A58" s="21">
        <f t="shared" si="12"/>
        <v>260</v>
      </c>
      <c r="B58" s="7">
        <f t="shared" si="10"/>
        <v>260</v>
      </c>
      <c r="C58" s="7">
        <f t="shared" si="1"/>
        <v>259</v>
      </c>
      <c r="D58" s="7">
        <f t="shared" si="2"/>
        <v>259</v>
      </c>
      <c r="E58" s="8">
        <v>1</v>
      </c>
      <c r="F58" s="4" t="s">
        <v>458</v>
      </c>
      <c r="I58" s="31" t="str">
        <f t="shared" si="13"/>
        <v>LEPTestAdministeredbyESLTeacherorIndividualProvidingLanguageServices_ELA 259-259 A1</v>
      </c>
    </row>
    <row r="59" spans="1:9" x14ac:dyDescent="0.2">
      <c r="A59" s="21">
        <f>A58+E58</f>
        <v>261</v>
      </c>
      <c r="B59" s="7">
        <f t="shared" si="10"/>
        <v>261</v>
      </c>
      <c r="C59" s="7">
        <f t="shared" si="1"/>
        <v>260</v>
      </c>
      <c r="D59" s="7">
        <f t="shared" si="2"/>
        <v>260</v>
      </c>
      <c r="E59" s="8">
        <v>1</v>
      </c>
      <c r="F59" s="4" t="s">
        <v>459</v>
      </c>
      <c r="I59" s="31" t="str">
        <f t="shared" si="13"/>
        <v>LEPDirectionsinNativeLanguage_ELA 260-260 A1</v>
      </c>
    </row>
    <row r="60" spans="1:9" x14ac:dyDescent="0.2">
      <c r="A60" s="21">
        <f t="shared" si="12"/>
        <v>262</v>
      </c>
      <c r="B60" s="7">
        <f t="shared" si="10"/>
        <v>263</v>
      </c>
      <c r="C60" s="7">
        <f t="shared" si="1"/>
        <v>261</v>
      </c>
      <c r="D60" s="7">
        <f t="shared" si="2"/>
        <v>262</v>
      </c>
      <c r="E60" s="8">
        <v>2</v>
      </c>
      <c r="F60" s="25" t="str">
        <f>CONCATENATE(H60,G60)</f>
        <v>FILLER11</v>
      </c>
      <c r="G60" s="31">
        <v>11</v>
      </c>
      <c r="H60" s="25" t="s">
        <v>64</v>
      </c>
      <c r="I60" s="31" t="str">
        <f t="shared" si="11"/>
        <v>FILLER11 261-262 A2</v>
      </c>
    </row>
    <row r="61" spans="1:9" ht="25.5" x14ac:dyDescent="0.2">
      <c r="C61" s="7"/>
      <c r="D61" s="7"/>
      <c r="F61" s="26" t="s">
        <v>36</v>
      </c>
    </row>
    <row r="62" spans="1:9" x14ac:dyDescent="0.2">
      <c r="A62" s="21">
        <f>A60+E60</f>
        <v>264</v>
      </c>
      <c r="B62" s="7">
        <f t="shared" ref="B62:B72" si="14">A62+E62-1</f>
        <v>264</v>
      </c>
      <c r="C62" s="7">
        <f t="shared" si="1"/>
        <v>263</v>
      </c>
      <c r="D62" s="7">
        <f t="shared" si="2"/>
        <v>263</v>
      </c>
      <c r="E62" s="8">
        <v>1</v>
      </c>
      <c r="F62" s="25" t="str">
        <f>CONCATENATE(H62,G62)</f>
        <v>FILLER12</v>
      </c>
      <c r="G62" s="31">
        <v>12</v>
      </c>
      <c r="H62" s="25" t="s">
        <v>64</v>
      </c>
      <c r="I62" s="31" t="str">
        <f t="shared" ref="I62:I72" si="15">CONCATENATE(F62," ",C62,"-",D62," A",E62)</f>
        <v>FILLER12 263-263 A1</v>
      </c>
    </row>
    <row r="63" spans="1:9" ht="12.75" customHeight="1" x14ac:dyDescent="0.2">
      <c r="A63" s="21">
        <f t="shared" ref="A63" si="16">A62+E62</f>
        <v>265</v>
      </c>
      <c r="B63" s="7">
        <f t="shared" si="14"/>
        <v>265</v>
      </c>
      <c r="C63" s="7">
        <f t="shared" si="1"/>
        <v>264</v>
      </c>
      <c r="D63" s="7">
        <f t="shared" si="2"/>
        <v>264</v>
      </c>
      <c r="E63" s="8">
        <v>1</v>
      </c>
      <c r="F63" s="4" t="s">
        <v>450</v>
      </c>
      <c r="I63" s="31" t="str">
        <f>CONCATENATE("Section504",F63,"_ELA ",C63,"-",D63," A",E63)</f>
        <v>Section504NoAccommodations_ELA 264-264 A1</v>
      </c>
    </row>
    <row r="64" spans="1:9" x14ac:dyDescent="0.2">
      <c r="A64" s="21">
        <f>A63+E63</f>
        <v>266</v>
      </c>
      <c r="B64" s="7">
        <f t="shared" si="14"/>
        <v>266</v>
      </c>
      <c r="C64" s="7">
        <f t="shared" si="1"/>
        <v>265</v>
      </c>
      <c r="D64" s="7">
        <f t="shared" si="2"/>
        <v>265</v>
      </c>
      <c r="E64" s="8">
        <v>1</v>
      </c>
      <c r="F64" s="4" t="s">
        <v>451</v>
      </c>
      <c r="I64" s="31" t="str">
        <f t="shared" ref="I64:I71" si="17">CONCATENATE("Section504",F64,"_ELA ",C64,"-",D64," A",E64)</f>
        <v>Section504LargePrint_ELA 265-265 A1</v>
      </c>
    </row>
    <row r="65" spans="1:9" x14ac:dyDescent="0.2">
      <c r="A65" s="21">
        <f t="shared" ref="A65:A71" si="18">A64+E64</f>
        <v>267</v>
      </c>
      <c r="B65" s="7">
        <f t="shared" si="14"/>
        <v>267</v>
      </c>
      <c r="C65" s="7">
        <f t="shared" si="1"/>
        <v>266</v>
      </c>
      <c r="D65" s="7">
        <f t="shared" si="2"/>
        <v>266</v>
      </c>
      <c r="E65" s="8">
        <v>1</v>
      </c>
      <c r="F65" s="4" t="s">
        <v>452</v>
      </c>
      <c r="I65" s="31" t="str">
        <f t="shared" si="17"/>
        <v>Section504AnswersRecorded_ELA 266-266 A1</v>
      </c>
    </row>
    <row r="66" spans="1:9" x14ac:dyDescent="0.2">
      <c r="A66" s="21">
        <f t="shared" si="18"/>
        <v>268</v>
      </c>
      <c r="B66" s="7">
        <f t="shared" si="14"/>
        <v>268</v>
      </c>
      <c r="C66" s="7">
        <f t="shared" si="1"/>
        <v>267</v>
      </c>
      <c r="D66" s="7">
        <f t="shared" si="2"/>
        <v>267</v>
      </c>
      <c r="E66" s="8">
        <v>1</v>
      </c>
      <c r="F66" s="4" t="s">
        <v>453</v>
      </c>
      <c r="I66" s="31" t="str">
        <f t="shared" si="17"/>
        <v>Section504ExtendedTime_ELA 267-267 A1</v>
      </c>
    </row>
    <row r="67" spans="1:9" x14ac:dyDescent="0.2">
      <c r="A67" s="21">
        <f t="shared" si="18"/>
        <v>269</v>
      </c>
      <c r="B67" s="7">
        <f t="shared" si="14"/>
        <v>269</v>
      </c>
      <c r="C67" s="7">
        <f t="shared" si="1"/>
        <v>268</v>
      </c>
      <c r="D67" s="7">
        <f t="shared" si="2"/>
        <v>268</v>
      </c>
      <c r="E67" s="8">
        <v>1</v>
      </c>
      <c r="F67" s="4" t="s">
        <v>454</v>
      </c>
      <c r="I67" s="31" t="str">
        <f t="shared" si="17"/>
        <v>Section504TransferredAnswers_ELA 268-268 A1</v>
      </c>
    </row>
    <row r="68" spans="1:9" x14ac:dyDescent="0.2">
      <c r="A68" s="21">
        <f t="shared" si="18"/>
        <v>270</v>
      </c>
      <c r="B68" s="7">
        <f t="shared" si="14"/>
        <v>270</v>
      </c>
      <c r="C68" s="7">
        <f t="shared" si="1"/>
        <v>269</v>
      </c>
      <c r="D68" s="7">
        <f t="shared" si="2"/>
        <v>269</v>
      </c>
      <c r="E68" s="8">
        <v>1</v>
      </c>
      <c r="F68" s="4" t="s">
        <v>522</v>
      </c>
      <c r="I68" s="31" t="str">
        <f t="shared" si="17"/>
        <v>Section504IndividualSmallGroupAdministration_ELA 269-269 A1</v>
      </c>
    </row>
    <row r="69" spans="1:9" x14ac:dyDescent="0.2">
      <c r="A69" s="21">
        <f t="shared" si="18"/>
        <v>271</v>
      </c>
      <c r="B69" s="7">
        <f t="shared" si="14"/>
        <v>271</v>
      </c>
      <c r="C69" s="7">
        <f t="shared" ref="C69:C132" si="19">A69-1</f>
        <v>270</v>
      </c>
      <c r="D69" s="7">
        <f t="shared" ref="D69:D132" si="20">B69-1</f>
        <v>270</v>
      </c>
      <c r="E69" s="8">
        <v>1</v>
      </c>
      <c r="F69" s="4" t="s">
        <v>455</v>
      </c>
      <c r="I69" s="31" t="str">
        <f t="shared" si="17"/>
        <v>Section504ReadAloudKurzweil_ELA 270-270 A1</v>
      </c>
    </row>
    <row r="70" spans="1:9" x14ac:dyDescent="0.2">
      <c r="A70" s="21">
        <f t="shared" si="18"/>
        <v>272</v>
      </c>
      <c r="B70" s="7">
        <f t="shared" si="14"/>
        <v>272</v>
      </c>
      <c r="C70" s="7">
        <f t="shared" si="19"/>
        <v>271</v>
      </c>
      <c r="D70" s="7">
        <f t="shared" si="20"/>
        <v>271</v>
      </c>
      <c r="E70" s="8">
        <v>1</v>
      </c>
      <c r="F70" s="4" t="s">
        <v>456</v>
      </c>
      <c r="I70" s="31" t="str">
        <f t="shared" si="17"/>
        <v>Section504ReadAloudRecordedVoice_ELA 271-271 A1</v>
      </c>
    </row>
    <row r="71" spans="1:9" x14ac:dyDescent="0.2">
      <c r="A71" s="21">
        <f t="shared" si="18"/>
        <v>273</v>
      </c>
      <c r="B71" s="7">
        <f t="shared" si="14"/>
        <v>273</v>
      </c>
      <c r="C71" s="7">
        <f t="shared" si="19"/>
        <v>272</v>
      </c>
      <c r="D71" s="7">
        <f t="shared" si="20"/>
        <v>272</v>
      </c>
      <c r="E71" s="8">
        <v>1</v>
      </c>
      <c r="F71" s="4" t="s">
        <v>457</v>
      </c>
      <c r="I71" s="31" t="str">
        <f t="shared" si="17"/>
        <v>Section504ReadAloudHumanReader_ELA 272-272 A1</v>
      </c>
    </row>
    <row r="72" spans="1:9" x14ac:dyDescent="0.2">
      <c r="A72" s="21">
        <f>A71+E71</f>
        <v>274</v>
      </c>
      <c r="B72" s="7">
        <f t="shared" si="14"/>
        <v>277</v>
      </c>
      <c r="C72" s="7">
        <f t="shared" si="19"/>
        <v>273</v>
      </c>
      <c r="D72" s="7">
        <f t="shared" si="20"/>
        <v>276</v>
      </c>
      <c r="E72" s="8">
        <v>4</v>
      </c>
      <c r="F72" s="25" t="str">
        <f>CONCATENATE(H72,G72)</f>
        <v>FILLER13</v>
      </c>
      <c r="G72" s="31">
        <v>13</v>
      </c>
      <c r="H72" s="25" t="s">
        <v>64</v>
      </c>
      <c r="I72" s="31" t="str">
        <f t="shared" si="15"/>
        <v>FILLER13 273-276 A4</v>
      </c>
    </row>
    <row r="73" spans="1:9" ht="25.5" x14ac:dyDescent="0.2">
      <c r="C73" s="7"/>
      <c r="D73" s="7"/>
      <c r="F73" s="5" t="s">
        <v>37</v>
      </c>
    </row>
    <row r="74" spans="1:9" x14ac:dyDescent="0.2">
      <c r="A74" s="21">
        <f>A72+E72</f>
        <v>278</v>
      </c>
      <c r="B74" s="7">
        <f t="shared" ref="B74:B75" si="21">A74+E74-1</f>
        <v>278</v>
      </c>
      <c r="C74" s="7">
        <f t="shared" si="19"/>
        <v>277</v>
      </c>
      <c r="D74" s="7">
        <f t="shared" si="20"/>
        <v>277</v>
      </c>
      <c r="E74" s="8">
        <v>1</v>
      </c>
      <c r="F74" s="4" t="s">
        <v>522</v>
      </c>
      <c r="I74" s="31" t="str">
        <f>CONCATENATE(F74,"_ELA ",C74,"-",D74," A",E74)</f>
        <v>IndividualSmallGroupAdministration_ELA 277-277 A1</v>
      </c>
    </row>
    <row r="75" spans="1:9" x14ac:dyDescent="0.2">
      <c r="A75" s="21">
        <f>A74+E74</f>
        <v>279</v>
      </c>
      <c r="B75" s="7">
        <f t="shared" si="21"/>
        <v>283</v>
      </c>
      <c r="C75" s="7">
        <f t="shared" si="19"/>
        <v>278</v>
      </c>
      <c r="D75" s="7">
        <f t="shared" si="20"/>
        <v>282</v>
      </c>
      <c r="E75" s="8">
        <v>5</v>
      </c>
      <c r="F75" s="25" t="str">
        <f>CONCATENATE(H75,G75)</f>
        <v>FILLER14</v>
      </c>
      <c r="G75" s="31">
        <v>14</v>
      </c>
      <c r="H75" s="25" t="s">
        <v>64</v>
      </c>
      <c r="I75" s="31" t="str">
        <f t="shared" ref="I75" si="22">CONCATENATE(F75," ",C75,"-",D75," A",E75)</f>
        <v>FILLER14 278-282 A5</v>
      </c>
    </row>
    <row r="76" spans="1:9" x14ac:dyDescent="0.2">
      <c r="C76" s="7"/>
      <c r="D76" s="7"/>
      <c r="F76" s="5" t="s">
        <v>101</v>
      </c>
    </row>
    <row r="77" spans="1:9" ht="12.75" customHeight="1" x14ac:dyDescent="0.2">
      <c r="A77" s="21">
        <f>A75+E75</f>
        <v>284</v>
      </c>
      <c r="B77" s="7">
        <f t="shared" ref="B77:B88" si="23">A77+E77-1</f>
        <v>284</v>
      </c>
      <c r="C77" s="7">
        <f t="shared" si="19"/>
        <v>283</v>
      </c>
      <c r="D77" s="7">
        <f t="shared" si="20"/>
        <v>283</v>
      </c>
      <c r="E77" s="8">
        <v>1</v>
      </c>
      <c r="F77" s="4" t="s">
        <v>507</v>
      </c>
      <c r="I77" s="31" t="str">
        <f>CONCATENATE("Online",F77,"_ELA ",C77,"-",D77," A",E77)</f>
        <v>OnlineTexttoSpeech_ELA 283-283 A1</v>
      </c>
    </row>
    <row r="78" spans="1:9" x14ac:dyDescent="0.2">
      <c r="A78" s="21">
        <f t="shared" ref="A78:A87" si="24">A77+E77</f>
        <v>285</v>
      </c>
      <c r="B78" s="7">
        <f t="shared" si="23"/>
        <v>285</v>
      </c>
      <c r="C78" s="7">
        <f t="shared" si="19"/>
        <v>284</v>
      </c>
      <c r="D78" s="7">
        <f t="shared" si="20"/>
        <v>284</v>
      </c>
      <c r="E78" s="8">
        <v>1</v>
      </c>
      <c r="F78" s="4" t="s">
        <v>460</v>
      </c>
      <c r="I78" s="31" t="str">
        <f t="shared" ref="I78:I87" si="25">CONCATENATE("Online",F78,"_ELA ",C78,"-",D78," A",E78)</f>
        <v>OnlineHumanReadAloud_ELA 284-284 A1</v>
      </c>
    </row>
    <row r="79" spans="1:9" x14ac:dyDescent="0.2">
      <c r="A79" s="21">
        <f t="shared" si="24"/>
        <v>286</v>
      </c>
      <c r="B79" s="7">
        <f t="shared" si="23"/>
        <v>286</v>
      </c>
      <c r="C79" s="7">
        <f t="shared" si="19"/>
        <v>285</v>
      </c>
      <c r="D79" s="7">
        <f t="shared" si="20"/>
        <v>285</v>
      </c>
      <c r="E79" s="8">
        <v>1</v>
      </c>
      <c r="F79" s="4" t="s">
        <v>508</v>
      </c>
      <c r="I79" s="31" t="str">
        <f t="shared" si="25"/>
        <v>OnlineNativeLanguageWordtoWordDictionary_ELA 285-285 A1</v>
      </c>
    </row>
    <row r="80" spans="1:9" x14ac:dyDescent="0.2">
      <c r="A80" s="21">
        <f t="shared" si="24"/>
        <v>287</v>
      </c>
      <c r="B80" s="7">
        <f t="shared" si="23"/>
        <v>287</v>
      </c>
      <c r="C80" s="7">
        <f t="shared" si="19"/>
        <v>286</v>
      </c>
      <c r="D80" s="7">
        <f t="shared" si="20"/>
        <v>286</v>
      </c>
      <c r="E80" s="8">
        <v>1</v>
      </c>
      <c r="F80" s="4" t="s">
        <v>459</v>
      </c>
      <c r="I80" s="31" t="str">
        <f t="shared" si="25"/>
        <v>OnlineDirectionsinNativeLanguage_ELA 286-286 A1</v>
      </c>
    </row>
    <row r="81" spans="1:9" x14ac:dyDescent="0.2">
      <c r="A81" s="21">
        <f t="shared" si="24"/>
        <v>288</v>
      </c>
      <c r="B81" s="7">
        <f t="shared" si="23"/>
        <v>288</v>
      </c>
      <c r="C81" s="7">
        <f t="shared" si="19"/>
        <v>287</v>
      </c>
      <c r="D81" s="7">
        <f t="shared" si="20"/>
        <v>287</v>
      </c>
      <c r="E81" s="8">
        <v>1</v>
      </c>
      <c r="F81" s="4" t="s">
        <v>454</v>
      </c>
      <c r="I81" s="31" t="str">
        <f t="shared" si="25"/>
        <v>OnlineTransferredAnswers_ELA 287-287 A1</v>
      </c>
    </row>
    <row r="82" spans="1:9" x14ac:dyDescent="0.2">
      <c r="A82" s="21">
        <f t="shared" si="24"/>
        <v>289</v>
      </c>
      <c r="B82" s="7">
        <f t="shared" si="23"/>
        <v>289</v>
      </c>
      <c r="C82" s="7">
        <f t="shared" si="19"/>
        <v>288</v>
      </c>
      <c r="D82" s="7">
        <f t="shared" si="20"/>
        <v>288</v>
      </c>
      <c r="E82" s="8">
        <v>1</v>
      </c>
      <c r="F82" s="4" t="s">
        <v>452</v>
      </c>
      <c r="I82" s="31" t="str">
        <f t="shared" si="25"/>
        <v>OnlineAnswersRecorded_ELA 288-288 A1</v>
      </c>
    </row>
    <row r="83" spans="1:9" x14ac:dyDescent="0.2">
      <c r="A83" s="21">
        <f t="shared" si="24"/>
        <v>290</v>
      </c>
      <c r="B83" s="7">
        <f t="shared" si="23"/>
        <v>290</v>
      </c>
      <c r="C83" s="7">
        <f t="shared" si="19"/>
        <v>289</v>
      </c>
      <c r="D83" s="7">
        <f t="shared" si="20"/>
        <v>289</v>
      </c>
      <c r="E83" s="8">
        <v>1</v>
      </c>
      <c r="F83" s="4" t="s">
        <v>453</v>
      </c>
      <c r="I83" s="31" t="str">
        <f t="shared" si="25"/>
        <v>OnlineExtendedTime_ELA 289-289 A1</v>
      </c>
    </row>
    <row r="84" spans="1:9" x14ac:dyDescent="0.2">
      <c r="A84" s="21">
        <f t="shared" si="24"/>
        <v>291</v>
      </c>
      <c r="B84" s="7">
        <f t="shared" si="23"/>
        <v>291</v>
      </c>
      <c r="C84" s="7">
        <f t="shared" si="19"/>
        <v>290</v>
      </c>
      <c r="D84" s="7">
        <f t="shared" si="20"/>
        <v>290</v>
      </c>
      <c r="E84" s="8">
        <v>1</v>
      </c>
      <c r="F84" s="4" t="s">
        <v>461</v>
      </c>
      <c r="I84" s="31" t="str">
        <f t="shared" si="25"/>
        <v>OnlineIndividualorSmallGroupAdministration_ELA 290-290 A1</v>
      </c>
    </row>
    <row r="85" spans="1:9" x14ac:dyDescent="0.2">
      <c r="A85" s="21">
        <f t="shared" si="24"/>
        <v>292</v>
      </c>
      <c r="B85" s="7">
        <f t="shared" si="23"/>
        <v>292</v>
      </c>
      <c r="C85" s="7">
        <f t="shared" si="19"/>
        <v>291</v>
      </c>
      <c r="D85" s="7">
        <f t="shared" si="20"/>
        <v>291</v>
      </c>
      <c r="E85" s="8">
        <v>1</v>
      </c>
      <c r="F85" s="4" t="s">
        <v>462</v>
      </c>
      <c r="I85" s="31" t="str">
        <f t="shared" si="25"/>
        <v>OnlineAccommodatedPaper_ELA 291-291 A1</v>
      </c>
    </row>
    <row r="86" spans="1:9" x14ac:dyDescent="0.2">
      <c r="A86" s="21">
        <f t="shared" si="24"/>
        <v>293</v>
      </c>
      <c r="B86" s="7">
        <f t="shared" si="23"/>
        <v>293</v>
      </c>
      <c r="C86" s="7">
        <f t="shared" si="19"/>
        <v>292</v>
      </c>
      <c r="D86" s="7">
        <f t="shared" si="20"/>
        <v>292</v>
      </c>
      <c r="E86" s="8">
        <v>1</v>
      </c>
      <c r="F86" s="4" t="s">
        <v>28</v>
      </c>
      <c r="I86" s="31" t="str">
        <f t="shared" si="25"/>
        <v>OnlineBraille_ELA 292-292 A1</v>
      </c>
    </row>
    <row r="87" spans="1:9" x14ac:dyDescent="0.2">
      <c r="A87" s="21">
        <f t="shared" si="24"/>
        <v>294</v>
      </c>
      <c r="B87" s="7">
        <f t="shared" si="23"/>
        <v>294</v>
      </c>
      <c r="C87" s="7">
        <f t="shared" si="19"/>
        <v>293</v>
      </c>
      <c r="D87" s="7">
        <f t="shared" si="20"/>
        <v>293</v>
      </c>
      <c r="E87" s="8">
        <v>1</v>
      </c>
      <c r="F87" s="4" t="s">
        <v>463</v>
      </c>
      <c r="I87" s="31" t="str">
        <f t="shared" si="25"/>
        <v>OnlineCommunicationAssistanceScripts_ELA 293-293 A1</v>
      </c>
    </row>
    <row r="88" spans="1:9" x14ac:dyDescent="0.2">
      <c r="A88" s="21">
        <f>A87+E87</f>
        <v>295</v>
      </c>
      <c r="B88" s="7">
        <f t="shared" si="23"/>
        <v>296</v>
      </c>
      <c r="C88" s="7">
        <f t="shared" si="19"/>
        <v>294</v>
      </c>
      <c r="D88" s="7">
        <f t="shared" si="20"/>
        <v>295</v>
      </c>
      <c r="E88" s="8">
        <v>2</v>
      </c>
      <c r="F88" s="25" t="str">
        <f>CONCATENATE(H88,G88)</f>
        <v>FILLER15</v>
      </c>
      <c r="G88" s="31">
        <v>15</v>
      </c>
      <c r="H88" s="25" t="s">
        <v>64</v>
      </c>
      <c r="I88" s="31" t="str">
        <f t="shared" ref="I88" si="26">CONCATENATE(F88," ",C88,"-",D88," A",E88)</f>
        <v>FILLER15 294-295 A2</v>
      </c>
    </row>
    <row r="89" spans="1:9" ht="25.5" x14ac:dyDescent="0.2">
      <c r="C89" s="7"/>
      <c r="D89" s="7"/>
      <c r="F89" s="28" t="s">
        <v>556</v>
      </c>
    </row>
    <row r="90" spans="1:9" x14ac:dyDescent="0.2">
      <c r="A90" s="21">
        <f>A88+E88</f>
        <v>297</v>
      </c>
      <c r="B90" s="7">
        <f t="shared" ref="B90:B96" si="27">A90+E90-1</f>
        <v>297</v>
      </c>
      <c r="C90" s="7">
        <f t="shared" si="19"/>
        <v>296</v>
      </c>
      <c r="D90" s="7">
        <f t="shared" si="20"/>
        <v>296</v>
      </c>
      <c r="E90" s="8">
        <v>1</v>
      </c>
      <c r="F90" s="32" t="s">
        <v>464</v>
      </c>
      <c r="I90" s="31" t="str">
        <f>CONCATENATE(F90,"_MTH ",C90,"-",D90," A",E90)</f>
        <v>SpanishTester_MTH 296-296 A1</v>
      </c>
    </row>
    <row r="91" spans="1:9" x14ac:dyDescent="0.2">
      <c r="A91" s="21">
        <f>A90+E90</f>
        <v>298</v>
      </c>
      <c r="B91" s="7">
        <f t="shared" si="27"/>
        <v>301</v>
      </c>
      <c r="C91" s="7">
        <f t="shared" si="19"/>
        <v>297</v>
      </c>
      <c r="D91" s="7">
        <f t="shared" si="20"/>
        <v>300</v>
      </c>
      <c r="E91" s="8">
        <v>4</v>
      </c>
      <c r="F91" s="25" t="str">
        <f>CONCATENATE(H91,G91)</f>
        <v>FILLER16</v>
      </c>
      <c r="G91" s="31">
        <v>16</v>
      </c>
      <c r="H91" s="25" t="s">
        <v>64</v>
      </c>
      <c r="I91" s="31" t="str">
        <f t="shared" ref="I91:I96" si="28">CONCATENATE(F91," ",C91,"-",D91," A",E91)</f>
        <v>FILLER16 297-300 A4</v>
      </c>
    </row>
    <row r="92" spans="1:9" x14ac:dyDescent="0.2">
      <c r="A92" s="21">
        <f t="shared" ref="A92:A95" si="29">A91+E91</f>
        <v>302</v>
      </c>
      <c r="B92" s="7">
        <f t="shared" si="27"/>
        <v>311</v>
      </c>
      <c r="C92" s="7">
        <f t="shared" si="19"/>
        <v>301</v>
      </c>
      <c r="D92" s="7">
        <f t="shared" si="20"/>
        <v>310</v>
      </c>
      <c r="E92" s="8">
        <v>10</v>
      </c>
      <c r="F92" s="4" t="s">
        <v>448</v>
      </c>
      <c r="I92" s="31" t="str">
        <f>CONCATENATE(F92,"_MTH ",C92,"-",D92," A",E92)</f>
        <v>BubbledOptionalLocalUse_MTH 301-310 A10</v>
      </c>
    </row>
    <row r="93" spans="1:9" x14ac:dyDescent="0.2">
      <c r="A93" s="21">
        <f t="shared" si="29"/>
        <v>312</v>
      </c>
      <c r="B93" s="7">
        <f t="shared" si="27"/>
        <v>313</v>
      </c>
      <c r="C93" s="7">
        <f t="shared" si="19"/>
        <v>311</v>
      </c>
      <c r="D93" s="7">
        <f t="shared" si="20"/>
        <v>312</v>
      </c>
      <c r="E93" s="8">
        <v>2</v>
      </c>
      <c r="F93" s="4" t="s">
        <v>449</v>
      </c>
      <c r="I93" s="31" t="str">
        <f t="shared" ref="I93:I95" si="30">CONCATENATE(F93,"_MTH ",C93,"-",D93," A",E93)</f>
        <v>BubbledAccountabilityCode_MTH 311-312 A2</v>
      </c>
    </row>
    <row r="94" spans="1:9" x14ac:dyDescent="0.2">
      <c r="A94" s="21">
        <f t="shared" si="29"/>
        <v>314</v>
      </c>
      <c r="B94" s="7">
        <f t="shared" si="27"/>
        <v>314</v>
      </c>
      <c r="C94" s="7">
        <f t="shared" si="19"/>
        <v>313</v>
      </c>
      <c r="D94" s="7">
        <f t="shared" si="20"/>
        <v>313</v>
      </c>
      <c r="E94" s="8">
        <v>1</v>
      </c>
      <c r="F94" s="47" t="s">
        <v>465</v>
      </c>
      <c r="I94" s="31" t="str">
        <f t="shared" si="30"/>
        <v>BubbledMilitaryAffiliated_MTH 313-313 A1</v>
      </c>
    </row>
    <row r="95" spans="1:9" x14ac:dyDescent="0.2">
      <c r="A95" s="21">
        <f t="shared" si="29"/>
        <v>315</v>
      </c>
      <c r="B95" s="7">
        <f t="shared" si="27"/>
        <v>315</v>
      </c>
      <c r="C95" s="7">
        <f t="shared" si="19"/>
        <v>314</v>
      </c>
      <c r="D95" s="7">
        <f t="shared" si="20"/>
        <v>314</v>
      </c>
      <c r="E95" s="8">
        <v>1</v>
      </c>
      <c r="F95" s="47" t="s">
        <v>466</v>
      </c>
      <c r="I95" s="31" t="str">
        <f t="shared" si="30"/>
        <v>BubbledFosterCare_MTH 314-314 A1</v>
      </c>
    </row>
    <row r="96" spans="1:9" x14ac:dyDescent="0.2">
      <c r="A96" s="21">
        <f>A95+E95</f>
        <v>316</v>
      </c>
      <c r="B96" s="7">
        <f t="shared" si="27"/>
        <v>363</v>
      </c>
      <c r="C96" s="7">
        <f t="shared" si="19"/>
        <v>315</v>
      </c>
      <c r="D96" s="7">
        <f t="shared" si="20"/>
        <v>362</v>
      </c>
      <c r="E96" s="8">
        <v>48</v>
      </c>
      <c r="F96" s="25" t="str">
        <f>CONCATENATE(H96,G96)</f>
        <v>FILLER17</v>
      </c>
      <c r="G96" s="31">
        <v>17</v>
      </c>
      <c r="H96" s="25" t="s">
        <v>64</v>
      </c>
      <c r="I96" s="31" t="str">
        <f t="shared" si="28"/>
        <v>FILLER17 315-362 A48</v>
      </c>
    </row>
    <row r="97" spans="1:9" ht="25.5" x14ac:dyDescent="0.2">
      <c r="C97" s="7"/>
      <c r="D97" s="7"/>
      <c r="F97" s="26" t="s">
        <v>26</v>
      </c>
    </row>
    <row r="98" spans="1:9" ht="15" customHeight="1" x14ac:dyDescent="0.2">
      <c r="A98" s="21">
        <f>A96+E96</f>
        <v>364</v>
      </c>
      <c r="B98" s="7">
        <f t="shared" ref="B98:B108" si="31">A98+E98-1</f>
        <v>364</v>
      </c>
      <c r="C98" s="7">
        <f t="shared" si="19"/>
        <v>363</v>
      </c>
      <c r="D98" s="7">
        <f t="shared" si="20"/>
        <v>363</v>
      </c>
      <c r="E98" s="8">
        <v>1</v>
      </c>
      <c r="F98" s="4" t="s">
        <v>450</v>
      </c>
      <c r="I98" s="31" t="str">
        <f>CONCATENATE("SPED",F98,"_MTH ",C98,"-",D98," A",E98)</f>
        <v>SPEDNoAccommodations_MTH 363-363 A1</v>
      </c>
    </row>
    <row r="99" spans="1:9" x14ac:dyDescent="0.2">
      <c r="A99" s="21">
        <f t="shared" ref="A99:A107" si="32">A98+E98</f>
        <v>365</v>
      </c>
      <c r="B99" s="7">
        <f t="shared" si="31"/>
        <v>365</v>
      </c>
      <c r="C99" s="7">
        <f t="shared" si="19"/>
        <v>364</v>
      </c>
      <c r="D99" s="7">
        <f t="shared" si="20"/>
        <v>364</v>
      </c>
      <c r="E99" s="8">
        <v>1</v>
      </c>
      <c r="F99" s="4" t="s">
        <v>28</v>
      </c>
      <c r="I99" s="31" t="str">
        <f t="shared" ref="I99:I108" si="33">CONCATENATE("SPED",F99,"_MTH ",C99,"-",D99," A",E99)</f>
        <v>SPEDBraille_MTH 364-364 A1</v>
      </c>
    </row>
    <row r="100" spans="1:9" x14ac:dyDescent="0.2">
      <c r="A100" s="21">
        <f t="shared" si="32"/>
        <v>366</v>
      </c>
      <c r="B100" s="7">
        <f t="shared" si="31"/>
        <v>366</v>
      </c>
      <c r="C100" s="7">
        <f t="shared" si="19"/>
        <v>365</v>
      </c>
      <c r="D100" s="7">
        <f t="shared" si="20"/>
        <v>365</v>
      </c>
      <c r="E100" s="8">
        <v>1</v>
      </c>
      <c r="F100" s="4" t="s">
        <v>451</v>
      </c>
      <c r="I100" s="31" t="str">
        <f t="shared" si="33"/>
        <v>SPEDLargePrint_MTH 365-365 A1</v>
      </c>
    </row>
    <row r="101" spans="1:9" x14ac:dyDescent="0.2">
      <c r="A101" s="21">
        <f t="shared" si="32"/>
        <v>367</v>
      </c>
      <c r="B101" s="7">
        <f t="shared" si="31"/>
        <v>367</v>
      </c>
      <c r="C101" s="7">
        <f t="shared" si="19"/>
        <v>366</v>
      </c>
      <c r="D101" s="7">
        <f t="shared" si="20"/>
        <v>366</v>
      </c>
      <c r="E101" s="8">
        <v>1</v>
      </c>
      <c r="F101" s="4" t="s">
        <v>452</v>
      </c>
      <c r="I101" s="31" t="str">
        <f t="shared" si="33"/>
        <v>SPEDAnswersRecorded_MTH 366-366 A1</v>
      </c>
    </row>
    <row r="102" spans="1:9" x14ac:dyDescent="0.2">
      <c r="A102" s="21">
        <f t="shared" si="32"/>
        <v>368</v>
      </c>
      <c r="B102" s="7">
        <f t="shared" si="31"/>
        <v>368</v>
      </c>
      <c r="C102" s="7">
        <f t="shared" si="19"/>
        <v>367</v>
      </c>
      <c r="D102" s="7">
        <f t="shared" si="20"/>
        <v>367</v>
      </c>
      <c r="E102" s="8">
        <v>1</v>
      </c>
      <c r="F102" s="4" t="s">
        <v>453</v>
      </c>
      <c r="I102" s="31" t="str">
        <f t="shared" si="33"/>
        <v>SPEDExtendedTime_MTH 367-367 A1</v>
      </c>
    </row>
    <row r="103" spans="1:9" x14ac:dyDescent="0.2">
      <c r="A103" s="21">
        <f t="shared" si="32"/>
        <v>369</v>
      </c>
      <c r="B103" s="7">
        <f t="shared" si="31"/>
        <v>369</v>
      </c>
      <c r="C103" s="7">
        <f t="shared" si="19"/>
        <v>368</v>
      </c>
      <c r="D103" s="7">
        <f t="shared" si="20"/>
        <v>368</v>
      </c>
      <c r="E103" s="8">
        <v>1</v>
      </c>
      <c r="F103" s="4" t="s">
        <v>454</v>
      </c>
      <c r="I103" s="31" t="str">
        <f t="shared" si="33"/>
        <v>SPEDTransferredAnswers_MTH 368-368 A1</v>
      </c>
    </row>
    <row r="104" spans="1:9" x14ac:dyDescent="0.2">
      <c r="A104" s="21">
        <f t="shared" si="32"/>
        <v>370</v>
      </c>
      <c r="B104" s="7">
        <f t="shared" si="31"/>
        <v>370</v>
      </c>
      <c r="C104" s="7">
        <f t="shared" si="19"/>
        <v>369</v>
      </c>
      <c r="D104" s="7">
        <f t="shared" si="20"/>
        <v>369</v>
      </c>
      <c r="E104" s="8">
        <v>1</v>
      </c>
      <c r="F104" s="4" t="s">
        <v>522</v>
      </c>
      <c r="I104" s="31" t="str">
        <f t="shared" si="33"/>
        <v>SPEDIndividualSmallGroupAdministration_MTH 369-369 A1</v>
      </c>
    </row>
    <row r="105" spans="1:9" x14ac:dyDescent="0.2">
      <c r="A105" s="21">
        <f t="shared" si="32"/>
        <v>371</v>
      </c>
      <c r="B105" s="7">
        <f t="shared" si="31"/>
        <v>371</v>
      </c>
      <c r="C105" s="7">
        <f t="shared" si="19"/>
        <v>370</v>
      </c>
      <c r="D105" s="7">
        <f t="shared" si="20"/>
        <v>370</v>
      </c>
      <c r="E105" s="8">
        <v>1</v>
      </c>
      <c r="F105" s="4" t="s">
        <v>455</v>
      </c>
      <c r="I105" s="31" t="str">
        <f t="shared" si="33"/>
        <v>SPEDReadAloudKurzweil_MTH 370-370 A1</v>
      </c>
    </row>
    <row r="106" spans="1:9" x14ac:dyDescent="0.2">
      <c r="A106" s="21">
        <f t="shared" si="32"/>
        <v>372</v>
      </c>
      <c r="B106" s="7">
        <f t="shared" si="31"/>
        <v>372</v>
      </c>
      <c r="C106" s="7">
        <f t="shared" si="19"/>
        <v>371</v>
      </c>
      <c r="D106" s="7">
        <f t="shared" si="20"/>
        <v>371</v>
      </c>
      <c r="E106" s="8">
        <v>1</v>
      </c>
      <c r="F106" s="4" t="s">
        <v>456</v>
      </c>
      <c r="I106" s="31" t="str">
        <f t="shared" si="33"/>
        <v>SPEDReadAloudRecordedVoice_MTH 371-371 A1</v>
      </c>
    </row>
    <row r="107" spans="1:9" x14ac:dyDescent="0.2">
      <c r="A107" s="21">
        <f t="shared" si="32"/>
        <v>373</v>
      </c>
      <c r="B107" s="7">
        <f t="shared" si="31"/>
        <v>373</v>
      </c>
      <c r="C107" s="7">
        <f t="shared" si="19"/>
        <v>372</v>
      </c>
      <c r="D107" s="7">
        <f t="shared" si="20"/>
        <v>372</v>
      </c>
      <c r="E107" s="8">
        <v>1</v>
      </c>
      <c r="F107" s="4" t="s">
        <v>457</v>
      </c>
      <c r="I107" s="31" t="str">
        <f t="shared" si="33"/>
        <v>SPEDReadAloudHumanReader_MTH 372-372 A1</v>
      </c>
    </row>
    <row r="108" spans="1:9" x14ac:dyDescent="0.2">
      <c r="A108" s="21">
        <f>A107+E107</f>
        <v>374</v>
      </c>
      <c r="B108" s="7">
        <f t="shared" si="31"/>
        <v>374</v>
      </c>
      <c r="C108" s="7">
        <f t="shared" si="19"/>
        <v>373</v>
      </c>
      <c r="D108" s="7">
        <f t="shared" si="20"/>
        <v>373</v>
      </c>
      <c r="E108" s="8">
        <v>1</v>
      </c>
      <c r="F108" s="4" t="s">
        <v>467</v>
      </c>
      <c r="I108" s="31" t="str">
        <f t="shared" si="33"/>
        <v>SPEDCalculatorUse_MTH 373-373 A1</v>
      </c>
    </row>
    <row r="109" spans="1:9" x14ac:dyDescent="0.2">
      <c r="C109" s="7"/>
      <c r="D109" s="7"/>
      <c r="F109" s="26" t="s">
        <v>302</v>
      </c>
    </row>
    <row r="110" spans="1:9" x14ac:dyDescent="0.2">
      <c r="A110" s="21">
        <f>A108+E108</f>
        <v>375</v>
      </c>
      <c r="B110" s="7">
        <f t="shared" ref="B110:B120" si="34">A110+E110-1</f>
        <v>375</v>
      </c>
      <c r="C110" s="7">
        <f t="shared" si="19"/>
        <v>374</v>
      </c>
      <c r="D110" s="7">
        <f t="shared" si="20"/>
        <v>374</v>
      </c>
      <c r="E110" s="8">
        <v>1</v>
      </c>
      <c r="F110" s="25" t="str">
        <f>CONCATENATE(H110,G110)</f>
        <v>FILLER18</v>
      </c>
      <c r="G110" s="31">
        <v>18</v>
      </c>
      <c r="H110" s="25" t="s">
        <v>64</v>
      </c>
      <c r="I110" s="31" t="str">
        <f t="shared" ref="I110" si="35">CONCATENATE(F110," ",C110,"-",D110," A",E110)</f>
        <v>FILLER18 374-374 A1</v>
      </c>
    </row>
    <row r="111" spans="1:9" ht="12.75" customHeight="1" x14ac:dyDescent="0.2">
      <c r="A111" s="21">
        <f t="shared" ref="A111:A120" si="36">A110+E110</f>
        <v>376</v>
      </c>
      <c r="B111" s="7">
        <f t="shared" si="34"/>
        <v>376</v>
      </c>
      <c r="C111" s="7">
        <f t="shared" si="19"/>
        <v>375</v>
      </c>
      <c r="D111" s="7">
        <f t="shared" si="20"/>
        <v>375</v>
      </c>
      <c r="E111" s="8">
        <v>1</v>
      </c>
      <c r="F111" s="4" t="s">
        <v>450</v>
      </c>
      <c r="I111" s="31" t="str">
        <f>CONCATENATE("LEP",F111,"_MTH ",C111,"-",D111," A",E111)</f>
        <v>LEPNoAccommodations_MTH 375-375 A1</v>
      </c>
    </row>
    <row r="112" spans="1:9" x14ac:dyDescent="0.2">
      <c r="A112" s="21">
        <f t="shared" si="36"/>
        <v>377</v>
      </c>
      <c r="B112" s="7">
        <f t="shared" si="34"/>
        <v>377</v>
      </c>
      <c r="C112" s="7">
        <f t="shared" si="19"/>
        <v>376</v>
      </c>
      <c r="D112" s="7">
        <f t="shared" si="20"/>
        <v>376</v>
      </c>
      <c r="E112" s="8">
        <v>1</v>
      </c>
      <c r="F112" s="4" t="s">
        <v>453</v>
      </c>
      <c r="I112" s="31" t="str">
        <f t="shared" ref="I112:I120" si="37">CONCATENATE("LEP",F112,"_MTH ",C112,"-",D112," A",E112)</f>
        <v>LEPExtendedTime_MTH 376-376 A1</v>
      </c>
    </row>
    <row r="113" spans="1:9" x14ac:dyDescent="0.2">
      <c r="A113" s="21">
        <f t="shared" si="36"/>
        <v>378</v>
      </c>
      <c r="B113" s="7">
        <f t="shared" si="34"/>
        <v>378</v>
      </c>
      <c r="C113" s="7">
        <f t="shared" si="19"/>
        <v>377</v>
      </c>
      <c r="D113" s="7">
        <f t="shared" si="20"/>
        <v>377</v>
      </c>
      <c r="E113" s="8">
        <v>1</v>
      </c>
      <c r="F113" s="4" t="s">
        <v>522</v>
      </c>
      <c r="I113" s="31" t="str">
        <f t="shared" si="37"/>
        <v>LEPIndividualSmallGroupAdministration_MTH 377-377 A1</v>
      </c>
    </row>
    <row r="114" spans="1:9" ht="25.5" x14ac:dyDescent="0.2">
      <c r="A114" s="21">
        <f t="shared" si="36"/>
        <v>379</v>
      </c>
      <c r="B114" s="7">
        <f t="shared" si="34"/>
        <v>379</v>
      </c>
      <c r="C114" s="7">
        <f t="shared" si="19"/>
        <v>378</v>
      </c>
      <c r="D114" s="7">
        <f t="shared" si="20"/>
        <v>378</v>
      </c>
      <c r="E114" s="8">
        <v>1</v>
      </c>
      <c r="F114" s="4" t="s">
        <v>525</v>
      </c>
      <c r="I114" s="31" t="str">
        <f t="shared" si="37"/>
        <v>LEPProvisionofEnglishNativeLanguageWordtoWordDictionaryNoDef_MTH 378-378 A1</v>
      </c>
    </row>
    <row r="115" spans="1:9" ht="25.5" x14ac:dyDescent="0.2">
      <c r="A115" s="21">
        <f t="shared" si="36"/>
        <v>380</v>
      </c>
      <c r="B115" s="7">
        <f t="shared" si="34"/>
        <v>380</v>
      </c>
      <c r="C115" s="7">
        <f t="shared" si="19"/>
        <v>379</v>
      </c>
      <c r="D115" s="7">
        <f t="shared" si="20"/>
        <v>379</v>
      </c>
      <c r="E115" s="8">
        <v>1</v>
      </c>
      <c r="F115" s="4" t="s">
        <v>458</v>
      </c>
      <c r="I115" s="31" t="str">
        <f t="shared" si="37"/>
        <v>LEPTestAdministeredbyESLTeacherorIndividualProvidingLanguageServices_MTH 379-379 A1</v>
      </c>
    </row>
    <row r="116" spans="1:9" x14ac:dyDescent="0.2">
      <c r="A116" s="21">
        <f t="shared" si="36"/>
        <v>381</v>
      </c>
      <c r="B116" s="7">
        <f t="shared" si="34"/>
        <v>381</v>
      </c>
      <c r="C116" s="7">
        <f t="shared" si="19"/>
        <v>380</v>
      </c>
      <c r="D116" s="7">
        <f t="shared" si="20"/>
        <v>380</v>
      </c>
      <c r="E116" s="8">
        <v>1</v>
      </c>
      <c r="F116" s="4" t="s">
        <v>468</v>
      </c>
      <c r="I116" s="31" t="str">
        <f t="shared" si="37"/>
        <v>LEPSpanishTest_MTH 380-380 A1</v>
      </c>
    </row>
    <row r="117" spans="1:9" x14ac:dyDescent="0.2">
      <c r="A117" s="21">
        <f>A116+E116</f>
        <v>382</v>
      </c>
      <c r="B117" s="7">
        <f t="shared" si="34"/>
        <v>382</v>
      </c>
      <c r="C117" s="7">
        <f t="shared" si="19"/>
        <v>381</v>
      </c>
      <c r="D117" s="7">
        <f t="shared" si="20"/>
        <v>381</v>
      </c>
      <c r="E117" s="8">
        <v>1</v>
      </c>
      <c r="F117" s="4" t="s">
        <v>459</v>
      </c>
      <c r="I117" s="31" t="str">
        <f t="shared" si="37"/>
        <v>LEPDirectionsinNativeLanguage_MTH 381-381 A1</v>
      </c>
    </row>
    <row r="118" spans="1:9" x14ac:dyDescent="0.2">
      <c r="A118" s="21">
        <f t="shared" si="36"/>
        <v>383</v>
      </c>
      <c r="B118" s="7">
        <f t="shared" si="34"/>
        <v>383</v>
      </c>
      <c r="C118" s="7">
        <f t="shared" si="19"/>
        <v>382</v>
      </c>
      <c r="D118" s="7">
        <f t="shared" si="20"/>
        <v>382</v>
      </c>
      <c r="E118" s="8">
        <v>1</v>
      </c>
      <c r="F118" s="4" t="s">
        <v>455</v>
      </c>
      <c r="I118" s="31" t="str">
        <f t="shared" si="37"/>
        <v>LEPReadAloudKurzweil_MTH 382-382 A1</v>
      </c>
    </row>
    <row r="119" spans="1:9" x14ac:dyDescent="0.2">
      <c r="A119" s="21">
        <f t="shared" si="36"/>
        <v>384</v>
      </c>
      <c r="B119" s="7">
        <f t="shared" si="34"/>
        <v>384</v>
      </c>
      <c r="C119" s="7">
        <f t="shared" si="19"/>
        <v>383</v>
      </c>
      <c r="D119" s="7">
        <f t="shared" si="20"/>
        <v>383</v>
      </c>
      <c r="E119" s="8">
        <v>1</v>
      </c>
      <c r="F119" s="4" t="s">
        <v>456</v>
      </c>
      <c r="I119" s="31" t="str">
        <f t="shared" si="37"/>
        <v>LEPReadAloudRecordedVoice_MTH 383-383 A1</v>
      </c>
    </row>
    <row r="120" spans="1:9" x14ac:dyDescent="0.2">
      <c r="A120" s="21">
        <f t="shared" si="36"/>
        <v>385</v>
      </c>
      <c r="B120" s="7">
        <f t="shared" si="34"/>
        <v>385</v>
      </c>
      <c r="C120" s="7">
        <f t="shared" si="19"/>
        <v>384</v>
      </c>
      <c r="D120" s="7">
        <f t="shared" si="20"/>
        <v>384</v>
      </c>
      <c r="E120" s="8">
        <v>1</v>
      </c>
      <c r="F120" s="4" t="s">
        <v>457</v>
      </c>
      <c r="I120" s="31" t="str">
        <f t="shared" si="37"/>
        <v>LEPReadAloudHumanReader_MTH 384-384 A1</v>
      </c>
    </row>
    <row r="121" spans="1:9" ht="25.5" x14ac:dyDescent="0.2">
      <c r="C121" s="7"/>
      <c r="D121" s="7"/>
      <c r="F121" s="26" t="s">
        <v>36</v>
      </c>
    </row>
    <row r="122" spans="1:9" x14ac:dyDescent="0.2">
      <c r="A122" s="21">
        <f>A120+E120</f>
        <v>386</v>
      </c>
      <c r="B122" s="7">
        <f t="shared" ref="B122:B132" si="38">A122+E122-1</f>
        <v>386</v>
      </c>
      <c r="C122" s="7">
        <f t="shared" si="19"/>
        <v>385</v>
      </c>
      <c r="D122" s="7">
        <f t="shared" si="20"/>
        <v>385</v>
      </c>
      <c r="E122" s="8">
        <v>1</v>
      </c>
      <c r="F122" s="25" t="str">
        <f>CONCATENATE(H122,G122)</f>
        <v>FILLER19</v>
      </c>
      <c r="G122" s="31">
        <v>19</v>
      </c>
      <c r="H122" s="25" t="s">
        <v>64</v>
      </c>
      <c r="I122" s="31" t="str">
        <f t="shared" ref="I122" si="39">CONCATENATE(F122," ",C122,"-",D122," A",E122)</f>
        <v>FILLER19 385-385 A1</v>
      </c>
    </row>
    <row r="123" spans="1:9" ht="15" customHeight="1" x14ac:dyDescent="0.2">
      <c r="A123" s="21">
        <f t="shared" ref="A123" si="40">A122+E122</f>
        <v>387</v>
      </c>
      <c r="B123" s="7">
        <f t="shared" si="38"/>
        <v>387</v>
      </c>
      <c r="C123" s="7">
        <f t="shared" si="19"/>
        <v>386</v>
      </c>
      <c r="D123" s="7">
        <f t="shared" si="20"/>
        <v>386</v>
      </c>
      <c r="E123" s="8">
        <v>1</v>
      </c>
      <c r="F123" s="4" t="s">
        <v>450</v>
      </c>
      <c r="I123" s="31" t="str">
        <f>CONCATENATE("Section504",F123,"_MTH ",C123,"-",D123," A",E123)</f>
        <v>Section504NoAccommodations_MTH 386-386 A1</v>
      </c>
    </row>
    <row r="124" spans="1:9" x14ac:dyDescent="0.2">
      <c r="A124" s="48">
        <f>A123+E123</f>
        <v>388</v>
      </c>
      <c r="B124" s="7">
        <f t="shared" si="38"/>
        <v>388</v>
      </c>
      <c r="C124" s="7">
        <f t="shared" si="19"/>
        <v>387</v>
      </c>
      <c r="D124" s="7">
        <f t="shared" si="20"/>
        <v>387</v>
      </c>
      <c r="E124" s="8">
        <v>1</v>
      </c>
      <c r="F124" s="4" t="s">
        <v>451</v>
      </c>
      <c r="I124" s="31" t="str">
        <f t="shared" ref="I124:I132" si="41">CONCATENATE("Section504",F124,"_MTH ",C124,"-",D124," A",E124)</f>
        <v>Section504LargePrint_MTH 387-387 A1</v>
      </c>
    </row>
    <row r="125" spans="1:9" x14ac:dyDescent="0.2">
      <c r="A125" s="21">
        <f t="shared" ref="A125:A131" si="42">A124+E124</f>
        <v>389</v>
      </c>
      <c r="B125" s="7">
        <f t="shared" si="38"/>
        <v>389</v>
      </c>
      <c r="C125" s="7">
        <f t="shared" si="19"/>
        <v>388</v>
      </c>
      <c r="D125" s="7">
        <f t="shared" si="20"/>
        <v>388</v>
      </c>
      <c r="E125" s="8">
        <v>1</v>
      </c>
      <c r="F125" s="4" t="s">
        <v>452</v>
      </c>
      <c r="I125" s="31" t="str">
        <f t="shared" si="41"/>
        <v>Section504AnswersRecorded_MTH 388-388 A1</v>
      </c>
    </row>
    <row r="126" spans="1:9" x14ac:dyDescent="0.2">
      <c r="A126" s="21">
        <f t="shared" si="42"/>
        <v>390</v>
      </c>
      <c r="B126" s="7">
        <f t="shared" si="38"/>
        <v>390</v>
      </c>
      <c r="C126" s="7">
        <f t="shared" si="19"/>
        <v>389</v>
      </c>
      <c r="D126" s="7">
        <f t="shared" si="20"/>
        <v>389</v>
      </c>
      <c r="E126" s="8">
        <v>1</v>
      </c>
      <c r="F126" s="4" t="s">
        <v>453</v>
      </c>
      <c r="I126" s="31" t="str">
        <f t="shared" si="41"/>
        <v>Section504ExtendedTime_MTH 389-389 A1</v>
      </c>
    </row>
    <row r="127" spans="1:9" x14ac:dyDescent="0.2">
      <c r="A127" s="21">
        <f t="shared" si="42"/>
        <v>391</v>
      </c>
      <c r="B127" s="7">
        <f t="shared" si="38"/>
        <v>391</v>
      </c>
      <c r="C127" s="7">
        <f t="shared" si="19"/>
        <v>390</v>
      </c>
      <c r="D127" s="7">
        <f t="shared" si="20"/>
        <v>390</v>
      </c>
      <c r="E127" s="8">
        <v>1</v>
      </c>
      <c r="F127" s="4" t="s">
        <v>454</v>
      </c>
      <c r="I127" s="31" t="str">
        <f t="shared" si="41"/>
        <v>Section504TransferredAnswers_MTH 390-390 A1</v>
      </c>
    </row>
    <row r="128" spans="1:9" x14ac:dyDescent="0.2">
      <c r="A128" s="21">
        <f t="shared" si="42"/>
        <v>392</v>
      </c>
      <c r="B128" s="7">
        <f t="shared" si="38"/>
        <v>392</v>
      </c>
      <c r="C128" s="7">
        <f t="shared" si="19"/>
        <v>391</v>
      </c>
      <c r="D128" s="7">
        <f t="shared" si="20"/>
        <v>391</v>
      </c>
      <c r="E128" s="8">
        <v>1</v>
      </c>
      <c r="F128" s="4" t="s">
        <v>522</v>
      </c>
      <c r="I128" s="31" t="str">
        <f t="shared" si="41"/>
        <v>Section504IndividualSmallGroupAdministration_MTH 391-391 A1</v>
      </c>
    </row>
    <row r="129" spans="1:9" x14ac:dyDescent="0.2">
      <c r="A129" s="21">
        <f t="shared" si="42"/>
        <v>393</v>
      </c>
      <c r="B129" s="7">
        <f t="shared" si="38"/>
        <v>393</v>
      </c>
      <c r="C129" s="7">
        <f t="shared" si="19"/>
        <v>392</v>
      </c>
      <c r="D129" s="7">
        <f t="shared" si="20"/>
        <v>392</v>
      </c>
      <c r="E129" s="8">
        <v>1</v>
      </c>
      <c r="F129" s="4" t="s">
        <v>455</v>
      </c>
      <c r="I129" s="31" t="str">
        <f t="shared" si="41"/>
        <v>Section504ReadAloudKurzweil_MTH 392-392 A1</v>
      </c>
    </row>
    <row r="130" spans="1:9" x14ac:dyDescent="0.2">
      <c r="A130" s="21">
        <f t="shared" si="42"/>
        <v>394</v>
      </c>
      <c r="B130" s="7">
        <f t="shared" si="38"/>
        <v>394</v>
      </c>
      <c r="C130" s="7">
        <f t="shared" si="19"/>
        <v>393</v>
      </c>
      <c r="D130" s="7">
        <f t="shared" si="20"/>
        <v>393</v>
      </c>
      <c r="E130" s="8">
        <v>1</v>
      </c>
      <c r="F130" s="4" t="s">
        <v>456</v>
      </c>
      <c r="I130" s="31" t="str">
        <f t="shared" si="41"/>
        <v>Section504ReadAloudRecordedVoice_MTH 393-393 A1</v>
      </c>
    </row>
    <row r="131" spans="1:9" x14ac:dyDescent="0.2">
      <c r="A131" s="21">
        <f t="shared" si="42"/>
        <v>395</v>
      </c>
      <c r="B131" s="7">
        <f t="shared" si="38"/>
        <v>395</v>
      </c>
      <c r="C131" s="7">
        <f t="shared" si="19"/>
        <v>394</v>
      </c>
      <c r="D131" s="7">
        <f t="shared" si="20"/>
        <v>394</v>
      </c>
      <c r="E131" s="8">
        <v>1</v>
      </c>
      <c r="F131" s="4" t="s">
        <v>457</v>
      </c>
      <c r="I131" s="31" t="str">
        <f t="shared" si="41"/>
        <v>Section504ReadAloudHumanReader_MTH 394-394 A1</v>
      </c>
    </row>
    <row r="132" spans="1:9" x14ac:dyDescent="0.2">
      <c r="A132" s="21">
        <f>A131+E131</f>
        <v>396</v>
      </c>
      <c r="B132" s="7">
        <f t="shared" si="38"/>
        <v>396</v>
      </c>
      <c r="C132" s="7">
        <f t="shared" si="19"/>
        <v>395</v>
      </c>
      <c r="D132" s="7">
        <f t="shared" si="20"/>
        <v>395</v>
      </c>
      <c r="E132" s="8">
        <v>1</v>
      </c>
      <c r="F132" s="4" t="s">
        <v>467</v>
      </c>
      <c r="I132" s="31" t="str">
        <f t="shared" si="41"/>
        <v>Section504CalculatorUse_MTH 395-395 A1</v>
      </c>
    </row>
    <row r="133" spans="1:9" ht="25.5" x14ac:dyDescent="0.2">
      <c r="C133" s="7"/>
      <c r="D133" s="7"/>
      <c r="F133" s="5" t="s">
        <v>37</v>
      </c>
    </row>
    <row r="134" spans="1:9" ht="12.75" customHeight="1" x14ac:dyDescent="0.2">
      <c r="A134" s="21">
        <f>A132+E132</f>
        <v>397</v>
      </c>
      <c r="B134" s="7">
        <f t="shared" ref="B134:B138" si="43">A134+E134-1</f>
        <v>397</v>
      </c>
      <c r="C134" s="7">
        <f t="shared" ref="C134:C196" si="44">A134-1</f>
        <v>396</v>
      </c>
      <c r="D134" s="7">
        <f t="shared" ref="D134:D196" si="45">B134-1</f>
        <v>396</v>
      </c>
      <c r="E134" s="8">
        <v>1</v>
      </c>
      <c r="F134" s="4" t="s">
        <v>522</v>
      </c>
      <c r="I134" s="31" t="str">
        <f>CONCATENATE(F134,"_MTH ",C134,"-",D134," A",E134)</f>
        <v>IndividualSmallGroupAdministration_MTH 396-396 A1</v>
      </c>
    </row>
    <row r="135" spans="1:9" x14ac:dyDescent="0.2">
      <c r="A135" s="21">
        <f t="shared" ref="A135:A136" si="46">A134+E134</f>
        <v>398</v>
      </c>
      <c r="B135" s="7">
        <f t="shared" si="43"/>
        <v>398</v>
      </c>
      <c r="C135" s="7">
        <f t="shared" si="44"/>
        <v>397</v>
      </c>
      <c r="D135" s="7">
        <f t="shared" si="45"/>
        <v>397</v>
      </c>
      <c r="E135" s="8">
        <v>1</v>
      </c>
      <c r="F135" s="4" t="s">
        <v>455</v>
      </c>
      <c r="I135" s="31" t="str">
        <f t="shared" ref="I135:I137" si="47">CONCATENATE(F135,"_MTH ",C135,"-",D135," A",E135)</f>
        <v>ReadAloudKurzweil_MTH 397-397 A1</v>
      </c>
    </row>
    <row r="136" spans="1:9" x14ac:dyDescent="0.2">
      <c r="A136" s="21">
        <f t="shared" si="46"/>
        <v>399</v>
      </c>
      <c r="B136" s="7">
        <f t="shared" si="43"/>
        <v>399</v>
      </c>
      <c r="C136" s="7">
        <f t="shared" si="44"/>
        <v>398</v>
      </c>
      <c r="D136" s="7">
        <f t="shared" si="45"/>
        <v>398</v>
      </c>
      <c r="E136" s="8">
        <v>1</v>
      </c>
      <c r="F136" s="4" t="s">
        <v>456</v>
      </c>
      <c r="I136" s="31" t="str">
        <f t="shared" si="47"/>
        <v>ReadAloudRecordedVoice_MTH 398-398 A1</v>
      </c>
    </row>
    <row r="137" spans="1:9" x14ac:dyDescent="0.2">
      <c r="A137" s="21">
        <f>A136+E136</f>
        <v>400</v>
      </c>
      <c r="B137" s="7">
        <f t="shared" si="43"/>
        <v>400</v>
      </c>
      <c r="C137" s="7">
        <f t="shared" si="44"/>
        <v>399</v>
      </c>
      <c r="D137" s="7">
        <f t="shared" si="45"/>
        <v>399</v>
      </c>
      <c r="E137" s="8">
        <v>1</v>
      </c>
      <c r="F137" s="4" t="s">
        <v>457</v>
      </c>
      <c r="I137" s="31" t="str">
        <f t="shared" si="47"/>
        <v>ReadAloudHumanReader_MTH 399-399 A1</v>
      </c>
    </row>
    <row r="138" spans="1:9" x14ac:dyDescent="0.2">
      <c r="A138" s="21">
        <f>A137+E137</f>
        <v>401</v>
      </c>
      <c r="B138" s="7">
        <f t="shared" si="43"/>
        <v>403</v>
      </c>
      <c r="C138" s="7">
        <f t="shared" si="44"/>
        <v>400</v>
      </c>
      <c r="D138" s="7">
        <f t="shared" si="45"/>
        <v>402</v>
      </c>
      <c r="E138" s="8">
        <v>3</v>
      </c>
      <c r="F138" s="25" t="str">
        <f>CONCATENATE(H138,G138)</f>
        <v>FILLER20</v>
      </c>
      <c r="G138" s="31">
        <v>20</v>
      </c>
      <c r="H138" s="25" t="s">
        <v>64</v>
      </c>
      <c r="I138" s="31" t="str">
        <f t="shared" ref="I138" si="48">CONCATENATE(F138," ",C138,"-",D138," A",E138)</f>
        <v>FILLER20 400-402 A3</v>
      </c>
    </row>
    <row r="139" spans="1:9" x14ac:dyDescent="0.2">
      <c r="C139" s="7"/>
      <c r="D139" s="7"/>
      <c r="F139" s="28" t="s">
        <v>101</v>
      </c>
    </row>
    <row r="140" spans="1:9" ht="15" customHeight="1" x14ac:dyDescent="0.2">
      <c r="A140" s="21">
        <f>A138+E138</f>
        <v>404</v>
      </c>
      <c r="B140" s="7">
        <f t="shared" ref="B140:B155" si="49">A140+E140-1</f>
        <v>404</v>
      </c>
      <c r="C140" s="7">
        <f t="shared" si="44"/>
        <v>403</v>
      </c>
      <c r="D140" s="7">
        <f t="shared" si="45"/>
        <v>403</v>
      </c>
      <c r="E140" s="8">
        <v>1</v>
      </c>
      <c r="F140" s="4" t="s">
        <v>507</v>
      </c>
      <c r="I140" s="31" t="str">
        <f>CONCATENATE("Online",F140,"_MTH ",C140,"-",D140," A",E140)</f>
        <v>OnlineTexttoSpeech_MTH 403-403 A1</v>
      </c>
    </row>
    <row r="141" spans="1:9" x14ac:dyDescent="0.2">
      <c r="A141" s="21">
        <f t="shared" ref="A141:A154" si="50">A140+E140</f>
        <v>405</v>
      </c>
      <c r="B141" s="7">
        <f t="shared" si="49"/>
        <v>405</v>
      </c>
      <c r="C141" s="7">
        <f t="shared" si="44"/>
        <v>404</v>
      </c>
      <c r="D141" s="7">
        <f t="shared" si="45"/>
        <v>404</v>
      </c>
      <c r="E141" s="8">
        <v>1</v>
      </c>
      <c r="F141" s="4" t="s">
        <v>468</v>
      </c>
      <c r="I141" s="31" t="str">
        <f t="shared" ref="I141:I154" si="51">CONCATENATE("Online",F141,"_MTH ",C141,"-",D141," A",E141)</f>
        <v>OnlineSpanishTest_MTH 404-404 A1</v>
      </c>
    </row>
    <row r="142" spans="1:9" x14ac:dyDescent="0.2">
      <c r="A142" s="21">
        <f t="shared" si="50"/>
        <v>406</v>
      </c>
      <c r="B142" s="7">
        <f t="shared" si="49"/>
        <v>406</v>
      </c>
      <c r="C142" s="7">
        <f t="shared" si="44"/>
        <v>405</v>
      </c>
      <c r="D142" s="7">
        <f t="shared" si="45"/>
        <v>405</v>
      </c>
      <c r="E142" s="8">
        <v>1</v>
      </c>
      <c r="F142" s="4" t="s">
        <v>462</v>
      </c>
      <c r="I142" s="31" t="str">
        <f t="shared" si="51"/>
        <v>OnlineAccommodatedPaper_MTH 405-405 A1</v>
      </c>
    </row>
    <row r="143" spans="1:9" x14ac:dyDescent="0.2">
      <c r="A143" s="21">
        <f t="shared" si="50"/>
        <v>407</v>
      </c>
      <c r="B143" s="7">
        <f t="shared" si="49"/>
        <v>407</v>
      </c>
      <c r="C143" s="7">
        <f t="shared" si="44"/>
        <v>406</v>
      </c>
      <c r="D143" s="7">
        <f t="shared" si="45"/>
        <v>406</v>
      </c>
      <c r="E143" s="8">
        <v>1</v>
      </c>
      <c r="F143" s="4" t="s">
        <v>460</v>
      </c>
      <c r="I143" s="31" t="str">
        <f t="shared" si="51"/>
        <v>OnlineHumanReadAloud_MTH 406-406 A1</v>
      </c>
    </row>
    <row r="144" spans="1:9" x14ac:dyDescent="0.2">
      <c r="A144" s="21">
        <f t="shared" si="50"/>
        <v>408</v>
      </c>
      <c r="B144" s="7">
        <f t="shared" si="49"/>
        <v>408</v>
      </c>
      <c r="C144" s="7">
        <f t="shared" si="44"/>
        <v>407</v>
      </c>
      <c r="D144" s="7">
        <f t="shared" si="45"/>
        <v>407</v>
      </c>
      <c r="E144" s="8">
        <v>1</v>
      </c>
      <c r="F144" s="4" t="s">
        <v>508</v>
      </c>
      <c r="I144" s="31" t="str">
        <f t="shared" si="51"/>
        <v>OnlineNativeLanguageWordtoWordDictionary_MTH 407-407 A1</v>
      </c>
    </row>
    <row r="145" spans="1:9" x14ac:dyDescent="0.2">
      <c r="A145" s="21">
        <f t="shared" si="50"/>
        <v>409</v>
      </c>
      <c r="B145" s="7">
        <f t="shared" si="49"/>
        <v>409</v>
      </c>
      <c r="C145" s="7">
        <f t="shared" si="44"/>
        <v>408</v>
      </c>
      <c r="D145" s="7">
        <f t="shared" si="45"/>
        <v>408</v>
      </c>
      <c r="E145" s="8">
        <v>1</v>
      </c>
      <c r="F145" s="4" t="s">
        <v>459</v>
      </c>
      <c r="I145" s="31" t="str">
        <f t="shared" si="51"/>
        <v>OnlineDirectionsinNativeLanguage_MTH 408-408 A1</v>
      </c>
    </row>
    <row r="146" spans="1:9" x14ac:dyDescent="0.2">
      <c r="A146" s="21">
        <f t="shared" si="50"/>
        <v>410</v>
      </c>
      <c r="B146" s="7">
        <f t="shared" si="49"/>
        <v>410</v>
      </c>
      <c r="C146" s="7">
        <f t="shared" si="44"/>
        <v>409</v>
      </c>
      <c r="D146" s="7">
        <f t="shared" si="45"/>
        <v>409</v>
      </c>
      <c r="E146" s="8">
        <v>1</v>
      </c>
      <c r="F146" s="4" t="s">
        <v>454</v>
      </c>
      <c r="I146" s="31" t="str">
        <f t="shared" si="51"/>
        <v>OnlineTransferredAnswers_MTH 409-409 A1</v>
      </c>
    </row>
    <row r="147" spans="1:9" x14ac:dyDescent="0.2">
      <c r="A147" s="21">
        <f t="shared" si="50"/>
        <v>411</v>
      </c>
      <c r="B147" s="7">
        <f t="shared" si="49"/>
        <v>411</v>
      </c>
      <c r="C147" s="7">
        <f t="shared" si="44"/>
        <v>410</v>
      </c>
      <c r="D147" s="7">
        <f t="shared" si="45"/>
        <v>410</v>
      </c>
      <c r="E147" s="8">
        <v>1</v>
      </c>
      <c r="F147" s="4" t="s">
        <v>452</v>
      </c>
      <c r="I147" s="31" t="str">
        <f t="shared" si="51"/>
        <v>OnlineAnswersRecorded_MTH 410-410 A1</v>
      </c>
    </row>
    <row r="148" spans="1:9" x14ac:dyDescent="0.2">
      <c r="A148" s="21">
        <f t="shared" si="50"/>
        <v>412</v>
      </c>
      <c r="B148" s="7">
        <f t="shared" si="49"/>
        <v>412</v>
      </c>
      <c r="C148" s="7">
        <f t="shared" si="44"/>
        <v>411</v>
      </c>
      <c r="D148" s="7">
        <f t="shared" si="45"/>
        <v>411</v>
      </c>
      <c r="E148" s="8">
        <v>1</v>
      </c>
      <c r="F148" s="4" t="s">
        <v>107</v>
      </c>
      <c r="I148" s="31" t="str">
        <f t="shared" si="51"/>
        <v>OnlineCalculator_MTH 411-411 A1</v>
      </c>
    </row>
    <row r="149" spans="1:9" x14ac:dyDescent="0.2">
      <c r="A149" s="21">
        <f t="shared" si="50"/>
        <v>413</v>
      </c>
      <c r="B149" s="7">
        <f t="shared" si="49"/>
        <v>413</v>
      </c>
      <c r="C149" s="7">
        <f t="shared" si="44"/>
        <v>412</v>
      </c>
      <c r="D149" s="7">
        <f t="shared" si="45"/>
        <v>412</v>
      </c>
      <c r="E149" s="8">
        <v>1</v>
      </c>
      <c r="F149" s="4" t="s">
        <v>453</v>
      </c>
      <c r="I149" s="31" t="str">
        <f t="shared" si="51"/>
        <v>OnlineExtendedTime_MTH 412-412 A1</v>
      </c>
    </row>
    <row r="150" spans="1:9" x14ac:dyDescent="0.2">
      <c r="A150" s="21">
        <f t="shared" si="50"/>
        <v>414</v>
      </c>
      <c r="B150" s="7">
        <f t="shared" si="49"/>
        <v>414</v>
      </c>
      <c r="C150" s="7">
        <f t="shared" si="44"/>
        <v>413</v>
      </c>
      <c r="D150" s="7">
        <f t="shared" si="45"/>
        <v>413</v>
      </c>
      <c r="E150" s="8">
        <v>1</v>
      </c>
      <c r="F150" s="4" t="s">
        <v>461</v>
      </c>
      <c r="I150" s="31" t="str">
        <f t="shared" si="51"/>
        <v>OnlineIndividualorSmallGroupAdministration_MTH 413-413 A1</v>
      </c>
    </row>
    <row r="151" spans="1:9" x14ac:dyDescent="0.2">
      <c r="A151" s="21">
        <f t="shared" si="50"/>
        <v>415</v>
      </c>
      <c r="B151" s="7">
        <f t="shared" si="49"/>
        <v>415</v>
      </c>
      <c r="C151" s="7">
        <f t="shared" si="44"/>
        <v>414</v>
      </c>
      <c r="D151" s="7">
        <f t="shared" si="45"/>
        <v>414</v>
      </c>
      <c r="E151" s="8">
        <v>1</v>
      </c>
      <c r="F151" s="4" t="s">
        <v>28</v>
      </c>
      <c r="I151" s="31" t="str">
        <f t="shared" si="51"/>
        <v>OnlineBraille_MTH 414-414 A1</v>
      </c>
    </row>
    <row r="152" spans="1:9" x14ac:dyDescent="0.2">
      <c r="A152" s="21">
        <f t="shared" si="50"/>
        <v>416</v>
      </c>
      <c r="B152" s="7">
        <f t="shared" si="49"/>
        <v>416</v>
      </c>
      <c r="C152" s="7">
        <f t="shared" si="44"/>
        <v>415</v>
      </c>
      <c r="D152" s="7">
        <f t="shared" si="45"/>
        <v>415</v>
      </c>
      <c r="E152" s="8">
        <v>1</v>
      </c>
      <c r="F152" s="4" t="s">
        <v>463</v>
      </c>
      <c r="I152" s="31" t="str">
        <f t="shared" si="51"/>
        <v>OnlineCommunicationAssistanceScripts_MTH 415-415 A1</v>
      </c>
    </row>
    <row r="153" spans="1:9" x14ac:dyDescent="0.2">
      <c r="A153" s="21">
        <f t="shared" si="50"/>
        <v>417</v>
      </c>
      <c r="B153" s="7">
        <f t="shared" si="49"/>
        <v>417</v>
      </c>
      <c r="C153" s="7">
        <f t="shared" si="44"/>
        <v>416</v>
      </c>
      <c r="D153" s="7">
        <f t="shared" si="45"/>
        <v>416</v>
      </c>
      <c r="E153" s="8">
        <v>1</v>
      </c>
      <c r="F153" s="4" t="s">
        <v>469</v>
      </c>
      <c r="I153" s="31" t="str">
        <f t="shared" si="51"/>
        <v>OnlineBasicCalculator_MTH 416-416 A1</v>
      </c>
    </row>
    <row r="154" spans="1:9" x14ac:dyDescent="0.2">
      <c r="A154" s="21">
        <f t="shared" si="50"/>
        <v>418</v>
      </c>
      <c r="B154" s="7">
        <f t="shared" si="49"/>
        <v>418</v>
      </c>
      <c r="C154" s="7">
        <f t="shared" si="44"/>
        <v>417</v>
      </c>
      <c r="D154" s="7">
        <f t="shared" si="45"/>
        <v>417</v>
      </c>
      <c r="E154" s="8">
        <v>1</v>
      </c>
      <c r="F154" s="4" t="s">
        <v>470</v>
      </c>
      <c r="I154" s="31" t="str">
        <f t="shared" si="51"/>
        <v>OnlineScientificCalculator_MTH 417-417 A1</v>
      </c>
    </row>
    <row r="155" spans="1:9" x14ac:dyDescent="0.2">
      <c r="A155" s="21">
        <f>A154+E154</f>
        <v>419</v>
      </c>
      <c r="B155" s="7">
        <f t="shared" si="49"/>
        <v>423</v>
      </c>
      <c r="C155" s="7">
        <f t="shared" si="44"/>
        <v>418</v>
      </c>
      <c r="D155" s="7">
        <f t="shared" si="45"/>
        <v>422</v>
      </c>
      <c r="E155" s="8">
        <v>5</v>
      </c>
      <c r="F155" s="25" t="str">
        <f>CONCATENATE(H155,G155)</f>
        <v>FILLER21</v>
      </c>
      <c r="G155" s="31">
        <v>21</v>
      </c>
      <c r="H155" s="25" t="s">
        <v>64</v>
      </c>
      <c r="I155" s="31" t="str">
        <f t="shared" ref="I155" si="52">CONCATENATE(F155," ",C155,"-",D155," A",E155)</f>
        <v>FILLER21 418-422 A5</v>
      </c>
    </row>
    <row r="156" spans="1:9" ht="25.5" x14ac:dyDescent="0.2">
      <c r="C156" s="7"/>
      <c r="D156" s="7"/>
      <c r="F156" s="28" t="s">
        <v>571</v>
      </c>
    </row>
    <row r="157" spans="1:9" x14ac:dyDescent="0.2">
      <c r="A157" s="21">
        <f>A155+E155</f>
        <v>424</v>
      </c>
      <c r="B157" s="7">
        <f t="shared" ref="B157:B161" si="53">A157+E157-1</f>
        <v>433</v>
      </c>
      <c r="C157" s="7">
        <f t="shared" si="44"/>
        <v>423</v>
      </c>
      <c r="D157" s="7">
        <f t="shared" si="45"/>
        <v>432</v>
      </c>
      <c r="E157" s="8">
        <v>10</v>
      </c>
      <c r="F157" s="4" t="s">
        <v>448</v>
      </c>
      <c r="I157" s="31" t="str">
        <f>CONCATENATE(F157,"_SCI ",C157,"-",D157," A",E157)</f>
        <v>BubbledOptionalLocalUse_SCI 423-432 A10</v>
      </c>
    </row>
    <row r="158" spans="1:9" x14ac:dyDescent="0.2">
      <c r="A158" s="21">
        <f t="shared" ref="A158" si="54">A157+E157</f>
        <v>434</v>
      </c>
      <c r="B158" s="7">
        <f t="shared" si="53"/>
        <v>435</v>
      </c>
      <c r="C158" s="7">
        <f t="shared" si="44"/>
        <v>433</v>
      </c>
      <c r="D158" s="7">
        <f t="shared" si="45"/>
        <v>434</v>
      </c>
      <c r="E158" s="8">
        <v>2</v>
      </c>
      <c r="F158" s="4" t="s">
        <v>449</v>
      </c>
      <c r="I158" s="31" t="str">
        <f t="shared" ref="I158:I160" si="55">CONCATENATE(F158,"_SCI ",C158,"-",D158," A",E158)</f>
        <v>BubbledAccountabilityCode_SCI 433-434 A2</v>
      </c>
    </row>
    <row r="159" spans="1:9" x14ac:dyDescent="0.2">
      <c r="A159" s="20">
        <f>A158+E158</f>
        <v>436</v>
      </c>
      <c r="B159" s="7">
        <f t="shared" si="53"/>
        <v>436</v>
      </c>
      <c r="C159" s="7">
        <f t="shared" si="44"/>
        <v>435</v>
      </c>
      <c r="D159" s="7">
        <f t="shared" si="45"/>
        <v>435</v>
      </c>
      <c r="E159" s="8">
        <v>1</v>
      </c>
      <c r="F159" s="47" t="s">
        <v>465</v>
      </c>
      <c r="I159" s="31" t="str">
        <f t="shared" si="55"/>
        <v>BubbledMilitaryAffiliated_SCI 435-435 A1</v>
      </c>
    </row>
    <row r="160" spans="1:9" x14ac:dyDescent="0.2">
      <c r="A160" s="20">
        <f t="shared" ref="A160" si="56">A159+E159</f>
        <v>437</v>
      </c>
      <c r="B160" s="7">
        <f t="shared" si="53"/>
        <v>437</v>
      </c>
      <c r="C160" s="7">
        <f t="shared" si="44"/>
        <v>436</v>
      </c>
      <c r="D160" s="7">
        <f t="shared" si="45"/>
        <v>436</v>
      </c>
      <c r="E160" s="8">
        <v>1</v>
      </c>
      <c r="F160" s="47" t="s">
        <v>466</v>
      </c>
      <c r="I160" s="31" t="str">
        <f t="shared" si="55"/>
        <v>BubbledFosterCare_SCI 436-436 A1</v>
      </c>
    </row>
    <row r="161" spans="1:9" x14ac:dyDescent="0.2">
      <c r="A161" s="21">
        <f>A160+E160</f>
        <v>438</v>
      </c>
      <c r="B161" s="7">
        <f t="shared" si="53"/>
        <v>486</v>
      </c>
      <c r="C161" s="7">
        <f t="shared" si="44"/>
        <v>437</v>
      </c>
      <c r="D161" s="7">
        <f t="shared" si="45"/>
        <v>485</v>
      </c>
      <c r="E161" s="8">
        <v>49</v>
      </c>
      <c r="F161" s="25" t="str">
        <f>CONCATENATE(H161,G161)</f>
        <v>FILLER22</v>
      </c>
      <c r="G161" s="31">
        <v>22</v>
      </c>
      <c r="H161" s="25" t="s">
        <v>64</v>
      </c>
      <c r="I161" s="31" t="str">
        <f t="shared" ref="I161" si="57">CONCATENATE(F161," ",C161,"-",D161," A",E161)</f>
        <v>FILLER22 437-485 A49</v>
      </c>
    </row>
    <row r="162" spans="1:9" ht="25.5" x14ac:dyDescent="0.2">
      <c r="C162" s="7"/>
      <c r="D162" s="7"/>
      <c r="E162" s="8"/>
      <c r="F162" s="26" t="s">
        <v>26</v>
      </c>
    </row>
    <row r="163" spans="1:9" ht="15" customHeight="1" x14ac:dyDescent="0.2">
      <c r="A163" s="21">
        <f>A161+E161</f>
        <v>487</v>
      </c>
      <c r="B163" s="7">
        <f t="shared" ref="B163:B172" si="58">A163+E163-1</f>
        <v>487</v>
      </c>
      <c r="C163" s="7">
        <f t="shared" si="44"/>
        <v>486</v>
      </c>
      <c r="D163" s="7">
        <f t="shared" si="45"/>
        <v>486</v>
      </c>
      <c r="E163" s="8">
        <v>1</v>
      </c>
      <c r="F163" s="4" t="s">
        <v>450</v>
      </c>
      <c r="I163" s="31" t="str">
        <f>CONCATENATE("SPED",F163,"_SCI ",C163,"-",D163," A",E163)</f>
        <v>SPEDNoAccommodations_SCI 486-486 A1</v>
      </c>
    </row>
    <row r="164" spans="1:9" x14ac:dyDescent="0.2">
      <c r="A164" s="21">
        <f>A163+E163</f>
        <v>488</v>
      </c>
      <c r="B164" s="7">
        <f t="shared" si="58"/>
        <v>488</v>
      </c>
      <c r="C164" s="7">
        <f t="shared" si="44"/>
        <v>487</v>
      </c>
      <c r="D164" s="7">
        <f t="shared" si="45"/>
        <v>487</v>
      </c>
      <c r="E164" s="8">
        <v>1</v>
      </c>
      <c r="F164" s="4" t="s">
        <v>451</v>
      </c>
      <c r="I164" s="31" t="str">
        <f t="shared" ref="I164:I172" si="59">CONCATENATE("SPED",F164,"_SCI ",C164,"-",D164," A",E164)</f>
        <v>SPEDLargePrint_SCI 487-487 A1</v>
      </c>
    </row>
    <row r="165" spans="1:9" x14ac:dyDescent="0.2">
      <c r="A165" s="21">
        <f t="shared" ref="A165:A171" si="60">A164+E164</f>
        <v>489</v>
      </c>
      <c r="B165" s="7">
        <f t="shared" si="58"/>
        <v>489</v>
      </c>
      <c r="C165" s="7">
        <f t="shared" si="44"/>
        <v>488</v>
      </c>
      <c r="D165" s="7">
        <f t="shared" si="45"/>
        <v>488</v>
      </c>
      <c r="E165" s="8">
        <v>1</v>
      </c>
      <c r="F165" s="4" t="s">
        <v>452</v>
      </c>
      <c r="I165" s="31" t="str">
        <f t="shared" si="59"/>
        <v>SPEDAnswersRecorded_SCI 488-488 A1</v>
      </c>
    </row>
    <row r="166" spans="1:9" x14ac:dyDescent="0.2">
      <c r="A166" s="21">
        <f>A165+E165</f>
        <v>490</v>
      </c>
      <c r="B166" s="7">
        <f t="shared" si="58"/>
        <v>490</v>
      </c>
      <c r="C166" s="7">
        <f t="shared" si="44"/>
        <v>489</v>
      </c>
      <c r="D166" s="7">
        <f t="shared" si="45"/>
        <v>489</v>
      </c>
      <c r="E166" s="8">
        <v>1</v>
      </c>
      <c r="F166" s="4" t="s">
        <v>453</v>
      </c>
      <c r="I166" s="31" t="str">
        <f t="shared" si="59"/>
        <v>SPEDExtendedTime_SCI 489-489 A1</v>
      </c>
    </row>
    <row r="167" spans="1:9" x14ac:dyDescent="0.2">
      <c r="A167" s="21">
        <f>A166+E166</f>
        <v>491</v>
      </c>
      <c r="B167" s="7">
        <f t="shared" si="58"/>
        <v>491</v>
      </c>
      <c r="C167" s="7">
        <f t="shared" si="44"/>
        <v>490</v>
      </c>
      <c r="D167" s="7">
        <f t="shared" si="45"/>
        <v>490</v>
      </c>
      <c r="E167" s="8">
        <v>1</v>
      </c>
      <c r="F167" s="4" t="s">
        <v>454</v>
      </c>
      <c r="I167" s="31" t="str">
        <f t="shared" si="59"/>
        <v>SPEDTransferredAnswers_SCI 490-490 A1</v>
      </c>
    </row>
    <row r="168" spans="1:9" x14ac:dyDescent="0.2">
      <c r="A168" s="21">
        <f t="shared" si="60"/>
        <v>492</v>
      </c>
      <c r="B168" s="7">
        <f t="shared" si="58"/>
        <v>492</v>
      </c>
      <c r="C168" s="7">
        <f t="shared" si="44"/>
        <v>491</v>
      </c>
      <c r="D168" s="7">
        <f t="shared" si="45"/>
        <v>491</v>
      </c>
      <c r="E168" s="8">
        <v>1</v>
      </c>
      <c r="F168" s="4" t="s">
        <v>522</v>
      </c>
      <c r="I168" s="31" t="str">
        <f t="shared" si="59"/>
        <v>SPEDIndividualSmallGroupAdministration_SCI 491-491 A1</v>
      </c>
    </row>
    <row r="169" spans="1:9" x14ac:dyDescent="0.2">
      <c r="A169" s="21">
        <f t="shared" si="60"/>
        <v>493</v>
      </c>
      <c r="B169" s="7">
        <f t="shared" si="58"/>
        <v>493</v>
      </c>
      <c r="C169" s="7">
        <f t="shared" si="44"/>
        <v>492</v>
      </c>
      <c r="D169" s="7">
        <f t="shared" si="45"/>
        <v>492</v>
      </c>
      <c r="E169" s="8">
        <v>1</v>
      </c>
      <c r="F169" s="4" t="s">
        <v>455</v>
      </c>
      <c r="I169" s="31" t="str">
        <f t="shared" si="59"/>
        <v>SPEDReadAloudKurzweil_SCI 492-492 A1</v>
      </c>
    </row>
    <row r="170" spans="1:9" x14ac:dyDescent="0.2">
      <c r="A170" s="21">
        <f t="shared" si="60"/>
        <v>494</v>
      </c>
      <c r="B170" s="7">
        <f t="shared" si="58"/>
        <v>494</v>
      </c>
      <c r="C170" s="7">
        <f t="shared" si="44"/>
        <v>493</v>
      </c>
      <c r="D170" s="7">
        <f t="shared" si="45"/>
        <v>493</v>
      </c>
      <c r="E170" s="8">
        <v>1</v>
      </c>
      <c r="F170" s="4" t="s">
        <v>456</v>
      </c>
      <c r="I170" s="31" t="str">
        <f t="shared" si="59"/>
        <v>SPEDReadAloudRecordedVoice_SCI 493-493 A1</v>
      </c>
    </row>
    <row r="171" spans="1:9" x14ac:dyDescent="0.2">
      <c r="A171" s="21">
        <f t="shared" si="60"/>
        <v>495</v>
      </c>
      <c r="B171" s="7">
        <f t="shared" si="58"/>
        <v>495</v>
      </c>
      <c r="C171" s="7">
        <f t="shared" si="44"/>
        <v>494</v>
      </c>
      <c r="D171" s="7">
        <f t="shared" si="45"/>
        <v>494</v>
      </c>
      <c r="E171" s="8">
        <v>1</v>
      </c>
      <c r="F171" s="4" t="s">
        <v>457</v>
      </c>
      <c r="I171" s="31" t="str">
        <f t="shared" si="59"/>
        <v>SPEDReadAloudHumanReader_SCI 494-494 A1</v>
      </c>
    </row>
    <row r="172" spans="1:9" x14ac:dyDescent="0.2">
      <c r="A172" s="21">
        <f>A171+E171</f>
        <v>496</v>
      </c>
      <c r="B172" s="7">
        <f t="shared" si="58"/>
        <v>496</v>
      </c>
      <c r="C172" s="7">
        <f t="shared" si="44"/>
        <v>495</v>
      </c>
      <c r="D172" s="7">
        <f t="shared" si="45"/>
        <v>495</v>
      </c>
      <c r="E172" s="8">
        <v>1</v>
      </c>
      <c r="F172" s="4" t="s">
        <v>109</v>
      </c>
      <c r="I172" s="31" t="str">
        <f t="shared" si="59"/>
        <v>SPEDOther_SCI 495-495 A1</v>
      </c>
    </row>
    <row r="173" spans="1:9" x14ac:dyDescent="0.2">
      <c r="C173" s="7"/>
      <c r="D173" s="7"/>
      <c r="F173" s="26" t="s">
        <v>302</v>
      </c>
    </row>
    <row r="174" spans="1:9" x14ac:dyDescent="0.2">
      <c r="A174" s="21">
        <f>A172+E172</f>
        <v>497</v>
      </c>
      <c r="B174" s="7">
        <f t="shared" ref="B174:B183" si="61">A174+E174-1</f>
        <v>497</v>
      </c>
      <c r="C174" s="7">
        <f t="shared" si="44"/>
        <v>496</v>
      </c>
      <c r="D174" s="7">
        <f t="shared" si="45"/>
        <v>496</v>
      </c>
      <c r="E174" s="8">
        <v>1</v>
      </c>
      <c r="F174" s="25" t="str">
        <f>CONCATENATE(H174,G174)</f>
        <v>FILLER23</v>
      </c>
      <c r="G174" s="31">
        <v>23</v>
      </c>
      <c r="H174" s="25" t="s">
        <v>64</v>
      </c>
      <c r="I174" s="31" t="str">
        <f t="shared" ref="I174" si="62">CONCATENATE(F174," ",C174,"-",D174," A",E174)</f>
        <v>FILLER23 496-496 A1</v>
      </c>
    </row>
    <row r="175" spans="1:9" ht="12.75" customHeight="1" x14ac:dyDescent="0.2">
      <c r="A175" s="21">
        <f t="shared" ref="A175:A183" si="63">A174+E174</f>
        <v>498</v>
      </c>
      <c r="B175" s="7">
        <f t="shared" si="61"/>
        <v>498</v>
      </c>
      <c r="C175" s="7">
        <f t="shared" si="44"/>
        <v>497</v>
      </c>
      <c r="D175" s="7">
        <f t="shared" si="45"/>
        <v>497</v>
      </c>
      <c r="E175" s="8">
        <v>1</v>
      </c>
      <c r="F175" s="4" t="s">
        <v>450</v>
      </c>
      <c r="I175" s="31" t="str">
        <f>CONCATENATE("LEP",F175,"_SCI ",C175,"-",D175," A",E175)</f>
        <v>LEPNoAccommodations_SCI 497-497 A1</v>
      </c>
    </row>
    <row r="176" spans="1:9" x14ac:dyDescent="0.2">
      <c r="A176" s="21">
        <f t="shared" si="63"/>
        <v>499</v>
      </c>
      <c r="B176" s="7">
        <f t="shared" si="61"/>
        <v>499</v>
      </c>
      <c r="C176" s="7">
        <f t="shared" si="44"/>
        <v>498</v>
      </c>
      <c r="D176" s="7">
        <f t="shared" si="45"/>
        <v>498</v>
      </c>
      <c r="E176" s="8">
        <v>1</v>
      </c>
      <c r="F176" s="4" t="s">
        <v>453</v>
      </c>
      <c r="I176" s="31" t="str">
        <f t="shared" ref="I176:I183" si="64">CONCATENATE("LEP",F176,"_SCI ",C176,"-",D176," A",E176)</f>
        <v>LEPExtendedTime_SCI 498-498 A1</v>
      </c>
    </row>
    <row r="177" spans="1:9" x14ac:dyDescent="0.2">
      <c r="A177" s="21">
        <f t="shared" si="63"/>
        <v>500</v>
      </c>
      <c r="B177" s="7">
        <f t="shared" si="61"/>
        <v>500</v>
      </c>
      <c r="C177" s="7">
        <f t="shared" si="44"/>
        <v>499</v>
      </c>
      <c r="D177" s="7">
        <f t="shared" si="45"/>
        <v>499</v>
      </c>
      <c r="E177" s="8">
        <v>1</v>
      </c>
      <c r="F177" s="4" t="s">
        <v>522</v>
      </c>
      <c r="I177" s="31" t="str">
        <f t="shared" si="64"/>
        <v>LEPIndividualSmallGroupAdministration_SCI 499-499 A1</v>
      </c>
    </row>
    <row r="178" spans="1:9" ht="25.5" x14ac:dyDescent="0.2">
      <c r="A178" s="21">
        <f t="shared" si="63"/>
        <v>501</v>
      </c>
      <c r="B178" s="7">
        <f t="shared" si="61"/>
        <v>501</v>
      </c>
      <c r="C178" s="7">
        <f t="shared" si="44"/>
        <v>500</v>
      </c>
      <c r="D178" s="7">
        <f t="shared" si="45"/>
        <v>500</v>
      </c>
      <c r="E178" s="8">
        <v>1</v>
      </c>
      <c r="F178" s="4" t="s">
        <v>525</v>
      </c>
      <c r="I178" s="31" t="str">
        <f t="shared" si="64"/>
        <v>LEPProvisionofEnglishNativeLanguageWordtoWordDictionaryNoDef_SCI 500-500 A1</v>
      </c>
    </row>
    <row r="179" spans="1:9" ht="25.5" x14ac:dyDescent="0.2">
      <c r="A179" s="21">
        <f t="shared" si="63"/>
        <v>502</v>
      </c>
      <c r="B179" s="7">
        <f t="shared" si="61"/>
        <v>502</v>
      </c>
      <c r="C179" s="7">
        <f t="shared" si="44"/>
        <v>501</v>
      </c>
      <c r="D179" s="7">
        <f t="shared" si="45"/>
        <v>501</v>
      </c>
      <c r="E179" s="8">
        <v>1</v>
      </c>
      <c r="F179" s="4" t="s">
        <v>458</v>
      </c>
      <c r="I179" s="31" t="str">
        <f t="shared" si="64"/>
        <v>LEPTestAdministeredbyESLTeacherorIndividualProvidingLanguageServices_SCI 501-501 A1</v>
      </c>
    </row>
    <row r="180" spans="1:9" x14ac:dyDescent="0.2">
      <c r="A180" s="21">
        <f t="shared" si="63"/>
        <v>503</v>
      </c>
      <c r="B180" s="7">
        <f t="shared" si="61"/>
        <v>503</v>
      </c>
      <c r="C180" s="7">
        <f t="shared" si="44"/>
        <v>502</v>
      </c>
      <c r="D180" s="7">
        <f t="shared" si="45"/>
        <v>502</v>
      </c>
      <c r="E180" s="8">
        <v>1</v>
      </c>
      <c r="F180" s="4" t="s">
        <v>459</v>
      </c>
      <c r="I180" s="31" t="str">
        <f t="shared" si="64"/>
        <v>LEPDirectionsinNativeLanguage_SCI 502-502 A1</v>
      </c>
    </row>
    <row r="181" spans="1:9" x14ac:dyDescent="0.2">
      <c r="A181" s="21">
        <f t="shared" si="63"/>
        <v>504</v>
      </c>
      <c r="B181" s="7">
        <f t="shared" si="61"/>
        <v>504</v>
      </c>
      <c r="C181" s="7">
        <f t="shared" si="44"/>
        <v>503</v>
      </c>
      <c r="D181" s="7">
        <f t="shared" si="45"/>
        <v>503</v>
      </c>
      <c r="E181" s="8">
        <v>1</v>
      </c>
      <c r="F181" s="4" t="s">
        <v>455</v>
      </c>
      <c r="I181" s="31" t="str">
        <f t="shared" si="64"/>
        <v>LEPReadAloudKurzweil_SCI 503-503 A1</v>
      </c>
    </row>
    <row r="182" spans="1:9" x14ac:dyDescent="0.2">
      <c r="A182" s="21">
        <f t="shared" si="63"/>
        <v>505</v>
      </c>
      <c r="B182" s="7">
        <f t="shared" si="61"/>
        <v>505</v>
      </c>
      <c r="C182" s="7">
        <f t="shared" si="44"/>
        <v>504</v>
      </c>
      <c r="D182" s="7">
        <f t="shared" si="45"/>
        <v>504</v>
      </c>
      <c r="E182" s="8">
        <v>1</v>
      </c>
      <c r="F182" s="4" t="s">
        <v>456</v>
      </c>
      <c r="I182" s="31" t="str">
        <f t="shared" si="64"/>
        <v>LEPReadAloudRecordedVoice_SCI 504-504 A1</v>
      </c>
    </row>
    <row r="183" spans="1:9" x14ac:dyDescent="0.2">
      <c r="A183" s="21">
        <f t="shared" si="63"/>
        <v>506</v>
      </c>
      <c r="B183" s="7">
        <f t="shared" si="61"/>
        <v>506</v>
      </c>
      <c r="C183" s="7">
        <f t="shared" si="44"/>
        <v>505</v>
      </c>
      <c r="D183" s="7">
        <f t="shared" si="45"/>
        <v>505</v>
      </c>
      <c r="E183" s="8">
        <v>1</v>
      </c>
      <c r="F183" s="4" t="s">
        <v>457</v>
      </c>
      <c r="I183" s="31" t="str">
        <f t="shared" si="64"/>
        <v>LEPReadAloudHumanReader_SCI 505-505 A1</v>
      </c>
    </row>
    <row r="184" spans="1:9" ht="25.5" x14ac:dyDescent="0.2">
      <c r="C184" s="7"/>
      <c r="D184" s="7"/>
      <c r="F184" s="26" t="s">
        <v>36</v>
      </c>
    </row>
    <row r="185" spans="1:9" x14ac:dyDescent="0.2">
      <c r="A185" s="21">
        <f>A183+E183</f>
        <v>507</v>
      </c>
      <c r="B185" s="7">
        <f t="shared" ref="B185:B196" si="65">A185+E185-1</f>
        <v>507</v>
      </c>
      <c r="C185" s="7">
        <f t="shared" si="44"/>
        <v>506</v>
      </c>
      <c r="D185" s="7">
        <f t="shared" si="45"/>
        <v>506</v>
      </c>
      <c r="E185" s="8">
        <v>1</v>
      </c>
      <c r="F185" s="25" t="str">
        <f>CONCATENATE(H185,G185)</f>
        <v>FILLER24</v>
      </c>
      <c r="G185" s="31">
        <v>24</v>
      </c>
      <c r="H185" s="25" t="s">
        <v>64</v>
      </c>
      <c r="I185" s="31" t="str">
        <f t="shared" ref="I185:I196" si="66">CONCATENATE(F185," ",C185,"-",D185," A",E185)</f>
        <v>FILLER24 506-506 A1</v>
      </c>
    </row>
    <row r="186" spans="1:9" ht="15" customHeight="1" x14ac:dyDescent="0.2">
      <c r="A186" s="21">
        <f t="shared" ref="A186" si="67">A185+E185</f>
        <v>508</v>
      </c>
      <c r="B186" s="7">
        <f t="shared" si="65"/>
        <v>508</v>
      </c>
      <c r="C186" s="7">
        <f t="shared" si="44"/>
        <v>507</v>
      </c>
      <c r="D186" s="7">
        <f t="shared" si="45"/>
        <v>507</v>
      </c>
      <c r="E186" s="8">
        <v>1</v>
      </c>
      <c r="F186" s="4" t="s">
        <v>450</v>
      </c>
      <c r="I186" s="31" t="str">
        <f>CONCATENATE("Section504",F186,"_SCI ",C186,"-",D186," A",E186)</f>
        <v>Section504NoAccommodations_SCI 507-507 A1</v>
      </c>
    </row>
    <row r="187" spans="1:9" x14ac:dyDescent="0.2">
      <c r="A187" s="21">
        <f>A186+E186</f>
        <v>509</v>
      </c>
      <c r="B187" s="7">
        <f t="shared" si="65"/>
        <v>509</v>
      </c>
      <c r="C187" s="7">
        <f t="shared" si="44"/>
        <v>508</v>
      </c>
      <c r="D187" s="7">
        <f t="shared" si="45"/>
        <v>508</v>
      </c>
      <c r="E187" s="8">
        <v>1</v>
      </c>
      <c r="F187" s="4" t="s">
        <v>451</v>
      </c>
      <c r="I187" s="31" t="str">
        <f t="shared" ref="I187:I195" si="68">CONCATENATE("Section504",F187,"_SCI ",C187,"-",D187," A",E187)</f>
        <v>Section504LargePrint_SCI 508-508 A1</v>
      </c>
    </row>
    <row r="188" spans="1:9" x14ac:dyDescent="0.2">
      <c r="A188" s="21">
        <f t="shared" ref="A188:A196" si="69">A187+E187</f>
        <v>510</v>
      </c>
      <c r="B188" s="7">
        <f t="shared" si="65"/>
        <v>510</v>
      </c>
      <c r="C188" s="7">
        <f t="shared" si="44"/>
        <v>509</v>
      </c>
      <c r="D188" s="7">
        <f t="shared" si="45"/>
        <v>509</v>
      </c>
      <c r="E188" s="8">
        <v>1</v>
      </c>
      <c r="F188" s="4" t="s">
        <v>452</v>
      </c>
      <c r="I188" s="31" t="str">
        <f t="shared" si="68"/>
        <v>Section504AnswersRecorded_SCI 509-509 A1</v>
      </c>
    </row>
    <row r="189" spans="1:9" x14ac:dyDescent="0.2">
      <c r="A189" s="21">
        <f>A188+E188</f>
        <v>511</v>
      </c>
      <c r="B189" s="7">
        <f t="shared" si="65"/>
        <v>511</v>
      </c>
      <c r="C189" s="7">
        <f t="shared" si="44"/>
        <v>510</v>
      </c>
      <c r="D189" s="7">
        <f t="shared" si="45"/>
        <v>510</v>
      </c>
      <c r="E189" s="8">
        <v>1</v>
      </c>
      <c r="F189" s="4" t="s">
        <v>453</v>
      </c>
      <c r="I189" s="31" t="str">
        <f t="shared" si="68"/>
        <v>Section504ExtendedTime_SCI 510-510 A1</v>
      </c>
    </row>
    <row r="190" spans="1:9" x14ac:dyDescent="0.2">
      <c r="A190" s="21">
        <f>A189+E189</f>
        <v>512</v>
      </c>
      <c r="B190" s="7">
        <f t="shared" si="65"/>
        <v>512</v>
      </c>
      <c r="C190" s="7">
        <f t="shared" si="44"/>
        <v>511</v>
      </c>
      <c r="D190" s="7">
        <f t="shared" si="45"/>
        <v>511</v>
      </c>
      <c r="E190" s="8">
        <v>1</v>
      </c>
      <c r="F190" s="4" t="s">
        <v>454</v>
      </c>
      <c r="I190" s="31" t="str">
        <f t="shared" si="68"/>
        <v>Section504TransferredAnswers_SCI 511-511 A1</v>
      </c>
    </row>
    <row r="191" spans="1:9" x14ac:dyDescent="0.2">
      <c r="A191" s="21">
        <f t="shared" si="69"/>
        <v>513</v>
      </c>
      <c r="B191" s="7">
        <f t="shared" si="65"/>
        <v>513</v>
      </c>
      <c r="C191" s="7">
        <f t="shared" si="44"/>
        <v>512</v>
      </c>
      <c r="D191" s="7">
        <f t="shared" si="45"/>
        <v>512</v>
      </c>
      <c r="E191" s="8">
        <v>1</v>
      </c>
      <c r="F191" s="4" t="s">
        <v>522</v>
      </c>
      <c r="I191" s="31" t="str">
        <f t="shared" si="68"/>
        <v>Section504IndividualSmallGroupAdministration_SCI 512-512 A1</v>
      </c>
    </row>
    <row r="192" spans="1:9" x14ac:dyDescent="0.2">
      <c r="A192" s="21">
        <f t="shared" si="69"/>
        <v>514</v>
      </c>
      <c r="B192" s="7">
        <f t="shared" si="65"/>
        <v>514</v>
      </c>
      <c r="C192" s="7">
        <f t="shared" si="44"/>
        <v>513</v>
      </c>
      <c r="D192" s="7">
        <f t="shared" si="45"/>
        <v>513</v>
      </c>
      <c r="E192" s="8">
        <v>1</v>
      </c>
      <c r="F192" s="4" t="s">
        <v>455</v>
      </c>
      <c r="I192" s="31" t="str">
        <f t="shared" si="68"/>
        <v>Section504ReadAloudKurzweil_SCI 513-513 A1</v>
      </c>
    </row>
    <row r="193" spans="1:9" x14ac:dyDescent="0.2">
      <c r="A193" s="21">
        <f t="shared" si="69"/>
        <v>515</v>
      </c>
      <c r="B193" s="7">
        <f t="shared" si="65"/>
        <v>515</v>
      </c>
      <c r="C193" s="7">
        <f t="shared" si="44"/>
        <v>514</v>
      </c>
      <c r="D193" s="7">
        <f t="shared" si="45"/>
        <v>514</v>
      </c>
      <c r="E193" s="8">
        <v>1</v>
      </c>
      <c r="F193" s="4" t="s">
        <v>456</v>
      </c>
      <c r="I193" s="31" t="str">
        <f t="shared" si="68"/>
        <v>Section504ReadAloudRecordedVoice_SCI 514-514 A1</v>
      </c>
    </row>
    <row r="194" spans="1:9" x14ac:dyDescent="0.2">
      <c r="A194" s="21">
        <f t="shared" si="69"/>
        <v>516</v>
      </c>
      <c r="B194" s="7">
        <f t="shared" si="65"/>
        <v>516</v>
      </c>
      <c r="C194" s="7">
        <f t="shared" si="44"/>
        <v>515</v>
      </c>
      <c r="D194" s="7">
        <f t="shared" si="45"/>
        <v>515</v>
      </c>
      <c r="E194" s="8">
        <v>1</v>
      </c>
      <c r="F194" s="4" t="s">
        <v>457</v>
      </c>
      <c r="I194" s="31" t="str">
        <f t="shared" si="68"/>
        <v>Section504ReadAloudHumanReader_SCI 515-515 A1</v>
      </c>
    </row>
    <row r="195" spans="1:9" x14ac:dyDescent="0.2">
      <c r="A195" s="21">
        <f>A194+E194</f>
        <v>517</v>
      </c>
      <c r="B195" s="7">
        <f t="shared" si="65"/>
        <v>517</v>
      </c>
      <c r="C195" s="7">
        <f t="shared" si="44"/>
        <v>516</v>
      </c>
      <c r="D195" s="7">
        <f t="shared" si="45"/>
        <v>516</v>
      </c>
      <c r="E195" s="8">
        <v>1</v>
      </c>
      <c r="F195" s="4" t="s">
        <v>109</v>
      </c>
      <c r="I195" s="31" t="str">
        <f t="shared" si="68"/>
        <v>Section504Other_SCI 516-516 A1</v>
      </c>
    </row>
    <row r="196" spans="1:9" x14ac:dyDescent="0.2">
      <c r="A196" s="21">
        <f t="shared" si="69"/>
        <v>518</v>
      </c>
      <c r="B196" s="7">
        <f t="shared" si="65"/>
        <v>523</v>
      </c>
      <c r="C196" s="7">
        <f t="shared" si="44"/>
        <v>517</v>
      </c>
      <c r="D196" s="7">
        <f t="shared" si="45"/>
        <v>522</v>
      </c>
      <c r="E196" s="8">
        <v>6</v>
      </c>
      <c r="F196" s="25" t="str">
        <f>CONCATENATE(H196,G196)</f>
        <v>FILLER25</v>
      </c>
      <c r="G196" s="31">
        <v>25</v>
      </c>
      <c r="H196" s="25" t="s">
        <v>64</v>
      </c>
      <c r="I196" s="31" t="str">
        <f t="shared" si="66"/>
        <v>FILLER25 517-522 A6</v>
      </c>
    </row>
    <row r="197" spans="1:9" ht="12.75" customHeight="1" x14ac:dyDescent="0.2">
      <c r="C197" s="7"/>
      <c r="D197" s="7"/>
      <c r="F197" s="5" t="s">
        <v>37</v>
      </c>
    </row>
    <row r="198" spans="1:9" ht="12.75" customHeight="1" x14ac:dyDescent="0.2">
      <c r="A198" s="21">
        <f>A196+E196</f>
        <v>524</v>
      </c>
      <c r="B198" s="7">
        <f t="shared" ref="B198" si="70">A198+E198-1</f>
        <v>524</v>
      </c>
      <c r="C198" s="7">
        <f t="shared" ref="C198:C260" si="71">A198-1</f>
        <v>523</v>
      </c>
      <c r="D198" s="7">
        <f t="shared" ref="D198:D260" si="72">B198-1</f>
        <v>523</v>
      </c>
      <c r="E198" s="8">
        <v>1</v>
      </c>
      <c r="F198" s="4" t="s">
        <v>522</v>
      </c>
      <c r="I198" s="31" t="str">
        <f>CONCATENATE(F198,"_SCI ",C198,"-",D198," A",E198)</f>
        <v>IndividualSmallGroupAdministration_SCI 523-523 A1</v>
      </c>
    </row>
    <row r="199" spans="1:9" x14ac:dyDescent="0.2">
      <c r="C199" s="7"/>
      <c r="D199" s="7"/>
      <c r="F199" s="28" t="s">
        <v>101</v>
      </c>
    </row>
    <row r="200" spans="1:9" ht="12.75" customHeight="1" x14ac:dyDescent="0.2">
      <c r="A200" s="21">
        <f>A198+E198</f>
        <v>525</v>
      </c>
      <c r="B200" s="7">
        <f t="shared" ref="B200:B210" si="73">A200+E200-1</f>
        <v>525</v>
      </c>
      <c r="C200" s="7">
        <f t="shared" si="71"/>
        <v>524</v>
      </c>
      <c r="D200" s="7">
        <f t="shared" si="72"/>
        <v>524</v>
      </c>
      <c r="E200" s="21">
        <v>1</v>
      </c>
      <c r="F200" s="4" t="s">
        <v>507</v>
      </c>
      <c r="I200" s="31" t="str">
        <f>CONCATENATE("Online",F200,"_SCI ",C200,"-",D200," A",E200)</f>
        <v>OnlineTexttoSpeech_SCI 524-524 A1</v>
      </c>
    </row>
    <row r="201" spans="1:9" x14ac:dyDescent="0.2">
      <c r="A201" s="21">
        <f t="shared" ref="A201:A208" si="74">A200+E200</f>
        <v>526</v>
      </c>
      <c r="B201" s="7">
        <f t="shared" si="73"/>
        <v>526</v>
      </c>
      <c r="C201" s="7">
        <f t="shared" si="71"/>
        <v>525</v>
      </c>
      <c r="D201" s="7">
        <f t="shared" si="72"/>
        <v>525</v>
      </c>
      <c r="E201" s="21">
        <v>1</v>
      </c>
      <c r="F201" s="4" t="s">
        <v>460</v>
      </c>
      <c r="I201" s="31" t="str">
        <f t="shared" ref="I201:I209" si="75">CONCATENATE("Online",F201,"_SCI ",C201,"-",D201," A",E201)</f>
        <v>OnlineHumanReadAloud_SCI 525-525 A1</v>
      </c>
    </row>
    <row r="202" spans="1:9" x14ac:dyDescent="0.2">
      <c r="A202" s="21">
        <f t="shared" si="74"/>
        <v>527</v>
      </c>
      <c r="B202" s="7">
        <f t="shared" si="73"/>
        <v>527</v>
      </c>
      <c r="C202" s="7">
        <f t="shared" si="71"/>
        <v>526</v>
      </c>
      <c r="D202" s="7">
        <f t="shared" si="72"/>
        <v>526</v>
      </c>
      <c r="E202" s="21">
        <v>1</v>
      </c>
      <c r="F202" s="4" t="s">
        <v>508</v>
      </c>
      <c r="I202" s="31" t="str">
        <f t="shared" si="75"/>
        <v>OnlineNativeLanguageWordtoWordDictionary_SCI 526-526 A1</v>
      </c>
    </row>
    <row r="203" spans="1:9" x14ac:dyDescent="0.2">
      <c r="A203" s="21">
        <f t="shared" si="74"/>
        <v>528</v>
      </c>
      <c r="B203" s="7">
        <f t="shared" si="73"/>
        <v>528</v>
      </c>
      <c r="C203" s="7">
        <f t="shared" si="71"/>
        <v>527</v>
      </c>
      <c r="D203" s="7">
        <f t="shared" si="72"/>
        <v>527</v>
      </c>
      <c r="E203" s="21">
        <v>1</v>
      </c>
      <c r="F203" s="4" t="s">
        <v>459</v>
      </c>
      <c r="I203" s="31" t="str">
        <f t="shared" si="75"/>
        <v>OnlineDirectionsinNativeLanguage_SCI 527-527 A1</v>
      </c>
    </row>
    <row r="204" spans="1:9" x14ac:dyDescent="0.2">
      <c r="A204" s="21">
        <f t="shared" si="74"/>
        <v>529</v>
      </c>
      <c r="B204" s="7">
        <f t="shared" si="73"/>
        <v>529</v>
      </c>
      <c r="C204" s="7">
        <f t="shared" si="71"/>
        <v>528</v>
      </c>
      <c r="D204" s="7">
        <f t="shared" si="72"/>
        <v>528</v>
      </c>
      <c r="E204" s="21">
        <v>1</v>
      </c>
      <c r="F204" s="4" t="s">
        <v>454</v>
      </c>
      <c r="I204" s="31" t="str">
        <f t="shared" si="75"/>
        <v>OnlineTransferredAnswers_SCI 528-528 A1</v>
      </c>
    </row>
    <row r="205" spans="1:9" x14ac:dyDescent="0.2">
      <c r="A205" s="21">
        <f t="shared" si="74"/>
        <v>530</v>
      </c>
      <c r="B205" s="7">
        <f t="shared" si="73"/>
        <v>530</v>
      </c>
      <c r="C205" s="7">
        <f t="shared" si="71"/>
        <v>529</v>
      </c>
      <c r="D205" s="7">
        <f t="shared" si="72"/>
        <v>529</v>
      </c>
      <c r="E205" s="21">
        <v>1</v>
      </c>
      <c r="F205" s="4" t="s">
        <v>452</v>
      </c>
      <c r="I205" s="31" t="str">
        <f t="shared" si="75"/>
        <v>OnlineAnswersRecorded_SCI 529-529 A1</v>
      </c>
    </row>
    <row r="206" spans="1:9" x14ac:dyDescent="0.2">
      <c r="A206" s="21">
        <f t="shared" si="74"/>
        <v>531</v>
      </c>
      <c r="B206" s="7">
        <f t="shared" si="73"/>
        <v>531</v>
      </c>
      <c r="C206" s="7">
        <f t="shared" si="71"/>
        <v>530</v>
      </c>
      <c r="D206" s="7">
        <f t="shared" si="72"/>
        <v>530</v>
      </c>
      <c r="E206" s="21">
        <v>1</v>
      </c>
      <c r="F206" s="4" t="s">
        <v>453</v>
      </c>
      <c r="I206" s="31" t="str">
        <f t="shared" si="75"/>
        <v>OnlineExtendedTime_SCI 530-530 A1</v>
      </c>
    </row>
    <row r="207" spans="1:9" x14ac:dyDescent="0.2">
      <c r="A207" s="21">
        <f t="shared" si="74"/>
        <v>532</v>
      </c>
      <c r="B207" s="7">
        <f t="shared" si="73"/>
        <v>532</v>
      </c>
      <c r="C207" s="7">
        <f t="shared" si="71"/>
        <v>531</v>
      </c>
      <c r="D207" s="7">
        <f t="shared" si="72"/>
        <v>531</v>
      </c>
      <c r="E207" s="21">
        <v>1</v>
      </c>
      <c r="F207" s="4" t="s">
        <v>461</v>
      </c>
      <c r="I207" s="31" t="str">
        <f t="shared" si="75"/>
        <v>OnlineIndividualorSmallGroupAdministration_SCI 531-531 A1</v>
      </c>
    </row>
    <row r="208" spans="1:9" x14ac:dyDescent="0.2">
      <c r="A208" s="21">
        <f t="shared" si="74"/>
        <v>533</v>
      </c>
      <c r="B208" s="7">
        <f t="shared" si="73"/>
        <v>533</v>
      </c>
      <c r="C208" s="7">
        <f t="shared" si="71"/>
        <v>532</v>
      </c>
      <c r="D208" s="7">
        <f t="shared" si="72"/>
        <v>532</v>
      </c>
      <c r="E208" s="8">
        <v>1</v>
      </c>
      <c r="F208" s="4" t="s">
        <v>462</v>
      </c>
      <c r="I208" s="31" t="str">
        <f t="shared" si="75"/>
        <v>OnlineAccommodatedPaper_SCI 532-532 A1</v>
      </c>
    </row>
    <row r="209" spans="1:9" x14ac:dyDescent="0.2">
      <c r="A209" s="21">
        <f>A208+E208</f>
        <v>534</v>
      </c>
      <c r="B209" s="7">
        <f t="shared" si="73"/>
        <v>534</v>
      </c>
      <c r="C209" s="7">
        <f t="shared" si="71"/>
        <v>533</v>
      </c>
      <c r="D209" s="7">
        <f t="shared" si="72"/>
        <v>533</v>
      </c>
      <c r="E209" s="8">
        <v>1</v>
      </c>
      <c r="F209" s="4" t="s">
        <v>463</v>
      </c>
      <c r="I209" s="31" t="str">
        <f t="shared" si="75"/>
        <v>OnlineCommunicationAssistanceScripts_SCI 533-533 A1</v>
      </c>
    </row>
    <row r="210" spans="1:9" x14ac:dyDescent="0.2">
      <c r="A210" s="21">
        <f>A209+E209</f>
        <v>535</v>
      </c>
      <c r="B210" s="7">
        <f t="shared" si="73"/>
        <v>548</v>
      </c>
      <c r="C210" s="7">
        <f t="shared" si="71"/>
        <v>534</v>
      </c>
      <c r="D210" s="7">
        <f t="shared" si="72"/>
        <v>547</v>
      </c>
      <c r="E210" s="21">
        <v>14</v>
      </c>
      <c r="F210" s="25" t="str">
        <f>CONCATENATE(H210,G210)</f>
        <v>FILLER26</v>
      </c>
      <c r="G210" s="31">
        <v>26</v>
      </c>
      <c r="H210" s="25" t="s">
        <v>64</v>
      </c>
      <c r="I210" s="31" t="str">
        <f t="shared" ref="I210" si="76">CONCATENATE(F210," ",C210,"-",D210," A",E210)</f>
        <v>FILLER26 534-547 A14</v>
      </c>
    </row>
    <row r="211" spans="1:9" ht="25.5" x14ac:dyDescent="0.2">
      <c r="B211" s="7"/>
      <c r="C211" s="7"/>
      <c r="D211" s="7"/>
      <c r="F211" s="28" t="s">
        <v>583</v>
      </c>
    </row>
    <row r="212" spans="1:9" x14ac:dyDescent="0.2">
      <c r="A212" s="21">
        <f>A210+E210</f>
        <v>549</v>
      </c>
      <c r="B212" s="7">
        <f t="shared" ref="B212:B216" si="77">A212+E212-1</f>
        <v>558</v>
      </c>
      <c r="C212" s="7">
        <f t="shared" si="71"/>
        <v>548</v>
      </c>
      <c r="D212" s="7">
        <f t="shared" si="72"/>
        <v>557</v>
      </c>
      <c r="E212" s="21">
        <v>10</v>
      </c>
      <c r="F212" s="4" t="s">
        <v>448</v>
      </c>
      <c r="I212" s="31" t="str">
        <f>CONCATENATE(F212,"_SST ",C212,"-",D212," A",E212)</f>
        <v>BubbledOptionalLocalUse_SST 548-557 A10</v>
      </c>
    </row>
    <row r="213" spans="1:9" x14ac:dyDescent="0.2">
      <c r="A213" s="21">
        <f t="shared" ref="A213:A215" si="78">A212+E212</f>
        <v>559</v>
      </c>
      <c r="B213" s="7">
        <f t="shared" si="77"/>
        <v>560</v>
      </c>
      <c r="C213" s="7">
        <f t="shared" si="71"/>
        <v>558</v>
      </c>
      <c r="D213" s="7">
        <f t="shared" si="72"/>
        <v>559</v>
      </c>
      <c r="E213" s="21">
        <v>2</v>
      </c>
      <c r="F213" s="4" t="s">
        <v>449</v>
      </c>
      <c r="I213" s="31" t="str">
        <f t="shared" ref="I213:I215" si="79">CONCATENATE(F213,"_SST ",C213,"-",D213," A",E213)</f>
        <v>BubbledAccountabilityCode_SST 558-559 A2</v>
      </c>
    </row>
    <row r="214" spans="1:9" x14ac:dyDescent="0.2">
      <c r="A214" s="21">
        <f t="shared" si="78"/>
        <v>561</v>
      </c>
      <c r="B214" s="7">
        <f t="shared" si="77"/>
        <v>561</v>
      </c>
      <c r="C214" s="7">
        <f t="shared" si="71"/>
        <v>560</v>
      </c>
      <c r="D214" s="7">
        <f t="shared" si="72"/>
        <v>560</v>
      </c>
      <c r="E214" s="8">
        <v>1</v>
      </c>
      <c r="F214" s="47" t="s">
        <v>465</v>
      </c>
      <c r="I214" s="31" t="str">
        <f t="shared" si="79"/>
        <v>BubbledMilitaryAffiliated_SST 560-560 A1</v>
      </c>
    </row>
    <row r="215" spans="1:9" x14ac:dyDescent="0.2">
      <c r="A215" s="21">
        <f t="shared" si="78"/>
        <v>562</v>
      </c>
      <c r="B215" s="7">
        <f t="shared" si="77"/>
        <v>562</v>
      </c>
      <c r="C215" s="7">
        <f t="shared" si="71"/>
        <v>561</v>
      </c>
      <c r="D215" s="7">
        <f t="shared" si="72"/>
        <v>561</v>
      </c>
      <c r="E215" s="8">
        <v>1</v>
      </c>
      <c r="F215" s="47" t="s">
        <v>466</v>
      </c>
      <c r="I215" s="31" t="str">
        <f t="shared" si="79"/>
        <v>BubbledFosterCare_SST 561-561 A1</v>
      </c>
    </row>
    <row r="216" spans="1:9" x14ac:dyDescent="0.2">
      <c r="A216" s="21">
        <f>A215+E215</f>
        <v>563</v>
      </c>
      <c r="B216" s="7">
        <f t="shared" si="77"/>
        <v>611</v>
      </c>
      <c r="C216" s="7">
        <f t="shared" si="71"/>
        <v>562</v>
      </c>
      <c r="D216" s="7">
        <f t="shared" si="72"/>
        <v>610</v>
      </c>
      <c r="E216" s="21">
        <v>49</v>
      </c>
      <c r="F216" s="25" t="str">
        <f>CONCATENATE(H216,G216)</f>
        <v>FILLER27</v>
      </c>
      <c r="G216" s="31">
        <v>27</v>
      </c>
      <c r="H216" s="25" t="s">
        <v>64</v>
      </c>
      <c r="I216" s="31" t="str">
        <f t="shared" ref="I216" si="80">CONCATENATE(F216," ",C216,"-",D216," A",E216)</f>
        <v>FILLER27 562-610 A49</v>
      </c>
    </row>
    <row r="217" spans="1:9" ht="25.5" x14ac:dyDescent="0.2">
      <c r="C217" s="7"/>
      <c r="D217" s="7"/>
      <c r="F217" s="26" t="s">
        <v>26</v>
      </c>
    </row>
    <row r="218" spans="1:9" ht="12.75" customHeight="1" x14ac:dyDescent="0.2">
      <c r="A218" s="21">
        <f>A216+E216</f>
        <v>612</v>
      </c>
      <c r="B218" s="7">
        <f t="shared" ref="B218:B228" si="81">A218+E218-1</f>
        <v>612</v>
      </c>
      <c r="C218" s="7">
        <f t="shared" si="71"/>
        <v>611</v>
      </c>
      <c r="D218" s="7">
        <f t="shared" si="72"/>
        <v>611</v>
      </c>
      <c r="E218" s="21">
        <v>1</v>
      </c>
      <c r="F218" s="4" t="s">
        <v>450</v>
      </c>
      <c r="I218" s="31" t="str">
        <f>CONCATENATE("SPED",F218,"_SST ",C218,"-",D218," A",E218)</f>
        <v>SPEDNoAccommodations_SST 611-611 A1</v>
      </c>
    </row>
    <row r="219" spans="1:9" x14ac:dyDescent="0.2">
      <c r="A219" s="21">
        <f t="shared" ref="A219:A226" si="82">A218+E218</f>
        <v>613</v>
      </c>
      <c r="B219" s="7">
        <f t="shared" si="81"/>
        <v>613</v>
      </c>
      <c r="C219" s="7">
        <f t="shared" si="71"/>
        <v>612</v>
      </c>
      <c r="D219" s="7">
        <f t="shared" si="72"/>
        <v>612</v>
      </c>
      <c r="E219" s="21">
        <v>1</v>
      </c>
      <c r="F219" s="4" t="s">
        <v>28</v>
      </c>
      <c r="I219" s="31" t="str">
        <f t="shared" ref="I219:I227" si="83">CONCATENATE("SPED",F219,"_SST ",C219,"-",D219," A",E219)</f>
        <v>SPEDBraille_SST 612-612 A1</v>
      </c>
    </row>
    <row r="220" spans="1:9" x14ac:dyDescent="0.2">
      <c r="A220" s="21">
        <f t="shared" si="82"/>
        <v>614</v>
      </c>
      <c r="B220" s="7">
        <f t="shared" si="81"/>
        <v>614</v>
      </c>
      <c r="C220" s="7">
        <f t="shared" si="71"/>
        <v>613</v>
      </c>
      <c r="D220" s="7">
        <f t="shared" si="72"/>
        <v>613</v>
      </c>
      <c r="E220" s="21">
        <v>1</v>
      </c>
      <c r="F220" s="4" t="s">
        <v>451</v>
      </c>
      <c r="I220" s="31" t="str">
        <f t="shared" si="83"/>
        <v>SPEDLargePrint_SST 613-613 A1</v>
      </c>
    </row>
    <row r="221" spans="1:9" x14ac:dyDescent="0.2">
      <c r="A221" s="21">
        <f t="shared" si="82"/>
        <v>615</v>
      </c>
      <c r="B221" s="7">
        <f t="shared" si="81"/>
        <v>615</v>
      </c>
      <c r="C221" s="7">
        <f t="shared" si="71"/>
        <v>614</v>
      </c>
      <c r="D221" s="7">
        <f t="shared" si="72"/>
        <v>614</v>
      </c>
      <c r="E221" s="21">
        <v>1</v>
      </c>
      <c r="F221" s="4" t="s">
        <v>452</v>
      </c>
      <c r="I221" s="31" t="str">
        <f t="shared" si="83"/>
        <v>SPEDAnswersRecorded_SST 614-614 A1</v>
      </c>
    </row>
    <row r="222" spans="1:9" x14ac:dyDescent="0.2">
      <c r="A222" s="21">
        <f>A221+E221</f>
        <v>616</v>
      </c>
      <c r="B222" s="7">
        <f t="shared" si="81"/>
        <v>616</v>
      </c>
      <c r="C222" s="7">
        <f t="shared" si="71"/>
        <v>615</v>
      </c>
      <c r="D222" s="7">
        <f t="shared" si="72"/>
        <v>615</v>
      </c>
      <c r="E222" s="21">
        <v>1</v>
      </c>
      <c r="F222" s="4" t="s">
        <v>453</v>
      </c>
      <c r="I222" s="31" t="str">
        <f t="shared" si="83"/>
        <v>SPEDExtendedTime_SST 615-615 A1</v>
      </c>
    </row>
    <row r="223" spans="1:9" x14ac:dyDescent="0.2">
      <c r="A223" s="21">
        <f>A222+E222</f>
        <v>617</v>
      </c>
      <c r="B223" s="7">
        <f t="shared" si="81"/>
        <v>617</v>
      </c>
      <c r="C223" s="7">
        <f t="shared" si="71"/>
        <v>616</v>
      </c>
      <c r="D223" s="7">
        <f t="shared" si="72"/>
        <v>616</v>
      </c>
      <c r="E223" s="21">
        <v>1</v>
      </c>
      <c r="F223" s="4" t="s">
        <v>454</v>
      </c>
      <c r="I223" s="31" t="str">
        <f t="shared" si="83"/>
        <v>SPEDTransferredAnswers_SST 616-616 A1</v>
      </c>
    </row>
    <row r="224" spans="1:9" x14ac:dyDescent="0.2">
      <c r="A224" s="21">
        <f t="shared" si="82"/>
        <v>618</v>
      </c>
      <c r="B224" s="7">
        <f t="shared" si="81"/>
        <v>618</v>
      </c>
      <c r="C224" s="7">
        <f t="shared" si="71"/>
        <v>617</v>
      </c>
      <c r="D224" s="7">
        <f t="shared" si="72"/>
        <v>617</v>
      </c>
      <c r="E224" s="21">
        <v>1</v>
      </c>
      <c r="F224" s="4" t="s">
        <v>522</v>
      </c>
      <c r="I224" s="31" t="str">
        <f t="shared" si="83"/>
        <v>SPEDIndividualSmallGroupAdministration_SST 617-617 A1</v>
      </c>
    </row>
    <row r="225" spans="1:9" x14ac:dyDescent="0.2">
      <c r="A225" s="21">
        <f t="shared" si="82"/>
        <v>619</v>
      </c>
      <c r="B225" s="7">
        <f t="shared" si="81"/>
        <v>619</v>
      </c>
      <c r="C225" s="7">
        <f t="shared" si="71"/>
        <v>618</v>
      </c>
      <c r="D225" s="7">
        <f t="shared" si="72"/>
        <v>618</v>
      </c>
      <c r="E225" s="8">
        <v>1</v>
      </c>
      <c r="F225" s="4" t="s">
        <v>455</v>
      </c>
      <c r="I225" s="31" t="str">
        <f t="shared" si="83"/>
        <v>SPEDReadAloudKurzweil_SST 618-618 A1</v>
      </c>
    </row>
    <row r="226" spans="1:9" x14ac:dyDescent="0.2">
      <c r="A226" s="21">
        <f t="shared" si="82"/>
        <v>620</v>
      </c>
      <c r="B226" s="7">
        <f t="shared" si="81"/>
        <v>620</v>
      </c>
      <c r="C226" s="7">
        <f t="shared" si="71"/>
        <v>619</v>
      </c>
      <c r="D226" s="7">
        <f t="shared" si="72"/>
        <v>619</v>
      </c>
      <c r="E226" s="8">
        <v>1</v>
      </c>
      <c r="F226" s="4" t="s">
        <v>456</v>
      </c>
      <c r="I226" s="31" t="str">
        <f t="shared" si="83"/>
        <v>SPEDReadAloudRecordedVoice_SST 619-619 A1</v>
      </c>
    </row>
    <row r="227" spans="1:9" x14ac:dyDescent="0.2">
      <c r="A227" s="21">
        <f>A226+E226</f>
        <v>621</v>
      </c>
      <c r="B227" s="7">
        <f t="shared" si="81"/>
        <v>621</v>
      </c>
      <c r="C227" s="7">
        <f t="shared" si="71"/>
        <v>620</v>
      </c>
      <c r="D227" s="7">
        <f t="shared" si="72"/>
        <v>620</v>
      </c>
      <c r="E227" s="8">
        <v>1</v>
      </c>
      <c r="F227" s="4" t="s">
        <v>457</v>
      </c>
      <c r="I227" s="31" t="str">
        <f t="shared" si="83"/>
        <v>SPEDReadAloudHumanReader_SST 620-620 A1</v>
      </c>
    </row>
    <row r="228" spans="1:9" x14ac:dyDescent="0.2">
      <c r="A228" s="21">
        <f>A227+E227</f>
        <v>622</v>
      </c>
      <c r="B228" s="7">
        <f t="shared" si="81"/>
        <v>622</v>
      </c>
      <c r="C228" s="7">
        <f t="shared" si="71"/>
        <v>621</v>
      </c>
      <c r="D228" s="7">
        <f t="shared" si="72"/>
        <v>621</v>
      </c>
      <c r="E228" s="21">
        <v>1</v>
      </c>
      <c r="F228" s="4" t="s">
        <v>109</v>
      </c>
      <c r="I228" s="31" t="str">
        <f t="shared" ref="I228" si="84">CONCATENATE(F228," ",C228,"-",D228," A",E228)</f>
        <v>Other 621-621 A1</v>
      </c>
    </row>
    <row r="229" spans="1:9" x14ac:dyDescent="0.2">
      <c r="C229" s="7"/>
      <c r="D229" s="7"/>
      <c r="F229" s="26" t="s">
        <v>34</v>
      </c>
    </row>
    <row r="230" spans="1:9" x14ac:dyDescent="0.2">
      <c r="A230" s="21">
        <f>A228+E228</f>
        <v>623</v>
      </c>
      <c r="B230" s="7">
        <f t="shared" ref="B230:B239" si="85">A230+E230-1</f>
        <v>623</v>
      </c>
      <c r="C230" s="7">
        <f t="shared" si="71"/>
        <v>622</v>
      </c>
      <c r="D230" s="7">
        <f t="shared" si="72"/>
        <v>622</v>
      </c>
      <c r="E230" s="21">
        <v>1</v>
      </c>
      <c r="F230" s="25" t="str">
        <f>CONCATENATE(H230,G230)</f>
        <v>FILLER28</v>
      </c>
      <c r="G230" s="31">
        <v>28</v>
      </c>
      <c r="H230" s="25" t="s">
        <v>64</v>
      </c>
      <c r="I230" s="31" t="str">
        <f t="shared" ref="I230" si="86">CONCATENATE(F230," ",C230,"-",D230," A",E230)</f>
        <v>FILLER28 622-622 A1</v>
      </c>
    </row>
    <row r="231" spans="1:9" ht="12.75" customHeight="1" x14ac:dyDescent="0.2">
      <c r="A231" s="21">
        <f t="shared" ref="A231:A235" si="87">A230+E230</f>
        <v>624</v>
      </c>
      <c r="B231" s="7">
        <f t="shared" si="85"/>
        <v>624</v>
      </c>
      <c r="C231" s="7">
        <f t="shared" si="71"/>
        <v>623</v>
      </c>
      <c r="D231" s="7">
        <f t="shared" si="72"/>
        <v>623</v>
      </c>
      <c r="E231" s="21">
        <v>1</v>
      </c>
      <c r="F231" s="4" t="s">
        <v>450</v>
      </c>
      <c r="I231" s="31" t="str">
        <f>CONCATENATE("LEP",F231,"_SST ",C231,"-",D231," A",E231)</f>
        <v>LEPNoAccommodations_SST 623-623 A1</v>
      </c>
    </row>
    <row r="232" spans="1:9" x14ac:dyDescent="0.2">
      <c r="A232" s="21">
        <f t="shared" si="87"/>
        <v>625</v>
      </c>
      <c r="B232" s="7">
        <f t="shared" si="85"/>
        <v>625</v>
      </c>
      <c r="C232" s="7">
        <f t="shared" si="71"/>
        <v>624</v>
      </c>
      <c r="D232" s="7">
        <f t="shared" si="72"/>
        <v>624</v>
      </c>
      <c r="E232" s="21">
        <v>1</v>
      </c>
      <c r="F232" s="4" t="s">
        <v>453</v>
      </c>
      <c r="I232" s="31" t="str">
        <f t="shared" ref="I232:I239" si="88">CONCATENATE("LEP",F232,"_SST ",C232,"-",D232," A",E232)</f>
        <v>LEPExtendedTime_SST 624-624 A1</v>
      </c>
    </row>
    <row r="233" spans="1:9" x14ac:dyDescent="0.2">
      <c r="A233" s="21">
        <f t="shared" si="87"/>
        <v>626</v>
      </c>
      <c r="B233" s="7">
        <f t="shared" si="85"/>
        <v>626</v>
      </c>
      <c r="C233" s="7">
        <f t="shared" si="71"/>
        <v>625</v>
      </c>
      <c r="D233" s="7">
        <f t="shared" si="72"/>
        <v>625</v>
      </c>
      <c r="E233" s="21">
        <v>1</v>
      </c>
      <c r="F233" s="4" t="s">
        <v>522</v>
      </c>
      <c r="I233" s="31" t="str">
        <f t="shared" si="88"/>
        <v>LEPIndividualSmallGroupAdministration_SST 625-625 A1</v>
      </c>
    </row>
    <row r="234" spans="1:9" ht="25.5" x14ac:dyDescent="0.2">
      <c r="A234" s="21">
        <f t="shared" si="87"/>
        <v>627</v>
      </c>
      <c r="B234" s="7">
        <f t="shared" si="85"/>
        <v>627</v>
      </c>
      <c r="C234" s="7">
        <f t="shared" si="71"/>
        <v>626</v>
      </c>
      <c r="D234" s="7">
        <f t="shared" si="72"/>
        <v>626</v>
      </c>
      <c r="E234" s="21">
        <v>1</v>
      </c>
      <c r="F234" s="4" t="s">
        <v>525</v>
      </c>
      <c r="I234" s="31" t="str">
        <f t="shared" si="88"/>
        <v>LEPProvisionofEnglishNativeLanguageWordtoWordDictionaryNoDef_SST 626-626 A1</v>
      </c>
    </row>
    <row r="235" spans="1:9" ht="25.5" x14ac:dyDescent="0.2">
      <c r="A235" s="21">
        <f t="shared" si="87"/>
        <v>628</v>
      </c>
      <c r="B235" s="7">
        <f t="shared" si="85"/>
        <v>628</v>
      </c>
      <c r="C235" s="7">
        <f t="shared" si="71"/>
        <v>627</v>
      </c>
      <c r="D235" s="7">
        <f t="shared" si="72"/>
        <v>627</v>
      </c>
      <c r="E235" s="21">
        <v>1</v>
      </c>
      <c r="F235" s="4" t="s">
        <v>458</v>
      </c>
      <c r="I235" s="31" t="str">
        <f t="shared" si="88"/>
        <v>LEPTestAdministeredbyESLTeacherorIndividualProvidingLanguageServices_SST 627-627 A1</v>
      </c>
    </row>
    <row r="236" spans="1:9" x14ac:dyDescent="0.2">
      <c r="A236" s="21">
        <f>A235+E235</f>
        <v>629</v>
      </c>
      <c r="B236" s="7">
        <f t="shared" si="85"/>
        <v>629</v>
      </c>
      <c r="C236" s="7">
        <f t="shared" si="71"/>
        <v>628</v>
      </c>
      <c r="D236" s="7">
        <f t="shared" si="72"/>
        <v>628</v>
      </c>
      <c r="E236" s="8">
        <v>1</v>
      </c>
      <c r="F236" s="4" t="s">
        <v>459</v>
      </c>
      <c r="I236" s="31" t="str">
        <f t="shared" si="88"/>
        <v>LEPDirectionsinNativeLanguage_SST 628-628 A1</v>
      </c>
    </row>
    <row r="237" spans="1:9" x14ac:dyDescent="0.2">
      <c r="A237" s="21">
        <f t="shared" ref="A237:A239" si="89">A236+E236</f>
        <v>630</v>
      </c>
      <c r="B237" s="7">
        <f t="shared" si="85"/>
        <v>630</v>
      </c>
      <c r="C237" s="7">
        <f t="shared" si="71"/>
        <v>629</v>
      </c>
      <c r="D237" s="7">
        <f t="shared" si="72"/>
        <v>629</v>
      </c>
      <c r="E237" s="8">
        <v>1</v>
      </c>
      <c r="F237" s="4" t="s">
        <v>455</v>
      </c>
      <c r="I237" s="31" t="str">
        <f t="shared" si="88"/>
        <v>LEPReadAloudKurzweil_SST 629-629 A1</v>
      </c>
    </row>
    <row r="238" spans="1:9" x14ac:dyDescent="0.2">
      <c r="A238" s="21">
        <f t="shared" si="89"/>
        <v>631</v>
      </c>
      <c r="B238" s="7">
        <f t="shared" si="85"/>
        <v>631</v>
      </c>
      <c r="C238" s="7">
        <f t="shared" si="71"/>
        <v>630</v>
      </c>
      <c r="D238" s="7">
        <f t="shared" si="72"/>
        <v>630</v>
      </c>
      <c r="E238" s="8">
        <v>1</v>
      </c>
      <c r="F238" s="4" t="s">
        <v>456</v>
      </c>
      <c r="I238" s="31" t="str">
        <f t="shared" si="88"/>
        <v>LEPReadAloudRecordedVoice_SST 630-630 A1</v>
      </c>
    </row>
    <row r="239" spans="1:9" x14ac:dyDescent="0.2">
      <c r="A239" s="21">
        <f t="shared" si="89"/>
        <v>632</v>
      </c>
      <c r="B239" s="7">
        <f t="shared" si="85"/>
        <v>632</v>
      </c>
      <c r="C239" s="7">
        <f t="shared" si="71"/>
        <v>631</v>
      </c>
      <c r="D239" s="7">
        <f t="shared" si="72"/>
        <v>631</v>
      </c>
      <c r="E239" s="8">
        <v>1</v>
      </c>
      <c r="F239" s="4" t="s">
        <v>457</v>
      </c>
      <c r="I239" s="31" t="str">
        <f t="shared" si="88"/>
        <v>LEPReadAloudHumanReader_SST 631-631 A1</v>
      </c>
    </row>
    <row r="240" spans="1:9" ht="25.5" x14ac:dyDescent="0.2">
      <c r="C240" s="7"/>
      <c r="D240" s="7"/>
      <c r="F240" s="26" t="s">
        <v>36</v>
      </c>
    </row>
    <row r="241" spans="1:9" x14ac:dyDescent="0.2">
      <c r="A241" s="21">
        <f>A239+E239</f>
        <v>633</v>
      </c>
      <c r="B241" s="7">
        <f t="shared" ref="B241:B252" si="90">A241+E241-1</f>
        <v>633</v>
      </c>
      <c r="C241" s="7">
        <f t="shared" si="71"/>
        <v>632</v>
      </c>
      <c r="D241" s="7">
        <f t="shared" si="72"/>
        <v>632</v>
      </c>
      <c r="E241" s="21">
        <v>1</v>
      </c>
      <c r="F241" s="25" t="str">
        <f>CONCATENATE(H241,G241)</f>
        <v>FILLER29</v>
      </c>
      <c r="G241" s="31">
        <v>29</v>
      </c>
      <c r="H241" s="25" t="s">
        <v>64</v>
      </c>
      <c r="I241" s="31" t="str">
        <f t="shared" ref="I241:I252" si="91">CONCATENATE(F241," ",C241,"-",D241," A",E241)</f>
        <v>FILLER29 632-632 A1</v>
      </c>
    </row>
    <row r="242" spans="1:9" ht="12.75" customHeight="1" x14ac:dyDescent="0.2">
      <c r="A242" s="21">
        <f t="shared" ref="A242" si="92">A241+E241</f>
        <v>634</v>
      </c>
      <c r="B242" s="7">
        <f t="shared" si="90"/>
        <v>634</v>
      </c>
      <c r="C242" s="7">
        <f t="shared" si="71"/>
        <v>633</v>
      </c>
      <c r="D242" s="7">
        <f t="shared" si="72"/>
        <v>633</v>
      </c>
      <c r="E242" s="21">
        <v>1</v>
      </c>
      <c r="F242" s="4" t="s">
        <v>450</v>
      </c>
      <c r="I242" s="31" t="str">
        <f>CONCATENATE("Section504",F242,"_SST ",C242,"-",D242," A",E242)</f>
        <v>Section504NoAccommodations_SST 633-633 A1</v>
      </c>
    </row>
    <row r="243" spans="1:9" x14ac:dyDescent="0.2">
      <c r="A243" s="21">
        <f>A242+E242</f>
        <v>635</v>
      </c>
      <c r="B243" s="7">
        <f t="shared" si="90"/>
        <v>635</v>
      </c>
      <c r="C243" s="7">
        <f t="shared" si="71"/>
        <v>634</v>
      </c>
      <c r="D243" s="7">
        <f t="shared" si="72"/>
        <v>634</v>
      </c>
      <c r="E243" s="21">
        <v>1</v>
      </c>
      <c r="F243" s="4" t="s">
        <v>451</v>
      </c>
      <c r="I243" s="31" t="str">
        <f t="shared" ref="I243:I251" si="93">CONCATENATE("Section504",F243,"_SST ",C243,"-",D243," A",E243)</f>
        <v>Section504LargePrint_SST 634-634 A1</v>
      </c>
    </row>
    <row r="244" spans="1:9" x14ac:dyDescent="0.2">
      <c r="A244" s="21">
        <f t="shared" ref="A244:A252" si="94">A243+E243</f>
        <v>636</v>
      </c>
      <c r="B244" s="7">
        <f t="shared" si="90"/>
        <v>636</v>
      </c>
      <c r="C244" s="7">
        <f t="shared" si="71"/>
        <v>635</v>
      </c>
      <c r="D244" s="7">
        <f t="shared" si="72"/>
        <v>635</v>
      </c>
      <c r="E244" s="21">
        <v>1</v>
      </c>
      <c r="F244" s="4" t="s">
        <v>452</v>
      </c>
      <c r="I244" s="31" t="str">
        <f t="shared" si="93"/>
        <v>Section504AnswersRecorded_SST 635-635 A1</v>
      </c>
    </row>
    <row r="245" spans="1:9" x14ac:dyDescent="0.2">
      <c r="A245" s="21">
        <f>A244+E244</f>
        <v>637</v>
      </c>
      <c r="B245" s="7">
        <f t="shared" si="90"/>
        <v>637</v>
      </c>
      <c r="C245" s="7">
        <f t="shared" si="71"/>
        <v>636</v>
      </c>
      <c r="D245" s="7">
        <f t="shared" si="72"/>
        <v>636</v>
      </c>
      <c r="E245" s="21">
        <v>1</v>
      </c>
      <c r="F245" s="4" t="s">
        <v>453</v>
      </c>
      <c r="I245" s="31" t="str">
        <f t="shared" si="93"/>
        <v>Section504ExtendedTime_SST 636-636 A1</v>
      </c>
    </row>
    <row r="246" spans="1:9" x14ac:dyDescent="0.2">
      <c r="A246" s="21">
        <f>A245+E245</f>
        <v>638</v>
      </c>
      <c r="B246" s="7">
        <f t="shared" si="90"/>
        <v>638</v>
      </c>
      <c r="C246" s="7">
        <f t="shared" si="71"/>
        <v>637</v>
      </c>
      <c r="D246" s="7">
        <f t="shared" si="72"/>
        <v>637</v>
      </c>
      <c r="E246" s="21">
        <v>1</v>
      </c>
      <c r="F246" s="4" t="s">
        <v>454</v>
      </c>
      <c r="I246" s="31" t="str">
        <f t="shared" si="93"/>
        <v>Section504TransferredAnswers_SST 637-637 A1</v>
      </c>
    </row>
    <row r="247" spans="1:9" x14ac:dyDescent="0.2">
      <c r="A247" s="21">
        <f t="shared" si="94"/>
        <v>639</v>
      </c>
      <c r="B247" s="7">
        <f t="shared" si="90"/>
        <v>639</v>
      </c>
      <c r="C247" s="7">
        <f t="shared" si="71"/>
        <v>638</v>
      </c>
      <c r="D247" s="7">
        <f t="shared" si="72"/>
        <v>638</v>
      </c>
      <c r="E247" s="21">
        <v>1</v>
      </c>
      <c r="F247" s="4" t="s">
        <v>522</v>
      </c>
      <c r="I247" s="31" t="str">
        <f t="shared" si="93"/>
        <v>Section504IndividualSmallGroupAdministration_SST 638-638 A1</v>
      </c>
    </row>
    <row r="248" spans="1:9" x14ac:dyDescent="0.2">
      <c r="A248" s="21">
        <f t="shared" si="94"/>
        <v>640</v>
      </c>
      <c r="B248" s="7">
        <f t="shared" si="90"/>
        <v>640</v>
      </c>
      <c r="C248" s="7">
        <f t="shared" si="71"/>
        <v>639</v>
      </c>
      <c r="D248" s="7">
        <f t="shared" si="72"/>
        <v>639</v>
      </c>
      <c r="E248" s="8">
        <v>1</v>
      </c>
      <c r="F248" s="4" t="s">
        <v>455</v>
      </c>
      <c r="I248" s="31" t="str">
        <f t="shared" si="93"/>
        <v>Section504ReadAloudKurzweil_SST 639-639 A1</v>
      </c>
    </row>
    <row r="249" spans="1:9" x14ac:dyDescent="0.2">
      <c r="A249" s="21">
        <f t="shared" si="94"/>
        <v>641</v>
      </c>
      <c r="B249" s="7">
        <f t="shared" si="90"/>
        <v>641</v>
      </c>
      <c r="C249" s="7">
        <f t="shared" si="71"/>
        <v>640</v>
      </c>
      <c r="D249" s="7">
        <f t="shared" si="72"/>
        <v>640</v>
      </c>
      <c r="E249" s="8">
        <v>1</v>
      </c>
      <c r="F249" s="4" t="s">
        <v>456</v>
      </c>
      <c r="I249" s="31" t="str">
        <f t="shared" si="93"/>
        <v>Section504ReadAloudRecordedVoice_SST 640-640 A1</v>
      </c>
    </row>
    <row r="250" spans="1:9" x14ac:dyDescent="0.2">
      <c r="A250" s="21">
        <f t="shared" si="94"/>
        <v>642</v>
      </c>
      <c r="B250" s="7">
        <f t="shared" si="90"/>
        <v>642</v>
      </c>
      <c r="C250" s="7">
        <f t="shared" si="71"/>
        <v>641</v>
      </c>
      <c r="D250" s="7">
        <f t="shared" si="72"/>
        <v>641</v>
      </c>
      <c r="E250" s="8">
        <v>1</v>
      </c>
      <c r="F250" s="4" t="s">
        <v>457</v>
      </c>
      <c r="I250" s="31" t="str">
        <f t="shared" si="93"/>
        <v>Section504ReadAloudHumanReader_SST 641-641 A1</v>
      </c>
    </row>
    <row r="251" spans="1:9" x14ac:dyDescent="0.2">
      <c r="A251" s="21">
        <f>A250+E250</f>
        <v>643</v>
      </c>
      <c r="B251" s="7">
        <f t="shared" si="90"/>
        <v>643</v>
      </c>
      <c r="C251" s="7">
        <f t="shared" si="71"/>
        <v>642</v>
      </c>
      <c r="D251" s="7">
        <f t="shared" si="72"/>
        <v>642</v>
      </c>
      <c r="E251" s="21">
        <v>1</v>
      </c>
      <c r="F251" s="4" t="s">
        <v>109</v>
      </c>
      <c r="I251" s="31" t="str">
        <f t="shared" si="93"/>
        <v>Section504Other_SST 642-642 A1</v>
      </c>
    </row>
    <row r="252" spans="1:9" x14ac:dyDescent="0.2">
      <c r="A252" s="21">
        <f t="shared" si="94"/>
        <v>644</v>
      </c>
      <c r="B252" s="7">
        <f t="shared" si="90"/>
        <v>648</v>
      </c>
      <c r="C252" s="7">
        <f t="shared" si="71"/>
        <v>643</v>
      </c>
      <c r="D252" s="7">
        <f t="shared" si="72"/>
        <v>647</v>
      </c>
      <c r="E252" s="21">
        <v>5</v>
      </c>
      <c r="F252" s="25" t="str">
        <f>CONCATENATE(H252,G252)</f>
        <v>FILLER30</v>
      </c>
      <c r="G252" s="31">
        <v>30</v>
      </c>
      <c r="H252" s="25" t="s">
        <v>64</v>
      </c>
      <c r="I252" s="31" t="str">
        <f t="shared" si="91"/>
        <v>FILLER30 643-647 A5</v>
      </c>
    </row>
    <row r="253" spans="1:9" ht="12.75" customHeight="1" x14ac:dyDescent="0.2">
      <c r="C253" s="7"/>
      <c r="D253" s="7"/>
      <c r="F253" s="5" t="s">
        <v>37</v>
      </c>
    </row>
    <row r="254" spans="1:9" x14ac:dyDescent="0.2">
      <c r="A254" s="21">
        <f>A252+E252</f>
        <v>649</v>
      </c>
      <c r="B254" s="7">
        <f t="shared" ref="B254:B255" si="95">A254+E254-1</f>
        <v>649</v>
      </c>
      <c r="C254" s="7">
        <f t="shared" si="71"/>
        <v>648</v>
      </c>
      <c r="D254" s="7">
        <f t="shared" si="72"/>
        <v>648</v>
      </c>
      <c r="E254" s="21">
        <v>1</v>
      </c>
      <c r="F254" s="4" t="s">
        <v>522</v>
      </c>
      <c r="I254" s="31" t="str">
        <f>CONCATENATE(F254,"_SST ",C254,"-",D254," A",E254)</f>
        <v>IndividualSmallGroupAdministration_SST 648-648 A1</v>
      </c>
    </row>
    <row r="255" spans="1:9" x14ac:dyDescent="0.2">
      <c r="A255" s="21">
        <f>A254+E254</f>
        <v>650</v>
      </c>
      <c r="B255" s="7">
        <f t="shared" si="95"/>
        <v>654</v>
      </c>
      <c r="C255" s="7">
        <f t="shared" si="71"/>
        <v>649</v>
      </c>
      <c r="D255" s="7">
        <f t="shared" si="72"/>
        <v>653</v>
      </c>
      <c r="E255" s="21">
        <v>5</v>
      </c>
      <c r="F255" s="25" t="str">
        <f>CONCATENATE(H255,G255)</f>
        <v>FILLER31</v>
      </c>
      <c r="G255" s="31">
        <v>31</v>
      </c>
      <c r="H255" s="25" t="s">
        <v>64</v>
      </c>
      <c r="I255" s="31" t="str">
        <f t="shared" ref="I255" si="96">CONCATENATE(F255," ",C255,"-",D255," A",E255)</f>
        <v>FILLER31 649-653 A5</v>
      </c>
    </row>
    <row r="256" spans="1:9" x14ac:dyDescent="0.2">
      <c r="C256" s="7"/>
      <c r="D256" s="7"/>
      <c r="F256" s="28" t="s">
        <v>101</v>
      </c>
    </row>
    <row r="257" spans="1:9" ht="12.75" customHeight="1" x14ac:dyDescent="0.2">
      <c r="A257" s="21">
        <f>A255+E255</f>
        <v>655</v>
      </c>
      <c r="B257" s="7">
        <f t="shared" ref="B257:B268" si="97">A257+E257-1</f>
        <v>655</v>
      </c>
      <c r="C257" s="7">
        <f t="shared" si="71"/>
        <v>654</v>
      </c>
      <c r="D257" s="7">
        <f t="shared" si="72"/>
        <v>654</v>
      </c>
      <c r="E257" s="21">
        <v>1</v>
      </c>
      <c r="F257" s="4" t="s">
        <v>507</v>
      </c>
      <c r="I257" s="31" t="str">
        <f>CONCATENATE("Online",F257,"_SST ",C257,"-",D257," A",E257)</f>
        <v>OnlineTexttoSpeech_SST 654-654 A1</v>
      </c>
    </row>
    <row r="258" spans="1:9" x14ac:dyDescent="0.2">
      <c r="A258" s="21">
        <f t="shared" ref="A258:A267" si="98">A257+E257</f>
        <v>656</v>
      </c>
      <c r="B258" s="7">
        <f t="shared" si="97"/>
        <v>656</v>
      </c>
      <c r="C258" s="7">
        <f t="shared" si="71"/>
        <v>655</v>
      </c>
      <c r="D258" s="7">
        <f t="shared" si="72"/>
        <v>655</v>
      </c>
      <c r="E258" s="21">
        <v>1</v>
      </c>
      <c r="F258" s="4" t="s">
        <v>460</v>
      </c>
      <c r="I258" s="31" t="str">
        <f t="shared" ref="I258:I267" si="99">CONCATENATE("Online",F258,"_SST ",C258,"-",D258," A",E258)</f>
        <v>OnlineHumanReadAloud_SST 655-655 A1</v>
      </c>
    </row>
    <row r="259" spans="1:9" x14ac:dyDescent="0.2">
      <c r="A259" s="21">
        <f t="shared" si="98"/>
        <v>657</v>
      </c>
      <c r="B259" s="7">
        <f t="shared" si="97"/>
        <v>657</v>
      </c>
      <c r="C259" s="7">
        <f t="shared" si="71"/>
        <v>656</v>
      </c>
      <c r="D259" s="7">
        <f t="shared" si="72"/>
        <v>656</v>
      </c>
      <c r="E259" s="21">
        <v>1</v>
      </c>
      <c r="F259" s="4" t="s">
        <v>508</v>
      </c>
      <c r="I259" s="31" t="str">
        <f t="shared" si="99"/>
        <v>OnlineNativeLanguageWordtoWordDictionary_SST 656-656 A1</v>
      </c>
    </row>
    <row r="260" spans="1:9" x14ac:dyDescent="0.2">
      <c r="A260" s="21">
        <f t="shared" si="98"/>
        <v>658</v>
      </c>
      <c r="B260" s="7">
        <f t="shared" si="97"/>
        <v>658</v>
      </c>
      <c r="C260" s="7">
        <f t="shared" si="71"/>
        <v>657</v>
      </c>
      <c r="D260" s="7">
        <f t="shared" si="72"/>
        <v>657</v>
      </c>
      <c r="E260" s="21">
        <v>1</v>
      </c>
      <c r="F260" s="4" t="s">
        <v>459</v>
      </c>
      <c r="I260" s="31" t="str">
        <f t="shared" si="99"/>
        <v>OnlineDirectionsinNativeLanguage_SST 657-657 A1</v>
      </c>
    </row>
    <row r="261" spans="1:9" x14ac:dyDescent="0.2">
      <c r="A261" s="21">
        <f t="shared" si="98"/>
        <v>659</v>
      </c>
      <c r="B261" s="7">
        <f t="shared" si="97"/>
        <v>659</v>
      </c>
      <c r="C261" s="7">
        <f t="shared" ref="C261:C324" si="100">A261-1</f>
        <v>658</v>
      </c>
      <c r="D261" s="7">
        <f t="shared" ref="D261:D324" si="101">B261-1</f>
        <v>658</v>
      </c>
      <c r="E261" s="21">
        <v>1</v>
      </c>
      <c r="F261" s="4" t="s">
        <v>454</v>
      </c>
      <c r="I261" s="31" t="str">
        <f t="shared" si="99"/>
        <v>OnlineTransferredAnswers_SST 658-658 A1</v>
      </c>
    </row>
    <row r="262" spans="1:9" x14ac:dyDescent="0.2">
      <c r="A262" s="21">
        <f t="shared" si="98"/>
        <v>660</v>
      </c>
      <c r="B262" s="7">
        <f t="shared" si="97"/>
        <v>660</v>
      </c>
      <c r="C262" s="7">
        <f t="shared" si="100"/>
        <v>659</v>
      </c>
      <c r="D262" s="7">
        <f t="shared" si="101"/>
        <v>659</v>
      </c>
      <c r="E262" s="21">
        <v>1</v>
      </c>
      <c r="F262" s="4" t="s">
        <v>452</v>
      </c>
      <c r="I262" s="31" t="str">
        <f t="shared" si="99"/>
        <v>OnlineAnswersRecorded_SST 659-659 A1</v>
      </c>
    </row>
    <row r="263" spans="1:9" x14ac:dyDescent="0.2">
      <c r="A263" s="21">
        <f t="shared" si="98"/>
        <v>661</v>
      </c>
      <c r="B263" s="7">
        <f t="shared" si="97"/>
        <v>661</v>
      </c>
      <c r="C263" s="7">
        <f t="shared" si="100"/>
        <v>660</v>
      </c>
      <c r="D263" s="7">
        <f t="shared" si="101"/>
        <v>660</v>
      </c>
      <c r="E263" s="21">
        <v>1</v>
      </c>
      <c r="F263" s="4" t="s">
        <v>453</v>
      </c>
      <c r="I263" s="31" t="str">
        <f t="shared" si="99"/>
        <v>OnlineExtendedTime_SST 660-660 A1</v>
      </c>
    </row>
    <row r="264" spans="1:9" x14ac:dyDescent="0.2">
      <c r="A264" s="21">
        <f t="shared" si="98"/>
        <v>662</v>
      </c>
      <c r="B264" s="7">
        <f t="shared" si="97"/>
        <v>662</v>
      </c>
      <c r="C264" s="7">
        <f t="shared" si="100"/>
        <v>661</v>
      </c>
      <c r="D264" s="7">
        <f t="shared" si="101"/>
        <v>661</v>
      </c>
      <c r="E264" s="21">
        <v>1</v>
      </c>
      <c r="F264" s="4" t="s">
        <v>461</v>
      </c>
      <c r="I264" s="31" t="str">
        <f t="shared" si="99"/>
        <v>OnlineIndividualorSmallGroupAdministration_SST 661-661 A1</v>
      </c>
    </row>
    <row r="265" spans="1:9" x14ac:dyDescent="0.2">
      <c r="A265" s="21">
        <f t="shared" si="98"/>
        <v>663</v>
      </c>
      <c r="B265" s="7">
        <f t="shared" si="97"/>
        <v>663</v>
      </c>
      <c r="C265" s="7">
        <f t="shared" si="100"/>
        <v>662</v>
      </c>
      <c r="D265" s="7">
        <f t="shared" si="101"/>
        <v>662</v>
      </c>
      <c r="E265" s="8">
        <v>1</v>
      </c>
      <c r="F265" s="4" t="s">
        <v>462</v>
      </c>
      <c r="I265" s="31" t="str">
        <f t="shared" si="99"/>
        <v>OnlineAccommodatedPaper_SST 662-662 A1</v>
      </c>
    </row>
    <row r="266" spans="1:9" x14ac:dyDescent="0.2">
      <c r="A266" s="21">
        <f t="shared" si="98"/>
        <v>664</v>
      </c>
      <c r="B266" s="7">
        <f t="shared" si="97"/>
        <v>664</v>
      </c>
      <c r="C266" s="7">
        <f t="shared" si="100"/>
        <v>663</v>
      </c>
      <c r="D266" s="7">
        <f t="shared" si="101"/>
        <v>663</v>
      </c>
      <c r="E266" s="8">
        <v>1</v>
      </c>
      <c r="F266" s="4" t="s">
        <v>28</v>
      </c>
      <c r="I266" s="31" t="str">
        <f t="shared" si="99"/>
        <v>OnlineBraille_SST 663-663 A1</v>
      </c>
    </row>
    <row r="267" spans="1:9" x14ac:dyDescent="0.2">
      <c r="A267" s="21">
        <f t="shared" si="98"/>
        <v>665</v>
      </c>
      <c r="B267" s="7">
        <f t="shared" si="97"/>
        <v>665</v>
      </c>
      <c r="C267" s="7">
        <f t="shared" si="100"/>
        <v>664</v>
      </c>
      <c r="D267" s="7">
        <f t="shared" si="101"/>
        <v>664</v>
      </c>
      <c r="E267" s="8">
        <v>1</v>
      </c>
      <c r="F267" s="4" t="s">
        <v>463</v>
      </c>
      <c r="I267" s="31" t="str">
        <f t="shared" si="99"/>
        <v>OnlineCommunicationAssistanceScripts_SST 664-664 A1</v>
      </c>
    </row>
    <row r="268" spans="1:9" x14ac:dyDescent="0.2">
      <c r="A268" s="21">
        <f>A267+E267</f>
        <v>666</v>
      </c>
      <c r="B268" s="7">
        <f t="shared" si="97"/>
        <v>674</v>
      </c>
      <c r="C268" s="7">
        <f t="shared" si="100"/>
        <v>665</v>
      </c>
      <c r="D268" s="7">
        <f t="shared" si="101"/>
        <v>673</v>
      </c>
      <c r="E268" s="21">
        <v>9</v>
      </c>
      <c r="F268" s="25" t="str">
        <f>CONCATENATE(H268,G268)</f>
        <v>FILLER32</v>
      </c>
      <c r="G268" s="31">
        <v>32</v>
      </c>
      <c r="H268" s="25" t="s">
        <v>64</v>
      </c>
      <c r="I268" s="31" t="str">
        <f t="shared" ref="I268" si="102">CONCATENATE(F268," ",C268,"-",D268," A",E268)</f>
        <v>FILLER32 665-673 A9</v>
      </c>
    </row>
    <row r="269" spans="1:9" x14ac:dyDescent="0.2">
      <c r="C269" s="7"/>
      <c r="D269" s="7"/>
      <c r="F269" s="28" t="s">
        <v>111</v>
      </c>
    </row>
    <row r="270" spans="1:9" x14ac:dyDescent="0.2">
      <c r="C270" s="7"/>
      <c r="D270" s="7"/>
      <c r="F270" s="28" t="s">
        <v>112</v>
      </c>
    </row>
    <row r="271" spans="1:9" ht="81.75" customHeight="1" x14ac:dyDescent="0.2">
      <c r="A271" s="21">
        <f>A268+E268</f>
        <v>675</v>
      </c>
      <c r="B271" s="7">
        <f t="shared" ref="B271" si="103">A271+E271-1</f>
        <v>675</v>
      </c>
      <c r="C271" s="7">
        <f t="shared" si="100"/>
        <v>674</v>
      </c>
      <c r="D271" s="7">
        <f t="shared" si="101"/>
        <v>674</v>
      </c>
      <c r="E271" s="21">
        <v>1</v>
      </c>
      <c r="F271" s="29" t="s">
        <v>471</v>
      </c>
      <c r="I271" s="31" t="str">
        <f>CONCATENATE(F271," ",C271,"-",D271," A",E271)</f>
        <v>SummarizedEducationClassificationFlag 674-674 A1</v>
      </c>
    </row>
    <row r="272" spans="1:9" ht="25.5" x14ac:dyDescent="0.2">
      <c r="C272" s="7"/>
      <c r="D272" s="7"/>
      <c r="F272" s="28" t="s">
        <v>138</v>
      </c>
    </row>
    <row r="273" spans="1:9" x14ac:dyDescent="0.2">
      <c r="A273" s="21">
        <f>A271+E271</f>
        <v>676</v>
      </c>
      <c r="B273" s="7">
        <f t="shared" ref="B273:B279" si="104">A273+E273-1</f>
        <v>677</v>
      </c>
      <c r="C273" s="7">
        <f t="shared" si="100"/>
        <v>675</v>
      </c>
      <c r="D273" s="7">
        <f t="shared" si="101"/>
        <v>676</v>
      </c>
      <c r="E273" s="21">
        <v>2</v>
      </c>
      <c r="F273" s="29" t="s">
        <v>472</v>
      </c>
      <c r="I273" s="31" t="str">
        <f t="shared" ref="I273:I279" si="105">CONCATENATE(F273," ",C273,"-",D273," A",E273)</f>
        <v>LAPPrimaryExceptionality 675-676 A2</v>
      </c>
    </row>
    <row r="274" spans="1:9" x14ac:dyDescent="0.2">
      <c r="A274" s="21">
        <f>A273+E273</f>
        <v>678</v>
      </c>
      <c r="B274" s="7">
        <f t="shared" si="104"/>
        <v>679</v>
      </c>
      <c r="C274" s="7">
        <f t="shared" si="100"/>
        <v>677</v>
      </c>
      <c r="D274" s="7">
        <f t="shared" si="101"/>
        <v>678</v>
      </c>
      <c r="E274" s="21">
        <v>2</v>
      </c>
      <c r="F274" s="25" t="str">
        <f>CONCATENATE(H274,G274)</f>
        <v>FILLER33</v>
      </c>
      <c r="G274" s="31">
        <v>33</v>
      </c>
      <c r="H274" s="25" t="s">
        <v>64</v>
      </c>
      <c r="I274" s="31" t="str">
        <f t="shared" si="105"/>
        <v>FILLER33 677-678 A2</v>
      </c>
    </row>
    <row r="275" spans="1:9" x14ac:dyDescent="0.2">
      <c r="A275" s="21">
        <f>A274+E274</f>
        <v>680</v>
      </c>
      <c r="B275" s="7">
        <f t="shared" si="104"/>
        <v>681</v>
      </c>
      <c r="C275" s="7">
        <f t="shared" si="100"/>
        <v>679</v>
      </c>
      <c r="D275" s="7">
        <f t="shared" si="101"/>
        <v>680</v>
      </c>
      <c r="E275" s="21">
        <v>2</v>
      </c>
      <c r="F275" s="29" t="s">
        <v>473</v>
      </c>
      <c r="I275" s="31" t="str">
        <f t="shared" si="105"/>
        <v>eDIRECTExceptionalityCategory 679-680 A2</v>
      </c>
    </row>
    <row r="276" spans="1:9" ht="72.75" customHeight="1" x14ac:dyDescent="0.2">
      <c r="A276" s="21">
        <f t="shared" ref="A276:A279" si="106">A275+E275</f>
        <v>682</v>
      </c>
      <c r="B276" s="7">
        <f t="shared" si="104"/>
        <v>683</v>
      </c>
      <c r="C276" s="7">
        <f t="shared" si="100"/>
        <v>681</v>
      </c>
      <c r="D276" s="7">
        <f t="shared" si="101"/>
        <v>682</v>
      </c>
      <c r="E276" s="21">
        <v>2</v>
      </c>
      <c r="F276" s="25" t="s">
        <v>595</v>
      </c>
      <c r="I276" s="31" t="str">
        <f t="shared" si="105"/>
        <v>SummarizedSpecialEducationExceptionalityCategoryDocument1ELA 681-682 A2</v>
      </c>
    </row>
    <row r="277" spans="1:9" ht="72.75" customHeight="1" x14ac:dyDescent="0.2">
      <c r="A277" s="21">
        <f t="shared" si="106"/>
        <v>684</v>
      </c>
      <c r="B277" s="7">
        <f t="shared" si="104"/>
        <v>685</v>
      </c>
      <c r="C277" s="7">
        <f t="shared" si="100"/>
        <v>683</v>
      </c>
      <c r="D277" s="7">
        <f t="shared" si="101"/>
        <v>684</v>
      </c>
      <c r="E277" s="21">
        <v>2</v>
      </c>
      <c r="F277" s="25" t="s">
        <v>599</v>
      </c>
      <c r="I277" s="31" t="str">
        <f t="shared" si="105"/>
        <v>SummarizedSpecialEducationExceptionalityCategoryDocument2MTH 683-684 A2</v>
      </c>
    </row>
    <row r="278" spans="1:9" ht="71.25" customHeight="1" x14ac:dyDescent="0.2">
      <c r="A278" s="21">
        <f t="shared" si="106"/>
        <v>686</v>
      </c>
      <c r="B278" s="7">
        <f t="shared" si="104"/>
        <v>687</v>
      </c>
      <c r="C278" s="7">
        <f t="shared" si="100"/>
        <v>685</v>
      </c>
      <c r="D278" s="7">
        <f t="shared" si="101"/>
        <v>686</v>
      </c>
      <c r="E278" s="21">
        <v>2</v>
      </c>
      <c r="F278" s="25" t="s">
        <v>603</v>
      </c>
      <c r="I278" s="31" t="str">
        <f t="shared" si="105"/>
        <v>SummarizedSpecialEducationExceptionalityCategoryDocument3SCI 685-686 A2</v>
      </c>
    </row>
    <row r="279" spans="1:9" ht="71.25" customHeight="1" x14ac:dyDescent="0.2">
      <c r="A279" s="21">
        <f t="shared" si="106"/>
        <v>688</v>
      </c>
      <c r="B279" s="7">
        <f t="shared" si="104"/>
        <v>689</v>
      </c>
      <c r="C279" s="7">
        <f t="shared" si="100"/>
        <v>687</v>
      </c>
      <c r="D279" s="7">
        <f t="shared" si="101"/>
        <v>688</v>
      </c>
      <c r="E279" s="21">
        <v>2</v>
      </c>
      <c r="F279" s="25" t="s">
        <v>607</v>
      </c>
      <c r="I279" s="31" t="str">
        <f t="shared" si="105"/>
        <v>SummarizedSpecialEducationExceptionalityCategoryDocument4SST 687-688 A2</v>
      </c>
    </row>
    <row r="280" spans="1:9" x14ac:dyDescent="0.2">
      <c r="C280" s="7"/>
      <c r="D280" s="7"/>
      <c r="F280" s="28" t="s">
        <v>113</v>
      </c>
    </row>
    <row r="281" spans="1:9" x14ac:dyDescent="0.2">
      <c r="A281" s="21">
        <f>A279+E279</f>
        <v>690</v>
      </c>
      <c r="B281" s="7">
        <f t="shared" ref="B281:B284" si="107">A281+E281-1</f>
        <v>691</v>
      </c>
      <c r="C281" s="7">
        <f t="shared" si="100"/>
        <v>689</v>
      </c>
      <c r="D281" s="7">
        <f t="shared" si="101"/>
        <v>690</v>
      </c>
      <c r="E281" s="21">
        <v>2</v>
      </c>
      <c r="F281" s="29" t="s">
        <v>474</v>
      </c>
      <c r="I281" s="31" t="str">
        <f t="shared" ref="I281:I284" si="108">CONCATENATE(F281," ",C281,"-",D281," A",E281)</f>
        <v>LAPLEPCode 689-690 A2</v>
      </c>
    </row>
    <row r="282" spans="1:9" x14ac:dyDescent="0.2">
      <c r="A282" s="21">
        <f>A281+E281</f>
        <v>692</v>
      </c>
      <c r="B282" s="7">
        <f t="shared" si="107"/>
        <v>697</v>
      </c>
      <c r="C282" s="7">
        <f t="shared" si="100"/>
        <v>691</v>
      </c>
      <c r="D282" s="7">
        <f t="shared" si="101"/>
        <v>696</v>
      </c>
      <c r="E282" s="21">
        <v>6</v>
      </c>
      <c r="F282" s="25" t="str">
        <f>CONCATENATE(H282,G282)</f>
        <v>FILLER34</v>
      </c>
      <c r="G282" s="31">
        <v>34</v>
      </c>
      <c r="H282" s="25" t="s">
        <v>64</v>
      </c>
      <c r="I282" s="31" t="str">
        <f t="shared" si="108"/>
        <v>FILLER34 691-696 A6</v>
      </c>
    </row>
    <row r="283" spans="1:9" ht="78.75" customHeight="1" x14ac:dyDescent="0.2">
      <c r="A283" s="21">
        <f>A282+E282</f>
        <v>698</v>
      </c>
      <c r="B283" s="7">
        <f t="shared" si="107"/>
        <v>698</v>
      </c>
      <c r="C283" s="7">
        <f t="shared" si="100"/>
        <v>697</v>
      </c>
      <c r="D283" s="7">
        <f t="shared" si="101"/>
        <v>697</v>
      </c>
      <c r="E283" s="21">
        <v>1</v>
      </c>
      <c r="F283" s="29" t="s">
        <v>475</v>
      </c>
      <c r="I283" s="31" t="str">
        <f t="shared" si="108"/>
        <v>SummarizedLEPStatus 697-697 A1</v>
      </c>
    </row>
    <row r="284" spans="1:9" x14ac:dyDescent="0.2">
      <c r="A284" s="21">
        <f t="shared" ref="A284" si="109">A283+E283</f>
        <v>699</v>
      </c>
      <c r="B284" s="7">
        <f t="shared" si="107"/>
        <v>699</v>
      </c>
      <c r="C284" s="7">
        <f t="shared" si="100"/>
        <v>698</v>
      </c>
      <c r="D284" s="7">
        <f t="shared" si="101"/>
        <v>698</v>
      </c>
      <c r="E284" s="21">
        <v>1</v>
      </c>
      <c r="F284" s="29" t="s">
        <v>476</v>
      </c>
      <c r="I284" s="31" t="str">
        <f t="shared" si="108"/>
        <v>LAPLEPIndicatorCode 698-698 A1</v>
      </c>
    </row>
    <row r="285" spans="1:9" x14ac:dyDescent="0.2">
      <c r="C285" s="7"/>
      <c r="D285" s="7"/>
      <c r="F285" s="28" t="s">
        <v>115</v>
      </c>
    </row>
    <row r="286" spans="1:9" x14ac:dyDescent="0.2">
      <c r="A286" s="21">
        <f>A284+E284</f>
        <v>700</v>
      </c>
      <c r="B286" s="7">
        <f t="shared" ref="B286:B288" si="110">A286+E286-1</f>
        <v>705</v>
      </c>
      <c r="C286" s="7">
        <f t="shared" si="100"/>
        <v>699</v>
      </c>
      <c r="D286" s="7">
        <f t="shared" si="101"/>
        <v>704</v>
      </c>
      <c r="E286" s="21">
        <v>6</v>
      </c>
      <c r="F286" s="25" t="str">
        <f>CONCATENATE(H286,G286)</f>
        <v>FILLER35</v>
      </c>
      <c r="G286" s="31">
        <v>35</v>
      </c>
      <c r="H286" s="25" t="s">
        <v>64</v>
      </c>
      <c r="I286" s="31" t="str">
        <f t="shared" ref="I286:I288" si="111">CONCATENATE(F286," ",C286,"-",D286," A",E286)</f>
        <v>FILLER35 699-704 A6</v>
      </c>
    </row>
    <row r="287" spans="1:9" ht="80.25" customHeight="1" x14ac:dyDescent="0.2">
      <c r="A287" s="21">
        <f>A286+E286</f>
        <v>706</v>
      </c>
      <c r="B287" s="7">
        <f t="shared" si="110"/>
        <v>706</v>
      </c>
      <c r="C287" s="7">
        <f t="shared" si="100"/>
        <v>705</v>
      </c>
      <c r="D287" s="7">
        <f t="shared" si="101"/>
        <v>705</v>
      </c>
      <c r="E287" s="21">
        <v>1</v>
      </c>
      <c r="F287" s="29" t="s">
        <v>477</v>
      </c>
      <c r="I287" s="31" t="str">
        <f t="shared" si="111"/>
        <v>SummarizedSection504Status 705-705 A1</v>
      </c>
    </row>
    <row r="288" spans="1:9" x14ac:dyDescent="0.2">
      <c r="A288" s="21">
        <f>A287+E287</f>
        <v>707</v>
      </c>
      <c r="B288" s="7">
        <f t="shared" si="110"/>
        <v>733</v>
      </c>
      <c r="C288" s="7">
        <f t="shared" si="100"/>
        <v>706</v>
      </c>
      <c r="D288" s="7">
        <f t="shared" si="101"/>
        <v>732</v>
      </c>
      <c r="E288" s="21">
        <v>27</v>
      </c>
      <c r="F288" s="25" t="str">
        <f>CONCATENATE(H288,G288)</f>
        <v>FILLER36</v>
      </c>
      <c r="G288" s="31">
        <v>36</v>
      </c>
      <c r="H288" s="25" t="s">
        <v>64</v>
      </c>
      <c r="I288" s="31" t="str">
        <f t="shared" si="111"/>
        <v>FILLER36 706-732 A27</v>
      </c>
    </row>
    <row r="289" spans="1:9" x14ac:dyDescent="0.2">
      <c r="C289" s="7"/>
      <c r="D289" s="7"/>
      <c r="F289" s="28" t="s">
        <v>45</v>
      </c>
    </row>
    <row r="290" spans="1:9" x14ac:dyDescent="0.2">
      <c r="A290" s="21">
        <f>A288+E288</f>
        <v>734</v>
      </c>
      <c r="B290" s="7">
        <f t="shared" ref="B290:B292" si="112">A290+E290-1</f>
        <v>738</v>
      </c>
      <c r="C290" s="7">
        <f t="shared" si="100"/>
        <v>733</v>
      </c>
      <c r="D290" s="7">
        <f t="shared" si="101"/>
        <v>737</v>
      </c>
      <c r="E290" s="21">
        <v>5</v>
      </c>
      <c r="F290" s="27" t="s">
        <v>509</v>
      </c>
      <c r="I290" s="31" t="str">
        <f>CONCATENATE("ELARawScoreTotal ",C290,"-",D290," A",E290)</f>
        <v>ELARawScoreTotal 733-737 A5</v>
      </c>
    </row>
    <row r="291" spans="1:9" x14ac:dyDescent="0.2">
      <c r="A291" s="21">
        <f t="shared" ref="A291:A292" si="113">A290+E290</f>
        <v>739</v>
      </c>
      <c r="B291" s="7">
        <f t="shared" si="112"/>
        <v>741</v>
      </c>
      <c r="C291" s="7">
        <f t="shared" si="100"/>
        <v>738</v>
      </c>
      <c r="D291" s="7">
        <f t="shared" si="101"/>
        <v>740</v>
      </c>
      <c r="E291" s="21">
        <v>3</v>
      </c>
      <c r="F291" s="27" t="s">
        <v>510</v>
      </c>
      <c r="I291" s="31" t="str">
        <f>CONCATENATE("ELASS ",C291,"-",D291," A",E291)</f>
        <v>ELASS 738-740 A3</v>
      </c>
    </row>
    <row r="292" spans="1:9" x14ac:dyDescent="0.2">
      <c r="A292" s="21">
        <f t="shared" si="113"/>
        <v>742</v>
      </c>
      <c r="B292" s="7">
        <f t="shared" si="112"/>
        <v>744</v>
      </c>
      <c r="C292" s="7">
        <f t="shared" si="100"/>
        <v>741</v>
      </c>
      <c r="D292" s="7">
        <f t="shared" si="101"/>
        <v>743</v>
      </c>
      <c r="E292" s="21">
        <v>3</v>
      </c>
      <c r="F292" s="27" t="s">
        <v>511</v>
      </c>
      <c r="I292" s="31" t="str">
        <f>CONCATENATE("ELALVL ",C292,"-",D292," A",E292)</f>
        <v>ELALVL 741-743 A3</v>
      </c>
    </row>
    <row r="293" spans="1:9" x14ac:dyDescent="0.2">
      <c r="C293" s="7"/>
      <c r="D293" s="7"/>
      <c r="F293" s="28" t="s">
        <v>48</v>
      </c>
    </row>
    <row r="294" spans="1:9" x14ac:dyDescent="0.2">
      <c r="A294" s="21">
        <f>A292+E292</f>
        <v>745</v>
      </c>
      <c r="B294" s="7">
        <f t="shared" ref="B294:B309" si="114">A294+E294-1</f>
        <v>748</v>
      </c>
      <c r="C294" s="7">
        <f t="shared" si="100"/>
        <v>744</v>
      </c>
      <c r="D294" s="7">
        <f t="shared" si="101"/>
        <v>747</v>
      </c>
      <c r="E294" s="21">
        <v>4</v>
      </c>
      <c r="F294" s="27" t="s">
        <v>478</v>
      </c>
      <c r="I294" s="31" t="str">
        <f>CONCATENATE("ELA",F294," ",C294,"-",D294," A",E294)</f>
        <v>ELAReadingLiteraryTextRawScore 744-747 A4</v>
      </c>
    </row>
    <row r="295" spans="1:9" x14ac:dyDescent="0.2">
      <c r="A295" s="21">
        <f t="shared" ref="A295:A296" si="115">A294+E294</f>
        <v>749</v>
      </c>
      <c r="B295" s="7">
        <f t="shared" si="114"/>
        <v>749</v>
      </c>
      <c r="C295" s="7">
        <f t="shared" si="100"/>
        <v>748</v>
      </c>
      <c r="D295" s="7">
        <f t="shared" si="101"/>
        <v>748</v>
      </c>
      <c r="E295" s="21">
        <v>1</v>
      </c>
      <c r="F295" s="27" t="s">
        <v>479</v>
      </c>
      <c r="I295" s="31" t="str">
        <f t="shared" ref="I295:I308" si="116">CONCATENATE("ELA",F295," ",C295,"-",D295," A",E295)</f>
        <v>ELAReadingLiteraryTextRating 748-748 A1</v>
      </c>
    </row>
    <row r="296" spans="1:9" x14ac:dyDescent="0.2">
      <c r="A296" s="21">
        <f t="shared" si="115"/>
        <v>750</v>
      </c>
      <c r="B296" s="7">
        <f t="shared" si="114"/>
        <v>752</v>
      </c>
      <c r="C296" s="7">
        <f t="shared" si="100"/>
        <v>749</v>
      </c>
      <c r="D296" s="7">
        <f t="shared" si="101"/>
        <v>751</v>
      </c>
      <c r="E296" s="21">
        <v>3</v>
      </c>
      <c r="F296" s="27" t="s">
        <v>526</v>
      </c>
      <c r="I296" s="31" t="str">
        <f t="shared" si="116"/>
        <v>ELAReadingLiteraryTextPctCorrect 749-751 A3</v>
      </c>
    </row>
    <row r="297" spans="1:9" x14ac:dyDescent="0.2">
      <c r="A297" s="21">
        <f>A296+E296</f>
        <v>753</v>
      </c>
      <c r="B297" s="7">
        <f t="shared" si="114"/>
        <v>756</v>
      </c>
      <c r="C297" s="7">
        <f t="shared" si="100"/>
        <v>752</v>
      </c>
      <c r="D297" s="7">
        <f t="shared" si="101"/>
        <v>755</v>
      </c>
      <c r="E297" s="21">
        <v>4</v>
      </c>
      <c r="F297" s="27" t="s">
        <v>480</v>
      </c>
      <c r="I297" s="31" t="str">
        <f t="shared" si="116"/>
        <v>ELAReadingInformationalTextRawScore 752-755 A4</v>
      </c>
    </row>
    <row r="298" spans="1:9" x14ac:dyDescent="0.2">
      <c r="A298" s="21">
        <f t="shared" ref="A298:A307" si="117">A297+E297</f>
        <v>757</v>
      </c>
      <c r="B298" s="7">
        <f t="shared" si="114"/>
        <v>757</v>
      </c>
      <c r="C298" s="7">
        <f t="shared" si="100"/>
        <v>756</v>
      </c>
      <c r="D298" s="7">
        <f t="shared" si="101"/>
        <v>756</v>
      </c>
      <c r="E298" s="21">
        <v>1</v>
      </c>
      <c r="F298" s="27" t="s">
        <v>481</v>
      </c>
      <c r="I298" s="31" t="str">
        <f t="shared" si="116"/>
        <v>ELAReadingInformationalTextRating 756-756 A1</v>
      </c>
    </row>
    <row r="299" spans="1:9" x14ac:dyDescent="0.2">
      <c r="A299" s="21">
        <f>A298+E298</f>
        <v>758</v>
      </c>
      <c r="B299" s="7">
        <f t="shared" si="114"/>
        <v>760</v>
      </c>
      <c r="C299" s="7">
        <f t="shared" si="100"/>
        <v>757</v>
      </c>
      <c r="D299" s="7">
        <f t="shared" si="101"/>
        <v>759</v>
      </c>
      <c r="E299" s="21">
        <v>3</v>
      </c>
      <c r="F299" s="27" t="s">
        <v>527</v>
      </c>
      <c r="I299" s="31" t="str">
        <f t="shared" si="116"/>
        <v>ELAReadingInformationalTextPctCorrect 757-759 A3</v>
      </c>
    </row>
    <row r="300" spans="1:9" x14ac:dyDescent="0.2">
      <c r="A300" s="21">
        <f>A299+E299</f>
        <v>761</v>
      </c>
      <c r="B300" s="7">
        <f t="shared" si="114"/>
        <v>764</v>
      </c>
      <c r="C300" s="7">
        <f t="shared" si="100"/>
        <v>760</v>
      </c>
      <c r="D300" s="7">
        <f t="shared" si="101"/>
        <v>763</v>
      </c>
      <c r="E300" s="21">
        <v>4</v>
      </c>
      <c r="F300" s="27" t="s">
        <v>482</v>
      </c>
      <c r="I300" s="31" t="str">
        <f t="shared" si="116"/>
        <v>ELAReadingVocabularyRawScore 760-763 A4</v>
      </c>
    </row>
    <row r="301" spans="1:9" x14ac:dyDescent="0.2">
      <c r="A301" s="21">
        <f t="shared" si="117"/>
        <v>765</v>
      </c>
      <c r="B301" s="7">
        <f t="shared" si="114"/>
        <v>765</v>
      </c>
      <c r="C301" s="7">
        <f t="shared" si="100"/>
        <v>764</v>
      </c>
      <c r="D301" s="7">
        <f t="shared" si="101"/>
        <v>764</v>
      </c>
      <c r="E301" s="21">
        <v>1</v>
      </c>
      <c r="F301" s="27" t="s">
        <v>483</v>
      </c>
      <c r="I301" s="31" t="str">
        <f t="shared" si="116"/>
        <v>ELAReadingVocabularyRating 764-764 A1</v>
      </c>
    </row>
    <row r="302" spans="1:9" x14ac:dyDescent="0.2">
      <c r="A302" s="21">
        <f>A301+E301</f>
        <v>766</v>
      </c>
      <c r="B302" s="7">
        <f t="shared" si="114"/>
        <v>768</v>
      </c>
      <c r="C302" s="7">
        <f t="shared" si="100"/>
        <v>765</v>
      </c>
      <c r="D302" s="7">
        <f t="shared" si="101"/>
        <v>767</v>
      </c>
      <c r="E302" s="21">
        <v>3</v>
      </c>
      <c r="F302" s="27" t="s">
        <v>528</v>
      </c>
      <c r="I302" s="31" t="str">
        <f t="shared" si="116"/>
        <v>ELAReadingVocabularyPctCorrect 765-767 A3</v>
      </c>
    </row>
    <row r="303" spans="1:9" x14ac:dyDescent="0.2">
      <c r="A303" s="21">
        <f>A302+E302</f>
        <v>769</v>
      </c>
      <c r="B303" s="7">
        <f t="shared" si="114"/>
        <v>772</v>
      </c>
      <c r="C303" s="7">
        <f t="shared" si="100"/>
        <v>768</v>
      </c>
      <c r="D303" s="7">
        <f t="shared" si="101"/>
        <v>771</v>
      </c>
      <c r="E303" s="21">
        <v>4</v>
      </c>
      <c r="F303" s="27" t="s">
        <v>484</v>
      </c>
      <c r="I303" s="31" t="str">
        <f t="shared" si="116"/>
        <v>ELAWrittenExpressionRawScore 768-771 A4</v>
      </c>
    </row>
    <row r="304" spans="1:9" x14ac:dyDescent="0.2">
      <c r="A304" s="21">
        <f t="shared" si="117"/>
        <v>773</v>
      </c>
      <c r="B304" s="7">
        <f t="shared" si="114"/>
        <v>773</v>
      </c>
      <c r="C304" s="7">
        <f t="shared" si="100"/>
        <v>772</v>
      </c>
      <c r="D304" s="7">
        <f t="shared" si="101"/>
        <v>772</v>
      </c>
      <c r="E304" s="21">
        <v>1</v>
      </c>
      <c r="F304" s="27" t="s">
        <v>485</v>
      </c>
      <c r="I304" s="31" t="str">
        <f t="shared" si="116"/>
        <v>ELAWrittenExpressionRating 772-772 A1</v>
      </c>
    </row>
    <row r="305" spans="1:9" x14ac:dyDescent="0.2">
      <c r="A305" s="21">
        <f>A304+E304</f>
        <v>774</v>
      </c>
      <c r="B305" s="7">
        <f t="shared" si="114"/>
        <v>776</v>
      </c>
      <c r="C305" s="7">
        <f t="shared" si="100"/>
        <v>773</v>
      </c>
      <c r="D305" s="7">
        <f t="shared" si="101"/>
        <v>775</v>
      </c>
      <c r="E305" s="21">
        <v>3</v>
      </c>
      <c r="F305" s="27" t="s">
        <v>529</v>
      </c>
      <c r="I305" s="31" t="str">
        <f t="shared" si="116"/>
        <v>ELAWrittenExpressionPctCorrect 773-775 A3</v>
      </c>
    </row>
    <row r="306" spans="1:9" x14ac:dyDescent="0.2">
      <c r="A306" s="21">
        <f>A305+E305</f>
        <v>777</v>
      </c>
      <c r="B306" s="7">
        <f t="shared" si="114"/>
        <v>780</v>
      </c>
      <c r="C306" s="7">
        <f t="shared" si="100"/>
        <v>776</v>
      </c>
      <c r="D306" s="7">
        <f t="shared" si="101"/>
        <v>779</v>
      </c>
      <c r="E306" s="21">
        <v>4</v>
      </c>
      <c r="F306" s="27" t="s">
        <v>518</v>
      </c>
      <c r="I306" s="31" t="str">
        <f t="shared" si="116"/>
        <v>ELAKnowledgeUseofLanguageConventionsRawScore 776-779 A4</v>
      </c>
    </row>
    <row r="307" spans="1:9" x14ac:dyDescent="0.2">
      <c r="A307" s="21">
        <f t="shared" si="117"/>
        <v>781</v>
      </c>
      <c r="B307" s="7">
        <f t="shared" si="114"/>
        <v>781</v>
      </c>
      <c r="C307" s="7">
        <f t="shared" si="100"/>
        <v>780</v>
      </c>
      <c r="D307" s="7">
        <f t="shared" si="101"/>
        <v>780</v>
      </c>
      <c r="E307" s="21">
        <v>1</v>
      </c>
      <c r="F307" s="27" t="s">
        <v>519</v>
      </c>
      <c r="I307" s="31" t="str">
        <f t="shared" si="116"/>
        <v>ELAKnowledgeUseofLanguageConventionsRating 780-780 A1</v>
      </c>
    </row>
    <row r="308" spans="1:9" ht="25.5" x14ac:dyDescent="0.2">
      <c r="A308" s="21">
        <f>A307+E307</f>
        <v>782</v>
      </c>
      <c r="B308" s="7">
        <f t="shared" si="114"/>
        <v>784</v>
      </c>
      <c r="C308" s="7">
        <f t="shared" si="100"/>
        <v>781</v>
      </c>
      <c r="D308" s="7">
        <f t="shared" si="101"/>
        <v>783</v>
      </c>
      <c r="E308" s="21">
        <v>3</v>
      </c>
      <c r="F308" s="27" t="s">
        <v>530</v>
      </c>
      <c r="I308" s="31" t="str">
        <f t="shared" si="116"/>
        <v>ELAKnowledgeUseofLanguageConventionsPctCorrect 781-783 A3</v>
      </c>
    </row>
    <row r="309" spans="1:9" x14ac:dyDescent="0.2">
      <c r="A309" s="21">
        <f>A308+E308</f>
        <v>785</v>
      </c>
      <c r="B309" s="7">
        <f t="shared" si="114"/>
        <v>804</v>
      </c>
      <c r="C309" s="7">
        <f t="shared" si="100"/>
        <v>784</v>
      </c>
      <c r="D309" s="7">
        <f t="shared" si="101"/>
        <v>803</v>
      </c>
      <c r="E309" s="21">
        <v>20</v>
      </c>
      <c r="F309" s="25" t="str">
        <f>CONCATENATE(H309,G309)</f>
        <v>FILLER37</v>
      </c>
      <c r="G309" s="31">
        <v>37</v>
      </c>
      <c r="H309" s="25" t="s">
        <v>64</v>
      </c>
      <c r="I309" s="31" t="str">
        <f t="shared" ref="I294:I309" si="118">CONCATENATE(F309," ",C309,"-",D309," A",E309)</f>
        <v>FILLER37 784-803 A20</v>
      </c>
    </row>
    <row r="310" spans="1:9" x14ac:dyDescent="0.2">
      <c r="C310" s="7"/>
      <c r="D310" s="7"/>
      <c r="F310" s="28" t="s">
        <v>49</v>
      </c>
    </row>
    <row r="311" spans="1:9" x14ac:dyDescent="0.2">
      <c r="A311" s="21">
        <f>A309+E309</f>
        <v>805</v>
      </c>
      <c r="B311" s="7">
        <f t="shared" ref="B311:B317" si="119">A311+E311-1</f>
        <v>808</v>
      </c>
      <c r="C311" s="7">
        <f t="shared" si="100"/>
        <v>804</v>
      </c>
      <c r="D311" s="7">
        <f t="shared" si="101"/>
        <v>807</v>
      </c>
      <c r="E311" s="21">
        <v>4</v>
      </c>
      <c r="F311" s="27" t="s">
        <v>486</v>
      </c>
      <c r="I311" s="31" t="str">
        <f t="shared" ref="I311:I317" si="120">CONCATENATE(F311," ",C311,"-",D311," A",E311)</f>
        <v>ReadingRawScore 804-807 A4</v>
      </c>
    </row>
    <row r="312" spans="1:9" x14ac:dyDescent="0.2">
      <c r="A312" s="21">
        <f t="shared" ref="A312" si="121">A311+E311</f>
        <v>809</v>
      </c>
      <c r="B312" s="7">
        <f t="shared" si="119"/>
        <v>809</v>
      </c>
      <c r="C312" s="7">
        <f t="shared" si="100"/>
        <v>808</v>
      </c>
      <c r="D312" s="7">
        <f t="shared" si="101"/>
        <v>808</v>
      </c>
      <c r="E312" s="21">
        <v>1</v>
      </c>
      <c r="F312" s="27" t="s">
        <v>487</v>
      </c>
      <c r="I312" s="31" t="str">
        <f t="shared" si="120"/>
        <v>ReadingRating 808-808 A1</v>
      </c>
    </row>
    <row r="313" spans="1:9" x14ac:dyDescent="0.2">
      <c r="A313" s="21">
        <f>A312+E312</f>
        <v>810</v>
      </c>
      <c r="B313" s="7">
        <f t="shared" si="119"/>
        <v>812</v>
      </c>
      <c r="C313" s="7">
        <f t="shared" si="100"/>
        <v>809</v>
      </c>
      <c r="D313" s="7">
        <f t="shared" si="101"/>
        <v>811</v>
      </c>
      <c r="E313" s="21">
        <v>3</v>
      </c>
      <c r="F313" s="27" t="s">
        <v>531</v>
      </c>
      <c r="I313" s="31" t="str">
        <f t="shared" si="120"/>
        <v>ReadingPctCorrect 809-811 A3</v>
      </c>
    </row>
    <row r="314" spans="1:9" x14ac:dyDescent="0.2">
      <c r="A314" s="21">
        <f>A313+E313</f>
        <v>813</v>
      </c>
      <c r="B314" s="7">
        <f t="shared" si="119"/>
        <v>816</v>
      </c>
      <c r="C314" s="7">
        <f t="shared" si="100"/>
        <v>812</v>
      </c>
      <c r="D314" s="7">
        <f t="shared" si="101"/>
        <v>815</v>
      </c>
      <c r="E314" s="21">
        <v>4</v>
      </c>
      <c r="F314" s="27" t="s">
        <v>488</v>
      </c>
      <c r="I314" s="31" t="str">
        <f t="shared" si="120"/>
        <v>WritingRawScore 812-815 A4</v>
      </c>
    </row>
    <row r="315" spans="1:9" x14ac:dyDescent="0.2">
      <c r="A315" s="21">
        <f t="shared" ref="A315" si="122">A314+E314</f>
        <v>817</v>
      </c>
      <c r="B315" s="7">
        <f t="shared" si="119"/>
        <v>817</v>
      </c>
      <c r="C315" s="7">
        <f t="shared" si="100"/>
        <v>816</v>
      </c>
      <c r="D315" s="7">
        <f t="shared" si="101"/>
        <v>816</v>
      </c>
      <c r="E315" s="21">
        <v>1</v>
      </c>
      <c r="F315" s="27" t="s">
        <v>489</v>
      </c>
      <c r="I315" s="31" t="str">
        <f t="shared" si="120"/>
        <v>WritingRating 816-816 A1</v>
      </c>
    </row>
    <row r="316" spans="1:9" x14ac:dyDescent="0.2">
      <c r="A316" s="21">
        <f>A315+E315</f>
        <v>818</v>
      </c>
      <c r="B316" s="7">
        <f t="shared" si="119"/>
        <v>820</v>
      </c>
      <c r="C316" s="7">
        <f t="shared" si="100"/>
        <v>817</v>
      </c>
      <c r="D316" s="7">
        <f t="shared" si="101"/>
        <v>819</v>
      </c>
      <c r="E316" s="21">
        <v>3</v>
      </c>
      <c r="F316" s="27" t="s">
        <v>532</v>
      </c>
      <c r="I316" s="31" t="str">
        <f t="shared" si="120"/>
        <v>WritingPctCorrect 817-819 A3</v>
      </c>
    </row>
    <row r="317" spans="1:9" x14ac:dyDescent="0.2">
      <c r="A317" s="21">
        <f>A316+E316</f>
        <v>821</v>
      </c>
      <c r="B317" s="7">
        <f t="shared" si="119"/>
        <v>856</v>
      </c>
      <c r="C317" s="7">
        <f t="shared" si="100"/>
        <v>820</v>
      </c>
      <c r="D317" s="7">
        <f t="shared" si="101"/>
        <v>855</v>
      </c>
      <c r="E317" s="21">
        <v>36</v>
      </c>
      <c r="F317" s="25" t="str">
        <f>CONCATENATE(H317,G317)</f>
        <v>FILLER38</v>
      </c>
      <c r="G317" s="31">
        <v>38</v>
      </c>
      <c r="H317" s="25" t="s">
        <v>64</v>
      </c>
      <c r="I317" s="31" t="str">
        <f t="shared" si="120"/>
        <v>FILLER38 820-855 A36</v>
      </c>
    </row>
    <row r="318" spans="1:9" x14ac:dyDescent="0.2">
      <c r="C318" s="7"/>
      <c r="D318" s="7"/>
      <c r="F318" s="28" t="s">
        <v>557</v>
      </c>
    </row>
    <row r="319" spans="1:9" x14ac:dyDescent="0.2">
      <c r="A319" s="21">
        <f>A317+E317</f>
        <v>857</v>
      </c>
      <c r="B319" s="7">
        <f t="shared" ref="B319:B321" si="123">A319+E319-1</f>
        <v>861</v>
      </c>
      <c r="C319" s="7">
        <f t="shared" si="100"/>
        <v>856</v>
      </c>
      <c r="D319" s="7">
        <f t="shared" si="101"/>
        <v>860</v>
      </c>
      <c r="E319" s="21">
        <v>5</v>
      </c>
      <c r="F319" s="27" t="s">
        <v>558</v>
      </c>
      <c r="I319" s="31" t="str">
        <f>CONCATENATE("MTHRawScoreTotal"," ",C319,"-",D319," A",E319)</f>
        <v>MTHRawScoreTotal 856-860 A5</v>
      </c>
    </row>
    <row r="320" spans="1:9" x14ac:dyDescent="0.2">
      <c r="A320" s="21">
        <f t="shared" ref="A320:A321" si="124">A319+E319</f>
        <v>862</v>
      </c>
      <c r="B320" s="7">
        <f t="shared" si="123"/>
        <v>864</v>
      </c>
      <c r="C320" s="7">
        <f t="shared" si="100"/>
        <v>861</v>
      </c>
      <c r="D320" s="7">
        <f t="shared" si="101"/>
        <v>863</v>
      </c>
      <c r="E320" s="21">
        <v>3</v>
      </c>
      <c r="F320" s="27" t="s">
        <v>559</v>
      </c>
      <c r="I320" s="31" t="str">
        <f>CONCATENATE("MTHSS ",C320,"-",D320," A",E320)</f>
        <v>MTHSS 861-863 A3</v>
      </c>
    </row>
    <row r="321" spans="1:9" x14ac:dyDescent="0.2">
      <c r="A321" s="21">
        <f t="shared" si="124"/>
        <v>865</v>
      </c>
      <c r="B321" s="7">
        <f t="shared" si="123"/>
        <v>867</v>
      </c>
      <c r="C321" s="7">
        <f t="shared" si="100"/>
        <v>864</v>
      </c>
      <c r="D321" s="7">
        <f t="shared" si="101"/>
        <v>866</v>
      </c>
      <c r="E321" s="21">
        <v>3</v>
      </c>
      <c r="F321" s="27" t="s">
        <v>560</v>
      </c>
      <c r="I321" s="31" t="str">
        <f>CONCATENATE("MTHLVL ",C321,"-",D321," A",E321)</f>
        <v>MTHLVL 864-866 A3</v>
      </c>
    </row>
    <row r="322" spans="1:9" x14ac:dyDescent="0.2">
      <c r="C322" s="7"/>
      <c r="D322" s="7"/>
      <c r="F322" s="28" t="s">
        <v>48</v>
      </c>
    </row>
    <row r="323" spans="1:9" x14ac:dyDescent="0.2">
      <c r="A323" s="21">
        <f>A321+E321</f>
        <v>868</v>
      </c>
      <c r="B323" s="7">
        <f t="shared" ref="B323:B334" si="125">A323+E323-1</f>
        <v>871</v>
      </c>
      <c r="C323" s="7">
        <f t="shared" si="100"/>
        <v>867</v>
      </c>
      <c r="D323" s="7">
        <f t="shared" si="101"/>
        <v>870</v>
      </c>
      <c r="E323" s="21">
        <v>4</v>
      </c>
      <c r="F323" s="27" t="s">
        <v>490</v>
      </c>
      <c r="I323" s="31" t="str">
        <f>CONCATENATE("MTH",F323," ",C323,"-",D323," A",E323)</f>
        <v>MTHMajorContentRawScore 867-870 A4</v>
      </c>
    </row>
    <row r="324" spans="1:9" x14ac:dyDescent="0.2">
      <c r="A324" s="21">
        <f t="shared" ref="A324" si="126">A323+E323</f>
        <v>872</v>
      </c>
      <c r="B324" s="7">
        <f t="shared" si="125"/>
        <v>872</v>
      </c>
      <c r="C324" s="7">
        <f t="shared" si="100"/>
        <v>871</v>
      </c>
      <c r="D324" s="7">
        <f t="shared" si="101"/>
        <v>871</v>
      </c>
      <c r="E324" s="21">
        <v>1</v>
      </c>
      <c r="F324" s="27" t="s">
        <v>491</v>
      </c>
      <c r="I324" s="31" t="str">
        <f t="shared" ref="I324:I347" si="127">CONCATENATE("MTH",F324," ",C324,"-",D324," A",E324)</f>
        <v>MTHMajorContentRating 871-871 A1</v>
      </c>
    </row>
    <row r="325" spans="1:9" x14ac:dyDescent="0.2">
      <c r="A325" s="21">
        <f>A324+E324</f>
        <v>873</v>
      </c>
      <c r="B325" s="7">
        <f t="shared" si="125"/>
        <v>875</v>
      </c>
      <c r="C325" s="7">
        <f t="shared" ref="C325:C388" si="128">A325-1</f>
        <v>872</v>
      </c>
      <c r="D325" s="7">
        <f t="shared" ref="D325:D388" si="129">B325-1</f>
        <v>874</v>
      </c>
      <c r="E325" s="21">
        <v>3</v>
      </c>
      <c r="F325" s="27" t="s">
        <v>533</v>
      </c>
      <c r="I325" s="31" t="str">
        <f t="shared" si="127"/>
        <v>MTHMajorContentPctCorrect 872-874 A3</v>
      </c>
    </row>
    <row r="326" spans="1:9" x14ac:dyDescent="0.2">
      <c r="A326" s="21">
        <f>A325+E325</f>
        <v>876</v>
      </c>
      <c r="B326" s="7">
        <f t="shared" si="125"/>
        <v>879</v>
      </c>
      <c r="C326" s="7">
        <f t="shared" si="128"/>
        <v>875</v>
      </c>
      <c r="D326" s="7">
        <f t="shared" si="129"/>
        <v>878</v>
      </c>
      <c r="E326" s="21">
        <v>4</v>
      </c>
      <c r="F326" s="27" t="s">
        <v>550</v>
      </c>
      <c r="I326" s="31" t="str">
        <f t="shared" si="127"/>
        <v>MTHAddSupportContentRawScore 875-878 A4</v>
      </c>
    </row>
    <row r="327" spans="1:9" x14ac:dyDescent="0.2">
      <c r="A327" s="21">
        <f t="shared" ref="A327:A333" si="130">A326+E326</f>
        <v>880</v>
      </c>
      <c r="B327" s="7">
        <f t="shared" si="125"/>
        <v>880</v>
      </c>
      <c r="C327" s="7">
        <f t="shared" si="128"/>
        <v>879</v>
      </c>
      <c r="D327" s="7">
        <f t="shared" si="129"/>
        <v>879</v>
      </c>
      <c r="E327" s="21">
        <v>1</v>
      </c>
      <c r="F327" s="27" t="s">
        <v>551</v>
      </c>
      <c r="I327" s="31" t="str">
        <f t="shared" si="127"/>
        <v>MTHAddSupportContentRating 879-879 A1</v>
      </c>
    </row>
    <row r="328" spans="1:9" x14ac:dyDescent="0.2">
      <c r="A328" s="21">
        <f>A327+E327</f>
        <v>881</v>
      </c>
      <c r="B328" s="7">
        <f t="shared" si="125"/>
        <v>883</v>
      </c>
      <c r="C328" s="7">
        <f t="shared" si="128"/>
        <v>880</v>
      </c>
      <c r="D328" s="7">
        <f t="shared" si="129"/>
        <v>882</v>
      </c>
      <c r="E328" s="21">
        <v>3</v>
      </c>
      <c r="F328" s="27" t="s">
        <v>552</v>
      </c>
      <c r="I328" s="31" t="str">
        <f t="shared" si="127"/>
        <v>MTHAddSupportContentPctCorrect 880-882 A3</v>
      </c>
    </row>
    <row r="329" spans="1:9" x14ac:dyDescent="0.2">
      <c r="A329" s="21">
        <f>A328+E328</f>
        <v>884</v>
      </c>
      <c r="B329" s="7">
        <f t="shared" si="125"/>
        <v>887</v>
      </c>
      <c r="C329" s="7">
        <f t="shared" si="128"/>
        <v>883</v>
      </c>
      <c r="D329" s="7">
        <f t="shared" si="129"/>
        <v>886</v>
      </c>
      <c r="E329" s="21">
        <v>4</v>
      </c>
      <c r="F329" s="27" t="s">
        <v>561</v>
      </c>
      <c r="I329" s="31" t="str">
        <f t="shared" si="127"/>
        <v>MTHExpressingMTHematicalReasonRawScore 883-886 A4</v>
      </c>
    </row>
    <row r="330" spans="1:9" x14ac:dyDescent="0.2">
      <c r="A330" s="21">
        <f t="shared" si="130"/>
        <v>888</v>
      </c>
      <c r="B330" s="7">
        <f t="shared" si="125"/>
        <v>888</v>
      </c>
      <c r="C330" s="7">
        <f t="shared" si="128"/>
        <v>887</v>
      </c>
      <c r="D330" s="7">
        <f t="shared" si="129"/>
        <v>887</v>
      </c>
      <c r="E330" s="21">
        <v>1</v>
      </c>
      <c r="F330" s="27" t="s">
        <v>562</v>
      </c>
      <c r="I330" s="31" t="str">
        <f t="shared" si="127"/>
        <v>MTHExpressingMTHematicalReasonRating 887-887 A1</v>
      </c>
    </row>
    <row r="331" spans="1:9" x14ac:dyDescent="0.2">
      <c r="A331" s="21">
        <f>A330+E330</f>
        <v>889</v>
      </c>
      <c r="B331" s="7">
        <f t="shared" si="125"/>
        <v>891</v>
      </c>
      <c r="C331" s="7">
        <f t="shared" si="128"/>
        <v>888</v>
      </c>
      <c r="D331" s="7">
        <f t="shared" si="129"/>
        <v>890</v>
      </c>
      <c r="E331" s="21">
        <v>3</v>
      </c>
      <c r="F331" s="27" t="s">
        <v>563</v>
      </c>
      <c r="I331" s="31" t="str">
        <f t="shared" si="127"/>
        <v>MTHExpressingMTHematicalReasonPctCorrect 888-890 A3</v>
      </c>
    </row>
    <row r="332" spans="1:9" x14ac:dyDescent="0.2">
      <c r="A332" s="21">
        <f>A331+E331</f>
        <v>892</v>
      </c>
      <c r="B332" s="7">
        <f t="shared" si="125"/>
        <v>895</v>
      </c>
      <c r="C332" s="7">
        <f t="shared" si="128"/>
        <v>891</v>
      </c>
      <c r="D332" s="7">
        <f t="shared" si="129"/>
        <v>894</v>
      </c>
      <c r="E332" s="21">
        <v>4</v>
      </c>
      <c r="F332" s="27" t="s">
        <v>553</v>
      </c>
      <c r="I332" s="31" t="str">
        <f t="shared" si="127"/>
        <v>MTHModelingApplicRawScore 891-894 A4</v>
      </c>
    </row>
    <row r="333" spans="1:9" x14ac:dyDescent="0.2">
      <c r="A333" s="21">
        <f t="shared" si="130"/>
        <v>896</v>
      </c>
      <c r="B333" s="7">
        <f t="shared" si="125"/>
        <v>896</v>
      </c>
      <c r="C333" s="7">
        <f t="shared" si="128"/>
        <v>895</v>
      </c>
      <c r="D333" s="7">
        <f t="shared" si="129"/>
        <v>895</v>
      </c>
      <c r="E333" s="21">
        <v>1</v>
      </c>
      <c r="F333" s="27" t="s">
        <v>554</v>
      </c>
      <c r="I333" s="31" t="str">
        <f t="shared" si="127"/>
        <v>MTHModelingApplicRating 895-895 A1</v>
      </c>
    </row>
    <row r="334" spans="1:9" ht="65.25" customHeight="1" x14ac:dyDescent="0.2">
      <c r="A334" s="21">
        <f>A333+E333</f>
        <v>897</v>
      </c>
      <c r="B334" s="7">
        <f t="shared" si="125"/>
        <v>899</v>
      </c>
      <c r="C334" s="7">
        <f t="shared" si="128"/>
        <v>896</v>
      </c>
      <c r="D334" s="7">
        <f t="shared" si="129"/>
        <v>898</v>
      </c>
      <c r="E334" s="21">
        <v>3</v>
      </c>
      <c r="F334" s="27" t="s">
        <v>555</v>
      </c>
      <c r="I334" s="31" t="str">
        <f t="shared" si="127"/>
        <v>MTHModelingApplicPctCorrect 896-898 A3</v>
      </c>
    </row>
    <row r="335" spans="1:9" x14ac:dyDescent="0.2">
      <c r="B335" s="7"/>
      <c r="C335" s="7"/>
      <c r="D335" s="7"/>
      <c r="F335" s="30" t="s">
        <v>351</v>
      </c>
    </row>
    <row r="336" spans="1:9" x14ac:dyDescent="0.2">
      <c r="A336" s="21">
        <f>A334+E334</f>
        <v>900</v>
      </c>
      <c r="B336" s="7">
        <f t="shared" ref="B336:B348" si="131">A336+E336-1</f>
        <v>901</v>
      </c>
      <c r="C336" s="7">
        <f t="shared" si="128"/>
        <v>899</v>
      </c>
      <c r="D336" s="7">
        <f t="shared" si="129"/>
        <v>900</v>
      </c>
      <c r="E336" s="21">
        <v>2</v>
      </c>
      <c r="F336" s="27" t="s">
        <v>538</v>
      </c>
      <c r="I336" s="31" t="str">
        <f t="shared" si="127"/>
        <v>MTHMajorContentSubcat1RawScore 899-900 A2</v>
      </c>
    </row>
    <row r="337" spans="1:9" x14ac:dyDescent="0.2">
      <c r="A337" s="21">
        <f t="shared" ref="A337:A347" si="132">A336+E336</f>
        <v>902</v>
      </c>
      <c r="B337" s="7">
        <f t="shared" si="131"/>
        <v>902</v>
      </c>
      <c r="C337" s="7">
        <f t="shared" si="128"/>
        <v>901</v>
      </c>
      <c r="D337" s="7">
        <f t="shared" si="129"/>
        <v>901</v>
      </c>
      <c r="E337" s="21">
        <v>1</v>
      </c>
      <c r="F337" s="27" t="s">
        <v>539</v>
      </c>
      <c r="I337" s="31" t="str">
        <f t="shared" si="127"/>
        <v>MTHMajorContentSubcat1Rating 901-901 A1</v>
      </c>
    </row>
    <row r="338" spans="1:9" x14ac:dyDescent="0.2">
      <c r="A338" s="21">
        <f t="shared" si="132"/>
        <v>903</v>
      </c>
      <c r="B338" s="7">
        <f t="shared" si="131"/>
        <v>905</v>
      </c>
      <c r="C338" s="7">
        <f t="shared" si="128"/>
        <v>902</v>
      </c>
      <c r="D338" s="7">
        <f t="shared" si="129"/>
        <v>904</v>
      </c>
      <c r="E338" s="21">
        <v>3</v>
      </c>
      <c r="F338" s="27" t="s">
        <v>540</v>
      </c>
      <c r="I338" s="31" t="str">
        <f t="shared" si="127"/>
        <v>MTHMajorContentSubcat1PctCorrect 902-904 A3</v>
      </c>
    </row>
    <row r="339" spans="1:9" x14ac:dyDescent="0.2">
      <c r="A339" s="21">
        <f t="shared" si="132"/>
        <v>906</v>
      </c>
      <c r="B339" s="7">
        <f t="shared" si="131"/>
        <v>907</v>
      </c>
      <c r="C339" s="7">
        <f t="shared" si="128"/>
        <v>905</v>
      </c>
      <c r="D339" s="7">
        <f t="shared" si="129"/>
        <v>906</v>
      </c>
      <c r="E339" s="21">
        <v>2</v>
      </c>
      <c r="F339" s="27" t="s">
        <v>541</v>
      </c>
      <c r="I339" s="31" t="str">
        <f t="shared" si="127"/>
        <v>MTHMajorContentSubcat2RawScore 905-906 A2</v>
      </c>
    </row>
    <row r="340" spans="1:9" x14ac:dyDescent="0.2">
      <c r="A340" s="21">
        <f t="shared" si="132"/>
        <v>908</v>
      </c>
      <c r="B340" s="7">
        <f t="shared" si="131"/>
        <v>908</v>
      </c>
      <c r="C340" s="7">
        <f t="shared" si="128"/>
        <v>907</v>
      </c>
      <c r="D340" s="7">
        <f t="shared" si="129"/>
        <v>907</v>
      </c>
      <c r="E340" s="21">
        <v>1</v>
      </c>
      <c r="F340" s="27" t="s">
        <v>542</v>
      </c>
      <c r="I340" s="31" t="str">
        <f t="shared" si="127"/>
        <v>MTHMajorContentSubcat2Rating 907-907 A1</v>
      </c>
    </row>
    <row r="341" spans="1:9" x14ac:dyDescent="0.2">
      <c r="A341" s="21">
        <f t="shared" si="132"/>
        <v>909</v>
      </c>
      <c r="B341" s="7">
        <f t="shared" si="131"/>
        <v>911</v>
      </c>
      <c r="C341" s="7">
        <f t="shared" si="128"/>
        <v>908</v>
      </c>
      <c r="D341" s="7">
        <f t="shared" si="129"/>
        <v>910</v>
      </c>
      <c r="E341" s="21">
        <v>3</v>
      </c>
      <c r="F341" s="27" t="s">
        <v>543</v>
      </c>
      <c r="I341" s="31" t="str">
        <f t="shared" si="127"/>
        <v>MTHMajorContentSubcat2PctCorrect 908-910 A3</v>
      </c>
    </row>
    <row r="342" spans="1:9" x14ac:dyDescent="0.2">
      <c r="A342" s="21">
        <f t="shared" si="132"/>
        <v>912</v>
      </c>
      <c r="B342" s="7">
        <f t="shared" si="131"/>
        <v>913</v>
      </c>
      <c r="C342" s="7">
        <f t="shared" si="128"/>
        <v>911</v>
      </c>
      <c r="D342" s="7">
        <f t="shared" si="129"/>
        <v>912</v>
      </c>
      <c r="E342" s="21">
        <v>2</v>
      </c>
      <c r="F342" s="27" t="s">
        <v>544</v>
      </c>
      <c r="I342" s="31" t="str">
        <f t="shared" si="127"/>
        <v>MTHMajorContentSubcat3RawScore 911-912 A2</v>
      </c>
    </row>
    <row r="343" spans="1:9" x14ac:dyDescent="0.2">
      <c r="A343" s="21">
        <f t="shared" si="132"/>
        <v>914</v>
      </c>
      <c r="B343" s="7">
        <f t="shared" si="131"/>
        <v>914</v>
      </c>
      <c r="C343" s="7">
        <f t="shared" si="128"/>
        <v>913</v>
      </c>
      <c r="D343" s="7">
        <f t="shared" si="129"/>
        <v>913</v>
      </c>
      <c r="E343" s="21">
        <v>1</v>
      </c>
      <c r="F343" s="27" t="s">
        <v>545</v>
      </c>
      <c r="I343" s="31" t="str">
        <f t="shared" si="127"/>
        <v>MTHMajorContentSubcat3Rating 913-913 A1</v>
      </c>
    </row>
    <row r="344" spans="1:9" x14ac:dyDescent="0.2">
      <c r="A344" s="21">
        <f t="shared" si="132"/>
        <v>915</v>
      </c>
      <c r="B344" s="7">
        <f t="shared" si="131"/>
        <v>917</v>
      </c>
      <c r="C344" s="7">
        <f t="shared" si="128"/>
        <v>914</v>
      </c>
      <c r="D344" s="7">
        <f t="shared" si="129"/>
        <v>916</v>
      </c>
      <c r="E344" s="21">
        <v>3</v>
      </c>
      <c r="F344" s="27" t="s">
        <v>546</v>
      </c>
      <c r="I344" s="31" t="str">
        <f t="shared" si="127"/>
        <v>MTHMajorContentSubcat3PctCorrect 914-916 A3</v>
      </c>
    </row>
    <row r="345" spans="1:9" x14ac:dyDescent="0.2">
      <c r="A345" s="21">
        <f t="shared" si="132"/>
        <v>918</v>
      </c>
      <c r="B345" s="7">
        <f t="shared" si="131"/>
        <v>919</v>
      </c>
      <c r="C345" s="7">
        <f t="shared" si="128"/>
        <v>917</v>
      </c>
      <c r="D345" s="7">
        <f t="shared" si="129"/>
        <v>918</v>
      </c>
      <c r="E345" s="21">
        <v>2</v>
      </c>
      <c r="F345" s="27" t="s">
        <v>547</v>
      </c>
      <c r="I345" s="31" t="str">
        <f t="shared" si="127"/>
        <v>MTHMajorContentSubcat4RawScore 917-918 A2</v>
      </c>
    </row>
    <row r="346" spans="1:9" x14ac:dyDescent="0.2">
      <c r="A346" s="21">
        <f t="shared" si="132"/>
        <v>920</v>
      </c>
      <c r="B346" s="7">
        <f t="shared" si="131"/>
        <v>920</v>
      </c>
      <c r="C346" s="7">
        <f t="shared" si="128"/>
        <v>919</v>
      </c>
      <c r="D346" s="7">
        <f t="shared" si="129"/>
        <v>919</v>
      </c>
      <c r="E346" s="21">
        <v>1</v>
      </c>
      <c r="F346" s="27" t="s">
        <v>548</v>
      </c>
      <c r="I346" s="31" t="str">
        <f t="shared" si="127"/>
        <v>MTHMajorContentSubcat4Rating 919-919 A1</v>
      </c>
    </row>
    <row r="347" spans="1:9" ht="101.25" customHeight="1" x14ac:dyDescent="0.2">
      <c r="A347" s="21">
        <f t="shared" si="132"/>
        <v>921</v>
      </c>
      <c r="B347" s="7">
        <f t="shared" si="131"/>
        <v>923</v>
      </c>
      <c r="C347" s="7">
        <f t="shared" si="128"/>
        <v>920</v>
      </c>
      <c r="D347" s="7">
        <f t="shared" si="129"/>
        <v>922</v>
      </c>
      <c r="E347" s="21">
        <v>3</v>
      </c>
      <c r="F347" s="27" t="s">
        <v>549</v>
      </c>
      <c r="I347" s="31" t="str">
        <f t="shared" si="127"/>
        <v>MTHMajorContentSubcat4PctCorrect 920-922 A3</v>
      </c>
    </row>
    <row r="348" spans="1:9" x14ac:dyDescent="0.2">
      <c r="A348" s="21">
        <f>A347+E347</f>
        <v>924</v>
      </c>
      <c r="B348" s="7">
        <f t="shared" si="131"/>
        <v>935</v>
      </c>
      <c r="C348" s="7">
        <f t="shared" si="128"/>
        <v>923</v>
      </c>
      <c r="D348" s="7">
        <f t="shared" si="129"/>
        <v>934</v>
      </c>
      <c r="E348" s="21">
        <v>12</v>
      </c>
      <c r="F348" s="25" t="str">
        <f>CONCATENATE(H348,G348)</f>
        <v>FILLER39</v>
      </c>
      <c r="G348" s="31">
        <v>39</v>
      </c>
      <c r="H348" s="25" t="s">
        <v>64</v>
      </c>
      <c r="I348" s="31" t="str">
        <f t="shared" ref="I336:I348" si="133">CONCATENATE(F348," ",C348,"-",D348," A",E348)</f>
        <v>FILLER39 923-934 A12</v>
      </c>
    </row>
    <row r="349" spans="1:9" x14ac:dyDescent="0.2">
      <c r="C349" s="7"/>
      <c r="D349" s="7"/>
      <c r="F349" s="28" t="s">
        <v>572</v>
      </c>
    </row>
    <row r="350" spans="1:9" x14ac:dyDescent="0.2">
      <c r="A350" s="21">
        <f>A348+E348</f>
        <v>936</v>
      </c>
      <c r="B350" s="7">
        <f t="shared" ref="B350:B353" si="134">A350+E350-1</f>
        <v>940</v>
      </c>
      <c r="C350" s="7">
        <f t="shared" si="128"/>
        <v>935</v>
      </c>
      <c r="D350" s="7">
        <f t="shared" si="129"/>
        <v>939</v>
      </c>
      <c r="E350" s="21">
        <v>5</v>
      </c>
      <c r="F350" s="4" t="s">
        <v>573</v>
      </c>
      <c r="I350" s="31" t="str">
        <f>CONCATENATE("SCIRawScoreTotal ",C350,"-",D350," A",E350)</f>
        <v>SCIRawScoreTotal 935-939 A5</v>
      </c>
    </row>
    <row r="351" spans="1:9" x14ac:dyDescent="0.2">
      <c r="A351" s="21">
        <f t="shared" ref="A351:A352" si="135">A350+E350</f>
        <v>941</v>
      </c>
      <c r="B351" s="7">
        <f t="shared" si="134"/>
        <v>943</v>
      </c>
      <c r="C351" s="7">
        <f t="shared" si="128"/>
        <v>940</v>
      </c>
      <c r="D351" s="7">
        <f t="shared" si="129"/>
        <v>942</v>
      </c>
      <c r="E351" s="21">
        <v>3</v>
      </c>
      <c r="F351" s="4" t="s">
        <v>574</v>
      </c>
      <c r="I351" s="31" t="str">
        <f>CONCATENATE("SCISS ",C351,"-",D351," A",E351)</f>
        <v>SCISS 940-942 A3</v>
      </c>
    </row>
    <row r="352" spans="1:9" x14ac:dyDescent="0.2">
      <c r="A352" s="21">
        <f t="shared" si="135"/>
        <v>944</v>
      </c>
      <c r="B352" s="7">
        <f t="shared" si="134"/>
        <v>946</v>
      </c>
      <c r="C352" s="7">
        <f t="shared" si="128"/>
        <v>943</v>
      </c>
      <c r="D352" s="7">
        <f t="shared" si="129"/>
        <v>945</v>
      </c>
      <c r="E352" s="21">
        <v>3</v>
      </c>
      <c r="F352" s="4" t="s">
        <v>575</v>
      </c>
      <c r="I352" s="31" t="str">
        <f>CONCATENATE("SCILVL ",C352,"-",D352," A",E352)</f>
        <v>SCILVL 943-945 A3</v>
      </c>
    </row>
    <row r="353" spans="1:9" x14ac:dyDescent="0.2">
      <c r="A353" s="21">
        <f>A352+E352</f>
        <v>947</v>
      </c>
      <c r="B353" s="7">
        <f t="shared" si="134"/>
        <v>1056</v>
      </c>
      <c r="C353" s="7">
        <f t="shared" si="128"/>
        <v>946</v>
      </c>
      <c r="D353" s="7">
        <f t="shared" si="129"/>
        <v>1055</v>
      </c>
      <c r="E353" s="10">
        <v>110</v>
      </c>
      <c r="F353" s="25" t="str">
        <f>CONCATENATE(H353,G353)</f>
        <v>FILLER40</v>
      </c>
      <c r="G353" s="31">
        <v>40</v>
      </c>
      <c r="H353" s="25" t="s">
        <v>64</v>
      </c>
      <c r="I353" s="31" t="str">
        <f t="shared" ref="I350:I353" si="136">CONCATENATE(F353," ",C353,"-",D353," A",E353)</f>
        <v>FILLER40 946-1055 A110</v>
      </c>
    </row>
    <row r="354" spans="1:9" x14ac:dyDescent="0.2">
      <c r="C354" s="7"/>
      <c r="D354" s="7"/>
      <c r="F354" s="28" t="s">
        <v>584</v>
      </c>
    </row>
    <row r="355" spans="1:9" x14ac:dyDescent="0.2">
      <c r="A355" s="21">
        <f>A353+E353</f>
        <v>1057</v>
      </c>
      <c r="B355" s="7">
        <f t="shared" ref="B355:B357" si="137">A355+E355-1</f>
        <v>1061</v>
      </c>
      <c r="C355" s="7">
        <f t="shared" si="128"/>
        <v>1056</v>
      </c>
      <c r="D355" s="7">
        <f t="shared" si="129"/>
        <v>1060</v>
      </c>
      <c r="E355" s="10">
        <v>5</v>
      </c>
      <c r="F355" s="29" t="s">
        <v>585</v>
      </c>
      <c r="I355" s="31" t="str">
        <f>CONCATENATE("SSTRawScoreTotal ",C355,"-",D355," A",E355)</f>
        <v>SSTRawScoreTotal 1056-1060 A5</v>
      </c>
    </row>
    <row r="356" spans="1:9" x14ac:dyDescent="0.2">
      <c r="A356" s="21">
        <f t="shared" ref="A356:A357" si="138">A355+E355</f>
        <v>1062</v>
      </c>
      <c r="B356" s="7">
        <f t="shared" si="137"/>
        <v>1064</v>
      </c>
      <c r="C356" s="7">
        <f t="shared" si="128"/>
        <v>1061</v>
      </c>
      <c r="D356" s="7">
        <f t="shared" si="129"/>
        <v>1063</v>
      </c>
      <c r="E356" s="10">
        <v>3</v>
      </c>
      <c r="F356" s="29" t="s">
        <v>586</v>
      </c>
      <c r="I356" s="31" t="str">
        <f>CONCATENATE("SSTSS ",C356,"-",D356," A",E356)</f>
        <v>SSTSS 1061-1063 A3</v>
      </c>
    </row>
    <row r="357" spans="1:9" x14ac:dyDescent="0.2">
      <c r="A357" s="21">
        <f t="shared" si="138"/>
        <v>1065</v>
      </c>
      <c r="B357" s="7">
        <f t="shared" si="137"/>
        <v>1067</v>
      </c>
      <c r="C357" s="7">
        <f t="shared" si="128"/>
        <v>1064</v>
      </c>
      <c r="D357" s="7">
        <f t="shared" si="129"/>
        <v>1066</v>
      </c>
      <c r="E357" s="10">
        <v>3</v>
      </c>
      <c r="F357" s="29" t="s">
        <v>587</v>
      </c>
      <c r="I357" s="31" t="str">
        <f>CONCATENATE("SSTLVL ",C357,"-",D357," A",E357)</f>
        <v>SSTLVL 1064-1066 A3</v>
      </c>
    </row>
    <row r="358" spans="1:9" x14ac:dyDescent="0.2">
      <c r="C358" s="7"/>
      <c r="D358" s="7"/>
      <c r="F358" s="28" t="s">
        <v>68</v>
      </c>
    </row>
    <row r="359" spans="1:9" x14ac:dyDescent="0.2">
      <c r="A359" s="21">
        <f>A357+E357</f>
        <v>1068</v>
      </c>
      <c r="B359" s="7">
        <f t="shared" ref="B359:B371" si="139">A359+E359-1</f>
        <v>1071</v>
      </c>
      <c r="C359" s="7">
        <f t="shared" si="128"/>
        <v>1067</v>
      </c>
      <c r="D359" s="7">
        <f t="shared" si="129"/>
        <v>1070</v>
      </c>
      <c r="E359" s="10">
        <v>4</v>
      </c>
      <c r="F359" s="29" t="s">
        <v>69</v>
      </c>
      <c r="I359" s="31" t="str">
        <f>CONCATENATE("SST",F359," ",C359,"-",D359," A",E359)</f>
        <v>SSTHistory 1067-1070 A4</v>
      </c>
    </row>
    <row r="360" spans="1:9" x14ac:dyDescent="0.2">
      <c r="A360" s="21">
        <f>A359+E359</f>
        <v>1072</v>
      </c>
      <c r="B360" s="7">
        <f t="shared" si="139"/>
        <v>1074</v>
      </c>
      <c r="C360" s="7">
        <f t="shared" si="128"/>
        <v>1071</v>
      </c>
      <c r="D360" s="7">
        <f t="shared" si="129"/>
        <v>1073</v>
      </c>
      <c r="E360" s="10">
        <v>3</v>
      </c>
      <c r="F360" s="29" t="s">
        <v>534</v>
      </c>
      <c r="I360" s="31" t="str">
        <f t="shared" ref="I360:I370" si="140">CONCATENATE("SST",F360," ",C360,"-",D360," A",E360)</f>
        <v>SSTHistoryPctCorrect 1071-1073 A3</v>
      </c>
    </row>
    <row r="361" spans="1:9" x14ac:dyDescent="0.2">
      <c r="A361" s="21">
        <f>A360+E360</f>
        <v>1075</v>
      </c>
      <c r="B361" s="7">
        <f t="shared" si="139"/>
        <v>1075</v>
      </c>
      <c r="C361" s="7">
        <f t="shared" si="128"/>
        <v>1074</v>
      </c>
      <c r="D361" s="7">
        <f t="shared" si="129"/>
        <v>1074</v>
      </c>
      <c r="E361" s="21">
        <v>1</v>
      </c>
      <c r="F361" s="27" t="s">
        <v>492</v>
      </c>
      <c r="I361" s="31" t="str">
        <f t="shared" si="140"/>
        <v>SSTHistoryRating 1074-1074 A1</v>
      </c>
    </row>
    <row r="362" spans="1:9" x14ac:dyDescent="0.2">
      <c r="A362" s="21">
        <f>A361+E361</f>
        <v>1076</v>
      </c>
      <c r="B362" s="7">
        <f t="shared" si="139"/>
        <v>1079</v>
      </c>
      <c r="C362" s="7">
        <f t="shared" si="128"/>
        <v>1075</v>
      </c>
      <c r="D362" s="7">
        <f t="shared" si="129"/>
        <v>1078</v>
      </c>
      <c r="E362" s="10">
        <v>4</v>
      </c>
      <c r="F362" s="29" t="s">
        <v>70</v>
      </c>
      <c r="I362" s="31" t="str">
        <f t="shared" si="140"/>
        <v>SSTGeography 1075-1078 A4</v>
      </c>
    </row>
    <row r="363" spans="1:9" x14ac:dyDescent="0.2">
      <c r="A363" s="21">
        <f t="shared" ref="A363:A369" si="141">A362+E362</f>
        <v>1080</v>
      </c>
      <c r="B363" s="7">
        <f t="shared" si="139"/>
        <v>1082</v>
      </c>
      <c r="C363" s="7">
        <f t="shared" si="128"/>
        <v>1079</v>
      </c>
      <c r="D363" s="7">
        <f t="shared" si="129"/>
        <v>1081</v>
      </c>
      <c r="E363" s="10">
        <v>3</v>
      </c>
      <c r="F363" s="29" t="s">
        <v>535</v>
      </c>
      <c r="I363" s="31" t="str">
        <f t="shared" si="140"/>
        <v>SSTGeographyPctCorrect 1079-1081 A3</v>
      </c>
    </row>
    <row r="364" spans="1:9" x14ac:dyDescent="0.2">
      <c r="A364" s="21">
        <f>A363+E363</f>
        <v>1083</v>
      </c>
      <c r="B364" s="7">
        <f t="shared" si="139"/>
        <v>1083</v>
      </c>
      <c r="C364" s="7">
        <f t="shared" si="128"/>
        <v>1082</v>
      </c>
      <c r="D364" s="7">
        <f t="shared" si="129"/>
        <v>1082</v>
      </c>
      <c r="E364" s="21">
        <v>1</v>
      </c>
      <c r="F364" s="27" t="s">
        <v>493</v>
      </c>
      <c r="I364" s="31" t="str">
        <f t="shared" si="140"/>
        <v>SSTGeographyRating 1082-1082 A1</v>
      </c>
    </row>
    <row r="365" spans="1:9" x14ac:dyDescent="0.2">
      <c r="A365" s="21">
        <f>A364+E364</f>
        <v>1084</v>
      </c>
      <c r="B365" s="7">
        <f t="shared" si="139"/>
        <v>1087</v>
      </c>
      <c r="C365" s="7">
        <f t="shared" si="128"/>
        <v>1083</v>
      </c>
      <c r="D365" s="7">
        <f t="shared" si="129"/>
        <v>1086</v>
      </c>
      <c r="E365" s="10">
        <v>4</v>
      </c>
      <c r="F365" s="29" t="s">
        <v>71</v>
      </c>
      <c r="I365" s="31" t="str">
        <f t="shared" si="140"/>
        <v>SSTCivics 1083-1086 A4</v>
      </c>
    </row>
    <row r="366" spans="1:9" x14ac:dyDescent="0.2">
      <c r="A366" s="21">
        <f t="shared" si="141"/>
        <v>1088</v>
      </c>
      <c r="B366" s="7">
        <f t="shared" si="139"/>
        <v>1090</v>
      </c>
      <c r="C366" s="7">
        <f t="shared" si="128"/>
        <v>1087</v>
      </c>
      <c r="D366" s="7">
        <f t="shared" si="129"/>
        <v>1089</v>
      </c>
      <c r="E366" s="10">
        <v>3</v>
      </c>
      <c r="F366" s="29" t="s">
        <v>536</v>
      </c>
      <c r="I366" s="31" t="str">
        <f t="shared" si="140"/>
        <v>SSTCivicsPctCorrect 1087-1089 A3</v>
      </c>
    </row>
    <row r="367" spans="1:9" x14ac:dyDescent="0.2">
      <c r="A367" s="21">
        <f>A366+E366</f>
        <v>1091</v>
      </c>
      <c r="B367" s="7">
        <f t="shared" si="139"/>
        <v>1091</v>
      </c>
      <c r="C367" s="7">
        <f t="shared" si="128"/>
        <v>1090</v>
      </c>
      <c r="D367" s="7">
        <f t="shared" si="129"/>
        <v>1090</v>
      </c>
      <c r="E367" s="21">
        <v>1</v>
      </c>
      <c r="F367" s="27" t="s">
        <v>494</v>
      </c>
      <c r="I367" s="31" t="str">
        <f t="shared" si="140"/>
        <v>SSTCivicsRating 1090-1090 A1</v>
      </c>
    </row>
    <row r="368" spans="1:9" x14ac:dyDescent="0.2">
      <c r="A368" s="21">
        <f>A367+E367</f>
        <v>1092</v>
      </c>
      <c r="B368" s="7">
        <f t="shared" si="139"/>
        <v>1095</v>
      </c>
      <c r="C368" s="7">
        <f t="shared" si="128"/>
        <v>1091</v>
      </c>
      <c r="D368" s="7">
        <f t="shared" si="129"/>
        <v>1094</v>
      </c>
      <c r="E368" s="10">
        <v>4</v>
      </c>
      <c r="F368" s="29" t="s">
        <v>72</v>
      </c>
      <c r="I368" s="31" t="str">
        <f t="shared" si="140"/>
        <v>SSTEconomics 1091-1094 A4</v>
      </c>
    </row>
    <row r="369" spans="1:9" x14ac:dyDescent="0.2">
      <c r="A369" s="21">
        <f t="shared" si="141"/>
        <v>1096</v>
      </c>
      <c r="B369" s="7">
        <f t="shared" si="139"/>
        <v>1098</v>
      </c>
      <c r="C369" s="7">
        <f t="shared" si="128"/>
        <v>1095</v>
      </c>
      <c r="D369" s="7">
        <f t="shared" si="129"/>
        <v>1097</v>
      </c>
      <c r="E369" s="10">
        <v>3</v>
      </c>
      <c r="F369" s="29" t="s">
        <v>537</v>
      </c>
      <c r="I369" s="31" t="str">
        <f t="shared" si="140"/>
        <v>SSTEconomicsPctCorrect 1095-1097 A3</v>
      </c>
    </row>
    <row r="370" spans="1:9" x14ac:dyDescent="0.2">
      <c r="A370" s="21">
        <f>A369+E369</f>
        <v>1099</v>
      </c>
      <c r="B370" s="7">
        <f t="shared" si="139"/>
        <v>1099</v>
      </c>
      <c r="C370" s="7">
        <f t="shared" si="128"/>
        <v>1098</v>
      </c>
      <c r="D370" s="7">
        <f t="shared" si="129"/>
        <v>1098</v>
      </c>
      <c r="E370" s="21">
        <v>1</v>
      </c>
      <c r="F370" s="27" t="s">
        <v>495</v>
      </c>
      <c r="I370" s="31" t="str">
        <f t="shared" si="140"/>
        <v>SSTEconomicsRating 1098-1098 A1</v>
      </c>
    </row>
    <row r="371" spans="1:9" x14ac:dyDescent="0.2">
      <c r="A371" s="21">
        <f>A370+E370</f>
        <v>1100</v>
      </c>
      <c r="B371" s="7">
        <f t="shared" si="139"/>
        <v>1169</v>
      </c>
      <c r="C371" s="7">
        <f t="shared" si="128"/>
        <v>1099</v>
      </c>
      <c r="D371" s="7">
        <f t="shared" si="129"/>
        <v>1168</v>
      </c>
      <c r="E371" s="10">
        <v>70</v>
      </c>
      <c r="F371" s="25" t="str">
        <f>CONCATENATE(H371,G371)</f>
        <v>FILLER41</v>
      </c>
      <c r="G371" s="31">
        <v>41</v>
      </c>
      <c r="H371" s="25" t="s">
        <v>64</v>
      </c>
      <c r="I371" s="31" t="str">
        <f t="shared" ref="I359:I371" si="142">CONCATENATE(F371," ",C371,"-",D371," A",E371)</f>
        <v>FILLER41 1099-1168 A70</v>
      </c>
    </row>
    <row r="372" spans="1:9" x14ac:dyDescent="0.2">
      <c r="C372" s="7"/>
      <c r="D372" s="7"/>
      <c r="F372" s="28" t="s">
        <v>76</v>
      </c>
    </row>
    <row r="373" spans="1:9" x14ac:dyDescent="0.2">
      <c r="C373" s="7"/>
      <c r="D373" s="7"/>
      <c r="F373" s="28" t="s">
        <v>77</v>
      </c>
    </row>
    <row r="374" spans="1:9" ht="30" customHeight="1" x14ac:dyDescent="0.2">
      <c r="A374" s="21">
        <f>A371+E371</f>
        <v>1170</v>
      </c>
      <c r="B374" s="7">
        <f t="shared" ref="B374:B377" si="143">A374+E374-1</f>
        <v>1170</v>
      </c>
      <c r="C374" s="7">
        <f t="shared" si="128"/>
        <v>1169</v>
      </c>
      <c r="D374" s="7">
        <f t="shared" si="129"/>
        <v>1169</v>
      </c>
      <c r="E374" s="10">
        <v>1</v>
      </c>
      <c r="F374" s="29" t="s">
        <v>512</v>
      </c>
      <c r="I374" s="31" t="str">
        <f t="shared" ref="I374:I377" si="144">CONCATENATE(F374," ",C374,"-",D374," A",E374)</f>
        <v>TestTakenFlagELA 1169-1169 A1</v>
      </c>
    </row>
    <row r="375" spans="1:9" ht="25.5" customHeight="1" x14ac:dyDescent="0.2">
      <c r="A375" s="21">
        <f>A374+E374</f>
        <v>1171</v>
      </c>
      <c r="B375" s="7">
        <f t="shared" si="143"/>
        <v>1171</v>
      </c>
      <c r="C375" s="7">
        <f t="shared" si="128"/>
        <v>1170</v>
      </c>
      <c r="D375" s="7">
        <f t="shared" si="129"/>
        <v>1170</v>
      </c>
      <c r="E375" s="10">
        <v>1</v>
      </c>
      <c r="F375" s="29" t="s">
        <v>564</v>
      </c>
      <c r="I375" s="31" t="str">
        <f t="shared" si="144"/>
        <v>TestTakenFlagMTH 1170-1170 A1</v>
      </c>
    </row>
    <row r="376" spans="1:9" ht="24.75" customHeight="1" x14ac:dyDescent="0.2">
      <c r="A376" s="21">
        <f t="shared" ref="A376:A377" si="145">A375+E375</f>
        <v>1172</v>
      </c>
      <c r="B376" s="7">
        <f t="shared" si="143"/>
        <v>1172</v>
      </c>
      <c r="C376" s="7">
        <f t="shared" si="128"/>
        <v>1171</v>
      </c>
      <c r="D376" s="7">
        <f t="shared" si="129"/>
        <v>1171</v>
      </c>
      <c r="E376" s="10">
        <v>1</v>
      </c>
      <c r="F376" s="29" t="s">
        <v>576</v>
      </c>
      <c r="I376" s="31" t="str">
        <f t="shared" si="144"/>
        <v>TestTakenFlagSCI 1171-1171 A1</v>
      </c>
    </row>
    <row r="377" spans="1:9" ht="27" customHeight="1" x14ac:dyDescent="0.2">
      <c r="A377" s="21">
        <f t="shared" si="145"/>
        <v>1173</v>
      </c>
      <c r="B377" s="7">
        <f t="shared" si="143"/>
        <v>1173</v>
      </c>
      <c r="C377" s="7">
        <f t="shared" si="128"/>
        <v>1172</v>
      </c>
      <c r="D377" s="7">
        <f t="shared" si="129"/>
        <v>1172</v>
      </c>
      <c r="E377" s="10">
        <v>1</v>
      </c>
      <c r="F377" s="29" t="s">
        <v>588</v>
      </c>
      <c r="I377" s="31" t="str">
        <f t="shared" si="144"/>
        <v>TestTakenFlagSST 1172-1172 A1</v>
      </c>
    </row>
    <row r="378" spans="1:9" ht="25.5" x14ac:dyDescent="0.2">
      <c r="C378" s="7"/>
      <c r="D378" s="7"/>
      <c r="F378" s="28" t="s">
        <v>82</v>
      </c>
    </row>
    <row r="379" spans="1:9" ht="32.25" customHeight="1" x14ac:dyDescent="0.2">
      <c r="A379" s="21">
        <f>A377+E377</f>
        <v>1174</v>
      </c>
      <c r="B379" s="7">
        <f t="shared" ref="B379:B383" si="146">A379+E379-1</f>
        <v>1174</v>
      </c>
      <c r="C379" s="7">
        <f t="shared" si="128"/>
        <v>1173</v>
      </c>
      <c r="D379" s="7">
        <f t="shared" si="129"/>
        <v>1173</v>
      </c>
      <c r="E379" s="10">
        <v>1</v>
      </c>
      <c r="F379" s="29" t="s">
        <v>523</v>
      </c>
      <c r="I379" s="31" t="str">
        <f t="shared" ref="I379:I383" si="147">CONCATENATE(F379," ",C379,"-",D379," A",E379)</f>
        <v>MCCRTakenELA 1173-1173 A1</v>
      </c>
    </row>
    <row r="380" spans="1:9" ht="33" customHeight="1" x14ac:dyDescent="0.2">
      <c r="A380" s="21">
        <f t="shared" ref="A380:A382" si="148">A379+E379</f>
        <v>1175</v>
      </c>
      <c r="B380" s="7">
        <f t="shared" si="146"/>
        <v>1175</v>
      </c>
      <c r="C380" s="7">
        <f t="shared" si="128"/>
        <v>1174</v>
      </c>
      <c r="D380" s="7">
        <f t="shared" si="129"/>
        <v>1174</v>
      </c>
      <c r="E380" s="10">
        <v>1</v>
      </c>
      <c r="F380" s="29" t="s">
        <v>565</v>
      </c>
      <c r="I380" s="31" t="str">
        <f t="shared" si="147"/>
        <v>MCCRTakenMTH 1174-1174 A1</v>
      </c>
    </row>
    <row r="381" spans="1:9" ht="36.75" customHeight="1" x14ac:dyDescent="0.2">
      <c r="A381" s="21">
        <f t="shared" si="148"/>
        <v>1176</v>
      </c>
      <c r="B381" s="7">
        <f t="shared" si="146"/>
        <v>1176</v>
      </c>
      <c r="C381" s="7">
        <f t="shared" si="128"/>
        <v>1175</v>
      </c>
      <c r="D381" s="7">
        <f t="shared" si="129"/>
        <v>1175</v>
      </c>
      <c r="E381" s="10">
        <v>1</v>
      </c>
      <c r="F381" s="29" t="s">
        <v>577</v>
      </c>
      <c r="I381" s="31" t="str">
        <f t="shared" si="147"/>
        <v>MCCRTakenSCI 1175-1175 A1</v>
      </c>
    </row>
    <row r="382" spans="1:9" ht="33" customHeight="1" x14ac:dyDescent="0.2">
      <c r="A382" s="21">
        <f t="shared" si="148"/>
        <v>1177</v>
      </c>
      <c r="B382" s="7">
        <f t="shared" si="146"/>
        <v>1177</v>
      </c>
      <c r="C382" s="7">
        <f t="shared" si="128"/>
        <v>1176</v>
      </c>
      <c r="D382" s="7">
        <f t="shared" si="129"/>
        <v>1176</v>
      </c>
      <c r="E382" s="10">
        <v>1</v>
      </c>
      <c r="F382" s="29" t="s">
        <v>589</v>
      </c>
      <c r="I382" s="31" t="str">
        <f t="shared" si="147"/>
        <v>MCCRTakenSST 1176-1176 A1</v>
      </c>
    </row>
    <row r="383" spans="1:9" ht="15.75" customHeight="1" x14ac:dyDescent="0.2">
      <c r="A383" s="21">
        <f>A382+E382</f>
        <v>1178</v>
      </c>
      <c r="B383" s="7">
        <f t="shared" si="146"/>
        <v>1181</v>
      </c>
      <c r="C383" s="7">
        <f t="shared" si="128"/>
        <v>1177</v>
      </c>
      <c r="D383" s="7">
        <f t="shared" si="129"/>
        <v>1180</v>
      </c>
      <c r="E383" s="10">
        <v>4</v>
      </c>
      <c r="F383" s="25" t="str">
        <f>CONCATENATE(H383,G383)</f>
        <v>FILLER42</v>
      </c>
      <c r="G383" s="31">
        <v>42</v>
      </c>
      <c r="H383" s="25" t="s">
        <v>64</v>
      </c>
      <c r="I383" s="31" t="str">
        <f t="shared" si="147"/>
        <v>FILLER42 1177-1180 A4</v>
      </c>
    </row>
    <row r="384" spans="1:9" x14ac:dyDescent="0.2">
      <c r="C384" s="7"/>
      <c r="D384" s="7"/>
      <c r="F384" s="28" t="s">
        <v>87</v>
      </c>
    </row>
    <row r="385" spans="1:9" ht="25.5" customHeight="1" x14ac:dyDescent="0.2">
      <c r="A385" s="21">
        <f>A383+E383</f>
        <v>1182</v>
      </c>
      <c r="B385" s="7">
        <f t="shared" ref="B385:B389" si="149">A385+E385-1</f>
        <v>1182</v>
      </c>
      <c r="C385" s="7">
        <f t="shared" si="128"/>
        <v>1181</v>
      </c>
      <c r="D385" s="7">
        <f t="shared" si="129"/>
        <v>1181</v>
      </c>
      <c r="E385" s="10">
        <v>1</v>
      </c>
      <c r="F385" s="29" t="s">
        <v>513</v>
      </c>
      <c r="I385" s="31" t="str">
        <f t="shared" ref="I385:I389" si="150">CONCATENATE(F385," ",C385,"-",D385," A",E385)</f>
        <v>IncludeinNcountsELA 1181-1181 A1</v>
      </c>
    </row>
    <row r="386" spans="1:9" ht="21" customHeight="1" x14ac:dyDescent="0.2">
      <c r="A386" s="21">
        <f t="shared" ref="A386:A389" si="151">A385+E385</f>
        <v>1183</v>
      </c>
      <c r="B386" s="7">
        <f t="shared" si="149"/>
        <v>1183</v>
      </c>
      <c r="C386" s="7">
        <f t="shared" si="128"/>
        <v>1182</v>
      </c>
      <c r="D386" s="7">
        <f t="shared" si="129"/>
        <v>1182</v>
      </c>
      <c r="E386" s="10">
        <v>1</v>
      </c>
      <c r="F386" s="29" t="s">
        <v>566</v>
      </c>
      <c r="I386" s="31" t="str">
        <f t="shared" si="150"/>
        <v>IncludeinNcountsMTH 1182-1182 A1</v>
      </c>
    </row>
    <row r="387" spans="1:9" ht="19.5" customHeight="1" x14ac:dyDescent="0.2">
      <c r="A387" s="21">
        <f t="shared" si="151"/>
        <v>1184</v>
      </c>
      <c r="B387" s="7">
        <f t="shared" si="149"/>
        <v>1184</v>
      </c>
      <c r="C387" s="7">
        <f t="shared" si="128"/>
        <v>1183</v>
      </c>
      <c r="D387" s="7">
        <f t="shared" si="129"/>
        <v>1183</v>
      </c>
      <c r="E387" s="10">
        <v>1</v>
      </c>
      <c r="F387" s="29" t="s">
        <v>578</v>
      </c>
      <c r="I387" s="31" t="str">
        <f t="shared" si="150"/>
        <v>IncludeinNcountsSCI 1183-1183 A1</v>
      </c>
    </row>
    <row r="388" spans="1:9" ht="19.5" customHeight="1" x14ac:dyDescent="0.2">
      <c r="A388" s="21">
        <f t="shared" si="151"/>
        <v>1185</v>
      </c>
      <c r="B388" s="7">
        <f t="shared" si="149"/>
        <v>1185</v>
      </c>
      <c r="C388" s="7">
        <f t="shared" si="128"/>
        <v>1184</v>
      </c>
      <c r="D388" s="7">
        <f t="shared" si="129"/>
        <v>1184</v>
      </c>
      <c r="E388" s="10">
        <v>1</v>
      </c>
      <c r="F388" s="29" t="s">
        <v>590</v>
      </c>
      <c r="I388" s="31" t="str">
        <f t="shared" si="150"/>
        <v>IncludeinNcountsSST 1184-1184 A1</v>
      </c>
    </row>
    <row r="389" spans="1:9" x14ac:dyDescent="0.2">
      <c r="A389" s="21">
        <f t="shared" si="151"/>
        <v>1186</v>
      </c>
      <c r="B389" s="7">
        <f t="shared" si="149"/>
        <v>1205</v>
      </c>
      <c r="C389" s="7">
        <f t="shared" ref="C389:C449" si="152">A389-1</f>
        <v>1185</v>
      </c>
      <c r="D389" s="7">
        <f t="shared" ref="D389:D449" si="153">B389-1</f>
        <v>1204</v>
      </c>
      <c r="E389" s="21">
        <v>20</v>
      </c>
      <c r="F389" s="25" t="str">
        <f>CONCATENATE(H389,G389)</f>
        <v>FILLER43</v>
      </c>
      <c r="G389" s="31">
        <v>43</v>
      </c>
      <c r="H389" s="25" t="s">
        <v>64</v>
      </c>
      <c r="I389" s="31" t="str">
        <f t="shared" si="150"/>
        <v>FILLER43 1185-1204 A20</v>
      </c>
    </row>
    <row r="390" spans="1:9" x14ac:dyDescent="0.2">
      <c r="C390" s="7"/>
      <c r="D390" s="7"/>
      <c r="F390" s="28" t="s">
        <v>92</v>
      </c>
    </row>
    <row r="391" spans="1:9" x14ac:dyDescent="0.2">
      <c r="C391" s="7"/>
      <c r="D391" s="7"/>
      <c r="F391" s="28" t="s">
        <v>93</v>
      </c>
    </row>
    <row r="392" spans="1:9" ht="56.25" customHeight="1" x14ac:dyDescent="0.2">
      <c r="A392" s="21">
        <f>A389+E389</f>
        <v>1206</v>
      </c>
      <c r="B392" s="7">
        <f t="shared" ref="B392:B396" si="154">A392+E392-1</f>
        <v>1206</v>
      </c>
      <c r="C392" s="7">
        <f t="shared" si="152"/>
        <v>1205</v>
      </c>
      <c r="D392" s="7">
        <f t="shared" si="153"/>
        <v>1205</v>
      </c>
      <c r="E392" s="21">
        <v>1</v>
      </c>
      <c r="F392" s="29" t="s">
        <v>514</v>
      </c>
      <c r="I392" s="31" t="str">
        <f t="shared" ref="I392:I396" si="155">CONCATENATE(F392," ",C392,"-",D392," A",E392)</f>
        <v>SummarizedVoidFlagELA 1205-1205 A1</v>
      </c>
    </row>
    <row r="393" spans="1:9" ht="56.25" customHeight="1" x14ac:dyDescent="0.2">
      <c r="A393" s="21">
        <f t="shared" ref="A393:A395" si="156">A392+E392</f>
        <v>1207</v>
      </c>
      <c r="B393" s="7">
        <f t="shared" si="154"/>
        <v>1207</v>
      </c>
      <c r="C393" s="7">
        <f t="shared" si="152"/>
        <v>1206</v>
      </c>
      <c r="D393" s="7">
        <f t="shared" si="153"/>
        <v>1206</v>
      </c>
      <c r="E393" s="21">
        <v>1</v>
      </c>
      <c r="F393" s="29" t="s">
        <v>567</v>
      </c>
      <c r="I393" s="31" t="str">
        <f t="shared" si="155"/>
        <v>SummarizedVoidFlagMTH 1206-1206 A1</v>
      </c>
    </row>
    <row r="394" spans="1:9" ht="56.25" customHeight="1" x14ac:dyDescent="0.2">
      <c r="A394" s="21">
        <f t="shared" si="156"/>
        <v>1208</v>
      </c>
      <c r="B394" s="7">
        <f t="shared" si="154"/>
        <v>1208</v>
      </c>
      <c r="C394" s="7">
        <f t="shared" si="152"/>
        <v>1207</v>
      </c>
      <c r="D394" s="7">
        <f t="shared" si="153"/>
        <v>1207</v>
      </c>
      <c r="E394" s="21">
        <v>1</v>
      </c>
      <c r="F394" s="29" t="s">
        <v>579</v>
      </c>
      <c r="I394" s="31" t="str">
        <f t="shared" si="155"/>
        <v>SummarizedVoidFlagSCI 1207-1207 A1</v>
      </c>
    </row>
    <row r="395" spans="1:9" ht="67.5" customHeight="1" x14ac:dyDescent="0.2">
      <c r="A395" s="21">
        <f t="shared" si="156"/>
        <v>1209</v>
      </c>
      <c r="B395" s="7">
        <f t="shared" si="154"/>
        <v>1209</v>
      </c>
      <c r="C395" s="7">
        <f t="shared" si="152"/>
        <v>1208</v>
      </c>
      <c r="D395" s="7">
        <f t="shared" si="153"/>
        <v>1208</v>
      </c>
      <c r="E395" s="21">
        <v>1</v>
      </c>
      <c r="F395" s="29" t="s">
        <v>591</v>
      </c>
      <c r="I395" s="31" t="str">
        <f t="shared" si="155"/>
        <v>SummarizedVoidFlagSST 1208-1208 A1</v>
      </c>
    </row>
    <row r="396" spans="1:9" x14ac:dyDescent="0.2">
      <c r="A396" s="21">
        <f>A395+E395</f>
        <v>1210</v>
      </c>
      <c r="B396" s="7">
        <f t="shared" si="154"/>
        <v>1227</v>
      </c>
      <c r="C396" s="7">
        <f t="shared" si="152"/>
        <v>1209</v>
      </c>
      <c r="D396" s="7">
        <f t="shared" si="153"/>
        <v>1226</v>
      </c>
      <c r="E396" s="21">
        <v>18</v>
      </c>
      <c r="F396" s="25" t="str">
        <f>CONCATENATE(H396,G396)</f>
        <v>FILLER44</v>
      </c>
      <c r="G396" s="31">
        <v>44</v>
      </c>
      <c r="H396" s="25" t="s">
        <v>64</v>
      </c>
      <c r="I396" s="31" t="str">
        <f t="shared" si="155"/>
        <v>FILLER44 1209-1226 A18</v>
      </c>
    </row>
    <row r="397" spans="1:9" x14ac:dyDescent="0.2">
      <c r="C397" s="7"/>
      <c r="D397" s="7"/>
      <c r="F397" s="28" t="s">
        <v>121</v>
      </c>
    </row>
    <row r="398" spans="1:9" ht="27.75" customHeight="1" x14ac:dyDescent="0.2">
      <c r="A398" s="21">
        <f>A396+E396</f>
        <v>1228</v>
      </c>
      <c r="B398" s="7">
        <f t="shared" ref="B398:B406" si="157">A398+E398-1</f>
        <v>1229</v>
      </c>
      <c r="C398" s="7">
        <f t="shared" si="152"/>
        <v>1227</v>
      </c>
      <c r="D398" s="7">
        <f t="shared" si="153"/>
        <v>1228</v>
      </c>
      <c r="E398" s="21">
        <v>2</v>
      </c>
      <c r="F398" s="27" t="s">
        <v>596</v>
      </c>
      <c r="I398" s="31" t="str">
        <f t="shared" ref="I398:I406" si="158">CONCATENATE(F398," ",C398,"-",D398," A",E398)</f>
        <v>UpdatedAccountabilityCodeDocument1ELA 1227-1228 A2</v>
      </c>
    </row>
    <row r="399" spans="1:9" ht="25.5" customHeight="1" x14ac:dyDescent="0.2">
      <c r="A399" s="21">
        <f t="shared" ref="A399:A406" si="159">A398+E398</f>
        <v>1230</v>
      </c>
      <c r="B399" s="7">
        <f t="shared" si="157"/>
        <v>1231</v>
      </c>
      <c r="C399" s="7">
        <f t="shared" si="152"/>
        <v>1229</v>
      </c>
      <c r="D399" s="7">
        <f t="shared" si="153"/>
        <v>1230</v>
      </c>
      <c r="E399" s="21">
        <v>2</v>
      </c>
      <c r="F399" s="27" t="s">
        <v>600</v>
      </c>
      <c r="I399" s="31" t="str">
        <f t="shared" si="158"/>
        <v>UpdatedAccountabilityCodeDocument2MTH 1229-1230 A2</v>
      </c>
    </row>
    <row r="400" spans="1:9" ht="26.25" customHeight="1" x14ac:dyDescent="0.2">
      <c r="A400" s="21">
        <f t="shared" si="159"/>
        <v>1232</v>
      </c>
      <c r="B400" s="7">
        <f t="shared" si="157"/>
        <v>1233</v>
      </c>
      <c r="C400" s="7">
        <f t="shared" si="152"/>
        <v>1231</v>
      </c>
      <c r="D400" s="7">
        <f t="shared" si="153"/>
        <v>1232</v>
      </c>
      <c r="E400" s="21">
        <v>2</v>
      </c>
      <c r="F400" s="27" t="s">
        <v>604</v>
      </c>
      <c r="I400" s="31" t="str">
        <f t="shared" si="158"/>
        <v>UpdatedAccountabilityCodeDocument3SCI 1231-1232 A2</v>
      </c>
    </row>
    <row r="401" spans="1:9" ht="21" customHeight="1" x14ac:dyDescent="0.2">
      <c r="A401" s="21">
        <f t="shared" si="159"/>
        <v>1234</v>
      </c>
      <c r="B401" s="7">
        <f t="shared" si="157"/>
        <v>1235</v>
      </c>
      <c r="C401" s="7">
        <f t="shared" si="152"/>
        <v>1233</v>
      </c>
      <c r="D401" s="7">
        <f t="shared" si="153"/>
        <v>1234</v>
      </c>
      <c r="E401" s="21">
        <v>2</v>
      </c>
      <c r="F401" s="27" t="s">
        <v>608</v>
      </c>
      <c r="I401" s="31" t="str">
        <f t="shared" si="158"/>
        <v>UpdatedAccountabilityCodeDocument4SST 1233-1234 A2</v>
      </c>
    </row>
    <row r="402" spans="1:9" ht="29.25" customHeight="1" x14ac:dyDescent="0.2">
      <c r="A402" s="21">
        <f t="shared" si="159"/>
        <v>1236</v>
      </c>
      <c r="B402" s="7">
        <f t="shared" si="157"/>
        <v>1238</v>
      </c>
      <c r="C402" s="7">
        <f t="shared" si="152"/>
        <v>1235</v>
      </c>
      <c r="D402" s="7">
        <f t="shared" si="153"/>
        <v>1237</v>
      </c>
      <c r="E402" s="21">
        <v>3</v>
      </c>
      <c r="F402" s="27" t="s">
        <v>515</v>
      </c>
      <c r="I402" s="31" t="str">
        <f t="shared" si="158"/>
        <v>AccountabilityAchievementLevelELA 1235-1237 A3</v>
      </c>
    </row>
    <row r="403" spans="1:9" ht="30" customHeight="1" x14ac:dyDescent="0.2">
      <c r="A403" s="21">
        <f t="shared" si="159"/>
        <v>1239</v>
      </c>
      <c r="B403" s="7">
        <f t="shared" si="157"/>
        <v>1241</v>
      </c>
      <c r="C403" s="7">
        <f t="shared" si="152"/>
        <v>1238</v>
      </c>
      <c r="D403" s="7">
        <f t="shared" si="153"/>
        <v>1240</v>
      </c>
      <c r="E403" s="21">
        <v>3</v>
      </c>
      <c r="F403" s="27" t="s">
        <v>568</v>
      </c>
      <c r="I403" s="31" t="str">
        <f t="shared" si="158"/>
        <v>AccountabilityAchievementLevelMTH 1238-1240 A3</v>
      </c>
    </row>
    <row r="404" spans="1:9" ht="31.5" customHeight="1" x14ac:dyDescent="0.2">
      <c r="A404" s="21">
        <f t="shared" si="159"/>
        <v>1242</v>
      </c>
      <c r="B404" s="7">
        <f t="shared" si="157"/>
        <v>1244</v>
      </c>
      <c r="C404" s="7">
        <f t="shared" si="152"/>
        <v>1241</v>
      </c>
      <c r="D404" s="7">
        <f t="shared" si="153"/>
        <v>1243</v>
      </c>
      <c r="E404" s="21">
        <v>3</v>
      </c>
      <c r="F404" s="27" t="s">
        <v>580</v>
      </c>
      <c r="I404" s="31" t="str">
        <f t="shared" si="158"/>
        <v>AccountabilityAchievementLevelSCI 1241-1243 A3</v>
      </c>
    </row>
    <row r="405" spans="1:9" ht="36.75" customHeight="1" x14ac:dyDescent="0.2">
      <c r="A405" s="21">
        <f t="shared" si="159"/>
        <v>1245</v>
      </c>
      <c r="B405" s="7">
        <f t="shared" si="157"/>
        <v>1247</v>
      </c>
      <c r="C405" s="7">
        <f t="shared" si="152"/>
        <v>1244</v>
      </c>
      <c r="D405" s="7">
        <f t="shared" si="153"/>
        <v>1246</v>
      </c>
      <c r="E405" s="21">
        <v>3</v>
      </c>
      <c r="F405" s="27" t="s">
        <v>592</v>
      </c>
      <c r="I405" s="31" t="str">
        <f t="shared" si="158"/>
        <v>AccountabilityAchievementLevelSST 1244-1246 A3</v>
      </c>
    </row>
    <row r="406" spans="1:9" x14ac:dyDescent="0.2">
      <c r="A406" s="21">
        <f t="shared" si="159"/>
        <v>1248</v>
      </c>
      <c r="B406" s="7">
        <f t="shared" si="157"/>
        <v>1273</v>
      </c>
      <c r="C406" s="7">
        <f t="shared" si="152"/>
        <v>1247</v>
      </c>
      <c r="D406" s="7">
        <f t="shared" si="153"/>
        <v>1272</v>
      </c>
      <c r="E406" s="21">
        <v>26</v>
      </c>
      <c r="F406" s="25" t="str">
        <f>CONCATENATE(H406,G406)</f>
        <v>FILLER45</v>
      </c>
      <c r="G406" s="31">
        <v>45</v>
      </c>
      <c r="H406" s="25" t="s">
        <v>64</v>
      </c>
      <c r="I406" s="31" t="str">
        <f t="shared" si="158"/>
        <v>FILLER45 1247-1272 A26</v>
      </c>
    </row>
    <row r="407" spans="1:9" x14ac:dyDescent="0.2">
      <c r="B407" s="7"/>
      <c r="C407" s="7"/>
      <c r="D407" s="7"/>
      <c r="F407" s="30" t="s">
        <v>318</v>
      </c>
    </row>
    <row r="408" spans="1:9" ht="12.75" customHeight="1" x14ac:dyDescent="0.2">
      <c r="A408" s="21">
        <f>A406+E406</f>
        <v>1274</v>
      </c>
      <c r="B408" s="7">
        <f t="shared" ref="B408:B411" si="160">A408+E408-1</f>
        <v>1274</v>
      </c>
      <c r="C408" s="7">
        <f t="shared" si="152"/>
        <v>1273</v>
      </c>
      <c r="D408" s="7">
        <f t="shared" si="153"/>
        <v>1273</v>
      </c>
      <c r="E408" s="21">
        <v>1</v>
      </c>
      <c r="F408" s="4" t="s">
        <v>516</v>
      </c>
      <c r="I408" s="31" t="str">
        <f t="shared" ref="I408:I411" si="161">CONCATENATE(F408," ",C408,"-",D408," A",E408)</f>
        <v>TestModeELA 1273-1273 A1</v>
      </c>
    </row>
    <row r="409" spans="1:9" x14ac:dyDescent="0.2">
      <c r="A409" s="21">
        <f t="shared" ref="A409:A411" si="162">A408+E408</f>
        <v>1275</v>
      </c>
      <c r="B409" s="7">
        <f t="shared" si="160"/>
        <v>1275</v>
      </c>
      <c r="C409" s="7">
        <f t="shared" si="152"/>
        <v>1274</v>
      </c>
      <c r="D409" s="7">
        <f t="shared" si="153"/>
        <v>1274</v>
      </c>
      <c r="E409" s="21">
        <v>1</v>
      </c>
      <c r="F409" s="4" t="s">
        <v>569</v>
      </c>
      <c r="I409" s="31" t="str">
        <f t="shared" si="161"/>
        <v>TestModeMTH 1274-1274 A1</v>
      </c>
    </row>
    <row r="410" spans="1:9" x14ac:dyDescent="0.2">
      <c r="A410" s="21">
        <f t="shared" si="162"/>
        <v>1276</v>
      </c>
      <c r="B410" s="7">
        <f t="shared" si="160"/>
        <v>1276</v>
      </c>
      <c r="C410" s="7">
        <f t="shared" si="152"/>
        <v>1275</v>
      </c>
      <c r="D410" s="7">
        <f t="shared" si="153"/>
        <v>1275</v>
      </c>
      <c r="E410" s="21">
        <v>1</v>
      </c>
      <c r="F410" s="4" t="s">
        <v>581</v>
      </c>
      <c r="I410" s="31" t="str">
        <f t="shared" si="161"/>
        <v>TestModeSCI 1275-1275 A1</v>
      </c>
    </row>
    <row r="411" spans="1:9" x14ac:dyDescent="0.2">
      <c r="A411" s="21">
        <f t="shared" si="162"/>
        <v>1277</v>
      </c>
      <c r="B411" s="7">
        <f t="shared" si="160"/>
        <v>1277</v>
      </c>
      <c r="C411" s="7">
        <f t="shared" si="152"/>
        <v>1276</v>
      </c>
      <c r="D411" s="7">
        <f t="shared" si="153"/>
        <v>1276</v>
      </c>
      <c r="E411" s="21">
        <v>1</v>
      </c>
      <c r="F411" s="4" t="s">
        <v>593</v>
      </c>
      <c r="I411" s="31" t="str">
        <f t="shared" si="161"/>
        <v>TestModeSST 1276-1276 A1</v>
      </c>
    </row>
    <row r="412" spans="1:9" x14ac:dyDescent="0.2">
      <c r="C412" s="7"/>
      <c r="D412" s="7"/>
      <c r="F412" s="30" t="s">
        <v>157</v>
      </c>
    </row>
    <row r="413" spans="1:9" x14ac:dyDescent="0.2">
      <c r="A413" s="21">
        <f>A411+E411</f>
        <v>1278</v>
      </c>
      <c r="B413" s="7">
        <f t="shared" ref="B413:B418" si="163">A413+E413-1</f>
        <v>1283</v>
      </c>
      <c r="C413" s="7">
        <f t="shared" si="152"/>
        <v>1277</v>
      </c>
      <c r="D413" s="7">
        <f t="shared" si="153"/>
        <v>1282</v>
      </c>
      <c r="E413" s="21">
        <v>6</v>
      </c>
      <c r="F413" s="27" t="s">
        <v>496</v>
      </c>
      <c r="I413" s="31" t="str">
        <f t="shared" ref="I413:I418" si="164">CONCATENATE(F413," ",C413,"-",D413," A",E413)</f>
        <v>LAPSiteCode 1277-1282 A6</v>
      </c>
    </row>
    <row r="414" spans="1:9" ht="24.75" customHeight="1" x14ac:dyDescent="0.2">
      <c r="A414" s="21">
        <f t="shared" ref="A414:A417" si="165">A413+E413</f>
        <v>1284</v>
      </c>
      <c r="B414" s="7">
        <f t="shared" si="163"/>
        <v>1289</v>
      </c>
      <c r="C414" s="7">
        <f t="shared" si="152"/>
        <v>1283</v>
      </c>
      <c r="D414" s="7">
        <f t="shared" si="153"/>
        <v>1288</v>
      </c>
      <c r="E414" s="21">
        <v>6</v>
      </c>
      <c r="F414" s="27" t="s">
        <v>597</v>
      </c>
      <c r="I414" s="31" t="str">
        <f t="shared" si="164"/>
        <v>SiteCodeDocument1ELA 1283-1288 A6</v>
      </c>
    </row>
    <row r="415" spans="1:9" ht="22.5" customHeight="1" x14ac:dyDescent="0.2">
      <c r="A415" s="21">
        <f t="shared" si="165"/>
        <v>1290</v>
      </c>
      <c r="B415" s="7">
        <f t="shared" si="163"/>
        <v>1295</v>
      </c>
      <c r="C415" s="7">
        <f t="shared" si="152"/>
        <v>1289</v>
      </c>
      <c r="D415" s="7">
        <f t="shared" si="153"/>
        <v>1294</v>
      </c>
      <c r="E415" s="21">
        <v>6</v>
      </c>
      <c r="F415" s="27" t="s">
        <v>601</v>
      </c>
      <c r="I415" s="31" t="str">
        <f t="shared" si="164"/>
        <v>SiteCodeDocument2MTH 1289-1294 A6</v>
      </c>
    </row>
    <row r="416" spans="1:9" ht="23.25" customHeight="1" x14ac:dyDescent="0.2">
      <c r="A416" s="21">
        <f t="shared" si="165"/>
        <v>1296</v>
      </c>
      <c r="B416" s="7">
        <f t="shared" si="163"/>
        <v>1301</v>
      </c>
      <c r="C416" s="7">
        <f t="shared" si="152"/>
        <v>1295</v>
      </c>
      <c r="D416" s="7">
        <f t="shared" si="153"/>
        <v>1300</v>
      </c>
      <c r="E416" s="21">
        <v>6</v>
      </c>
      <c r="F416" s="27" t="s">
        <v>605</v>
      </c>
      <c r="I416" s="31" t="str">
        <f t="shared" si="164"/>
        <v>SiteCodeDocument3SCI 1295-1300 A6</v>
      </c>
    </row>
    <row r="417" spans="1:9" ht="22.5" customHeight="1" x14ac:dyDescent="0.2">
      <c r="A417" s="21">
        <f t="shared" si="165"/>
        <v>1302</v>
      </c>
      <c r="B417" s="7">
        <f t="shared" si="163"/>
        <v>1307</v>
      </c>
      <c r="C417" s="7">
        <f t="shared" si="152"/>
        <v>1301</v>
      </c>
      <c r="D417" s="7">
        <f t="shared" si="153"/>
        <v>1306</v>
      </c>
      <c r="E417" s="21">
        <v>6</v>
      </c>
      <c r="F417" s="27" t="s">
        <v>609</v>
      </c>
      <c r="I417" s="31" t="str">
        <f t="shared" si="164"/>
        <v>SiteCodeDocument4SST 1301-1306 A6</v>
      </c>
    </row>
    <row r="418" spans="1:9" x14ac:dyDescent="0.2">
      <c r="A418" s="21">
        <f>A417+E417</f>
        <v>1308</v>
      </c>
      <c r="B418" s="7">
        <f t="shared" si="163"/>
        <v>1311</v>
      </c>
      <c r="C418" s="7">
        <f t="shared" si="152"/>
        <v>1307</v>
      </c>
      <c r="D418" s="7">
        <f t="shared" si="153"/>
        <v>1310</v>
      </c>
      <c r="E418" s="21">
        <v>4</v>
      </c>
      <c r="F418" s="25" t="str">
        <f>CONCATENATE(H418,G418)</f>
        <v>FILLER46</v>
      </c>
      <c r="G418" s="31">
        <v>46</v>
      </c>
      <c r="H418" s="25" t="s">
        <v>64</v>
      </c>
      <c r="I418" s="31" t="str">
        <f t="shared" si="164"/>
        <v>FILLER46 1307-1310 A4</v>
      </c>
    </row>
    <row r="419" spans="1:9" x14ac:dyDescent="0.2">
      <c r="C419" s="7"/>
      <c r="D419" s="7"/>
      <c r="F419" s="28" t="s">
        <v>117</v>
      </c>
    </row>
    <row r="420" spans="1:9" x14ac:dyDescent="0.2">
      <c r="A420" s="21">
        <f>A418+E418</f>
        <v>1312</v>
      </c>
      <c r="B420" s="7">
        <f t="shared" ref="B420:B423" si="166">A420+E420-1</f>
        <v>1313</v>
      </c>
      <c r="C420" s="7">
        <f t="shared" si="152"/>
        <v>1311</v>
      </c>
      <c r="D420" s="7">
        <f t="shared" si="153"/>
        <v>1312</v>
      </c>
      <c r="E420" s="21">
        <v>2</v>
      </c>
      <c r="F420" s="4" t="s">
        <v>497</v>
      </c>
      <c r="I420" s="31" t="str">
        <f t="shared" ref="I420:I423" si="167">CONCATENATE(F420," ",C420,"-",D420," A",E420)</f>
        <v>AssessGroupType 1311-1312 A2</v>
      </c>
    </row>
    <row r="421" spans="1:9" x14ac:dyDescent="0.2">
      <c r="A421" s="21">
        <f t="shared" ref="A421:A422" si="168">A420+E420</f>
        <v>1314</v>
      </c>
      <c r="B421" s="7">
        <f t="shared" si="166"/>
        <v>1314</v>
      </c>
      <c r="C421" s="7">
        <f t="shared" si="152"/>
        <v>1313</v>
      </c>
      <c r="D421" s="7">
        <f t="shared" si="153"/>
        <v>1313</v>
      </c>
      <c r="E421" s="21">
        <v>1</v>
      </c>
      <c r="F421" s="29" t="s">
        <v>524</v>
      </c>
      <c r="I421" s="31" t="str">
        <f t="shared" si="167"/>
        <v>HomeStudyNonpublicFlag 1313-1313 A1</v>
      </c>
    </row>
    <row r="422" spans="1:9" x14ac:dyDescent="0.2">
      <c r="A422" s="21">
        <f t="shared" si="168"/>
        <v>1315</v>
      </c>
      <c r="B422" s="7">
        <f t="shared" si="166"/>
        <v>1315</v>
      </c>
      <c r="C422" s="7">
        <f t="shared" si="152"/>
        <v>1314</v>
      </c>
      <c r="D422" s="7">
        <f t="shared" si="153"/>
        <v>1314</v>
      </c>
      <c r="E422" s="21">
        <v>1</v>
      </c>
      <c r="F422" s="29" t="s">
        <v>498</v>
      </c>
      <c r="I422" s="31" t="str">
        <f t="shared" si="167"/>
        <v>CharterType 1314-1314 A1</v>
      </c>
    </row>
    <row r="423" spans="1:9" x14ac:dyDescent="0.2">
      <c r="A423" s="21">
        <f>A422+E422</f>
        <v>1316</v>
      </c>
      <c r="B423" s="7">
        <f t="shared" si="166"/>
        <v>1511</v>
      </c>
      <c r="C423" s="7">
        <f t="shared" si="152"/>
        <v>1315</v>
      </c>
      <c r="D423" s="7">
        <f t="shared" si="153"/>
        <v>1510</v>
      </c>
      <c r="E423" s="21">
        <v>196</v>
      </c>
      <c r="F423" s="25" t="str">
        <f>CONCATENATE(H423,G423)</f>
        <v>FILLER47</v>
      </c>
      <c r="G423" s="31">
        <v>47</v>
      </c>
      <c r="H423" s="25" t="s">
        <v>64</v>
      </c>
      <c r="I423" s="31" t="str">
        <f t="shared" si="167"/>
        <v>FILLER47 1315-1510 A196</v>
      </c>
    </row>
    <row r="424" spans="1:9" x14ac:dyDescent="0.2">
      <c r="C424" s="7"/>
      <c r="D424" s="7"/>
      <c r="F424" s="28" t="s">
        <v>143</v>
      </c>
    </row>
    <row r="425" spans="1:9" x14ac:dyDescent="0.2">
      <c r="A425" s="21">
        <f>A423+E423</f>
        <v>1512</v>
      </c>
      <c r="B425" s="7">
        <f t="shared" ref="B425:B435" si="169">A425+E425-1</f>
        <v>1512</v>
      </c>
      <c r="C425" s="7">
        <f t="shared" si="152"/>
        <v>1511</v>
      </c>
      <c r="D425" s="7">
        <f t="shared" si="153"/>
        <v>1511</v>
      </c>
      <c r="E425" s="21">
        <v>1</v>
      </c>
      <c r="F425" s="4" t="s">
        <v>499</v>
      </c>
      <c r="I425" s="31" t="str">
        <f t="shared" ref="I425:I435" si="170">CONCATENATE(F425," ",C425,"-",D425," A",E425)</f>
        <v>RolluptoState 1511-1511 A1</v>
      </c>
    </row>
    <row r="426" spans="1:9" x14ac:dyDescent="0.2">
      <c r="A426" s="21">
        <f t="shared" ref="A426:A433" si="171">A425+E425</f>
        <v>1513</v>
      </c>
      <c r="B426" s="7">
        <f t="shared" si="169"/>
        <v>1513</v>
      </c>
      <c r="C426" s="7">
        <f t="shared" si="152"/>
        <v>1512</v>
      </c>
      <c r="D426" s="7">
        <f t="shared" si="153"/>
        <v>1512</v>
      </c>
      <c r="E426" s="21">
        <v>1</v>
      </c>
      <c r="F426" s="4" t="s">
        <v>500</v>
      </c>
      <c r="I426" s="31" t="str">
        <f t="shared" si="170"/>
        <v>IncludeinDistrictMediaReports 1512-1512 A1</v>
      </c>
    </row>
    <row r="427" spans="1:9" x14ac:dyDescent="0.2">
      <c r="A427" s="21">
        <f t="shared" si="171"/>
        <v>1514</v>
      </c>
      <c r="B427" s="7">
        <f t="shared" si="169"/>
        <v>1514</v>
      </c>
      <c r="C427" s="7">
        <f t="shared" si="152"/>
        <v>1513</v>
      </c>
      <c r="D427" s="7">
        <f t="shared" si="153"/>
        <v>1513</v>
      </c>
      <c r="E427" s="21">
        <v>1</v>
      </c>
      <c r="F427" s="4" t="s">
        <v>501</v>
      </c>
      <c r="I427" s="31" t="str">
        <f t="shared" si="170"/>
        <v>IncludeinSchoolMediaReports 1513-1513 A1</v>
      </c>
    </row>
    <row r="428" spans="1:9" ht="25.5" x14ac:dyDescent="0.2">
      <c r="A428" s="21">
        <f t="shared" si="171"/>
        <v>1515</v>
      </c>
      <c r="B428" s="7">
        <f t="shared" si="169"/>
        <v>1515</v>
      </c>
      <c r="C428" s="7">
        <f t="shared" si="152"/>
        <v>1514</v>
      </c>
      <c r="D428" s="7">
        <f t="shared" si="153"/>
        <v>1514</v>
      </c>
      <c r="E428" s="21">
        <v>1</v>
      </c>
      <c r="F428" s="4" t="s">
        <v>502</v>
      </c>
      <c r="I428" s="31" t="str">
        <f t="shared" si="170"/>
        <v>SummarizetoAssessmentGroupCodefordistrictlevelreporting 1514-1514 A1</v>
      </c>
    </row>
    <row r="429" spans="1:9" x14ac:dyDescent="0.2">
      <c r="A429" s="21">
        <f t="shared" si="171"/>
        <v>1516</v>
      </c>
      <c r="B429" s="7">
        <f t="shared" si="169"/>
        <v>1516</v>
      </c>
      <c r="C429" s="7">
        <f t="shared" si="152"/>
        <v>1515</v>
      </c>
      <c r="D429" s="7">
        <f t="shared" si="153"/>
        <v>1515</v>
      </c>
      <c r="E429" s="21">
        <v>1</v>
      </c>
      <c r="F429" s="25" t="str">
        <f>CONCATENATE(H429,G429)</f>
        <v>FILLER48</v>
      </c>
      <c r="G429" s="31">
        <v>48</v>
      </c>
      <c r="H429" s="25" t="s">
        <v>64</v>
      </c>
      <c r="I429" s="31" t="str">
        <f t="shared" si="170"/>
        <v>FILLER48 1515-1515 A1</v>
      </c>
    </row>
    <row r="430" spans="1:9" ht="25.5" x14ac:dyDescent="0.2">
      <c r="A430" s="21">
        <f t="shared" si="171"/>
        <v>1517</v>
      </c>
      <c r="B430" s="7">
        <f t="shared" si="169"/>
        <v>1517</v>
      </c>
      <c r="C430" s="7">
        <f t="shared" si="152"/>
        <v>1516</v>
      </c>
      <c r="D430" s="7">
        <f t="shared" si="153"/>
        <v>1516</v>
      </c>
      <c r="E430" s="21">
        <v>1</v>
      </c>
      <c r="F430" s="4" t="s">
        <v>503</v>
      </c>
      <c r="I430" s="31" t="str">
        <f t="shared" si="170"/>
        <v>SchoolssummarizedtoLEACodefordistrictlevelreporting 1516-1516 A1</v>
      </c>
    </row>
    <row r="431" spans="1:9" x14ac:dyDescent="0.2">
      <c r="A431" s="21">
        <f t="shared" si="171"/>
        <v>1518</v>
      </c>
      <c r="B431" s="7">
        <f t="shared" si="169"/>
        <v>1518</v>
      </c>
      <c r="C431" s="7">
        <f t="shared" si="152"/>
        <v>1517</v>
      </c>
      <c r="D431" s="7">
        <f t="shared" si="153"/>
        <v>1517</v>
      </c>
      <c r="E431" s="21">
        <v>1</v>
      </c>
      <c r="F431" s="25" t="str">
        <f>CONCATENATE(H431,G431)</f>
        <v>FILLER49</v>
      </c>
      <c r="G431" s="31">
        <v>49</v>
      </c>
      <c r="H431" s="25" t="s">
        <v>64</v>
      </c>
      <c r="I431" s="31" t="str">
        <f t="shared" si="170"/>
        <v>FILLER49 1517-1517 A1</v>
      </c>
    </row>
    <row r="432" spans="1:9" x14ac:dyDescent="0.2">
      <c r="A432" s="21">
        <f t="shared" si="171"/>
        <v>1519</v>
      </c>
      <c r="B432" s="7">
        <f t="shared" si="169"/>
        <v>1524</v>
      </c>
      <c r="C432" s="7">
        <f t="shared" si="152"/>
        <v>1518</v>
      </c>
      <c r="D432" s="7">
        <f t="shared" si="153"/>
        <v>1523</v>
      </c>
      <c r="E432" s="21">
        <v>6</v>
      </c>
      <c r="F432" s="4" t="s">
        <v>504</v>
      </c>
      <c r="I432" s="31" t="str">
        <f t="shared" si="170"/>
        <v>SiteReportCode 1518-1523 A6</v>
      </c>
    </row>
    <row r="433" spans="1:9" x14ac:dyDescent="0.2">
      <c r="A433" s="21">
        <f t="shared" si="171"/>
        <v>1525</v>
      </c>
      <c r="B433" s="7">
        <f t="shared" si="169"/>
        <v>1526</v>
      </c>
      <c r="C433" s="7">
        <f t="shared" si="152"/>
        <v>1524</v>
      </c>
      <c r="D433" s="7">
        <f t="shared" si="153"/>
        <v>1525</v>
      </c>
      <c r="E433" s="21">
        <v>2</v>
      </c>
      <c r="F433" s="25" t="str">
        <f>CONCATENATE(H433,G433)</f>
        <v>FILLER50</v>
      </c>
      <c r="G433" s="31">
        <v>50</v>
      </c>
      <c r="H433" s="25" t="s">
        <v>64</v>
      </c>
      <c r="I433" s="31" t="str">
        <f t="shared" si="170"/>
        <v>FILLER50 1524-1525 A2</v>
      </c>
    </row>
    <row r="434" spans="1:9" x14ac:dyDescent="0.2">
      <c r="A434" s="21">
        <f>A433+E433</f>
        <v>1527</v>
      </c>
      <c r="B434" s="7">
        <f t="shared" si="169"/>
        <v>1527</v>
      </c>
      <c r="C434" s="7">
        <f t="shared" si="152"/>
        <v>1526</v>
      </c>
      <c r="D434" s="7">
        <f t="shared" si="153"/>
        <v>1526</v>
      </c>
      <c r="E434" s="21">
        <v>1</v>
      </c>
      <c r="F434" s="4" t="s">
        <v>505</v>
      </c>
      <c r="I434" s="31" t="str">
        <f t="shared" si="170"/>
        <v>SummaryReports 1526-1526 A1</v>
      </c>
    </row>
    <row r="435" spans="1:9" x14ac:dyDescent="0.2">
      <c r="A435" s="21">
        <f>A434+E434</f>
        <v>1528</v>
      </c>
      <c r="B435" s="7">
        <f t="shared" si="169"/>
        <v>1560</v>
      </c>
      <c r="C435" s="7">
        <f t="shared" si="152"/>
        <v>1527</v>
      </c>
      <c r="D435" s="7">
        <f t="shared" si="153"/>
        <v>1559</v>
      </c>
      <c r="E435" s="21">
        <v>33</v>
      </c>
      <c r="F435" s="25" t="str">
        <f>CONCATENATE(H435,G435)</f>
        <v>FILLER51</v>
      </c>
      <c r="G435" s="31">
        <v>51</v>
      </c>
      <c r="H435" s="25" t="s">
        <v>64</v>
      </c>
      <c r="I435" s="31" t="str">
        <f t="shared" si="170"/>
        <v>FILLER51 1527-1559 A33</v>
      </c>
    </row>
    <row r="436" spans="1:9" x14ac:dyDescent="0.2">
      <c r="C436" s="7"/>
      <c r="D436" s="7"/>
      <c r="F436" s="28" t="s">
        <v>150</v>
      </c>
    </row>
    <row r="437" spans="1:9" x14ac:dyDescent="0.2">
      <c r="C437" s="7"/>
      <c r="D437" s="7"/>
      <c r="F437" s="28" t="s">
        <v>598</v>
      </c>
    </row>
    <row r="438" spans="1:9" x14ac:dyDescent="0.2">
      <c r="A438" s="21">
        <f>A435+E435</f>
        <v>1561</v>
      </c>
      <c r="B438" s="7">
        <f t="shared" ref="B438:B439" si="172">A438+E438-1</f>
        <v>1563</v>
      </c>
      <c r="C438" s="7">
        <f t="shared" si="152"/>
        <v>1560</v>
      </c>
      <c r="D438" s="7">
        <f t="shared" si="153"/>
        <v>1562</v>
      </c>
      <c r="E438" s="21">
        <v>3</v>
      </c>
      <c r="F438" s="29" t="s">
        <v>517</v>
      </c>
      <c r="I438" s="31" t="str">
        <f t="shared" ref="I438:I439" si="173">CONCATENATE(F438," ",C438,"-",D438," A",E438)</f>
        <v>TestAdministratorNumberELA 1560-1562 A3</v>
      </c>
    </row>
    <row r="439" spans="1:9" x14ac:dyDescent="0.2">
      <c r="A439" s="21">
        <f>A438+E438</f>
        <v>1564</v>
      </c>
      <c r="B439" s="7">
        <f t="shared" si="172"/>
        <v>1603</v>
      </c>
      <c r="C439" s="7">
        <f t="shared" si="152"/>
        <v>1563</v>
      </c>
      <c r="D439" s="7">
        <f t="shared" si="153"/>
        <v>1602</v>
      </c>
      <c r="E439" s="21">
        <v>40</v>
      </c>
      <c r="F439" s="25" t="str">
        <f>CONCATENATE(H439,G439)</f>
        <v>FILLER52</v>
      </c>
      <c r="G439" s="31">
        <v>52</v>
      </c>
      <c r="H439" s="25" t="s">
        <v>64</v>
      </c>
      <c r="I439" s="31" t="str">
        <f t="shared" si="173"/>
        <v>FILLER52 1563-1602 A40</v>
      </c>
    </row>
    <row r="440" spans="1:9" x14ac:dyDescent="0.2">
      <c r="C440" s="7"/>
      <c r="D440" s="7"/>
      <c r="F440" s="28" t="s">
        <v>602</v>
      </c>
    </row>
    <row r="441" spans="1:9" x14ac:dyDescent="0.2">
      <c r="A441" s="21">
        <f>A439+E439</f>
        <v>1604</v>
      </c>
      <c r="B441" s="7">
        <f t="shared" ref="B441:B442" si="174">A441+E441-1</f>
        <v>1606</v>
      </c>
      <c r="C441" s="7">
        <f t="shared" si="152"/>
        <v>1603</v>
      </c>
      <c r="D441" s="7">
        <f t="shared" si="153"/>
        <v>1605</v>
      </c>
      <c r="E441" s="21">
        <v>3</v>
      </c>
      <c r="F441" s="29" t="s">
        <v>570</v>
      </c>
      <c r="I441" s="31" t="str">
        <f t="shared" ref="I441:I442" si="175">CONCATENATE(F441," ",C441,"-",D441," A",E441)</f>
        <v>TestAdministratorNumberMTH 1603-1605 A3</v>
      </c>
    </row>
    <row r="442" spans="1:9" x14ac:dyDescent="0.2">
      <c r="A442" s="21">
        <f t="shared" ref="A442" si="176">A441+E441</f>
        <v>1607</v>
      </c>
      <c r="B442" s="7">
        <f t="shared" si="174"/>
        <v>1646</v>
      </c>
      <c r="C442" s="7">
        <f t="shared" si="152"/>
        <v>1606</v>
      </c>
      <c r="D442" s="7">
        <f t="shared" si="153"/>
        <v>1645</v>
      </c>
      <c r="E442" s="21">
        <v>40</v>
      </c>
      <c r="F442" s="25" t="str">
        <f>CONCATENATE(H442,G442)</f>
        <v>FILLER53</v>
      </c>
      <c r="G442" s="31">
        <v>53</v>
      </c>
      <c r="H442" s="25" t="s">
        <v>64</v>
      </c>
      <c r="I442" s="31" t="str">
        <f t="shared" si="175"/>
        <v>FILLER53 1606-1645 A40</v>
      </c>
    </row>
    <row r="443" spans="1:9" x14ac:dyDescent="0.2">
      <c r="C443" s="7"/>
      <c r="D443" s="7"/>
      <c r="F443" s="28" t="s">
        <v>606</v>
      </c>
    </row>
    <row r="444" spans="1:9" x14ac:dyDescent="0.2">
      <c r="A444" s="21">
        <f>A442+E442</f>
        <v>1647</v>
      </c>
      <c r="B444" s="7">
        <f t="shared" ref="B444:B445" si="177">A444+E444-1</f>
        <v>1649</v>
      </c>
      <c r="C444" s="7">
        <f t="shared" si="152"/>
        <v>1646</v>
      </c>
      <c r="D444" s="7">
        <f t="shared" si="153"/>
        <v>1648</v>
      </c>
      <c r="E444" s="21">
        <v>3</v>
      </c>
      <c r="F444" s="29" t="s">
        <v>582</v>
      </c>
      <c r="I444" s="31" t="str">
        <f t="shared" ref="I444:I445" si="178">CONCATENATE(F444," ",C444,"-",D444," A",E444)</f>
        <v>TestAdministratorNumberSCI 1646-1648 A3</v>
      </c>
    </row>
    <row r="445" spans="1:9" x14ac:dyDescent="0.2">
      <c r="A445" s="21">
        <f t="shared" ref="A445" si="179">A444+E444</f>
        <v>1650</v>
      </c>
      <c r="B445" s="7">
        <f t="shared" si="177"/>
        <v>1689</v>
      </c>
      <c r="C445" s="7">
        <f t="shared" si="152"/>
        <v>1649</v>
      </c>
      <c r="D445" s="7">
        <f t="shared" si="153"/>
        <v>1688</v>
      </c>
      <c r="E445" s="21">
        <v>40</v>
      </c>
      <c r="F445" s="25" t="str">
        <f>CONCATENATE(H445,G445)</f>
        <v>FILLER54</v>
      </c>
      <c r="G445" s="31">
        <v>54</v>
      </c>
      <c r="H445" s="25" t="s">
        <v>64</v>
      </c>
      <c r="I445" s="31" t="str">
        <f t="shared" si="178"/>
        <v>FILLER54 1649-1688 A40</v>
      </c>
    </row>
    <row r="446" spans="1:9" x14ac:dyDescent="0.2">
      <c r="C446" s="7"/>
      <c r="D446" s="7"/>
      <c r="F446" s="28" t="s">
        <v>610</v>
      </c>
    </row>
    <row r="447" spans="1:9" x14ac:dyDescent="0.2">
      <c r="A447" s="21">
        <f>A445+E445</f>
        <v>1690</v>
      </c>
      <c r="B447" s="7">
        <f t="shared" ref="B447:B449" si="180">A447+E447-1</f>
        <v>1692</v>
      </c>
      <c r="C447" s="7">
        <f t="shared" si="152"/>
        <v>1689</v>
      </c>
      <c r="D447" s="7">
        <f t="shared" si="153"/>
        <v>1691</v>
      </c>
      <c r="E447" s="21">
        <v>3</v>
      </c>
      <c r="F447" s="29" t="s">
        <v>594</v>
      </c>
      <c r="I447" s="31" t="str">
        <f t="shared" ref="I447:I449" si="181">CONCATENATE(F447," ",C447,"-",D447," A",E447)</f>
        <v>TestAdministratorNumberSST 1689-1691 A3</v>
      </c>
    </row>
    <row r="448" spans="1:9" x14ac:dyDescent="0.2">
      <c r="A448" s="34">
        <f>A447+E447</f>
        <v>1693</v>
      </c>
      <c r="B448" s="34">
        <f t="shared" si="180"/>
        <v>3027</v>
      </c>
      <c r="C448" s="7">
        <f t="shared" si="152"/>
        <v>1692</v>
      </c>
      <c r="D448" s="7">
        <f t="shared" si="153"/>
        <v>3026</v>
      </c>
      <c r="E448" s="43">
        <v>1335</v>
      </c>
      <c r="F448" s="25" t="str">
        <f>CONCATENATE(H448,G448)</f>
        <v>FILLER55</v>
      </c>
      <c r="G448" s="31">
        <v>55</v>
      </c>
      <c r="H448" s="25" t="s">
        <v>64</v>
      </c>
      <c r="I448" s="31" t="str">
        <f t="shared" si="181"/>
        <v>FILLER55 1692-3026 A1335</v>
      </c>
    </row>
    <row r="449" spans="1:9" x14ac:dyDescent="0.2">
      <c r="A449" s="20">
        <f>A448+E448</f>
        <v>3028</v>
      </c>
      <c r="B449" s="7">
        <f t="shared" si="180"/>
        <v>3046</v>
      </c>
      <c r="C449" s="7">
        <f t="shared" si="152"/>
        <v>3027</v>
      </c>
      <c r="D449" s="7">
        <f t="shared" si="153"/>
        <v>3045</v>
      </c>
      <c r="E449" s="21">
        <v>19</v>
      </c>
      <c r="F449" s="4" t="s">
        <v>506</v>
      </c>
      <c r="I449" s="31" t="str">
        <f t="shared" si="181"/>
        <v>FileCreationDateandTimeStamp 3027-3045 A19</v>
      </c>
    </row>
    <row r="452" spans="1:9" x14ac:dyDescent="0.2">
      <c r="A452" s="36" t="s">
        <v>273</v>
      </c>
      <c r="B452" s="31"/>
      <c r="C452" s="31"/>
      <c r="D452" s="31"/>
      <c r="E452" s="49">
        <f>B449</f>
        <v>3046</v>
      </c>
    </row>
  </sheetData>
  <autoFilter ref="A2:I449"/>
  <mergeCells count="1">
    <mergeCell ref="A1:F1"/>
  </mergeCells>
  <printOptions gridLines="1"/>
  <pageMargins left="0.7" right="0.7" top="0.49657738095238102" bottom="0.75" header="0.3" footer="0.3"/>
  <pageSetup scale="48" fitToHeight="0" orientation="landscape" r:id="rId1"/>
  <headerFooter>
    <oddHeader>&amp;RLayout provided by Data Recognition Corporation - Proprietary and Confidential</oddHeader>
    <oddFooter>&amp;LK = Key Verification     E = Equating      M = Merge      C = Corrections&amp;CPage &amp;P of &amp;N&amp;RLast Saved Date: 7/5/2018 5:46:23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LDESTD</vt:lpstr>
      <vt:lpstr>Reference Locations</vt:lpstr>
      <vt:lpstr>spss load syntax</vt:lpstr>
    </vt:vector>
  </TitlesOfParts>
  <Company>DRC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Mallory Johannes</dc:creator>
  <cp:lastModifiedBy>Maria Knox</cp:lastModifiedBy>
  <cp:lastPrinted>2018-05-23T17:47:33Z</cp:lastPrinted>
  <dcterms:created xsi:type="dcterms:W3CDTF">2016-02-23T23:40:06Z</dcterms:created>
  <dcterms:modified xsi:type="dcterms:W3CDTF">2019-02-05T18:55:42Z</dcterms:modified>
</cp:coreProperties>
</file>