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defaultThemeVersion="124226"/>
  <mc:AlternateContent xmlns:mc="http://schemas.openxmlformats.org/markup-compatibility/2006">
    <mc:Choice Requires="x15">
      <x15ac:absPath xmlns:x15ac="http://schemas.microsoft.com/office/spreadsheetml/2010/11/ac" url="P:\LAProd\510785\Documents\"/>
    </mc:Choice>
  </mc:AlternateContent>
  <bookViews>
    <workbookView xWindow="0" yWindow="0" windowWidth="24000" windowHeight="9660"/>
  </bookViews>
  <sheets>
    <sheet name="LDESTD" sheetId="1" r:id="rId1"/>
    <sheet name="Revision Log" sheetId="2" r:id="rId2"/>
    <sheet name="Reference Locations" sheetId="3" r:id="rId3"/>
  </sheets>
  <definedNames>
    <definedName name="_xlnm._FilterDatabase" localSheetId="0" hidden="1">LDESTD!$A$2:$I$820</definedName>
  </definedNames>
  <calcPr calcId="171027"/>
</workbook>
</file>

<file path=xl/calcChain.xml><?xml version="1.0" encoding="utf-8"?>
<calcChain xmlns="http://schemas.openxmlformats.org/spreadsheetml/2006/main">
  <c r="D612" i="1" l="1"/>
  <c r="D611" i="1"/>
  <c r="E611" i="1" s="1"/>
  <c r="D5" i="1" l="1"/>
  <c r="D6" i="1" s="1"/>
  <c r="E4" i="1"/>
  <c r="E5" i="1" l="1"/>
  <c r="D7" i="1"/>
  <c r="E6" i="1"/>
  <c r="D8" i="1" l="1"/>
  <c r="E7" i="1"/>
  <c r="D9" i="1" l="1"/>
  <c r="E8" i="1"/>
  <c r="D10" i="1" l="1"/>
  <c r="E9" i="1"/>
  <c r="D11" i="1" l="1"/>
  <c r="E10" i="1"/>
  <c r="D12" i="1" l="1"/>
  <c r="E11" i="1"/>
  <c r="D13" i="1" l="1"/>
  <c r="E12" i="1"/>
  <c r="D14" i="1" l="1"/>
  <c r="E13" i="1"/>
  <c r="D15" i="1" l="1"/>
  <c r="E14" i="1"/>
  <c r="D16" i="1" l="1"/>
  <c r="E15" i="1"/>
  <c r="D17" i="1" l="1"/>
  <c r="E16" i="1"/>
  <c r="D18" i="1" l="1"/>
  <c r="E17" i="1"/>
  <c r="E18" i="1" l="1"/>
  <c r="D19" i="1"/>
  <c r="D20" i="1" l="1"/>
  <c r="E19" i="1"/>
  <c r="D21" i="1" l="1"/>
  <c r="E20" i="1"/>
  <c r="D22" i="1" l="1"/>
  <c r="E21" i="1"/>
  <c r="D23" i="1" l="1"/>
  <c r="D24" i="1" s="1"/>
  <c r="E24" i="1" s="1"/>
  <c r="E22" i="1"/>
  <c r="E23" i="1" l="1"/>
  <c r="D25" i="1" l="1"/>
  <c r="D26" i="1" l="1"/>
  <c r="D27" i="1" s="1"/>
  <c r="E27" i="1" s="1"/>
  <c r="E25" i="1"/>
  <c r="E26" i="1" l="1"/>
  <c r="D28" i="1" l="1"/>
  <c r="D29" i="1" l="1"/>
  <c r="D30" i="1" s="1"/>
  <c r="E28" i="1"/>
  <c r="E30" i="1" l="1"/>
  <c r="D31" i="1"/>
  <c r="E29" i="1"/>
  <c r="D32" i="1" l="1"/>
  <c r="D33" i="1" s="1"/>
  <c r="E31" i="1"/>
  <c r="E32" i="1" l="1"/>
  <c r="D34" i="1"/>
  <c r="E33" i="1"/>
  <c r="D35" i="1" l="1"/>
  <c r="D36" i="1" s="1"/>
  <c r="E34" i="1"/>
  <c r="E36" i="1" l="1"/>
  <c r="D37" i="1"/>
  <c r="E35" i="1"/>
  <c r="D38" i="1" l="1"/>
  <c r="D39" i="1" s="1"/>
  <c r="E37" i="1"/>
  <c r="D40" i="1" l="1"/>
  <c r="E39" i="1"/>
  <c r="E38" i="1"/>
  <c r="E40" i="1" l="1"/>
  <c r="D41" i="1"/>
  <c r="D42" i="1" l="1"/>
  <c r="E41" i="1"/>
  <c r="E42" i="1" l="1"/>
  <c r="D43" i="1"/>
  <c r="D44" i="1" l="1"/>
  <c r="E43" i="1"/>
  <c r="E44" i="1" l="1"/>
  <c r="D45" i="1"/>
  <c r="E45" i="1" l="1"/>
  <c r="D47" i="1"/>
  <c r="E47" i="1" l="1"/>
  <c r="D48" i="1"/>
  <c r="E48" i="1" l="1"/>
  <c r="D49" i="1"/>
  <c r="D50" i="1" l="1"/>
  <c r="E49" i="1"/>
  <c r="D51" i="1" l="1"/>
  <c r="E50" i="1"/>
  <c r="D52" i="1" l="1"/>
  <c r="E51" i="1"/>
  <c r="D53" i="1" l="1"/>
  <c r="E52" i="1"/>
  <c r="D54" i="1" l="1"/>
  <c r="E53" i="1"/>
  <c r="E54" i="1" l="1"/>
  <c r="D55" i="1"/>
  <c r="E55" i="1" l="1"/>
  <c r="D57" i="1"/>
  <c r="E57" i="1" l="1"/>
  <c r="D58" i="1"/>
  <c r="D59" i="1" l="1"/>
  <c r="E58" i="1"/>
  <c r="D60" i="1" l="1"/>
  <c r="E59" i="1"/>
  <c r="E60" i="1" l="1"/>
  <c r="D61" i="1"/>
  <c r="E61" i="1" l="1"/>
  <c r="D62" i="1"/>
  <c r="E62" i="1" l="1"/>
  <c r="D64" i="1"/>
  <c r="E64" i="1" l="1"/>
  <c r="D65" i="1"/>
  <c r="D66" i="1" l="1"/>
  <c r="E65" i="1"/>
  <c r="D67" i="1" l="1"/>
  <c r="E66" i="1"/>
  <c r="D68" i="1" l="1"/>
  <c r="E67" i="1"/>
  <c r="E68" i="1" l="1"/>
  <c r="D69" i="1"/>
  <c r="D70" i="1" l="1"/>
  <c r="E69" i="1"/>
  <c r="D71" i="1" l="1"/>
  <c r="E70" i="1"/>
  <c r="E71" i="1" l="1"/>
  <c r="D72" i="1"/>
  <c r="D73" i="1" l="1"/>
  <c r="E72" i="1"/>
  <c r="D74" i="1" l="1"/>
  <c r="E73" i="1"/>
  <c r="E74" i="1" l="1"/>
  <c r="D75" i="1"/>
  <c r="E75" i="1" l="1"/>
  <c r="D76" i="1"/>
  <c r="D77" i="1" l="1"/>
  <c r="E76" i="1"/>
  <c r="D78" i="1" l="1"/>
  <c r="E77" i="1"/>
  <c r="D79" i="1" l="1"/>
  <c r="E78" i="1"/>
  <c r="E79" i="1" l="1"/>
  <c r="D80" i="1"/>
  <c r="D82" i="1" l="1"/>
  <c r="E80" i="1"/>
  <c r="D83" i="1" l="1"/>
  <c r="E82" i="1"/>
  <c r="E83" i="1" l="1"/>
  <c r="D84" i="1"/>
  <c r="E84" i="1" l="1"/>
  <c r="D85" i="1"/>
  <c r="D86" i="1" l="1"/>
  <c r="E85" i="1"/>
  <c r="D87" i="1" l="1"/>
  <c r="E86" i="1"/>
  <c r="E87" i="1" l="1"/>
  <c r="D88" i="1"/>
  <c r="D89" i="1" l="1"/>
  <c r="E88" i="1"/>
  <c r="E89" i="1" l="1"/>
  <c r="D90" i="1"/>
  <c r="E90" i="1" l="1"/>
  <c r="D91" i="1"/>
  <c r="D92" i="1" l="1"/>
  <c r="E91" i="1"/>
  <c r="E92" i="1" l="1"/>
  <c r="D93" i="1"/>
  <c r="E93" i="1" l="1"/>
  <c r="D94" i="1"/>
  <c r="D95" i="1" s="1"/>
  <c r="E95" i="1" l="1"/>
  <c r="D96" i="1"/>
  <c r="E94" i="1"/>
  <c r="D98" i="1" l="1"/>
  <c r="E98" i="1" s="1"/>
  <c r="E96" i="1"/>
  <c r="D99" i="1" l="1"/>
  <c r="D100" i="1" s="1"/>
  <c r="E99" i="1" l="1"/>
  <c r="E100" i="1"/>
  <c r="D101" i="1"/>
  <c r="E101" i="1" l="1"/>
  <c r="D102" i="1"/>
  <c r="D103" i="1" l="1"/>
  <c r="E102" i="1"/>
  <c r="D104" i="1" l="1"/>
  <c r="E103" i="1"/>
  <c r="E104" i="1" l="1"/>
  <c r="D105" i="1"/>
  <c r="D106" i="1" s="1"/>
  <c r="D107" i="1" l="1"/>
  <c r="E106" i="1"/>
  <c r="E105" i="1"/>
  <c r="E107" i="1" l="1"/>
  <c r="D110" i="1"/>
  <c r="E110" i="1" s="1"/>
  <c r="D111" i="1" l="1"/>
  <c r="D112" i="1" s="1"/>
  <c r="E111" i="1" l="1"/>
  <c r="D113" i="1"/>
  <c r="E112" i="1"/>
  <c r="D114" i="1" l="1"/>
  <c r="D115" i="1" s="1"/>
  <c r="E113" i="1"/>
  <c r="D116" i="1" l="1"/>
  <c r="E115" i="1"/>
  <c r="E114" i="1"/>
  <c r="E116" i="1" l="1"/>
  <c r="D117" i="1"/>
  <c r="E117" i="1" l="1"/>
  <c r="D119" i="1"/>
  <c r="D120" i="1" l="1"/>
  <c r="D122" i="1" s="1"/>
  <c r="E119" i="1"/>
  <c r="E120" i="1" l="1"/>
  <c r="E122" i="1" l="1"/>
  <c r="D123" i="1"/>
  <c r="E123" i="1" l="1"/>
  <c r="D124" i="1"/>
  <c r="E124" i="1" l="1"/>
  <c r="D125" i="1"/>
  <c r="D126" i="1" l="1"/>
  <c r="E125" i="1"/>
  <c r="D127" i="1" l="1"/>
  <c r="D128" i="1" s="1"/>
  <c r="E126" i="1"/>
  <c r="D129" i="1" l="1"/>
  <c r="E128" i="1"/>
  <c r="E127" i="1"/>
  <c r="E129" i="1" l="1"/>
  <c r="D130" i="1"/>
  <c r="E130" i="1" s="1"/>
  <c r="D132" i="1" l="1"/>
  <c r="E132" i="1" s="1"/>
  <c r="D133" i="1" l="1"/>
  <c r="E133" i="1" s="1"/>
  <c r="D135" i="1" l="1"/>
  <c r="E135" i="1" s="1"/>
  <c r="D136" i="1" l="1"/>
  <c r="E136" i="1" s="1"/>
  <c r="D137" i="1" l="1"/>
  <c r="D138" i="1" s="1"/>
  <c r="E137" i="1" l="1"/>
  <c r="E138" i="1"/>
  <c r="D139" i="1"/>
  <c r="D140" i="1" l="1"/>
  <c r="E139" i="1"/>
  <c r="D141" i="1" l="1"/>
  <c r="E140" i="1"/>
  <c r="E141" i="1" l="1"/>
  <c r="D142" i="1"/>
  <c r="D143" i="1" l="1"/>
  <c r="E142" i="1"/>
  <c r="E143" i="1" l="1"/>
  <c r="D144" i="1"/>
  <c r="D145" i="1" l="1"/>
  <c r="E144" i="1"/>
  <c r="E145" i="1" l="1"/>
  <c r="D146" i="1"/>
  <c r="D148" i="1" l="1"/>
  <c r="E146" i="1"/>
  <c r="D149" i="1" l="1"/>
  <c r="E148" i="1"/>
  <c r="D150" i="1" l="1"/>
  <c r="E149" i="1"/>
  <c r="D151" i="1" l="1"/>
  <c r="E150" i="1"/>
  <c r="E151" i="1" l="1"/>
  <c r="D152" i="1"/>
  <c r="E152" i="1" l="1"/>
  <c r="D153" i="1"/>
  <c r="E153" i="1" l="1"/>
  <c r="D154" i="1"/>
  <c r="D155" i="1" l="1"/>
  <c r="E154" i="1"/>
  <c r="E155" i="1" l="1"/>
  <c r="D156" i="1"/>
  <c r="E156" i="1" l="1"/>
  <c r="D157" i="1"/>
  <c r="D159" i="1" l="1"/>
  <c r="E157" i="1"/>
  <c r="D160" i="1" l="1"/>
  <c r="E159" i="1"/>
  <c r="E160" i="1" l="1"/>
  <c r="D161" i="1"/>
  <c r="D162" i="1" l="1"/>
  <c r="E161" i="1"/>
  <c r="E162" i="1" l="1"/>
  <c r="D163" i="1"/>
  <c r="D164" i="1" l="1"/>
  <c r="E163" i="1"/>
  <c r="E164" i="1" l="1"/>
  <c r="D166" i="1"/>
  <c r="E166" i="1" l="1"/>
  <c r="D167" i="1"/>
  <c r="D168" i="1" l="1"/>
  <c r="E167" i="1"/>
  <c r="E168" i="1" l="1"/>
  <c r="D169" i="1"/>
  <c r="D170" i="1" l="1"/>
  <c r="E169" i="1"/>
  <c r="E170" i="1" l="1"/>
  <c r="D171" i="1"/>
  <c r="E171" i="1" l="1"/>
  <c r="D172" i="1"/>
  <c r="D173" i="1" l="1"/>
  <c r="E172" i="1"/>
  <c r="E173" i="1" l="1"/>
  <c r="D174" i="1"/>
  <c r="E174" i="1" l="1"/>
  <c r="D175" i="1"/>
  <c r="D176" i="1" l="1"/>
  <c r="E175" i="1"/>
  <c r="E176" i="1" l="1"/>
  <c r="D177" i="1"/>
  <c r="E177" i="1" l="1"/>
  <c r="D178" i="1"/>
  <c r="E178" i="1" l="1"/>
  <c r="D179" i="1"/>
  <c r="E179" i="1" l="1"/>
  <c r="D180" i="1"/>
  <c r="E180" i="1" l="1"/>
  <c r="D181" i="1"/>
  <c r="E181" i="1" l="1"/>
  <c r="D182" i="1"/>
  <c r="D184" i="1" l="1"/>
  <c r="E182" i="1"/>
  <c r="D185" i="1" l="1"/>
  <c r="E184" i="1"/>
  <c r="D186" i="1" l="1"/>
  <c r="E185" i="1"/>
  <c r="E186" i="1" l="1"/>
  <c r="D187" i="1"/>
  <c r="E187" i="1" l="1"/>
  <c r="D188" i="1"/>
  <c r="E188" i="1" l="1"/>
  <c r="D189" i="1"/>
  <c r="D190" i="1" l="1"/>
  <c r="E189" i="1"/>
  <c r="D191" i="1" l="1"/>
  <c r="E190" i="1"/>
  <c r="D192" i="1" l="1"/>
  <c r="E191" i="1"/>
  <c r="E192" i="1" l="1"/>
  <c r="D193" i="1"/>
  <c r="D194" i="1" l="1"/>
  <c r="E193" i="1"/>
  <c r="E194" i="1" l="1"/>
  <c r="D195" i="1"/>
  <c r="D196" i="1" l="1"/>
  <c r="E195" i="1"/>
  <c r="E196" i="1" l="1"/>
  <c r="D197" i="1"/>
  <c r="D198" i="1" l="1"/>
  <c r="E197" i="1"/>
  <c r="E198" i="1" l="1"/>
  <c r="D199" i="1"/>
  <c r="D200" i="1" s="1"/>
  <c r="E200" i="1" l="1"/>
  <c r="D201" i="1"/>
  <c r="E199" i="1"/>
  <c r="D203" i="1" l="1"/>
  <c r="D204" i="1" s="1"/>
  <c r="E201" i="1"/>
  <c r="E203" i="1" l="1"/>
  <c r="E204" i="1"/>
  <c r="D205" i="1"/>
  <c r="D206" i="1" l="1"/>
  <c r="E205" i="1"/>
  <c r="E206" i="1" l="1"/>
  <c r="D207" i="1"/>
  <c r="E207" i="1" l="1"/>
  <c r="D208" i="1"/>
  <c r="D209" i="1" l="1"/>
  <c r="E208" i="1"/>
  <c r="E209" i="1" l="1"/>
  <c r="D210" i="1"/>
  <c r="D211" i="1" s="1"/>
  <c r="D212" i="1" l="1"/>
  <c r="E211" i="1"/>
  <c r="E210" i="1"/>
  <c r="D213" i="1" l="1"/>
  <c r="D215" i="1" s="1"/>
  <c r="E212" i="1"/>
  <c r="E213" i="1" l="1"/>
  <c r="E215" i="1"/>
  <c r="D216" i="1"/>
  <c r="E216" i="1" l="1"/>
  <c r="D217" i="1"/>
  <c r="D218" i="1" l="1"/>
  <c r="E217" i="1"/>
  <c r="E218" i="1" l="1"/>
  <c r="D219" i="1"/>
  <c r="D220" i="1" s="1"/>
  <c r="D221" i="1" s="1"/>
  <c r="E220" i="1" l="1"/>
  <c r="E219" i="1"/>
  <c r="E221" i="1" l="1"/>
  <c r="D222" i="1"/>
  <c r="E222" i="1" l="1"/>
  <c r="D223" i="1"/>
  <c r="D224" i="1" l="1"/>
  <c r="E223" i="1"/>
  <c r="E224" i="1" l="1"/>
  <c r="D227" i="1"/>
  <c r="E227" i="1" l="1"/>
  <c r="D228" i="1"/>
  <c r="D230" i="1" s="1"/>
  <c r="D231" i="1" l="1"/>
  <c r="E230" i="1"/>
  <c r="E228" i="1"/>
  <c r="D232" i="1" l="1"/>
  <c r="E231" i="1"/>
  <c r="E232" i="1" l="1"/>
  <c r="D233" i="1"/>
  <c r="E233" i="1" l="1"/>
  <c r="D234" i="1"/>
  <c r="E234" i="1" l="1"/>
  <c r="D235" i="1"/>
  <c r="D236" i="1" l="1"/>
  <c r="E235" i="1"/>
  <c r="D237" i="1" l="1"/>
  <c r="E236" i="1"/>
  <c r="E237" i="1" l="1"/>
  <c r="D238" i="1"/>
  <c r="D239" i="1" l="1"/>
  <c r="D242" i="1" s="1"/>
  <c r="E238" i="1"/>
  <c r="E239" i="1" l="1"/>
  <c r="E242" i="1" l="1"/>
  <c r="D243" i="1"/>
  <c r="D244" i="1" l="1"/>
  <c r="E243" i="1"/>
  <c r="E244" i="1" l="1"/>
  <c r="D245" i="1"/>
  <c r="D246" i="1" l="1"/>
  <c r="E245" i="1"/>
  <c r="E246" i="1" l="1"/>
  <c r="D248" i="1"/>
  <c r="E248" i="1" l="1"/>
  <c r="D249" i="1"/>
  <c r="E249" i="1" l="1"/>
  <c r="D250" i="1"/>
  <c r="D251" i="1" l="1"/>
  <c r="E250" i="1"/>
  <c r="E251" i="1" l="1"/>
  <c r="D252" i="1"/>
  <c r="E252" i="1" l="1"/>
  <c r="D253" i="1"/>
  <c r="E253" i="1" l="1"/>
  <c r="D254" i="1"/>
  <c r="E254" i="1" l="1"/>
  <c r="D255" i="1"/>
  <c r="E255" i="1" l="1"/>
  <c r="D256" i="1"/>
  <c r="D257" i="1" l="1"/>
  <c r="E256" i="1"/>
  <c r="D258" i="1" l="1"/>
  <c r="E257" i="1"/>
  <c r="D259" i="1" l="1"/>
  <c r="E258" i="1"/>
  <c r="D260" i="1" l="1"/>
  <c r="D261" i="1" s="1"/>
  <c r="E259" i="1"/>
  <c r="D262" i="1" l="1"/>
  <c r="E261" i="1"/>
  <c r="E260" i="1"/>
  <c r="E262" i="1" l="1"/>
  <c r="D263" i="1"/>
  <c r="D265" i="1" s="1"/>
  <c r="E263" i="1"/>
  <c r="E265" i="1" l="1"/>
  <c r="D266" i="1"/>
  <c r="E266" i="1" l="1"/>
  <c r="D267" i="1"/>
  <c r="E267" i="1" l="1"/>
  <c r="D268" i="1"/>
  <c r="E268" i="1" l="1"/>
  <c r="D269" i="1"/>
  <c r="D270" i="1" l="1"/>
  <c r="D272" i="1" s="1"/>
  <c r="E269" i="1"/>
  <c r="E270" i="1" l="1"/>
  <c r="D273" i="1" l="1"/>
  <c r="E272" i="1"/>
  <c r="E273" i="1" l="1"/>
  <c r="D274" i="1"/>
  <c r="E274" i="1" l="1"/>
  <c r="D276" i="1"/>
  <c r="D277" i="1" l="1"/>
  <c r="E276" i="1"/>
  <c r="D278" i="1" l="1"/>
  <c r="E277" i="1"/>
  <c r="E278" i="1" l="1"/>
  <c r="D279" i="1"/>
  <c r="E279" i="1" l="1"/>
  <c r="D280" i="1"/>
  <c r="E280" i="1" l="1"/>
  <c r="D281" i="1"/>
  <c r="D283" i="1" l="1"/>
  <c r="E281" i="1"/>
  <c r="D284" i="1" l="1"/>
  <c r="E283" i="1"/>
  <c r="E284" i="1" l="1"/>
  <c r="D285" i="1"/>
  <c r="D286" i="1" l="1"/>
  <c r="E285" i="1"/>
  <c r="E286" i="1" l="1"/>
  <c r="D287" i="1"/>
  <c r="D288" i="1" l="1"/>
  <c r="E287" i="1"/>
  <c r="E288" i="1" l="1"/>
  <c r="D289" i="1"/>
  <c r="D290" i="1" l="1"/>
  <c r="E289" i="1"/>
  <c r="E290" i="1" l="1"/>
  <c r="D291" i="1"/>
  <c r="E291" i="1" l="1"/>
  <c r="D292" i="1"/>
  <c r="D293" i="1" l="1"/>
  <c r="E292" i="1"/>
  <c r="D294" i="1" l="1"/>
  <c r="E293" i="1"/>
  <c r="E294" i="1" l="1"/>
  <c r="D295" i="1"/>
  <c r="D296" i="1" l="1"/>
  <c r="E295" i="1"/>
  <c r="E296" i="1" l="1"/>
  <c r="D297" i="1"/>
  <c r="E297" i="1" l="1"/>
  <c r="D298" i="1"/>
  <c r="E298" i="1" l="1"/>
  <c r="D299" i="1"/>
  <c r="D301" i="1" s="1"/>
  <c r="E301" i="1" l="1"/>
  <c r="D302" i="1"/>
  <c r="E299" i="1"/>
  <c r="D303" i="1" l="1"/>
  <c r="E302" i="1"/>
  <c r="D304" i="1" l="1"/>
  <c r="E303" i="1"/>
  <c r="D305" i="1" l="1"/>
  <c r="E304" i="1"/>
  <c r="E305" i="1" l="1"/>
  <c r="D306" i="1"/>
  <c r="D307" i="1" l="1"/>
  <c r="E306" i="1"/>
  <c r="E307" i="1" l="1"/>
  <c r="D308" i="1"/>
  <c r="D309" i="1" l="1"/>
  <c r="E308" i="1"/>
  <c r="E309" i="1" l="1"/>
  <c r="D310" i="1"/>
  <c r="D311" i="1" l="1"/>
  <c r="E310" i="1"/>
  <c r="E311" i="1" l="1"/>
  <c r="D312" i="1"/>
  <c r="D313" i="1" l="1"/>
  <c r="E312" i="1"/>
  <c r="E313" i="1" l="1"/>
  <c r="D314" i="1"/>
  <c r="D315" i="1" l="1"/>
  <c r="E314" i="1"/>
  <c r="E315" i="1" l="1"/>
  <c r="D316" i="1"/>
  <c r="D317" i="1" l="1"/>
  <c r="E316" i="1"/>
  <c r="E317" i="1" l="1"/>
  <c r="D318" i="1"/>
  <c r="E318" i="1" l="1"/>
  <c r="D320" i="1"/>
  <c r="D322" i="1" l="1"/>
  <c r="E320" i="1"/>
  <c r="E322" i="1" l="1"/>
  <c r="D323" i="1"/>
  <c r="D325" i="1" l="1"/>
  <c r="E323" i="1"/>
  <c r="D327" i="1" l="1"/>
  <c r="E325" i="1"/>
  <c r="D328" i="1" l="1"/>
  <c r="E327" i="1"/>
  <c r="E328" i="1" l="1"/>
  <c r="D329" i="1"/>
  <c r="D330" i="1" l="1"/>
  <c r="E329" i="1"/>
  <c r="D331" i="1" l="1"/>
  <c r="E330" i="1"/>
  <c r="D332" i="1" l="1"/>
  <c r="E331" i="1"/>
  <c r="D335" i="1" l="1"/>
  <c r="E332" i="1"/>
  <c r="D336" i="1" l="1"/>
  <c r="E335" i="1"/>
  <c r="D337" i="1" l="1"/>
  <c r="E336" i="1"/>
  <c r="E337" i="1" l="1"/>
  <c r="D338" i="1"/>
  <c r="D339" i="1" l="1"/>
  <c r="E338" i="1"/>
  <c r="E339" i="1" l="1"/>
  <c r="D340" i="1"/>
  <c r="D341" i="1" l="1"/>
  <c r="E340" i="1"/>
  <c r="E341" i="1" l="1"/>
  <c r="D342" i="1"/>
  <c r="D343" i="1" l="1"/>
  <c r="E342" i="1"/>
  <c r="E343" i="1" l="1"/>
  <c r="D344" i="1"/>
  <c r="E344" i="1" l="1"/>
  <c r="D347" i="1"/>
  <c r="E347" i="1" l="1"/>
  <c r="D348" i="1"/>
  <c r="D350" i="1" l="1"/>
  <c r="E348" i="1"/>
  <c r="D351" i="1" l="1"/>
  <c r="E350" i="1"/>
  <c r="D353" i="1" l="1"/>
  <c r="E351" i="1"/>
  <c r="D355" i="1" l="1"/>
  <c r="E353" i="1"/>
  <c r="E355" i="1" l="1"/>
  <c r="D356" i="1"/>
  <c r="D357" i="1" l="1"/>
  <c r="E356" i="1"/>
  <c r="D358" i="1" l="1"/>
  <c r="E357" i="1"/>
  <c r="E358" i="1" l="1"/>
  <c r="D359" i="1"/>
  <c r="D360" i="1" l="1"/>
  <c r="E359" i="1"/>
  <c r="D361" i="1" l="1"/>
  <c r="E360" i="1"/>
  <c r="E361" i="1" l="1"/>
  <c r="D363" i="1"/>
  <c r="D365" i="1" l="1"/>
  <c r="E363" i="1"/>
  <c r="D366" i="1" l="1"/>
  <c r="E365" i="1"/>
  <c r="E366" i="1" l="1"/>
  <c r="D367" i="1"/>
  <c r="D368" i="1" l="1"/>
  <c r="E367" i="1"/>
  <c r="E368" i="1" l="1"/>
  <c r="D369" i="1"/>
  <c r="D370" i="1" l="1"/>
  <c r="E369" i="1"/>
  <c r="E370" i="1" l="1"/>
  <c r="D371" i="1"/>
  <c r="D372" i="1" l="1"/>
  <c r="E371" i="1"/>
  <c r="E372" i="1" l="1"/>
  <c r="D373" i="1"/>
  <c r="D374" i="1" l="1"/>
  <c r="E373" i="1"/>
  <c r="E374" i="1" l="1"/>
  <c r="D375" i="1"/>
  <c r="E375" i="1" l="1"/>
  <c r="D377" i="1"/>
  <c r="E377" i="1" l="1"/>
  <c r="D378" i="1"/>
  <c r="E378" i="1" l="1"/>
  <c r="D379" i="1"/>
  <c r="D380" i="1" l="1"/>
  <c r="E379" i="1"/>
  <c r="E380" i="1" l="1"/>
  <c r="D381" i="1"/>
  <c r="E381" i="1" l="1"/>
  <c r="D382" i="1"/>
  <c r="D383" i="1" l="1"/>
  <c r="E382" i="1"/>
  <c r="E383" i="1" l="1"/>
  <c r="D384" i="1"/>
  <c r="D385" i="1" l="1"/>
  <c r="E384" i="1"/>
  <c r="E385" i="1" l="1"/>
  <c r="D387" i="1"/>
  <c r="D388" i="1" l="1"/>
  <c r="E387" i="1"/>
  <c r="E388" i="1" l="1"/>
  <c r="D389" i="1"/>
  <c r="E389" i="1" l="1"/>
  <c r="D390" i="1"/>
  <c r="D391" i="1" l="1"/>
  <c r="E390" i="1"/>
  <c r="D392" i="1" l="1"/>
  <c r="E391" i="1"/>
  <c r="E392" i="1" l="1"/>
  <c r="D394" i="1"/>
  <c r="E394" i="1" l="1"/>
  <c r="D395" i="1"/>
  <c r="D396" i="1" l="1"/>
  <c r="E395" i="1"/>
  <c r="E396" i="1" l="1"/>
  <c r="D397" i="1"/>
  <c r="E397" i="1" l="1"/>
  <c r="D398" i="1"/>
  <c r="D399" i="1" l="1"/>
  <c r="E398" i="1"/>
  <c r="D400" i="1" l="1"/>
  <c r="E399" i="1"/>
  <c r="D401" i="1" l="1"/>
  <c r="E400" i="1"/>
  <c r="E401" i="1" l="1"/>
  <c r="D402" i="1"/>
  <c r="D403" i="1" l="1"/>
  <c r="E402" i="1"/>
  <c r="E403" i="1" l="1"/>
  <c r="D404" i="1"/>
  <c r="E404" i="1" l="1"/>
  <c r="D405" i="1"/>
  <c r="E405" i="1" l="1"/>
  <c r="D406" i="1"/>
  <c r="D407" i="1" l="1"/>
  <c r="E406" i="1"/>
  <c r="E407" i="1" l="1"/>
  <c r="D408" i="1"/>
  <c r="D409" i="1" l="1"/>
  <c r="E408" i="1"/>
  <c r="E409" i="1" l="1"/>
  <c r="D410" i="1"/>
  <c r="D412" i="1" l="1"/>
  <c r="E410" i="1"/>
  <c r="D413" i="1" l="1"/>
  <c r="E412" i="1"/>
  <c r="D414" i="1" l="1"/>
  <c r="E413" i="1"/>
  <c r="D415" i="1" l="1"/>
  <c r="E414" i="1"/>
  <c r="E415" i="1" l="1"/>
  <c r="D416" i="1"/>
  <c r="E416" i="1" l="1"/>
  <c r="D417" i="1"/>
  <c r="D418" i="1" l="1"/>
  <c r="E417" i="1"/>
  <c r="E418" i="1" l="1"/>
  <c r="D419" i="1"/>
  <c r="D420" i="1" l="1"/>
  <c r="E419" i="1"/>
  <c r="E420" i="1" l="1"/>
  <c r="D421" i="1"/>
  <c r="E421" i="1" l="1"/>
  <c r="D422" i="1"/>
  <c r="D423" i="1" l="1"/>
  <c r="E422" i="1"/>
  <c r="D424" i="1" l="1"/>
  <c r="E423" i="1"/>
  <c r="E424" i="1" l="1"/>
  <c r="D425" i="1"/>
  <c r="E425" i="1" l="1"/>
  <c r="D426" i="1"/>
  <c r="E426" i="1" l="1"/>
  <c r="D427" i="1"/>
  <c r="D428" i="1" l="1"/>
  <c r="E427" i="1"/>
  <c r="E428" i="1" l="1"/>
  <c r="D429" i="1"/>
  <c r="D431" i="1" l="1"/>
  <c r="E429" i="1"/>
  <c r="D432" i="1" l="1"/>
  <c r="E431" i="1"/>
  <c r="E432" i="1" l="1"/>
  <c r="D433" i="1"/>
  <c r="E433" i="1" l="1"/>
  <c r="D434" i="1"/>
  <c r="D436" i="1" l="1"/>
  <c r="E434" i="1"/>
  <c r="D438" i="1" l="1"/>
  <c r="E436" i="1"/>
  <c r="E438" i="1" l="1"/>
  <c r="D439" i="1"/>
  <c r="E439" i="1" l="1"/>
  <c r="D440" i="1"/>
  <c r="D441" i="1" l="1"/>
  <c r="E440" i="1"/>
  <c r="D442" i="1" l="1"/>
  <c r="E441" i="1"/>
  <c r="D443" i="1" l="1"/>
  <c r="E442" i="1"/>
  <c r="D445" i="1" l="1"/>
  <c r="E443" i="1"/>
  <c r="D446" i="1" l="1"/>
  <c r="E445" i="1"/>
  <c r="E446" i="1" l="1"/>
  <c r="D447" i="1"/>
  <c r="D448" i="1" l="1"/>
  <c r="E447" i="1"/>
  <c r="D449" i="1" l="1"/>
  <c r="E448" i="1"/>
  <c r="D450" i="1" l="1"/>
  <c r="E449" i="1"/>
  <c r="D451" i="1" l="1"/>
  <c r="E450" i="1"/>
  <c r="D452" i="1" l="1"/>
  <c r="E451" i="1"/>
  <c r="E452" i="1" l="1"/>
  <c r="D453" i="1"/>
  <c r="E453" i="1" l="1"/>
  <c r="D454" i="1"/>
  <c r="E454" i="1" l="1"/>
  <c r="D457" i="1"/>
  <c r="D458" i="1" l="1"/>
  <c r="E457" i="1"/>
  <c r="D460" i="1" l="1"/>
  <c r="E458" i="1"/>
  <c r="E460" i="1" l="1"/>
  <c r="D461" i="1"/>
  <c r="D463" i="1" l="1"/>
  <c r="E461" i="1"/>
  <c r="D465" i="1" l="1"/>
  <c r="E463" i="1"/>
  <c r="D466" i="1" l="1"/>
  <c r="E465" i="1"/>
  <c r="E466" i="1" l="1"/>
  <c r="D467" i="1"/>
  <c r="D468" i="1" l="1"/>
  <c r="E467" i="1"/>
  <c r="D469" i="1" l="1"/>
  <c r="E468" i="1"/>
  <c r="E469" i="1" l="1"/>
  <c r="D470" i="1"/>
  <c r="D471" i="1" l="1"/>
  <c r="E470" i="1"/>
  <c r="D473" i="1" l="1"/>
  <c r="E471" i="1"/>
  <c r="D474" i="1" l="1"/>
  <c r="E473" i="1"/>
  <c r="E474" i="1" l="1"/>
  <c r="D476" i="1"/>
  <c r="E476" i="1" l="1"/>
  <c r="D477" i="1"/>
  <c r="D478" i="1" l="1"/>
  <c r="E477" i="1"/>
  <c r="D479" i="1" l="1"/>
  <c r="E478" i="1"/>
  <c r="E479" i="1" l="1"/>
  <c r="D480" i="1"/>
  <c r="E480" i="1" l="1"/>
  <c r="D481" i="1"/>
  <c r="E481" i="1" l="1"/>
  <c r="D482" i="1"/>
  <c r="E482" i="1" l="1"/>
  <c r="D483" i="1"/>
  <c r="D484" i="1" l="1"/>
  <c r="E483" i="1"/>
  <c r="D485" i="1" l="1"/>
  <c r="E484" i="1"/>
  <c r="D486" i="1" l="1"/>
  <c r="E485" i="1"/>
  <c r="E486" i="1" l="1"/>
  <c r="D487" i="1"/>
  <c r="E487" i="1" l="1"/>
  <c r="D490" i="1"/>
  <c r="D491" i="1" l="1"/>
  <c r="E490" i="1"/>
  <c r="D492" i="1" l="1"/>
  <c r="E491" i="1"/>
  <c r="D493" i="1" l="1"/>
  <c r="E492" i="1"/>
  <c r="E493" i="1" l="1"/>
  <c r="D494" i="1"/>
  <c r="D495" i="1" l="1"/>
  <c r="E494" i="1"/>
  <c r="D496" i="1" l="1"/>
  <c r="E495" i="1"/>
  <c r="D497" i="1" l="1"/>
  <c r="E496" i="1"/>
  <c r="D499" i="1" l="1"/>
  <c r="E497" i="1"/>
  <c r="E499" i="1" l="1"/>
  <c r="D500" i="1"/>
  <c r="E500" i="1" l="1"/>
  <c r="D501" i="1"/>
  <c r="D502" i="1" l="1"/>
  <c r="E501" i="1"/>
  <c r="E502" i="1" l="1"/>
  <c r="D503" i="1"/>
  <c r="D504" i="1" l="1"/>
  <c r="E503" i="1"/>
  <c r="E504" i="1" l="1"/>
  <c r="D505" i="1"/>
  <c r="E505" i="1" l="1"/>
  <c r="D507" i="1"/>
  <c r="E507" i="1" l="1"/>
  <c r="D508" i="1"/>
  <c r="E508" i="1" l="1"/>
  <c r="D509" i="1"/>
  <c r="E509" i="1" l="1"/>
  <c r="D510" i="1"/>
  <c r="D511" i="1" l="1"/>
  <c r="E510" i="1"/>
  <c r="D512" i="1" l="1"/>
  <c r="E511" i="1"/>
  <c r="D513" i="1" l="1"/>
  <c r="E512" i="1"/>
  <c r="E513" i="1" l="1"/>
  <c r="D514" i="1"/>
  <c r="D516" i="1" l="1"/>
  <c r="E514" i="1"/>
  <c r="E516" i="1" l="1"/>
  <c r="D517" i="1"/>
  <c r="D518" i="1" l="1"/>
  <c r="E517" i="1"/>
  <c r="E518" i="1" l="1"/>
  <c r="D519" i="1"/>
  <c r="E519" i="1" l="1"/>
  <c r="D520" i="1"/>
  <c r="E520" i="1" l="1"/>
  <c r="D521" i="1"/>
  <c r="D522" i="1" l="1"/>
  <c r="E521" i="1"/>
  <c r="E522" i="1" l="1"/>
  <c r="D524" i="1"/>
  <c r="D525" i="1" l="1"/>
  <c r="E524" i="1"/>
  <c r="E525" i="1" l="1"/>
  <c r="D526" i="1"/>
  <c r="E526" i="1" l="1"/>
  <c r="D527" i="1"/>
  <c r="D528" i="1" l="1"/>
  <c r="E527" i="1"/>
  <c r="E528" i="1" l="1"/>
  <c r="D529" i="1"/>
  <c r="D530" i="1" l="1"/>
  <c r="E529" i="1"/>
  <c r="D531" i="1" l="1"/>
  <c r="E530" i="1"/>
  <c r="D532" i="1" l="1"/>
  <c r="E531" i="1"/>
  <c r="E532" i="1" l="1"/>
  <c r="D533" i="1"/>
  <c r="D534" i="1" l="1"/>
  <c r="E533" i="1"/>
  <c r="D535" i="1" l="1"/>
  <c r="E534" i="1"/>
  <c r="D536" i="1" l="1"/>
  <c r="E535" i="1"/>
  <c r="D537" i="1" l="1"/>
  <c r="E536" i="1"/>
  <c r="D538" i="1" l="1"/>
  <c r="E537" i="1"/>
  <c r="D539" i="1" l="1"/>
  <c r="E538" i="1"/>
  <c r="E539" i="1" l="1"/>
  <c r="D540" i="1"/>
  <c r="E540" i="1" l="1"/>
  <c r="D542" i="1"/>
  <c r="E542" i="1" l="1"/>
  <c r="D543" i="1"/>
  <c r="D544" i="1" l="1"/>
  <c r="E543" i="1"/>
  <c r="E544" i="1" l="1"/>
  <c r="D546" i="1"/>
  <c r="D547" i="1" l="1"/>
  <c r="E546" i="1"/>
  <c r="E547" i="1" l="1"/>
  <c r="D548" i="1"/>
  <c r="E548" i="1" l="1"/>
  <c r="D549" i="1"/>
  <c r="E549" i="1" l="1"/>
  <c r="D550" i="1"/>
  <c r="E550" i="1" l="1"/>
  <c r="D551" i="1"/>
  <c r="D552" i="1" l="1"/>
  <c r="E551" i="1"/>
  <c r="E552" i="1" l="1"/>
  <c r="D553" i="1"/>
  <c r="D554" i="1" l="1"/>
  <c r="E553" i="1"/>
  <c r="E554" i="1" l="1"/>
  <c r="D555" i="1"/>
  <c r="E555" i="1" l="1"/>
  <c r="D556" i="1"/>
  <c r="E556" i="1" l="1"/>
  <c r="D557" i="1"/>
  <c r="E557" i="1" l="1"/>
  <c r="D558" i="1"/>
  <c r="D559" i="1" l="1"/>
  <c r="E558" i="1"/>
  <c r="D560" i="1" l="1"/>
  <c r="E559" i="1"/>
  <c r="E560" i="1" l="1"/>
  <c r="D561" i="1"/>
  <c r="D563" i="1" l="1"/>
  <c r="E561" i="1"/>
  <c r="D564" i="1" l="1"/>
  <c r="E563" i="1"/>
  <c r="D565" i="1" l="1"/>
  <c r="E564" i="1"/>
  <c r="D566" i="1" l="1"/>
  <c r="E565" i="1"/>
  <c r="D567" i="1" l="1"/>
  <c r="E566" i="1"/>
  <c r="D568" i="1" l="1"/>
  <c r="E567" i="1"/>
  <c r="D569" i="1" l="1"/>
  <c r="E568" i="1"/>
  <c r="E569" i="1" l="1"/>
  <c r="D571" i="1"/>
  <c r="D572" i="1" l="1"/>
  <c r="D574" i="1" s="1"/>
  <c r="E571" i="1"/>
  <c r="E574" i="1" l="1"/>
  <c r="D575" i="1"/>
  <c r="E572" i="1"/>
  <c r="D577" i="1" l="1"/>
  <c r="E575" i="1"/>
  <c r="D578" i="1" l="1"/>
  <c r="E577" i="1"/>
  <c r="D579" i="1" l="1"/>
  <c r="E578" i="1"/>
  <c r="E579" i="1" l="1"/>
  <c r="D581" i="1"/>
  <c r="D582" i="1" l="1"/>
  <c r="E581" i="1"/>
  <c r="D583" i="1" l="1"/>
  <c r="E582" i="1"/>
  <c r="E583" i="1" l="1"/>
  <c r="D584" i="1"/>
  <c r="E584" i="1" l="1"/>
  <c r="D585" i="1"/>
  <c r="D586" i="1" l="1"/>
  <c r="E585" i="1"/>
  <c r="E586" i="1" l="1"/>
  <c r="D587" i="1"/>
  <c r="D588" i="1" l="1"/>
  <c r="E587" i="1"/>
  <c r="D589" i="1" l="1"/>
  <c r="E588" i="1"/>
  <c r="D590" i="1" l="1"/>
  <c r="E589" i="1"/>
  <c r="E590" i="1" l="1"/>
  <c r="D591" i="1"/>
  <c r="E591" i="1" l="1"/>
  <c r="D592" i="1"/>
  <c r="D594" i="1" l="1"/>
  <c r="E592" i="1"/>
  <c r="D595" i="1" l="1"/>
  <c r="E594" i="1"/>
  <c r="E595" i="1" l="1"/>
  <c r="D596" i="1"/>
  <c r="D597" i="1" l="1"/>
  <c r="E596" i="1"/>
  <c r="E597" i="1" l="1"/>
  <c r="D598" i="1"/>
  <c r="E598" i="1" l="1"/>
  <c r="D599" i="1"/>
  <c r="D600" i="1" l="1"/>
  <c r="E599" i="1"/>
  <c r="E600" i="1" l="1"/>
  <c r="D601" i="1"/>
  <c r="D602" i="1" l="1"/>
  <c r="D603" i="1" s="1"/>
  <c r="E601" i="1"/>
  <c r="E603" i="1" l="1"/>
  <c r="D604" i="1"/>
  <c r="E602" i="1"/>
  <c r="E604" i="1" l="1"/>
  <c r="D605" i="1"/>
  <c r="E605" i="1" l="1"/>
  <c r="D608" i="1"/>
  <c r="E608" i="1" l="1"/>
  <c r="D609" i="1"/>
  <c r="E612" i="1" s="1"/>
  <c r="E609" i="1" l="1"/>
  <c r="D614" i="1" l="1"/>
  <c r="D615" i="1" l="1"/>
  <c r="E614" i="1"/>
  <c r="E615" i="1" l="1"/>
  <c r="D616" i="1"/>
  <c r="D628" i="1" l="1"/>
  <c r="E616" i="1"/>
  <c r="D637" i="1" l="1"/>
  <c r="E628" i="1"/>
  <c r="E637" i="1" l="1"/>
  <c r="D638" i="1"/>
  <c r="E638" i="1" l="1"/>
  <c r="D639" i="1"/>
  <c r="D641" i="1" l="1"/>
  <c r="E639" i="1"/>
  <c r="E641" i="1" l="1"/>
  <c r="D642" i="1"/>
  <c r="E642" i="1" l="1"/>
  <c r="D643" i="1"/>
  <c r="E643" i="1" l="1"/>
  <c r="D645" i="1"/>
  <c r="D646" i="1" l="1"/>
  <c r="E645" i="1"/>
  <c r="D647" i="1" l="1"/>
  <c r="E646" i="1"/>
  <c r="E647" i="1" l="1"/>
  <c r="D648" i="1"/>
  <c r="D649" i="1" l="1"/>
  <c r="E648" i="1"/>
  <c r="D650" i="1" l="1"/>
  <c r="E649" i="1"/>
  <c r="E650" i="1" l="1"/>
  <c r="D651" i="1"/>
  <c r="D652" i="1" l="1"/>
  <c r="E651" i="1"/>
  <c r="D653" i="1" l="1"/>
  <c r="E652" i="1"/>
  <c r="D654" i="1" l="1"/>
  <c r="E653" i="1"/>
  <c r="D655" i="1" l="1"/>
  <c r="E654" i="1"/>
  <c r="D656" i="1" l="1"/>
  <c r="E655" i="1"/>
  <c r="E656" i="1" l="1"/>
  <c r="D657" i="1"/>
  <c r="E657" i="1" l="1"/>
  <c r="D659" i="1"/>
  <c r="E659" i="1" l="1"/>
  <c r="D660" i="1"/>
  <c r="D661" i="1" l="1"/>
  <c r="E660" i="1"/>
  <c r="D664" i="1" l="1"/>
  <c r="E661" i="1"/>
  <c r="E664" i="1" l="1"/>
  <c r="D665" i="1"/>
  <c r="D666" i="1" l="1"/>
  <c r="E665" i="1"/>
  <c r="D667" i="1" l="1"/>
  <c r="E666" i="1"/>
  <c r="E667" i="1" l="1"/>
  <c r="D669" i="1"/>
  <c r="E669" i="1" l="1"/>
  <c r="D670" i="1"/>
  <c r="E670" i="1" l="1"/>
  <c r="D671" i="1"/>
  <c r="E671" i="1" l="1"/>
  <c r="D672" i="1"/>
  <c r="E672" i="1" l="1"/>
  <c r="D674" i="1"/>
  <c r="D675" i="1" l="1"/>
  <c r="E674" i="1"/>
  <c r="E675" i="1" l="1"/>
  <c r="D676" i="1"/>
  <c r="E676" i="1" l="1"/>
  <c r="D677" i="1"/>
  <c r="E677" i="1" l="1"/>
  <c r="D679" i="1"/>
  <c r="D680" i="1" l="1"/>
  <c r="E679" i="1"/>
  <c r="E680" i="1" l="1"/>
  <c r="D681" i="1"/>
  <c r="D682" i="1" l="1"/>
  <c r="E681" i="1"/>
  <c r="E682" i="1" l="1"/>
  <c r="D683" i="1"/>
  <c r="D686" i="1" l="1"/>
  <c r="E683" i="1"/>
  <c r="D687" i="1" l="1"/>
  <c r="E686" i="1"/>
  <c r="E687" i="1" l="1"/>
  <c r="D688" i="1"/>
  <c r="E688" i="1" l="1"/>
  <c r="D689" i="1"/>
  <c r="D690" i="1" l="1"/>
  <c r="E689" i="1"/>
  <c r="D692" i="1" l="1"/>
  <c r="E690" i="1"/>
  <c r="E692" i="1" l="1"/>
  <c r="D693" i="1"/>
  <c r="E693" i="1" l="1"/>
  <c r="D694" i="1"/>
  <c r="D695" i="1" l="1"/>
  <c r="E694" i="1"/>
  <c r="E695" i="1" l="1"/>
  <c r="D696" i="1"/>
  <c r="D697" i="1" l="1"/>
  <c r="E696" i="1"/>
  <c r="E697" i="1" l="1"/>
  <c r="D698" i="1"/>
  <c r="D699" i="1" l="1"/>
  <c r="E698" i="1"/>
  <c r="E699" i="1" l="1"/>
  <c r="D700" i="1"/>
  <c r="D702" i="1" l="1"/>
  <c r="E700" i="1"/>
  <c r="D703" i="1" l="1"/>
  <c r="E702" i="1"/>
  <c r="D704" i="1" l="1"/>
  <c r="E703" i="1"/>
  <c r="D705" i="1" l="1"/>
  <c r="E704" i="1"/>
  <c r="D707" i="1" l="1"/>
  <c r="E705" i="1"/>
  <c r="D708" i="1" l="1"/>
  <c r="E707" i="1"/>
  <c r="D709" i="1" l="1"/>
  <c r="E708" i="1"/>
  <c r="D710" i="1" l="1"/>
  <c r="E709" i="1"/>
  <c r="D711" i="1" l="1"/>
  <c r="E710" i="1"/>
  <c r="E711" i="1" l="1"/>
  <c r="D713" i="1"/>
  <c r="D714" i="1" l="1"/>
  <c r="E713" i="1"/>
  <c r="E714" i="1" l="1"/>
  <c r="D715" i="1"/>
  <c r="E715" i="1" l="1"/>
  <c r="D716" i="1"/>
  <c r="E716" i="1" l="1"/>
  <c r="D718" i="1"/>
  <c r="E718" i="1" l="1"/>
  <c r="D719" i="1"/>
  <c r="E719" i="1" l="1"/>
  <c r="D720" i="1"/>
  <c r="D721" i="1" l="1"/>
  <c r="E720" i="1"/>
  <c r="E721" i="1" l="1"/>
  <c r="D724" i="1"/>
  <c r="D725" i="1" l="1"/>
  <c r="E724" i="1"/>
  <c r="E725" i="1" l="1"/>
  <c r="D726" i="1"/>
  <c r="E726" i="1" l="1"/>
  <c r="D727" i="1"/>
  <c r="D728" i="1" l="1"/>
  <c r="E727" i="1"/>
  <c r="D729" i="1" l="1"/>
  <c r="E728" i="1"/>
  <c r="D730" i="1" l="1"/>
  <c r="E729" i="1"/>
  <c r="E730" i="1" l="1"/>
  <c r="D732" i="1"/>
  <c r="D733" i="1" l="1"/>
  <c r="E732" i="1"/>
  <c r="D734" i="1" l="1"/>
  <c r="E733" i="1"/>
  <c r="E734" i="1" l="1"/>
  <c r="D735" i="1"/>
  <c r="D736" i="1" l="1"/>
  <c r="E735" i="1"/>
  <c r="D737" i="1" l="1"/>
  <c r="E736" i="1"/>
  <c r="D738" i="1" l="1"/>
  <c r="E737" i="1"/>
  <c r="E738" i="1" l="1"/>
  <c r="D740" i="1"/>
  <c r="E740" i="1" l="1"/>
  <c r="D741" i="1"/>
  <c r="E741" i="1" l="1"/>
  <c r="D742" i="1"/>
  <c r="D743" i="1" l="1"/>
  <c r="E742" i="1"/>
  <c r="D744" i="1" l="1"/>
  <c r="E743" i="1"/>
  <c r="D745" i="1" l="1"/>
  <c r="E744" i="1"/>
  <c r="D746" i="1" l="1"/>
  <c r="E745" i="1"/>
  <c r="E746" i="1" l="1"/>
  <c r="D748" i="1"/>
  <c r="E748" i="1" l="1"/>
  <c r="D749" i="1"/>
  <c r="E749" i="1" l="1"/>
  <c r="D750" i="1"/>
  <c r="D751" i="1" l="1"/>
  <c r="E750" i="1"/>
  <c r="D752" i="1" l="1"/>
  <c r="E751" i="1"/>
  <c r="D753" i="1" l="1"/>
  <c r="E752" i="1"/>
  <c r="E753" i="1" l="1"/>
  <c r="D754" i="1"/>
  <c r="E754" i="1" l="1"/>
  <c r="D756" i="1"/>
  <c r="D757" i="1" l="1"/>
  <c r="E756" i="1"/>
  <c r="D758" i="1" l="1"/>
  <c r="E757" i="1"/>
  <c r="E758" i="1" l="1"/>
  <c r="D759" i="1"/>
  <c r="E759" i="1" l="1"/>
  <c r="D760" i="1"/>
  <c r="E760" i="1" l="1"/>
  <c r="D761" i="1"/>
  <c r="D762" i="1" l="1"/>
  <c r="E761" i="1"/>
  <c r="D763" i="1" l="1"/>
  <c r="E762" i="1"/>
  <c r="D764" i="1" l="1"/>
  <c r="E763" i="1"/>
  <c r="E764" i="1" l="1"/>
  <c r="D765" i="1"/>
  <c r="D766" i="1" l="1"/>
  <c r="E765" i="1"/>
  <c r="E766" i="1" l="1"/>
  <c r="D767" i="1"/>
  <c r="E767" i="1" l="1"/>
  <c r="D768" i="1"/>
  <c r="D769" i="1" l="1"/>
  <c r="E768" i="1"/>
  <c r="D770" i="1" l="1"/>
  <c r="D772" i="1" s="1"/>
  <c r="E769" i="1"/>
  <c r="E772" i="1" l="1"/>
  <c r="D773" i="1"/>
  <c r="E770" i="1"/>
  <c r="E773" i="1" l="1"/>
  <c r="D774" i="1"/>
  <c r="E774" i="1" s="1"/>
  <c r="D775" i="1" l="1"/>
  <c r="D776" i="1" s="1"/>
  <c r="E775" i="1" l="1"/>
  <c r="E776" i="1"/>
  <c r="D777" i="1"/>
  <c r="D778" i="1" l="1"/>
  <c r="E777" i="1"/>
  <c r="D779" i="1" l="1"/>
  <c r="E778" i="1"/>
  <c r="D780" i="1" l="1"/>
  <c r="E779" i="1"/>
  <c r="E780" i="1" l="1"/>
  <c r="D782" i="1"/>
  <c r="D783" i="1" l="1"/>
  <c r="E782" i="1"/>
  <c r="D784" i="1" l="1"/>
  <c r="E783" i="1"/>
  <c r="D785" i="1" l="1"/>
  <c r="E784" i="1"/>
  <c r="D786" i="1" l="1"/>
  <c r="E785" i="1"/>
  <c r="D789" i="1" l="1"/>
  <c r="E786" i="1"/>
  <c r="E789" i="1" l="1"/>
  <c r="D790" i="1"/>
  <c r="D791" i="1" l="1"/>
  <c r="E790" i="1"/>
  <c r="E791" i="1" l="1"/>
  <c r="D793" i="1"/>
  <c r="E793" i="1" l="1"/>
  <c r="D794" i="1"/>
  <c r="D795" i="1" l="1"/>
  <c r="E794" i="1"/>
  <c r="E795" i="1" l="1"/>
  <c r="D797" i="1"/>
  <c r="D798" i="1" l="1"/>
  <c r="E797" i="1"/>
  <c r="E798" i="1" l="1"/>
  <c r="D799" i="1"/>
  <c r="E799" i="1" l="1"/>
  <c r="D801" i="1"/>
  <c r="E801" i="1" l="1"/>
  <c r="D802" i="1"/>
  <c r="E802" i="1" l="1"/>
  <c r="D803" i="1"/>
  <c r="E803" i="1" l="1"/>
  <c r="D804" i="1"/>
  <c r="E804" i="1" l="1"/>
  <c r="D806" i="1"/>
  <c r="E806" i="1" l="1"/>
  <c r="D807" i="1"/>
  <c r="D809" i="1" l="1"/>
  <c r="E807" i="1"/>
  <c r="E809" i="1" l="1"/>
  <c r="D810" i="1"/>
  <c r="D811" i="1" l="1"/>
  <c r="E810" i="1"/>
  <c r="E811" i="1" l="1"/>
  <c r="D812" i="1"/>
  <c r="D813" i="1" l="1"/>
  <c r="E812" i="1"/>
  <c r="E813" i="1" l="1"/>
  <c r="D814" i="1"/>
  <c r="E814" i="1" l="1"/>
  <c r="D815" i="1"/>
  <c r="D816" i="1" l="1"/>
  <c r="E815" i="1"/>
  <c r="E816" i="1" l="1"/>
  <c r="D817" i="1"/>
  <c r="E817" i="1" l="1"/>
  <c r="D818" i="1"/>
  <c r="E818" i="1" l="1"/>
  <c r="D819" i="1"/>
  <c r="E819" i="1" l="1"/>
  <c r="D820" i="1"/>
  <c r="E820" i="1" s="1"/>
  <c r="E823" i="1" s="1"/>
</calcChain>
</file>

<file path=xl/sharedStrings.xml><?xml version="1.0" encoding="utf-8"?>
<sst xmlns="http://schemas.openxmlformats.org/spreadsheetml/2006/main" count="3310" uniqueCount="829">
  <si>
    <t>LDESTD File Layout - Final file_Assessment and Accountability Staff</t>
  </si>
  <si>
    <t>Field Use</t>
  </si>
  <si>
    <t>Starting Location</t>
  </si>
  <si>
    <t>Ending Location</t>
  </si>
  <si>
    <t>Length</t>
  </si>
  <si>
    <t>Field Name</t>
  </si>
  <si>
    <t>Possible Values</t>
  </si>
  <si>
    <t>Description/Comments</t>
  </si>
  <si>
    <t>Include in Researcher file?</t>
  </si>
  <si>
    <t>Include in LDE Staff &amp; Contractors file?</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</si>
  <si>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</si>
  <si>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</si>
  <si>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</si>
  <si>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</si>
  <si>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</si>
  <si>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</si>
  <si>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</si>
  <si>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</si>
  <si>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</si>
  <si>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</si>
  <si>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</si>
  <si>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</si>
  <si>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</si>
  <si>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</si>
  <si>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Month</t>
  </si>
  <si>
    <t>Summarized DOB Day</t>
  </si>
  <si>
    <t>Summarized DOB Year</t>
  </si>
  <si>
    <t>Summarized Gender</t>
  </si>
  <si>
    <t>Summarized Ethnicity/Race</t>
  </si>
  <si>
    <t>LAP March Update Flag</t>
  </si>
  <si>
    <t>Summarized Migrant Status</t>
  </si>
  <si>
    <t>LAP Economically Disadvantaged</t>
  </si>
  <si>
    <t>Summarized McKinney-Vento Act (Homeless)</t>
  </si>
  <si>
    <t>ELA (DOCUMENT 1) DEMOGRAPHIC INFORMATION</t>
  </si>
  <si>
    <t>Bubbled Gender</t>
  </si>
  <si>
    <t>Bubbled Migrant Status</t>
  </si>
  <si>
    <t>Bubbled McKinney-Vento Act (Homeless)</t>
  </si>
  <si>
    <t>Bubbled Education Classification</t>
  </si>
  <si>
    <t>Bubbled Ethnicity/Race</t>
  </si>
  <si>
    <t>Hispanic/Latino</t>
  </si>
  <si>
    <t>American Indian or Alaska Native</t>
  </si>
  <si>
    <t>Asian</t>
  </si>
  <si>
    <t>Black or African American</t>
  </si>
  <si>
    <t>Native Hawaiian or Other Pacific Islander</t>
  </si>
  <si>
    <t>White</t>
  </si>
  <si>
    <t>Bubbled Special Education Test Accommodations</t>
  </si>
  <si>
    <t>No Accommodations</t>
  </si>
  <si>
    <t>Braille</t>
  </si>
  <si>
    <t>Large Print</t>
  </si>
  <si>
    <t>Answers Recorded</t>
  </si>
  <si>
    <t>Extended Time</t>
  </si>
  <si>
    <t>Transferred Answers</t>
  </si>
  <si>
    <t>Individual/Small Group Administration</t>
  </si>
  <si>
    <t>Bubbled LEP Status and Test Accommodations</t>
  </si>
  <si>
    <t>Bubbled Limited English Proficient (LEP) Status</t>
  </si>
  <si>
    <t>Provision of English/Native Language Word-to-Word Dictionary (No Definitions)</t>
  </si>
  <si>
    <t>Bubbled Section 504 Status and Test Accommodations</t>
  </si>
  <si>
    <t>Bubbled Section 504 Status</t>
  </si>
  <si>
    <t>Bubbled Accessibility Feature Recorded in Personal Needs Profile</t>
  </si>
  <si>
    <t>Bubbled Optional Local Use</t>
  </si>
  <si>
    <t>Bubbled Accountability Code</t>
  </si>
  <si>
    <t>MATH (DOCUMENT 2) DEMOGRAPHIC INFORMATION</t>
  </si>
  <si>
    <t>Spanish Tester</t>
  </si>
  <si>
    <t>Calculator Use</t>
  </si>
  <si>
    <t>SCIENCE (DOCUMENT 3) DEMOGRAPHIC INFORMATION</t>
  </si>
  <si>
    <t>SOCIAL STUDIES (DOCUMENT 4) DEMOGRAPHIC INFORMATION</t>
  </si>
  <si>
    <t>ELA SCORING INFORMATION</t>
  </si>
  <si>
    <t>Raw Score Total - ELA</t>
  </si>
  <si>
    <t>Assessment Achievement Level - ELA</t>
  </si>
  <si>
    <t>Raw Score for Each Content Standard</t>
  </si>
  <si>
    <t>Subclaim Scoring Information</t>
  </si>
  <si>
    <t>Claim Scoring Information</t>
  </si>
  <si>
    <t>SEM Values</t>
  </si>
  <si>
    <t>SEM High</t>
  </si>
  <si>
    <t>SEM Low</t>
  </si>
  <si>
    <t>Written Expression Raw Score</t>
  </si>
  <si>
    <t>Knowledge &amp; Use of Language Conventions Raw Score</t>
  </si>
  <si>
    <t>Reading Raw Score</t>
  </si>
  <si>
    <t>Writing Raw Score</t>
  </si>
  <si>
    <t>MATH SCORING INFORMATION</t>
  </si>
  <si>
    <t>Raw Score Total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</si>
  <si>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</si>
  <si>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</si>
  <si>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</si>
  <si>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</si>
  <si>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</si>
  <si>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</si>
  <si>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</si>
  <si>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Assessment Achievement Level - Science</t>
  </si>
  <si>
    <t>Standard 1: Science as Inquiry</t>
  </si>
  <si>
    <t>Standard 2: Physical Science</t>
  </si>
  <si>
    <t>Standard 3: Life Science</t>
  </si>
  <si>
    <t>Standard 4: Earth and Space Science</t>
  </si>
  <si>
    <t>Standard 5: Science and the Environment</t>
  </si>
  <si>
    <t>FILLER</t>
  </si>
  <si>
    <t>Raw Score for Each Subtest</t>
  </si>
  <si>
    <t>Subtest 1: Multiple-Choice Items</t>
  </si>
  <si>
    <t>Subtest 2: Short Answer Items</t>
  </si>
  <si>
    <t>Raw Score for Item Type</t>
  </si>
  <si>
    <t>Multiple-Choice Items</t>
  </si>
  <si>
    <t xml:space="preserve">Constructed-Response Items </t>
  </si>
  <si>
    <t>SOCIAL STUDIES SCORING INFORMATION</t>
  </si>
  <si>
    <t>Raw Score Total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</si>
  <si>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</si>
  <si>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</si>
  <si>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</si>
  <si>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</si>
  <si>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</si>
  <si>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</si>
  <si>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</si>
  <si>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</si>
  <si>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</si>
  <si>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</si>
  <si>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</si>
  <si>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</si>
  <si>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</si>
  <si>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</si>
  <si>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</si>
  <si>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</si>
  <si>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</si>
  <si>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</si>
  <si>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</si>
  <si>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</si>
  <si>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Handscoring Complete Flags</t>
  </si>
  <si>
    <t>Handscoring Complete - ELA</t>
  </si>
  <si>
    <t>Handscoring Complete - Math</t>
  </si>
  <si>
    <t>Handscoring Complete - Science</t>
  </si>
  <si>
    <t>Handscoring Complete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</si>
  <si>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</si>
  <si>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</si>
  <si>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</si>
  <si>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</si>
  <si>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</si>
  <si>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</si>
  <si>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</si>
  <si>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</si>
  <si>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</si>
  <si>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</si>
  <si>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</si>
  <si>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LAP Primary Exceptionality</t>
  </si>
  <si>
    <t>LAP LEP Indicator Code</t>
  </si>
  <si>
    <t>Precoded Tester</t>
  </si>
  <si>
    <t>Online Accommodations</t>
  </si>
  <si>
    <t>Text-to-Speech</t>
  </si>
  <si>
    <t>Spanish Test</t>
  </si>
  <si>
    <t>Human Read Aloud</t>
  </si>
  <si>
    <t>Native Language Word-to-Word Dictionary</t>
  </si>
  <si>
    <t>Directions in Native Language</t>
  </si>
  <si>
    <t>Calculator</t>
  </si>
  <si>
    <t>Individual or Small Group Administration</t>
  </si>
  <si>
    <t>Assistive Technology</t>
  </si>
  <si>
    <t>Communication Assistance</t>
  </si>
  <si>
    <t>Other</t>
  </si>
  <si>
    <t>Test Administered by ESL Teacher or Individual Providing Language Services</t>
  </si>
  <si>
    <t>SUMMARIZED DEMOGRAPHICS</t>
  </si>
  <si>
    <t>Summarized Education Classification Flag</t>
  </si>
  <si>
    <t>Summarized Education Classification - Document 1 (ELA)</t>
  </si>
  <si>
    <t>Summarized Education Classification - Document 2 (Math)</t>
  </si>
  <si>
    <t>Summarized Education Classification - Document 3 (Science)</t>
  </si>
  <si>
    <t>Summarized Education Classification - Document 4 (Social Studies)</t>
  </si>
  <si>
    <t>LEP Flag</t>
  </si>
  <si>
    <t>Summarized LEP Status - Document 1 (ELA)</t>
  </si>
  <si>
    <t>Summarized LEP Status - Document 2 (Math)</t>
  </si>
  <si>
    <t>Summarized LEP Status - Document 3 (Science)</t>
  </si>
  <si>
    <t>Summarized LEP Status - Document 4 (Social Studies)</t>
  </si>
  <si>
    <t xml:space="preserve">Summarized LEP Status </t>
  </si>
  <si>
    <t>Section 504 Flag</t>
  </si>
  <si>
    <t>Summarized Section 504 Status - Document 1 (ELA)</t>
  </si>
  <si>
    <t>Summarized Section 504 Status - Document 2 (Math)</t>
  </si>
  <si>
    <t>Summarized Section 504 Status - Document 3 (Science)</t>
  </si>
  <si>
    <t>Summarized Section 504 Status - Document 4 (Social Studies)</t>
  </si>
  <si>
    <t xml:space="preserve">Summarized Section 504 Status </t>
  </si>
  <si>
    <t>SCHOOL TYPE FLAGS</t>
  </si>
  <si>
    <t>Assess Group Type</t>
  </si>
  <si>
    <t>Home Study/Nonpublic Flag</t>
  </si>
  <si>
    <t>Charter Type</t>
  </si>
  <si>
    <t>DOCUMENT INFORMATION</t>
  </si>
  <si>
    <t>Document 1 (ELA) Scan Information</t>
  </si>
  <si>
    <t>Batch Number - ELA</t>
  </si>
  <si>
    <t>Serial Number - ELA</t>
  </si>
  <si>
    <t>Lithocode - ELA</t>
  </si>
  <si>
    <t>Document 2 (Math) Scan Information</t>
  </si>
  <si>
    <t>Document 3 (Science) Scan Information</t>
  </si>
  <si>
    <t>Document 4 (Social Studies) Scan Information</t>
  </si>
  <si>
    <t>Batch Number - Math</t>
  </si>
  <si>
    <t>Serial Number - Math</t>
  </si>
  <si>
    <t>Lithocode - Math</t>
  </si>
  <si>
    <t>Batch Number - Science</t>
  </si>
  <si>
    <t>Serial Number - Science</t>
  </si>
  <si>
    <t>Lithocode - Science</t>
  </si>
  <si>
    <t>Batch Number - Social Studies</t>
  </si>
  <si>
    <t>Serial Number - Social Studies</t>
  </si>
  <si>
    <t>Lithocode - Social Studies</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</si>
  <si>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</si>
  <si>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</si>
  <si>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</si>
  <si>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</si>
  <si>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</si>
  <si>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</si>
  <si>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</si>
  <si>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</si>
  <si>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</si>
  <si>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</si>
  <si>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</si>
  <si>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</si>
  <si>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Ethnicity/Race Flag</t>
  </si>
  <si>
    <t>Summarized Ethnicity/Race - Document 1 (ELA)</t>
  </si>
  <si>
    <t>Summarized Ethnicity/Race - Document 2 (Math)</t>
  </si>
  <si>
    <t>Summarized Ethnicity/Race - Document 3 (Science)</t>
  </si>
  <si>
    <t>Summarized Ethnicity/Race - Document 4 (Social Studies)</t>
  </si>
  <si>
    <t>Site Code - Document 1 (ELA)</t>
  </si>
  <si>
    <t>Site Code - Document 2 (Math)</t>
  </si>
  <si>
    <t>Site Code - Document 3 (Science)</t>
  </si>
  <si>
    <t>Site Code - Document 4 (Social Studies)</t>
  </si>
  <si>
    <t>LAP Site Code</t>
  </si>
  <si>
    <t>Gifted</t>
  </si>
  <si>
    <t>Talented</t>
  </si>
  <si>
    <t>Autism</t>
  </si>
  <si>
    <t>Deafblindness</t>
  </si>
  <si>
    <t>Developmental Delay</t>
  </si>
  <si>
    <t>Emotional Disturbance</t>
  </si>
  <si>
    <t>HI-Deaf</t>
  </si>
  <si>
    <t>HI-Hard of Hearing</t>
  </si>
  <si>
    <t>Mild Mental Disability</t>
  </si>
  <si>
    <t>Moderate Mental Disabilities</t>
  </si>
  <si>
    <t>Orthopedic Impairment</t>
  </si>
  <si>
    <t>Other Health Impairments</t>
  </si>
  <si>
    <t>Specific Learning Disabilities</t>
  </si>
  <si>
    <t>Speech or Language Impairment</t>
  </si>
  <si>
    <t>Traumatic Brain Injury</t>
  </si>
  <si>
    <t>Visual Impairment</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</si>
  <si>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</si>
  <si>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</si>
  <si>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</si>
  <si>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</si>
  <si>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</si>
  <si>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</si>
  <si>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</si>
  <si>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</si>
  <si>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</si>
  <si>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</si>
  <si>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</si>
  <si>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</si>
  <si>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</si>
  <si>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</si>
  <si>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</si>
  <si>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</si>
  <si>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</si>
  <si>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</si>
  <si>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Reports</t>
  </si>
  <si>
    <t>STUDENT LEVEL REPORTING FLAGS</t>
  </si>
  <si>
    <t>School Roster - Science</t>
  </si>
  <si>
    <t>Student Report - ELA</t>
  </si>
  <si>
    <t>Student Report - Math</t>
  </si>
  <si>
    <t>Student Report - Science</t>
  </si>
  <si>
    <t>Student Report - Social Studies</t>
  </si>
  <si>
    <t>Subtest 3: Task Items</t>
  </si>
  <si>
    <t>FOOTNOTE FLAGS</t>
  </si>
  <si>
    <t>TEST ADMINISTRATOR INFORMATION</t>
  </si>
  <si>
    <t>Document 1 (ELA)</t>
  </si>
  <si>
    <t>Test Administrator Last Name - ELA</t>
  </si>
  <si>
    <t>Test Administrator First Name - Math</t>
  </si>
  <si>
    <t>Test Administrator First Name - ELA</t>
  </si>
  <si>
    <t>Test Administrator Last Name - Math</t>
  </si>
  <si>
    <t>Document 2 (Math)</t>
  </si>
  <si>
    <t>Test Administrator Last Name - Science</t>
  </si>
  <si>
    <t>Test Administrator First Name - Science</t>
  </si>
  <si>
    <t>Test Administrator Last Name - Social Studies</t>
  </si>
  <si>
    <t>Test Administrator First Name - Social Studies</t>
  </si>
  <si>
    <t>Document 3 (Science)</t>
  </si>
  <si>
    <t>Document 4 (Social Studies)</t>
  </si>
  <si>
    <t>DRC Unique Student ID</t>
  </si>
  <si>
    <t>ASSESSMENT/ACCOUNTABILITY INFORMATION</t>
  </si>
  <si>
    <t>LAP Entry Code</t>
  </si>
  <si>
    <t>LAP Entry Date</t>
  </si>
  <si>
    <t>File Creation Date and Time Stamp</t>
  </si>
  <si>
    <t>RESPONSE STRINGS BY SUBJECT</t>
  </si>
  <si>
    <t>DOCUMENT TYPE RETURNED</t>
  </si>
  <si>
    <t>Document Type Returned - Document 1 (ELA)</t>
  </si>
  <si>
    <t>Document Type Returned - Document 2 (Math)</t>
  </si>
  <si>
    <t>Document Type Returned - Document 3 (Science)</t>
  </si>
  <si>
    <t>Document Type Returned - Document 4 (Social Studies)</t>
  </si>
  <si>
    <t>SITE CODE</t>
  </si>
  <si>
    <t>Security Barcode Number - ELA</t>
  </si>
  <si>
    <t>Security Barcode Number - Math</t>
  </si>
  <si>
    <t>Security Barcode Number - Science</t>
  </si>
  <si>
    <t>Security Barcode Number - Social Studies</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</si>
  <si>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</si>
  <si>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</si>
  <si>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</si>
  <si>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</si>
  <si>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</si>
  <si>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</si>
  <si>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</si>
  <si>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</si>
  <si>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</si>
  <si>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</si>
  <si>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</si>
  <si>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</si>
  <si>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As flagged on the LAP file.
Blank for a hand-coded document that could not be matched back to the LAP file.</t>
  </si>
  <si>
    <t>01-12
-- 
99
Blank</t>
  </si>
  <si>
    <t>00-39 (0-9 or - in any position)
99</t>
  </si>
  <si>
    <t>0-9 or - in any position
Blank</t>
  </si>
  <si>
    <t>M = Male
F = Female
I = Invalid</t>
  </si>
  <si>
    <t>F = Female
M = Male
Blank</t>
  </si>
  <si>
    <t>1 = Hispanic/Latino
2 = American Indian or Alaska Native
3 = Asian
4 = Black or African American
5 = Native Hawaiian or Other Pacific
       Islander
6 = White
7 = Two or more races
 I = Invalid</t>
  </si>
  <si>
    <t>Y = Classified as a Migrant Student
N = Not classified as a Migrant Student</t>
  </si>
  <si>
    <t>Y = Classified as a Migrant Student
N = Not classified as a Migrant Student
Blank</t>
  </si>
  <si>
    <t>As flagged on the LAP file for paper testers or populated in eDIRECT for online testers.
Blank for a hand-coded paper document that could not be matched back to the LAP file, if the value was blank on the LAP file or if the value was blank in eDIRECT.</t>
  </si>
  <si>
    <t xml:space="preserve">1 = Economically Disadvantaged
0 = Not Economically Disadvantaged
Blank </t>
  </si>
  <si>
    <t>Y = Yes
N = No</t>
  </si>
  <si>
    <t>D = student no longer enrolled in Louisiana
        schools since submission of Nov. LAP
        file.
N = student newly enrolled in Louisiana
        schools since submission of Nov. LAP
        file.
Blank = student enrollment status 
         unchanged since submission 
         of Nov LAP file.</t>
  </si>
  <si>
    <t>As flagged on the LAP file.
Blank for a hand-coded paper document that could not be matched back to the LAP file, manually added online testers, or if the value was blank on the LAP file.</t>
  </si>
  <si>
    <t>1 = Male
2 = Female
* = Multiple responses
- = No response (document returned)
Blank = document not returned</t>
  </si>
  <si>
    <t>As bubbled on the ELA consumable test booklet.
Blank for online testers.</t>
  </si>
  <si>
    <t>1 = Yes
- = No response (document returned)
Blank = document not returned</t>
  </si>
  <si>
    <t>0-9, -, or * in each position
-- = No response (document returned)
Blank = document not returned</t>
  </si>
  <si>
    <t>0-9, - , or * in each position
---------- = No response (document returned)
Blank = document not returned</t>
  </si>
  <si>
    <r>
      <t xml:space="preserve">As bubbled on the ELA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</si>
  <si>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1 = Yes
2 = No
* = Multiple response
- = No response (document returned)
Blank = document not returned</t>
  </si>
  <si>
    <t>1 = Yes
- = No response
Blank</t>
  </si>
  <si>
    <t>As valued in eDIRECT for online testers.
Blank for paper testers.</t>
  </si>
  <si>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</si>
  <si>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</si>
  <si>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</si>
  <si>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</si>
  <si>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</si>
  <si>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</si>
  <si>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</si>
  <si>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</si>
  <si>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</si>
  <si>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</si>
  <si>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</si>
  <si>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</si>
  <si>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</si>
  <si>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</si>
  <si>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t>Total points earned for each Science content standard.
Blank when content standard is not assessed (zero points possible), or when the Raw Score Total for Science is blank.</t>
  </si>
  <si>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</si>
  <si>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t>000-999
Blank</t>
  </si>
  <si>
    <t>Total correct Science multiple choice items
Blank when Raw Score Total for Science is blank, or if Science was updated because of a score merge.</t>
  </si>
  <si>
    <t>Total correct Science constructed-response items (includes short answer items and essay)
Blank when Raw Score Total for Science is blank, or if Science was updated because of a score merge.</t>
  </si>
  <si>
    <t>Y = Subject was attempted
N = Subject was not attempted</t>
  </si>
  <si>
    <t>0 = Neither MC nor CR taken
1 = MC only taken
2 = CR only taken
3 = Both MC and CR taken
Blank</t>
  </si>
  <si>
    <t>Y = Handscoring is complete
N = Handscoring is not complete</t>
  </si>
  <si>
    <t>Y = Include student in summary
      N-counts for subject
N = Do not include student in summary 
      N-counts for subject</t>
  </si>
  <si>
    <t>1 = Regular Education
2 = Special Education
Blank = document not returned</t>
  </si>
  <si>
    <t>1 = Regular Education
2 = Special Education</t>
  </si>
  <si>
    <t>01-34
Blank</t>
  </si>
  <si>
    <t>Y = LEP
N = Not LEP
Blank = document not returned</t>
  </si>
  <si>
    <t>Y = LEP
N = Not LEP</t>
  </si>
  <si>
    <t>01 = Not LEP
02 = LEP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</si>
  <si>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</si>
  <si>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</si>
  <si>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Section 504
N = Not Section 504
Blank = document not returned</t>
  </si>
  <si>
    <t>Y = 504
N = Not 504</t>
  </si>
  <si>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</si>
  <si>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</si>
  <si>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</si>
  <si>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</si>
  <si>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1 = Type 1 Charter
2 = Type 2 Charter
3 = Type 3 Charter
4 = Type 4 Charter
5 = Type 5 Charter
6 = Type 3B Charter
Blank = Not a Charter School</t>
  </si>
  <si>
    <t>00000001-99999999
Blank = document not returned</t>
  </si>
  <si>
    <t>000001-999999
Blank = document not returned</t>
  </si>
  <si>
    <t>8 digit number
Blank = document not returned</t>
  </si>
  <si>
    <t>This is the last 8 digits of the document security barcode number.</t>
  </si>
  <si>
    <t>8 digit number
Blank</t>
  </si>
  <si>
    <t>This is the last 8 digits of the paper document security barcode number.
Blank when a paper document is not returned and for online testers.</t>
  </si>
  <si>
    <t>Blank when a paper document is not returned and for online testers.</t>
  </si>
  <si>
    <t>00000001-99999999
Blank</t>
  </si>
  <si>
    <t>000001-999999
Blank</t>
  </si>
  <si>
    <t>01-99
Blank (default value)</t>
  </si>
  <si>
    <t>UNS = Unsatisfactory
APP = Approaching Basic
BAS = Basic
MAS = Mastery
ADV = Advanced
Blank</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</si>
  <si>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</si>
  <si>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</si>
  <si>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</si>
  <si>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</si>
  <si>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</si>
  <si>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</si>
  <si>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Y = Hispanic or Latino
N = Not Hispanic or Latino
Blank</t>
  </si>
  <si>
    <t>Y = American Indian or Alaska Native
N = Not American Indian or Alaska Native
Blank</t>
  </si>
  <si>
    <t>Y = Asian
N = Not Asian
Blank</t>
  </si>
  <si>
    <t>Y = Black or African American
N = Not Black or African American
Blank</t>
  </si>
  <si>
    <t>Y = Native Hawaiian or Other Pacific 
        Islander
N = Not Native Hawaiian or Other Pacific 
        Islander
Blank</t>
  </si>
  <si>
    <t>Y = White
N = Not White
Blank</t>
  </si>
  <si>
    <t>1 = Hispanic/Latino
2 = American Indian or Alaska Native
3 = Asian
4 = Black or African American
5 = Native Hawaiian or Other Pacific
       Islander
6 = White
7 = Two or more races
I = Invalid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</si>
  <si>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</si>
  <si>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</si>
  <si>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</si>
  <si>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</si>
  <si>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Reports to student's school showed "N/A" instead of district results.</t>
  </si>
  <si>
    <t>Student's school was included in LEA code for district level reporting.</t>
  </si>
  <si>
    <t>Student's district gets district reports.</t>
  </si>
  <si>
    <t>LDE gets reports of student's district.</t>
  </si>
  <si>
    <t>Student's school was included in cleanup reports.</t>
  </si>
  <si>
    <t>Student's school was included in summary reports.</t>
  </si>
  <si>
    <t>Student's school was included in erasure reports.</t>
  </si>
  <si>
    <t>Student's school was included in Roster Reports.</t>
  </si>
  <si>
    <t>Student's school was included in Student Reports (SR).</t>
  </si>
  <si>
    <r>
      <t xml:space="preserve">If field value = "Y", then student will appear on the ELA Student Report (SR).
The Student Report for ELA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t>
    </r>
  </si>
  <si>
    <r>
      <t xml:space="preserve">If field value = "Y", then student will appear on the Math Student Report (SR).
The Student Report for 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Math.</t>
    </r>
  </si>
  <si>
    <t>100-899 = School Level
900-999 = District Level
--- = No response (document returned)
* = Multiple Response
Blank = document not returned</t>
  </si>
  <si>
    <r>
      <rPr>
        <b/>
        <sz val="10"/>
        <rFont val="Arial"/>
        <family val="2"/>
      </rPr>
      <t xml:space="preserve">For paper testers: </t>
    </r>
    <r>
      <rPr>
        <sz val="10"/>
        <rFont val="Arial"/>
        <family val="2"/>
      </rPr>
      <t xml:space="preserve">As bubbled on the ELA consumable test booklet.
</t>
    </r>
    <r>
      <rPr>
        <b/>
        <sz val="10"/>
        <rFont val="Arial"/>
        <family val="2"/>
      </rPr>
      <t xml:space="preserve">For online testers: </t>
    </r>
    <r>
      <rPr>
        <sz val="10"/>
        <rFont val="Arial"/>
        <family val="2"/>
      </rPr>
      <t>Test Administrator Number associated with the eDIRECT test session</t>
    </r>
  </si>
  <si>
    <t>Numeric value with leading zeros
Blank</t>
  </si>
  <si>
    <t>Unique number generated at the time the student record is converted into the DRC Student File.  (Starts over each administration.)
Blank for Equating file.</t>
  </si>
  <si>
    <t>2 digit code
Blank</t>
  </si>
  <si>
    <t>MMDDYYYY
Blank</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</si>
  <si>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</si>
  <si>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</si>
  <si>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</si>
  <si>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</si>
  <si>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t>Y = TDR Student
Blank = Non-TDR Student</t>
  </si>
  <si>
    <t>As flagged on the LAP file.
Identifies the Tuition Donation Rebate (TDR) students.</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</si>
  <si>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</si>
  <si>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</si>
  <si>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Y</t>
  </si>
  <si>
    <t>N</t>
  </si>
  <si>
    <t>Site Report Code</t>
  </si>
  <si>
    <r>
      <rPr>
        <b/>
        <sz val="10"/>
        <rFont val="Arial"/>
        <family val="2"/>
      </rPr>
      <t xml:space="preserve">For paper testers: </t>
    </r>
    <r>
      <rPr>
        <sz val="10"/>
        <rFont val="Arial"/>
        <family val="2"/>
      </rPr>
      <t xml:space="preserve">As bubbled on the Math/Spanish Math consumable test booklet.
</t>
    </r>
    <r>
      <rPr>
        <b/>
        <sz val="10"/>
        <rFont val="Arial"/>
        <family val="2"/>
      </rPr>
      <t xml:space="preserve">For online testers: </t>
    </r>
    <r>
      <rPr>
        <sz val="10"/>
        <rFont val="Arial"/>
        <family val="2"/>
      </rPr>
      <t>Test Administrator Number associated with the eDIRECT test session.</t>
    </r>
  </si>
  <si>
    <t>Test Administrator Number - Social Studies</t>
  </si>
  <si>
    <t>Test Administrator Number - Math</t>
  </si>
  <si>
    <t>Test Administrator Number - ELA</t>
  </si>
  <si>
    <t>Test Administrator Number - Science</t>
  </si>
  <si>
    <t>E</t>
  </si>
  <si>
    <t>K, E</t>
  </si>
  <si>
    <t>C</t>
  </si>
  <si>
    <t>E, C</t>
  </si>
  <si>
    <t>K, E, M</t>
  </si>
  <si>
    <t>E, M</t>
  </si>
  <si>
    <t>M</t>
  </si>
  <si>
    <t>M, C</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</si>
  <si>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</si>
  <si>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</si>
  <si>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</si>
  <si>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</si>
  <si>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</si>
  <si>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</si>
  <si>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</si>
  <si>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</si>
  <si>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</si>
  <si>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</si>
  <si>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</si>
  <si>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http://drcdirect/informationsystems/eis/dteam/Louisiana/Accountability/</t>
  </si>
  <si>
    <t>Document Name</t>
  </si>
  <si>
    <t>LDE SFTP Location</t>
  </si>
  <si>
    <t>DRC Location</t>
  </si>
  <si>
    <t>http://drcdirect/informationsystems/eis/dteam/Louisiana/LEAP Spring</t>
  </si>
  <si>
    <t>http://drcdirect/informationsystems/eis/dteam/Louisiana/Common Louisiana Spring/Reporting/</t>
  </si>
  <si>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</si>
  <si>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</si>
  <si>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</si>
  <si>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</si>
  <si>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</si>
  <si>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</si>
  <si>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</si>
  <si>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</si>
  <si>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</si>
  <si>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</si>
  <si>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</si>
  <si>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</si>
  <si>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</si>
  <si>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</si>
  <si>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</si>
  <si>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</si>
  <si>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</si>
  <si>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</si>
  <si>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</si>
  <si>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</si>
  <si>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</si>
  <si>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</si>
  <si>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</si>
  <si>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Standard 1: Science as Inquiry Percent Correct</t>
  </si>
  <si>
    <t>Standard 2: Physical Science Percent Correct</t>
  </si>
  <si>
    <t>Percent correct for the Science Standard 1: Science as Inquiry content standard. This is calculated by dividing the total points earned by the total points possible for the content standard.
Blank when Standard 1: Science as Inquiry Raw Score is blank.</t>
  </si>
  <si>
    <t>Percent correct for the Science Standard 2: Physical Science content standard. This is calculated by dividing the total points earned by the total points possible for the content standard.
Blank when Standard 2: Physical Science Raw Score is blank.</t>
  </si>
  <si>
    <t>Standard 3: Life Science Percent Correct</t>
  </si>
  <si>
    <t>Percent correct for the Science Standard 3: Life Science content standard. This is calculated by dividing the total points earned by the total points possible for the content standard.
Blank when Standard 3: Life Science Raw Score is blank.</t>
  </si>
  <si>
    <t>Standard 4: Earth and Space Science Percent Correct</t>
  </si>
  <si>
    <t>Percent correct for the Science Standard 4: Earth and Space Science content standard. This is calculated by dividing the total points earned by the total points possible for the content standard.
Blank when Standard 4: Earth and Space Science Raw Score is blank.</t>
  </si>
  <si>
    <t>Standard 5: Science and the Environment Percent Correct</t>
  </si>
  <si>
    <t>Percent correct for the Science Standard 5: Science and the Environment content standard. This is calculated by dividing the total points earned by the total points possible for the content standard.
Blank when Standard 5: Science and the Environment Raw Score is blank.</t>
  </si>
  <si>
    <t>Record Length:</t>
  </si>
  <si>
    <t xml:space="preserve">Bubbled Special Education Exceptionality </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</si>
  <si>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</si>
  <si>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</si>
  <si>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</si>
  <si>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Y = Spanish version of the math form
N = English version of the math form
Blank = document not returned</t>
  </si>
  <si>
    <t>Footnote: Test Security Violation (Void) - ELA</t>
  </si>
  <si>
    <t>Footnote: Test Security Violation (Void) - Math</t>
  </si>
  <si>
    <t>Footnote: Test Security Violation (Void) - Science</t>
  </si>
  <si>
    <t>Footnote: Test Security Violation (Void) - Social Studies</t>
  </si>
  <si>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</si>
  <si>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</si>
  <si>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</si>
  <si>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</si>
  <si>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</si>
  <si>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</si>
  <si>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</si>
  <si>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</si>
  <si>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</si>
  <si>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</si>
  <si>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</si>
  <si>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</si>
  <si>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</si>
  <si>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</si>
  <si>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</si>
  <si>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Additional &amp; Supporting Content Rating</t>
  </si>
  <si>
    <t>Expressing Mathematical Reasoning Rating</t>
  </si>
  <si>
    <t>Modeling &amp; Application Rating</t>
  </si>
  <si>
    <t>LAP Grade Placement</t>
  </si>
  <si>
    <t>Added a business rule to the Summarized Grade field to note that for online testers this will be the grade associated with their test session. If the student was not placed in a test session or did not return a paper document than the LAP grade will be used as the summarized grade.</t>
  </si>
  <si>
    <t>Updated the Bubbled Education Classification fields possible values as there is only one bubble on the answer document in 2016.</t>
  </si>
  <si>
    <t>Updated the Claim/Subclaim Scoring fields to be "&lt;Claim/Subclaim&gt; Rating" instead of "&lt;Claim/Subclaim&gt; Performance Level".</t>
  </si>
  <si>
    <t>Mallory Johannes</t>
  </si>
  <si>
    <t>Updated the possible values for the Science Lithocode to show that this value will be 8 digits in length.</t>
  </si>
  <si>
    <t>Repeating Grade</t>
  </si>
  <si>
    <t>1 = Repeating Grade
- = Not Repeating Grade
Blank</t>
  </si>
  <si>
    <t>As bubbled on the Grade 4 or 8 Science answer document.
Blank for Grades 3, 5, 6, and 7</t>
  </si>
  <si>
    <t>04 = Spring</t>
  </si>
  <si>
    <r>
      <rPr>
        <strike/>
        <sz val="10"/>
        <rFont val="Arial"/>
        <family val="2"/>
      </rPr>
      <t xml:space="preserve">
</t>
    </r>
    <r>
      <rPr>
        <sz val="10"/>
        <rFont val="Arial"/>
        <family val="2"/>
      </rPr>
      <t>1 = Special
- = Regular
Blank = document not returned</t>
    </r>
  </si>
  <si>
    <r>
      <t xml:space="preserve">For 'Item Responses' strings, each item uses </t>
    </r>
    <r>
      <rPr>
        <strike/>
        <sz val="10"/>
        <color rgb="FFFF0000"/>
        <rFont val="Arial"/>
        <family val="2"/>
      </rPr>
      <t xml:space="preserve"> </t>
    </r>
    <r>
      <rPr>
        <sz val="10"/>
        <rFont val="Arial"/>
        <family val="2"/>
      </rPr>
      <t>four characters of space.
If the item is multiple choice, the first character of the four is populated with the student's response with the remaining two positions as filler.  
1-4
A
B
C
D
- = No response (document returned)
* = Multiple Response
Blank = document not returned or subject 
       was updated for score merge
If the item is constructed response, all four 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r>
  </si>
  <si>
    <t>Pulled forward to 2017</t>
  </si>
  <si>
    <t>Allan Dahlen</t>
  </si>
  <si>
    <t>LAP Accommodations</t>
  </si>
  <si>
    <t>Human/Test Read Aloud</t>
  </si>
  <si>
    <t>Online Accommodated Paper Test</t>
  </si>
  <si>
    <t>Spanish Test Text-to-Speech</t>
  </si>
  <si>
    <t>Test Administered by ESL Teacher</t>
  </si>
  <si>
    <t>P = Paper
O = Online
Blank = document not returned</t>
  </si>
  <si>
    <t>eDIRECT Gender</t>
  </si>
  <si>
    <t>LAP Gender</t>
  </si>
  <si>
    <t>eDIRECT Migrant Flag</t>
  </si>
  <si>
    <t>LAP Migrant Flag</t>
  </si>
  <si>
    <t>LAP McKinney-Vento (Homeless) Flag</t>
  </si>
  <si>
    <t>1 = Shelter
2 = Double-up
3 = Unsheltered
4 = Hotels/Motels
5 = Unknown
Blank</t>
  </si>
  <si>
    <t>LAP Education Classification Flag</t>
  </si>
  <si>
    <t>0 = Regular 
1 = With Disabilities
2 = Gifted or Talented
Blank</t>
  </si>
  <si>
    <t>eDIRECT Education Classification Flag</t>
  </si>
  <si>
    <t>LAP Exceptionality Category</t>
  </si>
  <si>
    <t>eDIRECT Exceptionality Category</t>
  </si>
  <si>
    <t>eDIRECT LEP Code</t>
  </si>
  <si>
    <t>LAP LEP Code</t>
  </si>
  <si>
    <t>LAP Section 504 Code</t>
  </si>
  <si>
    <t>eDIRECT Section 504 Code</t>
  </si>
  <si>
    <t>Y = Section 504
N = Not Section 504
Blank</t>
  </si>
  <si>
    <t>eDIRECT Hispanic/Latino</t>
  </si>
  <si>
    <t>LAP Hispanic/Latino</t>
  </si>
  <si>
    <t>eDIRECT American Indian or Alaska Native</t>
  </si>
  <si>
    <t>LAP American Indian or Alaska Native</t>
  </si>
  <si>
    <t>eDIRECT Asian</t>
  </si>
  <si>
    <t>LAP Asian</t>
  </si>
  <si>
    <t>eDIRECT Black or African American</t>
  </si>
  <si>
    <t>LAP Black or African American</t>
  </si>
  <si>
    <t>eDIRECT Native Hawaiian or Other Pacific Islander</t>
  </si>
  <si>
    <t>LAP Native Hawaiian or Other Pacific Islander</t>
  </si>
  <si>
    <t>eDIRECT White</t>
  </si>
  <si>
    <t>LAP White</t>
  </si>
  <si>
    <t>As flagged on the LAP file.
Blank for a hand coded paper document that could not be matched back to the LAP file or manually added online tester.</t>
  </si>
  <si>
    <t>eDIRECT McKinney-Vento (Homeless) Flag</t>
  </si>
  <si>
    <t>Y = Classified as Homeless Student
N = Not classified as Homeless Student
Blank</t>
  </si>
  <si>
    <t>As valued in eDIRECT.
Blank for a hand-coded document that could not be matched back to the LAP file or an online student.</t>
  </si>
  <si>
    <t>Y = Yes
Blank</t>
  </si>
  <si>
    <t>Accommodated Paper</t>
  </si>
  <si>
    <t>Communication Assistance Scripts</t>
  </si>
  <si>
    <t>Bubbled LEP Status and  Test Accommodations</t>
  </si>
  <si>
    <t>As bubbled on the Social Studies consumable test booklet.
Blank for online testers.</t>
  </si>
  <si>
    <r>
      <t xml:space="preserve">As bubbled on the Social Studies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</si>
  <si>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As flagged on the LAP file.
Blank for a hand-coded paper document that could not be matched back to the LAP file or if the value was blank on the LAP file.</t>
  </si>
  <si>
    <t xml:space="preserve">Human Read Aloud </t>
  </si>
  <si>
    <r>
      <t xml:space="preserve">As valued in eDIRECT.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if the value was blank in eDIRECT or for hand-coded students that could not be matched back to the LAP file.</t>
    </r>
  </si>
  <si>
    <t>As valued in eDIRECT.
Blank if the value was blank in eDIRECT or for hand-coded students that could not be matched back to the LAP file.</t>
  </si>
  <si>
    <r>
      <t>As valued in eDIRECT.</t>
    </r>
    <r>
      <rPr>
        <sz val="10"/>
        <rFont val="Arial"/>
        <family val="2"/>
      </rPr>
      <t xml:space="preserve">
Blank if the value was blank in eDIRECT or for hand-coded students that could not be matched back to the LAP file.</t>
    </r>
  </si>
  <si>
    <t>0 = in SIS, not LEP prior 2 yrs
1 = LEP 1 yr prior
2 = LEP 2 yrs prior
3 = LEP current year
Blank = not in SIS prior 2 years or student is not on the LAP file</t>
  </si>
  <si>
    <r>
      <t xml:space="preserve">Total raw score for Social Studies.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</si>
  <si>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Assessment achievement level for Social Studies.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</si>
  <si>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History Percent Correct</t>
  </si>
  <si>
    <t>Geography Percent Correct</t>
  </si>
  <si>
    <t>Civics Percent Correct</t>
  </si>
  <si>
    <t>Economics Percent Correct</t>
  </si>
  <si>
    <t>Total points earned for each Social Studies content standard.
Blank when content standard is not assessed (zero points possible), or when the Raw Score Total for Social Studies is blank.</t>
  </si>
  <si>
    <t>Percent correct for the Social Studies Standard 4: Earth and Space Social Studies content standard. This is calculated by dividing the total points earned by the total points possible for the content standard.
Blank when Economics Raw Score is blank.</t>
  </si>
  <si>
    <t>Percent correct for the Social Studies Standard 3: Life Social Studies content standard. This is calculated by dividing the total points earned by the total points possible for the content standard.
Blank when Civics Raw Score is blank.</t>
  </si>
  <si>
    <t>Percent correct for the Social Studies Standard 2: Physical Social Studies content standard. This is calculated by dividing the total points earned by the total points possible for the content standard.
Blank when Standard 2: Geography Raw Score is blank.</t>
  </si>
  <si>
    <t>Percent correct for the Social Studies Standard 1: Social Studies as Inquiry content standard. This is calculated by dividing the total points earned by the total points possible for the content standard.
Blank when History Raw Score is blank.</t>
  </si>
  <si>
    <t>TEST MODE</t>
  </si>
  <si>
    <t>Test Mode - ELA</t>
  </si>
  <si>
    <t>Test Mode - Math</t>
  </si>
  <si>
    <t>Test Mode - Science</t>
  </si>
  <si>
    <t>Test Mode - Social Studies</t>
  </si>
  <si>
    <t>Identifies if the student tested the subject online or paper/pencil.</t>
  </si>
  <si>
    <t>00000001-99999999
000000000001-999999999999
Blank = paper document not returned</t>
  </si>
  <si>
    <t>If field value = "Y", then student will be receiving this footnote.
The Test Security Violation (Void) footnote will be set to "Y", if the Summarized Void Flag for the Social Studies = "1", "2", or "4".</t>
  </si>
  <si>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for paper document (document returned)
* = Multiple Response
Blank = No response for online document or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the student's score for the autoscored item is represented. 
0.00-99.0
B = No response (document returned)
Blank = document not returned, subject not sent to Performance Assessment Group, or subject was updated for score merge</t>
    </r>
  </si>
  <si>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for paper document (document returned)
* = Multiple Response
Blank = No response for online document or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xml:space="preserve">, the student's score for the autoscored item is represented. 
0.00-99.0
B = No response (document returned)
Blank = document not returned, subject not sent to Performance Assessment Group, or subject was updated for score merge </t>
    </r>
  </si>
  <si>
    <t>HI - Hard of Hearing</t>
  </si>
  <si>
    <t>Full Student First Name</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</si>
  <si>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 xml:space="preserve">
For files delivered to eScholar</t>
    </r>
    <r>
      <rPr>
        <sz val="10"/>
        <rFont val="Arial"/>
        <family val="2"/>
      </rPr>
      <t xml:space="preserve">
These fields will be populated with the full values on the file produced for eScholar</t>
    </r>
  </si>
  <si>
    <t>Full Student Last Name</t>
  </si>
  <si>
    <t>New LASID</t>
  </si>
  <si>
    <t>Possible Values and Descritpions/Comments were added for all Social Studies fields. All notes regarding Social Studies being a field test were removed.</t>
  </si>
  <si>
    <t xml:space="preserve">Update the LAP/eDIRECT Gender  (pos. 154), Migrant (pos. 157), McKinney-Vento (pos. 160) to be LAP only fields. </t>
  </si>
  <si>
    <t>Update the length of the LAP McKinney-Vento to be 1 instead of 3. FILLER was created for the remaining two bytes.</t>
  </si>
  <si>
    <t>Added  eDIRECT Gender  (pos. 167), Migrant (pos. 168), McKinney-Vento (pos. 169)  fields. The FILLER in pos. 167-181 was updated to be 12 bytes instead of 15.</t>
  </si>
  <si>
    <t>The following fields were rearranged to accommodate the ELA bubbled HI - Hearing Impairment exceptionality splitting into HI - Deaf and HI - Hard of Hearing.
FILLER in pos. 198-206 was reduced from 10 to 9.
Bubbled Ethnicity/Race fields were moved up 1 position from 208-213 to 207-212.
Gifted, Talented, Autism, Deafblindness, Developmental Delay, and Emotional Disturbance Exceptionalites were moved up 1 position from 214-219 to 213-218.</t>
  </si>
  <si>
    <t>ELA LAP Accommodations were added in pos. 230-242. To accommodate this the following fields were updated:
The FILLER in pos. 230-239 was removed. 
The Bubbled Spec. Ed. Test Accomm. were moved from pos. 240-247 to 243-250
The FILLER in pos. 248-252 was reduced from 5 bytes to 2.</t>
  </si>
  <si>
    <t>Additional ELA Online Test Accommodations were added in pos. 292-294. The FILLER following these fields was reduced from 5 bytes to 2.</t>
  </si>
  <si>
    <t>The following fields were rearranged to accommodate the Math bubbled HI - Hearing Impairment exceptionality splitting into HI - Deaf and HI - Hard of Hearing.
FILLER in pos. 314-322 was reduced from 10 to 9.
Bubbled Ethnicity/Race fields were moved up 1 position from 324-329 to 323-328.
Gifted, Talented, Autism, Deafblindness, Developmental Delay, and Emotional Disturbance Exceptionalites were moved up 1 position from 330-335 to 329-334.</t>
  </si>
  <si>
    <t>Math LAP Accommodations were added in pos. 346-361. To accommodate this the following fields were updated:
The FILLER in pos. 346-355 was removed. 
The Bubbled Spec. Ed. Test Accomm. were moved from pos. 356-364 to 362-370
The FILLER in pos. 365-369 was removed.
The Bubbled LEP Status and Accommodations were moved from pos. 370-376 to 371-377.
The FILLER in pos. 377-381 was reduced from 5 bytes to 4.</t>
  </si>
  <si>
    <t>Math Online Test Accommodations were updated/added to match the 2017 accommodations. New accommodations were added in pos. 415-416. The FILLER following these fields was reduced from 5 bytes to 3. Added a note to show that students using the Spanish TTS accommodation will be flagged with the TTS and Spanish Test Accommodations.</t>
  </si>
  <si>
    <t>Science LAP Accommodations were added in pos. 469-481. To accommodate this the following fields were updated:
The FILLER in pos.469-478 was removed. 
The Bubbled Spec. Ed. Test Accomm. were moved from pos. 479-489 to 482-492
The FILLER in pos. 490-494 was reduced from 5 bytes to 2.</t>
  </si>
  <si>
    <t>Social Studies LAP Accommodations were added in pos. 594-609. To accommodate this the following fields were updated:
The FILLER in pos.594-603 was removed. 
The Bubbled Spec. Ed. Test Accomm. were moved from pos. 604-614 to 610-620
The FILLER in pos. 615-619 was removed.
The Bubbled LEP Status and Accommodations were moved from pos. 620-626 to 621-627
The FILLER in pos. 627-631 was reduced from 5 bytes to 4.</t>
  </si>
  <si>
    <t>Additional Social Studies Online Test Accommodations were added in pos. 663-665. The FILLER following these fields was reduced from 5 bytes to 2.</t>
  </si>
  <si>
    <t>School Roster - Social Studies</t>
  </si>
  <si>
    <r>
      <t xml:space="preserve">If field value = "Y", then student will appear on the Social Studies School Roster.
The SOC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SOC.</t>
    </r>
  </si>
  <si>
    <t>The LAP/eDIRECT Ed Class Flag (pos. 668-670) was split into 2 fields, LAP Ed Class (pos. 668) and eDIRECT Ed Class (pos. 669). Each field will be 1 byte. The possible values were updated to be 0-2 for both. FILLER was added in position 670.</t>
  </si>
  <si>
    <t>The following LAP/eDIRECT fields were split into separate LAP and eDIRECT fields.
* Exceptionality Category
* LEP Code Section 504
* Ethnicity/Race fields
As a result, the following fields were moved/added/removed
* eDIRECT Exceptionality Category was added in pos. 680-681.
* The Summarized Exceptionality Category fields by subject were moved from pos. 680-687 to 682-689.
* LAP LEP Code was moved from 688-689 to 690-691
* eDIRECT LEP Code was added in pos. 692-693
* Summarized LEP fields were moved from 691-694 to 694-698
* LAP LEP Indicator Code was moved from 695 to 699
* LAP Section 504 was moved from 696 to 700
* eDIRECT Section 504 was added in pos. 701. Values were updated from Yes/No to Y/N
* Summarized Section 504 fields were moved from 699-703 to 702-706
* LAP/eDIRECT fields in pos. 704-709 were split into two sets of fields in pos. 707-718
* Summarized Ethnicity/Race fields were moved from pos. 710-713 to 719-722
* FILLER in pos. 714-733 was updated to be a length of 11 instead of 20 and start in pos. 723</t>
  </si>
  <si>
    <t>Possible Values for all Exceptionality Category fields were updated to be 01-17 instead of 01-18.</t>
  </si>
  <si>
    <t>Reporting Category Percent Correct fields were added for Social Studies in the following positions. The Reporting Category Raw Score fields were adjusted accordingly. The FILLER in 1084-1133 was reduced from 50 to 38.
* History (1072-1078)
* Geography (1079-1081)
* Civics (1082-1085)
* Economics (1089-1092)</t>
  </si>
  <si>
    <t>Summarized Void Flag possible values were updated to be 1, 2, or 4 instead of Y/N.</t>
  </si>
  <si>
    <t>The District and Plagiarism Void Flag fields were updated to FILLER as the summarized fields now indicae the type of void. The FILLER in pos. 1218-1227 was updated to be a length of 18 instead of 10 (pos. 1210-1227)</t>
  </si>
  <si>
    <t>Test Mode fields by subject were added in pos. 1274-1277. The FILLER in pos. 1248-1277 was reduced from 30 to 26.</t>
  </si>
  <si>
    <t>The Document Type Returned possible values were updated to use "C" instead of Blank for Online Testers.</t>
  </si>
  <si>
    <t>The Comments/Descritpion column was updated for all lithocode fields to note that the paper lithocodes will be 8 digits instead or 7.</t>
  </si>
  <si>
    <t>Added the School Roster - Social Studies field in pos. 1542. The ELA/Math and Science roster flags were each moved up one position. The FILLER in pos. 1531-1540 was reduced from a length of 10 to 9.</t>
  </si>
  <si>
    <t>Added the Full Student First Name field in pos. 2893-2907.</t>
  </si>
  <si>
    <t>Added the Full Student Last Name field in pos. 2908-2927.</t>
  </si>
  <si>
    <t>Added the New LASID field in pos. 2928-2937.</t>
  </si>
  <si>
    <t>The Date/Timestamp was moved to pos. 2893-2911.</t>
  </si>
  <si>
    <t>Launch Flag - ELA</t>
  </si>
  <si>
    <t>Y = Online Test was Launched
N = Online Test not Launched
Blank</t>
  </si>
  <si>
    <t>Blank for paper testers or when the online tester is not in a test session.</t>
  </si>
  <si>
    <t>Launch Flag - Math</t>
  </si>
  <si>
    <t>Launch Flag - Social Studies</t>
  </si>
  <si>
    <t>Form</t>
  </si>
  <si>
    <t>Form Number
Blank when a paper document is not returned or when an online tester is not in a test session.</t>
  </si>
  <si>
    <t xml:space="preserve">History Rating </t>
  </si>
  <si>
    <t xml:space="preserve">Geography Rating </t>
  </si>
  <si>
    <t>Rating associated with the History Raw Score.
Blank when History Raw Score is blank.</t>
  </si>
  <si>
    <t>Rating associated with the Geography Raw Score.
Blank when Geography Raw Score is blank.</t>
  </si>
  <si>
    <t>Rating associated with the Civics Raw Score.
Blank when Civics Raw Score is blank.</t>
  </si>
  <si>
    <t xml:space="preserve">Civics Rating </t>
  </si>
  <si>
    <t xml:space="preserve">Economics Rating </t>
  </si>
  <si>
    <t>Rating associated with the Economics Raw Score.
Blank when Economics Raw Score is blank.</t>
  </si>
  <si>
    <t>Reporting Category Rating fields were added for Social Studies in the following positions. The Reporting Category Raw Score and Percent Correct fields were adjusted accordingly. The FILLER in 1100-1133 was reduced from 38 to 34.
* History (1075)
* Geography (1083)
* Civics (1091)
* Economics (1099)</t>
  </si>
  <si>
    <t>Added the Launch Flag 
* ELA (1370)
* Math (1414)
* Social Studies (1502)</t>
  </si>
  <si>
    <t>Added the Form fields for each subject.
* ELA (1371-1376)
* Math (1415-1420)
* Science (1458-1463)
* Social Studies (1503-1508)</t>
  </si>
  <si>
    <t>ELA Field Test Item Responses</t>
  </si>
  <si>
    <t>Math Field Test Item Responses</t>
  </si>
  <si>
    <t>Science Field Test Item Responses</t>
  </si>
  <si>
    <t>Social Studies Field Test Item Responses</t>
  </si>
  <si>
    <t>Split the Response Strings into an Operational String and a Field Test String.</t>
  </si>
  <si>
    <t>Project: LEAP 2025 Gr. 3-8 Spring 2018</t>
  </si>
  <si>
    <t xml:space="preserve">Unique student identification number generated by LDE.
"*" and  " "  values are changed to -
This is the retired LASID for precoded students that were given a new LASID in the March LAP file. The new LASID is in the new LASID field at the end of this layout. </t>
  </si>
  <si>
    <t>As flagged on the LAP file
Blank for a hand coded paper document that could not be matched back to the LAP file, for manually added online tester, or if the value was blank on the LAP file.</t>
  </si>
  <si>
    <t>HI - Deaf</t>
  </si>
  <si>
    <r>
      <t xml:space="preserve">As valued in eDIRECT for online testers.
</t>
    </r>
    <r>
      <rPr>
        <b/>
        <sz val="10"/>
        <rFont val="Arial"/>
        <family val="2"/>
      </rPr>
      <t xml:space="preserve">Note: </t>
    </r>
    <r>
      <rPr>
        <sz val="10"/>
        <rFont val="Arial"/>
        <family val="2"/>
      </rPr>
      <t>Students using the Spanish TTS accommodation will have a "1" for Text-to-Speech and a "1" for Spanish Test.
Blank for paper testers.</t>
    </r>
  </si>
  <si>
    <t>0 = Regular Education
1 = Special Education
2 = Gifted or Talented
Blank</t>
  </si>
  <si>
    <t>01-17
Blank</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</si>
  <si>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 coded paper document that could not be matched back to the LAP file, for manually added online tester, or if the value was blank in the LAP file.</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</si>
  <si>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t>
    </r>
    <r>
      <rPr>
        <sz val="10"/>
        <rFont val="Arial"/>
        <family val="2"/>
      </rPr>
      <t xml:space="preserve">
99 = Unknown (multiple values bubbled)
Blank = student has no special education category</t>
    </r>
  </si>
  <si>
    <t>As flagged on the LAP file.
Blank for a hand coded paper document that could not be matched back to the LAP file, for manually added online tester, or if the value was blank in the LAP file.</t>
  </si>
  <si>
    <r>
      <t>Y</t>
    </r>
    <r>
      <rPr>
        <sz val="10"/>
        <rFont val="Arial"/>
        <family val="2"/>
      </rPr>
      <t xml:space="preserve"> = Section 504
N</t>
    </r>
    <r>
      <rPr>
        <sz val="10"/>
        <rFont val="Arial"/>
        <family val="2"/>
      </rPr>
      <t xml:space="preserve"> = Not Section 504
Blank</t>
    </r>
  </si>
  <si>
    <r>
      <t xml:space="preserve">Refer to the </t>
    </r>
    <r>
      <rPr>
        <b/>
        <u/>
        <sz val="10"/>
        <rFont val="Arial"/>
        <family val="2"/>
      </rPr>
      <t>Test Taken</t>
    </r>
    <r>
      <rPr>
        <sz val="10"/>
        <rFont val="Arial"/>
        <family val="2"/>
      </rPr>
      <t xml:space="preserve"> section of the Processing Rules - Scoring document for rules on populating these values.
The Test Taken Flag will be set to "N" if the subject was the secondary record involved in a score merge.</t>
    </r>
  </si>
  <si>
    <t>Within each subject, indicates whether a student attempted any operational MC or CR type items on the test.
Autoscored Items are considered CR type items.
The MC / CR Taken flag will be set to "0" if the subject was secondary record involved in a score merge.</t>
  </si>
  <si>
    <t>The Handscoring Complete Flag for the subject will be set to "Y" if handscoring has been completed for the subject.</t>
  </si>
  <si>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t>
    </r>
  </si>
  <si>
    <t>1 = Plagiarism
2 = District
4 = Off-Grade
Blank</t>
  </si>
  <si>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</si>
  <si>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t>
    </r>
  </si>
  <si>
    <t>N = No Document Returned For 
      Precoded Record
M = Manually Coded Document 
       Returned
P = Precoded Document Returned 
O = Manually Coded Document 
       matched back to Precode Record.
C = Online Tester
Blank</t>
  </si>
  <si>
    <r>
      <t>Indicates whether a paper document was returned and whether it was manually completed for demographics or precoded with student label.</t>
    </r>
    <r>
      <rPr>
        <strike/>
        <sz val="10"/>
        <rFont val="Arial"/>
        <family val="2"/>
      </rPr>
      <t xml:space="preserve">
</t>
    </r>
    <r>
      <rPr>
        <sz val="10"/>
        <rFont val="Arial"/>
        <family val="2"/>
      </rPr>
      <t>Blank for a subject when the student did not test the subject and the student was not precoded.</t>
    </r>
  </si>
  <si>
    <t>Charter type as listed in the School Master File.
Blank for 888 and 998 school types.</t>
  </si>
  <si>
    <t>8 digits in length for paper testers.
12 digits in length for online testers.
Lithocode will be blank for online testers that have not been placed in a test session for the subject.</t>
  </si>
  <si>
    <r>
      <t xml:space="preserve">If field value = "Y", then student will appear on the Social Studies Student Report (SR).
The Student Report for Social Studies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</si>
  <si>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t>If field value = "Y", then student will be receiving this footnote.
The Test Security Violation (Void) footnote will be set to "Y", if the Summarized Void Flag for the ELA = "1", "2", or "4".</t>
  </si>
  <si>
    <t>ELA Operational Item Responses</t>
  </si>
  <si>
    <t>Math Operational Item Responses</t>
  </si>
  <si>
    <t>Science Operational Item Responses</t>
  </si>
  <si>
    <t>Social Studies Operational Item Responses</t>
  </si>
  <si>
    <t>Bubbled Military Affiliated</t>
  </si>
  <si>
    <t>Bubbled Foster Care</t>
  </si>
  <si>
    <t>As bubbled on the Science consumable test booklet.
Blank for online testers.</t>
  </si>
  <si>
    <t>LAP Military Affiliation</t>
  </si>
  <si>
    <t>eDIRECT Military Affiliation</t>
  </si>
  <si>
    <t>Summarized Military Affiliation</t>
  </si>
  <si>
    <t>LAP Foster Care</t>
  </si>
  <si>
    <t>eDIRECT Foster Care</t>
  </si>
  <si>
    <t>Summarized Foster Care</t>
  </si>
  <si>
    <t>Y = Classified as Foster Care
N = Not classified as Foster Care
Blank</t>
  </si>
  <si>
    <t>Y = Classified as Military Affiliated
N = Not classified as Military Affiliated
Blank</t>
  </si>
  <si>
    <r>
      <rPr>
        <strike/>
        <sz val="10"/>
        <color rgb="FFFF0000"/>
        <rFont val="Arial"/>
        <family val="2"/>
      </rPr>
      <t>UNS = Unsatisfactory
APP = Approaching Basic
BAS = Basic
MAS = Mastery
ADV = Advanced
INC = Include in reports</t>
    </r>
    <r>
      <rPr>
        <sz val="10"/>
        <rFont val="Arial"/>
        <family val="2"/>
      </rPr>
      <t xml:space="preserve">
Blank</t>
    </r>
  </si>
  <si>
    <r>
      <rPr>
        <strike/>
        <sz val="10"/>
        <color rgb="FFFF0000"/>
        <rFont val="Arial"/>
        <family val="2"/>
      </rPr>
      <t>100-500</t>
    </r>
    <r>
      <rPr>
        <sz val="10"/>
        <rFont val="Arial"/>
        <family val="2"/>
      </rPr>
      <t xml:space="preserve">
Blank</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</si>
  <si>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
</t>
    </r>
    <r>
      <rPr>
        <sz val="10"/>
        <color rgb="FFFF0000"/>
        <rFont val="Arial"/>
        <family val="2"/>
      </rPr>
      <t xml:space="preserve">
Science is a field test in 2018 and will not have any achievement level values.</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</si>
  <si>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 xml:space="preserve">The Accountability Achievement Level fields will be set to Blank if the subject was the secondary record involved in a score merge.
</t>
    </r>
    <r>
      <rPr>
        <sz val="10"/>
        <color rgb="FFFF0000"/>
        <rFont val="Arial"/>
        <family val="2"/>
      </rPr>
      <t>Science is a field test in 2018. All Accountability Achievement Levels will be set to Blank for Science.</t>
    </r>
  </si>
  <si>
    <r>
      <t xml:space="preserve">00000001-99999999
</t>
    </r>
    <r>
      <rPr>
        <sz val="10"/>
        <color rgb="FFFF0000"/>
        <rFont val="Arial"/>
        <family val="2"/>
      </rPr>
      <t>000000000001-999999999999</t>
    </r>
    <r>
      <rPr>
        <sz val="10"/>
        <rFont val="Arial"/>
        <family val="2"/>
      </rPr>
      <t xml:space="preserve">
Blank = paper document not returned</t>
    </r>
  </si>
  <si>
    <r>
      <t xml:space="preserve">8 digits in length for paper testers.
</t>
    </r>
    <r>
      <rPr>
        <sz val="10"/>
        <color rgb="FFFF0000"/>
        <rFont val="Arial"/>
        <family val="2"/>
      </rPr>
      <t>12 digits in length for online testers.</t>
    </r>
    <r>
      <rPr>
        <sz val="10"/>
        <rFont val="Arial"/>
        <family val="2"/>
      </rPr>
      <t xml:space="preserve">
Lithocode will be blank for online testers that have not been placed in a test session for the subject.</t>
    </r>
  </si>
  <si>
    <t>Launch Flag - Science</t>
  </si>
  <si>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
</t>
    </r>
    <r>
      <rPr>
        <sz val="10"/>
        <color rgb="FFFF0000"/>
        <rFont val="Arial"/>
        <family val="2"/>
      </rPr>
      <t>"N" for all students in 2018.</t>
    </r>
  </si>
  <si>
    <r>
      <t xml:space="preserve">If field value = "Y", then student will appear on the Science Student Report (SR).
The Student Report for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
</t>
    </r>
    <r>
      <rPr>
        <sz val="10"/>
        <color rgb="FFFF0000"/>
        <rFont val="Arial"/>
        <family val="2"/>
      </rPr>
      <t xml:space="preserve">
"N" for all students in 2018.</t>
    </r>
  </si>
  <si>
    <r>
      <rPr>
        <b/>
        <sz val="10"/>
        <rFont val="Arial"/>
        <family val="2"/>
      </rPr>
      <t xml:space="preserve">For paper testers: </t>
    </r>
    <r>
      <rPr>
        <sz val="10"/>
        <rFont val="Arial"/>
        <family val="2"/>
      </rPr>
      <t xml:space="preserve">As bubbled on the Science consumable test booklet.
</t>
    </r>
    <r>
      <rPr>
        <b/>
        <sz val="10"/>
        <color rgb="FFFF0000"/>
        <rFont val="Arial"/>
        <family val="2"/>
      </rPr>
      <t xml:space="preserve">For online testers: </t>
    </r>
    <r>
      <rPr>
        <sz val="10"/>
        <color rgb="FFFF0000"/>
        <rFont val="Arial"/>
        <family val="2"/>
      </rPr>
      <t>Test Administrator Number associated with the eDIRECT test session.</t>
    </r>
  </si>
  <si>
    <r>
      <rPr>
        <b/>
        <sz val="10"/>
        <rFont val="Arial"/>
        <family val="2"/>
      </rPr>
      <t xml:space="preserve">For paper testers: </t>
    </r>
    <r>
      <rPr>
        <sz val="10"/>
        <rFont val="Arial"/>
        <family val="2"/>
      </rPr>
      <t xml:space="preserve">As bubbled on the Social Studies consumable test booklet.
</t>
    </r>
    <r>
      <rPr>
        <b/>
        <sz val="10"/>
        <rFont val="Arial"/>
        <family val="2"/>
      </rPr>
      <t xml:space="preserve">For online testers: </t>
    </r>
    <r>
      <rPr>
        <sz val="10"/>
        <rFont val="Arial"/>
        <family val="2"/>
      </rPr>
      <t>Test Administrator Number associated with the eDIRECT test session.</t>
    </r>
  </si>
  <si>
    <r>
      <t xml:space="preserve">Communication Assistance </t>
    </r>
    <r>
      <rPr>
        <sz val="10"/>
        <color rgb="FFFF0000"/>
        <rFont val="Arial"/>
        <family val="2"/>
      </rPr>
      <t>Script</t>
    </r>
  </si>
  <si>
    <r>
      <rPr>
        <strike/>
        <sz val="10"/>
        <color rgb="FFFF0000"/>
        <rFont val="Arial"/>
        <family val="2"/>
      </rPr>
      <t xml:space="preserve">Braille </t>
    </r>
    <r>
      <rPr>
        <sz val="10"/>
        <color rgb="FFFF0000"/>
        <rFont val="Arial"/>
        <family val="2"/>
      </rPr>
      <t>UEB</t>
    </r>
  </si>
  <si>
    <t>Recorded Voice File</t>
  </si>
  <si>
    <t>Kurzweil</t>
  </si>
  <si>
    <r>
      <rPr>
        <sz val="10"/>
        <color rgb="FFFF0000"/>
        <rFont val="Arial"/>
        <family val="2"/>
      </rPr>
      <t>Human/</t>
    </r>
    <r>
      <rPr>
        <sz val="10"/>
        <rFont val="Arial"/>
        <family val="2"/>
      </rPr>
      <t>Test Read Aloud</t>
    </r>
  </si>
  <si>
    <t>Accommodated Paper Test</t>
  </si>
  <si>
    <r>
      <rPr>
        <sz val="10"/>
        <color rgb="FFFF0000"/>
        <rFont val="Arial"/>
        <family val="2"/>
      </rPr>
      <t>1-9
2BR</t>
    </r>
    <r>
      <rPr>
        <sz val="10"/>
        <rFont val="Arial"/>
        <family val="2"/>
      </rPr>
      <t xml:space="preserve">
Blank</t>
    </r>
  </si>
  <si>
    <r>
      <t xml:space="preserve">Form Number
</t>
    </r>
    <r>
      <rPr>
        <sz val="10"/>
        <color rgb="FFFF0000"/>
        <rFont val="Arial"/>
        <family val="2"/>
      </rPr>
      <t>2BR when an online tester uses the Braille form.</t>
    </r>
    <r>
      <rPr>
        <sz val="10"/>
        <rFont val="Arial"/>
        <family val="2"/>
      </rPr>
      <t xml:space="preserve">
Blank when a paper document is not returned or when an online tester is not in a test session.</t>
    </r>
  </si>
  <si>
    <r>
      <rPr>
        <sz val="10"/>
        <color rgb="FFFF0000"/>
        <rFont val="Arial"/>
        <family val="2"/>
      </rPr>
      <t>1-11
2BR
1SP</t>
    </r>
    <r>
      <rPr>
        <sz val="10"/>
        <rFont val="Arial"/>
        <family val="2"/>
      </rPr>
      <t xml:space="preserve">
Blank</t>
    </r>
  </si>
  <si>
    <r>
      <t xml:space="preserve">Form Number
</t>
    </r>
    <r>
      <rPr>
        <sz val="10"/>
        <color rgb="FFFF0000"/>
        <rFont val="Arial"/>
        <family val="2"/>
      </rPr>
      <t>2BR when an online tester uses the Braille form.
1SP when an online or paper tester uses the Spanish form.</t>
    </r>
    <r>
      <rPr>
        <sz val="10"/>
        <rFont val="Arial"/>
        <family val="2"/>
      </rPr>
      <t xml:space="preserve">
Blank when a paper document is not returned or when an online tester is not in a test session.</t>
    </r>
  </si>
  <si>
    <t>1-9
Blank</t>
  </si>
  <si>
    <r>
      <rPr>
        <sz val="10"/>
        <color rgb="FFFF0000"/>
        <rFont val="Arial"/>
        <family val="2"/>
      </rPr>
      <t>1-11
2BR</t>
    </r>
    <r>
      <rPr>
        <sz val="10"/>
        <rFont val="Arial"/>
        <family val="2"/>
      </rPr>
      <t xml:space="preserve">
Blank</t>
    </r>
  </si>
  <si>
    <r>
      <t xml:space="preserve">Summary of District Voids, Plagiarism Voids and Off-Grade Voids in each subject.  
The Summarized Void flag will be "1" for a subject if the student has a row in the LDE approved Void .csv file for the subject and the LDE Type of Void field contains "1"
The Summarized Void flag will be "2" for a subject if the student has a row in the LDE approved Void .csv file for the subject and the LDE Type of Void field contains "2"
The Summarized Void flag will be "4" for a subject if the student has a row in the LDE approved Void .csv file for the subject and the LDE Type of Void field contains "4"
Blank when the subject is not voided
</t>
    </r>
    <r>
      <rPr>
        <sz val="10"/>
        <color rgb="FFFF0000"/>
        <rFont val="Arial"/>
        <family val="2"/>
      </rPr>
      <t>Science is a field test in 2018. Void Flag will be blank for all students.</t>
    </r>
  </si>
  <si>
    <t>Read Aloud Recorded Voice</t>
  </si>
  <si>
    <t>Read Aloud Human Reader</t>
  </si>
  <si>
    <r>
      <rPr>
        <strike/>
        <sz val="10"/>
        <rFont val="Arial"/>
        <family val="2"/>
      </rPr>
      <t xml:space="preserve">Tests </t>
    </r>
    <r>
      <rPr>
        <sz val="10"/>
        <rFont val="Arial"/>
        <family val="2"/>
      </rPr>
      <t xml:space="preserve">Read Aloud </t>
    </r>
    <r>
      <rPr>
        <sz val="10"/>
        <color rgb="FFFF0000"/>
        <rFont val="Arial"/>
        <family val="2"/>
      </rPr>
      <t>Kurzweil</t>
    </r>
  </si>
  <si>
    <r>
      <t xml:space="preserve">Directions </t>
    </r>
    <r>
      <rPr>
        <strike/>
        <sz val="10"/>
        <color rgb="FFFF0000"/>
        <rFont val="Arial"/>
        <family val="2"/>
      </rPr>
      <t xml:space="preserve">Read Aloud/Clarified </t>
    </r>
    <r>
      <rPr>
        <sz val="10"/>
        <rFont val="Arial"/>
        <family val="2"/>
      </rPr>
      <t>in Native Language</t>
    </r>
  </si>
  <si>
    <r>
      <t xml:space="preserve">Directions </t>
    </r>
    <r>
      <rPr>
        <strike/>
        <sz val="10"/>
        <color rgb="FFFF0000"/>
        <rFont val="Arial"/>
        <family val="2"/>
      </rPr>
      <t>Read Aloud/Clarified</t>
    </r>
    <r>
      <rPr>
        <sz val="10"/>
        <rFont val="Arial"/>
        <family val="2"/>
      </rPr>
      <t xml:space="preserve"> in Native Language</t>
    </r>
  </si>
  <si>
    <t>Major Content Subcategories</t>
  </si>
  <si>
    <t>Major Content Subcategory 1 Raw Score</t>
  </si>
  <si>
    <t>Major Content Subcategory 1 Rating</t>
  </si>
  <si>
    <t>Major Content Subcategory 2 Raw Score</t>
  </si>
  <si>
    <t>Major Content Subcategory 2 Rating</t>
  </si>
  <si>
    <t>Major Content Subcategory 3 Raw Score</t>
  </si>
  <si>
    <t>Major Content Subcategory 3 Rating</t>
  </si>
  <si>
    <t>Rating associated with the Modeling &amp; Application Raw Score.
Blank when Modeling &amp; Application Raw Score is blank.</t>
  </si>
  <si>
    <t>Total points earned for the Math Modeling &amp; Application Raw Score subclaim.
Blank when subclaim is not assessed (zero points possible), or when the Raw Score Total for Math is blank.</t>
  </si>
  <si>
    <t>Rating associated with the Expressing Mathematical Reasoning Raw Score.
Blank when Expressing Mathematical Reasoning Text Raw Score is blank.</t>
  </si>
  <si>
    <t>Total points earned for the Math Expressing Mathematical Reasoning subclaim.
Blank when subclaim is not assessed (zero points possible), or when the Raw Score Total for Math is blank.</t>
  </si>
  <si>
    <t>Rating associated with the Additional &amp; Supporting Content Raw Score.
Blank when Additional &amp; Supporting Content Raw Score is blank.</t>
  </si>
  <si>
    <t>Total points earned for the Math Additional &amp; Supporting Content subclaim.
Blank when subclaim is not assessed (zero points possible), or when the Raw Score Total for Math is blank.</t>
  </si>
  <si>
    <t>Rating associated with the Major Content Raw Score.
Blank when Major Content Raw Score is blank.</t>
  </si>
  <si>
    <t>Total points earned for the Math Major Content subclaim.
Blank when subclaim is not assessed (zero points possible), or when the Raw Score Total for Math is blank.</t>
  </si>
  <si>
    <r>
      <t xml:space="preserve">Total points earned for the Major Content Subcategory 1 Raw Score.
Blank when subcategory is not assessed (zero points possible), or when the Raw Score Total for Math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1 associated to each grade.
</t>
    </r>
  </si>
  <si>
    <r>
      <t xml:space="preserve">Rating associated with the Major Content Subcategory 1 Raw Score.
Blank when Major Content Subcategory 1 Raw Score is blank.
Refer to the </t>
    </r>
    <r>
      <rPr>
        <b/>
        <u/>
        <sz val="10"/>
        <rFont val="Arial"/>
        <family val="2"/>
      </rPr>
      <t xml:space="preserve">Subclaims, Claims, Subcategories and Reporting Categories </t>
    </r>
    <r>
      <rPr>
        <sz val="10"/>
        <rFont val="Arial"/>
        <family val="2"/>
      </rPr>
      <t>section of the Processing Rules - Scoring document for the Major Content Subcategory 1 associated to each grade.</t>
    </r>
  </si>
  <si>
    <r>
      <t xml:space="preserve">Percent correct for the Major Content Subcategory 1. This is calculated by dividing the total points earned by the total points possible for the subcategory.
Blank when Major Content Subcategory 1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1 associated to each grade.</t>
    </r>
  </si>
  <si>
    <t>As bubbled on the Science consumable test booklet.</t>
  </si>
  <si>
    <r>
      <t xml:space="preserve">As bubbled on the Science consumable test booklet.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</si>
  <si>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First character ("P" or "L"), followed by the last 8 digits of the number.
"P" when the consumable test booklet is precoded, or when a hand-coded consumable test booklet matches by 4 demographics to a precode record. The first non-blank consumable test booklet (Doc1-&gt;Doc2-&gt;Doc3-&gt;Doc4) will have the documents Barcode/Student Precode Number populated.
"L" when a hand-coded consumable test booklet does not match to a precode record by 4 demographics.   The first non-blank consumable test booklet (Doc1-&gt;Doc2-&gt;Doc3-&gt;Doc4) will have the documents Barcode/Student Precode Number populated.
Blank for students who tested all subjects online.</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</si>
  <si>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the values from the LAP file and the </t>
    </r>
    <r>
      <rPr>
        <strike/>
        <sz val="10"/>
        <color rgb="FFFF0000"/>
        <rFont val="Arial"/>
        <family val="2"/>
      </rPr>
      <t>answer document/</t>
    </r>
    <r>
      <rPr>
        <sz val="10"/>
        <rFont val="Arial"/>
        <family val="2"/>
      </rPr>
      <t xml:space="preserve">consumable test booklets.
</t>
    </r>
    <r>
      <rPr>
        <b/>
        <sz val="10"/>
        <rFont val="Arial"/>
        <family val="2"/>
      </rPr>
      <t xml:space="preserve">Paper: </t>
    </r>
    <r>
      <rPr>
        <sz val="10"/>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rFont val="Arial"/>
        <family val="2"/>
      </rPr>
      <t xml:space="preserve">Online: </t>
    </r>
    <r>
      <rPr>
        <sz val="10"/>
        <rFont val="Arial"/>
        <family val="2"/>
      </rPr>
      <t>Values are derived from the test session grade, or from the LAP file. For students who tested in a grade that differs from their grade on the LAP file, the grade level from the test session will be populated here.</t>
    </r>
  </si>
  <si>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consumable test booklet.</t>
    </r>
  </si>
  <si>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consumable test booklet.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</si>
  <si>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consumable test booklet.</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</si>
  <si>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</si>
  <si>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</si>
  <si>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</si>
  <si>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t>
    </r>
    <r>
      <rPr>
        <strike/>
        <sz val="10"/>
        <color rgb="FFFF0000"/>
        <rFont val="Arial"/>
        <family val="2"/>
      </rPr>
      <t>answer document/</t>
    </r>
    <r>
      <rPr>
        <sz val="10"/>
        <rFont val="Arial"/>
        <family val="2"/>
      </rPr>
      <t>consumable test booklet.</t>
    </r>
  </si>
  <si>
    <r>
      <rPr>
        <strike/>
        <sz val="10"/>
        <color rgb="FFFF0000"/>
        <rFont val="Arial"/>
        <family val="2"/>
      </rPr>
      <t xml:space="preserve">Refer to the </t>
    </r>
    <r>
      <rPr>
        <b/>
        <strike/>
        <u/>
        <sz val="10"/>
        <color rgb="FFFF0000"/>
        <rFont val="Arial"/>
        <family val="2"/>
      </rPr>
      <t>Scoring Overview</t>
    </r>
    <r>
      <rPr>
        <strike/>
        <sz val="10"/>
        <color rgb="FFFF0000"/>
        <rFont val="Arial"/>
        <family val="2"/>
      </rPr>
      <t xml:space="preserve"> section of the Processing Rules - Scoring document for types of items that are autoscored.</t>
    </r>
    <r>
      <rPr>
        <sz val="10"/>
        <rFont val="Arial"/>
        <family val="2"/>
      </rPr>
      <t xml:space="preserve">
</t>
    </r>
    <r>
      <rPr>
        <strike/>
        <sz val="10"/>
        <color rgb="FFFF0000"/>
        <rFont val="Arial"/>
        <family val="2"/>
      </rPr>
      <t>Field Test Items will be included in the Item Responses.</t>
    </r>
    <r>
      <rPr>
        <sz val="10"/>
        <rFont val="Arial"/>
        <family val="2"/>
      </rPr>
      <t xml:space="preserve">
The ELA Prose Constructed Response will be 2 or 3 positions within the response string; one position for each trait containing the number of points assigned to each trait. 
When a subject is updated because of a score merge, the item response string is changed to blank.
</t>
    </r>
  </si>
  <si>
    <t>Updated all refereces to answer document to consumable test booklet.</t>
  </si>
  <si>
    <t>The following updates were made to the ELA LAP Accommodations:
* Pos. 238, Field name updated to Communication Assisstance Script
* Pos. 240, Field name updated to UEB instead of Braille
* Pos. 243, Recorded Voice File added as a new accommodation
* Pos. 244, Kurzweil added as a new accommodation</t>
  </si>
  <si>
    <t>The following updates were made to the ELA Special Education Test Accommodations.
* All accommodations were moved out 2 pos. so they start in 245 instead of 243 to accommodate the additional LAP accommodations.
* Pos. 252 was re-named from Test Read Aloud to Read Aloud Kurzweil
* Pos. 253, Read Aloud Recorded Voice was added as a new accommodation
* Pos. 254, Read Aloud Human Reader was added as a new accommodation
* 2 bytes of FILLER were removed at the end of the accommodations to accommodate the new ones.</t>
  </si>
  <si>
    <t>The following updates were made to the ELA LEP Status and Test Accommodations
* LEP Status and all accommodations were moved out 2 pos. so they start in 255 instead of 253 to accommodate the additional LAP accommodations.
* Pos. 260, Test Administered by ESL Teacher or Individual Providing Language Services was added as a new accommodation.
Pos. 261, renamed to Directions in Native Language
* Pos. 262-263, FILLER reduced from length of 5 to 2</t>
  </si>
  <si>
    <t>The following updates were made to the ELA Section 504 Test Accommodations
* Pos. 266, Braille was removed as an accommodation.
* All remaining accommodations were moved up one position to start in 266.
* Pos. 271 was re-named from Test Read Aloud to Read Aloud Kurzweil
* Pos. 272, Read Aloud Recoded Voice was added as a new accommodation
* Pos. 273, Read Aloud Human Reader was added as a new accommodation
* Pos. 274-277, FILLER was reduced from length of 5 to 4</t>
  </si>
  <si>
    <t>The following updates were made to the Math LAP Accommodations:
* Pos. 357, Field name updated to Communication Assisstance Script
* Pos. 359, Field name updated to UEB instead of Braille
* Pos. 362, Recorded Voice File added as a new accommodation
* Pos. 263, Kurzweil added as a new accommodation</t>
  </si>
  <si>
    <t>The following updates were made to the Math Special Education Test Accommodations.
* All accommodations were moved out 2 pos. so they start in 364 instead of 362 to accommodate the additional LAP accommodations.
* Pos. 371, was re-named from Test Read Aloud to Read Aloud Kurzweil
* Pos. 372, Read Aloud Recorded Voice was added as a new accommodation
* Pos. 373, Read Aloud Human Reader was added as a new accommodation</t>
  </si>
  <si>
    <t>The following updates were made to the Math PNP Accommodations
* Pos. 398 was re-named from Test Read Aloud to Read Aloud Kurzweil
* Pos. 399, Read Aloud Recoded Voice was added as a new accommodation
* Pos. 400, Read Aloud Human Reader was added as a new accommodation
* Pos. 401-403, FILLER was reduced from a length of 5 to 3.</t>
  </si>
  <si>
    <t>Added fields for Military Affiliation and Foster Care in the following locations. FILLER fields were updated accordingly.
* LAP Military - pos. 170
* eDIRECT Military - pos. 171
* Summarized Military - pos. 172
* ELA Bubbled Military - pos. 198
* Math Bubbled Military - pos. 314
* Science Bubbled Military - pos. 436
* Social Studies Bubbled Military - pos. 561
* LAP Foster Care - pos. 173
* eDIRECT Foster Care - pos. 174
* Summarized Foster Care - pos. 175
* ELA Bubbled Foster Care- pos. 199
* Math Bubbled Foster Care - pos. 315
* Science Bubbled Foster Care - pos. 437
* Social Studies Bubbled Foster Care - pos. 562
* FILLER in pos. 176-181 was reduced from a length of 12 to 6
* FILLER in pos. 200-206 was reduced from a length of 9 to 7
* FILLER in pos. 316-322 was reduced from a length of 9 to 7
* FILLER in pos. 438-445 was reduced from a length of 9 to 8. 
* FILLER in pos. 563-570 was reduced from a length of 10 to 8.</t>
  </si>
  <si>
    <t>Repeating Grade in pos. 436 was removed as a bubbled science field as it was removed from the consumable test booklets.</t>
  </si>
  <si>
    <t>The following updates were made to the Science LAP Accommodations:
* Pos. 469, Text-to-Speech added as a new accommodation
* Pos. 470, Field name updated to Human/Test Read Aloud
* Pos. 472, Directions in Native Language as a new accommodation
* Pos. 477, Field name updated to Communication Assisstance Script
* Pos. 478, Accommodated Paper Test added as a new accommodation
* Pos. 479, Field name updated to UEB instead of Braille
* Pos. 485, Recorded Voice File added as a new accommodation
* Pos. 486, Kurzweil added as a new accommodation</t>
  </si>
  <si>
    <t>The following updates were made to the Science Special Education Test Accommodations.
* All accommodations were moved out 5 pos. so they start in 487 instead of 482 to accommodate the additional LAP accommodations.
* Braille was removed as an accommodation as it was removed from the CTB
* Assistive Technology was removed as an accommodation as it was removed from the CTB
* Communication Assistance was removed as an accommodation as it was removed from the CTB
* Pos. 493 was re-named from Test Read Aloud to Read Aloud Kurzweil
* Pos. 494, Read Aloud Recorded Voice was added as a new accommodation
* Pos. 495, Read Aloud Human Reader was added as a new accommodation
* 2 bytes of FILLER were removed at the end of the accommodations to accommodate the new ones.</t>
  </si>
  <si>
    <t>The following updates were made to the Science LEP Status and Test Accommodations
* LEP Status and all accommodations were moved out 2 pos. so they start in 497 instead of 495 to accommodate the additional LAP accommodations.
* Pos. 503, Directions in Native Language was added as a new accommodation.
* Pos. 504, was re-named from Test Read Aloud to Read Aloud Kurzweil
* Pos. 505, Read Aloud Recorded Voice was added as a new accommodation
* Pos. 506, Read Aloud Human Reader was added as a new accommodation
* 5 bytes of FILLER were removed at the end of the accommodations to accommodate the new ones.</t>
  </si>
  <si>
    <t>The following updates were made to the Science Section 504 Test Accommodations
* Braille was removed as an accommodation as it was removed from the CTB
* Assistive Technology was removed as an accommodation as it was removed from the CTB
* Communication Assistance was removed as an accommodation as it was removed from the CTB
* Pos. 514 was re-named from Test Read Aloud to Read Aloud Kurzweil
* Pos. 515, Read Aloud Recorded Voice was added as a new accommodation
* Pos. 516, Read Aloud Human Reader was added as a new accommodation
* Pos. 518-523, FILLER was increased to a length of 6 instead of 5.</t>
  </si>
  <si>
    <t>Science Online Accommodations were added in pos. 525-534. FILLER in pos. 535-544 was reduced from a length of 20 to 10 to accommodate the new accommodations.</t>
  </si>
  <si>
    <t>The following updates were made to the Social Studies LAP Accommodations:
* Pos. 602, Field name updated to Communication Assisstance Script
* Pos. 604, Field name updated to UEB instead of Braille
* Pos. 610, Recorded Voice File added as a new accommodation
* Pos. 611, Kurzweil added as a new accommodation</t>
  </si>
  <si>
    <t>The following updates were made to the Social Studies Special Education Test Accommodations.
* All accommodations were moved out 2 pos. so they start in 612 instead of 610 to accommodate the additional LAP accommodations.
* Assistive Technology was removed as an accommodation as it was removed from the CTB
* Communication Assistance was removed as an accommodation as it was removed from the CTB
* Pos. 619 was re-named from Test Read Aloud to Read Aloud Kurzweil
* Pos. 620, Read Aloud Recorded Voice was added as a new accommodation
* Pos. 621, Read Aloud Human Reader was added as a new accommodation</t>
  </si>
  <si>
    <t>The following updates were made to the Social Studies LEP Status and Test Accommodations
* LEP Status and all accommodations were moved out 2 pos. so they start in 623 instead of 621 to accommodate the additional LAP and Special Ed accommodations.
* Pos. 629, Directions in Native Language was added as a new accommodation
* Pos. 630, was re-named from Test Read Aloud to Read Aloud Kurzweil
* Pos. 631, Read Aloud Recorded Voice was added as a new accommodation
* Pos. 632, Read Aloud Human Reader was added as a new accommodation
* 4 bytes of FILLER were removed at the end of the accommodations to accommodate the new ones.</t>
  </si>
  <si>
    <t>The following updates were made to the Social Studies Section 504 Status and Test Accommodations
* Section 504 Status and Accommodations were moved out 1 position so they start in 633 instead of 632
* Braille was removed as an accommodation as it was removed from the CTB
* Assistive Technology was removed as an accommodation as it was removed from the CTB
* Communication Assistance was removed as an accommodation as it was removed from the CTB
* Pos. 640 was re-named from Test Read Aloud to Read Aloud Kurzweil
* Pos. 641, Read Aloud Recorded Voice was added as a new accommodation
* Pos. 642, Read Aloud Human Reader was added as a new accommodation</t>
  </si>
  <si>
    <t>Added the Math Major Content Subcategory Raw Score, Rating, and Percent Correct fields in pos. 900-923. 20 bytes of FILLER were removed from the end of the section. SEM High and Low values were moved out 4 positions. FILLER in 930-935 was reduced from a length of 10 to 6.</t>
  </si>
  <si>
    <t>Updated the Science Scale Score and Achievement Level values to be blank in pos. 941-946 because Science is a field test in 2018 and will not have these.</t>
  </si>
  <si>
    <t>Updated the Science Content Standard and Science Subtest fields to FILLER as these will not be reported in 2018. FILLER field is in pos. 947-1020.</t>
  </si>
  <si>
    <t>Pos. 1208, Science Void Flag, noted this field will be blank for all students as it is a field test.</t>
  </si>
  <si>
    <t>Pos. 1242-44, Science Accountability Achievement Level, noted this field will be blank for all students as it is a field test.</t>
  </si>
  <si>
    <t>Updated the possible values for the form field for each subject to use the values from this year's forms.</t>
  </si>
  <si>
    <t>Pos. 1438-1449, Added the 12 digit lithocode as a possible value for Science since it will be tested online in 2018.</t>
  </si>
  <si>
    <t>Added Science Launch Flag in pos. 1458. Science Form field was moved out 1 position. FILLER in 1465-1467 was reduced from a length of 4 to 3.</t>
  </si>
  <si>
    <t>Pos. 1541, Science School Roster and pos. 1545, Science Student Report, added a note that these fields will be N for all students in 2018.</t>
  </si>
  <si>
    <t>Pos. 1647-1689, Science TA - added a note that for online testers this is the number associated with the eDIRECT test session.</t>
  </si>
  <si>
    <t>Pos. 2393-2692, Updated the length of the Science Response Strings. All fields following the Science Response Strings were pushed out.</t>
  </si>
  <si>
    <t>The following updates were made to the Math LEP Status and Test Accommodations
* LEP Status and all accommodations were moved out 4 pos. so they start in 375 instead of 371 to accommodate the additional LAP and Special Ed accommodations.
* Pos. 380, Test Administered by ESL Teacher or Individual Providing Language Services was added as a new accommodation.
* Pos. 382, renamed to Directions in Native Language
* Pos. 383, was re-named from Test Read Aloud to Read Aloud Kurzweil
* Pos. 384, Read Aloud Recorded Voice was added as a new accommodation
* Pos. 385, Read Aloud Human Reader was added as a new accommodation
* 4 bytes of FILLER were removed at the end of the accommodations to accommodate the new ones.</t>
  </si>
  <si>
    <t>The following updates were made to the Math Section 504 Status and Test Accommodations
* Section 504 Status and Accommodations were moved out 4 positions so they start in 386 instead of 382
* Pos. 387, Spanish Test was added as a new accommodation.
* Pos. 388, Braille was removed as an accommodation.
* All remaining accommodations were moved up one position to start in 388.
* Pos. 393 was re-named from Test Read Aloud to Read Aloud Kurzweil
* Pos. 394, Read Aloud Recoded Voice was added as a new accommodation
* Pos. 395, Read Aloud Human Reader was added as a new accommodation
* 2 bytes of FILLER were removed at teh end of the accommodations to accommodate the new ones.</t>
  </si>
  <si>
    <t>00-99
Blank</t>
  </si>
  <si>
    <t>Major Content Subcategory 4 Raw Score</t>
  </si>
  <si>
    <t>Major Content Subcategory 4 Rating</t>
  </si>
  <si>
    <r>
      <t xml:space="preserve">Total points earned for the Major Content Subcategory 2 Raw Score.
Blank when subcategory is not assessed (zero points possible), or when the Raw Score Total for Math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2 associated to each grade.
</t>
    </r>
  </si>
  <si>
    <r>
      <t>Rating associated with the Major Content Subcategory 2 Raw Score.
Blank when Major Content Subcategory 2 Raw Score is blank.
Refer to the S</t>
    </r>
    <r>
      <rPr>
        <b/>
        <u/>
        <sz val="10"/>
        <rFont val="Arial"/>
        <family val="2"/>
      </rPr>
      <t>ubclaims, Claims, Subcategories and Reporting Categories</t>
    </r>
    <r>
      <rPr>
        <sz val="10"/>
        <rFont val="Arial"/>
        <family val="2"/>
      </rPr>
      <t xml:space="preserve"> section of the Processing Rules - Scoring document for the Major Content Subcategory 2 associated to each grade.</t>
    </r>
  </si>
  <si>
    <r>
      <t xml:space="preserve">Percent correct for the Major Content Subcategory 2. This is calculated by dividing the total points earned by the total points possible for the subcategory.
Blank when Major Content Subcategory 2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2 associated to each grade.</t>
    </r>
  </si>
  <si>
    <r>
      <t xml:space="preserve">Total points earned for the Major Content Subcategory 3 Raw Score.
Blank when subcategory is not assessed (zero points possible), or when the Raw Score Total for Math is blank.
Refer to the </t>
    </r>
    <r>
      <rPr>
        <b/>
        <u/>
        <sz val="10"/>
        <color theme="1"/>
        <rFont val="Arial"/>
        <family val="2"/>
      </rPr>
      <t xml:space="preserve">Subclaims, Claims, Subcategories and Reporting Categories </t>
    </r>
    <r>
      <rPr>
        <sz val="10"/>
        <color theme="1"/>
        <rFont val="Arial"/>
        <family val="2"/>
      </rPr>
      <t xml:space="preserve">section of the Processing Rules - Scoring document for the Major Content Subcategory 3 associated to each grade.
</t>
    </r>
  </si>
  <si>
    <r>
      <t xml:space="preserve">Rating associated with the Major Content Subcategory 3 Raw Score.
Blank when Major Content Subcategory 3 Raw Score is blank.
Refer to the </t>
    </r>
    <r>
      <rPr>
        <b/>
        <u/>
        <sz val="10"/>
        <rFont val="Arial"/>
        <family val="2"/>
      </rPr>
      <t>Subclaims, Claims, Subcategories and Reporting Categories</t>
    </r>
    <r>
      <rPr>
        <sz val="10"/>
        <rFont val="Arial"/>
        <family val="2"/>
      </rPr>
      <t xml:space="preserve"> section of the Processing Rules - Scoring document for the Major Content Subcategory 3 associated to each grade.</t>
    </r>
  </si>
  <si>
    <r>
      <t xml:space="preserve">Percent correct for the Major Content Subcategory 3. This is calculated by dividing the total points earned by the total points possible for the subcategory.
Blank when Major Content Subcategory 3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3 associated to each grade.</t>
    </r>
  </si>
  <si>
    <r>
      <t xml:space="preserve">Total points earned for the Major Content Subcategory 4 Raw Score.
Blank when subcategory is not assessed (zero points possible), or when the Raw Score Total for Math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4 associated to each grade.
</t>
    </r>
  </si>
  <si>
    <r>
      <t xml:space="preserve">Percent correct for the Major Content Subcategory 4. This is calculated by dividing the total points earned by the total points possible for the subcategory.
Blank when Major Content Subcategory 4 Raw Score is blank.
Refer to the </t>
    </r>
    <r>
      <rPr>
        <b/>
        <u/>
        <sz val="10"/>
        <color theme="1"/>
        <rFont val="Arial"/>
        <family val="2"/>
      </rPr>
      <t>Subclaims, Claims, Subcategories and Reporting Categories</t>
    </r>
    <r>
      <rPr>
        <sz val="10"/>
        <color theme="1"/>
        <rFont val="Arial"/>
        <family val="2"/>
      </rPr>
      <t xml:space="preserve"> section of the Processing Rules - Scoring document for the Major Content Subcategory 4 associated to each grade.</t>
    </r>
  </si>
  <si>
    <r>
      <t xml:space="preserve">Rating associated with the Major Content Subcategory 4 Raw Score.
Blank when Major Content Subcategory 4 Raw Score is blank.
Refer to the </t>
    </r>
    <r>
      <rPr>
        <b/>
        <u/>
        <sz val="10"/>
        <rFont val="Arial"/>
        <family val="2"/>
      </rPr>
      <t xml:space="preserve">Subclaims, Claims, Subcategories and Reporting Categories </t>
    </r>
    <r>
      <rPr>
        <sz val="10"/>
        <rFont val="Arial"/>
        <family val="2"/>
      </rPr>
      <t>section of the Processing Rules - Scoring document for the Major Content Subcategory 4 associated to each grade.</t>
    </r>
  </si>
  <si>
    <t>School Roster - ELA</t>
  </si>
  <si>
    <r>
      <t xml:space="preserve">If field value = "Y", then student will appear on the ELA School Roster.
The ELA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t>
    </r>
  </si>
  <si>
    <r>
      <t xml:space="preserve">School Roster - </t>
    </r>
    <r>
      <rPr>
        <strike/>
        <sz val="10"/>
        <color rgb="FFFF0000"/>
        <rFont val="Arial"/>
        <family val="2"/>
      </rPr>
      <t>ELA/</t>
    </r>
    <r>
      <rPr>
        <sz val="10"/>
        <rFont val="Arial"/>
        <family val="2"/>
      </rPr>
      <t>Math</t>
    </r>
  </si>
  <si>
    <r>
      <t xml:space="preserve">If field value = "Y", then student will appear on the </t>
    </r>
    <r>
      <rPr>
        <strike/>
        <sz val="10"/>
        <color rgb="FFFF0000"/>
        <rFont val="Arial"/>
        <family val="2"/>
      </rPr>
      <t xml:space="preserve">ELA and </t>
    </r>
    <r>
      <rPr>
        <sz val="10"/>
        <rFont val="Arial"/>
        <family val="2"/>
      </rPr>
      <t xml:space="preserve">Math School Roster.
The </t>
    </r>
    <r>
      <rPr>
        <strike/>
        <sz val="10"/>
        <color rgb="FFFF0000"/>
        <rFont val="Arial"/>
        <family val="2"/>
      </rPr>
      <t>ELA/</t>
    </r>
    <r>
      <rPr>
        <sz val="10"/>
        <rFont val="Arial"/>
        <family val="2"/>
      </rPr>
      <t xml:space="preserve">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t>
    </r>
    <r>
      <rPr>
        <strike/>
        <sz val="10"/>
        <color rgb="FFFF0000"/>
        <rFont val="Arial"/>
        <family val="2"/>
      </rPr>
      <t xml:space="preserve"> ELA and/or </t>
    </r>
    <r>
      <rPr>
        <sz val="10"/>
        <rFont val="Arial"/>
        <family val="2"/>
      </rPr>
      <t>Math.</t>
    </r>
  </si>
  <si>
    <t>Remediation Needed Flag</t>
  </si>
  <si>
    <r>
      <t xml:space="preserve">Refer to the </t>
    </r>
    <r>
      <rPr>
        <b/>
        <u/>
        <sz val="10"/>
        <color theme="1"/>
        <rFont val="Arial"/>
        <family val="2"/>
      </rPr>
      <t>Remediation Needed Flag</t>
    </r>
    <r>
      <rPr>
        <sz val="10"/>
        <color theme="1"/>
        <rFont val="Arial"/>
        <family val="2"/>
      </rPr>
      <t xml:space="preserve"> section of the Processing Rules - Scoring document for the rules to set this flag.</t>
    </r>
  </si>
  <si>
    <t>Pos.1538, Added the Remediation Needed Flag as a new field. Filler in 1531 was reduced to 8.</t>
  </si>
  <si>
    <t>Pos. 1539, Added the School Roster - ELA flag. ELA and Math will need to be on different reports. FILLER in 1531 was reduced to 8.</t>
  </si>
  <si>
    <t>Pos. 1540, updated this field to be the School Roster - Math flag. ELA and Math will need to be on separate reports this year.</t>
  </si>
  <si>
    <t>Basic Calculator</t>
  </si>
  <si>
    <t>Scientific Calculator</t>
  </si>
  <si>
    <t>Y = Classified as Military Affiliated
N = Not classified as Military Affiliated</t>
  </si>
  <si>
    <t>Y = Classified as Foster Care
N = Not classified as Foster Care</t>
  </si>
  <si>
    <t>Major Content Subcategory 1 Percent Correct</t>
  </si>
  <si>
    <t>Major Content Subcategory 2 Percent Correct</t>
  </si>
  <si>
    <t>Major Content Subcategory 3 Percent Correct</t>
  </si>
  <si>
    <t>Major Content Subcategory 4 Percent Correct</t>
  </si>
  <si>
    <r>
      <t>Scale</t>
    </r>
    <r>
      <rPr>
        <strike/>
        <sz val="10"/>
        <color rgb="FFFF0000"/>
        <rFont val="Arial"/>
        <family val="2"/>
      </rPr>
      <t xml:space="preserve">d </t>
    </r>
    <r>
      <rPr>
        <sz val="10"/>
        <rFont val="Arial"/>
        <family val="2"/>
      </rPr>
      <t>Score - ELA</t>
    </r>
  </si>
  <si>
    <r>
      <t>Scale</t>
    </r>
    <r>
      <rPr>
        <strike/>
        <sz val="10"/>
        <color rgb="FFFF0000"/>
        <rFont val="Arial"/>
        <family val="2"/>
      </rPr>
      <t xml:space="preserve">d </t>
    </r>
    <r>
      <rPr>
        <sz val="10"/>
        <rFont val="Arial"/>
        <family val="2"/>
      </rPr>
      <t xml:space="preserve">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</si>
  <si>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From Raw Score to Scale Score tables.
Blank if the student's ELA Summarized Void Flag = "Y", or if the student's ELA Test Taken Flag = "N".</t>
  </si>
  <si>
    <r>
      <t>Scale</t>
    </r>
    <r>
      <rPr>
        <strike/>
        <sz val="10"/>
        <color rgb="FFFF0000"/>
        <rFont val="Arial"/>
        <family val="2"/>
      </rPr>
      <t>d</t>
    </r>
    <r>
      <rPr>
        <sz val="10"/>
        <rFont val="Arial"/>
        <family val="2"/>
      </rPr>
      <t xml:space="preserve"> Score - Math</t>
    </r>
  </si>
  <si>
    <t>Scale score for Math.
Refer to the Resulting LDESTD Values by Subject section within the LEAP Processing Rules - Scoring document for the logic used to set the Scale Score value.</t>
  </si>
  <si>
    <t>From Raw Score to Scale Score tables.
Blank if the student's Math Summarized Void Flag = "Y", or if the student's Math Test Taken Flag = "N".</t>
  </si>
  <si>
    <r>
      <t>Scale</t>
    </r>
    <r>
      <rPr>
        <strike/>
        <sz val="10"/>
        <color rgb="FFFF0000"/>
        <rFont val="Arial"/>
        <family val="2"/>
      </rPr>
      <t>d</t>
    </r>
    <r>
      <rPr>
        <sz val="10"/>
        <rFont val="Arial"/>
        <family val="2"/>
      </rPr>
      <t xml:space="preserve"> Score - Science</t>
    </r>
  </si>
  <si>
    <t>Scale score for Science
Refer to the Resulting LDESTD Values by Subject section within the LEAP Processing Rules - Scoring document for the logic used to set the Scale Score value.
Science is a field test in 2018 and will not have any scale score values.</t>
  </si>
  <si>
    <t>From Raw Score to Scale Score tables.
Blank if the student's Science Summarized Void Flag = "Y", or if the student's Science Summarized Test Taken Flag = "N".
Science is a field test in 2018 and will not have any scale score values.</t>
  </si>
  <si>
    <r>
      <t>Scale</t>
    </r>
    <r>
      <rPr>
        <strike/>
        <sz val="10"/>
        <color rgb="FFFF0000"/>
        <rFont val="Arial"/>
        <family val="2"/>
      </rPr>
      <t>d</t>
    </r>
    <r>
      <rPr>
        <sz val="10"/>
        <color theme="1"/>
        <rFont val="Arial"/>
        <family val="2"/>
      </rPr>
      <t xml:space="preserve"> Score - Social Studies</t>
    </r>
  </si>
  <si>
    <t>Scale score for Social Studies.
Refer to the Resulting LDESTD Values by Subject section within the LEAP Processing Rules - Scoring document for the logic used to set the Scale Score value.</t>
  </si>
  <si>
    <t>From Raw Score to Scale Score tables.
Blank if the student's Social Studies Summarized Void Flag = "Y", or if the student's Social Studies Summarized Test Taken Flag = "N".</t>
  </si>
  <si>
    <t>Points From Mastery</t>
  </si>
  <si>
    <t>0-200
Blank</t>
  </si>
  <si>
    <r>
      <t xml:space="preserve">Total Scale Score points from the Mastery Achievement Level.
Refer to the </t>
    </r>
    <r>
      <rPr>
        <b/>
        <u/>
        <sz val="10"/>
        <rFont val="Arial"/>
        <family val="2"/>
      </rPr>
      <t>Points From Mastery</t>
    </r>
    <r>
      <rPr>
        <sz val="10"/>
        <rFont val="Arial"/>
        <family val="2"/>
      </rPr>
      <t xml:space="preserve"> section within the LEAP Processing Rules - Scoring doucment for the logic used to set this value.</t>
    </r>
  </si>
  <si>
    <t>Added the ELA Points From Mastery field in pos. 847-849. FILLER following was reduced from 10 to 7.</t>
  </si>
  <si>
    <t>Added to new Online Calculator accommodations in pos. 417-418. FILLER following was reduced from 3 to 1.</t>
  </si>
  <si>
    <t>Added the Math Points from Mastery field in pos. 930-932. FILLER following was reduced from 6 to 3.</t>
  </si>
  <si>
    <r>
      <t>0-9 or</t>
    </r>
    <r>
      <rPr>
        <sz val="10"/>
        <color rgb="FFFF0000"/>
        <rFont val="Arial"/>
        <family val="2"/>
      </rPr>
      <t xml:space="preserve"> "-" </t>
    </r>
    <r>
      <rPr>
        <sz val="10"/>
        <rFont val="Arial"/>
        <family val="2"/>
      </rPr>
      <t xml:space="preserve">in any position
</t>
    </r>
    <r>
      <rPr>
        <strike/>
        <sz val="10"/>
        <color rgb="FFFF0000"/>
        <rFont val="Arial"/>
        <family val="2"/>
      </rPr>
      <t>Blank</t>
    </r>
  </si>
  <si>
    <r>
      <t xml:space="preserve">Unique student identification number generated by LDE.
Will match LASID field if the student's LASID is not retired 
New LASID value from the March LAP file.
</t>
    </r>
    <r>
      <rPr>
        <strike/>
        <sz val="10"/>
        <color rgb="FFFF0000"/>
        <rFont val="Arial"/>
        <family val="2"/>
      </rPr>
      <t xml:space="preserve">
Blank for students that do not match back to the March LAP file.</t>
    </r>
  </si>
  <si>
    <r>
      <rPr>
        <sz val="10"/>
        <color rgb="FFFF0000"/>
        <rFont val="Arial"/>
        <family val="2"/>
      </rPr>
      <t>650-850</t>
    </r>
    <r>
      <rPr>
        <sz val="10"/>
        <rFont val="Arial"/>
        <family val="2"/>
      </rPr>
      <t xml:space="preserve">
Blank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</si>
</sst>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0"/>
      <name val="Arial"/>
      <family val="2"/>
    </font>
    <font>
      <sz val="10"/>
      <color indexed="8"/>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b/>
      <u/>
      <sz val="10"/>
      <color theme="1"/>
      <name val="Arial"/>
      <family val="2"/>
    </font>
    <font>
      <b/>
      <sz val="10"/>
      <color indexed="10"/>
      <name val="Arial"/>
      <family val="2"/>
    </font>
    <font>
      <b/>
      <sz val="8"/>
      <color indexed="10"/>
      <name val="Arial"/>
      <family val="2"/>
    </font>
    <font>
      <u/>
      <sz val="10"/>
      <color theme="10"/>
      <name val="Arial"/>
      <family val="2"/>
    </font>
    <font>
      <sz val="16"/>
      <name val="Arial"/>
      <family val="2"/>
    </font>
    <font>
      <sz val="10"/>
      <color rgb="FFFF0000"/>
      <name val="Arial"/>
      <family val="2"/>
    </font>
    <font>
      <b/>
      <sz val="10"/>
      <color rgb="FFFF0000"/>
      <name val="Arial"/>
      <family val="2"/>
    </font>
    <font>
      <b/>
      <strike/>
      <sz val="10"/>
      <color rgb="FFFF0000"/>
      <name val="Arial"/>
      <family val="2"/>
    </font>
    <font>
      <strike/>
      <sz val="10"/>
      <color theme="1"/>
      <name val="Arial"/>
      <family val="2"/>
    </font>
    <font>
      <b/>
      <strike/>
      <u/>
      <sz val="10"/>
      <color rgb="FFFF0000"/>
      <name val="Arial"/>
      <family val="2"/>
    </font>
  </fonts>
  <fills count="6">
    <fill>
      <patternFill patternType="none"/>
    </fill>
    <fill>
      <patternFill patternType="gray125"/>
    </fill>
    <fill>
      <patternFill patternType="solid">
        <fgColor indexed="22"/>
        <bgColor indexed="64"/>
      </patternFill>
    </fill>
    <fill>
      <patternFill patternType="solid">
        <fgColor theme="2"/>
        <bgColor indexed="64"/>
      </patternFill>
    </fill>
    <fill>
      <patternFill patternType="solid">
        <fgColor theme="0" tint="-0.14999847407452621"/>
        <bgColor indexed="64"/>
      </patternFill>
    </fill>
    <fill>
      <patternFill patternType="solid">
        <fgColor rgb="FFFFFF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s>
  <cellStyleXfs count="1723">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18" fillId="0" borderId="0" applyNumberFormat="0" applyFill="0" applyBorder="0" applyAlignment="0" applyProtection="0"/>
    <xf numFmtId="0" fontId="2" fillId="0" borderId="0"/>
  </cellStyleXfs>
  <cellXfs count="173">
    <xf numFmtId="0" fontId="0" fillId="0" borderId="0" xfId="0"/>
    <xf numFmtId="0" fontId="4" fillId="0" borderId="0" xfId="880" applyFont="1" applyFill="1" applyBorder="1" applyAlignment="1">
      <alignment vertical="center" wrapText="1"/>
    </xf>
    <xf numFmtId="0" fontId="4" fillId="0" borderId="0" xfId="880" applyFont="1" applyFill="1" applyBorder="1" applyAlignment="1">
      <alignment horizontal="right" wrapText="1"/>
    </xf>
    <xf numFmtId="0" fontId="12" fillId="0" borderId="0" xfId="0" applyFont="1" applyAlignment="1">
      <alignment vertical="center" wrapText="1"/>
    </xf>
    <xf numFmtId="0" fontId="4" fillId="0" borderId="0" xfId="880" applyFont="1" applyFill="1" applyBorder="1" applyAlignment="1">
      <alignment horizontal="right"/>
    </xf>
    <xf numFmtId="0" fontId="12" fillId="0" borderId="0" xfId="0" applyFont="1" applyFill="1" applyAlignment="1">
      <alignment vertical="center"/>
    </xf>
    <xf numFmtId="0" fontId="12" fillId="0" borderId="0" xfId="0" applyFont="1" applyFill="1" applyAlignment="1">
      <alignment vertical="center" wrapText="1"/>
    </xf>
    <xf numFmtId="0" fontId="12" fillId="0" borderId="0" xfId="0" applyFont="1"/>
    <xf numFmtId="0" fontId="12" fillId="0" borderId="0" xfId="0" applyFont="1" applyAlignment="1">
      <alignment vertical="center"/>
    </xf>
    <xf numFmtId="0" fontId="2" fillId="0" borderId="0" xfId="22" applyFont="1" applyFill="1" applyBorder="1" applyAlignment="1">
      <alignment vertical="top" wrapText="1"/>
    </xf>
    <xf numFmtId="0" fontId="6" fillId="0" borderId="0" xfId="22" applyFont="1" applyFill="1" applyBorder="1" applyAlignment="1">
      <alignment vertical="top" wrapText="1"/>
    </xf>
    <xf numFmtId="49" fontId="2" fillId="0" borderId="0" xfId="22" applyNumberFormat="1" applyFont="1" applyFill="1" applyBorder="1" applyAlignment="1">
      <alignment horizontal="left" vertical="center" wrapText="1"/>
    </xf>
    <xf numFmtId="1" fontId="2" fillId="0" borderId="0" xfId="22" applyNumberFormat="1" applyFont="1" applyFill="1" applyBorder="1" applyAlignment="1">
      <alignment horizontal="right" vertical="top"/>
    </xf>
    <xf numFmtId="0" fontId="2" fillId="0" borderId="0" xfId="22" applyFont="1" applyFill="1" applyBorder="1" applyAlignment="1">
      <alignment horizontal="right" vertical="top"/>
    </xf>
    <xf numFmtId="0" fontId="12" fillId="0" borderId="0" xfId="0" applyFont="1" applyAlignment="1">
      <alignment horizontal="right" vertical="top"/>
    </xf>
    <xf numFmtId="0" fontId="2" fillId="0" borderId="0" xfId="22" applyFont="1" applyFill="1" applyBorder="1" applyAlignment="1">
      <alignment vertical="center" wrapText="1"/>
    </xf>
    <xf numFmtId="0" fontId="12" fillId="0" borderId="0" xfId="0" applyFont="1" applyFill="1" applyAlignment="1">
      <alignment horizontal="center"/>
    </xf>
    <xf numFmtId="0" fontId="12" fillId="0" borderId="0" xfId="0" applyFont="1" applyAlignment="1">
      <alignment horizontal="center"/>
    </xf>
    <xf numFmtId="0" fontId="2" fillId="0" borderId="0" xfId="0" applyFont="1" applyFill="1" applyAlignment="1">
      <alignment horizontal="center"/>
    </xf>
    <xf numFmtId="0" fontId="4" fillId="0" borderId="0" xfId="880" applyFont="1" applyFill="1" applyBorder="1" applyAlignment="1">
      <alignment horizontal="center" wrapText="1"/>
    </xf>
    <xf numFmtId="0" fontId="2" fillId="0" borderId="0" xfId="880" applyFont="1" applyFill="1" applyBorder="1" applyAlignment="1">
      <alignment horizontal="center" vertical="top"/>
    </xf>
    <xf numFmtId="0" fontId="8" fillId="0" borderId="0" xfId="880" applyFont="1" applyFill="1" applyBorder="1" applyAlignment="1">
      <alignment horizontal="center"/>
    </xf>
    <xf numFmtId="16" fontId="2" fillId="0" borderId="0" xfId="880" applyNumberFormat="1" applyFont="1" applyFill="1" applyBorder="1" applyAlignment="1">
      <alignment horizontal="left" vertical="center" wrapText="1"/>
    </xf>
    <xf numFmtId="0" fontId="2" fillId="0" borderId="0" xfId="880" applyFont="1" applyFill="1" applyBorder="1" applyAlignment="1">
      <alignment horizontal="right" vertical="top"/>
    </xf>
    <xf numFmtId="49" fontId="2" fillId="0" borderId="0" xfId="2" applyNumberFormat="1" applyFont="1" applyFill="1" applyBorder="1" applyAlignment="1">
      <alignment horizontal="left" vertical="center" wrapText="1"/>
    </xf>
    <xf numFmtId="0" fontId="2" fillId="0" borderId="0" xfId="880" applyFont="1" applyFill="1" applyBorder="1" applyAlignment="1">
      <alignment wrapText="1"/>
    </xf>
    <xf numFmtId="0" fontId="2" fillId="0" borderId="0" xfId="880" applyFont="1" applyFill="1" applyBorder="1" applyAlignment="1">
      <alignment horizontal="left" vertical="center" wrapText="1"/>
    </xf>
    <xf numFmtId="0" fontId="2" fillId="0" borderId="0" xfId="880" applyFont="1" applyFill="1" applyBorder="1" applyAlignment="1">
      <alignment vertical="center" wrapText="1"/>
    </xf>
    <xf numFmtId="0" fontId="2" fillId="2" borderId="1" xfId="22" applyFill="1" applyBorder="1" applyAlignment="1" applyProtection="1">
      <alignment horizontal="center" vertical="top" wrapText="1"/>
    </xf>
    <xf numFmtId="0" fontId="2" fillId="2" borderId="1" xfId="22" applyFill="1" applyBorder="1" applyAlignment="1" applyProtection="1">
      <alignment vertical="top" wrapText="1"/>
    </xf>
    <xf numFmtId="0" fontId="3" fillId="2" borderId="1" xfId="22" applyFont="1" applyFill="1" applyBorder="1" applyAlignment="1" applyProtection="1">
      <alignment vertical="top" wrapText="1"/>
    </xf>
    <xf numFmtId="0" fontId="9" fillId="3" borderId="1" xfId="22" applyFont="1" applyFill="1" applyBorder="1"/>
    <xf numFmtId="0" fontId="2" fillId="0" borderId="1" xfId="22" applyFont="1" applyBorder="1" applyAlignment="1">
      <alignment wrapText="1"/>
    </xf>
    <xf numFmtId="0" fontId="18" fillId="0" borderId="1" xfId="1721" applyBorder="1" applyAlignment="1">
      <alignment wrapText="1"/>
    </xf>
    <xf numFmtId="0" fontId="18" fillId="0" borderId="4" xfId="1721" applyBorder="1" applyAlignment="1">
      <alignment wrapText="1"/>
    </xf>
    <xf numFmtId="0" fontId="18" fillId="0" borderId="2" xfId="1721" applyBorder="1" applyAlignment="1">
      <alignment wrapText="1"/>
    </xf>
    <xf numFmtId="0" fontId="2" fillId="0" borderId="2" xfId="22" applyFont="1" applyBorder="1" applyAlignment="1">
      <alignment horizontal="left" wrapText="1"/>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0" fontId="2" fillId="0" borderId="0" xfId="0" applyFont="1" applyAlignment="1">
      <alignment vertical="center" wrapText="1"/>
    </xf>
    <xf numFmtId="0" fontId="2" fillId="0" borderId="0" xfId="0" applyFont="1" applyAlignment="1">
      <alignment vertical="center"/>
    </xf>
    <xf numFmtId="0" fontId="0" fillId="0" borderId="0" xfId="0" applyAlignment="1">
      <alignment wrapText="1"/>
    </xf>
    <xf numFmtId="0" fontId="2" fillId="0" borderId="0" xfId="880" applyFont="1" applyFill="1" applyBorder="1" applyAlignment="1">
      <alignment vertical="center" wrapText="1"/>
    </xf>
    <xf numFmtId="0" fontId="2" fillId="0" borderId="0" xfId="22" applyFont="1" applyFill="1" applyBorder="1" applyAlignment="1">
      <alignment vertical="center" wrapText="1"/>
    </xf>
    <xf numFmtId="0" fontId="2" fillId="0" borderId="0" xfId="880" applyFont="1" applyFill="1" applyBorder="1" applyAlignment="1">
      <alignment horizontal="left" vertical="center" wrapText="1"/>
    </xf>
    <xf numFmtId="0" fontId="2" fillId="0" borderId="0" xfId="880" applyFont="1" applyFill="1" applyBorder="1" applyAlignment="1">
      <alignment vertical="center" wrapText="1"/>
    </xf>
    <xf numFmtId="0" fontId="2" fillId="0" borderId="0" xfId="0" applyFont="1" applyFill="1" applyAlignment="1">
      <alignment vertical="center"/>
    </xf>
    <xf numFmtId="0" fontId="2" fillId="0" borderId="0" xfId="0" applyFont="1" applyFill="1" applyAlignment="1">
      <alignment vertical="center" wrapText="1"/>
    </xf>
    <xf numFmtId="0" fontId="2" fillId="0" borderId="0" xfId="0" applyFont="1" applyFill="1" applyAlignment="1">
      <alignment horizontal="right" vertical="top"/>
    </xf>
    <xf numFmtId="0" fontId="12" fillId="0" borderId="0" xfId="0" applyFont="1" applyFill="1" applyAlignment="1">
      <alignment horizontal="right" vertical="top"/>
    </xf>
    <xf numFmtId="16" fontId="2" fillId="0" borderId="0" xfId="0" applyNumberFormat="1" applyFont="1" applyFill="1" applyAlignment="1">
      <alignment vertical="center" wrapText="1"/>
    </xf>
    <xf numFmtId="16" fontId="12" fillId="0" borderId="0" xfId="0" applyNumberFormat="1" applyFont="1" applyFill="1" applyAlignment="1">
      <alignment vertical="center" wrapText="1"/>
    </xf>
    <xf numFmtId="0" fontId="12" fillId="0" borderId="0" xfId="0" applyFont="1" applyAlignment="1">
      <alignment horizontal="right" vertical="top"/>
    </xf>
    <xf numFmtId="0" fontId="12" fillId="0" borderId="0" xfId="0" applyFont="1" applyAlignment="1">
      <alignment horizontal="center"/>
    </xf>
    <xf numFmtId="0" fontId="4" fillId="0" borderId="0" xfId="880" applyFont="1" applyFill="1" applyBorder="1" applyAlignment="1">
      <alignment vertical="top" wrapText="1"/>
    </xf>
    <xf numFmtId="0" fontId="5" fillId="0" borderId="0" xfId="880" applyFont="1" applyFill="1" applyBorder="1" applyAlignment="1">
      <alignment vertical="top" wrapText="1"/>
    </xf>
    <xf numFmtId="0" fontId="2" fillId="0" borderId="0" xfId="880" applyFont="1" applyFill="1" applyBorder="1" applyAlignment="1">
      <alignment vertical="top" wrapText="1"/>
    </xf>
    <xf numFmtId="0" fontId="2" fillId="0" borderId="0" xfId="0" applyFont="1" applyAlignment="1">
      <alignment vertical="top" wrapText="1"/>
    </xf>
    <xf numFmtId="0" fontId="6" fillId="0" borderId="0" xfId="0" applyFont="1" applyAlignment="1">
      <alignment vertical="top" wrapText="1"/>
    </xf>
    <xf numFmtId="0" fontId="5" fillId="0" borderId="0" xfId="22" applyFont="1" applyFill="1" applyBorder="1" applyAlignment="1">
      <alignment vertical="top" wrapText="1"/>
    </xf>
    <xf numFmtId="0" fontId="12" fillId="0" borderId="0" xfId="0" applyFont="1" applyAlignment="1">
      <alignment vertical="top" wrapText="1"/>
    </xf>
    <xf numFmtId="0" fontId="2" fillId="0" borderId="0" xfId="1" applyFont="1" applyFill="1" applyBorder="1" applyAlignment="1">
      <alignment vertical="top" wrapText="1"/>
    </xf>
    <xf numFmtId="0" fontId="3" fillId="0" borderId="0" xfId="22" applyFont="1" applyFill="1" applyBorder="1" applyAlignment="1">
      <alignment vertical="top" wrapText="1"/>
    </xf>
    <xf numFmtId="0" fontId="6" fillId="0" borderId="0" xfId="0" applyFont="1" applyFill="1" applyAlignment="1">
      <alignment vertical="top" wrapText="1"/>
    </xf>
    <xf numFmtId="0" fontId="12" fillId="0" borderId="0" xfId="0" applyFont="1" applyFill="1" applyAlignment="1">
      <alignment vertical="top" wrapText="1"/>
    </xf>
    <xf numFmtId="0" fontId="6" fillId="0" borderId="0" xfId="1" applyFont="1" applyFill="1" applyBorder="1" applyAlignment="1">
      <alignment vertical="top" wrapText="1"/>
    </xf>
    <xf numFmtId="14" fontId="12" fillId="0" borderId="1" xfId="0" applyNumberFormat="1" applyFont="1" applyBorder="1"/>
    <xf numFmtId="0" fontId="12" fillId="0" borderId="1" xfId="0" applyFont="1" applyBorder="1" applyAlignment="1">
      <alignment wrapText="1"/>
    </xf>
    <xf numFmtId="0" fontId="12" fillId="0" borderId="1" xfId="0" applyFont="1" applyBorder="1"/>
    <xf numFmtId="0" fontId="12" fillId="0" borderId="1" xfId="0" applyFont="1" applyFill="1" applyBorder="1"/>
    <xf numFmtId="0" fontId="2" fillId="0" borderId="0" xfId="880" applyFont="1" applyFill="1" applyBorder="1" applyAlignment="1">
      <alignment horizontal="left" vertical="center" wrapText="1"/>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0" fontId="2" fillId="0" borderId="0" xfId="880" applyFont="1" applyFill="1" applyBorder="1" applyAlignment="1">
      <alignment vertical="center" wrapText="1"/>
    </xf>
    <xf numFmtId="0" fontId="1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0" borderId="0" xfId="22" applyFont="1" applyFill="1" applyBorder="1" applyAlignment="1">
      <alignment vertical="center" wrapText="1"/>
    </xf>
    <xf numFmtId="0" fontId="22" fillId="0" borderId="0" xfId="0" applyFont="1" applyFill="1" applyAlignment="1">
      <alignment vertical="center" wrapText="1"/>
    </xf>
    <xf numFmtId="0" fontId="12" fillId="0" borderId="0" xfId="0" applyFont="1" applyFill="1"/>
    <xf numFmtId="0" fontId="2" fillId="0" borderId="0" xfId="0" applyFont="1" applyFill="1" applyAlignment="1">
      <alignment vertical="top" wrapText="1"/>
    </xf>
    <xf numFmtId="49" fontId="2" fillId="0" borderId="0" xfId="22" applyNumberFormat="1" applyFont="1" applyFill="1" applyBorder="1" applyAlignment="1">
      <alignment vertical="center" wrapText="1"/>
    </xf>
    <xf numFmtId="0" fontId="12" fillId="0" borderId="0" xfId="0" applyFont="1" applyFill="1" applyAlignment="1"/>
    <xf numFmtId="0" fontId="12" fillId="0" borderId="0" xfId="0" applyFont="1" applyFill="1" applyAlignment="1">
      <alignment vertical="top"/>
    </xf>
    <xf numFmtId="0" fontId="2" fillId="0" borderId="0" xfId="0" applyFont="1" applyFill="1" applyAlignment="1">
      <alignment vertical="top"/>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12" fillId="0" borderId="0" xfId="0" applyFont="1" applyFill="1" applyBorder="1" applyAlignment="1">
      <alignment horizontal="center" vertical="top"/>
    </xf>
    <xf numFmtId="0" fontId="2" fillId="0" borderId="0" xfId="0" applyFont="1" applyFill="1" applyBorder="1" applyAlignment="1">
      <alignment horizontal="left" vertical="top"/>
    </xf>
    <xf numFmtId="49" fontId="3" fillId="0" borderId="0" xfId="0" applyNumberFormat="1" applyFont="1" applyFill="1" applyBorder="1" applyAlignment="1">
      <alignment horizontal="left" vertical="center" wrapText="1"/>
    </xf>
    <xf numFmtId="0" fontId="12" fillId="0" borderId="0" xfId="0" applyFont="1" applyFill="1" applyBorder="1" applyAlignment="1">
      <alignment horizontal="left" vertical="top"/>
    </xf>
    <xf numFmtId="49" fontId="3" fillId="0" borderId="0" xfId="0" applyNumberFormat="1" applyFont="1" applyFill="1" applyBorder="1" applyAlignment="1">
      <alignment horizontal="left" vertical="center"/>
    </xf>
    <xf numFmtId="0" fontId="2" fillId="0" borderId="0" xfId="0" applyFont="1" applyFill="1" applyBorder="1" applyAlignment="1">
      <alignment horizontal="center" vertical="top" wrapText="1"/>
    </xf>
    <xf numFmtId="0" fontId="13" fillId="0" borderId="0" xfId="0" applyFont="1" applyFill="1" applyAlignment="1">
      <alignment horizontal="left"/>
    </xf>
    <xf numFmtId="0" fontId="12" fillId="0" borderId="0" xfId="0" applyFont="1" applyAlignment="1">
      <alignment wrapText="1"/>
    </xf>
    <xf numFmtId="14" fontId="12" fillId="0" borderId="1" xfId="0" applyNumberFormat="1" applyFont="1" applyFill="1" applyBorder="1"/>
    <xf numFmtId="0" fontId="2" fillId="4" borderId="0" xfId="0" applyFont="1" applyFill="1" applyAlignment="1">
      <alignment vertical="center" wrapText="1"/>
    </xf>
    <xf numFmtId="0" fontId="2" fillId="4" borderId="0" xfId="0" applyFont="1" applyFill="1" applyAlignment="1">
      <alignment horizontal="center"/>
    </xf>
    <xf numFmtId="0" fontId="2" fillId="4" borderId="0" xfId="0" applyFont="1" applyFill="1" applyAlignment="1">
      <alignment horizontal="right" vertical="top"/>
    </xf>
    <xf numFmtId="1" fontId="2" fillId="4" borderId="0" xfId="22" applyNumberFormat="1" applyFont="1" applyFill="1" applyBorder="1" applyAlignment="1">
      <alignment horizontal="right" vertical="top"/>
    </xf>
    <xf numFmtId="0" fontId="2" fillId="4" borderId="0" xfId="22" applyFont="1" applyFill="1" applyBorder="1" applyAlignment="1">
      <alignment horizontal="right" vertical="top"/>
    </xf>
    <xf numFmtId="0" fontId="2" fillId="4" borderId="0" xfId="880" applyFont="1" applyFill="1" applyBorder="1" applyAlignment="1">
      <alignment vertical="top" wrapText="1"/>
    </xf>
    <xf numFmtId="0" fontId="2" fillId="4" borderId="0" xfId="22" applyFont="1" applyFill="1" applyBorder="1" applyAlignment="1">
      <alignment vertical="center" wrapText="1"/>
    </xf>
    <xf numFmtId="0" fontId="2" fillId="4" borderId="0" xfId="1722" applyFont="1" applyFill="1" applyBorder="1" applyAlignment="1">
      <alignment vertical="top" wrapText="1"/>
    </xf>
    <xf numFmtId="0" fontId="12" fillId="4" borderId="0" xfId="0" applyFont="1" applyFill="1" applyAlignment="1">
      <alignment horizontal="right" vertical="top"/>
    </xf>
    <xf numFmtId="0" fontId="12" fillId="4" borderId="0" xfId="0" applyFont="1" applyFill="1" applyAlignment="1">
      <alignment horizontal="center"/>
    </xf>
    <xf numFmtId="0" fontId="2" fillId="4" borderId="0" xfId="22" applyFont="1" applyFill="1" applyBorder="1" applyAlignment="1">
      <alignment vertical="top" wrapText="1"/>
    </xf>
    <xf numFmtId="0" fontId="20" fillId="4" borderId="0" xfId="22" applyFont="1" applyFill="1" applyBorder="1" applyAlignment="1">
      <alignment vertical="top" wrapText="1"/>
    </xf>
    <xf numFmtId="0" fontId="10" fillId="4" borderId="0" xfId="22" applyFont="1" applyFill="1" applyBorder="1" applyAlignment="1">
      <alignment vertical="top" wrapText="1"/>
    </xf>
    <xf numFmtId="0" fontId="10" fillId="4" borderId="0" xfId="22" applyFont="1" applyFill="1" applyBorder="1" applyAlignment="1">
      <alignment horizontal="right" vertical="top"/>
    </xf>
    <xf numFmtId="0" fontId="23" fillId="4" borderId="0" xfId="0" applyFont="1" applyFill="1" applyAlignment="1">
      <alignment horizontal="center"/>
    </xf>
    <xf numFmtId="0" fontId="12" fillId="4" borderId="0" xfId="0" applyFont="1" applyFill="1" applyAlignment="1">
      <alignment vertical="center" wrapText="1"/>
    </xf>
    <xf numFmtId="0" fontId="10" fillId="4" borderId="0" xfId="0" applyFont="1" applyFill="1" applyAlignment="1">
      <alignment vertical="center" wrapText="1"/>
    </xf>
    <xf numFmtId="0" fontId="10" fillId="4" borderId="0" xfId="0" applyFont="1" applyFill="1" applyAlignment="1">
      <alignment horizontal="center"/>
    </xf>
    <xf numFmtId="0" fontId="10" fillId="4" borderId="0" xfId="22" applyFont="1" applyFill="1" applyBorder="1" applyAlignment="1">
      <alignment vertical="center" wrapText="1"/>
    </xf>
    <xf numFmtId="0" fontId="23" fillId="4" borderId="0" xfId="0" applyFont="1" applyFill="1" applyAlignment="1">
      <alignment horizontal="right" vertical="top"/>
    </xf>
    <xf numFmtId="0" fontId="2" fillId="4" borderId="0" xfId="22" applyFont="1" applyFill="1" applyBorder="1" applyAlignment="1">
      <alignment horizontal="left" vertical="center" wrapText="1"/>
    </xf>
    <xf numFmtId="0" fontId="2" fillId="4" borderId="0" xfId="1" applyFont="1" applyFill="1" applyBorder="1" applyAlignment="1">
      <alignment vertical="top" wrapText="1"/>
    </xf>
    <xf numFmtId="0" fontId="6" fillId="4" borderId="0" xfId="0" applyFont="1" applyFill="1" applyAlignment="1">
      <alignment vertical="top" wrapText="1"/>
    </xf>
    <xf numFmtId="0" fontId="2" fillId="4" borderId="0" xfId="0" applyFont="1" applyFill="1" applyAlignment="1">
      <alignment horizontal="left" vertical="center"/>
    </xf>
    <xf numFmtId="0" fontId="2" fillId="4" borderId="0" xfId="0" applyFont="1" applyFill="1" applyAlignment="1">
      <alignment horizontal="left" vertical="center" wrapText="1"/>
    </xf>
    <xf numFmtId="0" fontId="6" fillId="4" borderId="0" xfId="1" applyFont="1" applyFill="1" applyBorder="1" applyAlignment="1">
      <alignment vertical="top" wrapText="1"/>
    </xf>
    <xf numFmtId="16" fontId="2" fillId="4" borderId="0" xfId="0" applyNumberFormat="1" applyFont="1" applyFill="1" applyAlignment="1">
      <alignment vertical="center" wrapText="1"/>
    </xf>
    <xf numFmtId="16" fontId="12" fillId="4" borderId="0" xfId="0" applyNumberFormat="1" applyFont="1" applyFill="1" applyAlignment="1">
      <alignment vertical="center" wrapText="1"/>
    </xf>
    <xf numFmtId="0" fontId="10" fillId="4" borderId="0" xfId="1" applyFont="1" applyFill="1" applyBorder="1" applyAlignment="1">
      <alignment vertical="top" wrapText="1"/>
    </xf>
    <xf numFmtId="0" fontId="14" fillId="4" borderId="0" xfId="0" applyFont="1" applyFill="1" applyAlignment="1">
      <alignment horizontal="center"/>
    </xf>
    <xf numFmtId="0" fontId="14" fillId="4" borderId="0" xfId="0" applyFont="1" applyFill="1" applyAlignment="1">
      <alignment horizontal="right" vertical="top"/>
    </xf>
    <xf numFmtId="1" fontId="14" fillId="4" borderId="0" xfId="22" applyNumberFormat="1" applyFont="1" applyFill="1" applyBorder="1" applyAlignment="1">
      <alignment horizontal="right" vertical="top"/>
    </xf>
    <xf numFmtId="0" fontId="14" fillId="4" borderId="0" xfId="880" applyFont="1" applyFill="1" applyBorder="1" applyAlignment="1">
      <alignment horizontal="right" vertical="top"/>
    </xf>
    <xf numFmtId="0" fontId="14" fillId="4" borderId="0" xfId="22" applyFont="1" applyFill="1" applyBorder="1" applyAlignment="1">
      <alignment vertical="top" wrapText="1"/>
    </xf>
    <xf numFmtId="0" fontId="14" fillId="4" borderId="0" xfId="22" applyFont="1" applyFill="1" applyBorder="1" applyAlignment="1">
      <alignment vertical="center" wrapText="1"/>
    </xf>
    <xf numFmtId="0" fontId="14" fillId="4" borderId="0" xfId="1" applyFont="1" applyFill="1" applyBorder="1" applyAlignment="1">
      <alignment vertical="top" wrapText="1"/>
    </xf>
    <xf numFmtId="16" fontId="14" fillId="4" borderId="0" xfId="0" applyNumberFormat="1" applyFont="1" applyFill="1" applyAlignment="1">
      <alignment vertical="center" wrapText="1"/>
    </xf>
    <xf numFmtId="0" fontId="14" fillId="4" borderId="0" xfId="0" applyFont="1" applyFill="1" applyAlignment="1">
      <alignment vertical="center" wrapText="1"/>
    </xf>
    <xf numFmtId="0" fontId="22" fillId="4" borderId="0" xfId="22" applyFont="1" applyFill="1" applyBorder="1" applyAlignment="1">
      <alignment vertical="top" wrapText="1"/>
    </xf>
    <xf numFmtId="0" fontId="14" fillId="4" borderId="0" xfId="0" applyFont="1" applyFill="1" applyAlignment="1">
      <alignment vertical="center"/>
    </xf>
    <xf numFmtId="0" fontId="14" fillId="4" borderId="0" xfId="22" applyFont="1" applyFill="1" applyBorder="1" applyAlignment="1">
      <alignment horizontal="left" vertical="center" wrapText="1"/>
    </xf>
    <xf numFmtId="0" fontId="2" fillId="4" borderId="0" xfId="880" applyFont="1" applyFill="1" applyBorder="1" applyAlignment="1">
      <alignment horizontal="right" vertical="top"/>
    </xf>
    <xf numFmtId="0" fontId="12" fillId="4" borderId="0" xfId="0" applyFont="1" applyFill="1" applyAlignment="1">
      <alignment vertical="top" wrapText="1"/>
    </xf>
    <xf numFmtId="49" fontId="2" fillId="4" borderId="0" xfId="880" applyNumberFormat="1" applyFont="1" applyFill="1" applyBorder="1" applyAlignment="1">
      <alignment vertical="center" wrapText="1"/>
    </xf>
    <xf numFmtId="0" fontId="2" fillId="4" borderId="0" xfId="880" applyFont="1" applyFill="1" applyBorder="1" applyAlignment="1">
      <alignment vertical="center" wrapText="1"/>
    </xf>
    <xf numFmtId="0" fontId="12" fillId="4" borderId="0" xfId="0" applyFont="1" applyFill="1" applyAlignment="1">
      <alignment vertical="top"/>
    </xf>
    <xf numFmtId="0" fontId="2" fillId="4" borderId="0" xfId="0" applyFont="1" applyFill="1" applyAlignment="1">
      <alignment vertical="top"/>
    </xf>
    <xf numFmtId="1" fontId="2" fillId="4" borderId="0" xfId="22" applyNumberFormat="1" applyFont="1" applyFill="1" applyBorder="1" applyAlignment="1">
      <alignment vertical="top"/>
    </xf>
    <xf numFmtId="0" fontId="12" fillId="4" borderId="0" xfId="0" applyFont="1" applyFill="1" applyBorder="1" applyAlignment="1">
      <alignment horizontal="center" vertical="top"/>
    </xf>
    <xf numFmtId="0" fontId="2" fillId="4" borderId="0" xfId="0" applyFont="1" applyFill="1" applyBorder="1" applyAlignment="1">
      <alignment horizontal="center" vertical="top"/>
    </xf>
    <xf numFmtId="1" fontId="13" fillId="4" borderId="0" xfId="0" applyNumberFormat="1" applyFont="1" applyFill="1" applyAlignment="1">
      <alignment horizontal="right" vertical="top"/>
    </xf>
    <xf numFmtId="0" fontId="2" fillId="5" borderId="0" xfId="0" applyFont="1" applyFill="1" applyBorder="1" applyAlignment="1">
      <alignment horizontal="left" vertical="center" wrapText="1"/>
    </xf>
    <xf numFmtId="0" fontId="12" fillId="0" borderId="0" xfId="0" applyFont="1" applyFill="1" applyAlignment="1">
      <alignment horizontal="left" vertical="center" wrapText="1"/>
    </xf>
    <xf numFmtId="0" fontId="2" fillId="0" borderId="0" xfId="22" applyFont="1" applyFill="1" applyBorder="1" applyAlignment="1">
      <alignment horizontal="left" vertical="center" wrapText="1"/>
    </xf>
    <xf numFmtId="0" fontId="2" fillId="0" borderId="0" xfId="0" applyFont="1" applyFill="1" applyAlignment="1">
      <alignment horizontal="left" vertical="center" wrapText="1"/>
    </xf>
    <xf numFmtId="0" fontId="2" fillId="0" borderId="0" xfId="880" applyFont="1" applyFill="1" applyBorder="1" applyAlignment="1">
      <alignment horizontal="left" vertical="center" wrapText="1"/>
    </xf>
    <xf numFmtId="0" fontId="2" fillId="4" borderId="0" xfId="880" applyFont="1" applyFill="1" applyBorder="1" applyAlignment="1">
      <alignment horizontal="left" vertical="center" wrapText="1"/>
    </xf>
    <xf numFmtId="0" fontId="12" fillId="0" borderId="0" xfId="0" applyFont="1" applyFill="1" applyAlignment="1">
      <alignment horizontal="left" vertical="center"/>
    </xf>
    <xf numFmtId="0" fontId="2" fillId="4" borderId="0" xfId="22" applyFont="1" applyFill="1" applyBorder="1" applyAlignment="1">
      <alignment horizontal="left" vertical="center" wrapText="1"/>
    </xf>
    <xf numFmtId="0" fontId="14" fillId="4" borderId="0" xfId="22" applyFont="1" applyFill="1" applyBorder="1" applyAlignment="1">
      <alignment horizontal="left" vertical="center" wrapText="1"/>
    </xf>
    <xf numFmtId="0" fontId="2" fillId="4" borderId="0" xfId="0" applyFont="1" applyFill="1" applyAlignment="1">
      <alignment horizontal="left" vertical="center" wrapText="1"/>
    </xf>
    <xf numFmtId="0" fontId="12" fillId="4" borderId="0" xfId="0" applyFont="1" applyFill="1" applyAlignment="1">
      <alignment horizontal="left" vertical="center" wrapText="1"/>
    </xf>
    <xf numFmtId="0" fontId="2" fillId="0" borderId="0" xfId="22" applyFont="1" applyFill="1" applyBorder="1" applyAlignment="1">
      <alignment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12" fillId="0" borderId="0" xfId="0" applyFont="1" applyAlignment="1">
      <alignment horizontal="left" vertical="center" wrapText="1"/>
    </xf>
    <xf numFmtId="0" fontId="12" fillId="0" borderId="0" xfId="0" applyFont="1" applyAlignment="1">
      <alignment horizontal="left" vertical="center"/>
    </xf>
    <xf numFmtId="0" fontId="8" fillId="0" borderId="0" xfId="880" applyFont="1" applyFill="1" applyBorder="1" applyAlignment="1">
      <alignment horizontal="left"/>
    </xf>
    <xf numFmtId="0" fontId="19" fillId="0" borderId="0" xfId="880" applyFont="1" applyFill="1" applyBorder="1" applyAlignment="1"/>
    <xf numFmtId="49" fontId="2" fillId="0" borderId="0" xfId="880" applyNumberFormat="1" applyFont="1" applyFill="1" applyBorder="1" applyAlignment="1">
      <alignment vertical="center" wrapText="1"/>
    </xf>
    <xf numFmtId="0" fontId="2" fillId="0" borderId="0" xfId="880" applyFont="1" applyFill="1" applyBorder="1" applyAlignment="1">
      <alignment vertical="center" wrapText="1"/>
    </xf>
    <xf numFmtId="0" fontId="2" fillId="0" borderId="0" xfId="880" applyFont="1" applyFill="1" applyAlignment="1">
      <alignment horizontal="left" vertical="center" wrapText="1"/>
    </xf>
    <xf numFmtId="0" fontId="2" fillId="0" borderId="0" xfId="0" applyFont="1" applyFill="1" applyBorder="1" applyAlignment="1">
      <alignment horizontal="left" wrapText="1"/>
    </xf>
    <xf numFmtId="0" fontId="2" fillId="0" borderId="0" xfId="0" applyFont="1" applyFill="1" applyBorder="1" applyAlignment="1">
      <alignment horizontal="left" vertical="center" wrapText="1"/>
    </xf>
    <xf numFmtId="0" fontId="11" fillId="0" borderId="0" xfId="880" applyFont="1" applyFill="1" applyBorder="1" applyAlignment="1">
      <alignment horizontal="left" vertical="center" wrapText="1"/>
    </xf>
    <xf numFmtId="0" fontId="16" fillId="0" borderId="3" xfId="22" applyFont="1" applyBorder="1" applyAlignment="1" applyProtection="1">
      <alignment horizontal="left" vertical="top" wrapText="1"/>
    </xf>
    <xf numFmtId="0" fontId="2" fillId="5" borderId="0" xfId="22" applyFont="1" applyFill="1" applyBorder="1" applyAlignment="1">
      <alignment vertical="center" wrapText="1"/>
    </xf>
    <xf numFmtId="0" fontId="2" fillId="5" borderId="0" xfId="22" applyFont="1" applyFill="1" applyBorder="1" applyAlignment="1">
      <alignment horizontal="left" vertical="center" wrapText="1"/>
    </xf>
  </cellXfs>
  <cellStyles count="1723">
    <cellStyle name="Hyperlink" xfId="1721" builtinId="8"/>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29 2" xfId="1722"/>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file:///C:\Users\mjohannes\LEAP%20Spring" TargetMode="External"/><Relationship Id="rId2" Type="http://schemas.openxmlformats.org/officeDocument/2006/relationships/hyperlink" Target="file:///C:\Users\mjohannes\Accountability\" TargetMode="External"/><Relationship Id="rId1" Type="http://schemas.openxmlformats.org/officeDocument/2006/relationships/hyperlink" Target="file:///C:\Users\mjohannes\Common%20Louisiana%20Spring\Reporting\" TargetMode="External"/><Relationship Id="rId4" Type="http://schemas.openxmlformats.org/officeDocument/2006/relationships/hyperlink" Target="file:///C:\Users\mjohannes\LEAP%20Sp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824"/>
  <sheetViews>
    <sheetView tabSelected="1" zoomScale="90" zoomScaleNormal="90" zoomScalePageLayoutView="70" workbookViewId="0"/>
  </sheetViews>
  <sheetFormatPr defaultRowHeight="12.75" x14ac:dyDescent="0.2"/>
  <cols>
    <col min="1" max="2" width="15.42578125" style="17" customWidth="1"/>
    <col min="3" max="3" width="11.85546875" style="17" customWidth="1"/>
    <col min="4" max="6" width="10.85546875" style="14" customWidth="1"/>
    <col min="7" max="7" width="71.140625" style="60" customWidth="1"/>
    <col min="8" max="8" width="36.5703125" style="8" customWidth="1"/>
    <col min="9" max="9" width="70.140625" style="3" customWidth="1"/>
    <col min="10" max="16384" width="9.140625" style="7"/>
  </cols>
  <sheetData>
    <row r="1" spans="1:9" ht="20.25" x14ac:dyDescent="0.3">
      <c r="A1" s="21"/>
      <c r="B1" s="21"/>
      <c r="C1" s="162" t="s">
        <v>0</v>
      </c>
      <c r="D1" s="163"/>
      <c r="E1" s="163"/>
      <c r="F1" s="163"/>
      <c r="G1" s="163"/>
      <c r="H1" s="162" t="s">
        <v>649</v>
      </c>
      <c r="I1" s="162"/>
    </row>
    <row r="2" spans="1:9" ht="63" x14ac:dyDescent="0.25">
      <c r="A2" s="2" t="s">
        <v>8</v>
      </c>
      <c r="B2" s="2" t="s">
        <v>9</v>
      </c>
      <c r="C2" s="19" t="s">
        <v>1</v>
      </c>
      <c r="D2" s="2" t="s">
        <v>2</v>
      </c>
      <c r="E2" s="2" t="s">
        <v>3</v>
      </c>
      <c r="F2" s="4" t="s">
        <v>4</v>
      </c>
      <c r="G2" s="54" t="s">
        <v>5</v>
      </c>
      <c r="H2" s="1" t="s">
        <v>6</v>
      </c>
      <c r="I2" s="1" t="s">
        <v>7</v>
      </c>
    </row>
    <row r="3" spans="1:9" x14ac:dyDescent="0.2">
      <c r="G3" s="55" t="s">
        <v>10</v>
      </c>
    </row>
    <row r="4" spans="1:9" x14ac:dyDescent="0.2">
      <c r="A4" s="17" t="s">
        <v>413</v>
      </c>
      <c r="B4" s="17" t="s">
        <v>413</v>
      </c>
      <c r="D4" s="14">
        <v>1</v>
      </c>
      <c r="E4" s="12">
        <f>D4+F4-1</f>
        <v>2</v>
      </c>
      <c r="F4" s="13">
        <v>2</v>
      </c>
      <c r="G4" s="56" t="s">
        <v>11</v>
      </c>
      <c r="H4" s="46" t="s">
        <v>516</v>
      </c>
      <c r="I4" s="47" t="s">
        <v>289</v>
      </c>
    </row>
    <row r="5" spans="1:9" x14ac:dyDescent="0.2">
      <c r="A5" s="17" t="s">
        <v>413</v>
      </c>
      <c r="B5" s="17" t="s">
        <v>413</v>
      </c>
      <c r="D5" s="14">
        <f>D4+F4</f>
        <v>3</v>
      </c>
      <c r="E5" s="12">
        <f t="shared" ref="E5:E100" si="0">D5+F5-1</f>
        <v>6</v>
      </c>
      <c r="F5" s="13">
        <v>4</v>
      </c>
      <c r="G5" s="56" t="s">
        <v>12</v>
      </c>
      <c r="H5" s="46"/>
      <c r="I5" s="47" t="s">
        <v>290</v>
      </c>
    </row>
    <row r="6" spans="1:9" ht="38.25" x14ac:dyDescent="0.2">
      <c r="A6" s="17" t="s">
        <v>413</v>
      </c>
      <c r="B6" s="17" t="s">
        <v>413</v>
      </c>
      <c r="D6" s="14">
        <f t="shared" ref="D6:D38" si="1">D5+F5</f>
        <v>7</v>
      </c>
      <c r="E6" s="12">
        <f t="shared" si="0"/>
        <v>7</v>
      </c>
      <c r="F6" s="13">
        <v>1</v>
      </c>
      <c r="G6" s="56" t="s">
        <v>13</v>
      </c>
      <c r="H6" s="45" t="s">
        <v>291</v>
      </c>
      <c r="I6" s="44" t="s">
        <v>292</v>
      </c>
    </row>
    <row r="7" spans="1:9" ht="29.25" customHeight="1" x14ac:dyDescent="0.2">
      <c r="A7" s="17" t="s">
        <v>413</v>
      </c>
      <c r="B7" s="17" t="s">
        <v>413</v>
      </c>
      <c r="C7" s="17" t="s">
        <v>421</v>
      </c>
      <c r="D7" s="14">
        <f t="shared" si="1"/>
        <v>8</v>
      </c>
      <c r="E7" s="12">
        <f t="shared" si="0"/>
        <v>10</v>
      </c>
      <c r="F7" s="13">
        <v>3</v>
      </c>
      <c r="G7" s="56" t="s">
        <v>14</v>
      </c>
      <c r="H7" s="45"/>
      <c r="I7" s="164" t="s">
        <v>293</v>
      </c>
    </row>
    <row r="8" spans="1:9" ht="33.75" customHeight="1" x14ac:dyDescent="0.2">
      <c r="A8" s="17" t="s">
        <v>413</v>
      </c>
      <c r="B8" s="17" t="s">
        <v>413</v>
      </c>
      <c r="C8" s="17" t="s">
        <v>421</v>
      </c>
      <c r="D8" s="14">
        <f t="shared" si="1"/>
        <v>11</v>
      </c>
      <c r="E8" s="12">
        <f t="shared" si="0"/>
        <v>13</v>
      </c>
      <c r="F8" s="13">
        <v>3</v>
      </c>
      <c r="G8" s="56" t="s">
        <v>15</v>
      </c>
      <c r="H8" s="45"/>
      <c r="I8" s="165"/>
    </row>
    <row r="9" spans="1:9" x14ac:dyDescent="0.2">
      <c r="A9" s="17" t="s">
        <v>413</v>
      </c>
      <c r="B9" s="17" t="s">
        <v>413</v>
      </c>
      <c r="D9" s="14">
        <f t="shared" si="1"/>
        <v>14</v>
      </c>
      <c r="E9" s="12">
        <f t="shared" si="0"/>
        <v>53</v>
      </c>
      <c r="F9" s="13">
        <v>40</v>
      </c>
      <c r="G9" s="56" t="s">
        <v>16</v>
      </c>
      <c r="H9" s="46"/>
      <c r="I9" s="47"/>
    </row>
    <row r="10" spans="1:9" x14ac:dyDescent="0.2">
      <c r="A10" s="17" t="s">
        <v>413</v>
      </c>
      <c r="B10" s="17" t="s">
        <v>413</v>
      </c>
      <c r="D10" s="14">
        <f t="shared" si="1"/>
        <v>54</v>
      </c>
      <c r="E10" s="12">
        <f t="shared" si="0"/>
        <v>93</v>
      </c>
      <c r="F10" s="13">
        <v>40</v>
      </c>
      <c r="G10" s="56" t="s">
        <v>17</v>
      </c>
      <c r="H10" s="46"/>
      <c r="I10" s="47"/>
    </row>
    <row r="11" spans="1:9" ht="165.75" x14ac:dyDescent="0.2">
      <c r="A11" s="17" t="s">
        <v>413</v>
      </c>
      <c r="B11" s="17" t="s">
        <v>413</v>
      </c>
      <c r="D11" s="14">
        <f t="shared" si="1"/>
        <v>94</v>
      </c>
      <c r="E11" s="12">
        <f t="shared" si="0"/>
        <v>102</v>
      </c>
      <c r="F11" s="13">
        <v>9</v>
      </c>
      <c r="G11" s="56" t="s">
        <v>22</v>
      </c>
      <c r="H11" s="47" t="s">
        <v>294</v>
      </c>
      <c r="I11" s="44" t="s">
        <v>737</v>
      </c>
    </row>
    <row r="12" spans="1:9" ht="51" x14ac:dyDescent="0.2">
      <c r="A12" s="16" t="s">
        <v>413</v>
      </c>
      <c r="B12" s="16" t="s">
        <v>413</v>
      </c>
      <c r="D12" s="14">
        <f t="shared" si="1"/>
        <v>103</v>
      </c>
      <c r="E12" s="12">
        <f t="shared" si="0"/>
        <v>108</v>
      </c>
      <c r="F12" s="13">
        <v>6</v>
      </c>
      <c r="G12" s="56" t="s">
        <v>271</v>
      </c>
      <c r="H12" s="27" t="s">
        <v>401</v>
      </c>
      <c r="I12" s="42" t="s">
        <v>402</v>
      </c>
    </row>
    <row r="13" spans="1:9" ht="25.5" x14ac:dyDescent="0.2">
      <c r="A13" s="16" t="s">
        <v>413</v>
      </c>
      <c r="B13" s="16" t="s">
        <v>413</v>
      </c>
      <c r="D13" s="14">
        <f t="shared" si="1"/>
        <v>109</v>
      </c>
      <c r="E13" s="12">
        <f t="shared" si="0"/>
        <v>109</v>
      </c>
      <c r="F13" s="13">
        <v>1</v>
      </c>
      <c r="G13" s="57" t="s">
        <v>141</v>
      </c>
      <c r="H13" s="3" t="s">
        <v>295</v>
      </c>
      <c r="I13" s="3" t="s">
        <v>296</v>
      </c>
    </row>
    <row r="14" spans="1:9" ht="55.5" customHeight="1" x14ac:dyDescent="0.2">
      <c r="A14" s="17" t="s">
        <v>414</v>
      </c>
      <c r="B14" s="17" t="s">
        <v>413</v>
      </c>
      <c r="C14" s="17" t="s">
        <v>423</v>
      </c>
      <c r="D14" s="14">
        <f t="shared" si="1"/>
        <v>110</v>
      </c>
      <c r="E14" s="12">
        <f t="shared" si="0"/>
        <v>121</v>
      </c>
      <c r="F14" s="13">
        <v>12</v>
      </c>
      <c r="G14" s="56" t="s">
        <v>18</v>
      </c>
      <c r="I14" s="166" t="s">
        <v>411</v>
      </c>
    </row>
    <row r="15" spans="1:9" ht="56.25" customHeight="1" x14ac:dyDescent="0.2">
      <c r="A15" s="17" t="s">
        <v>414</v>
      </c>
      <c r="B15" s="17" t="s">
        <v>413</v>
      </c>
      <c r="C15" s="17" t="s">
        <v>423</v>
      </c>
      <c r="D15" s="14">
        <f t="shared" si="1"/>
        <v>122</v>
      </c>
      <c r="E15" s="12">
        <f t="shared" si="0"/>
        <v>129</v>
      </c>
      <c r="F15" s="13">
        <v>8</v>
      </c>
      <c r="G15" s="56" t="s">
        <v>19</v>
      </c>
      <c r="I15" s="166"/>
    </row>
    <row r="16" spans="1:9" ht="56.25" customHeight="1" x14ac:dyDescent="0.2">
      <c r="A16" s="17" t="s">
        <v>414</v>
      </c>
      <c r="B16" s="17" t="s">
        <v>413</v>
      </c>
      <c r="C16" s="17" t="s">
        <v>423</v>
      </c>
      <c r="D16" s="14">
        <f t="shared" si="1"/>
        <v>130</v>
      </c>
      <c r="E16" s="12">
        <f t="shared" si="0"/>
        <v>130</v>
      </c>
      <c r="F16" s="13">
        <v>1</v>
      </c>
      <c r="G16" s="56" t="s">
        <v>20</v>
      </c>
      <c r="I16" s="166"/>
    </row>
    <row r="17" spans="1:9" ht="76.5" x14ac:dyDescent="0.2">
      <c r="A17" s="17" t="s">
        <v>413</v>
      </c>
      <c r="B17" s="17" t="s">
        <v>413</v>
      </c>
      <c r="C17" s="17" t="s">
        <v>423</v>
      </c>
      <c r="D17" s="14">
        <f t="shared" si="1"/>
        <v>131</v>
      </c>
      <c r="E17" s="12">
        <f t="shared" si="0"/>
        <v>140</v>
      </c>
      <c r="F17" s="13">
        <v>10</v>
      </c>
      <c r="G17" s="56" t="s">
        <v>21</v>
      </c>
      <c r="H17" s="8" t="s">
        <v>297</v>
      </c>
      <c r="I17" s="47" t="s">
        <v>650</v>
      </c>
    </row>
    <row r="18" spans="1:9" ht="165.75" customHeight="1" x14ac:dyDescent="0.2">
      <c r="A18" s="17" t="s">
        <v>413</v>
      </c>
      <c r="B18" s="17" t="s">
        <v>413</v>
      </c>
      <c r="C18" s="17" t="s">
        <v>422</v>
      </c>
      <c r="D18" s="14">
        <f t="shared" si="1"/>
        <v>141</v>
      </c>
      <c r="E18" s="12">
        <f t="shared" si="0"/>
        <v>142</v>
      </c>
      <c r="F18" s="13">
        <v>2</v>
      </c>
      <c r="G18" s="56" t="s">
        <v>23</v>
      </c>
      <c r="H18" s="3" t="s">
        <v>298</v>
      </c>
      <c r="I18" s="95" t="s">
        <v>738</v>
      </c>
    </row>
    <row r="19" spans="1:9" ht="76.5" x14ac:dyDescent="0.2">
      <c r="A19" s="17" t="s">
        <v>414</v>
      </c>
      <c r="B19" s="17" t="s">
        <v>414</v>
      </c>
      <c r="D19" s="14">
        <f t="shared" si="1"/>
        <v>143</v>
      </c>
      <c r="E19" s="12">
        <f t="shared" si="0"/>
        <v>144</v>
      </c>
      <c r="F19" s="13">
        <v>2</v>
      </c>
      <c r="G19" s="56" t="s">
        <v>507</v>
      </c>
      <c r="H19" s="3" t="s">
        <v>298</v>
      </c>
      <c r="I19" s="15" t="s">
        <v>555</v>
      </c>
    </row>
    <row r="20" spans="1:9" ht="83.25" customHeight="1" x14ac:dyDescent="0.2">
      <c r="A20" s="18" t="s">
        <v>414</v>
      </c>
      <c r="B20" s="18" t="s">
        <v>414</v>
      </c>
      <c r="C20" s="18" t="s">
        <v>423</v>
      </c>
      <c r="D20" s="48">
        <f t="shared" si="1"/>
        <v>145</v>
      </c>
      <c r="E20" s="12">
        <f t="shared" si="0"/>
        <v>146</v>
      </c>
      <c r="F20" s="13">
        <v>2</v>
      </c>
      <c r="G20" s="56" t="s">
        <v>24</v>
      </c>
      <c r="H20" s="24" t="s">
        <v>300</v>
      </c>
      <c r="I20" s="148" t="s">
        <v>412</v>
      </c>
    </row>
    <row r="21" spans="1:9" ht="90.75" customHeight="1" x14ac:dyDescent="0.2">
      <c r="A21" s="18" t="s">
        <v>413</v>
      </c>
      <c r="B21" s="18" t="s">
        <v>413</v>
      </c>
      <c r="C21" s="18" t="s">
        <v>423</v>
      </c>
      <c r="D21" s="48">
        <f t="shared" si="1"/>
        <v>147</v>
      </c>
      <c r="E21" s="12">
        <f t="shared" si="0"/>
        <v>148</v>
      </c>
      <c r="F21" s="13">
        <v>2</v>
      </c>
      <c r="G21" s="56" t="s">
        <v>25</v>
      </c>
      <c r="H21" s="24" t="s">
        <v>301</v>
      </c>
      <c r="I21" s="148"/>
    </row>
    <row r="22" spans="1:9" ht="83.25" customHeight="1" x14ac:dyDescent="0.2">
      <c r="A22" s="18" t="s">
        <v>414</v>
      </c>
      <c r="B22" s="18" t="s">
        <v>414</v>
      </c>
      <c r="C22" s="18" t="s">
        <v>423</v>
      </c>
      <c r="D22" s="48">
        <f t="shared" si="1"/>
        <v>149</v>
      </c>
      <c r="E22" s="12">
        <f t="shared" si="0"/>
        <v>152</v>
      </c>
      <c r="F22" s="13">
        <v>4</v>
      </c>
      <c r="G22" s="56" t="s">
        <v>26</v>
      </c>
      <c r="H22" s="24" t="s">
        <v>302</v>
      </c>
      <c r="I22" s="148"/>
    </row>
    <row r="23" spans="1:9" ht="63.75" x14ac:dyDescent="0.2">
      <c r="A23" s="18" t="s">
        <v>413</v>
      </c>
      <c r="B23" s="18" t="s">
        <v>413</v>
      </c>
      <c r="C23" s="18" t="s">
        <v>424</v>
      </c>
      <c r="D23" s="48">
        <f t="shared" si="1"/>
        <v>153</v>
      </c>
      <c r="E23" s="12">
        <f t="shared" si="0"/>
        <v>153</v>
      </c>
      <c r="F23" s="13">
        <v>1</v>
      </c>
      <c r="G23" s="56" t="s">
        <v>27</v>
      </c>
      <c r="H23" s="72" t="s">
        <v>303</v>
      </c>
      <c r="I23" s="71" t="s">
        <v>739</v>
      </c>
    </row>
    <row r="24" spans="1:9" ht="63.75" x14ac:dyDescent="0.2">
      <c r="A24" s="18" t="s">
        <v>414</v>
      </c>
      <c r="B24" s="18" t="s">
        <v>414</v>
      </c>
      <c r="C24" s="18"/>
      <c r="D24" s="48">
        <f>D23+F23</f>
        <v>154</v>
      </c>
      <c r="E24" s="12">
        <f t="shared" ref="E24" si="2">D24+F24-1</f>
        <v>154</v>
      </c>
      <c r="F24" s="13">
        <v>1</v>
      </c>
      <c r="G24" s="56" t="s">
        <v>528</v>
      </c>
      <c r="H24" s="11" t="s">
        <v>304</v>
      </c>
      <c r="I24" s="72" t="s">
        <v>651</v>
      </c>
    </row>
    <row r="25" spans="1:9" ht="114.75" x14ac:dyDescent="0.2">
      <c r="A25" s="18" t="s">
        <v>413</v>
      </c>
      <c r="B25" s="18" t="s">
        <v>413</v>
      </c>
      <c r="C25" s="18" t="s">
        <v>424</v>
      </c>
      <c r="D25" s="48">
        <f t="shared" si="1"/>
        <v>155</v>
      </c>
      <c r="E25" s="12">
        <f t="shared" si="0"/>
        <v>155</v>
      </c>
      <c r="F25" s="13">
        <v>1</v>
      </c>
      <c r="G25" s="56" t="s">
        <v>28</v>
      </c>
      <c r="H25" s="72" t="s">
        <v>305</v>
      </c>
      <c r="I25" s="71" t="s">
        <v>740</v>
      </c>
    </row>
    <row r="26" spans="1:9" ht="38.25" x14ac:dyDescent="0.2">
      <c r="A26" s="18" t="s">
        <v>413</v>
      </c>
      <c r="B26" s="18" t="s">
        <v>413</v>
      </c>
      <c r="C26" s="18" t="s">
        <v>421</v>
      </c>
      <c r="D26" s="48">
        <f t="shared" si="1"/>
        <v>156</v>
      </c>
      <c r="E26" s="12">
        <f t="shared" si="0"/>
        <v>156</v>
      </c>
      <c r="F26" s="13">
        <v>1</v>
      </c>
      <c r="G26" s="56" t="s">
        <v>30</v>
      </c>
      <c r="H26" s="72" t="s">
        <v>306</v>
      </c>
      <c r="I26" s="72" t="s">
        <v>741</v>
      </c>
    </row>
    <row r="27" spans="1:9" ht="63.75" x14ac:dyDescent="0.2">
      <c r="A27" s="18" t="s">
        <v>414</v>
      </c>
      <c r="B27" s="18" t="s">
        <v>414</v>
      </c>
      <c r="C27" s="18"/>
      <c r="D27" s="48">
        <f>D26+F26</f>
        <v>157</v>
      </c>
      <c r="E27" s="12">
        <f t="shared" ref="E27" si="3">D27+F27-1</f>
        <v>157</v>
      </c>
      <c r="F27" s="13">
        <v>1</v>
      </c>
      <c r="G27" s="56" t="s">
        <v>530</v>
      </c>
      <c r="H27" s="72" t="s">
        <v>307</v>
      </c>
      <c r="I27" s="72" t="s">
        <v>651</v>
      </c>
    </row>
    <row r="28" spans="1:9" ht="76.5" x14ac:dyDescent="0.2">
      <c r="A28" s="18" t="s">
        <v>414</v>
      </c>
      <c r="B28" s="18" t="s">
        <v>414</v>
      </c>
      <c r="C28" s="18" t="s">
        <v>421</v>
      </c>
      <c r="D28" s="48">
        <f t="shared" si="1"/>
        <v>158</v>
      </c>
      <c r="E28" s="12">
        <f t="shared" si="0"/>
        <v>158</v>
      </c>
      <c r="F28" s="13">
        <v>1</v>
      </c>
      <c r="G28" s="56" t="s">
        <v>31</v>
      </c>
      <c r="H28" s="72" t="s">
        <v>309</v>
      </c>
      <c r="I28" s="72" t="s">
        <v>308</v>
      </c>
    </row>
    <row r="29" spans="1:9" ht="38.25" x14ac:dyDescent="0.2">
      <c r="A29" s="18" t="s">
        <v>413</v>
      </c>
      <c r="B29" s="18" t="s">
        <v>413</v>
      </c>
      <c r="C29" s="18"/>
      <c r="D29" s="48">
        <f t="shared" si="1"/>
        <v>159</v>
      </c>
      <c r="E29" s="12">
        <f t="shared" si="0"/>
        <v>159</v>
      </c>
      <c r="F29" s="13">
        <v>1</v>
      </c>
      <c r="G29" s="56" t="s">
        <v>32</v>
      </c>
      <c r="H29" s="72" t="s">
        <v>310</v>
      </c>
      <c r="I29" s="72" t="s">
        <v>741</v>
      </c>
    </row>
    <row r="30" spans="1:9" ht="76.5" x14ac:dyDescent="0.2">
      <c r="A30" s="18" t="s">
        <v>414</v>
      </c>
      <c r="B30" s="18" t="s">
        <v>414</v>
      </c>
      <c r="C30" s="18"/>
      <c r="D30" s="48">
        <f>D29+F29</f>
        <v>160</v>
      </c>
      <c r="E30" s="12">
        <f t="shared" ref="E30" si="4">D30+F30-1</f>
        <v>160</v>
      </c>
      <c r="F30" s="13">
        <v>1</v>
      </c>
      <c r="G30" s="56" t="s">
        <v>531</v>
      </c>
      <c r="H30" s="72" t="s">
        <v>532</v>
      </c>
      <c r="I30" s="72" t="s">
        <v>651</v>
      </c>
    </row>
    <row r="31" spans="1:9" x14ac:dyDescent="0.2">
      <c r="A31" s="18"/>
      <c r="B31" s="18"/>
      <c r="C31" s="18"/>
      <c r="D31" s="48">
        <f>D30+F30</f>
        <v>161</v>
      </c>
      <c r="E31" s="12">
        <f t="shared" ref="E31" si="5">D31+F31-1</f>
        <v>162</v>
      </c>
      <c r="F31" s="13">
        <v>2</v>
      </c>
      <c r="G31" s="56" t="s">
        <v>94</v>
      </c>
      <c r="H31" s="72"/>
      <c r="I31" s="11"/>
    </row>
    <row r="32" spans="1:9" ht="51" x14ac:dyDescent="0.2">
      <c r="A32" s="16" t="s">
        <v>414</v>
      </c>
      <c r="B32" s="16" t="s">
        <v>413</v>
      </c>
      <c r="D32" s="14">
        <f>D31+F31</f>
        <v>163</v>
      </c>
      <c r="E32" s="12">
        <f t="shared" si="0"/>
        <v>163</v>
      </c>
      <c r="F32" s="13">
        <v>1</v>
      </c>
      <c r="G32" s="56" t="s">
        <v>202</v>
      </c>
      <c r="H32" s="26" t="s">
        <v>371</v>
      </c>
      <c r="I32" s="26" t="s">
        <v>372</v>
      </c>
    </row>
    <row r="33" spans="1:9" ht="38.25" x14ac:dyDescent="0.2">
      <c r="A33" s="17" t="s">
        <v>413</v>
      </c>
      <c r="B33" s="17" t="s">
        <v>413</v>
      </c>
      <c r="D33" s="14">
        <f t="shared" si="1"/>
        <v>164</v>
      </c>
      <c r="E33" s="12">
        <f t="shared" si="0"/>
        <v>164</v>
      </c>
      <c r="F33" s="13">
        <v>1</v>
      </c>
      <c r="G33" s="56" t="s">
        <v>203</v>
      </c>
      <c r="H33" s="6" t="s">
        <v>409</v>
      </c>
      <c r="I33" s="6" t="s">
        <v>410</v>
      </c>
    </row>
    <row r="34" spans="1:9" ht="63.75" x14ac:dyDescent="0.2">
      <c r="A34" s="17" t="s">
        <v>413</v>
      </c>
      <c r="B34" s="17" t="s">
        <v>413</v>
      </c>
      <c r="D34" s="14">
        <f t="shared" si="1"/>
        <v>165</v>
      </c>
      <c r="E34" s="12">
        <f t="shared" si="0"/>
        <v>165</v>
      </c>
      <c r="F34" s="13">
        <v>1</v>
      </c>
      <c r="G34" s="9" t="s">
        <v>204</v>
      </c>
      <c r="H34" s="26" t="s">
        <v>373</v>
      </c>
      <c r="I34" s="26" t="s">
        <v>372</v>
      </c>
    </row>
    <row r="35" spans="1:9" ht="153" x14ac:dyDescent="0.2">
      <c r="A35" s="18" t="s">
        <v>414</v>
      </c>
      <c r="B35" s="18" t="s">
        <v>414</v>
      </c>
      <c r="C35" s="18"/>
      <c r="D35" s="48">
        <f t="shared" si="1"/>
        <v>166</v>
      </c>
      <c r="E35" s="12">
        <f t="shared" si="0"/>
        <v>166</v>
      </c>
      <c r="F35" s="13">
        <v>1</v>
      </c>
      <c r="G35" s="56" t="s">
        <v>29</v>
      </c>
      <c r="H35" s="72" t="s">
        <v>311</v>
      </c>
      <c r="I35" s="72" t="s">
        <v>312</v>
      </c>
    </row>
    <row r="36" spans="1:9" ht="51" x14ac:dyDescent="0.2">
      <c r="A36" s="18" t="s">
        <v>414</v>
      </c>
      <c r="B36" s="18" t="s">
        <v>414</v>
      </c>
      <c r="C36" s="18"/>
      <c r="D36" s="48">
        <f t="shared" si="1"/>
        <v>167</v>
      </c>
      <c r="E36" s="12">
        <f t="shared" ref="E36:E45" si="6">D36+F36-1</f>
        <v>167</v>
      </c>
      <c r="F36" s="13">
        <v>1</v>
      </c>
      <c r="G36" s="56" t="s">
        <v>527</v>
      </c>
      <c r="H36" s="72" t="s">
        <v>304</v>
      </c>
      <c r="I36" s="72" t="s">
        <v>558</v>
      </c>
    </row>
    <row r="37" spans="1:9" ht="51" x14ac:dyDescent="0.2">
      <c r="A37" s="18" t="s">
        <v>414</v>
      </c>
      <c r="B37" s="18" t="s">
        <v>414</v>
      </c>
      <c r="C37" s="18"/>
      <c r="D37" s="48">
        <f t="shared" si="1"/>
        <v>168</v>
      </c>
      <c r="E37" s="12">
        <f t="shared" si="6"/>
        <v>168</v>
      </c>
      <c r="F37" s="13">
        <v>1</v>
      </c>
      <c r="G37" s="56" t="s">
        <v>529</v>
      </c>
      <c r="H37" s="72" t="s">
        <v>307</v>
      </c>
      <c r="I37" s="72" t="s">
        <v>558</v>
      </c>
    </row>
    <row r="38" spans="1:9" ht="51" x14ac:dyDescent="0.2">
      <c r="A38" s="18" t="s">
        <v>414</v>
      </c>
      <c r="B38" s="18" t="s">
        <v>414</v>
      </c>
      <c r="C38" s="18"/>
      <c r="D38" s="48">
        <f t="shared" si="1"/>
        <v>169</v>
      </c>
      <c r="E38" s="12">
        <f t="shared" si="6"/>
        <v>169</v>
      </c>
      <c r="F38" s="13">
        <v>1</v>
      </c>
      <c r="G38" s="56" t="s">
        <v>556</v>
      </c>
      <c r="H38" s="76" t="s">
        <v>557</v>
      </c>
      <c r="I38" s="76" t="s">
        <v>558</v>
      </c>
    </row>
    <row r="39" spans="1:9" ht="63.75" x14ac:dyDescent="0.2">
      <c r="A39" s="96" t="s">
        <v>414</v>
      </c>
      <c r="B39" s="96" t="s">
        <v>414</v>
      </c>
      <c r="C39" s="96"/>
      <c r="D39" s="97">
        <f t="shared" ref="D39:D44" si="7">D38+F38</f>
        <v>170</v>
      </c>
      <c r="E39" s="98">
        <f t="shared" ref="E39:E44" si="8">D39+F39-1</f>
        <v>170</v>
      </c>
      <c r="F39" s="99">
        <v>1</v>
      </c>
      <c r="G39" s="100" t="s">
        <v>680</v>
      </c>
      <c r="H39" s="101" t="s">
        <v>687</v>
      </c>
      <c r="I39" s="101" t="s">
        <v>651</v>
      </c>
    </row>
    <row r="40" spans="1:9" ht="51" x14ac:dyDescent="0.2">
      <c r="A40" s="96" t="s">
        <v>414</v>
      </c>
      <c r="B40" s="96" t="s">
        <v>414</v>
      </c>
      <c r="C40" s="96"/>
      <c r="D40" s="97">
        <f t="shared" si="7"/>
        <v>171</v>
      </c>
      <c r="E40" s="98">
        <f t="shared" si="8"/>
        <v>171</v>
      </c>
      <c r="F40" s="99">
        <v>1</v>
      </c>
      <c r="G40" s="100" t="s">
        <v>681</v>
      </c>
      <c r="H40" s="101" t="s">
        <v>687</v>
      </c>
      <c r="I40" s="101" t="s">
        <v>558</v>
      </c>
    </row>
    <row r="41" spans="1:9" ht="38.25" x14ac:dyDescent="0.2">
      <c r="A41" s="96" t="s">
        <v>413</v>
      </c>
      <c r="B41" s="96" t="s">
        <v>413</v>
      </c>
      <c r="C41" s="96"/>
      <c r="D41" s="97">
        <f t="shared" si="7"/>
        <v>172</v>
      </c>
      <c r="E41" s="98">
        <f t="shared" si="8"/>
        <v>172</v>
      </c>
      <c r="F41" s="99">
        <v>1</v>
      </c>
      <c r="G41" s="100" t="s">
        <v>682</v>
      </c>
      <c r="H41" s="101" t="s">
        <v>802</v>
      </c>
      <c r="I41" s="101" t="s">
        <v>741</v>
      </c>
    </row>
    <row r="42" spans="1:9" ht="63.75" x14ac:dyDescent="0.2">
      <c r="A42" s="96" t="s">
        <v>414</v>
      </c>
      <c r="B42" s="96" t="s">
        <v>414</v>
      </c>
      <c r="C42" s="96"/>
      <c r="D42" s="97">
        <f t="shared" si="7"/>
        <v>173</v>
      </c>
      <c r="E42" s="98">
        <f t="shared" si="8"/>
        <v>173</v>
      </c>
      <c r="F42" s="99">
        <v>1</v>
      </c>
      <c r="G42" s="100" t="s">
        <v>683</v>
      </c>
      <c r="H42" s="101" t="s">
        <v>686</v>
      </c>
      <c r="I42" s="101" t="s">
        <v>651</v>
      </c>
    </row>
    <row r="43" spans="1:9" ht="51" x14ac:dyDescent="0.2">
      <c r="A43" s="96" t="s">
        <v>414</v>
      </c>
      <c r="B43" s="96" t="s">
        <v>414</v>
      </c>
      <c r="C43" s="96"/>
      <c r="D43" s="97">
        <f t="shared" si="7"/>
        <v>174</v>
      </c>
      <c r="E43" s="98">
        <f t="shared" si="8"/>
        <v>174</v>
      </c>
      <c r="F43" s="99">
        <v>1</v>
      </c>
      <c r="G43" s="100" t="s">
        <v>684</v>
      </c>
      <c r="H43" s="101" t="s">
        <v>686</v>
      </c>
      <c r="I43" s="101" t="s">
        <v>558</v>
      </c>
    </row>
    <row r="44" spans="1:9" ht="38.25" x14ac:dyDescent="0.2">
      <c r="A44" s="96" t="s">
        <v>413</v>
      </c>
      <c r="B44" s="96" t="s">
        <v>413</v>
      </c>
      <c r="C44" s="96"/>
      <c r="D44" s="97">
        <f t="shared" si="7"/>
        <v>175</v>
      </c>
      <c r="E44" s="98">
        <f t="shared" si="8"/>
        <v>175</v>
      </c>
      <c r="F44" s="99">
        <v>1</v>
      </c>
      <c r="G44" s="100" t="s">
        <v>685</v>
      </c>
      <c r="H44" s="101" t="s">
        <v>803</v>
      </c>
      <c r="I44" s="101" t="s">
        <v>741</v>
      </c>
    </row>
    <row r="45" spans="1:9" x14ac:dyDescent="0.2">
      <c r="A45" s="18"/>
      <c r="B45" s="18"/>
      <c r="C45" s="18"/>
      <c r="D45" s="97">
        <f>D44+F44</f>
        <v>176</v>
      </c>
      <c r="E45" s="12">
        <f t="shared" si="6"/>
        <v>181</v>
      </c>
      <c r="F45" s="99">
        <v>6</v>
      </c>
      <c r="G45" s="9" t="s">
        <v>94</v>
      </c>
      <c r="H45" s="46"/>
      <c r="I45" s="47"/>
    </row>
    <row r="46" spans="1:9" x14ac:dyDescent="0.2">
      <c r="G46" s="58" t="s">
        <v>33</v>
      </c>
    </row>
    <row r="47" spans="1:9" ht="63.75" x14ac:dyDescent="0.2">
      <c r="A47" s="17" t="s">
        <v>414</v>
      </c>
      <c r="B47" s="17" t="s">
        <v>414</v>
      </c>
      <c r="D47" s="14">
        <f>D45+F45</f>
        <v>182</v>
      </c>
      <c r="E47" s="12">
        <f t="shared" si="0"/>
        <v>182</v>
      </c>
      <c r="F47" s="13">
        <v>1</v>
      </c>
      <c r="G47" s="56" t="s">
        <v>34</v>
      </c>
      <c r="H47" s="15" t="s">
        <v>313</v>
      </c>
      <c r="I47" s="3" t="s">
        <v>314</v>
      </c>
    </row>
    <row r="48" spans="1:9" ht="38.25" x14ac:dyDescent="0.2">
      <c r="A48" s="17" t="s">
        <v>414</v>
      </c>
      <c r="B48" s="17" t="s">
        <v>414</v>
      </c>
      <c r="D48" s="14">
        <f t="shared" ref="D48" si="9">D47+F47</f>
        <v>183</v>
      </c>
      <c r="E48" s="12">
        <f t="shared" si="0"/>
        <v>183</v>
      </c>
      <c r="F48" s="13">
        <v>1</v>
      </c>
      <c r="G48" s="56" t="s">
        <v>35</v>
      </c>
      <c r="H48" s="15" t="s">
        <v>315</v>
      </c>
      <c r="I48" s="3" t="s">
        <v>314</v>
      </c>
    </row>
    <row r="49" spans="1:9" ht="38.25" x14ac:dyDescent="0.2">
      <c r="A49" s="17" t="s">
        <v>414</v>
      </c>
      <c r="B49" s="17" t="s">
        <v>414</v>
      </c>
      <c r="D49" s="14">
        <f t="shared" ref="D49:D52" si="10">D48+F48</f>
        <v>184</v>
      </c>
      <c r="E49" s="12">
        <f t="shared" si="0"/>
        <v>184</v>
      </c>
      <c r="F49" s="13">
        <v>1</v>
      </c>
      <c r="G49" s="56" t="s">
        <v>36</v>
      </c>
      <c r="H49" s="15" t="s">
        <v>315</v>
      </c>
      <c r="I49" s="3" t="s">
        <v>314</v>
      </c>
    </row>
    <row r="50" spans="1:9" ht="63.75" x14ac:dyDescent="0.2">
      <c r="A50" s="17" t="s">
        <v>414</v>
      </c>
      <c r="B50" s="17" t="s">
        <v>414</v>
      </c>
      <c r="D50" s="14">
        <f t="shared" si="10"/>
        <v>185</v>
      </c>
      <c r="E50" s="12">
        <f t="shared" si="0"/>
        <v>185</v>
      </c>
      <c r="F50" s="13">
        <v>1</v>
      </c>
      <c r="G50" s="56" t="s">
        <v>37</v>
      </c>
      <c r="H50" s="43" t="s">
        <v>517</v>
      </c>
      <c r="I50" s="3" t="s">
        <v>314</v>
      </c>
    </row>
    <row r="51" spans="1:9" ht="51" x14ac:dyDescent="0.2">
      <c r="A51" s="17" t="s">
        <v>413</v>
      </c>
      <c r="B51" s="17" t="s">
        <v>413</v>
      </c>
      <c r="D51" s="14">
        <f t="shared" si="10"/>
        <v>186</v>
      </c>
      <c r="E51" s="12">
        <f t="shared" si="0"/>
        <v>195</v>
      </c>
      <c r="F51" s="13">
        <v>10</v>
      </c>
      <c r="G51" s="9" t="s">
        <v>59</v>
      </c>
      <c r="H51" s="11" t="s">
        <v>317</v>
      </c>
      <c r="I51" s="3" t="s">
        <v>314</v>
      </c>
    </row>
    <row r="52" spans="1:9" ht="89.25" x14ac:dyDescent="0.2">
      <c r="A52" s="17" t="s">
        <v>413</v>
      </c>
      <c r="B52" s="17" t="s">
        <v>413</v>
      </c>
      <c r="D52" s="14">
        <f t="shared" si="10"/>
        <v>196</v>
      </c>
      <c r="E52" s="12">
        <f t="shared" si="0"/>
        <v>197</v>
      </c>
      <c r="F52" s="13">
        <v>2</v>
      </c>
      <c r="G52" s="9" t="s">
        <v>60</v>
      </c>
      <c r="H52" s="15" t="s">
        <v>316</v>
      </c>
      <c r="I52" s="3" t="s">
        <v>318</v>
      </c>
    </row>
    <row r="53" spans="1:9" ht="38.25" x14ac:dyDescent="0.2">
      <c r="A53" s="96" t="s">
        <v>414</v>
      </c>
      <c r="B53" s="96" t="s">
        <v>414</v>
      </c>
      <c r="C53" s="96"/>
      <c r="D53" s="97">
        <f t="shared" ref="D53:D54" si="11">D52+F52</f>
        <v>198</v>
      </c>
      <c r="E53" s="98">
        <f t="shared" ref="E53:E54" si="12">D53+F53-1</f>
        <v>198</v>
      </c>
      <c r="F53" s="99">
        <v>1</v>
      </c>
      <c r="G53" s="102" t="s">
        <v>677</v>
      </c>
      <c r="H53" s="101" t="s">
        <v>315</v>
      </c>
      <c r="I53" s="95" t="s">
        <v>314</v>
      </c>
    </row>
    <row r="54" spans="1:9" ht="38.25" x14ac:dyDescent="0.2">
      <c r="A54" s="96" t="s">
        <v>414</v>
      </c>
      <c r="B54" s="96" t="s">
        <v>414</v>
      </c>
      <c r="C54" s="96"/>
      <c r="D54" s="97">
        <f t="shared" si="11"/>
        <v>199</v>
      </c>
      <c r="E54" s="98">
        <f t="shared" si="12"/>
        <v>199</v>
      </c>
      <c r="F54" s="99">
        <v>1</v>
      </c>
      <c r="G54" s="102" t="s">
        <v>678</v>
      </c>
      <c r="H54" s="101" t="s">
        <v>315</v>
      </c>
      <c r="I54" s="95" t="s">
        <v>314</v>
      </c>
    </row>
    <row r="55" spans="1:9" x14ac:dyDescent="0.2">
      <c r="D55" s="103">
        <f>D54+F54</f>
        <v>200</v>
      </c>
      <c r="E55" s="12">
        <f t="shared" si="0"/>
        <v>206</v>
      </c>
      <c r="F55" s="99">
        <v>7</v>
      </c>
      <c r="G55" s="9" t="s">
        <v>94</v>
      </c>
    </row>
    <row r="56" spans="1:9" x14ac:dyDescent="0.2">
      <c r="A56" s="16"/>
      <c r="B56" s="16"/>
      <c r="C56" s="16"/>
      <c r="D56" s="49"/>
      <c r="E56" s="49"/>
      <c r="F56" s="49"/>
      <c r="G56" s="10" t="s">
        <v>38</v>
      </c>
      <c r="H56" s="5"/>
      <c r="I56" s="6"/>
    </row>
    <row r="57" spans="1:9" ht="63.75" x14ac:dyDescent="0.2">
      <c r="A57" s="16" t="s">
        <v>414</v>
      </c>
      <c r="B57" s="16" t="s">
        <v>414</v>
      </c>
      <c r="C57" s="16"/>
      <c r="D57" s="49">
        <f>D55+F55</f>
        <v>207</v>
      </c>
      <c r="E57" s="12">
        <f t="shared" si="0"/>
        <v>207</v>
      </c>
      <c r="F57" s="13">
        <v>1</v>
      </c>
      <c r="G57" s="9" t="s">
        <v>39</v>
      </c>
      <c r="H57" s="72" t="s">
        <v>319</v>
      </c>
      <c r="I57" s="6" t="s">
        <v>314</v>
      </c>
    </row>
    <row r="58" spans="1:9" x14ac:dyDescent="0.2">
      <c r="A58" s="16" t="s">
        <v>414</v>
      </c>
      <c r="B58" s="16" t="s">
        <v>414</v>
      </c>
      <c r="C58" s="16"/>
      <c r="D58" s="49">
        <f t="shared" ref="D58" si="13">D57+F57</f>
        <v>208</v>
      </c>
      <c r="E58" s="12">
        <f t="shared" si="0"/>
        <v>208</v>
      </c>
      <c r="F58" s="13">
        <v>1</v>
      </c>
      <c r="G58" s="9" t="s">
        <v>40</v>
      </c>
      <c r="H58" s="157" t="s">
        <v>315</v>
      </c>
      <c r="I58" s="147" t="s">
        <v>314</v>
      </c>
    </row>
    <row r="59" spans="1:9" x14ac:dyDescent="0.2">
      <c r="A59" s="16" t="s">
        <v>414</v>
      </c>
      <c r="B59" s="16" t="s">
        <v>414</v>
      </c>
      <c r="C59" s="16"/>
      <c r="D59" s="49">
        <f t="shared" ref="D59:D62" si="14">D58+F58</f>
        <v>209</v>
      </c>
      <c r="E59" s="12">
        <f t="shared" si="0"/>
        <v>209</v>
      </c>
      <c r="F59" s="13">
        <v>1</v>
      </c>
      <c r="G59" s="9" t="s">
        <v>41</v>
      </c>
      <c r="H59" s="157"/>
      <c r="I59" s="147"/>
    </row>
    <row r="60" spans="1:9" x14ac:dyDescent="0.2">
      <c r="A60" s="16" t="s">
        <v>414</v>
      </c>
      <c r="B60" s="16" t="s">
        <v>414</v>
      </c>
      <c r="C60" s="16"/>
      <c r="D60" s="49">
        <f t="shared" si="14"/>
        <v>210</v>
      </c>
      <c r="E60" s="12">
        <f t="shared" si="0"/>
        <v>210</v>
      </c>
      <c r="F60" s="13">
        <v>1</v>
      </c>
      <c r="G60" s="9" t="s">
        <v>42</v>
      </c>
      <c r="H60" s="157"/>
      <c r="I60" s="147"/>
    </row>
    <row r="61" spans="1:9" x14ac:dyDescent="0.2">
      <c r="A61" s="16" t="s">
        <v>414</v>
      </c>
      <c r="B61" s="16" t="s">
        <v>414</v>
      </c>
      <c r="C61" s="16"/>
      <c r="D61" s="49">
        <f t="shared" si="14"/>
        <v>211</v>
      </c>
      <c r="E61" s="12">
        <f t="shared" si="0"/>
        <v>211</v>
      </c>
      <c r="F61" s="13">
        <v>1</v>
      </c>
      <c r="G61" s="9" t="s">
        <v>43</v>
      </c>
      <c r="H61" s="157"/>
      <c r="I61" s="147"/>
    </row>
    <row r="62" spans="1:9" x14ac:dyDescent="0.2">
      <c r="A62" s="16" t="s">
        <v>414</v>
      </c>
      <c r="B62" s="16" t="s">
        <v>414</v>
      </c>
      <c r="C62" s="16"/>
      <c r="D62" s="49">
        <f t="shared" si="14"/>
        <v>212</v>
      </c>
      <c r="E62" s="12">
        <f t="shared" si="0"/>
        <v>212</v>
      </c>
      <c r="F62" s="13">
        <v>1</v>
      </c>
      <c r="G62" s="9" t="s">
        <v>44</v>
      </c>
      <c r="H62" s="157"/>
      <c r="I62" s="147"/>
    </row>
    <row r="63" spans="1:9" x14ac:dyDescent="0.2">
      <c r="A63" s="16"/>
      <c r="B63" s="16"/>
      <c r="C63" s="16"/>
      <c r="D63" s="49"/>
      <c r="E63" s="49"/>
      <c r="F63" s="49"/>
      <c r="G63" s="10" t="s">
        <v>480</v>
      </c>
      <c r="H63" s="5"/>
      <c r="I63" s="6"/>
    </row>
    <row r="64" spans="1:9" x14ac:dyDescent="0.2">
      <c r="A64" s="16" t="s">
        <v>414</v>
      </c>
      <c r="B64" s="16" t="s">
        <v>414</v>
      </c>
      <c r="C64" s="16"/>
      <c r="D64" s="49">
        <f>D62+F62</f>
        <v>213</v>
      </c>
      <c r="E64" s="12">
        <f t="shared" si="0"/>
        <v>213</v>
      </c>
      <c r="F64" s="13">
        <v>1</v>
      </c>
      <c r="G64" s="9" t="s">
        <v>215</v>
      </c>
      <c r="H64" s="150" t="s">
        <v>315</v>
      </c>
      <c r="I64" s="150" t="s">
        <v>314</v>
      </c>
    </row>
    <row r="65" spans="1:9" x14ac:dyDescent="0.2">
      <c r="A65" s="16" t="s">
        <v>414</v>
      </c>
      <c r="B65" s="16" t="s">
        <v>414</v>
      </c>
      <c r="C65" s="16"/>
      <c r="D65" s="49">
        <f t="shared" ref="D65" si="15">D64+F64</f>
        <v>214</v>
      </c>
      <c r="E65" s="12">
        <f t="shared" si="0"/>
        <v>214</v>
      </c>
      <c r="F65" s="13">
        <v>1</v>
      </c>
      <c r="G65" s="9" t="s">
        <v>216</v>
      </c>
      <c r="H65" s="150"/>
      <c r="I65" s="150"/>
    </row>
    <row r="66" spans="1:9" x14ac:dyDescent="0.2">
      <c r="A66" s="16" t="s">
        <v>414</v>
      </c>
      <c r="B66" s="16" t="s">
        <v>414</v>
      </c>
      <c r="C66" s="16"/>
      <c r="D66" s="49">
        <f t="shared" ref="D66:D80" si="16">D65+F65</f>
        <v>215</v>
      </c>
      <c r="E66" s="12">
        <f t="shared" si="0"/>
        <v>215</v>
      </c>
      <c r="F66" s="13">
        <v>1</v>
      </c>
      <c r="G66" s="9" t="s">
        <v>217</v>
      </c>
      <c r="H66" s="150"/>
      <c r="I66" s="150"/>
    </row>
    <row r="67" spans="1:9" x14ac:dyDescent="0.2">
      <c r="A67" s="16" t="s">
        <v>414</v>
      </c>
      <c r="B67" s="16" t="s">
        <v>414</v>
      </c>
      <c r="C67" s="16"/>
      <c r="D67" s="49">
        <f t="shared" si="16"/>
        <v>216</v>
      </c>
      <c r="E67" s="12">
        <f t="shared" si="0"/>
        <v>216</v>
      </c>
      <c r="F67" s="13">
        <v>1</v>
      </c>
      <c r="G67" s="9" t="s">
        <v>218</v>
      </c>
      <c r="H67" s="150"/>
      <c r="I67" s="150"/>
    </row>
    <row r="68" spans="1:9" x14ac:dyDescent="0.2">
      <c r="A68" s="16" t="s">
        <v>414</v>
      </c>
      <c r="B68" s="16" t="s">
        <v>414</v>
      </c>
      <c r="C68" s="16"/>
      <c r="D68" s="49">
        <f t="shared" si="16"/>
        <v>217</v>
      </c>
      <c r="E68" s="12">
        <f t="shared" si="0"/>
        <v>217</v>
      </c>
      <c r="F68" s="13">
        <v>1</v>
      </c>
      <c r="G68" s="9" t="s">
        <v>219</v>
      </c>
      <c r="H68" s="150"/>
      <c r="I68" s="150"/>
    </row>
    <row r="69" spans="1:9" x14ac:dyDescent="0.2">
      <c r="A69" s="16" t="s">
        <v>414</v>
      </c>
      <c r="B69" s="16" t="s">
        <v>414</v>
      </c>
      <c r="C69" s="16"/>
      <c r="D69" s="49">
        <f t="shared" si="16"/>
        <v>218</v>
      </c>
      <c r="E69" s="12">
        <f t="shared" si="0"/>
        <v>218</v>
      </c>
      <c r="F69" s="13">
        <v>1</v>
      </c>
      <c r="G69" s="9" t="s">
        <v>220</v>
      </c>
      <c r="H69" s="150"/>
      <c r="I69" s="150"/>
    </row>
    <row r="70" spans="1:9" x14ac:dyDescent="0.2">
      <c r="A70" s="16" t="s">
        <v>414</v>
      </c>
      <c r="B70" s="16" t="s">
        <v>414</v>
      </c>
      <c r="C70" s="16"/>
      <c r="D70" s="49">
        <f t="shared" si="16"/>
        <v>219</v>
      </c>
      <c r="E70" s="12">
        <f t="shared" si="0"/>
        <v>219</v>
      </c>
      <c r="F70" s="13">
        <v>1</v>
      </c>
      <c r="G70" s="9" t="s">
        <v>652</v>
      </c>
      <c r="H70" s="150"/>
      <c r="I70" s="150"/>
    </row>
    <row r="71" spans="1:9" x14ac:dyDescent="0.2">
      <c r="A71" s="16"/>
      <c r="B71" s="16"/>
      <c r="C71" s="16"/>
      <c r="D71" s="49">
        <f t="shared" ref="D71" si="17">D70+F70</f>
        <v>220</v>
      </c>
      <c r="E71" s="12">
        <f t="shared" ref="E71" si="18">D71+F71-1</f>
        <v>220</v>
      </c>
      <c r="F71" s="13">
        <v>1</v>
      </c>
      <c r="G71" s="9" t="s">
        <v>592</v>
      </c>
      <c r="H71" s="150"/>
      <c r="I71" s="150"/>
    </row>
    <row r="72" spans="1:9" x14ac:dyDescent="0.2">
      <c r="A72" s="16" t="s">
        <v>414</v>
      </c>
      <c r="B72" s="16" t="s">
        <v>414</v>
      </c>
      <c r="C72" s="16"/>
      <c r="D72" s="49">
        <f>D71+F71</f>
        <v>221</v>
      </c>
      <c r="E72" s="12">
        <f t="shared" si="0"/>
        <v>221</v>
      </c>
      <c r="F72" s="13">
        <v>1</v>
      </c>
      <c r="G72" s="9" t="s">
        <v>223</v>
      </c>
      <c r="H72" s="150"/>
      <c r="I72" s="150"/>
    </row>
    <row r="73" spans="1:9" x14ac:dyDescent="0.2">
      <c r="A73" s="16" t="s">
        <v>414</v>
      </c>
      <c r="B73" s="16" t="s">
        <v>414</v>
      </c>
      <c r="C73" s="16"/>
      <c r="D73" s="49">
        <f t="shared" si="16"/>
        <v>222</v>
      </c>
      <c r="E73" s="12">
        <f t="shared" si="0"/>
        <v>222</v>
      </c>
      <c r="F73" s="13">
        <v>1</v>
      </c>
      <c r="G73" s="9" t="s">
        <v>224</v>
      </c>
      <c r="H73" s="150"/>
      <c r="I73" s="150"/>
    </row>
    <row r="74" spans="1:9" x14ac:dyDescent="0.2">
      <c r="A74" s="16" t="s">
        <v>414</v>
      </c>
      <c r="B74" s="16" t="s">
        <v>414</v>
      </c>
      <c r="C74" s="16"/>
      <c r="D74" s="49">
        <f t="shared" si="16"/>
        <v>223</v>
      </c>
      <c r="E74" s="12">
        <f t="shared" si="0"/>
        <v>223</v>
      </c>
      <c r="F74" s="13">
        <v>1</v>
      </c>
      <c r="G74" s="9" t="s">
        <v>225</v>
      </c>
      <c r="H74" s="150"/>
      <c r="I74" s="150"/>
    </row>
    <row r="75" spans="1:9" x14ac:dyDescent="0.2">
      <c r="A75" s="16" t="s">
        <v>414</v>
      </c>
      <c r="B75" s="16" t="s">
        <v>414</v>
      </c>
      <c r="C75" s="16"/>
      <c r="D75" s="49">
        <f t="shared" si="16"/>
        <v>224</v>
      </c>
      <c r="E75" s="12">
        <f t="shared" si="0"/>
        <v>224</v>
      </c>
      <c r="F75" s="13">
        <v>1</v>
      </c>
      <c r="G75" s="9" t="s">
        <v>226</v>
      </c>
      <c r="H75" s="150"/>
      <c r="I75" s="150"/>
    </row>
    <row r="76" spans="1:9" x14ac:dyDescent="0.2">
      <c r="A76" s="16" t="s">
        <v>414</v>
      </c>
      <c r="B76" s="16" t="s">
        <v>414</v>
      </c>
      <c r="C76" s="16"/>
      <c r="D76" s="49">
        <f t="shared" si="16"/>
        <v>225</v>
      </c>
      <c r="E76" s="12">
        <f t="shared" si="0"/>
        <v>225</v>
      </c>
      <c r="F76" s="13">
        <v>1</v>
      </c>
      <c r="G76" s="9" t="s">
        <v>227</v>
      </c>
      <c r="H76" s="150"/>
      <c r="I76" s="150"/>
    </row>
    <row r="77" spans="1:9" x14ac:dyDescent="0.2">
      <c r="A77" s="16" t="s">
        <v>414</v>
      </c>
      <c r="B77" s="16" t="s">
        <v>414</v>
      </c>
      <c r="C77" s="16"/>
      <c r="D77" s="49">
        <f t="shared" si="16"/>
        <v>226</v>
      </c>
      <c r="E77" s="12">
        <f t="shared" si="0"/>
        <v>226</v>
      </c>
      <c r="F77" s="13">
        <v>1</v>
      </c>
      <c r="G77" s="9" t="s">
        <v>228</v>
      </c>
      <c r="H77" s="150"/>
      <c r="I77" s="150"/>
    </row>
    <row r="78" spans="1:9" x14ac:dyDescent="0.2">
      <c r="A78" s="16" t="s">
        <v>414</v>
      </c>
      <c r="B78" s="16" t="s">
        <v>414</v>
      </c>
      <c r="C78" s="16"/>
      <c r="D78" s="49">
        <f t="shared" si="16"/>
        <v>227</v>
      </c>
      <c r="E78" s="12">
        <f t="shared" si="0"/>
        <v>227</v>
      </c>
      <c r="F78" s="13">
        <v>1</v>
      </c>
      <c r="G78" s="9" t="s">
        <v>229</v>
      </c>
      <c r="H78" s="150"/>
      <c r="I78" s="150"/>
    </row>
    <row r="79" spans="1:9" x14ac:dyDescent="0.2">
      <c r="A79" s="16" t="s">
        <v>414</v>
      </c>
      <c r="B79" s="16" t="s">
        <v>414</v>
      </c>
      <c r="C79" s="16"/>
      <c r="D79" s="49">
        <f t="shared" si="16"/>
        <v>228</v>
      </c>
      <c r="E79" s="12">
        <f t="shared" si="0"/>
        <v>228</v>
      </c>
      <c r="F79" s="13">
        <v>1</v>
      </c>
      <c r="G79" s="9" t="s">
        <v>230</v>
      </c>
      <c r="H79" s="150"/>
      <c r="I79" s="150"/>
    </row>
    <row r="80" spans="1:9" x14ac:dyDescent="0.2">
      <c r="A80" s="16" t="s">
        <v>414</v>
      </c>
      <c r="B80" s="16" t="s">
        <v>414</v>
      </c>
      <c r="C80" s="16"/>
      <c r="D80" s="49">
        <f t="shared" si="16"/>
        <v>229</v>
      </c>
      <c r="E80" s="12">
        <f t="shared" si="0"/>
        <v>229</v>
      </c>
      <c r="F80" s="13">
        <v>1</v>
      </c>
      <c r="G80" s="9" t="s">
        <v>152</v>
      </c>
      <c r="H80" s="150"/>
      <c r="I80" s="150"/>
    </row>
    <row r="81" spans="1:9" x14ac:dyDescent="0.2">
      <c r="A81" s="16"/>
      <c r="B81" s="16"/>
      <c r="C81" s="16"/>
      <c r="D81" s="49"/>
      <c r="E81" s="12"/>
      <c r="F81" s="13"/>
      <c r="G81" s="10" t="s">
        <v>521</v>
      </c>
      <c r="H81" s="70"/>
      <c r="I81" s="70"/>
    </row>
    <row r="82" spans="1:9" ht="12.75" customHeight="1" x14ac:dyDescent="0.2">
      <c r="A82" s="16" t="s">
        <v>414</v>
      </c>
      <c r="B82" s="16" t="s">
        <v>414</v>
      </c>
      <c r="C82" s="16"/>
      <c r="D82" s="49">
        <f>D80+F80</f>
        <v>230</v>
      </c>
      <c r="E82" s="12">
        <f t="shared" ref="E82:E94" si="19">D82+F82-1</f>
        <v>230</v>
      </c>
      <c r="F82" s="13">
        <v>1</v>
      </c>
      <c r="G82" s="9" t="s">
        <v>143</v>
      </c>
      <c r="H82" s="150" t="s">
        <v>559</v>
      </c>
      <c r="I82" s="148" t="s">
        <v>312</v>
      </c>
    </row>
    <row r="83" spans="1:9" x14ac:dyDescent="0.2">
      <c r="A83" s="16" t="s">
        <v>414</v>
      </c>
      <c r="B83" s="16" t="s">
        <v>414</v>
      </c>
      <c r="C83" s="16"/>
      <c r="D83" s="49">
        <f t="shared" ref="D83:D94" si="20">D82+F82</f>
        <v>231</v>
      </c>
      <c r="E83" s="12">
        <f t="shared" si="19"/>
        <v>231</v>
      </c>
      <c r="F83" s="13">
        <v>1</v>
      </c>
      <c r="G83" s="9" t="s">
        <v>522</v>
      </c>
      <c r="H83" s="150"/>
      <c r="I83" s="148"/>
    </row>
    <row r="84" spans="1:9" x14ac:dyDescent="0.2">
      <c r="A84" s="16" t="s">
        <v>414</v>
      </c>
      <c r="B84" s="16" t="s">
        <v>414</v>
      </c>
      <c r="C84" s="16"/>
      <c r="D84" s="49">
        <f t="shared" si="20"/>
        <v>232</v>
      </c>
      <c r="E84" s="12">
        <f t="shared" si="19"/>
        <v>232</v>
      </c>
      <c r="F84" s="13">
        <v>1</v>
      </c>
      <c r="G84" s="9" t="s">
        <v>146</v>
      </c>
      <c r="H84" s="150"/>
      <c r="I84" s="148"/>
    </row>
    <row r="85" spans="1:9" x14ac:dyDescent="0.2">
      <c r="A85" s="16" t="s">
        <v>414</v>
      </c>
      <c r="B85" s="16" t="s">
        <v>414</v>
      </c>
      <c r="C85" s="16"/>
      <c r="D85" s="49">
        <f t="shared" si="20"/>
        <v>233</v>
      </c>
      <c r="E85" s="12">
        <f t="shared" si="19"/>
        <v>233</v>
      </c>
      <c r="F85" s="13">
        <v>1</v>
      </c>
      <c r="G85" s="9" t="s">
        <v>147</v>
      </c>
      <c r="H85" s="150"/>
      <c r="I85" s="148"/>
    </row>
    <row r="86" spans="1:9" x14ac:dyDescent="0.2">
      <c r="A86" s="16" t="s">
        <v>414</v>
      </c>
      <c r="B86" s="16" t="s">
        <v>414</v>
      </c>
      <c r="C86" s="16"/>
      <c r="D86" s="49">
        <f t="shared" si="20"/>
        <v>234</v>
      </c>
      <c r="E86" s="12">
        <f t="shared" si="19"/>
        <v>234</v>
      </c>
      <c r="F86" s="13">
        <v>1</v>
      </c>
      <c r="G86" s="9" t="s">
        <v>51</v>
      </c>
      <c r="H86" s="150"/>
      <c r="I86" s="148"/>
    </row>
    <row r="87" spans="1:9" x14ac:dyDescent="0.2">
      <c r="A87" s="16" t="s">
        <v>414</v>
      </c>
      <c r="B87" s="16" t="s">
        <v>414</v>
      </c>
      <c r="C87" s="16"/>
      <c r="D87" s="49">
        <f t="shared" si="20"/>
        <v>235</v>
      </c>
      <c r="E87" s="12">
        <f t="shared" si="19"/>
        <v>235</v>
      </c>
      <c r="F87" s="13">
        <v>1</v>
      </c>
      <c r="G87" s="9" t="s">
        <v>49</v>
      </c>
      <c r="H87" s="150"/>
      <c r="I87" s="148"/>
    </row>
    <row r="88" spans="1:9" x14ac:dyDescent="0.2">
      <c r="A88" s="16" t="s">
        <v>414</v>
      </c>
      <c r="B88" s="16" t="s">
        <v>414</v>
      </c>
      <c r="C88" s="16"/>
      <c r="D88" s="49">
        <f t="shared" si="20"/>
        <v>236</v>
      </c>
      <c r="E88" s="12">
        <f t="shared" si="19"/>
        <v>236</v>
      </c>
      <c r="F88" s="13">
        <v>1</v>
      </c>
      <c r="G88" s="9" t="s">
        <v>50</v>
      </c>
      <c r="H88" s="150"/>
      <c r="I88" s="148"/>
    </row>
    <row r="89" spans="1:9" x14ac:dyDescent="0.2">
      <c r="A89" s="16" t="s">
        <v>414</v>
      </c>
      <c r="B89" s="16" t="s">
        <v>414</v>
      </c>
      <c r="C89" s="16"/>
      <c r="D89" s="49">
        <f t="shared" si="20"/>
        <v>237</v>
      </c>
      <c r="E89" s="12">
        <f t="shared" si="19"/>
        <v>237</v>
      </c>
      <c r="F89" s="13">
        <v>1</v>
      </c>
      <c r="G89" s="9" t="s">
        <v>149</v>
      </c>
      <c r="H89" s="150"/>
      <c r="I89" s="148"/>
    </row>
    <row r="90" spans="1:9" x14ac:dyDescent="0.2">
      <c r="A90" s="16" t="s">
        <v>414</v>
      </c>
      <c r="B90" s="16" t="s">
        <v>414</v>
      </c>
      <c r="C90" s="16"/>
      <c r="D90" s="49">
        <f t="shared" si="20"/>
        <v>238</v>
      </c>
      <c r="E90" s="12">
        <f t="shared" si="19"/>
        <v>238</v>
      </c>
      <c r="F90" s="13">
        <v>1</v>
      </c>
      <c r="G90" s="105" t="s">
        <v>699</v>
      </c>
      <c r="H90" s="150"/>
      <c r="I90" s="148"/>
    </row>
    <row r="91" spans="1:9" x14ac:dyDescent="0.2">
      <c r="A91" s="16" t="s">
        <v>414</v>
      </c>
      <c r="B91" s="16" t="s">
        <v>414</v>
      </c>
      <c r="C91" s="16"/>
      <c r="D91" s="49">
        <f t="shared" si="20"/>
        <v>239</v>
      </c>
      <c r="E91" s="12">
        <f t="shared" si="19"/>
        <v>239</v>
      </c>
      <c r="F91" s="13">
        <v>1</v>
      </c>
      <c r="G91" s="9" t="s">
        <v>523</v>
      </c>
      <c r="H91" s="150"/>
      <c r="I91" s="148"/>
    </row>
    <row r="92" spans="1:9" x14ac:dyDescent="0.2">
      <c r="A92" s="16" t="s">
        <v>414</v>
      </c>
      <c r="B92" s="16" t="s">
        <v>414</v>
      </c>
      <c r="C92" s="16"/>
      <c r="D92" s="49">
        <f t="shared" si="20"/>
        <v>240</v>
      </c>
      <c r="E92" s="12">
        <f t="shared" si="19"/>
        <v>240</v>
      </c>
      <c r="F92" s="13">
        <v>1</v>
      </c>
      <c r="G92" s="106" t="s">
        <v>700</v>
      </c>
      <c r="H92" s="150"/>
      <c r="I92" s="148"/>
    </row>
    <row r="93" spans="1:9" x14ac:dyDescent="0.2">
      <c r="A93" s="16" t="s">
        <v>414</v>
      </c>
      <c r="B93" s="16" t="s">
        <v>414</v>
      </c>
      <c r="C93" s="16"/>
      <c r="D93" s="49">
        <f t="shared" si="20"/>
        <v>241</v>
      </c>
      <c r="E93" s="12">
        <f t="shared" si="19"/>
        <v>241</v>
      </c>
      <c r="F93" s="13">
        <v>1</v>
      </c>
      <c r="G93" s="9" t="s">
        <v>48</v>
      </c>
      <c r="H93" s="150"/>
      <c r="I93" s="148"/>
    </row>
    <row r="94" spans="1:9" x14ac:dyDescent="0.2">
      <c r="A94" s="16" t="s">
        <v>414</v>
      </c>
      <c r="B94" s="16" t="s">
        <v>414</v>
      </c>
      <c r="C94" s="16"/>
      <c r="D94" s="49">
        <f t="shared" si="20"/>
        <v>242</v>
      </c>
      <c r="E94" s="12">
        <f t="shared" si="19"/>
        <v>242</v>
      </c>
      <c r="F94" s="13">
        <v>1</v>
      </c>
      <c r="G94" s="9" t="s">
        <v>46</v>
      </c>
      <c r="H94" s="150"/>
      <c r="I94" s="148"/>
    </row>
    <row r="95" spans="1:9" x14ac:dyDescent="0.2">
      <c r="A95" s="104" t="s">
        <v>414</v>
      </c>
      <c r="B95" s="104" t="s">
        <v>414</v>
      </c>
      <c r="C95" s="104"/>
      <c r="D95" s="103">
        <f t="shared" ref="D95:D96" si="21">D94+F94</f>
        <v>243</v>
      </c>
      <c r="E95" s="98">
        <f t="shared" ref="E95:E96" si="22">D95+F95-1</f>
        <v>243</v>
      </c>
      <c r="F95" s="99">
        <v>1</v>
      </c>
      <c r="G95" s="105" t="s">
        <v>701</v>
      </c>
      <c r="H95" s="150"/>
      <c r="I95" s="148"/>
    </row>
    <row r="96" spans="1:9" x14ac:dyDescent="0.2">
      <c r="A96" s="104" t="s">
        <v>414</v>
      </c>
      <c r="B96" s="104" t="s">
        <v>414</v>
      </c>
      <c r="C96" s="104"/>
      <c r="D96" s="103">
        <f t="shared" si="21"/>
        <v>244</v>
      </c>
      <c r="E96" s="98">
        <f t="shared" si="22"/>
        <v>244</v>
      </c>
      <c r="F96" s="99">
        <v>1</v>
      </c>
      <c r="G96" s="105" t="s">
        <v>702</v>
      </c>
      <c r="H96" s="150"/>
      <c r="I96" s="148"/>
    </row>
    <row r="97" spans="1:9" x14ac:dyDescent="0.2">
      <c r="A97" s="16"/>
      <c r="B97" s="16"/>
      <c r="C97" s="16"/>
      <c r="D97" s="49"/>
      <c r="E97" s="49"/>
      <c r="F97" s="49"/>
      <c r="G97" s="59" t="s">
        <v>45</v>
      </c>
      <c r="H97" s="5"/>
      <c r="I97" s="6"/>
    </row>
    <row r="98" spans="1:9" ht="15" customHeight="1" x14ac:dyDescent="0.2">
      <c r="A98" s="16" t="s">
        <v>413</v>
      </c>
      <c r="B98" s="16" t="s">
        <v>413</v>
      </c>
      <c r="C98" s="16" t="s">
        <v>421</v>
      </c>
      <c r="D98" s="103">
        <f>D96+F96</f>
        <v>245</v>
      </c>
      <c r="E98" s="98">
        <f t="shared" si="0"/>
        <v>245</v>
      </c>
      <c r="F98" s="13">
        <v>1</v>
      </c>
      <c r="G98" s="9" t="s">
        <v>46</v>
      </c>
      <c r="H98" s="148" t="s">
        <v>315</v>
      </c>
      <c r="I98" s="147" t="s">
        <v>314</v>
      </c>
    </row>
    <row r="99" spans="1:9" x14ac:dyDescent="0.2">
      <c r="A99" s="16" t="s">
        <v>413</v>
      </c>
      <c r="B99" s="16" t="s">
        <v>413</v>
      </c>
      <c r="C99" s="16" t="s">
        <v>421</v>
      </c>
      <c r="D99" s="103">
        <f t="shared" ref="D99" si="23">D98+F98</f>
        <v>246</v>
      </c>
      <c r="E99" s="98">
        <f t="shared" si="0"/>
        <v>246</v>
      </c>
      <c r="F99" s="13">
        <v>1</v>
      </c>
      <c r="G99" s="9" t="s">
        <v>47</v>
      </c>
      <c r="H99" s="148"/>
      <c r="I99" s="147"/>
    </row>
    <row r="100" spans="1:9" x14ac:dyDescent="0.2">
      <c r="A100" s="16" t="s">
        <v>413</v>
      </c>
      <c r="B100" s="16" t="s">
        <v>413</v>
      </c>
      <c r="C100" s="16" t="s">
        <v>421</v>
      </c>
      <c r="D100" s="103">
        <f t="shared" ref="D100:D105" si="24">D99+F99</f>
        <v>247</v>
      </c>
      <c r="E100" s="98">
        <f t="shared" si="0"/>
        <v>247</v>
      </c>
      <c r="F100" s="13">
        <v>1</v>
      </c>
      <c r="G100" s="9" t="s">
        <v>48</v>
      </c>
      <c r="H100" s="148"/>
      <c r="I100" s="147"/>
    </row>
    <row r="101" spans="1:9" x14ac:dyDescent="0.2">
      <c r="A101" s="16" t="s">
        <v>413</v>
      </c>
      <c r="B101" s="16" t="s">
        <v>413</v>
      </c>
      <c r="C101" s="16" t="s">
        <v>421</v>
      </c>
      <c r="D101" s="103">
        <f t="shared" si="24"/>
        <v>248</v>
      </c>
      <c r="E101" s="98">
        <f t="shared" ref="E101:E105" si="25">D101+F101-1</f>
        <v>248</v>
      </c>
      <c r="F101" s="13">
        <v>1</v>
      </c>
      <c r="G101" s="9" t="s">
        <v>49</v>
      </c>
      <c r="H101" s="148"/>
      <c r="I101" s="147"/>
    </row>
    <row r="102" spans="1:9" x14ac:dyDescent="0.2">
      <c r="A102" s="16" t="s">
        <v>413</v>
      </c>
      <c r="B102" s="16" t="s">
        <v>413</v>
      </c>
      <c r="C102" s="16" t="s">
        <v>421</v>
      </c>
      <c r="D102" s="103">
        <f t="shared" si="24"/>
        <v>249</v>
      </c>
      <c r="E102" s="98">
        <f t="shared" si="25"/>
        <v>249</v>
      </c>
      <c r="F102" s="13">
        <v>1</v>
      </c>
      <c r="G102" s="9" t="s">
        <v>50</v>
      </c>
      <c r="H102" s="148"/>
      <c r="I102" s="147"/>
    </row>
    <row r="103" spans="1:9" x14ac:dyDescent="0.2">
      <c r="A103" s="16" t="s">
        <v>413</v>
      </c>
      <c r="B103" s="16" t="s">
        <v>413</v>
      </c>
      <c r="C103" s="16" t="s">
        <v>421</v>
      </c>
      <c r="D103" s="103">
        <f t="shared" si="24"/>
        <v>250</v>
      </c>
      <c r="E103" s="98">
        <f t="shared" si="25"/>
        <v>250</v>
      </c>
      <c r="F103" s="13">
        <v>1</v>
      </c>
      <c r="G103" s="9" t="s">
        <v>51</v>
      </c>
      <c r="H103" s="148"/>
      <c r="I103" s="147"/>
    </row>
    <row r="104" spans="1:9" x14ac:dyDescent="0.2">
      <c r="A104" s="16" t="s">
        <v>413</v>
      </c>
      <c r="B104" s="16" t="s">
        <v>413</v>
      </c>
      <c r="C104" s="16" t="s">
        <v>421</v>
      </c>
      <c r="D104" s="103">
        <f t="shared" si="24"/>
        <v>251</v>
      </c>
      <c r="E104" s="98">
        <f t="shared" si="25"/>
        <v>251</v>
      </c>
      <c r="F104" s="13">
        <v>1</v>
      </c>
      <c r="G104" s="9" t="s">
        <v>52</v>
      </c>
      <c r="H104" s="148"/>
      <c r="I104" s="147"/>
    </row>
    <row r="105" spans="1:9" x14ac:dyDescent="0.2">
      <c r="A105" s="16" t="s">
        <v>413</v>
      </c>
      <c r="B105" s="16" t="s">
        <v>413</v>
      </c>
      <c r="C105" s="16" t="s">
        <v>421</v>
      </c>
      <c r="D105" s="103">
        <f t="shared" si="24"/>
        <v>252</v>
      </c>
      <c r="E105" s="98">
        <f t="shared" si="25"/>
        <v>252</v>
      </c>
      <c r="F105" s="13">
        <v>1</v>
      </c>
      <c r="G105" s="105" t="s">
        <v>714</v>
      </c>
      <c r="H105" s="148"/>
      <c r="I105" s="147"/>
    </row>
    <row r="106" spans="1:9" x14ac:dyDescent="0.2">
      <c r="A106" s="104" t="s">
        <v>413</v>
      </c>
      <c r="B106" s="104" t="s">
        <v>413</v>
      </c>
      <c r="C106" s="104" t="s">
        <v>421</v>
      </c>
      <c r="D106" s="103">
        <f t="shared" ref="D106:D107" si="26">D105+F105</f>
        <v>253</v>
      </c>
      <c r="E106" s="98">
        <f t="shared" ref="E106:E107" si="27">D106+F106-1</f>
        <v>253</v>
      </c>
      <c r="F106" s="99">
        <v>1</v>
      </c>
      <c r="G106" s="105" t="s">
        <v>712</v>
      </c>
      <c r="H106" s="148"/>
      <c r="I106" s="147"/>
    </row>
    <row r="107" spans="1:9" x14ac:dyDescent="0.2">
      <c r="A107" s="104" t="s">
        <v>413</v>
      </c>
      <c r="B107" s="104" t="s">
        <v>413</v>
      </c>
      <c r="C107" s="104" t="s">
        <v>421</v>
      </c>
      <c r="D107" s="103">
        <f t="shared" si="26"/>
        <v>254</v>
      </c>
      <c r="E107" s="98">
        <f t="shared" si="27"/>
        <v>254</v>
      </c>
      <c r="F107" s="99">
        <v>1</v>
      </c>
      <c r="G107" s="105" t="s">
        <v>713</v>
      </c>
      <c r="H107" s="148"/>
      <c r="I107" s="147"/>
    </row>
    <row r="108" spans="1:9" x14ac:dyDescent="0.2">
      <c r="A108" s="16"/>
      <c r="B108" s="16"/>
      <c r="C108" s="16"/>
      <c r="D108" s="49"/>
      <c r="E108" s="12"/>
      <c r="F108" s="108">
        <v>2</v>
      </c>
      <c r="G108" s="107" t="s">
        <v>94</v>
      </c>
      <c r="H108" s="72"/>
      <c r="I108" s="6"/>
    </row>
    <row r="109" spans="1:9" ht="15" customHeight="1" x14ac:dyDescent="0.2">
      <c r="A109" s="16"/>
      <c r="B109" s="16"/>
      <c r="C109" s="16"/>
      <c r="D109" s="49"/>
      <c r="E109" s="49"/>
      <c r="F109" s="49"/>
      <c r="G109" s="59" t="s">
        <v>53</v>
      </c>
      <c r="H109" s="5"/>
      <c r="I109" s="6"/>
    </row>
    <row r="110" spans="1:9" ht="38.25" x14ac:dyDescent="0.2">
      <c r="A110" s="16" t="s">
        <v>414</v>
      </c>
      <c r="B110" s="16" t="s">
        <v>414</v>
      </c>
      <c r="C110" s="16"/>
      <c r="D110" s="103">
        <f>D107+F107</f>
        <v>255</v>
      </c>
      <c r="E110" s="98">
        <f t="shared" ref="E110:E117" si="28">D110+F110-1</f>
        <v>255</v>
      </c>
      <c r="F110" s="13">
        <v>1</v>
      </c>
      <c r="G110" s="9" t="s">
        <v>54</v>
      </c>
      <c r="H110" s="72" t="s">
        <v>315</v>
      </c>
      <c r="I110" s="6" t="s">
        <v>314</v>
      </c>
    </row>
    <row r="111" spans="1:9" x14ac:dyDescent="0.2">
      <c r="A111" s="16" t="s">
        <v>413</v>
      </c>
      <c r="B111" s="16" t="s">
        <v>413</v>
      </c>
      <c r="C111" s="16" t="s">
        <v>421</v>
      </c>
      <c r="D111" s="103">
        <f>D110+F110</f>
        <v>256</v>
      </c>
      <c r="E111" s="98">
        <f t="shared" si="28"/>
        <v>256</v>
      </c>
      <c r="F111" s="13">
        <v>1</v>
      </c>
      <c r="G111" s="9" t="s">
        <v>46</v>
      </c>
      <c r="H111" s="148" t="s">
        <v>315</v>
      </c>
      <c r="I111" s="147" t="s">
        <v>314</v>
      </c>
    </row>
    <row r="112" spans="1:9" x14ac:dyDescent="0.2">
      <c r="A112" s="16" t="s">
        <v>413</v>
      </c>
      <c r="B112" s="16" t="s">
        <v>413</v>
      </c>
      <c r="C112" s="16" t="s">
        <v>421</v>
      </c>
      <c r="D112" s="103">
        <f t="shared" ref="D112:D117" si="29">D111+F111</f>
        <v>257</v>
      </c>
      <c r="E112" s="98">
        <f t="shared" si="28"/>
        <v>257</v>
      </c>
      <c r="F112" s="13">
        <v>1</v>
      </c>
      <c r="G112" s="9" t="s">
        <v>50</v>
      </c>
      <c r="H112" s="148"/>
      <c r="I112" s="147"/>
    </row>
    <row r="113" spans="1:9" x14ac:dyDescent="0.2">
      <c r="A113" s="16" t="s">
        <v>413</v>
      </c>
      <c r="B113" s="16" t="s">
        <v>413</v>
      </c>
      <c r="C113" s="16" t="s">
        <v>421</v>
      </c>
      <c r="D113" s="103">
        <f t="shared" si="29"/>
        <v>258</v>
      </c>
      <c r="E113" s="98">
        <f t="shared" si="28"/>
        <v>258</v>
      </c>
      <c r="F113" s="13">
        <v>1</v>
      </c>
      <c r="G113" s="9" t="s">
        <v>52</v>
      </c>
      <c r="H113" s="148"/>
      <c r="I113" s="147"/>
    </row>
    <row r="114" spans="1:9" x14ac:dyDescent="0.2">
      <c r="A114" s="16" t="s">
        <v>413</v>
      </c>
      <c r="B114" s="16" t="s">
        <v>413</v>
      </c>
      <c r="C114" s="16" t="s">
        <v>421</v>
      </c>
      <c r="D114" s="103">
        <f t="shared" si="29"/>
        <v>259</v>
      </c>
      <c r="E114" s="98">
        <f t="shared" si="28"/>
        <v>259</v>
      </c>
      <c r="F114" s="13">
        <v>1</v>
      </c>
      <c r="G114" s="9" t="s">
        <v>55</v>
      </c>
      <c r="H114" s="148"/>
      <c r="I114" s="147"/>
    </row>
    <row r="115" spans="1:9" x14ac:dyDescent="0.2">
      <c r="A115" s="104" t="s">
        <v>413</v>
      </c>
      <c r="B115" s="104" t="s">
        <v>413</v>
      </c>
      <c r="C115" s="104" t="s">
        <v>421</v>
      </c>
      <c r="D115" s="103">
        <f t="shared" ref="D115" si="30">D114+F114</f>
        <v>260</v>
      </c>
      <c r="E115" s="98">
        <f t="shared" ref="E115" si="31">D115+F115-1</f>
        <v>260</v>
      </c>
      <c r="F115" s="99">
        <v>1</v>
      </c>
      <c r="G115" s="105" t="s">
        <v>153</v>
      </c>
      <c r="H115" s="148"/>
      <c r="I115" s="147"/>
    </row>
    <row r="116" spans="1:9" x14ac:dyDescent="0.2">
      <c r="A116" s="16" t="s">
        <v>413</v>
      </c>
      <c r="B116" s="16" t="s">
        <v>413</v>
      </c>
      <c r="C116" s="16" t="s">
        <v>421</v>
      </c>
      <c r="D116" s="103">
        <f>D115+F115</f>
        <v>261</v>
      </c>
      <c r="E116" s="98">
        <f t="shared" si="28"/>
        <v>261</v>
      </c>
      <c r="F116" s="13">
        <v>1</v>
      </c>
      <c r="G116" s="105" t="s">
        <v>715</v>
      </c>
      <c r="H116" s="148"/>
      <c r="I116" s="147"/>
    </row>
    <row r="117" spans="1:9" x14ac:dyDescent="0.2">
      <c r="A117" s="16"/>
      <c r="B117" s="16"/>
      <c r="C117" s="16"/>
      <c r="D117" s="103">
        <f t="shared" si="29"/>
        <v>262</v>
      </c>
      <c r="E117" s="98">
        <f t="shared" si="28"/>
        <v>263</v>
      </c>
      <c r="F117" s="99">
        <v>2</v>
      </c>
      <c r="G117" s="9" t="s">
        <v>94</v>
      </c>
      <c r="H117" s="72"/>
      <c r="I117" s="6"/>
    </row>
    <row r="118" spans="1:9" x14ac:dyDescent="0.2">
      <c r="A118" s="16"/>
      <c r="B118" s="16"/>
      <c r="C118" s="16"/>
      <c r="D118" s="49"/>
      <c r="E118" s="49"/>
      <c r="F118" s="49"/>
      <c r="G118" s="59" t="s">
        <v>56</v>
      </c>
      <c r="H118" s="5"/>
      <c r="I118" s="6"/>
    </row>
    <row r="119" spans="1:9" ht="38.25" x14ac:dyDescent="0.2">
      <c r="A119" s="16" t="s">
        <v>414</v>
      </c>
      <c r="B119" s="16" t="s">
        <v>414</v>
      </c>
      <c r="C119" s="16"/>
      <c r="D119" s="49">
        <f>D117+F117</f>
        <v>264</v>
      </c>
      <c r="E119" s="12">
        <f t="shared" ref="E119:E130" si="32">D119+F119-1</f>
        <v>264</v>
      </c>
      <c r="F119" s="13">
        <v>1</v>
      </c>
      <c r="G119" s="9" t="s">
        <v>57</v>
      </c>
      <c r="H119" s="72" t="s">
        <v>315</v>
      </c>
      <c r="I119" s="6" t="s">
        <v>314</v>
      </c>
    </row>
    <row r="120" spans="1:9" ht="12.75" customHeight="1" x14ac:dyDescent="0.2">
      <c r="A120" s="16" t="s">
        <v>413</v>
      </c>
      <c r="B120" s="16" t="s">
        <v>413</v>
      </c>
      <c r="C120" s="16" t="s">
        <v>421</v>
      </c>
      <c r="D120" s="49">
        <f t="shared" ref="D120" si="33">D119+F119</f>
        <v>265</v>
      </c>
      <c r="E120" s="12">
        <f t="shared" si="32"/>
        <v>265</v>
      </c>
      <c r="F120" s="13">
        <v>1</v>
      </c>
      <c r="G120" s="9" t="s">
        <v>46</v>
      </c>
      <c r="H120" s="147" t="s">
        <v>315</v>
      </c>
      <c r="I120" s="147" t="s">
        <v>314</v>
      </c>
    </row>
    <row r="121" spans="1:9" x14ac:dyDescent="0.2">
      <c r="A121" s="109" t="s">
        <v>413</v>
      </c>
      <c r="B121" s="109" t="s">
        <v>413</v>
      </c>
      <c r="C121" s="109" t="s">
        <v>421</v>
      </c>
      <c r="D121" s="103"/>
      <c r="E121" s="98"/>
      <c r="F121" s="108">
        <v>1</v>
      </c>
      <c r="G121" s="107" t="s">
        <v>47</v>
      </c>
      <c r="H121" s="147"/>
      <c r="I121" s="147"/>
    </row>
    <row r="122" spans="1:9" x14ac:dyDescent="0.2">
      <c r="A122" s="16" t="s">
        <v>413</v>
      </c>
      <c r="B122" s="16" t="s">
        <v>413</v>
      </c>
      <c r="C122" s="16" t="s">
        <v>421</v>
      </c>
      <c r="D122" s="103">
        <f>D120+F120</f>
        <v>266</v>
      </c>
      <c r="E122" s="98">
        <f t="shared" si="32"/>
        <v>266</v>
      </c>
      <c r="F122" s="13">
        <v>1</v>
      </c>
      <c r="G122" s="9" t="s">
        <v>48</v>
      </c>
      <c r="H122" s="147"/>
      <c r="I122" s="147"/>
    </row>
    <row r="123" spans="1:9" x14ac:dyDescent="0.2">
      <c r="A123" s="16" t="s">
        <v>413</v>
      </c>
      <c r="B123" s="16" t="s">
        <v>413</v>
      </c>
      <c r="C123" s="16" t="s">
        <v>421</v>
      </c>
      <c r="D123" s="103">
        <f t="shared" ref="D123:D127" si="34">D122+F122</f>
        <v>267</v>
      </c>
      <c r="E123" s="98">
        <f t="shared" si="32"/>
        <v>267</v>
      </c>
      <c r="F123" s="13">
        <v>1</v>
      </c>
      <c r="G123" s="9" t="s">
        <v>49</v>
      </c>
      <c r="H123" s="147"/>
      <c r="I123" s="147"/>
    </row>
    <row r="124" spans="1:9" x14ac:dyDescent="0.2">
      <c r="A124" s="16" t="s">
        <v>413</v>
      </c>
      <c r="B124" s="16" t="s">
        <v>413</v>
      </c>
      <c r="C124" s="16" t="s">
        <v>421</v>
      </c>
      <c r="D124" s="103">
        <f t="shared" si="34"/>
        <v>268</v>
      </c>
      <c r="E124" s="98">
        <f t="shared" si="32"/>
        <v>268</v>
      </c>
      <c r="F124" s="13">
        <v>1</v>
      </c>
      <c r="G124" s="9" t="s">
        <v>50</v>
      </c>
      <c r="H124" s="147"/>
      <c r="I124" s="147"/>
    </row>
    <row r="125" spans="1:9" x14ac:dyDescent="0.2">
      <c r="A125" s="16" t="s">
        <v>413</v>
      </c>
      <c r="B125" s="16" t="s">
        <v>413</v>
      </c>
      <c r="C125" s="16" t="s">
        <v>421</v>
      </c>
      <c r="D125" s="103">
        <f t="shared" si="34"/>
        <v>269</v>
      </c>
      <c r="E125" s="98">
        <f t="shared" si="32"/>
        <v>269</v>
      </c>
      <c r="F125" s="13">
        <v>1</v>
      </c>
      <c r="G125" s="9" t="s">
        <v>51</v>
      </c>
      <c r="H125" s="147"/>
      <c r="I125" s="147"/>
    </row>
    <row r="126" spans="1:9" x14ac:dyDescent="0.2">
      <c r="A126" s="16" t="s">
        <v>413</v>
      </c>
      <c r="B126" s="16" t="s">
        <v>413</v>
      </c>
      <c r="C126" s="16" t="s">
        <v>421</v>
      </c>
      <c r="D126" s="103">
        <f t="shared" si="34"/>
        <v>270</v>
      </c>
      <c r="E126" s="98">
        <f t="shared" si="32"/>
        <v>270</v>
      </c>
      <c r="F126" s="13">
        <v>1</v>
      </c>
      <c r="G126" s="9" t="s">
        <v>52</v>
      </c>
      <c r="H126" s="147"/>
      <c r="I126" s="147"/>
    </row>
    <row r="127" spans="1:9" x14ac:dyDescent="0.2">
      <c r="A127" s="16" t="s">
        <v>413</v>
      </c>
      <c r="B127" s="16" t="s">
        <v>413</v>
      </c>
      <c r="C127" s="16" t="s">
        <v>421</v>
      </c>
      <c r="D127" s="103">
        <f t="shared" si="34"/>
        <v>271</v>
      </c>
      <c r="E127" s="98">
        <f t="shared" si="32"/>
        <v>271</v>
      </c>
      <c r="F127" s="13">
        <v>1</v>
      </c>
      <c r="G127" s="105" t="s">
        <v>714</v>
      </c>
      <c r="H127" s="147"/>
      <c r="I127" s="147"/>
    </row>
    <row r="128" spans="1:9" x14ac:dyDescent="0.2">
      <c r="A128" s="104" t="s">
        <v>413</v>
      </c>
      <c r="B128" s="104" t="s">
        <v>413</v>
      </c>
      <c r="C128" s="104" t="s">
        <v>421</v>
      </c>
      <c r="D128" s="103">
        <f t="shared" ref="D128:D129" si="35">D127+F127</f>
        <v>272</v>
      </c>
      <c r="E128" s="98">
        <f t="shared" ref="E128:E129" si="36">D128+F128-1</f>
        <v>272</v>
      </c>
      <c r="F128" s="99">
        <v>1</v>
      </c>
      <c r="G128" s="105" t="s">
        <v>712</v>
      </c>
      <c r="H128" s="147"/>
      <c r="I128" s="147"/>
    </row>
    <row r="129" spans="1:9" x14ac:dyDescent="0.2">
      <c r="A129" s="104" t="s">
        <v>413</v>
      </c>
      <c r="B129" s="104" t="s">
        <v>413</v>
      </c>
      <c r="C129" s="104" t="s">
        <v>421</v>
      </c>
      <c r="D129" s="103">
        <f t="shared" si="35"/>
        <v>273</v>
      </c>
      <c r="E129" s="98">
        <f t="shared" si="36"/>
        <v>273</v>
      </c>
      <c r="F129" s="99">
        <v>1</v>
      </c>
      <c r="G129" s="105" t="s">
        <v>713</v>
      </c>
      <c r="H129" s="147"/>
      <c r="I129" s="147"/>
    </row>
    <row r="130" spans="1:9" x14ac:dyDescent="0.2">
      <c r="A130" s="16"/>
      <c r="B130" s="16"/>
      <c r="C130" s="16"/>
      <c r="D130" s="103">
        <f>D129+F129</f>
        <v>274</v>
      </c>
      <c r="E130" s="98">
        <f t="shared" si="32"/>
        <v>277</v>
      </c>
      <c r="F130" s="99">
        <v>4</v>
      </c>
      <c r="G130" s="9" t="s">
        <v>94</v>
      </c>
      <c r="H130" s="5"/>
      <c r="I130" s="6"/>
    </row>
    <row r="131" spans="1:9" x14ac:dyDescent="0.2">
      <c r="G131" s="10" t="s">
        <v>58</v>
      </c>
    </row>
    <row r="132" spans="1:9" ht="38.25" x14ac:dyDescent="0.2">
      <c r="A132" s="17" t="s">
        <v>413</v>
      </c>
      <c r="B132" s="17" t="s">
        <v>413</v>
      </c>
      <c r="C132" s="17" t="s">
        <v>421</v>
      </c>
      <c r="D132" s="14">
        <f>D130+F130</f>
        <v>278</v>
      </c>
      <c r="E132" s="12">
        <f t="shared" ref="E132:E133" si="37">D132+F132-1</f>
        <v>278</v>
      </c>
      <c r="F132" s="13">
        <v>1</v>
      </c>
      <c r="G132" s="9" t="s">
        <v>52</v>
      </c>
      <c r="H132" s="3" t="s">
        <v>315</v>
      </c>
      <c r="I132" s="3" t="s">
        <v>314</v>
      </c>
    </row>
    <row r="133" spans="1:9" x14ac:dyDescent="0.2">
      <c r="D133" s="52">
        <f>D132+F132</f>
        <v>279</v>
      </c>
      <c r="E133" s="12">
        <f t="shared" si="37"/>
        <v>283</v>
      </c>
      <c r="F133" s="13">
        <v>5</v>
      </c>
      <c r="G133" s="9" t="s">
        <v>94</v>
      </c>
    </row>
    <row r="134" spans="1:9" x14ac:dyDescent="0.2">
      <c r="G134" s="10" t="s">
        <v>142</v>
      </c>
    </row>
    <row r="135" spans="1:9" ht="12.75" customHeight="1" x14ac:dyDescent="0.2">
      <c r="A135" s="16" t="s">
        <v>413</v>
      </c>
      <c r="B135" s="16" t="s">
        <v>413</v>
      </c>
      <c r="C135" s="16" t="s">
        <v>421</v>
      </c>
      <c r="D135" s="49">
        <f>D133+F133</f>
        <v>284</v>
      </c>
      <c r="E135" s="12">
        <f t="shared" ref="E135:E146" si="38">D135+F135-1</f>
        <v>284</v>
      </c>
      <c r="F135" s="13">
        <v>1</v>
      </c>
      <c r="G135" s="9" t="s">
        <v>143</v>
      </c>
      <c r="H135" s="147" t="s">
        <v>320</v>
      </c>
      <c r="I135" s="160" t="s">
        <v>321</v>
      </c>
    </row>
    <row r="136" spans="1:9" x14ac:dyDescent="0.2">
      <c r="A136" s="16" t="s">
        <v>413</v>
      </c>
      <c r="B136" s="16" t="s">
        <v>413</v>
      </c>
      <c r="C136" s="16" t="s">
        <v>421</v>
      </c>
      <c r="D136" s="49">
        <f t="shared" ref="D136" si="39">D135+F135</f>
        <v>285</v>
      </c>
      <c r="E136" s="12">
        <f t="shared" si="38"/>
        <v>285</v>
      </c>
      <c r="F136" s="13">
        <v>1</v>
      </c>
      <c r="G136" s="9" t="s">
        <v>145</v>
      </c>
      <c r="H136" s="147"/>
      <c r="I136" s="160"/>
    </row>
    <row r="137" spans="1:9" x14ac:dyDescent="0.2">
      <c r="A137" s="16" t="s">
        <v>413</v>
      </c>
      <c r="B137" s="16" t="s">
        <v>413</v>
      </c>
      <c r="C137" s="16" t="s">
        <v>421</v>
      </c>
      <c r="D137" s="49">
        <f t="shared" ref="D137:D142" si="40">D136+F136</f>
        <v>286</v>
      </c>
      <c r="E137" s="12">
        <f t="shared" si="38"/>
        <v>286</v>
      </c>
      <c r="F137" s="13">
        <v>1</v>
      </c>
      <c r="G137" s="9" t="s">
        <v>146</v>
      </c>
      <c r="H137" s="147"/>
      <c r="I137" s="160"/>
    </row>
    <row r="138" spans="1:9" x14ac:dyDescent="0.2">
      <c r="A138" s="16" t="s">
        <v>413</v>
      </c>
      <c r="B138" s="16" t="s">
        <v>413</v>
      </c>
      <c r="C138" s="16" t="s">
        <v>421</v>
      </c>
      <c r="D138" s="49">
        <f t="shared" si="40"/>
        <v>287</v>
      </c>
      <c r="E138" s="12">
        <f t="shared" si="38"/>
        <v>287</v>
      </c>
      <c r="F138" s="13">
        <v>1</v>
      </c>
      <c r="G138" s="9" t="s">
        <v>147</v>
      </c>
      <c r="H138" s="147"/>
      <c r="I138" s="160"/>
    </row>
    <row r="139" spans="1:9" x14ac:dyDescent="0.2">
      <c r="A139" s="16" t="s">
        <v>413</v>
      </c>
      <c r="B139" s="16" t="s">
        <v>413</v>
      </c>
      <c r="C139" s="16" t="s">
        <v>421</v>
      </c>
      <c r="D139" s="49">
        <f t="shared" si="40"/>
        <v>288</v>
      </c>
      <c r="E139" s="12">
        <f t="shared" si="38"/>
        <v>288</v>
      </c>
      <c r="F139" s="13">
        <v>1</v>
      </c>
      <c r="G139" s="9" t="s">
        <v>51</v>
      </c>
      <c r="H139" s="147"/>
      <c r="I139" s="160"/>
    </row>
    <row r="140" spans="1:9" x14ac:dyDescent="0.2">
      <c r="A140" s="16" t="s">
        <v>413</v>
      </c>
      <c r="B140" s="16" t="s">
        <v>413</v>
      </c>
      <c r="C140" s="16" t="s">
        <v>421</v>
      </c>
      <c r="D140" s="49">
        <f t="shared" si="40"/>
        <v>289</v>
      </c>
      <c r="E140" s="12">
        <f t="shared" si="38"/>
        <v>289</v>
      </c>
      <c r="F140" s="13">
        <v>1</v>
      </c>
      <c r="G140" s="9" t="s">
        <v>49</v>
      </c>
      <c r="H140" s="147"/>
      <c r="I140" s="160"/>
    </row>
    <row r="141" spans="1:9" x14ac:dyDescent="0.2">
      <c r="A141" s="16" t="s">
        <v>413</v>
      </c>
      <c r="B141" s="16" t="s">
        <v>413</v>
      </c>
      <c r="C141" s="16" t="s">
        <v>421</v>
      </c>
      <c r="D141" s="49">
        <f t="shared" si="40"/>
        <v>290</v>
      </c>
      <c r="E141" s="12">
        <f t="shared" si="38"/>
        <v>290</v>
      </c>
      <c r="F141" s="13">
        <v>1</v>
      </c>
      <c r="G141" s="9" t="s">
        <v>50</v>
      </c>
      <c r="H141" s="147"/>
      <c r="I141" s="160"/>
    </row>
    <row r="142" spans="1:9" x14ac:dyDescent="0.2">
      <c r="A142" s="16" t="s">
        <v>413</v>
      </c>
      <c r="B142" s="16" t="s">
        <v>413</v>
      </c>
      <c r="C142" s="16" t="s">
        <v>421</v>
      </c>
      <c r="D142" s="49">
        <f t="shared" si="40"/>
        <v>291</v>
      </c>
      <c r="E142" s="12">
        <f t="shared" si="38"/>
        <v>291</v>
      </c>
      <c r="F142" s="13">
        <v>1</v>
      </c>
      <c r="G142" s="9" t="s">
        <v>149</v>
      </c>
      <c r="H142" s="147"/>
      <c r="I142" s="160"/>
    </row>
    <row r="143" spans="1:9" x14ac:dyDescent="0.2">
      <c r="A143" s="16" t="s">
        <v>413</v>
      </c>
      <c r="B143" s="16" t="s">
        <v>413</v>
      </c>
      <c r="C143" s="16" t="s">
        <v>421</v>
      </c>
      <c r="D143" s="49">
        <f t="shared" ref="D143:D145" si="41">D142+F142</f>
        <v>292</v>
      </c>
      <c r="E143" s="12">
        <f t="shared" ref="E143:E145" si="42">D143+F143-1</f>
        <v>292</v>
      </c>
      <c r="F143" s="13">
        <v>1</v>
      </c>
      <c r="G143" s="9" t="s">
        <v>560</v>
      </c>
      <c r="H143" s="147"/>
      <c r="I143" s="160"/>
    </row>
    <row r="144" spans="1:9" x14ac:dyDescent="0.2">
      <c r="A144" s="16" t="s">
        <v>413</v>
      </c>
      <c r="B144" s="16" t="s">
        <v>413</v>
      </c>
      <c r="C144" s="16" t="s">
        <v>421</v>
      </c>
      <c r="D144" s="49">
        <f t="shared" si="41"/>
        <v>293</v>
      </c>
      <c r="E144" s="12">
        <f t="shared" si="42"/>
        <v>293</v>
      </c>
      <c r="F144" s="13">
        <v>1</v>
      </c>
      <c r="G144" s="9" t="s">
        <v>47</v>
      </c>
      <c r="H144" s="147"/>
      <c r="I144" s="160"/>
    </row>
    <row r="145" spans="1:9" x14ac:dyDescent="0.2">
      <c r="A145" s="16" t="s">
        <v>413</v>
      </c>
      <c r="B145" s="16" t="s">
        <v>413</v>
      </c>
      <c r="C145" s="16" t="s">
        <v>421</v>
      </c>
      <c r="D145" s="49">
        <f t="shared" si="41"/>
        <v>294</v>
      </c>
      <c r="E145" s="12">
        <f t="shared" si="42"/>
        <v>294</v>
      </c>
      <c r="F145" s="13">
        <v>1</v>
      </c>
      <c r="G145" s="9" t="s">
        <v>561</v>
      </c>
      <c r="H145" s="147"/>
      <c r="I145" s="160"/>
    </row>
    <row r="146" spans="1:9" x14ac:dyDescent="0.2">
      <c r="A146" s="16" t="s">
        <v>413</v>
      </c>
      <c r="B146" s="16" t="s">
        <v>413</v>
      </c>
      <c r="C146" s="16" t="s">
        <v>421</v>
      </c>
      <c r="D146" s="49">
        <f>D145+F145</f>
        <v>295</v>
      </c>
      <c r="E146" s="12">
        <f t="shared" si="38"/>
        <v>296</v>
      </c>
      <c r="F146" s="13">
        <v>2</v>
      </c>
      <c r="G146" s="9" t="s">
        <v>94</v>
      </c>
      <c r="H146" s="5"/>
    </row>
    <row r="147" spans="1:9" x14ac:dyDescent="0.2">
      <c r="G147" s="58" t="s">
        <v>61</v>
      </c>
    </row>
    <row r="148" spans="1:9" ht="38.25" x14ac:dyDescent="0.2">
      <c r="A148" s="18" t="s">
        <v>413</v>
      </c>
      <c r="B148" s="18" t="s">
        <v>413</v>
      </c>
      <c r="D148" s="14">
        <f>D146+F146</f>
        <v>297</v>
      </c>
      <c r="E148" s="12">
        <f t="shared" ref="E148:E157" si="43">D148+F148-1</f>
        <v>297</v>
      </c>
      <c r="F148" s="13">
        <v>1</v>
      </c>
      <c r="G148" s="57" t="s">
        <v>62</v>
      </c>
      <c r="H148" s="6" t="s">
        <v>484</v>
      </c>
      <c r="I148" s="6"/>
    </row>
    <row r="149" spans="1:9" ht="63.75" x14ac:dyDescent="0.2">
      <c r="A149" s="17" t="s">
        <v>414</v>
      </c>
      <c r="B149" s="17" t="s">
        <v>414</v>
      </c>
      <c r="D149" s="14">
        <f t="shared" ref="D149" si="44">D148+F148</f>
        <v>298</v>
      </c>
      <c r="E149" s="12">
        <f t="shared" si="43"/>
        <v>298</v>
      </c>
      <c r="F149" s="13">
        <v>1</v>
      </c>
      <c r="G149" s="56" t="s">
        <v>34</v>
      </c>
      <c r="H149" s="15" t="s">
        <v>313</v>
      </c>
      <c r="I149" s="3" t="s">
        <v>405</v>
      </c>
    </row>
    <row r="150" spans="1:9" ht="38.25" x14ac:dyDescent="0.2">
      <c r="A150" s="17" t="s">
        <v>414</v>
      </c>
      <c r="B150" s="17" t="s">
        <v>414</v>
      </c>
      <c r="D150" s="14">
        <f t="shared" ref="D150:D154" si="45">D149+F149</f>
        <v>299</v>
      </c>
      <c r="E150" s="12">
        <f t="shared" si="43"/>
        <v>299</v>
      </c>
      <c r="F150" s="13">
        <v>1</v>
      </c>
      <c r="G150" s="56" t="s">
        <v>35</v>
      </c>
      <c r="H150" s="15" t="s">
        <v>315</v>
      </c>
      <c r="I150" s="3" t="s">
        <v>405</v>
      </c>
    </row>
    <row r="151" spans="1:9" ht="38.25" x14ac:dyDescent="0.2">
      <c r="A151" s="17" t="s">
        <v>414</v>
      </c>
      <c r="B151" s="17" t="s">
        <v>414</v>
      </c>
      <c r="D151" s="14">
        <f t="shared" si="45"/>
        <v>300</v>
      </c>
      <c r="E151" s="12">
        <f t="shared" si="43"/>
        <v>300</v>
      </c>
      <c r="F151" s="13">
        <v>1</v>
      </c>
      <c r="G151" s="56" t="s">
        <v>36</v>
      </c>
      <c r="H151" s="15" t="s">
        <v>315</v>
      </c>
      <c r="I151" s="3" t="s">
        <v>405</v>
      </c>
    </row>
    <row r="152" spans="1:9" ht="63.75" x14ac:dyDescent="0.2">
      <c r="A152" s="17" t="s">
        <v>414</v>
      </c>
      <c r="B152" s="17" t="s">
        <v>414</v>
      </c>
      <c r="D152" s="14">
        <f t="shared" si="45"/>
        <v>301</v>
      </c>
      <c r="E152" s="12">
        <f t="shared" si="43"/>
        <v>301</v>
      </c>
      <c r="F152" s="13">
        <v>1</v>
      </c>
      <c r="G152" s="56" t="s">
        <v>37</v>
      </c>
      <c r="H152" s="43" t="s">
        <v>517</v>
      </c>
      <c r="I152" s="3" t="s">
        <v>405</v>
      </c>
    </row>
    <row r="153" spans="1:9" ht="51" x14ac:dyDescent="0.2">
      <c r="A153" s="17" t="s">
        <v>413</v>
      </c>
      <c r="B153" s="17" t="s">
        <v>413</v>
      </c>
      <c r="D153" s="14">
        <f t="shared" si="45"/>
        <v>302</v>
      </c>
      <c r="E153" s="12">
        <f t="shared" si="43"/>
        <v>311</v>
      </c>
      <c r="F153" s="13">
        <v>10</v>
      </c>
      <c r="G153" s="9" t="s">
        <v>59</v>
      </c>
      <c r="H153" s="11" t="s">
        <v>317</v>
      </c>
      <c r="I153" s="3" t="s">
        <v>405</v>
      </c>
    </row>
    <row r="154" spans="1:9" ht="89.25" x14ac:dyDescent="0.2">
      <c r="A154" s="16" t="s">
        <v>413</v>
      </c>
      <c r="B154" s="16" t="s">
        <v>413</v>
      </c>
      <c r="C154" s="16"/>
      <c r="D154" s="49">
        <f t="shared" si="45"/>
        <v>312</v>
      </c>
      <c r="E154" s="12">
        <f t="shared" si="43"/>
        <v>313</v>
      </c>
      <c r="F154" s="13">
        <v>2</v>
      </c>
      <c r="G154" s="9" t="s">
        <v>60</v>
      </c>
      <c r="H154" s="72" t="s">
        <v>316</v>
      </c>
      <c r="I154" s="6" t="s">
        <v>406</v>
      </c>
    </row>
    <row r="155" spans="1:9" ht="38.25" x14ac:dyDescent="0.2">
      <c r="A155" s="104" t="s">
        <v>413</v>
      </c>
      <c r="B155" s="104" t="s">
        <v>413</v>
      </c>
      <c r="C155" s="104"/>
      <c r="D155" s="103">
        <f t="shared" ref="D155:D156" si="46">D154+F154</f>
        <v>314</v>
      </c>
      <c r="E155" s="98">
        <f t="shared" ref="E155:E156" si="47">D155+F155-1</f>
        <v>314</v>
      </c>
      <c r="F155" s="99">
        <v>1</v>
      </c>
      <c r="G155" s="102" t="s">
        <v>677</v>
      </c>
      <c r="H155" s="101" t="s">
        <v>315</v>
      </c>
      <c r="I155" s="95" t="s">
        <v>405</v>
      </c>
    </row>
    <row r="156" spans="1:9" ht="38.25" x14ac:dyDescent="0.2">
      <c r="A156" s="104" t="s">
        <v>413</v>
      </c>
      <c r="B156" s="104" t="s">
        <v>413</v>
      </c>
      <c r="C156" s="104"/>
      <c r="D156" s="103">
        <f t="shared" si="46"/>
        <v>315</v>
      </c>
      <c r="E156" s="98">
        <f t="shared" si="47"/>
        <v>315</v>
      </c>
      <c r="F156" s="99">
        <v>1</v>
      </c>
      <c r="G156" s="102" t="s">
        <v>678</v>
      </c>
      <c r="H156" s="101" t="s">
        <v>315</v>
      </c>
      <c r="I156" s="95" t="s">
        <v>405</v>
      </c>
    </row>
    <row r="157" spans="1:9" x14ac:dyDescent="0.2">
      <c r="A157" s="16"/>
      <c r="B157" s="16"/>
      <c r="C157" s="16"/>
      <c r="D157" s="103">
        <f>D156+F156</f>
        <v>316</v>
      </c>
      <c r="E157" s="12">
        <f t="shared" si="43"/>
        <v>322</v>
      </c>
      <c r="F157" s="99">
        <v>7</v>
      </c>
      <c r="G157" s="9" t="s">
        <v>94</v>
      </c>
      <c r="H157" s="5"/>
      <c r="I157" s="6"/>
    </row>
    <row r="158" spans="1:9" x14ac:dyDescent="0.2">
      <c r="A158" s="16"/>
      <c r="B158" s="16"/>
      <c r="C158" s="16"/>
      <c r="D158" s="49"/>
      <c r="E158" s="49"/>
      <c r="F158" s="49"/>
      <c r="G158" s="10" t="s">
        <v>38</v>
      </c>
      <c r="H158" s="5"/>
      <c r="I158" s="6"/>
    </row>
    <row r="159" spans="1:9" ht="63.75" x14ac:dyDescent="0.2">
      <c r="A159" s="16" t="s">
        <v>414</v>
      </c>
      <c r="B159" s="16" t="s">
        <v>414</v>
      </c>
      <c r="C159" s="16"/>
      <c r="D159" s="49">
        <f>D157+F157</f>
        <v>323</v>
      </c>
      <c r="E159" s="12">
        <f t="shared" ref="E159:E164" si="48">D159+F159-1</f>
        <v>323</v>
      </c>
      <c r="F159" s="13">
        <v>1</v>
      </c>
      <c r="G159" s="9" t="s">
        <v>39</v>
      </c>
      <c r="H159" s="72" t="s">
        <v>319</v>
      </c>
      <c r="I159" s="6" t="s">
        <v>405</v>
      </c>
    </row>
    <row r="160" spans="1:9" x14ac:dyDescent="0.2">
      <c r="A160" s="16" t="s">
        <v>414</v>
      </c>
      <c r="B160" s="16" t="s">
        <v>414</v>
      </c>
      <c r="C160" s="16"/>
      <c r="D160" s="49">
        <f t="shared" ref="D160" si="49">D159+F159</f>
        <v>324</v>
      </c>
      <c r="E160" s="12">
        <f t="shared" si="48"/>
        <v>324</v>
      </c>
      <c r="F160" s="13">
        <v>1</v>
      </c>
      <c r="G160" s="9" t="s">
        <v>40</v>
      </c>
      <c r="H160" s="157" t="s">
        <v>315</v>
      </c>
      <c r="I160" s="147" t="s">
        <v>405</v>
      </c>
    </row>
    <row r="161" spans="1:9" x14ac:dyDescent="0.2">
      <c r="A161" s="16" t="s">
        <v>414</v>
      </c>
      <c r="B161" s="16" t="s">
        <v>414</v>
      </c>
      <c r="C161" s="16"/>
      <c r="D161" s="49">
        <f t="shared" ref="D161:D164" si="50">D160+F160</f>
        <v>325</v>
      </c>
      <c r="E161" s="12">
        <f t="shared" si="48"/>
        <v>325</v>
      </c>
      <c r="F161" s="13">
        <v>1</v>
      </c>
      <c r="G161" s="9" t="s">
        <v>41</v>
      </c>
      <c r="H161" s="157"/>
      <c r="I161" s="147"/>
    </row>
    <row r="162" spans="1:9" x14ac:dyDescent="0.2">
      <c r="A162" s="16" t="s">
        <v>414</v>
      </c>
      <c r="B162" s="16" t="s">
        <v>414</v>
      </c>
      <c r="C162" s="16"/>
      <c r="D162" s="49">
        <f t="shared" si="50"/>
        <v>326</v>
      </c>
      <c r="E162" s="12">
        <f t="shared" si="48"/>
        <v>326</v>
      </c>
      <c r="F162" s="13">
        <v>1</v>
      </c>
      <c r="G162" s="9" t="s">
        <v>42</v>
      </c>
      <c r="H162" s="157"/>
      <c r="I162" s="147"/>
    </row>
    <row r="163" spans="1:9" x14ac:dyDescent="0.2">
      <c r="A163" s="16" t="s">
        <v>414</v>
      </c>
      <c r="B163" s="16" t="s">
        <v>414</v>
      </c>
      <c r="C163" s="16"/>
      <c r="D163" s="49">
        <f t="shared" si="50"/>
        <v>327</v>
      </c>
      <c r="E163" s="12">
        <f t="shared" si="48"/>
        <v>327</v>
      </c>
      <c r="F163" s="13">
        <v>1</v>
      </c>
      <c r="G163" s="9" t="s">
        <v>43</v>
      </c>
      <c r="H163" s="157"/>
      <c r="I163" s="147"/>
    </row>
    <row r="164" spans="1:9" x14ac:dyDescent="0.2">
      <c r="A164" s="16" t="s">
        <v>414</v>
      </c>
      <c r="B164" s="16" t="s">
        <v>414</v>
      </c>
      <c r="C164" s="16"/>
      <c r="D164" s="49">
        <f t="shared" si="50"/>
        <v>328</v>
      </c>
      <c r="E164" s="12">
        <f t="shared" si="48"/>
        <v>328</v>
      </c>
      <c r="F164" s="13">
        <v>1</v>
      </c>
      <c r="G164" s="9" t="s">
        <v>44</v>
      </c>
      <c r="H164" s="157"/>
      <c r="I164" s="147"/>
    </row>
    <row r="165" spans="1:9" x14ac:dyDescent="0.2">
      <c r="A165" s="16"/>
      <c r="B165" s="16"/>
      <c r="C165" s="16"/>
      <c r="D165" s="49"/>
      <c r="E165" s="49"/>
      <c r="F165" s="49"/>
      <c r="G165" s="10" t="s">
        <v>480</v>
      </c>
      <c r="H165" s="5"/>
      <c r="I165" s="6"/>
    </row>
    <row r="166" spans="1:9" ht="15" customHeight="1" x14ac:dyDescent="0.2">
      <c r="A166" s="16" t="s">
        <v>414</v>
      </c>
      <c r="B166" s="16" t="s">
        <v>414</v>
      </c>
      <c r="C166" s="16"/>
      <c r="D166" s="49">
        <f>D164+F164</f>
        <v>329</v>
      </c>
      <c r="E166" s="12">
        <f t="shared" ref="E166:E182" si="51">D166+F166-1</f>
        <v>329</v>
      </c>
      <c r="F166" s="13">
        <v>1</v>
      </c>
      <c r="G166" s="9" t="s">
        <v>215</v>
      </c>
      <c r="H166" s="150" t="s">
        <v>315</v>
      </c>
      <c r="I166" s="150" t="s">
        <v>405</v>
      </c>
    </row>
    <row r="167" spans="1:9" x14ac:dyDescent="0.2">
      <c r="A167" s="16" t="s">
        <v>414</v>
      </c>
      <c r="B167" s="16" t="s">
        <v>414</v>
      </c>
      <c r="C167" s="16"/>
      <c r="D167" s="49">
        <f t="shared" ref="D167" si="52">D166+F166</f>
        <v>330</v>
      </c>
      <c r="E167" s="12">
        <f t="shared" si="51"/>
        <v>330</v>
      </c>
      <c r="F167" s="13">
        <v>1</v>
      </c>
      <c r="G167" s="9" t="s">
        <v>216</v>
      </c>
      <c r="H167" s="150"/>
      <c r="I167" s="150"/>
    </row>
    <row r="168" spans="1:9" x14ac:dyDescent="0.2">
      <c r="A168" s="16" t="s">
        <v>414</v>
      </c>
      <c r="B168" s="16" t="s">
        <v>414</v>
      </c>
      <c r="C168" s="16"/>
      <c r="D168" s="49">
        <f t="shared" ref="D168:D182" si="53">D167+F167</f>
        <v>331</v>
      </c>
      <c r="E168" s="12">
        <f t="shared" si="51"/>
        <v>331</v>
      </c>
      <c r="F168" s="13">
        <v>1</v>
      </c>
      <c r="G168" s="9" t="s">
        <v>217</v>
      </c>
      <c r="H168" s="150"/>
      <c r="I168" s="150"/>
    </row>
    <row r="169" spans="1:9" x14ac:dyDescent="0.2">
      <c r="A169" s="16" t="s">
        <v>414</v>
      </c>
      <c r="B169" s="16" t="s">
        <v>414</v>
      </c>
      <c r="C169" s="16"/>
      <c r="D169" s="49">
        <f t="shared" si="53"/>
        <v>332</v>
      </c>
      <c r="E169" s="12">
        <f t="shared" si="51"/>
        <v>332</v>
      </c>
      <c r="F169" s="13">
        <v>1</v>
      </c>
      <c r="G169" s="9" t="s">
        <v>218</v>
      </c>
      <c r="H169" s="150"/>
      <c r="I169" s="150"/>
    </row>
    <row r="170" spans="1:9" x14ac:dyDescent="0.2">
      <c r="A170" s="16" t="s">
        <v>414</v>
      </c>
      <c r="B170" s="16" t="s">
        <v>414</v>
      </c>
      <c r="C170" s="16"/>
      <c r="D170" s="49">
        <f t="shared" si="53"/>
        <v>333</v>
      </c>
      <c r="E170" s="12">
        <f t="shared" si="51"/>
        <v>333</v>
      </c>
      <c r="F170" s="13">
        <v>1</v>
      </c>
      <c r="G170" s="9" t="s">
        <v>219</v>
      </c>
      <c r="H170" s="150"/>
      <c r="I170" s="150"/>
    </row>
    <row r="171" spans="1:9" x14ac:dyDescent="0.2">
      <c r="A171" s="16" t="s">
        <v>414</v>
      </c>
      <c r="B171" s="16" t="s">
        <v>414</v>
      </c>
      <c r="C171" s="16"/>
      <c r="D171" s="49">
        <f t="shared" si="53"/>
        <v>334</v>
      </c>
      <c r="E171" s="12">
        <f t="shared" si="51"/>
        <v>334</v>
      </c>
      <c r="F171" s="13">
        <v>1</v>
      </c>
      <c r="G171" s="9" t="s">
        <v>220</v>
      </c>
      <c r="H171" s="150"/>
      <c r="I171" s="150"/>
    </row>
    <row r="172" spans="1:9" x14ac:dyDescent="0.2">
      <c r="A172" s="16" t="s">
        <v>414</v>
      </c>
      <c r="B172" s="16" t="s">
        <v>414</v>
      </c>
      <c r="C172" s="16"/>
      <c r="D172" s="49">
        <f t="shared" si="53"/>
        <v>335</v>
      </c>
      <c r="E172" s="12">
        <f t="shared" si="51"/>
        <v>335</v>
      </c>
      <c r="F172" s="13">
        <v>1</v>
      </c>
      <c r="G172" s="9" t="s">
        <v>652</v>
      </c>
      <c r="H172" s="150"/>
      <c r="I172" s="150"/>
    </row>
    <row r="173" spans="1:9" x14ac:dyDescent="0.2">
      <c r="A173" s="16"/>
      <c r="B173" s="16"/>
      <c r="C173" s="16"/>
      <c r="D173" s="49">
        <f t="shared" ref="D173" si="54">D172+F172</f>
        <v>336</v>
      </c>
      <c r="E173" s="12">
        <f t="shared" ref="E173" si="55">D173+F173-1</f>
        <v>336</v>
      </c>
      <c r="F173" s="13">
        <v>1</v>
      </c>
      <c r="G173" s="9" t="s">
        <v>592</v>
      </c>
      <c r="H173" s="150"/>
      <c r="I173" s="150"/>
    </row>
    <row r="174" spans="1:9" x14ac:dyDescent="0.2">
      <c r="A174" s="16" t="s">
        <v>414</v>
      </c>
      <c r="B174" s="16" t="s">
        <v>414</v>
      </c>
      <c r="C174" s="16"/>
      <c r="D174" s="49">
        <f>D173+F173</f>
        <v>337</v>
      </c>
      <c r="E174" s="12">
        <f t="shared" si="51"/>
        <v>337</v>
      </c>
      <c r="F174" s="13">
        <v>1</v>
      </c>
      <c r="G174" s="9" t="s">
        <v>223</v>
      </c>
      <c r="H174" s="150"/>
      <c r="I174" s="150"/>
    </row>
    <row r="175" spans="1:9" x14ac:dyDescent="0.2">
      <c r="A175" s="16" t="s">
        <v>414</v>
      </c>
      <c r="B175" s="16" t="s">
        <v>414</v>
      </c>
      <c r="C175" s="16"/>
      <c r="D175" s="49">
        <f t="shared" si="53"/>
        <v>338</v>
      </c>
      <c r="E175" s="12">
        <f t="shared" si="51"/>
        <v>338</v>
      </c>
      <c r="F175" s="13">
        <v>1</v>
      </c>
      <c r="G175" s="9" t="s">
        <v>224</v>
      </c>
      <c r="H175" s="150"/>
      <c r="I175" s="150"/>
    </row>
    <row r="176" spans="1:9" x14ac:dyDescent="0.2">
      <c r="A176" s="16" t="s">
        <v>414</v>
      </c>
      <c r="B176" s="16" t="s">
        <v>414</v>
      </c>
      <c r="C176" s="16"/>
      <c r="D176" s="49">
        <f t="shared" si="53"/>
        <v>339</v>
      </c>
      <c r="E176" s="12">
        <f t="shared" si="51"/>
        <v>339</v>
      </c>
      <c r="F176" s="13">
        <v>1</v>
      </c>
      <c r="G176" s="9" t="s">
        <v>225</v>
      </c>
      <c r="H176" s="150"/>
      <c r="I176" s="150"/>
    </row>
    <row r="177" spans="1:9" x14ac:dyDescent="0.2">
      <c r="A177" s="16" t="s">
        <v>414</v>
      </c>
      <c r="B177" s="16" t="s">
        <v>414</v>
      </c>
      <c r="C177" s="16"/>
      <c r="D177" s="49">
        <f t="shared" si="53"/>
        <v>340</v>
      </c>
      <c r="E177" s="12">
        <f t="shared" si="51"/>
        <v>340</v>
      </c>
      <c r="F177" s="13">
        <v>1</v>
      </c>
      <c r="G177" s="9" t="s">
        <v>226</v>
      </c>
      <c r="H177" s="150"/>
      <c r="I177" s="150"/>
    </row>
    <row r="178" spans="1:9" x14ac:dyDescent="0.2">
      <c r="A178" s="16" t="s">
        <v>414</v>
      </c>
      <c r="B178" s="16" t="s">
        <v>414</v>
      </c>
      <c r="C178" s="16"/>
      <c r="D178" s="49">
        <f t="shared" si="53"/>
        <v>341</v>
      </c>
      <c r="E178" s="12">
        <f t="shared" si="51"/>
        <v>341</v>
      </c>
      <c r="F178" s="13">
        <v>1</v>
      </c>
      <c r="G178" s="9" t="s">
        <v>227</v>
      </c>
      <c r="H178" s="150"/>
      <c r="I178" s="150"/>
    </row>
    <row r="179" spans="1:9" x14ac:dyDescent="0.2">
      <c r="A179" s="16" t="s">
        <v>414</v>
      </c>
      <c r="B179" s="16" t="s">
        <v>414</v>
      </c>
      <c r="C179" s="16"/>
      <c r="D179" s="49">
        <f t="shared" si="53"/>
        <v>342</v>
      </c>
      <c r="E179" s="12">
        <f t="shared" si="51"/>
        <v>342</v>
      </c>
      <c r="F179" s="13">
        <v>1</v>
      </c>
      <c r="G179" s="9" t="s">
        <v>228</v>
      </c>
      <c r="H179" s="150"/>
      <c r="I179" s="150"/>
    </row>
    <row r="180" spans="1:9" x14ac:dyDescent="0.2">
      <c r="A180" s="16" t="s">
        <v>414</v>
      </c>
      <c r="B180" s="16" t="s">
        <v>414</v>
      </c>
      <c r="C180" s="16"/>
      <c r="D180" s="49">
        <f t="shared" si="53"/>
        <v>343</v>
      </c>
      <c r="E180" s="12">
        <f t="shared" si="51"/>
        <v>343</v>
      </c>
      <c r="F180" s="13">
        <v>1</v>
      </c>
      <c r="G180" s="9" t="s">
        <v>229</v>
      </c>
      <c r="H180" s="150"/>
      <c r="I180" s="150"/>
    </row>
    <row r="181" spans="1:9" x14ac:dyDescent="0.2">
      <c r="A181" s="16" t="s">
        <v>414</v>
      </c>
      <c r="B181" s="16" t="s">
        <v>414</v>
      </c>
      <c r="C181" s="16"/>
      <c r="D181" s="49">
        <f t="shared" si="53"/>
        <v>344</v>
      </c>
      <c r="E181" s="12">
        <f t="shared" si="51"/>
        <v>344</v>
      </c>
      <c r="F181" s="13">
        <v>1</v>
      </c>
      <c r="G181" s="9" t="s">
        <v>230</v>
      </c>
      <c r="H181" s="150"/>
      <c r="I181" s="150"/>
    </row>
    <row r="182" spans="1:9" x14ac:dyDescent="0.2">
      <c r="A182" s="16" t="s">
        <v>414</v>
      </c>
      <c r="B182" s="16" t="s">
        <v>414</v>
      </c>
      <c r="C182" s="16"/>
      <c r="D182" s="49">
        <f t="shared" si="53"/>
        <v>345</v>
      </c>
      <c r="E182" s="12">
        <f t="shared" si="51"/>
        <v>345</v>
      </c>
      <c r="F182" s="13">
        <v>1</v>
      </c>
      <c r="G182" s="9" t="s">
        <v>152</v>
      </c>
      <c r="H182" s="150"/>
      <c r="I182" s="150"/>
    </row>
    <row r="183" spans="1:9" x14ac:dyDescent="0.2">
      <c r="A183" s="16"/>
      <c r="B183" s="16"/>
      <c r="C183" s="16"/>
      <c r="D183" s="49"/>
      <c r="E183" s="12"/>
      <c r="F183" s="13"/>
      <c r="G183" s="10" t="s">
        <v>521</v>
      </c>
      <c r="H183" s="70"/>
      <c r="I183" s="70"/>
    </row>
    <row r="184" spans="1:9" ht="12.75" customHeight="1" x14ac:dyDescent="0.2">
      <c r="A184" s="16" t="s">
        <v>414</v>
      </c>
      <c r="B184" s="16" t="s">
        <v>414</v>
      </c>
      <c r="C184" s="16"/>
      <c r="D184" s="49">
        <f>D182+F182</f>
        <v>346</v>
      </c>
      <c r="E184" s="12">
        <f t="shared" ref="E184:E199" si="56">D184+F184-1</f>
        <v>346</v>
      </c>
      <c r="F184" s="13">
        <v>1</v>
      </c>
      <c r="G184" s="9" t="s">
        <v>143</v>
      </c>
      <c r="H184" s="150" t="s">
        <v>559</v>
      </c>
      <c r="I184" s="148" t="s">
        <v>312</v>
      </c>
    </row>
    <row r="185" spans="1:9" x14ac:dyDescent="0.2">
      <c r="A185" s="16" t="s">
        <v>414</v>
      </c>
      <c r="B185" s="16" t="s">
        <v>414</v>
      </c>
      <c r="C185" s="16"/>
      <c r="D185" s="49">
        <f t="shared" ref="D185:D199" si="57">D184+F184</f>
        <v>347</v>
      </c>
      <c r="E185" s="12">
        <f t="shared" si="56"/>
        <v>347</v>
      </c>
      <c r="F185" s="13">
        <v>1</v>
      </c>
      <c r="G185" s="9" t="s">
        <v>144</v>
      </c>
      <c r="H185" s="150"/>
      <c r="I185" s="148"/>
    </row>
    <row r="186" spans="1:9" x14ac:dyDescent="0.2">
      <c r="A186" s="16" t="s">
        <v>414</v>
      </c>
      <c r="B186" s="16" t="s">
        <v>414</v>
      </c>
      <c r="C186" s="16"/>
      <c r="D186" s="49">
        <f t="shared" si="57"/>
        <v>348</v>
      </c>
      <c r="E186" s="12">
        <f t="shared" si="56"/>
        <v>348</v>
      </c>
      <c r="F186" s="13">
        <v>1</v>
      </c>
      <c r="G186" s="9" t="s">
        <v>524</v>
      </c>
      <c r="H186" s="150"/>
      <c r="I186" s="148"/>
    </row>
    <row r="187" spans="1:9" x14ac:dyDescent="0.2">
      <c r="A187" s="16" t="s">
        <v>414</v>
      </c>
      <c r="B187" s="16" t="s">
        <v>414</v>
      </c>
      <c r="C187" s="16"/>
      <c r="D187" s="49">
        <f t="shared" si="57"/>
        <v>349</v>
      </c>
      <c r="E187" s="12">
        <f t="shared" si="56"/>
        <v>349</v>
      </c>
      <c r="F187" s="13">
        <v>1</v>
      </c>
      <c r="G187" s="9" t="s">
        <v>522</v>
      </c>
      <c r="H187" s="150"/>
      <c r="I187" s="148"/>
    </row>
    <row r="188" spans="1:9" x14ac:dyDescent="0.2">
      <c r="A188" s="16" t="s">
        <v>414</v>
      </c>
      <c r="B188" s="16" t="s">
        <v>414</v>
      </c>
      <c r="C188" s="16"/>
      <c r="D188" s="49">
        <f t="shared" si="57"/>
        <v>350</v>
      </c>
      <c r="E188" s="12">
        <f t="shared" si="56"/>
        <v>350</v>
      </c>
      <c r="F188" s="13">
        <v>1</v>
      </c>
      <c r="G188" s="9" t="s">
        <v>146</v>
      </c>
      <c r="H188" s="150"/>
      <c r="I188" s="148"/>
    </row>
    <row r="189" spans="1:9" x14ac:dyDescent="0.2">
      <c r="A189" s="16" t="s">
        <v>414</v>
      </c>
      <c r="B189" s="16" t="s">
        <v>414</v>
      </c>
      <c r="C189" s="16"/>
      <c r="D189" s="49">
        <f t="shared" si="57"/>
        <v>351</v>
      </c>
      <c r="E189" s="12">
        <f t="shared" si="56"/>
        <v>351</v>
      </c>
      <c r="F189" s="13">
        <v>1</v>
      </c>
      <c r="G189" s="9" t="s">
        <v>147</v>
      </c>
      <c r="H189" s="150"/>
      <c r="I189" s="148"/>
    </row>
    <row r="190" spans="1:9" x14ac:dyDescent="0.2">
      <c r="A190" s="16" t="s">
        <v>414</v>
      </c>
      <c r="B190" s="16" t="s">
        <v>414</v>
      </c>
      <c r="C190" s="16"/>
      <c r="D190" s="49">
        <f t="shared" si="57"/>
        <v>352</v>
      </c>
      <c r="E190" s="12">
        <f t="shared" si="56"/>
        <v>352</v>
      </c>
      <c r="F190" s="13">
        <v>1</v>
      </c>
      <c r="G190" s="9" t="s">
        <v>51</v>
      </c>
      <c r="H190" s="150"/>
      <c r="I190" s="148"/>
    </row>
    <row r="191" spans="1:9" x14ac:dyDescent="0.2">
      <c r="A191" s="16" t="s">
        <v>414</v>
      </c>
      <c r="B191" s="16" t="s">
        <v>414</v>
      </c>
      <c r="C191" s="16"/>
      <c r="D191" s="49">
        <f t="shared" si="57"/>
        <v>353</v>
      </c>
      <c r="E191" s="12">
        <f t="shared" si="56"/>
        <v>353</v>
      </c>
      <c r="F191" s="13">
        <v>1</v>
      </c>
      <c r="G191" s="9" t="s">
        <v>49</v>
      </c>
      <c r="H191" s="150"/>
      <c r="I191" s="148"/>
    </row>
    <row r="192" spans="1:9" x14ac:dyDescent="0.2">
      <c r="A192" s="16" t="s">
        <v>414</v>
      </c>
      <c r="B192" s="16" t="s">
        <v>414</v>
      </c>
      <c r="C192" s="16"/>
      <c r="D192" s="49">
        <f t="shared" si="57"/>
        <v>354</v>
      </c>
      <c r="E192" s="12">
        <f t="shared" si="56"/>
        <v>354</v>
      </c>
      <c r="F192" s="13">
        <v>1</v>
      </c>
      <c r="G192" s="9" t="s">
        <v>148</v>
      </c>
      <c r="H192" s="150"/>
      <c r="I192" s="148"/>
    </row>
    <row r="193" spans="1:9" x14ac:dyDescent="0.2">
      <c r="A193" s="16" t="s">
        <v>414</v>
      </c>
      <c r="B193" s="16" t="s">
        <v>414</v>
      </c>
      <c r="C193" s="16"/>
      <c r="D193" s="49">
        <f t="shared" si="57"/>
        <v>355</v>
      </c>
      <c r="E193" s="12">
        <f t="shared" si="56"/>
        <v>355</v>
      </c>
      <c r="F193" s="13">
        <v>1</v>
      </c>
      <c r="G193" s="9" t="s">
        <v>50</v>
      </c>
      <c r="H193" s="150"/>
      <c r="I193" s="148"/>
    </row>
    <row r="194" spans="1:9" x14ac:dyDescent="0.2">
      <c r="A194" s="16" t="s">
        <v>414</v>
      </c>
      <c r="B194" s="16" t="s">
        <v>414</v>
      </c>
      <c r="C194" s="16"/>
      <c r="D194" s="49">
        <f t="shared" si="57"/>
        <v>356</v>
      </c>
      <c r="E194" s="12">
        <f t="shared" si="56"/>
        <v>356</v>
      </c>
      <c r="F194" s="13">
        <v>1</v>
      </c>
      <c r="G194" s="9" t="s">
        <v>149</v>
      </c>
      <c r="H194" s="150"/>
      <c r="I194" s="148"/>
    </row>
    <row r="195" spans="1:9" x14ac:dyDescent="0.2">
      <c r="A195" s="16" t="s">
        <v>414</v>
      </c>
      <c r="B195" s="16" t="s">
        <v>414</v>
      </c>
      <c r="C195" s="16"/>
      <c r="D195" s="49">
        <f t="shared" si="57"/>
        <v>357</v>
      </c>
      <c r="E195" s="12">
        <f t="shared" si="56"/>
        <v>357</v>
      </c>
      <c r="F195" s="13">
        <v>1</v>
      </c>
      <c r="G195" s="105" t="s">
        <v>699</v>
      </c>
      <c r="H195" s="150"/>
      <c r="I195" s="148"/>
    </row>
    <row r="196" spans="1:9" x14ac:dyDescent="0.2">
      <c r="A196" s="16" t="s">
        <v>414</v>
      </c>
      <c r="B196" s="16" t="s">
        <v>414</v>
      </c>
      <c r="C196" s="16"/>
      <c r="D196" s="49">
        <f t="shared" si="57"/>
        <v>358</v>
      </c>
      <c r="E196" s="12">
        <f t="shared" si="56"/>
        <v>358</v>
      </c>
      <c r="F196" s="13">
        <v>1</v>
      </c>
      <c r="G196" s="9" t="s">
        <v>523</v>
      </c>
      <c r="H196" s="150"/>
      <c r="I196" s="148"/>
    </row>
    <row r="197" spans="1:9" x14ac:dyDescent="0.2">
      <c r="A197" s="16" t="s">
        <v>414</v>
      </c>
      <c r="B197" s="16" t="s">
        <v>414</v>
      </c>
      <c r="C197" s="16"/>
      <c r="D197" s="49">
        <f t="shared" si="57"/>
        <v>359</v>
      </c>
      <c r="E197" s="12">
        <f t="shared" si="56"/>
        <v>359</v>
      </c>
      <c r="F197" s="13">
        <v>1</v>
      </c>
      <c r="G197" s="106" t="s">
        <v>700</v>
      </c>
      <c r="H197" s="150"/>
      <c r="I197" s="148"/>
    </row>
    <row r="198" spans="1:9" x14ac:dyDescent="0.2">
      <c r="A198" s="16" t="s">
        <v>414</v>
      </c>
      <c r="B198" s="16" t="s">
        <v>414</v>
      </c>
      <c r="C198" s="16"/>
      <c r="D198" s="49">
        <f t="shared" si="57"/>
        <v>360</v>
      </c>
      <c r="E198" s="12">
        <f t="shared" si="56"/>
        <v>360</v>
      </c>
      <c r="F198" s="13">
        <v>1</v>
      </c>
      <c r="G198" s="9" t="s">
        <v>48</v>
      </c>
      <c r="H198" s="150"/>
      <c r="I198" s="148"/>
    </row>
    <row r="199" spans="1:9" x14ac:dyDescent="0.2">
      <c r="A199" s="16" t="s">
        <v>414</v>
      </c>
      <c r="B199" s="16" t="s">
        <v>414</v>
      </c>
      <c r="C199" s="16"/>
      <c r="D199" s="49">
        <f t="shared" si="57"/>
        <v>361</v>
      </c>
      <c r="E199" s="12">
        <f t="shared" si="56"/>
        <v>361</v>
      </c>
      <c r="F199" s="13">
        <v>1</v>
      </c>
      <c r="G199" s="9" t="s">
        <v>46</v>
      </c>
      <c r="H199" s="150"/>
      <c r="I199" s="148"/>
    </row>
    <row r="200" spans="1:9" x14ac:dyDescent="0.2">
      <c r="A200" s="104" t="s">
        <v>414</v>
      </c>
      <c r="B200" s="104" t="s">
        <v>414</v>
      </c>
      <c r="C200" s="104"/>
      <c r="D200" s="103">
        <f t="shared" ref="D200:D201" si="58">D199+F199</f>
        <v>362</v>
      </c>
      <c r="E200" s="98">
        <f t="shared" ref="E200:E201" si="59">D200+F200-1</f>
        <v>362</v>
      </c>
      <c r="F200" s="99">
        <v>1</v>
      </c>
      <c r="G200" s="105" t="s">
        <v>701</v>
      </c>
      <c r="H200" s="150"/>
      <c r="I200" s="148"/>
    </row>
    <row r="201" spans="1:9" x14ac:dyDescent="0.2">
      <c r="A201" s="104" t="s">
        <v>414</v>
      </c>
      <c r="B201" s="104" t="s">
        <v>414</v>
      </c>
      <c r="C201" s="104"/>
      <c r="D201" s="103">
        <f t="shared" si="58"/>
        <v>363</v>
      </c>
      <c r="E201" s="98">
        <f t="shared" si="59"/>
        <v>363</v>
      </c>
      <c r="F201" s="99">
        <v>1</v>
      </c>
      <c r="G201" s="105" t="s">
        <v>702</v>
      </c>
      <c r="H201" s="150"/>
      <c r="I201" s="148"/>
    </row>
    <row r="202" spans="1:9" x14ac:dyDescent="0.2">
      <c r="A202" s="16"/>
      <c r="B202" s="16"/>
      <c r="C202" s="16"/>
      <c r="D202" s="49"/>
      <c r="E202" s="49"/>
      <c r="F202" s="49"/>
      <c r="G202" s="59" t="s">
        <v>45</v>
      </c>
      <c r="H202" s="5"/>
      <c r="I202" s="6"/>
    </row>
    <row r="203" spans="1:9" ht="15" customHeight="1" x14ac:dyDescent="0.2">
      <c r="A203" s="16" t="s">
        <v>413</v>
      </c>
      <c r="B203" s="16" t="s">
        <v>413</v>
      </c>
      <c r="C203" s="16" t="s">
        <v>421</v>
      </c>
      <c r="D203" s="103">
        <f>D201+F201</f>
        <v>364</v>
      </c>
      <c r="E203" s="98">
        <f t="shared" ref="E203:E213" si="60">D203+F203-1</f>
        <v>364</v>
      </c>
      <c r="F203" s="13">
        <v>1</v>
      </c>
      <c r="G203" s="9" t="s">
        <v>46</v>
      </c>
      <c r="H203" s="148" t="s">
        <v>315</v>
      </c>
      <c r="I203" s="147" t="s">
        <v>405</v>
      </c>
    </row>
    <row r="204" spans="1:9" x14ac:dyDescent="0.2">
      <c r="A204" s="16" t="s">
        <v>413</v>
      </c>
      <c r="B204" s="16" t="s">
        <v>413</v>
      </c>
      <c r="C204" s="16" t="s">
        <v>421</v>
      </c>
      <c r="D204" s="103">
        <f t="shared" ref="D204" si="61">D203+F203</f>
        <v>365</v>
      </c>
      <c r="E204" s="98">
        <f t="shared" si="60"/>
        <v>365</v>
      </c>
      <c r="F204" s="13">
        <v>1</v>
      </c>
      <c r="G204" s="9" t="s">
        <v>47</v>
      </c>
      <c r="H204" s="148"/>
      <c r="I204" s="147"/>
    </row>
    <row r="205" spans="1:9" x14ac:dyDescent="0.2">
      <c r="A205" s="16" t="s">
        <v>413</v>
      </c>
      <c r="B205" s="16" t="s">
        <v>413</v>
      </c>
      <c r="C205" s="16" t="s">
        <v>421</v>
      </c>
      <c r="D205" s="103">
        <f t="shared" ref="D205:D210" si="62">D204+F204</f>
        <v>366</v>
      </c>
      <c r="E205" s="98">
        <f t="shared" si="60"/>
        <v>366</v>
      </c>
      <c r="F205" s="13">
        <v>1</v>
      </c>
      <c r="G205" s="9" t="s">
        <v>48</v>
      </c>
      <c r="H205" s="148"/>
      <c r="I205" s="147"/>
    </row>
    <row r="206" spans="1:9" x14ac:dyDescent="0.2">
      <c r="A206" s="16" t="s">
        <v>413</v>
      </c>
      <c r="B206" s="16" t="s">
        <v>413</v>
      </c>
      <c r="C206" s="16" t="s">
        <v>421</v>
      </c>
      <c r="D206" s="103">
        <f t="shared" si="62"/>
        <v>367</v>
      </c>
      <c r="E206" s="98">
        <f t="shared" si="60"/>
        <v>367</v>
      </c>
      <c r="F206" s="13">
        <v>1</v>
      </c>
      <c r="G206" s="9" t="s">
        <v>49</v>
      </c>
      <c r="H206" s="148"/>
      <c r="I206" s="147"/>
    </row>
    <row r="207" spans="1:9" x14ac:dyDescent="0.2">
      <c r="A207" s="16" t="s">
        <v>413</v>
      </c>
      <c r="B207" s="16" t="s">
        <v>413</v>
      </c>
      <c r="C207" s="16" t="s">
        <v>421</v>
      </c>
      <c r="D207" s="103">
        <f t="shared" si="62"/>
        <v>368</v>
      </c>
      <c r="E207" s="98">
        <f t="shared" si="60"/>
        <v>368</v>
      </c>
      <c r="F207" s="13">
        <v>1</v>
      </c>
      <c r="G207" s="9" t="s">
        <v>50</v>
      </c>
      <c r="H207" s="148"/>
      <c r="I207" s="147"/>
    </row>
    <row r="208" spans="1:9" x14ac:dyDescent="0.2">
      <c r="A208" s="16" t="s">
        <v>413</v>
      </c>
      <c r="B208" s="16" t="s">
        <v>413</v>
      </c>
      <c r="C208" s="16" t="s">
        <v>421</v>
      </c>
      <c r="D208" s="103">
        <f t="shared" si="62"/>
        <v>369</v>
      </c>
      <c r="E208" s="98">
        <f t="shared" si="60"/>
        <v>369</v>
      </c>
      <c r="F208" s="13">
        <v>1</v>
      </c>
      <c r="G208" s="9" t="s">
        <v>51</v>
      </c>
      <c r="H208" s="148"/>
      <c r="I208" s="147"/>
    </row>
    <row r="209" spans="1:9" x14ac:dyDescent="0.2">
      <c r="A209" s="16" t="s">
        <v>413</v>
      </c>
      <c r="B209" s="16" t="s">
        <v>413</v>
      </c>
      <c r="C209" s="16" t="s">
        <v>421</v>
      </c>
      <c r="D209" s="103">
        <f t="shared" si="62"/>
        <v>370</v>
      </c>
      <c r="E209" s="98">
        <f t="shared" si="60"/>
        <v>370</v>
      </c>
      <c r="F209" s="13">
        <v>1</v>
      </c>
      <c r="G209" s="9" t="s">
        <v>52</v>
      </c>
      <c r="H209" s="148"/>
      <c r="I209" s="147"/>
    </row>
    <row r="210" spans="1:9" x14ac:dyDescent="0.2">
      <c r="A210" s="16" t="s">
        <v>413</v>
      </c>
      <c r="B210" s="16" t="s">
        <v>413</v>
      </c>
      <c r="C210" s="16" t="s">
        <v>421</v>
      </c>
      <c r="D210" s="103">
        <f t="shared" si="62"/>
        <v>371</v>
      </c>
      <c r="E210" s="98">
        <f t="shared" si="60"/>
        <v>371</v>
      </c>
      <c r="F210" s="13">
        <v>1</v>
      </c>
      <c r="G210" s="105" t="s">
        <v>714</v>
      </c>
      <c r="H210" s="148"/>
      <c r="I210" s="147"/>
    </row>
    <row r="211" spans="1:9" x14ac:dyDescent="0.2">
      <c r="A211" s="104" t="s">
        <v>413</v>
      </c>
      <c r="B211" s="104" t="s">
        <v>413</v>
      </c>
      <c r="C211" s="104" t="s">
        <v>421</v>
      </c>
      <c r="D211" s="103">
        <f t="shared" ref="D211:D212" si="63">D210+F210</f>
        <v>372</v>
      </c>
      <c r="E211" s="98">
        <f t="shared" ref="E211:E212" si="64">D211+F211-1</f>
        <v>372</v>
      </c>
      <c r="F211" s="99">
        <v>1</v>
      </c>
      <c r="G211" s="105" t="s">
        <v>712</v>
      </c>
      <c r="H211" s="148"/>
      <c r="I211" s="147"/>
    </row>
    <row r="212" spans="1:9" x14ac:dyDescent="0.2">
      <c r="A212" s="104" t="s">
        <v>413</v>
      </c>
      <c r="B212" s="104" t="s">
        <v>413</v>
      </c>
      <c r="C212" s="104" t="s">
        <v>421</v>
      </c>
      <c r="D212" s="103">
        <f t="shared" si="63"/>
        <v>373</v>
      </c>
      <c r="E212" s="98">
        <f t="shared" si="64"/>
        <v>373</v>
      </c>
      <c r="F212" s="99">
        <v>1</v>
      </c>
      <c r="G212" s="105" t="s">
        <v>713</v>
      </c>
      <c r="H212" s="148"/>
      <c r="I212" s="147"/>
    </row>
    <row r="213" spans="1:9" x14ac:dyDescent="0.2">
      <c r="A213" s="16" t="s">
        <v>413</v>
      </c>
      <c r="B213" s="16" t="s">
        <v>413</v>
      </c>
      <c r="C213" s="16" t="s">
        <v>421</v>
      </c>
      <c r="D213" s="103">
        <f>D212+F212</f>
        <v>374</v>
      </c>
      <c r="E213" s="98">
        <f t="shared" si="60"/>
        <v>374</v>
      </c>
      <c r="F213" s="13">
        <v>1</v>
      </c>
      <c r="G213" s="9" t="s">
        <v>63</v>
      </c>
      <c r="H213" s="148"/>
      <c r="I213" s="147"/>
    </row>
    <row r="214" spans="1:9" x14ac:dyDescent="0.2">
      <c r="A214" s="16"/>
      <c r="B214" s="16"/>
      <c r="C214" s="16"/>
      <c r="D214" s="49"/>
      <c r="E214" s="49"/>
      <c r="F214" s="49"/>
      <c r="G214" s="59" t="s">
        <v>562</v>
      </c>
      <c r="H214" s="5"/>
      <c r="I214" s="6"/>
    </row>
    <row r="215" spans="1:9" ht="38.25" x14ac:dyDescent="0.2">
      <c r="A215" s="16" t="s">
        <v>414</v>
      </c>
      <c r="B215" s="16" t="s">
        <v>414</v>
      </c>
      <c r="C215" s="16"/>
      <c r="D215" s="103">
        <f>D213+F213</f>
        <v>375</v>
      </c>
      <c r="E215" s="98">
        <f t="shared" ref="E215:E219" si="65">D215+F215-1</f>
        <v>375</v>
      </c>
      <c r="F215" s="13">
        <v>1</v>
      </c>
      <c r="G215" s="9" t="s">
        <v>54</v>
      </c>
      <c r="H215" s="72" t="s">
        <v>315</v>
      </c>
      <c r="I215" s="6" t="s">
        <v>405</v>
      </c>
    </row>
    <row r="216" spans="1:9" ht="12.75" customHeight="1" x14ac:dyDescent="0.2">
      <c r="A216" s="16" t="s">
        <v>413</v>
      </c>
      <c r="B216" s="16" t="s">
        <v>413</v>
      </c>
      <c r="C216" s="16" t="s">
        <v>421</v>
      </c>
      <c r="D216" s="103">
        <f t="shared" ref="D216" si="66">D215+F215</f>
        <v>376</v>
      </c>
      <c r="E216" s="98">
        <f t="shared" si="65"/>
        <v>376</v>
      </c>
      <c r="F216" s="13">
        <v>1</v>
      </c>
      <c r="G216" s="9" t="s">
        <v>46</v>
      </c>
      <c r="H216" s="148" t="s">
        <v>315</v>
      </c>
      <c r="I216" s="147" t="s">
        <v>405</v>
      </c>
    </row>
    <row r="217" spans="1:9" x14ac:dyDescent="0.2">
      <c r="A217" s="16" t="s">
        <v>413</v>
      </c>
      <c r="B217" s="16" t="s">
        <v>413</v>
      </c>
      <c r="C217" s="16" t="s">
        <v>421</v>
      </c>
      <c r="D217" s="103">
        <f t="shared" ref="D217:D219" si="67">D216+F216</f>
        <v>377</v>
      </c>
      <c r="E217" s="98">
        <f t="shared" si="65"/>
        <v>377</v>
      </c>
      <c r="F217" s="13">
        <v>1</v>
      </c>
      <c r="G217" s="9" t="s">
        <v>50</v>
      </c>
      <c r="H217" s="148"/>
      <c r="I217" s="147"/>
    </row>
    <row r="218" spans="1:9" x14ac:dyDescent="0.2">
      <c r="A218" s="16" t="s">
        <v>413</v>
      </c>
      <c r="B218" s="16" t="s">
        <v>413</v>
      </c>
      <c r="C218" s="16" t="s">
        <v>421</v>
      </c>
      <c r="D218" s="103">
        <f t="shared" si="67"/>
        <v>378</v>
      </c>
      <c r="E218" s="98">
        <f t="shared" si="65"/>
        <v>378</v>
      </c>
      <c r="F218" s="13">
        <v>1</v>
      </c>
      <c r="G218" s="9" t="s">
        <v>52</v>
      </c>
      <c r="H218" s="148"/>
      <c r="I218" s="147"/>
    </row>
    <row r="219" spans="1:9" x14ac:dyDescent="0.2">
      <c r="A219" s="16" t="s">
        <v>413</v>
      </c>
      <c r="B219" s="16" t="s">
        <v>413</v>
      </c>
      <c r="C219" s="16" t="s">
        <v>421</v>
      </c>
      <c r="D219" s="103">
        <f t="shared" si="67"/>
        <v>379</v>
      </c>
      <c r="E219" s="98">
        <f t="shared" si="65"/>
        <v>379</v>
      </c>
      <c r="F219" s="13">
        <v>1</v>
      </c>
      <c r="G219" s="9" t="s">
        <v>55</v>
      </c>
      <c r="H219" s="148"/>
      <c r="I219" s="147"/>
    </row>
    <row r="220" spans="1:9" x14ac:dyDescent="0.2">
      <c r="A220" s="104" t="s">
        <v>413</v>
      </c>
      <c r="B220" s="104" t="s">
        <v>413</v>
      </c>
      <c r="C220" s="104" t="s">
        <v>421</v>
      </c>
      <c r="D220" s="103">
        <f t="shared" ref="D220:D224" si="68">D219+F219</f>
        <v>380</v>
      </c>
      <c r="E220" s="98">
        <f t="shared" ref="E220:E224" si="69">D220+F220-1</f>
        <v>380</v>
      </c>
      <c r="F220" s="99">
        <v>1</v>
      </c>
      <c r="G220" s="105" t="s">
        <v>153</v>
      </c>
      <c r="H220" s="148"/>
      <c r="I220" s="147"/>
    </row>
    <row r="221" spans="1:9" x14ac:dyDescent="0.2">
      <c r="A221" s="16" t="s">
        <v>413</v>
      </c>
      <c r="B221" s="16" t="s">
        <v>413</v>
      </c>
      <c r="C221" s="16" t="s">
        <v>421</v>
      </c>
      <c r="D221" s="103">
        <f>D220+F220</f>
        <v>381</v>
      </c>
      <c r="E221" s="98">
        <f t="shared" si="69"/>
        <v>381</v>
      </c>
      <c r="F221" s="13">
        <v>1</v>
      </c>
      <c r="G221" s="105" t="s">
        <v>716</v>
      </c>
      <c r="H221" s="148"/>
      <c r="I221" s="147"/>
    </row>
    <row r="222" spans="1:9" x14ac:dyDescent="0.2">
      <c r="A222" s="16" t="s">
        <v>413</v>
      </c>
      <c r="B222" s="16" t="s">
        <v>413</v>
      </c>
      <c r="C222" s="16" t="s">
        <v>421</v>
      </c>
      <c r="D222" s="103">
        <f t="shared" si="68"/>
        <v>382</v>
      </c>
      <c r="E222" s="98">
        <f t="shared" si="69"/>
        <v>382</v>
      </c>
      <c r="F222" s="13">
        <v>1</v>
      </c>
      <c r="G222" s="105" t="s">
        <v>714</v>
      </c>
      <c r="H222" s="148"/>
      <c r="I222" s="147"/>
    </row>
    <row r="223" spans="1:9" x14ac:dyDescent="0.2">
      <c r="A223" s="104" t="s">
        <v>413</v>
      </c>
      <c r="B223" s="104" t="s">
        <v>413</v>
      </c>
      <c r="C223" s="104" t="s">
        <v>421</v>
      </c>
      <c r="D223" s="103">
        <f t="shared" si="68"/>
        <v>383</v>
      </c>
      <c r="E223" s="98">
        <f t="shared" si="69"/>
        <v>383</v>
      </c>
      <c r="F223" s="99">
        <v>1</v>
      </c>
      <c r="G223" s="105" t="s">
        <v>712</v>
      </c>
      <c r="H223" s="148"/>
      <c r="I223" s="147"/>
    </row>
    <row r="224" spans="1:9" x14ac:dyDescent="0.2">
      <c r="A224" s="104" t="s">
        <v>413</v>
      </c>
      <c r="B224" s="104" t="s">
        <v>413</v>
      </c>
      <c r="C224" s="104" t="s">
        <v>421</v>
      </c>
      <c r="D224" s="103">
        <f t="shared" si="68"/>
        <v>384</v>
      </c>
      <c r="E224" s="98">
        <f t="shared" si="69"/>
        <v>384</v>
      </c>
      <c r="F224" s="99">
        <v>1</v>
      </c>
      <c r="G224" s="105" t="s">
        <v>713</v>
      </c>
      <c r="H224" s="148"/>
      <c r="I224" s="147"/>
    </row>
    <row r="225" spans="1:9" x14ac:dyDescent="0.2">
      <c r="A225" s="16"/>
      <c r="B225" s="16"/>
      <c r="C225" s="16"/>
      <c r="D225" s="49"/>
      <c r="E225" s="12"/>
      <c r="F225" s="108">
        <v>4</v>
      </c>
      <c r="G225" s="107" t="s">
        <v>94</v>
      </c>
      <c r="H225" s="5"/>
      <c r="I225" s="6"/>
    </row>
    <row r="226" spans="1:9" x14ac:dyDescent="0.2">
      <c r="A226" s="16"/>
      <c r="B226" s="16"/>
      <c r="C226" s="16"/>
      <c r="D226" s="49"/>
      <c r="E226" s="49"/>
      <c r="F226" s="49"/>
      <c r="G226" s="59" t="s">
        <v>56</v>
      </c>
      <c r="H226" s="5"/>
      <c r="I226" s="6"/>
    </row>
    <row r="227" spans="1:9" ht="38.25" x14ac:dyDescent="0.2">
      <c r="A227" s="16" t="s">
        <v>414</v>
      </c>
      <c r="B227" s="16" t="s">
        <v>414</v>
      </c>
      <c r="C227" s="16"/>
      <c r="D227" s="103">
        <f>D224+F224</f>
        <v>385</v>
      </c>
      <c r="E227" s="98">
        <f t="shared" ref="E227:E239" si="70">D227+F227-1</f>
        <v>385</v>
      </c>
      <c r="F227" s="13">
        <v>1</v>
      </c>
      <c r="G227" s="9" t="s">
        <v>57</v>
      </c>
      <c r="H227" s="72" t="s">
        <v>315</v>
      </c>
      <c r="I227" s="6" t="s">
        <v>405</v>
      </c>
    </row>
    <row r="228" spans="1:9" ht="15" customHeight="1" x14ac:dyDescent="0.2">
      <c r="A228" s="16" t="s">
        <v>413</v>
      </c>
      <c r="B228" s="16" t="s">
        <v>413</v>
      </c>
      <c r="C228" s="16" t="s">
        <v>421</v>
      </c>
      <c r="D228" s="103">
        <f t="shared" ref="D228" si="71">D227+F227</f>
        <v>386</v>
      </c>
      <c r="E228" s="98">
        <f t="shared" si="70"/>
        <v>386</v>
      </c>
      <c r="F228" s="13">
        <v>1</v>
      </c>
      <c r="G228" s="9" t="s">
        <v>46</v>
      </c>
      <c r="H228" s="148" t="s">
        <v>315</v>
      </c>
      <c r="I228" s="147" t="s">
        <v>405</v>
      </c>
    </row>
    <row r="229" spans="1:9" x14ac:dyDescent="0.2">
      <c r="A229" s="109" t="s">
        <v>413</v>
      </c>
      <c r="B229" s="109" t="s">
        <v>413</v>
      </c>
      <c r="C229" s="109" t="s">
        <v>421</v>
      </c>
      <c r="D229" s="103"/>
      <c r="E229" s="98"/>
      <c r="F229" s="108">
        <v>1</v>
      </c>
      <c r="G229" s="107" t="s">
        <v>47</v>
      </c>
      <c r="H229" s="148"/>
      <c r="I229" s="147"/>
    </row>
    <row r="230" spans="1:9" x14ac:dyDescent="0.2">
      <c r="A230" s="104" t="s">
        <v>413</v>
      </c>
      <c r="B230" s="104" t="s">
        <v>413</v>
      </c>
      <c r="C230" s="104" t="s">
        <v>421</v>
      </c>
      <c r="D230" s="103">
        <f>D228+F228</f>
        <v>387</v>
      </c>
      <c r="E230" s="98">
        <f t="shared" ref="E230" si="72">D230+F230-1</f>
        <v>387</v>
      </c>
      <c r="F230" s="99">
        <v>1</v>
      </c>
      <c r="G230" s="105" t="s">
        <v>144</v>
      </c>
      <c r="H230" s="148"/>
      <c r="I230" s="147"/>
    </row>
    <row r="231" spans="1:9" x14ac:dyDescent="0.2">
      <c r="A231" s="16" t="s">
        <v>413</v>
      </c>
      <c r="B231" s="16" t="s">
        <v>413</v>
      </c>
      <c r="C231" s="16" t="s">
        <v>421</v>
      </c>
      <c r="D231" s="103">
        <f>D230+F230</f>
        <v>388</v>
      </c>
      <c r="E231" s="98">
        <f t="shared" si="70"/>
        <v>388</v>
      </c>
      <c r="F231" s="13">
        <v>1</v>
      </c>
      <c r="G231" s="9" t="s">
        <v>48</v>
      </c>
      <c r="H231" s="148"/>
      <c r="I231" s="147"/>
    </row>
    <row r="232" spans="1:9" x14ac:dyDescent="0.2">
      <c r="A232" s="16" t="s">
        <v>413</v>
      </c>
      <c r="B232" s="16" t="s">
        <v>413</v>
      </c>
      <c r="C232" s="16" t="s">
        <v>421</v>
      </c>
      <c r="D232" s="103">
        <f t="shared" ref="D232:D236" si="73">D231+F231</f>
        <v>389</v>
      </c>
      <c r="E232" s="98">
        <f t="shared" si="70"/>
        <v>389</v>
      </c>
      <c r="F232" s="13">
        <v>1</v>
      </c>
      <c r="G232" s="9" t="s">
        <v>49</v>
      </c>
      <c r="H232" s="148"/>
      <c r="I232" s="147"/>
    </row>
    <row r="233" spans="1:9" x14ac:dyDescent="0.2">
      <c r="A233" s="16" t="s">
        <v>413</v>
      </c>
      <c r="B233" s="16" t="s">
        <v>413</v>
      </c>
      <c r="C233" s="16" t="s">
        <v>421</v>
      </c>
      <c r="D233" s="103">
        <f t="shared" si="73"/>
        <v>390</v>
      </c>
      <c r="E233" s="98">
        <f t="shared" si="70"/>
        <v>390</v>
      </c>
      <c r="F233" s="13">
        <v>1</v>
      </c>
      <c r="G233" s="9" t="s">
        <v>50</v>
      </c>
      <c r="H233" s="148"/>
      <c r="I233" s="147"/>
    </row>
    <row r="234" spans="1:9" x14ac:dyDescent="0.2">
      <c r="A234" s="16" t="s">
        <v>413</v>
      </c>
      <c r="B234" s="16" t="s">
        <v>413</v>
      </c>
      <c r="C234" s="16" t="s">
        <v>421</v>
      </c>
      <c r="D234" s="103">
        <f t="shared" si="73"/>
        <v>391</v>
      </c>
      <c r="E234" s="98">
        <f t="shared" si="70"/>
        <v>391</v>
      </c>
      <c r="F234" s="13">
        <v>1</v>
      </c>
      <c r="G234" s="9" t="s">
        <v>51</v>
      </c>
      <c r="H234" s="148"/>
      <c r="I234" s="147"/>
    </row>
    <row r="235" spans="1:9" x14ac:dyDescent="0.2">
      <c r="A235" s="16" t="s">
        <v>413</v>
      </c>
      <c r="B235" s="16" t="s">
        <v>413</v>
      </c>
      <c r="C235" s="16" t="s">
        <v>421</v>
      </c>
      <c r="D235" s="103">
        <f t="shared" si="73"/>
        <v>392</v>
      </c>
      <c r="E235" s="98">
        <f t="shared" si="70"/>
        <v>392</v>
      </c>
      <c r="F235" s="13">
        <v>1</v>
      </c>
      <c r="G235" s="9" t="s">
        <v>52</v>
      </c>
      <c r="H235" s="148"/>
      <c r="I235" s="147"/>
    </row>
    <row r="236" spans="1:9" x14ac:dyDescent="0.2">
      <c r="A236" s="16" t="s">
        <v>413</v>
      </c>
      <c r="B236" s="16" t="s">
        <v>413</v>
      </c>
      <c r="C236" s="16" t="s">
        <v>421</v>
      </c>
      <c r="D236" s="103">
        <f t="shared" si="73"/>
        <v>393</v>
      </c>
      <c r="E236" s="98">
        <f t="shared" si="70"/>
        <v>393</v>
      </c>
      <c r="F236" s="13">
        <v>1</v>
      </c>
      <c r="G236" s="105" t="s">
        <v>714</v>
      </c>
      <c r="H236" s="148"/>
      <c r="I236" s="147"/>
    </row>
    <row r="237" spans="1:9" x14ac:dyDescent="0.2">
      <c r="A237" s="104" t="s">
        <v>413</v>
      </c>
      <c r="B237" s="104" t="s">
        <v>413</v>
      </c>
      <c r="C237" s="104" t="s">
        <v>421</v>
      </c>
      <c r="D237" s="103">
        <f t="shared" ref="D237:D238" si="74">D236+F236</f>
        <v>394</v>
      </c>
      <c r="E237" s="98">
        <f t="shared" ref="E237:E238" si="75">D237+F237-1</f>
        <v>394</v>
      </c>
      <c r="F237" s="99">
        <v>1</v>
      </c>
      <c r="G237" s="105" t="s">
        <v>712</v>
      </c>
      <c r="H237" s="148"/>
      <c r="I237" s="147"/>
    </row>
    <row r="238" spans="1:9" x14ac:dyDescent="0.2">
      <c r="A238" s="104" t="s">
        <v>413</v>
      </c>
      <c r="B238" s="104" t="s">
        <v>413</v>
      </c>
      <c r="C238" s="104" t="s">
        <v>421</v>
      </c>
      <c r="D238" s="103">
        <f t="shared" si="74"/>
        <v>395</v>
      </c>
      <c r="E238" s="98">
        <f t="shared" si="75"/>
        <v>395</v>
      </c>
      <c r="F238" s="99">
        <v>1</v>
      </c>
      <c r="G238" s="105" t="s">
        <v>713</v>
      </c>
      <c r="H238" s="148"/>
      <c r="I238" s="147"/>
    </row>
    <row r="239" spans="1:9" x14ac:dyDescent="0.2">
      <c r="A239" s="16" t="s">
        <v>413</v>
      </c>
      <c r="B239" s="16" t="s">
        <v>413</v>
      </c>
      <c r="C239" s="16" t="s">
        <v>421</v>
      </c>
      <c r="D239" s="103">
        <f>D238+F238</f>
        <v>396</v>
      </c>
      <c r="E239" s="98">
        <f t="shared" si="70"/>
        <v>396</v>
      </c>
      <c r="F239" s="13">
        <v>1</v>
      </c>
      <c r="G239" s="9" t="s">
        <v>63</v>
      </c>
      <c r="H239" s="148"/>
      <c r="I239" s="147"/>
    </row>
    <row r="240" spans="1:9" x14ac:dyDescent="0.2">
      <c r="A240" s="16"/>
      <c r="B240" s="16"/>
      <c r="C240" s="16"/>
      <c r="D240" s="49"/>
      <c r="E240" s="12"/>
      <c r="F240" s="108">
        <v>2</v>
      </c>
      <c r="G240" s="107" t="s">
        <v>94</v>
      </c>
      <c r="H240" s="5"/>
      <c r="I240" s="6"/>
    </row>
    <row r="241" spans="1:9" x14ac:dyDescent="0.2">
      <c r="A241" s="16"/>
      <c r="B241" s="16"/>
      <c r="C241" s="16"/>
      <c r="D241" s="49"/>
      <c r="E241" s="49"/>
      <c r="F241" s="49"/>
      <c r="G241" s="10" t="s">
        <v>58</v>
      </c>
      <c r="H241" s="5"/>
      <c r="I241" s="6"/>
    </row>
    <row r="242" spans="1:9" ht="12.75" customHeight="1" x14ac:dyDescent="0.2">
      <c r="A242" s="16" t="s">
        <v>413</v>
      </c>
      <c r="B242" s="16" t="s">
        <v>413</v>
      </c>
      <c r="C242" s="16" t="s">
        <v>421</v>
      </c>
      <c r="D242" s="49">
        <f>D239+F239</f>
        <v>397</v>
      </c>
      <c r="E242" s="12">
        <f t="shared" ref="E242:E246" si="76">D242+F242-1</f>
        <v>397</v>
      </c>
      <c r="F242" s="13">
        <v>1</v>
      </c>
      <c r="G242" s="9" t="s">
        <v>52</v>
      </c>
      <c r="H242" s="148" t="s">
        <v>315</v>
      </c>
      <c r="I242" s="147" t="s">
        <v>405</v>
      </c>
    </row>
    <row r="243" spans="1:9" x14ac:dyDescent="0.2">
      <c r="A243" s="16" t="s">
        <v>413</v>
      </c>
      <c r="B243" s="16" t="s">
        <v>413</v>
      </c>
      <c r="C243" s="16" t="s">
        <v>421</v>
      </c>
      <c r="D243" s="49">
        <f t="shared" ref="D243" si="77">D242+F242</f>
        <v>398</v>
      </c>
      <c r="E243" s="12">
        <f t="shared" si="76"/>
        <v>398</v>
      </c>
      <c r="F243" s="13">
        <v>1</v>
      </c>
      <c r="G243" s="105" t="s">
        <v>714</v>
      </c>
      <c r="H243" s="148"/>
      <c r="I243" s="147"/>
    </row>
    <row r="244" spans="1:9" x14ac:dyDescent="0.2">
      <c r="A244" s="104" t="s">
        <v>413</v>
      </c>
      <c r="B244" s="104" t="s">
        <v>413</v>
      </c>
      <c r="C244" s="104" t="s">
        <v>421</v>
      </c>
      <c r="D244" s="103">
        <f t="shared" ref="D244" si="78">D243+F243</f>
        <v>399</v>
      </c>
      <c r="E244" s="98">
        <f t="shared" ref="E244:E245" si="79">D244+F244-1</f>
        <v>399</v>
      </c>
      <c r="F244" s="99">
        <v>1</v>
      </c>
      <c r="G244" s="105" t="s">
        <v>712</v>
      </c>
      <c r="H244" s="148"/>
      <c r="I244" s="147"/>
    </row>
    <row r="245" spans="1:9" x14ac:dyDescent="0.2">
      <c r="A245" s="104" t="s">
        <v>413</v>
      </c>
      <c r="B245" s="104" t="s">
        <v>413</v>
      </c>
      <c r="C245" s="104" t="s">
        <v>421</v>
      </c>
      <c r="D245" s="103">
        <f>D244+F244</f>
        <v>400</v>
      </c>
      <c r="E245" s="98">
        <f t="shared" si="79"/>
        <v>400</v>
      </c>
      <c r="F245" s="99">
        <v>1</v>
      </c>
      <c r="G245" s="105" t="s">
        <v>713</v>
      </c>
      <c r="H245" s="148"/>
      <c r="I245" s="147"/>
    </row>
    <row r="246" spans="1:9" x14ac:dyDescent="0.2">
      <c r="A246" s="16"/>
      <c r="B246" s="16"/>
      <c r="C246" s="16"/>
      <c r="D246" s="103">
        <f>D245+F245</f>
        <v>401</v>
      </c>
      <c r="E246" s="98">
        <f t="shared" si="76"/>
        <v>403</v>
      </c>
      <c r="F246" s="99">
        <v>3</v>
      </c>
      <c r="G246" s="9" t="s">
        <v>94</v>
      </c>
      <c r="H246" s="72"/>
      <c r="I246" s="6"/>
    </row>
    <row r="247" spans="1:9" x14ac:dyDescent="0.2">
      <c r="A247" s="16"/>
      <c r="B247" s="16"/>
      <c r="C247" s="16"/>
      <c r="D247" s="49"/>
      <c r="E247" s="49"/>
      <c r="F247" s="49"/>
      <c r="G247" s="63" t="s">
        <v>142</v>
      </c>
      <c r="H247" s="72"/>
      <c r="I247" s="6"/>
    </row>
    <row r="248" spans="1:9" ht="15" customHeight="1" x14ac:dyDescent="0.2">
      <c r="A248" s="16" t="s">
        <v>413</v>
      </c>
      <c r="B248" s="16" t="s">
        <v>413</v>
      </c>
      <c r="C248" s="16" t="s">
        <v>421</v>
      </c>
      <c r="D248" s="49">
        <f>D246+F246</f>
        <v>404</v>
      </c>
      <c r="E248" s="12">
        <f t="shared" ref="E248:E263" si="80">D248+F248-1</f>
        <v>404</v>
      </c>
      <c r="F248" s="13">
        <v>1</v>
      </c>
      <c r="G248" s="9" t="s">
        <v>143</v>
      </c>
      <c r="H248" s="149" t="s">
        <v>320</v>
      </c>
      <c r="I248" s="149" t="s">
        <v>653</v>
      </c>
    </row>
    <row r="249" spans="1:9" x14ac:dyDescent="0.2">
      <c r="A249" s="16" t="s">
        <v>413</v>
      </c>
      <c r="B249" s="16" t="s">
        <v>413</v>
      </c>
      <c r="C249" s="16" t="s">
        <v>421</v>
      </c>
      <c r="D249" s="49">
        <f t="shared" ref="D249" si="81">D248+F248</f>
        <v>405</v>
      </c>
      <c r="E249" s="12">
        <f t="shared" si="80"/>
        <v>405</v>
      </c>
      <c r="F249" s="13">
        <v>1</v>
      </c>
      <c r="G249" s="9" t="s">
        <v>144</v>
      </c>
      <c r="H249" s="149"/>
      <c r="I249" s="149"/>
    </row>
    <row r="250" spans="1:9" x14ac:dyDescent="0.2">
      <c r="A250" s="16" t="s">
        <v>413</v>
      </c>
      <c r="B250" s="16" t="s">
        <v>413</v>
      </c>
      <c r="C250" s="16" t="s">
        <v>421</v>
      </c>
      <c r="D250" s="49">
        <f t="shared" ref="D250:D258" si="82">D249+F249</f>
        <v>406</v>
      </c>
      <c r="E250" s="12">
        <f t="shared" si="80"/>
        <v>406</v>
      </c>
      <c r="F250" s="13">
        <v>1</v>
      </c>
      <c r="G250" s="9" t="s">
        <v>560</v>
      </c>
      <c r="H250" s="149"/>
      <c r="I250" s="149"/>
    </row>
    <row r="251" spans="1:9" x14ac:dyDescent="0.2">
      <c r="A251" s="16" t="s">
        <v>413</v>
      </c>
      <c r="B251" s="16" t="s">
        <v>413</v>
      </c>
      <c r="C251" s="16" t="s">
        <v>421</v>
      </c>
      <c r="D251" s="49">
        <f t="shared" si="82"/>
        <v>407</v>
      </c>
      <c r="E251" s="12">
        <f t="shared" si="80"/>
        <v>407</v>
      </c>
      <c r="F251" s="13">
        <v>1</v>
      </c>
      <c r="G251" s="9" t="s">
        <v>145</v>
      </c>
      <c r="H251" s="149"/>
      <c r="I251" s="149"/>
    </row>
    <row r="252" spans="1:9" x14ac:dyDescent="0.2">
      <c r="A252" s="16" t="s">
        <v>413</v>
      </c>
      <c r="B252" s="16" t="s">
        <v>413</v>
      </c>
      <c r="C252" s="16" t="s">
        <v>421</v>
      </c>
      <c r="D252" s="49">
        <f t="shared" si="82"/>
        <v>408</v>
      </c>
      <c r="E252" s="12">
        <f t="shared" si="80"/>
        <v>408</v>
      </c>
      <c r="F252" s="13">
        <v>1</v>
      </c>
      <c r="G252" s="9" t="s">
        <v>146</v>
      </c>
      <c r="H252" s="149"/>
      <c r="I252" s="149"/>
    </row>
    <row r="253" spans="1:9" x14ac:dyDescent="0.2">
      <c r="A253" s="16" t="s">
        <v>413</v>
      </c>
      <c r="B253" s="16" t="s">
        <v>413</v>
      </c>
      <c r="C253" s="16" t="s">
        <v>421</v>
      </c>
      <c r="D253" s="49">
        <f t="shared" si="82"/>
        <v>409</v>
      </c>
      <c r="E253" s="12">
        <f t="shared" si="80"/>
        <v>409</v>
      </c>
      <c r="F253" s="13">
        <v>1</v>
      </c>
      <c r="G253" s="9" t="s">
        <v>147</v>
      </c>
      <c r="H253" s="149"/>
      <c r="I253" s="149"/>
    </row>
    <row r="254" spans="1:9" x14ac:dyDescent="0.2">
      <c r="A254" s="16" t="s">
        <v>413</v>
      </c>
      <c r="B254" s="16" t="s">
        <v>413</v>
      </c>
      <c r="C254" s="16" t="s">
        <v>421</v>
      </c>
      <c r="D254" s="49">
        <f t="shared" si="82"/>
        <v>410</v>
      </c>
      <c r="E254" s="12">
        <f t="shared" si="80"/>
        <v>410</v>
      </c>
      <c r="F254" s="13">
        <v>1</v>
      </c>
      <c r="G254" s="9" t="s">
        <v>51</v>
      </c>
      <c r="H254" s="149"/>
      <c r="I254" s="149"/>
    </row>
    <row r="255" spans="1:9" x14ac:dyDescent="0.2">
      <c r="A255" s="16" t="s">
        <v>413</v>
      </c>
      <c r="B255" s="16" t="s">
        <v>413</v>
      </c>
      <c r="C255" s="16" t="s">
        <v>421</v>
      </c>
      <c r="D255" s="49">
        <f t="shared" si="82"/>
        <v>411</v>
      </c>
      <c r="E255" s="12">
        <f t="shared" si="80"/>
        <v>411</v>
      </c>
      <c r="F255" s="13">
        <v>1</v>
      </c>
      <c r="G255" s="9" t="s">
        <v>49</v>
      </c>
      <c r="H255" s="149"/>
      <c r="I255" s="149"/>
    </row>
    <row r="256" spans="1:9" x14ac:dyDescent="0.2">
      <c r="A256" s="16" t="s">
        <v>413</v>
      </c>
      <c r="B256" s="16" t="s">
        <v>413</v>
      </c>
      <c r="C256" s="16" t="s">
        <v>421</v>
      </c>
      <c r="D256" s="49">
        <f t="shared" si="82"/>
        <v>412</v>
      </c>
      <c r="E256" s="12">
        <f t="shared" si="80"/>
        <v>412</v>
      </c>
      <c r="F256" s="13">
        <v>1</v>
      </c>
      <c r="G256" s="9" t="s">
        <v>148</v>
      </c>
      <c r="H256" s="149"/>
      <c r="I256" s="149"/>
    </row>
    <row r="257" spans="1:9" x14ac:dyDescent="0.2">
      <c r="A257" s="16" t="s">
        <v>413</v>
      </c>
      <c r="B257" s="16" t="s">
        <v>413</v>
      </c>
      <c r="C257" s="16" t="s">
        <v>421</v>
      </c>
      <c r="D257" s="49">
        <f t="shared" si="82"/>
        <v>413</v>
      </c>
      <c r="E257" s="12">
        <f t="shared" si="80"/>
        <v>413</v>
      </c>
      <c r="F257" s="13">
        <v>1</v>
      </c>
      <c r="G257" s="9" t="s">
        <v>50</v>
      </c>
      <c r="H257" s="149"/>
      <c r="I257" s="149"/>
    </row>
    <row r="258" spans="1:9" x14ac:dyDescent="0.2">
      <c r="A258" s="16" t="s">
        <v>413</v>
      </c>
      <c r="B258" s="16" t="s">
        <v>413</v>
      </c>
      <c r="C258" s="16" t="s">
        <v>421</v>
      </c>
      <c r="D258" s="49">
        <f t="shared" si="82"/>
        <v>414</v>
      </c>
      <c r="E258" s="12">
        <f t="shared" si="80"/>
        <v>414</v>
      </c>
      <c r="F258" s="13">
        <v>1</v>
      </c>
      <c r="G258" s="9" t="s">
        <v>149</v>
      </c>
      <c r="H258" s="149"/>
      <c r="I258" s="149"/>
    </row>
    <row r="259" spans="1:9" x14ac:dyDescent="0.2">
      <c r="A259" s="16" t="s">
        <v>413</v>
      </c>
      <c r="B259" s="16" t="s">
        <v>413</v>
      </c>
      <c r="C259" s="16" t="s">
        <v>421</v>
      </c>
      <c r="D259" s="49">
        <f t="shared" ref="D259:D260" si="83">D258+F258</f>
        <v>415</v>
      </c>
      <c r="E259" s="12">
        <f t="shared" ref="E259:E260" si="84">D259+F259-1</f>
        <v>415</v>
      </c>
      <c r="F259" s="13">
        <v>1</v>
      </c>
      <c r="G259" s="9" t="s">
        <v>47</v>
      </c>
      <c r="H259" s="149"/>
      <c r="I259" s="149"/>
    </row>
    <row r="260" spans="1:9" x14ac:dyDescent="0.2">
      <c r="A260" s="16" t="s">
        <v>413</v>
      </c>
      <c r="B260" s="16" t="s">
        <v>413</v>
      </c>
      <c r="C260" s="16" t="s">
        <v>421</v>
      </c>
      <c r="D260" s="49">
        <f t="shared" si="83"/>
        <v>416</v>
      </c>
      <c r="E260" s="12">
        <f t="shared" si="84"/>
        <v>416</v>
      </c>
      <c r="F260" s="13">
        <v>1</v>
      </c>
      <c r="G260" s="9" t="s">
        <v>561</v>
      </c>
      <c r="H260" s="149"/>
      <c r="I260" s="149"/>
    </row>
    <row r="261" spans="1:9" x14ac:dyDescent="0.2">
      <c r="A261" s="104" t="s">
        <v>413</v>
      </c>
      <c r="B261" s="104" t="s">
        <v>413</v>
      </c>
      <c r="C261" s="104" t="s">
        <v>421</v>
      </c>
      <c r="D261" s="49">
        <f t="shared" ref="D261:D262" si="85">D260+F260</f>
        <v>417</v>
      </c>
      <c r="E261" s="12">
        <f t="shared" ref="E261:E262" si="86">D261+F261-1</f>
        <v>417</v>
      </c>
      <c r="F261" s="99">
        <v>1</v>
      </c>
      <c r="G261" s="105" t="s">
        <v>800</v>
      </c>
      <c r="H261" s="149"/>
      <c r="I261" s="149"/>
    </row>
    <row r="262" spans="1:9" x14ac:dyDescent="0.2">
      <c r="A262" s="104" t="s">
        <v>413</v>
      </c>
      <c r="B262" s="104" t="s">
        <v>413</v>
      </c>
      <c r="C262" s="104" t="s">
        <v>421</v>
      </c>
      <c r="D262" s="49">
        <f t="shared" si="85"/>
        <v>418</v>
      </c>
      <c r="E262" s="12">
        <f t="shared" si="86"/>
        <v>418</v>
      </c>
      <c r="F262" s="99">
        <v>1</v>
      </c>
      <c r="G262" s="105" t="s">
        <v>801</v>
      </c>
      <c r="H262" s="149"/>
      <c r="I262" s="149"/>
    </row>
    <row r="263" spans="1:9" x14ac:dyDescent="0.2">
      <c r="A263" s="16"/>
      <c r="B263" s="16"/>
      <c r="C263" s="16"/>
      <c r="D263" s="103">
        <f>D262+F262</f>
        <v>419</v>
      </c>
      <c r="E263" s="12">
        <f t="shared" si="80"/>
        <v>419</v>
      </c>
      <c r="F263" s="99">
        <v>1</v>
      </c>
      <c r="G263" s="9" t="s">
        <v>94</v>
      </c>
      <c r="H263" s="5"/>
      <c r="I263" s="6"/>
    </row>
    <row r="264" spans="1:9" x14ac:dyDescent="0.2">
      <c r="A264" s="16"/>
      <c r="B264" s="16"/>
      <c r="C264" s="16"/>
      <c r="D264" s="49"/>
      <c r="E264" s="49"/>
      <c r="F264" s="49"/>
      <c r="G264" s="63" t="s">
        <v>64</v>
      </c>
      <c r="H264" s="5"/>
      <c r="I264" s="77"/>
    </row>
    <row r="265" spans="1:9" ht="63.75" x14ac:dyDescent="0.2">
      <c r="A265" s="16" t="s">
        <v>414</v>
      </c>
      <c r="B265" s="16" t="s">
        <v>414</v>
      </c>
      <c r="C265" s="16"/>
      <c r="D265" s="49">
        <f>D263+F263</f>
        <v>420</v>
      </c>
      <c r="E265" s="12">
        <f t="shared" ref="E265:E274" si="87">D265+F265-1</f>
        <v>420</v>
      </c>
      <c r="F265" s="13">
        <v>1</v>
      </c>
      <c r="G265" s="56" t="s">
        <v>34</v>
      </c>
      <c r="H265" s="72" t="s">
        <v>313</v>
      </c>
      <c r="I265" s="110" t="s">
        <v>735</v>
      </c>
    </row>
    <row r="266" spans="1:9" ht="38.25" x14ac:dyDescent="0.2">
      <c r="A266" s="17" t="s">
        <v>414</v>
      </c>
      <c r="B266" s="17" t="s">
        <v>414</v>
      </c>
      <c r="D266" s="14">
        <f t="shared" ref="D266" si="88">D265+F265</f>
        <v>421</v>
      </c>
      <c r="E266" s="12">
        <f t="shared" si="87"/>
        <v>421</v>
      </c>
      <c r="F266" s="13">
        <v>1</v>
      </c>
      <c r="G266" s="56" t="s">
        <v>35</v>
      </c>
      <c r="H266" s="15" t="s">
        <v>315</v>
      </c>
      <c r="I266" s="110" t="s">
        <v>735</v>
      </c>
    </row>
    <row r="267" spans="1:9" ht="38.25" x14ac:dyDescent="0.2">
      <c r="A267" s="17" t="s">
        <v>414</v>
      </c>
      <c r="B267" s="17" t="s">
        <v>414</v>
      </c>
      <c r="D267" s="14">
        <f t="shared" ref="D267:D270" si="89">D266+F266</f>
        <v>422</v>
      </c>
      <c r="E267" s="12">
        <f t="shared" si="87"/>
        <v>422</v>
      </c>
      <c r="F267" s="13">
        <v>1</v>
      </c>
      <c r="G267" s="56" t="s">
        <v>36</v>
      </c>
      <c r="H267" s="15" t="s">
        <v>315</v>
      </c>
      <c r="I267" s="110" t="s">
        <v>735</v>
      </c>
    </row>
    <row r="268" spans="1:9" ht="63.75" x14ac:dyDescent="0.2">
      <c r="A268" s="17" t="s">
        <v>414</v>
      </c>
      <c r="B268" s="17" t="s">
        <v>414</v>
      </c>
      <c r="D268" s="14">
        <f t="shared" si="89"/>
        <v>423</v>
      </c>
      <c r="E268" s="12">
        <f t="shared" si="87"/>
        <v>423</v>
      </c>
      <c r="F268" s="13">
        <v>1</v>
      </c>
      <c r="G268" s="56" t="s">
        <v>37</v>
      </c>
      <c r="H268" s="43" t="s">
        <v>517</v>
      </c>
      <c r="I268" s="110" t="s">
        <v>735</v>
      </c>
    </row>
    <row r="269" spans="1:9" ht="51" x14ac:dyDescent="0.2">
      <c r="A269" s="17" t="s">
        <v>413</v>
      </c>
      <c r="B269" s="17" t="s">
        <v>413</v>
      </c>
      <c r="D269" s="14">
        <f t="shared" si="89"/>
        <v>424</v>
      </c>
      <c r="E269" s="12">
        <f t="shared" si="87"/>
        <v>433</v>
      </c>
      <c r="F269" s="13">
        <v>10</v>
      </c>
      <c r="G269" s="9" t="s">
        <v>59</v>
      </c>
      <c r="H269" s="11" t="s">
        <v>317</v>
      </c>
      <c r="I269" s="110" t="s">
        <v>735</v>
      </c>
    </row>
    <row r="270" spans="1:9" ht="63.75" x14ac:dyDescent="0.2">
      <c r="A270" s="17" t="s">
        <v>413</v>
      </c>
      <c r="B270" s="17" t="s">
        <v>413</v>
      </c>
      <c r="D270" s="14">
        <f t="shared" si="89"/>
        <v>434</v>
      </c>
      <c r="E270" s="12">
        <f t="shared" si="87"/>
        <v>435</v>
      </c>
      <c r="F270" s="13">
        <v>2</v>
      </c>
      <c r="G270" s="9" t="s">
        <v>60</v>
      </c>
      <c r="H270" s="15" t="s">
        <v>316</v>
      </c>
      <c r="I270" s="110" t="s">
        <v>736</v>
      </c>
    </row>
    <row r="271" spans="1:9" ht="38.25" x14ac:dyDescent="0.2">
      <c r="A271" s="112" t="s">
        <v>413</v>
      </c>
      <c r="B271" s="112" t="s">
        <v>413</v>
      </c>
      <c r="C271" s="96"/>
      <c r="D271" s="97"/>
      <c r="E271" s="98"/>
      <c r="F271" s="108">
        <v>1</v>
      </c>
      <c r="G271" s="107" t="s">
        <v>513</v>
      </c>
      <c r="H271" s="113" t="s">
        <v>514</v>
      </c>
      <c r="I271" s="111" t="s">
        <v>515</v>
      </c>
    </row>
    <row r="272" spans="1:9" ht="38.25" x14ac:dyDescent="0.2">
      <c r="A272" s="96" t="s">
        <v>413</v>
      </c>
      <c r="B272" s="96" t="s">
        <v>413</v>
      </c>
      <c r="C272" s="96"/>
      <c r="D272" s="97">
        <f>D270+F270</f>
        <v>436</v>
      </c>
      <c r="E272" s="98">
        <f t="shared" ref="E272:E273" si="90">D272+F272-1</f>
        <v>436</v>
      </c>
      <c r="F272" s="99">
        <v>1</v>
      </c>
      <c r="G272" s="102" t="s">
        <v>677</v>
      </c>
      <c r="H272" s="101" t="s">
        <v>315</v>
      </c>
      <c r="I272" s="95" t="s">
        <v>679</v>
      </c>
    </row>
    <row r="273" spans="1:9" ht="38.25" x14ac:dyDescent="0.2">
      <c r="A273" s="96" t="s">
        <v>413</v>
      </c>
      <c r="B273" s="96" t="s">
        <v>413</v>
      </c>
      <c r="C273" s="96"/>
      <c r="D273" s="97">
        <f t="shared" ref="D273" si="91">D272+F272</f>
        <v>437</v>
      </c>
      <c r="E273" s="98">
        <f t="shared" si="90"/>
        <v>437</v>
      </c>
      <c r="F273" s="99">
        <v>1</v>
      </c>
      <c r="G273" s="102" t="s">
        <v>678</v>
      </c>
      <c r="H273" s="101" t="s">
        <v>315</v>
      </c>
      <c r="I273" s="95" t="s">
        <v>679</v>
      </c>
    </row>
    <row r="274" spans="1:9" x14ac:dyDescent="0.2">
      <c r="D274" s="103">
        <f>D273+F273</f>
        <v>438</v>
      </c>
      <c r="E274" s="12">
        <f t="shared" si="87"/>
        <v>445</v>
      </c>
      <c r="F274" s="99">
        <v>8</v>
      </c>
      <c r="G274" s="9" t="s">
        <v>94</v>
      </c>
    </row>
    <row r="275" spans="1:9" x14ac:dyDescent="0.2">
      <c r="G275" s="10" t="s">
        <v>38</v>
      </c>
    </row>
    <row r="276" spans="1:9" ht="63.75" x14ac:dyDescent="0.2">
      <c r="A276" s="17" t="s">
        <v>414</v>
      </c>
      <c r="B276" s="17" t="s">
        <v>414</v>
      </c>
      <c r="D276" s="14">
        <f>D274+F274</f>
        <v>446</v>
      </c>
      <c r="E276" s="12">
        <f t="shared" ref="E276:E281" si="92">D276+F276-1</f>
        <v>446</v>
      </c>
      <c r="F276" s="13">
        <v>1</v>
      </c>
      <c r="G276" s="9" t="s">
        <v>39</v>
      </c>
      <c r="H276" s="15" t="s">
        <v>319</v>
      </c>
      <c r="I276" s="110" t="s">
        <v>735</v>
      </c>
    </row>
    <row r="277" spans="1:9" x14ac:dyDescent="0.2">
      <c r="A277" s="17" t="s">
        <v>414</v>
      </c>
      <c r="B277" s="17" t="s">
        <v>414</v>
      </c>
      <c r="D277" s="14">
        <f t="shared" ref="D277" si="93">D276+F276</f>
        <v>447</v>
      </c>
      <c r="E277" s="12">
        <f t="shared" si="92"/>
        <v>447</v>
      </c>
      <c r="F277" s="13">
        <v>1</v>
      </c>
      <c r="G277" s="9" t="s">
        <v>40</v>
      </c>
      <c r="H277" s="157" t="s">
        <v>315</v>
      </c>
      <c r="I277" s="156" t="s">
        <v>735</v>
      </c>
    </row>
    <row r="278" spans="1:9" x14ac:dyDescent="0.2">
      <c r="A278" s="17" t="s">
        <v>414</v>
      </c>
      <c r="B278" s="17" t="s">
        <v>414</v>
      </c>
      <c r="D278" s="14">
        <f t="shared" ref="D278:D281" si="94">D277+F277</f>
        <v>448</v>
      </c>
      <c r="E278" s="12">
        <f t="shared" si="92"/>
        <v>448</v>
      </c>
      <c r="F278" s="13">
        <v>1</v>
      </c>
      <c r="G278" s="9" t="s">
        <v>41</v>
      </c>
      <c r="H278" s="157"/>
      <c r="I278" s="156"/>
    </row>
    <row r="279" spans="1:9" x14ac:dyDescent="0.2">
      <c r="A279" s="17" t="s">
        <v>414</v>
      </c>
      <c r="B279" s="17" t="s">
        <v>414</v>
      </c>
      <c r="D279" s="14">
        <f t="shared" si="94"/>
        <v>449</v>
      </c>
      <c r="E279" s="12">
        <f t="shared" si="92"/>
        <v>449</v>
      </c>
      <c r="F279" s="13">
        <v>1</v>
      </c>
      <c r="G279" s="9" t="s">
        <v>42</v>
      </c>
      <c r="H279" s="157"/>
      <c r="I279" s="156"/>
    </row>
    <row r="280" spans="1:9" x14ac:dyDescent="0.2">
      <c r="A280" s="17" t="s">
        <v>414</v>
      </c>
      <c r="B280" s="17" t="s">
        <v>414</v>
      </c>
      <c r="D280" s="14">
        <f t="shared" si="94"/>
        <v>450</v>
      </c>
      <c r="E280" s="12">
        <f t="shared" si="92"/>
        <v>450</v>
      </c>
      <c r="F280" s="13">
        <v>1</v>
      </c>
      <c r="G280" s="9" t="s">
        <v>43</v>
      </c>
      <c r="H280" s="157"/>
      <c r="I280" s="156"/>
    </row>
    <row r="281" spans="1:9" x14ac:dyDescent="0.2">
      <c r="A281" s="17" t="s">
        <v>414</v>
      </c>
      <c r="B281" s="17" t="s">
        <v>414</v>
      </c>
      <c r="D281" s="14">
        <f t="shared" si="94"/>
        <v>451</v>
      </c>
      <c r="E281" s="12">
        <f t="shared" si="92"/>
        <v>451</v>
      </c>
      <c r="F281" s="13">
        <v>1</v>
      </c>
      <c r="G281" s="9" t="s">
        <v>44</v>
      </c>
      <c r="H281" s="157"/>
      <c r="I281" s="156"/>
    </row>
    <row r="282" spans="1:9" x14ac:dyDescent="0.2">
      <c r="G282" s="10" t="s">
        <v>480</v>
      </c>
      <c r="I282" s="6"/>
    </row>
    <row r="283" spans="1:9" x14ac:dyDescent="0.2">
      <c r="A283" s="17" t="s">
        <v>414</v>
      </c>
      <c r="B283" s="17" t="s">
        <v>414</v>
      </c>
      <c r="D283" s="14">
        <f>D281+F281</f>
        <v>452</v>
      </c>
      <c r="E283" s="12">
        <f t="shared" ref="E283:E299" si="95">D283+F283-1</f>
        <v>452</v>
      </c>
      <c r="F283" s="13">
        <v>1</v>
      </c>
      <c r="G283" s="9" t="s">
        <v>215</v>
      </c>
      <c r="H283" s="150" t="s">
        <v>315</v>
      </c>
      <c r="I283" s="151" t="s">
        <v>735</v>
      </c>
    </row>
    <row r="284" spans="1:9" x14ac:dyDescent="0.2">
      <c r="A284" s="17" t="s">
        <v>414</v>
      </c>
      <c r="B284" s="17" t="s">
        <v>414</v>
      </c>
      <c r="D284" s="14">
        <f t="shared" ref="D284" si="96">D283+F283</f>
        <v>453</v>
      </c>
      <c r="E284" s="12">
        <f t="shared" si="95"/>
        <v>453</v>
      </c>
      <c r="F284" s="13">
        <v>1</v>
      </c>
      <c r="G284" s="9" t="s">
        <v>216</v>
      </c>
      <c r="H284" s="150"/>
      <c r="I284" s="151"/>
    </row>
    <row r="285" spans="1:9" x14ac:dyDescent="0.2">
      <c r="A285" s="17" t="s">
        <v>414</v>
      </c>
      <c r="B285" s="17" t="s">
        <v>414</v>
      </c>
      <c r="D285" s="14">
        <f t="shared" ref="D285:D299" si="97">D284+F284</f>
        <v>454</v>
      </c>
      <c r="E285" s="12">
        <f t="shared" si="95"/>
        <v>454</v>
      </c>
      <c r="F285" s="13">
        <v>1</v>
      </c>
      <c r="G285" s="9" t="s">
        <v>217</v>
      </c>
      <c r="H285" s="150"/>
      <c r="I285" s="151"/>
    </row>
    <row r="286" spans="1:9" x14ac:dyDescent="0.2">
      <c r="A286" s="17" t="s">
        <v>414</v>
      </c>
      <c r="B286" s="17" t="s">
        <v>414</v>
      </c>
      <c r="D286" s="14">
        <f t="shared" si="97"/>
        <v>455</v>
      </c>
      <c r="E286" s="12">
        <f t="shared" si="95"/>
        <v>455</v>
      </c>
      <c r="F286" s="13">
        <v>1</v>
      </c>
      <c r="G286" s="9" t="s">
        <v>218</v>
      </c>
      <c r="H286" s="150"/>
      <c r="I286" s="151"/>
    </row>
    <row r="287" spans="1:9" x14ac:dyDescent="0.2">
      <c r="A287" s="17" t="s">
        <v>414</v>
      </c>
      <c r="B287" s="17" t="s">
        <v>414</v>
      </c>
      <c r="D287" s="14">
        <f t="shared" si="97"/>
        <v>456</v>
      </c>
      <c r="E287" s="12">
        <f t="shared" si="95"/>
        <v>456</v>
      </c>
      <c r="F287" s="13">
        <v>1</v>
      </c>
      <c r="G287" s="9" t="s">
        <v>219</v>
      </c>
      <c r="H287" s="150"/>
      <c r="I287" s="151"/>
    </row>
    <row r="288" spans="1:9" x14ac:dyDescent="0.2">
      <c r="A288" s="17" t="s">
        <v>414</v>
      </c>
      <c r="B288" s="17" t="s">
        <v>414</v>
      </c>
      <c r="D288" s="14">
        <f t="shared" si="97"/>
        <v>457</v>
      </c>
      <c r="E288" s="12">
        <f t="shared" si="95"/>
        <v>457</v>
      </c>
      <c r="F288" s="13">
        <v>1</v>
      </c>
      <c r="G288" s="9" t="s">
        <v>220</v>
      </c>
      <c r="H288" s="150"/>
      <c r="I288" s="151"/>
    </row>
    <row r="289" spans="1:9" x14ac:dyDescent="0.2">
      <c r="A289" s="17" t="s">
        <v>414</v>
      </c>
      <c r="B289" s="17" t="s">
        <v>414</v>
      </c>
      <c r="D289" s="14">
        <f t="shared" si="97"/>
        <v>458</v>
      </c>
      <c r="E289" s="12">
        <f t="shared" si="95"/>
        <v>458</v>
      </c>
      <c r="F289" s="13">
        <v>1</v>
      </c>
      <c r="G289" s="9" t="s">
        <v>221</v>
      </c>
      <c r="H289" s="150"/>
      <c r="I289" s="151"/>
    </row>
    <row r="290" spans="1:9" x14ac:dyDescent="0.2">
      <c r="A290" s="17" t="s">
        <v>414</v>
      </c>
      <c r="B290" s="17" t="s">
        <v>414</v>
      </c>
      <c r="D290" s="14">
        <f t="shared" si="97"/>
        <v>459</v>
      </c>
      <c r="E290" s="12">
        <f t="shared" si="95"/>
        <v>459</v>
      </c>
      <c r="F290" s="13">
        <v>1</v>
      </c>
      <c r="G290" s="9" t="s">
        <v>222</v>
      </c>
      <c r="H290" s="150"/>
      <c r="I290" s="151"/>
    </row>
    <row r="291" spans="1:9" x14ac:dyDescent="0.2">
      <c r="A291" s="17" t="s">
        <v>414</v>
      </c>
      <c r="B291" s="17" t="s">
        <v>414</v>
      </c>
      <c r="D291" s="14">
        <f t="shared" si="97"/>
        <v>460</v>
      </c>
      <c r="E291" s="12">
        <f t="shared" si="95"/>
        <v>460</v>
      </c>
      <c r="F291" s="13">
        <v>1</v>
      </c>
      <c r="G291" s="9" t="s">
        <v>223</v>
      </c>
      <c r="H291" s="150"/>
      <c r="I291" s="151"/>
    </row>
    <row r="292" spans="1:9" x14ac:dyDescent="0.2">
      <c r="A292" s="17" t="s">
        <v>414</v>
      </c>
      <c r="B292" s="17" t="s">
        <v>414</v>
      </c>
      <c r="D292" s="14">
        <f t="shared" si="97"/>
        <v>461</v>
      </c>
      <c r="E292" s="12">
        <f t="shared" si="95"/>
        <v>461</v>
      </c>
      <c r="F292" s="13">
        <v>1</v>
      </c>
      <c r="G292" s="9" t="s">
        <v>224</v>
      </c>
      <c r="H292" s="150"/>
      <c r="I292" s="151"/>
    </row>
    <row r="293" spans="1:9" x14ac:dyDescent="0.2">
      <c r="A293" s="17" t="s">
        <v>414</v>
      </c>
      <c r="B293" s="17" t="s">
        <v>414</v>
      </c>
      <c r="D293" s="14">
        <f t="shared" si="97"/>
        <v>462</v>
      </c>
      <c r="E293" s="12">
        <f t="shared" si="95"/>
        <v>462</v>
      </c>
      <c r="F293" s="13">
        <v>1</v>
      </c>
      <c r="G293" s="9" t="s">
        <v>225</v>
      </c>
      <c r="H293" s="150"/>
      <c r="I293" s="151"/>
    </row>
    <row r="294" spans="1:9" x14ac:dyDescent="0.2">
      <c r="A294" s="17" t="s">
        <v>414</v>
      </c>
      <c r="B294" s="17" t="s">
        <v>414</v>
      </c>
      <c r="D294" s="14">
        <f t="shared" si="97"/>
        <v>463</v>
      </c>
      <c r="E294" s="12">
        <f t="shared" si="95"/>
        <v>463</v>
      </c>
      <c r="F294" s="13">
        <v>1</v>
      </c>
      <c r="G294" s="9" t="s">
        <v>226</v>
      </c>
      <c r="H294" s="150"/>
      <c r="I294" s="151"/>
    </row>
    <row r="295" spans="1:9" x14ac:dyDescent="0.2">
      <c r="A295" s="17" t="s">
        <v>414</v>
      </c>
      <c r="B295" s="17" t="s">
        <v>414</v>
      </c>
      <c r="D295" s="14">
        <f t="shared" si="97"/>
        <v>464</v>
      </c>
      <c r="E295" s="12">
        <f t="shared" si="95"/>
        <v>464</v>
      </c>
      <c r="F295" s="13">
        <v>1</v>
      </c>
      <c r="G295" s="9" t="s">
        <v>227</v>
      </c>
      <c r="H295" s="150"/>
      <c r="I295" s="151"/>
    </row>
    <row r="296" spans="1:9" x14ac:dyDescent="0.2">
      <c r="A296" s="17" t="s">
        <v>414</v>
      </c>
      <c r="B296" s="17" t="s">
        <v>414</v>
      </c>
      <c r="D296" s="14">
        <f t="shared" si="97"/>
        <v>465</v>
      </c>
      <c r="E296" s="12">
        <f t="shared" si="95"/>
        <v>465</v>
      </c>
      <c r="F296" s="13">
        <v>1</v>
      </c>
      <c r="G296" s="9" t="s">
        <v>228</v>
      </c>
      <c r="H296" s="150"/>
      <c r="I296" s="151"/>
    </row>
    <row r="297" spans="1:9" x14ac:dyDescent="0.2">
      <c r="A297" s="17" t="s">
        <v>414</v>
      </c>
      <c r="B297" s="17" t="s">
        <v>414</v>
      </c>
      <c r="D297" s="14">
        <f t="shared" si="97"/>
        <v>466</v>
      </c>
      <c r="E297" s="12">
        <f t="shared" si="95"/>
        <v>466</v>
      </c>
      <c r="F297" s="13">
        <v>1</v>
      </c>
      <c r="G297" s="9" t="s">
        <v>229</v>
      </c>
      <c r="H297" s="150"/>
      <c r="I297" s="151"/>
    </row>
    <row r="298" spans="1:9" x14ac:dyDescent="0.2">
      <c r="A298" s="17" t="s">
        <v>414</v>
      </c>
      <c r="B298" s="17" t="s">
        <v>414</v>
      </c>
      <c r="D298" s="14">
        <f t="shared" si="97"/>
        <v>467</v>
      </c>
      <c r="E298" s="12">
        <f t="shared" si="95"/>
        <v>467</v>
      </c>
      <c r="F298" s="13">
        <v>1</v>
      </c>
      <c r="G298" s="9" t="s">
        <v>230</v>
      </c>
      <c r="H298" s="150"/>
      <c r="I298" s="151"/>
    </row>
    <row r="299" spans="1:9" x14ac:dyDescent="0.2">
      <c r="A299" s="17" t="s">
        <v>414</v>
      </c>
      <c r="B299" s="17" t="s">
        <v>414</v>
      </c>
      <c r="D299" s="14">
        <f t="shared" si="97"/>
        <v>468</v>
      </c>
      <c r="E299" s="12">
        <f t="shared" si="95"/>
        <v>468</v>
      </c>
      <c r="F299" s="13">
        <v>1</v>
      </c>
      <c r="G299" s="9" t="s">
        <v>152</v>
      </c>
      <c r="H299" s="150"/>
      <c r="I299" s="151"/>
    </row>
    <row r="300" spans="1:9" x14ac:dyDescent="0.2">
      <c r="A300" s="53"/>
      <c r="B300" s="16"/>
      <c r="C300" s="16"/>
      <c r="D300" s="49"/>
      <c r="E300" s="12"/>
      <c r="F300" s="13"/>
      <c r="G300" s="10" t="s">
        <v>521</v>
      </c>
      <c r="H300" s="70"/>
      <c r="I300" s="75"/>
    </row>
    <row r="301" spans="1:9" ht="15" customHeight="1" x14ac:dyDescent="0.2">
      <c r="A301" s="104" t="s">
        <v>414</v>
      </c>
      <c r="B301" s="104" t="s">
        <v>414</v>
      </c>
      <c r="C301" s="104"/>
      <c r="D301" s="103">
        <f>D299+F301</f>
        <v>469</v>
      </c>
      <c r="E301" s="98">
        <f t="shared" ref="E301" si="98">D301+F301-1</f>
        <v>469</v>
      </c>
      <c r="F301" s="99">
        <v>1</v>
      </c>
      <c r="G301" s="105" t="s">
        <v>143</v>
      </c>
      <c r="H301" s="150" t="s">
        <v>559</v>
      </c>
      <c r="I301" s="148" t="s">
        <v>565</v>
      </c>
    </row>
    <row r="302" spans="1:9" ht="12.75" customHeight="1" x14ac:dyDescent="0.2">
      <c r="A302" s="53" t="s">
        <v>414</v>
      </c>
      <c r="B302" s="16" t="s">
        <v>414</v>
      </c>
      <c r="C302" s="16"/>
      <c r="D302" s="103">
        <f>D301+F301</f>
        <v>470</v>
      </c>
      <c r="E302" s="98">
        <f t="shared" ref="E302" si="99">D302+F302-1</f>
        <v>470</v>
      </c>
      <c r="F302" s="13">
        <v>1</v>
      </c>
      <c r="G302" s="105" t="s">
        <v>703</v>
      </c>
      <c r="H302" s="150"/>
      <c r="I302" s="148"/>
    </row>
    <row r="303" spans="1:9" x14ac:dyDescent="0.2">
      <c r="A303" s="53" t="s">
        <v>414</v>
      </c>
      <c r="B303" s="16" t="s">
        <v>414</v>
      </c>
      <c r="C303" s="16"/>
      <c r="D303" s="103">
        <f t="shared" ref="D303:D318" si="100">D302+F302</f>
        <v>471</v>
      </c>
      <c r="E303" s="98">
        <f t="shared" ref="E303:E318" si="101">D303+F303-1</f>
        <v>471</v>
      </c>
      <c r="F303" s="13">
        <v>1</v>
      </c>
      <c r="G303" s="9" t="s">
        <v>146</v>
      </c>
      <c r="H303" s="150"/>
      <c r="I303" s="148"/>
    </row>
    <row r="304" spans="1:9" x14ac:dyDescent="0.2">
      <c r="A304" s="104" t="s">
        <v>414</v>
      </c>
      <c r="B304" s="104" t="s">
        <v>414</v>
      </c>
      <c r="C304" s="104"/>
      <c r="D304" s="103">
        <f t="shared" si="100"/>
        <v>472</v>
      </c>
      <c r="E304" s="98">
        <f t="shared" si="101"/>
        <v>472</v>
      </c>
      <c r="F304" s="99">
        <v>1</v>
      </c>
      <c r="G304" s="105" t="s">
        <v>147</v>
      </c>
      <c r="H304" s="150"/>
      <c r="I304" s="148"/>
    </row>
    <row r="305" spans="1:9" x14ac:dyDescent="0.2">
      <c r="A305" s="53" t="s">
        <v>414</v>
      </c>
      <c r="B305" s="16" t="s">
        <v>414</v>
      </c>
      <c r="C305" s="16"/>
      <c r="D305" s="103">
        <f t="shared" si="100"/>
        <v>473</v>
      </c>
      <c r="E305" s="98">
        <f t="shared" si="101"/>
        <v>473</v>
      </c>
      <c r="F305" s="13">
        <v>1</v>
      </c>
      <c r="G305" s="9" t="s">
        <v>51</v>
      </c>
      <c r="H305" s="150"/>
      <c r="I305" s="148"/>
    </row>
    <row r="306" spans="1:9" x14ac:dyDescent="0.2">
      <c r="A306" s="53" t="s">
        <v>414</v>
      </c>
      <c r="B306" s="16" t="s">
        <v>414</v>
      </c>
      <c r="C306" s="16"/>
      <c r="D306" s="103">
        <f t="shared" si="100"/>
        <v>474</v>
      </c>
      <c r="E306" s="98">
        <f t="shared" si="101"/>
        <v>474</v>
      </c>
      <c r="F306" s="13">
        <v>1</v>
      </c>
      <c r="G306" s="9" t="s">
        <v>49</v>
      </c>
      <c r="H306" s="150"/>
      <c r="I306" s="148"/>
    </row>
    <row r="307" spans="1:9" x14ac:dyDescent="0.2">
      <c r="A307" s="53" t="s">
        <v>414</v>
      </c>
      <c r="B307" s="16" t="s">
        <v>414</v>
      </c>
      <c r="C307" s="16"/>
      <c r="D307" s="103">
        <f t="shared" si="100"/>
        <v>475</v>
      </c>
      <c r="E307" s="98">
        <f t="shared" si="101"/>
        <v>475</v>
      </c>
      <c r="F307" s="13">
        <v>1</v>
      </c>
      <c r="G307" s="9" t="s">
        <v>50</v>
      </c>
      <c r="H307" s="150"/>
      <c r="I307" s="148"/>
    </row>
    <row r="308" spans="1:9" x14ac:dyDescent="0.2">
      <c r="A308" s="53" t="s">
        <v>414</v>
      </c>
      <c r="B308" s="16" t="s">
        <v>414</v>
      </c>
      <c r="C308" s="16"/>
      <c r="D308" s="103">
        <f t="shared" si="100"/>
        <v>476</v>
      </c>
      <c r="E308" s="98">
        <f t="shared" si="101"/>
        <v>476</v>
      </c>
      <c r="F308" s="13">
        <v>1</v>
      </c>
      <c r="G308" s="9" t="s">
        <v>149</v>
      </c>
      <c r="H308" s="150"/>
      <c r="I308" s="148"/>
    </row>
    <row r="309" spans="1:9" x14ac:dyDescent="0.2">
      <c r="A309" s="53" t="s">
        <v>414</v>
      </c>
      <c r="B309" s="16" t="s">
        <v>414</v>
      </c>
      <c r="C309" s="16"/>
      <c r="D309" s="103">
        <f t="shared" si="100"/>
        <v>477</v>
      </c>
      <c r="E309" s="98">
        <f t="shared" si="101"/>
        <v>477</v>
      </c>
      <c r="F309" s="13">
        <v>1</v>
      </c>
      <c r="G309" s="105" t="s">
        <v>699</v>
      </c>
      <c r="H309" s="150"/>
      <c r="I309" s="148"/>
    </row>
    <row r="310" spans="1:9" x14ac:dyDescent="0.2">
      <c r="A310" s="104" t="s">
        <v>414</v>
      </c>
      <c r="B310" s="104" t="s">
        <v>414</v>
      </c>
      <c r="C310" s="104"/>
      <c r="D310" s="103">
        <f t="shared" si="100"/>
        <v>478</v>
      </c>
      <c r="E310" s="98">
        <f t="shared" si="101"/>
        <v>478</v>
      </c>
      <c r="F310" s="99">
        <v>1</v>
      </c>
      <c r="G310" s="105" t="s">
        <v>704</v>
      </c>
      <c r="H310" s="150"/>
      <c r="I310" s="148"/>
    </row>
    <row r="311" spans="1:9" x14ac:dyDescent="0.2">
      <c r="A311" s="53" t="s">
        <v>414</v>
      </c>
      <c r="B311" s="16" t="s">
        <v>414</v>
      </c>
      <c r="C311" s="16"/>
      <c r="D311" s="103">
        <f t="shared" si="100"/>
        <v>479</v>
      </c>
      <c r="E311" s="98">
        <f t="shared" si="101"/>
        <v>479</v>
      </c>
      <c r="F311" s="13">
        <v>1</v>
      </c>
      <c r="G311" s="106" t="s">
        <v>700</v>
      </c>
      <c r="H311" s="150"/>
      <c r="I311" s="148"/>
    </row>
    <row r="312" spans="1:9" x14ac:dyDescent="0.2">
      <c r="A312" s="53" t="s">
        <v>414</v>
      </c>
      <c r="B312" s="16" t="s">
        <v>414</v>
      </c>
      <c r="C312" s="16"/>
      <c r="D312" s="103">
        <f t="shared" si="100"/>
        <v>480</v>
      </c>
      <c r="E312" s="98">
        <f t="shared" si="101"/>
        <v>480</v>
      </c>
      <c r="F312" s="13">
        <v>1</v>
      </c>
      <c r="G312" s="9" t="s">
        <v>48</v>
      </c>
      <c r="H312" s="150"/>
      <c r="I312" s="148"/>
    </row>
    <row r="313" spans="1:9" x14ac:dyDescent="0.2">
      <c r="A313" s="53" t="s">
        <v>414</v>
      </c>
      <c r="B313" s="16" t="s">
        <v>414</v>
      </c>
      <c r="C313" s="16"/>
      <c r="D313" s="103">
        <f t="shared" si="100"/>
        <v>481</v>
      </c>
      <c r="E313" s="98">
        <f t="shared" si="101"/>
        <v>481</v>
      </c>
      <c r="F313" s="13">
        <v>1</v>
      </c>
      <c r="G313" s="9" t="s">
        <v>46</v>
      </c>
      <c r="H313" s="150"/>
      <c r="I313" s="148"/>
    </row>
    <row r="314" spans="1:9" x14ac:dyDescent="0.2">
      <c r="A314" s="53" t="s">
        <v>414</v>
      </c>
      <c r="B314" s="16" t="s">
        <v>414</v>
      </c>
      <c r="C314" s="16"/>
      <c r="D314" s="103">
        <f t="shared" si="100"/>
        <v>482</v>
      </c>
      <c r="E314" s="98">
        <f t="shared" si="101"/>
        <v>482</v>
      </c>
      <c r="F314" s="13">
        <v>1</v>
      </c>
      <c r="G314" s="9" t="s">
        <v>152</v>
      </c>
      <c r="H314" s="150"/>
      <c r="I314" s="148"/>
    </row>
    <row r="315" spans="1:9" x14ac:dyDescent="0.2">
      <c r="A315" s="53" t="s">
        <v>414</v>
      </c>
      <c r="B315" s="16" t="s">
        <v>414</v>
      </c>
      <c r="C315" s="16"/>
      <c r="D315" s="103">
        <f t="shared" si="100"/>
        <v>483</v>
      </c>
      <c r="E315" s="98">
        <f t="shared" si="101"/>
        <v>483</v>
      </c>
      <c r="F315" s="13">
        <v>1</v>
      </c>
      <c r="G315" s="9" t="s">
        <v>150</v>
      </c>
      <c r="H315" s="150"/>
      <c r="I315" s="148"/>
    </row>
    <row r="316" spans="1:9" x14ac:dyDescent="0.2">
      <c r="A316" s="53" t="s">
        <v>414</v>
      </c>
      <c r="B316" s="16" t="s">
        <v>414</v>
      </c>
      <c r="C316" s="16"/>
      <c r="D316" s="103">
        <f t="shared" si="100"/>
        <v>484</v>
      </c>
      <c r="E316" s="98">
        <f t="shared" si="101"/>
        <v>484</v>
      </c>
      <c r="F316" s="13">
        <v>1</v>
      </c>
      <c r="G316" s="9" t="s">
        <v>525</v>
      </c>
      <c r="H316" s="150"/>
      <c r="I316" s="148"/>
    </row>
    <row r="317" spans="1:9" x14ac:dyDescent="0.2">
      <c r="A317" s="104" t="s">
        <v>414</v>
      </c>
      <c r="B317" s="104" t="s">
        <v>414</v>
      </c>
      <c r="C317" s="104"/>
      <c r="D317" s="103">
        <f t="shared" si="100"/>
        <v>485</v>
      </c>
      <c r="E317" s="98">
        <f t="shared" si="101"/>
        <v>485</v>
      </c>
      <c r="F317" s="99">
        <v>1</v>
      </c>
      <c r="G317" s="105" t="s">
        <v>701</v>
      </c>
      <c r="H317" s="150"/>
      <c r="I317" s="148"/>
    </row>
    <row r="318" spans="1:9" x14ac:dyDescent="0.2">
      <c r="A318" s="104" t="s">
        <v>414</v>
      </c>
      <c r="B318" s="104" t="s">
        <v>414</v>
      </c>
      <c r="C318" s="104"/>
      <c r="D318" s="103">
        <f t="shared" si="100"/>
        <v>486</v>
      </c>
      <c r="E318" s="98">
        <f t="shared" si="101"/>
        <v>486</v>
      </c>
      <c r="F318" s="99">
        <v>1</v>
      </c>
      <c r="G318" s="105" t="s">
        <v>702</v>
      </c>
      <c r="H318" s="150"/>
      <c r="I318" s="148"/>
    </row>
    <row r="319" spans="1:9" x14ac:dyDescent="0.2">
      <c r="B319" s="16"/>
      <c r="C319" s="16"/>
      <c r="D319" s="49"/>
      <c r="E319" s="49"/>
      <c r="F319" s="13"/>
      <c r="G319" s="59" t="s">
        <v>45</v>
      </c>
      <c r="H319" s="5"/>
      <c r="I319" s="6"/>
    </row>
    <row r="320" spans="1:9" ht="15" customHeight="1" x14ac:dyDescent="0.2">
      <c r="A320" s="17" t="s">
        <v>413</v>
      </c>
      <c r="B320" s="16" t="s">
        <v>413</v>
      </c>
      <c r="C320" s="16" t="s">
        <v>421</v>
      </c>
      <c r="D320" s="103">
        <f>D318+F318</f>
        <v>487</v>
      </c>
      <c r="E320" s="98">
        <f t="shared" ref="E320:E332" si="102">D320+F320-1</f>
        <v>487</v>
      </c>
      <c r="F320" s="13">
        <v>1</v>
      </c>
      <c r="G320" s="9" t="s">
        <v>46</v>
      </c>
      <c r="H320" s="148" t="s">
        <v>315</v>
      </c>
      <c r="I320" s="156" t="s">
        <v>735</v>
      </c>
    </row>
    <row r="321" spans="1:9" x14ac:dyDescent="0.2">
      <c r="A321" s="109" t="s">
        <v>413</v>
      </c>
      <c r="B321" s="109" t="s">
        <v>413</v>
      </c>
      <c r="C321" s="109" t="s">
        <v>421</v>
      </c>
      <c r="D321" s="103"/>
      <c r="E321" s="98"/>
      <c r="F321" s="108">
        <v>1</v>
      </c>
      <c r="G321" s="107" t="s">
        <v>47</v>
      </c>
      <c r="H321" s="148"/>
      <c r="I321" s="156"/>
    </row>
    <row r="322" spans="1:9" x14ac:dyDescent="0.2">
      <c r="A322" s="17" t="s">
        <v>413</v>
      </c>
      <c r="B322" s="16" t="s">
        <v>413</v>
      </c>
      <c r="C322" s="16" t="s">
        <v>421</v>
      </c>
      <c r="D322" s="103">
        <f>D320+F320</f>
        <v>488</v>
      </c>
      <c r="E322" s="98">
        <f t="shared" si="102"/>
        <v>488</v>
      </c>
      <c r="F322" s="13">
        <v>1</v>
      </c>
      <c r="G322" s="9" t="s">
        <v>48</v>
      </c>
      <c r="H322" s="148"/>
      <c r="I322" s="156"/>
    </row>
    <row r="323" spans="1:9" x14ac:dyDescent="0.2">
      <c r="A323" s="17" t="s">
        <v>413</v>
      </c>
      <c r="B323" s="16" t="s">
        <v>413</v>
      </c>
      <c r="C323" s="16" t="s">
        <v>421</v>
      </c>
      <c r="D323" s="103">
        <f t="shared" ref="D323:D329" si="103">D322+F322</f>
        <v>489</v>
      </c>
      <c r="E323" s="98">
        <f t="shared" si="102"/>
        <v>489</v>
      </c>
      <c r="F323" s="13">
        <v>1</v>
      </c>
      <c r="G323" s="9" t="s">
        <v>49</v>
      </c>
      <c r="H323" s="148"/>
      <c r="I323" s="156"/>
    </row>
    <row r="324" spans="1:9" x14ac:dyDescent="0.2">
      <c r="A324" s="109" t="s">
        <v>413</v>
      </c>
      <c r="B324" s="109" t="s">
        <v>413</v>
      </c>
      <c r="C324" s="109" t="s">
        <v>421</v>
      </c>
      <c r="D324" s="103"/>
      <c r="E324" s="98"/>
      <c r="F324" s="108">
        <v>1</v>
      </c>
      <c r="G324" s="107" t="s">
        <v>150</v>
      </c>
      <c r="H324" s="148"/>
      <c r="I324" s="156"/>
    </row>
    <row r="325" spans="1:9" x14ac:dyDescent="0.2">
      <c r="A325" s="17" t="s">
        <v>413</v>
      </c>
      <c r="B325" s="16" t="s">
        <v>413</v>
      </c>
      <c r="C325" s="16" t="s">
        <v>421</v>
      </c>
      <c r="D325" s="103">
        <f>D323+F323</f>
        <v>490</v>
      </c>
      <c r="E325" s="98">
        <f t="shared" si="102"/>
        <v>490</v>
      </c>
      <c r="F325" s="13">
        <v>1</v>
      </c>
      <c r="G325" s="9" t="s">
        <v>50</v>
      </c>
      <c r="H325" s="148"/>
      <c r="I325" s="156"/>
    </row>
    <row r="326" spans="1:9" x14ac:dyDescent="0.2">
      <c r="A326" s="109" t="s">
        <v>413</v>
      </c>
      <c r="B326" s="109" t="s">
        <v>413</v>
      </c>
      <c r="C326" s="109" t="s">
        <v>421</v>
      </c>
      <c r="D326" s="103"/>
      <c r="E326" s="98"/>
      <c r="F326" s="108">
        <v>1</v>
      </c>
      <c r="G326" s="107" t="s">
        <v>151</v>
      </c>
      <c r="H326" s="148"/>
      <c r="I326" s="156"/>
    </row>
    <row r="327" spans="1:9" x14ac:dyDescent="0.2">
      <c r="A327" s="17" t="s">
        <v>413</v>
      </c>
      <c r="B327" s="16" t="s">
        <v>413</v>
      </c>
      <c r="C327" s="16" t="s">
        <v>421</v>
      </c>
      <c r="D327" s="103">
        <f>D325+F325</f>
        <v>491</v>
      </c>
      <c r="E327" s="98">
        <f t="shared" si="102"/>
        <v>491</v>
      </c>
      <c r="F327" s="13">
        <v>1</v>
      </c>
      <c r="G327" s="9" t="s">
        <v>51</v>
      </c>
      <c r="H327" s="148"/>
      <c r="I327" s="156"/>
    </row>
    <row r="328" spans="1:9" x14ac:dyDescent="0.2">
      <c r="A328" s="17" t="s">
        <v>413</v>
      </c>
      <c r="B328" s="16" t="s">
        <v>413</v>
      </c>
      <c r="C328" s="16" t="s">
        <v>421</v>
      </c>
      <c r="D328" s="103">
        <f t="shared" si="103"/>
        <v>492</v>
      </c>
      <c r="E328" s="98">
        <f t="shared" si="102"/>
        <v>492</v>
      </c>
      <c r="F328" s="13">
        <v>1</v>
      </c>
      <c r="G328" s="9" t="s">
        <v>52</v>
      </c>
      <c r="H328" s="148"/>
      <c r="I328" s="156"/>
    </row>
    <row r="329" spans="1:9" x14ac:dyDescent="0.2">
      <c r="A329" s="17" t="s">
        <v>413</v>
      </c>
      <c r="B329" s="16" t="s">
        <v>413</v>
      </c>
      <c r="C329" s="16" t="s">
        <v>421</v>
      </c>
      <c r="D329" s="103">
        <f t="shared" si="103"/>
        <v>493</v>
      </c>
      <c r="E329" s="98">
        <f t="shared" si="102"/>
        <v>493</v>
      </c>
      <c r="F329" s="13">
        <v>1</v>
      </c>
      <c r="G329" s="105" t="s">
        <v>714</v>
      </c>
      <c r="H329" s="148"/>
      <c r="I329" s="156"/>
    </row>
    <row r="330" spans="1:9" x14ac:dyDescent="0.2">
      <c r="A330" s="104" t="s">
        <v>413</v>
      </c>
      <c r="B330" s="104" t="s">
        <v>413</v>
      </c>
      <c r="C330" s="104" t="s">
        <v>421</v>
      </c>
      <c r="D330" s="103">
        <f t="shared" ref="D330:D331" si="104">D329+F329</f>
        <v>494</v>
      </c>
      <c r="E330" s="98">
        <f t="shared" ref="E330:E331" si="105">D330+F330-1</f>
        <v>494</v>
      </c>
      <c r="F330" s="99">
        <v>1</v>
      </c>
      <c r="G330" s="105" t="s">
        <v>712</v>
      </c>
      <c r="H330" s="148"/>
      <c r="I330" s="156"/>
    </row>
    <row r="331" spans="1:9" x14ac:dyDescent="0.2">
      <c r="A331" s="104" t="s">
        <v>413</v>
      </c>
      <c r="B331" s="104" t="s">
        <v>413</v>
      </c>
      <c r="C331" s="104" t="s">
        <v>421</v>
      </c>
      <c r="D331" s="103">
        <f t="shared" si="104"/>
        <v>495</v>
      </c>
      <c r="E331" s="98">
        <f t="shared" si="105"/>
        <v>495</v>
      </c>
      <c r="F331" s="99">
        <v>1</v>
      </c>
      <c r="G331" s="105" t="s">
        <v>713</v>
      </c>
      <c r="H331" s="148"/>
      <c r="I331" s="156"/>
    </row>
    <row r="332" spans="1:9" x14ac:dyDescent="0.2">
      <c r="A332" s="17" t="s">
        <v>413</v>
      </c>
      <c r="B332" s="16" t="s">
        <v>413</v>
      </c>
      <c r="C332" s="16" t="s">
        <v>421</v>
      </c>
      <c r="D332" s="103">
        <f>D331+F331</f>
        <v>496</v>
      </c>
      <c r="E332" s="98">
        <f t="shared" si="102"/>
        <v>496</v>
      </c>
      <c r="F332" s="13">
        <v>1</v>
      </c>
      <c r="G332" s="9" t="s">
        <v>152</v>
      </c>
      <c r="H332" s="148"/>
      <c r="I332" s="156"/>
    </row>
    <row r="333" spans="1:9" x14ac:dyDescent="0.2">
      <c r="B333" s="16"/>
      <c r="C333" s="16"/>
      <c r="D333" s="49"/>
      <c r="E333" s="12"/>
      <c r="F333" s="108">
        <v>2</v>
      </c>
      <c r="G333" s="107" t="s">
        <v>94</v>
      </c>
      <c r="H333" s="5"/>
      <c r="I333" s="6"/>
    </row>
    <row r="334" spans="1:9" x14ac:dyDescent="0.2">
      <c r="B334" s="16"/>
      <c r="C334" s="16"/>
      <c r="D334" s="49"/>
      <c r="E334" s="49"/>
      <c r="F334" s="49"/>
      <c r="G334" s="59" t="s">
        <v>562</v>
      </c>
      <c r="H334" s="5"/>
      <c r="I334" s="6"/>
    </row>
    <row r="335" spans="1:9" ht="38.25" x14ac:dyDescent="0.2">
      <c r="A335" s="17" t="s">
        <v>414</v>
      </c>
      <c r="B335" s="16" t="s">
        <v>414</v>
      </c>
      <c r="C335" s="16"/>
      <c r="D335" s="103">
        <f>D332+F332</f>
        <v>497</v>
      </c>
      <c r="E335" s="98">
        <f t="shared" ref="E335:E340" si="106">D335+F335-1</f>
        <v>497</v>
      </c>
      <c r="F335" s="13">
        <v>1</v>
      </c>
      <c r="G335" s="9" t="s">
        <v>54</v>
      </c>
      <c r="H335" s="72" t="s">
        <v>315</v>
      </c>
      <c r="I335" s="110" t="s">
        <v>735</v>
      </c>
    </row>
    <row r="336" spans="1:9" ht="12.75" customHeight="1" x14ac:dyDescent="0.2">
      <c r="A336" s="17" t="s">
        <v>413</v>
      </c>
      <c r="B336" s="16" t="s">
        <v>413</v>
      </c>
      <c r="C336" s="16" t="s">
        <v>421</v>
      </c>
      <c r="D336" s="103">
        <f t="shared" ref="D336" si="107">D335+F335</f>
        <v>498</v>
      </c>
      <c r="E336" s="98">
        <f t="shared" si="106"/>
        <v>498</v>
      </c>
      <c r="F336" s="13">
        <v>1</v>
      </c>
      <c r="G336" s="9" t="s">
        <v>46</v>
      </c>
      <c r="H336" s="148" t="s">
        <v>315</v>
      </c>
      <c r="I336" s="156" t="s">
        <v>735</v>
      </c>
    </row>
    <row r="337" spans="1:9" x14ac:dyDescent="0.2">
      <c r="A337" s="17" t="s">
        <v>413</v>
      </c>
      <c r="B337" s="16" t="s">
        <v>413</v>
      </c>
      <c r="C337" s="16" t="s">
        <v>421</v>
      </c>
      <c r="D337" s="103">
        <f t="shared" ref="D337:D340" si="108">D336+F336</f>
        <v>499</v>
      </c>
      <c r="E337" s="98">
        <f t="shared" si="106"/>
        <v>499</v>
      </c>
      <c r="F337" s="13">
        <v>1</v>
      </c>
      <c r="G337" s="9" t="s">
        <v>50</v>
      </c>
      <c r="H337" s="148"/>
      <c r="I337" s="156"/>
    </row>
    <row r="338" spans="1:9" x14ac:dyDescent="0.2">
      <c r="A338" s="17" t="s">
        <v>413</v>
      </c>
      <c r="B338" s="16" t="s">
        <v>413</v>
      </c>
      <c r="C338" s="16" t="s">
        <v>421</v>
      </c>
      <c r="D338" s="103">
        <f t="shared" si="108"/>
        <v>500</v>
      </c>
      <c r="E338" s="98">
        <f t="shared" si="106"/>
        <v>500</v>
      </c>
      <c r="F338" s="13">
        <v>1</v>
      </c>
      <c r="G338" s="9" t="s">
        <v>52</v>
      </c>
      <c r="H338" s="148"/>
      <c r="I338" s="156"/>
    </row>
    <row r="339" spans="1:9" x14ac:dyDescent="0.2">
      <c r="A339" s="17" t="s">
        <v>413</v>
      </c>
      <c r="B339" s="16" t="s">
        <v>413</v>
      </c>
      <c r="C339" s="16" t="s">
        <v>421</v>
      </c>
      <c r="D339" s="103">
        <f t="shared" si="108"/>
        <v>501</v>
      </c>
      <c r="E339" s="98">
        <f t="shared" si="106"/>
        <v>501</v>
      </c>
      <c r="F339" s="13">
        <v>1</v>
      </c>
      <c r="G339" s="9" t="s">
        <v>55</v>
      </c>
      <c r="H339" s="148"/>
      <c r="I339" s="156"/>
    </row>
    <row r="340" spans="1:9" x14ac:dyDescent="0.2">
      <c r="A340" s="17" t="s">
        <v>413</v>
      </c>
      <c r="B340" s="16" t="s">
        <v>413</v>
      </c>
      <c r="C340" s="16" t="s">
        <v>421</v>
      </c>
      <c r="D340" s="103">
        <f t="shared" si="108"/>
        <v>502</v>
      </c>
      <c r="E340" s="98">
        <f t="shared" si="106"/>
        <v>502</v>
      </c>
      <c r="F340" s="13">
        <v>1</v>
      </c>
      <c r="G340" s="9" t="s">
        <v>153</v>
      </c>
      <c r="H340" s="148"/>
      <c r="I340" s="156"/>
    </row>
    <row r="341" spans="1:9" x14ac:dyDescent="0.2">
      <c r="A341" s="104" t="s">
        <v>413</v>
      </c>
      <c r="B341" s="104" t="s">
        <v>413</v>
      </c>
      <c r="C341" s="104" t="s">
        <v>421</v>
      </c>
      <c r="D341" s="103">
        <f t="shared" ref="D341:D344" si="109">D340+F340</f>
        <v>503</v>
      </c>
      <c r="E341" s="98">
        <f t="shared" ref="E341:E344" si="110">D341+F341-1</f>
        <v>503</v>
      </c>
      <c r="F341" s="99">
        <v>1</v>
      </c>
      <c r="G341" s="105" t="s">
        <v>147</v>
      </c>
      <c r="H341" s="148"/>
      <c r="I341" s="156"/>
    </row>
    <row r="342" spans="1:9" x14ac:dyDescent="0.2">
      <c r="A342" s="53" t="s">
        <v>413</v>
      </c>
      <c r="B342" s="16" t="s">
        <v>413</v>
      </c>
      <c r="C342" s="16" t="s">
        <v>421</v>
      </c>
      <c r="D342" s="103">
        <f t="shared" si="109"/>
        <v>504</v>
      </c>
      <c r="E342" s="98">
        <f t="shared" si="110"/>
        <v>504</v>
      </c>
      <c r="F342" s="13">
        <v>1</v>
      </c>
      <c r="G342" s="105" t="s">
        <v>714</v>
      </c>
      <c r="H342" s="148"/>
      <c r="I342" s="156"/>
    </row>
    <row r="343" spans="1:9" x14ac:dyDescent="0.2">
      <c r="A343" s="104" t="s">
        <v>413</v>
      </c>
      <c r="B343" s="104" t="s">
        <v>413</v>
      </c>
      <c r="C343" s="104" t="s">
        <v>421</v>
      </c>
      <c r="D343" s="103">
        <f t="shared" si="109"/>
        <v>505</v>
      </c>
      <c r="E343" s="98">
        <f t="shared" si="110"/>
        <v>505</v>
      </c>
      <c r="F343" s="99">
        <v>1</v>
      </c>
      <c r="G343" s="105" t="s">
        <v>712</v>
      </c>
      <c r="H343" s="148"/>
      <c r="I343" s="156"/>
    </row>
    <row r="344" spans="1:9" x14ac:dyDescent="0.2">
      <c r="A344" s="104" t="s">
        <v>413</v>
      </c>
      <c r="B344" s="104" t="s">
        <v>413</v>
      </c>
      <c r="C344" s="104" t="s">
        <v>421</v>
      </c>
      <c r="D344" s="103">
        <f t="shared" si="109"/>
        <v>506</v>
      </c>
      <c r="E344" s="98">
        <f t="shared" si="110"/>
        <v>506</v>
      </c>
      <c r="F344" s="99">
        <v>1</v>
      </c>
      <c r="G344" s="105" t="s">
        <v>713</v>
      </c>
      <c r="H344" s="148"/>
      <c r="I344" s="156"/>
    </row>
    <row r="345" spans="1:9" x14ac:dyDescent="0.2">
      <c r="B345" s="16"/>
      <c r="C345" s="16"/>
      <c r="D345" s="49"/>
      <c r="E345" s="12"/>
      <c r="F345" s="108">
        <v>5</v>
      </c>
      <c r="G345" s="107" t="s">
        <v>94</v>
      </c>
      <c r="H345" s="5"/>
      <c r="I345" s="6"/>
    </row>
    <row r="346" spans="1:9" x14ac:dyDescent="0.2">
      <c r="B346" s="16"/>
      <c r="C346" s="16"/>
      <c r="D346" s="49"/>
      <c r="E346" s="49"/>
      <c r="F346" s="49"/>
      <c r="G346" s="59" t="s">
        <v>56</v>
      </c>
      <c r="H346" s="5"/>
      <c r="I346" s="6"/>
    </row>
    <row r="347" spans="1:9" ht="38.25" x14ac:dyDescent="0.2">
      <c r="A347" s="17" t="s">
        <v>414</v>
      </c>
      <c r="B347" s="16" t="s">
        <v>414</v>
      </c>
      <c r="C347" s="16"/>
      <c r="D347" s="49">
        <f>D344+F344</f>
        <v>507</v>
      </c>
      <c r="E347" s="12">
        <f t="shared" ref="E347:E361" si="111">D347+F347-1</f>
        <v>507</v>
      </c>
      <c r="F347" s="13">
        <v>1</v>
      </c>
      <c r="G347" s="9" t="s">
        <v>57</v>
      </c>
      <c r="H347" s="72" t="s">
        <v>315</v>
      </c>
      <c r="I347" s="110" t="s">
        <v>735</v>
      </c>
    </row>
    <row r="348" spans="1:9" ht="15" customHeight="1" x14ac:dyDescent="0.2">
      <c r="A348" s="17" t="s">
        <v>413</v>
      </c>
      <c r="B348" s="16" t="s">
        <v>413</v>
      </c>
      <c r="C348" s="16" t="s">
        <v>421</v>
      </c>
      <c r="D348" s="49">
        <f t="shared" ref="D348" si="112">D347+F347</f>
        <v>508</v>
      </c>
      <c r="E348" s="12">
        <f t="shared" si="111"/>
        <v>508</v>
      </c>
      <c r="F348" s="13">
        <v>1</v>
      </c>
      <c r="G348" s="9" t="s">
        <v>46</v>
      </c>
      <c r="H348" s="148" t="s">
        <v>315</v>
      </c>
      <c r="I348" s="156" t="s">
        <v>735</v>
      </c>
    </row>
    <row r="349" spans="1:9" x14ac:dyDescent="0.2">
      <c r="A349" s="109" t="s">
        <v>413</v>
      </c>
      <c r="B349" s="109" t="s">
        <v>413</v>
      </c>
      <c r="C349" s="109" t="s">
        <v>421</v>
      </c>
      <c r="D349" s="103"/>
      <c r="E349" s="98"/>
      <c r="F349" s="108">
        <v>1</v>
      </c>
      <c r="G349" s="107" t="s">
        <v>47</v>
      </c>
      <c r="H349" s="148"/>
      <c r="I349" s="156"/>
    </row>
    <row r="350" spans="1:9" x14ac:dyDescent="0.2">
      <c r="A350" s="17" t="s">
        <v>413</v>
      </c>
      <c r="B350" s="16" t="s">
        <v>413</v>
      </c>
      <c r="C350" s="16" t="s">
        <v>421</v>
      </c>
      <c r="D350" s="103">
        <f>D348+F348</f>
        <v>509</v>
      </c>
      <c r="E350" s="98">
        <f t="shared" si="111"/>
        <v>509</v>
      </c>
      <c r="F350" s="13">
        <v>1</v>
      </c>
      <c r="G350" s="9" t="s">
        <v>48</v>
      </c>
      <c r="H350" s="148"/>
      <c r="I350" s="156"/>
    </row>
    <row r="351" spans="1:9" x14ac:dyDescent="0.2">
      <c r="A351" s="17" t="s">
        <v>413</v>
      </c>
      <c r="B351" s="16" t="s">
        <v>413</v>
      </c>
      <c r="C351" s="16" t="s">
        <v>421</v>
      </c>
      <c r="D351" s="103">
        <f t="shared" ref="D351:D361" si="113">D350+F350</f>
        <v>510</v>
      </c>
      <c r="E351" s="98">
        <f t="shared" si="111"/>
        <v>510</v>
      </c>
      <c r="F351" s="13">
        <v>1</v>
      </c>
      <c r="G351" s="9" t="s">
        <v>49</v>
      </c>
      <c r="H351" s="148"/>
      <c r="I351" s="156"/>
    </row>
    <row r="352" spans="1:9" x14ac:dyDescent="0.2">
      <c r="A352" s="109" t="s">
        <v>413</v>
      </c>
      <c r="B352" s="109" t="s">
        <v>413</v>
      </c>
      <c r="C352" s="109" t="s">
        <v>421</v>
      </c>
      <c r="D352" s="103"/>
      <c r="E352" s="98"/>
      <c r="F352" s="108">
        <v>1</v>
      </c>
      <c r="G352" s="107" t="s">
        <v>150</v>
      </c>
      <c r="H352" s="148"/>
      <c r="I352" s="156"/>
    </row>
    <row r="353" spans="1:9" x14ac:dyDescent="0.2">
      <c r="A353" s="17" t="s">
        <v>413</v>
      </c>
      <c r="B353" s="16" t="s">
        <v>413</v>
      </c>
      <c r="C353" s="16" t="s">
        <v>421</v>
      </c>
      <c r="D353" s="103">
        <f>D351+F351</f>
        <v>511</v>
      </c>
      <c r="E353" s="98">
        <f t="shared" si="111"/>
        <v>511</v>
      </c>
      <c r="F353" s="13">
        <v>1</v>
      </c>
      <c r="G353" s="9" t="s">
        <v>50</v>
      </c>
      <c r="H353" s="148"/>
      <c r="I353" s="156"/>
    </row>
    <row r="354" spans="1:9" x14ac:dyDescent="0.2">
      <c r="A354" s="109" t="s">
        <v>413</v>
      </c>
      <c r="B354" s="109" t="s">
        <v>413</v>
      </c>
      <c r="C354" s="109" t="s">
        <v>421</v>
      </c>
      <c r="D354" s="103"/>
      <c r="E354" s="98"/>
      <c r="F354" s="108">
        <v>1</v>
      </c>
      <c r="G354" s="107" t="s">
        <v>151</v>
      </c>
      <c r="H354" s="148"/>
      <c r="I354" s="156"/>
    </row>
    <row r="355" spans="1:9" x14ac:dyDescent="0.2">
      <c r="A355" s="17" t="s">
        <v>413</v>
      </c>
      <c r="B355" s="16" t="s">
        <v>413</v>
      </c>
      <c r="C355" s="16" t="s">
        <v>421</v>
      </c>
      <c r="D355" s="103">
        <f>D353+F353</f>
        <v>512</v>
      </c>
      <c r="E355" s="98">
        <f t="shared" si="111"/>
        <v>512</v>
      </c>
      <c r="F355" s="13">
        <v>1</v>
      </c>
      <c r="G355" s="9" t="s">
        <v>51</v>
      </c>
      <c r="H355" s="148"/>
      <c r="I355" s="156"/>
    </row>
    <row r="356" spans="1:9" x14ac:dyDescent="0.2">
      <c r="A356" s="17" t="s">
        <v>413</v>
      </c>
      <c r="B356" s="16" t="s">
        <v>413</v>
      </c>
      <c r="C356" s="16" t="s">
        <v>421</v>
      </c>
      <c r="D356" s="103">
        <f t="shared" si="113"/>
        <v>513</v>
      </c>
      <c r="E356" s="98">
        <f t="shared" si="111"/>
        <v>513</v>
      </c>
      <c r="F356" s="13">
        <v>1</v>
      </c>
      <c r="G356" s="9" t="s">
        <v>52</v>
      </c>
      <c r="H356" s="148"/>
      <c r="I356" s="156"/>
    </row>
    <row r="357" spans="1:9" x14ac:dyDescent="0.2">
      <c r="A357" s="53" t="s">
        <v>413</v>
      </c>
      <c r="B357" s="16" t="s">
        <v>413</v>
      </c>
      <c r="C357" s="16" t="s">
        <v>421</v>
      </c>
      <c r="D357" s="103">
        <f t="shared" si="113"/>
        <v>514</v>
      </c>
      <c r="E357" s="98">
        <f t="shared" si="111"/>
        <v>514</v>
      </c>
      <c r="F357" s="13">
        <v>1</v>
      </c>
      <c r="G357" s="105" t="s">
        <v>714</v>
      </c>
      <c r="H357" s="148"/>
      <c r="I357" s="156"/>
    </row>
    <row r="358" spans="1:9" x14ac:dyDescent="0.2">
      <c r="A358" s="104" t="s">
        <v>413</v>
      </c>
      <c r="B358" s="104" t="s">
        <v>413</v>
      </c>
      <c r="C358" s="104" t="s">
        <v>421</v>
      </c>
      <c r="D358" s="103">
        <f t="shared" ref="D358:D359" si="114">D357+F357</f>
        <v>515</v>
      </c>
      <c r="E358" s="98">
        <f t="shared" ref="E358:E359" si="115">D358+F358-1</f>
        <v>515</v>
      </c>
      <c r="F358" s="99">
        <v>1</v>
      </c>
      <c r="G358" s="105" t="s">
        <v>712</v>
      </c>
      <c r="H358" s="148"/>
      <c r="I358" s="156"/>
    </row>
    <row r="359" spans="1:9" x14ac:dyDescent="0.2">
      <c r="A359" s="104" t="s">
        <v>413</v>
      </c>
      <c r="B359" s="104" t="s">
        <v>413</v>
      </c>
      <c r="C359" s="104" t="s">
        <v>421</v>
      </c>
      <c r="D359" s="103">
        <f t="shared" si="114"/>
        <v>516</v>
      </c>
      <c r="E359" s="98">
        <f t="shared" si="115"/>
        <v>516</v>
      </c>
      <c r="F359" s="99">
        <v>1</v>
      </c>
      <c r="G359" s="105" t="s">
        <v>713</v>
      </c>
      <c r="H359" s="148"/>
      <c r="I359" s="156"/>
    </row>
    <row r="360" spans="1:9" x14ac:dyDescent="0.2">
      <c r="A360" s="17" t="s">
        <v>413</v>
      </c>
      <c r="B360" s="16" t="s">
        <v>413</v>
      </c>
      <c r="C360" s="16" t="s">
        <v>421</v>
      </c>
      <c r="D360" s="103">
        <f>D359+F359</f>
        <v>517</v>
      </c>
      <c r="E360" s="98">
        <f t="shared" si="111"/>
        <v>517</v>
      </c>
      <c r="F360" s="13">
        <v>1</v>
      </c>
      <c r="G360" s="9" t="s">
        <v>152</v>
      </c>
      <c r="H360" s="148"/>
      <c r="I360" s="156"/>
    </row>
    <row r="361" spans="1:9" x14ac:dyDescent="0.2">
      <c r="B361" s="16"/>
      <c r="C361" s="16"/>
      <c r="D361" s="103">
        <f t="shared" si="113"/>
        <v>518</v>
      </c>
      <c r="E361" s="98">
        <f t="shared" si="111"/>
        <v>523</v>
      </c>
      <c r="F361" s="99">
        <v>6</v>
      </c>
      <c r="G361" s="9" t="s">
        <v>94</v>
      </c>
      <c r="H361" s="5"/>
      <c r="I361" s="6"/>
    </row>
    <row r="362" spans="1:9" ht="12.75" customHeight="1" x14ac:dyDescent="0.2">
      <c r="B362" s="16"/>
      <c r="C362" s="16"/>
      <c r="D362" s="49"/>
      <c r="E362" s="49"/>
      <c r="F362" s="49"/>
      <c r="G362" s="10" t="s">
        <v>58</v>
      </c>
      <c r="H362" s="5"/>
      <c r="I362" s="6"/>
    </row>
    <row r="363" spans="1:9" ht="12.75" customHeight="1" x14ac:dyDescent="0.2">
      <c r="A363" s="17" t="s">
        <v>413</v>
      </c>
      <c r="B363" s="16" t="s">
        <v>413</v>
      </c>
      <c r="C363" s="16" t="s">
        <v>421</v>
      </c>
      <c r="D363" s="49">
        <f>D361+F361</f>
        <v>524</v>
      </c>
      <c r="E363" s="12">
        <f t="shared" ref="E363" si="116">D363+F363-1</f>
        <v>524</v>
      </c>
      <c r="F363" s="13">
        <v>1</v>
      </c>
      <c r="G363" s="9" t="s">
        <v>52</v>
      </c>
      <c r="H363" s="6" t="s">
        <v>315</v>
      </c>
      <c r="I363" s="110" t="s">
        <v>735</v>
      </c>
    </row>
    <row r="364" spans="1:9" x14ac:dyDescent="0.2">
      <c r="B364" s="16"/>
      <c r="C364" s="16"/>
      <c r="D364" s="49"/>
      <c r="E364" s="49"/>
      <c r="F364" s="49"/>
      <c r="G364" s="63" t="s">
        <v>142</v>
      </c>
      <c r="H364" s="5"/>
      <c r="I364" s="6"/>
    </row>
    <row r="365" spans="1:9" x14ac:dyDescent="0.2">
      <c r="A365" s="104" t="s">
        <v>413</v>
      </c>
      <c r="B365" s="104" t="s">
        <v>413</v>
      </c>
      <c r="C365" s="104" t="s">
        <v>421</v>
      </c>
      <c r="D365" s="103">
        <f>D363+F363</f>
        <v>525</v>
      </c>
      <c r="E365" s="98">
        <f t="shared" ref="E365:E373" si="117">D365+F365-1</f>
        <v>525</v>
      </c>
      <c r="F365" s="103">
        <v>1</v>
      </c>
      <c r="G365" s="105" t="s">
        <v>143</v>
      </c>
      <c r="H365" s="156" t="s">
        <v>320</v>
      </c>
      <c r="I365" s="156" t="s">
        <v>321</v>
      </c>
    </row>
    <row r="366" spans="1:9" x14ac:dyDescent="0.2">
      <c r="A366" s="104" t="s">
        <v>413</v>
      </c>
      <c r="B366" s="104" t="s">
        <v>413</v>
      </c>
      <c r="C366" s="104" t="s">
        <v>421</v>
      </c>
      <c r="D366" s="103">
        <f t="shared" ref="D366:D373" si="118">D365+F365</f>
        <v>526</v>
      </c>
      <c r="E366" s="98">
        <f t="shared" si="117"/>
        <v>526</v>
      </c>
      <c r="F366" s="103">
        <v>1</v>
      </c>
      <c r="G366" s="105" t="s">
        <v>566</v>
      </c>
      <c r="H366" s="156"/>
      <c r="I366" s="156"/>
    </row>
    <row r="367" spans="1:9" x14ac:dyDescent="0.2">
      <c r="A367" s="104" t="s">
        <v>413</v>
      </c>
      <c r="B367" s="104" t="s">
        <v>413</v>
      </c>
      <c r="C367" s="104" t="s">
        <v>421</v>
      </c>
      <c r="D367" s="103">
        <f t="shared" si="118"/>
        <v>527</v>
      </c>
      <c r="E367" s="98">
        <f t="shared" si="117"/>
        <v>527</v>
      </c>
      <c r="F367" s="103">
        <v>1</v>
      </c>
      <c r="G367" s="105" t="s">
        <v>146</v>
      </c>
      <c r="H367" s="156"/>
      <c r="I367" s="156"/>
    </row>
    <row r="368" spans="1:9" x14ac:dyDescent="0.2">
      <c r="A368" s="104" t="s">
        <v>413</v>
      </c>
      <c r="B368" s="104" t="s">
        <v>413</v>
      </c>
      <c r="C368" s="104" t="s">
        <v>421</v>
      </c>
      <c r="D368" s="103">
        <f t="shared" si="118"/>
        <v>528</v>
      </c>
      <c r="E368" s="98">
        <f t="shared" si="117"/>
        <v>528</v>
      </c>
      <c r="F368" s="103">
        <v>1</v>
      </c>
      <c r="G368" s="105" t="s">
        <v>147</v>
      </c>
      <c r="H368" s="156"/>
      <c r="I368" s="156"/>
    </row>
    <row r="369" spans="1:9" x14ac:dyDescent="0.2">
      <c r="A369" s="104" t="s">
        <v>413</v>
      </c>
      <c r="B369" s="104" t="s">
        <v>413</v>
      </c>
      <c r="C369" s="104" t="s">
        <v>421</v>
      </c>
      <c r="D369" s="103">
        <f t="shared" si="118"/>
        <v>529</v>
      </c>
      <c r="E369" s="98">
        <f t="shared" si="117"/>
        <v>529</v>
      </c>
      <c r="F369" s="103">
        <v>1</v>
      </c>
      <c r="G369" s="105" t="s">
        <v>51</v>
      </c>
      <c r="H369" s="156"/>
      <c r="I369" s="156"/>
    </row>
    <row r="370" spans="1:9" x14ac:dyDescent="0.2">
      <c r="A370" s="104" t="s">
        <v>413</v>
      </c>
      <c r="B370" s="104" t="s">
        <v>413</v>
      </c>
      <c r="C370" s="104" t="s">
        <v>421</v>
      </c>
      <c r="D370" s="103">
        <f t="shared" si="118"/>
        <v>530</v>
      </c>
      <c r="E370" s="98">
        <f t="shared" si="117"/>
        <v>530</v>
      </c>
      <c r="F370" s="103">
        <v>1</v>
      </c>
      <c r="G370" s="105" t="s">
        <v>49</v>
      </c>
      <c r="H370" s="156"/>
      <c r="I370" s="156"/>
    </row>
    <row r="371" spans="1:9" x14ac:dyDescent="0.2">
      <c r="A371" s="104" t="s">
        <v>413</v>
      </c>
      <c r="B371" s="104" t="s">
        <v>413</v>
      </c>
      <c r="C371" s="104" t="s">
        <v>421</v>
      </c>
      <c r="D371" s="103">
        <f t="shared" si="118"/>
        <v>531</v>
      </c>
      <c r="E371" s="98">
        <f t="shared" si="117"/>
        <v>531</v>
      </c>
      <c r="F371" s="103">
        <v>1</v>
      </c>
      <c r="G371" s="105" t="s">
        <v>50</v>
      </c>
      <c r="H371" s="156"/>
      <c r="I371" s="156"/>
    </row>
    <row r="372" spans="1:9" x14ac:dyDescent="0.2">
      <c r="A372" s="104" t="s">
        <v>413</v>
      </c>
      <c r="B372" s="104" t="s">
        <v>413</v>
      </c>
      <c r="C372" s="104" t="s">
        <v>421</v>
      </c>
      <c r="D372" s="103">
        <f t="shared" si="118"/>
        <v>532</v>
      </c>
      <c r="E372" s="98">
        <f t="shared" si="117"/>
        <v>532</v>
      </c>
      <c r="F372" s="103">
        <v>1</v>
      </c>
      <c r="G372" s="105" t="s">
        <v>149</v>
      </c>
      <c r="H372" s="156"/>
      <c r="I372" s="156"/>
    </row>
    <row r="373" spans="1:9" x14ac:dyDescent="0.2">
      <c r="A373" s="104" t="s">
        <v>413</v>
      </c>
      <c r="B373" s="104" t="s">
        <v>413</v>
      </c>
      <c r="C373" s="104" t="s">
        <v>421</v>
      </c>
      <c r="D373" s="103">
        <f t="shared" si="118"/>
        <v>533</v>
      </c>
      <c r="E373" s="98">
        <f t="shared" si="117"/>
        <v>533</v>
      </c>
      <c r="F373" s="99">
        <v>1</v>
      </c>
      <c r="G373" s="105" t="s">
        <v>560</v>
      </c>
      <c r="H373" s="156"/>
      <c r="I373" s="156"/>
    </row>
    <row r="374" spans="1:9" x14ac:dyDescent="0.2">
      <c r="A374" s="104" t="s">
        <v>413</v>
      </c>
      <c r="B374" s="104" t="s">
        <v>413</v>
      </c>
      <c r="C374" s="104" t="s">
        <v>421</v>
      </c>
      <c r="D374" s="103">
        <f>D373+F373</f>
        <v>534</v>
      </c>
      <c r="E374" s="98">
        <f t="shared" ref="E374" si="119">D374+F374-1</f>
        <v>534</v>
      </c>
      <c r="F374" s="99">
        <v>1</v>
      </c>
      <c r="G374" s="105" t="s">
        <v>561</v>
      </c>
      <c r="H374" s="156"/>
      <c r="I374" s="156"/>
    </row>
    <row r="375" spans="1:9" x14ac:dyDescent="0.2">
      <c r="D375" s="103">
        <f>D374+F374</f>
        <v>535</v>
      </c>
      <c r="E375" s="12">
        <f t="shared" ref="E375" si="120">D375+F375-1</f>
        <v>544</v>
      </c>
      <c r="F375" s="103">
        <v>10</v>
      </c>
      <c r="G375" s="9" t="s">
        <v>94</v>
      </c>
    </row>
    <row r="376" spans="1:9" x14ac:dyDescent="0.2">
      <c r="A376" s="16"/>
      <c r="B376" s="16"/>
      <c r="C376" s="16"/>
      <c r="D376" s="49"/>
      <c r="E376" s="12"/>
      <c r="F376" s="49"/>
      <c r="G376" s="63" t="s">
        <v>65</v>
      </c>
      <c r="H376" s="5"/>
      <c r="I376" s="77"/>
    </row>
    <row r="377" spans="1:9" ht="63.75" x14ac:dyDescent="0.2">
      <c r="A377" s="16" t="s">
        <v>414</v>
      </c>
      <c r="B377" s="16" t="s">
        <v>414</v>
      </c>
      <c r="C377" s="16"/>
      <c r="D377" s="49">
        <f>D375+F375</f>
        <v>545</v>
      </c>
      <c r="E377" s="12">
        <f t="shared" ref="E377:E385" si="121">D377+F377-1</f>
        <v>545</v>
      </c>
      <c r="F377" s="49">
        <v>1</v>
      </c>
      <c r="G377" s="56" t="s">
        <v>34</v>
      </c>
      <c r="H377" s="72" t="s">
        <v>313</v>
      </c>
      <c r="I377" s="6" t="s">
        <v>563</v>
      </c>
    </row>
    <row r="378" spans="1:9" ht="38.25" x14ac:dyDescent="0.2">
      <c r="A378" s="16" t="s">
        <v>414</v>
      </c>
      <c r="B378" s="16" t="s">
        <v>414</v>
      </c>
      <c r="C378" s="16"/>
      <c r="D378" s="49">
        <f t="shared" ref="D378" si="122">D377+F377</f>
        <v>546</v>
      </c>
      <c r="E378" s="12">
        <f t="shared" si="121"/>
        <v>546</v>
      </c>
      <c r="F378" s="49">
        <v>1</v>
      </c>
      <c r="G378" s="56" t="s">
        <v>35</v>
      </c>
      <c r="H378" s="72" t="s">
        <v>315</v>
      </c>
      <c r="I378" s="6" t="s">
        <v>563</v>
      </c>
    </row>
    <row r="379" spans="1:9" ht="38.25" x14ac:dyDescent="0.2">
      <c r="A379" s="16" t="s">
        <v>414</v>
      </c>
      <c r="B379" s="16" t="s">
        <v>414</v>
      </c>
      <c r="C379" s="16"/>
      <c r="D379" s="49">
        <f t="shared" ref="D379:D382" si="123">D378+F378</f>
        <v>547</v>
      </c>
      <c r="E379" s="12">
        <f t="shared" si="121"/>
        <v>547</v>
      </c>
      <c r="F379" s="49">
        <v>1</v>
      </c>
      <c r="G379" s="56" t="s">
        <v>36</v>
      </c>
      <c r="H379" s="72" t="s">
        <v>315</v>
      </c>
      <c r="I379" s="6" t="s">
        <v>563</v>
      </c>
    </row>
    <row r="380" spans="1:9" ht="63.75" x14ac:dyDescent="0.2">
      <c r="A380" s="16" t="s">
        <v>414</v>
      </c>
      <c r="B380" s="16" t="s">
        <v>414</v>
      </c>
      <c r="C380" s="16"/>
      <c r="D380" s="49">
        <f t="shared" si="123"/>
        <v>548</v>
      </c>
      <c r="E380" s="12">
        <f t="shared" si="121"/>
        <v>548</v>
      </c>
      <c r="F380" s="49">
        <v>1</v>
      </c>
      <c r="G380" s="56" t="s">
        <v>37</v>
      </c>
      <c r="H380" s="72" t="s">
        <v>517</v>
      </c>
      <c r="I380" s="6" t="s">
        <v>563</v>
      </c>
    </row>
    <row r="381" spans="1:9" ht="51" x14ac:dyDescent="0.2">
      <c r="A381" s="16" t="s">
        <v>413</v>
      </c>
      <c r="B381" s="16" t="s">
        <v>413</v>
      </c>
      <c r="C381" s="16"/>
      <c r="D381" s="49">
        <f>D380+F380</f>
        <v>549</v>
      </c>
      <c r="E381" s="12">
        <f t="shared" si="121"/>
        <v>558</v>
      </c>
      <c r="F381" s="49">
        <v>10</v>
      </c>
      <c r="G381" s="9" t="s">
        <v>59</v>
      </c>
      <c r="H381" s="11" t="s">
        <v>317</v>
      </c>
      <c r="I381" s="6" t="s">
        <v>563</v>
      </c>
    </row>
    <row r="382" spans="1:9" ht="89.25" x14ac:dyDescent="0.2">
      <c r="A382" s="16" t="s">
        <v>413</v>
      </c>
      <c r="B382" s="16" t="s">
        <v>413</v>
      </c>
      <c r="C382" s="16"/>
      <c r="D382" s="49">
        <f t="shared" si="123"/>
        <v>559</v>
      </c>
      <c r="E382" s="12">
        <f t="shared" si="121"/>
        <v>560</v>
      </c>
      <c r="F382" s="49">
        <v>2</v>
      </c>
      <c r="G382" s="9" t="s">
        <v>60</v>
      </c>
      <c r="H382" s="72" t="s">
        <v>316</v>
      </c>
      <c r="I382" s="6" t="s">
        <v>564</v>
      </c>
    </row>
    <row r="383" spans="1:9" ht="38.25" x14ac:dyDescent="0.2">
      <c r="A383" s="104" t="s">
        <v>413</v>
      </c>
      <c r="B383" s="104" t="s">
        <v>413</v>
      </c>
      <c r="C383" s="104"/>
      <c r="D383" s="103">
        <f t="shared" ref="D383:D384" si="124">D382+F382</f>
        <v>561</v>
      </c>
      <c r="E383" s="98">
        <f t="shared" ref="E383:E384" si="125">D383+F383-1</f>
        <v>561</v>
      </c>
      <c r="F383" s="99">
        <v>1</v>
      </c>
      <c r="G383" s="102" t="s">
        <v>677</v>
      </c>
      <c r="H383" s="101" t="s">
        <v>315</v>
      </c>
      <c r="I383" s="95" t="s">
        <v>563</v>
      </c>
    </row>
    <row r="384" spans="1:9" ht="38.25" x14ac:dyDescent="0.2">
      <c r="A384" s="104" t="s">
        <v>413</v>
      </c>
      <c r="B384" s="104" t="s">
        <v>413</v>
      </c>
      <c r="C384" s="104"/>
      <c r="D384" s="103">
        <f t="shared" si="124"/>
        <v>562</v>
      </c>
      <c r="E384" s="98">
        <f t="shared" si="125"/>
        <v>562</v>
      </c>
      <c r="F384" s="99">
        <v>1</v>
      </c>
      <c r="G384" s="102" t="s">
        <v>678</v>
      </c>
      <c r="H384" s="101" t="s">
        <v>315</v>
      </c>
      <c r="I384" s="95" t="s">
        <v>563</v>
      </c>
    </row>
    <row r="385" spans="1:9" x14ac:dyDescent="0.2">
      <c r="A385" s="16"/>
      <c r="B385" s="16"/>
      <c r="C385" s="16"/>
      <c r="D385" s="103">
        <f>D384+F384</f>
        <v>563</v>
      </c>
      <c r="E385" s="12">
        <f t="shared" si="121"/>
        <v>570</v>
      </c>
      <c r="F385" s="103">
        <v>8</v>
      </c>
      <c r="G385" s="9" t="s">
        <v>94</v>
      </c>
      <c r="H385" s="5"/>
      <c r="I385" s="6"/>
    </row>
    <row r="386" spans="1:9" x14ac:dyDescent="0.2">
      <c r="A386" s="16"/>
      <c r="B386" s="16"/>
      <c r="C386" s="16"/>
      <c r="D386" s="49"/>
      <c r="E386" s="49"/>
      <c r="F386" s="49"/>
      <c r="G386" s="10" t="s">
        <v>38</v>
      </c>
      <c r="H386" s="5"/>
      <c r="I386" s="6"/>
    </row>
    <row r="387" spans="1:9" ht="63.75" x14ac:dyDescent="0.2">
      <c r="A387" s="16" t="s">
        <v>414</v>
      </c>
      <c r="B387" s="16" t="s">
        <v>414</v>
      </c>
      <c r="C387" s="16"/>
      <c r="D387" s="49">
        <f>D385+F385</f>
        <v>571</v>
      </c>
      <c r="E387" s="12">
        <f t="shared" ref="E387:E392" si="126">D387+F387-1</f>
        <v>571</v>
      </c>
      <c r="F387" s="49">
        <v>1</v>
      </c>
      <c r="G387" s="9" t="s">
        <v>39</v>
      </c>
      <c r="H387" s="72" t="s">
        <v>319</v>
      </c>
      <c r="I387" s="6" t="s">
        <v>563</v>
      </c>
    </row>
    <row r="388" spans="1:9" x14ac:dyDescent="0.2">
      <c r="A388" s="16" t="s">
        <v>414</v>
      </c>
      <c r="B388" s="16" t="s">
        <v>414</v>
      </c>
      <c r="C388" s="16"/>
      <c r="D388" s="49">
        <f t="shared" ref="D388" si="127">D387+F387</f>
        <v>572</v>
      </c>
      <c r="E388" s="12">
        <f t="shared" si="126"/>
        <v>572</v>
      </c>
      <c r="F388" s="49">
        <v>1</v>
      </c>
      <c r="G388" s="9" t="s">
        <v>40</v>
      </c>
      <c r="H388" s="157" t="s">
        <v>315</v>
      </c>
      <c r="I388" s="147" t="s">
        <v>563</v>
      </c>
    </row>
    <row r="389" spans="1:9" x14ac:dyDescent="0.2">
      <c r="A389" s="16" t="s">
        <v>414</v>
      </c>
      <c r="B389" s="16" t="s">
        <v>414</v>
      </c>
      <c r="C389" s="16"/>
      <c r="D389" s="49">
        <f t="shared" ref="D389:D392" si="128">D388+F388</f>
        <v>573</v>
      </c>
      <c r="E389" s="12">
        <f t="shared" si="126"/>
        <v>573</v>
      </c>
      <c r="F389" s="49">
        <v>1</v>
      </c>
      <c r="G389" s="9" t="s">
        <v>41</v>
      </c>
      <c r="H389" s="157"/>
      <c r="I389" s="147"/>
    </row>
    <row r="390" spans="1:9" x14ac:dyDescent="0.2">
      <c r="A390" s="16" t="s">
        <v>414</v>
      </c>
      <c r="B390" s="16" t="s">
        <v>414</v>
      </c>
      <c r="C390" s="16"/>
      <c r="D390" s="49">
        <f t="shared" si="128"/>
        <v>574</v>
      </c>
      <c r="E390" s="12">
        <f t="shared" si="126"/>
        <v>574</v>
      </c>
      <c r="F390" s="49">
        <v>1</v>
      </c>
      <c r="G390" s="9" t="s">
        <v>42</v>
      </c>
      <c r="H390" s="157"/>
      <c r="I390" s="147"/>
    </row>
    <row r="391" spans="1:9" x14ac:dyDescent="0.2">
      <c r="A391" s="16" t="s">
        <v>414</v>
      </c>
      <c r="B391" s="16" t="s">
        <v>414</v>
      </c>
      <c r="C391" s="16"/>
      <c r="D391" s="49">
        <f t="shared" si="128"/>
        <v>575</v>
      </c>
      <c r="E391" s="12">
        <f t="shared" si="126"/>
        <v>575</v>
      </c>
      <c r="F391" s="49">
        <v>1</v>
      </c>
      <c r="G391" s="9" t="s">
        <v>43</v>
      </c>
      <c r="H391" s="157"/>
      <c r="I391" s="147"/>
    </row>
    <row r="392" spans="1:9" x14ac:dyDescent="0.2">
      <c r="A392" s="16" t="s">
        <v>414</v>
      </c>
      <c r="B392" s="16" t="s">
        <v>414</v>
      </c>
      <c r="C392" s="16"/>
      <c r="D392" s="49">
        <f t="shared" si="128"/>
        <v>576</v>
      </c>
      <c r="E392" s="12">
        <f t="shared" si="126"/>
        <v>576</v>
      </c>
      <c r="F392" s="49">
        <v>1</v>
      </c>
      <c r="G392" s="9" t="s">
        <v>44</v>
      </c>
      <c r="H392" s="157"/>
      <c r="I392" s="147"/>
    </row>
    <row r="393" spans="1:9" x14ac:dyDescent="0.2">
      <c r="A393" s="16"/>
      <c r="B393" s="16"/>
      <c r="C393" s="16"/>
      <c r="D393" s="49"/>
      <c r="E393" s="49"/>
      <c r="F393" s="49"/>
      <c r="G393" s="10" t="s">
        <v>480</v>
      </c>
      <c r="H393" s="5"/>
      <c r="I393" s="6"/>
    </row>
    <row r="394" spans="1:9" ht="12.75" customHeight="1" x14ac:dyDescent="0.2">
      <c r="A394" s="16" t="s">
        <v>414</v>
      </c>
      <c r="B394" s="16" t="s">
        <v>414</v>
      </c>
      <c r="C394" s="16"/>
      <c r="D394" s="49">
        <f>D392+F392</f>
        <v>577</v>
      </c>
      <c r="E394" s="12">
        <f t="shared" ref="E394:E410" si="129">D394+F394-1</f>
        <v>577</v>
      </c>
      <c r="F394" s="49">
        <v>1</v>
      </c>
      <c r="G394" s="9" t="s">
        <v>215</v>
      </c>
      <c r="H394" s="150" t="s">
        <v>315</v>
      </c>
      <c r="I394" s="150" t="s">
        <v>563</v>
      </c>
    </row>
    <row r="395" spans="1:9" x14ac:dyDescent="0.2">
      <c r="A395" s="16" t="s">
        <v>414</v>
      </c>
      <c r="B395" s="16" t="s">
        <v>414</v>
      </c>
      <c r="C395" s="16"/>
      <c r="D395" s="49">
        <f t="shared" ref="D395" si="130">D394+F394</f>
        <v>578</v>
      </c>
      <c r="E395" s="12">
        <f t="shared" si="129"/>
        <v>578</v>
      </c>
      <c r="F395" s="49">
        <v>1</v>
      </c>
      <c r="G395" s="9" t="s">
        <v>216</v>
      </c>
      <c r="H395" s="150"/>
      <c r="I395" s="150"/>
    </row>
    <row r="396" spans="1:9" x14ac:dyDescent="0.2">
      <c r="A396" s="16" t="s">
        <v>414</v>
      </c>
      <c r="B396" s="16" t="s">
        <v>414</v>
      </c>
      <c r="C396" s="16"/>
      <c r="D396" s="49">
        <f t="shared" ref="D396:D410" si="131">D395+F395</f>
        <v>579</v>
      </c>
      <c r="E396" s="12">
        <f t="shared" si="129"/>
        <v>579</v>
      </c>
      <c r="F396" s="49">
        <v>1</v>
      </c>
      <c r="G396" s="9" t="s">
        <v>217</v>
      </c>
      <c r="H396" s="150"/>
      <c r="I396" s="150"/>
    </row>
    <row r="397" spans="1:9" x14ac:dyDescent="0.2">
      <c r="A397" s="16" t="s">
        <v>414</v>
      </c>
      <c r="B397" s="16" t="s">
        <v>414</v>
      </c>
      <c r="C397" s="16"/>
      <c r="D397" s="49">
        <f t="shared" si="131"/>
        <v>580</v>
      </c>
      <c r="E397" s="12">
        <f t="shared" si="129"/>
        <v>580</v>
      </c>
      <c r="F397" s="49">
        <v>1</v>
      </c>
      <c r="G397" s="9" t="s">
        <v>218</v>
      </c>
      <c r="H397" s="150"/>
      <c r="I397" s="150"/>
    </row>
    <row r="398" spans="1:9" x14ac:dyDescent="0.2">
      <c r="A398" s="16" t="s">
        <v>414</v>
      </c>
      <c r="B398" s="16" t="s">
        <v>414</v>
      </c>
      <c r="C398" s="16"/>
      <c r="D398" s="49">
        <f t="shared" si="131"/>
        <v>581</v>
      </c>
      <c r="E398" s="12">
        <f t="shared" si="129"/>
        <v>581</v>
      </c>
      <c r="F398" s="49">
        <v>1</v>
      </c>
      <c r="G398" s="9" t="s">
        <v>219</v>
      </c>
      <c r="H398" s="150"/>
      <c r="I398" s="150"/>
    </row>
    <row r="399" spans="1:9" x14ac:dyDescent="0.2">
      <c r="A399" s="16" t="s">
        <v>414</v>
      </c>
      <c r="B399" s="16" t="s">
        <v>414</v>
      </c>
      <c r="C399" s="16"/>
      <c r="D399" s="49">
        <f t="shared" si="131"/>
        <v>582</v>
      </c>
      <c r="E399" s="12">
        <f t="shared" si="129"/>
        <v>582</v>
      </c>
      <c r="F399" s="49">
        <v>1</v>
      </c>
      <c r="G399" s="9" t="s">
        <v>220</v>
      </c>
      <c r="H399" s="150"/>
      <c r="I399" s="150"/>
    </row>
    <row r="400" spans="1:9" x14ac:dyDescent="0.2">
      <c r="A400" s="16" t="s">
        <v>414</v>
      </c>
      <c r="B400" s="16" t="s">
        <v>414</v>
      </c>
      <c r="C400" s="16"/>
      <c r="D400" s="49">
        <f t="shared" si="131"/>
        <v>583</v>
      </c>
      <c r="E400" s="12">
        <f t="shared" si="129"/>
        <v>583</v>
      </c>
      <c r="F400" s="49">
        <v>1</v>
      </c>
      <c r="G400" s="9" t="s">
        <v>221</v>
      </c>
      <c r="H400" s="150"/>
      <c r="I400" s="150"/>
    </row>
    <row r="401" spans="1:9" x14ac:dyDescent="0.2">
      <c r="A401" s="16" t="s">
        <v>414</v>
      </c>
      <c r="B401" s="16" t="s">
        <v>414</v>
      </c>
      <c r="C401" s="16"/>
      <c r="D401" s="49">
        <f t="shared" si="131"/>
        <v>584</v>
      </c>
      <c r="E401" s="12">
        <f t="shared" si="129"/>
        <v>584</v>
      </c>
      <c r="F401" s="49">
        <v>1</v>
      </c>
      <c r="G401" s="9" t="s">
        <v>222</v>
      </c>
      <c r="H401" s="150"/>
      <c r="I401" s="150"/>
    </row>
    <row r="402" spans="1:9" x14ac:dyDescent="0.2">
      <c r="A402" s="16" t="s">
        <v>414</v>
      </c>
      <c r="B402" s="16" t="s">
        <v>414</v>
      </c>
      <c r="C402" s="16"/>
      <c r="D402" s="49">
        <f t="shared" si="131"/>
        <v>585</v>
      </c>
      <c r="E402" s="12">
        <f t="shared" si="129"/>
        <v>585</v>
      </c>
      <c r="F402" s="49">
        <v>1</v>
      </c>
      <c r="G402" s="9" t="s">
        <v>223</v>
      </c>
      <c r="H402" s="150"/>
      <c r="I402" s="150"/>
    </row>
    <row r="403" spans="1:9" x14ac:dyDescent="0.2">
      <c r="A403" s="16" t="s">
        <v>414</v>
      </c>
      <c r="B403" s="16" t="s">
        <v>414</v>
      </c>
      <c r="C403" s="16"/>
      <c r="D403" s="49">
        <f t="shared" si="131"/>
        <v>586</v>
      </c>
      <c r="E403" s="12">
        <f t="shared" si="129"/>
        <v>586</v>
      </c>
      <c r="F403" s="49">
        <v>1</v>
      </c>
      <c r="G403" s="9" t="s">
        <v>224</v>
      </c>
      <c r="H403" s="150"/>
      <c r="I403" s="150"/>
    </row>
    <row r="404" spans="1:9" x14ac:dyDescent="0.2">
      <c r="A404" s="16" t="s">
        <v>414</v>
      </c>
      <c r="B404" s="16" t="s">
        <v>414</v>
      </c>
      <c r="C404" s="16"/>
      <c r="D404" s="49">
        <f t="shared" si="131"/>
        <v>587</v>
      </c>
      <c r="E404" s="12">
        <f t="shared" si="129"/>
        <v>587</v>
      </c>
      <c r="F404" s="49">
        <v>1</v>
      </c>
      <c r="G404" s="9" t="s">
        <v>225</v>
      </c>
      <c r="H404" s="150"/>
      <c r="I404" s="150"/>
    </row>
    <row r="405" spans="1:9" x14ac:dyDescent="0.2">
      <c r="A405" s="16" t="s">
        <v>414</v>
      </c>
      <c r="B405" s="16" t="s">
        <v>414</v>
      </c>
      <c r="C405" s="16"/>
      <c r="D405" s="49">
        <f t="shared" si="131"/>
        <v>588</v>
      </c>
      <c r="E405" s="12">
        <f t="shared" si="129"/>
        <v>588</v>
      </c>
      <c r="F405" s="49">
        <v>1</v>
      </c>
      <c r="G405" s="9" t="s">
        <v>226</v>
      </c>
      <c r="H405" s="150"/>
      <c r="I405" s="150"/>
    </row>
    <row r="406" spans="1:9" x14ac:dyDescent="0.2">
      <c r="A406" s="16" t="s">
        <v>414</v>
      </c>
      <c r="B406" s="16" t="s">
        <v>414</v>
      </c>
      <c r="C406" s="16"/>
      <c r="D406" s="49">
        <f t="shared" si="131"/>
        <v>589</v>
      </c>
      <c r="E406" s="12">
        <f t="shared" si="129"/>
        <v>589</v>
      </c>
      <c r="F406" s="49">
        <v>1</v>
      </c>
      <c r="G406" s="9" t="s">
        <v>227</v>
      </c>
      <c r="H406" s="150"/>
      <c r="I406" s="150"/>
    </row>
    <row r="407" spans="1:9" x14ac:dyDescent="0.2">
      <c r="A407" s="16" t="s">
        <v>414</v>
      </c>
      <c r="B407" s="16" t="s">
        <v>414</v>
      </c>
      <c r="C407" s="16"/>
      <c r="D407" s="49">
        <f t="shared" si="131"/>
        <v>590</v>
      </c>
      <c r="E407" s="12">
        <f t="shared" si="129"/>
        <v>590</v>
      </c>
      <c r="F407" s="49">
        <v>1</v>
      </c>
      <c r="G407" s="9" t="s">
        <v>228</v>
      </c>
      <c r="H407" s="150"/>
      <c r="I407" s="150"/>
    </row>
    <row r="408" spans="1:9" x14ac:dyDescent="0.2">
      <c r="A408" s="16" t="s">
        <v>414</v>
      </c>
      <c r="B408" s="16" t="s">
        <v>414</v>
      </c>
      <c r="C408" s="16"/>
      <c r="D408" s="49">
        <f t="shared" si="131"/>
        <v>591</v>
      </c>
      <c r="E408" s="12">
        <f t="shared" si="129"/>
        <v>591</v>
      </c>
      <c r="F408" s="49">
        <v>1</v>
      </c>
      <c r="G408" s="9" t="s">
        <v>229</v>
      </c>
      <c r="H408" s="150"/>
      <c r="I408" s="150"/>
    </row>
    <row r="409" spans="1:9" x14ac:dyDescent="0.2">
      <c r="A409" s="16" t="s">
        <v>414</v>
      </c>
      <c r="B409" s="16" t="s">
        <v>414</v>
      </c>
      <c r="C409" s="16"/>
      <c r="D409" s="49">
        <f t="shared" si="131"/>
        <v>592</v>
      </c>
      <c r="E409" s="12">
        <f t="shared" si="129"/>
        <v>592</v>
      </c>
      <c r="F409" s="49">
        <v>1</v>
      </c>
      <c r="G409" s="9" t="s">
        <v>230</v>
      </c>
      <c r="H409" s="150"/>
      <c r="I409" s="150"/>
    </row>
    <row r="410" spans="1:9" x14ac:dyDescent="0.2">
      <c r="A410" s="16" t="s">
        <v>414</v>
      </c>
      <c r="B410" s="16" t="s">
        <v>414</v>
      </c>
      <c r="C410" s="16"/>
      <c r="D410" s="49">
        <f t="shared" si="131"/>
        <v>593</v>
      </c>
      <c r="E410" s="12">
        <f t="shared" si="129"/>
        <v>593</v>
      </c>
      <c r="F410" s="49">
        <v>1</v>
      </c>
      <c r="G410" s="9" t="s">
        <v>152</v>
      </c>
      <c r="H410" s="150"/>
      <c r="I410" s="150"/>
    </row>
    <row r="411" spans="1:9" x14ac:dyDescent="0.2">
      <c r="A411" s="16"/>
      <c r="B411" s="16"/>
      <c r="C411" s="16"/>
      <c r="D411" s="49"/>
      <c r="E411" s="12"/>
      <c r="F411" s="49"/>
      <c r="G411" s="10" t="s">
        <v>521</v>
      </c>
      <c r="H411" s="70"/>
      <c r="I411" s="74"/>
    </row>
    <row r="412" spans="1:9" ht="12.75" customHeight="1" x14ac:dyDescent="0.2">
      <c r="A412" s="16" t="s">
        <v>414</v>
      </c>
      <c r="B412" s="16" t="s">
        <v>414</v>
      </c>
      <c r="C412" s="16"/>
      <c r="D412" s="49">
        <f>D410+F410</f>
        <v>594</v>
      </c>
      <c r="E412" s="12">
        <f t="shared" ref="E412:E427" si="132">D412+F412-1</f>
        <v>594</v>
      </c>
      <c r="F412" s="49">
        <v>1</v>
      </c>
      <c r="G412" s="9" t="s">
        <v>143</v>
      </c>
      <c r="H412" s="150" t="s">
        <v>559</v>
      </c>
      <c r="I412" s="148" t="s">
        <v>312</v>
      </c>
    </row>
    <row r="413" spans="1:9" x14ac:dyDescent="0.2">
      <c r="A413" s="16" t="s">
        <v>414</v>
      </c>
      <c r="B413" s="16" t="s">
        <v>414</v>
      </c>
      <c r="C413" s="16"/>
      <c r="D413" s="49">
        <f t="shared" ref="D413:D427" si="133">D412+F412</f>
        <v>595</v>
      </c>
      <c r="E413" s="12">
        <f t="shared" si="132"/>
        <v>595</v>
      </c>
      <c r="F413" s="49">
        <v>1</v>
      </c>
      <c r="G413" s="9" t="s">
        <v>522</v>
      </c>
      <c r="H413" s="150"/>
      <c r="I413" s="148"/>
    </row>
    <row r="414" spans="1:9" x14ac:dyDescent="0.2">
      <c r="A414" s="16" t="s">
        <v>414</v>
      </c>
      <c r="B414" s="16" t="s">
        <v>414</v>
      </c>
      <c r="C414" s="16"/>
      <c r="D414" s="49">
        <f t="shared" si="133"/>
        <v>596</v>
      </c>
      <c r="E414" s="12">
        <f t="shared" si="132"/>
        <v>596</v>
      </c>
      <c r="F414" s="49">
        <v>1</v>
      </c>
      <c r="G414" s="9" t="s">
        <v>146</v>
      </c>
      <c r="H414" s="150"/>
      <c r="I414" s="148"/>
    </row>
    <row r="415" spans="1:9" x14ac:dyDescent="0.2">
      <c r="A415" s="16" t="s">
        <v>414</v>
      </c>
      <c r="B415" s="16" t="s">
        <v>414</v>
      </c>
      <c r="C415" s="16"/>
      <c r="D415" s="49">
        <f t="shared" si="133"/>
        <v>597</v>
      </c>
      <c r="E415" s="12">
        <f t="shared" si="132"/>
        <v>597</v>
      </c>
      <c r="F415" s="49">
        <v>1</v>
      </c>
      <c r="G415" s="9" t="s">
        <v>147</v>
      </c>
      <c r="H415" s="150"/>
      <c r="I415" s="148"/>
    </row>
    <row r="416" spans="1:9" x14ac:dyDescent="0.2">
      <c r="A416" s="16" t="s">
        <v>414</v>
      </c>
      <c r="B416" s="16" t="s">
        <v>414</v>
      </c>
      <c r="C416" s="16"/>
      <c r="D416" s="49">
        <f t="shared" si="133"/>
        <v>598</v>
      </c>
      <c r="E416" s="12">
        <f t="shared" si="132"/>
        <v>598</v>
      </c>
      <c r="F416" s="49">
        <v>1</v>
      </c>
      <c r="G416" s="9" t="s">
        <v>51</v>
      </c>
      <c r="H416" s="150"/>
      <c r="I416" s="148"/>
    </row>
    <row r="417" spans="1:9" x14ac:dyDescent="0.2">
      <c r="A417" s="16" t="s">
        <v>414</v>
      </c>
      <c r="B417" s="16" t="s">
        <v>414</v>
      </c>
      <c r="C417" s="16"/>
      <c r="D417" s="49">
        <f t="shared" si="133"/>
        <v>599</v>
      </c>
      <c r="E417" s="12">
        <f t="shared" si="132"/>
        <v>599</v>
      </c>
      <c r="F417" s="49">
        <v>1</v>
      </c>
      <c r="G417" s="9" t="s">
        <v>49</v>
      </c>
      <c r="H417" s="150"/>
      <c r="I417" s="148"/>
    </row>
    <row r="418" spans="1:9" x14ac:dyDescent="0.2">
      <c r="A418" s="16" t="s">
        <v>414</v>
      </c>
      <c r="B418" s="16" t="s">
        <v>414</v>
      </c>
      <c r="C418" s="16"/>
      <c r="D418" s="49">
        <f t="shared" si="133"/>
        <v>600</v>
      </c>
      <c r="E418" s="12">
        <f t="shared" si="132"/>
        <v>600</v>
      </c>
      <c r="F418" s="49">
        <v>1</v>
      </c>
      <c r="G418" s="9" t="s">
        <v>50</v>
      </c>
      <c r="H418" s="150"/>
      <c r="I418" s="148"/>
    </row>
    <row r="419" spans="1:9" x14ac:dyDescent="0.2">
      <c r="A419" s="16" t="s">
        <v>414</v>
      </c>
      <c r="B419" s="16" t="s">
        <v>414</v>
      </c>
      <c r="C419" s="16"/>
      <c r="D419" s="49">
        <f t="shared" si="133"/>
        <v>601</v>
      </c>
      <c r="E419" s="12">
        <f t="shared" si="132"/>
        <v>601</v>
      </c>
      <c r="F419" s="49">
        <v>1</v>
      </c>
      <c r="G419" s="9" t="s">
        <v>149</v>
      </c>
      <c r="H419" s="150"/>
      <c r="I419" s="148"/>
    </row>
    <row r="420" spans="1:9" x14ac:dyDescent="0.2">
      <c r="A420" s="16" t="s">
        <v>414</v>
      </c>
      <c r="B420" s="16" t="s">
        <v>414</v>
      </c>
      <c r="C420" s="16"/>
      <c r="D420" s="49">
        <f t="shared" si="133"/>
        <v>602</v>
      </c>
      <c r="E420" s="12">
        <f t="shared" si="132"/>
        <v>602</v>
      </c>
      <c r="F420" s="49">
        <v>1</v>
      </c>
      <c r="G420" s="105" t="s">
        <v>699</v>
      </c>
      <c r="H420" s="150"/>
      <c r="I420" s="148"/>
    </row>
    <row r="421" spans="1:9" x14ac:dyDescent="0.2">
      <c r="A421" s="16" t="s">
        <v>414</v>
      </c>
      <c r="B421" s="16" t="s">
        <v>414</v>
      </c>
      <c r="C421" s="16"/>
      <c r="D421" s="49">
        <f t="shared" si="133"/>
        <v>603</v>
      </c>
      <c r="E421" s="12">
        <f t="shared" si="132"/>
        <v>603</v>
      </c>
      <c r="F421" s="49">
        <v>1</v>
      </c>
      <c r="G421" s="9" t="s">
        <v>523</v>
      </c>
      <c r="H421" s="150"/>
      <c r="I421" s="148"/>
    </row>
    <row r="422" spans="1:9" x14ac:dyDescent="0.2">
      <c r="A422" s="16" t="s">
        <v>414</v>
      </c>
      <c r="B422" s="16" t="s">
        <v>414</v>
      </c>
      <c r="C422" s="16"/>
      <c r="D422" s="49">
        <f t="shared" si="133"/>
        <v>604</v>
      </c>
      <c r="E422" s="12">
        <f t="shared" si="132"/>
        <v>604</v>
      </c>
      <c r="F422" s="49">
        <v>1</v>
      </c>
      <c r="G422" s="106" t="s">
        <v>700</v>
      </c>
      <c r="H422" s="150"/>
      <c r="I422" s="148"/>
    </row>
    <row r="423" spans="1:9" x14ac:dyDescent="0.2">
      <c r="A423" s="16" t="s">
        <v>414</v>
      </c>
      <c r="B423" s="16" t="s">
        <v>414</v>
      </c>
      <c r="C423" s="16"/>
      <c r="D423" s="49">
        <f t="shared" si="133"/>
        <v>605</v>
      </c>
      <c r="E423" s="12">
        <f t="shared" si="132"/>
        <v>605</v>
      </c>
      <c r="F423" s="49">
        <v>1</v>
      </c>
      <c r="G423" s="9" t="s">
        <v>48</v>
      </c>
      <c r="H423" s="150"/>
      <c r="I423" s="148"/>
    </row>
    <row r="424" spans="1:9" x14ac:dyDescent="0.2">
      <c r="A424" s="16" t="s">
        <v>414</v>
      </c>
      <c r="B424" s="16" t="s">
        <v>414</v>
      </c>
      <c r="C424" s="16"/>
      <c r="D424" s="49">
        <f t="shared" si="133"/>
        <v>606</v>
      </c>
      <c r="E424" s="12">
        <f t="shared" si="132"/>
        <v>606</v>
      </c>
      <c r="F424" s="49">
        <v>1</v>
      </c>
      <c r="G424" s="9" t="s">
        <v>46</v>
      </c>
      <c r="H424" s="150"/>
      <c r="I424" s="148"/>
    </row>
    <row r="425" spans="1:9" x14ac:dyDescent="0.2">
      <c r="A425" s="16" t="s">
        <v>414</v>
      </c>
      <c r="B425" s="16" t="s">
        <v>414</v>
      </c>
      <c r="C425" s="16"/>
      <c r="D425" s="49">
        <f t="shared" si="133"/>
        <v>607</v>
      </c>
      <c r="E425" s="12">
        <f t="shared" si="132"/>
        <v>607</v>
      </c>
      <c r="F425" s="49">
        <v>1</v>
      </c>
      <c r="G425" s="9" t="s">
        <v>152</v>
      </c>
      <c r="H425" s="150"/>
      <c r="I425" s="148"/>
    </row>
    <row r="426" spans="1:9" x14ac:dyDescent="0.2">
      <c r="A426" s="16" t="s">
        <v>414</v>
      </c>
      <c r="B426" s="16" t="s">
        <v>414</v>
      </c>
      <c r="C426" s="16"/>
      <c r="D426" s="49">
        <f t="shared" si="133"/>
        <v>608</v>
      </c>
      <c r="E426" s="12">
        <f t="shared" si="132"/>
        <v>608</v>
      </c>
      <c r="F426" s="49">
        <v>1</v>
      </c>
      <c r="G426" s="9" t="s">
        <v>150</v>
      </c>
      <c r="H426" s="150"/>
      <c r="I426" s="148"/>
    </row>
    <row r="427" spans="1:9" x14ac:dyDescent="0.2">
      <c r="A427" s="16" t="s">
        <v>414</v>
      </c>
      <c r="B427" s="16" t="s">
        <v>414</v>
      </c>
      <c r="C427" s="16"/>
      <c r="D427" s="49">
        <f t="shared" si="133"/>
        <v>609</v>
      </c>
      <c r="E427" s="12">
        <f t="shared" si="132"/>
        <v>609</v>
      </c>
      <c r="F427" s="49">
        <v>1</v>
      </c>
      <c r="G427" s="9" t="s">
        <v>525</v>
      </c>
      <c r="H427" s="150"/>
      <c r="I427" s="148"/>
    </row>
    <row r="428" spans="1:9" x14ac:dyDescent="0.2">
      <c r="A428" s="104" t="s">
        <v>414</v>
      </c>
      <c r="B428" s="104" t="s">
        <v>414</v>
      </c>
      <c r="C428" s="104"/>
      <c r="D428" s="103">
        <f t="shared" ref="D428:D429" si="134">D427+F427</f>
        <v>610</v>
      </c>
      <c r="E428" s="98">
        <f t="shared" ref="E428:E429" si="135">D428+F428-1</f>
        <v>610</v>
      </c>
      <c r="F428" s="103">
        <v>1</v>
      </c>
      <c r="G428" s="105" t="s">
        <v>701</v>
      </c>
      <c r="H428" s="150"/>
      <c r="I428" s="148"/>
    </row>
    <row r="429" spans="1:9" x14ac:dyDescent="0.2">
      <c r="A429" s="104" t="s">
        <v>414</v>
      </c>
      <c r="B429" s="104" t="s">
        <v>414</v>
      </c>
      <c r="C429" s="104"/>
      <c r="D429" s="103">
        <f t="shared" si="134"/>
        <v>611</v>
      </c>
      <c r="E429" s="98">
        <f t="shared" si="135"/>
        <v>611</v>
      </c>
      <c r="F429" s="103">
        <v>1</v>
      </c>
      <c r="G429" s="105" t="s">
        <v>702</v>
      </c>
      <c r="H429" s="150"/>
      <c r="I429" s="148"/>
    </row>
    <row r="430" spans="1:9" x14ac:dyDescent="0.2">
      <c r="A430" s="16"/>
      <c r="B430" s="16"/>
      <c r="C430" s="16"/>
      <c r="D430" s="49"/>
      <c r="E430" s="49"/>
      <c r="F430" s="49"/>
      <c r="G430" s="59" t="s">
        <v>45</v>
      </c>
      <c r="H430" s="5"/>
      <c r="I430" s="6"/>
    </row>
    <row r="431" spans="1:9" ht="12.75" customHeight="1" x14ac:dyDescent="0.2">
      <c r="A431" s="16" t="s">
        <v>413</v>
      </c>
      <c r="B431" s="16" t="s">
        <v>413</v>
      </c>
      <c r="C431" s="16" t="s">
        <v>421</v>
      </c>
      <c r="D431" s="103">
        <f>D429+F429</f>
        <v>612</v>
      </c>
      <c r="E431" s="98">
        <f t="shared" ref="E431:E443" si="136">D431+F431-1</f>
        <v>612</v>
      </c>
      <c r="F431" s="49">
        <v>1</v>
      </c>
      <c r="G431" s="9" t="s">
        <v>46</v>
      </c>
      <c r="H431" s="148" t="s">
        <v>315</v>
      </c>
      <c r="I431" s="147" t="s">
        <v>563</v>
      </c>
    </row>
    <row r="432" spans="1:9" x14ac:dyDescent="0.2">
      <c r="A432" s="16" t="s">
        <v>413</v>
      </c>
      <c r="B432" s="16" t="s">
        <v>413</v>
      </c>
      <c r="C432" s="16" t="s">
        <v>421</v>
      </c>
      <c r="D432" s="103">
        <f t="shared" ref="D432" si="137">D431+F431</f>
        <v>613</v>
      </c>
      <c r="E432" s="98">
        <f t="shared" si="136"/>
        <v>613</v>
      </c>
      <c r="F432" s="49">
        <v>1</v>
      </c>
      <c r="G432" s="9" t="s">
        <v>47</v>
      </c>
      <c r="H432" s="148"/>
      <c r="I432" s="147"/>
    </row>
    <row r="433" spans="1:9" x14ac:dyDescent="0.2">
      <c r="A433" s="16" t="s">
        <v>413</v>
      </c>
      <c r="B433" s="16" t="s">
        <v>413</v>
      </c>
      <c r="C433" s="16" t="s">
        <v>421</v>
      </c>
      <c r="D433" s="103">
        <f t="shared" ref="D433:D440" si="138">D432+F432</f>
        <v>614</v>
      </c>
      <c r="E433" s="98">
        <f t="shared" si="136"/>
        <v>614</v>
      </c>
      <c r="F433" s="49">
        <v>1</v>
      </c>
      <c r="G433" s="9" t="s">
        <v>48</v>
      </c>
      <c r="H433" s="148"/>
      <c r="I433" s="147"/>
    </row>
    <row r="434" spans="1:9" x14ac:dyDescent="0.2">
      <c r="A434" s="16" t="s">
        <v>413</v>
      </c>
      <c r="B434" s="16" t="s">
        <v>413</v>
      </c>
      <c r="C434" s="16" t="s">
        <v>421</v>
      </c>
      <c r="D434" s="103">
        <f t="shared" si="138"/>
        <v>615</v>
      </c>
      <c r="E434" s="98">
        <f t="shared" si="136"/>
        <v>615</v>
      </c>
      <c r="F434" s="49">
        <v>1</v>
      </c>
      <c r="G434" s="9" t="s">
        <v>49</v>
      </c>
      <c r="H434" s="148"/>
      <c r="I434" s="147"/>
    </row>
    <row r="435" spans="1:9" x14ac:dyDescent="0.2">
      <c r="A435" s="109" t="s">
        <v>413</v>
      </c>
      <c r="B435" s="109" t="s">
        <v>413</v>
      </c>
      <c r="C435" s="109" t="s">
        <v>421</v>
      </c>
      <c r="D435" s="103"/>
      <c r="E435" s="98"/>
      <c r="F435" s="114">
        <v>1</v>
      </c>
      <c r="G435" s="107" t="s">
        <v>150</v>
      </c>
      <c r="H435" s="148"/>
      <c r="I435" s="147"/>
    </row>
    <row r="436" spans="1:9" x14ac:dyDescent="0.2">
      <c r="A436" s="16" t="s">
        <v>413</v>
      </c>
      <c r="B436" s="16" t="s">
        <v>413</v>
      </c>
      <c r="C436" s="16" t="s">
        <v>421</v>
      </c>
      <c r="D436" s="103">
        <f>D434+F434</f>
        <v>616</v>
      </c>
      <c r="E436" s="98">
        <f t="shared" si="136"/>
        <v>616</v>
      </c>
      <c r="F436" s="49">
        <v>1</v>
      </c>
      <c r="G436" s="9" t="s">
        <v>50</v>
      </c>
      <c r="H436" s="148"/>
      <c r="I436" s="147"/>
    </row>
    <row r="437" spans="1:9" x14ac:dyDescent="0.2">
      <c r="A437" s="109" t="s">
        <v>413</v>
      </c>
      <c r="B437" s="109" t="s">
        <v>413</v>
      </c>
      <c r="C437" s="109" t="s">
        <v>421</v>
      </c>
      <c r="D437" s="103"/>
      <c r="E437" s="98"/>
      <c r="F437" s="114">
        <v>1</v>
      </c>
      <c r="G437" s="107" t="s">
        <v>151</v>
      </c>
      <c r="H437" s="148"/>
      <c r="I437" s="147"/>
    </row>
    <row r="438" spans="1:9" x14ac:dyDescent="0.2">
      <c r="A438" s="16" t="s">
        <v>413</v>
      </c>
      <c r="B438" s="16" t="s">
        <v>413</v>
      </c>
      <c r="C438" s="16" t="s">
        <v>421</v>
      </c>
      <c r="D438" s="103">
        <f>D436+F436</f>
        <v>617</v>
      </c>
      <c r="E438" s="98">
        <f t="shared" si="136"/>
        <v>617</v>
      </c>
      <c r="F438" s="49">
        <v>1</v>
      </c>
      <c r="G438" s="9" t="s">
        <v>51</v>
      </c>
      <c r="H438" s="148"/>
      <c r="I438" s="147"/>
    </row>
    <row r="439" spans="1:9" x14ac:dyDescent="0.2">
      <c r="A439" s="16" t="s">
        <v>413</v>
      </c>
      <c r="B439" s="16" t="s">
        <v>413</v>
      </c>
      <c r="C439" s="16" t="s">
        <v>421</v>
      </c>
      <c r="D439" s="103">
        <f t="shared" si="138"/>
        <v>618</v>
      </c>
      <c r="E439" s="98">
        <f t="shared" si="136"/>
        <v>618</v>
      </c>
      <c r="F439" s="49">
        <v>1</v>
      </c>
      <c r="G439" s="9" t="s">
        <v>52</v>
      </c>
      <c r="H439" s="148"/>
      <c r="I439" s="147"/>
    </row>
    <row r="440" spans="1:9" x14ac:dyDescent="0.2">
      <c r="A440" s="16" t="s">
        <v>413</v>
      </c>
      <c r="B440" s="16" t="s">
        <v>413</v>
      </c>
      <c r="C440" s="16" t="s">
        <v>421</v>
      </c>
      <c r="D440" s="103">
        <f t="shared" si="138"/>
        <v>619</v>
      </c>
      <c r="E440" s="98">
        <f t="shared" si="136"/>
        <v>619</v>
      </c>
      <c r="F440" s="13">
        <v>1</v>
      </c>
      <c r="G440" s="105" t="s">
        <v>714</v>
      </c>
      <c r="H440" s="148"/>
      <c r="I440" s="147"/>
    </row>
    <row r="441" spans="1:9" x14ac:dyDescent="0.2">
      <c r="A441" s="104" t="s">
        <v>413</v>
      </c>
      <c r="B441" s="104" t="s">
        <v>413</v>
      </c>
      <c r="C441" s="104" t="s">
        <v>421</v>
      </c>
      <c r="D441" s="103">
        <f t="shared" ref="D441" si="139">D440+F440</f>
        <v>620</v>
      </c>
      <c r="E441" s="98">
        <f t="shared" ref="E441" si="140">D441+F441-1</f>
        <v>620</v>
      </c>
      <c r="F441" s="99">
        <v>1</v>
      </c>
      <c r="G441" s="105" t="s">
        <v>712</v>
      </c>
      <c r="H441" s="148"/>
      <c r="I441" s="147"/>
    </row>
    <row r="442" spans="1:9" x14ac:dyDescent="0.2">
      <c r="A442" s="104" t="s">
        <v>413</v>
      </c>
      <c r="B442" s="104" t="s">
        <v>413</v>
      </c>
      <c r="C442" s="104" t="s">
        <v>421</v>
      </c>
      <c r="D442" s="103">
        <f>D441+F441</f>
        <v>621</v>
      </c>
      <c r="E442" s="98">
        <f t="shared" ref="E442" si="141">D442+F442-1</f>
        <v>621</v>
      </c>
      <c r="F442" s="99">
        <v>1</v>
      </c>
      <c r="G442" s="105" t="s">
        <v>713</v>
      </c>
      <c r="H442" s="148"/>
      <c r="I442" s="147"/>
    </row>
    <row r="443" spans="1:9" x14ac:dyDescent="0.2">
      <c r="A443" s="16" t="s">
        <v>413</v>
      </c>
      <c r="B443" s="16" t="s">
        <v>413</v>
      </c>
      <c r="C443" s="16" t="s">
        <v>421</v>
      </c>
      <c r="D443" s="103">
        <f>D442+F442</f>
        <v>622</v>
      </c>
      <c r="E443" s="98">
        <f t="shared" si="136"/>
        <v>622</v>
      </c>
      <c r="F443" s="49">
        <v>1</v>
      </c>
      <c r="G443" s="9" t="s">
        <v>152</v>
      </c>
      <c r="H443" s="148"/>
      <c r="I443" s="147"/>
    </row>
    <row r="444" spans="1:9" x14ac:dyDescent="0.2">
      <c r="A444" s="16"/>
      <c r="B444" s="16"/>
      <c r="C444" s="16"/>
      <c r="D444" s="49"/>
      <c r="E444" s="49"/>
      <c r="F444" s="49"/>
      <c r="G444" s="59" t="s">
        <v>53</v>
      </c>
      <c r="H444" s="5"/>
      <c r="I444" s="6"/>
    </row>
    <row r="445" spans="1:9" ht="38.25" x14ac:dyDescent="0.2">
      <c r="A445" s="16" t="s">
        <v>414</v>
      </c>
      <c r="B445" s="16" t="s">
        <v>414</v>
      </c>
      <c r="C445" s="16"/>
      <c r="D445" s="103">
        <f>D443+F443</f>
        <v>623</v>
      </c>
      <c r="E445" s="98">
        <f t="shared" ref="E445:E450" si="142">D445+F445-1</f>
        <v>623</v>
      </c>
      <c r="F445" s="49">
        <v>1</v>
      </c>
      <c r="G445" s="9" t="s">
        <v>54</v>
      </c>
      <c r="H445" s="72" t="s">
        <v>315</v>
      </c>
      <c r="I445" s="6" t="s">
        <v>563</v>
      </c>
    </row>
    <row r="446" spans="1:9" ht="12.75" customHeight="1" x14ac:dyDescent="0.2">
      <c r="A446" s="16" t="s">
        <v>413</v>
      </c>
      <c r="B446" s="16" t="s">
        <v>413</v>
      </c>
      <c r="C446" s="16" t="s">
        <v>421</v>
      </c>
      <c r="D446" s="103">
        <f t="shared" ref="D446" si="143">D445+F445</f>
        <v>624</v>
      </c>
      <c r="E446" s="98">
        <f t="shared" si="142"/>
        <v>624</v>
      </c>
      <c r="F446" s="49">
        <v>1</v>
      </c>
      <c r="G446" s="9" t="s">
        <v>46</v>
      </c>
      <c r="H446" s="148" t="s">
        <v>315</v>
      </c>
      <c r="I446" s="147" t="s">
        <v>563</v>
      </c>
    </row>
    <row r="447" spans="1:9" x14ac:dyDescent="0.2">
      <c r="A447" s="16" t="s">
        <v>413</v>
      </c>
      <c r="B447" s="16" t="s">
        <v>413</v>
      </c>
      <c r="C447" s="16" t="s">
        <v>421</v>
      </c>
      <c r="D447" s="103">
        <f t="shared" ref="D447:D450" si="144">D446+F446</f>
        <v>625</v>
      </c>
      <c r="E447" s="98">
        <f t="shared" si="142"/>
        <v>625</v>
      </c>
      <c r="F447" s="49">
        <v>1</v>
      </c>
      <c r="G447" s="9" t="s">
        <v>50</v>
      </c>
      <c r="H447" s="148"/>
      <c r="I447" s="147"/>
    </row>
    <row r="448" spans="1:9" x14ac:dyDescent="0.2">
      <c r="A448" s="16" t="s">
        <v>413</v>
      </c>
      <c r="B448" s="16" t="s">
        <v>413</v>
      </c>
      <c r="C448" s="16" t="s">
        <v>421</v>
      </c>
      <c r="D448" s="103">
        <f t="shared" si="144"/>
        <v>626</v>
      </c>
      <c r="E448" s="98">
        <f t="shared" si="142"/>
        <v>626</v>
      </c>
      <c r="F448" s="49">
        <v>1</v>
      </c>
      <c r="G448" s="9" t="s">
        <v>52</v>
      </c>
      <c r="H448" s="148"/>
      <c r="I448" s="147"/>
    </row>
    <row r="449" spans="1:9" x14ac:dyDescent="0.2">
      <c r="A449" s="16" t="s">
        <v>413</v>
      </c>
      <c r="B449" s="16" t="s">
        <v>413</v>
      </c>
      <c r="C449" s="16" t="s">
        <v>421</v>
      </c>
      <c r="D449" s="103">
        <f t="shared" si="144"/>
        <v>627</v>
      </c>
      <c r="E449" s="98">
        <f t="shared" si="142"/>
        <v>627</v>
      </c>
      <c r="F449" s="49">
        <v>1</v>
      </c>
      <c r="G449" s="9" t="s">
        <v>55</v>
      </c>
      <c r="H449" s="148"/>
      <c r="I449" s="147"/>
    </row>
    <row r="450" spans="1:9" x14ac:dyDescent="0.2">
      <c r="A450" s="16" t="s">
        <v>413</v>
      </c>
      <c r="B450" s="16" t="s">
        <v>413</v>
      </c>
      <c r="C450" s="16" t="s">
        <v>421</v>
      </c>
      <c r="D450" s="103">
        <f t="shared" si="144"/>
        <v>628</v>
      </c>
      <c r="E450" s="98">
        <f t="shared" si="142"/>
        <v>628</v>
      </c>
      <c r="F450" s="49">
        <v>1</v>
      </c>
      <c r="G450" s="9" t="s">
        <v>153</v>
      </c>
      <c r="H450" s="148"/>
      <c r="I450" s="147"/>
    </row>
    <row r="451" spans="1:9" x14ac:dyDescent="0.2">
      <c r="A451" s="104" t="s">
        <v>413</v>
      </c>
      <c r="B451" s="104" t="s">
        <v>413</v>
      </c>
      <c r="C451" s="104" t="s">
        <v>421</v>
      </c>
      <c r="D451" s="103">
        <f>D450+F450</f>
        <v>629</v>
      </c>
      <c r="E451" s="98">
        <f t="shared" ref="E451:E454" si="145">D451+F451-1</f>
        <v>629</v>
      </c>
      <c r="F451" s="99">
        <v>1</v>
      </c>
      <c r="G451" s="105" t="s">
        <v>147</v>
      </c>
      <c r="H451" s="148"/>
      <c r="I451" s="147"/>
    </row>
    <row r="452" spans="1:9" x14ac:dyDescent="0.2">
      <c r="A452" s="16" t="s">
        <v>413</v>
      </c>
      <c r="B452" s="16" t="s">
        <v>413</v>
      </c>
      <c r="C452" s="16" t="s">
        <v>421</v>
      </c>
      <c r="D452" s="103">
        <f t="shared" ref="D452:D454" si="146">D451+F451</f>
        <v>630</v>
      </c>
      <c r="E452" s="98">
        <f t="shared" si="145"/>
        <v>630</v>
      </c>
      <c r="F452" s="13">
        <v>1</v>
      </c>
      <c r="G452" s="105" t="s">
        <v>714</v>
      </c>
      <c r="H452" s="148"/>
      <c r="I452" s="147"/>
    </row>
    <row r="453" spans="1:9" x14ac:dyDescent="0.2">
      <c r="A453" s="104" t="s">
        <v>413</v>
      </c>
      <c r="B453" s="104" t="s">
        <v>413</v>
      </c>
      <c r="C453" s="104" t="s">
        <v>421</v>
      </c>
      <c r="D453" s="103">
        <f t="shared" si="146"/>
        <v>631</v>
      </c>
      <c r="E453" s="98">
        <f t="shared" si="145"/>
        <v>631</v>
      </c>
      <c r="F453" s="99">
        <v>1</v>
      </c>
      <c r="G453" s="105" t="s">
        <v>712</v>
      </c>
      <c r="H453" s="148"/>
      <c r="I453" s="147"/>
    </row>
    <row r="454" spans="1:9" x14ac:dyDescent="0.2">
      <c r="A454" s="104" t="s">
        <v>413</v>
      </c>
      <c r="B454" s="104" t="s">
        <v>413</v>
      </c>
      <c r="C454" s="104" t="s">
        <v>421</v>
      </c>
      <c r="D454" s="103">
        <f t="shared" si="146"/>
        <v>632</v>
      </c>
      <c r="E454" s="98">
        <f t="shared" si="145"/>
        <v>632</v>
      </c>
      <c r="F454" s="99">
        <v>1</v>
      </c>
      <c r="G454" s="105" t="s">
        <v>713</v>
      </c>
      <c r="H454" s="148"/>
      <c r="I454" s="147"/>
    </row>
    <row r="455" spans="1:9" x14ac:dyDescent="0.2">
      <c r="A455" s="16"/>
      <c r="B455" s="16"/>
      <c r="C455" s="16"/>
      <c r="D455" s="49"/>
      <c r="E455" s="12"/>
      <c r="F455" s="114">
        <v>4</v>
      </c>
      <c r="G455" s="107" t="s">
        <v>94</v>
      </c>
      <c r="H455" s="5"/>
      <c r="I455" s="6"/>
    </row>
    <row r="456" spans="1:9" x14ac:dyDescent="0.2">
      <c r="A456" s="16"/>
      <c r="B456" s="16"/>
      <c r="C456" s="16"/>
      <c r="D456" s="49"/>
      <c r="E456" s="49"/>
      <c r="F456" s="49"/>
      <c r="G456" s="59" t="s">
        <v>56</v>
      </c>
      <c r="H456" s="5"/>
      <c r="I456" s="6"/>
    </row>
    <row r="457" spans="1:9" ht="38.25" x14ac:dyDescent="0.2">
      <c r="A457" s="16" t="s">
        <v>414</v>
      </c>
      <c r="B457" s="16" t="s">
        <v>414</v>
      </c>
      <c r="C457" s="16"/>
      <c r="D457" s="103">
        <f>D454+F454</f>
        <v>633</v>
      </c>
      <c r="E457" s="98">
        <f t="shared" ref="E457:E471" si="147">D457+F457-1</f>
        <v>633</v>
      </c>
      <c r="F457" s="49">
        <v>1</v>
      </c>
      <c r="G457" s="9" t="s">
        <v>57</v>
      </c>
      <c r="H457" s="72" t="s">
        <v>315</v>
      </c>
      <c r="I457" s="6" t="s">
        <v>563</v>
      </c>
    </row>
    <row r="458" spans="1:9" ht="12.75" customHeight="1" x14ac:dyDescent="0.2">
      <c r="A458" s="16" t="s">
        <v>413</v>
      </c>
      <c r="B458" s="16" t="s">
        <v>413</v>
      </c>
      <c r="C458" s="16" t="s">
        <v>421</v>
      </c>
      <c r="D458" s="103">
        <f t="shared" ref="D458" si="148">D457+F457</f>
        <v>634</v>
      </c>
      <c r="E458" s="98">
        <f t="shared" si="147"/>
        <v>634</v>
      </c>
      <c r="F458" s="49">
        <v>1</v>
      </c>
      <c r="G458" s="9" t="s">
        <v>46</v>
      </c>
      <c r="H458" s="148" t="s">
        <v>315</v>
      </c>
      <c r="I458" s="147" t="s">
        <v>563</v>
      </c>
    </row>
    <row r="459" spans="1:9" x14ac:dyDescent="0.2">
      <c r="A459" s="109" t="s">
        <v>413</v>
      </c>
      <c r="B459" s="109" t="s">
        <v>413</v>
      </c>
      <c r="C459" s="109" t="s">
        <v>421</v>
      </c>
      <c r="D459" s="103"/>
      <c r="E459" s="98"/>
      <c r="F459" s="114">
        <v>1</v>
      </c>
      <c r="G459" s="107" t="s">
        <v>47</v>
      </c>
      <c r="H459" s="148"/>
      <c r="I459" s="147"/>
    </row>
    <row r="460" spans="1:9" x14ac:dyDescent="0.2">
      <c r="A460" s="16" t="s">
        <v>413</v>
      </c>
      <c r="B460" s="16" t="s">
        <v>413</v>
      </c>
      <c r="C460" s="16" t="s">
        <v>421</v>
      </c>
      <c r="D460" s="103">
        <f>D458+F458</f>
        <v>635</v>
      </c>
      <c r="E460" s="98">
        <f t="shared" si="147"/>
        <v>635</v>
      </c>
      <c r="F460" s="49">
        <v>1</v>
      </c>
      <c r="G460" s="9" t="s">
        <v>48</v>
      </c>
      <c r="H460" s="148"/>
      <c r="I460" s="147"/>
    </row>
    <row r="461" spans="1:9" x14ac:dyDescent="0.2">
      <c r="A461" s="16" t="s">
        <v>413</v>
      </c>
      <c r="B461" s="16" t="s">
        <v>413</v>
      </c>
      <c r="C461" s="16" t="s">
        <v>421</v>
      </c>
      <c r="D461" s="103">
        <f t="shared" ref="D461:D471" si="149">D460+F460</f>
        <v>636</v>
      </c>
      <c r="E461" s="98">
        <f t="shared" si="147"/>
        <v>636</v>
      </c>
      <c r="F461" s="49">
        <v>1</v>
      </c>
      <c r="G461" s="9" t="s">
        <v>49</v>
      </c>
      <c r="H461" s="148"/>
      <c r="I461" s="147"/>
    </row>
    <row r="462" spans="1:9" x14ac:dyDescent="0.2">
      <c r="A462" s="109" t="s">
        <v>413</v>
      </c>
      <c r="B462" s="109" t="s">
        <v>413</v>
      </c>
      <c r="C462" s="109" t="s">
        <v>421</v>
      </c>
      <c r="D462" s="103"/>
      <c r="E462" s="98"/>
      <c r="F462" s="114">
        <v>1</v>
      </c>
      <c r="G462" s="107" t="s">
        <v>150</v>
      </c>
      <c r="H462" s="148"/>
      <c r="I462" s="147"/>
    </row>
    <row r="463" spans="1:9" x14ac:dyDescent="0.2">
      <c r="A463" s="16" t="s">
        <v>413</v>
      </c>
      <c r="B463" s="16" t="s">
        <v>413</v>
      </c>
      <c r="C463" s="16" t="s">
        <v>421</v>
      </c>
      <c r="D463" s="103">
        <f>D461+F461</f>
        <v>637</v>
      </c>
      <c r="E463" s="98">
        <f t="shared" si="147"/>
        <v>637</v>
      </c>
      <c r="F463" s="49">
        <v>1</v>
      </c>
      <c r="G463" s="9" t="s">
        <v>50</v>
      </c>
      <c r="H463" s="148"/>
      <c r="I463" s="147"/>
    </row>
    <row r="464" spans="1:9" x14ac:dyDescent="0.2">
      <c r="A464" s="109" t="s">
        <v>413</v>
      </c>
      <c r="B464" s="109" t="s">
        <v>413</v>
      </c>
      <c r="C464" s="109" t="s">
        <v>421</v>
      </c>
      <c r="D464" s="103"/>
      <c r="E464" s="98"/>
      <c r="F464" s="114">
        <v>1</v>
      </c>
      <c r="G464" s="107" t="s">
        <v>151</v>
      </c>
      <c r="H464" s="148"/>
      <c r="I464" s="147"/>
    </row>
    <row r="465" spans="1:9" x14ac:dyDescent="0.2">
      <c r="A465" s="16" t="s">
        <v>413</v>
      </c>
      <c r="B465" s="16" t="s">
        <v>413</v>
      </c>
      <c r="C465" s="16" t="s">
        <v>421</v>
      </c>
      <c r="D465" s="103">
        <f>D463+F463</f>
        <v>638</v>
      </c>
      <c r="E465" s="98">
        <f t="shared" si="147"/>
        <v>638</v>
      </c>
      <c r="F465" s="49">
        <v>1</v>
      </c>
      <c r="G465" s="9" t="s">
        <v>51</v>
      </c>
      <c r="H465" s="148"/>
      <c r="I465" s="147"/>
    </row>
    <row r="466" spans="1:9" x14ac:dyDescent="0.2">
      <c r="A466" s="16" t="s">
        <v>413</v>
      </c>
      <c r="B466" s="16" t="s">
        <v>413</v>
      </c>
      <c r="C466" s="16" t="s">
        <v>421</v>
      </c>
      <c r="D466" s="103">
        <f t="shared" si="149"/>
        <v>639</v>
      </c>
      <c r="E466" s="98">
        <f t="shared" si="147"/>
        <v>639</v>
      </c>
      <c r="F466" s="49">
        <v>1</v>
      </c>
      <c r="G466" s="9" t="s">
        <v>52</v>
      </c>
      <c r="H466" s="148"/>
      <c r="I466" s="147"/>
    </row>
    <row r="467" spans="1:9" x14ac:dyDescent="0.2">
      <c r="A467" s="16" t="s">
        <v>413</v>
      </c>
      <c r="B467" s="16" t="s">
        <v>413</v>
      </c>
      <c r="C467" s="16" t="s">
        <v>421</v>
      </c>
      <c r="D467" s="103">
        <f t="shared" si="149"/>
        <v>640</v>
      </c>
      <c r="E467" s="98">
        <f t="shared" si="147"/>
        <v>640</v>
      </c>
      <c r="F467" s="13">
        <v>1</v>
      </c>
      <c r="G467" s="105" t="s">
        <v>714</v>
      </c>
      <c r="H467" s="148"/>
      <c r="I467" s="147"/>
    </row>
    <row r="468" spans="1:9" x14ac:dyDescent="0.2">
      <c r="A468" s="104" t="s">
        <v>413</v>
      </c>
      <c r="B468" s="104" t="s">
        <v>413</v>
      </c>
      <c r="C468" s="104" t="s">
        <v>421</v>
      </c>
      <c r="D468" s="103">
        <f t="shared" ref="D468:D469" si="150">D467+F467</f>
        <v>641</v>
      </c>
      <c r="E468" s="98">
        <f t="shared" ref="E468:E469" si="151">D468+F468-1</f>
        <v>641</v>
      </c>
      <c r="F468" s="99">
        <v>1</v>
      </c>
      <c r="G468" s="105" t="s">
        <v>712</v>
      </c>
      <c r="H468" s="148"/>
      <c r="I468" s="147"/>
    </row>
    <row r="469" spans="1:9" x14ac:dyDescent="0.2">
      <c r="A469" s="104" t="s">
        <v>413</v>
      </c>
      <c r="B469" s="104" t="s">
        <v>413</v>
      </c>
      <c r="C469" s="104" t="s">
        <v>421</v>
      </c>
      <c r="D469" s="103">
        <f t="shared" si="150"/>
        <v>642</v>
      </c>
      <c r="E469" s="98">
        <f t="shared" si="151"/>
        <v>642</v>
      </c>
      <c r="F469" s="99">
        <v>1</v>
      </c>
      <c r="G469" s="105" t="s">
        <v>713</v>
      </c>
      <c r="H469" s="148"/>
      <c r="I469" s="147"/>
    </row>
    <row r="470" spans="1:9" x14ac:dyDescent="0.2">
      <c r="A470" s="16" t="s">
        <v>413</v>
      </c>
      <c r="B470" s="16" t="s">
        <v>413</v>
      </c>
      <c r="C470" s="16" t="s">
        <v>421</v>
      </c>
      <c r="D470" s="49">
        <f>D469+F469</f>
        <v>643</v>
      </c>
      <c r="E470" s="12">
        <f t="shared" si="147"/>
        <v>643</v>
      </c>
      <c r="F470" s="49">
        <v>1</v>
      </c>
      <c r="G470" s="9" t="s">
        <v>152</v>
      </c>
      <c r="H470" s="148"/>
      <c r="I470" s="147"/>
    </row>
    <row r="471" spans="1:9" x14ac:dyDescent="0.2">
      <c r="A471" s="16"/>
      <c r="B471" s="16"/>
      <c r="C471" s="16"/>
      <c r="D471" s="49">
        <f t="shared" si="149"/>
        <v>644</v>
      </c>
      <c r="E471" s="12">
        <f t="shared" si="147"/>
        <v>648</v>
      </c>
      <c r="F471" s="49">
        <v>5</v>
      </c>
      <c r="G471" s="9" t="s">
        <v>94</v>
      </c>
      <c r="H471" s="5"/>
      <c r="I471" s="6"/>
    </row>
    <row r="472" spans="1:9" ht="12.75" customHeight="1" x14ac:dyDescent="0.2">
      <c r="A472" s="16"/>
      <c r="B472" s="16"/>
      <c r="C472" s="16"/>
      <c r="D472" s="49"/>
      <c r="E472" s="49"/>
      <c r="F472" s="49"/>
      <c r="G472" s="10" t="s">
        <v>58</v>
      </c>
      <c r="H472" s="78"/>
      <c r="I472" s="78"/>
    </row>
    <row r="473" spans="1:9" ht="38.25" x14ac:dyDescent="0.2">
      <c r="A473" s="16" t="s">
        <v>413</v>
      </c>
      <c r="B473" s="16" t="s">
        <v>413</v>
      </c>
      <c r="C473" s="16" t="s">
        <v>421</v>
      </c>
      <c r="D473" s="49">
        <f>D471+F471</f>
        <v>649</v>
      </c>
      <c r="E473" s="12">
        <f t="shared" ref="E473:E474" si="152">D473+F473-1</f>
        <v>649</v>
      </c>
      <c r="F473" s="49">
        <v>1</v>
      </c>
      <c r="G473" s="9" t="s">
        <v>52</v>
      </c>
      <c r="H473" s="72" t="s">
        <v>315</v>
      </c>
      <c r="I473" s="6" t="s">
        <v>563</v>
      </c>
    </row>
    <row r="474" spans="1:9" x14ac:dyDescent="0.2">
      <c r="A474" s="16"/>
      <c r="B474" s="16"/>
      <c r="C474" s="16"/>
      <c r="D474" s="49">
        <f>D473+F473</f>
        <v>650</v>
      </c>
      <c r="E474" s="12">
        <f t="shared" si="152"/>
        <v>654</v>
      </c>
      <c r="F474" s="49">
        <v>5</v>
      </c>
      <c r="G474" s="9" t="s">
        <v>94</v>
      </c>
      <c r="H474" s="5"/>
      <c r="I474" s="6"/>
    </row>
    <row r="475" spans="1:9" x14ac:dyDescent="0.2">
      <c r="A475" s="16"/>
      <c r="B475" s="16"/>
      <c r="C475" s="16"/>
      <c r="D475" s="49"/>
      <c r="E475" s="49"/>
      <c r="F475" s="49"/>
      <c r="G475" s="63" t="s">
        <v>142</v>
      </c>
      <c r="H475" s="5"/>
      <c r="I475" s="6"/>
    </row>
    <row r="476" spans="1:9" x14ac:dyDescent="0.2">
      <c r="A476" s="16" t="s">
        <v>413</v>
      </c>
      <c r="B476" s="16" t="s">
        <v>413</v>
      </c>
      <c r="C476" s="16" t="s">
        <v>421</v>
      </c>
      <c r="D476" s="49">
        <f>D474+F474</f>
        <v>655</v>
      </c>
      <c r="E476" s="12">
        <f t="shared" ref="E476:E487" si="153">D476+F476-1</f>
        <v>655</v>
      </c>
      <c r="F476" s="49">
        <v>1</v>
      </c>
      <c r="G476" s="9" t="s">
        <v>143</v>
      </c>
      <c r="H476" s="147" t="s">
        <v>320</v>
      </c>
      <c r="I476" s="147" t="s">
        <v>321</v>
      </c>
    </row>
    <row r="477" spans="1:9" x14ac:dyDescent="0.2">
      <c r="A477" s="16" t="s">
        <v>413</v>
      </c>
      <c r="B477" s="16" t="s">
        <v>413</v>
      </c>
      <c r="C477" s="16" t="s">
        <v>421</v>
      </c>
      <c r="D477" s="49">
        <f t="shared" ref="D477" si="154">D476+F476</f>
        <v>656</v>
      </c>
      <c r="E477" s="12">
        <f t="shared" si="153"/>
        <v>656</v>
      </c>
      <c r="F477" s="49">
        <v>1</v>
      </c>
      <c r="G477" s="9" t="s">
        <v>566</v>
      </c>
      <c r="H477" s="147"/>
      <c r="I477" s="147"/>
    </row>
    <row r="478" spans="1:9" x14ac:dyDescent="0.2">
      <c r="A478" s="16" t="s">
        <v>413</v>
      </c>
      <c r="B478" s="16" t="s">
        <v>413</v>
      </c>
      <c r="C478" s="16" t="s">
        <v>421</v>
      </c>
      <c r="D478" s="49">
        <f t="shared" ref="D478:D486" si="155">D477+F477</f>
        <v>657</v>
      </c>
      <c r="E478" s="12">
        <f t="shared" si="153"/>
        <v>657</v>
      </c>
      <c r="F478" s="49">
        <v>1</v>
      </c>
      <c r="G478" s="9" t="s">
        <v>146</v>
      </c>
      <c r="H478" s="147"/>
      <c r="I478" s="147"/>
    </row>
    <row r="479" spans="1:9" x14ac:dyDescent="0.2">
      <c r="A479" s="16" t="s">
        <v>413</v>
      </c>
      <c r="B479" s="16" t="s">
        <v>413</v>
      </c>
      <c r="C479" s="16" t="s">
        <v>421</v>
      </c>
      <c r="D479" s="49">
        <f t="shared" si="155"/>
        <v>658</v>
      </c>
      <c r="E479" s="12">
        <f t="shared" si="153"/>
        <v>658</v>
      </c>
      <c r="F479" s="49">
        <v>1</v>
      </c>
      <c r="G479" s="9" t="s">
        <v>147</v>
      </c>
      <c r="H479" s="147"/>
      <c r="I479" s="147"/>
    </row>
    <row r="480" spans="1:9" x14ac:dyDescent="0.2">
      <c r="A480" s="16" t="s">
        <v>413</v>
      </c>
      <c r="B480" s="16" t="s">
        <v>413</v>
      </c>
      <c r="C480" s="16" t="s">
        <v>421</v>
      </c>
      <c r="D480" s="49">
        <f t="shared" si="155"/>
        <v>659</v>
      </c>
      <c r="E480" s="12">
        <f t="shared" si="153"/>
        <v>659</v>
      </c>
      <c r="F480" s="49">
        <v>1</v>
      </c>
      <c r="G480" s="9" t="s">
        <v>51</v>
      </c>
      <c r="H480" s="147"/>
      <c r="I480" s="147"/>
    </row>
    <row r="481" spans="1:9" x14ac:dyDescent="0.2">
      <c r="A481" s="16" t="s">
        <v>413</v>
      </c>
      <c r="B481" s="16" t="s">
        <v>413</v>
      </c>
      <c r="C481" s="16" t="s">
        <v>421</v>
      </c>
      <c r="D481" s="49">
        <f t="shared" si="155"/>
        <v>660</v>
      </c>
      <c r="E481" s="12">
        <f t="shared" si="153"/>
        <v>660</v>
      </c>
      <c r="F481" s="49">
        <v>1</v>
      </c>
      <c r="G481" s="9" t="s">
        <v>49</v>
      </c>
      <c r="H481" s="147"/>
      <c r="I481" s="147"/>
    </row>
    <row r="482" spans="1:9" x14ac:dyDescent="0.2">
      <c r="A482" s="16" t="s">
        <v>413</v>
      </c>
      <c r="B482" s="16" t="s">
        <v>413</v>
      </c>
      <c r="C482" s="16" t="s">
        <v>421</v>
      </c>
      <c r="D482" s="49">
        <f t="shared" si="155"/>
        <v>661</v>
      </c>
      <c r="E482" s="12">
        <f t="shared" si="153"/>
        <v>661</v>
      </c>
      <c r="F482" s="49">
        <v>1</v>
      </c>
      <c r="G482" s="9" t="s">
        <v>50</v>
      </c>
      <c r="H482" s="147"/>
      <c r="I482" s="147"/>
    </row>
    <row r="483" spans="1:9" x14ac:dyDescent="0.2">
      <c r="A483" s="16" t="s">
        <v>413</v>
      </c>
      <c r="B483" s="16" t="s">
        <v>413</v>
      </c>
      <c r="C483" s="16" t="s">
        <v>421</v>
      </c>
      <c r="D483" s="49">
        <f t="shared" si="155"/>
        <v>662</v>
      </c>
      <c r="E483" s="12">
        <f t="shared" si="153"/>
        <v>662</v>
      </c>
      <c r="F483" s="49">
        <v>1</v>
      </c>
      <c r="G483" s="9" t="s">
        <v>149</v>
      </c>
      <c r="H483" s="147"/>
      <c r="I483" s="147"/>
    </row>
    <row r="484" spans="1:9" x14ac:dyDescent="0.2">
      <c r="A484" s="16" t="s">
        <v>413</v>
      </c>
      <c r="B484" s="16" t="s">
        <v>413</v>
      </c>
      <c r="C484" s="16" t="s">
        <v>421</v>
      </c>
      <c r="D484" s="49">
        <f t="shared" si="155"/>
        <v>663</v>
      </c>
      <c r="E484" s="12">
        <f t="shared" si="153"/>
        <v>663</v>
      </c>
      <c r="F484" s="13">
        <v>1</v>
      </c>
      <c r="G484" s="9" t="s">
        <v>560</v>
      </c>
      <c r="H484" s="147"/>
      <c r="I484" s="147"/>
    </row>
    <row r="485" spans="1:9" x14ac:dyDescent="0.2">
      <c r="A485" s="16" t="s">
        <v>413</v>
      </c>
      <c r="B485" s="16" t="s">
        <v>413</v>
      </c>
      <c r="C485" s="16" t="s">
        <v>421</v>
      </c>
      <c r="D485" s="49">
        <f t="shared" si="155"/>
        <v>664</v>
      </c>
      <c r="E485" s="12">
        <f t="shared" si="153"/>
        <v>664</v>
      </c>
      <c r="F485" s="13">
        <v>1</v>
      </c>
      <c r="G485" s="9" t="s">
        <v>47</v>
      </c>
      <c r="H485" s="147"/>
      <c r="I485" s="147"/>
    </row>
    <row r="486" spans="1:9" x14ac:dyDescent="0.2">
      <c r="A486" s="16" t="s">
        <v>413</v>
      </c>
      <c r="B486" s="16" t="s">
        <v>413</v>
      </c>
      <c r="C486" s="16" t="s">
        <v>421</v>
      </c>
      <c r="D486" s="49">
        <f t="shared" si="155"/>
        <v>665</v>
      </c>
      <c r="E486" s="12">
        <f t="shared" si="153"/>
        <v>665</v>
      </c>
      <c r="F486" s="13">
        <v>1</v>
      </c>
      <c r="G486" s="9" t="s">
        <v>561</v>
      </c>
      <c r="H486" s="147"/>
      <c r="I486" s="147"/>
    </row>
    <row r="487" spans="1:9" x14ac:dyDescent="0.2">
      <c r="A487" s="16"/>
      <c r="B487" s="16"/>
      <c r="C487" s="16"/>
      <c r="D487" s="49">
        <f>D486+F486</f>
        <v>666</v>
      </c>
      <c r="E487" s="12">
        <f t="shared" si="153"/>
        <v>667</v>
      </c>
      <c r="F487" s="49">
        <v>2</v>
      </c>
      <c r="G487" s="9" t="s">
        <v>94</v>
      </c>
      <c r="H487" s="5"/>
      <c r="I487" s="6"/>
    </row>
    <row r="488" spans="1:9" x14ac:dyDescent="0.2">
      <c r="A488" s="16"/>
      <c r="B488" s="16"/>
      <c r="C488" s="16"/>
      <c r="D488" s="49"/>
      <c r="E488" s="49"/>
      <c r="F488" s="49"/>
      <c r="G488" s="63" t="s">
        <v>154</v>
      </c>
      <c r="H488" s="5"/>
      <c r="I488" s="6"/>
    </row>
    <row r="489" spans="1:9" x14ac:dyDescent="0.2">
      <c r="A489" s="16"/>
      <c r="B489" s="16"/>
      <c r="C489" s="16"/>
      <c r="D489" s="49"/>
      <c r="E489" s="49"/>
      <c r="F489" s="49"/>
      <c r="G489" s="63" t="s">
        <v>155</v>
      </c>
      <c r="H489" s="5"/>
      <c r="I489" s="6"/>
    </row>
    <row r="490" spans="1:9" ht="63.75" x14ac:dyDescent="0.2">
      <c r="A490" s="16" t="s">
        <v>414</v>
      </c>
      <c r="B490" s="16" t="s">
        <v>414</v>
      </c>
      <c r="C490" s="16"/>
      <c r="D490" s="49">
        <f>D487+F487</f>
        <v>668</v>
      </c>
      <c r="E490" s="12">
        <f>D490+F490-1</f>
        <v>668</v>
      </c>
      <c r="F490" s="49">
        <v>1</v>
      </c>
      <c r="G490" s="79" t="s">
        <v>533</v>
      </c>
      <c r="H490" s="6" t="s">
        <v>534</v>
      </c>
      <c r="I490" s="72" t="s">
        <v>651</v>
      </c>
    </row>
    <row r="491" spans="1:9" ht="51" x14ac:dyDescent="0.2">
      <c r="A491" s="16" t="s">
        <v>414</v>
      </c>
      <c r="B491" s="16" t="s">
        <v>414</v>
      </c>
      <c r="C491" s="16"/>
      <c r="D491" s="49">
        <f>D490+F490</f>
        <v>669</v>
      </c>
      <c r="E491" s="12">
        <f>D491+F491-1</f>
        <v>669</v>
      </c>
      <c r="F491" s="49">
        <v>1</v>
      </c>
      <c r="G491" s="64" t="s">
        <v>535</v>
      </c>
      <c r="H491" s="72" t="s">
        <v>654</v>
      </c>
      <c r="I491" s="72" t="s">
        <v>568</v>
      </c>
    </row>
    <row r="492" spans="1:9" x14ac:dyDescent="0.2">
      <c r="A492" s="16"/>
      <c r="B492" s="16"/>
      <c r="C492" s="16"/>
      <c r="D492" s="49">
        <f>D491+F491</f>
        <v>670</v>
      </c>
      <c r="E492" s="12">
        <f>D492+F492-1</f>
        <v>670</v>
      </c>
      <c r="F492" s="49">
        <v>1</v>
      </c>
      <c r="G492" s="64" t="s">
        <v>94</v>
      </c>
      <c r="H492" s="72"/>
      <c r="I492" s="72"/>
    </row>
    <row r="493" spans="1:9" ht="22.5" customHeight="1" x14ac:dyDescent="0.2">
      <c r="A493" s="16" t="s">
        <v>414</v>
      </c>
      <c r="B493" s="16" t="s">
        <v>414</v>
      </c>
      <c r="C493" s="16"/>
      <c r="D493" s="49">
        <f>D492+F492</f>
        <v>671</v>
      </c>
      <c r="E493" s="12">
        <f>D493+F493-1</f>
        <v>671</v>
      </c>
      <c r="F493" s="49">
        <v>1</v>
      </c>
      <c r="G493" s="64" t="s">
        <v>156</v>
      </c>
      <c r="H493" s="147" t="s">
        <v>345</v>
      </c>
      <c r="I493" s="153" t="s">
        <v>742</v>
      </c>
    </row>
    <row r="494" spans="1:9" ht="23.25" customHeight="1" x14ac:dyDescent="0.2">
      <c r="A494" s="16" t="s">
        <v>414</v>
      </c>
      <c r="B494" s="16" t="s">
        <v>414</v>
      </c>
      <c r="C494" s="16"/>
      <c r="D494" s="49">
        <f t="shared" ref="D494:D497" si="156">D493+F493</f>
        <v>672</v>
      </c>
      <c r="E494" s="12">
        <f t="shared" ref="E494:E497" si="157">D494+F494-1</f>
        <v>672</v>
      </c>
      <c r="F494" s="49">
        <v>1</v>
      </c>
      <c r="G494" s="64" t="s">
        <v>157</v>
      </c>
      <c r="H494" s="152"/>
      <c r="I494" s="153"/>
    </row>
    <row r="495" spans="1:9" ht="23.25" customHeight="1" x14ac:dyDescent="0.2">
      <c r="A495" s="16" t="s">
        <v>414</v>
      </c>
      <c r="B495" s="16" t="s">
        <v>414</v>
      </c>
      <c r="C495" s="16"/>
      <c r="D495" s="49">
        <f t="shared" si="156"/>
        <v>673</v>
      </c>
      <c r="E495" s="12">
        <f t="shared" si="157"/>
        <v>673</v>
      </c>
      <c r="F495" s="49">
        <v>1</v>
      </c>
      <c r="G495" s="64" t="s">
        <v>158</v>
      </c>
      <c r="H495" s="152"/>
      <c r="I495" s="153"/>
    </row>
    <row r="496" spans="1:9" ht="27" customHeight="1" x14ac:dyDescent="0.2">
      <c r="A496" s="16" t="s">
        <v>414</v>
      </c>
      <c r="B496" s="16" t="s">
        <v>414</v>
      </c>
      <c r="C496" s="16"/>
      <c r="D496" s="49">
        <f t="shared" si="156"/>
        <v>674</v>
      </c>
      <c r="E496" s="12">
        <f t="shared" si="157"/>
        <v>674</v>
      </c>
      <c r="F496" s="49">
        <v>1</v>
      </c>
      <c r="G496" s="64" t="s">
        <v>159</v>
      </c>
      <c r="H496" s="152"/>
      <c r="I496" s="153"/>
    </row>
    <row r="497" spans="1:9" ht="81.75" customHeight="1" x14ac:dyDescent="0.2">
      <c r="A497" s="16" t="s">
        <v>413</v>
      </c>
      <c r="B497" s="16" t="s">
        <v>413</v>
      </c>
      <c r="C497" s="16" t="s">
        <v>424</v>
      </c>
      <c r="D497" s="49">
        <f t="shared" si="156"/>
        <v>675</v>
      </c>
      <c r="E497" s="12">
        <f t="shared" si="157"/>
        <v>675</v>
      </c>
      <c r="F497" s="49">
        <v>1</v>
      </c>
      <c r="G497" s="64" t="s">
        <v>155</v>
      </c>
      <c r="H497" s="72" t="s">
        <v>346</v>
      </c>
      <c r="I497" s="115" t="s">
        <v>743</v>
      </c>
    </row>
    <row r="498" spans="1:9" x14ac:dyDescent="0.2">
      <c r="A498" s="16"/>
      <c r="B498" s="16"/>
      <c r="C498" s="16"/>
      <c r="D498" s="49"/>
      <c r="E498" s="49"/>
      <c r="F498" s="49"/>
      <c r="G498" s="63" t="s">
        <v>231</v>
      </c>
      <c r="H498" s="5"/>
      <c r="I498" s="6"/>
    </row>
    <row r="499" spans="1:9" ht="102" x14ac:dyDescent="0.2">
      <c r="A499" s="16" t="s">
        <v>413</v>
      </c>
      <c r="B499" s="16" t="s">
        <v>413</v>
      </c>
      <c r="C499" s="16"/>
      <c r="D499" s="49">
        <f>D497+F497</f>
        <v>676</v>
      </c>
      <c r="E499" s="12">
        <f t="shared" ref="E499:E505" si="158">D499+F499-1</f>
        <v>677</v>
      </c>
      <c r="F499" s="49">
        <v>2</v>
      </c>
      <c r="G499" s="64" t="s">
        <v>139</v>
      </c>
      <c r="H499" s="11" t="s">
        <v>347</v>
      </c>
      <c r="I499" s="72" t="s">
        <v>351</v>
      </c>
    </row>
    <row r="500" spans="1:9" ht="114.75" x14ac:dyDescent="0.2">
      <c r="A500" s="16" t="s">
        <v>414</v>
      </c>
      <c r="B500" s="16" t="s">
        <v>414</v>
      </c>
      <c r="C500" s="16"/>
      <c r="D500" s="49">
        <f>D499+F499</f>
        <v>678</v>
      </c>
      <c r="E500" s="12">
        <f t="shared" si="158"/>
        <v>679</v>
      </c>
      <c r="F500" s="49">
        <v>2</v>
      </c>
      <c r="G500" s="64" t="s">
        <v>536</v>
      </c>
      <c r="H500" s="80" t="s">
        <v>655</v>
      </c>
      <c r="I500" s="72" t="s">
        <v>656</v>
      </c>
    </row>
    <row r="501" spans="1:9" ht="102" x14ac:dyDescent="0.2">
      <c r="A501" s="16" t="s">
        <v>413</v>
      </c>
      <c r="B501" s="16" t="s">
        <v>413</v>
      </c>
      <c r="C501" s="16"/>
      <c r="D501" s="49">
        <f>D500+F500</f>
        <v>680</v>
      </c>
      <c r="E501" s="12">
        <f t="shared" si="158"/>
        <v>681</v>
      </c>
      <c r="F501" s="49">
        <v>2</v>
      </c>
      <c r="G501" s="64" t="s">
        <v>537</v>
      </c>
      <c r="H501" s="80" t="s">
        <v>655</v>
      </c>
      <c r="I501" s="72" t="s">
        <v>567</v>
      </c>
    </row>
    <row r="502" spans="1:9" ht="72.75" customHeight="1" x14ac:dyDescent="0.2">
      <c r="A502" s="16" t="s">
        <v>413</v>
      </c>
      <c r="B502" s="16" t="s">
        <v>413</v>
      </c>
      <c r="C502" s="16" t="s">
        <v>421</v>
      </c>
      <c r="D502" s="49">
        <f t="shared" ref="D502:D505" si="159">D501+F501</f>
        <v>682</v>
      </c>
      <c r="E502" s="12">
        <f t="shared" si="158"/>
        <v>683</v>
      </c>
      <c r="F502" s="49">
        <v>2</v>
      </c>
      <c r="G502" s="56" t="s">
        <v>232</v>
      </c>
      <c r="H502" s="150" t="s">
        <v>657</v>
      </c>
      <c r="I502" s="151" t="s">
        <v>742</v>
      </c>
    </row>
    <row r="503" spans="1:9" ht="72.75" customHeight="1" x14ac:dyDescent="0.2">
      <c r="A503" s="16" t="s">
        <v>413</v>
      </c>
      <c r="B503" s="16" t="s">
        <v>413</v>
      </c>
      <c r="C503" s="16" t="s">
        <v>421</v>
      </c>
      <c r="D503" s="49">
        <f t="shared" si="159"/>
        <v>684</v>
      </c>
      <c r="E503" s="12">
        <f t="shared" si="158"/>
        <v>685</v>
      </c>
      <c r="F503" s="49">
        <v>2</v>
      </c>
      <c r="G503" s="56" t="s">
        <v>233</v>
      </c>
      <c r="H503" s="150"/>
      <c r="I503" s="151"/>
    </row>
    <row r="504" spans="1:9" ht="71.25" customHeight="1" x14ac:dyDescent="0.2">
      <c r="A504" s="16" t="s">
        <v>413</v>
      </c>
      <c r="B504" s="16" t="s">
        <v>413</v>
      </c>
      <c r="C504" s="16" t="s">
        <v>421</v>
      </c>
      <c r="D504" s="49">
        <f t="shared" si="159"/>
        <v>686</v>
      </c>
      <c r="E504" s="12">
        <f t="shared" si="158"/>
        <v>687</v>
      </c>
      <c r="F504" s="49">
        <v>2</v>
      </c>
      <c r="G504" s="56" t="s">
        <v>234</v>
      </c>
      <c r="H504" s="150"/>
      <c r="I504" s="151"/>
    </row>
    <row r="505" spans="1:9" ht="71.25" customHeight="1" x14ac:dyDescent="0.2">
      <c r="A505" s="16" t="s">
        <v>413</v>
      </c>
      <c r="B505" s="16" t="s">
        <v>413</v>
      </c>
      <c r="C505" s="16" t="s">
        <v>421</v>
      </c>
      <c r="D505" s="49">
        <f t="shared" si="159"/>
        <v>688</v>
      </c>
      <c r="E505" s="12">
        <f t="shared" si="158"/>
        <v>689</v>
      </c>
      <c r="F505" s="49">
        <v>2</v>
      </c>
      <c r="G505" s="56" t="s">
        <v>235</v>
      </c>
      <c r="H505" s="150"/>
      <c r="I505" s="151"/>
    </row>
    <row r="506" spans="1:9" x14ac:dyDescent="0.2">
      <c r="A506" s="16"/>
      <c r="B506" s="16"/>
      <c r="C506" s="16"/>
      <c r="D506" s="49"/>
      <c r="E506" s="49"/>
      <c r="F506" s="49"/>
      <c r="G506" s="63" t="s">
        <v>160</v>
      </c>
      <c r="H506" s="5"/>
      <c r="I506" s="6"/>
    </row>
    <row r="507" spans="1:9" ht="63.75" x14ac:dyDescent="0.2">
      <c r="A507" s="16" t="s">
        <v>413</v>
      </c>
      <c r="B507" s="16" t="s">
        <v>413</v>
      </c>
      <c r="C507" s="16"/>
      <c r="D507" s="49">
        <f>D505+F505</f>
        <v>690</v>
      </c>
      <c r="E507" s="12">
        <f t="shared" ref="E507:E514" si="160">D507+F507-1</f>
        <v>691</v>
      </c>
      <c r="F507" s="49">
        <v>2</v>
      </c>
      <c r="G507" s="64" t="s">
        <v>539</v>
      </c>
      <c r="H507" s="6" t="s">
        <v>350</v>
      </c>
      <c r="I507" s="72" t="s">
        <v>658</v>
      </c>
    </row>
    <row r="508" spans="1:9" ht="51" x14ac:dyDescent="0.2">
      <c r="A508" s="16" t="s">
        <v>414</v>
      </c>
      <c r="B508" s="16" t="s">
        <v>414</v>
      </c>
      <c r="C508" s="16"/>
      <c r="D508" s="49">
        <f>D507+F507</f>
        <v>692</v>
      </c>
      <c r="E508" s="12">
        <f t="shared" si="160"/>
        <v>693</v>
      </c>
      <c r="F508" s="49">
        <v>2</v>
      </c>
      <c r="G508" s="64" t="s">
        <v>538</v>
      </c>
      <c r="H508" s="72" t="s">
        <v>350</v>
      </c>
      <c r="I508" s="72" t="s">
        <v>569</v>
      </c>
    </row>
    <row r="509" spans="1:9" ht="23.25" customHeight="1" x14ac:dyDescent="0.2">
      <c r="A509" s="16" t="s">
        <v>414</v>
      </c>
      <c r="B509" s="16" t="s">
        <v>414</v>
      </c>
      <c r="C509" s="16"/>
      <c r="D509" s="49">
        <f t="shared" ref="D509" si="161">D508+F508</f>
        <v>694</v>
      </c>
      <c r="E509" s="12">
        <f t="shared" si="160"/>
        <v>694</v>
      </c>
      <c r="F509" s="49">
        <v>1</v>
      </c>
      <c r="G509" s="64" t="s">
        <v>161</v>
      </c>
      <c r="H509" s="148" t="s">
        <v>348</v>
      </c>
      <c r="I509" s="153" t="s">
        <v>742</v>
      </c>
    </row>
    <row r="510" spans="1:9" ht="21.75" customHeight="1" x14ac:dyDescent="0.2">
      <c r="A510" s="16" t="s">
        <v>414</v>
      </c>
      <c r="B510" s="16" t="s">
        <v>414</v>
      </c>
      <c r="C510" s="16"/>
      <c r="D510" s="49">
        <f t="shared" ref="D510:D514" si="162">D509+F509</f>
        <v>695</v>
      </c>
      <c r="E510" s="12">
        <f t="shared" si="160"/>
        <v>695</v>
      </c>
      <c r="F510" s="49">
        <v>1</v>
      </c>
      <c r="G510" s="64" t="s">
        <v>162</v>
      </c>
      <c r="H510" s="148"/>
      <c r="I510" s="153"/>
    </row>
    <row r="511" spans="1:9" ht="21.75" customHeight="1" x14ac:dyDescent="0.2">
      <c r="A511" s="16" t="s">
        <v>414</v>
      </c>
      <c r="B511" s="16" t="s">
        <v>414</v>
      </c>
      <c r="C511" s="16"/>
      <c r="D511" s="49">
        <f t="shared" si="162"/>
        <v>696</v>
      </c>
      <c r="E511" s="12">
        <f t="shared" si="160"/>
        <v>696</v>
      </c>
      <c r="F511" s="49">
        <v>1</v>
      </c>
      <c r="G511" s="64" t="s">
        <v>163</v>
      </c>
      <c r="H511" s="148"/>
      <c r="I511" s="153"/>
    </row>
    <row r="512" spans="1:9" ht="22.5" customHeight="1" x14ac:dyDescent="0.2">
      <c r="A512" s="16" t="s">
        <v>414</v>
      </c>
      <c r="B512" s="16" t="s">
        <v>414</v>
      </c>
      <c r="C512" s="16"/>
      <c r="D512" s="49">
        <f t="shared" si="162"/>
        <v>697</v>
      </c>
      <c r="E512" s="12">
        <f t="shared" si="160"/>
        <v>697</v>
      </c>
      <c r="F512" s="49">
        <v>1</v>
      </c>
      <c r="G512" s="64" t="s">
        <v>164</v>
      </c>
      <c r="H512" s="148"/>
      <c r="I512" s="153"/>
    </row>
    <row r="513" spans="1:9" ht="78.75" customHeight="1" x14ac:dyDescent="0.2">
      <c r="A513" s="16" t="s">
        <v>413</v>
      </c>
      <c r="B513" s="16" t="s">
        <v>413</v>
      </c>
      <c r="C513" s="16" t="s">
        <v>421</v>
      </c>
      <c r="D513" s="49">
        <f t="shared" si="162"/>
        <v>698</v>
      </c>
      <c r="E513" s="12">
        <f t="shared" si="160"/>
        <v>698</v>
      </c>
      <c r="F513" s="49">
        <v>1</v>
      </c>
      <c r="G513" s="64" t="s">
        <v>165</v>
      </c>
      <c r="H513" s="72" t="s">
        <v>349</v>
      </c>
      <c r="I513" s="101" t="s">
        <v>744</v>
      </c>
    </row>
    <row r="514" spans="1:9" ht="76.5" x14ac:dyDescent="0.2">
      <c r="A514" s="16" t="s">
        <v>413</v>
      </c>
      <c r="B514" s="16" t="s">
        <v>413</v>
      </c>
      <c r="C514" s="16"/>
      <c r="D514" s="49">
        <f t="shared" si="162"/>
        <v>699</v>
      </c>
      <c r="E514" s="12">
        <f t="shared" si="160"/>
        <v>699</v>
      </c>
      <c r="F514" s="49">
        <v>1</v>
      </c>
      <c r="G514" s="64" t="s">
        <v>140</v>
      </c>
      <c r="H514" s="72" t="s">
        <v>570</v>
      </c>
      <c r="I514" s="72" t="s">
        <v>352</v>
      </c>
    </row>
    <row r="515" spans="1:9" x14ac:dyDescent="0.2">
      <c r="A515" s="16"/>
      <c r="B515" s="16"/>
      <c r="C515" s="16"/>
      <c r="D515" s="49"/>
      <c r="E515" s="49"/>
      <c r="F515" s="49"/>
      <c r="G515" s="63" t="s">
        <v>166</v>
      </c>
      <c r="H515" s="5"/>
      <c r="I515" s="47"/>
    </row>
    <row r="516" spans="1:9" ht="63.75" x14ac:dyDescent="0.2">
      <c r="A516" s="16" t="s">
        <v>414</v>
      </c>
      <c r="B516" s="16" t="s">
        <v>414</v>
      </c>
      <c r="C516" s="16"/>
      <c r="D516" s="49">
        <f>D514+F514</f>
        <v>700</v>
      </c>
      <c r="E516" s="12">
        <f t="shared" ref="E516:E522" si="163">D516+F516-1</f>
        <v>700</v>
      </c>
      <c r="F516" s="49">
        <v>1</v>
      </c>
      <c r="G516" s="79" t="s">
        <v>540</v>
      </c>
      <c r="H516" s="6" t="s">
        <v>542</v>
      </c>
      <c r="I516" s="72" t="s">
        <v>658</v>
      </c>
    </row>
    <row r="517" spans="1:9" ht="51" x14ac:dyDescent="0.2">
      <c r="A517" s="16" t="s">
        <v>414</v>
      </c>
      <c r="B517" s="16" t="s">
        <v>414</v>
      </c>
      <c r="C517" s="16"/>
      <c r="D517" s="49">
        <f t="shared" ref="D517:D518" si="164">D516+F516</f>
        <v>701</v>
      </c>
      <c r="E517" s="12">
        <f t="shared" si="163"/>
        <v>701</v>
      </c>
      <c r="F517" s="49">
        <v>1</v>
      </c>
      <c r="G517" s="64" t="s">
        <v>541</v>
      </c>
      <c r="H517" s="72" t="s">
        <v>659</v>
      </c>
      <c r="I517" s="72" t="s">
        <v>569</v>
      </c>
    </row>
    <row r="518" spans="1:9" ht="22.5" customHeight="1" x14ac:dyDescent="0.2">
      <c r="A518" s="16" t="s">
        <v>414</v>
      </c>
      <c r="B518" s="16" t="s">
        <v>414</v>
      </c>
      <c r="C518" s="16"/>
      <c r="D518" s="49">
        <f t="shared" si="164"/>
        <v>702</v>
      </c>
      <c r="E518" s="12">
        <f t="shared" si="163"/>
        <v>702</v>
      </c>
      <c r="F518" s="49">
        <v>1</v>
      </c>
      <c r="G518" s="64" t="s">
        <v>167</v>
      </c>
      <c r="H518" s="148" t="s">
        <v>353</v>
      </c>
      <c r="I518" s="153" t="s">
        <v>742</v>
      </c>
    </row>
    <row r="519" spans="1:9" ht="21" customHeight="1" x14ac:dyDescent="0.2">
      <c r="A519" s="16" t="s">
        <v>414</v>
      </c>
      <c r="B519" s="16" t="s">
        <v>414</v>
      </c>
      <c r="C519" s="16"/>
      <c r="D519" s="49">
        <f t="shared" ref="D519:D522" si="165">D518+F518</f>
        <v>703</v>
      </c>
      <c r="E519" s="12">
        <f t="shared" si="163"/>
        <v>703</v>
      </c>
      <c r="F519" s="49">
        <v>1</v>
      </c>
      <c r="G519" s="64" t="s">
        <v>168</v>
      </c>
      <c r="H519" s="148"/>
      <c r="I519" s="153"/>
    </row>
    <row r="520" spans="1:9" ht="21" customHeight="1" x14ac:dyDescent="0.2">
      <c r="A520" s="16" t="s">
        <v>414</v>
      </c>
      <c r="B520" s="16" t="s">
        <v>414</v>
      </c>
      <c r="C520" s="16"/>
      <c r="D520" s="49">
        <f t="shared" si="165"/>
        <v>704</v>
      </c>
      <c r="E520" s="12">
        <f t="shared" si="163"/>
        <v>704</v>
      </c>
      <c r="F520" s="49">
        <v>1</v>
      </c>
      <c r="G520" s="64" t="s">
        <v>169</v>
      </c>
      <c r="H520" s="148"/>
      <c r="I520" s="153"/>
    </row>
    <row r="521" spans="1:9" ht="21.75" customHeight="1" x14ac:dyDescent="0.2">
      <c r="A521" s="16" t="s">
        <v>414</v>
      </c>
      <c r="B521" s="16" t="s">
        <v>414</v>
      </c>
      <c r="C521" s="16"/>
      <c r="D521" s="49">
        <f t="shared" si="165"/>
        <v>705</v>
      </c>
      <c r="E521" s="12">
        <f t="shared" si="163"/>
        <v>705</v>
      </c>
      <c r="F521" s="49">
        <v>1</v>
      </c>
      <c r="G521" s="64" t="s">
        <v>170</v>
      </c>
      <c r="H521" s="148"/>
      <c r="I521" s="153"/>
    </row>
    <row r="522" spans="1:9" ht="80.25" customHeight="1" x14ac:dyDescent="0.2">
      <c r="A522" s="16" t="s">
        <v>413</v>
      </c>
      <c r="B522" s="16" t="s">
        <v>413</v>
      </c>
      <c r="C522" s="16" t="s">
        <v>421</v>
      </c>
      <c r="D522" s="49">
        <f t="shared" si="165"/>
        <v>706</v>
      </c>
      <c r="E522" s="12">
        <f t="shared" si="163"/>
        <v>706</v>
      </c>
      <c r="F522" s="49">
        <v>1</v>
      </c>
      <c r="G522" s="64" t="s">
        <v>171</v>
      </c>
      <c r="H522" s="72" t="s">
        <v>354</v>
      </c>
      <c r="I522" s="101" t="s">
        <v>745</v>
      </c>
    </row>
    <row r="523" spans="1:9" x14ac:dyDescent="0.2">
      <c r="A523" s="16"/>
      <c r="B523" s="16"/>
      <c r="C523" s="16"/>
      <c r="D523" s="49"/>
      <c r="E523" s="49"/>
      <c r="F523" s="49"/>
      <c r="G523" s="63" t="s">
        <v>205</v>
      </c>
      <c r="H523" s="5"/>
      <c r="I523" s="6"/>
    </row>
    <row r="524" spans="1:9" ht="63.75" x14ac:dyDescent="0.2">
      <c r="A524" s="16" t="s">
        <v>414</v>
      </c>
      <c r="B524" s="16" t="s">
        <v>414</v>
      </c>
      <c r="C524" s="16"/>
      <c r="D524" s="49">
        <f>D522+F522</f>
        <v>707</v>
      </c>
      <c r="E524" s="12">
        <f t="shared" ref="E524:E540" si="166">D524+F524-1</f>
        <v>707</v>
      </c>
      <c r="F524" s="49">
        <v>1</v>
      </c>
      <c r="G524" s="79" t="s">
        <v>544</v>
      </c>
      <c r="H524" s="6" t="s">
        <v>377</v>
      </c>
      <c r="I524" s="72" t="s">
        <v>658</v>
      </c>
    </row>
    <row r="525" spans="1:9" ht="51" x14ac:dyDescent="0.2">
      <c r="A525" s="16" t="s">
        <v>414</v>
      </c>
      <c r="B525" s="16" t="s">
        <v>414</v>
      </c>
      <c r="C525" s="16"/>
      <c r="D525" s="49">
        <f t="shared" ref="D525:D535" si="167">D524+F524</f>
        <v>708</v>
      </c>
      <c r="E525" s="12">
        <f t="shared" si="166"/>
        <v>708</v>
      </c>
      <c r="F525" s="49">
        <v>1</v>
      </c>
      <c r="G525" s="9" t="s">
        <v>543</v>
      </c>
      <c r="H525" s="72" t="s">
        <v>377</v>
      </c>
      <c r="I525" s="72" t="s">
        <v>568</v>
      </c>
    </row>
    <row r="526" spans="1:9" ht="63.75" x14ac:dyDescent="0.2">
      <c r="A526" s="16" t="s">
        <v>414</v>
      </c>
      <c r="B526" s="16" t="s">
        <v>414</v>
      </c>
      <c r="C526" s="16"/>
      <c r="D526" s="49">
        <f t="shared" si="167"/>
        <v>709</v>
      </c>
      <c r="E526" s="12">
        <f t="shared" si="166"/>
        <v>709</v>
      </c>
      <c r="F526" s="49">
        <v>1</v>
      </c>
      <c r="G526" s="9" t="s">
        <v>546</v>
      </c>
      <c r="H526" s="72" t="s">
        <v>378</v>
      </c>
      <c r="I526" s="72" t="s">
        <v>658</v>
      </c>
    </row>
    <row r="527" spans="1:9" ht="63.75" customHeight="1" x14ac:dyDescent="0.2">
      <c r="A527" s="16" t="s">
        <v>414</v>
      </c>
      <c r="B527" s="16" t="s">
        <v>414</v>
      </c>
      <c r="C527" s="16"/>
      <c r="D527" s="49">
        <f t="shared" si="167"/>
        <v>710</v>
      </c>
      <c r="E527" s="12">
        <f t="shared" si="166"/>
        <v>710</v>
      </c>
      <c r="F527" s="49">
        <v>1</v>
      </c>
      <c r="G527" s="9" t="s">
        <v>545</v>
      </c>
      <c r="H527" s="72" t="s">
        <v>378</v>
      </c>
      <c r="I527" s="72" t="s">
        <v>568</v>
      </c>
    </row>
    <row r="528" spans="1:9" ht="63.75" customHeight="1" x14ac:dyDescent="0.2">
      <c r="A528" s="16" t="s">
        <v>414</v>
      </c>
      <c r="B528" s="16" t="s">
        <v>414</v>
      </c>
      <c r="C528" s="16"/>
      <c r="D528" s="49">
        <f t="shared" si="167"/>
        <v>711</v>
      </c>
      <c r="E528" s="12">
        <f t="shared" si="166"/>
        <v>711</v>
      </c>
      <c r="F528" s="49">
        <v>1</v>
      </c>
      <c r="G528" s="9" t="s">
        <v>548</v>
      </c>
      <c r="H528" s="72" t="s">
        <v>379</v>
      </c>
      <c r="I528" s="72" t="s">
        <v>658</v>
      </c>
    </row>
    <row r="529" spans="1:9" ht="51" x14ac:dyDescent="0.2">
      <c r="A529" s="16" t="s">
        <v>414</v>
      </c>
      <c r="B529" s="16" t="s">
        <v>414</v>
      </c>
      <c r="C529" s="16"/>
      <c r="D529" s="49">
        <f t="shared" si="167"/>
        <v>712</v>
      </c>
      <c r="E529" s="12">
        <f t="shared" si="166"/>
        <v>712</v>
      </c>
      <c r="F529" s="49">
        <v>1</v>
      </c>
      <c r="G529" s="9" t="s">
        <v>547</v>
      </c>
      <c r="H529" s="72" t="s">
        <v>379</v>
      </c>
      <c r="I529" s="72" t="s">
        <v>568</v>
      </c>
    </row>
    <row r="530" spans="1:9" ht="63.75" x14ac:dyDescent="0.2">
      <c r="A530" s="16" t="s">
        <v>414</v>
      </c>
      <c r="B530" s="16" t="s">
        <v>414</v>
      </c>
      <c r="C530" s="16"/>
      <c r="D530" s="49">
        <f t="shared" si="167"/>
        <v>713</v>
      </c>
      <c r="E530" s="12">
        <f t="shared" si="166"/>
        <v>713</v>
      </c>
      <c r="F530" s="49">
        <v>1</v>
      </c>
      <c r="G530" s="9" t="s">
        <v>550</v>
      </c>
      <c r="H530" s="72" t="s">
        <v>380</v>
      </c>
      <c r="I530" s="72" t="s">
        <v>658</v>
      </c>
    </row>
    <row r="531" spans="1:9" ht="51" x14ac:dyDescent="0.2">
      <c r="A531" s="16" t="s">
        <v>414</v>
      </c>
      <c r="B531" s="16" t="s">
        <v>414</v>
      </c>
      <c r="C531" s="16"/>
      <c r="D531" s="49">
        <f t="shared" si="167"/>
        <v>714</v>
      </c>
      <c r="E531" s="12">
        <f t="shared" si="166"/>
        <v>714</v>
      </c>
      <c r="F531" s="49">
        <v>1</v>
      </c>
      <c r="G531" s="9" t="s">
        <v>549</v>
      </c>
      <c r="H531" s="72" t="s">
        <v>380</v>
      </c>
      <c r="I531" s="72" t="s">
        <v>568</v>
      </c>
    </row>
    <row r="532" spans="1:9" ht="63.75" x14ac:dyDescent="0.2">
      <c r="A532" s="16" t="s">
        <v>414</v>
      </c>
      <c r="B532" s="16" t="s">
        <v>414</v>
      </c>
      <c r="C532" s="16"/>
      <c r="D532" s="49">
        <f t="shared" si="167"/>
        <v>715</v>
      </c>
      <c r="E532" s="12">
        <f t="shared" si="166"/>
        <v>715</v>
      </c>
      <c r="F532" s="49">
        <v>1</v>
      </c>
      <c r="G532" s="9" t="s">
        <v>552</v>
      </c>
      <c r="H532" s="72" t="s">
        <v>381</v>
      </c>
      <c r="I532" s="72" t="s">
        <v>658</v>
      </c>
    </row>
    <row r="533" spans="1:9" ht="63.75" x14ac:dyDescent="0.2">
      <c r="A533" s="16" t="s">
        <v>414</v>
      </c>
      <c r="B533" s="16" t="s">
        <v>414</v>
      </c>
      <c r="C533" s="16"/>
      <c r="D533" s="49">
        <f t="shared" si="167"/>
        <v>716</v>
      </c>
      <c r="E533" s="12">
        <f t="shared" si="166"/>
        <v>716</v>
      </c>
      <c r="F533" s="49">
        <v>1</v>
      </c>
      <c r="G533" s="9" t="s">
        <v>551</v>
      </c>
      <c r="H533" s="72" t="s">
        <v>381</v>
      </c>
      <c r="I533" s="72" t="s">
        <v>568</v>
      </c>
    </row>
    <row r="534" spans="1:9" ht="63.75" x14ac:dyDescent="0.2">
      <c r="A534" s="16" t="s">
        <v>414</v>
      </c>
      <c r="B534" s="16" t="s">
        <v>414</v>
      </c>
      <c r="C534" s="16"/>
      <c r="D534" s="49">
        <f t="shared" si="167"/>
        <v>717</v>
      </c>
      <c r="E534" s="12">
        <f t="shared" si="166"/>
        <v>717</v>
      </c>
      <c r="F534" s="49">
        <v>1</v>
      </c>
      <c r="G534" s="9" t="s">
        <v>554</v>
      </c>
      <c r="H534" s="72" t="s">
        <v>382</v>
      </c>
      <c r="I534" s="72" t="s">
        <v>658</v>
      </c>
    </row>
    <row r="535" spans="1:9" ht="51" x14ac:dyDescent="0.2">
      <c r="A535" s="16" t="s">
        <v>414</v>
      </c>
      <c r="B535" s="16" t="s">
        <v>414</v>
      </c>
      <c r="C535" s="16"/>
      <c r="D535" s="49">
        <f t="shared" si="167"/>
        <v>718</v>
      </c>
      <c r="E535" s="12">
        <f t="shared" si="166"/>
        <v>718</v>
      </c>
      <c r="F535" s="49">
        <v>1</v>
      </c>
      <c r="G535" s="9" t="s">
        <v>553</v>
      </c>
      <c r="H535" s="72" t="s">
        <v>382</v>
      </c>
      <c r="I535" s="72" t="s">
        <v>568</v>
      </c>
    </row>
    <row r="536" spans="1:9" ht="30" customHeight="1" x14ac:dyDescent="0.2">
      <c r="A536" s="16" t="s">
        <v>414</v>
      </c>
      <c r="B536" s="16" t="s">
        <v>414</v>
      </c>
      <c r="C536" s="16"/>
      <c r="D536" s="49">
        <f t="shared" ref="D536:D539" si="168">D535+F535</f>
        <v>719</v>
      </c>
      <c r="E536" s="12">
        <f t="shared" si="166"/>
        <v>719</v>
      </c>
      <c r="F536" s="49">
        <v>1</v>
      </c>
      <c r="G536" s="9" t="s">
        <v>206</v>
      </c>
      <c r="H536" s="148" t="s">
        <v>383</v>
      </c>
      <c r="I536" s="153" t="s">
        <v>742</v>
      </c>
    </row>
    <row r="537" spans="1:9" ht="30.75" customHeight="1" x14ac:dyDescent="0.2">
      <c r="A537" s="16" t="s">
        <v>414</v>
      </c>
      <c r="B537" s="16" t="s">
        <v>414</v>
      </c>
      <c r="C537" s="16"/>
      <c r="D537" s="49">
        <f t="shared" si="168"/>
        <v>720</v>
      </c>
      <c r="E537" s="12">
        <f t="shared" si="166"/>
        <v>720</v>
      </c>
      <c r="F537" s="49">
        <v>1</v>
      </c>
      <c r="G537" s="9" t="s">
        <v>207</v>
      </c>
      <c r="H537" s="148"/>
      <c r="I537" s="153"/>
    </row>
    <row r="538" spans="1:9" ht="31.5" customHeight="1" x14ac:dyDescent="0.2">
      <c r="A538" s="16" t="s">
        <v>414</v>
      </c>
      <c r="B538" s="16" t="s">
        <v>414</v>
      </c>
      <c r="C538" s="16"/>
      <c r="D538" s="49">
        <f t="shared" si="168"/>
        <v>721</v>
      </c>
      <c r="E538" s="12">
        <f t="shared" si="166"/>
        <v>721</v>
      </c>
      <c r="F538" s="49">
        <v>1</v>
      </c>
      <c r="G538" s="9" t="s">
        <v>208</v>
      </c>
      <c r="H538" s="148"/>
      <c r="I538" s="153"/>
    </row>
    <row r="539" spans="1:9" ht="33" customHeight="1" x14ac:dyDescent="0.2">
      <c r="A539" s="16" t="s">
        <v>414</v>
      </c>
      <c r="B539" s="16" t="s">
        <v>414</v>
      </c>
      <c r="C539" s="16"/>
      <c r="D539" s="49">
        <f t="shared" si="168"/>
        <v>722</v>
      </c>
      <c r="E539" s="12">
        <f t="shared" si="166"/>
        <v>722</v>
      </c>
      <c r="F539" s="49">
        <v>1</v>
      </c>
      <c r="G539" s="9" t="s">
        <v>209</v>
      </c>
      <c r="H539" s="148"/>
      <c r="I539" s="153"/>
    </row>
    <row r="540" spans="1:9" x14ac:dyDescent="0.2">
      <c r="A540" s="16"/>
      <c r="B540" s="16"/>
      <c r="C540" s="16"/>
      <c r="D540" s="49">
        <f>D539+F539</f>
        <v>723</v>
      </c>
      <c r="E540" s="12">
        <f t="shared" si="166"/>
        <v>733</v>
      </c>
      <c r="F540" s="49">
        <v>11</v>
      </c>
      <c r="G540" s="9" t="s">
        <v>94</v>
      </c>
      <c r="H540" s="5"/>
      <c r="I540" s="6"/>
    </row>
    <row r="541" spans="1:9" x14ac:dyDescent="0.2">
      <c r="A541" s="16"/>
      <c r="B541" s="16"/>
      <c r="C541" s="16"/>
      <c r="D541" s="49"/>
      <c r="E541" s="49"/>
      <c r="F541" s="49"/>
      <c r="G541" s="63" t="s">
        <v>66</v>
      </c>
      <c r="H541" s="5"/>
      <c r="I541" s="6"/>
    </row>
    <row r="542" spans="1:9" ht="63.75" x14ac:dyDescent="0.2">
      <c r="A542" s="16" t="s">
        <v>413</v>
      </c>
      <c r="B542" s="16" t="s">
        <v>413</v>
      </c>
      <c r="C542" s="16" t="s">
        <v>426</v>
      </c>
      <c r="D542" s="49">
        <f>D540+F540</f>
        <v>734</v>
      </c>
      <c r="E542" s="12">
        <f t="shared" ref="E542:E544" si="169">D542+F542-1</f>
        <v>738</v>
      </c>
      <c r="F542" s="49">
        <v>5</v>
      </c>
      <c r="G542" s="61" t="s">
        <v>67</v>
      </c>
      <c r="H542" s="72" t="s">
        <v>322</v>
      </c>
      <c r="I542" s="72" t="s">
        <v>325</v>
      </c>
    </row>
    <row r="543" spans="1:9" ht="63.75" x14ac:dyDescent="0.2">
      <c r="A543" s="16" t="s">
        <v>413</v>
      </c>
      <c r="B543" s="16" t="s">
        <v>413</v>
      </c>
      <c r="C543" s="16" t="s">
        <v>427</v>
      </c>
      <c r="D543" s="49">
        <f t="shared" ref="D543" si="170">D542+F542</f>
        <v>739</v>
      </c>
      <c r="E543" s="12">
        <f t="shared" si="169"/>
        <v>741</v>
      </c>
      <c r="F543" s="49">
        <v>3</v>
      </c>
      <c r="G543" s="116" t="s">
        <v>808</v>
      </c>
      <c r="H543" s="6" t="s">
        <v>323</v>
      </c>
      <c r="I543" s="101" t="s">
        <v>809</v>
      </c>
    </row>
    <row r="544" spans="1:9" ht="114.75" x14ac:dyDescent="0.2">
      <c r="A544" s="16" t="s">
        <v>413</v>
      </c>
      <c r="B544" s="16" t="s">
        <v>413</v>
      </c>
      <c r="C544" s="16" t="s">
        <v>428</v>
      </c>
      <c r="D544" s="49">
        <f t="shared" ref="D544" si="171">D543+F543</f>
        <v>742</v>
      </c>
      <c r="E544" s="12">
        <f t="shared" si="169"/>
        <v>744</v>
      </c>
      <c r="F544" s="49">
        <v>3</v>
      </c>
      <c r="G544" s="61" t="s">
        <v>68</v>
      </c>
      <c r="H544" s="72" t="s">
        <v>324</v>
      </c>
      <c r="I544" s="71" t="s">
        <v>481</v>
      </c>
    </row>
    <row r="545" spans="1:9" x14ac:dyDescent="0.2">
      <c r="A545" s="16"/>
      <c r="B545" s="16"/>
      <c r="C545" s="16"/>
      <c r="D545" s="49"/>
      <c r="E545" s="49"/>
      <c r="F545" s="49"/>
      <c r="G545" s="63" t="s">
        <v>70</v>
      </c>
      <c r="H545" s="5"/>
      <c r="I545" s="6"/>
    </row>
    <row r="546" spans="1:9" ht="51" x14ac:dyDescent="0.2">
      <c r="A546" s="16" t="s">
        <v>413</v>
      </c>
      <c r="B546" s="16" t="s">
        <v>413</v>
      </c>
      <c r="C546" s="16" t="s">
        <v>426</v>
      </c>
      <c r="D546" s="49">
        <f>D544+F544</f>
        <v>745</v>
      </c>
      <c r="E546" s="12">
        <f t="shared" ref="E546:E561" si="172">D546+F546-1</f>
        <v>748</v>
      </c>
      <c r="F546" s="49">
        <v>4</v>
      </c>
      <c r="G546" s="61" t="s">
        <v>109</v>
      </c>
      <c r="H546" s="6" t="s">
        <v>326</v>
      </c>
      <c r="I546" s="6" t="s">
        <v>327</v>
      </c>
    </row>
    <row r="547" spans="1:9" ht="51" x14ac:dyDescent="0.2">
      <c r="A547" s="16" t="s">
        <v>413</v>
      </c>
      <c r="B547" s="16" t="s">
        <v>413</v>
      </c>
      <c r="C547" s="16" t="s">
        <v>426</v>
      </c>
      <c r="D547" s="49">
        <f t="shared" ref="D547" si="173">D546+F546</f>
        <v>749</v>
      </c>
      <c r="E547" s="12">
        <f t="shared" si="172"/>
        <v>749</v>
      </c>
      <c r="F547" s="49">
        <v>1</v>
      </c>
      <c r="G547" s="61" t="s">
        <v>489</v>
      </c>
      <c r="H547" s="50" t="s">
        <v>482</v>
      </c>
      <c r="I547" s="47" t="s">
        <v>490</v>
      </c>
    </row>
    <row r="548" spans="1:9" ht="51" x14ac:dyDescent="0.2">
      <c r="A548" s="16" t="s">
        <v>413</v>
      </c>
      <c r="B548" s="16" t="s">
        <v>413</v>
      </c>
      <c r="C548" s="16" t="s">
        <v>426</v>
      </c>
      <c r="D548" s="49">
        <f t="shared" ref="D548" si="174">D547+F547</f>
        <v>750</v>
      </c>
      <c r="E548" s="12">
        <f t="shared" ref="E548" si="175">D548+F548-1</f>
        <v>752</v>
      </c>
      <c r="F548" s="49">
        <v>3</v>
      </c>
      <c r="G548" s="61" t="s">
        <v>446</v>
      </c>
      <c r="H548" s="50" t="s">
        <v>447</v>
      </c>
      <c r="I548" s="47" t="s">
        <v>448</v>
      </c>
    </row>
    <row r="549" spans="1:9" ht="51" x14ac:dyDescent="0.2">
      <c r="A549" s="16" t="s">
        <v>413</v>
      </c>
      <c r="B549" s="16" t="s">
        <v>413</v>
      </c>
      <c r="C549" s="16" t="s">
        <v>426</v>
      </c>
      <c r="D549" s="49">
        <f>D548+F548</f>
        <v>753</v>
      </c>
      <c r="E549" s="12">
        <f t="shared" si="172"/>
        <v>756</v>
      </c>
      <c r="F549" s="49">
        <v>4</v>
      </c>
      <c r="G549" s="61" t="s">
        <v>110</v>
      </c>
      <c r="H549" s="47" t="s">
        <v>326</v>
      </c>
      <c r="I549" s="47" t="s">
        <v>328</v>
      </c>
    </row>
    <row r="550" spans="1:9" ht="51" x14ac:dyDescent="0.2">
      <c r="A550" s="16" t="s">
        <v>413</v>
      </c>
      <c r="B550" s="16" t="s">
        <v>413</v>
      </c>
      <c r="C550" s="16" t="s">
        <v>426</v>
      </c>
      <c r="D550" s="49">
        <f t="shared" ref="D550:D559" si="176">D549+F549</f>
        <v>757</v>
      </c>
      <c r="E550" s="12">
        <f t="shared" si="172"/>
        <v>757</v>
      </c>
      <c r="F550" s="49">
        <v>1</v>
      </c>
      <c r="G550" s="61" t="s">
        <v>491</v>
      </c>
      <c r="H550" s="50" t="s">
        <v>482</v>
      </c>
      <c r="I550" s="47" t="s">
        <v>492</v>
      </c>
    </row>
    <row r="551" spans="1:9" ht="63.75" x14ac:dyDescent="0.2">
      <c r="A551" s="16" t="s">
        <v>413</v>
      </c>
      <c r="B551" s="16" t="s">
        <v>413</v>
      </c>
      <c r="C551" s="16" t="s">
        <v>426</v>
      </c>
      <c r="D551" s="49">
        <f>D550+F550</f>
        <v>758</v>
      </c>
      <c r="E551" s="12">
        <f t="shared" ref="E551" si="177">D551+F551-1</f>
        <v>760</v>
      </c>
      <c r="F551" s="49">
        <v>3</v>
      </c>
      <c r="G551" s="61" t="s">
        <v>449</v>
      </c>
      <c r="H551" s="50" t="s">
        <v>447</v>
      </c>
      <c r="I551" s="47" t="s">
        <v>450</v>
      </c>
    </row>
    <row r="552" spans="1:9" ht="51" x14ac:dyDescent="0.2">
      <c r="A552" s="16" t="s">
        <v>413</v>
      </c>
      <c r="B552" s="16" t="s">
        <v>413</v>
      </c>
      <c r="C552" s="16" t="s">
        <v>426</v>
      </c>
      <c r="D552" s="49">
        <f>D551+F551</f>
        <v>761</v>
      </c>
      <c r="E552" s="12">
        <f t="shared" si="172"/>
        <v>764</v>
      </c>
      <c r="F552" s="49">
        <v>4</v>
      </c>
      <c r="G552" s="61" t="s">
        <v>111</v>
      </c>
      <c r="H552" s="47" t="s">
        <v>326</v>
      </c>
      <c r="I552" s="47" t="s">
        <v>329</v>
      </c>
    </row>
    <row r="553" spans="1:9" ht="51" x14ac:dyDescent="0.2">
      <c r="A553" s="16" t="s">
        <v>413</v>
      </c>
      <c r="B553" s="16" t="s">
        <v>413</v>
      </c>
      <c r="C553" s="16" t="s">
        <v>426</v>
      </c>
      <c r="D553" s="49">
        <f t="shared" si="176"/>
        <v>765</v>
      </c>
      <c r="E553" s="12">
        <f t="shared" si="172"/>
        <v>765</v>
      </c>
      <c r="F553" s="49">
        <v>1</v>
      </c>
      <c r="G553" s="61" t="s">
        <v>493</v>
      </c>
      <c r="H553" s="50" t="s">
        <v>482</v>
      </c>
      <c r="I553" s="47" t="s">
        <v>494</v>
      </c>
    </row>
    <row r="554" spans="1:9" ht="51" x14ac:dyDescent="0.2">
      <c r="A554" s="16" t="s">
        <v>413</v>
      </c>
      <c r="B554" s="16" t="s">
        <v>413</v>
      </c>
      <c r="C554" s="16" t="s">
        <v>426</v>
      </c>
      <c r="D554" s="49">
        <f>D553+F553</f>
        <v>766</v>
      </c>
      <c r="E554" s="12">
        <f t="shared" si="172"/>
        <v>768</v>
      </c>
      <c r="F554" s="49">
        <v>3</v>
      </c>
      <c r="G554" s="61" t="s">
        <v>451</v>
      </c>
      <c r="H554" s="50" t="s">
        <v>447</v>
      </c>
      <c r="I554" s="47" t="s">
        <v>452</v>
      </c>
    </row>
    <row r="555" spans="1:9" ht="51" x14ac:dyDescent="0.2">
      <c r="A555" s="16" t="s">
        <v>413</v>
      </c>
      <c r="B555" s="16" t="s">
        <v>413</v>
      </c>
      <c r="C555" s="16" t="s">
        <v>426</v>
      </c>
      <c r="D555" s="49">
        <f>D554+F554</f>
        <v>769</v>
      </c>
      <c r="E555" s="12">
        <f t="shared" si="172"/>
        <v>772</v>
      </c>
      <c r="F555" s="49">
        <v>4</v>
      </c>
      <c r="G555" s="61" t="s">
        <v>75</v>
      </c>
      <c r="H555" s="47" t="s">
        <v>326</v>
      </c>
      <c r="I555" s="47" t="s">
        <v>330</v>
      </c>
    </row>
    <row r="556" spans="1:9" ht="51" x14ac:dyDescent="0.2">
      <c r="A556" s="16" t="s">
        <v>413</v>
      </c>
      <c r="B556" s="16" t="s">
        <v>413</v>
      </c>
      <c r="C556" s="16" t="s">
        <v>426</v>
      </c>
      <c r="D556" s="49">
        <f t="shared" si="176"/>
        <v>773</v>
      </c>
      <c r="E556" s="12">
        <f t="shared" si="172"/>
        <v>773</v>
      </c>
      <c r="F556" s="49">
        <v>1</v>
      </c>
      <c r="G556" s="61" t="s">
        <v>495</v>
      </c>
      <c r="H556" s="50" t="s">
        <v>482</v>
      </c>
      <c r="I556" s="47" t="s">
        <v>496</v>
      </c>
    </row>
    <row r="557" spans="1:9" ht="51" x14ac:dyDescent="0.2">
      <c r="A557" s="16" t="s">
        <v>413</v>
      </c>
      <c r="B557" s="16" t="s">
        <v>413</v>
      </c>
      <c r="C557" s="16" t="s">
        <v>426</v>
      </c>
      <c r="D557" s="49">
        <f>D556+F556</f>
        <v>774</v>
      </c>
      <c r="E557" s="12">
        <f t="shared" ref="E557" si="178">D557+F557-1</f>
        <v>776</v>
      </c>
      <c r="F557" s="49">
        <v>3</v>
      </c>
      <c r="G557" s="61" t="s">
        <v>455</v>
      </c>
      <c r="H557" s="50" t="s">
        <v>447</v>
      </c>
      <c r="I557" s="47" t="s">
        <v>456</v>
      </c>
    </row>
    <row r="558" spans="1:9" ht="63.75" x14ac:dyDescent="0.2">
      <c r="A558" s="16" t="s">
        <v>413</v>
      </c>
      <c r="B558" s="16" t="s">
        <v>413</v>
      </c>
      <c r="C558" s="16" t="s">
        <v>426</v>
      </c>
      <c r="D558" s="49">
        <f>D557+F557</f>
        <v>777</v>
      </c>
      <c r="E558" s="12">
        <f t="shared" si="172"/>
        <v>780</v>
      </c>
      <c r="F558" s="49">
        <v>4</v>
      </c>
      <c r="G558" s="61" t="s">
        <v>76</v>
      </c>
      <c r="H558" s="47" t="s">
        <v>326</v>
      </c>
      <c r="I558" s="47" t="s">
        <v>331</v>
      </c>
    </row>
    <row r="559" spans="1:9" ht="51" x14ac:dyDescent="0.2">
      <c r="A559" s="16" t="s">
        <v>413</v>
      </c>
      <c r="B559" s="16" t="s">
        <v>413</v>
      </c>
      <c r="C559" s="16" t="s">
        <v>426</v>
      </c>
      <c r="D559" s="49">
        <f t="shared" si="176"/>
        <v>781</v>
      </c>
      <c r="E559" s="12">
        <f t="shared" si="172"/>
        <v>781</v>
      </c>
      <c r="F559" s="49">
        <v>1</v>
      </c>
      <c r="G559" s="61" t="s">
        <v>497</v>
      </c>
      <c r="H559" s="50" t="s">
        <v>482</v>
      </c>
      <c r="I559" s="47" t="s">
        <v>498</v>
      </c>
    </row>
    <row r="560" spans="1:9" ht="63.75" x14ac:dyDescent="0.2">
      <c r="A560" s="16" t="s">
        <v>413</v>
      </c>
      <c r="B560" s="16" t="s">
        <v>413</v>
      </c>
      <c r="C560" s="16" t="s">
        <v>426</v>
      </c>
      <c r="D560" s="49">
        <f>D559+F559</f>
        <v>782</v>
      </c>
      <c r="E560" s="12">
        <f t="shared" si="172"/>
        <v>784</v>
      </c>
      <c r="F560" s="49">
        <v>3</v>
      </c>
      <c r="G560" s="61" t="s">
        <v>453</v>
      </c>
      <c r="H560" s="50" t="s">
        <v>447</v>
      </c>
      <c r="I560" s="47" t="s">
        <v>454</v>
      </c>
    </row>
    <row r="561" spans="1:9" x14ac:dyDescent="0.2">
      <c r="D561" s="14">
        <f>D560+F560</f>
        <v>785</v>
      </c>
      <c r="E561" s="12">
        <f t="shared" si="172"/>
        <v>804</v>
      </c>
      <c r="F561" s="14">
        <v>20</v>
      </c>
      <c r="G561" s="61" t="s">
        <v>94</v>
      </c>
    </row>
    <row r="562" spans="1:9" x14ac:dyDescent="0.2">
      <c r="G562" s="58" t="s">
        <v>71</v>
      </c>
    </row>
    <row r="563" spans="1:9" ht="51" x14ac:dyDescent="0.2">
      <c r="A563" s="17" t="s">
        <v>413</v>
      </c>
      <c r="B563" s="17" t="s">
        <v>413</v>
      </c>
      <c r="C563" s="17" t="s">
        <v>426</v>
      </c>
      <c r="D563" s="14">
        <f>D561+F561</f>
        <v>805</v>
      </c>
      <c r="E563" s="12">
        <f t="shared" ref="E563:E569" si="179">D563+F563-1</f>
        <v>808</v>
      </c>
      <c r="F563" s="14">
        <v>4</v>
      </c>
      <c r="G563" s="61" t="s">
        <v>77</v>
      </c>
      <c r="H563" s="39" t="s">
        <v>326</v>
      </c>
      <c r="I563" s="39" t="s">
        <v>332</v>
      </c>
    </row>
    <row r="564" spans="1:9" ht="51" x14ac:dyDescent="0.2">
      <c r="A564" s="16" t="s">
        <v>413</v>
      </c>
      <c r="B564" s="16" t="s">
        <v>413</v>
      </c>
      <c r="C564" s="16" t="s">
        <v>426</v>
      </c>
      <c r="D564" s="49">
        <f t="shared" ref="D564" si="180">D563+F563</f>
        <v>809</v>
      </c>
      <c r="E564" s="12">
        <f t="shared" si="179"/>
        <v>809</v>
      </c>
      <c r="F564" s="49">
        <v>1</v>
      </c>
      <c r="G564" s="61" t="s">
        <v>499</v>
      </c>
      <c r="H564" s="50" t="s">
        <v>482</v>
      </c>
      <c r="I564" s="47" t="s">
        <v>500</v>
      </c>
    </row>
    <row r="565" spans="1:9" ht="51" x14ac:dyDescent="0.2">
      <c r="A565" s="16" t="s">
        <v>413</v>
      </c>
      <c r="B565" s="16" t="s">
        <v>413</v>
      </c>
      <c r="C565" s="16" t="s">
        <v>426</v>
      </c>
      <c r="D565" s="49">
        <f>D564+F564</f>
        <v>810</v>
      </c>
      <c r="E565" s="12">
        <f t="shared" si="179"/>
        <v>812</v>
      </c>
      <c r="F565" s="49">
        <v>3</v>
      </c>
      <c r="G565" s="61" t="s">
        <v>457</v>
      </c>
      <c r="H565" s="50" t="s">
        <v>447</v>
      </c>
      <c r="I565" s="47" t="s">
        <v>467</v>
      </c>
    </row>
    <row r="566" spans="1:9" ht="51" x14ac:dyDescent="0.2">
      <c r="A566" s="16" t="s">
        <v>413</v>
      </c>
      <c r="B566" s="16" t="s">
        <v>413</v>
      </c>
      <c r="C566" s="16" t="s">
        <v>426</v>
      </c>
      <c r="D566" s="49">
        <f>D565+F565</f>
        <v>813</v>
      </c>
      <c r="E566" s="12">
        <f t="shared" si="179"/>
        <v>816</v>
      </c>
      <c r="F566" s="49">
        <v>4</v>
      </c>
      <c r="G566" s="61" t="s">
        <v>78</v>
      </c>
      <c r="H566" s="47" t="s">
        <v>326</v>
      </c>
      <c r="I566" s="47" t="s">
        <v>333</v>
      </c>
    </row>
    <row r="567" spans="1:9" ht="51" x14ac:dyDescent="0.2">
      <c r="A567" s="16" t="s">
        <v>413</v>
      </c>
      <c r="B567" s="16" t="s">
        <v>413</v>
      </c>
      <c r="C567" s="16" t="s">
        <v>426</v>
      </c>
      <c r="D567" s="49">
        <f t="shared" ref="D567" si="181">D566+F566</f>
        <v>817</v>
      </c>
      <c r="E567" s="12">
        <f t="shared" si="179"/>
        <v>817</v>
      </c>
      <c r="F567" s="49">
        <v>1</v>
      </c>
      <c r="G567" s="61" t="s">
        <v>501</v>
      </c>
      <c r="H567" s="50" t="s">
        <v>482</v>
      </c>
      <c r="I567" s="47" t="s">
        <v>502</v>
      </c>
    </row>
    <row r="568" spans="1:9" ht="51" x14ac:dyDescent="0.2">
      <c r="A568" s="16" t="s">
        <v>413</v>
      </c>
      <c r="B568" s="16" t="s">
        <v>413</v>
      </c>
      <c r="C568" s="16" t="s">
        <v>426</v>
      </c>
      <c r="D568" s="49">
        <f>D567+F567</f>
        <v>818</v>
      </c>
      <c r="E568" s="12">
        <f t="shared" ref="E568" si="182">D568+F568-1</f>
        <v>820</v>
      </c>
      <c r="F568" s="49">
        <v>3</v>
      </c>
      <c r="G568" s="61" t="s">
        <v>458</v>
      </c>
      <c r="H568" s="50" t="s">
        <v>447</v>
      </c>
      <c r="I568" s="47" t="s">
        <v>468</v>
      </c>
    </row>
    <row r="569" spans="1:9" x14ac:dyDescent="0.2">
      <c r="D569" s="14">
        <f>D568+F568</f>
        <v>821</v>
      </c>
      <c r="E569" s="12">
        <f t="shared" si="179"/>
        <v>840</v>
      </c>
      <c r="F569" s="14">
        <v>20</v>
      </c>
      <c r="G569" s="61" t="s">
        <v>94</v>
      </c>
      <c r="H569" s="40"/>
      <c r="I569" s="39"/>
    </row>
    <row r="570" spans="1:9" x14ac:dyDescent="0.2">
      <c r="G570" s="58" t="s">
        <v>72</v>
      </c>
      <c r="H570" s="40"/>
      <c r="I570" s="39"/>
    </row>
    <row r="571" spans="1:9" ht="36.75" customHeight="1" x14ac:dyDescent="0.2">
      <c r="A571" s="17" t="s">
        <v>414</v>
      </c>
      <c r="B571" s="17" t="s">
        <v>414</v>
      </c>
      <c r="C571" s="17" t="s">
        <v>427</v>
      </c>
      <c r="D571" s="14">
        <f>D569+F569</f>
        <v>841</v>
      </c>
      <c r="E571" s="12">
        <f t="shared" ref="E571:E575" si="183">D571+F571-1</f>
        <v>843</v>
      </c>
      <c r="F571" s="14">
        <v>3</v>
      </c>
      <c r="G571" s="61" t="s">
        <v>73</v>
      </c>
      <c r="H571" s="158" t="s">
        <v>323</v>
      </c>
      <c r="I571" s="158" t="s">
        <v>810</v>
      </c>
    </row>
    <row r="572" spans="1:9" ht="34.5" customHeight="1" x14ac:dyDescent="0.2">
      <c r="A572" s="17" t="s">
        <v>414</v>
      </c>
      <c r="B572" s="17" t="s">
        <v>414</v>
      </c>
      <c r="C572" s="17" t="s">
        <v>427</v>
      </c>
      <c r="D572" s="14">
        <f t="shared" ref="D572" si="184">D571+F571</f>
        <v>844</v>
      </c>
      <c r="E572" s="12">
        <f t="shared" si="183"/>
        <v>846</v>
      </c>
      <c r="F572" s="14">
        <v>3</v>
      </c>
      <c r="G572" s="61" t="s">
        <v>74</v>
      </c>
      <c r="H572" s="159"/>
      <c r="I572" s="158"/>
    </row>
    <row r="573" spans="1:9" x14ac:dyDescent="0.2">
      <c r="A573" s="104"/>
      <c r="B573" s="104"/>
      <c r="C573" s="104"/>
      <c r="D573" s="103"/>
      <c r="E573" s="98"/>
      <c r="F573" s="103"/>
      <c r="G573" s="117" t="s">
        <v>820</v>
      </c>
      <c r="H573" s="118"/>
      <c r="I573" s="119"/>
    </row>
    <row r="574" spans="1:9" ht="51" x14ac:dyDescent="0.2">
      <c r="A574" s="104" t="s">
        <v>414</v>
      </c>
      <c r="B574" s="104" t="s">
        <v>414</v>
      </c>
      <c r="C574" s="104"/>
      <c r="D574" s="103">
        <f>D572+F572</f>
        <v>847</v>
      </c>
      <c r="E574" s="98">
        <f t="shared" ref="E574" si="185">D574+F574-1</f>
        <v>849</v>
      </c>
      <c r="F574" s="103">
        <v>3</v>
      </c>
      <c r="G574" s="116" t="s">
        <v>820</v>
      </c>
      <c r="H574" s="119" t="s">
        <v>821</v>
      </c>
      <c r="I574" s="119" t="s">
        <v>822</v>
      </c>
    </row>
    <row r="575" spans="1:9" x14ac:dyDescent="0.2">
      <c r="D575" s="103">
        <f>D574+F574</f>
        <v>850</v>
      </c>
      <c r="E575" s="12">
        <f t="shared" si="183"/>
        <v>856</v>
      </c>
      <c r="F575" s="103">
        <v>7</v>
      </c>
      <c r="G575" s="61" t="s">
        <v>94</v>
      </c>
      <c r="H575" s="40"/>
      <c r="I575" s="39"/>
    </row>
    <row r="576" spans="1:9" x14ac:dyDescent="0.2">
      <c r="G576" s="58" t="s">
        <v>79</v>
      </c>
      <c r="H576" s="40"/>
      <c r="I576" s="39"/>
    </row>
    <row r="577" spans="1:9" ht="63.75" x14ac:dyDescent="0.2">
      <c r="A577" s="17" t="s">
        <v>413</v>
      </c>
      <c r="B577" s="17" t="s">
        <v>413</v>
      </c>
      <c r="C577" s="17" t="s">
        <v>426</v>
      </c>
      <c r="D577" s="14">
        <f>D575+F575</f>
        <v>857</v>
      </c>
      <c r="E577" s="12">
        <f t="shared" ref="E577:E579" si="186">D577+F577-1</f>
        <v>861</v>
      </c>
      <c r="F577" s="14">
        <v>5</v>
      </c>
      <c r="G577" s="61" t="s">
        <v>80</v>
      </c>
      <c r="H577" s="38" t="s">
        <v>322</v>
      </c>
      <c r="I577" s="38" t="s">
        <v>334</v>
      </c>
    </row>
    <row r="578" spans="1:9" ht="63.75" x14ac:dyDescent="0.2">
      <c r="A578" s="17" t="s">
        <v>413</v>
      </c>
      <c r="B578" s="17" t="s">
        <v>413</v>
      </c>
      <c r="C578" s="17" t="s">
        <v>427</v>
      </c>
      <c r="D578" s="14">
        <f t="shared" ref="D578" si="187">D577+F577</f>
        <v>862</v>
      </c>
      <c r="E578" s="12">
        <f t="shared" si="186"/>
        <v>864</v>
      </c>
      <c r="F578" s="14">
        <v>3</v>
      </c>
      <c r="G578" s="116" t="s">
        <v>811</v>
      </c>
      <c r="H578" s="39" t="s">
        <v>323</v>
      </c>
      <c r="I578" s="38" t="s">
        <v>812</v>
      </c>
    </row>
    <row r="579" spans="1:9" ht="114.75" x14ac:dyDescent="0.2">
      <c r="A579" s="17" t="s">
        <v>413</v>
      </c>
      <c r="B579" s="17" t="s">
        <v>413</v>
      </c>
      <c r="C579" s="17" t="s">
        <v>428</v>
      </c>
      <c r="D579" s="14">
        <f t="shared" ref="D579" si="188">D578+F578</f>
        <v>865</v>
      </c>
      <c r="E579" s="12">
        <f t="shared" si="186"/>
        <v>867</v>
      </c>
      <c r="F579" s="14">
        <v>3</v>
      </c>
      <c r="G579" s="61" t="s">
        <v>81</v>
      </c>
      <c r="H579" s="38" t="s">
        <v>324</v>
      </c>
      <c r="I579" s="37" t="s">
        <v>483</v>
      </c>
    </row>
    <row r="580" spans="1:9" x14ac:dyDescent="0.2">
      <c r="G580" s="58" t="s">
        <v>70</v>
      </c>
      <c r="H580" s="40"/>
      <c r="I580" s="39"/>
    </row>
    <row r="581" spans="1:9" ht="51" x14ac:dyDescent="0.2">
      <c r="A581" s="17" t="s">
        <v>413</v>
      </c>
      <c r="B581" s="17" t="s">
        <v>413</v>
      </c>
      <c r="C581" s="17" t="s">
        <v>426</v>
      </c>
      <c r="D581" s="14">
        <f>D579+F579</f>
        <v>868</v>
      </c>
      <c r="E581" s="12">
        <f t="shared" ref="E581:E591" si="189">D581+F581-1</f>
        <v>871</v>
      </c>
      <c r="F581" s="14">
        <v>4</v>
      </c>
      <c r="G581" s="61" t="s">
        <v>82</v>
      </c>
      <c r="H581" s="39" t="s">
        <v>326</v>
      </c>
      <c r="I581" s="39" t="s">
        <v>731</v>
      </c>
    </row>
    <row r="582" spans="1:9" ht="51" x14ac:dyDescent="0.2">
      <c r="A582" s="16" t="s">
        <v>413</v>
      </c>
      <c r="B582" s="16" t="s">
        <v>413</v>
      </c>
      <c r="C582" s="16" t="s">
        <v>426</v>
      </c>
      <c r="D582" s="49">
        <f t="shared" ref="D582" si="190">D581+F581</f>
        <v>872</v>
      </c>
      <c r="E582" s="12">
        <f t="shared" si="189"/>
        <v>872</v>
      </c>
      <c r="F582" s="49">
        <v>1</v>
      </c>
      <c r="G582" s="61" t="s">
        <v>503</v>
      </c>
      <c r="H582" s="50" t="s">
        <v>482</v>
      </c>
      <c r="I582" s="47" t="s">
        <v>730</v>
      </c>
    </row>
    <row r="583" spans="1:9" ht="51" x14ac:dyDescent="0.2">
      <c r="A583" s="16" t="s">
        <v>413</v>
      </c>
      <c r="B583" s="16" t="s">
        <v>413</v>
      </c>
      <c r="C583" s="16" t="s">
        <v>426</v>
      </c>
      <c r="D583" s="49">
        <f>D582+F582</f>
        <v>873</v>
      </c>
      <c r="E583" s="12">
        <f t="shared" si="189"/>
        <v>875</v>
      </c>
      <c r="F583" s="49">
        <v>3</v>
      </c>
      <c r="G583" s="61" t="s">
        <v>459</v>
      </c>
      <c r="H583" s="50" t="s">
        <v>447</v>
      </c>
      <c r="I583" s="47" t="s">
        <v>460</v>
      </c>
    </row>
    <row r="584" spans="1:9" ht="51" x14ac:dyDescent="0.2">
      <c r="A584" s="16" t="s">
        <v>413</v>
      </c>
      <c r="B584" s="16" t="s">
        <v>413</v>
      </c>
      <c r="C584" s="16" t="s">
        <v>426</v>
      </c>
      <c r="D584" s="49">
        <f>D583+F583</f>
        <v>876</v>
      </c>
      <c r="E584" s="12">
        <f t="shared" si="189"/>
        <v>879</v>
      </c>
      <c r="F584" s="49">
        <v>4</v>
      </c>
      <c r="G584" s="61" t="s">
        <v>83</v>
      </c>
      <c r="H584" s="47" t="s">
        <v>326</v>
      </c>
      <c r="I584" s="47" t="s">
        <v>729</v>
      </c>
    </row>
    <row r="585" spans="1:9" ht="51" x14ac:dyDescent="0.2">
      <c r="A585" s="16" t="s">
        <v>413</v>
      </c>
      <c r="B585" s="16" t="s">
        <v>413</v>
      </c>
      <c r="C585" s="16" t="s">
        <v>426</v>
      </c>
      <c r="D585" s="49">
        <f t="shared" ref="D585:D591" si="191">D584+F584</f>
        <v>880</v>
      </c>
      <c r="E585" s="12">
        <f t="shared" si="189"/>
        <v>880</v>
      </c>
      <c r="F585" s="49">
        <v>1</v>
      </c>
      <c r="G585" s="61" t="s">
        <v>504</v>
      </c>
      <c r="H585" s="50" t="s">
        <v>482</v>
      </c>
      <c r="I585" s="47" t="s">
        <v>728</v>
      </c>
    </row>
    <row r="586" spans="1:9" ht="63.75" x14ac:dyDescent="0.2">
      <c r="A586" s="16" t="s">
        <v>413</v>
      </c>
      <c r="B586" s="16" t="s">
        <v>413</v>
      </c>
      <c r="C586" s="16" t="s">
        <v>426</v>
      </c>
      <c r="D586" s="49">
        <f>D585+F585</f>
        <v>881</v>
      </c>
      <c r="E586" s="12">
        <f t="shared" ref="E586" si="192">D586+F586-1</f>
        <v>883</v>
      </c>
      <c r="F586" s="49">
        <v>3</v>
      </c>
      <c r="G586" s="61" t="s">
        <v>461</v>
      </c>
      <c r="H586" s="50" t="s">
        <v>447</v>
      </c>
      <c r="I586" s="47" t="s">
        <v>462</v>
      </c>
    </row>
    <row r="587" spans="1:9" ht="51" x14ac:dyDescent="0.2">
      <c r="A587" s="17" t="s">
        <v>413</v>
      </c>
      <c r="B587" s="17" t="s">
        <v>413</v>
      </c>
      <c r="C587" s="17" t="s">
        <v>426</v>
      </c>
      <c r="D587" s="14">
        <f>D586+F586</f>
        <v>884</v>
      </c>
      <c r="E587" s="12">
        <f t="shared" si="189"/>
        <v>887</v>
      </c>
      <c r="F587" s="14">
        <v>4</v>
      </c>
      <c r="G587" s="61" t="s">
        <v>84</v>
      </c>
      <c r="H587" s="39" t="s">
        <v>326</v>
      </c>
      <c r="I587" s="39" t="s">
        <v>727</v>
      </c>
    </row>
    <row r="588" spans="1:9" ht="51" x14ac:dyDescent="0.2">
      <c r="A588" s="16" t="s">
        <v>413</v>
      </c>
      <c r="B588" s="16" t="s">
        <v>413</v>
      </c>
      <c r="C588" s="16" t="s">
        <v>426</v>
      </c>
      <c r="D588" s="49">
        <f t="shared" si="191"/>
        <v>888</v>
      </c>
      <c r="E588" s="12">
        <f t="shared" si="189"/>
        <v>888</v>
      </c>
      <c r="F588" s="49">
        <v>1</v>
      </c>
      <c r="G588" s="61" t="s">
        <v>505</v>
      </c>
      <c r="H588" s="50" t="s">
        <v>482</v>
      </c>
      <c r="I588" s="47" t="s">
        <v>726</v>
      </c>
    </row>
    <row r="589" spans="1:9" ht="63.75" x14ac:dyDescent="0.2">
      <c r="A589" s="16" t="s">
        <v>413</v>
      </c>
      <c r="B589" s="16" t="s">
        <v>413</v>
      </c>
      <c r="C589" s="16" t="s">
        <v>426</v>
      </c>
      <c r="D589" s="49">
        <f>D588+F588</f>
        <v>889</v>
      </c>
      <c r="E589" s="12">
        <f t="shared" ref="E589" si="193">D589+F589-1</f>
        <v>891</v>
      </c>
      <c r="F589" s="49">
        <v>3</v>
      </c>
      <c r="G589" s="61" t="s">
        <v>463</v>
      </c>
      <c r="H589" s="51" t="s">
        <v>447</v>
      </c>
      <c r="I589" s="6" t="s">
        <v>464</v>
      </c>
    </row>
    <row r="590" spans="1:9" ht="51" x14ac:dyDescent="0.2">
      <c r="A590" s="16" t="s">
        <v>413</v>
      </c>
      <c r="B590" s="16" t="s">
        <v>413</v>
      </c>
      <c r="C590" s="16" t="s">
        <v>426</v>
      </c>
      <c r="D590" s="49">
        <f>D589+F589</f>
        <v>892</v>
      </c>
      <c r="E590" s="12">
        <f t="shared" si="189"/>
        <v>895</v>
      </c>
      <c r="F590" s="49">
        <v>4</v>
      </c>
      <c r="G590" s="61" t="s">
        <v>85</v>
      </c>
      <c r="H590" s="6" t="s">
        <v>326</v>
      </c>
      <c r="I590" s="6" t="s">
        <v>725</v>
      </c>
    </row>
    <row r="591" spans="1:9" ht="51" x14ac:dyDescent="0.2">
      <c r="A591" s="16" t="s">
        <v>413</v>
      </c>
      <c r="B591" s="16" t="s">
        <v>413</v>
      </c>
      <c r="C591" s="16" t="s">
        <v>426</v>
      </c>
      <c r="D591" s="49">
        <f t="shared" si="191"/>
        <v>896</v>
      </c>
      <c r="E591" s="12">
        <f t="shared" si="189"/>
        <v>896</v>
      </c>
      <c r="F591" s="49">
        <v>1</v>
      </c>
      <c r="G591" s="61" t="s">
        <v>506</v>
      </c>
      <c r="H591" s="50" t="s">
        <v>482</v>
      </c>
      <c r="I591" s="47" t="s">
        <v>724</v>
      </c>
    </row>
    <row r="592" spans="1:9" ht="65.25" customHeight="1" x14ac:dyDescent="0.2">
      <c r="A592" s="16" t="s">
        <v>413</v>
      </c>
      <c r="B592" s="16" t="s">
        <v>413</v>
      </c>
      <c r="C592" s="16" t="s">
        <v>426</v>
      </c>
      <c r="D592" s="49">
        <f>D591+F591</f>
        <v>897</v>
      </c>
      <c r="E592" s="12">
        <f t="shared" ref="E592" si="194">D592+F592-1</f>
        <v>899</v>
      </c>
      <c r="F592" s="49">
        <v>3</v>
      </c>
      <c r="G592" s="61" t="s">
        <v>465</v>
      </c>
      <c r="H592" s="51" t="s">
        <v>447</v>
      </c>
      <c r="I592" s="6" t="s">
        <v>466</v>
      </c>
    </row>
    <row r="593" spans="1:9" x14ac:dyDescent="0.2">
      <c r="A593" s="16"/>
      <c r="B593" s="16"/>
      <c r="C593" s="16"/>
      <c r="D593" s="49"/>
      <c r="E593" s="12"/>
      <c r="F593" s="49"/>
      <c r="G593" s="120" t="s">
        <v>717</v>
      </c>
      <c r="H593" s="51"/>
      <c r="I593" s="6"/>
    </row>
    <row r="594" spans="1:9" ht="114.75" x14ac:dyDescent="0.2">
      <c r="A594" s="104" t="s">
        <v>413</v>
      </c>
      <c r="B594" s="104" t="s">
        <v>413</v>
      </c>
      <c r="C594" s="104" t="s">
        <v>426</v>
      </c>
      <c r="D594" s="103">
        <f>D592+F592</f>
        <v>900</v>
      </c>
      <c r="E594" s="98">
        <f t="shared" ref="E594" si="195">D594+F594-1</f>
        <v>901</v>
      </c>
      <c r="F594" s="103">
        <v>2</v>
      </c>
      <c r="G594" s="116" t="s">
        <v>718</v>
      </c>
      <c r="H594" s="110" t="s">
        <v>779</v>
      </c>
      <c r="I594" s="110" t="s">
        <v>732</v>
      </c>
    </row>
    <row r="595" spans="1:9" ht="89.25" x14ac:dyDescent="0.2">
      <c r="A595" s="104" t="s">
        <v>413</v>
      </c>
      <c r="B595" s="104" t="s">
        <v>413</v>
      </c>
      <c r="C595" s="104" t="s">
        <v>426</v>
      </c>
      <c r="D595" s="103">
        <f t="shared" ref="D595:D602" si="196">D594+F594</f>
        <v>902</v>
      </c>
      <c r="E595" s="98">
        <f t="shared" ref="E595:E602" si="197">D595+F595-1</f>
        <v>902</v>
      </c>
      <c r="F595" s="103">
        <v>1</v>
      </c>
      <c r="G595" s="116" t="s">
        <v>719</v>
      </c>
      <c r="H595" s="121" t="s">
        <v>482</v>
      </c>
      <c r="I595" s="95" t="s">
        <v>733</v>
      </c>
    </row>
    <row r="596" spans="1:9" ht="102" x14ac:dyDescent="0.2">
      <c r="A596" s="104" t="s">
        <v>413</v>
      </c>
      <c r="B596" s="104" t="s">
        <v>413</v>
      </c>
      <c r="C596" s="104" t="s">
        <v>426</v>
      </c>
      <c r="D596" s="103">
        <f t="shared" si="196"/>
        <v>903</v>
      </c>
      <c r="E596" s="98">
        <f t="shared" si="197"/>
        <v>905</v>
      </c>
      <c r="F596" s="103">
        <v>3</v>
      </c>
      <c r="G596" s="116" t="s">
        <v>804</v>
      </c>
      <c r="H596" s="122" t="s">
        <v>447</v>
      </c>
      <c r="I596" s="110" t="s">
        <v>734</v>
      </c>
    </row>
    <row r="597" spans="1:9" ht="114.75" x14ac:dyDescent="0.2">
      <c r="A597" s="104" t="s">
        <v>413</v>
      </c>
      <c r="B597" s="104" t="s">
        <v>413</v>
      </c>
      <c r="C597" s="104" t="s">
        <v>426</v>
      </c>
      <c r="D597" s="103">
        <f t="shared" si="196"/>
        <v>906</v>
      </c>
      <c r="E597" s="98">
        <f t="shared" si="197"/>
        <v>907</v>
      </c>
      <c r="F597" s="103">
        <v>2</v>
      </c>
      <c r="G597" s="116" t="s">
        <v>720</v>
      </c>
      <c r="H597" s="110" t="s">
        <v>779</v>
      </c>
      <c r="I597" s="110" t="s">
        <v>782</v>
      </c>
    </row>
    <row r="598" spans="1:9" ht="89.25" x14ac:dyDescent="0.2">
      <c r="A598" s="104" t="s">
        <v>413</v>
      </c>
      <c r="B598" s="104" t="s">
        <v>413</v>
      </c>
      <c r="C598" s="104" t="s">
        <v>426</v>
      </c>
      <c r="D598" s="103">
        <f t="shared" si="196"/>
        <v>908</v>
      </c>
      <c r="E598" s="98">
        <f t="shared" si="197"/>
        <v>908</v>
      </c>
      <c r="F598" s="103">
        <v>1</v>
      </c>
      <c r="G598" s="116" t="s">
        <v>721</v>
      </c>
      <c r="H598" s="121" t="s">
        <v>482</v>
      </c>
      <c r="I598" s="95" t="s">
        <v>783</v>
      </c>
    </row>
    <row r="599" spans="1:9" ht="102" x14ac:dyDescent="0.2">
      <c r="A599" s="104" t="s">
        <v>413</v>
      </c>
      <c r="B599" s="104" t="s">
        <v>413</v>
      </c>
      <c r="C599" s="104" t="s">
        <v>426</v>
      </c>
      <c r="D599" s="103">
        <f t="shared" si="196"/>
        <v>909</v>
      </c>
      <c r="E599" s="98">
        <f t="shared" si="197"/>
        <v>911</v>
      </c>
      <c r="F599" s="103">
        <v>3</v>
      </c>
      <c r="G599" s="116" t="s">
        <v>805</v>
      </c>
      <c r="H599" s="122" t="s">
        <v>447</v>
      </c>
      <c r="I599" s="110" t="s">
        <v>784</v>
      </c>
    </row>
    <row r="600" spans="1:9" ht="114.75" x14ac:dyDescent="0.2">
      <c r="A600" s="104" t="s">
        <v>413</v>
      </c>
      <c r="B600" s="104" t="s">
        <v>413</v>
      </c>
      <c r="C600" s="104" t="s">
        <v>426</v>
      </c>
      <c r="D600" s="103">
        <f t="shared" si="196"/>
        <v>912</v>
      </c>
      <c r="E600" s="98">
        <f t="shared" si="197"/>
        <v>913</v>
      </c>
      <c r="F600" s="103">
        <v>2</v>
      </c>
      <c r="G600" s="116" t="s">
        <v>722</v>
      </c>
      <c r="H600" s="110" t="s">
        <v>779</v>
      </c>
      <c r="I600" s="110" t="s">
        <v>785</v>
      </c>
    </row>
    <row r="601" spans="1:9" ht="89.25" x14ac:dyDescent="0.2">
      <c r="A601" s="104" t="s">
        <v>413</v>
      </c>
      <c r="B601" s="104" t="s">
        <v>413</v>
      </c>
      <c r="C601" s="104" t="s">
        <v>426</v>
      </c>
      <c r="D601" s="103">
        <f t="shared" si="196"/>
        <v>914</v>
      </c>
      <c r="E601" s="98">
        <f t="shared" si="197"/>
        <v>914</v>
      </c>
      <c r="F601" s="103">
        <v>1</v>
      </c>
      <c r="G601" s="116" t="s">
        <v>723</v>
      </c>
      <c r="H601" s="121" t="s">
        <v>482</v>
      </c>
      <c r="I601" s="95" t="s">
        <v>786</v>
      </c>
    </row>
    <row r="602" spans="1:9" ht="102" x14ac:dyDescent="0.2">
      <c r="A602" s="104" t="s">
        <v>413</v>
      </c>
      <c r="B602" s="104" t="s">
        <v>413</v>
      </c>
      <c r="C602" s="104" t="s">
        <v>426</v>
      </c>
      <c r="D602" s="103">
        <f t="shared" si="196"/>
        <v>915</v>
      </c>
      <c r="E602" s="98">
        <f t="shared" si="197"/>
        <v>917</v>
      </c>
      <c r="F602" s="103">
        <v>3</v>
      </c>
      <c r="G602" s="116" t="s">
        <v>806</v>
      </c>
      <c r="H602" s="122" t="s">
        <v>447</v>
      </c>
      <c r="I602" s="110" t="s">
        <v>787</v>
      </c>
    </row>
    <row r="603" spans="1:9" ht="114.75" x14ac:dyDescent="0.2">
      <c r="A603" s="104" t="s">
        <v>413</v>
      </c>
      <c r="B603" s="104" t="s">
        <v>413</v>
      </c>
      <c r="C603" s="104" t="s">
        <v>426</v>
      </c>
      <c r="D603" s="103">
        <f t="shared" ref="D603:D605" si="198">D602+F602</f>
        <v>918</v>
      </c>
      <c r="E603" s="98">
        <f t="shared" ref="E603:E605" si="199">D603+F603-1</f>
        <v>919</v>
      </c>
      <c r="F603" s="103">
        <v>2</v>
      </c>
      <c r="G603" s="116" t="s">
        <v>780</v>
      </c>
      <c r="H603" s="110" t="s">
        <v>779</v>
      </c>
      <c r="I603" s="110" t="s">
        <v>788</v>
      </c>
    </row>
    <row r="604" spans="1:9" ht="89.25" x14ac:dyDescent="0.2">
      <c r="A604" s="104" t="s">
        <v>413</v>
      </c>
      <c r="B604" s="104" t="s">
        <v>413</v>
      </c>
      <c r="C604" s="104" t="s">
        <v>426</v>
      </c>
      <c r="D604" s="103">
        <f t="shared" si="198"/>
        <v>920</v>
      </c>
      <c r="E604" s="98">
        <f t="shared" si="199"/>
        <v>920</v>
      </c>
      <c r="F604" s="103">
        <v>1</v>
      </c>
      <c r="G604" s="116" t="s">
        <v>781</v>
      </c>
      <c r="H604" s="121" t="s">
        <v>482</v>
      </c>
      <c r="I604" s="95" t="s">
        <v>790</v>
      </c>
    </row>
    <row r="605" spans="1:9" ht="102" x14ac:dyDescent="0.2">
      <c r="A605" s="104" t="s">
        <v>413</v>
      </c>
      <c r="B605" s="104" t="s">
        <v>413</v>
      </c>
      <c r="C605" s="104" t="s">
        <v>426</v>
      </c>
      <c r="D605" s="103">
        <f t="shared" si="198"/>
        <v>921</v>
      </c>
      <c r="E605" s="98">
        <f t="shared" si="199"/>
        <v>923</v>
      </c>
      <c r="F605" s="103">
        <v>3</v>
      </c>
      <c r="G605" s="116" t="s">
        <v>807</v>
      </c>
      <c r="H605" s="122" t="s">
        <v>447</v>
      </c>
      <c r="I605" s="110" t="s">
        <v>789</v>
      </c>
    </row>
    <row r="606" spans="1:9" x14ac:dyDescent="0.2">
      <c r="E606" s="12"/>
      <c r="F606" s="114">
        <v>20</v>
      </c>
      <c r="G606" s="123" t="s">
        <v>94</v>
      </c>
    </row>
    <row r="607" spans="1:9" x14ac:dyDescent="0.2">
      <c r="G607" s="58" t="s">
        <v>72</v>
      </c>
    </row>
    <row r="608" spans="1:9" ht="31.5" customHeight="1" x14ac:dyDescent="0.2">
      <c r="A608" s="17" t="s">
        <v>414</v>
      </c>
      <c r="B608" s="17" t="s">
        <v>414</v>
      </c>
      <c r="C608" s="17" t="s">
        <v>427</v>
      </c>
      <c r="D608" s="103">
        <f>D605+F605</f>
        <v>924</v>
      </c>
      <c r="E608" s="98">
        <f t="shared" ref="E608:E612" si="200">D608+F608-1</f>
        <v>926</v>
      </c>
      <c r="F608" s="14">
        <v>3</v>
      </c>
      <c r="G608" s="61" t="s">
        <v>73</v>
      </c>
      <c r="H608" s="160" t="s">
        <v>323</v>
      </c>
      <c r="I608" s="160" t="s">
        <v>813</v>
      </c>
    </row>
    <row r="609" spans="1:9" ht="30" customHeight="1" x14ac:dyDescent="0.2">
      <c r="A609" s="17" t="s">
        <v>414</v>
      </c>
      <c r="B609" s="17" t="s">
        <v>414</v>
      </c>
      <c r="C609" s="17" t="s">
        <v>427</v>
      </c>
      <c r="D609" s="103">
        <f t="shared" ref="D609" si="201">D608+F608</f>
        <v>927</v>
      </c>
      <c r="E609" s="98">
        <f t="shared" si="200"/>
        <v>929</v>
      </c>
      <c r="F609" s="14">
        <v>3</v>
      </c>
      <c r="G609" s="61" t="s">
        <v>74</v>
      </c>
      <c r="H609" s="161"/>
      <c r="I609" s="160"/>
    </row>
    <row r="610" spans="1:9" x14ac:dyDescent="0.2">
      <c r="A610" s="104"/>
      <c r="B610" s="104"/>
      <c r="C610" s="104"/>
      <c r="D610" s="103"/>
      <c r="E610" s="98"/>
      <c r="F610" s="103"/>
      <c r="G610" s="117" t="s">
        <v>820</v>
      </c>
      <c r="H610" s="118"/>
      <c r="I610" s="119"/>
    </row>
    <row r="611" spans="1:9" ht="51" x14ac:dyDescent="0.2">
      <c r="A611" s="104" t="s">
        <v>414</v>
      </c>
      <c r="B611" s="104" t="s">
        <v>414</v>
      </c>
      <c r="C611" s="104"/>
      <c r="D611" s="103">
        <f>D609+F609</f>
        <v>930</v>
      </c>
      <c r="E611" s="98">
        <f t="shared" ref="E611" si="202">D611+F611-1</f>
        <v>932</v>
      </c>
      <c r="F611" s="103">
        <v>3</v>
      </c>
      <c r="G611" s="116" t="s">
        <v>820</v>
      </c>
      <c r="H611" s="119" t="s">
        <v>821</v>
      </c>
      <c r="I611" s="119" t="s">
        <v>822</v>
      </c>
    </row>
    <row r="612" spans="1:9" x14ac:dyDescent="0.2">
      <c r="D612" s="103">
        <f>D611+F611</f>
        <v>933</v>
      </c>
      <c r="E612" s="12">
        <f t="shared" si="200"/>
        <v>935</v>
      </c>
      <c r="F612" s="103">
        <v>3</v>
      </c>
      <c r="G612" s="61" t="s">
        <v>94</v>
      </c>
    </row>
    <row r="613" spans="1:9" x14ac:dyDescent="0.2">
      <c r="G613" s="58" t="s">
        <v>86</v>
      </c>
    </row>
    <row r="614" spans="1:9" ht="63.75" x14ac:dyDescent="0.2">
      <c r="A614" s="17" t="s">
        <v>413</v>
      </c>
      <c r="B614" s="17" t="s">
        <v>413</v>
      </c>
      <c r="C614" s="17" t="s">
        <v>426</v>
      </c>
      <c r="D614" s="14">
        <f>D612+F612</f>
        <v>936</v>
      </c>
      <c r="E614" s="12">
        <f t="shared" ref="E614:E616" si="203">D614+F614-1</f>
        <v>940</v>
      </c>
      <c r="F614" s="14">
        <v>5</v>
      </c>
      <c r="G614" s="9" t="s">
        <v>87</v>
      </c>
      <c r="H614" s="15" t="s">
        <v>322</v>
      </c>
      <c r="I614" s="15" t="s">
        <v>335</v>
      </c>
    </row>
    <row r="615" spans="1:9" ht="89.25" x14ac:dyDescent="0.2">
      <c r="A615" s="17" t="s">
        <v>413</v>
      </c>
      <c r="B615" s="17" t="s">
        <v>413</v>
      </c>
      <c r="C615" s="17" t="s">
        <v>427</v>
      </c>
      <c r="D615" s="14">
        <f t="shared" ref="D615" si="204">D614+F614</f>
        <v>941</v>
      </c>
      <c r="E615" s="12">
        <f t="shared" si="203"/>
        <v>943</v>
      </c>
      <c r="F615" s="14">
        <v>3</v>
      </c>
      <c r="G615" s="105" t="s">
        <v>814</v>
      </c>
      <c r="H615" s="101" t="s">
        <v>689</v>
      </c>
      <c r="I615" s="101" t="s">
        <v>815</v>
      </c>
    </row>
    <row r="616" spans="1:9" ht="140.25" x14ac:dyDescent="0.2">
      <c r="A616" s="17" t="s">
        <v>413</v>
      </c>
      <c r="B616" s="17" t="s">
        <v>413</v>
      </c>
      <c r="C616" s="17" t="s">
        <v>428</v>
      </c>
      <c r="D616" s="14">
        <f t="shared" ref="D616" si="205">D615+F615</f>
        <v>944</v>
      </c>
      <c r="E616" s="12">
        <f t="shared" si="203"/>
        <v>946</v>
      </c>
      <c r="F616" s="14">
        <v>3</v>
      </c>
      <c r="G616" s="9" t="s">
        <v>88</v>
      </c>
      <c r="H616" s="101" t="s">
        <v>688</v>
      </c>
      <c r="I616" s="115" t="s">
        <v>690</v>
      </c>
    </row>
    <row r="617" spans="1:9" x14ac:dyDescent="0.2">
      <c r="G617" s="59" t="s">
        <v>69</v>
      </c>
    </row>
    <row r="618" spans="1:9" ht="51" x14ac:dyDescent="0.2">
      <c r="A618" s="124" t="s">
        <v>413</v>
      </c>
      <c r="B618" s="124" t="s">
        <v>413</v>
      </c>
      <c r="C618" s="124" t="s">
        <v>426</v>
      </c>
      <c r="D618" s="125"/>
      <c r="E618" s="126"/>
      <c r="F618" s="127">
        <v>4</v>
      </c>
      <c r="G618" s="128" t="s">
        <v>89</v>
      </c>
      <c r="H618" s="129" t="s">
        <v>326</v>
      </c>
      <c r="I618" s="129" t="s">
        <v>336</v>
      </c>
    </row>
    <row r="619" spans="1:9" ht="63.75" x14ac:dyDescent="0.2">
      <c r="A619" s="124" t="s">
        <v>413</v>
      </c>
      <c r="B619" s="124" t="s">
        <v>413</v>
      </c>
      <c r="C619" s="124" t="s">
        <v>426</v>
      </c>
      <c r="D619" s="125"/>
      <c r="E619" s="126"/>
      <c r="F619" s="125">
        <v>3</v>
      </c>
      <c r="G619" s="130" t="s">
        <v>469</v>
      </c>
      <c r="H619" s="131" t="s">
        <v>447</v>
      </c>
      <c r="I619" s="132" t="s">
        <v>471</v>
      </c>
    </row>
    <row r="620" spans="1:9" ht="51" x14ac:dyDescent="0.2">
      <c r="A620" s="124" t="s">
        <v>413</v>
      </c>
      <c r="B620" s="124" t="s">
        <v>413</v>
      </c>
      <c r="C620" s="124" t="s">
        <v>426</v>
      </c>
      <c r="D620" s="125"/>
      <c r="E620" s="126"/>
      <c r="F620" s="127">
        <v>4</v>
      </c>
      <c r="G620" s="128" t="s">
        <v>90</v>
      </c>
      <c r="H620" s="129" t="s">
        <v>326</v>
      </c>
      <c r="I620" s="129" t="s">
        <v>336</v>
      </c>
    </row>
    <row r="621" spans="1:9" ht="63.75" x14ac:dyDescent="0.2">
      <c r="A621" s="124" t="s">
        <v>413</v>
      </c>
      <c r="B621" s="124" t="s">
        <v>413</v>
      </c>
      <c r="C621" s="124" t="s">
        <v>426</v>
      </c>
      <c r="D621" s="125"/>
      <c r="E621" s="126"/>
      <c r="F621" s="125">
        <v>3</v>
      </c>
      <c r="G621" s="130" t="s">
        <v>470</v>
      </c>
      <c r="H621" s="131" t="s">
        <v>447</v>
      </c>
      <c r="I621" s="132" t="s">
        <v>472</v>
      </c>
    </row>
    <row r="622" spans="1:9" ht="51" x14ac:dyDescent="0.2">
      <c r="A622" s="124" t="s">
        <v>413</v>
      </c>
      <c r="B622" s="124" t="s">
        <v>413</v>
      </c>
      <c r="C622" s="124" t="s">
        <v>426</v>
      </c>
      <c r="D622" s="125"/>
      <c r="E622" s="126"/>
      <c r="F622" s="127">
        <v>4</v>
      </c>
      <c r="G622" s="128" t="s">
        <v>91</v>
      </c>
      <c r="H622" s="129" t="s">
        <v>326</v>
      </c>
      <c r="I622" s="129" t="s">
        <v>336</v>
      </c>
    </row>
    <row r="623" spans="1:9" ht="63.75" x14ac:dyDescent="0.2">
      <c r="A623" s="124" t="s">
        <v>413</v>
      </c>
      <c r="B623" s="124" t="s">
        <v>413</v>
      </c>
      <c r="C623" s="124" t="s">
        <v>426</v>
      </c>
      <c r="D623" s="125"/>
      <c r="E623" s="126"/>
      <c r="F623" s="125">
        <v>3</v>
      </c>
      <c r="G623" s="130" t="s">
        <v>473</v>
      </c>
      <c r="H623" s="131" t="s">
        <v>447</v>
      </c>
      <c r="I623" s="132" t="s">
        <v>474</v>
      </c>
    </row>
    <row r="624" spans="1:9" ht="51" x14ac:dyDescent="0.2">
      <c r="A624" s="124" t="s">
        <v>413</v>
      </c>
      <c r="B624" s="124" t="s">
        <v>413</v>
      </c>
      <c r="C624" s="124" t="s">
        <v>426</v>
      </c>
      <c r="D624" s="125"/>
      <c r="E624" s="126"/>
      <c r="F624" s="127">
        <v>4</v>
      </c>
      <c r="G624" s="128" t="s">
        <v>92</v>
      </c>
      <c r="H624" s="129" t="s">
        <v>326</v>
      </c>
      <c r="I624" s="129" t="s">
        <v>336</v>
      </c>
    </row>
    <row r="625" spans="1:9" ht="63.75" x14ac:dyDescent="0.2">
      <c r="A625" s="124" t="s">
        <v>413</v>
      </c>
      <c r="B625" s="124" t="s">
        <v>413</v>
      </c>
      <c r="C625" s="124" t="s">
        <v>426</v>
      </c>
      <c r="D625" s="125"/>
      <c r="E625" s="126"/>
      <c r="F625" s="125">
        <v>3</v>
      </c>
      <c r="G625" s="130" t="s">
        <v>475</v>
      </c>
      <c r="H625" s="131" t="s">
        <v>447</v>
      </c>
      <c r="I625" s="132" t="s">
        <v>476</v>
      </c>
    </row>
    <row r="626" spans="1:9" ht="51" x14ac:dyDescent="0.2">
      <c r="A626" s="124" t="s">
        <v>413</v>
      </c>
      <c r="B626" s="124" t="s">
        <v>413</v>
      </c>
      <c r="C626" s="124" t="s">
        <v>426</v>
      </c>
      <c r="D626" s="125"/>
      <c r="E626" s="126"/>
      <c r="F626" s="127">
        <v>4</v>
      </c>
      <c r="G626" s="128" t="s">
        <v>93</v>
      </c>
      <c r="H626" s="129" t="s">
        <v>326</v>
      </c>
      <c r="I626" s="129" t="s">
        <v>336</v>
      </c>
    </row>
    <row r="627" spans="1:9" ht="63.75" x14ac:dyDescent="0.2">
      <c r="A627" s="124" t="s">
        <v>413</v>
      </c>
      <c r="B627" s="124" t="s">
        <v>413</v>
      </c>
      <c r="C627" s="124" t="s">
        <v>426</v>
      </c>
      <c r="D627" s="125"/>
      <c r="E627" s="126"/>
      <c r="F627" s="125">
        <v>3</v>
      </c>
      <c r="G627" s="130" t="s">
        <v>477</v>
      </c>
      <c r="H627" s="131" t="s">
        <v>447</v>
      </c>
      <c r="I627" s="132" t="s">
        <v>478</v>
      </c>
    </row>
    <row r="628" spans="1:9" x14ac:dyDescent="0.2">
      <c r="D628" s="103">
        <f>D616+F616</f>
        <v>947</v>
      </c>
      <c r="E628" s="98">
        <f t="shared" ref="E628" si="206">D628+F628-1</f>
        <v>1020</v>
      </c>
      <c r="F628" s="136">
        <v>74</v>
      </c>
      <c r="G628" s="62" t="s">
        <v>94</v>
      </c>
    </row>
    <row r="629" spans="1:9" x14ac:dyDescent="0.2">
      <c r="A629" s="124"/>
      <c r="B629" s="124"/>
      <c r="C629" s="124"/>
      <c r="D629" s="125"/>
      <c r="E629" s="125"/>
      <c r="F629" s="125"/>
      <c r="G629" s="133" t="s">
        <v>95</v>
      </c>
      <c r="H629" s="134"/>
      <c r="I629" s="132"/>
    </row>
    <row r="630" spans="1:9" ht="36" customHeight="1" x14ac:dyDescent="0.2">
      <c r="A630" s="124" t="s">
        <v>413</v>
      </c>
      <c r="B630" s="124" t="s">
        <v>413</v>
      </c>
      <c r="C630" s="124" t="s">
        <v>426</v>
      </c>
      <c r="D630" s="125"/>
      <c r="E630" s="126"/>
      <c r="F630" s="127"/>
      <c r="G630" s="128" t="s">
        <v>96</v>
      </c>
      <c r="H630" s="154" t="s">
        <v>326</v>
      </c>
      <c r="I630" s="154" t="s">
        <v>337</v>
      </c>
    </row>
    <row r="631" spans="1:9" ht="36" customHeight="1" x14ac:dyDescent="0.2">
      <c r="A631" s="124" t="s">
        <v>413</v>
      </c>
      <c r="B631" s="124" t="s">
        <v>413</v>
      </c>
      <c r="C631" s="124" t="s">
        <v>426</v>
      </c>
      <c r="D631" s="125"/>
      <c r="E631" s="126"/>
      <c r="F631" s="127"/>
      <c r="G631" s="128" t="s">
        <v>97</v>
      </c>
      <c r="H631" s="154"/>
      <c r="I631" s="154"/>
    </row>
    <row r="632" spans="1:9" ht="36" customHeight="1" x14ac:dyDescent="0.2">
      <c r="A632" s="124" t="s">
        <v>413</v>
      </c>
      <c r="B632" s="124" t="s">
        <v>413</v>
      </c>
      <c r="C632" s="124" t="s">
        <v>426</v>
      </c>
      <c r="D632" s="125"/>
      <c r="E632" s="126"/>
      <c r="F632" s="127"/>
      <c r="G632" s="128" t="s">
        <v>256</v>
      </c>
      <c r="H632" s="154"/>
      <c r="I632" s="154"/>
    </row>
    <row r="633" spans="1:9" x14ac:dyDescent="0.2">
      <c r="A633" s="124"/>
      <c r="B633" s="124"/>
      <c r="C633" s="124"/>
      <c r="D633" s="125"/>
      <c r="E633" s="125"/>
      <c r="F633" s="125"/>
      <c r="G633" s="133" t="s">
        <v>98</v>
      </c>
      <c r="H633" s="134"/>
      <c r="I633" s="132"/>
    </row>
    <row r="634" spans="1:9" ht="51" x14ac:dyDescent="0.2">
      <c r="A634" s="124" t="s">
        <v>413</v>
      </c>
      <c r="B634" s="124" t="s">
        <v>413</v>
      </c>
      <c r="C634" s="124" t="s">
        <v>425</v>
      </c>
      <c r="D634" s="125"/>
      <c r="E634" s="126"/>
      <c r="F634" s="127"/>
      <c r="G634" s="128" t="s">
        <v>99</v>
      </c>
      <c r="H634" s="135" t="s">
        <v>338</v>
      </c>
      <c r="I634" s="129" t="s">
        <v>339</v>
      </c>
    </row>
    <row r="635" spans="1:9" ht="63.75" x14ac:dyDescent="0.2">
      <c r="A635" s="124" t="s">
        <v>413</v>
      </c>
      <c r="B635" s="124" t="s">
        <v>413</v>
      </c>
      <c r="C635" s="124" t="s">
        <v>426</v>
      </c>
      <c r="D635" s="125"/>
      <c r="E635" s="126"/>
      <c r="F635" s="127"/>
      <c r="G635" s="128" t="s">
        <v>100</v>
      </c>
      <c r="H635" s="135" t="s">
        <v>326</v>
      </c>
      <c r="I635" s="135" t="s">
        <v>340</v>
      </c>
    </row>
    <row r="636" spans="1:9" x14ac:dyDescent="0.2">
      <c r="G636" s="58" t="s">
        <v>72</v>
      </c>
      <c r="H636" s="7"/>
      <c r="I636" s="7"/>
    </row>
    <row r="637" spans="1:9" ht="37.5" customHeight="1" x14ac:dyDescent="0.2">
      <c r="A637" s="17" t="s">
        <v>414</v>
      </c>
      <c r="B637" s="17" t="s">
        <v>414</v>
      </c>
      <c r="C637" s="17" t="s">
        <v>427</v>
      </c>
      <c r="D637" s="14">
        <f>D628+F628</f>
        <v>1021</v>
      </c>
      <c r="E637" s="12">
        <f t="shared" ref="E637:E639" si="207">D637+F637-1</f>
        <v>1023</v>
      </c>
      <c r="F637" s="23">
        <v>3</v>
      </c>
      <c r="G637" s="61" t="s">
        <v>73</v>
      </c>
      <c r="H637" s="153" t="s">
        <v>689</v>
      </c>
      <c r="I637" s="153" t="s">
        <v>816</v>
      </c>
    </row>
    <row r="638" spans="1:9" ht="39" customHeight="1" x14ac:dyDescent="0.2">
      <c r="A638" s="17" t="s">
        <v>414</v>
      </c>
      <c r="B638" s="17" t="s">
        <v>414</v>
      </c>
      <c r="C638" s="17" t="s">
        <v>427</v>
      </c>
      <c r="D638" s="14">
        <f t="shared" ref="D638" si="208">D637+F637</f>
        <v>1024</v>
      </c>
      <c r="E638" s="12">
        <f t="shared" si="207"/>
        <v>1026</v>
      </c>
      <c r="F638" s="23">
        <v>3</v>
      </c>
      <c r="G638" s="61" t="s">
        <v>74</v>
      </c>
      <c r="H638" s="153"/>
      <c r="I638" s="153"/>
    </row>
    <row r="639" spans="1:9" x14ac:dyDescent="0.2">
      <c r="A639" s="16"/>
      <c r="B639" s="16"/>
      <c r="C639" s="16"/>
      <c r="D639" s="49">
        <f t="shared" ref="D639" si="209">D638+F638</f>
        <v>1027</v>
      </c>
      <c r="E639" s="12">
        <f t="shared" si="207"/>
        <v>1056</v>
      </c>
      <c r="F639" s="23">
        <v>30</v>
      </c>
      <c r="G639" s="61" t="s">
        <v>94</v>
      </c>
      <c r="H639" s="5"/>
      <c r="I639" s="6"/>
    </row>
    <row r="640" spans="1:9" x14ac:dyDescent="0.2">
      <c r="A640" s="16"/>
      <c r="B640" s="16"/>
      <c r="C640" s="16"/>
      <c r="D640" s="49"/>
      <c r="E640" s="49"/>
      <c r="F640" s="49"/>
      <c r="G640" s="63" t="s">
        <v>101</v>
      </c>
      <c r="H640" s="5"/>
      <c r="I640" s="77"/>
    </row>
    <row r="641" spans="1:9" ht="63.75" x14ac:dyDescent="0.2">
      <c r="A641" s="16" t="s">
        <v>413</v>
      </c>
      <c r="B641" s="16" t="s">
        <v>413</v>
      </c>
      <c r="C641" s="16" t="s">
        <v>426</v>
      </c>
      <c r="D641" s="49">
        <f>D639+F639</f>
        <v>1057</v>
      </c>
      <c r="E641" s="12">
        <f t="shared" ref="E641:E643" si="210">D641+F641-1</f>
        <v>1061</v>
      </c>
      <c r="F641" s="23">
        <v>5</v>
      </c>
      <c r="G641" s="64" t="s">
        <v>102</v>
      </c>
      <c r="H641" s="72" t="s">
        <v>322</v>
      </c>
      <c r="I641" s="72" t="s">
        <v>571</v>
      </c>
    </row>
    <row r="642" spans="1:9" ht="63.75" x14ac:dyDescent="0.2">
      <c r="A642" s="16" t="s">
        <v>413</v>
      </c>
      <c r="B642" s="16" t="s">
        <v>413</v>
      </c>
      <c r="C642" s="16" t="s">
        <v>427</v>
      </c>
      <c r="D642" s="49">
        <f t="shared" ref="D642" si="211">D641+F641</f>
        <v>1062</v>
      </c>
      <c r="E642" s="12">
        <f t="shared" si="210"/>
        <v>1064</v>
      </c>
      <c r="F642" s="23">
        <v>3</v>
      </c>
      <c r="G642" s="137" t="s">
        <v>817</v>
      </c>
      <c r="H642" s="171" t="s">
        <v>828</v>
      </c>
      <c r="I642" s="72" t="s">
        <v>818</v>
      </c>
    </row>
    <row r="643" spans="1:9" ht="114.75" x14ac:dyDescent="0.2">
      <c r="A643" s="16" t="s">
        <v>413</v>
      </c>
      <c r="B643" s="16" t="s">
        <v>413</v>
      </c>
      <c r="C643" s="16" t="s">
        <v>428</v>
      </c>
      <c r="D643" s="49">
        <f t="shared" ref="D643" si="212">D642+F642</f>
        <v>1065</v>
      </c>
      <c r="E643" s="12">
        <f t="shared" si="210"/>
        <v>1067</v>
      </c>
      <c r="F643" s="23">
        <v>3</v>
      </c>
      <c r="G643" s="64" t="s">
        <v>103</v>
      </c>
      <c r="H643" s="72" t="s">
        <v>324</v>
      </c>
      <c r="I643" s="71" t="s">
        <v>572</v>
      </c>
    </row>
    <row r="644" spans="1:9" x14ac:dyDescent="0.2">
      <c r="A644" s="16"/>
      <c r="B644" s="16"/>
      <c r="C644" s="16"/>
      <c r="D644" s="49"/>
      <c r="E644" s="49"/>
      <c r="F644" s="49"/>
      <c r="G644" s="63" t="s">
        <v>104</v>
      </c>
      <c r="H644" s="5"/>
      <c r="I644" s="6"/>
    </row>
    <row r="645" spans="1:9" ht="51" x14ac:dyDescent="0.2">
      <c r="A645" s="16" t="s">
        <v>413</v>
      </c>
      <c r="B645" s="16" t="s">
        <v>413</v>
      </c>
      <c r="C645" s="16" t="s">
        <v>426</v>
      </c>
      <c r="D645" s="49">
        <f>D643+F643</f>
        <v>1068</v>
      </c>
      <c r="E645" s="12">
        <f t="shared" ref="E645:E657" si="213">D645+F645-1</f>
        <v>1071</v>
      </c>
      <c r="F645" s="23">
        <v>4</v>
      </c>
      <c r="G645" s="64" t="s">
        <v>105</v>
      </c>
      <c r="H645" s="72" t="s">
        <v>326</v>
      </c>
      <c r="I645" s="72" t="s">
        <v>577</v>
      </c>
    </row>
    <row r="646" spans="1:9" ht="63.75" x14ac:dyDescent="0.2">
      <c r="A646" s="16" t="s">
        <v>413</v>
      </c>
      <c r="B646" s="16" t="s">
        <v>413</v>
      </c>
      <c r="C646" s="16" t="s">
        <v>426</v>
      </c>
      <c r="D646" s="49">
        <f>D645+F645</f>
        <v>1072</v>
      </c>
      <c r="E646" s="12">
        <f t="shared" ref="E646:E647" si="214">D646+F646-1</f>
        <v>1074</v>
      </c>
      <c r="F646" s="23">
        <v>3</v>
      </c>
      <c r="G646" s="64" t="s">
        <v>573</v>
      </c>
      <c r="H646" s="51" t="s">
        <v>447</v>
      </c>
      <c r="I646" s="6" t="s">
        <v>581</v>
      </c>
    </row>
    <row r="647" spans="1:9" ht="51" x14ac:dyDescent="0.2">
      <c r="A647" s="16" t="s">
        <v>413</v>
      </c>
      <c r="B647" s="16" t="s">
        <v>413</v>
      </c>
      <c r="C647" s="16" t="s">
        <v>426</v>
      </c>
      <c r="D647" s="49">
        <f>D646+F646</f>
        <v>1075</v>
      </c>
      <c r="E647" s="12">
        <f t="shared" si="214"/>
        <v>1075</v>
      </c>
      <c r="F647" s="49">
        <v>1</v>
      </c>
      <c r="G647" s="61" t="s">
        <v>633</v>
      </c>
      <c r="H647" s="50" t="s">
        <v>482</v>
      </c>
      <c r="I647" s="47" t="s">
        <v>635</v>
      </c>
    </row>
    <row r="648" spans="1:9" ht="51" x14ac:dyDescent="0.2">
      <c r="A648" s="16" t="s">
        <v>413</v>
      </c>
      <c r="B648" s="16" t="s">
        <v>413</v>
      </c>
      <c r="C648" s="16" t="s">
        <v>426</v>
      </c>
      <c r="D648" s="49">
        <f>D647+F647</f>
        <v>1076</v>
      </c>
      <c r="E648" s="12">
        <f t="shared" ref="E648:E656" si="215">D648+F648-1</f>
        <v>1079</v>
      </c>
      <c r="F648" s="23">
        <v>4</v>
      </c>
      <c r="G648" s="64" t="s">
        <v>106</v>
      </c>
      <c r="H648" s="72" t="s">
        <v>326</v>
      </c>
      <c r="I648" s="72" t="s">
        <v>577</v>
      </c>
    </row>
    <row r="649" spans="1:9" ht="63.75" x14ac:dyDescent="0.2">
      <c r="A649" s="16" t="s">
        <v>413</v>
      </c>
      <c r="B649" s="16" t="s">
        <v>413</v>
      </c>
      <c r="C649" s="16" t="s">
        <v>426</v>
      </c>
      <c r="D649" s="49">
        <f t="shared" ref="D649:D655" si="216">D648+F648</f>
        <v>1080</v>
      </c>
      <c r="E649" s="12">
        <f t="shared" si="215"/>
        <v>1082</v>
      </c>
      <c r="F649" s="23">
        <v>3</v>
      </c>
      <c r="G649" s="64" t="s">
        <v>574</v>
      </c>
      <c r="H649" s="51" t="s">
        <v>447</v>
      </c>
      <c r="I649" s="6" t="s">
        <v>580</v>
      </c>
    </row>
    <row r="650" spans="1:9" ht="51" x14ac:dyDescent="0.2">
      <c r="A650" s="16" t="s">
        <v>413</v>
      </c>
      <c r="B650" s="16" t="s">
        <v>413</v>
      </c>
      <c r="C650" s="16" t="s">
        <v>426</v>
      </c>
      <c r="D650" s="49">
        <f>D649+F649</f>
        <v>1083</v>
      </c>
      <c r="E650" s="12">
        <f t="shared" si="215"/>
        <v>1083</v>
      </c>
      <c r="F650" s="49">
        <v>1</v>
      </c>
      <c r="G650" s="61" t="s">
        <v>634</v>
      </c>
      <c r="H650" s="50" t="s">
        <v>482</v>
      </c>
      <c r="I650" s="47" t="s">
        <v>636</v>
      </c>
    </row>
    <row r="651" spans="1:9" ht="51" x14ac:dyDescent="0.2">
      <c r="A651" s="16" t="s">
        <v>413</v>
      </c>
      <c r="B651" s="16" t="s">
        <v>413</v>
      </c>
      <c r="C651" s="16" t="s">
        <v>426</v>
      </c>
      <c r="D651" s="49">
        <f>D650+F650</f>
        <v>1084</v>
      </c>
      <c r="E651" s="12">
        <f t="shared" si="215"/>
        <v>1087</v>
      </c>
      <c r="F651" s="23">
        <v>4</v>
      </c>
      <c r="G651" s="64" t="s">
        <v>107</v>
      </c>
      <c r="H651" s="72" t="s">
        <v>326</v>
      </c>
      <c r="I651" s="72" t="s">
        <v>577</v>
      </c>
    </row>
    <row r="652" spans="1:9" ht="63.75" x14ac:dyDescent="0.2">
      <c r="A652" s="16" t="s">
        <v>413</v>
      </c>
      <c r="B652" s="16" t="s">
        <v>413</v>
      </c>
      <c r="C652" s="16" t="s">
        <v>426</v>
      </c>
      <c r="D652" s="49">
        <f t="shared" si="216"/>
        <v>1088</v>
      </c>
      <c r="E652" s="12">
        <f t="shared" si="215"/>
        <v>1090</v>
      </c>
      <c r="F652" s="23">
        <v>3</v>
      </c>
      <c r="G652" s="64" t="s">
        <v>575</v>
      </c>
      <c r="H652" s="51" t="s">
        <v>447</v>
      </c>
      <c r="I652" s="6" t="s">
        <v>579</v>
      </c>
    </row>
    <row r="653" spans="1:9" ht="51" x14ac:dyDescent="0.2">
      <c r="A653" s="16" t="s">
        <v>413</v>
      </c>
      <c r="B653" s="16" t="s">
        <v>413</v>
      </c>
      <c r="C653" s="16" t="s">
        <v>426</v>
      </c>
      <c r="D653" s="49">
        <f>D652+F652</f>
        <v>1091</v>
      </c>
      <c r="E653" s="12">
        <f t="shared" si="215"/>
        <v>1091</v>
      </c>
      <c r="F653" s="49">
        <v>1</v>
      </c>
      <c r="G653" s="61" t="s">
        <v>638</v>
      </c>
      <c r="H653" s="50" t="s">
        <v>482</v>
      </c>
      <c r="I653" s="47" t="s">
        <v>637</v>
      </c>
    </row>
    <row r="654" spans="1:9" ht="51" x14ac:dyDescent="0.2">
      <c r="A654" s="16" t="s">
        <v>413</v>
      </c>
      <c r="B654" s="16" t="s">
        <v>413</v>
      </c>
      <c r="C654" s="16" t="s">
        <v>426</v>
      </c>
      <c r="D654" s="49">
        <f>D653+F653</f>
        <v>1092</v>
      </c>
      <c r="E654" s="12">
        <f t="shared" si="215"/>
        <v>1095</v>
      </c>
      <c r="F654" s="23">
        <v>4</v>
      </c>
      <c r="G654" s="64" t="s">
        <v>108</v>
      </c>
      <c r="H654" s="72" t="s">
        <v>326</v>
      </c>
      <c r="I654" s="72" t="s">
        <v>577</v>
      </c>
    </row>
    <row r="655" spans="1:9" ht="63.75" x14ac:dyDescent="0.2">
      <c r="A655" s="16" t="s">
        <v>413</v>
      </c>
      <c r="B655" s="16" t="s">
        <v>413</v>
      </c>
      <c r="C655" s="16" t="s">
        <v>426</v>
      </c>
      <c r="D655" s="49">
        <f t="shared" si="216"/>
        <v>1096</v>
      </c>
      <c r="E655" s="12">
        <f t="shared" si="215"/>
        <v>1098</v>
      </c>
      <c r="F655" s="23">
        <v>3</v>
      </c>
      <c r="G655" s="64" t="s">
        <v>576</v>
      </c>
      <c r="H655" s="51" t="s">
        <v>447</v>
      </c>
      <c r="I655" s="6" t="s">
        <v>578</v>
      </c>
    </row>
    <row r="656" spans="1:9" ht="51" x14ac:dyDescent="0.2">
      <c r="A656" s="16" t="s">
        <v>413</v>
      </c>
      <c r="B656" s="16" t="s">
        <v>413</v>
      </c>
      <c r="C656" s="16" t="s">
        <v>426</v>
      </c>
      <c r="D656" s="49">
        <f>D655+F655</f>
        <v>1099</v>
      </c>
      <c r="E656" s="12">
        <f t="shared" si="215"/>
        <v>1099</v>
      </c>
      <c r="F656" s="49">
        <v>1</v>
      </c>
      <c r="G656" s="61" t="s">
        <v>639</v>
      </c>
      <c r="H656" s="50" t="s">
        <v>482</v>
      </c>
      <c r="I656" s="47" t="s">
        <v>640</v>
      </c>
    </row>
    <row r="657" spans="1:9" x14ac:dyDescent="0.2">
      <c r="A657" s="16"/>
      <c r="B657" s="16"/>
      <c r="C657" s="16"/>
      <c r="D657" s="49">
        <f>D656+F656</f>
        <v>1100</v>
      </c>
      <c r="E657" s="12">
        <f t="shared" si="213"/>
        <v>1133</v>
      </c>
      <c r="F657" s="23">
        <v>34</v>
      </c>
      <c r="G657" s="64" t="s">
        <v>94</v>
      </c>
      <c r="H657" s="72"/>
      <c r="I657" s="72"/>
    </row>
    <row r="658" spans="1:9" x14ac:dyDescent="0.2">
      <c r="A658" s="16"/>
      <c r="B658" s="16"/>
      <c r="C658" s="16"/>
      <c r="D658" s="49"/>
      <c r="E658" s="49"/>
      <c r="F658" s="49"/>
      <c r="G658" s="63" t="s">
        <v>72</v>
      </c>
      <c r="H658" s="5"/>
      <c r="I658" s="6"/>
    </row>
    <row r="659" spans="1:9" ht="29.25" customHeight="1" x14ac:dyDescent="0.2">
      <c r="A659" s="16" t="s">
        <v>414</v>
      </c>
      <c r="B659" s="16" t="s">
        <v>414</v>
      </c>
      <c r="C659" s="16" t="s">
        <v>427</v>
      </c>
      <c r="D659" s="49">
        <f>D657+F657</f>
        <v>1134</v>
      </c>
      <c r="E659" s="12">
        <f t="shared" ref="E659:E661" si="217">D659+F659-1</f>
        <v>1136</v>
      </c>
      <c r="F659" s="23">
        <v>3</v>
      </c>
      <c r="G659" s="61" t="s">
        <v>73</v>
      </c>
      <c r="H659" s="172" t="s">
        <v>828</v>
      </c>
      <c r="I659" s="148" t="s">
        <v>819</v>
      </c>
    </row>
    <row r="660" spans="1:9" ht="29.25" customHeight="1" x14ac:dyDescent="0.2">
      <c r="A660" s="16" t="s">
        <v>414</v>
      </c>
      <c r="B660" s="16" t="s">
        <v>414</v>
      </c>
      <c r="C660" s="16" t="s">
        <v>427</v>
      </c>
      <c r="D660" s="49">
        <f t="shared" ref="D660" si="218">D659+F659</f>
        <v>1137</v>
      </c>
      <c r="E660" s="12">
        <f t="shared" si="217"/>
        <v>1139</v>
      </c>
      <c r="F660" s="23">
        <v>3</v>
      </c>
      <c r="G660" s="61" t="s">
        <v>74</v>
      </c>
      <c r="H660" s="172"/>
      <c r="I660" s="148"/>
    </row>
    <row r="661" spans="1:9" x14ac:dyDescent="0.2">
      <c r="A661" s="16"/>
      <c r="B661" s="16"/>
      <c r="C661" s="16"/>
      <c r="D661" s="49">
        <f t="shared" ref="D661" si="219">D660+F660</f>
        <v>1140</v>
      </c>
      <c r="E661" s="12">
        <f t="shared" si="217"/>
        <v>1169</v>
      </c>
      <c r="F661" s="23">
        <v>30</v>
      </c>
      <c r="G661" s="61" t="s">
        <v>94</v>
      </c>
      <c r="H661" s="5"/>
      <c r="I661" s="6"/>
    </row>
    <row r="662" spans="1:9" x14ac:dyDescent="0.2">
      <c r="A662" s="16"/>
      <c r="B662" s="16"/>
      <c r="C662" s="16"/>
      <c r="D662" s="49"/>
      <c r="E662" s="49"/>
      <c r="F662" s="49"/>
      <c r="G662" s="63" t="s">
        <v>112</v>
      </c>
      <c r="H662" s="5"/>
      <c r="I662" s="6"/>
    </row>
    <row r="663" spans="1:9" x14ac:dyDescent="0.2">
      <c r="A663" s="16"/>
      <c r="B663" s="16"/>
      <c r="C663" s="16"/>
      <c r="D663" s="49"/>
      <c r="E663" s="49"/>
      <c r="F663" s="49"/>
      <c r="G663" s="63" t="s">
        <v>113</v>
      </c>
      <c r="H663" s="5"/>
      <c r="I663" s="6"/>
    </row>
    <row r="664" spans="1:9" ht="30" customHeight="1" x14ac:dyDescent="0.2">
      <c r="A664" s="16" t="s">
        <v>413</v>
      </c>
      <c r="B664" s="16" t="s">
        <v>413</v>
      </c>
      <c r="C664" s="20" t="s">
        <v>425</v>
      </c>
      <c r="D664" s="49">
        <f>D661+F661</f>
        <v>1170</v>
      </c>
      <c r="E664" s="12">
        <f t="shared" ref="E664:E667" si="220">D664+F664-1</f>
        <v>1170</v>
      </c>
      <c r="F664" s="23">
        <v>1</v>
      </c>
      <c r="G664" s="64" t="s">
        <v>114</v>
      </c>
      <c r="H664" s="147" t="s">
        <v>341</v>
      </c>
      <c r="I664" s="149" t="s">
        <v>660</v>
      </c>
    </row>
    <row r="665" spans="1:9" ht="25.5" customHeight="1" x14ac:dyDescent="0.2">
      <c r="A665" s="16" t="s">
        <v>413</v>
      </c>
      <c r="B665" s="16" t="s">
        <v>413</v>
      </c>
      <c r="C665" s="20" t="s">
        <v>425</v>
      </c>
      <c r="D665" s="49">
        <f>D664+F664</f>
        <v>1171</v>
      </c>
      <c r="E665" s="12">
        <f t="shared" si="220"/>
        <v>1171</v>
      </c>
      <c r="F665" s="23">
        <v>1</v>
      </c>
      <c r="G665" s="64" t="s">
        <v>115</v>
      </c>
      <c r="H665" s="152"/>
      <c r="I665" s="149"/>
    </row>
    <row r="666" spans="1:9" ht="24.75" customHeight="1" x14ac:dyDescent="0.2">
      <c r="A666" s="16" t="s">
        <v>413</v>
      </c>
      <c r="B666" s="16" t="s">
        <v>413</v>
      </c>
      <c r="C666" s="20" t="s">
        <v>425</v>
      </c>
      <c r="D666" s="49">
        <f t="shared" ref="D666:D667" si="221">D665+F665</f>
        <v>1172</v>
      </c>
      <c r="E666" s="12">
        <f t="shared" si="220"/>
        <v>1172</v>
      </c>
      <c r="F666" s="23">
        <v>1</v>
      </c>
      <c r="G666" s="64" t="s">
        <v>116</v>
      </c>
      <c r="H666" s="152"/>
      <c r="I666" s="149"/>
    </row>
    <row r="667" spans="1:9" ht="27" customHeight="1" x14ac:dyDescent="0.2">
      <c r="A667" s="16" t="s">
        <v>413</v>
      </c>
      <c r="B667" s="16" t="s">
        <v>413</v>
      </c>
      <c r="C667" s="20" t="s">
        <v>425</v>
      </c>
      <c r="D667" s="49">
        <f t="shared" si="221"/>
        <v>1173</v>
      </c>
      <c r="E667" s="12">
        <f t="shared" si="220"/>
        <v>1173</v>
      </c>
      <c r="F667" s="23">
        <v>1</v>
      </c>
      <c r="G667" s="64" t="s">
        <v>117</v>
      </c>
      <c r="H667" s="152"/>
      <c r="I667" s="149"/>
    </row>
    <row r="668" spans="1:9" x14ac:dyDescent="0.2">
      <c r="A668" s="16"/>
      <c r="B668" s="16"/>
      <c r="C668" s="16"/>
      <c r="D668" s="49"/>
      <c r="E668" s="49"/>
      <c r="F668" s="49"/>
      <c r="G668" s="63" t="s">
        <v>118</v>
      </c>
      <c r="H668" s="5"/>
      <c r="I668" s="47"/>
    </row>
    <row r="669" spans="1:9" ht="32.25" customHeight="1" x14ac:dyDescent="0.2">
      <c r="A669" s="16" t="s">
        <v>413</v>
      </c>
      <c r="B669" s="16" t="s">
        <v>413</v>
      </c>
      <c r="C669" s="20" t="s">
        <v>425</v>
      </c>
      <c r="D669" s="49">
        <f>D667+F667</f>
        <v>1174</v>
      </c>
      <c r="E669" s="12">
        <f t="shared" ref="E669:E672" si="222">D669+F669-1</f>
        <v>1174</v>
      </c>
      <c r="F669" s="23">
        <v>1</v>
      </c>
      <c r="G669" s="64" t="s">
        <v>119</v>
      </c>
      <c r="H669" s="147" t="s">
        <v>342</v>
      </c>
      <c r="I669" s="149" t="s">
        <v>661</v>
      </c>
    </row>
    <row r="670" spans="1:9" ht="33" customHeight="1" x14ac:dyDescent="0.2">
      <c r="A670" s="16" t="s">
        <v>413</v>
      </c>
      <c r="B670" s="16" t="s">
        <v>413</v>
      </c>
      <c r="C670" s="20" t="s">
        <v>425</v>
      </c>
      <c r="D670" s="49">
        <f t="shared" ref="D670" si="223">D669+F669</f>
        <v>1175</v>
      </c>
      <c r="E670" s="12">
        <f t="shared" si="222"/>
        <v>1175</v>
      </c>
      <c r="F670" s="23">
        <v>1</v>
      </c>
      <c r="G670" s="64" t="s">
        <v>120</v>
      </c>
      <c r="H670" s="152"/>
      <c r="I670" s="149"/>
    </row>
    <row r="671" spans="1:9" ht="36.75" customHeight="1" x14ac:dyDescent="0.2">
      <c r="A671" s="16" t="s">
        <v>413</v>
      </c>
      <c r="B671" s="16" t="s">
        <v>413</v>
      </c>
      <c r="C671" s="20" t="s">
        <v>425</v>
      </c>
      <c r="D671" s="49">
        <f t="shared" ref="D671:D672" si="224">D670+F670</f>
        <v>1176</v>
      </c>
      <c r="E671" s="12">
        <f t="shared" si="222"/>
        <v>1176</v>
      </c>
      <c r="F671" s="23">
        <v>1</v>
      </c>
      <c r="G671" s="64" t="s">
        <v>121</v>
      </c>
      <c r="H671" s="152"/>
      <c r="I671" s="149"/>
    </row>
    <row r="672" spans="1:9" ht="33" customHeight="1" x14ac:dyDescent="0.2">
      <c r="A672" s="16" t="s">
        <v>413</v>
      </c>
      <c r="B672" s="16" t="s">
        <v>413</v>
      </c>
      <c r="C672" s="20" t="s">
        <v>425</v>
      </c>
      <c r="D672" s="49">
        <f t="shared" si="224"/>
        <v>1177</v>
      </c>
      <c r="E672" s="12">
        <f t="shared" si="222"/>
        <v>1177</v>
      </c>
      <c r="F672" s="23">
        <v>1</v>
      </c>
      <c r="G672" s="64" t="s">
        <v>122</v>
      </c>
      <c r="H672" s="152"/>
      <c r="I672" s="149"/>
    </row>
    <row r="673" spans="1:9" x14ac:dyDescent="0.2">
      <c r="A673" s="16"/>
      <c r="B673" s="16"/>
      <c r="C673" s="16"/>
      <c r="D673" s="49"/>
      <c r="E673" s="49"/>
      <c r="F673" s="49"/>
      <c r="G673" s="63" t="s">
        <v>123</v>
      </c>
      <c r="H673" s="5"/>
      <c r="I673" s="47"/>
    </row>
    <row r="674" spans="1:9" ht="15.75" customHeight="1" x14ac:dyDescent="0.2">
      <c r="A674" s="16" t="s">
        <v>414</v>
      </c>
      <c r="B674" s="16" t="s">
        <v>414</v>
      </c>
      <c r="C674" s="16" t="s">
        <v>421</v>
      </c>
      <c r="D674" s="49">
        <f>D672+F672</f>
        <v>1178</v>
      </c>
      <c r="E674" s="12">
        <f t="shared" ref="E674:E677" si="225">D674+F674-1</f>
        <v>1178</v>
      </c>
      <c r="F674" s="23">
        <v>1</v>
      </c>
      <c r="G674" s="64" t="s">
        <v>124</v>
      </c>
      <c r="H674" s="147" t="s">
        <v>343</v>
      </c>
      <c r="I674" s="149" t="s">
        <v>662</v>
      </c>
    </row>
    <row r="675" spans="1:9" ht="17.25" customHeight="1" x14ac:dyDescent="0.2">
      <c r="A675" s="16" t="s">
        <v>414</v>
      </c>
      <c r="B675" s="16" t="s">
        <v>414</v>
      </c>
      <c r="C675" s="16" t="s">
        <v>421</v>
      </c>
      <c r="D675" s="49">
        <f t="shared" ref="D675" si="226">D674+F674</f>
        <v>1179</v>
      </c>
      <c r="E675" s="12">
        <f t="shared" si="225"/>
        <v>1179</v>
      </c>
      <c r="F675" s="23">
        <v>1</v>
      </c>
      <c r="G675" s="64" t="s">
        <v>125</v>
      </c>
      <c r="H675" s="152"/>
      <c r="I675" s="149"/>
    </row>
    <row r="676" spans="1:9" ht="16.5" customHeight="1" x14ac:dyDescent="0.2">
      <c r="A676" s="16" t="s">
        <v>414</v>
      </c>
      <c r="B676" s="16" t="s">
        <v>414</v>
      </c>
      <c r="C676" s="16" t="s">
        <v>421</v>
      </c>
      <c r="D676" s="49">
        <f t="shared" ref="D676:D677" si="227">D675+F675</f>
        <v>1180</v>
      </c>
      <c r="E676" s="12">
        <f t="shared" si="225"/>
        <v>1180</v>
      </c>
      <c r="F676" s="23">
        <v>1</v>
      </c>
      <c r="G676" s="64" t="s">
        <v>126</v>
      </c>
      <c r="H676" s="152"/>
      <c r="I676" s="149"/>
    </row>
    <row r="677" spans="1:9" ht="15.75" customHeight="1" x14ac:dyDescent="0.2">
      <c r="A677" s="16" t="s">
        <v>414</v>
      </c>
      <c r="B677" s="16" t="s">
        <v>414</v>
      </c>
      <c r="C677" s="16" t="s">
        <v>421</v>
      </c>
      <c r="D677" s="49">
        <f t="shared" si="227"/>
        <v>1181</v>
      </c>
      <c r="E677" s="12">
        <f t="shared" si="225"/>
        <v>1181</v>
      </c>
      <c r="F677" s="23">
        <v>1</v>
      </c>
      <c r="G677" s="64" t="s">
        <v>127</v>
      </c>
      <c r="H677" s="152"/>
      <c r="I677" s="149"/>
    </row>
    <row r="678" spans="1:9" x14ac:dyDescent="0.2">
      <c r="A678" s="16"/>
      <c r="B678" s="16"/>
      <c r="C678" s="16"/>
      <c r="D678" s="49"/>
      <c r="E678" s="49"/>
      <c r="F678" s="49"/>
      <c r="G678" s="63" t="s">
        <v>128</v>
      </c>
      <c r="H678" s="5"/>
      <c r="I678" s="47"/>
    </row>
    <row r="679" spans="1:9" ht="25.5" customHeight="1" x14ac:dyDescent="0.2">
      <c r="A679" s="16" t="s">
        <v>413</v>
      </c>
      <c r="B679" s="16" t="s">
        <v>413</v>
      </c>
      <c r="C679" s="16" t="s">
        <v>426</v>
      </c>
      <c r="D679" s="49">
        <f>D677+F677</f>
        <v>1182</v>
      </c>
      <c r="E679" s="12">
        <f t="shared" ref="E679:E683" si="228">D679+F679-1</f>
        <v>1182</v>
      </c>
      <c r="F679" s="23">
        <v>1</v>
      </c>
      <c r="G679" s="64" t="s">
        <v>129</v>
      </c>
      <c r="H679" s="147" t="s">
        <v>344</v>
      </c>
      <c r="I679" s="148" t="s">
        <v>663</v>
      </c>
    </row>
    <row r="680" spans="1:9" ht="21" customHeight="1" x14ac:dyDescent="0.2">
      <c r="A680" s="16" t="s">
        <v>413</v>
      </c>
      <c r="B680" s="16" t="s">
        <v>413</v>
      </c>
      <c r="C680" s="16" t="s">
        <v>426</v>
      </c>
      <c r="D680" s="49">
        <f t="shared" ref="D680" si="229">D679+F679</f>
        <v>1183</v>
      </c>
      <c r="E680" s="12">
        <f t="shared" si="228"/>
        <v>1183</v>
      </c>
      <c r="F680" s="23">
        <v>1</v>
      </c>
      <c r="G680" s="64" t="s">
        <v>130</v>
      </c>
      <c r="H680" s="152"/>
      <c r="I680" s="148"/>
    </row>
    <row r="681" spans="1:9" ht="19.5" customHeight="1" x14ac:dyDescent="0.2">
      <c r="A681" s="16" t="s">
        <v>413</v>
      </c>
      <c r="B681" s="16" t="s">
        <v>413</v>
      </c>
      <c r="C681" s="16" t="s">
        <v>426</v>
      </c>
      <c r="D681" s="49">
        <f t="shared" ref="D681:D683" si="230">D680+F680</f>
        <v>1184</v>
      </c>
      <c r="E681" s="12">
        <f t="shared" si="228"/>
        <v>1184</v>
      </c>
      <c r="F681" s="23">
        <v>1</v>
      </c>
      <c r="G681" s="64" t="s">
        <v>131</v>
      </c>
      <c r="H681" s="152"/>
      <c r="I681" s="148"/>
    </row>
    <row r="682" spans="1:9" ht="19.5" customHeight="1" x14ac:dyDescent="0.2">
      <c r="A682" s="16" t="s">
        <v>413</v>
      </c>
      <c r="B682" s="16" t="s">
        <v>413</v>
      </c>
      <c r="C682" s="16" t="s">
        <v>426</v>
      </c>
      <c r="D682" s="49">
        <f t="shared" si="230"/>
        <v>1185</v>
      </c>
      <c r="E682" s="12">
        <f t="shared" si="228"/>
        <v>1185</v>
      </c>
      <c r="F682" s="23">
        <v>1</v>
      </c>
      <c r="G682" s="64" t="s">
        <v>132</v>
      </c>
      <c r="H682" s="152"/>
      <c r="I682" s="148"/>
    </row>
    <row r="683" spans="1:9" x14ac:dyDescent="0.2">
      <c r="A683" s="16"/>
      <c r="B683" s="16"/>
      <c r="C683" s="16"/>
      <c r="D683" s="49">
        <f t="shared" si="230"/>
        <v>1186</v>
      </c>
      <c r="E683" s="12">
        <f t="shared" si="228"/>
        <v>1205</v>
      </c>
      <c r="F683" s="49">
        <v>20</v>
      </c>
      <c r="G683" s="64" t="s">
        <v>94</v>
      </c>
      <c r="H683" s="5"/>
      <c r="I683" s="47"/>
    </row>
    <row r="684" spans="1:9" x14ac:dyDescent="0.2">
      <c r="A684" s="16"/>
      <c r="B684" s="16"/>
      <c r="C684" s="16"/>
      <c r="D684" s="49"/>
      <c r="E684" s="49"/>
      <c r="F684" s="49"/>
      <c r="G684" s="63" t="s">
        <v>133</v>
      </c>
      <c r="H684" s="5"/>
      <c r="I684" s="47"/>
    </row>
    <row r="685" spans="1:9" x14ac:dyDescent="0.2">
      <c r="A685" s="16"/>
      <c r="B685" s="16"/>
      <c r="C685" s="16"/>
      <c r="D685" s="49"/>
      <c r="E685" s="49"/>
      <c r="F685" s="49"/>
      <c r="G685" s="63" t="s">
        <v>134</v>
      </c>
      <c r="H685" s="5"/>
      <c r="I685" s="47"/>
    </row>
    <row r="686" spans="1:9" ht="56.25" customHeight="1" x14ac:dyDescent="0.2">
      <c r="A686" s="16" t="s">
        <v>413</v>
      </c>
      <c r="B686" s="16" t="s">
        <v>413</v>
      </c>
      <c r="C686" s="16"/>
      <c r="D686" s="49">
        <f>D683+F683</f>
        <v>1206</v>
      </c>
      <c r="E686" s="12">
        <f t="shared" ref="E686:E689" si="231">D686+F686-1</f>
        <v>1206</v>
      </c>
      <c r="F686" s="49">
        <v>1</v>
      </c>
      <c r="G686" s="64" t="s">
        <v>135</v>
      </c>
      <c r="H686" s="147" t="s">
        <v>664</v>
      </c>
      <c r="I686" s="155" t="s">
        <v>711</v>
      </c>
    </row>
    <row r="687" spans="1:9" ht="56.25" customHeight="1" x14ac:dyDescent="0.2">
      <c r="A687" s="16" t="s">
        <v>413</v>
      </c>
      <c r="B687" s="16" t="s">
        <v>413</v>
      </c>
      <c r="C687" s="16"/>
      <c r="D687" s="49">
        <f t="shared" ref="D687" si="232">D686+F686</f>
        <v>1207</v>
      </c>
      <c r="E687" s="12">
        <f t="shared" si="231"/>
        <v>1207</v>
      </c>
      <c r="F687" s="49">
        <v>1</v>
      </c>
      <c r="G687" s="64" t="s">
        <v>136</v>
      </c>
      <c r="H687" s="152"/>
      <c r="I687" s="155"/>
    </row>
    <row r="688" spans="1:9" ht="56.25" customHeight="1" x14ac:dyDescent="0.2">
      <c r="A688" s="16" t="s">
        <v>413</v>
      </c>
      <c r="B688" s="16" t="s">
        <v>413</v>
      </c>
      <c r="C688" s="16"/>
      <c r="D688" s="49">
        <f t="shared" ref="D688:D689" si="233">D687+F687</f>
        <v>1208</v>
      </c>
      <c r="E688" s="12">
        <f t="shared" si="231"/>
        <v>1208</v>
      </c>
      <c r="F688" s="49">
        <v>1</v>
      </c>
      <c r="G688" s="64" t="s">
        <v>137</v>
      </c>
      <c r="H688" s="152"/>
      <c r="I688" s="155"/>
    </row>
    <row r="689" spans="1:9" ht="67.5" customHeight="1" x14ac:dyDescent="0.2">
      <c r="A689" s="16" t="s">
        <v>413</v>
      </c>
      <c r="B689" s="16" t="s">
        <v>413</v>
      </c>
      <c r="C689" s="16"/>
      <c r="D689" s="49">
        <f t="shared" si="233"/>
        <v>1209</v>
      </c>
      <c r="E689" s="12">
        <f t="shared" si="231"/>
        <v>1209</v>
      </c>
      <c r="F689" s="49">
        <v>1</v>
      </c>
      <c r="G689" s="64" t="s">
        <v>138</v>
      </c>
      <c r="H689" s="152"/>
      <c r="I689" s="155"/>
    </row>
    <row r="690" spans="1:9" x14ac:dyDescent="0.2">
      <c r="A690" s="16"/>
      <c r="B690" s="16"/>
      <c r="C690" s="16"/>
      <c r="D690" s="49">
        <f>D689+F689</f>
        <v>1210</v>
      </c>
      <c r="E690" s="12">
        <f t="shared" ref="E690" si="234">D690+F690-1</f>
        <v>1227</v>
      </c>
      <c r="F690" s="49">
        <v>18</v>
      </c>
      <c r="G690" s="64" t="s">
        <v>94</v>
      </c>
      <c r="H690" s="5"/>
      <c r="I690" s="47"/>
    </row>
    <row r="691" spans="1:9" x14ac:dyDescent="0.2">
      <c r="A691" s="16"/>
      <c r="B691" s="16"/>
      <c r="C691" s="16"/>
      <c r="D691" s="49"/>
      <c r="E691" s="49"/>
      <c r="F691" s="49"/>
      <c r="G691" s="63" t="s">
        <v>193</v>
      </c>
      <c r="H691" s="5"/>
      <c r="I691" s="47"/>
    </row>
    <row r="692" spans="1:9" ht="27.75" customHeight="1" x14ac:dyDescent="0.2">
      <c r="A692" s="16" t="s">
        <v>413</v>
      </c>
      <c r="B692" s="16" t="s">
        <v>413</v>
      </c>
      <c r="C692" s="16" t="s">
        <v>423</v>
      </c>
      <c r="D692" s="49">
        <f>D690+F690</f>
        <v>1228</v>
      </c>
      <c r="E692" s="12">
        <f t="shared" ref="E692:E700" si="235">D692+F692-1</f>
        <v>1229</v>
      </c>
      <c r="F692" s="49">
        <v>2</v>
      </c>
      <c r="G692" s="61" t="s">
        <v>194</v>
      </c>
      <c r="H692" s="150" t="s">
        <v>369</v>
      </c>
      <c r="I692" s="169" t="s">
        <v>665</v>
      </c>
    </row>
    <row r="693" spans="1:9" ht="25.5" customHeight="1" x14ac:dyDescent="0.2">
      <c r="A693" s="16" t="s">
        <v>413</v>
      </c>
      <c r="B693" s="16" t="s">
        <v>413</v>
      </c>
      <c r="C693" s="16" t="s">
        <v>423</v>
      </c>
      <c r="D693" s="49">
        <f t="shared" ref="D693" si="236">D692+F692</f>
        <v>1230</v>
      </c>
      <c r="E693" s="12">
        <f t="shared" si="235"/>
        <v>1231</v>
      </c>
      <c r="F693" s="49">
        <v>2</v>
      </c>
      <c r="G693" s="61" t="s">
        <v>195</v>
      </c>
      <c r="H693" s="150"/>
      <c r="I693" s="169"/>
    </row>
    <row r="694" spans="1:9" ht="26.25" customHeight="1" x14ac:dyDescent="0.2">
      <c r="A694" s="16" t="s">
        <v>413</v>
      </c>
      <c r="B694" s="16" t="s">
        <v>413</v>
      </c>
      <c r="C694" s="16" t="s">
        <v>423</v>
      </c>
      <c r="D694" s="49">
        <f t="shared" ref="D694:D700" si="237">D693+F693</f>
        <v>1232</v>
      </c>
      <c r="E694" s="12">
        <f t="shared" si="235"/>
        <v>1233</v>
      </c>
      <c r="F694" s="49">
        <v>2</v>
      </c>
      <c r="G694" s="61" t="s">
        <v>196</v>
      </c>
      <c r="H694" s="150"/>
      <c r="I694" s="169"/>
    </row>
    <row r="695" spans="1:9" ht="21" customHeight="1" x14ac:dyDescent="0.2">
      <c r="A695" s="16" t="s">
        <v>413</v>
      </c>
      <c r="B695" s="16" t="s">
        <v>413</v>
      </c>
      <c r="C695" s="16" t="s">
        <v>423</v>
      </c>
      <c r="D695" s="49">
        <f t="shared" si="237"/>
        <v>1234</v>
      </c>
      <c r="E695" s="12">
        <f t="shared" si="235"/>
        <v>1235</v>
      </c>
      <c r="F695" s="49">
        <v>2</v>
      </c>
      <c r="G695" s="61" t="s">
        <v>197</v>
      </c>
      <c r="H695" s="150"/>
      <c r="I695" s="169"/>
    </row>
    <row r="696" spans="1:9" ht="29.25" customHeight="1" x14ac:dyDescent="0.2">
      <c r="A696" s="16" t="s">
        <v>413</v>
      </c>
      <c r="B696" s="16" t="s">
        <v>413</v>
      </c>
      <c r="C696" s="16" t="s">
        <v>428</v>
      </c>
      <c r="D696" s="49">
        <f t="shared" si="237"/>
        <v>1236</v>
      </c>
      <c r="E696" s="12">
        <f t="shared" si="235"/>
        <v>1238</v>
      </c>
      <c r="F696" s="49">
        <v>3</v>
      </c>
      <c r="G696" s="61" t="s">
        <v>198</v>
      </c>
      <c r="H696" s="150" t="s">
        <v>370</v>
      </c>
      <c r="I696" s="151" t="s">
        <v>691</v>
      </c>
    </row>
    <row r="697" spans="1:9" ht="30" customHeight="1" x14ac:dyDescent="0.2">
      <c r="A697" s="16" t="s">
        <v>413</v>
      </c>
      <c r="B697" s="16" t="s">
        <v>413</v>
      </c>
      <c r="C697" s="16" t="s">
        <v>428</v>
      </c>
      <c r="D697" s="49">
        <f t="shared" si="237"/>
        <v>1239</v>
      </c>
      <c r="E697" s="12">
        <f t="shared" si="235"/>
        <v>1241</v>
      </c>
      <c r="F697" s="49">
        <v>3</v>
      </c>
      <c r="G697" s="61" t="s">
        <v>199</v>
      </c>
      <c r="H697" s="150"/>
      <c r="I697" s="151"/>
    </row>
    <row r="698" spans="1:9" ht="31.5" customHeight="1" x14ac:dyDescent="0.2">
      <c r="A698" s="16" t="s">
        <v>413</v>
      </c>
      <c r="B698" s="16" t="s">
        <v>413</v>
      </c>
      <c r="C698" s="16" t="s">
        <v>428</v>
      </c>
      <c r="D698" s="49">
        <f t="shared" si="237"/>
        <v>1242</v>
      </c>
      <c r="E698" s="12">
        <f t="shared" si="235"/>
        <v>1244</v>
      </c>
      <c r="F698" s="49">
        <v>3</v>
      </c>
      <c r="G698" s="61" t="s">
        <v>200</v>
      </c>
      <c r="H698" s="150"/>
      <c r="I698" s="151"/>
    </row>
    <row r="699" spans="1:9" ht="36.75" customHeight="1" x14ac:dyDescent="0.2">
      <c r="A699" s="16" t="s">
        <v>413</v>
      </c>
      <c r="B699" s="16" t="s">
        <v>413</v>
      </c>
      <c r="C699" s="16" t="s">
        <v>428</v>
      </c>
      <c r="D699" s="49">
        <f t="shared" si="237"/>
        <v>1245</v>
      </c>
      <c r="E699" s="12">
        <f t="shared" si="235"/>
        <v>1247</v>
      </c>
      <c r="F699" s="49">
        <v>3</v>
      </c>
      <c r="G699" s="61" t="s">
        <v>201</v>
      </c>
      <c r="H699" s="150"/>
      <c r="I699" s="151"/>
    </row>
    <row r="700" spans="1:9" x14ac:dyDescent="0.2">
      <c r="A700" s="16"/>
      <c r="B700" s="16"/>
      <c r="C700" s="16"/>
      <c r="D700" s="49">
        <f t="shared" si="237"/>
        <v>1248</v>
      </c>
      <c r="E700" s="12">
        <f t="shared" si="235"/>
        <v>1273</v>
      </c>
      <c r="F700" s="49">
        <v>26</v>
      </c>
      <c r="G700" s="61" t="s">
        <v>94</v>
      </c>
      <c r="H700" s="5"/>
      <c r="I700" s="47"/>
    </row>
    <row r="701" spans="1:9" x14ac:dyDescent="0.2">
      <c r="A701" s="16"/>
      <c r="B701" s="16"/>
      <c r="C701" s="16"/>
      <c r="D701" s="49"/>
      <c r="E701" s="12"/>
      <c r="F701" s="49"/>
      <c r="G701" s="65" t="s">
        <v>582</v>
      </c>
      <c r="H701" s="5"/>
      <c r="I701" s="47"/>
    </row>
    <row r="702" spans="1:9" ht="12.75" customHeight="1" x14ac:dyDescent="0.2">
      <c r="A702" s="16" t="s">
        <v>413</v>
      </c>
      <c r="B702" s="16" t="s">
        <v>413</v>
      </c>
      <c r="C702" s="16"/>
      <c r="D702" s="49">
        <f>D700+F700</f>
        <v>1274</v>
      </c>
      <c r="E702" s="12">
        <f t="shared" ref="E702" si="238">D702+F702-1</f>
        <v>1274</v>
      </c>
      <c r="F702" s="49">
        <v>1</v>
      </c>
      <c r="G702" s="9" t="s">
        <v>583</v>
      </c>
      <c r="H702" s="147" t="s">
        <v>526</v>
      </c>
      <c r="I702" s="149" t="s">
        <v>587</v>
      </c>
    </row>
    <row r="703" spans="1:9" x14ac:dyDescent="0.2">
      <c r="A703" s="16" t="s">
        <v>413</v>
      </c>
      <c r="B703" s="16" t="s">
        <v>413</v>
      </c>
      <c r="C703" s="16"/>
      <c r="D703" s="49">
        <f t="shared" ref="D703:D705" si="239">D702+F702</f>
        <v>1275</v>
      </c>
      <c r="E703" s="12">
        <f t="shared" ref="E703:E705" si="240">D703+F703-1</f>
        <v>1275</v>
      </c>
      <c r="F703" s="49">
        <v>1</v>
      </c>
      <c r="G703" s="9" t="s">
        <v>584</v>
      </c>
      <c r="H703" s="147"/>
      <c r="I703" s="149"/>
    </row>
    <row r="704" spans="1:9" x14ac:dyDescent="0.2">
      <c r="A704" s="16" t="s">
        <v>413</v>
      </c>
      <c r="B704" s="16" t="s">
        <v>413</v>
      </c>
      <c r="C704" s="16"/>
      <c r="D704" s="49">
        <f t="shared" si="239"/>
        <v>1276</v>
      </c>
      <c r="E704" s="12">
        <f t="shared" si="240"/>
        <v>1276</v>
      </c>
      <c r="F704" s="49">
        <v>1</v>
      </c>
      <c r="G704" s="9" t="s">
        <v>585</v>
      </c>
      <c r="H704" s="147"/>
      <c r="I704" s="149"/>
    </row>
    <row r="705" spans="1:9" x14ac:dyDescent="0.2">
      <c r="A705" s="16" t="s">
        <v>413</v>
      </c>
      <c r="B705" s="16" t="s">
        <v>413</v>
      </c>
      <c r="C705" s="16"/>
      <c r="D705" s="49">
        <f t="shared" si="239"/>
        <v>1277</v>
      </c>
      <c r="E705" s="12">
        <f t="shared" si="240"/>
        <v>1277</v>
      </c>
      <c r="F705" s="49">
        <v>1</v>
      </c>
      <c r="G705" s="9" t="s">
        <v>586</v>
      </c>
      <c r="H705" s="147"/>
      <c r="I705" s="149"/>
    </row>
    <row r="706" spans="1:9" x14ac:dyDescent="0.2">
      <c r="A706" s="16"/>
      <c r="B706" s="16"/>
      <c r="C706" s="16"/>
      <c r="D706" s="49"/>
      <c r="E706" s="49"/>
      <c r="F706" s="49"/>
      <c r="G706" s="65" t="s">
        <v>282</v>
      </c>
      <c r="H706" s="5"/>
      <c r="I706" s="47"/>
    </row>
    <row r="707" spans="1:9" ht="63.75" x14ac:dyDescent="0.2">
      <c r="A707" s="16" t="s">
        <v>413</v>
      </c>
      <c r="B707" s="16" t="s">
        <v>413</v>
      </c>
      <c r="C707" s="16"/>
      <c r="D707" s="49">
        <f>D705+F705</f>
        <v>1278</v>
      </c>
      <c r="E707" s="12">
        <f t="shared" ref="E707:E711" si="241">D707+F707-1</f>
        <v>1283</v>
      </c>
      <c r="F707" s="49">
        <v>6</v>
      </c>
      <c r="G707" s="61" t="s">
        <v>214</v>
      </c>
      <c r="H707" s="73" t="s">
        <v>374</v>
      </c>
      <c r="I707" s="73" t="s">
        <v>375</v>
      </c>
    </row>
    <row r="708" spans="1:9" ht="24.75" customHeight="1" x14ac:dyDescent="0.2">
      <c r="A708" s="16" t="s">
        <v>413</v>
      </c>
      <c r="B708" s="16" t="s">
        <v>413</v>
      </c>
      <c r="C708" s="16"/>
      <c r="D708" s="49">
        <f t="shared" ref="D708" si="242">D707+F707</f>
        <v>1284</v>
      </c>
      <c r="E708" s="12">
        <f t="shared" si="241"/>
        <v>1289</v>
      </c>
      <c r="F708" s="49">
        <v>6</v>
      </c>
      <c r="G708" s="61" t="s">
        <v>210</v>
      </c>
      <c r="H708" s="150" t="s">
        <v>376</v>
      </c>
      <c r="I708" s="150" t="s">
        <v>666</v>
      </c>
    </row>
    <row r="709" spans="1:9" ht="22.5" customHeight="1" x14ac:dyDescent="0.2">
      <c r="A709" s="16" t="s">
        <v>413</v>
      </c>
      <c r="B709" s="16" t="s">
        <v>413</v>
      </c>
      <c r="C709" s="16"/>
      <c r="D709" s="49">
        <f t="shared" ref="D709:D711" si="243">D708+F708</f>
        <v>1290</v>
      </c>
      <c r="E709" s="12">
        <f t="shared" si="241"/>
        <v>1295</v>
      </c>
      <c r="F709" s="49">
        <v>6</v>
      </c>
      <c r="G709" s="61" t="s">
        <v>211</v>
      </c>
      <c r="H709" s="150"/>
      <c r="I709" s="150"/>
    </row>
    <row r="710" spans="1:9" ht="23.25" customHeight="1" x14ac:dyDescent="0.2">
      <c r="A710" s="16" t="s">
        <v>413</v>
      </c>
      <c r="B710" s="16" t="s">
        <v>413</v>
      </c>
      <c r="C710" s="16"/>
      <c r="D710" s="49">
        <f t="shared" si="243"/>
        <v>1296</v>
      </c>
      <c r="E710" s="12">
        <f t="shared" si="241"/>
        <v>1301</v>
      </c>
      <c r="F710" s="49">
        <v>6</v>
      </c>
      <c r="G710" s="61" t="s">
        <v>212</v>
      </c>
      <c r="H710" s="150"/>
      <c r="I710" s="150"/>
    </row>
    <row r="711" spans="1:9" ht="22.5" customHeight="1" x14ac:dyDescent="0.2">
      <c r="A711" s="16" t="s">
        <v>413</v>
      </c>
      <c r="B711" s="16" t="s">
        <v>413</v>
      </c>
      <c r="C711" s="16"/>
      <c r="D711" s="49">
        <f t="shared" si="243"/>
        <v>1302</v>
      </c>
      <c r="E711" s="12">
        <f t="shared" si="241"/>
        <v>1307</v>
      </c>
      <c r="F711" s="49">
        <v>6</v>
      </c>
      <c r="G711" s="61" t="s">
        <v>213</v>
      </c>
      <c r="H711" s="150"/>
      <c r="I711" s="150"/>
    </row>
    <row r="712" spans="1:9" x14ac:dyDescent="0.2">
      <c r="A712" s="16"/>
      <c r="B712" s="16"/>
      <c r="C712" s="16"/>
      <c r="D712" s="49"/>
      <c r="E712" s="49"/>
      <c r="F712" s="49"/>
      <c r="G712" s="65" t="s">
        <v>277</v>
      </c>
      <c r="H712" s="5"/>
      <c r="I712" s="47"/>
    </row>
    <row r="713" spans="1:9" ht="30" customHeight="1" x14ac:dyDescent="0.2">
      <c r="A713" s="16" t="s">
        <v>414</v>
      </c>
      <c r="B713" s="16" t="s">
        <v>414</v>
      </c>
      <c r="C713" s="16"/>
      <c r="D713" s="49">
        <f>D711+F711</f>
        <v>1308</v>
      </c>
      <c r="E713" s="12">
        <f t="shared" ref="E713:E716" si="244">D713+F713-1</f>
        <v>1308</v>
      </c>
      <c r="F713" s="49">
        <v>1</v>
      </c>
      <c r="G713" s="61" t="s">
        <v>278</v>
      </c>
      <c r="H713" s="150" t="s">
        <v>667</v>
      </c>
      <c r="I713" s="150" t="s">
        <v>668</v>
      </c>
    </row>
    <row r="714" spans="1:9" ht="30" customHeight="1" x14ac:dyDescent="0.2">
      <c r="A714" s="16" t="s">
        <v>414</v>
      </c>
      <c r="B714" s="16" t="s">
        <v>414</v>
      </c>
      <c r="C714" s="16"/>
      <c r="D714" s="49">
        <f t="shared" ref="D714" si="245">D713+F713</f>
        <v>1309</v>
      </c>
      <c r="E714" s="12">
        <f t="shared" si="244"/>
        <v>1309</v>
      </c>
      <c r="F714" s="49">
        <v>1</v>
      </c>
      <c r="G714" s="61" t="s">
        <v>279</v>
      </c>
      <c r="H714" s="150"/>
      <c r="I714" s="150"/>
    </row>
    <row r="715" spans="1:9" ht="28.5" customHeight="1" x14ac:dyDescent="0.2">
      <c r="A715" s="16" t="s">
        <v>414</v>
      </c>
      <c r="B715" s="16" t="s">
        <v>414</v>
      </c>
      <c r="C715" s="16"/>
      <c r="D715" s="49">
        <f t="shared" ref="D715:D716" si="246">D714+F714</f>
        <v>1310</v>
      </c>
      <c r="E715" s="12">
        <f t="shared" si="244"/>
        <v>1310</v>
      </c>
      <c r="F715" s="49">
        <v>1</v>
      </c>
      <c r="G715" s="61" t="s">
        <v>280</v>
      </c>
      <c r="H715" s="150"/>
      <c r="I715" s="150"/>
    </row>
    <row r="716" spans="1:9" ht="28.5" customHeight="1" x14ac:dyDescent="0.2">
      <c r="A716" s="16" t="s">
        <v>414</v>
      </c>
      <c r="B716" s="16" t="s">
        <v>414</v>
      </c>
      <c r="C716" s="16"/>
      <c r="D716" s="49">
        <f t="shared" si="246"/>
        <v>1311</v>
      </c>
      <c r="E716" s="12">
        <f t="shared" si="244"/>
        <v>1311</v>
      </c>
      <c r="F716" s="49">
        <v>1</v>
      </c>
      <c r="G716" s="61" t="s">
        <v>281</v>
      </c>
      <c r="H716" s="150"/>
      <c r="I716" s="150"/>
    </row>
    <row r="717" spans="1:9" x14ac:dyDescent="0.2">
      <c r="A717" s="16"/>
      <c r="B717" s="16"/>
      <c r="C717" s="16"/>
      <c r="D717" s="49"/>
      <c r="E717" s="49"/>
      <c r="F717" s="49"/>
      <c r="G717" s="63" t="s">
        <v>172</v>
      </c>
      <c r="H717" s="5"/>
      <c r="I717" s="6"/>
    </row>
    <row r="718" spans="1:9" ht="191.25" x14ac:dyDescent="0.2">
      <c r="A718" s="16" t="s">
        <v>413</v>
      </c>
      <c r="B718" s="16" t="s">
        <v>413</v>
      </c>
      <c r="C718" s="16"/>
      <c r="D718" s="49">
        <f>D716+F716</f>
        <v>1312</v>
      </c>
      <c r="E718" s="12">
        <f t="shared" ref="E718:E721" si="247">D718+F718-1</f>
        <v>1313</v>
      </c>
      <c r="F718" s="49">
        <v>2</v>
      </c>
      <c r="G718" s="9" t="s">
        <v>173</v>
      </c>
      <c r="H718" s="73" t="s">
        <v>355</v>
      </c>
      <c r="I718" s="73" t="s">
        <v>356</v>
      </c>
    </row>
    <row r="719" spans="1:9" ht="38.25" x14ac:dyDescent="0.2">
      <c r="A719" s="16" t="s">
        <v>413</v>
      </c>
      <c r="B719" s="16" t="s">
        <v>413</v>
      </c>
      <c r="C719" s="16"/>
      <c r="D719" s="49">
        <f t="shared" ref="D719" si="248">D718+F718</f>
        <v>1314</v>
      </c>
      <c r="E719" s="12">
        <f t="shared" si="247"/>
        <v>1314</v>
      </c>
      <c r="F719" s="49">
        <v>1</v>
      </c>
      <c r="G719" s="64" t="s">
        <v>174</v>
      </c>
      <c r="H719" s="73" t="s">
        <v>357</v>
      </c>
      <c r="I719" s="73" t="s">
        <v>358</v>
      </c>
    </row>
    <row r="720" spans="1:9" ht="89.25" x14ac:dyDescent="0.2">
      <c r="A720" s="16" t="s">
        <v>413</v>
      </c>
      <c r="B720" s="16" t="s">
        <v>413</v>
      </c>
      <c r="C720" s="16"/>
      <c r="D720" s="49">
        <f t="shared" ref="D720:D721" si="249">D719+F719</f>
        <v>1315</v>
      </c>
      <c r="E720" s="12">
        <f t="shared" si="247"/>
        <v>1315</v>
      </c>
      <c r="F720" s="49">
        <v>1</v>
      </c>
      <c r="G720" s="64" t="s">
        <v>175</v>
      </c>
      <c r="H720" s="22" t="s">
        <v>359</v>
      </c>
      <c r="I720" s="73" t="s">
        <v>669</v>
      </c>
    </row>
    <row r="721" spans="1:9" x14ac:dyDescent="0.2">
      <c r="A721" s="16"/>
      <c r="B721" s="16"/>
      <c r="C721" s="16"/>
      <c r="D721" s="49">
        <f t="shared" si="249"/>
        <v>1316</v>
      </c>
      <c r="E721" s="12">
        <f t="shared" si="247"/>
        <v>1335</v>
      </c>
      <c r="F721" s="49">
        <v>20</v>
      </c>
      <c r="G721" s="64" t="s">
        <v>94</v>
      </c>
      <c r="H721" s="5"/>
      <c r="I721" s="6"/>
    </row>
    <row r="722" spans="1:9" x14ac:dyDescent="0.2">
      <c r="A722" s="16"/>
      <c r="B722" s="16"/>
      <c r="C722" s="16"/>
      <c r="D722" s="49"/>
      <c r="E722" s="49"/>
      <c r="F722" s="49"/>
      <c r="G722" s="63" t="s">
        <v>176</v>
      </c>
      <c r="H722" s="5"/>
      <c r="I722" s="6"/>
    </row>
    <row r="723" spans="1:9" x14ac:dyDescent="0.2">
      <c r="A723" s="16"/>
      <c r="B723" s="16"/>
      <c r="C723" s="16"/>
      <c r="D723" s="49"/>
      <c r="E723" s="49"/>
      <c r="F723" s="49"/>
      <c r="G723" s="10" t="s">
        <v>177</v>
      </c>
      <c r="H723" s="5"/>
      <c r="I723" s="6"/>
    </row>
    <row r="724" spans="1:9" ht="25.5" x14ac:dyDescent="0.2">
      <c r="A724" s="16" t="s">
        <v>414</v>
      </c>
      <c r="B724" s="16" t="s">
        <v>414</v>
      </c>
      <c r="C724" s="16"/>
      <c r="D724" s="49">
        <f>D721+F721</f>
        <v>1336</v>
      </c>
      <c r="E724" s="12">
        <f t="shared" ref="E724:E730" si="250">D724+F724-1</f>
        <v>1343</v>
      </c>
      <c r="F724" s="49">
        <v>8</v>
      </c>
      <c r="G724" s="61" t="s">
        <v>178</v>
      </c>
      <c r="H724" s="73" t="s">
        <v>367</v>
      </c>
      <c r="I724" s="6" t="s">
        <v>366</v>
      </c>
    </row>
    <row r="725" spans="1:9" ht="25.5" x14ac:dyDescent="0.2">
      <c r="A725" s="16" t="s">
        <v>414</v>
      </c>
      <c r="B725" s="16" t="s">
        <v>414</v>
      </c>
      <c r="C725" s="16"/>
      <c r="D725" s="49">
        <f>D724+F724</f>
        <v>1344</v>
      </c>
      <c r="E725" s="12">
        <f t="shared" si="250"/>
        <v>1349</v>
      </c>
      <c r="F725" s="49">
        <v>6</v>
      </c>
      <c r="G725" s="61" t="s">
        <v>179</v>
      </c>
      <c r="H725" s="73" t="s">
        <v>368</v>
      </c>
      <c r="I725" s="6" t="s">
        <v>366</v>
      </c>
    </row>
    <row r="726" spans="1:9" ht="63.75" x14ac:dyDescent="0.2">
      <c r="A726" s="16" t="s">
        <v>414</v>
      </c>
      <c r="B726" s="16" t="s">
        <v>414</v>
      </c>
      <c r="C726" s="16"/>
      <c r="D726" s="49">
        <f t="shared" ref="D726:D727" si="251">D725+F725</f>
        <v>1350</v>
      </c>
      <c r="E726" s="12">
        <f t="shared" si="250"/>
        <v>1361</v>
      </c>
      <c r="F726" s="49">
        <v>12</v>
      </c>
      <c r="G726" s="61" t="s">
        <v>180</v>
      </c>
      <c r="H726" s="47" t="s">
        <v>588</v>
      </c>
      <c r="I726" s="47" t="s">
        <v>670</v>
      </c>
    </row>
    <row r="727" spans="1:9" ht="38.25" x14ac:dyDescent="0.2">
      <c r="A727" s="16" t="s">
        <v>414</v>
      </c>
      <c r="B727" s="16" t="s">
        <v>414</v>
      </c>
      <c r="C727" s="16"/>
      <c r="D727" s="49">
        <f t="shared" si="251"/>
        <v>1362</v>
      </c>
      <c r="E727" s="12">
        <f t="shared" si="250"/>
        <v>1369</v>
      </c>
      <c r="F727" s="49">
        <v>8</v>
      </c>
      <c r="G727" s="61" t="s">
        <v>283</v>
      </c>
      <c r="H727" s="73" t="s">
        <v>364</v>
      </c>
      <c r="I727" s="73" t="s">
        <v>365</v>
      </c>
    </row>
    <row r="728" spans="1:9" ht="38.25" x14ac:dyDescent="0.2">
      <c r="A728" s="16" t="s">
        <v>414</v>
      </c>
      <c r="B728" s="16" t="s">
        <v>414</v>
      </c>
      <c r="C728" s="16"/>
      <c r="D728" s="49">
        <f>D727+F727</f>
        <v>1370</v>
      </c>
      <c r="E728" s="12">
        <f t="shared" ref="E728:E729" si="252">D728+F728-1</f>
        <v>1370</v>
      </c>
      <c r="F728" s="49">
        <v>1</v>
      </c>
      <c r="G728" s="61" t="s">
        <v>626</v>
      </c>
      <c r="H728" s="73" t="s">
        <v>627</v>
      </c>
      <c r="I728" s="73" t="s">
        <v>628</v>
      </c>
    </row>
    <row r="729" spans="1:9" ht="76.5" x14ac:dyDescent="0.2">
      <c r="A729" s="16" t="s">
        <v>414</v>
      </c>
      <c r="B729" s="16" t="s">
        <v>414</v>
      </c>
      <c r="C729" s="16"/>
      <c r="D729" s="49">
        <f>D728+F728</f>
        <v>1371</v>
      </c>
      <c r="E729" s="12">
        <f t="shared" si="252"/>
        <v>1376</v>
      </c>
      <c r="F729" s="49">
        <v>6</v>
      </c>
      <c r="G729" s="61" t="s">
        <v>631</v>
      </c>
      <c r="H729" s="138" t="s">
        <v>705</v>
      </c>
      <c r="I729" s="139" t="s">
        <v>706</v>
      </c>
    </row>
    <row r="730" spans="1:9" x14ac:dyDescent="0.2">
      <c r="A730" s="16"/>
      <c r="B730" s="16"/>
      <c r="C730" s="16"/>
      <c r="D730" s="49">
        <f>D729+F729</f>
        <v>1377</v>
      </c>
      <c r="E730" s="12">
        <f t="shared" si="250"/>
        <v>1379</v>
      </c>
      <c r="F730" s="49">
        <v>3</v>
      </c>
      <c r="G730" s="61" t="s">
        <v>94</v>
      </c>
      <c r="H730" s="5"/>
      <c r="I730" s="6"/>
    </row>
    <row r="731" spans="1:9" x14ac:dyDescent="0.2">
      <c r="A731" s="16"/>
      <c r="B731" s="16"/>
      <c r="C731" s="16"/>
      <c r="D731" s="49"/>
      <c r="E731" s="49"/>
      <c r="F731" s="49"/>
      <c r="G731" s="10" t="s">
        <v>181</v>
      </c>
      <c r="H731" s="5"/>
      <c r="I731" s="6"/>
    </row>
    <row r="732" spans="1:9" ht="25.5" x14ac:dyDescent="0.2">
      <c r="A732" s="16" t="s">
        <v>414</v>
      </c>
      <c r="B732" s="16" t="s">
        <v>414</v>
      </c>
      <c r="C732" s="16"/>
      <c r="D732" s="49">
        <f>D730+F730</f>
        <v>1380</v>
      </c>
      <c r="E732" s="12">
        <f t="shared" ref="E732:E738" si="253">D732+F732-1</f>
        <v>1387</v>
      </c>
      <c r="F732" s="49">
        <v>8</v>
      </c>
      <c r="G732" s="61" t="s">
        <v>184</v>
      </c>
      <c r="H732" s="73" t="s">
        <v>367</v>
      </c>
      <c r="I732" s="6" t="s">
        <v>366</v>
      </c>
    </row>
    <row r="733" spans="1:9" ht="25.5" x14ac:dyDescent="0.2">
      <c r="A733" s="16" t="s">
        <v>414</v>
      </c>
      <c r="B733" s="16" t="s">
        <v>414</v>
      </c>
      <c r="C733" s="16"/>
      <c r="D733" s="49">
        <f t="shared" ref="D733" si="254">D732+F732</f>
        <v>1388</v>
      </c>
      <c r="E733" s="12">
        <f t="shared" si="253"/>
        <v>1393</v>
      </c>
      <c r="F733" s="49">
        <v>6</v>
      </c>
      <c r="G733" s="61" t="s">
        <v>185</v>
      </c>
      <c r="H733" s="73" t="s">
        <v>368</v>
      </c>
      <c r="I733" s="6" t="s">
        <v>366</v>
      </c>
    </row>
    <row r="734" spans="1:9" ht="63.75" x14ac:dyDescent="0.2">
      <c r="A734" s="16" t="s">
        <v>414</v>
      </c>
      <c r="B734" s="16" t="s">
        <v>414</v>
      </c>
      <c r="C734" s="16"/>
      <c r="D734" s="49">
        <f t="shared" ref="D734:D735" si="255">D733+F733</f>
        <v>1394</v>
      </c>
      <c r="E734" s="12">
        <f t="shared" si="253"/>
        <v>1405</v>
      </c>
      <c r="F734" s="49">
        <v>12</v>
      </c>
      <c r="G734" s="61" t="s">
        <v>186</v>
      </c>
      <c r="H734" s="47" t="s">
        <v>588</v>
      </c>
      <c r="I734" s="47" t="s">
        <v>670</v>
      </c>
    </row>
    <row r="735" spans="1:9" ht="38.25" x14ac:dyDescent="0.2">
      <c r="A735" s="16" t="s">
        <v>414</v>
      </c>
      <c r="B735" s="16" t="s">
        <v>414</v>
      </c>
      <c r="C735" s="16"/>
      <c r="D735" s="49">
        <f t="shared" si="255"/>
        <v>1406</v>
      </c>
      <c r="E735" s="12">
        <f t="shared" si="253"/>
        <v>1413</v>
      </c>
      <c r="F735" s="49">
        <v>8</v>
      </c>
      <c r="G735" s="61" t="s">
        <v>284</v>
      </c>
      <c r="H735" s="73" t="s">
        <v>364</v>
      </c>
      <c r="I735" s="73" t="s">
        <v>365</v>
      </c>
    </row>
    <row r="736" spans="1:9" ht="38.25" x14ac:dyDescent="0.2">
      <c r="A736" s="16" t="s">
        <v>414</v>
      </c>
      <c r="B736" s="16" t="s">
        <v>414</v>
      </c>
      <c r="C736" s="16"/>
      <c r="D736" s="49">
        <f>D735+F735</f>
        <v>1414</v>
      </c>
      <c r="E736" s="12">
        <f t="shared" si="253"/>
        <v>1414</v>
      </c>
      <c r="F736" s="49">
        <v>1</v>
      </c>
      <c r="G736" s="61" t="s">
        <v>629</v>
      </c>
      <c r="H736" s="73" t="s">
        <v>627</v>
      </c>
      <c r="I736" s="73" t="s">
        <v>628</v>
      </c>
    </row>
    <row r="737" spans="1:9" ht="102" x14ac:dyDescent="0.2">
      <c r="A737" s="16" t="s">
        <v>414</v>
      </c>
      <c r="B737" s="16" t="s">
        <v>414</v>
      </c>
      <c r="C737" s="16"/>
      <c r="D737" s="49">
        <f>D736+F736</f>
        <v>1415</v>
      </c>
      <c r="E737" s="12">
        <f t="shared" si="253"/>
        <v>1420</v>
      </c>
      <c r="F737" s="49">
        <v>6</v>
      </c>
      <c r="G737" s="61" t="s">
        <v>631</v>
      </c>
      <c r="H737" s="138" t="s">
        <v>707</v>
      </c>
      <c r="I737" s="139" t="s">
        <v>708</v>
      </c>
    </row>
    <row r="738" spans="1:9" x14ac:dyDescent="0.2">
      <c r="A738" s="16"/>
      <c r="B738" s="16"/>
      <c r="C738" s="16"/>
      <c r="D738" s="49">
        <f>D737+F737</f>
        <v>1421</v>
      </c>
      <c r="E738" s="12">
        <f t="shared" si="253"/>
        <v>1423</v>
      </c>
      <c r="F738" s="49">
        <v>3</v>
      </c>
      <c r="G738" s="61" t="s">
        <v>94</v>
      </c>
      <c r="H738" s="5"/>
      <c r="I738" s="6"/>
    </row>
    <row r="739" spans="1:9" x14ac:dyDescent="0.2">
      <c r="A739" s="16"/>
      <c r="B739" s="16"/>
      <c r="C739" s="16"/>
      <c r="D739" s="49"/>
      <c r="E739" s="49"/>
      <c r="F739" s="49"/>
      <c r="G739" s="10" t="s">
        <v>182</v>
      </c>
      <c r="H739" s="5"/>
      <c r="I739" s="6"/>
    </row>
    <row r="740" spans="1:9" ht="25.5" x14ac:dyDescent="0.2">
      <c r="A740" s="16" t="s">
        <v>414</v>
      </c>
      <c r="B740" s="16" t="s">
        <v>414</v>
      </c>
      <c r="C740" s="16"/>
      <c r="D740" s="49">
        <f>D738+F738</f>
        <v>1424</v>
      </c>
      <c r="E740" s="12">
        <f t="shared" ref="E740:E746" si="256">D740+F740-1</f>
        <v>1431</v>
      </c>
      <c r="F740" s="49">
        <v>8</v>
      </c>
      <c r="G740" s="61" t="s">
        <v>187</v>
      </c>
      <c r="H740" s="73" t="s">
        <v>360</v>
      </c>
      <c r="I740" s="6"/>
    </row>
    <row r="741" spans="1:9" ht="25.5" x14ac:dyDescent="0.2">
      <c r="A741" s="16" t="s">
        <v>414</v>
      </c>
      <c r="B741" s="16" t="s">
        <v>414</v>
      </c>
      <c r="C741" s="16"/>
      <c r="D741" s="49">
        <f t="shared" ref="D741" si="257">D740+F740</f>
        <v>1432</v>
      </c>
      <c r="E741" s="12">
        <f t="shared" si="256"/>
        <v>1437</v>
      </c>
      <c r="F741" s="49">
        <v>6</v>
      </c>
      <c r="G741" s="61" t="s">
        <v>188</v>
      </c>
      <c r="H741" s="73" t="s">
        <v>361</v>
      </c>
      <c r="I741" s="6"/>
    </row>
    <row r="742" spans="1:9" ht="63.75" x14ac:dyDescent="0.2">
      <c r="A742" s="16" t="s">
        <v>414</v>
      </c>
      <c r="B742" s="16" t="s">
        <v>414</v>
      </c>
      <c r="C742" s="16"/>
      <c r="D742" s="49">
        <f t="shared" ref="D742:D743" si="258">D741+F741</f>
        <v>1438</v>
      </c>
      <c r="E742" s="12">
        <f t="shared" si="256"/>
        <v>1449</v>
      </c>
      <c r="F742" s="49">
        <v>12</v>
      </c>
      <c r="G742" s="61" t="s">
        <v>189</v>
      </c>
      <c r="H742" s="95" t="s">
        <v>692</v>
      </c>
      <c r="I742" s="95" t="s">
        <v>693</v>
      </c>
    </row>
    <row r="743" spans="1:9" ht="25.5" x14ac:dyDescent="0.2">
      <c r="A743" s="16" t="s">
        <v>414</v>
      </c>
      <c r="B743" s="16" t="s">
        <v>414</v>
      </c>
      <c r="C743" s="16"/>
      <c r="D743" s="49">
        <f t="shared" si="258"/>
        <v>1450</v>
      </c>
      <c r="E743" s="12">
        <f t="shared" si="256"/>
        <v>1457</v>
      </c>
      <c r="F743" s="49">
        <v>8</v>
      </c>
      <c r="G743" s="61" t="s">
        <v>285</v>
      </c>
      <c r="H743" s="73" t="s">
        <v>362</v>
      </c>
      <c r="I743" s="73" t="s">
        <v>363</v>
      </c>
    </row>
    <row r="744" spans="1:9" ht="38.25" x14ac:dyDescent="0.2">
      <c r="A744" s="104" t="s">
        <v>414</v>
      </c>
      <c r="B744" s="104" t="s">
        <v>414</v>
      </c>
      <c r="C744" s="104"/>
      <c r="D744" s="103">
        <f t="shared" ref="D744" si="259">D743+F743</f>
        <v>1458</v>
      </c>
      <c r="E744" s="98">
        <f t="shared" ref="E744" si="260">D744+F744-1</f>
        <v>1458</v>
      </c>
      <c r="F744" s="103">
        <v>1</v>
      </c>
      <c r="G744" s="116" t="s">
        <v>694</v>
      </c>
      <c r="H744" s="139" t="s">
        <v>627</v>
      </c>
      <c r="I744" s="139" t="s">
        <v>628</v>
      </c>
    </row>
    <row r="745" spans="1:9" ht="51" x14ac:dyDescent="0.2">
      <c r="A745" s="16" t="s">
        <v>414</v>
      </c>
      <c r="B745" s="16" t="s">
        <v>414</v>
      </c>
      <c r="C745" s="16"/>
      <c r="D745" s="103">
        <f>D744+F744</f>
        <v>1459</v>
      </c>
      <c r="E745" s="98">
        <f t="shared" si="256"/>
        <v>1464</v>
      </c>
      <c r="F745" s="49">
        <v>6</v>
      </c>
      <c r="G745" s="61" t="s">
        <v>631</v>
      </c>
      <c r="H745" s="138" t="s">
        <v>709</v>
      </c>
      <c r="I745" s="139" t="s">
        <v>632</v>
      </c>
    </row>
    <row r="746" spans="1:9" x14ac:dyDescent="0.2">
      <c r="A746" s="16"/>
      <c r="B746" s="16"/>
      <c r="C746" s="16"/>
      <c r="D746" s="103">
        <f>D745+F745</f>
        <v>1465</v>
      </c>
      <c r="E746" s="12">
        <f t="shared" si="256"/>
        <v>1467</v>
      </c>
      <c r="F746" s="103">
        <v>3</v>
      </c>
      <c r="G746" s="61" t="s">
        <v>94</v>
      </c>
      <c r="H746" s="5"/>
      <c r="I746" s="6"/>
    </row>
    <row r="747" spans="1:9" x14ac:dyDescent="0.2">
      <c r="A747" s="16"/>
      <c r="B747" s="16"/>
      <c r="C747" s="16"/>
      <c r="D747" s="49"/>
      <c r="E747" s="49"/>
      <c r="F747" s="49"/>
      <c r="G747" s="10" t="s">
        <v>183</v>
      </c>
      <c r="H747" s="5"/>
      <c r="I747" s="77"/>
    </row>
    <row r="748" spans="1:9" ht="25.5" x14ac:dyDescent="0.2">
      <c r="A748" s="16" t="s">
        <v>414</v>
      </c>
      <c r="B748" s="16" t="s">
        <v>414</v>
      </c>
      <c r="C748" s="16"/>
      <c r="D748" s="49">
        <f>D746+F746</f>
        <v>1468</v>
      </c>
      <c r="E748" s="12">
        <f t="shared" ref="E748:E754" si="261">D748+F748-1</f>
        <v>1475</v>
      </c>
      <c r="F748" s="49">
        <v>8</v>
      </c>
      <c r="G748" s="61" t="s">
        <v>190</v>
      </c>
      <c r="H748" s="73" t="s">
        <v>367</v>
      </c>
      <c r="I748" s="6" t="s">
        <v>366</v>
      </c>
    </row>
    <row r="749" spans="1:9" ht="25.5" x14ac:dyDescent="0.2">
      <c r="A749" s="16" t="s">
        <v>414</v>
      </c>
      <c r="B749" s="16" t="s">
        <v>414</v>
      </c>
      <c r="C749" s="16"/>
      <c r="D749" s="49">
        <f t="shared" ref="D749" si="262">D748+F748</f>
        <v>1476</v>
      </c>
      <c r="E749" s="12">
        <f t="shared" si="261"/>
        <v>1481</v>
      </c>
      <c r="F749" s="49">
        <v>6</v>
      </c>
      <c r="G749" s="61" t="s">
        <v>191</v>
      </c>
      <c r="H749" s="73" t="s">
        <v>368</v>
      </c>
      <c r="I749" s="6" t="s">
        <v>366</v>
      </c>
    </row>
    <row r="750" spans="1:9" ht="63.75" x14ac:dyDescent="0.2">
      <c r="A750" s="16" t="s">
        <v>414</v>
      </c>
      <c r="B750" s="16" t="s">
        <v>414</v>
      </c>
      <c r="C750" s="16"/>
      <c r="D750" s="49">
        <f t="shared" ref="D750:D751" si="263">D749+F749</f>
        <v>1482</v>
      </c>
      <c r="E750" s="12">
        <f t="shared" si="261"/>
        <v>1493</v>
      </c>
      <c r="F750" s="49">
        <v>12</v>
      </c>
      <c r="G750" s="61" t="s">
        <v>192</v>
      </c>
      <c r="H750" s="47" t="s">
        <v>588</v>
      </c>
      <c r="I750" s="47" t="s">
        <v>670</v>
      </c>
    </row>
    <row r="751" spans="1:9" ht="38.25" x14ac:dyDescent="0.2">
      <c r="A751" s="16" t="s">
        <v>414</v>
      </c>
      <c r="B751" s="16" t="s">
        <v>414</v>
      </c>
      <c r="C751" s="16"/>
      <c r="D751" s="49">
        <f t="shared" si="263"/>
        <v>1494</v>
      </c>
      <c r="E751" s="12">
        <f t="shared" si="261"/>
        <v>1501</v>
      </c>
      <c r="F751" s="49">
        <v>8</v>
      </c>
      <c r="G751" s="61" t="s">
        <v>286</v>
      </c>
      <c r="H751" s="73" t="s">
        <v>364</v>
      </c>
      <c r="I751" s="73" t="s">
        <v>365</v>
      </c>
    </row>
    <row r="752" spans="1:9" ht="38.25" x14ac:dyDescent="0.2">
      <c r="A752" s="16" t="s">
        <v>414</v>
      </c>
      <c r="B752" s="16" t="s">
        <v>414</v>
      </c>
      <c r="C752" s="16"/>
      <c r="D752" s="49">
        <f>D751+F751</f>
        <v>1502</v>
      </c>
      <c r="E752" s="12">
        <f t="shared" si="261"/>
        <v>1502</v>
      </c>
      <c r="F752" s="49">
        <v>1</v>
      </c>
      <c r="G752" s="61" t="s">
        <v>630</v>
      </c>
      <c r="H752" s="73" t="s">
        <v>627</v>
      </c>
      <c r="I752" s="73" t="s">
        <v>628</v>
      </c>
    </row>
    <row r="753" spans="1:9" ht="76.5" x14ac:dyDescent="0.2">
      <c r="A753" s="16" t="s">
        <v>414</v>
      </c>
      <c r="B753" s="16" t="s">
        <v>414</v>
      </c>
      <c r="C753" s="16"/>
      <c r="D753" s="49">
        <f>D752+F752</f>
        <v>1503</v>
      </c>
      <c r="E753" s="12">
        <f t="shared" ref="E753" si="264">D753+F753-1</f>
        <v>1508</v>
      </c>
      <c r="F753" s="49">
        <v>6</v>
      </c>
      <c r="G753" s="61" t="s">
        <v>631</v>
      </c>
      <c r="H753" s="138" t="s">
        <v>710</v>
      </c>
      <c r="I753" s="139" t="s">
        <v>706</v>
      </c>
    </row>
    <row r="754" spans="1:9" x14ac:dyDescent="0.2">
      <c r="A754" s="16"/>
      <c r="B754" s="16"/>
      <c r="C754" s="16"/>
      <c r="D754" s="49">
        <f>D753+F753</f>
        <v>1509</v>
      </c>
      <c r="E754" s="12">
        <f t="shared" si="261"/>
        <v>1511</v>
      </c>
      <c r="F754" s="49">
        <v>3</v>
      </c>
      <c r="G754" s="61" t="s">
        <v>94</v>
      </c>
      <c r="H754" s="5"/>
      <c r="I754" s="6"/>
    </row>
    <row r="755" spans="1:9" x14ac:dyDescent="0.2">
      <c r="A755" s="16"/>
      <c r="B755" s="16"/>
      <c r="C755" s="16"/>
      <c r="D755" s="49"/>
      <c r="E755" s="49"/>
      <c r="F755" s="49"/>
      <c r="G755" s="63" t="s">
        <v>236</v>
      </c>
      <c r="H755" s="5"/>
      <c r="I755" s="6"/>
    </row>
    <row r="756" spans="1:9" ht="25.5" x14ac:dyDescent="0.2">
      <c r="A756" s="16" t="s">
        <v>413</v>
      </c>
      <c r="B756" s="16" t="s">
        <v>413</v>
      </c>
      <c r="C756" s="16" t="s">
        <v>421</v>
      </c>
      <c r="D756" s="49">
        <f>D754+F754</f>
        <v>1512</v>
      </c>
      <c r="E756" s="12">
        <f t="shared" ref="E756:E770" si="265">D756+F756-1</f>
        <v>1512</v>
      </c>
      <c r="F756" s="49">
        <v>1</v>
      </c>
      <c r="G756" s="9" t="s">
        <v>237</v>
      </c>
      <c r="H756" s="71" t="s">
        <v>310</v>
      </c>
      <c r="I756" s="71" t="s">
        <v>384</v>
      </c>
    </row>
    <row r="757" spans="1:9" ht="25.5" x14ac:dyDescent="0.2">
      <c r="A757" s="16" t="s">
        <v>413</v>
      </c>
      <c r="B757" s="16" t="s">
        <v>413</v>
      </c>
      <c r="C757" s="16"/>
      <c r="D757" s="49">
        <f t="shared" ref="D757" si="266">D756+F756</f>
        <v>1513</v>
      </c>
      <c r="E757" s="12">
        <f t="shared" si="265"/>
        <v>1513</v>
      </c>
      <c r="F757" s="49">
        <v>1</v>
      </c>
      <c r="G757" s="9" t="s">
        <v>238</v>
      </c>
      <c r="H757" s="71" t="s">
        <v>310</v>
      </c>
      <c r="I757" s="71" t="s">
        <v>385</v>
      </c>
    </row>
    <row r="758" spans="1:9" ht="25.5" x14ac:dyDescent="0.2">
      <c r="A758" s="16" t="s">
        <v>413</v>
      </c>
      <c r="B758" s="16" t="s">
        <v>413</v>
      </c>
      <c r="C758" s="16"/>
      <c r="D758" s="49">
        <f t="shared" ref="D758:D770" si="267">D757+F757</f>
        <v>1514</v>
      </c>
      <c r="E758" s="12">
        <f t="shared" si="265"/>
        <v>1514</v>
      </c>
      <c r="F758" s="49">
        <v>1</v>
      </c>
      <c r="G758" s="9" t="s">
        <v>239</v>
      </c>
      <c r="H758" s="71" t="s">
        <v>310</v>
      </c>
      <c r="I758" s="71" t="s">
        <v>386</v>
      </c>
    </row>
    <row r="759" spans="1:9" ht="25.5" x14ac:dyDescent="0.2">
      <c r="A759" s="16" t="s">
        <v>413</v>
      </c>
      <c r="B759" s="16" t="s">
        <v>413</v>
      </c>
      <c r="C759" s="16"/>
      <c r="D759" s="49">
        <f t="shared" si="267"/>
        <v>1515</v>
      </c>
      <c r="E759" s="12">
        <f t="shared" si="265"/>
        <v>1515</v>
      </c>
      <c r="F759" s="49">
        <v>1</v>
      </c>
      <c r="G759" s="9" t="s">
        <v>240</v>
      </c>
      <c r="H759" s="71" t="s">
        <v>310</v>
      </c>
      <c r="I759" s="71" t="s">
        <v>387</v>
      </c>
    </row>
    <row r="760" spans="1:9" ht="25.5" x14ac:dyDescent="0.2">
      <c r="A760" s="16" t="s">
        <v>414</v>
      </c>
      <c r="B760" s="16" t="s">
        <v>414</v>
      </c>
      <c r="C760" s="16"/>
      <c r="D760" s="49">
        <f t="shared" si="267"/>
        <v>1516</v>
      </c>
      <c r="E760" s="12">
        <f t="shared" si="265"/>
        <v>1516</v>
      </c>
      <c r="F760" s="49">
        <v>1</v>
      </c>
      <c r="G760" s="9" t="s">
        <v>241</v>
      </c>
      <c r="H760" s="71" t="s">
        <v>310</v>
      </c>
      <c r="I760" s="71" t="s">
        <v>388</v>
      </c>
    </row>
    <row r="761" spans="1:9" ht="25.5" x14ac:dyDescent="0.2">
      <c r="A761" s="16" t="s">
        <v>413</v>
      </c>
      <c r="B761" s="16" t="s">
        <v>413</v>
      </c>
      <c r="C761" s="16"/>
      <c r="D761" s="49">
        <f t="shared" si="267"/>
        <v>1517</v>
      </c>
      <c r="E761" s="12">
        <f t="shared" si="265"/>
        <v>1517</v>
      </c>
      <c r="F761" s="49">
        <v>1</v>
      </c>
      <c r="G761" s="9" t="s">
        <v>242</v>
      </c>
      <c r="H761" s="71" t="s">
        <v>310</v>
      </c>
      <c r="I761" s="71" t="s">
        <v>389</v>
      </c>
    </row>
    <row r="762" spans="1:9" ht="25.5" x14ac:dyDescent="0.2">
      <c r="A762" s="16" t="s">
        <v>414</v>
      </c>
      <c r="B762" s="16" t="s">
        <v>414</v>
      </c>
      <c r="C762" s="16"/>
      <c r="D762" s="49">
        <f t="shared" si="267"/>
        <v>1518</v>
      </c>
      <c r="E762" s="12">
        <f t="shared" si="265"/>
        <v>1518</v>
      </c>
      <c r="F762" s="49">
        <v>1</v>
      </c>
      <c r="G762" s="9" t="s">
        <v>243</v>
      </c>
      <c r="H762" s="71" t="s">
        <v>310</v>
      </c>
      <c r="I762" s="71" t="s">
        <v>390</v>
      </c>
    </row>
    <row r="763" spans="1:9" ht="38.25" x14ac:dyDescent="0.2">
      <c r="A763" s="16" t="s">
        <v>413</v>
      </c>
      <c r="B763" s="16" t="s">
        <v>413</v>
      </c>
      <c r="C763" s="16"/>
      <c r="D763" s="49">
        <f t="shared" si="267"/>
        <v>1519</v>
      </c>
      <c r="E763" s="12">
        <f t="shared" si="265"/>
        <v>1524</v>
      </c>
      <c r="F763" s="49">
        <v>6</v>
      </c>
      <c r="G763" s="9" t="s">
        <v>415</v>
      </c>
      <c r="H763" s="6" t="s">
        <v>407</v>
      </c>
      <c r="I763" s="6" t="s">
        <v>408</v>
      </c>
    </row>
    <row r="764" spans="1:9" ht="25.5" x14ac:dyDescent="0.2">
      <c r="A764" s="16" t="s">
        <v>414</v>
      </c>
      <c r="B764" s="16" t="s">
        <v>414</v>
      </c>
      <c r="C764" s="16"/>
      <c r="D764" s="49">
        <f t="shared" si="267"/>
        <v>1525</v>
      </c>
      <c r="E764" s="12">
        <f t="shared" si="265"/>
        <v>1525</v>
      </c>
      <c r="F764" s="49">
        <v>1</v>
      </c>
      <c r="G764" s="9" t="s">
        <v>244</v>
      </c>
      <c r="H764" s="71" t="s">
        <v>310</v>
      </c>
      <c r="I764" s="71" t="s">
        <v>391</v>
      </c>
    </row>
    <row r="765" spans="1:9" ht="25.5" x14ac:dyDescent="0.2">
      <c r="A765" s="16" t="s">
        <v>414</v>
      </c>
      <c r="B765" s="16" t="s">
        <v>414</v>
      </c>
      <c r="C765" s="16"/>
      <c r="D765" s="49">
        <f t="shared" si="267"/>
        <v>1526</v>
      </c>
      <c r="E765" s="12">
        <f t="shared" si="265"/>
        <v>1526</v>
      </c>
      <c r="F765" s="49">
        <v>1</v>
      </c>
      <c r="G765" s="9" t="s">
        <v>245</v>
      </c>
      <c r="H765" s="71" t="s">
        <v>310</v>
      </c>
      <c r="I765" s="71" t="s">
        <v>392</v>
      </c>
    </row>
    <row r="766" spans="1:9" ht="25.5" x14ac:dyDescent="0.2">
      <c r="A766" s="16" t="s">
        <v>413</v>
      </c>
      <c r="B766" s="16" t="s">
        <v>413</v>
      </c>
      <c r="C766" s="16"/>
      <c r="D766" s="49">
        <f t="shared" si="267"/>
        <v>1527</v>
      </c>
      <c r="E766" s="12">
        <f t="shared" si="265"/>
        <v>1527</v>
      </c>
      <c r="F766" s="49">
        <v>1</v>
      </c>
      <c r="G766" s="9" t="s">
        <v>246</v>
      </c>
      <c r="H766" s="71" t="s">
        <v>310</v>
      </c>
      <c r="I766" s="71" t="s">
        <v>393</v>
      </c>
    </row>
    <row r="767" spans="1:9" ht="25.5" x14ac:dyDescent="0.2">
      <c r="A767" s="16" t="s">
        <v>414</v>
      </c>
      <c r="B767" s="16" t="s">
        <v>414</v>
      </c>
      <c r="C767" s="16"/>
      <c r="D767" s="49">
        <f t="shared" si="267"/>
        <v>1528</v>
      </c>
      <c r="E767" s="12">
        <f t="shared" si="265"/>
        <v>1528</v>
      </c>
      <c r="F767" s="49">
        <v>1</v>
      </c>
      <c r="G767" s="9" t="s">
        <v>247</v>
      </c>
      <c r="H767" s="71" t="s">
        <v>310</v>
      </c>
      <c r="I767" s="71" t="s">
        <v>394</v>
      </c>
    </row>
    <row r="768" spans="1:9" ht="25.5" x14ac:dyDescent="0.2">
      <c r="A768" s="16" t="s">
        <v>414</v>
      </c>
      <c r="B768" s="16" t="s">
        <v>414</v>
      </c>
      <c r="C768" s="16"/>
      <c r="D768" s="49">
        <f t="shared" si="267"/>
        <v>1529</v>
      </c>
      <c r="E768" s="12">
        <f t="shared" si="265"/>
        <v>1529</v>
      </c>
      <c r="F768" s="49">
        <v>1</v>
      </c>
      <c r="G768" s="9" t="s">
        <v>248</v>
      </c>
      <c r="H768" s="71" t="s">
        <v>310</v>
      </c>
      <c r="I768" s="71" t="s">
        <v>395</v>
      </c>
    </row>
    <row r="769" spans="1:9" ht="25.5" x14ac:dyDescent="0.2">
      <c r="A769" s="16" t="s">
        <v>414</v>
      </c>
      <c r="B769" s="16" t="s">
        <v>414</v>
      </c>
      <c r="C769" s="16"/>
      <c r="D769" s="49">
        <f t="shared" si="267"/>
        <v>1530</v>
      </c>
      <c r="E769" s="12">
        <f t="shared" si="265"/>
        <v>1530</v>
      </c>
      <c r="F769" s="49">
        <v>1</v>
      </c>
      <c r="G769" s="9" t="s">
        <v>249</v>
      </c>
      <c r="H769" s="71" t="s">
        <v>310</v>
      </c>
      <c r="I769" s="71" t="s">
        <v>396</v>
      </c>
    </row>
    <row r="770" spans="1:9" x14ac:dyDescent="0.2">
      <c r="A770" s="16"/>
      <c r="B770" s="16"/>
      <c r="C770" s="16"/>
      <c r="D770" s="49">
        <f t="shared" si="267"/>
        <v>1531</v>
      </c>
      <c r="E770" s="98">
        <f t="shared" si="265"/>
        <v>1537</v>
      </c>
      <c r="F770" s="103">
        <v>7</v>
      </c>
      <c r="G770" s="9" t="s">
        <v>94</v>
      </c>
      <c r="H770" s="5"/>
      <c r="I770" s="6"/>
    </row>
    <row r="771" spans="1:9" x14ac:dyDescent="0.2">
      <c r="A771" s="16"/>
      <c r="B771" s="16"/>
      <c r="C771" s="16"/>
      <c r="D771" s="49"/>
      <c r="E771" s="49"/>
      <c r="F771" s="49"/>
      <c r="G771" s="10" t="s">
        <v>250</v>
      </c>
      <c r="H771" s="5"/>
      <c r="I771" s="6"/>
    </row>
    <row r="772" spans="1:9" ht="25.5" x14ac:dyDescent="0.2">
      <c r="A772" s="104" t="s">
        <v>414</v>
      </c>
      <c r="B772" s="104" t="s">
        <v>414</v>
      </c>
      <c r="C772" s="104" t="s">
        <v>428</v>
      </c>
      <c r="D772" s="103">
        <f>D770+F770</f>
        <v>1538</v>
      </c>
      <c r="E772" s="98">
        <f t="shared" ref="E772:E773" si="268">D772+F772-1</f>
        <v>1538</v>
      </c>
      <c r="F772" s="103">
        <v>1</v>
      </c>
      <c r="G772" s="105" t="s">
        <v>795</v>
      </c>
      <c r="H772" s="110" t="s">
        <v>559</v>
      </c>
      <c r="I772" s="110" t="s">
        <v>796</v>
      </c>
    </row>
    <row r="773" spans="1:9" ht="63.75" x14ac:dyDescent="0.2">
      <c r="A773" s="104" t="s">
        <v>414</v>
      </c>
      <c r="B773" s="104" t="s">
        <v>414</v>
      </c>
      <c r="C773" s="104" t="s">
        <v>428</v>
      </c>
      <c r="D773" s="103">
        <f>D772+F772</f>
        <v>1539</v>
      </c>
      <c r="E773" s="98">
        <f t="shared" si="268"/>
        <v>1539</v>
      </c>
      <c r="F773" s="103">
        <v>1</v>
      </c>
      <c r="G773" s="105" t="s">
        <v>791</v>
      </c>
      <c r="H773" s="115" t="s">
        <v>310</v>
      </c>
      <c r="I773" s="115" t="s">
        <v>792</v>
      </c>
    </row>
    <row r="774" spans="1:9" ht="80.25" customHeight="1" x14ac:dyDescent="0.2">
      <c r="A774" s="16" t="s">
        <v>414</v>
      </c>
      <c r="B774" s="16" t="s">
        <v>414</v>
      </c>
      <c r="C774" s="16" t="s">
        <v>428</v>
      </c>
      <c r="D774" s="49">
        <f>D773+F773</f>
        <v>1540</v>
      </c>
      <c r="E774" s="12">
        <f t="shared" ref="E774:E780" si="269">D774+F774-1</f>
        <v>1540</v>
      </c>
      <c r="F774" s="49">
        <v>1</v>
      </c>
      <c r="G774" s="105" t="s">
        <v>793</v>
      </c>
      <c r="H774" s="71" t="s">
        <v>310</v>
      </c>
      <c r="I774" s="115" t="s">
        <v>794</v>
      </c>
    </row>
    <row r="775" spans="1:9" ht="89.25" x14ac:dyDescent="0.2">
      <c r="A775" s="16" t="s">
        <v>414</v>
      </c>
      <c r="B775" s="16" t="s">
        <v>414</v>
      </c>
      <c r="C775" s="16" t="s">
        <v>428</v>
      </c>
      <c r="D775" s="49">
        <f t="shared" ref="D775" si="270">D774+F774</f>
        <v>1541</v>
      </c>
      <c r="E775" s="12">
        <f t="shared" si="269"/>
        <v>1541</v>
      </c>
      <c r="F775" s="49">
        <v>1</v>
      </c>
      <c r="G775" s="9" t="s">
        <v>251</v>
      </c>
      <c r="H775" s="71" t="s">
        <v>310</v>
      </c>
      <c r="I775" s="115" t="s">
        <v>695</v>
      </c>
    </row>
    <row r="776" spans="1:9" ht="63.75" x14ac:dyDescent="0.2">
      <c r="A776" s="16" t="s">
        <v>414</v>
      </c>
      <c r="B776" s="16" t="s">
        <v>414</v>
      </c>
      <c r="C776" s="16" t="s">
        <v>428</v>
      </c>
      <c r="D776" s="49">
        <f t="shared" ref="D776" si="271">D775+F775</f>
        <v>1542</v>
      </c>
      <c r="E776" s="12">
        <f t="shared" ref="E776" si="272">D776+F776-1</f>
        <v>1542</v>
      </c>
      <c r="F776" s="49">
        <v>1</v>
      </c>
      <c r="G776" s="9" t="s">
        <v>610</v>
      </c>
      <c r="H776" s="71" t="s">
        <v>310</v>
      </c>
      <c r="I776" s="71" t="s">
        <v>611</v>
      </c>
    </row>
    <row r="777" spans="1:9" ht="63.75" x14ac:dyDescent="0.2">
      <c r="A777" s="16" t="s">
        <v>414</v>
      </c>
      <c r="B777" s="16" t="s">
        <v>414</v>
      </c>
      <c r="C777" s="16" t="s">
        <v>427</v>
      </c>
      <c r="D777" s="49">
        <f>D776+F776</f>
        <v>1543</v>
      </c>
      <c r="E777" s="12">
        <f t="shared" si="269"/>
        <v>1543</v>
      </c>
      <c r="F777" s="49">
        <v>1</v>
      </c>
      <c r="G777" s="9" t="s">
        <v>252</v>
      </c>
      <c r="H777" s="71" t="s">
        <v>310</v>
      </c>
      <c r="I777" s="71" t="s">
        <v>397</v>
      </c>
    </row>
    <row r="778" spans="1:9" ht="63.75" x14ac:dyDescent="0.2">
      <c r="A778" s="16" t="s">
        <v>414</v>
      </c>
      <c r="B778" s="16" t="s">
        <v>414</v>
      </c>
      <c r="C778" s="16" t="s">
        <v>427</v>
      </c>
      <c r="D778" s="49">
        <f t="shared" ref="D778:D780" si="273">D777+F777</f>
        <v>1544</v>
      </c>
      <c r="E778" s="12">
        <f t="shared" si="269"/>
        <v>1544</v>
      </c>
      <c r="F778" s="49">
        <v>1</v>
      </c>
      <c r="G778" s="9" t="s">
        <v>253</v>
      </c>
      <c r="H778" s="71" t="s">
        <v>310</v>
      </c>
      <c r="I778" s="71" t="s">
        <v>398</v>
      </c>
    </row>
    <row r="779" spans="1:9" ht="89.25" customHeight="1" x14ac:dyDescent="0.2">
      <c r="A779" s="16" t="s">
        <v>414</v>
      </c>
      <c r="B779" s="16" t="s">
        <v>414</v>
      </c>
      <c r="C779" s="16" t="s">
        <v>427</v>
      </c>
      <c r="D779" s="49">
        <f t="shared" si="273"/>
        <v>1545</v>
      </c>
      <c r="E779" s="12">
        <f t="shared" si="269"/>
        <v>1545</v>
      </c>
      <c r="F779" s="49">
        <v>1</v>
      </c>
      <c r="G779" s="9" t="s">
        <v>254</v>
      </c>
      <c r="H779" s="71" t="s">
        <v>310</v>
      </c>
      <c r="I779" s="115" t="s">
        <v>696</v>
      </c>
    </row>
    <row r="780" spans="1:9" ht="76.5" x14ac:dyDescent="0.2">
      <c r="A780" s="16" t="s">
        <v>414</v>
      </c>
      <c r="B780" s="16" t="s">
        <v>414</v>
      </c>
      <c r="C780" s="16" t="s">
        <v>427</v>
      </c>
      <c r="D780" s="49">
        <f t="shared" si="273"/>
        <v>1546</v>
      </c>
      <c r="E780" s="12">
        <f t="shared" si="269"/>
        <v>1546</v>
      </c>
      <c r="F780" s="49">
        <v>1</v>
      </c>
      <c r="G780" s="9" t="s">
        <v>255</v>
      </c>
      <c r="H780" s="71" t="s">
        <v>310</v>
      </c>
      <c r="I780" s="47" t="s">
        <v>671</v>
      </c>
    </row>
    <row r="781" spans="1:9" x14ac:dyDescent="0.2">
      <c r="A781" s="16"/>
      <c r="B781" s="16"/>
      <c r="C781" s="16"/>
      <c r="D781" s="49"/>
      <c r="E781" s="49"/>
      <c r="F781" s="49"/>
      <c r="G781" s="63" t="s">
        <v>257</v>
      </c>
      <c r="H781" s="5"/>
      <c r="I781" s="47"/>
    </row>
    <row r="782" spans="1:9" ht="51" x14ac:dyDescent="0.2">
      <c r="A782" s="16" t="s">
        <v>414</v>
      </c>
      <c r="B782" s="16" t="s">
        <v>414</v>
      </c>
      <c r="C782" s="16"/>
      <c r="D782" s="49">
        <f>D780+F780</f>
        <v>1547</v>
      </c>
      <c r="E782" s="12">
        <f t="shared" ref="E782:E786" si="274">D782+F782-1</f>
        <v>1547</v>
      </c>
      <c r="F782" s="49">
        <v>1</v>
      </c>
      <c r="G782" s="64" t="s">
        <v>485</v>
      </c>
      <c r="H782" s="71" t="s">
        <v>310</v>
      </c>
      <c r="I782" s="71" t="s">
        <v>672</v>
      </c>
    </row>
    <row r="783" spans="1:9" ht="51" x14ac:dyDescent="0.2">
      <c r="A783" s="16" t="s">
        <v>414</v>
      </c>
      <c r="B783" s="16" t="s">
        <v>414</v>
      </c>
      <c r="C783" s="16"/>
      <c r="D783" s="49">
        <f t="shared" ref="D783" si="275">D782+F782</f>
        <v>1548</v>
      </c>
      <c r="E783" s="12">
        <f t="shared" si="274"/>
        <v>1548</v>
      </c>
      <c r="F783" s="49">
        <v>1</v>
      </c>
      <c r="G783" s="64" t="s">
        <v>486</v>
      </c>
      <c r="H783" s="71" t="s">
        <v>310</v>
      </c>
      <c r="I783" s="71" t="s">
        <v>672</v>
      </c>
    </row>
    <row r="784" spans="1:9" ht="51" x14ac:dyDescent="0.2">
      <c r="A784" s="16" t="s">
        <v>414</v>
      </c>
      <c r="B784" s="16" t="s">
        <v>414</v>
      </c>
      <c r="C784" s="16"/>
      <c r="D784" s="49">
        <f t="shared" ref="D784:D786" si="276">D783+F783</f>
        <v>1549</v>
      </c>
      <c r="E784" s="12">
        <f t="shared" si="274"/>
        <v>1549</v>
      </c>
      <c r="F784" s="49">
        <v>1</v>
      </c>
      <c r="G784" s="64" t="s">
        <v>487</v>
      </c>
      <c r="H784" s="71" t="s">
        <v>310</v>
      </c>
      <c r="I784" s="71" t="s">
        <v>672</v>
      </c>
    </row>
    <row r="785" spans="1:9" ht="51" x14ac:dyDescent="0.2">
      <c r="A785" s="16" t="s">
        <v>414</v>
      </c>
      <c r="B785" s="16" t="s">
        <v>414</v>
      </c>
      <c r="C785" s="16"/>
      <c r="D785" s="49">
        <f t="shared" si="276"/>
        <v>1550</v>
      </c>
      <c r="E785" s="12">
        <f t="shared" si="274"/>
        <v>1550</v>
      </c>
      <c r="F785" s="49">
        <v>1</v>
      </c>
      <c r="G785" s="64" t="s">
        <v>488</v>
      </c>
      <c r="H785" s="71" t="s">
        <v>310</v>
      </c>
      <c r="I785" s="71" t="s">
        <v>589</v>
      </c>
    </row>
    <row r="786" spans="1:9" x14ac:dyDescent="0.2">
      <c r="A786" s="16"/>
      <c r="B786" s="16"/>
      <c r="C786" s="16"/>
      <c r="D786" s="49">
        <f t="shared" si="276"/>
        <v>1551</v>
      </c>
      <c r="E786" s="12">
        <f t="shared" si="274"/>
        <v>1560</v>
      </c>
      <c r="F786" s="49">
        <v>10</v>
      </c>
      <c r="G786" s="64" t="s">
        <v>94</v>
      </c>
      <c r="H786" s="5"/>
      <c r="I786" s="6"/>
    </row>
    <row r="787" spans="1:9" x14ac:dyDescent="0.2">
      <c r="A787" s="16"/>
      <c r="B787" s="16"/>
      <c r="C787" s="16"/>
      <c r="D787" s="49"/>
      <c r="E787" s="49"/>
      <c r="F787" s="49"/>
      <c r="G787" s="63" t="s">
        <v>258</v>
      </c>
      <c r="H787" s="5"/>
      <c r="I787" s="6"/>
    </row>
    <row r="788" spans="1:9" x14ac:dyDescent="0.2">
      <c r="A788" s="16"/>
      <c r="B788" s="16"/>
      <c r="C788" s="16"/>
      <c r="D788" s="49"/>
      <c r="E788" s="49"/>
      <c r="F788" s="49"/>
      <c r="G788" s="63" t="s">
        <v>259</v>
      </c>
      <c r="H788" s="5"/>
      <c r="I788" s="6"/>
    </row>
    <row r="789" spans="1:9" ht="63.75" x14ac:dyDescent="0.2">
      <c r="A789" s="16" t="s">
        <v>413</v>
      </c>
      <c r="B789" s="16" t="s">
        <v>413</v>
      </c>
      <c r="C789" s="16"/>
      <c r="D789" s="49">
        <f>D786+F786</f>
        <v>1561</v>
      </c>
      <c r="E789" s="12">
        <f t="shared" ref="E789:E791" si="277">D789+F789-1</f>
        <v>1563</v>
      </c>
      <c r="F789" s="49">
        <v>3</v>
      </c>
      <c r="G789" s="64" t="s">
        <v>419</v>
      </c>
      <c r="H789" s="73" t="s">
        <v>399</v>
      </c>
      <c r="I789" s="73" t="s">
        <v>400</v>
      </c>
    </row>
    <row r="790" spans="1:9" x14ac:dyDescent="0.2">
      <c r="A790" s="16" t="s">
        <v>414</v>
      </c>
      <c r="B790" s="16" t="s">
        <v>414</v>
      </c>
      <c r="C790" s="16"/>
      <c r="D790" s="49">
        <f>D789+F789</f>
        <v>1564</v>
      </c>
      <c r="E790" s="12">
        <f t="shared" si="277"/>
        <v>1583</v>
      </c>
      <c r="F790" s="49">
        <v>20</v>
      </c>
      <c r="G790" s="64" t="s">
        <v>260</v>
      </c>
      <c r="H790" s="5"/>
      <c r="I790" s="6"/>
    </row>
    <row r="791" spans="1:9" x14ac:dyDescent="0.2">
      <c r="A791" s="16" t="s">
        <v>414</v>
      </c>
      <c r="B791" s="16" t="s">
        <v>414</v>
      </c>
      <c r="C791" s="16"/>
      <c r="D791" s="49">
        <f>D790+F790</f>
        <v>1584</v>
      </c>
      <c r="E791" s="12">
        <f t="shared" si="277"/>
        <v>1603</v>
      </c>
      <c r="F791" s="49">
        <v>20</v>
      </c>
      <c r="G791" s="64" t="s">
        <v>262</v>
      </c>
      <c r="H791" s="5"/>
      <c r="I791" s="6"/>
    </row>
    <row r="792" spans="1:9" x14ac:dyDescent="0.2">
      <c r="A792" s="16"/>
      <c r="B792" s="16"/>
      <c r="C792" s="16"/>
      <c r="D792" s="49"/>
      <c r="E792" s="49"/>
      <c r="F792" s="49"/>
      <c r="G792" s="63" t="s">
        <v>264</v>
      </c>
      <c r="H792" s="5"/>
      <c r="I792" s="6"/>
    </row>
    <row r="793" spans="1:9" ht="63.75" x14ac:dyDescent="0.2">
      <c r="A793" s="16" t="s">
        <v>413</v>
      </c>
      <c r="B793" s="16" t="s">
        <v>413</v>
      </c>
      <c r="C793" s="16"/>
      <c r="D793" s="49">
        <f>D791+F791</f>
        <v>1604</v>
      </c>
      <c r="E793" s="12">
        <f t="shared" ref="E793:E795" si="278">D793+F793-1</f>
        <v>1606</v>
      </c>
      <c r="F793" s="49">
        <v>3</v>
      </c>
      <c r="G793" s="64" t="s">
        <v>418</v>
      </c>
      <c r="H793" s="73" t="s">
        <v>399</v>
      </c>
      <c r="I793" s="73" t="s">
        <v>416</v>
      </c>
    </row>
    <row r="794" spans="1:9" x14ac:dyDescent="0.2">
      <c r="A794" s="16" t="s">
        <v>414</v>
      </c>
      <c r="B794" s="16" t="s">
        <v>414</v>
      </c>
      <c r="C794" s="16"/>
      <c r="D794" s="49">
        <f t="shared" ref="D794" si="279">D793+F793</f>
        <v>1607</v>
      </c>
      <c r="E794" s="12">
        <f t="shared" si="278"/>
        <v>1626</v>
      </c>
      <c r="F794" s="49">
        <v>20</v>
      </c>
      <c r="G794" s="64" t="s">
        <v>263</v>
      </c>
      <c r="H794" s="5"/>
      <c r="I794" s="6"/>
    </row>
    <row r="795" spans="1:9" x14ac:dyDescent="0.2">
      <c r="A795" s="16" t="s">
        <v>414</v>
      </c>
      <c r="B795" s="16" t="s">
        <v>414</v>
      </c>
      <c r="C795" s="16"/>
      <c r="D795" s="49">
        <f t="shared" ref="D795" si="280">D794+F794</f>
        <v>1627</v>
      </c>
      <c r="E795" s="12">
        <f t="shared" si="278"/>
        <v>1646</v>
      </c>
      <c r="F795" s="49">
        <v>20</v>
      </c>
      <c r="G795" s="64" t="s">
        <v>261</v>
      </c>
      <c r="H795" s="5"/>
      <c r="I795" s="6"/>
    </row>
    <row r="796" spans="1:9" x14ac:dyDescent="0.2">
      <c r="A796" s="16"/>
      <c r="B796" s="16"/>
      <c r="C796" s="16"/>
      <c r="D796" s="49"/>
      <c r="E796" s="49"/>
      <c r="F796" s="49"/>
      <c r="G796" s="63" t="s">
        <v>269</v>
      </c>
      <c r="H796" s="5"/>
      <c r="I796" s="6"/>
    </row>
    <row r="797" spans="1:9" ht="63.75" x14ac:dyDescent="0.2">
      <c r="A797" s="16" t="s">
        <v>413</v>
      </c>
      <c r="B797" s="16" t="s">
        <v>413</v>
      </c>
      <c r="C797" s="16"/>
      <c r="D797" s="49">
        <f>D795+F795</f>
        <v>1647</v>
      </c>
      <c r="E797" s="12">
        <f t="shared" ref="E797:E799" si="281">D797+F797-1</f>
        <v>1649</v>
      </c>
      <c r="F797" s="49">
        <v>3</v>
      </c>
      <c r="G797" s="64" t="s">
        <v>420</v>
      </c>
      <c r="H797" s="73" t="s">
        <v>399</v>
      </c>
      <c r="I797" s="139" t="s">
        <v>697</v>
      </c>
    </row>
    <row r="798" spans="1:9" x14ac:dyDescent="0.2">
      <c r="A798" s="16" t="s">
        <v>414</v>
      </c>
      <c r="B798" s="16" t="s">
        <v>414</v>
      </c>
      <c r="C798" s="16"/>
      <c r="D798" s="49">
        <f t="shared" ref="D798" si="282">D797+F797</f>
        <v>1650</v>
      </c>
      <c r="E798" s="12">
        <f t="shared" si="281"/>
        <v>1669</v>
      </c>
      <c r="F798" s="49">
        <v>20</v>
      </c>
      <c r="G798" s="64" t="s">
        <v>265</v>
      </c>
      <c r="H798" s="5"/>
      <c r="I798" s="6"/>
    </row>
    <row r="799" spans="1:9" x14ac:dyDescent="0.2">
      <c r="A799" s="16" t="s">
        <v>414</v>
      </c>
      <c r="B799" s="16" t="s">
        <v>414</v>
      </c>
      <c r="C799" s="16"/>
      <c r="D799" s="49">
        <f t="shared" ref="D799" si="283">D798+F798</f>
        <v>1670</v>
      </c>
      <c r="E799" s="12">
        <f t="shared" si="281"/>
        <v>1689</v>
      </c>
      <c r="F799" s="49">
        <v>20</v>
      </c>
      <c r="G799" s="64" t="s">
        <v>266</v>
      </c>
      <c r="H799" s="5"/>
      <c r="I799" s="6"/>
    </row>
    <row r="800" spans="1:9" x14ac:dyDescent="0.2">
      <c r="A800" s="16"/>
      <c r="B800" s="16"/>
      <c r="C800" s="16"/>
      <c r="D800" s="49"/>
      <c r="E800" s="49"/>
      <c r="F800" s="49"/>
      <c r="G800" s="63" t="s">
        <v>270</v>
      </c>
      <c r="H800" s="5"/>
      <c r="I800" s="77"/>
    </row>
    <row r="801" spans="1:9" ht="63.75" x14ac:dyDescent="0.2">
      <c r="A801" s="16" t="s">
        <v>413</v>
      </c>
      <c r="B801" s="16" t="s">
        <v>413</v>
      </c>
      <c r="C801" s="16"/>
      <c r="D801" s="49">
        <f>D799+F799</f>
        <v>1690</v>
      </c>
      <c r="E801" s="12">
        <f t="shared" ref="E801:E804" si="284">D801+F801-1</f>
        <v>1692</v>
      </c>
      <c r="F801" s="49">
        <v>3</v>
      </c>
      <c r="G801" s="64" t="s">
        <v>417</v>
      </c>
      <c r="H801" s="73" t="s">
        <v>399</v>
      </c>
      <c r="I801" s="73" t="s">
        <v>698</v>
      </c>
    </row>
    <row r="802" spans="1:9" x14ac:dyDescent="0.2">
      <c r="A802" s="16" t="s">
        <v>414</v>
      </c>
      <c r="B802" s="16" t="s">
        <v>414</v>
      </c>
      <c r="C802" s="16"/>
      <c r="D802" s="49">
        <f t="shared" ref="D802" si="285">D801+F801</f>
        <v>1693</v>
      </c>
      <c r="E802" s="12">
        <f t="shared" si="284"/>
        <v>1712</v>
      </c>
      <c r="F802" s="49">
        <v>20</v>
      </c>
      <c r="G802" s="64" t="s">
        <v>267</v>
      </c>
      <c r="H802" s="5"/>
      <c r="I802" s="6"/>
    </row>
    <row r="803" spans="1:9" x14ac:dyDescent="0.2">
      <c r="A803" s="16" t="s">
        <v>414</v>
      </c>
      <c r="B803" s="16" t="s">
        <v>414</v>
      </c>
      <c r="C803" s="16"/>
      <c r="D803" s="49">
        <f t="shared" ref="D803:D804" si="286">D802+F802</f>
        <v>1713</v>
      </c>
      <c r="E803" s="12">
        <f t="shared" si="284"/>
        <v>1732</v>
      </c>
      <c r="F803" s="49">
        <v>20</v>
      </c>
      <c r="G803" s="64" t="s">
        <v>268</v>
      </c>
      <c r="H803" s="5"/>
      <c r="I803" s="6"/>
    </row>
    <row r="804" spans="1:9" x14ac:dyDescent="0.2">
      <c r="A804" s="16" t="s">
        <v>414</v>
      </c>
      <c r="B804" s="16" t="s">
        <v>414</v>
      </c>
      <c r="C804" s="16"/>
      <c r="D804" s="49">
        <f t="shared" si="286"/>
        <v>1733</v>
      </c>
      <c r="E804" s="12">
        <f t="shared" si="284"/>
        <v>1782</v>
      </c>
      <c r="F804" s="49">
        <v>50</v>
      </c>
      <c r="G804" s="64" t="s">
        <v>94</v>
      </c>
      <c r="H804" s="5"/>
      <c r="I804" s="6"/>
    </row>
    <row r="805" spans="1:9" x14ac:dyDescent="0.2">
      <c r="A805" s="16"/>
      <c r="B805" s="16"/>
      <c r="C805" s="16"/>
      <c r="D805" s="49"/>
      <c r="E805" s="49"/>
      <c r="F805" s="49"/>
      <c r="G805" s="63" t="s">
        <v>272</v>
      </c>
      <c r="H805" s="5"/>
      <c r="I805" s="6"/>
    </row>
    <row r="806" spans="1:9" ht="51" x14ac:dyDescent="0.2">
      <c r="A806" s="16" t="s">
        <v>414</v>
      </c>
      <c r="B806" s="16" t="s">
        <v>414</v>
      </c>
      <c r="C806" s="16"/>
      <c r="D806" s="49">
        <f>D804+F804</f>
        <v>1783</v>
      </c>
      <c r="E806" s="12">
        <f t="shared" ref="E806:E807" si="287">D806+F806-1</f>
        <v>1784</v>
      </c>
      <c r="F806" s="49">
        <v>2</v>
      </c>
      <c r="G806" s="9" t="s">
        <v>273</v>
      </c>
      <c r="H806" s="70" t="s">
        <v>403</v>
      </c>
      <c r="I806" s="25" t="s">
        <v>299</v>
      </c>
    </row>
    <row r="807" spans="1:9" ht="51" x14ac:dyDescent="0.2">
      <c r="A807" s="16" t="s">
        <v>414</v>
      </c>
      <c r="B807" s="16" t="s">
        <v>414</v>
      </c>
      <c r="C807" s="16"/>
      <c r="D807" s="49">
        <f t="shared" ref="D807" si="288">D806+F806</f>
        <v>1785</v>
      </c>
      <c r="E807" s="12">
        <f t="shared" si="287"/>
        <v>1792</v>
      </c>
      <c r="F807" s="49">
        <v>8</v>
      </c>
      <c r="G807" s="9" t="s">
        <v>274</v>
      </c>
      <c r="H807" s="70" t="s">
        <v>404</v>
      </c>
      <c r="I807" s="25" t="s">
        <v>299</v>
      </c>
    </row>
    <row r="808" spans="1:9" x14ac:dyDescent="0.2">
      <c r="A808" s="16"/>
      <c r="B808" s="16"/>
      <c r="C808" s="16"/>
      <c r="D808" s="49"/>
      <c r="E808" s="49"/>
      <c r="F808" s="49"/>
      <c r="G808" s="10" t="s">
        <v>276</v>
      </c>
      <c r="H808" s="5"/>
      <c r="I808" s="6"/>
    </row>
    <row r="809" spans="1:9" ht="171" customHeight="1" x14ac:dyDescent="0.2">
      <c r="A809" s="16" t="s">
        <v>414</v>
      </c>
      <c r="B809" s="16" t="s">
        <v>414</v>
      </c>
      <c r="C809" s="16" t="s">
        <v>425</v>
      </c>
      <c r="D809" s="49">
        <f>D807+F807</f>
        <v>1793</v>
      </c>
      <c r="E809" s="12">
        <f t="shared" ref="E809:E812" si="289">D809+F809-1</f>
        <v>1992</v>
      </c>
      <c r="F809" s="49">
        <v>200</v>
      </c>
      <c r="G809" s="9" t="s">
        <v>673</v>
      </c>
      <c r="H809" s="168" t="s">
        <v>590</v>
      </c>
      <c r="I809" s="149" t="s">
        <v>746</v>
      </c>
    </row>
    <row r="810" spans="1:9" ht="169.5" customHeight="1" x14ac:dyDescent="0.2">
      <c r="A810" s="16" t="s">
        <v>414</v>
      </c>
      <c r="B810" s="16" t="s">
        <v>414</v>
      </c>
      <c r="C810" s="16" t="s">
        <v>427</v>
      </c>
      <c r="D810" s="49">
        <f t="shared" ref="D810:D818" si="290">D809+F809</f>
        <v>1993</v>
      </c>
      <c r="E810" s="12">
        <f t="shared" ref="E810:E811" si="291">D810+F810-1</f>
        <v>2092</v>
      </c>
      <c r="F810" s="49">
        <v>100</v>
      </c>
      <c r="G810" s="9" t="s">
        <v>644</v>
      </c>
      <c r="H810" s="168"/>
      <c r="I810" s="149"/>
    </row>
    <row r="811" spans="1:9" ht="174" customHeight="1" x14ac:dyDescent="0.2">
      <c r="A811" s="16" t="s">
        <v>414</v>
      </c>
      <c r="B811" s="16" t="s">
        <v>414</v>
      </c>
      <c r="C811" s="16" t="s">
        <v>425</v>
      </c>
      <c r="D811" s="49">
        <f t="shared" si="290"/>
        <v>2093</v>
      </c>
      <c r="E811" s="12">
        <f t="shared" si="291"/>
        <v>2292</v>
      </c>
      <c r="F811" s="49">
        <v>200</v>
      </c>
      <c r="G811" s="9" t="s">
        <v>674</v>
      </c>
      <c r="H811" s="168"/>
      <c r="I811" s="149"/>
    </row>
    <row r="812" spans="1:9" ht="174" customHeight="1" x14ac:dyDescent="0.2">
      <c r="A812" s="16" t="s">
        <v>414</v>
      </c>
      <c r="B812" s="16" t="s">
        <v>414</v>
      </c>
      <c r="C812" s="16" t="s">
        <v>427</v>
      </c>
      <c r="D812" s="49">
        <f t="shared" si="290"/>
        <v>2293</v>
      </c>
      <c r="E812" s="12">
        <f t="shared" si="289"/>
        <v>2392</v>
      </c>
      <c r="F812" s="49">
        <v>100</v>
      </c>
      <c r="G812" s="9" t="s">
        <v>645</v>
      </c>
      <c r="H812" s="168"/>
      <c r="I812" s="149"/>
    </row>
    <row r="813" spans="1:9" ht="222.75" customHeight="1" x14ac:dyDescent="0.2">
      <c r="A813" s="81" t="s">
        <v>414</v>
      </c>
      <c r="B813" s="81" t="s">
        <v>414</v>
      </c>
      <c r="C813" s="81" t="s">
        <v>425</v>
      </c>
      <c r="D813" s="82">
        <f t="shared" si="290"/>
        <v>2393</v>
      </c>
      <c r="E813" s="140">
        <f>D813+F813-1</f>
        <v>2442</v>
      </c>
      <c r="F813" s="141">
        <v>50</v>
      </c>
      <c r="G813" s="9" t="s">
        <v>675</v>
      </c>
      <c r="H813" s="150" t="s">
        <v>518</v>
      </c>
      <c r="I813" s="149"/>
    </row>
    <row r="814" spans="1:9" ht="231" customHeight="1" x14ac:dyDescent="0.2">
      <c r="A814" s="81" t="s">
        <v>414</v>
      </c>
      <c r="B814" s="81" t="s">
        <v>414</v>
      </c>
      <c r="C814" s="81" t="s">
        <v>427</v>
      </c>
      <c r="D814" s="140">
        <f t="shared" si="290"/>
        <v>2443</v>
      </c>
      <c r="E814" s="140">
        <f>D814+F814-1</f>
        <v>2692</v>
      </c>
      <c r="F814" s="141">
        <v>250</v>
      </c>
      <c r="G814" s="9" t="s">
        <v>646</v>
      </c>
      <c r="H814" s="150"/>
      <c r="I814" s="149"/>
    </row>
    <row r="815" spans="1:9" ht="409.6" customHeight="1" x14ac:dyDescent="0.2">
      <c r="A815" s="16" t="s">
        <v>414</v>
      </c>
      <c r="B815" s="16" t="s">
        <v>414</v>
      </c>
      <c r="C815" s="81" t="s">
        <v>425</v>
      </c>
      <c r="D815" s="140">
        <f t="shared" si="290"/>
        <v>2693</v>
      </c>
      <c r="E815" s="142">
        <f t="shared" ref="E815:E820" si="292">D815+F815-1</f>
        <v>2922</v>
      </c>
      <c r="F815" s="83">
        <v>230</v>
      </c>
      <c r="G815" s="9" t="s">
        <v>676</v>
      </c>
      <c r="H815" s="168" t="s">
        <v>591</v>
      </c>
      <c r="I815" s="149"/>
    </row>
    <row r="816" spans="1:9" ht="273.75" customHeight="1" x14ac:dyDescent="0.2">
      <c r="A816" s="16" t="s">
        <v>414</v>
      </c>
      <c r="B816" s="16" t="s">
        <v>414</v>
      </c>
      <c r="C816" s="81" t="s">
        <v>425</v>
      </c>
      <c r="D816" s="140">
        <f t="shared" si="290"/>
        <v>2923</v>
      </c>
      <c r="E816" s="142">
        <f t="shared" ref="E816" si="293">D816+F816-1</f>
        <v>2982</v>
      </c>
      <c r="F816" s="82">
        <v>60</v>
      </c>
      <c r="G816" s="9" t="s">
        <v>647</v>
      </c>
      <c r="H816" s="168"/>
      <c r="I816" s="149"/>
    </row>
    <row r="817" spans="1:9" ht="117" customHeight="1" x14ac:dyDescent="0.2">
      <c r="A817" s="84" t="s">
        <v>414</v>
      </c>
      <c r="B817" s="84" t="s">
        <v>414</v>
      </c>
      <c r="C817" s="85"/>
      <c r="D817" s="143">
        <f t="shared" si="290"/>
        <v>2983</v>
      </c>
      <c r="E817" s="143">
        <f t="shared" ref="E817:E819" si="294">D817+F817-1</f>
        <v>2997</v>
      </c>
      <c r="F817" s="86">
        <v>15</v>
      </c>
      <c r="G817" s="87" t="s">
        <v>593</v>
      </c>
      <c r="H817" s="88"/>
      <c r="I817" s="167" t="s">
        <v>594</v>
      </c>
    </row>
    <row r="818" spans="1:9" ht="111.75" customHeight="1" x14ac:dyDescent="0.2">
      <c r="A818" s="84" t="s">
        <v>414</v>
      </c>
      <c r="B818" s="84" t="s">
        <v>414</v>
      </c>
      <c r="C818" s="85"/>
      <c r="D818" s="144">
        <f t="shared" si="290"/>
        <v>2998</v>
      </c>
      <c r="E818" s="143">
        <f t="shared" si="294"/>
        <v>3017</v>
      </c>
      <c r="F818" s="86">
        <v>20</v>
      </c>
      <c r="G818" s="89" t="s">
        <v>595</v>
      </c>
      <c r="H818" s="90"/>
      <c r="I818" s="167"/>
    </row>
    <row r="819" spans="1:9" ht="98.25" customHeight="1" x14ac:dyDescent="0.2">
      <c r="A819" s="91" t="s">
        <v>414</v>
      </c>
      <c r="B819" s="84" t="s">
        <v>414</v>
      </c>
      <c r="C819" s="84"/>
      <c r="D819" s="144">
        <f t="shared" ref="D819" si="295">D818+F818</f>
        <v>3018</v>
      </c>
      <c r="E819" s="144">
        <f t="shared" si="294"/>
        <v>3027</v>
      </c>
      <c r="F819" s="84">
        <v>10</v>
      </c>
      <c r="G819" s="87" t="s">
        <v>596</v>
      </c>
      <c r="H819" s="146" t="s">
        <v>826</v>
      </c>
      <c r="I819" s="146" t="s">
        <v>827</v>
      </c>
    </row>
    <row r="820" spans="1:9" x14ac:dyDescent="0.2">
      <c r="A820" s="16" t="s">
        <v>413</v>
      </c>
      <c r="B820" s="16" t="s">
        <v>413</v>
      </c>
      <c r="C820" s="16"/>
      <c r="D820" s="97">
        <f>D819+F819</f>
        <v>3028</v>
      </c>
      <c r="E820" s="98">
        <f t="shared" si="292"/>
        <v>3046</v>
      </c>
      <c r="F820" s="49">
        <v>19</v>
      </c>
      <c r="G820" s="9" t="s">
        <v>275</v>
      </c>
      <c r="H820" s="70" t="s">
        <v>287</v>
      </c>
      <c r="I820" s="73" t="s">
        <v>288</v>
      </c>
    </row>
    <row r="821" spans="1:9" x14ac:dyDescent="0.2">
      <c r="A821" s="16"/>
      <c r="B821" s="16"/>
      <c r="C821" s="16"/>
      <c r="D821" s="49"/>
      <c r="E821" s="49"/>
      <c r="F821" s="49"/>
      <c r="G821" s="64"/>
      <c r="H821" s="5"/>
      <c r="I821" s="6"/>
    </row>
    <row r="822" spans="1:9" x14ac:dyDescent="0.2">
      <c r="A822" s="16"/>
      <c r="B822" s="16"/>
      <c r="C822" s="16"/>
      <c r="D822" s="49"/>
      <c r="E822" s="49"/>
      <c r="F822" s="49"/>
      <c r="G822" s="64"/>
      <c r="H822" s="5"/>
      <c r="I822" s="6"/>
    </row>
    <row r="823" spans="1:9" x14ac:dyDescent="0.2">
      <c r="A823" s="16"/>
      <c r="B823" s="16"/>
      <c r="C823" s="92" t="s">
        <v>479</v>
      </c>
      <c r="D823" s="49"/>
      <c r="E823" s="145">
        <f>E820</f>
        <v>3046</v>
      </c>
      <c r="F823" s="49"/>
      <c r="G823" s="64"/>
      <c r="H823" s="5"/>
      <c r="I823" s="6"/>
    </row>
    <row r="824" spans="1:9" x14ac:dyDescent="0.2">
      <c r="A824" s="16"/>
      <c r="B824" s="16"/>
      <c r="C824" s="16"/>
      <c r="D824" s="49"/>
      <c r="E824" s="49"/>
      <c r="F824" s="49"/>
      <c r="G824" s="64"/>
      <c r="H824" s="5"/>
      <c r="I824" s="6"/>
    </row>
  </sheetData>
  <mergeCells count="108">
    <mergeCell ref="I388:I392"/>
    <mergeCell ref="I394:I410"/>
    <mergeCell ref="I817:I818"/>
    <mergeCell ref="I809:I816"/>
    <mergeCell ref="H702:H705"/>
    <mergeCell ref="I702:I705"/>
    <mergeCell ref="H815:H816"/>
    <mergeCell ref="H713:H716"/>
    <mergeCell ref="I713:I716"/>
    <mergeCell ref="H708:H711"/>
    <mergeCell ref="I708:I711"/>
    <mergeCell ref="H809:H812"/>
    <mergeCell ref="H813:H814"/>
    <mergeCell ref="H394:H410"/>
    <mergeCell ref="H431:H443"/>
    <mergeCell ref="H458:H470"/>
    <mergeCell ref="H446:H454"/>
    <mergeCell ref="H692:H695"/>
    <mergeCell ref="I692:I695"/>
    <mergeCell ref="H679:H682"/>
    <mergeCell ref="I679:I682"/>
    <mergeCell ref="C1:G1"/>
    <mergeCell ref="H1:I1"/>
    <mergeCell ref="I7:I8"/>
    <mergeCell ref="I14:I16"/>
    <mergeCell ref="I20:I22"/>
    <mergeCell ref="H111:H116"/>
    <mergeCell ref="I111:I116"/>
    <mergeCell ref="H58:H62"/>
    <mergeCell ref="I58:I62"/>
    <mergeCell ref="H64:H80"/>
    <mergeCell ref="I64:I80"/>
    <mergeCell ref="H82:H96"/>
    <mergeCell ref="I82:I96"/>
    <mergeCell ref="H98:H107"/>
    <mergeCell ref="I98:I107"/>
    <mergeCell ref="I135:I145"/>
    <mergeCell ref="H348:H360"/>
    <mergeCell ref="H228:H239"/>
    <mergeCell ref="I228:I239"/>
    <mergeCell ref="H283:H299"/>
    <mergeCell ref="I283:I299"/>
    <mergeCell ref="H160:H164"/>
    <mergeCell ref="I160:I164"/>
    <mergeCell ref="H166:H182"/>
    <mergeCell ref="I166:I182"/>
    <mergeCell ref="I203:I213"/>
    <mergeCell ref="H135:H145"/>
    <mergeCell ref="I348:I360"/>
    <mergeCell ref="H277:H281"/>
    <mergeCell ref="I277:I281"/>
    <mergeCell ref="H320:H332"/>
    <mergeCell ref="I320:I332"/>
    <mergeCell ref="H184:H201"/>
    <mergeCell ref="I184:I201"/>
    <mergeCell ref="H301:H318"/>
    <mergeCell ref="I301:I318"/>
    <mergeCell ref="H203:H213"/>
    <mergeCell ref="H336:H344"/>
    <mergeCell ref="I336:I344"/>
    <mergeCell ref="H365:H374"/>
    <mergeCell ref="I365:I374"/>
    <mergeCell ref="H476:H486"/>
    <mergeCell ref="I476:I486"/>
    <mergeCell ref="H412:H429"/>
    <mergeCell ref="I412:I429"/>
    <mergeCell ref="I446:I454"/>
    <mergeCell ref="H536:H539"/>
    <mergeCell ref="I674:I677"/>
    <mergeCell ref="H664:H667"/>
    <mergeCell ref="I664:I667"/>
    <mergeCell ref="H669:H672"/>
    <mergeCell ref="I669:I672"/>
    <mergeCell ref="H388:H392"/>
    <mergeCell ref="H637:H638"/>
    <mergeCell ref="H571:H572"/>
    <mergeCell ref="I571:I572"/>
    <mergeCell ref="H608:H609"/>
    <mergeCell ref="I608:I609"/>
    <mergeCell ref="I536:I539"/>
    <mergeCell ref="H502:H505"/>
    <mergeCell ref="I502:I505"/>
    <mergeCell ref="I431:I443"/>
    <mergeCell ref="I458:I470"/>
    <mergeCell ref="H120:H129"/>
    <mergeCell ref="I120:I129"/>
    <mergeCell ref="H216:H224"/>
    <mergeCell ref="I216:I224"/>
    <mergeCell ref="H242:H245"/>
    <mergeCell ref="I242:I245"/>
    <mergeCell ref="H248:H262"/>
    <mergeCell ref="I248:I262"/>
    <mergeCell ref="H696:H699"/>
    <mergeCell ref="I696:I699"/>
    <mergeCell ref="H493:H496"/>
    <mergeCell ref="I493:I496"/>
    <mergeCell ref="H509:H512"/>
    <mergeCell ref="I509:I512"/>
    <mergeCell ref="I518:I521"/>
    <mergeCell ref="H518:H521"/>
    <mergeCell ref="H659:H660"/>
    <mergeCell ref="I659:I660"/>
    <mergeCell ref="H630:H632"/>
    <mergeCell ref="H686:H689"/>
    <mergeCell ref="I686:I689"/>
    <mergeCell ref="H674:H677"/>
    <mergeCell ref="I630:I632"/>
    <mergeCell ref="I637:I638"/>
  </mergeCells>
  <printOptions gridLines="1"/>
  <pageMargins left="0.7" right="0.7" top="0.49657738095238102" bottom="0.75" header="0.3" footer="0.3"/>
  <pageSetup scale="48" fitToHeight="0" orientation="landscape" r:id="rId1"/>
  <headerFooter>
    <oddHeader>&amp;RLayout provided by Data Recognition Corporation - Proprietary and Confidential</oddHeader>
    <oddFooter>&amp;LK = Key Verification     E = Equating      M = Merge      C = Corrections&amp;CPage &amp;P of &amp;N&amp;RLast Saved Date: 5/25/2018 2:33:52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76"/>
  <sheetViews>
    <sheetView topLeftCell="A64" zoomScaleNormal="100" workbookViewId="0">
      <selection activeCell="B80" sqref="B80"/>
    </sheetView>
  </sheetViews>
  <sheetFormatPr defaultRowHeight="15" x14ac:dyDescent="0.25"/>
  <cols>
    <col min="1" max="1" width="11.28515625" bestFit="1" customWidth="1"/>
    <col min="2" max="2" width="71.140625" style="41" customWidth="1"/>
    <col min="3" max="3" width="20.5703125" customWidth="1"/>
  </cols>
  <sheetData>
    <row r="1" spans="1:3" x14ac:dyDescent="0.25">
      <c r="A1" s="170" t="s">
        <v>429</v>
      </c>
      <c r="B1" s="170"/>
      <c r="C1" s="170"/>
    </row>
    <row r="2" spans="1:3" ht="25.5" x14ac:dyDescent="0.25">
      <c r="A2" s="28" t="s">
        <v>430</v>
      </c>
      <c r="B2" s="30" t="s">
        <v>431</v>
      </c>
      <c r="C2" s="29" t="s">
        <v>432</v>
      </c>
    </row>
    <row r="3" spans="1:3" ht="51.75" x14ac:dyDescent="0.25">
      <c r="A3" s="66">
        <v>42506</v>
      </c>
      <c r="B3" s="67" t="s">
        <v>508</v>
      </c>
      <c r="C3" s="68" t="s">
        <v>511</v>
      </c>
    </row>
    <row r="4" spans="1:3" ht="26.25" x14ac:dyDescent="0.25">
      <c r="A4" s="66">
        <v>42506</v>
      </c>
      <c r="B4" s="67" t="s">
        <v>509</v>
      </c>
      <c r="C4" s="68" t="s">
        <v>511</v>
      </c>
    </row>
    <row r="5" spans="1:3" ht="26.25" x14ac:dyDescent="0.25">
      <c r="A5" s="66">
        <v>42506</v>
      </c>
      <c r="B5" s="67" t="s">
        <v>510</v>
      </c>
      <c r="C5" s="68" t="s">
        <v>511</v>
      </c>
    </row>
    <row r="6" spans="1:3" ht="26.25" x14ac:dyDescent="0.25">
      <c r="A6" s="66">
        <v>42538</v>
      </c>
      <c r="B6" s="67" t="s">
        <v>512</v>
      </c>
      <c r="C6" s="68" t="s">
        <v>511</v>
      </c>
    </row>
    <row r="7" spans="1:3" x14ac:dyDescent="0.25">
      <c r="A7" s="66">
        <v>42593</v>
      </c>
      <c r="B7" s="67" t="s">
        <v>519</v>
      </c>
      <c r="C7" s="68" t="s">
        <v>520</v>
      </c>
    </row>
    <row r="8" spans="1:3" ht="26.25" x14ac:dyDescent="0.25">
      <c r="A8" s="66">
        <v>42797</v>
      </c>
      <c r="B8" s="67" t="s">
        <v>597</v>
      </c>
      <c r="C8" s="68" t="s">
        <v>511</v>
      </c>
    </row>
    <row r="9" spans="1:3" ht="26.25" x14ac:dyDescent="0.25">
      <c r="A9" s="66">
        <v>42797</v>
      </c>
      <c r="B9" s="67" t="s">
        <v>598</v>
      </c>
      <c r="C9" s="68" t="s">
        <v>511</v>
      </c>
    </row>
    <row r="10" spans="1:3" ht="26.25" x14ac:dyDescent="0.25">
      <c r="A10" s="66">
        <v>42797</v>
      </c>
      <c r="B10" s="67" t="s">
        <v>599</v>
      </c>
      <c r="C10" s="68" t="s">
        <v>511</v>
      </c>
    </row>
    <row r="11" spans="1:3" ht="39" x14ac:dyDescent="0.25">
      <c r="A11" s="66">
        <v>42797</v>
      </c>
      <c r="B11" s="67" t="s">
        <v>600</v>
      </c>
      <c r="C11" s="68" t="s">
        <v>511</v>
      </c>
    </row>
    <row r="12" spans="1:3" ht="77.25" x14ac:dyDescent="0.25">
      <c r="A12" s="66">
        <v>42797</v>
      </c>
      <c r="B12" s="67" t="s">
        <v>601</v>
      </c>
      <c r="C12" s="68" t="s">
        <v>511</v>
      </c>
    </row>
    <row r="13" spans="1:3" ht="64.5" x14ac:dyDescent="0.25">
      <c r="A13" s="66">
        <v>42797</v>
      </c>
      <c r="B13" s="67" t="s">
        <v>602</v>
      </c>
      <c r="C13" s="68" t="s">
        <v>511</v>
      </c>
    </row>
    <row r="14" spans="1:3" ht="26.25" x14ac:dyDescent="0.25">
      <c r="A14" s="66">
        <v>42797</v>
      </c>
      <c r="B14" s="67" t="s">
        <v>603</v>
      </c>
      <c r="C14" s="68" t="s">
        <v>511</v>
      </c>
    </row>
    <row r="15" spans="1:3" ht="77.25" x14ac:dyDescent="0.25">
      <c r="A15" s="66">
        <v>42797</v>
      </c>
      <c r="B15" s="67" t="s">
        <v>604</v>
      </c>
      <c r="C15" s="68" t="s">
        <v>511</v>
      </c>
    </row>
    <row r="16" spans="1:3" ht="102.75" x14ac:dyDescent="0.25">
      <c r="A16" s="66">
        <v>42797</v>
      </c>
      <c r="B16" s="67" t="s">
        <v>605</v>
      </c>
      <c r="C16" s="68" t="s">
        <v>511</v>
      </c>
    </row>
    <row r="17" spans="1:3" ht="64.5" x14ac:dyDescent="0.25">
      <c r="A17" s="66">
        <v>42797</v>
      </c>
      <c r="B17" s="67" t="s">
        <v>606</v>
      </c>
      <c r="C17" s="68" t="s">
        <v>511</v>
      </c>
    </row>
    <row r="18" spans="1:3" ht="64.5" x14ac:dyDescent="0.25">
      <c r="A18" s="66">
        <v>42797</v>
      </c>
      <c r="B18" s="67" t="s">
        <v>607</v>
      </c>
      <c r="C18" s="68" t="s">
        <v>511</v>
      </c>
    </row>
    <row r="19" spans="1:3" ht="102.75" x14ac:dyDescent="0.25">
      <c r="A19" s="66">
        <v>42797</v>
      </c>
      <c r="B19" s="67" t="s">
        <v>608</v>
      </c>
      <c r="C19" s="68" t="s">
        <v>511</v>
      </c>
    </row>
    <row r="20" spans="1:3" ht="26.25" x14ac:dyDescent="0.25">
      <c r="A20" s="66">
        <v>42797</v>
      </c>
      <c r="B20" s="67" t="s">
        <v>609</v>
      </c>
      <c r="C20" s="68" t="s">
        <v>511</v>
      </c>
    </row>
    <row r="21" spans="1:3" ht="51.75" x14ac:dyDescent="0.25">
      <c r="A21" s="66">
        <v>42797</v>
      </c>
      <c r="B21" s="67" t="s">
        <v>612</v>
      </c>
      <c r="C21" s="68" t="s">
        <v>511</v>
      </c>
    </row>
    <row r="22" spans="1:3" ht="281.25" x14ac:dyDescent="0.25">
      <c r="A22" s="66">
        <v>42797</v>
      </c>
      <c r="B22" s="67" t="s">
        <v>613</v>
      </c>
      <c r="C22" s="68" t="s">
        <v>511</v>
      </c>
    </row>
    <row r="23" spans="1:3" ht="26.25" x14ac:dyDescent="0.25">
      <c r="A23" s="66">
        <v>42797</v>
      </c>
      <c r="B23" s="67" t="s">
        <v>614</v>
      </c>
      <c r="C23" s="68" t="s">
        <v>511</v>
      </c>
    </row>
    <row r="24" spans="1:3" ht="90" x14ac:dyDescent="0.25">
      <c r="A24" s="66">
        <v>42797</v>
      </c>
      <c r="B24" s="67" t="s">
        <v>615</v>
      </c>
      <c r="C24" s="68" t="s">
        <v>511</v>
      </c>
    </row>
    <row r="25" spans="1:3" ht="26.25" x14ac:dyDescent="0.25">
      <c r="A25" s="66">
        <v>42797</v>
      </c>
      <c r="B25" s="67" t="s">
        <v>616</v>
      </c>
      <c r="C25" s="68" t="s">
        <v>511</v>
      </c>
    </row>
    <row r="26" spans="1:3" ht="39" x14ac:dyDescent="0.25">
      <c r="A26" s="66">
        <v>42797</v>
      </c>
      <c r="B26" s="67" t="s">
        <v>617</v>
      </c>
      <c r="C26" s="68" t="s">
        <v>511</v>
      </c>
    </row>
    <row r="27" spans="1:3" ht="26.25" x14ac:dyDescent="0.25">
      <c r="A27" s="66">
        <v>42797</v>
      </c>
      <c r="B27" s="67" t="s">
        <v>618</v>
      </c>
      <c r="C27" s="68" t="s">
        <v>511</v>
      </c>
    </row>
    <row r="28" spans="1:3" ht="26.25" x14ac:dyDescent="0.25">
      <c r="A28" s="66">
        <v>42797</v>
      </c>
      <c r="B28" s="67" t="s">
        <v>619</v>
      </c>
      <c r="C28" s="68" t="s">
        <v>511</v>
      </c>
    </row>
    <row r="29" spans="1:3" ht="26.25" x14ac:dyDescent="0.25">
      <c r="A29" s="66">
        <v>42797</v>
      </c>
      <c r="B29" s="67" t="s">
        <v>620</v>
      </c>
      <c r="C29" s="68" t="s">
        <v>511</v>
      </c>
    </row>
    <row r="30" spans="1:3" ht="39" x14ac:dyDescent="0.25">
      <c r="A30" s="66">
        <v>42797</v>
      </c>
      <c r="B30" s="67" t="s">
        <v>621</v>
      </c>
      <c r="C30" s="68" t="s">
        <v>511</v>
      </c>
    </row>
    <row r="31" spans="1:3" x14ac:dyDescent="0.25">
      <c r="A31" s="66">
        <v>42797</v>
      </c>
      <c r="B31" s="67" t="s">
        <v>622</v>
      </c>
      <c r="C31" s="68" t="s">
        <v>511</v>
      </c>
    </row>
    <row r="32" spans="1:3" x14ac:dyDescent="0.25">
      <c r="A32" s="66">
        <v>42797</v>
      </c>
      <c r="B32" s="67" t="s">
        <v>623</v>
      </c>
      <c r="C32" s="68" t="s">
        <v>511</v>
      </c>
    </row>
    <row r="33" spans="1:3" x14ac:dyDescent="0.25">
      <c r="A33" s="66">
        <v>42797</v>
      </c>
      <c r="B33" s="67" t="s">
        <v>624</v>
      </c>
      <c r="C33" s="68" t="s">
        <v>511</v>
      </c>
    </row>
    <row r="34" spans="1:3" x14ac:dyDescent="0.25">
      <c r="A34" s="66">
        <v>42797</v>
      </c>
      <c r="B34" s="67" t="s">
        <v>625</v>
      </c>
      <c r="C34" s="68" t="s">
        <v>511</v>
      </c>
    </row>
    <row r="35" spans="1:3" ht="90" x14ac:dyDescent="0.25">
      <c r="A35" s="66">
        <v>42838</v>
      </c>
      <c r="B35" s="67" t="s">
        <v>641</v>
      </c>
      <c r="C35" s="68" t="s">
        <v>511</v>
      </c>
    </row>
    <row r="36" spans="1:3" ht="51.75" x14ac:dyDescent="0.25">
      <c r="A36" s="66">
        <v>42838</v>
      </c>
      <c r="B36" s="67" t="s">
        <v>642</v>
      </c>
      <c r="C36" s="68" t="s">
        <v>511</v>
      </c>
    </row>
    <row r="37" spans="1:3" ht="64.5" x14ac:dyDescent="0.25">
      <c r="A37" s="66">
        <v>42838</v>
      </c>
      <c r="B37" s="67" t="s">
        <v>643</v>
      </c>
      <c r="C37" s="68" t="s">
        <v>511</v>
      </c>
    </row>
    <row r="38" spans="1:3" x14ac:dyDescent="0.25">
      <c r="A38" s="66">
        <v>42851</v>
      </c>
      <c r="B38" s="67" t="s">
        <v>648</v>
      </c>
      <c r="C38" s="69" t="s">
        <v>511</v>
      </c>
    </row>
    <row r="39" spans="1:3" x14ac:dyDescent="0.25">
      <c r="A39" s="66">
        <v>43098</v>
      </c>
      <c r="B39" s="93" t="s">
        <v>747</v>
      </c>
      <c r="C39" s="69" t="s">
        <v>511</v>
      </c>
    </row>
    <row r="40" spans="1:3" ht="268.5" x14ac:dyDescent="0.25">
      <c r="A40" s="66">
        <v>43098</v>
      </c>
      <c r="B40" s="67" t="s">
        <v>755</v>
      </c>
      <c r="C40" s="69" t="s">
        <v>511</v>
      </c>
    </row>
    <row r="41" spans="1:3" ht="64.5" x14ac:dyDescent="0.25">
      <c r="A41" s="66">
        <v>43098</v>
      </c>
      <c r="B41" s="67" t="s">
        <v>748</v>
      </c>
      <c r="C41" s="69" t="s">
        <v>511</v>
      </c>
    </row>
    <row r="42" spans="1:3" ht="115.5" x14ac:dyDescent="0.25">
      <c r="A42" s="66">
        <v>43098</v>
      </c>
      <c r="B42" s="67" t="s">
        <v>749</v>
      </c>
      <c r="C42" s="69" t="s">
        <v>511</v>
      </c>
    </row>
    <row r="43" spans="1:3" ht="102.75" x14ac:dyDescent="0.25">
      <c r="A43" s="66">
        <v>43098</v>
      </c>
      <c r="B43" s="67" t="s">
        <v>750</v>
      </c>
      <c r="C43" s="69" t="s">
        <v>511</v>
      </c>
    </row>
    <row r="44" spans="1:3" ht="90" x14ac:dyDescent="0.25">
      <c r="A44" s="66">
        <v>43098</v>
      </c>
      <c r="B44" s="67" t="s">
        <v>751</v>
      </c>
      <c r="C44" s="69" t="s">
        <v>511</v>
      </c>
    </row>
    <row r="45" spans="1:3" ht="64.5" x14ac:dyDescent="0.25">
      <c r="A45" s="66">
        <v>43098</v>
      </c>
      <c r="B45" s="67" t="s">
        <v>752</v>
      </c>
      <c r="C45" s="69" t="s">
        <v>511</v>
      </c>
    </row>
    <row r="46" spans="1:3" ht="90" x14ac:dyDescent="0.25">
      <c r="A46" s="66">
        <v>43098</v>
      </c>
      <c r="B46" s="67" t="s">
        <v>753</v>
      </c>
      <c r="C46" s="69" t="s">
        <v>511</v>
      </c>
    </row>
    <row r="47" spans="1:3" ht="166.5" x14ac:dyDescent="0.25">
      <c r="A47" s="66">
        <v>43098</v>
      </c>
      <c r="B47" s="67" t="s">
        <v>777</v>
      </c>
      <c r="C47" s="69" t="s">
        <v>511</v>
      </c>
    </row>
    <row r="48" spans="1:3" ht="153.75" x14ac:dyDescent="0.25">
      <c r="A48" s="66">
        <v>43098</v>
      </c>
      <c r="B48" s="67" t="s">
        <v>778</v>
      </c>
      <c r="C48" s="69" t="s">
        <v>511</v>
      </c>
    </row>
    <row r="49" spans="1:3" ht="64.5" x14ac:dyDescent="0.25">
      <c r="A49" s="66">
        <v>43098</v>
      </c>
      <c r="B49" s="67" t="s">
        <v>754</v>
      </c>
      <c r="C49" s="69" t="s">
        <v>511</v>
      </c>
    </row>
    <row r="50" spans="1:3" ht="26.25" x14ac:dyDescent="0.25">
      <c r="A50" s="66">
        <v>43098</v>
      </c>
      <c r="B50" s="67" t="s">
        <v>756</v>
      </c>
      <c r="C50" s="69" t="s">
        <v>511</v>
      </c>
    </row>
    <row r="51" spans="1:3" ht="115.5" x14ac:dyDescent="0.25">
      <c r="A51" s="66">
        <v>43098</v>
      </c>
      <c r="B51" s="67" t="s">
        <v>757</v>
      </c>
      <c r="C51" s="69" t="s">
        <v>511</v>
      </c>
    </row>
    <row r="52" spans="1:3" ht="179.25" x14ac:dyDescent="0.25">
      <c r="A52" s="66">
        <v>43098</v>
      </c>
      <c r="B52" s="67" t="s">
        <v>758</v>
      </c>
      <c r="C52" s="69" t="s">
        <v>511</v>
      </c>
    </row>
    <row r="53" spans="1:3" ht="128.25" x14ac:dyDescent="0.25">
      <c r="A53" s="66">
        <v>43098</v>
      </c>
      <c r="B53" s="67" t="s">
        <v>759</v>
      </c>
      <c r="C53" s="69" t="s">
        <v>511</v>
      </c>
    </row>
    <row r="54" spans="1:3" ht="141" x14ac:dyDescent="0.25">
      <c r="A54" s="66">
        <v>43098</v>
      </c>
      <c r="B54" s="67" t="s">
        <v>760</v>
      </c>
      <c r="C54" s="69" t="s">
        <v>511</v>
      </c>
    </row>
    <row r="55" spans="1:3" ht="39" x14ac:dyDescent="0.25">
      <c r="A55" s="66">
        <v>43098</v>
      </c>
      <c r="B55" s="67" t="s">
        <v>761</v>
      </c>
      <c r="C55" s="69" t="s">
        <v>511</v>
      </c>
    </row>
    <row r="56" spans="1:3" ht="64.5" x14ac:dyDescent="0.25">
      <c r="A56" s="66">
        <v>43098</v>
      </c>
      <c r="B56" s="67" t="s">
        <v>762</v>
      </c>
      <c r="C56" s="69" t="s">
        <v>511</v>
      </c>
    </row>
    <row r="57" spans="1:3" ht="141" x14ac:dyDescent="0.25">
      <c r="A57" s="66">
        <v>43098</v>
      </c>
      <c r="B57" s="67" t="s">
        <v>763</v>
      </c>
      <c r="C57" s="69" t="s">
        <v>511</v>
      </c>
    </row>
    <row r="58" spans="1:3" ht="141" x14ac:dyDescent="0.25">
      <c r="A58" s="66">
        <v>43098</v>
      </c>
      <c r="B58" s="67" t="s">
        <v>764</v>
      </c>
      <c r="C58" s="69" t="s">
        <v>511</v>
      </c>
    </row>
    <row r="59" spans="1:3" ht="153.75" x14ac:dyDescent="0.25">
      <c r="A59" s="66">
        <v>43098</v>
      </c>
      <c r="B59" s="67" t="s">
        <v>765</v>
      </c>
      <c r="C59" s="69" t="s">
        <v>511</v>
      </c>
    </row>
    <row r="60" spans="1:3" ht="51.75" x14ac:dyDescent="0.25">
      <c r="A60" s="66">
        <v>43098</v>
      </c>
      <c r="B60" s="67" t="s">
        <v>766</v>
      </c>
      <c r="C60" s="69" t="s">
        <v>511</v>
      </c>
    </row>
    <row r="61" spans="1:3" ht="26.25" x14ac:dyDescent="0.25">
      <c r="A61" s="66">
        <v>43098</v>
      </c>
      <c r="B61" s="67" t="s">
        <v>767</v>
      </c>
      <c r="C61" s="69" t="s">
        <v>511</v>
      </c>
    </row>
    <row r="62" spans="1:3" ht="26.25" x14ac:dyDescent="0.25">
      <c r="A62" s="66">
        <v>43098</v>
      </c>
      <c r="B62" s="67" t="s">
        <v>768</v>
      </c>
      <c r="C62" s="69" t="s">
        <v>511</v>
      </c>
    </row>
    <row r="63" spans="1:3" ht="26.25" x14ac:dyDescent="0.25">
      <c r="A63" s="66">
        <v>43098</v>
      </c>
      <c r="B63" s="67" t="s">
        <v>769</v>
      </c>
      <c r="C63" s="69" t="s">
        <v>511</v>
      </c>
    </row>
    <row r="64" spans="1:3" ht="26.25" x14ac:dyDescent="0.25">
      <c r="A64" s="66">
        <v>43098</v>
      </c>
      <c r="B64" s="67" t="s">
        <v>770</v>
      </c>
      <c r="C64" s="69" t="s">
        <v>511</v>
      </c>
    </row>
    <row r="65" spans="1:3" ht="26.25" x14ac:dyDescent="0.25">
      <c r="A65" s="66">
        <v>43098</v>
      </c>
      <c r="B65" s="67" t="s">
        <v>771</v>
      </c>
      <c r="C65" s="69" t="s">
        <v>511</v>
      </c>
    </row>
    <row r="66" spans="1:3" ht="26.25" x14ac:dyDescent="0.25">
      <c r="A66" s="66">
        <v>43098</v>
      </c>
      <c r="B66" s="67" t="s">
        <v>772</v>
      </c>
      <c r="C66" s="69" t="s">
        <v>511</v>
      </c>
    </row>
    <row r="67" spans="1:3" ht="26.25" x14ac:dyDescent="0.25">
      <c r="A67" s="66">
        <v>43098</v>
      </c>
      <c r="B67" s="67" t="s">
        <v>773</v>
      </c>
      <c r="C67" s="69" t="s">
        <v>511</v>
      </c>
    </row>
    <row r="68" spans="1:3" ht="26.25" x14ac:dyDescent="0.25">
      <c r="A68" s="66">
        <v>43098</v>
      </c>
      <c r="B68" s="67" t="s">
        <v>774</v>
      </c>
      <c r="C68" s="69" t="s">
        <v>511</v>
      </c>
    </row>
    <row r="69" spans="1:3" ht="26.25" x14ac:dyDescent="0.25">
      <c r="A69" s="66">
        <v>43098</v>
      </c>
      <c r="B69" s="67" t="s">
        <v>775</v>
      </c>
      <c r="C69" s="69" t="s">
        <v>511</v>
      </c>
    </row>
    <row r="70" spans="1:3" ht="26.25" x14ac:dyDescent="0.25">
      <c r="A70" s="66">
        <v>43098</v>
      </c>
      <c r="B70" s="67" t="s">
        <v>776</v>
      </c>
      <c r="C70" s="69" t="s">
        <v>511</v>
      </c>
    </row>
    <row r="71" spans="1:3" ht="26.25" x14ac:dyDescent="0.25">
      <c r="A71" s="66">
        <v>42752</v>
      </c>
      <c r="B71" s="67" t="s">
        <v>797</v>
      </c>
      <c r="C71" s="66" t="s">
        <v>511</v>
      </c>
    </row>
    <row r="72" spans="1:3" ht="26.25" x14ac:dyDescent="0.25">
      <c r="A72" s="66">
        <v>42752</v>
      </c>
      <c r="B72" s="67" t="s">
        <v>798</v>
      </c>
      <c r="C72" s="66" t="s">
        <v>511</v>
      </c>
    </row>
    <row r="73" spans="1:3" ht="26.25" x14ac:dyDescent="0.25">
      <c r="A73" s="66">
        <v>42752</v>
      </c>
      <c r="B73" s="67" t="s">
        <v>799</v>
      </c>
      <c r="C73" s="66" t="s">
        <v>511</v>
      </c>
    </row>
    <row r="74" spans="1:3" ht="26.25" x14ac:dyDescent="0.25">
      <c r="A74" s="66">
        <v>43138</v>
      </c>
      <c r="B74" s="67" t="s">
        <v>823</v>
      </c>
      <c r="C74" s="94" t="s">
        <v>511</v>
      </c>
    </row>
    <row r="75" spans="1:3" ht="26.25" x14ac:dyDescent="0.25">
      <c r="A75" s="66">
        <v>43138</v>
      </c>
      <c r="B75" s="67" t="s">
        <v>824</v>
      </c>
      <c r="C75" s="94" t="s">
        <v>511</v>
      </c>
    </row>
    <row r="76" spans="1:3" ht="26.25" x14ac:dyDescent="0.25">
      <c r="A76" s="66">
        <v>43138</v>
      </c>
      <c r="B76" s="67" t="s">
        <v>825</v>
      </c>
      <c r="C76" s="94" t="s">
        <v>511</v>
      </c>
    </row>
  </sheetData>
  <mergeCells count="1">
    <mergeCell ref="A1:C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A36" sqref="A36"/>
    </sheetView>
  </sheetViews>
  <sheetFormatPr defaultRowHeight="15" x14ac:dyDescent="0.25"/>
  <cols>
    <col min="1" max="1" width="24.5703125" customWidth="1"/>
    <col min="2" max="2" width="25.28515625" customWidth="1"/>
    <col min="3" max="3" width="38.5703125" customWidth="1"/>
  </cols>
  <sheetData>
    <row r="1" spans="1:3" x14ac:dyDescent="0.25">
      <c r="A1" s="31" t="s">
        <v>441</v>
      </c>
      <c r="B1" s="31" t="s">
        <v>442</v>
      </c>
      <c r="C1" s="31" t="s">
        <v>443</v>
      </c>
    </row>
    <row r="2" spans="1:3" ht="26.25" customHeight="1" x14ac:dyDescent="0.25">
      <c r="A2" s="36" t="s">
        <v>433</v>
      </c>
      <c r="B2" s="36" t="s">
        <v>434</v>
      </c>
      <c r="C2" s="34" t="s">
        <v>444</v>
      </c>
    </row>
    <row r="3" spans="1:3" ht="26.25" customHeight="1" x14ac:dyDescent="0.25">
      <c r="A3" s="36" t="s">
        <v>435</v>
      </c>
      <c r="B3" s="36" t="s">
        <v>436</v>
      </c>
      <c r="C3" s="34" t="s">
        <v>444</v>
      </c>
    </row>
    <row r="4" spans="1:3" ht="39" x14ac:dyDescent="0.25">
      <c r="A4" s="36" t="s">
        <v>437</v>
      </c>
      <c r="B4" s="36" t="s">
        <v>436</v>
      </c>
      <c r="C4" s="35" t="s">
        <v>445</v>
      </c>
    </row>
    <row r="5" spans="1:3" ht="39" x14ac:dyDescent="0.25">
      <c r="A5" s="32" t="s">
        <v>438</v>
      </c>
      <c r="B5" s="32" t="s">
        <v>439</v>
      </c>
      <c r="C5" s="33" t="s">
        <v>440</v>
      </c>
    </row>
  </sheetData>
  <hyperlinks>
    <hyperlink ref="C4" r:id="rId1"/>
    <hyperlink ref="C5" r:id="rId2"/>
    <hyperlink ref="C2" r:id="rId3"/>
    <hyperlink ref="C3"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LDESTD</vt:lpstr>
      <vt:lpstr>Revision Log</vt:lpstr>
      <vt:lpstr>Reference Locations</vt:lpstr>
    </vt:vector>
  </TitlesOfParts>
  <Company>DRC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Johannes, Mallory</cp:lastModifiedBy>
  <cp:lastPrinted>2018-05-23T17:47:33Z</cp:lastPrinted>
  <dcterms:created xsi:type="dcterms:W3CDTF">2016-02-23T23:40:06Z</dcterms:created>
  <dcterms:modified xsi:type="dcterms:W3CDTF">2018-05-25T19:33:52Z</dcterms:modified>
</cp:coreProperties>
</file>