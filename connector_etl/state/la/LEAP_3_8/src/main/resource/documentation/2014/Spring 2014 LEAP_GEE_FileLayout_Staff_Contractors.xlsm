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540" windowWidth="15480" windowHeight="10875"/>
  </bookViews>
  <sheets>
    <sheet name="LDESTD" sheetId="1" r:id="rId1"/>
    <sheet name="Reference Locations" sheetId="3" r:id="rId2"/>
  </sheets>
  <definedNames>
    <definedName name="_xlnm._FilterDatabase" localSheetId="0" hidden="1">LDESTD!$A$2:$H$422</definedName>
    <definedName name="_xlnm.Print_Area" localSheetId="0">LDESTD!$A$1:$H$424</definedName>
    <definedName name="_xlnm.Print_Titles" localSheetId="0">LDESTD!$1:$2</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45621"/>
  <customWorkbookViews>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C5" i="1" l="1"/>
  <c r="D5" i="1" s="1"/>
  <c r="D4" i="1"/>
  <c r="C6" i="1" l="1"/>
  <c r="D6" i="1" s="1"/>
  <c r="C7" i="1" l="1"/>
  <c r="D7" i="1" s="1"/>
  <c r="C8" i="1" l="1"/>
  <c r="C9" i="1" s="1"/>
  <c r="D8" i="1" l="1"/>
  <c r="C10" i="1"/>
  <c r="D9" i="1"/>
  <c r="C11" i="1" l="1"/>
  <c r="D10" i="1"/>
  <c r="D11" i="1" l="1"/>
  <c r="C12" i="1"/>
  <c r="C13" i="1" l="1"/>
  <c r="D12" i="1"/>
  <c r="D13" i="1" l="1"/>
  <c r="C14" i="1"/>
  <c r="D14" i="1" l="1"/>
  <c r="C15" i="1"/>
  <c r="D15" i="1" l="1"/>
  <c r="C16" i="1"/>
  <c r="C17" i="1" s="1"/>
  <c r="D16" i="1" l="1"/>
  <c r="C18" i="1" l="1"/>
  <c r="D17" i="1"/>
  <c r="C19" i="1" l="1"/>
  <c r="D18" i="1"/>
  <c r="D19" i="1" l="1"/>
  <c r="C20" i="1"/>
  <c r="D20" i="1" l="1"/>
  <c r="C21" i="1"/>
  <c r="C22" i="1" l="1"/>
  <c r="D21" i="1"/>
  <c r="D22" i="1" l="1"/>
  <c r="C23" i="1"/>
  <c r="D23" i="1" l="1"/>
  <c r="C24" i="1"/>
  <c r="D24" i="1" l="1"/>
  <c r="C25" i="1"/>
  <c r="C26" i="1" l="1"/>
  <c r="D25" i="1"/>
  <c r="C27" i="1" l="1"/>
  <c r="D26" i="1"/>
  <c r="C28" i="1" l="1"/>
  <c r="C29" i="1" s="1"/>
  <c r="D27" i="1"/>
  <c r="D28" i="1" l="1"/>
  <c r="C30" i="1" l="1"/>
  <c r="D29" i="1"/>
  <c r="C31" i="1" l="1"/>
  <c r="C32" i="1" s="1"/>
  <c r="D30" i="1"/>
  <c r="D31" i="1" l="1"/>
  <c r="D32" i="1" l="1"/>
  <c r="C33" i="1"/>
  <c r="D33" i="1" l="1"/>
  <c r="C34" i="1"/>
  <c r="C35" i="1" l="1"/>
  <c r="C36" i="1" s="1"/>
  <c r="C37" i="1" s="1"/>
  <c r="D34" i="1"/>
  <c r="D35" i="1" l="1"/>
  <c r="D36" i="1" l="1"/>
  <c r="D37" i="1" l="1"/>
  <c r="C38" i="1"/>
  <c r="D38" i="1" l="1"/>
  <c r="C39" i="1"/>
  <c r="C41" i="1" s="1"/>
  <c r="D39" i="1" l="1"/>
  <c r="D41" i="1" l="1"/>
  <c r="C42" i="1"/>
  <c r="C43" i="1" s="1"/>
  <c r="D42" i="1" l="1"/>
  <c r="D43" i="1" l="1"/>
  <c r="C44" i="1"/>
  <c r="C45" i="1" l="1"/>
  <c r="D44" i="1"/>
  <c r="D45" i="1" l="1"/>
  <c r="C46" i="1"/>
  <c r="D46" i="1" l="1"/>
  <c r="C47" i="1"/>
  <c r="C48" i="1" l="1"/>
  <c r="C50" i="1" s="1"/>
  <c r="C51" i="1" s="1"/>
  <c r="D47" i="1"/>
  <c r="D48" i="1" l="1"/>
  <c r="D50" i="1" l="1"/>
  <c r="D51" i="1" l="1"/>
  <c r="C52" i="1"/>
  <c r="C53" i="1" l="1"/>
  <c r="C55" i="1" s="1"/>
  <c r="C56" i="1" s="1"/>
  <c r="D52" i="1"/>
  <c r="D53" i="1" l="1"/>
  <c r="D55" i="1" l="1"/>
  <c r="C57" i="1" l="1"/>
  <c r="D56" i="1"/>
  <c r="D57" i="1" l="1"/>
  <c r="C58" i="1"/>
  <c r="D58" i="1" l="1"/>
  <c r="C59" i="1"/>
  <c r="D59" i="1" l="1"/>
  <c r="C60" i="1"/>
  <c r="D60" i="1" l="1"/>
  <c r="C61" i="1"/>
  <c r="C63" i="1" s="1"/>
  <c r="D61" i="1" l="1"/>
  <c r="C64" i="1" l="1"/>
  <c r="D63" i="1"/>
  <c r="D64" i="1" l="1"/>
  <c r="C65" i="1"/>
  <c r="C67" i="1" l="1"/>
  <c r="D65" i="1"/>
  <c r="D67" i="1" l="1"/>
  <c r="C68" i="1"/>
  <c r="C69" i="1" l="1"/>
  <c r="D68" i="1"/>
  <c r="D69" i="1" l="1"/>
  <c r="C70" i="1"/>
  <c r="C71" i="1" l="1"/>
  <c r="D70" i="1"/>
  <c r="D71" i="1" l="1"/>
  <c r="C72" i="1"/>
  <c r="C73" i="1" l="1"/>
  <c r="D72" i="1"/>
  <c r="C74" i="1" l="1"/>
  <c r="D73" i="1"/>
  <c r="C76" i="1" l="1"/>
  <c r="D74" i="1"/>
  <c r="D76" i="1" l="1"/>
  <c r="C77" i="1"/>
  <c r="C78" i="1" l="1"/>
  <c r="D77" i="1"/>
  <c r="D78" i="1" l="1"/>
  <c r="C79" i="1"/>
  <c r="D79" i="1" l="1"/>
  <c r="C80" i="1"/>
  <c r="C82" i="1" l="1"/>
  <c r="D80" i="1"/>
  <c r="C83" i="1" l="1"/>
  <c r="D82" i="1"/>
  <c r="C84" i="1" l="1"/>
  <c r="D83" i="1"/>
  <c r="D84" i="1" l="1"/>
  <c r="C85" i="1"/>
  <c r="C86" i="1" l="1"/>
  <c r="D85" i="1"/>
  <c r="C87" i="1" l="1"/>
  <c r="D86" i="1"/>
  <c r="C88" i="1" l="1"/>
  <c r="D87" i="1"/>
  <c r="C89" i="1" l="1"/>
  <c r="D88" i="1"/>
  <c r="D89" i="1" l="1"/>
  <c r="C90" i="1"/>
  <c r="D90" i="1" l="1"/>
  <c r="C92" i="1"/>
  <c r="C93" i="1" l="1"/>
  <c r="D92" i="1"/>
  <c r="C94" i="1" l="1"/>
  <c r="C95" i="1" s="1"/>
  <c r="D93" i="1"/>
  <c r="D94" i="1" l="1"/>
  <c r="C96" i="1" l="1"/>
  <c r="D95" i="1"/>
  <c r="D96" i="1" l="1"/>
  <c r="C98" i="1"/>
  <c r="D98" i="1" l="1"/>
  <c r="C99" i="1"/>
  <c r="D99" i="1" l="1"/>
  <c r="C100" i="1"/>
  <c r="D100" i="1" l="1"/>
  <c r="C102" i="1"/>
  <c r="C103" i="1" l="1"/>
  <c r="D102" i="1"/>
  <c r="D103" i="1" l="1"/>
  <c r="C104" i="1"/>
  <c r="D104" i="1" l="1"/>
  <c r="C105" i="1"/>
  <c r="D105" i="1" l="1"/>
  <c r="C106" i="1"/>
  <c r="D106" i="1" l="1"/>
  <c r="C107" i="1"/>
  <c r="C108" i="1" l="1"/>
  <c r="D107" i="1"/>
  <c r="C109" i="1" l="1"/>
  <c r="D108" i="1"/>
  <c r="C111" i="1" l="1"/>
  <c r="D109" i="1"/>
  <c r="D111" i="1" l="1"/>
  <c r="C112" i="1"/>
  <c r="C113" i="1" l="1"/>
  <c r="C114" i="1" s="1"/>
  <c r="D112" i="1"/>
  <c r="D113" i="1" l="1"/>
  <c r="C115" i="1" l="1"/>
  <c r="D114" i="1"/>
  <c r="D115" i="1" l="1"/>
  <c r="C117" i="1"/>
  <c r="C118" i="1" l="1"/>
  <c r="D117" i="1"/>
  <c r="D118" i="1" l="1"/>
  <c r="C119" i="1"/>
  <c r="C121" i="1" l="1"/>
  <c r="D119" i="1"/>
  <c r="D121" i="1" l="1"/>
  <c r="C122" i="1"/>
  <c r="D122" i="1" l="1"/>
  <c r="C123" i="1"/>
  <c r="C124" i="1" l="1"/>
  <c r="D123" i="1"/>
  <c r="D124" i="1" l="1"/>
  <c r="C125" i="1"/>
  <c r="D125" i="1" l="1"/>
  <c r="C126" i="1"/>
  <c r="D126" i="1" l="1"/>
  <c r="C128" i="1"/>
  <c r="C129" i="1" l="1"/>
  <c r="D128" i="1"/>
  <c r="C130" i="1" l="1"/>
  <c r="D129" i="1"/>
  <c r="C131" i="1" l="1"/>
  <c r="C133" i="1" s="1"/>
  <c r="D130" i="1"/>
  <c r="D131" i="1" l="1"/>
  <c r="C134" i="1" l="1"/>
  <c r="D133" i="1"/>
  <c r="D134" i="1" l="1"/>
  <c r="C135" i="1"/>
  <c r="D135" i="1" l="1"/>
  <c r="C136" i="1"/>
  <c r="C137" i="1" l="1"/>
  <c r="D136" i="1"/>
  <c r="C139" i="1" l="1"/>
  <c r="D137" i="1"/>
  <c r="C140" i="1" l="1"/>
  <c r="D139" i="1"/>
  <c r="D140" i="1" l="1"/>
  <c r="C141" i="1"/>
  <c r="C143" i="1" l="1"/>
  <c r="D141" i="1"/>
  <c r="C144" i="1" l="1"/>
  <c r="D143" i="1"/>
  <c r="D144" i="1" l="1"/>
  <c r="C145" i="1"/>
  <c r="D145" i="1" l="1"/>
  <c r="C146" i="1"/>
  <c r="C147" i="1" l="1"/>
  <c r="D146" i="1"/>
  <c r="D147" i="1" l="1"/>
  <c r="C149" i="1"/>
  <c r="D149" i="1" l="1"/>
  <c r="C150" i="1"/>
  <c r="C151" i="1" l="1"/>
  <c r="D150" i="1"/>
  <c r="D151" i="1" l="1"/>
  <c r="C153" i="1"/>
  <c r="D153" i="1" l="1"/>
  <c r="C154" i="1"/>
  <c r="D154" i="1" l="1"/>
  <c r="C155" i="1"/>
  <c r="C156" i="1" s="1"/>
  <c r="D155" i="1" l="1"/>
  <c r="C157" i="1" l="1"/>
  <c r="D156" i="1"/>
  <c r="D157" i="1" l="1"/>
  <c r="C160" i="1"/>
  <c r="D160" i="1" l="1"/>
  <c r="C161" i="1"/>
  <c r="D161" i="1" l="1"/>
  <c r="C162" i="1"/>
  <c r="D162" i="1" l="1"/>
  <c r="C163" i="1"/>
  <c r="D163" i="1" l="1"/>
  <c r="C165" i="1"/>
  <c r="C166" i="1" l="1"/>
  <c r="D165" i="1"/>
  <c r="C167" i="1" l="1"/>
  <c r="D166" i="1"/>
  <c r="D167" i="1" l="1"/>
  <c r="C168" i="1"/>
  <c r="C169" i="1" s="1"/>
  <c r="D168" i="1" l="1"/>
  <c r="D169" i="1" l="1"/>
  <c r="C171" i="1"/>
  <c r="D171" i="1" l="1"/>
  <c r="C172" i="1"/>
  <c r="D172" i="1" l="1"/>
  <c r="C173" i="1"/>
  <c r="D173" i="1" l="1"/>
  <c r="C174" i="1"/>
  <c r="C175" i="1" s="1"/>
  <c r="D174" i="1" l="1"/>
  <c r="C177" i="1" l="1"/>
  <c r="D175" i="1"/>
  <c r="C178" i="1" l="1"/>
  <c r="D177" i="1"/>
  <c r="C179" i="1" l="1"/>
  <c r="D178" i="1"/>
  <c r="D179" i="1" l="1"/>
  <c r="C180" i="1"/>
  <c r="C181" i="1" s="1"/>
  <c r="C182" i="1" s="1"/>
  <c r="D180" i="1" l="1"/>
  <c r="D181" i="1" l="1"/>
  <c r="C183" i="1" l="1"/>
  <c r="C184" i="1" s="1"/>
  <c r="C185" i="1" s="1"/>
  <c r="D182" i="1"/>
  <c r="D183" i="1" l="1"/>
  <c r="D184" i="1" l="1"/>
  <c r="D185" i="1" l="1"/>
  <c r="C186" i="1"/>
  <c r="C187" i="1" l="1"/>
  <c r="C188" i="1" s="1"/>
  <c r="D186" i="1"/>
  <c r="D187" i="1" l="1"/>
  <c r="C189" i="1" l="1"/>
  <c r="D188" i="1"/>
  <c r="D189" i="1" l="1"/>
  <c r="C191" i="1"/>
  <c r="C192" i="1" l="1"/>
  <c r="D191" i="1"/>
  <c r="C193" i="1" l="1"/>
  <c r="D192" i="1"/>
  <c r="D193" i="1" l="1"/>
  <c r="C194" i="1"/>
  <c r="C195" i="1" l="1"/>
  <c r="D194" i="1"/>
  <c r="D195" i="1" l="1"/>
  <c r="C196" i="1"/>
  <c r="C198" i="1" l="1"/>
  <c r="D196" i="1"/>
  <c r="D198" i="1" l="1"/>
  <c r="C199" i="1"/>
  <c r="D199" i="1" l="1"/>
  <c r="C200" i="1"/>
  <c r="D200" i="1" l="1"/>
  <c r="C201" i="1"/>
  <c r="C202" i="1" s="1"/>
  <c r="D201" i="1" l="1"/>
  <c r="D202" i="1" l="1"/>
  <c r="C204" i="1"/>
  <c r="C205" i="1" l="1"/>
  <c r="D204" i="1"/>
  <c r="D205" i="1" l="1"/>
  <c r="C206" i="1"/>
  <c r="D206" i="1" l="1"/>
  <c r="C207" i="1"/>
  <c r="D207" i="1" l="1"/>
  <c r="C208" i="1"/>
  <c r="C209" i="1" l="1"/>
  <c r="D208" i="1"/>
  <c r="C210" i="1" l="1"/>
  <c r="D209" i="1"/>
  <c r="C211" i="1" l="1"/>
  <c r="D210" i="1"/>
  <c r="C212" i="1" l="1"/>
  <c r="D211" i="1"/>
  <c r="D212" i="1" l="1"/>
  <c r="C213" i="1"/>
  <c r="D213" i="1" l="1"/>
  <c r="C214" i="1"/>
  <c r="C215" i="1" l="1"/>
  <c r="D214" i="1"/>
  <c r="D215" i="1" l="1"/>
  <c r="C216" i="1"/>
  <c r="D216" i="1" l="1"/>
  <c r="C217" i="1"/>
  <c r="D217" i="1" l="1"/>
  <c r="C218" i="1"/>
  <c r="D218" i="1" l="1"/>
  <c r="C219" i="1"/>
  <c r="D219" i="1" l="1"/>
  <c r="C220" i="1"/>
  <c r="C221" i="1" s="1"/>
  <c r="D220" i="1" l="1"/>
  <c r="C222" i="1" l="1"/>
  <c r="D221" i="1"/>
  <c r="C223" i="1" l="1"/>
  <c r="D222" i="1"/>
  <c r="D223" i="1" l="1"/>
  <c r="C224" i="1"/>
  <c r="C225" i="1" l="1"/>
  <c r="D224" i="1"/>
  <c r="D225" i="1" l="1"/>
  <c r="C226" i="1"/>
  <c r="D226" i="1" l="1"/>
  <c r="C227" i="1"/>
  <c r="C228" i="1" s="1"/>
  <c r="D227" i="1" l="1"/>
  <c r="D228" i="1" l="1"/>
  <c r="C229" i="1"/>
  <c r="C231" i="1" s="1"/>
  <c r="C232" i="1" l="1"/>
  <c r="D231" i="1"/>
  <c r="C233" i="1" l="1"/>
  <c r="C234" i="1" s="1"/>
  <c r="D232" i="1"/>
  <c r="D233" i="1" l="1"/>
  <c r="C236" i="1" l="1"/>
  <c r="D234" i="1"/>
  <c r="D236" i="1" l="1"/>
  <c r="C237" i="1"/>
  <c r="C238" i="1" l="1"/>
  <c r="D237" i="1"/>
  <c r="D238" i="1" l="1"/>
  <c r="C239" i="1"/>
  <c r="D239" i="1" l="1"/>
  <c r="C240" i="1"/>
  <c r="C241" i="1" l="1"/>
  <c r="C242" i="1" s="1"/>
  <c r="D240" i="1"/>
  <c r="D241" i="1" l="1"/>
  <c r="D242" i="1" l="1"/>
  <c r="C243" i="1"/>
  <c r="C244" i="1" s="1"/>
  <c r="D243" i="1" l="1"/>
  <c r="D244" i="1" l="1"/>
  <c r="C246" i="1"/>
  <c r="D246" i="1" l="1"/>
  <c r="C247" i="1"/>
  <c r="D247" i="1" l="1"/>
  <c r="C248" i="1"/>
  <c r="D248" i="1" l="1"/>
  <c r="C249" i="1"/>
  <c r="C250" i="1" l="1"/>
  <c r="C251" i="1" s="1"/>
  <c r="D249" i="1"/>
  <c r="D250" i="1" l="1"/>
  <c r="C253" i="1" l="1"/>
  <c r="D251" i="1"/>
  <c r="C254" i="1" l="1"/>
  <c r="D253" i="1"/>
  <c r="C255" i="1" l="1"/>
  <c r="D254" i="1"/>
  <c r="C256" i="1" l="1"/>
  <c r="D255" i="1"/>
  <c r="C257" i="1" l="1"/>
  <c r="C259" i="1" s="1"/>
  <c r="D256" i="1"/>
  <c r="D257" i="1" l="1"/>
  <c r="C260" i="1" l="1"/>
  <c r="D259" i="1"/>
  <c r="C261" i="1" l="1"/>
  <c r="D260" i="1"/>
  <c r="D261" i="1" l="1"/>
  <c r="C262" i="1"/>
  <c r="C264" i="1" s="1"/>
  <c r="D262" i="1" l="1"/>
  <c r="D264" i="1" l="1"/>
  <c r="C265" i="1"/>
  <c r="C266" i="1" l="1"/>
  <c r="D265" i="1"/>
  <c r="C267" i="1" l="1"/>
  <c r="C268" i="1" s="1"/>
  <c r="D266" i="1"/>
  <c r="D267" i="1" l="1"/>
  <c r="D268" i="1" l="1"/>
  <c r="C270" i="1"/>
  <c r="C271" i="1" s="1"/>
  <c r="D270" i="1" l="1"/>
  <c r="C273" i="1" l="1"/>
  <c r="C274" i="1" s="1"/>
  <c r="D271" i="1"/>
  <c r="D273" i="1" l="1"/>
  <c r="D274" i="1" l="1"/>
  <c r="C276" i="1"/>
  <c r="C277" i="1" s="1"/>
  <c r="D276" i="1" l="1"/>
  <c r="D277" i="1" l="1"/>
  <c r="C278" i="1"/>
  <c r="C279" i="1" l="1"/>
  <c r="D278" i="1"/>
  <c r="D279" i="1" l="1"/>
  <c r="C280" i="1"/>
  <c r="D280" i="1" l="1"/>
  <c r="C281" i="1"/>
  <c r="C282" i="1" l="1"/>
  <c r="D281" i="1"/>
  <c r="D282" i="1" l="1"/>
  <c r="C283" i="1"/>
  <c r="D283" i="1" l="1"/>
  <c r="C285" i="1"/>
  <c r="C286" i="1" l="1"/>
  <c r="D285" i="1"/>
  <c r="C287" i="1" l="1"/>
  <c r="D286" i="1"/>
  <c r="C288" i="1" l="1"/>
  <c r="D287" i="1"/>
  <c r="C289" i="1" l="1"/>
  <c r="D288" i="1"/>
  <c r="C293" i="1" l="1"/>
  <c r="D289" i="1"/>
  <c r="D293" i="1" l="1"/>
  <c r="C294" i="1"/>
  <c r="C295" i="1" l="1"/>
  <c r="D294" i="1"/>
  <c r="C296" i="1" l="1"/>
  <c r="D295" i="1"/>
  <c r="C297" i="1" l="1"/>
  <c r="D296" i="1"/>
  <c r="D297" i="1" l="1"/>
  <c r="C298" i="1"/>
  <c r="C299" i="1" l="1"/>
  <c r="D298" i="1"/>
  <c r="C300" i="1" l="1"/>
  <c r="D299" i="1"/>
  <c r="D300" i="1" l="1"/>
  <c r="C301" i="1"/>
  <c r="C302" i="1" l="1"/>
  <c r="D301" i="1"/>
  <c r="C303" i="1" l="1"/>
  <c r="D302" i="1"/>
  <c r="C305" i="1" l="1"/>
  <c r="D303" i="1"/>
  <c r="C306" i="1" l="1"/>
  <c r="D305" i="1"/>
  <c r="C307" i="1" l="1"/>
  <c r="D306" i="1"/>
  <c r="C308" i="1" l="1"/>
  <c r="D307" i="1"/>
  <c r="C309" i="1" l="1"/>
  <c r="D308" i="1"/>
  <c r="D309" i="1" l="1"/>
  <c r="C310" i="1"/>
  <c r="C312" i="1" l="1"/>
  <c r="D310" i="1"/>
  <c r="D312" i="1" l="1"/>
  <c r="C313" i="1"/>
  <c r="C314" i="1" l="1"/>
  <c r="D313" i="1"/>
  <c r="D314" i="1" l="1"/>
  <c r="C315" i="1"/>
  <c r="D315" i="1" l="1"/>
  <c r="C316" i="1"/>
  <c r="C317" i="1" l="1"/>
  <c r="D316" i="1"/>
  <c r="D317" i="1" l="1"/>
  <c r="C318" i="1"/>
  <c r="D318" i="1" l="1"/>
  <c r="C319" i="1"/>
  <c r="D319" i="1" l="1"/>
  <c r="C320" i="1"/>
  <c r="C321" i="1" l="1"/>
  <c r="D320" i="1"/>
  <c r="D321" i="1" l="1"/>
  <c r="C322" i="1"/>
  <c r="C325" i="1" l="1"/>
  <c r="D322" i="1"/>
  <c r="D325" i="1" l="1"/>
  <c r="C326" i="1"/>
  <c r="C327" i="1" l="1"/>
  <c r="D326" i="1"/>
  <c r="C328" i="1" l="1"/>
  <c r="D327" i="1"/>
  <c r="C329" i="1" l="1"/>
  <c r="D328" i="1"/>
  <c r="D329" i="1" l="1"/>
  <c r="C330" i="1"/>
  <c r="D330" i="1" l="1"/>
  <c r="C331" i="1"/>
  <c r="C332" i="1" l="1"/>
  <c r="D331" i="1"/>
  <c r="C333" i="1" l="1"/>
  <c r="D332" i="1"/>
  <c r="D333" i="1" l="1"/>
  <c r="C334" i="1"/>
  <c r="C335" i="1" l="1"/>
  <c r="D334" i="1"/>
  <c r="D335" i="1" l="1"/>
  <c r="C337" i="1"/>
  <c r="C338" i="1" l="1"/>
  <c r="D337" i="1"/>
  <c r="C339" i="1" l="1"/>
  <c r="D338" i="1"/>
  <c r="D339" i="1" l="1"/>
  <c r="C340" i="1"/>
  <c r="D340" i="1" l="1"/>
  <c r="C341" i="1"/>
  <c r="C342" i="1" l="1"/>
  <c r="D341" i="1"/>
  <c r="D342" i="1" l="1"/>
  <c r="C344" i="1"/>
  <c r="C345" i="1" l="1"/>
  <c r="D344" i="1"/>
  <c r="C346" i="1" l="1"/>
  <c r="D345" i="1"/>
  <c r="D346" i="1" l="1"/>
  <c r="C347" i="1"/>
  <c r="C348" i="1" l="1"/>
  <c r="D347" i="1"/>
  <c r="D348" i="1" l="1"/>
  <c r="C349" i="1"/>
  <c r="C350" i="1" l="1"/>
  <c r="D349" i="1"/>
  <c r="D350" i="1" l="1"/>
  <c r="C351" i="1"/>
  <c r="D351" i="1" l="1"/>
  <c r="C352" i="1"/>
  <c r="D352" i="1" l="1"/>
  <c r="C353" i="1"/>
  <c r="C354" i="1" l="1"/>
  <c r="D353" i="1"/>
  <c r="D354" i="1" l="1"/>
  <c r="C357" i="1"/>
  <c r="C358" i="1" l="1"/>
  <c r="D357" i="1"/>
  <c r="D358" i="1" l="1"/>
  <c r="C359" i="1"/>
  <c r="D359" i="1" l="1"/>
  <c r="C360" i="1"/>
  <c r="C361" i="1" l="1"/>
  <c r="D360" i="1"/>
  <c r="C362" i="1" l="1"/>
  <c r="D361" i="1"/>
  <c r="C363" i="1" l="1"/>
  <c r="D362" i="1"/>
  <c r="C364" i="1" l="1"/>
  <c r="D363" i="1"/>
  <c r="C365" i="1" l="1"/>
  <c r="D364" i="1"/>
  <c r="C366" i="1" l="1"/>
  <c r="D365" i="1"/>
  <c r="D366" i="1" l="1"/>
  <c r="C367" i="1"/>
  <c r="C369" i="1" l="1"/>
  <c r="D367" i="1"/>
  <c r="D369" i="1" l="1"/>
  <c r="C370" i="1"/>
  <c r="C371" i="1" l="1"/>
  <c r="D370" i="1"/>
  <c r="C372" i="1" l="1"/>
  <c r="D371" i="1"/>
  <c r="C373" i="1" l="1"/>
  <c r="D372" i="1"/>
  <c r="D373" i="1" l="1"/>
  <c r="C374" i="1"/>
  <c r="C376" i="1" l="1"/>
  <c r="D374" i="1"/>
  <c r="C377" i="1" l="1"/>
  <c r="D376" i="1"/>
  <c r="C378" i="1" l="1"/>
  <c r="D377" i="1"/>
  <c r="D378" i="1" l="1"/>
  <c r="C379" i="1"/>
  <c r="C380" i="1" l="1"/>
  <c r="D379" i="1"/>
  <c r="D380" i="1" l="1"/>
  <c r="C381" i="1"/>
  <c r="D381" i="1" l="1"/>
  <c r="C382" i="1"/>
  <c r="C383" i="1" l="1"/>
  <c r="D382" i="1"/>
  <c r="C384" i="1" l="1"/>
  <c r="D383" i="1"/>
  <c r="D384" i="1" l="1"/>
  <c r="C385" i="1"/>
  <c r="C386" i="1" l="1"/>
  <c r="D385" i="1"/>
  <c r="C389" i="1" l="1"/>
  <c r="D386" i="1"/>
  <c r="C390" i="1" l="1"/>
  <c r="D389" i="1"/>
  <c r="D390" i="1" l="1"/>
  <c r="C391" i="1"/>
  <c r="C392" i="1" l="1"/>
  <c r="D391" i="1"/>
  <c r="C393" i="1" l="1"/>
  <c r="D392" i="1"/>
  <c r="D393" i="1" l="1"/>
  <c r="C394" i="1"/>
  <c r="D394" i="1" l="1"/>
  <c r="C395" i="1"/>
  <c r="C396" i="1" l="1"/>
  <c r="D395" i="1"/>
  <c r="D396" i="1" l="1"/>
  <c r="C397" i="1"/>
  <c r="C398" i="1" l="1"/>
  <c r="D397" i="1"/>
  <c r="D398" i="1" l="1"/>
  <c r="C399" i="1"/>
  <c r="D399" i="1" l="1"/>
  <c r="C401" i="1"/>
  <c r="D401" i="1" l="1"/>
  <c r="C402" i="1"/>
  <c r="C403" i="1" l="1"/>
  <c r="D402" i="1"/>
  <c r="D403" i="1" l="1"/>
  <c r="C404" i="1"/>
  <c r="C405" i="1" l="1"/>
  <c r="D404" i="1"/>
  <c r="C406" i="1" l="1"/>
  <c r="D405" i="1"/>
  <c r="C408" i="1" l="1"/>
  <c r="D406" i="1"/>
  <c r="C409" i="1" l="1"/>
  <c r="D408" i="1"/>
  <c r="D409" i="1" l="1"/>
  <c r="C410" i="1"/>
  <c r="D410" i="1" l="1"/>
  <c r="C411" i="1"/>
  <c r="D411" i="1" l="1"/>
  <c r="C412" i="1"/>
  <c r="C413" i="1" l="1"/>
  <c r="D412" i="1"/>
  <c r="C414" i="1" l="1"/>
  <c r="D413" i="1"/>
  <c r="C415" i="1" l="1"/>
  <c r="D414" i="1"/>
  <c r="D415" i="1" l="1"/>
  <c r="C416" i="1"/>
  <c r="C417" i="1" l="1"/>
  <c r="D416" i="1"/>
  <c r="D417" i="1" l="1"/>
  <c r="C418" i="1"/>
  <c r="C420" i="1" s="1"/>
  <c r="D418" i="1" l="1"/>
  <c r="C421" i="1" l="1"/>
  <c r="D420" i="1"/>
  <c r="C422" i="1" l="1"/>
  <c r="D422" i="1" s="1"/>
  <c r="D424" i="1" s="1"/>
  <c r="D421" i="1"/>
</calcChain>
</file>

<file path=xl/sharedStrings.xml><?xml version="1.0" encoding="utf-8"?>
<sst xmlns="http://schemas.openxmlformats.org/spreadsheetml/2006/main" count="1264" uniqueCount="470">
  <si>
    <t>1 = Regular Education
2 = Special Education</t>
  </si>
  <si>
    <t>Record Length:</t>
  </si>
  <si>
    <t>Field Use</t>
  </si>
  <si>
    <t>K, E</t>
  </si>
  <si>
    <t>E</t>
  </si>
  <si>
    <t>Raw Score for Each Content Standard</t>
  </si>
  <si>
    <t>Raw Score for Each Subtest</t>
  </si>
  <si>
    <t>Subtest 3: Reading and Responding</t>
  </si>
  <si>
    <t xml:space="preserve">Standard 5: Locate, select, and synthesize information </t>
  </si>
  <si>
    <t xml:space="preserve">Standard 6: Read, analyze, and respond to literature </t>
  </si>
  <si>
    <t>Standard 7: Apply reasoning and problem-solving skills</t>
  </si>
  <si>
    <t xml:space="preserve">Subtest 1: Writing </t>
  </si>
  <si>
    <t xml:space="preserve">Subtest 2: Using Information Resources </t>
  </si>
  <si>
    <t xml:space="preserve">Subtest 4: Proofreading </t>
  </si>
  <si>
    <t>Raw Scores for Writing</t>
  </si>
  <si>
    <t>Dimension 1: Composing</t>
  </si>
  <si>
    <t>Dimension 2: Style/audience awareness</t>
  </si>
  <si>
    <t>Dimension 3: Sentence formation</t>
  </si>
  <si>
    <t>Dimension 4: Usage</t>
  </si>
  <si>
    <t>Dimension 5: Mechanics</t>
  </si>
  <si>
    <t>Dimension 6: Spelling</t>
  </si>
  <si>
    <t>Raw Score for Item Type</t>
  </si>
  <si>
    <t>Multiple-Choice Items</t>
  </si>
  <si>
    <t xml:space="preserve">Constructed-Response Items </t>
  </si>
  <si>
    <t>ELA Auto Rescore Flag</t>
  </si>
  <si>
    <t>Subtest 1: Multiple-Choice Items</t>
  </si>
  <si>
    <t>Math Auto Rescore Flag</t>
  </si>
  <si>
    <t>Standard 1: Science as Inquiry</t>
  </si>
  <si>
    <t>Standard 2: Physical Science</t>
  </si>
  <si>
    <t>Standard 3: Life Science</t>
  </si>
  <si>
    <t>Standard 4: Earth and Space Science</t>
  </si>
  <si>
    <t>Standard 5: Science and the Environment</t>
  </si>
  <si>
    <t>Subtest 2: Short Answer Items</t>
  </si>
  <si>
    <t>Science Auto Rescore Flag</t>
  </si>
  <si>
    <t>Standard 1: Geography</t>
  </si>
  <si>
    <t>Standard 2: Civics</t>
  </si>
  <si>
    <t>Standard 3: Economics</t>
  </si>
  <si>
    <t>Standard 4: History</t>
  </si>
  <si>
    <t xml:space="preserve">Subtest 1: Multiple-Choice Items </t>
  </si>
  <si>
    <t>Social Studies Auto Rescore Flag</t>
  </si>
  <si>
    <t>Summarized Void Flags</t>
  </si>
  <si>
    <t>Included in N-counts</t>
  </si>
  <si>
    <t>Summarized Education Classification</t>
  </si>
  <si>
    <t>Student's school was included in LEA code for district level reporting.</t>
  </si>
  <si>
    <t>1 = Regular
2 = Home Study
3 = Nonpublic School</t>
  </si>
  <si>
    <t xml:space="preserve">Initial Tester for the most recent Spring test
</t>
  </si>
  <si>
    <t>Y = Yes
N = No</t>
  </si>
  <si>
    <t>Y = Subject was attempted
N = Subject was not attempted</t>
  </si>
  <si>
    <t>Y = Include student in summary
      N-counts for subject
N = Do not include student in summary 
      N-counts for subject</t>
  </si>
  <si>
    <t>COMMON DEMOGRAPHIC INFORMATION</t>
  </si>
  <si>
    <t>ENGLISH LANGUAGE ARTS SCORING INFORMATION</t>
  </si>
  <si>
    <t>MATH SCORING INFORMATION</t>
  </si>
  <si>
    <t>SCIENCE SCORING INFORMATION</t>
  </si>
  <si>
    <t>SOCIAL STUDIES SCORING INFORMATION</t>
  </si>
  <si>
    <t>Y = Void in subject
N = No void in subject</t>
  </si>
  <si>
    <t>STUDENT FLAGS BY SUBJECT</t>
  </si>
  <si>
    <t>As flagged on the LAP file.
Blank for a hand-coded document that could not be matched back to the LAP file.</t>
  </si>
  <si>
    <t>Y = Yes, student classified as a straggler 
N = No, student not classified as a straggler</t>
  </si>
  <si>
    <t xml:space="preserve"> </t>
  </si>
  <si>
    <t>Repeating Grade</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</si>
  <si>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</si>
  <si>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</si>
  <si>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</si>
  <si>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</si>
  <si>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</si>
  <si>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</si>
  <si>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</si>
  <si>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</si>
  <si>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</si>
  <si>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</si>
  <si>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</si>
  <si>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</si>
  <si>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Summarized DOB Month</t>
  </si>
  <si>
    <t>Summarized DOB Day</t>
  </si>
  <si>
    <t>Summarized DOB Year</t>
  </si>
  <si>
    <t>Summarized Gender</t>
  </si>
  <si>
    <t>Summarized Lunch Status</t>
  </si>
  <si>
    <t>LEAP Promotional Status</t>
  </si>
  <si>
    <t>LEAP Remediation Eligibility</t>
  </si>
  <si>
    <t>LEAP Summer Test Eligibility</t>
  </si>
  <si>
    <t>Summarized Migrant Status</t>
  </si>
  <si>
    <t>DOCUMENT 1 DEMOGRAPHIC INFORMATION</t>
  </si>
  <si>
    <t>No Accommodations</t>
  </si>
  <si>
    <t>Braille</t>
  </si>
  <si>
    <t>Large Print</t>
  </si>
  <si>
    <t>Answers Recorded</t>
  </si>
  <si>
    <t>Assistive Technology</t>
  </si>
  <si>
    <t>Extended Time</t>
  </si>
  <si>
    <t>Communication Assistance (Exception: ELA Reading &amp; Responding)</t>
  </si>
  <si>
    <t>Transferred Answers</t>
  </si>
  <si>
    <t>Individual/Small Group Administration</t>
  </si>
  <si>
    <t>Tests Read Aloud (Exception: ELA Reading &amp; Responding)</t>
  </si>
  <si>
    <t>Other</t>
  </si>
  <si>
    <t>Test Administered by ESL Teacher or Individual Providing Language Services</t>
  </si>
  <si>
    <t>Bubbled Optional Local Use</t>
  </si>
  <si>
    <t>Bubbled Accountability Code</t>
  </si>
  <si>
    <t>Multiple Choice / Constructed Response Items Attempted Flag</t>
  </si>
  <si>
    <t>Bubbled Subjects for LEAP Tutoring</t>
  </si>
  <si>
    <t>DOCUMENT 2 DEMOGRAPHIC INFORMATION</t>
  </si>
  <si>
    <t>Provision of English/Native Language Word-to-Word Dictionary (No Definitions)</t>
  </si>
  <si>
    <t>DOCUMENT 3 DEMOGRAPHIC INFORMATION</t>
  </si>
  <si>
    <t>File Creation Date and Time Stamp</t>
  </si>
  <si>
    <t>ASSESSMENT ROLLUP AND INCLUSION FLAGS</t>
  </si>
  <si>
    <t>Student's scores were summarized in the State totals.</t>
  </si>
  <si>
    <t>Student's school was included in the district level media reports.</t>
  </si>
  <si>
    <t>Date the file was generated</t>
  </si>
  <si>
    <t>M = Male
F = Female
I = Invalid</t>
  </si>
  <si>
    <t>1 = Free
2 = Reduced
0 = Paid
9 = Unknown</t>
  </si>
  <si>
    <t>Y = LEP
N = Not LEP</t>
  </si>
  <si>
    <t>Y = 504
N = Not 504</t>
  </si>
  <si>
    <t>Description/Comments</t>
  </si>
  <si>
    <t>Possible Values</t>
  </si>
  <si>
    <t>Starting Location</t>
  </si>
  <si>
    <t>Ending Location</t>
  </si>
  <si>
    <t>Student's school was included in Assessment Group Code for district level reporting.</t>
  </si>
  <si>
    <t>FOOTNOTE FLAGS BY SUBJECT - ELA</t>
  </si>
  <si>
    <t>Admin.</t>
  </si>
  <si>
    <t>FOOTNOTE FLAGS BY SUBJECT - MATH</t>
  </si>
  <si>
    <t>FOOTNOTE FLAGS BY SUBJECT - SCIENCE</t>
  </si>
  <si>
    <t>FOOTNOTE FLAGS BY SUBJECT - SOCIAL STUDIES</t>
  </si>
  <si>
    <t>Summarized LEP Status</t>
  </si>
  <si>
    <t>Summarized Section 504 Status</t>
  </si>
  <si>
    <t>Student Testing Status Flags</t>
  </si>
  <si>
    <t>School Type Flags</t>
  </si>
  <si>
    <t>Home Study/Nonpublic Flag</t>
  </si>
  <si>
    <t>O</t>
  </si>
  <si>
    <t>S</t>
  </si>
  <si>
    <t>O, S</t>
  </si>
  <si>
    <t>S, F</t>
  </si>
  <si>
    <t>Rollup to State</t>
  </si>
  <si>
    <t>Include in District Media Reports</t>
  </si>
  <si>
    <t>Include in School Media Reports</t>
  </si>
  <si>
    <t>Summarize to Assessment Group Code for district level reporting</t>
  </si>
  <si>
    <t>Schools summarized to LEA Code for district level reporting</t>
  </si>
  <si>
    <t>Summary Reports</t>
  </si>
  <si>
    <t>Document 1 Test Administrator Information</t>
  </si>
  <si>
    <t>Document 2 Test Administrator Information</t>
  </si>
  <si>
    <t>Document 3 Test Administrator Information</t>
  </si>
  <si>
    <t>DRC Unique Student ID</t>
  </si>
  <si>
    <t>Length</t>
  </si>
  <si>
    <t>Field Name</t>
  </si>
  <si>
    <t>FILLER</t>
  </si>
  <si>
    <t>Year of test</t>
  </si>
  <si>
    <t>Y = Classified as a Migrant Student
N = Not classified as a Migrant Student</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</si>
  <si>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</si>
  <si>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</si>
  <si>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000000000-999999999
---------</t>
  </si>
  <si>
    <t>Student's SSN
"*" and " " values are changed to "-".</t>
  </si>
  <si>
    <t>Summarized Test Taken Flag</t>
  </si>
  <si>
    <t>Updated Accountability Code - Document 1</t>
  </si>
  <si>
    <t>Updated Accountability Code - Document 2</t>
  </si>
  <si>
    <t>Updated Accountability Code - Document 3</t>
  </si>
  <si>
    <t>Document Site code</t>
  </si>
  <si>
    <t>Site code - Document 1</t>
  </si>
  <si>
    <t>Site code - Document 2</t>
  </si>
  <si>
    <t>Site code - Document 3</t>
  </si>
  <si>
    <t>Summarized Accommodations by Subject</t>
  </si>
  <si>
    <t xml:space="preserve">   ENGLISH LANGUAGE ARTS</t>
  </si>
  <si>
    <t xml:space="preserve">      Summarized Special Ed Test Accommodations</t>
  </si>
  <si>
    <t xml:space="preserve">      Summarized LEP Test Accommodations</t>
  </si>
  <si>
    <t xml:space="preserve">      Summarized Section 504 Test Accommodations</t>
  </si>
  <si>
    <t>MATHEMATICS</t>
  </si>
  <si>
    <t>SCIENCE</t>
  </si>
  <si>
    <t>SOCIAL STUDIES</t>
  </si>
  <si>
    <t>Bubbled Calculator Use (Math Only)</t>
  </si>
  <si>
    <t>Y = Student has the Test Accommodation
N = Student does not have the Test 
        Accommodation</t>
  </si>
  <si>
    <t>Summarized Subject for LEAP Tutoring</t>
  </si>
  <si>
    <t>Summarized Previously Attempted Tests - ELA/Math</t>
  </si>
  <si>
    <t>Summarized Previously Attempted Tests - SCI/SOC</t>
  </si>
  <si>
    <t>Total score of all writing dimensions.
Zero (000.0) is a valid score.
Blank when the Raw Score Total for ELA is blank.</t>
  </si>
  <si>
    <t>Total points earned for each writing dimension.
Blank when the Raw Score Total for ELA is blank.</t>
  </si>
  <si>
    <t>Total points earned for each Science content standard.
Blank when content standard is not assessed (zero points possible), or when the Raw Score Total for Science is blank.</t>
  </si>
  <si>
    <t>Total points earned for each Social Studies content standard.
Blank when content standard is not assessed (zero points possible), or when the Raw Score Total for Social Studies is blank.</t>
  </si>
  <si>
    <t>"*", "-", and "_" values are changed to spaces</t>
  </si>
  <si>
    <t>Bubbled Attended Remediation - Document 2 (Math)</t>
  </si>
  <si>
    <t>Summarized McKinney-Vento Act (Homeless)</t>
  </si>
  <si>
    <t>Charter Type</t>
  </si>
  <si>
    <t>1 = Type 1 Charter
2 = Type 2 Charter
3 = Type 3 Charter
4 = Type 4 Charter
5 = Type 5 Charter
Blank = Not a Charter School</t>
  </si>
  <si>
    <t>Summarized Accountability Code - ELA</t>
  </si>
  <si>
    <t>Summarized Accountability Code - Math</t>
  </si>
  <si>
    <t>Summarized Accountability Code - Science</t>
  </si>
  <si>
    <t>Summarized Accountability Code - Social Studies</t>
  </si>
  <si>
    <t>1 = Yes
- = No response (document returned)
Blank = document not returned</t>
  </si>
  <si>
    <t>Y = Yes (passed)
N = No (did NOT pass)
Blank = does not apply</t>
  </si>
  <si>
    <t>1 = English
2 = Math
3 = Both Subjects
4 = No response (document returned)
Blank = document not returned</t>
  </si>
  <si>
    <t>1 = Yes
- = No response (document returned)
Blank</t>
  </si>
  <si>
    <t>0-9, -, or * in each position
-- = No response (document returned)
Blank = document not returned</t>
  </si>
  <si>
    <t>00.0-99.5
Blank</t>
  </si>
  <si>
    <t>100-500
Blank</t>
  </si>
  <si>
    <t>000.0-999.5
Blank</t>
  </si>
  <si>
    <t>00.0, 00.5, 01.0, 01.5, 02.0, 02.5, 03.0, 03.5, 04.0, or Blank</t>
  </si>
  <si>
    <t>00.0, 00.5, 01.0
Blank</t>
  </si>
  <si>
    <t>000.0-012.0
Blank</t>
  </si>
  <si>
    <t>000-999
Blank</t>
  </si>
  <si>
    <t>01-34
Blank</t>
  </si>
  <si>
    <t>0 = in SIS, not LEP prior 2 yrs
1 = LEP 1 yr prior
2 = LEP 2 yrs prior
3 = LEP current year
Blank = not in SIS prior 2 years or student 
               is not on the LAP file</t>
  </si>
  <si>
    <t>Y = Initial Tester in Spring
N = Retester in Spring, or Did Not Test in 
        Spring
Blank</t>
  </si>
  <si>
    <t>Y = Repeating Grade
N = Not Repeating Grade
Blank</t>
  </si>
  <si>
    <t>01-99
Blank (default value)</t>
  </si>
  <si>
    <t>UNS = Unsatisfactory
APP = Approaching Basic
BAS = Basic
MAS = Mastery
ADV = Advanced
Blank</t>
  </si>
  <si>
    <t>3 digit district code for the home-base Site 
Blank</t>
  </si>
  <si>
    <t>3 digit school code for the home-base Site 
Blank</t>
  </si>
  <si>
    <t>Numeric value with leading zeros
Blank</t>
  </si>
  <si>
    <t>0000000000-9999999999
Blank</t>
  </si>
  <si>
    <t>ASSESSMENT/ACCOUNTABILITY INFORMATION</t>
  </si>
  <si>
    <t>Precoded Site code</t>
  </si>
  <si>
    <t>K, E, M, R</t>
  </si>
  <si>
    <t>E, M, R</t>
  </si>
  <si>
    <t>K, E, M</t>
  </si>
  <si>
    <t>M</t>
  </si>
  <si>
    <t>03 = Spring
07 = Summer Retest
10 = Fall Retest</t>
  </si>
  <si>
    <t>Summarized Special Education Exceptionality Category by Subject</t>
  </si>
  <si>
    <t>Summarized Special Education Exceptionality Category - English Language Arts</t>
  </si>
  <si>
    <t>Summarized Special Education Exceptionality Category - Mathematics</t>
  </si>
  <si>
    <t>Summarized Special Education Exceptionality Category - Science</t>
  </si>
  <si>
    <t>Summarized Special Education Exceptionality Category - Social Studies</t>
  </si>
  <si>
    <t>Summarized Ethnicity/Race</t>
  </si>
  <si>
    <t>Charter type as listed in the School Master File.
Blank for 888, 998, and 999 school types.</t>
  </si>
  <si>
    <t>Value of "Y" will only appear in the final LDESTD file</t>
  </si>
  <si>
    <t>Summary of District Void and Plagiarism flags in each subject.  If any of these 2 flags are "Y" in a subject, then the Summarized flag will be "Y" for that subject.</t>
  </si>
  <si>
    <t>If field value = "Y", then student will be receiving this footnote.
The Footnote/Verbiage: Previously Passed Subject will be set to "N",  if the student's Summarized Void Flag for English Language Arts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</si>
  <si>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Mathematics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</si>
  <si>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Science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</si>
  <si>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Social Studies = "Y".
When a subject is updated because of a score merge, the Footnote/Verbiage: Previously Passed Subject will be set to "N" for the secondary record.</t>
  </si>
  <si>
    <t>Y = Auto Rescore
N = No Auto Rescore</t>
  </si>
  <si>
    <t xml:space="preserve">Y = Auto Rescore
N = No Auto Rescore </t>
  </si>
  <si>
    <t>Student's school was included in the school level media reports.</t>
  </si>
  <si>
    <t>Student's school was included in summary reports.</t>
  </si>
  <si>
    <t>If field value = "Y", then student will be receiving this footnote.
The Footnote: Retesting Subject will be set to "Y" if the ELA Testing Status = "R".
When a subject is updated because of a score merge, the Footnote: Retesting Subject will be set to "N" for the secondary record.</t>
  </si>
  <si>
    <t>If field value = "Y", then student will be receiving this footnote.
The Footnote: Retesting Subject will be set to "Y" if the Math Testing Status = "R".
When a subject is updated because of a score merge, the Footnote: Retesting Subject will be set to "N" for the secondary record.</t>
  </si>
  <si>
    <t>C</t>
  </si>
  <si>
    <t>E, C</t>
  </si>
  <si>
    <t>M, R, C</t>
  </si>
  <si>
    <t>M, C</t>
  </si>
  <si>
    <t>0-9 or - in any position</t>
  </si>
  <si>
    <t>100-899 = School Level
900-999 = District Level
--- = No response (document returned)
* = Multiple Response
Blank = document not returned</t>
  </si>
  <si>
    <t>LAP Primary Exceptionality</t>
  </si>
  <si>
    <t>LAP LEP Indicator Code</t>
  </si>
  <si>
    <t>LAP Option Code</t>
  </si>
  <si>
    <t>LAP LDE Unique ID (GUID)</t>
  </si>
  <si>
    <t>LAP Home-base Site District Code</t>
  </si>
  <si>
    <t>LAP Home-base Site School Code</t>
  </si>
  <si>
    <t>Accountability Achievement Level - ELA</t>
  </si>
  <si>
    <t>Accountability Achievement Level - Math</t>
  </si>
  <si>
    <t>Accountability Achievement Level - Science</t>
  </si>
  <si>
    <t>Accountability Achievement Level - Social Studies</t>
  </si>
  <si>
    <t>Summarized Test Taken Flag - ELA</t>
  </si>
  <si>
    <t>Summarized Test Taken Flag - Math</t>
  </si>
  <si>
    <t>Summarized Test Taken Flag - Science</t>
  </si>
  <si>
    <t>Summarized Test Taken Flag - Social Studies</t>
  </si>
  <si>
    <t>Raw Score Total - ELA</t>
  </si>
  <si>
    <t>Scaled Score - ELA</t>
  </si>
  <si>
    <t>Assessment Achievement Level - ELA</t>
  </si>
  <si>
    <t>Scaled Score - Math</t>
  </si>
  <si>
    <t>Assessment Achievement Level - Math</t>
  </si>
  <si>
    <t>Scaled Score - Science</t>
  </si>
  <si>
    <t>Assessment Achievement Level - Science</t>
  </si>
  <si>
    <t>6 digit site code
Blank</t>
  </si>
  <si>
    <t>M, R</t>
  </si>
  <si>
    <t>1 = Hispanic/Latino
2 = American Indian or Alaska Native
3 = Asian
4 = Black or African American
5 = Native Hawaiian or Other Pacific
       Islander
6 = White
7 = Two or more races
 I = Invalid</t>
  </si>
  <si>
    <t>1 = English Language Arts 
2 = Mathematics
3 = Both Subjects
Blank = student has no previously 
                attempted tests for these subjects</t>
  </si>
  <si>
    <t>1 = Science
2 = Social Studies
3 = Both Subjects
Blank = student has no previously 
                 attempted tests for these subjects</t>
  </si>
  <si>
    <t>E, M</t>
  </si>
  <si>
    <t>Bubbled Attended Remediation - Document 1 (ELA)</t>
  </si>
  <si>
    <t>0-9, - , or * in each position
---------- = No response (document returned)
Blank = document not returned</t>
  </si>
  <si>
    <t>Raw Score Total - Math</t>
  </si>
  <si>
    <t>Raw Score Total - Science</t>
  </si>
  <si>
    <t>Raw Score Total - Social Studies</t>
  </si>
  <si>
    <t>Scaled Score - Social Studies</t>
  </si>
  <si>
    <t>Assessment Achievement Level - Social Studies</t>
  </si>
  <si>
    <t>ACCOUNTABILITY INFORMATION</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</si>
  <si>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</si>
  <si>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Total correct Science multiple choice items
Blank when Raw Score Total for Science is blank, or if Science was updated because of a score merge or requested rescore.</t>
  </si>
  <si>
    <t>Total correct Science constructed-response items (includes short answer items and essay)
Blank when Raw Score Total for Science is blank, or if Science was updated because of a score merge or requested rescore.</t>
  </si>
  <si>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</si>
  <si>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t>04 = Grade 4
08 = Grade 8 
10 = Grade 10 (preidentified student)
11 = Grade 11 (preidentified student)
12 = Grade 12 (preidentified student)
HS = High School (Grade 10, 11 or 12
        hand-coded document)</t>
  </si>
  <si>
    <t>0-9, - , or * in each position
-- = No response (document returned)
Blank = document not returned</t>
  </si>
  <si>
    <t>0 = Neither MC nor CR taken
1 = MC only taken
2 = CR only taken
3 = Both MC and CR taken
Blank</t>
  </si>
  <si>
    <t>As bubbled on the Math answer document in a retest.</t>
  </si>
  <si>
    <t>Summarized Accountability Code from Spring - ELA</t>
  </si>
  <si>
    <t>Summarized Accountability Code from Spring - Math</t>
  </si>
  <si>
    <t>Summarized Accountability Code from Spring - Science</t>
  </si>
  <si>
    <t>Summarized Accountability Code from Spring - Social Studies</t>
  </si>
  <si>
    <t>Format: "YYYY-MM-DD HH:MM:SS"</t>
  </si>
  <si>
    <t>UNS = Unsatisfactory
APP = Approaching Basic
BAS = Basic
MAS = Mastery
ADV = Advanced
INC = Include in reports
Blank</t>
  </si>
  <si>
    <t>MC / CR Taken - ELA</t>
  </si>
  <si>
    <t>MC / CR Taken - Math</t>
  </si>
  <si>
    <t>MC / CR Taken - Science</t>
  </si>
  <si>
    <t>MC / CR Taken - Social Studies</t>
  </si>
  <si>
    <t>Summarized Void Flag - ELA</t>
  </si>
  <si>
    <t>Summarized Void Flag - Math</t>
  </si>
  <si>
    <t>Summarized Void Flag - Science</t>
  </si>
  <si>
    <t>Summarized Void Flag - Social Studies</t>
  </si>
  <si>
    <t>Include in N-counts - ELA</t>
  </si>
  <si>
    <t>Include in N-counts - Math</t>
  </si>
  <si>
    <t>Include in N-counts - Science</t>
  </si>
  <si>
    <t>Include in N-counts - Social Studies</t>
  </si>
  <si>
    <t>Testing Status - ELA</t>
  </si>
  <si>
    <t>Testing Status - Math</t>
  </si>
  <si>
    <t>Testing Status - Science</t>
  </si>
  <si>
    <t>Testing Status - Social Studies</t>
  </si>
  <si>
    <t>Footnote: Partial Score - ELA</t>
  </si>
  <si>
    <t>Footnote: Eligible for Appeal - ELA</t>
  </si>
  <si>
    <t>Footnote: Retesting Subject - ELA</t>
  </si>
  <si>
    <t>Footnote: Passed, Summer remediation is optional - ELA</t>
  </si>
  <si>
    <t>Footnote/Verbiage: Previously Passed Subject - ELA</t>
  </si>
  <si>
    <t>Footnote: Partial Score - Math</t>
  </si>
  <si>
    <t>Footnote: Eligible for Appeal - Math</t>
  </si>
  <si>
    <t>Footnote: Retesting Subject - Math</t>
  </si>
  <si>
    <t>Footnote: Passed, Summer remediation is optional - Math</t>
  </si>
  <si>
    <t>Footnote/Verbiage: Previously Passed Subject - Math</t>
  </si>
  <si>
    <t>Footnote: Retesting Subject - Science</t>
  </si>
  <si>
    <t>Footnote/Verbiage: Previously Passed Subject - Science</t>
  </si>
  <si>
    <t>Footnote: Retesting Subject - Social Studies</t>
  </si>
  <si>
    <t>Footnote/Verbiage: Previously Passed Subject - Social Studies</t>
  </si>
  <si>
    <t>Bubbled Test Administrator Number - Document 1</t>
  </si>
  <si>
    <t>Bubbled Test Administrator Number - Document 2</t>
  </si>
  <si>
    <t>Bubbled Test Administrator Number - Document 3</t>
  </si>
  <si>
    <t>Precoded ELA</t>
  </si>
  <si>
    <t>Precoded Math</t>
  </si>
  <si>
    <t>Precoded Science</t>
  </si>
  <si>
    <t>Precoded Social Studies</t>
  </si>
  <si>
    <t>Y = Precoded for ELA
N = Not Precoded for ELA
Blank</t>
  </si>
  <si>
    <t>Y = Precoded for Math
N = Not Precoded for Math
Blank</t>
  </si>
  <si>
    <t>Y = Precoded for Science
N = Not Precoded for Science
Blank</t>
  </si>
  <si>
    <t>Y = Precoded for Social Studies
N = Not Precoded for Social Studies
Blank</t>
  </si>
  <si>
    <t>Blank when a record could not be matched back to the DRC Precode file.</t>
  </si>
  <si>
    <t>01 = LEA
02 = LAB
03 = CHA
04 = TRI
05 = NPB
06 = STA
08 = BSE
09 = OJJ
10 = MAR
12 = RES
13 = NPS
14 = RLA
15 = RNO
16 = JUV
17 = RBR</t>
  </si>
  <si>
    <t>This is the Phase 1 ELA/Math answer document in LEAP Spring, and the ELA answer document in a retest.</t>
  </si>
  <si>
    <t>This is the Math answer document in a retest.</t>
  </si>
  <si>
    <t>This is the Phase 1 ELA/Math answer document in LEAP spring, and the ELA answer document in a retest.</t>
  </si>
  <si>
    <t>As bubbled on the Phase 1 ELA/Math answer document in LEAP spring, and the ELA answer document in a retest.</t>
  </si>
  <si>
    <t>As bubbled on the Phase 1 LEAP ELA/Math answer document in LEAP spring.</t>
  </si>
  <si>
    <t>This is the Phase 2 ELA/Math/SCI/SOC answer document in LEAP Spring, and the GEE SCI/SOC answer document in a retest.</t>
  </si>
  <si>
    <t>This is the Phase 2 ELA/Math/SCI/SOC answer document in LEAP spring, and the GEE SCI/SOC answer document in a retest.</t>
  </si>
  <si>
    <t>As bubbled on the Phase 2 LEAP ELA/Math/SCI/SOC answer document in LEAP spring, and the GEE SCI/SOC answer document in a retest.</t>
  </si>
  <si>
    <t>As bubbled on the Phase 2 ELA/Math/SCI/SOC answer document in LEAP Spring, and the GEE SCI/SOC answer document in a retest.</t>
  </si>
  <si>
    <t>Assess Group Type</t>
  </si>
  <si>
    <t>As bubbled on the Phase 1 LEAP ELA/Math answer document in LEAP Spring, and the ELA answer document in a retest.</t>
  </si>
  <si>
    <t>As bubbled on the Phase 2 ELA/Math/SCI/SOC answer document in LEAP spring.</t>
  </si>
  <si>
    <t>LAP Scholarship Student Flag</t>
  </si>
  <si>
    <t>LAP Scholarship Site Code</t>
  </si>
  <si>
    <t>As flagged on the LAP file.
Blank for a hand-coded document that could not be matched back to the LAP file, or if the value was blank on the LAP file.</t>
  </si>
  <si>
    <t>Y = indicates student has an approved 
        scholarship
N = indicates student does not have an 
        approved scholarship
Blank</t>
  </si>
  <si>
    <t>6-digit site code for the site the student was 
    enrolled in prior to receiving the 
    scholarship
Blank</t>
  </si>
  <si>
    <t>G, O, S, F</t>
  </si>
  <si>
    <t>6 digit site code
Blank = document not returned</t>
  </si>
  <si>
    <t>Month of test</t>
  </si>
  <si>
    <t>G, S, F</t>
  </si>
  <si>
    <t>G, O</t>
  </si>
  <si>
    <r>
      <t xml:space="preserve">Met BESE Promotion Policy
Blank for GEE in Summer.
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</si>
  <si>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t xml:space="preserve">For students precoded in the Summer from GEE Spring or LEAP Spring or in the Fall from Summer, these fields will be populated with their Spring Summarized Accountability Codes by subject, if they exist.  </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</si>
  <si>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</si>
  <si>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r>
      <t>The precoded site code is the site where the student received preidentified answer documents.
Blank when the record could not be matched back to the DRC precode file.
GEE Spring/LEAP Spring: Site code from the LAP file, which will match the site code on the DRC Precode File.
Summer/Fall:</t>
    </r>
    <r>
      <rPr>
        <b/>
        <sz val="10"/>
        <rFont val="Arial"/>
        <family val="2"/>
      </rPr>
      <t xml:space="preserve"> </t>
    </r>
    <r>
      <rPr>
        <sz val="10"/>
        <rFont val="Arial"/>
        <family val="2"/>
      </rPr>
      <t xml:space="preserve">Site code from the DRC Precode File.  </t>
    </r>
  </si>
  <si>
    <r>
      <t xml:space="preserve">G, </t>
    </r>
    <r>
      <rPr>
        <sz val="10"/>
        <rFont val="Arial"/>
        <family val="2"/>
      </rPr>
      <t>S, F</t>
    </r>
  </si>
  <si>
    <r>
      <t>G,</t>
    </r>
    <r>
      <rPr>
        <sz val="10"/>
        <rFont val="Arial"/>
        <family val="2"/>
      </rPr>
      <t xml:space="preserve"> S, F</t>
    </r>
  </si>
  <si>
    <t>The numeric type for the Assess Group Code value from the School Master File for the school the student is being reported to.</t>
  </si>
  <si>
    <t>1 = Option 1 (Repeater)
4 = Career Diploma Pathway/Track
5 = Non-Diploma Bound
6 = Student Enrolled in Connections
       Process
7 = Student Pursuing State approved Skills 
       Certificate after participation in 
       Connections Process
8 = Student Pursuing GED after 
       participation in Connections Process
Blank</t>
  </si>
  <si>
    <t>Non-Score Code for Writing</t>
  </si>
  <si>
    <t>1 = Unreadable
2 = Foreign Language
3 = Off Topic
4 = Insufficient
5 = Refusal
6 = Blank
7 = Copied Passage
Blank</t>
  </si>
  <si>
    <t>As bubbled on the Phase 1 ELA/Math answer document in LEAP spring.</t>
  </si>
  <si>
    <r>
      <t xml:space="preserve">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</si>
  <si>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</si>
  <si>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rPr>
        <sz val="10"/>
        <rFont val="Arial"/>
        <family val="2"/>
      </rP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r>
      <rPr>
        <b/>
        <sz val="10"/>
        <rFont val="Arial"/>
        <family val="2"/>
      </rPr>
      <t xml:space="preserve">
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GEE Spring: </t>
    </r>
    <r>
      <rPr>
        <sz val="10"/>
        <rFont val="Arial"/>
        <family val="2"/>
      </rPr>
      <t xml:space="preserve">Values 10, 11, &amp; 12 come only from LAP file for a preidentified document. 
For students who tested in a grade that differs from their grade on the LAP file, the grade level of the document will be populated here.
</t>
    </r>
    <r>
      <rPr>
        <b/>
        <sz val="10"/>
        <rFont val="Arial"/>
        <family val="2"/>
      </rPr>
      <t>Retest:</t>
    </r>
    <r>
      <rPr>
        <sz val="1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</si>
  <si>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</si>
  <si>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</si>
  <si>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Taken from either the LAP file or the bubbled lunch status on the answer documents.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</si>
  <si>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</si>
  <si>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</si>
  <si>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</si>
  <si>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or if the value was blank on the LAP file.</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</si>
  <si>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</si>
  <si>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</si>
  <si>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Blank in Summer for GEE.
Refer to the </t>
    </r>
    <r>
      <rPr>
        <b/>
        <u/>
        <sz val="10"/>
        <rFont val="Arial"/>
        <family val="2"/>
      </rPr>
      <t>Initial Tester for the most recent Spring Test Flag</t>
    </r>
    <r>
      <rPr>
        <sz val="10"/>
        <rFont val="Arial"/>
        <family val="2"/>
      </rPr>
      <t xml:space="preserve"> section of the Processing Rules - Scoring document for possible values.</t>
    </r>
  </si>
  <si>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</si>
  <si>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r>
      <t xml:space="preserve">Valued for LEAP students in Spring and Summer.  
Refer to the </t>
    </r>
    <r>
      <rPr>
        <b/>
        <u/>
        <sz val="10"/>
        <rFont val="Arial"/>
        <family val="2"/>
      </rPr>
      <t>LDESTD Retester/Repeater Flags</t>
    </r>
    <r>
      <rPr>
        <sz val="10"/>
        <rFont val="Arial"/>
        <family val="2"/>
      </rPr>
      <t xml:space="preserve"> section of the Processing Rules – Scoring document for logic.
Blank in Summer for GEE.</t>
    </r>
  </si>
  <si>
    <r>
      <t xml:space="preserve">If field value = "Y", then student will be receiving this footnote.
The Partial Score footnote for English Language Arts will be set based on the logic defined within the </t>
    </r>
    <r>
      <rPr>
        <b/>
        <u/>
        <sz val="10"/>
        <rFont val="Arial"/>
        <family val="2"/>
      </rPr>
      <t>Partial Scores Flag</t>
    </r>
    <r>
      <rPr>
        <sz val="10"/>
        <rFont val="Arial"/>
        <family val="2"/>
      </rPr>
      <t xml:space="preserve"> section of the Processing Rules – Scoring document.</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</si>
  <si>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Scoring document.</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</si>
  <si>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Scoring document.</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</si>
  <si>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</si>
  <si>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Test Taken</t>
    </r>
    <r>
      <rPr>
        <sz val="10"/>
        <rFont val="Arial"/>
        <family val="2"/>
      </rPr>
      <t xml:space="preserve"> section of the Processing Rules - Scoring document for rules on populating these values.
The Summarized Test Taken Flag will be set to "N" if the subject was the secondary record involved in a score merge.</t>
    </r>
  </si>
  <si>
    <t>Document Name</t>
  </si>
  <si>
    <t>LDE SFTP Location</t>
  </si>
  <si>
    <t>DRC Location</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</si>
  <si>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</si>
  <si>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</si>
  <si>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</si>
  <si>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</si>
  <si>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</si>
  <si>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</si>
  <si>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</si>
  <si>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t>
  </si>
  <si>
    <t>http://drcdirect/informationsystems/eis/dteam/Louisiana/Accountability/</t>
  </si>
  <si>
    <r>
      <t xml:space="preserve">If field value = "Y", then student will be receiving this footnote.
The Partial Score footnote for Math will be set based on the logic defined within the </t>
    </r>
    <r>
      <rPr>
        <b/>
        <u/>
        <sz val="10"/>
        <rFont val="Arial"/>
        <family val="2"/>
      </rPr>
      <t>Partial Scores Flag</t>
    </r>
    <r>
      <rPr>
        <sz val="10"/>
        <rFont val="Arial"/>
        <family val="2"/>
      </rPr>
      <t xml:space="preserve"> section of the Processing Rules –  Scoring document.</t>
    </r>
  </si>
  <si>
    <t>&lt;Project&gt; = "Spring", "Summer", "Fall"</t>
  </si>
  <si>
    <t>&lt;Admin&gt; = "GEE March Retest", "LEAP Spring" "LEAP_GEE Summer Retest", "GEE Fall Retest"</t>
  </si>
  <si>
    <t xml:space="preserve">                       LEAP_GEE &lt;Project&gt;/ </t>
  </si>
  <si>
    <t>Common Louisiana &lt;Project&gt;/Reporting/</t>
  </si>
  <si>
    <r>
      <t xml:space="preserve">If field value = Y, then student will be receiving this footnote.
The Eligible for Appeal flag for English Language Arts will be set based on the logic defined within the </t>
    </r>
    <r>
      <rPr>
        <b/>
        <u/>
        <sz val="10"/>
        <rFont val="Arial"/>
        <family val="2"/>
      </rPr>
      <t>Appeals Flag</t>
    </r>
    <r>
      <rPr>
        <sz val="10"/>
        <rFont val="Arial"/>
        <family val="2"/>
      </rPr>
      <t xml:space="preserve"> section of the Processing Rules – Scoring document.</t>
    </r>
  </si>
  <si>
    <r>
      <t xml:space="preserve">As bubbled on the LEAP </t>
    </r>
    <r>
      <rPr>
        <sz val="10"/>
        <rFont val="Arial"/>
        <family val="2"/>
      </rPr>
      <t>Math answer document in Summer.</t>
    </r>
  </si>
  <si>
    <r>
      <t xml:space="preserve">As bubbled on the LEAP </t>
    </r>
    <r>
      <rPr>
        <sz val="10"/>
        <rFont val="Arial"/>
        <family val="2"/>
      </rPr>
      <t>ELA answer document in Summer.</t>
    </r>
  </si>
  <si>
    <r>
      <t xml:space="preserve">Scaled score for ELA.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</si>
  <si>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</si>
  <si>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English Language Arts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</si>
  <si>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r>
      <t xml:space="preserve">Scaled score for Math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</si>
  <si>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</si>
  <si>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Math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</si>
  <si>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r>
      <t xml:space="preserve">Scaled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</si>
  <si>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</si>
  <si>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Science will be set to "Y", if the student meets the selection criteria defined within the </t>
    </r>
    <r>
      <rPr>
        <b/>
        <u/>
        <sz val="10"/>
        <rFont val="Arial"/>
        <family val="2"/>
      </rPr>
      <t xml:space="preserve">Students Who Were Auto-Rescored </t>
    </r>
    <r>
      <rPr>
        <sz val="10"/>
        <rFont val="Arial"/>
        <family val="2"/>
      </rPr>
      <t>section of the Processing Rules – Reporting document.
"N" for LEAP in Summer.</t>
    </r>
  </si>
  <si>
    <r>
      <t xml:space="preserve">Scaled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</si>
  <si>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</si>
  <si>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Social Studies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</si>
  <si>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t>P = Previously Passed
I = Initial Tester
R = Retesting Grade 4, 8, 10, 11, or 12
Blank</t>
  </si>
  <si>
    <r>
      <t xml:space="preserve">Refer to the </t>
    </r>
    <r>
      <rPr>
        <b/>
        <u/>
        <sz val="10"/>
        <rFont val="Arial"/>
        <family val="2"/>
      </rPr>
      <t>Testing Status Flags</t>
    </r>
    <r>
      <rPr>
        <sz val="10"/>
        <rFont val="Arial"/>
        <family val="2"/>
      </rPr>
      <t xml:space="preserve"> section of the Processing Rules -  Scoring document for possible values during each administration.
Testing Status - Science and Testing Status - Social Studies will be Blank in LEAP Summer. </t>
    </r>
  </si>
  <si>
    <r>
      <t xml:space="preserve">Values 1-7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Scoring document for more information on assigning non-score codes.
The field is blank if no Non-Score Code was assigned or if ELA was updated because of a score merge or requested rescore.</t>
    </r>
  </si>
  <si>
    <t>O, S, F</t>
  </si>
  <si>
    <t>Project: 2014 LEAP/GEE Spring</t>
  </si>
  <si>
    <t>LAP Twin Flag</t>
  </si>
  <si>
    <t>Raw Score for Each Content Standard / Test Session</t>
  </si>
  <si>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</si>
  <si>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Document 1 = Phase 1 ELA/Math answer document in LEAP spring, and ELA answer 
                             document in a retest.
Document 2 = Math answer document in a retest.
Document 3 = Phase 2 ELA/Math/SCI/SOC answer document in LEAP spring, and 
                              GEE SCI/SOC answer document in a retest.</t>
    </r>
  </si>
  <si>
    <r>
      <t xml:space="preserve">If field value = Y, then student will be receiving this footnote.
The Eligible for Appeal flag for Math will be set based on the logic defined within the </t>
    </r>
    <r>
      <rPr>
        <b/>
        <u/>
        <sz val="10"/>
        <rFont val="Arial"/>
        <family val="2"/>
      </rPr>
      <t>Appeals Flag</t>
    </r>
    <r>
      <rPr>
        <sz val="10"/>
        <rFont val="Arial"/>
        <family val="2"/>
      </rPr>
      <t xml:space="preserve"> section of the Processing Rules – Materials and Scoring document.</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</si>
  <si>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 
Blank = student has no special education 
                category</t>
    </r>
  </si>
  <si>
    <t>Total points earned for each Math subtest.
Blank when subtest is not assessed (zero points possible), or when the Raw Score Total for Math is blank.</t>
  </si>
  <si>
    <r>
      <t>Raw Score for Eac</t>
    </r>
    <r>
      <rPr>
        <b/>
        <sz val="10"/>
        <color rgb="FF0000FF"/>
        <rFont val="Arial"/>
        <family val="2"/>
      </rPr>
      <t>h Subtest</t>
    </r>
  </si>
  <si>
    <t>Total Score for Writing</t>
  </si>
  <si>
    <t>Y = Indicated as one of the twins
N = Not Indicated as one of the twins
Blank</t>
  </si>
  <si>
    <t>Raw Score for Each Item Type</t>
  </si>
  <si>
    <t xml:space="preserve">Subtest 2: Constructed-Response Items </t>
  </si>
  <si>
    <t>Subtest 3: Task Items</t>
  </si>
  <si>
    <t>01-12
--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</si>
  <si>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t>
    </r>
  </si>
  <si>
    <t>00-39 (0-9 or - in any position)
99</t>
  </si>
  <si>
    <t>E = ELA only
M = Math only
B = ELA and Math
N = Neither ELA nor Math</t>
  </si>
  <si>
    <r>
      <t xml:space="preserve">As bubbled on the Phase 1 ELA/Math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r>
      <rPr>
        <sz val="10"/>
        <rFont val="Arial"/>
        <family val="2"/>
      </rPr>
      <t>.</t>
    </r>
  </si>
  <si>
    <r>
      <t xml:space="preserve">As bubbled on the Phase 2 LEAP ELA/Math/SCI/SOC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r>
      <rPr>
        <sz val="10"/>
        <rFont val="Arial"/>
        <family val="2"/>
      </rPr>
      <t>.</t>
    </r>
  </si>
  <si>
    <r>
      <t xml:space="preserve">Total raw score for ELA.
Refer to the </t>
    </r>
    <r>
      <rPr>
        <b/>
        <u/>
        <sz val="10"/>
        <rFont val="Arial"/>
        <family val="2"/>
      </rPr>
      <t>Resulting LDESTD Values by Subject</t>
    </r>
    <r>
      <rPr>
        <sz val="10"/>
        <rFont val="Arial"/>
        <family val="2"/>
      </rPr>
      <t xml:space="preserve"> section within the LEAP/GEE Processing Rules - Scoring document for the logic used to set the Raw Score value.
External Anchor Items are not included when determining the Raw Score Total - ELA in LEAP Spring.</t>
    </r>
  </si>
  <si>
    <t>Standard 1: Read, comprehend, and respond / Test Session: Reading and Responding</t>
  </si>
  <si>
    <r>
      <rPr>
        <b/>
        <sz val="10"/>
        <rFont val="Arial"/>
        <family val="2"/>
      </rPr>
      <t>LEAP:</t>
    </r>
    <r>
      <rPr>
        <sz val="10"/>
        <rFont val="Arial"/>
        <family val="2"/>
      </rPr>
      <t xml:space="preserve"> Total points earned for each ELA test session.</t>
    </r>
    <r>
      <rPr>
        <b/>
        <sz val="10"/>
        <rFont val="Arial"/>
        <family val="2"/>
      </rPr>
      <t xml:space="preserve">
GEE: </t>
    </r>
    <r>
      <rPr>
        <sz val="10"/>
        <rFont val="Arial"/>
        <family val="2"/>
      </rPr>
      <t>Total points earned for each ELA content standard.
Blank when content standard or test session is not assessed (zero points possible), or when Raw Score Total for ELA is blank.
"Standard 5: Locate, select, and synthesize information", "Standard 6: Read, analyze, and respond to literature", and "Standard 7: Apply reasoning and problem-solving skills" will be blank for LEAP in summer.</t>
    </r>
  </si>
  <si>
    <t>Standard 2: Write competently / Test Session: Research to Build Knowledge</t>
  </si>
  <si>
    <t>Standard 3: Use conventions of language / Test Session: Writing</t>
  </si>
  <si>
    <t>Standard 4: Not assessed / Test Session: Language</t>
  </si>
  <si>
    <t>Total points earned for each ELA subtest.
Blank when subtest is not assessed (zero points possible), or when the Raw Score Total for ELA is blank.
Blank for LEAP in Summer.</t>
  </si>
  <si>
    <r>
      <rPr>
        <b/>
        <sz val="10"/>
        <rFont val="Arial"/>
        <family val="2"/>
      </rPr>
      <t xml:space="preserve">GEE: </t>
    </r>
    <r>
      <rPr>
        <sz val="10"/>
        <rFont val="Arial"/>
        <family val="2"/>
      </rPr>
      <t xml:space="preserve">Total correct ELA multiple choice items
</t>
    </r>
    <r>
      <rPr>
        <b/>
        <sz val="10"/>
        <rFont val="Arial"/>
        <family val="2"/>
      </rPr>
      <t xml:space="preserve">LEAP: </t>
    </r>
    <r>
      <rPr>
        <sz val="10"/>
        <rFont val="Arial"/>
        <family val="2"/>
      </rPr>
      <t>Total correct ELA multiple choice items (Include multiple choice items and Enhanced Selected Response (ESR) items.
Blank when Raw Score Total for ELA is blank.</t>
    </r>
  </si>
  <si>
    <r>
      <rPr>
        <b/>
        <sz val="10"/>
        <rFont val="Arial"/>
        <family val="2"/>
      </rPr>
      <t>LEAP:</t>
    </r>
    <r>
      <rPr>
        <sz val="10"/>
        <rFont val="Arial"/>
        <family val="2"/>
      </rPr>
      <t xml:space="preserve"> Total correct ELA constructed response items (Include short answer 
items, essay, and Writing item.)
</t>
    </r>
    <r>
      <rPr>
        <b/>
        <sz val="10"/>
        <rFont val="Arial"/>
        <family val="2"/>
      </rPr>
      <t>GEE:</t>
    </r>
    <r>
      <rPr>
        <sz val="10"/>
        <rFont val="Arial"/>
        <family val="2"/>
      </rPr>
      <t xml:space="preserve"> Total correct ELA constructed response items (Include short answer items, essay, but does NOT include writing item.)
Blank when Raw Score Total for ELA is blank.</t>
    </r>
  </si>
  <si>
    <r>
      <t xml:space="preserve">Total raw score for Math.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</si>
  <si>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r>
      <t xml:space="preserve">Total raw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</si>
  <si>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Domain: Functions</t>
  </si>
  <si>
    <t>Domain: Statistics and Probability</t>
  </si>
  <si>
    <t>Standard 1: Number and number relations / Domain: Operations and Algebraic Thinking</t>
  </si>
  <si>
    <r>
      <rPr>
        <b/>
        <sz val="10"/>
        <rFont val="Arial"/>
        <family val="2"/>
      </rPr>
      <t xml:space="preserve">LEAP: </t>
    </r>
    <r>
      <rPr>
        <sz val="10"/>
        <rFont val="Arial"/>
        <family val="2"/>
      </rPr>
      <t xml:space="preserve">Total points earned for each Math domain.
</t>
    </r>
    <r>
      <rPr>
        <b/>
        <sz val="10"/>
        <rFont val="Arial"/>
        <family val="2"/>
      </rPr>
      <t xml:space="preserve">GEE: </t>
    </r>
    <r>
      <rPr>
        <sz val="10"/>
        <rFont val="Arial"/>
        <family val="2"/>
      </rPr>
      <t>Total points earned for each Math content standard.
Blank when content standard or domain is not assessed (zero points possible), or when the Raw Score Total for Math is blank.
"Domain: Statistics and Probability" and "Domain: Functions" will be blank for GEE in Summer.</t>
    </r>
  </si>
  <si>
    <t>Standard 2: Algebra / Domain: Number and Operations in Base Ten</t>
  </si>
  <si>
    <t>Standard 3: Measurement / Domain: Number and Operations—Fractions</t>
  </si>
  <si>
    <t xml:space="preserve">Standard 4: Geometry / Domain: Measurement and Data </t>
  </si>
  <si>
    <t xml:space="preserve">Standard 5: Data analysis, probability, &amp; discrete math / Domain: Geometry </t>
  </si>
  <si>
    <t xml:space="preserve">Standard 6: Patterns, Relations, &amp; Functions / Domain: Number System / Expressions and Equations </t>
  </si>
  <si>
    <r>
      <t xml:space="preserve">Subtest 3: </t>
    </r>
    <r>
      <rPr>
        <sz val="10"/>
        <rFont val="Arial"/>
        <family val="2"/>
      </rPr>
      <t>Task Items</t>
    </r>
  </si>
  <si>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</si>
  <si>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r>
      <t xml:space="preserve">Total raw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</si>
  <si>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Total correct Social Studies multiple choice items
Blank when Raw Score Total for Social Studies is blank, or if Social Studies was updated because of a score merge or requested rescore.</t>
  </si>
  <si>
    <t>Total correct Social Studies constructed-response items (includes short answer items and essay)
Blank when Raw Score Total for Social Studies is blank, or if Social Studies was updated because of a score merge or requested rescore.</t>
  </si>
  <si>
    <t>Total points earned for each Social Studies subtest.
The Raw Score for Subtest 3: Task Items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Social Studies is blank.
Blank for GEE in Summer.</t>
  </si>
  <si>
    <t xml:space="preserve">Within each subject, indicates whether a student attempted any MC or CR type items on the test.
Blank if the subject was updated because of a score merge or requested rescore.
External Anchor Items are not included when determining the MC / CR Taken flags for ELA in LEAP Spring. </t>
  </si>
  <si>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r>
      <rPr>
        <sz val="10"/>
        <rFont val="Arial"/>
        <family val="2"/>
      </rPr>
      <t xml:space="preserve">.
</t>
    </r>
    <r>
      <rPr>
        <b/>
        <u/>
        <sz val="10"/>
        <rFont val="Arial"/>
        <family val="2"/>
      </rPr>
      <t>Retests</t>
    </r>
    <r>
      <rPr>
        <sz val="10"/>
        <rFont val="Arial"/>
        <family val="2"/>
      </rPr>
      <t xml:space="preserve">
These fields will only be populated with code 86 when applied by DRC.</t>
    </r>
  </si>
  <si>
    <r>
      <t>LEAP Spring</t>
    </r>
    <r>
      <rPr>
        <sz val="10"/>
        <rFont val="Arial"/>
        <family val="2"/>
      </rPr>
      <t xml:space="preserve">
Refer to the Accountability Codes for Testing document for valid values. </t>
    </r>
    <r>
      <rPr>
        <sz val="10"/>
        <rFont val="Arial"/>
        <family val="2"/>
      </rPr>
      <t xml:space="preserve">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Scoring document for rules on populating these values.
</t>
    </r>
    <r>
      <rPr>
        <b/>
        <u/>
        <sz val="10"/>
        <rFont val="Arial"/>
        <family val="2"/>
      </rPr>
      <t>Retests</t>
    </r>
    <r>
      <rPr>
        <sz val="10"/>
        <rFont val="Arial"/>
        <family val="2"/>
      </rPr>
      <t xml:space="preserve">
These fields will only be populated with code 86 when applied by DRC. </t>
    </r>
  </si>
  <si>
    <t>If field value = "Y", then student will be receiving this footnote.
The Footnote: Retesting Subject will be set to "Y" if the Science Testing Status = "R".
When a subject is updated because of a score merge, the Footnote: Retesting Subject will be set to "N" for the secondary record.</t>
  </si>
  <si>
    <t>If field value = "Y", then student will be receiving this footnote.
The Footnote: Retesting Subject will be set to "Y" if the Social Studies Testing Status = "R".
When a subject is updated because of a score merge, the Footnote: Retesting Subject will be set to "N" for the secondary record.</t>
  </si>
  <si>
    <t>LDESTD File Layout - Final file_LDE Staff and Contractors</t>
  </si>
  <si>
    <r>
      <t>Raw Score for Each Content Standard</t>
    </r>
    <r>
      <rPr>
        <b/>
        <sz val="10"/>
        <color rgb="FF0000FF"/>
        <rFont val="Arial"/>
        <family val="2"/>
      </rPr>
      <t>/Domain</t>
    </r>
  </si>
</sst>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color indexed="8"/>
      <name val="Arial"/>
      <family val="2"/>
    </font>
    <font>
      <sz val="10"/>
      <color indexed="17"/>
      <name val="Arial"/>
      <family val="2"/>
    </font>
    <font>
      <i/>
      <sz val="10"/>
      <color indexed="17"/>
      <name val="Arial"/>
      <family val="2"/>
    </font>
    <font>
      <sz val="8"/>
      <name val="Arial"/>
      <family val="2"/>
    </font>
    <font>
      <strike/>
      <sz val="10"/>
      <name val="Arial"/>
      <family val="2"/>
    </font>
    <font>
      <b/>
      <sz val="12"/>
      <name val="Arial"/>
      <family val="2"/>
    </font>
    <font>
      <b/>
      <sz val="16"/>
      <name val="Arial"/>
      <family val="2"/>
    </font>
    <font>
      <b/>
      <sz val="10"/>
      <color indexed="12"/>
      <name val="Arial"/>
      <family val="2"/>
    </font>
    <font>
      <b/>
      <u/>
      <sz val="10"/>
      <name val="Arial"/>
      <family val="2"/>
    </font>
    <font>
      <sz val="10"/>
      <name val="Arial"/>
      <family val="2"/>
    </font>
    <font>
      <sz val="11"/>
      <color theme="1"/>
      <name val="Calibri"/>
      <family val="2"/>
      <scheme val="minor"/>
    </font>
    <font>
      <b/>
      <sz val="10"/>
      <color rgb="FF0000FF"/>
      <name val="Arial"/>
      <family val="2"/>
    </font>
    <font>
      <u/>
      <sz val="10"/>
      <color theme="10"/>
      <name val="Arial"/>
      <family val="2"/>
    </font>
    <font>
      <sz val="10"/>
      <name val="Arial"/>
      <family val="2"/>
    </font>
    <font>
      <sz val="10"/>
      <name val="Arial"/>
      <family val="2"/>
    </font>
  </fonts>
  <fills count="3">
    <fill>
      <patternFill patternType="none"/>
    </fill>
    <fill>
      <patternFill patternType="gray125"/>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03">
    <xf numFmtId="0" fontId="0" fillId="0" borderId="0"/>
    <xf numFmtId="0" fontId="8" fillId="0" borderId="0"/>
    <xf numFmtId="0" fontId="8" fillId="0" borderId="0"/>
    <xf numFmtId="0" fontId="24" fillId="0" borderId="0"/>
    <xf numFmtId="0" fontId="8" fillId="0" borderId="0"/>
    <xf numFmtId="0" fontId="23" fillId="0" borderId="0"/>
    <xf numFmtId="0" fontId="8" fillId="0" borderId="0"/>
    <xf numFmtId="0" fontId="8" fillId="0" borderId="0"/>
    <xf numFmtId="0" fontId="8" fillId="0" borderId="0"/>
    <xf numFmtId="0" fontId="8" fillId="0" borderId="0"/>
    <xf numFmtId="0" fontId="23" fillId="0" borderId="0"/>
    <xf numFmtId="0" fontId="8" fillId="0" borderId="0"/>
    <xf numFmtId="0" fontId="23" fillId="0" borderId="0"/>
    <xf numFmtId="0" fontId="8" fillId="0" borderId="0"/>
    <xf numFmtId="0" fontId="23" fillId="0" borderId="0"/>
    <xf numFmtId="0" fontId="8" fillId="0" borderId="0"/>
    <xf numFmtId="0" fontId="8" fillId="0" borderId="0"/>
    <xf numFmtId="0" fontId="7" fillId="0" borderId="0"/>
    <xf numFmtId="0" fontId="7" fillId="0" borderId="0"/>
    <xf numFmtId="0" fontId="26" fillId="0" borderId="0" applyNumberFormat="0" applyFill="0" applyBorder="0" applyAlignment="0" applyProtection="0"/>
    <xf numFmtId="0" fontId="6" fillId="0" borderId="0"/>
    <xf numFmtId="0" fontId="5" fillId="0" borderId="0"/>
    <xf numFmtId="0" fontId="8" fillId="0" borderId="0"/>
    <xf numFmtId="0" fontId="5" fillId="0" borderId="0"/>
    <xf numFmtId="0" fontId="5" fillId="0" borderId="0"/>
    <xf numFmtId="0" fontId="5" fillId="0" borderId="0"/>
    <xf numFmtId="0" fontId="5"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27"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1" fillId="0" borderId="0"/>
    <xf numFmtId="0" fontId="2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98">
    <xf numFmtId="0" fontId="0" fillId="0" borderId="0" xfId="0"/>
    <xf numFmtId="0" fontId="19" fillId="0" borderId="0" xfId="0" applyFont="1" applyFill="1" applyBorder="1" applyAlignment="1"/>
    <xf numFmtId="0" fontId="19" fillId="0" borderId="0" xfId="0" applyFont="1" applyFill="1" applyBorder="1" applyAlignment="1">
      <alignment wrapText="1"/>
    </xf>
    <xf numFmtId="0" fontId="19" fillId="0" borderId="0" xfId="0" applyFont="1" applyFill="1" applyBorder="1" applyAlignment="1">
      <alignment horizontal="center" vertical="top"/>
    </xf>
    <xf numFmtId="0" fontId="19" fillId="0" borderId="0" xfId="0" applyFont="1" applyFill="1" applyBorder="1" applyAlignment="1">
      <alignment vertical="top"/>
    </xf>
    <xf numFmtId="0" fontId="20"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21" fillId="0" borderId="0" xfId="0" applyFont="1" applyFill="1" applyBorder="1" applyAlignment="1">
      <alignment vertical="top"/>
    </xf>
    <xf numFmtId="0" fontId="0" fillId="0" borderId="0" xfId="0" applyFill="1" applyBorder="1" applyAlignment="1">
      <alignment vertical="top" wrapText="1"/>
    </xf>
    <xf numFmtId="0" fontId="11" fillId="0" borderId="0" xfId="0" applyFont="1" applyFill="1" applyBorder="1" applyAlignment="1">
      <alignment horizontal="center" vertical="top"/>
    </xf>
    <xf numFmtId="0" fontId="11" fillId="0" borderId="0" xfId="0" applyFont="1" applyFill="1" applyBorder="1" applyAlignment="1">
      <alignment vertical="top"/>
    </xf>
    <xf numFmtId="0" fontId="11" fillId="0" borderId="0" xfId="0" applyFont="1" applyFill="1" applyBorder="1" applyAlignment="1">
      <alignment vertical="top" wrapText="1"/>
    </xf>
    <xf numFmtId="0" fontId="11" fillId="0" borderId="0" xfId="0" applyFont="1" applyFill="1" applyBorder="1"/>
    <xf numFmtId="0" fontId="13" fillId="0" borderId="0" xfId="0" applyFont="1" applyFill="1" applyBorder="1" applyAlignment="1">
      <alignment horizontal="center" vertical="top" wrapText="1"/>
    </xf>
    <xf numFmtId="0" fontId="13" fillId="0" borderId="0" xfId="0" applyFont="1" applyFill="1" applyBorder="1" applyAlignment="1">
      <alignment vertical="top" wrapText="1"/>
    </xf>
    <xf numFmtId="0" fontId="21" fillId="0" borderId="0" xfId="0" applyFont="1" applyFill="1" applyBorder="1" applyAlignment="1">
      <alignment vertical="top" wrapText="1"/>
    </xf>
    <xf numFmtId="0" fontId="14" fillId="0" borderId="0" xfId="0" applyFont="1" applyFill="1" applyBorder="1" applyAlignment="1">
      <alignment vertical="top"/>
    </xf>
    <xf numFmtId="0" fontId="10" fillId="0" borderId="0" xfId="0" applyFont="1" applyFill="1" applyBorder="1" applyAlignment="1">
      <alignment horizontal="center" vertical="top"/>
    </xf>
    <xf numFmtId="0" fontId="10" fillId="0" borderId="0" xfId="0" applyFont="1" applyFill="1" applyBorder="1" applyAlignment="1">
      <alignment vertical="top"/>
    </xf>
    <xf numFmtId="0" fontId="10" fillId="0" borderId="0" xfId="0" applyFont="1" applyFill="1" applyBorder="1" applyAlignment="1">
      <alignment vertical="top" wrapText="1"/>
    </xf>
    <xf numFmtId="0" fontId="25" fillId="0" borderId="0" xfId="0" applyFont="1" applyFill="1" applyBorder="1" applyAlignment="1">
      <alignment vertical="top"/>
    </xf>
    <xf numFmtId="0" fontId="12" fillId="0" borderId="0" xfId="0" applyFont="1" applyFill="1" applyBorder="1" applyAlignment="1">
      <alignment horizontal="left" vertical="top" wrapText="1"/>
    </xf>
    <xf numFmtId="0" fontId="9" fillId="0" borderId="0" xfId="0" applyFont="1" applyFill="1" applyBorder="1" applyAlignment="1">
      <alignment vertical="top"/>
    </xf>
    <xf numFmtId="0" fontId="15" fillId="0" borderId="0" xfId="0" applyFont="1" applyFill="1" applyBorder="1" applyAlignment="1">
      <alignment vertical="top"/>
    </xf>
    <xf numFmtId="0" fontId="16" fillId="0" borderId="0" xfId="0" applyFont="1" applyFill="1" applyBorder="1" applyAlignment="1">
      <alignment horizontal="left" vertical="top" wrapText="1"/>
    </xf>
    <xf numFmtId="0" fontId="12" fillId="0" borderId="0" xfId="0" applyFont="1" applyFill="1" applyBorder="1" applyAlignment="1">
      <alignment vertical="top"/>
    </xf>
    <xf numFmtId="0" fontId="10"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19" fillId="0" borderId="0" xfId="0" applyFont="1" applyFill="1" applyBorder="1" applyAlignment="1">
      <alignment horizontal="right" vertical="top"/>
    </xf>
    <xf numFmtId="0" fontId="0" fillId="0" borderId="0" xfId="0" applyFill="1" applyBorder="1" applyAlignment="1">
      <alignment wrapText="1"/>
    </xf>
    <xf numFmtId="0" fontId="12" fillId="0" borderId="0" xfId="0" applyFont="1" applyFill="1" applyBorder="1"/>
    <xf numFmtId="49" fontId="11" fillId="0" borderId="0" xfId="0" applyNumberFormat="1" applyFont="1" applyFill="1" applyBorder="1" applyAlignment="1">
      <alignment horizontal="left" vertical="center" wrapText="1"/>
    </xf>
    <xf numFmtId="0" fontId="8" fillId="0" borderId="0" xfId="0" applyFont="1" applyFill="1" applyBorder="1" applyAlignment="1">
      <alignment horizontal="center" vertical="top"/>
    </xf>
    <xf numFmtId="0" fontId="8" fillId="0" borderId="0" xfId="0" applyFont="1" applyFill="1" applyBorder="1" applyAlignment="1">
      <alignment vertical="top" wrapText="1"/>
    </xf>
    <xf numFmtId="0" fontId="8" fillId="0" borderId="0" xfId="0" applyFont="1" applyFill="1" applyBorder="1" applyAlignment="1">
      <alignment vertical="top"/>
    </xf>
    <xf numFmtId="16" fontId="8" fillId="0" borderId="0" xfId="0" applyNumberFormat="1" applyFont="1" applyFill="1" applyBorder="1" applyAlignment="1">
      <alignment horizontal="left" vertical="center" wrapText="1"/>
    </xf>
    <xf numFmtId="0" fontId="8" fillId="0" borderId="0" xfId="0" applyFont="1" applyFill="1" applyBorder="1" applyAlignment="1">
      <alignment horizontal="right" vertical="top"/>
    </xf>
    <xf numFmtId="0" fontId="0" fillId="0" borderId="0" xfId="0" applyFill="1" applyBorder="1" applyAlignment="1">
      <alignment vertical="center" wrapText="1"/>
    </xf>
    <xf numFmtId="49" fontId="0" fillId="0" borderId="0" xfId="0" applyNumberFormat="1" applyFill="1" applyBorder="1" applyAlignment="1">
      <alignment horizontal="left" vertical="center" wrapText="1"/>
    </xf>
    <xf numFmtId="0" fontId="13" fillId="0" borderId="0" xfId="0" applyFont="1" applyFill="1" applyBorder="1" applyAlignment="1">
      <alignment vertical="center" wrapText="1"/>
    </xf>
    <xf numFmtId="0" fontId="10" fillId="0" borderId="0" xfId="0" applyFont="1" applyFill="1" applyBorder="1" applyAlignment="1">
      <alignment vertical="center" wrapText="1"/>
    </xf>
    <xf numFmtId="0" fontId="14" fillId="0" borderId="0" xfId="0" applyFont="1" applyFill="1" applyBorder="1" applyAlignment="1">
      <alignment vertical="center" wrapText="1"/>
    </xf>
    <xf numFmtId="0" fontId="12" fillId="0" borderId="0" xfId="0" applyFont="1" applyFill="1" applyBorder="1" applyAlignment="1">
      <alignment vertical="center"/>
    </xf>
    <xf numFmtId="49" fontId="8" fillId="0" borderId="0" xfId="1" applyNumberFormat="1" applyFont="1" applyFill="1" applyBorder="1" applyAlignment="1">
      <alignment horizontal="left" vertical="center" wrapText="1"/>
    </xf>
    <xf numFmtId="0" fontId="14" fillId="0" borderId="0" xfId="0" applyFont="1" applyFill="1" applyBorder="1" applyAlignment="1">
      <alignment vertical="top" wrapText="1"/>
    </xf>
    <xf numFmtId="0" fontId="8" fillId="0" borderId="0" xfId="0" applyFont="1" applyFill="1" applyBorder="1" applyAlignment="1">
      <alignment wrapText="1"/>
    </xf>
    <xf numFmtId="0" fontId="8" fillId="0" borderId="0" xfId="0" applyFont="1" applyFill="1" applyBorder="1" applyAlignment="1">
      <alignment horizontal="right" vertical="top" wrapText="1"/>
    </xf>
    <xf numFmtId="0" fontId="8" fillId="0" borderId="0" xfId="0" applyFont="1" applyFill="1" applyBorder="1" applyAlignment="1">
      <alignment horizontal="left" vertical="top" wrapText="1"/>
    </xf>
    <xf numFmtId="0" fontId="8"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center"/>
    </xf>
    <xf numFmtId="0" fontId="13" fillId="2" borderId="1" xfId="0" applyFont="1" applyFill="1" applyBorder="1"/>
    <xf numFmtId="0" fontId="8" fillId="0" borderId="1" xfId="0" applyFont="1" applyBorder="1" applyAlignment="1">
      <alignment wrapText="1"/>
    </xf>
    <xf numFmtId="0" fontId="26" fillId="0" borderId="1" xfId="19" applyBorder="1" applyAlignment="1">
      <alignment wrapText="1"/>
    </xf>
    <xf numFmtId="0" fontId="0" fillId="0" borderId="0" xfId="0" applyAlignment="1">
      <alignment wrapText="1"/>
    </xf>
    <xf numFmtId="0" fontId="26" fillId="0" borderId="4" xfId="19" applyBorder="1" applyAlignment="1">
      <alignment wrapText="1"/>
    </xf>
    <xf numFmtId="0" fontId="8" fillId="0" borderId="4" xfId="19" applyFont="1" applyBorder="1" applyAlignment="1">
      <alignment wrapText="1"/>
    </xf>
    <xf numFmtId="0" fontId="26" fillId="0" borderId="2" xfId="19" applyBorder="1" applyAlignment="1">
      <alignment wrapText="1"/>
    </xf>
    <xf numFmtId="0" fontId="8" fillId="0" borderId="3" xfId="19" applyFont="1" applyBorder="1" applyAlignment="1">
      <alignment wrapText="1"/>
    </xf>
    <xf numFmtId="0" fontId="11" fillId="0" borderId="0" xfId="0" applyFont="1" applyFill="1" applyBorder="1" applyAlignment="1">
      <alignment horizontal="left" vertical="center" wrapText="1"/>
    </xf>
    <xf numFmtId="0" fontId="8" fillId="0" borderId="0" xfId="0" applyFont="1" applyFill="1" applyBorder="1" applyAlignment="1">
      <alignment horizontal="left" vertical="center" wrapText="1"/>
    </xf>
    <xf numFmtId="0" fontId="11" fillId="0" borderId="0" xfId="0" applyFont="1" applyFill="1" applyBorder="1" applyAlignment="1">
      <alignment vertical="center" wrapText="1"/>
    </xf>
    <xf numFmtId="0" fontId="9" fillId="0" borderId="0" xfId="0" applyFont="1" applyFill="1" applyBorder="1" applyAlignment="1">
      <alignment vertical="center" wrapText="1"/>
    </xf>
    <xf numFmtId="0" fontId="0" fillId="0" borderId="0" xfId="0" applyFill="1" applyBorder="1" applyAlignment="1">
      <alignment vertical="center" wrapText="1"/>
    </xf>
    <xf numFmtId="0" fontId="8" fillId="0" borderId="0" xfId="0" applyFont="1" applyFill="1" applyBorder="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xf>
    <xf numFmtId="0" fontId="13" fillId="0" borderId="0" xfId="0" applyFont="1" applyFill="1" applyBorder="1" applyAlignment="1">
      <alignment horizontal="left" vertical="center" wrapText="1"/>
    </xf>
    <xf numFmtId="0" fontId="11" fillId="0" borderId="0" xfId="0" applyFont="1" applyFill="1" applyBorder="1" applyAlignment="1">
      <alignment vertical="center" wrapText="1"/>
    </xf>
    <xf numFmtId="0" fontId="8" fillId="0" borderId="0" xfId="0" applyFont="1" applyFill="1" applyBorder="1" applyAlignment="1">
      <alignment vertical="center" wrapText="1"/>
    </xf>
    <xf numFmtId="0" fontId="8" fillId="0" borderId="0" xfId="0" applyFont="1" applyFill="1" applyBorder="1" applyAlignment="1">
      <alignment vertical="top" wrapText="1"/>
    </xf>
    <xf numFmtId="0" fontId="8"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left" vertical="center" wrapText="1"/>
    </xf>
    <xf numFmtId="0" fontId="11"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center" vertical="top" wrapText="1"/>
    </xf>
    <xf numFmtId="0" fontId="25" fillId="0" borderId="0" xfId="0" applyFont="1" applyFill="1" applyBorder="1" applyAlignment="1">
      <alignment vertical="top" wrapText="1"/>
    </xf>
    <xf numFmtId="0" fontId="8" fillId="0" borderId="0" xfId="0" applyFont="1" applyFill="1" applyBorder="1" applyAlignment="1">
      <alignment vertical="center" wrapText="1"/>
    </xf>
    <xf numFmtId="0" fontId="8" fillId="0" borderId="0" xfId="0" applyFont="1" applyFill="1" applyAlignment="1">
      <alignment vertical="center" wrapText="1"/>
    </xf>
    <xf numFmtId="0" fontId="8" fillId="0" borderId="0" xfId="0" applyFont="1" applyFill="1" applyBorder="1" applyAlignment="1">
      <alignment horizontal="left" vertical="center" wrapText="1"/>
    </xf>
    <xf numFmtId="0" fontId="20" fillId="0" borderId="0" xfId="0" applyFont="1" applyFill="1" applyBorder="1" applyAlignment="1">
      <alignment horizontal="left"/>
    </xf>
    <xf numFmtId="0" fontId="0" fillId="0" borderId="0" xfId="0" applyFill="1" applyBorder="1" applyAlignment="1"/>
    <xf numFmtId="0" fontId="11" fillId="0" borderId="0" xfId="0" applyFont="1" applyFill="1" applyBorder="1" applyAlignment="1">
      <alignment horizontal="left" vertical="center" wrapText="1"/>
    </xf>
    <xf numFmtId="0" fontId="0" fillId="0" borderId="0" xfId="0" applyFill="1" applyBorder="1" applyAlignment="1">
      <alignment horizontal="left" vertical="center" wrapText="1"/>
    </xf>
    <xf numFmtId="49" fontId="8" fillId="0" borderId="0" xfId="0" applyNumberFormat="1"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alignment vertical="center"/>
    </xf>
    <xf numFmtId="0" fontId="8" fillId="0" borderId="0" xfId="0" applyFont="1" applyFill="1" applyAlignment="1">
      <alignment horizontal="left" vertical="center" wrapText="1"/>
    </xf>
    <xf numFmtId="0" fontId="22" fillId="0" borderId="0" xfId="0" applyFont="1" applyFill="1" applyBorder="1" applyAlignment="1">
      <alignment horizontal="left" vertical="center" wrapText="1"/>
    </xf>
    <xf numFmtId="0" fontId="0" fillId="0" borderId="0" xfId="0" applyFill="1" applyAlignment="1">
      <alignment horizontal="left" vertical="center" wrapText="1"/>
    </xf>
    <xf numFmtId="0" fontId="8" fillId="0" borderId="0" xfId="17" applyFont="1" applyFill="1" applyBorder="1" applyAlignment="1">
      <alignment vertical="center" wrapText="1"/>
    </xf>
    <xf numFmtId="0" fontId="0" fillId="0" borderId="0" xfId="0" applyAlignment="1">
      <alignment horizontal="left"/>
    </xf>
    <xf numFmtId="0" fontId="8" fillId="0" borderId="2" xfId="0" applyFont="1" applyBorder="1" applyAlignment="1">
      <alignment horizontal="left" wrapText="1"/>
    </xf>
    <xf numFmtId="0" fontId="8" fillId="0" borderId="3" xfId="0" applyFont="1" applyBorder="1" applyAlignment="1">
      <alignment horizontal="left" wrapText="1"/>
    </xf>
    <xf numFmtId="0" fontId="8" fillId="0" borderId="0" xfId="0" applyFont="1" applyAlignment="1">
      <alignment horizontal="left" vertical="top" wrapText="1"/>
    </xf>
  </cellXfs>
  <cellStyles count="103">
    <cellStyle name="Hyperlink" xfId="19" builtinId="8"/>
    <cellStyle name="Normal" xfId="0" builtinId="0"/>
    <cellStyle name="Normal 10" xfId="17"/>
    <cellStyle name="Normal 10 2" xfId="24"/>
    <cellStyle name="Normal 10 2 2" xfId="35"/>
    <cellStyle name="Normal 10 2 2 2" xfId="56"/>
    <cellStyle name="Normal 10 2 2 2 2" xfId="99"/>
    <cellStyle name="Normal 10 2 2 3" xfId="78"/>
    <cellStyle name="Normal 10 2 3" xfId="46"/>
    <cellStyle name="Normal 10 2 3 2" xfId="89"/>
    <cellStyle name="Normal 10 2 4" xfId="68"/>
    <cellStyle name="Normal 10 3" xfId="30"/>
    <cellStyle name="Normal 10 3 2" xfId="51"/>
    <cellStyle name="Normal 10 3 2 2" xfId="94"/>
    <cellStyle name="Normal 10 3 3" xfId="73"/>
    <cellStyle name="Normal 10 4" xfId="41"/>
    <cellStyle name="Normal 10 4 2" xfId="84"/>
    <cellStyle name="Normal 10 5" xfId="63"/>
    <cellStyle name="Normal 11" xfId="20"/>
    <cellStyle name="Normal 11 2" xfId="26"/>
    <cellStyle name="Normal 11 2 2" xfId="37"/>
    <cellStyle name="Normal 11 2 2 2" xfId="58"/>
    <cellStyle name="Normal 11 2 2 2 2" xfId="101"/>
    <cellStyle name="Normal 11 2 2 3" xfId="80"/>
    <cellStyle name="Normal 11 2 3" xfId="48"/>
    <cellStyle name="Normal 11 2 3 2" xfId="91"/>
    <cellStyle name="Normal 11 2 4" xfId="70"/>
    <cellStyle name="Normal 11 3" xfId="32"/>
    <cellStyle name="Normal 11 3 2" xfId="53"/>
    <cellStyle name="Normal 11 3 2 2" xfId="96"/>
    <cellStyle name="Normal 11 3 3" xfId="75"/>
    <cellStyle name="Normal 11 4" xfId="43"/>
    <cellStyle name="Normal 11 4 2" xfId="86"/>
    <cellStyle name="Normal 11 5" xfId="65"/>
    <cellStyle name="Normal 12" xfId="22"/>
    <cellStyle name="Normal 13" xfId="21"/>
    <cellStyle name="Normal 13 2" xfId="33"/>
    <cellStyle name="Normal 13 2 2" xfId="54"/>
    <cellStyle name="Normal 13 2 2 2" xfId="97"/>
    <cellStyle name="Normal 13 2 3" xfId="76"/>
    <cellStyle name="Normal 13 3" xfId="44"/>
    <cellStyle name="Normal 13 3 2" xfId="87"/>
    <cellStyle name="Normal 13 4" xfId="66"/>
    <cellStyle name="Normal 14" xfId="28"/>
    <cellStyle name="Normal 15" xfId="27"/>
    <cellStyle name="Normal 15 2" xfId="49"/>
    <cellStyle name="Normal 15 2 2" xfId="92"/>
    <cellStyle name="Normal 15 3" xfId="71"/>
    <cellStyle name="Normal 16" xfId="39"/>
    <cellStyle name="Normal 16 2" xfId="82"/>
    <cellStyle name="Normal 17" xfId="38"/>
    <cellStyle name="Normal 17 2" xfId="81"/>
    <cellStyle name="Normal 18" xfId="59"/>
    <cellStyle name="Normal 18 2" xfId="102"/>
    <cellStyle name="Normal 19" xfId="61"/>
    <cellStyle name="Normal 2" xfId="1"/>
    <cellStyle name="Normal 20" xfId="60"/>
    <cellStyle name="Normal 3" xfId="2"/>
    <cellStyle name="Normal 4" xfId="3"/>
    <cellStyle name="Normal 4 2" xfId="18"/>
    <cellStyle name="Normal 4 2 2" xfId="25"/>
    <cellStyle name="Normal 4 2 2 2" xfId="36"/>
    <cellStyle name="Normal 4 2 2 2 2" xfId="57"/>
    <cellStyle name="Normal 4 2 2 2 2 2" xfId="100"/>
    <cellStyle name="Normal 4 2 2 2 3" xfId="79"/>
    <cellStyle name="Normal 4 2 2 3" xfId="47"/>
    <cellStyle name="Normal 4 2 2 3 2" xfId="90"/>
    <cellStyle name="Normal 4 2 2 4" xfId="69"/>
    <cellStyle name="Normal 4 2 3" xfId="31"/>
    <cellStyle name="Normal 4 2 3 2" xfId="52"/>
    <cellStyle name="Normal 4 2 3 2 2" xfId="95"/>
    <cellStyle name="Normal 4 2 3 3" xfId="74"/>
    <cellStyle name="Normal 4 2 4" xfId="42"/>
    <cellStyle name="Normal 4 2 4 2" xfId="85"/>
    <cellStyle name="Normal 4 2 5" xfId="64"/>
    <cellStyle name="Normal 4 3" xfId="23"/>
    <cellStyle name="Normal 4 3 2" xfId="34"/>
    <cellStyle name="Normal 4 3 2 2" xfId="55"/>
    <cellStyle name="Normal 4 3 2 2 2" xfId="98"/>
    <cellStyle name="Normal 4 3 2 3" xfId="77"/>
    <cellStyle name="Normal 4 3 3" xfId="45"/>
    <cellStyle name="Normal 4 3 3 2" xfId="88"/>
    <cellStyle name="Normal 4 3 4" xfId="67"/>
    <cellStyle name="Normal 4 4" xfId="29"/>
    <cellStyle name="Normal 4 4 2" xfId="50"/>
    <cellStyle name="Normal 4 4 2 2" xfId="93"/>
    <cellStyle name="Normal 4 4 3" xfId="72"/>
    <cellStyle name="Normal 4 5" xfId="40"/>
    <cellStyle name="Normal 4 5 2" xfId="83"/>
    <cellStyle name="Normal 4 6" xfId="62"/>
    <cellStyle name="Normal 5" xfId="4"/>
    <cellStyle name="Normal 5 2" xfId="5"/>
    <cellStyle name="Normal 5 2 2" xfId="6"/>
    <cellStyle name="Normal 5 2 3" xfId="7"/>
    <cellStyle name="Normal 6" xfId="8"/>
    <cellStyle name="Normal 6 2" xfId="9"/>
    <cellStyle name="Normal 6 3" xfId="10"/>
    <cellStyle name="Normal 6 3 2" xfId="11"/>
    <cellStyle name="Normal 7" xfId="12"/>
    <cellStyle name="Normal 7 2" xfId="13"/>
    <cellStyle name="Normal 8" xfId="14"/>
    <cellStyle name="Normal 8 2" xfId="15"/>
    <cellStyle name="Normal 9" xfId="16"/>
  </cellStyles>
  <dxfs count="0"/>
  <tableStyles count="0" defaultTableStyle="TableStyleMedium9" defaultPivotStyle="PivotStyleLight16"/>
  <colors>
    <mruColors>
      <color rgb="FF0000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180975</xdr:rowOff>
    </xdr:from>
    <xdr:to>
      <xdr:col>7</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7</xdr:col>
      <xdr:colOff>0</xdr:colOff>
      <xdr:row>0</xdr:row>
      <xdr:rowOff>180975</xdr:rowOff>
    </xdr:from>
    <xdr:to>
      <xdr:col>7</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hyperlink" Target="../" TargetMode="External"/><Relationship Id="rId2" Type="http://schemas.openxmlformats.org/officeDocument/2006/relationships/hyperlink" Target="../Accountability/" TargetMode="External"/><Relationship Id="rId1" Type="http://schemas.openxmlformats.org/officeDocument/2006/relationships/hyperlink" Target="../" TargetMode="External"/><Relationship Id="rId5" Type="http://schemas.openxmlformats.org/officeDocument/2006/relationships/printerSettings" Target="../printerSettings/printerSettings6.bin"/><Relationship Id="rId4" Type="http://schemas.openxmlformats.org/officeDocument/2006/relationships/hyperlink" Targ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549"/>
  <sheetViews>
    <sheetView tabSelected="1" zoomScale="70" zoomScaleNormal="70" zoomScaleSheetLayoutView="50" workbookViewId="0">
      <selection sqref="A1:F1"/>
    </sheetView>
  </sheetViews>
  <sheetFormatPr defaultRowHeight="12.75" x14ac:dyDescent="0.2"/>
  <cols>
    <col min="1" max="1" width="11.85546875" style="29" customWidth="1"/>
    <col min="2" max="2" width="9.28515625" style="52" customWidth="1"/>
    <col min="3" max="3" width="10.85546875" style="28" customWidth="1"/>
    <col min="4" max="4" width="11" style="28" bestFit="1" customWidth="1"/>
    <col min="5" max="5" width="9.140625" style="28"/>
    <col min="6" max="6" width="72.5703125" style="31" bestFit="1" customWidth="1"/>
    <col min="7" max="7" width="37.5703125" style="32" customWidth="1"/>
    <col min="8" max="8" width="73.140625" style="47" customWidth="1"/>
    <col min="9" max="16384" width="9.140625" style="28"/>
  </cols>
  <sheetData>
    <row r="1" spans="1:9" s="5" customFormat="1" ht="21.75" customHeight="1" x14ac:dyDescent="0.3">
      <c r="A1" s="83" t="s">
        <v>468</v>
      </c>
      <c r="B1" s="84"/>
      <c r="C1" s="84"/>
      <c r="D1" s="84"/>
      <c r="E1" s="84"/>
      <c r="F1" s="84"/>
      <c r="G1" s="83" t="s">
        <v>417</v>
      </c>
      <c r="H1" s="83"/>
    </row>
    <row r="2" spans="1:9" s="4" customFormat="1" ht="64.5" customHeight="1" x14ac:dyDescent="0.25">
      <c r="A2" s="2" t="s">
        <v>2</v>
      </c>
      <c r="B2" s="2" t="s">
        <v>116</v>
      </c>
      <c r="C2" s="2" t="s">
        <v>112</v>
      </c>
      <c r="D2" s="2" t="s">
        <v>113</v>
      </c>
      <c r="E2" s="1" t="s">
        <v>139</v>
      </c>
      <c r="F2" s="1" t="s">
        <v>140</v>
      </c>
      <c r="G2" s="2" t="s">
        <v>111</v>
      </c>
      <c r="H2" s="2" t="s">
        <v>110</v>
      </c>
      <c r="I2" s="3"/>
    </row>
    <row r="3" spans="1:9" s="7" customFormat="1" x14ac:dyDescent="0.2">
      <c r="A3" s="6"/>
      <c r="B3" s="34"/>
      <c r="F3" s="8" t="s">
        <v>49</v>
      </c>
      <c r="G3" s="39"/>
      <c r="H3" s="50"/>
    </row>
    <row r="4" spans="1:9" s="11" customFormat="1" ht="38.25" x14ac:dyDescent="0.2">
      <c r="A4" s="10"/>
      <c r="B4" s="34" t="s">
        <v>345</v>
      </c>
      <c r="C4" s="11">
        <v>1</v>
      </c>
      <c r="D4" s="11">
        <f t="shared" ref="D4:D11" si="0">C4+E4-1</f>
        <v>2</v>
      </c>
      <c r="E4" s="11">
        <v>2</v>
      </c>
      <c r="F4" s="11" t="s">
        <v>60</v>
      </c>
      <c r="G4" s="66" t="s">
        <v>210</v>
      </c>
      <c r="H4" s="62" t="s">
        <v>347</v>
      </c>
    </row>
    <row r="5" spans="1:9" s="11" customFormat="1" x14ac:dyDescent="0.2">
      <c r="A5" s="10"/>
      <c r="B5" s="34" t="s">
        <v>345</v>
      </c>
      <c r="C5" s="11">
        <f t="shared" ref="C5:C11" si="1">C4+E4</f>
        <v>3</v>
      </c>
      <c r="D5" s="11">
        <f t="shared" si="0"/>
        <v>6</v>
      </c>
      <c r="E5" s="11">
        <v>4</v>
      </c>
      <c r="F5" s="36" t="s">
        <v>61</v>
      </c>
      <c r="G5" s="63"/>
      <c r="H5" s="62" t="s">
        <v>142</v>
      </c>
    </row>
    <row r="6" spans="1:9" s="11" customFormat="1" ht="31.5" customHeight="1" x14ac:dyDescent="0.2">
      <c r="A6" s="10"/>
      <c r="B6" s="34" t="s">
        <v>345</v>
      </c>
      <c r="C6" s="11">
        <f t="shared" si="1"/>
        <v>7</v>
      </c>
      <c r="D6" s="11">
        <f t="shared" si="0"/>
        <v>7</v>
      </c>
      <c r="E6" s="11">
        <v>1</v>
      </c>
      <c r="F6" s="11" t="s">
        <v>62</v>
      </c>
      <c r="G6" s="63" t="s">
        <v>57</v>
      </c>
      <c r="H6" s="62" t="s">
        <v>218</v>
      </c>
    </row>
    <row r="7" spans="1:9" s="11" customFormat="1" ht="27" customHeight="1" x14ac:dyDescent="0.2">
      <c r="A7" s="10" t="s">
        <v>4</v>
      </c>
      <c r="B7" s="34" t="s">
        <v>345</v>
      </c>
      <c r="C7" s="11">
        <f t="shared" si="1"/>
        <v>8</v>
      </c>
      <c r="D7" s="11">
        <f t="shared" si="0"/>
        <v>10</v>
      </c>
      <c r="E7" s="11">
        <v>3</v>
      </c>
      <c r="F7" s="11" t="s">
        <v>63</v>
      </c>
      <c r="G7" s="63"/>
      <c r="H7" s="87" t="s">
        <v>362</v>
      </c>
    </row>
    <row r="8" spans="1:9" s="11" customFormat="1" ht="27" customHeight="1" x14ac:dyDescent="0.2">
      <c r="A8" s="10" t="s">
        <v>4</v>
      </c>
      <c r="B8" s="34" t="s">
        <v>345</v>
      </c>
      <c r="C8" s="11">
        <f t="shared" si="1"/>
        <v>11</v>
      </c>
      <c r="D8" s="11">
        <f t="shared" si="0"/>
        <v>13</v>
      </c>
      <c r="E8" s="11">
        <v>3</v>
      </c>
      <c r="F8" s="11" t="s">
        <v>64</v>
      </c>
      <c r="G8" s="63"/>
      <c r="H8" s="80"/>
    </row>
    <row r="9" spans="1:9" s="11" customFormat="1" x14ac:dyDescent="0.2">
      <c r="A9" s="10"/>
      <c r="B9" s="34" t="s">
        <v>345</v>
      </c>
      <c r="C9" s="11">
        <f t="shared" si="1"/>
        <v>14</v>
      </c>
      <c r="D9" s="11">
        <f t="shared" si="0"/>
        <v>53</v>
      </c>
      <c r="E9" s="11">
        <v>40</v>
      </c>
      <c r="F9" s="11" t="s">
        <v>65</v>
      </c>
      <c r="G9" s="63"/>
      <c r="H9" s="62"/>
    </row>
    <row r="10" spans="1:9" s="11" customFormat="1" x14ac:dyDescent="0.2">
      <c r="A10" s="10"/>
      <c r="B10" s="34" t="s">
        <v>345</v>
      </c>
      <c r="C10" s="11">
        <f t="shared" si="1"/>
        <v>54</v>
      </c>
      <c r="D10" s="11">
        <f t="shared" si="0"/>
        <v>93</v>
      </c>
      <c r="E10" s="11">
        <v>40</v>
      </c>
      <c r="F10" s="11" t="s">
        <v>66</v>
      </c>
      <c r="G10" s="63"/>
      <c r="H10" s="62"/>
    </row>
    <row r="11" spans="1:9" s="11" customFormat="1" ht="234.75" customHeight="1" x14ac:dyDescent="0.2">
      <c r="A11" s="10" t="s">
        <v>3</v>
      </c>
      <c r="B11" s="34" t="s">
        <v>345</v>
      </c>
      <c r="C11" s="11">
        <f t="shared" si="1"/>
        <v>94</v>
      </c>
      <c r="D11" s="11">
        <f t="shared" si="0"/>
        <v>95</v>
      </c>
      <c r="E11" s="11">
        <v>2</v>
      </c>
      <c r="F11" s="36" t="s">
        <v>67</v>
      </c>
      <c r="G11" s="66" t="s">
        <v>275</v>
      </c>
      <c r="H11" s="69" t="s">
        <v>363</v>
      </c>
      <c r="I11" s="13"/>
    </row>
    <row r="12" spans="1:9" s="11" customFormat="1" x14ac:dyDescent="0.2">
      <c r="A12" s="34" t="s">
        <v>230</v>
      </c>
      <c r="B12" s="34" t="s">
        <v>345</v>
      </c>
      <c r="C12" s="11">
        <f t="shared" ref="C12:C16" si="2">C11+E11</f>
        <v>96</v>
      </c>
      <c r="D12" s="11">
        <f t="shared" ref="D12:D16" si="3">C12+E12-1</f>
        <v>107</v>
      </c>
      <c r="E12" s="11">
        <v>12</v>
      </c>
      <c r="F12" s="11" t="s">
        <v>68</v>
      </c>
      <c r="G12" s="63"/>
      <c r="H12" s="82" t="s">
        <v>145</v>
      </c>
    </row>
    <row r="13" spans="1:9" s="11" customFormat="1" x14ac:dyDescent="0.2">
      <c r="A13" s="34" t="s">
        <v>230</v>
      </c>
      <c r="B13" s="34" t="s">
        <v>345</v>
      </c>
      <c r="C13" s="11">
        <f t="shared" si="2"/>
        <v>108</v>
      </c>
      <c r="D13" s="11">
        <f t="shared" si="3"/>
        <v>115</v>
      </c>
      <c r="E13" s="11">
        <v>8</v>
      </c>
      <c r="F13" s="11" t="s">
        <v>69</v>
      </c>
      <c r="G13" s="63"/>
      <c r="H13" s="82"/>
    </row>
    <row r="14" spans="1:9" s="11" customFormat="1" x14ac:dyDescent="0.2">
      <c r="A14" s="34" t="s">
        <v>230</v>
      </c>
      <c r="B14" s="34" t="s">
        <v>345</v>
      </c>
      <c r="C14" s="11">
        <f t="shared" si="2"/>
        <v>116</v>
      </c>
      <c r="D14" s="11">
        <f t="shared" si="3"/>
        <v>116</v>
      </c>
      <c r="E14" s="11">
        <v>1</v>
      </c>
      <c r="F14" s="11" t="s">
        <v>70</v>
      </c>
      <c r="G14" s="63"/>
      <c r="H14" s="62" t="s">
        <v>173</v>
      </c>
    </row>
    <row r="15" spans="1:9" s="11" customFormat="1" ht="38.25" x14ac:dyDescent="0.2">
      <c r="A15" s="34" t="s">
        <v>230</v>
      </c>
      <c r="B15" s="34" t="s">
        <v>345</v>
      </c>
      <c r="C15" s="11">
        <f t="shared" si="2"/>
        <v>117</v>
      </c>
      <c r="D15" s="11">
        <f t="shared" si="3"/>
        <v>125</v>
      </c>
      <c r="E15" s="11">
        <v>9</v>
      </c>
      <c r="F15" s="11" t="s">
        <v>71</v>
      </c>
      <c r="G15" s="63" t="s">
        <v>146</v>
      </c>
      <c r="H15" s="62" t="s">
        <v>147</v>
      </c>
    </row>
    <row r="16" spans="1:9" s="11" customFormat="1" x14ac:dyDescent="0.2">
      <c r="A16" s="10"/>
      <c r="B16" s="34"/>
      <c r="C16" s="11">
        <f t="shared" si="2"/>
        <v>126</v>
      </c>
      <c r="D16" s="11">
        <f t="shared" si="3"/>
        <v>136</v>
      </c>
      <c r="E16" s="11">
        <v>11</v>
      </c>
      <c r="F16" s="36" t="s">
        <v>141</v>
      </c>
      <c r="G16" s="63"/>
      <c r="H16" s="62"/>
    </row>
    <row r="17" spans="1:8" s="11" customFormat="1" ht="38.25" x14ac:dyDescent="0.2">
      <c r="A17" s="10"/>
      <c r="B17" s="34" t="s">
        <v>345</v>
      </c>
      <c r="C17" s="11">
        <f>C16+E16</f>
        <v>137</v>
      </c>
      <c r="D17" s="11">
        <f>C17+E17-1</f>
        <v>137</v>
      </c>
      <c r="E17" s="11">
        <v>1</v>
      </c>
      <c r="F17" s="36" t="s">
        <v>318</v>
      </c>
      <c r="G17" s="66" t="s">
        <v>322</v>
      </c>
      <c r="H17" s="82" t="s">
        <v>326</v>
      </c>
    </row>
    <row r="18" spans="1:8" s="11" customFormat="1" ht="38.25" x14ac:dyDescent="0.2">
      <c r="A18" s="10"/>
      <c r="B18" s="34" t="s">
        <v>345</v>
      </c>
      <c r="C18" s="11">
        <f>C17+E17</f>
        <v>138</v>
      </c>
      <c r="D18" s="11">
        <f>C18+E18-1</f>
        <v>138</v>
      </c>
      <c r="E18" s="11">
        <v>1</v>
      </c>
      <c r="F18" s="36" t="s">
        <v>319</v>
      </c>
      <c r="G18" s="66" t="s">
        <v>323</v>
      </c>
      <c r="H18" s="82"/>
    </row>
    <row r="19" spans="1:8" s="11" customFormat="1" ht="38.25" x14ac:dyDescent="0.2">
      <c r="A19" s="10"/>
      <c r="B19" s="34" t="s">
        <v>345</v>
      </c>
      <c r="C19" s="11">
        <f>C18+E18</f>
        <v>139</v>
      </c>
      <c r="D19" s="11">
        <f>C19+E19-1</f>
        <v>139</v>
      </c>
      <c r="E19" s="11">
        <v>1</v>
      </c>
      <c r="F19" s="36" t="s">
        <v>320</v>
      </c>
      <c r="G19" s="66" t="s">
        <v>324</v>
      </c>
      <c r="H19" s="82"/>
    </row>
    <row r="20" spans="1:8" s="11" customFormat="1" ht="38.25" x14ac:dyDescent="0.2">
      <c r="A20" s="10"/>
      <c r="B20" s="34" t="s">
        <v>345</v>
      </c>
      <c r="C20" s="11">
        <f>C19+E19</f>
        <v>140</v>
      </c>
      <c r="D20" s="11">
        <f>C20+E20-1</f>
        <v>140</v>
      </c>
      <c r="E20" s="11">
        <v>1</v>
      </c>
      <c r="F20" s="36" t="s">
        <v>321</v>
      </c>
      <c r="G20" s="66" t="s">
        <v>325</v>
      </c>
      <c r="H20" s="82"/>
    </row>
    <row r="21" spans="1:8" s="11" customFormat="1" x14ac:dyDescent="0.2">
      <c r="A21" s="10"/>
      <c r="B21" s="34"/>
      <c r="C21" s="11">
        <f t="shared" ref="C21:C39" si="4">C20+E20</f>
        <v>141</v>
      </c>
      <c r="D21" s="11">
        <f t="shared" ref="D21:D39" si="5">C21+E21-1</f>
        <v>144</v>
      </c>
      <c r="E21" s="11">
        <v>4</v>
      </c>
      <c r="F21" s="11" t="s">
        <v>141</v>
      </c>
      <c r="G21" s="63"/>
      <c r="H21" s="62"/>
    </row>
    <row r="22" spans="1:8" s="11" customFormat="1" ht="38.25" x14ac:dyDescent="0.2">
      <c r="A22" s="34" t="s">
        <v>230</v>
      </c>
      <c r="B22" s="34" t="s">
        <v>345</v>
      </c>
      <c r="C22" s="11">
        <f t="shared" si="4"/>
        <v>145</v>
      </c>
      <c r="D22" s="11">
        <f t="shared" si="5"/>
        <v>146</v>
      </c>
      <c r="E22" s="11">
        <v>2</v>
      </c>
      <c r="F22" s="11" t="s">
        <v>72</v>
      </c>
      <c r="G22" s="45" t="s">
        <v>431</v>
      </c>
      <c r="H22" s="82" t="s">
        <v>432</v>
      </c>
    </row>
    <row r="23" spans="1:8" s="11" customFormat="1" ht="25.5" x14ac:dyDescent="0.2">
      <c r="A23" s="34" t="s">
        <v>230</v>
      </c>
      <c r="B23" s="34" t="s">
        <v>345</v>
      </c>
      <c r="C23" s="11">
        <f t="shared" si="4"/>
        <v>147</v>
      </c>
      <c r="D23" s="11">
        <f t="shared" si="5"/>
        <v>148</v>
      </c>
      <c r="E23" s="11">
        <v>2</v>
      </c>
      <c r="F23" s="11" t="s">
        <v>73</v>
      </c>
      <c r="G23" s="45" t="s">
        <v>433</v>
      </c>
      <c r="H23" s="82"/>
    </row>
    <row r="24" spans="1:8" s="11" customFormat="1" ht="54" customHeight="1" x14ac:dyDescent="0.2">
      <c r="A24" s="34" t="s">
        <v>230</v>
      </c>
      <c r="B24" s="34" t="s">
        <v>345</v>
      </c>
      <c r="C24" s="11">
        <f t="shared" si="4"/>
        <v>149</v>
      </c>
      <c r="D24" s="11">
        <f t="shared" si="5"/>
        <v>152</v>
      </c>
      <c r="E24" s="11">
        <v>4</v>
      </c>
      <c r="F24" s="11" t="s">
        <v>74</v>
      </c>
      <c r="G24" s="45" t="s">
        <v>234</v>
      </c>
      <c r="H24" s="82"/>
    </row>
    <row r="25" spans="1:8" s="11" customFormat="1" ht="63.75" x14ac:dyDescent="0.2">
      <c r="A25" s="34" t="s">
        <v>231</v>
      </c>
      <c r="B25" s="34" t="s">
        <v>345</v>
      </c>
      <c r="C25" s="11">
        <f t="shared" si="4"/>
        <v>153</v>
      </c>
      <c r="D25" s="11">
        <f t="shared" si="5"/>
        <v>153</v>
      </c>
      <c r="E25" s="11">
        <v>1</v>
      </c>
      <c r="F25" s="11" t="s">
        <v>75</v>
      </c>
      <c r="G25" s="66" t="s">
        <v>106</v>
      </c>
      <c r="H25" s="62" t="s">
        <v>364</v>
      </c>
    </row>
    <row r="26" spans="1:8" s="11" customFormat="1" ht="115.5" customHeight="1" x14ac:dyDescent="0.2">
      <c r="A26" s="34" t="s">
        <v>231</v>
      </c>
      <c r="B26" s="34" t="s">
        <v>345</v>
      </c>
      <c r="C26" s="11">
        <f t="shared" si="4"/>
        <v>154</v>
      </c>
      <c r="D26" s="11">
        <f t="shared" si="5"/>
        <v>154</v>
      </c>
      <c r="E26" s="11">
        <v>1</v>
      </c>
      <c r="F26" s="36" t="s">
        <v>216</v>
      </c>
      <c r="G26" s="66" t="s">
        <v>259</v>
      </c>
      <c r="H26" s="62" t="s">
        <v>365</v>
      </c>
    </row>
    <row r="27" spans="1:8" s="11" customFormat="1" ht="66.75" customHeight="1" x14ac:dyDescent="0.2">
      <c r="A27" s="10" t="s">
        <v>4</v>
      </c>
      <c r="B27" s="34" t="s">
        <v>345</v>
      </c>
      <c r="C27" s="11">
        <f t="shared" si="4"/>
        <v>155</v>
      </c>
      <c r="D27" s="11">
        <f t="shared" si="5"/>
        <v>155</v>
      </c>
      <c r="E27" s="11">
        <v>1</v>
      </c>
      <c r="F27" s="11" t="s">
        <v>76</v>
      </c>
      <c r="G27" s="63" t="s">
        <v>107</v>
      </c>
      <c r="H27" s="62" t="s">
        <v>366</v>
      </c>
    </row>
    <row r="28" spans="1:8" s="11" customFormat="1" x14ac:dyDescent="0.2">
      <c r="A28" s="10"/>
      <c r="B28" s="34"/>
      <c r="C28" s="11">
        <f t="shared" si="4"/>
        <v>156</v>
      </c>
      <c r="D28" s="11">
        <f t="shared" si="5"/>
        <v>159</v>
      </c>
      <c r="E28" s="11">
        <v>4</v>
      </c>
      <c r="F28" s="11" t="s">
        <v>141</v>
      </c>
      <c r="G28" s="63"/>
      <c r="H28" s="62"/>
    </row>
    <row r="29" spans="1:8" s="11" customFormat="1" ht="21" customHeight="1" x14ac:dyDescent="0.2">
      <c r="A29" s="10"/>
      <c r="B29" s="34" t="s">
        <v>126</v>
      </c>
      <c r="C29" s="11">
        <f>C28+E28</f>
        <v>160</v>
      </c>
      <c r="D29" s="11">
        <f t="shared" si="5"/>
        <v>160</v>
      </c>
      <c r="E29" s="11">
        <v>1</v>
      </c>
      <c r="F29" s="36" t="s">
        <v>263</v>
      </c>
      <c r="G29" s="82" t="s">
        <v>182</v>
      </c>
      <c r="H29" s="62" t="s">
        <v>400</v>
      </c>
    </row>
    <row r="30" spans="1:8" s="11" customFormat="1" ht="21.75" customHeight="1" x14ac:dyDescent="0.2">
      <c r="A30" s="10"/>
      <c r="B30" s="34" t="s">
        <v>126</v>
      </c>
      <c r="C30" s="11">
        <f t="shared" si="4"/>
        <v>161</v>
      </c>
      <c r="D30" s="11">
        <f t="shared" si="5"/>
        <v>161</v>
      </c>
      <c r="E30" s="11">
        <v>1</v>
      </c>
      <c r="F30" s="23" t="s">
        <v>174</v>
      </c>
      <c r="G30" s="82"/>
      <c r="H30" s="62" t="s">
        <v>399</v>
      </c>
    </row>
    <row r="31" spans="1:8" s="11" customFormat="1" x14ac:dyDescent="0.2">
      <c r="A31" s="10"/>
      <c r="B31" s="34"/>
      <c r="C31" s="11">
        <f t="shared" si="4"/>
        <v>162</v>
      </c>
      <c r="D31" s="11">
        <f t="shared" si="5"/>
        <v>171</v>
      </c>
      <c r="E31" s="11">
        <v>10</v>
      </c>
      <c r="F31" s="36" t="s">
        <v>141</v>
      </c>
      <c r="G31" s="63"/>
      <c r="H31" s="62"/>
    </row>
    <row r="32" spans="1:8" s="11" customFormat="1" ht="91.5" customHeight="1" x14ac:dyDescent="0.2">
      <c r="A32" s="34" t="s">
        <v>209</v>
      </c>
      <c r="B32" s="34" t="s">
        <v>127</v>
      </c>
      <c r="C32" s="11">
        <f>C31+E31</f>
        <v>172</v>
      </c>
      <c r="D32" s="11">
        <f t="shared" si="5"/>
        <v>172</v>
      </c>
      <c r="E32" s="11">
        <v>1</v>
      </c>
      <c r="F32" s="11" t="s">
        <v>77</v>
      </c>
      <c r="G32" s="63" t="s">
        <v>183</v>
      </c>
      <c r="H32" s="66" t="s">
        <v>350</v>
      </c>
    </row>
    <row r="33" spans="1:9" s="11" customFormat="1" ht="35.25" customHeight="1" x14ac:dyDescent="0.2">
      <c r="A33" s="34" t="s">
        <v>209</v>
      </c>
      <c r="B33" s="34" t="s">
        <v>125</v>
      </c>
      <c r="C33" s="11">
        <f t="shared" si="4"/>
        <v>173</v>
      </c>
      <c r="D33" s="11">
        <f t="shared" si="5"/>
        <v>173</v>
      </c>
      <c r="E33" s="11">
        <v>1</v>
      </c>
      <c r="F33" s="36" t="s">
        <v>78</v>
      </c>
      <c r="G33" s="82" t="s">
        <v>434</v>
      </c>
      <c r="H33" s="82" t="s">
        <v>361</v>
      </c>
    </row>
    <row r="34" spans="1:9" s="11" customFormat="1" ht="31.5" customHeight="1" x14ac:dyDescent="0.2">
      <c r="A34" s="34" t="s">
        <v>209</v>
      </c>
      <c r="B34" s="34" t="s">
        <v>125</v>
      </c>
      <c r="C34" s="11">
        <f t="shared" si="4"/>
        <v>174</v>
      </c>
      <c r="D34" s="11">
        <f t="shared" si="5"/>
        <v>174</v>
      </c>
      <c r="E34" s="11">
        <v>1</v>
      </c>
      <c r="F34" s="11" t="s">
        <v>79</v>
      </c>
      <c r="G34" s="85"/>
      <c r="H34" s="82"/>
    </row>
    <row r="35" spans="1:9" s="11" customFormat="1" x14ac:dyDescent="0.2">
      <c r="A35" s="10"/>
      <c r="B35" s="34"/>
      <c r="C35" s="11">
        <f t="shared" si="4"/>
        <v>175</v>
      </c>
      <c r="D35" s="11">
        <f t="shared" si="5"/>
        <v>178</v>
      </c>
      <c r="E35" s="11">
        <v>4</v>
      </c>
      <c r="F35" s="11" t="s">
        <v>141</v>
      </c>
      <c r="G35" s="63"/>
      <c r="H35" s="66"/>
    </row>
    <row r="36" spans="1:9" s="11" customFormat="1" ht="45.75" customHeight="1" x14ac:dyDescent="0.2">
      <c r="A36" s="10" t="s">
        <v>4</v>
      </c>
      <c r="B36" s="34" t="s">
        <v>345</v>
      </c>
      <c r="C36" s="11">
        <f>C35+E35</f>
        <v>179</v>
      </c>
      <c r="D36" s="11">
        <f t="shared" si="5"/>
        <v>179</v>
      </c>
      <c r="E36" s="11">
        <v>1</v>
      </c>
      <c r="F36" s="11" t="s">
        <v>80</v>
      </c>
      <c r="G36" s="63" t="s">
        <v>143</v>
      </c>
      <c r="H36" s="66" t="s">
        <v>367</v>
      </c>
    </row>
    <row r="37" spans="1:9" s="11" customFormat="1" x14ac:dyDescent="0.2">
      <c r="A37" s="10"/>
      <c r="B37" s="34"/>
      <c r="C37" s="11">
        <f>C36+E36</f>
        <v>180</v>
      </c>
      <c r="D37" s="11">
        <f t="shared" si="5"/>
        <v>183</v>
      </c>
      <c r="E37" s="11">
        <v>4</v>
      </c>
      <c r="F37" s="36" t="s">
        <v>141</v>
      </c>
      <c r="G37" s="64"/>
      <c r="H37" s="66"/>
      <c r="I37" s="35"/>
    </row>
    <row r="38" spans="1:9" s="11" customFormat="1" ht="42" customHeight="1" x14ac:dyDescent="0.2">
      <c r="A38" s="10"/>
      <c r="B38" s="34" t="s">
        <v>345</v>
      </c>
      <c r="C38" s="11">
        <f t="shared" si="4"/>
        <v>184</v>
      </c>
      <c r="D38" s="11">
        <f t="shared" si="5"/>
        <v>184</v>
      </c>
      <c r="E38" s="11">
        <v>1</v>
      </c>
      <c r="F38" s="23" t="s">
        <v>175</v>
      </c>
      <c r="G38" s="64" t="s">
        <v>46</v>
      </c>
      <c r="H38" s="66" t="s">
        <v>367</v>
      </c>
    </row>
    <row r="39" spans="1:9" s="11" customFormat="1" x14ac:dyDescent="0.2">
      <c r="A39" s="10"/>
      <c r="B39" s="34"/>
      <c r="C39" s="11">
        <f t="shared" si="4"/>
        <v>185</v>
      </c>
      <c r="D39" s="11">
        <f t="shared" si="5"/>
        <v>187</v>
      </c>
      <c r="E39" s="11">
        <v>3</v>
      </c>
      <c r="F39" s="11" t="s">
        <v>141</v>
      </c>
      <c r="G39" s="63"/>
      <c r="H39" s="66"/>
    </row>
    <row r="40" spans="1:9" s="12" customFormat="1" ht="25.5" x14ac:dyDescent="0.2">
      <c r="A40" s="14"/>
      <c r="B40" s="14"/>
      <c r="C40" s="11"/>
      <c r="D40" s="15" t="s">
        <v>58</v>
      </c>
      <c r="E40" s="15"/>
      <c r="F40" s="16" t="s">
        <v>81</v>
      </c>
      <c r="G40" s="41"/>
      <c r="H40" s="66" t="s">
        <v>330</v>
      </c>
    </row>
    <row r="41" spans="1:9" s="11" customFormat="1" x14ac:dyDescent="0.2">
      <c r="A41" s="10"/>
      <c r="B41" s="34"/>
      <c r="C41" s="11">
        <f>C39+E39</f>
        <v>188</v>
      </c>
      <c r="D41" s="11">
        <f t="shared" ref="D41:D42" si="6">C41+E41-1</f>
        <v>202</v>
      </c>
      <c r="E41" s="11">
        <v>15</v>
      </c>
      <c r="F41" s="23" t="s">
        <v>141</v>
      </c>
      <c r="G41" s="63"/>
      <c r="H41" s="62"/>
    </row>
    <row r="42" spans="1:9" s="11" customFormat="1" ht="39" customHeight="1" x14ac:dyDescent="0.2">
      <c r="A42" s="10"/>
      <c r="B42" s="34" t="s">
        <v>125</v>
      </c>
      <c r="C42" s="11">
        <f t="shared" ref="C42" si="7">C41+E41</f>
        <v>203</v>
      </c>
      <c r="D42" s="11">
        <f t="shared" si="6"/>
        <v>203</v>
      </c>
      <c r="E42" s="11">
        <v>1</v>
      </c>
      <c r="F42" s="11" t="s">
        <v>164</v>
      </c>
      <c r="G42" s="64" t="s">
        <v>182</v>
      </c>
      <c r="H42" s="62" t="s">
        <v>332</v>
      </c>
    </row>
    <row r="43" spans="1:9" s="11" customFormat="1" x14ac:dyDescent="0.2">
      <c r="A43" s="10"/>
      <c r="B43" s="34"/>
      <c r="C43" s="11">
        <f>C42+E42</f>
        <v>204</v>
      </c>
      <c r="D43" s="11">
        <f t="shared" ref="D43:D48" si="8">C43+E43-1</f>
        <v>272</v>
      </c>
      <c r="E43" s="11">
        <v>69</v>
      </c>
      <c r="F43" s="17" t="s">
        <v>141</v>
      </c>
      <c r="G43" s="63"/>
      <c r="H43" s="66"/>
    </row>
    <row r="44" spans="1:9" s="11" customFormat="1" ht="38.25" x14ac:dyDescent="0.2">
      <c r="A44" s="10"/>
      <c r="B44" s="34" t="s">
        <v>345</v>
      </c>
      <c r="C44" s="11">
        <f t="shared" ref="C44:C48" si="9">C43+E43</f>
        <v>273</v>
      </c>
      <c r="D44" s="11">
        <f t="shared" si="8"/>
        <v>282</v>
      </c>
      <c r="E44" s="11">
        <v>10</v>
      </c>
      <c r="F44" s="11" t="s">
        <v>94</v>
      </c>
      <c r="G44" s="40" t="s">
        <v>264</v>
      </c>
      <c r="H44" s="66" t="s">
        <v>331</v>
      </c>
    </row>
    <row r="45" spans="1:9" s="11" customFormat="1" ht="89.25" x14ac:dyDescent="0.2">
      <c r="A45" s="10"/>
      <c r="B45" s="34" t="s">
        <v>125</v>
      </c>
      <c r="C45" s="11">
        <f t="shared" si="9"/>
        <v>283</v>
      </c>
      <c r="D45" s="11">
        <f t="shared" si="8"/>
        <v>284</v>
      </c>
      <c r="E45" s="11">
        <v>2</v>
      </c>
      <c r="F45" s="11" t="s">
        <v>95</v>
      </c>
      <c r="G45" s="40" t="s">
        <v>276</v>
      </c>
      <c r="H45" s="77" t="s">
        <v>435</v>
      </c>
    </row>
    <row r="46" spans="1:9" s="11" customFormat="1" x14ac:dyDescent="0.2">
      <c r="A46" s="10"/>
      <c r="B46" s="34"/>
      <c r="C46" s="11">
        <f t="shared" si="9"/>
        <v>285</v>
      </c>
      <c r="D46" s="11">
        <f t="shared" si="8"/>
        <v>290</v>
      </c>
      <c r="E46" s="11">
        <v>6</v>
      </c>
      <c r="F46" s="36" t="s">
        <v>141</v>
      </c>
      <c r="G46" s="63"/>
      <c r="H46" s="66"/>
    </row>
    <row r="47" spans="1:9" s="11" customFormat="1" ht="67.5" customHeight="1" x14ac:dyDescent="0.2">
      <c r="A47" s="10"/>
      <c r="B47" s="34" t="s">
        <v>125</v>
      </c>
      <c r="C47" s="11">
        <f t="shared" si="9"/>
        <v>291</v>
      </c>
      <c r="D47" s="11">
        <f t="shared" si="8"/>
        <v>291</v>
      </c>
      <c r="E47" s="11">
        <v>1</v>
      </c>
      <c r="F47" s="36" t="s">
        <v>97</v>
      </c>
      <c r="G47" s="63" t="s">
        <v>184</v>
      </c>
      <c r="H47" s="66" t="s">
        <v>360</v>
      </c>
    </row>
    <row r="48" spans="1:9" s="11" customFormat="1" x14ac:dyDescent="0.2">
      <c r="A48" s="10"/>
      <c r="B48" s="34"/>
      <c r="C48" s="11">
        <f t="shared" si="9"/>
        <v>292</v>
      </c>
      <c r="D48" s="11">
        <f t="shared" si="8"/>
        <v>331</v>
      </c>
      <c r="E48" s="11">
        <v>40</v>
      </c>
      <c r="F48" s="35" t="s">
        <v>141</v>
      </c>
      <c r="G48" s="66"/>
      <c r="H48" s="62"/>
    </row>
    <row r="49" spans="1:8" s="11" customFormat="1" x14ac:dyDescent="0.2">
      <c r="A49" s="10"/>
      <c r="B49" s="34"/>
      <c r="F49" s="16" t="s">
        <v>98</v>
      </c>
      <c r="G49" s="41"/>
      <c r="H49" s="66" t="s">
        <v>329</v>
      </c>
    </row>
    <row r="50" spans="1:8" s="11" customFormat="1" ht="38.25" x14ac:dyDescent="0.2">
      <c r="A50" s="10"/>
      <c r="B50" s="34" t="s">
        <v>355</v>
      </c>
      <c r="C50" s="11">
        <f>C48+E48</f>
        <v>332</v>
      </c>
      <c r="D50" s="11">
        <f t="shared" ref="D50" si="10">C50+E50-1</f>
        <v>332</v>
      </c>
      <c r="E50" s="11">
        <v>1</v>
      </c>
      <c r="F50" s="11" t="s">
        <v>164</v>
      </c>
      <c r="G50" s="66" t="s">
        <v>182</v>
      </c>
      <c r="H50" s="62" t="s">
        <v>278</v>
      </c>
    </row>
    <row r="51" spans="1:8" s="11" customFormat="1" x14ac:dyDescent="0.2">
      <c r="A51" s="10"/>
      <c r="B51" s="34"/>
      <c r="C51" s="11">
        <f>C50+E50</f>
        <v>333</v>
      </c>
      <c r="D51" s="11">
        <f>C51+E51-1</f>
        <v>401</v>
      </c>
      <c r="E51" s="11">
        <v>69</v>
      </c>
      <c r="F51" s="17" t="s">
        <v>141</v>
      </c>
      <c r="G51" s="63"/>
      <c r="H51" s="66"/>
    </row>
    <row r="52" spans="1:8" s="11" customFormat="1" ht="38.25" x14ac:dyDescent="0.2">
      <c r="A52" s="10"/>
      <c r="B52" s="34" t="s">
        <v>354</v>
      </c>
      <c r="C52" s="11">
        <f>C51+E51</f>
        <v>402</v>
      </c>
      <c r="D52" s="11">
        <f>C52+E52-1</f>
        <v>411</v>
      </c>
      <c r="E52" s="11">
        <v>10</v>
      </c>
      <c r="F52" s="11" t="s">
        <v>94</v>
      </c>
      <c r="G52" s="40" t="s">
        <v>264</v>
      </c>
      <c r="H52" s="66" t="s">
        <v>278</v>
      </c>
    </row>
    <row r="53" spans="1:8" s="11" customFormat="1" x14ac:dyDescent="0.2">
      <c r="A53" s="10"/>
      <c r="B53" s="34"/>
      <c r="C53" s="11">
        <f>C52+E52</f>
        <v>412</v>
      </c>
      <c r="D53" s="11">
        <f>C53+E53-1</f>
        <v>460</v>
      </c>
      <c r="E53" s="11">
        <v>49</v>
      </c>
      <c r="F53" s="11" t="s">
        <v>141</v>
      </c>
      <c r="G53" s="63"/>
      <c r="H53" s="62"/>
    </row>
    <row r="54" spans="1:8" s="19" customFormat="1" ht="25.5" x14ac:dyDescent="0.2">
      <c r="A54" s="18"/>
      <c r="B54" s="34"/>
      <c r="F54" s="16" t="s">
        <v>100</v>
      </c>
      <c r="G54" s="41"/>
      <c r="H54" s="66" t="s">
        <v>334</v>
      </c>
    </row>
    <row r="55" spans="1:8" s="11" customFormat="1" ht="38.25" x14ac:dyDescent="0.2">
      <c r="A55" s="10"/>
      <c r="B55" s="34" t="s">
        <v>125</v>
      </c>
      <c r="C55" s="11">
        <f>C53+E53</f>
        <v>461</v>
      </c>
      <c r="D55" s="11">
        <f t="shared" ref="D55" si="11">C55+E55-1</f>
        <v>461</v>
      </c>
      <c r="E55" s="11">
        <v>1</v>
      </c>
      <c r="F55" s="11" t="s">
        <v>164</v>
      </c>
      <c r="G55" s="63" t="s">
        <v>185</v>
      </c>
      <c r="H55" s="62" t="s">
        <v>339</v>
      </c>
    </row>
    <row r="56" spans="1:8" s="19" customFormat="1" x14ac:dyDescent="0.2">
      <c r="A56" s="10"/>
      <c r="B56" s="34"/>
      <c r="C56" s="11">
        <f>C55+E55</f>
        <v>462</v>
      </c>
      <c r="D56" s="11">
        <f t="shared" ref="D56:D60" si="12">C56+E56-1</f>
        <v>520</v>
      </c>
      <c r="E56" s="11">
        <v>59</v>
      </c>
      <c r="F56" s="36" t="s">
        <v>141</v>
      </c>
      <c r="G56" s="73"/>
      <c r="H56" s="74"/>
    </row>
    <row r="57" spans="1:8" s="19" customFormat="1" ht="63.75" x14ac:dyDescent="0.2">
      <c r="A57" s="10"/>
      <c r="B57" s="34" t="s">
        <v>125</v>
      </c>
      <c r="C57" s="11">
        <f t="shared" ref="C57:C60" si="13">C56+E56</f>
        <v>521</v>
      </c>
      <c r="D57" s="11">
        <f t="shared" si="12"/>
        <v>521</v>
      </c>
      <c r="E57" s="11">
        <v>1</v>
      </c>
      <c r="F57" s="11" t="s">
        <v>97</v>
      </c>
      <c r="G57" s="63" t="s">
        <v>184</v>
      </c>
      <c r="H57" s="66" t="s">
        <v>339</v>
      </c>
    </row>
    <row r="58" spans="1:8" s="19" customFormat="1" ht="109.5" customHeight="1" x14ac:dyDescent="0.2">
      <c r="A58" s="10"/>
      <c r="B58" s="34" t="s">
        <v>125</v>
      </c>
      <c r="C58" s="11">
        <f t="shared" si="13"/>
        <v>522</v>
      </c>
      <c r="D58" s="11">
        <f t="shared" si="12"/>
        <v>523</v>
      </c>
      <c r="E58" s="11">
        <v>2</v>
      </c>
      <c r="F58" s="11" t="s">
        <v>95</v>
      </c>
      <c r="G58" s="66" t="s">
        <v>186</v>
      </c>
      <c r="H58" s="77" t="s">
        <v>436</v>
      </c>
    </row>
    <row r="59" spans="1:8" s="19" customFormat="1" x14ac:dyDescent="0.2">
      <c r="A59" s="10"/>
      <c r="B59" s="34"/>
      <c r="C59" s="11">
        <f t="shared" si="13"/>
        <v>524</v>
      </c>
      <c r="D59" s="11">
        <f t="shared" si="12"/>
        <v>530</v>
      </c>
      <c r="E59" s="11">
        <v>7</v>
      </c>
      <c r="F59" s="11" t="s">
        <v>141</v>
      </c>
      <c r="G59" s="63"/>
      <c r="H59" s="66"/>
    </row>
    <row r="60" spans="1:8" s="19" customFormat="1" ht="54" customHeight="1" x14ac:dyDescent="0.2">
      <c r="A60" s="10"/>
      <c r="B60" s="34" t="s">
        <v>345</v>
      </c>
      <c r="C60" s="11">
        <f t="shared" si="13"/>
        <v>531</v>
      </c>
      <c r="D60" s="11">
        <f t="shared" si="12"/>
        <v>540</v>
      </c>
      <c r="E60" s="11">
        <v>10</v>
      </c>
      <c r="F60" s="11" t="s">
        <v>94</v>
      </c>
      <c r="G60" s="40" t="s">
        <v>264</v>
      </c>
      <c r="H60" s="66" t="s">
        <v>335</v>
      </c>
    </row>
    <row r="61" spans="1:8" s="19" customFormat="1" x14ac:dyDescent="0.2">
      <c r="A61" s="10"/>
      <c r="B61" s="34"/>
      <c r="C61" s="11">
        <f>C60+E60</f>
        <v>541</v>
      </c>
      <c r="D61" s="11">
        <f>C61+E61-1</f>
        <v>1571</v>
      </c>
      <c r="E61" s="11">
        <v>1031</v>
      </c>
      <c r="F61" s="12" t="s">
        <v>141</v>
      </c>
      <c r="G61" s="63"/>
      <c r="H61" s="66"/>
    </row>
    <row r="62" spans="1:8" s="11" customFormat="1" ht="12.75" customHeight="1" x14ac:dyDescent="0.2">
      <c r="A62" s="10"/>
      <c r="B62" s="34"/>
      <c r="F62" s="8" t="s">
        <v>50</v>
      </c>
      <c r="G62" s="63"/>
      <c r="H62" s="66"/>
    </row>
    <row r="63" spans="1:8" s="11" customFormat="1" ht="112.5" customHeight="1" x14ac:dyDescent="0.2">
      <c r="A63" s="34" t="s">
        <v>207</v>
      </c>
      <c r="B63" s="34" t="s">
        <v>345</v>
      </c>
      <c r="C63" s="11">
        <f>C61+E61</f>
        <v>1572</v>
      </c>
      <c r="D63" s="11">
        <f>C63+E63-1</f>
        <v>1576</v>
      </c>
      <c r="E63" s="11">
        <v>5</v>
      </c>
      <c r="F63" s="36" t="s">
        <v>250</v>
      </c>
      <c r="G63" s="63" t="s">
        <v>189</v>
      </c>
      <c r="H63" s="77" t="s">
        <v>437</v>
      </c>
    </row>
    <row r="64" spans="1:8" s="11" customFormat="1" ht="63.75" x14ac:dyDescent="0.2">
      <c r="A64" s="34" t="s">
        <v>258</v>
      </c>
      <c r="B64" s="34" t="s">
        <v>345</v>
      </c>
      <c r="C64" s="11">
        <f>C63+E63</f>
        <v>1577</v>
      </c>
      <c r="D64" s="11">
        <f>C64+E64-1</f>
        <v>1579</v>
      </c>
      <c r="E64" s="11">
        <v>3</v>
      </c>
      <c r="F64" s="36" t="s">
        <v>251</v>
      </c>
      <c r="G64" s="63" t="s">
        <v>188</v>
      </c>
      <c r="H64" s="66" t="s">
        <v>401</v>
      </c>
    </row>
    <row r="65" spans="1:8" s="11" customFormat="1" ht="114.75" x14ac:dyDescent="0.2">
      <c r="A65" s="34" t="s">
        <v>232</v>
      </c>
      <c r="B65" s="34" t="s">
        <v>345</v>
      </c>
      <c r="C65" s="11">
        <f>C64+E64</f>
        <v>1580</v>
      </c>
      <c r="D65" s="11">
        <f>C65+E65-1</f>
        <v>1582</v>
      </c>
      <c r="E65" s="11">
        <v>3</v>
      </c>
      <c r="F65" s="36" t="s">
        <v>252</v>
      </c>
      <c r="G65" s="66" t="s">
        <v>284</v>
      </c>
      <c r="H65" s="62" t="s">
        <v>402</v>
      </c>
    </row>
    <row r="66" spans="1:8" s="11" customFormat="1" ht="12.75" customHeight="1" x14ac:dyDescent="0.2">
      <c r="A66" s="10"/>
      <c r="B66" s="34"/>
      <c r="F66" s="21" t="s">
        <v>419</v>
      </c>
      <c r="G66" s="77"/>
      <c r="H66" s="77"/>
    </row>
    <row r="67" spans="1:8" s="11" customFormat="1" ht="19.5" customHeight="1" x14ac:dyDescent="0.2">
      <c r="A67" s="34" t="s">
        <v>207</v>
      </c>
      <c r="B67" s="34" t="s">
        <v>345</v>
      </c>
      <c r="C67" s="11">
        <f>C65+E65</f>
        <v>1583</v>
      </c>
      <c r="D67" s="11">
        <f t="shared" ref="D67:D74" si="14">C67+E67-1</f>
        <v>1586</v>
      </c>
      <c r="E67" s="11">
        <v>4</v>
      </c>
      <c r="F67" s="72" t="s">
        <v>438</v>
      </c>
      <c r="G67" s="82" t="s">
        <v>187</v>
      </c>
      <c r="H67" s="82" t="s">
        <v>439</v>
      </c>
    </row>
    <row r="68" spans="1:8" s="11" customFormat="1" ht="19.5" customHeight="1" x14ac:dyDescent="0.2">
      <c r="A68" s="34" t="s">
        <v>207</v>
      </c>
      <c r="B68" s="34" t="s">
        <v>345</v>
      </c>
      <c r="C68" s="11">
        <f t="shared" ref="C68:C74" si="15">C67+E67</f>
        <v>1587</v>
      </c>
      <c r="D68" s="11">
        <f t="shared" si="14"/>
        <v>1590</v>
      </c>
      <c r="E68" s="11">
        <v>4</v>
      </c>
      <c r="F68" s="72" t="s">
        <v>440</v>
      </c>
      <c r="G68" s="82"/>
      <c r="H68" s="82"/>
    </row>
    <row r="69" spans="1:8" s="11" customFormat="1" x14ac:dyDescent="0.2">
      <c r="A69" s="34" t="s">
        <v>207</v>
      </c>
      <c r="B69" s="34" t="s">
        <v>345</v>
      </c>
      <c r="C69" s="11">
        <f t="shared" si="15"/>
        <v>1591</v>
      </c>
      <c r="D69" s="11">
        <f t="shared" si="14"/>
        <v>1594</v>
      </c>
      <c r="E69" s="11">
        <v>4</v>
      </c>
      <c r="F69" s="72" t="s">
        <v>441</v>
      </c>
      <c r="G69" s="82"/>
      <c r="H69" s="82"/>
    </row>
    <row r="70" spans="1:8" s="11" customFormat="1" ht="18.75" customHeight="1" x14ac:dyDescent="0.2">
      <c r="A70" s="34" t="s">
        <v>207</v>
      </c>
      <c r="B70" s="34" t="s">
        <v>345</v>
      </c>
      <c r="C70" s="11">
        <f t="shared" si="15"/>
        <v>1595</v>
      </c>
      <c r="D70" s="11">
        <f t="shared" si="14"/>
        <v>1598</v>
      </c>
      <c r="E70" s="11">
        <v>4</v>
      </c>
      <c r="F70" s="72" t="s">
        <v>442</v>
      </c>
      <c r="G70" s="82"/>
      <c r="H70" s="82"/>
    </row>
    <row r="71" spans="1:8" s="11" customFormat="1" ht="18.75" customHeight="1" x14ac:dyDescent="0.2">
      <c r="A71" s="34" t="s">
        <v>207</v>
      </c>
      <c r="B71" s="34" t="s">
        <v>354</v>
      </c>
      <c r="C71" s="11">
        <f t="shared" si="15"/>
        <v>1599</v>
      </c>
      <c r="D71" s="11">
        <f t="shared" si="14"/>
        <v>1602</v>
      </c>
      <c r="E71" s="11">
        <v>4</v>
      </c>
      <c r="F71" s="72" t="s">
        <v>8</v>
      </c>
      <c r="G71" s="82"/>
      <c r="H71" s="82"/>
    </row>
    <row r="72" spans="1:8" s="11" customFormat="1" ht="18.75" customHeight="1" x14ac:dyDescent="0.2">
      <c r="A72" s="34" t="s">
        <v>207</v>
      </c>
      <c r="B72" s="34" t="s">
        <v>348</v>
      </c>
      <c r="C72" s="11">
        <f t="shared" si="15"/>
        <v>1603</v>
      </c>
      <c r="D72" s="11">
        <f t="shared" si="14"/>
        <v>1606</v>
      </c>
      <c r="E72" s="11">
        <v>4</v>
      </c>
      <c r="F72" s="72" t="s">
        <v>9</v>
      </c>
      <c r="G72" s="82"/>
      <c r="H72" s="82"/>
    </row>
    <row r="73" spans="1:8" s="11" customFormat="1" ht="18.75" customHeight="1" x14ac:dyDescent="0.2">
      <c r="A73" s="34" t="s">
        <v>207</v>
      </c>
      <c r="B73" s="34" t="s">
        <v>354</v>
      </c>
      <c r="C73" s="11">
        <f t="shared" si="15"/>
        <v>1607</v>
      </c>
      <c r="D73" s="11">
        <f t="shared" si="14"/>
        <v>1610</v>
      </c>
      <c r="E73" s="11">
        <v>4</v>
      </c>
      <c r="F73" s="72" t="s">
        <v>10</v>
      </c>
      <c r="G73" s="82"/>
      <c r="H73" s="82"/>
    </row>
    <row r="74" spans="1:8" s="11" customFormat="1" ht="12.75" customHeight="1" x14ac:dyDescent="0.2">
      <c r="A74" s="10"/>
      <c r="B74" s="34"/>
      <c r="C74" s="11">
        <f t="shared" si="15"/>
        <v>1611</v>
      </c>
      <c r="D74" s="11">
        <f t="shared" si="14"/>
        <v>1614</v>
      </c>
      <c r="E74" s="11">
        <v>4</v>
      </c>
      <c r="F74" s="36" t="s">
        <v>141</v>
      </c>
      <c r="G74" s="77"/>
      <c r="H74" s="75"/>
    </row>
    <row r="75" spans="1:8" s="11" customFormat="1" ht="12.75" customHeight="1" x14ac:dyDescent="0.2">
      <c r="A75" s="10"/>
      <c r="B75" s="34"/>
      <c r="F75" s="21" t="s">
        <v>6</v>
      </c>
      <c r="G75" s="77"/>
      <c r="H75" s="77"/>
    </row>
    <row r="76" spans="1:8" s="11" customFormat="1" ht="18" customHeight="1" x14ac:dyDescent="0.2">
      <c r="A76" s="34" t="s">
        <v>207</v>
      </c>
      <c r="B76" s="34" t="s">
        <v>355</v>
      </c>
      <c r="C76" s="11">
        <f>C74+E74</f>
        <v>1615</v>
      </c>
      <c r="D76" s="11">
        <f>C76+E76-1</f>
        <v>1618</v>
      </c>
      <c r="E76" s="11">
        <v>4</v>
      </c>
      <c r="F76" s="72" t="s">
        <v>11</v>
      </c>
      <c r="G76" s="82" t="s">
        <v>187</v>
      </c>
      <c r="H76" s="82" t="s">
        <v>443</v>
      </c>
    </row>
    <row r="77" spans="1:8" s="11" customFormat="1" ht="18.75" customHeight="1" x14ac:dyDescent="0.2">
      <c r="A77" s="34" t="s">
        <v>207</v>
      </c>
      <c r="B77" s="34" t="s">
        <v>355</v>
      </c>
      <c r="C77" s="11">
        <f>C76+E76</f>
        <v>1619</v>
      </c>
      <c r="D77" s="11">
        <f>C77+E77-1</f>
        <v>1622</v>
      </c>
      <c r="E77" s="11">
        <v>4</v>
      </c>
      <c r="F77" s="72" t="s">
        <v>12</v>
      </c>
      <c r="G77" s="82"/>
      <c r="H77" s="82"/>
    </row>
    <row r="78" spans="1:8" s="11" customFormat="1" ht="19.5" customHeight="1" x14ac:dyDescent="0.2">
      <c r="A78" s="34" t="s">
        <v>207</v>
      </c>
      <c r="B78" s="34" t="s">
        <v>348</v>
      </c>
      <c r="C78" s="11">
        <f>C77+E77</f>
        <v>1623</v>
      </c>
      <c r="D78" s="11">
        <f>C78+E78-1</f>
        <v>1626</v>
      </c>
      <c r="E78" s="11">
        <v>4</v>
      </c>
      <c r="F78" s="72" t="s">
        <v>7</v>
      </c>
      <c r="G78" s="82"/>
      <c r="H78" s="82"/>
    </row>
    <row r="79" spans="1:8" s="11" customFormat="1" ht="18" customHeight="1" x14ac:dyDescent="0.2">
      <c r="A79" s="34" t="s">
        <v>207</v>
      </c>
      <c r="B79" s="34" t="s">
        <v>348</v>
      </c>
      <c r="C79" s="11">
        <f>C78+E78</f>
        <v>1627</v>
      </c>
      <c r="D79" s="11">
        <f>C79+E79-1</f>
        <v>1630</v>
      </c>
      <c r="E79" s="11">
        <v>4</v>
      </c>
      <c r="F79" s="72" t="s">
        <v>13</v>
      </c>
      <c r="G79" s="82"/>
      <c r="H79" s="82"/>
    </row>
    <row r="80" spans="1:8" s="11" customFormat="1" ht="12.75" customHeight="1" x14ac:dyDescent="0.2">
      <c r="A80" s="10"/>
      <c r="B80" s="34"/>
      <c r="C80" s="11">
        <f>C79+E79</f>
        <v>1631</v>
      </c>
      <c r="D80" s="11">
        <f>C80+E80-1</f>
        <v>1638</v>
      </c>
      <c r="E80" s="11">
        <v>8</v>
      </c>
      <c r="F80" s="17" t="s">
        <v>141</v>
      </c>
      <c r="G80" s="63"/>
      <c r="H80" s="62"/>
    </row>
    <row r="81" spans="1:8" s="11" customFormat="1" x14ac:dyDescent="0.2">
      <c r="A81" s="10"/>
      <c r="B81" s="34"/>
      <c r="F81" s="8" t="s">
        <v>14</v>
      </c>
      <c r="G81" s="63"/>
      <c r="H81" s="66"/>
    </row>
    <row r="82" spans="1:8" s="11" customFormat="1" ht="12.75" customHeight="1" x14ac:dyDescent="0.2">
      <c r="A82" s="34" t="s">
        <v>207</v>
      </c>
      <c r="B82" s="34" t="s">
        <v>345</v>
      </c>
      <c r="C82" s="11">
        <f>C80+E80</f>
        <v>1639</v>
      </c>
      <c r="D82" s="11">
        <f t="shared" ref="D82:D88" si="16">C82+E82-1</f>
        <v>1642</v>
      </c>
      <c r="E82" s="11">
        <v>4</v>
      </c>
      <c r="F82" s="12" t="s">
        <v>15</v>
      </c>
      <c r="G82" s="85" t="s">
        <v>190</v>
      </c>
      <c r="H82" s="82" t="s">
        <v>170</v>
      </c>
    </row>
    <row r="83" spans="1:8" s="11" customFormat="1" ht="12.75" customHeight="1" x14ac:dyDescent="0.2">
      <c r="A83" s="34" t="s">
        <v>207</v>
      </c>
      <c r="B83" s="34" t="s">
        <v>345</v>
      </c>
      <c r="C83" s="11">
        <f t="shared" ref="C83:C90" si="17">C82+E82</f>
        <v>1643</v>
      </c>
      <c r="D83" s="11">
        <f t="shared" si="16"/>
        <v>1646</v>
      </c>
      <c r="E83" s="11">
        <v>4</v>
      </c>
      <c r="F83" s="12" t="s">
        <v>16</v>
      </c>
      <c r="G83" s="85"/>
      <c r="H83" s="82"/>
    </row>
    <row r="84" spans="1:8" s="11" customFormat="1" ht="12.75" customHeight="1" x14ac:dyDescent="0.2">
      <c r="A84" s="34" t="s">
        <v>207</v>
      </c>
      <c r="B84" s="34" t="s">
        <v>345</v>
      </c>
      <c r="C84" s="11">
        <f t="shared" si="17"/>
        <v>1647</v>
      </c>
      <c r="D84" s="11">
        <f t="shared" si="16"/>
        <v>1650</v>
      </c>
      <c r="E84" s="11">
        <v>4</v>
      </c>
      <c r="F84" s="12" t="s">
        <v>17</v>
      </c>
      <c r="G84" s="85" t="s">
        <v>191</v>
      </c>
      <c r="H84" s="82"/>
    </row>
    <row r="85" spans="1:8" s="11" customFormat="1" ht="12.75" customHeight="1" x14ac:dyDescent="0.2">
      <c r="A85" s="34" t="s">
        <v>207</v>
      </c>
      <c r="B85" s="34" t="s">
        <v>345</v>
      </c>
      <c r="C85" s="11">
        <f t="shared" si="17"/>
        <v>1651</v>
      </c>
      <c r="D85" s="11">
        <f t="shared" si="16"/>
        <v>1654</v>
      </c>
      <c r="E85" s="11">
        <v>4</v>
      </c>
      <c r="F85" s="12" t="s">
        <v>18</v>
      </c>
      <c r="G85" s="85"/>
      <c r="H85" s="82"/>
    </row>
    <row r="86" spans="1:8" s="11" customFormat="1" ht="12.75" customHeight="1" x14ac:dyDescent="0.2">
      <c r="A86" s="34" t="s">
        <v>207</v>
      </c>
      <c r="B86" s="34" t="s">
        <v>345</v>
      </c>
      <c r="C86" s="11">
        <f t="shared" si="17"/>
        <v>1655</v>
      </c>
      <c r="D86" s="11">
        <f t="shared" si="16"/>
        <v>1658</v>
      </c>
      <c r="E86" s="11">
        <v>4</v>
      </c>
      <c r="F86" s="12" t="s">
        <v>19</v>
      </c>
      <c r="G86" s="85"/>
      <c r="H86" s="82"/>
    </row>
    <row r="87" spans="1:8" s="11" customFormat="1" ht="12.75" customHeight="1" x14ac:dyDescent="0.2">
      <c r="A87" s="34" t="s">
        <v>207</v>
      </c>
      <c r="B87" s="34" t="s">
        <v>345</v>
      </c>
      <c r="C87" s="11">
        <f t="shared" si="17"/>
        <v>1659</v>
      </c>
      <c r="D87" s="11">
        <f t="shared" si="16"/>
        <v>1662</v>
      </c>
      <c r="E87" s="11">
        <v>4</v>
      </c>
      <c r="F87" s="11" t="s">
        <v>20</v>
      </c>
      <c r="G87" s="85"/>
      <c r="H87" s="82"/>
    </row>
    <row r="88" spans="1:8" s="11" customFormat="1" ht="12.75" customHeight="1" x14ac:dyDescent="0.2">
      <c r="A88" s="10"/>
      <c r="B88" s="34"/>
      <c r="C88" s="11">
        <f t="shared" si="17"/>
        <v>1663</v>
      </c>
      <c r="D88" s="11">
        <f t="shared" si="16"/>
        <v>1670</v>
      </c>
      <c r="E88" s="11">
        <v>8</v>
      </c>
      <c r="F88" s="17" t="s">
        <v>141</v>
      </c>
      <c r="G88" s="63"/>
      <c r="H88" s="62"/>
    </row>
    <row r="89" spans="1:8" s="11" customFormat="1" ht="66.75" customHeight="1" x14ac:dyDescent="0.2">
      <c r="A89" s="34" t="s">
        <v>207</v>
      </c>
      <c r="B89" s="34" t="s">
        <v>345</v>
      </c>
      <c r="C89" s="11">
        <f>C88+E88</f>
        <v>1671</v>
      </c>
      <c r="D89" s="11">
        <f>C89+E89-1</f>
        <v>1675</v>
      </c>
      <c r="E89" s="11">
        <v>5</v>
      </c>
      <c r="F89" s="36" t="s">
        <v>426</v>
      </c>
      <c r="G89" s="63" t="s">
        <v>192</v>
      </c>
      <c r="H89" s="62" t="s">
        <v>169</v>
      </c>
    </row>
    <row r="90" spans="1:8" s="11" customFormat="1" ht="102" x14ac:dyDescent="0.2">
      <c r="A90" s="34" t="s">
        <v>207</v>
      </c>
      <c r="B90" s="34" t="s">
        <v>345</v>
      </c>
      <c r="C90" s="11">
        <f t="shared" si="17"/>
        <v>1676</v>
      </c>
      <c r="D90" s="11">
        <f>C90+E90-1</f>
        <v>1676</v>
      </c>
      <c r="E90" s="11">
        <v>1</v>
      </c>
      <c r="F90" s="36" t="s">
        <v>358</v>
      </c>
      <c r="G90" s="66" t="s">
        <v>359</v>
      </c>
      <c r="H90" s="62" t="s">
        <v>415</v>
      </c>
    </row>
    <row r="91" spans="1:8" s="11" customFormat="1" x14ac:dyDescent="0.2">
      <c r="A91" s="10"/>
      <c r="B91" s="34"/>
      <c r="F91" s="8" t="s">
        <v>21</v>
      </c>
      <c r="G91" s="63"/>
      <c r="H91" s="66"/>
    </row>
    <row r="92" spans="1:8" s="11" customFormat="1" ht="76.5" x14ac:dyDescent="0.2">
      <c r="A92" s="34" t="s">
        <v>206</v>
      </c>
      <c r="B92" s="34" t="s">
        <v>345</v>
      </c>
      <c r="C92" s="11">
        <f>C90+E90</f>
        <v>1677</v>
      </c>
      <c r="D92" s="11">
        <f t="shared" ref="D92:D96" si="18">C92+E92-1</f>
        <v>1679</v>
      </c>
      <c r="E92" s="11">
        <v>3</v>
      </c>
      <c r="F92" s="36" t="s">
        <v>22</v>
      </c>
      <c r="G92" s="61" t="s">
        <v>193</v>
      </c>
      <c r="H92" s="77" t="s">
        <v>444</v>
      </c>
    </row>
    <row r="93" spans="1:8" s="11" customFormat="1" ht="105" customHeight="1" x14ac:dyDescent="0.2">
      <c r="A93" s="34" t="s">
        <v>207</v>
      </c>
      <c r="B93" s="34" t="s">
        <v>345</v>
      </c>
      <c r="C93" s="11">
        <f t="shared" ref="C93:C96" si="19">C92+E92</f>
        <v>1680</v>
      </c>
      <c r="D93" s="11">
        <f t="shared" si="18"/>
        <v>1683</v>
      </c>
      <c r="E93" s="11">
        <v>4</v>
      </c>
      <c r="F93" s="11" t="s">
        <v>23</v>
      </c>
      <c r="G93" s="61" t="s">
        <v>187</v>
      </c>
      <c r="H93" s="75" t="s">
        <v>445</v>
      </c>
    </row>
    <row r="94" spans="1:8" s="11" customFormat="1" x14ac:dyDescent="0.2">
      <c r="A94" s="10"/>
      <c r="B94" s="34"/>
      <c r="C94" s="11">
        <f t="shared" si="19"/>
        <v>1684</v>
      </c>
      <c r="D94" s="11">
        <f t="shared" si="18"/>
        <v>1690</v>
      </c>
      <c r="E94" s="11">
        <v>7</v>
      </c>
      <c r="F94" s="17" t="s">
        <v>141</v>
      </c>
      <c r="G94" s="63"/>
      <c r="H94" s="62"/>
    </row>
    <row r="95" spans="1:8" s="11" customFormat="1" ht="102" x14ac:dyDescent="0.2">
      <c r="A95" s="10"/>
      <c r="B95" s="34" t="s">
        <v>348</v>
      </c>
      <c r="C95" s="11">
        <f>C94+E94</f>
        <v>1691</v>
      </c>
      <c r="D95" s="11">
        <f t="shared" si="18"/>
        <v>1691</v>
      </c>
      <c r="E95" s="11">
        <v>1</v>
      </c>
      <c r="F95" s="36" t="s">
        <v>24</v>
      </c>
      <c r="G95" s="66" t="s">
        <v>224</v>
      </c>
      <c r="H95" s="62" t="s">
        <v>403</v>
      </c>
    </row>
    <row r="96" spans="1:8" s="11" customFormat="1" x14ac:dyDescent="0.2">
      <c r="A96" s="34"/>
      <c r="B96" s="34"/>
      <c r="C96" s="11">
        <f t="shared" si="19"/>
        <v>1692</v>
      </c>
      <c r="D96" s="11">
        <f t="shared" si="18"/>
        <v>1692</v>
      </c>
      <c r="E96" s="11">
        <v>1</v>
      </c>
      <c r="F96" s="36" t="s">
        <v>141</v>
      </c>
      <c r="G96" s="43"/>
      <c r="H96" s="62"/>
    </row>
    <row r="97" spans="1:8" s="11" customFormat="1" x14ac:dyDescent="0.2">
      <c r="A97" s="10"/>
      <c r="B97" s="34"/>
      <c r="F97" s="8" t="s">
        <v>51</v>
      </c>
      <c r="G97" s="63"/>
      <c r="H97" s="66"/>
    </row>
    <row r="98" spans="1:8" s="11" customFormat="1" ht="172.5" customHeight="1" x14ac:dyDescent="0.2">
      <c r="A98" s="34" t="s">
        <v>207</v>
      </c>
      <c r="B98" s="34" t="s">
        <v>345</v>
      </c>
      <c r="C98" s="11">
        <f>C96+E96</f>
        <v>1693</v>
      </c>
      <c r="D98" s="11">
        <f>C98+E98-1</f>
        <v>1697</v>
      </c>
      <c r="E98" s="11">
        <v>5</v>
      </c>
      <c r="F98" s="36" t="s">
        <v>265</v>
      </c>
      <c r="G98" s="63" t="s">
        <v>189</v>
      </c>
      <c r="H98" s="77" t="s">
        <v>446</v>
      </c>
    </row>
    <row r="99" spans="1:8" s="11" customFormat="1" ht="63.75" x14ac:dyDescent="0.2">
      <c r="A99" s="34" t="s">
        <v>258</v>
      </c>
      <c r="B99" s="34" t="s">
        <v>345</v>
      </c>
      <c r="C99" s="11">
        <f>C98+E98</f>
        <v>1698</v>
      </c>
      <c r="D99" s="11">
        <f>C99+E99-1</f>
        <v>1700</v>
      </c>
      <c r="E99" s="11">
        <v>3</v>
      </c>
      <c r="F99" s="36" t="s">
        <v>253</v>
      </c>
      <c r="G99" s="63" t="s">
        <v>188</v>
      </c>
      <c r="H99" s="66" t="s">
        <v>404</v>
      </c>
    </row>
    <row r="100" spans="1:8" s="11" customFormat="1" ht="114.75" x14ac:dyDescent="0.2">
      <c r="A100" s="34" t="s">
        <v>232</v>
      </c>
      <c r="B100" s="34" t="s">
        <v>345</v>
      </c>
      <c r="C100" s="11">
        <f>C99+E99</f>
        <v>1701</v>
      </c>
      <c r="D100" s="11">
        <f>C100+E100-1</f>
        <v>1703</v>
      </c>
      <c r="E100" s="11">
        <v>3</v>
      </c>
      <c r="F100" s="36" t="s">
        <v>254</v>
      </c>
      <c r="G100" s="66" t="s">
        <v>284</v>
      </c>
      <c r="H100" s="62" t="s">
        <v>405</v>
      </c>
    </row>
    <row r="101" spans="1:8" s="11" customFormat="1" ht="12.75" customHeight="1" x14ac:dyDescent="0.2">
      <c r="A101" s="10"/>
      <c r="B101" s="34"/>
      <c r="F101" s="8" t="s">
        <v>469</v>
      </c>
      <c r="G101" s="63"/>
      <c r="H101" s="66"/>
    </row>
    <row r="102" spans="1:8" s="11" customFormat="1" ht="25.5" customHeight="1" x14ac:dyDescent="0.2">
      <c r="A102" s="34" t="s">
        <v>207</v>
      </c>
      <c r="B102" s="34" t="s">
        <v>345</v>
      </c>
      <c r="C102" s="36">
        <f>C100+E100</f>
        <v>1704</v>
      </c>
      <c r="D102" s="36">
        <f t="shared" ref="D102:D109" si="20">C102+E102-1</f>
        <v>1707</v>
      </c>
      <c r="E102" s="36">
        <v>4</v>
      </c>
      <c r="F102" s="72" t="s">
        <v>450</v>
      </c>
      <c r="G102" s="82" t="s">
        <v>187</v>
      </c>
      <c r="H102" s="82" t="s">
        <v>451</v>
      </c>
    </row>
    <row r="103" spans="1:8" s="11" customFormat="1" x14ac:dyDescent="0.2">
      <c r="A103" s="34" t="s">
        <v>207</v>
      </c>
      <c r="B103" s="34" t="s">
        <v>345</v>
      </c>
      <c r="C103" s="36">
        <f t="shared" ref="C103:C109" si="21">C102+E102</f>
        <v>1708</v>
      </c>
      <c r="D103" s="36">
        <f t="shared" si="20"/>
        <v>1711</v>
      </c>
      <c r="E103" s="36">
        <v>4</v>
      </c>
      <c r="F103" s="72" t="s">
        <v>452</v>
      </c>
      <c r="G103" s="82"/>
      <c r="H103" s="82"/>
    </row>
    <row r="104" spans="1:8" s="11" customFormat="1" x14ac:dyDescent="0.2">
      <c r="A104" s="34" t="s">
        <v>207</v>
      </c>
      <c r="B104" s="34" t="s">
        <v>345</v>
      </c>
      <c r="C104" s="36">
        <f t="shared" si="21"/>
        <v>1712</v>
      </c>
      <c r="D104" s="36">
        <f t="shared" si="20"/>
        <v>1715</v>
      </c>
      <c r="E104" s="36">
        <v>4</v>
      </c>
      <c r="F104" s="72" t="s">
        <v>453</v>
      </c>
      <c r="G104" s="82"/>
      <c r="H104" s="82"/>
    </row>
    <row r="105" spans="1:8" s="11" customFormat="1" x14ac:dyDescent="0.2">
      <c r="A105" s="34" t="s">
        <v>207</v>
      </c>
      <c r="B105" s="34" t="s">
        <v>345</v>
      </c>
      <c r="C105" s="36">
        <f t="shared" si="21"/>
        <v>1716</v>
      </c>
      <c r="D105" s="36">
        <f t="shared" si="20"/>
        <v>1719</v>
      </c>
      <c r="E105" s="36">
        <v>4</v>
      </c>
      <c r="F105" s="49" t="s">
        <v>454</v>
      </c>
      <c r="G105" s="82"/>
      <c r="H105" s="82"/>
    </row>
    <row r="106" spans="1:8" s="11" customFormat="1" x14ac:dyDescent="0.2">
      <c r="A106" s="34" t="s">
        <v>207</v>
      </c>
      <c r="B106" s="34" t="s">
        <v>345</v>
      </c>
      <c r="C106" s="36">
        <f t="shared" si="21"/>
        <v>1720</v>
      </c>
      <c r="D106" s="36">
        <f t="shared" si="20"/>
        <v>1723</v>
      </c>
      <c r="E106" s="36">
        <v>4</v>
      </c>
      <c r="F106" s="72" t="s">
        <v>455</v>
      </c>
      <c r="G106" s="82"/>
      <c r="H106" s="82"/>
    </row>
    <row r="107" spans="1:8" s="11" customFormat="1" ht="24" customHeight="1" x14ac:dyDescent="0.2">
      <c r="A107" s="34" t="s">
        <v>207</v>
      </c>
      <c r="B107" s="34" t="s">
        <v>345</v>
      </c>
      <c r="C107" s="36">
        <f t="shared" si="21"/>
        <v>1724</v>
      </c>
      <c r="D107" s="36">
        <f t="shared" si="20"/>
        <v>1727</v>
      </c>
      <c r="E107" s="36">
        <v>4</v>
      </c>
      <c r="F107" s="72" t="s">
        <v>456</v>
      </c>
      <c r="G107" s="82"/>
      <c r="H107" s="82"/>
    </row>
    <row r="108" spans="1:8" s="11" customFormat="1" x14ac:dyDescent="0.2">
      <c r="A108" s="34" t="s">
        <v>207</v>
      </c>
      <c r="B108" s="34" t="s">
        <v>127</v>
      </c>
      <c r="C108" s="36">
        <f t="shared" si="21"/>
        <v>1728</v>
      </c>
      <c r="D108" s="36">
        <f>C108+E108-1</f>
        <v>1731</v>
      </c>
      <c r="E108" s="36">
        <v>4</v>
      </c>
      <c r="F108" s="72" t="s">
        <v>448</v>
      </c>
      <c r="G108" s="82"/>
      <c r="H108" s="82"/>
    </row>
    <row r="109" spans="1:8" s="11" customFormat="1" ht="12.75" customHeight="1" x14ac:dyDescent="0.2">
      <c r="A109" s="34" t="s">
        <v>207</v>
      </c>
      <c r="B109" s="34" t="s">
        <v>127</v>
      </c>
      <c r="C109" s="36">
        <f t="shared" si="21"/>
        <v>1732</v>
      </c>
      <c r="D109" s="36">
        <f t="shared" si="20"/>
        <v>1735</v>
      </c>
      <c r="E109" s="36">
        <v>4</v>
      </c>
      <c r="F109" s="36" t="s">
        <v>449</v>
      </c>
      <c r="G109" s="82"/>
      <c r="H109" s="82"/>
    </row>
    <row r="110" spans="1:8" s="11" customFormat="1" ht="12.75" customHeight="1" x14ac:dyDescent="0.2">
      <c r="A110" s="10"/>
      <c r="B110" s="34"/>
      <c r="F110" s="8" t="s">
        <v>6</v>
      </c>
      <c r="G110" s="71"/>
      <c r="H110" s="71"/>
    </row>
    <row r="111" spans="1:8" s="11" customFormat="1" ht="29.25" customHeight="1" x14ac:dyDescent="0.2">
      <c r="A111" s="34" t="s">
        <v>206</v>
      </c>
      <c r="B111" s="34" t="s">
        <v>345</v>
      </c>
      <c r="C111" s="11">
        <f>C109+E109</f>
        <v>1736</v>
      </c>
      <c r="D111" s="11">
        <f t="shared" ref="D111:D115" si="22">C111+E111-1</f>
        <v>1739</v>
      </c>
      <c r="E111" s="11">
        <v>4</v>
      </c>
      <c r="F111" s="72" t="s">
        <v>25</v>
      </c>
      <c r="G111" s="82" t="s">
        <v>187</v>
      </c>
      <c r="H111" s="82" t="s">
        <v>424</v>
      </c>
    </row>
    <row r="112" spans="1:8" s="11" customFormat="1" ht="30" customHeight="1" x14ac:dyDescent="0.2">
      <c r="A112" s="34" t="s">
        <v>207</v>
      </c>
      <c r="B112" s="34" t="s">
        <v>345</v>
      </c>
      <c r="C112" s="11">
        <f>C111+E111</f>
        <v>1740</v>
      </c>
      <c r="D112" s="11">
        <f t="shared" si="22"/>
        <v>1743</v>
      </c>
      <c r="E112" s="11">
        <v>4</v>
      </c>
      <c r="F112" s="72" t="s">
        <v>429</v>
      </c>
      <c r="G112" s="82"/>
      <c r="H112" s="82"/>
    </row>
    <row r="113" spans="1:8" s="11" customFormat="1" ht="12.75" customHeight="1" x14ac:dyDescent="0.2">
      <c r="A113" s="10"/>
      <c r="B113" s="34"/>
      <c r="C113" s="11">
        <f>C112+E112</f>
        <v>1744</v>
      </c>
      <c r="D113" s="11">
        <f t="shared" si="22"/>
        <v>1811</v>
      </c>
      <c r="E113" s="11">
        <v>68</v>
      </c>
      <c r="F113" s="17" t="s">
        <v>141</v>
      </c>
      <c r="G113" s="63"/>
      <c r="H113" s="62"/>
    </row>
    <row r="114" spans="1:8" s="11" customFormat="1" ht="102" x14ac:dyDescent="0.2">
      <c r="A114" s="10"/>
      <c r="B114" s="34" t="s">
        <v>348</v>
      </c>
      <c r="C114" s="11">
        <f>C113+E113</f>
        <v>1812</v>
      </c>
      <c r="D114" s="11">
        <f t="shared" si="22"/>
        <v>1812</v>
      </c>
      <c r="E114" s="11">
        <v>1</v>
      </c>
      <c r="F114" s="36" t="s">
        <v>26</v>
      </c>
      <c r="G114" s="66" t="s">
        <v>224</v>
      </c>
      <c r="H114" s="62" t="s">
        <v>406</v>
      </c>
    </row>
    <row r="115" spans="1:8" s="11" customFormat="1" x14ac:dyDescent="0.2">
      <c r="A115" s="34"/>
      <c r="B115" s="34"/>
      <c r="C115" s="11">
        <f t="shared" ref="C115" si="23">C114+E114</f>
        <v>1813</v>
      </c>
      <c r="D115" s="11">
        <f t="shared" si="22"/>
        <v>1813</v>
      </c>
      <c r="E115" s="11">
        <v>1</v>
      </c>
      <c r="F115" s="36" t="s">
        <v>141</v>
      </c>
      <c r="G115" s="43"/>
      <c r="H115" s="62"/>
    </row>
    <row r="116" spans="1:8" s="11" customFormat="1" ht="12.75" customHeight="1" x14ac:dyDescent="0.2">
      <c r="A116" s="10"/>
      <c r="B116" s="34"/>
      <c r="F116" s="8" t="s">
        <v>52</v>
      </c>
      <c r="G116" s="63"/>
      <c r="H116" s="66"/>
    </row>
    <row r="117" spans="1:8" s="11" customFormat="1" ht="183.75" customHeight="1" x14ac:dyDescent="0.2">
      <c r="A117" s="34" t="s">
        <v>207</v>
      </c>
      <c r="B117" s="34" t="s">
        <v>345</v>
      </c>
      <c r="C117" s="11">
        <f>C115+E115</f>
        <v>1814</v>
      </c>
      <c r="D117" s="11">
        <f>C117+E117-1</f>
        <v>1818</v>
      </c>
      <c r="E117" s="11">
        <v>5</v>
      </c>
      <c r="F117" s="36" t="s">
        <v>266</v>
      </c>
      <c r="G117" s="63" t="s">
        <v>189</v>
      </c>
      <c r="H117" s="77" t="s">
        <v>447</v>
      </c>
    </row>
    <row r="118" spans="1:8" s="11" customFormat="1" ht="63.75" x14ac:dyDescent="0.2">
      <c r="A118" s="34" t="s">
        <v>258</v>
      </c>
      <c r="B118" s="34" t="s">
        <v>345</v>
      </c>
      <c r="C118" s="11">
        <f>C117+E117</f>
        <v>1819</v>
      </c>
      <c r="D118" s="11">
        <f>C118+E118-1</f>
        <v>1821</v>
      </c>
      <c r="E118" s="11">
        <v>3</v>
      </c>
      <c r="F118" s="36" t="s">
        <v>255</v>
      </c>
      <c r="G118" s="63" t="s">
        <v>188</v>
      </c>
      <c r="H118" s="66" t="s">
        <v>407</v>
      </c>
    </row>
    <row r="119" spans="1:8" s="11" customFormat="1" ht="114" customHeight="1" x14ac:dyDescent="0.2">
      <c r="A119" s="34" t="s">
        <v>232</v>
      </c>
      <c r="B119" s="34" t="s">
        <v>345</v>
      </c>
      <c r="C119" s="11">
        <f>C118+E118</f>
        <v>1822</v>
      </c>
      <c r="D119" s="11">
        <f>C119+E119-1</f>
        <v>1824</v>
      </c>
      <c r="E119" s="11">
        <v>3</v>
      </c>
      <c r="F119" s="36" t="s">
        <v>256</v>
      </c>
      <c r="G119" s="66" t="s">
        <v>284</v>
      </c>
      <c r="H119" s="62" t="s">
        <v>408</v>
      </c>
    </row>
    <row r="120" spans="1:8" s="11" customFormat="1" ht="12.75" customHeight="1" x14ac:dyDescent="0.2">
      <c r="A120" s="10"/>
      <c r="B120" s="34"/>
      <c r="F120" s="8" t="s">
        <v>5</v>
      </c>
      <c r="G120" s="63"/>
      <c r="H120" s="66"/>
    </row>
    <row r="121" spans="1:8" s="11" customFormat="1" ht="12.75" customHeight="1" x14ac:dyDescent="0.2">
      <c r="A121" s="34" t="s">
        <v>207</v>
      </c>
      <c r="B121" s="34" t="s">
        <v>345</v>
      </c>
      <c r="C121" s="11">
        <f>C119+E119</f>
        <v>1825</v>
      </c>
      <c r="D121" s="11">
        <f t="shared" ref="D121:D126" si="24">C121+E121-1</f>
        <v>1828</v>
      </c>
      <c r="E121" s="11">
        <v>4</v>
      </c>
      <c r="F121" s="12" t="s">
        <v>27</v>
      </c>
      <c r="G121" s="85" t="s">
        <v>187</v>
      </c>
      <c r="H121" s="82" t="s">
        <v>171</v>
      </c>
    </row>
    <row r="122" spans="1:8" s="11" customFormat="1" ht="12.75" customHeight="1" x14ac:dyDescent="0.2">
      <c r="A122" s="34" t="s">
        <v>207</v>
      </c>
      <c r="B122" s="34" t="s">
        <v>345</v>
      </c>
      <c r="C122" s="11">
        <f>C121+E121</f>
        <v>1829</v>
      </c>
      <c r="D122" s="11">
        <f t="shared" si="24"/>
        <v>1832</v>
      </c>
      <c r="E122" s="11">
        <v>4</v>
      </c>
      <c r="F122" s="12" t="s">
        <v>28</v>
      </c>
      <c r="G122" s="85"/>
      <c r="H122" s="82"/>
    </row>
    <row r="123" spans="1:8" s="11" customFormat="1" ht="12.75" customHeight="1" x14ac:dyDescent="0.2">
      <c r="A123" s="34" t="s">
        <v>207</v>
      </c>
      <c r="B123" s="34" t="s">
        <v>345</v>
      </c>
      <c r="C123" s="11">
        <f>C122+E122</f>
        <v>1833</v>
      </c>
      <c r="D123" s="11">
        <f t="shared" si="24"/>
        <v>1836</v>
      </c>
      <c r="E123" s="11">
        <v>4</v>
      </c>
      <c r="F123" s="12" t="s">
        <v>29</v>
      </c>
      <c r="G123" s="85"/>
      <c r="H123" s="82"/>
    </row>
    <row r="124" spans="1:8" s="11" customFormat="1" ht="12.75" customHeight="1" x14ac:dyDescent="0.2">
      <c r="A124" s="34" t="s">
        <v>207</v>
      </c>
      <c r="B124" s="34" t="s">
        <v>345</v>
      </c>
      <c r="C124" s="11">
        <f>C123+E123</f>
        <v>1837</v>
      </c>
      <c r="D124" s="11">
        <f t="shared" si="24"/>
        <v>1840</v>
      </c>
      <c r="E124" s="11">
        <v>4</v>
      </c>
      <c r="F124" s="12" t="s">
        <v>30</v>
      </c>
      <c r="G124" s="85"/>
      <c r="H124" s="82"/>
    </row>
    <row r="125" spans="1:8" s="11" customFormat="1" ht="12.75" customHeight="1" x14ac:dyDescent="0.2">
      <c r="A125" s="34" t="s">
        <v>207</v>
      </c>
      <c r="B125" s="34" t="s">
        <v>345</v>
      </c>
      <c r="C125" s="11">
        <f>C124+E124</f>
        <v>1841</v>
      </c>
      <c r="D125" s="11">
        <f t="shared" si="24"/>
        <v>1844</v>
      </c>
      <c r="E125" s="11">
        <v>4</v>
      </c>
      <c r="F125" s="12" t="s">
        <v>31</v>
      </c>
      <c r="G125" s="85"/>
      <c r="H125" s="82"/>
    </row>
    <row r="126" spans="1:8" s="11" customFormat="1" ht="12.75" customHeight="1" x14ac:dyDescent="0.2">
      <c r="A126" s="10"/>
      <c r="B126" s="34"/>
      <c r="C126" s="11">
        <f>C125+E125</f>
        <v>1845</v>
      </c>
      <c r="D126" s="11">
        <f t="shared" si="24"/>
        <v>1856</v>
      </c>
      <c r="E126" s="11">
        <v>12</v>
      </c>
      <c r="F126" s="17" t="s">
        <v>141</v>
      </c>
      <c r="G126" s="63"/>
      <c r="H126" s="62"/>
    </row>
    <row r="127" spans="1:8" s="11" customFormat="1" ht="12.75" customHeight="1" x14ac:dyDescent="0.2">
      <c r="A127" s="10"/>
      <c r="B127" s="34"/>
      <c r="F127" s="8" t="s">
        <v>6</v>
      </c>
      <c r="G127" s="63"/>
      <c r="H127" s="66"/>
    </row>
    <row r="128" spans="1:8" s="11" customFormat="1" ht="33" customHeight="1" x14ac:dyDescent="0.2">
      <c r="A128" s="34" t="s">
        <v>207</v>
      </c>
      <c r="B128" s="34" t="s">
        <v>345</v>
      </c>
      <c r="C128" s="11">
        <f>C126+E126</f>
        <v>1857</v>
      </c>
      <c r="D128" s="11">
        <f t="shared" ref="D128:D131" si="25">C128+E128-1</f>
        <v>1860</v>
      </c>
      <c r="E128" s="11">
        <v>4</v>
      </c>
      <c r="F128" s="12" t="s">
        <v>25</v>
      </c>
      <c r="G128" s="85" t="s">
        <v>187</v>
      </c>
      <c r="H128" s="82" t="s">
        <v>458</v>
      </c>
    </row>
    <row r="129" spans="1:9" s="11" customFormat="1" ht="37.5" customHeight="1" x14ac:dyDescent="0.2">
      <c r="A129" s="34" t="s">
        <v>207</v>
      </c>
      <c r="B129" s="34" t="s">
        <v>345</v>
      </c>
      <c r="C129" s="11">
        <f>C128+E128</f>
        <v>1861</v>
      </c>
      <c r="D129" s="11">
        <f t="shared" si="25"/>
        <v>1864</v>
      </c>
      <c r="E129" s="11">
        <v>4</v>
      </c>
      <c r="F129" s="12" t="s">
        <v>32</v>
      </c>
      <c r="G129" s="86"/>
      <c r="H129" s="82"/>
    </row>
    <row r="130" spans="1:9" s="11" customFormat="1" ht="33" customHeight="1" x14ac:dyDescent="0.2">
      <c r="A130" s="34" t="s">
        <v>207</v>
      </c>
      <c r="B130" s="34" t="s">
        <v>345</v>
      </c>
      <c r="C130" s="11">
        <f>C129+E129</f>
        <v>1865</v>
      </c>
      <c r="D130" s="11">
        <f t="shared" si="25"/>
        <v>1868</v>
      </c>
      <c r="E130" s="11">
        <v>4</v>
      </c>
      <c r="F130" s="72" t="s">
        <v>457</v>
      </c>
      <c r="G130" s="86"/>
      <c r="H130" s="82"/>
    </row>
    <row r="131" spans="1:9" s="11" customFormat="1" ht="12.75" customHeight="1" x14ac:dyDescent="0.2">
      <c r="A131" s="10"/>
      <c r="B131" s="34"/>
      <c r="C131" s="11">
        <f>C130+E130</f>
        <v>1869</v>
      </c>
      <c r="D131" s="11">
        <f t="shared" si="25"/>
        <v>1922</v>
      </c>
      <c r="E131" s="11">
        <v>54</v>
      </c>
      <c r="F131" s="17" t="s">
        <v>141</v>
      </c>
      <c r="G131" s="63"/>
      <c r="H131" s="62"/>
    </row>
    <row r="132" spans="1:9" s="11" customFormat="1" ht="12.75" customHeight="1" x14ac:dyDescent="0.2">
      <c r="A132" s="10"/>
      <c r="B132" s="34"/>
      <c r="F132" s="8" t="s">
        <v>21</v>
      </c>
      <c r="G132" s="63"/>
      <c r="H132" s="66"/>
    </row>
    <row r="133" spans="1:9" s="11" customFormat="1" ht="53.25" customHeight="1" x14ac:dyDescent="0.2">
      <c r="A133" s="34" t="s">
        <v>206</v>
      </c>
      <c r="B133" s="34" t="s">
        <v>345</v>
      </c>
      <c r="C133" s="11">
        <f>C131+E131</f>
        <v>1923</v>
      </c>
      <c r="D133" s="11">
        <f>C133+E133-1</f>
        <v>1925</v>
      </c>
      <c r="E133" s="11">
        <v>3</v>
      </c>
      <c r="F133" s="11" t="s">
        <v>22</v>
      </c>
      <c r="G133" s="61" t="s">
        <v>193</v>
      </c>
      <c r="H133" s="66" t="s">
        <v>272</v>
      </c>
    </row>
    <row r="134" spans="1:9" s="11" customFormat="1" ht="63.75" x14ac:dyDescent="0.2">
      <c r="A134" s="34" t="s">
        <v>207</v>
      </c>
      <c r="B134" s="34" t="s">
        <v>345</v>
      </c>
      <c r="C134" s="11">
        <f>C133+E133</f>
        <v>1926</v>
      </c>
      <c r="D134" s="11">
        <f>C134+E134-1</f>
        <v>1929</v>
      </c>
      <c r="E134" s="11">
        <v>4</v>
      </c>
      <c r="F134" s="11" t="s">
        <v>23</v>
      </c>
      <c r="G134" s="61" t="s">
        <v>187</v>
      </c>
      <c r="H134" s="62" t="s">
        <v>273</v>
      </c>
      <c r="I134" s="22"/>
    </row>
    <row r="135" spans="1:9" s="11" customFormat="1" x14ac:dyDescent="0.2">
      <c r="A135" s="10"/>
      <c r="B135" s="34"/>
      <c r="C135" s="11">
        <f>C134+E134</f>
        <v>1930</v>
      </c>
      <c r="D135" s="11">
        <f>C135+E135-1</f>
        <v>1932</v>
      </c>
      <c r="E135" s="11">
        <v>3</v>
      </c>
      <c r="F135" s="11" t="s">
        <v>141</v>
      </c>
      <c r="G135" s="63"/>
      <c r="H135" s="62"/>
    </row>
    <row r="136" spans="1:9" s="11" customFormat="1" ht="102" x14ac:dyDescent="0.2">
      <c r="A136" s="10"/>
      <c r="B136" s="34" t="s">
        <v>348</v>
      </c>
      <c r="C136" s="11">
        <f>C135+E135</f>
        <v>1933</v>
      </c>
      <c r="D136" s="11">
        <f>C136+E136-1</f>
        <v>1933</v>
      </c>
      <c r="E136" s="11">
        <v>1</v>
      </c>
      <c r="F136" s="11" t="s">
        <v>33</v>
      </c>
      <c r="G136" s="66" t="s">
        <v>224</v>
      </c>
      <c r="H136" s="62" t="s">
        <v>409</v>
      </c>
    </row>
    <row r="137" spans="1:9" s="11" customFormat="1" x14ac:dyDescent="0.2">
      <c r="A137" s="34"/>
      <c r="B137" s="34"/>
      <c r="C137" s="11">
        <f>C136+E136</f>
        <v>1934</v>
      </c>
      <c r="D137" s="11">
        <f>C137+E137-1</f>
        <v>1934</v>
      </c>
      <c r="E137" s="11">
        <v>1</v>
      </c>
      <c r="F137" s="36" t="s">
        <v>141</v>
      </c>
      <c r="G137" s="43"/>
      <c r="H137" s="62"/>
    </row>
    <row r="138" spans="1:9" s="11" customFormat="1" x14ac:dyDescent="0.2">
      <c r="A138" s="10"/>
      <c r="B138" s="34"/>
      <c r="F138" s="8" t="s">
        <v>53</v>
      </c>
      <c r="G138" s="63"/>
      <c r="H138" s="66"/>
    </row>
    <row r="139" spans="1:9" s="11" customFormat="1" ht="178.5" customHeight="1" x14ac:dyDescent="0.2">
      <c r="A139" s="34" t="s">
        <v>207</v>
      </c>
      <c r="B139" s="34" t="s">
        <v>345</v>
      </c>
      <c r="C139" s="11">
        <f>C137+E137</f>
        <v>1935</v>
      </c>
      <c r="D139" s="11">
        <f>C139+E139-1</f>
        <v>1939</v>
      </c>
      <c r="E139" s="11">
        <v>5</v>
      </c>
      <c r="F139" s="36" t="s">
        <v>267</v>
      </c>
      <c r="G139" s="63" t="s">
        <v>189</v>
      </c>
      <c r="H139" s="77" t="s">
        <v>459</v>
      </c>
    </row>
    <row r="140" spans="1:9" s="11" customFormat="1" ht="63.75" x14ac:dyDescent="0.2">
      <c r="A140" s="34" t="s">
        <v>258</v>
      </c>
      <c r="B140" s="34" t="s">
        <v>345</v>
      </c>
      <c r="C140" s="11">
        <f>C139+E139</f>
        <v>1940</v>
      </c>
      <c r="D140" s="11">
        <f>C140+E140-1</f>
        <v>1942</v>
      </c>
      <c r="E140" s="11">
        <v>3</v>
      </c>
      <c r="F140" s="36" t="s">
        <v>268</v>
      </c>
      <c r="G140" s="63" t="s">
        <v>188</v>
      </c>
      <c r="H140" s="66" t="s">
        <v>410</v>
      </c>
    </row>
    <row r="141" spans="1:9" s="11" customFormat="1" ht="114.75" x14ac:dyDescent="0.2">
      <c r="A141" s="34" t="s">
        <v>232</v>
      </c>
      <c r="B141" s="34" t="s">
        <v>345</v>
      </c>
      <c r="C141" s="11">
        <f>C140+E140</f>
        <v>1943</v>
      </c>
      <c r="D141" s="11">
        <f>C141+E141-1</f>
        <v>1945</v>
      </c>
      <c r="E141" s="11">
        <v>3</v>
      </c>
      <c r="F141" s="36" t="s">
        <v>269</v>
      </c>
      <c r="G141" s="66" t="s">
        <v>284</v>
      </c>
      <c r="H141" s="62" t="s">
        <v>411</v>
      </c>
    </row>
    <row r="142" spans="1:9" s="11" customFormat="1" ht="12.75" customHeight="1" x14ac:dyDescent="0.2">
      <c r="A142" s="10"/>
      <c r="B142" s="34"/>
      <c r="F142" s="8" t="s">
        <v>5</v>
      </c>
      <c r="G142" s="63"/>
      <c r="H142" s="66"/>
    </row>
    <row r="143" spans="1:9" s="11" customFormat="1" ht="12.75" customHeight="1" x14ac:dyDescent="0.2">
      <c r="A143" s="34" t="s">
        <v>207</v>
      </c>
      <c r="B143" s="34" t="s">
        <v>345</v>
      </c>
      <c r="C143" s="11">
        <f>C141+E141</f>
        <v>1946</v>
      </c>
      <c r="D143" s="11">
        <f>C143+E143-1</f>
        <v>1949</v>
      </c>
      <c r="E143" s="11">
        <v>4</v>
      </c>
      <c r="F143" s="12" t="s">
        <v>34</v>
      </c>
      <c r="G143" s="85" t="s">
        <v>187</v>
      </c>
      <c r="H143" s="82" t="s">
        <v>172</v>
      </c>
    </row>
    <row r="144" spans="1:9" s="11" customFormat="1" ht="12.75" customHeight="1" x14ac:dyDescent="0.2">
      <c r="A144" s="34" t="s">
        <v>207</v>
      </c>
      <c r="B144" s="34" t="s">
        <v>345</v>
      </c>
      <c r="C144" s="11">
        <f>C143+E143</f>
        <v>1950</v>
      </c>
      <c r="D144" s="11">
        <f>C144+E144-1</f>
        <v>1953</v>
      </c>
      <c r="E144" s="11">
        <v>4</v>
      </c>
      <c r="F144" s="12" t="s">
        <v>35</v>
      </c>
      <c r="G144" s="85"/>
      <c r="H144" s="82"/>
    </row>
    <row r="145" spans="1:8" s="11" customFormat="1" ht="12.75" customHeight="1" x14ac:dyDescent="0.2">
      <c r="A145" s="34" t="s">
        <v>207</v>
      </c>
      <c r="B145" s="34" t="s">
        <v>345</v>
      </c>
      <c r="C145" s="11">
        <f>C144+E144</f>
        <v>1954</v>
      </c>
      <c r="D145" s="11">
        <f>C145+E145-1</f>
        <v>1957</v>
      </c>
      <c r="E145" s="11">
        <v>4</v>
      </c>
      <c r="F145" s="12" t="s">
        <v>36</v>
      </c>
      <c r="G145" s="85"/>
      <c r="H145" s="82"/>
    </row>
    <row r="146" spans="1:8" s="11" customFormat="1" ht="12.75" customHeight="1" x14ac:dyDescent="0.2">
      <c r="A146" s="34" t="s">
        <v>207</v>
      </c>
      <c r="B146" s="34" t="s">
        <v>345</v>
      </c>
      <c r="C146" s="11">
        <f>C145+E145</f>
        <v>1958</v>
      </c>
      <c r="D146" s="11">
        <f>C146+E146-1</f>
        <v>1961</v>
      </c>
      <c r="E146" s="11">
        <v>4</v>
      </c>
      <c r="F146" s="12" t="s">
        <v>37</v>
      </c>
      <c r="G146" s="85"/>
      <c r="H146" s="82"/>
    </row>
    <row r="147" spans="1:8" s="11" customFormat="1" ht="12.75" customHeight="1" x14ac:dyDescent="0.2">
      <c r="A147" s="10"/>
      <c r="B147" s="34"/>
      <c r="C147" s="11">
        <f>C146+E146</f>
        <v>1962</v>
      </c>
      <c r="D147" s="11">
        <f>C147+E147-1</f>
        <v>1977</v>
      </c>
      <c r="E147" s="11">
        <v>16</v>
      </c>
      <c r="F147" s="17" t="s">
        <v>141</v>
      </c>
      <c r="G147" s="63"/>
      <c r="H147" s="62"/>
    </row>
    <row r="148" spans="1:8" s="11" customFormat="1" ht="12.75" customHeight="1" x14ac:dyDescent="0.2">
      <c r="A148" s="10"/>
      <c r="B148" s="34"/>
      <c r="F148" s="8" t="s">
        <v>425</v>
      </c>
      <c r="G148" s="63"/>
      <c r="H148" s="66"/>
    </row>
    <row r="149" spans="1:8" s="11" customFormat="1" ht="43.5" customHeight="1" x14ac:dyDescent="0.2">
      <c r="A149" s="78" t="s">
        <v>207</v>
      </c>
      <c r="B149" s="34" t="s">
        <v>416</v>
      </c>
      <c r="C149" s="11">
        <f>C147+E147</f>
        <v>1978</v>
      </c>
      <c r="D149" s="11">
        <f t="shared" ref="D149:D157" si="26">C149+E149-1</f>
        <v>1981</v>
      </c>
      <c r="E149" s="11">
        <v>4</v>
      </c>
      <c r="F149" s="12" t="s">
        <v>38</v>
      </c>
      <c r="G149" s="85" t="s">
        <v>187</v>
      </c>
      <c r="H149" s="82" t="s">
        <v>462</v>
      </c>
    </row>
    <row r="150" spans="1:8" s="11" customFormat="1" ht="42.75" customHeight="1" x14ac:dyDescent="0.2">
      <c r="A150" s="34" t="s">
        <v>207</v>
      </c>
      <c r="B150" s="34" t="s">
        <v>416</v>
      </c>
      <c r="C150" s="11">
        <f t="shared" ref="C150:C157" si="27">C149+E149</f>
        <v>1982</v>
      </c>
      <c r="D150" s="11">
        <f t="shared" si="26"/>
        <v>1985</v>
      </c>
      <c r="E150" s="11">
        <v>4</v>
      </c>
      <c r="F150" s="72" t="s">
        <v>429</v>
      </c>
      <c r="G150" s="85"/>
      <c r="H150" s="82"/>
    </row>
    <row r="151" spans="1:8" s="11" customFormat="1" ht="46.5" customHeight="1" x14ac:dyDescent="0.2">
      <c r="A151" s="34" t="s">
        <v>207</v>
      </c>
      <c r="B151" s="34" t="s">
        <v>416</v>
      </c>
      <c r="C151" s="11">
        <f>C150+E150</f>
        <v>1986</v>
      </c>
      <c r="D151" s="11">
        <f t="shared" si="26"/>
        <v>1989</v>
      </c>
      <c r="E151" s="11">
        <v>4</v>
      </c>
      <c r="F151" s="72" t="s">
        <v>430</v>
      </c>
      <c r="G151" s="85"/>
      <c r="H151" s="82"/>
    </row>
    <row r="152" spans="1:8" s="11" customFormat="1" x14ac:dyDescent="0.2">
      <c r="A152" s="34"/>
      <c r="B152" s="34"/>
      <c r="F152" s="79" t="s">
        <v>428</v>
      </c>
      <c r="G152" s="76"/>
      <c r="H152" s="75"/>
    </row>
    <row r="153" spans="1:8" s="11" customFormat="1" ht="51" x14ac:dyDescent="0.2">
      <c r="A153" s="34" t="s">
        <v>206</v>
      </c>
      <c r="B153" s="34" t="s">
        <v>345</v>
      </c>
      <c r="C153" s="11">
        <f>C151+E151</f>
        <v>1990</v>
      </c>
      <c r="D153" s="11">
        <f t="shared" si="26"/>
        <v>1992</v>
      </c>
      <c r="E153" s="11">
        <v>3</v>
      </c>
      <c r="F153" s="72" t="s">
        <v>22</v>
      </c>
      <c r="G153" s="76" t="s">
        <v>193</v>
      </c>
      <c r="H153" s="77" t="s">
        <v>460</v>
      </c>
    </row>
    <row r="154" spans="1:8" s="11" customFormat="1" ht="63.75" x14ac:dyDescent="0.2">
      <c r="A154" s="34" t="s">
        <v>207</v>
      </c>
      <c r="B154" s="34" t="s">
        <v>345</v>
      </c>
      <c r="C154" s="11">
        <f t="shared" si="27"/>
        <v>1993</v>
      </c>
      <c r="D154" s="11">
        <f t="shared" si="26"/>
        <v>1996</v>
      </c>
      <c r="E154" s="11">
        <v>4</v>
      </c>
      <c r="F154" s="72" t="s">
        <v>23</v>
      </c>
      <c r="G154" s="76" t="s">
        <v>187</v>
      </c>
      <c r="H154" s="75" t="s">
        <v>461</v>
      </c>
    </row>
    <row r="155" spans="1:8" s="11" customFormat="1" ht="12.75" customHeight="1" x14ac:dyDescent="0.2">
      <c r="A155" s="10"/>
      <c r="B155" s="34"/>
      <c r="C155" s="11">
        <f>C154+E154</f>
        <v>1997</v>
      </c>
      <c r="D155" s="11">
        <f t="shared" si="26"/>
        <v>2053</v>
      </c>
      <c r="E155" s="11">
        <v>57</v>
      </c>
      <c r="F155" s="17" t="s">
        <v>141</v>
      </c>
      <c r="G155" s="70"/>
      <c r="H155" s="75"/>
    </row>
    <row r="156" spans="1:8" s="11" customFormat="1" ht="102" x14ac:dyDescent="0.2">
      <c r="A156" s="10"/>
      <c r="B156" s="34" t="s">
        <v>348</v>
      </c>
      <c r="C156" s="11">
        <f>C155+E155</f>
        <v>2054</v>
      </c>
      <c r="D156" s="11">
        <f>C156+E156-1</f>
        <v>2054</v>
      </c>
      <c r="E156" s="11">
        <v>1</v>
      </c>
      <c r="F156" s="11" t="s">
        <v>39</v>
      </c>
      <c r="G156" s="77" t="s">
        <v>225</v>
      </c>
      <c r="H156" s="75" t="s">
        <v>412</v>
      </c>
    </row>
    <row r="157" spans="1:8" s="11" customFormat="1" x14ac:dyDescent="0.2">
      <c r="A157" s="34"/>
      <c r="B157" s="34"/>
      <c r="C157" s="11">
        <f t="shared" si="27"/>
        <v>2055</v>
      </c>
      <c r="D157" s="11">
        <f t="shared" si="26"/>
        <v>2055</v>
      </c>
      <c r="E157" s="11">
        <v>1</v>
      </c>
      <c r="F157" s="36" t="s">
        <v>141</v>
      </c>
      <c r="G157" s="43"/>
      <c r="H157" s="62"/>
    </row>
    <row r="158" spans="1:8" s="11" customFormat="1" x14ac:dyDescent="0.2">
      <c r="A158" s="10"/>
      <c r="B158" s="34"/>
      <c r="F158" s="8" t="s">
        <v>55</v>
      </c>
      <c r="G158" s="63"/>
      <c r="H158" s="66"/>
    </row>
    <row r="159" spans="1:8" s="11" customFormat="1" x14ac:dyDescent="0.2">
      <c r="A159" s="10"/>
      <c r="B159" s="34"/>
      <c r="F159" s="8" t="s">
        <v>148</v>
      </c>
      <c r="G159" s="63"/>
      <c r="H159" s="66"/>
    </row>
    <row r="160" spans="1:8" s="11" customFormat="1" ht="15.75" customHeight="1" x14ac:dyDescent="0.2">
      <c r="A160" s="34" t="s">
        <v>208</v>
      </c>
      <c r="B160" s="34" t="s">
        <v>345</v>
      </c>
      <c r="C160" s="11">
        <f>C157+E157</f>
        <v>2056</v>
      </c>
      <c r="D160" s="11">
        <f>C160+E160-1</f>
        <v>2056</v>
      </c>
      <c r="E160" s="11">
        <v>1</v>
      </c>
      <c r="F160" s="36" t="s">
        <v>246</v>
      </c>
      <c r="G160" s="85" t="s">
        <v>47</v>
      </c>
      <c r="H160" s="93" t="s">
        <v>380</v>
      </c>
    </row>
    <row r="161" spans="1:8" s="11" customFormat="1" ht="15.75" customHeight="1" x14ac:dyDescent="0.2">
      <c r="A161" s="34" t="s">
        <v>208</v>
      </c>
      <c r="B161" s="34" t="s">
        <v>345</v>
      </c>
      <c r="C161" s="11">
        <f>C160+E160</f>
        <v>2057</v>
      </c>
      <c r="D161" s="11">
        <f>C161+E161-1</f>
        <v>2057</v>
      </c>
      <c r="E161" s="11">
        <v>1</v>
      </c>
      <c r="F161" s="36" t="s">
        <v>247</v>
      </c>
      <c r="G161" s="85"/>
      <c r="H161" s="93"/>
    </row>
    <row r="162" spans="1:8" s="11" customFormat="1" ht="15.75" customHeight="1" x14ac:dyDescent="0.2">
      <c r="A162" s="34" t="s">
        <v>208</v>
      </c>
      <c r="B162" s="34" t="s">
        <v>345</v>
      </c>
      <c r="C162" s="11">
        <f>C161+E161</f>
        <v>2058</v>
      </c>
      <c r="D162" s="11">
        <f>C162+E162-1</f>
        <v>2058</v>
      </c>
      <c r="E162" s="11">
        <v>1</v>
      </c>
      <c r="F162" s="36" t="s">
        <v>248</v>
      </c>
      <c r="G162" s="85"/>
      <c r="H162" s="93"/>
    </row>
    <row r="163" spans="1:8" s="11" customFormat="1" ht="17.25" customHeight="1" x14ac:dyDescent="0.2">
      <c r="A163" s="34" t="s">
        <v>208</v>
      </c>
      <c r="B163" s="34" t="s">
        <v>345</v>
      </c>
      <c r="C163" s="11">
        <f>C162+E162</f>
        <v>2059</v>
      </c>
      <c r="D163" s="11">
        <f>C163+E163-1</f>
        <v>2059</v>
      </c>
      <c r="E163" s="11">
        <v>1</v>
      </c>
      <c r="F163" s="36" t="s">
        <v>249</v>
      </c>
      <c r="G163" s="85"/>
      <c r="H163" s="93"/>
    </row>
    <row r="164" spans="1:8" s="11" customFormat="1" x14ac:dyDescent="0.2">
      <c r="A164" s="10"/>
      <c r="B164" s="34"/>
      <c r="F164" s="8" t="s">
        <v>96</v>
      </c>
      <c r="G164" s="63"/>
      <c r="H164" s="66"/>
    </row>
    <row r="165" spans="1:8" s="11" customFormat="1" ht="32.25" customHeight="1" x14ac:dyDescent="0.2">
      <c r="A165" s="34" t="s">
        <v>206</v>
      </c>
      <c r="B165" s="34" t="s">
        <v>345</v>
      </c>
      <c r="C165" s="11">
        <f>C163+E163</f>
        <v>2060</v>
      </c>
      <c r="D165" s="11">
        <f>C165+E165-1</f>
        <v>2060</v>
      </c>
      <c r="E165" s="11">
        <v>1</v>
      </c>
      <c r="F165" s="36" t="s">
        <v>285</v>
      </c>
      <c r="G165" s="82" t="s">
        <v>277</v>
      </c>
      <c r="H165" s="82" t="s">
        <v>463</v>
      </c>
    </row>
    <row r="166" spans="1:8" s="11" customFormat="1" ht="33" customHeight="1" x14ac:dyDescent="0.2">
      <c r="A166" s="34" t="s">
        <v>206</v>
      </c>
      <c r="B166" s="34" t="s">
        <v>345</v>
      </c>
      <c r="C166" s="11">
        <f>C165+E165</f>
        <v>2061</v>
      </c>
      <c r="D166" s="11">
        <f>C166+E166-1</f>
        <v>2061</v>
      </c>
      <c r="E166" s="11">
        <v>1</v>
      </c>
      <c r="F166" s="36" t="s">
        <v>286</v>
      </c>
      <c r="G166" s="85"/>
      <c r="H166" s="82"/>
    </row>
    <row r="167" spans="1:8" s="11" customFormat="1" ht="34.5" customHeight="1" x14ac:dyDescent="0.2">
      <c r="A167" s="34" t="s">
        <v>206</v>
      </c>
      <c r="B167" s="34" t="s">
        <v>345</v>
      </c>
      <c r="C167" s="11">
        <f>C166+E166</f>
        <v>2062</v>
      </c>
      <c r="D167" s="11">
        <f>C167+E167-1</f>
        <v>2062</v>
      </c>
      <c r="E167" s="11">
        <v>1</v>
      </c>
      <c r="F167" s="36" t="s">
        <v>287</v>
      </c>
      <c r="G167" s="85"/>
      <c r="H167" s="82"/>
    </row>
    <row r="168" spans="1:8" s="11" customFormat="1" ht="32.25" customHeight="1" x14ac:dyDescent="0.2">
      <c r="A168" s="34" t="s">
        <v>206</v>
      </c>
      <c r="B168" s="34" t="s">
        <v>345</v>
      </c>
      <c r="C168" s="11">
        <f>C167+E167</f>
        <v>2063</v>
      </c>
      <c r="D168" s="11">
        <f>C168+E168-1</f>
        <v>2063</v>
      </c>
      <c r="E168" s="11">
        <v>1</v>
      </c>
      <c r="F168" s="36" t="s">
        <v>288</v>
      </c>
      <c r="G168" s="85"/>
      <c r="H168" s="82"/>
    </row>
    <row r="169" spans="1:8" s="11" customFormat="1" x14ac:dyDescent="0.2">
      <c r="A169" s="10"/>
      <c r="B169" s="34"/>
      <c r="C169" s="11">
        <f>C168+E168</f>
        <v>2064</v>
      </c>
      <c r="D169" s="11">
        <f t="shared" ref="D169" si="28">C169+E169-1</f>
        <v>2073</v>
      </c>
      <c r="E169" s="11">
        <v>10</v>
      </c>
      <c r="F169" s="17" t="s">
        <v>141</v>
      </c>
      <c r="G169" s="42"/>
      <c r="H169" s="66"/>
    </row>
    <row r="170" spans="1:8" s="11" customFormat="1" x14ac:dyDescent="0.2">
      <c r="A170" s="10"/>
      <c r="B170" s="34"/>
      <c r="F170" s="8" t="s">
        <v>40</v>
      </c>
      <c r="G170" s="63"/>
      <c r="H170" s="66"/>
    </row>
    <row r="171" spans="1:8" s="11" customFormat="1" ht="12.75" customHeight="1" x14ac:dyDescent="0.2">
      <c r="A171" s="34"/>
      <c r="B171" s="34" t="s">
        <v>345</v>
      </c>
      <c r="C171" s="11">
        <f>C169+E169</f>
        <v>2074</v>
      </c>
      <c r="D171" s="11">
        <f>C171+E171-1</f>
        <v>2074</v>
      </c>
      <c r="E171" s="11">
        <v>1</v>
      </c>
      <c r="F171" s="36" t="s">
        <v>289</v>
      </c>
      <c r="G171" s="82" t="s">
        <v>54</v>
      </c>
      <c r="H171" s="82" t="s">
        <v>219</v>
      </c>
    </row>
    <row r="172" spans="1:8" s="11" customFormat="1" x14ac:dyDescent="0.2">
      <c r="A172" s="34"/>
      <c r="B172" s="34" t="s">
        <v>345</v>
      </c>
      <c r="C172" s="11">
        <f>C171+E171</f>
        <v>2075</v>
      </c>
      <c r="D172" s="11">
        <f>C172+E172-1</f>
        <v>2075</v>
      </c>
      <c r="E172" s="11">
        <v>1</v>
      </c>
      <c r="F172" s="36" t="s">
        <v>290</v>
      </c>
      <c r="G172" s="85"/>
      <c r="H172" s="82"/>
    </row>
    <row r="173" spans="1:8" s="11" customFormat="1" x14ac:dyDescent="0.2">
      <c r="A173" s="34"/>
      <c r="B173" s="34" t="s">
        <v>345</v>
      </c>
      <c r="C173" s="11">
        <f>C172+E172</f>
        <v>2076</v>
      </c>
      <c r="D173" s="11">
        <f>C173+E173-1</f>
        <v>2076</v>
      </c>
      <c r="E173" s="11">
        <v>1</v>
      </c>
      <c r="F173" s="36" t="s">
        <v>291</v>
      </c>
      <c r="G173" s="85"/>
      <c r="H173" s="82"/>
    </row>
    <row r="174" spans="1:8" s="11" customFormat="1" x14ac:dyDescent="0.2">
      <c r="A174" s="34"/>
      <c r="B174" s="34" t="s">
        <v>345</v>
      </c>
      <c r="C174" s="11">
        <f>C173+E173</f>
        <v>2077</v>
      </c>
      <c r="D174" s="11">
        <f>C174+E174-1</f>
        <v>2077</v>
      </c>
      <c r="E174" s="11">
        <v>1</v>
      </c>
      <c r="F174" s="36" t="s">
        <v>292</v>
      </c>
      <c r="G174" s="85"/>
      <c r="H174" s="82"/>
    </row>
    <row r="175" spans="1:8" s="11" customFormat="1" x14ac:dyDescent="0.2">
      <c r="A175" s="10"/>
      <c r="B175" s="34"/>
      <c r="C175" s="11">
        <f>C174+E174</f>
        <v>2078</v>
      </c>
      <c r="D175" s="11">
        <f>C175+E175-1</f>
        <v>2091</v>
      </c>
      <c r="E175" s="11">
        <v>14</v>
      </c>
      <c r="F175" s="17" t="s">
        <v>141</v>
      </c>
      <c r="G175" s="63"/>
      <c r="H175" s="66"/>
    </row>
    <row r="176" spans="1:8" s="11" customFormat="1" x14ac:dyDescent="0.2">
      <c r="A176" s="10"/>
      <c r="B176" s="34"/>
      <c r="F176" s="8" t="s">
        <v>41</v>
      </c>
      <c r="G176" s="63"/>
      <c r="H176" s="66"/>
    </row>
    <row r="177" spans="1:8" s="11" customFormat="1" ht="12.75" customHeight="1" x14ac:dyDescent="0.2">
      <c r="A177" s="34" t="s">
        <v>262</v>
      </c>
      <c r="B177" s="34" t="s">
        <v>345</v>
      </c>
      <c r="C177" s="11">
        <f>C175+E175</f>
        <v>2092</v>
      </c>
      <c r="D177" s="11">
        <f>C177+E177-1</f>
        <v>2092</v>
      </c>
      <c r="E177" s="11">
        <v>1</v>
      </c>
      <c r="F177" s="36" t="s">
        <v>293</v>
      </c>
      <c r="G177" s="82" t="s">
        <v>48</v>
      </c>
      <c r="H177" s="82" t="s">
        <v>368</v>
      </c>
    </row>
    <row r="178" spans="1:8" s="11" customFormat="1" ht="12.75" customHeight="1" x14ac:dyDescent="0.2">
      <c r="A178" s="34" t="s">
        <v>262</v>
      </c>
      <c r="B178" s="34" t="s">
        <v>345</v>
      </c>
      <c r="C178" s="11">
        <f>C177+E177</f>
        <v>2093</v>
      </c>
      <c r="D178" s="11">
        <f>C178+E178-1</f>
        <v>2093</v>
      </c>
      <c r="E178" s="11">
        <v>1</v>
      </c>
      <c r="F178" s="36" t="s">
        <v>294</v>
      </c>
      <c r="G178" s="85"/>
      <c r="H178" s="82"/>
    </row>
    <row r="179" spans="1:8" s="11" customFormat="1" ht="12.75" customHeight="1" x14ac:dyDescent="0.2">
      <c r="A179" s="34" t="s">
        <v>262</v>
      </c>
      <c r="B179" s="34" t="s">
        <v>345</v>
      </c>
      <c r="C179" s="11">
        <f>C178+E178</f>
        <v>2094</v>
      </c>
      <c r="D179" s="11">
        <f>C179+E179-1</f>
        <v>2094</v>
      </c>
      <c r="E179" s="11">
        <v>1</v>
      </c>
      <c r="F179" s="36" t="s">
        <v>295</v>
      </c>
      <c r="G179" s="85"/>
      <c r="H179" s="82"/>
    </row>
    <row r="180" spans="1:8" s="11" customFormat="1" ht="12.75" customHeight="1" x14ac:dyDescent="0.2">
      <c r="A180" s="34" t="s">
        <v>262</v>
      </c>
      <c r="B180" s="34" t="s">
        <v>345</v>
      </c>
      <c r="C180" s="11">
        <f>C179+E179</f>
        <v>2095</v>
      </c>
      <c r="D180" s="11">
        <f>C180+E180-1</f>
        <v>2095</v>
      </c>
      <c r="E180" s="11">
        <v>1</v>
      </c>
      <c r="F180" s="36" t="s">
        <v>296</v>
      </c>
      <c r="G180" s="85"/>
      <c r="H180" s="82"/>
    </row>
    <row r="181" spans="1:8" s="11" customFormat="1" x14ac:dyDescent="0.2">
      <c r="A181" s="10"/>
      <c r="B181" s="34"/>
      <c r="C181" s="11">
        <f>C180+E180</f>
        <v>2096</v>
      </c>
      <c r="D181" s="11">
        <f t="shared" ref="D181:D183" si="29">C181+E181-1</f>
        <v>2104</v>
      </c>
      <c r="E181" s="11">
        <v>9</v>
      </c>
      <c r="F181" s="17" t="s">
        <v>141</v>
      </c>
      <c r="G181" s="65"/>
      <c r="H181" s="66"/>
    </row>
    <row r="182" spans="1:8" s="11" customFormat="1" ht="63.75" x14ac:dyDescent="0.2">
      <c r="A182" s="34" t="s">
        <v>231</v>
      </c>
      <c r="B182" s="34" t="s">
        <v>345</v>
      </c>
      <c r="C182" s="11">
        <f>C181+E181</f>
        <v>2105</v>
      </c>
      <c r="D182" s="11">
        <f t="shared" si="29"/>
        <v>2105</v>
      </c>
      <c r="E182" s="11">
        <v>1</v>
      </c>
      <c r="F182" s="11" t="s">
        <v>42</v>
      </c>
      <c r="G182" s="63" t="s">
        <v>0</v>
      </c>
      <c r="H182" s="62" t="s">
        <v>369</v>
      </c>
    </row>
    <row r="183" spans="1:8" s="11" customFormat="1" ht="102" x14ac:dyDescent="0.2">
      <c r="A183" s="10"/>
      <c r="B183" s="34" t="s">
        <v>345</v>
      </c>
      <c r="C183" s="11">
        <f t="shared" ref="C183" si="30">C182+E182</f>
        <v>2106</v>
      </c>
      <c r="D183" s="11">
        <f t="shared" si="29"/>
        <v>2107</v>
      </c>
      <c r="E183" s="11">
        <v>2</v>
      </c>
      <c r="F183" s="36" t="s">
        <v>236</v>
      </c>
      <c r="G183" s="33" t="s">
        <v>194</v>
      </c>
      <c r="H183" s="66" t="s">
        <v>370</v>
      </c>
    </row>
    <row r="184" spans="1:8" s="11" customFormat="1" x14ac:dyDescent="0.2">
      <c r="A184" s="10"/>
      <c r="B184" s="34"/>
      <c r="C184" s="11">
        <f>C183+E183</f>
        <v>2108</v>
      </c>
      <c r="D184" s="11">
        <f t="shared" ref="D184:D187" si="31">C184+E184-1</f>
        <v>2114</v>
      </c>
      <c r="E184" s="11">
        <v>7</v>
      </c>
      <c r="F184" s="36" t="s">
        <v>141</v>
      </c>
      <c r="G184" s="65"/>
      <c r="H184" s="62"/>
    </row>
    <row r="185" spans="1:8" s="11" customFormat="1" ht="63.75" x14ac:dyDescent="0.2">
      <c r="A185" s="10" t="s">
        <v>4</v>
      </c>
      <c r="B185" s="34" t="s">
        <v>345</v>
      </c>
      <c r="C185" s="11">
        <f>C184+E184</f>
        <v>2115</v>
      </c>
      <c r="D185" s="11">
        <f t="shared" si="31"/>
        <v>2115</v>
      </c>
      <c r="E185" s="11">
        <v>1</v>
      </c>
      <c r="F185" s="11" t="s">
        <v>120</v>
      </c>
      <c r="G185" s="63" t="s">
        <v>108</v>
      </c>
      <c r="H185" s="66" t="s">
        <v>371</v>
      </c>
    </row>
    <row r="186" spans="1:8" s="11" customFormat="1" x14ac:dyDescent="0.2">
      <c r="A186" s="10"/>
      <c r="B186" s="34"/>
      <c r="C186" s="11">
        <f t="shared" ref="C186:C187" si="32">C185+E185</f>
        <v>2116</v>
      </c>
      <c r="D186" s="11">
        <f t="shared" si="31"/>
        <v>2117</v>
      </c>
      <c r="E186" s="11">
        <v>2</v>
      </c>
      <c r="F186" s="36" t="s">
        <v>141</v>
      </c>
      <c r="G186" s="63"/>
      <c r="H186" s="66"/>
    </row>
    <row r="187" spans="1:8" s="11" customFormat="1" ht="76.5" x14ac:dyDescent="0.2">
      <c r="A187" s="10"/>
      <c r="B187" s="34" t="s">
        <v>345</v>
      </c>
      <c r="C187" s="11">
        <f t="shared" si="32"/>
        <v>2118</v>
      </c>
      <c r="D187" s="11">
        <f t="shared" si="31"/>
        <v>2118</v>
      </c>
      <c r="E187" s="11">
        <v>1</v>
      </c>
      <c r="F187" s="36" t="s">
        <v>237</v>
      </c>
      <c r="G187" s="63" t="s">
        <v>195</v>
      </c>
      <c r="H187" s="66" t="s">
        <v>342</v>
      </c>
    </row>
    <row r="188" spans="1:8" s="11" customFormat="1" x14ac:dyDescent="0.2">
      <c r="A188" s="10"/>
      <c r="B188" s="34"/>
      <c r="C188" s="11">
        <f>C187+E187</f>
        <v>2119</v>
      </c>
      <c r="D188" s="11">
        <f>C188+E188-1</f>
        <v>2124</v>
      </c>
      <c r="E188" s="11">
        <v>6</v>
      </c>
      <c r="F188" s="17" t="s">
        <v>141</v>
      </c>
      <c r="G188" s="65"/>
      <c r="H188" s="66"/>
    </row>
    <row r="189" spans="1:8" s="11" customFormat="1" ht="63.75" x14ac:dyDescent="0.2">
      <c r="A189" s="10" t="s">
        <v>4</v>
      </c>
      <c r="B189" s="34" t="s">
        <v>345</v>
      </c>
      <c r="C189" s="11">
        <f>C188+E188</f>
        <v>2125</v>
      </c>
      <c r="D189" s="11">
        <f>C189+E189-1</f>
        <v>2125</v>
      </c>
      <c r="E189" s="11">
        <v>1</v>
      </c>
      <c r="F189" s="11" t="s">
        <v>121</v>
      </c>
      <c r="G189" s="63" t="s">
        <v>109</v>
      </c>
      <c r="H189" s="66" t="s">
        <v>372</v>
      </c>
    </row>
    <row r="190" spans="1:8" s="11" customFormat="1" x14ac:dyDescent="0.2">
      <c r="A190" s="10"/>
      <c r="B190" s="34"/>
      <c r="F190" s="8" t="s">
        <v>122</v>
      </c>
      <c r="G190" s="63"/>
      <c r="H190" s="66"/>
    </row>
    <row r="191" spans="1:8" s="11" customFormat="1" x14ac:dyDescent="0.2">
      <c r="A191" s="34" t="s">
        <v>231</v>
      </c>
      <c r="B191" s="34" t="s">
        <v>345</v>
      </c>
      <c r="C191" s="11">
        <f>C189+E189</f>
        <v>2126</v>
      </c>
      <c r="D191" s="11">
        <f t="shared" ref="D191:D196" si="33">C191+E191-1</f>
        <v>2126</v>
      </c>
      <c r="E191" s="11">
        <v>1</v>
      </c>
      <c r="F191" s="35" t="s">
        <v>297</v>
      </c>
      <c r="G191" s="82" t="s">
        <v>413</v>
      </c>
      <c r="H191" s="82" t="s">
        <v>414</v>
      </c>
    </row>
    <row r="192" spans="1:8" s="11" customFormat="1" x14ac:dyDescent="0.2">
      <c r="A192" s="34" t="s">
        <v>231</v>
      </c>
      <c r="B192" s="34" t="s">
        <v>345</v>
      </c>
      <c r="C192" s="11">
        <f>C191+E191</f>
        <v>2127</v>
      </c>
      <c r="D192" s="11">
        <f t="shared" si="33"/>
        <v>2127</v>
      </c>
      <c r="E192" s="11">
        <v>1</v>
      </c>
      <c r="F192" s="35" t="s">
        <v>298</v>
      </c>
      <c r="G192" s="82"/>
      <c r="H192" s="82"/>
    </row>
    <row r="193" spans="1:9" s="11" customFormat="1" x14ac:dyDescent="0.2">
      <c r="A193" s="34" t="s">
        <v>231</v>
      </c>
      <c r="B193" s="34" t="s">
        <v>345</v>
      </c>
      <c r="C193" s="11">
        <f>C192+E192</f>
        <v>2128</v>
      </c>
      <c r="D193" s="11">
        <f t="shared" si="33"/>
        <v>2128</v>
      </c>
      <c r="E193" s="11">
        <v>1</v>
      </c>
      <c r="F193" s="36" t="s">
        <v>299</v>
      </c>
      <c r="G193" s="82"/>
      <c r="H193" s="82"/>
    </row>
    <row r="194" spans="1:9" s="11" customFormat="1" ht="26.25" customHeight="1" x14ac:dyDescent="0.2">
      <c r="A194" s="34" t="s">
        <v>231</v>
      </c>
      <c r="B194" s="34" t="s">
        <v>345</v>
      </c>
      <c r="C194" s="11">
        <f>C193+E193</f>
        <v>2129</v>
      </c>
      <c r="D194" s="11">
        <f t="shared" si="33"/>
        <v>2129</v>
      </c>
      <c r="E194" s="11">
        <v>1</v>
      </c>
      <c r="F194" s="36" t="s">
        <v>300</v>
      </c>
      <c r="G194" s="82"/>
      <c r="H194" s="82"/>
    </row>
    <row r="195" spans="1:9" s="11" customFormat="1" ht="140.25" x14ac:dyDescent="0.2">
      <c r="A195" s="10"/>
      <c r="B195" s="34" t="s">
        <v>345</v>
      </c>
      <c r="C195" s="11">
        <f>C194+E194</f>
        <v>2130</v>
      </c>
      <c r="D195" s="11">
        <f t="shared" si="33"/>
        <v>2130</v>
      </c>
      <c r="E195" s="11">
        <v>1</v>
      </c>
      <c r="F195" s="36" t="s">
        <v>238</v>
      </c>
      <c r="G195" s="66" t="s">
        <v>357</v>
      </c>
      <c r="H195" s="62" t="s">
        <v>342</v>
      </c>
    </row>
    <row r="196" spans="1:9" s="11" customFormat="1" ht="51" x14ac:dyDescent="0.2">
      <c r="A196" s="34" t="s">
        <v>232</v>
      </c>
      <c r="B196" s="34" t="s">
        <v>127</v>
      </c>
      <c r="C196" s="11">
        <f>C195+E195</f>
        <v>2131</v>
      </c>
      <c r="D196" s="11">
        <f t="shared" si="33"/>
        <v>2131</v>
      </c>
      <c r="E196" s="11">
        <v>1</v>
      </c>
      <c r="F196" s="12" t="s">
        <v>45</v>
      </c>
      <c r="G196" s="63" t="s">
        <v>196</v>
      </c>
      <c r="H196" s="66" t="s">
        <v>373</v>
      </c>
    </row>
    <row r="197" spans="1:9" s="11" customFormat="1" ht="14.25" customHeight="1" x14ac:dyDescent="0.2">
      <c r="A197" s="10"/>
      <c r="B197" s="34"/>
      <c r="F197" s="8" t="s">
        <v>123</v>
      </c>
      <c r="G197" s="61"/>
      <c r="H197" s="62"/>
      <c r="I197" s="22"/>
    </row>
    <row r="198" spans="1:9" s="11" customFormat="1" ht="195" customHeight="1" x14ac:dyDescent="0.2">
      <c r="A198" s="10"/>
      <c r="B198" s="34" t="s">
        <v>345</v>
      </c>
      <c r="C198" s="11">
        <f>C196+E196</f>
        <v>2132</v>
      </c>
      <c r="D198" s="11">
        <f>C198+E198-1</f>
        <v>2133</v>
      </c>
      <c r="E198" s="11">
        <v>2</v>
      </c>
      <c r="F198" s="36" t="s">
        <v>337</v>
      </c>
      <c r="G198" s="66" t="s">
        <v>327</v>
      </c>
      <c r="H198" s="66" t="s">
        <v>356</v>
      </c>
    </row>
    <row r="199" spans="1:9" s="11" customFormat="1" ht="39.75" customHeight="1" x14ac:dyDescent="0.2">
      <c r="A199" s="10"/>
      <c r="B199" s="34" t="s">
        <v>345</v>
      </c>
      <c r="C199" s="11">
        <f>C198+E198</f>
        <v>2134</v>
      </c>
      <c r="D199" s="11">
        <f>C199+E199-1</f>
        <v>2134</v>
      </c>
      <c r="E199" s="11">
        <v>1</v>
      </c>
      <c r="F199" s="11" t="s">
        <v>124</v>
      </c>
      <c r="G199" s="63" t="s">
        <v>44</v>
      </c>
      <c r="H199" s="66" t="s">
        <v>374</v>
      </c>
    </row>
    <row r="200" spans="1:9" s="11" customFormat="1" ht="76.5" x14ac:dyDescent="0.2">
      <c r="A200" s="34" t="s">
        <v>230</v>
      </c>
      <c r="B200" s="34" t="s">
        <v>127</v>
      </c>
      <c r="C200" s="11">
        <f>C199+E199</f>
        <v>2135</v>
      </c>
      <c r="D200" s="11">
        <f>C200+E200-1</f>
        <v>2135</v>
      </c>
      <c r="E200" s="11">
        <v>1</v>
      </c>
      <c r="F200" s="17" t="s">
        <v>59</v>
      </c>
      <c r="G200" s="63" t="s">
        <v>197</v>
      </c>
      <c r="H200" s="66" t="s">
        <v>375</v>
      </c>
    </row>
    <row r="201" spans="1:9" s="11" customFormat="1" ht="76.5" x14ac:dyDescent="0.2">
      <c r="A201" s="10"/>
      <c r="B201" s="34" t="s">
        <v>345</v>
      </c>
      <c r="C201" s="11">
        <f>C200+E200</f>
        <v>2136</v>
      </c>
      <c r="D201" s="11">
        <f t="shared" ref="D201" si="34">C201+E201-1</f>
        <v>2136</v>
      </c>
      <c r="E201" s="11">
        <v>1</v>
      </c>
      <c r="F201" s="36" t="s">
        <v>176</v>
      </c>
      <c r="G201" s="37" t="s">
        <v>177</v>
      </c>
      <c r="H201" s="66" t="s">
        <v>217</v>
      </c>
    </row>
    <row r="202" spans="1:9" s="19" customFormat="1" x14ac:dyDescent="0.2">
      <c r="A202" s="10"/>
      <c r="B202" s="34"/>
      <c r="C202" s="11">
        <f>C201+E201</f>
        <v>2137</v>
      </c>
      <c r="D202" s="11">
        <f>C202+E202-1</f>
        <v>2229</v>
      </c>
      <c r="E202" s="11">
        <v>93</v>
      </c>
      <c r="F202" s="36" t="s">
        <v>141</v>
      </c>
      <c r="G202" s="64"/>
      <c r="H202" s="66"/>
    </row>
    <row r="203" spans="1:9" s="11" customFormat="1" x14ac:dyDescent="0.2">
      <c r="A203" s="10"/>
      <c r="B203" s="34"/>
      <c r="F203" s="8" t="s">
        <v>270</v>
      </c>
      <c r="G203" s="63"/>
      <c r="H203" s="66"/>
    </row>
    <row r="204" spans="1:9" s="11" customFormat="1" x14ac:dyDescent="0.2">
      <c r="A204" s="10"/>
      <c r="B204" s="34" t="s">
        <v>128</v>
      </c>
      <c r="C204" s="11">
        <f>C202+E202</f>
        <v>2230</v>
      </c>
      <c r="D204" s="11">
        <f t="shared" ref="D204:D211" si="35">C204+E204-1</f>
        <v>2231</v>
      </c>
      <c r="E204" s="11">
        <v>2</v>
      </c>
      <c r="F204" s="36" t="s">
        <v>279</v>
      </c>
      <c r="G204" s="82" t="s">
        <v>198</v>
      </c>
      <c r="H204" s="82" t="s">
        <v>351</v>
      </c>
    </row>
    <row r="205" spans="1:9" s="11" customFormat="1" x14ac:dyDescent="0.2">
      <c r="A205" s="10"/>
      <c r="B205" s="34" t="s">
        <v>128</v>
      </c>
      <c r="C205" s="11">
        <f t="shared" ref="C205:C211" si="36">C204+E204</f>
        <v>2232</v>
      </c>
      <c r="D205" s="11">
        <f t="shared" si="35"/>
        <v>2233</v>
      </c>
      <c r="E205" s="11">
        <v>2</v>
      </c>
      <c r="F205" s="36" t="s">
        <v>280</v>
      </c>
      <c r="G205" s="85"/>
      <c r="H205" s="82"/>
    </row>
    <row r="206" spans="1:9" s="11" customFormat="1" x14ac:dyDescent="0.2">
      <c r="A206" s="10"/>
      <c r="B206" s="34" t="s">
        <v>128</v>
      </c>
      <c r="C206" s="11">
        <f t="shared" si="36"/>
        <v>2234</v>
      </c>
      <c r="D206" s="11">
        <f t="shared" si="35"/>
        <v>2235</v>
      </c>
      <c r="E206" s="11">
        <v>2</v>
      </c>
      <c r="F206" s="36" t="s">
        <v>281</v>
      </c>
      <c r="G206" s="85"/>
      <c r="H206" s="82"/>
    </row>
    <row r="207" spans="1:9" s="11" customFormat="1" x14ac:dyDescent="0.2">
      <c r="A207" s="10"/>
      <c r="B207" s="34" t="s">
        <v>128</v>
      </c>
      <c r="C207" s="11">
        <f t="shared" si="36"/>
        <v>2236</v>
      </c>
      <c r="D207" s="11">
        <f t="shared" si="35"/>
        <v>2237</v>
      </c>
      <c r="E207" s="11">
        <v>2</v>
      </c>
      <c r="F207" s="36" t="s">
        <v>282</v>
      </c>
      <c r="G207" s="85"/>
      <c r="H207" s="82"/>
    </row>
    <row r="208" spans="1:9" s="11" customFormat="1" ht="44.25" customHeight="1" x14ac:dyDescent="0.2">
      <c r="A208" s="34" t="s">
        <v>230</v>
      </c>
      <c r="B208" s="34" t="s">
        <v>345</v>
      </c>
      <c r="C208" s="11">
        <f t="shared" si="36"/>
        <v>2238</v>
      </c>
      <c r="D208" s="11">
        <f t="shared" si="35"/>
        <v>2239</v>
      </c>
      <c r="E208" s="11">
        <v>2</v>
      </c>
      <c r="F208" s="11" t="s">
        <v>149</v>
      </c>
      <c r="G208" s="82" t="s">
        <v>198</v>
      </c>
      <c r="H208" s="91" t="s">
        <v>464</v>
      </c>
    </row>
    <row r="209" spans="1:9" s="11" customFormat="1" ht="44.25" customHeight="1" x14ac:dyDescent="0.2">
      <c r="A209" s="34" t="s">
        <v>230</v>
      </c>
      <c r="B209" s="34" t="s">
        <v>354</v>
      </c>
      <c r="C209" s="11">
        <f t="shared" si="36"/>
        <v>2240</v>
      </c>
      <c r="D209" s="11">
        <f t="shared" si="35"/>
        <v>2241</v>
      </c>
      <c r="E209" s="11">
        <v>2</v>
      </c>
      <c r="F209" s="11" t="s">
        <v>150</v>
      </c>
      <c r="G209" s="92"/>
      <c r="H209" s="90"/>
    </row>
    <row r="210" spans="1:9" s="11" customFormat="1" ht="44.25" customHeight="1" x14ac:dyDescent="0.2">
      <c r="A210" s="34" t="s">
        <v>230</v>
      </c>
      <c r="B210" s="34" t="s">
        <v>345</v>
      </c>
      <c r="C210" s="11">
        <f t="shared" si="36"/>
        <v>2242</v>
      </c>
      <c r="D210" s="11">
        <f t="shared" si="35"/>
        <v>2243</v>
      </c>
      <c r="E210" s="11">
        <v>2</v>
      </c>
      <c r="F210" s="11" t="s">
        <v>151</v>
      </c>
      <c r="G210" s="92"/>
      <c r="H210" s="90"/>
    </row>
    <row r="211" spans="1:9" s="11" customFormat="1" x14ac:dyDescent="0.2">
      <c r="A211" s="34"/>
      <c r="B211" s="34"/>
      <c r="C211" s="11">
        <f t="shared" si="36"/>
        <v>2244</v>
      </c>
      <c r="D211" s="11">
        <f t="shared" si="35"/>
        <v>2245</v>
      </c>
      <c r="E211" s="11">
        <v>2</v>
      </c>
      <c r="F211" s="36" t="s">
        <v>141</v>
      </c>
      <c r="G211" s="61"/>
      <c r="H211" s="75"/>
    </row>
    <row r="212" spans="1:9" s="11" customFormat="1" ht="43.5" customHeight="1" x14ac:dyDescent="0.2">
      <c r="A212" s="34" t="s">
        <v>233</v>
      </c>
      <c r="B212" s="34" t="s">
        <v>345</v>
      </c>
      <c r="C212" s="11">
        <f t="shared" ref="C212:C220" si="37">C211+E211</f>
        <v>2246</v>
      </c>
      <c r="D212" s="11">
        <f t="shared" ref="D212:D220" si="38">C212+E212-1</f>
        <v>2247</v>
      </c>
      <c r="E212" s="11">
        <v>2</v>
      </c>
      <c r="F212" s="36" t="s">
        <v>178</v>
      </c>
      <c r="G212" s="82" t="s">
        <v>198</v>
      </c>
      <c r="H212" s="91" t="s">
        <v>465</v>
      </c>
    </row>
    <row r="213" spans="1:9" s="11" customFormat="1" ht="43.5" customHeight="1" x14ac:dyDescent="0.2">
      <c r="A213" s="34" t="s">
        <v>233</v>
      </c>
      <c r="B213" s="34" t="s">
        <v>345</v>
      </c>
      <c r="C213" s="11">
        <f t="shared" si="37"/>
        <v>2248</v>
      </c>
      <c r="D213" s="11">
        <f t="shared" si="38"/>
        <v>2249</v>
      </c>
      <c r="E213" s="11">
        <v>2</v>
      </c>
      <c r="F213" s="36" t="s">
        <v>179</v>
      </c>
      <c r="G213" s="89"/>
      <c r="H213" s="82"/>
    </row>
    <row r="214" spans="1:9" s="11" customFormat="1" ht="43.5" customHeight="1" x14ac:dyDescent="0.2">
      <c r="A214" s="34" t="s">
        <v>233</v>
      </c>
      <c r="B214" s="34" t="s">
        <v>345</v>
      </c>
      <c r="C214" s="11">
        <f t="shared" si="37"/>
        <v>2250</v>
      </c>
      <c r="D214" s="11">
        <f>C214+E214-1</f>
        <v>2251</v>
      </c>
      <c r="E214" s="11">
        <v>2</v>
      </c>
      <c r="F214" s="36" t="s">
        <v>180</v>
      </c>
      <c r="G214" s="89"/>
      <c r="H214" s="82"/>
    </row>
    <row r="215" spans="1:9" s="11" customFormat="1" ht="43.5" customHeight="1" x14ac:dyDescent="0.2">
      <c r="A215" s="34" t="s">
        <v>233</v>
      </c>
      <c r="B215" s="34" t="s">
        <v>345</v>
      </c>
      <c r="C215" s="11">
        <f t="shared" si="37"/>
        <v>2252</v>
      </c>
      <c r="D215" s="11">
        <f t="shared" si="38"/>
        <v>2253</v>
      </c>
      <c r="E215" s="11">
        <v>2</v>
      </c>
      <c r="F215" s="36" t="s">
        <v>181</v>
      </c>
      <c r="G215" s="89"/>
      <c r="H215" s="82"/>
    </row>
    <row r="216" spans="1:9" s="11" customFormat="1" ht="15.75" customHeight="1" x14ac:dyDescent="0.2">
      <c r="A216" s="10"/>
      <c r="B216" s="34"/>
      <c r="C216" s="11">
        <f t="shared" si="37"/>
        <v>2254</v>
      </c>
      <c r="D216" s="11">
        <f t="shared" si="38"/>
        <v>2254</v>
      </c>
      <c r="E216" s="11">
        <v>1</v>
      </c>
      <c r="F216" s="11" t="s">
        <v>141</v>
      </c>
      <c r="G216" s="63"/>
      <c r="H216" s="62"/>
    </row>
    <row r="217" spans="1:9" s="11" customFormat="1" ht="31.5" customHeight="1" x14ac:dyDescent="0.2">
      <c r="A217" s="34" t="s">
        <v>232</v>
      </c>
      <c r="B217" s="34" t="s">
        <v>125</v>
      </c>
      <c r="C217" s="11">
        <f t="shared" si="37"/>
        <v>2255</v>
      </c>
      <c r="D217" s="11">
        <f t="shared" si="38"/>
        <v>2257</v>
      </c>
      <c r="E217" s="11">
        <v>3</v>
      </c>
      <c r="F217" s="36" t="s">
        <v>242</v>
      </c>
      <c r="G217" s="85" t="s">
        <v>199</v>
      </c>
      <c r="H217" s="82" t="s">
        <v>420</v>
      </c>
    </row>
    <row r="218" spans="1:9" s="11" customFormat="1" ht="31.5" customHeight="1" x14ac:dyDescent="0.2">
      <c r="A218" s="34" t="s">
        <v>232</v>
      </c>
      <c r="B218" s="34" t="s">
        <v>125</v>
      </c>
      <c r="C218" s="11">
        <f t="shared" si="37"/>
        <v>2258</v>
      </c>
      <c r="D218" s="11">
        <f t="shared" si="38"/>
        <v>2260</v>
      </c>
      <c r="E218" s="11">
        <v>3</v>
      </c>
      <c r="F218" s="36" t="s">
        <v>243</v>
      </c>
      <c r="G218" s="85"/>
      <c r="H218" s="82"/>
    </row>
    <row r="219" spans="1:9" s="11" customFormat="1" ht="31.5" customHeight="1" x14ac:dyDescent="0.2">
      <c r="A219" s="34" t="s">
        <v>232</v>
      </c>
      <c r="B219" s="34" t="s">
        <v>125</v>
      </c>
      <c r="C219" s="11">
        <f t="shared" si="37"/>
        <v>2261</v>
      </c>
      <c r="D219" s="11">
        <f t="shared" si="38"/>
        <v>2263</v>
      </c>
      <c r="E219" s="11">
        <v>3</v>
      </c>
      <c r="F219" s="36" t="s">
        <v>244</v>
      </c>
      <c r="G219" s="85"/>
      <c r="H219" s="82"/>
    </row>
    <row r="220" spans="1:9" s="11" customFormat="1" ht="31.5" customHeight="1" x14ac:dyDescent="0.2">
      <c r="A220" s="34" t="s">
        <v>232</v>
      </c>
      <c r="B220" s="34" t="s">
        <v>125</v>
      </c>
      <c r="C220" s="11">
        <f t="shared" si="37"/>
        <v>2264</v>
      </c>
      <c r="D220" s="11">
        <f t="shared" si="38"/>
        <v>2266</v>
      </c>
      <c r="E220" s="11">
        <v>3</v>
      </c>
      <c r="F220" s="36" t="s">
        <v>245</v>
      </c>
      <c r="G220" s="85"/>
      <c r="H220" s="82"/>
    </row>
    <row r="221" spans="1:9" s="24" customFormat="1" x14ac:dyDescent="0.2">
      <c r="A221" s="10"/>
      <c r="B221" s="34"/>
      <c r="C221" s="11">
        <f>C220+E220</f>
        <v>2267</v>
      </c>
      <c r="D221" s="11">
        <f t="shared" ref="D221:D224" si="39">C221+E221-1</f>
        <v>2270</v>
      </c>
      <c r="E221" s="11">
        <v>4</v>
      </c>
      <c r="F221" s="35" t="s">
        <v>141</v>
      </c>
      <c r="G221" s="67"/>
      <c r="H221" s="62"/>
      <c r="I221" s="25"/>
    </row>
    <row r="222" spans="1:9" s="24" customFormat="1" ht="60.75" customHeight="1" x14ac:dyDescent="0.2">
      <c r="A222" s="10"/>
      <c r="B222" s="34" t="s">
        <v>349</v>
      </c>
      <c r="C222" s="11">
        <f t="shared" ref="C222:C224" si="40">C221+E221</f>
        <v>2271</v>
      </c>
      <c r="D222" s="11">
        <f t="shared" si="39"/>
        <v>2273</v>
      </c>
      <c r="E222" s="38">
        <v>3</v>
      </c>
      <c r="F222" s="36" t="s">
        <v>240</v>
      </c>
      <c r="G222" s="62" t="s">
        <v>200</v>
      </c>
      <c r="H222" s="82" t="s">
        <v>352</v>
      </c>
      <c r="I222" s="25"/>
    </row>
    <row r="223" spans="1:9" s="24" customFormat="1" ht="60.75" customHeight="1" x14ac:dyDescent="0.2">
      <c r="A223" s="10"/>
      <c r="B223" s="34" t="s">
        <v>349</v>
      </c>
      <c r="C223" s="11">
        <f t="shared" si="40"/>
        <v>2274</v>
      </c>
      <c r="D223" s="11">
        <f t="shared" si="39"/>
        <v>2276</v>
      </c>
      <c r="E223" s="48">
        <v>3</v>
      </c>
      <c r="F223" s="49" t="s">
        <v>241</v>
      </c>
      <c r="G223" s="62" t="s">
        <v>201</v>
      </c>
      <c r="H223" s="82"/>
      <c r="I223" s="25"/>
    </row>
    <row r="224" spans="1:9" s="24" customFormat="1" ht="63.75" x14ac:dyDescent="0.2">
      <c r="A224" s="10"/>
      <c r="B224" s="34" t="s">
        <v>345</v>
      </c>
      <c r="C224" s="11">
        <f t="shared" si="40"/>
        <v>2277</v>
      </c>
      <c r="D224" s="11">
        <f t="shared" si="39"/>
        <v>2277</v>
      </c>
      <c r="E224" s="38">
        <v>1</v>
      </c>
      <c r="F224" s="36" t="s">
        <v>340</v>
      </c>
      <c r="G224" s="62" t="s">
        <v>343</v>
      </c>
      <c r="H224" s="62" t="s">
        <v>56</v>
      </c>
      <c r="I224" s="25"/>
    </row>
    <row r="225" spans="1:9" s="24" customFormat="1" ht="63.75" x14ac:dyDescent="0.2">
      <c r="A225" s="10"/>
      <c r="B225" s="34" t="s">
        <v>345</v>
      </c>
      <c r="C225" s="11">
        <f>C224+E224</f>
        <v>2278</v>
      </c>
      <c r="D225" s="11">
        <f>C225+E225-1</f>
        <v>2283</v>
      </c>
      <c r="E225" s="38">
        <v>6</v>
      </c>
      <c r="F225" s="36" t="s">
        <v>341</v>
      </c>
      <c r="G225" s="62" t="s">
        <v>344</v>
      </c>
      <c r="H225" s="62" t="s">
        <v>342</v>
      </c>
      <c r="I225" s="25"/>
    </row>
    <row r="226" spans="1:9" s="24" customFormat="1" x14ac:dyDescent="0.2">
      <c r="A226" s="10"/>
      <c r="B226" s="34"/>
      <c r="C226" s="11">
        <f>C225+E225</f>
        <v>2284</v>
      </c>
      <c r="D226" s="11">
        <f>C226+E226-1</f>
        <v>2286</v>
      </c>
      <c r="E226" s="38">
        <v>3</v>
      </c>
      <c r="F226" s="36" t="s">
        <v>141</v>
      </c>
      <c r="G226" s="75"/>
      <c r="H226" s="75"/>
      <c r="I226" s="25"/>
    </row>
    <row r="227" spans="1:9" s="24" customFormat="1" ht="38.25" x14ac:dyDescent="0.2">
      <c r="A227" s="34"/>
      <c r="B227" s="34" t="s">
        <v>345</v>
      </c>
      <c r="C227" s="36">
        <f>C226+E226</f>
        <v>2287</v>
      </c>
      <c r="D227" s="36">
        <f>C227+E227-1</f>
        <v>2287</v>
      </c>
      <c r="E227" s="38">
        <v>1</v>
      </c>
      <c r="F227" s="36" t="s">
        <v>418</v>
      </c>
      <c r="G227" s="75" t="s">
        <v>427</v>
      </c>
      <c r="H227" s="75" t="s">
        <v>56</v>
      </c>
      <c r="I227" s="25"/>
    </row>
    <row r="228" spans="1:9" s="19" customFormat="1" x14ac:dyDescent="0.2">
      <c r="A228" s="10"/>
      <c r="B228" s="34"/>
      <c r="C228" s="11">
        <f>C227+E227</f>
        <v>2288</v>
      </c>
      <c r="D228" s="11">
        <f t="shared" ref="D228" si="41">C228+E228-1</f>
        <v>2602</v>
      </c>
      <c r="E228" s="11">
        <v>315</v>
      </c>
      <c r="F228" s="11" t="s">
        <v>141</v>
      </c>
      <c r="G228" s="76"/>
      <c r="H228" s="75"/>
    </row>
    <row r="229" spans="1:9" s="19" customFormat="1" ht="117" customHeight="1" x14ac:dyDescent="0.2">
      <c r="A229" s="10"/>
      <c r="B229" s="34" t="s">
        <v>345</v>
      </c>
      <c r="C229" s="11">
        <f>C228+E228</f>
        <v>2603</v>
      </c>
      <c r="D229" s="11">
        <v>2608</v>
      </c>
      <c r="E229" s="11">
        <v>6</v>
      </c>
      <c r="F229" s="17" t="s">
        <v>205</v>
      </c>
      <c r="G229" s="77" t="s">
        <v>257</v>
      </c>
      <c r="H229" s="77" t="s">
        <v>353</v>
      </c>
    </row>
    <row r="230" spans="1:9" s="19" customFormat="1" ht="12.75" customHeight="1" x14ac:dyDescent="0.2">
      <c r="A230" s="10"/>
      <c r="B230" s="34"/>
      <c r="C230" s="11"/>
      <c r="D230" s="11"/>
      <c r="E230" s="11"/>
      <c r="F230" s="8" t="s">
        <v>152</v>
      </c>
      <c r="G230" s="27"/>
      <c r="H230" s="62"/>
    </row>
    <row r="231" spans="1:9" s="19" customFormat="1" ht="54.75" customHeight="1" x14ac:dyDescent="0.2">
      <c r="A231" s="10"/>
      <c r="B231" s="34" t="s">
        <v>345</v>
      </c>
      <c r="C231" s="11">
        <f>C229+E229</f>
        <v>2609</v>
      </c>
      <c r="D231" s="11">
        <f>C231+E231-1</f>
        <v>2614</v>
      </c>
      <c r="E231" s="11">
        <v>6</v>
      </c>
      <c r="F231" s="12" t="s">
        <v>153</v>
      </c>
      <c r="G231" s="80" t="s">
        <v>346</v>
      </c>
      <c r="H231" s="82" t="s">
        <v>421</v>
      </c>
    </row>
    <row r="232" spans="1:9" s="19" customFormat="1" ht="54.75" customHeight="1" x14ac:dyDescent="0.2">
      <c r="A232" s="10"/>
      <c r="B232" s="34" t="s">
        <v>354</v>
      </c>
      <c r="C232" s="11">
        <f>+C231+E231</f>
        <v>2615</v>
      </c>
      <c r="D232" s="11">
        <f>C232+E232-1</f>
        <v>2620</v>
      </c>
      <c r="E232" s="11">
        <v>6</v>
      </c>
      <c r="F232" s="12" t="s">
        <v>154</v>
      </c>
      <c r="G232" s="81"/>
      <c r="H232" s="90"/>
    </row>
    <row r="233" spans="1:9" s="19" customFormat="1" ht="54.75" customHeight="1" x14ac:dyDescent="0.2">
      <c r="A233" s="10"/>
      <c r="B233" s="34" t="s">
        <v>345</v>
      </c>
      <c r="C233" s="11">
        <f>+C232+E232</f>
        <v>2621</v>
      </c>
      <c r="D233" s="11">
        <f>C233+E233-1</f>
        <v>2626</v>
      </c>
      <c r="E233" s="11">
        <v>6</v>
      </c>
      <c r="F233" s="12" t="s">
        <v>155</v>
      </c>
      <c r="G233" s="81"/>
      <c r="H233" s="90"/>
    </row>
    <row r="234" spans="1:9" s="19" customFormat="1" x14ac:dyDescent="0.2">
      <c r="A234" s="10"/>
      <c r="B234" s="34"/>
      <c r="C234" s="11">
        <f>C233+E233</f>
        <v>2627</v>
      </c>
      <c r="D234" s="11">
        <f>C234+E234-1</f>
        <v>2732</v>
      </c>
      <c r="E234" s="11">
        <v>106</v>
      </c>
      <c r="F234" s="11" t="s">
        <v>141</v>
      </c>
      <c r="G234" s="63"/>
      <c r="H234" s="66"/>
    </row>
    <row r="235" spans="1:9" s="19" customFormat="1" ht="38.25" x14ac:dyDescent="0.2">
      <c r="A235" s="10"/>
      <c r="B235" s="34"/>
      <c r="C235" s="11"/>
      <c r="D235" s="11"/>
      <c r="E235" s="11"/>
      <c r="F235" s="8" t="s">
        <v>102</v>
      </c>
      <c r="G235" s="63"/>
      <c r="H235" s="66" t="s">
        <v>274</v>
      </c>
    </row>
    <row r="236" spans="1:9" s="19" customFormat="1" ht="25.5" x14ac:dyDescent="0.2">
      <c r="A236" s="10" t="s">
        <v>4</v>
      </c>
      <c r="B236" s="34" t="s">
        <v>345</v>
      </c>
      <c r="C236" s="11">
        <f>C234+E234</f>
        <v>2733</v>
      </c>
      <c r="D236" s="11">
        <f>C236+E236-1</f>
        <v>2733</v>
      </c>
      <c r="E236" s="11">
        <v>1</v>
      </c>
      <c r="F236" s="11" t="s">
        <v>129</v>
      </c>
      <c r="G236" s="61" t="s">
        <v>46</v>
      </c>
      <c r="H236" s="62" t="s">
        <v>103</v>
      </c>
    </row>
    <row r="237" spans="1:9" s="19" customFormat="1" ht="25.5" x14ac:dyDescent="0.2">
      <c r="A237" s="10"/>
      <c r="B237" s="34" t="s">
        <v>345</v>
      </c>
      <c r="C237" s="11">
        <f>C236+E236</f>
        <v>2734</v>
      </c>
      <c r="D237" s="11">
        <f>C237+E237-1</f>
        <v>2734</v>
      </c>
      <c r="E237" s="11">
        <v>1</v>
      </c>
      <c r="F237" s="11" t="s">
        <v>130</v>
      </c>
      <c r="G237" s="61" t="s">
        <v>46</v>
      </c>
      <c r="H237" s="62" t="s">
        <v>104</v>
      </c>
    </row>
    <row r="238" spans="1:9" s="19" customFormat="1" ht="25.5" x14ac:dyDescent="0.2">
      <c r="A238" s="10"/>
      <c r="B238" s="34" t="s">
        <v>125</v>
      </c>
      <c r="C238" s="11">
        <f>C237+E237</f>
        <v>2735</v>
      </c>
      <c r="D238" s="11">
        <f>C238+E238-1</f>
        <v>2735</v>
      </c>
      <c r="E238" s="11">
        <v>1</v>
      </c>
      <c r="F238" s="36" t="s">
        <v>131</v>
      </c>
      <c r="G238" s="66" t="s">
        <v>46</v>
      </c>
      <c r="H238" s="62" t="s">
        <v>226</v>
      </c>
    </row>
    <row r="239" spans="1:9" s="19" customFormat="1" ht="25.5" x14ac:dyDescent="0.2">
      <c r="A239" s="10"/>
      <c r="B239" s="34" t="s">
        <v>345</v>
      </c>
      <c r="C239" s="11">
        <f>C238+E238</f>
        <v>2736</v>
      </c>
      <c r="D239" s="11">
        <f>C239+E239-1</f>
        <v>2736</v>
      </c>
      <c r="E239" s="11">
        <v>1</v>
      </c>
      <c r="F239" s="11" t="s">
        <v>132</v>
      </c>
      <c r="G239" s="61" t="s">
        <v>46</v>
      </c>
      <c r="H239" s="62" t="s">
        <v>114</v>
      </c>
    </row>
    <row r="240" spans="1:9" s="19" customFormat="1" x14ac:dyDescent="0.2">
      <c r="A240" s="10"/>
      <c r="B240" s="34"/>
      <c r="C240" s="11">
        <f t="shared" ref="C240:C243" si="42">C239+E239</f>
        <v>2737</v>
      </c>
      <c r="D240" s="11">
        <f t="shared" ref="D240:D243" si="43">C240+E240-1</f>
        <v>2737</v>
      </c>
      <c r="E240" s="11">
        <v>1</v>
      </c>
      <c r="F240" s="36" t="s">
        <v>141</v>
      </c>
      <c r="G240" s="61"/>
      <c r="H240" s="62"/>
    </row>
    <row r="241" spans="1:10" s="19" customFormat="1" ht="25.5" x14ac:dyDescent="0.2">
      <c r="A241" s="10"/>
      <c r="B241" s="34" t="s">
        <v>345</v>
      </c>
      <c r="C241" s="11">
        <f t="shared" si="42"/>
        <v>2738</v>
      </c>
      <c r="D241" s="11">
        <f t="shared" si="43"/>
        <v>2738</v>
      </c>
      <c r="E241" s="11">
        <v>1</v>
      </c>
      <c r="F241" s="11" t="s">
        <v>133</v>
      </c>
      <c r="G241" s="61" t="s">
        <v>46</v>
      </c>
      <c r="H241" s="62" t="s">
        <v>43</v>
      </c>
    </row>
    <row r="242" spans="1:10" s="11" customFormat="1" x14ac:dyDescent="0.2">
      <c r="A242" s="10"/>
      <c r="B242" s="34"/>
      <c r="C242" s="11">
        <f>C241+E241</f>
        <v>2739</v>
      </c>
      <c r="D242" s="11">
        <f t="shared" si="43"/>
        <v>2741</v>
      </c>
      <c r="E242" s="11">
        <v>3</v>
      </c>
      <c r="F242" s="36" t="s">
        <v>141</v>
      </c>
      <c r="G242" s="74"/>
      <c r="H242" s="62"/>
    </row>
    <row r="243" spans="1:10" s="19" customFormat="1" ht="39" customHeight="1" x14ac:dyDescent="0.2">
      <c r="A243" s="10"/>
      <c r="B243" s="34" t="s">
        <v>125</v>
      </c>
      <c r="C243" s="11">
        <f t="shared" si="42"/>
        <v>2742</v>
      </c>
      <c r="D243" s="11">
        <f t="shared" si="43"/>
        <v>2742</v>
      </c>
      <c r="E243" s="11">
        <v>1</v>
      </c>
      <c r="F243" s="11" t="s">
        <v>134</v>
      </c>
      <c r="G243" s="74" t="s">
        <v>46</v>
      </c>
      <c r="H243" s="62" t="s">
        <v>227</v>
      </c>
    </row>
    <row r="244" spans="1:10" s="19" customFormat="1" x14ac:dyDescent="0.2">
      <c r="A244" s="10"/>
      <c r="B244" s="34"/>
      <c r="C244" s="11">
        <f>C243+E243</f>
        <v>2743</v>
      </c>
      <c r="D244" s="11">
        <f>C244+E244-1</f>
        <v>2788</v>
      </c>
      <c r="E244" s="11">
        <v>46</v>
      </c>
      <c r="F244" s="17" t="s">
        <v>141</v>
      </c>
      <c r="G244" s="63"/>
      <c r="H244" s="66"/>
    </row>
    <row r="245" spans="1:10" s="19" customFormat="1" x14ac:dyDescent="0.2">
      <c r="A245" s="10"/>
      <c r="B245" s="34"/>
      <c r="C245" s="11"/>
      <c r="D245" s="11"/>
      <c r="E245" s="11"/>
      <c r="F245" s="8" t="s">
        <v>115</v>
      </c>
      <c r="G245" s="63"/>
      <c r="H245" s="66"/>
    </row>
    <row r="246" spans="1:10" s="19" customFormat="1" ht="63.75" x14ac:dyDescent="0.2">
      <c r="A246" s="34" t="s">
        <v>209</v>
      </c>
      <c r="B246" s="34" t="s">
        <v>125</v>
      </c>
      <c r="C246" s="11">
        <f>C244+E244</f>
        <v>2789</v>
      </c>
      <c r="D246" s="11">
        <f>C246+E246-1</f>
        <v>2789</v>
      </c>
      <c r="E246" s="11">
        <v>1</v>
      </c>
      <c r="F246" s="36" t="s">
        <v>301</v>
      </c>
      <c r="G246" s="66" t="s">
        <v>46</v>
      </c>
      <c r="H246" s="62" t="s">
        <v>376</v>
      </c>
    </row>
    <row r="247" spans="1:10" s="19" customFormat="1" ht="63.75" x14ac:dyDescent="0.2">
      <c r="A247" s="34" t="s">
        <v>209</v>
      </c>
      <c r="B247" s="34" t="s">
        <v>416</v>
      </c>
      <c r="C247" s="11">
        <f t="shared" ref="C247:C250" si="44">C246+E246</f>
        <v>2790</v>
      </c>
      <c r="D247" s="11">
        <f t="shared" ref="D247:D251" si="45">C247+E247-1</f>
        <v>2790</v>
      </c>
      <c r="E247" s="11">
        <v>1</v>
      </c>
      <c r="F247" s="36" t="s">
        <v>302</v>
      </c>
      <c r="G247" s="62" t="s">
        <v>46</v>
      </c>
      <c r="H247" s="62" t="s">
        <v>398</v>
      </c>
    </row>
    <row r="248" spans="1:10" s="19" customFormat="1" ht="76.5" x14ac:dyDescent="0.2">
      <c r="A248" s="34" t="s">
        <v>233</v>
      </c>
      <c r="B248" s="34" t="s">
        <v>125</v>
      </c>
      <c r="C248" s="11">
        <f t="shared" si="44"/>
        <v>2791</v>
      </c>
      <c r="D248" s="11">
        <f t="shared" si="45"/>
        <v>2791</v>
      </c>
      <c r="E248" s="11">
        <v>1</v>
      </c>
      <c r="F248" s="36" t="s">
        <v>303</v>
      </c>
      <c r="G248" s="66" t="s">
        <v>46</v>
      </c>
      <c r="H248" s="62" t="s">
        <v>228</v>
      </c>
    </row>
    <row r="249" spans="1:10" s="7" customFormat="1" ht="63.75" x14ac:dyDescent="0.2">
      <c r="A249" s="34" t="s">
        <v>209</v>
      </c>
      <c r="B249" s="34" t="s">
        <v>125</v>
      </c>
      <c r="C249" s="11">
        <f t="shared" si="44"/>
        <v>2792</v>
      </c>
      <c r="D249" s="11">
        <f>C249+E249-1</f>
        <v>2792</v>
      </c>
      <c r="E249" s="11">
        <v>1</v>
      </c>
      <c r="F249" s="36" t="s">
        <v>304</v>
      </c>
      <c r="G249" s="62" t="s">
        <v>46</v>
      </c>
      <c r="H249" s="62" t="s">
        <v>377</v>
      </c>
      <c r="I249" s="11"/>
      <c r="J249" s="11"/>
    </row>
    <row r="250" spans="1:10" s="11" customFormat="1" ht="91.5" customHeight="1" x14ac:dyDescent="0.2">
      <c r="A250" s="34" t="s">
        <v>233</v>
      </c>
      <c r="B250" s="34" t="s">
        <v>354</v>
      </c>
      <c r="C250" s="11">
        <f t="shared" si="44"/>
        <v>2793</v>
      </c>
      <c r="D250" s="11">
        <f t="shared" si="45"/>
        <v>2793</v>
      </c>
      <c r="E250" s="11">
        <v>1</v>
      </c>
      <c r="F250" s="36" t="s">
        <v>305</v>
      </c>
      <c r="G250" s="62" t="s">
        <v>46</v>
      </c>
      <c r="H250" s="62" t="s">
        <v>220</v>
      </c>
    </row>
    <row r="251" spans="1:10" s="19" customFormat="1" x14ac:dyDescent="0.2">
      <c r="B251" s="34"/>
      <c r="C251" s="11">
        <f>C250+E250</f>
        <v>2794</v>
      </c>
      <c r="D251" s="11">
        <f t="shared" si="45"/>
        <v>2798</v>
      </c>
      <c r="E251" s="11">
        <v>5</v>
      </c>
      <c r="F251" s="17" t="s">
        <v>141</v>
      </c>
      <c r="G251" s="63"/>
      <c r="H251" s="66"/>
    </row>
    <row r="252" spans="1:10" s="19" customFormat="1" x14ac:dyDescent="0.2">
      <c r="A252" s="10"/>
      <c r="B252" s="34"/>
      <c r="C252" s="11"/>
      <c r="D252" s="11"/>
      <c r="E252" s="11"/>
      <c r="F252" s="8" t="s">
        <v>117</v>
      </c>
      <c r="G252" s="63"/>
      <c r="H252" s="66"/>
    </row>
    <row r="253" spans="1:10" s="19" customFormat="1" ht="51" x14ac:dyDescent="0.2">
      <c r="A253" s="34" t="s">
        <v>209</v>
      </c>
      <c r="B253" s="34" t="s">
        <v>125</v>
      </c>
      <c r="C253" s="11">
        <f>C251+E251</f>
        <v>2799</v>
      </c>
      <c r="D253" s="11">
        <f>C253+E253-1</f>
        <v>2799</v>
      </c>
      <c r="E253" s="11">
        <v>1</v>
      </c>
      <c r="F253" s="36" t="s">
        <v>306</v>
      </c>
      <c r="G253" s="66" t="s">
        <v>46</v>
      </c>
      <c r="H253" s="62" t="s">
        <v>393</v>
      </c>
    </row>
    <row r="254" spans="1:10" s="19" customFormat="1" ht="51" x14ac:dyDescent="0.2">
      <c r="A254" s="34" t="s">
        <v>209</v>
      </c>
      <c r="B254" s="34" t="s">
        <v>416</v>
      </c>
      <c r="C254" s="11">
        <f t="shared" ref="C254:C257" si="46">C253+E253</f>
        <v>2800</v>
      </c>
      <c r="D254" s="11">
        <f t="shared" ref="D254:D257" si="47">C254+E254-1</f>
        <v>2800</v>
      </c>
      <c r="E254" s="11">
        <v>1</v>
      </c>
      <c r="F254" s="36" t="s">
        <v>307</v>
      </c>
      <c r="G254" s="62" t="s">
        <v>46</v>
      </c>
      <c r="H254" s="62" t="s">
        <v>422</v>
      </c>
    </row>
    <row r="255" spans="1:10" s="7" customFormat="1" ht="76.5" x14ac:dyDescent="0.2">
      <c r="A255" s="34" t="s">
        <v>233</v>
      </c>
      <c r="B255" s="34" t="s">
        <v>125</v>
      </c>
      <c r="C255" s="11">
        <f t="shared" si="46"/>
        <v>2801</v>
      </c>
      <c r="D255" s="11">
        <f t="shared" si="47"/>
        <v>2801</v>
      </c>
      <c r="E255" s="11">
        <v>1</v>
      </c>
      <c r="F255" s="36" t="s">
        <v>308</v>
      </c>
      <c r="G255" s="66" t="s">
        <v>46</v>
      </c>
      <c r="H255" s="62" t="s">
        <v>229</v>
      </c>
      <c r="I255" s="11"/>
      <c r="J255" s="11"/>
    </row>
    <row r="256" spans="1:10" s="11" customFormat="1" ht="74.25" customHeight="1" x14ac:dyDescent="0.2">
      <c r="A256" s="34" t="s">
        <v>209</v>
      </c>
      <c r="B256" s="34" t="s">
        <v>125</v>
      </c>
      <c r="C256" s="11">
        <f t="shared" si="46"/>
        <v>2802</v>
      </c>
      <c r="D256" s="11">
        <f t="shared" si="47"/>
        <v>2802</v>
      </c>
      <c r="E256" s="11">
        <v>1</v>
      </c>
      <c r="F256" s="36" t="s">
        <v>309</v>
      </c>
      <c r="G256" s="62" t="s">
        <v>46</v>
      </c>
      <c r="H256" s="62" t="s">
        <v>378</v>
      </c>
    </row>
    <row r="257" spans="1:10" s="11" customFormat="1" ht="91.5" customHeight="1" x14ac:dyDescent="0.2">
      <c r="A257" s="34" t="s">
        <v>233</v>
      </c>
      <c r="B257" s="34" t="s">
        <v>354</v>
      </c>
      <c r="C257" s="11">
        <f t="shared" si="46"/>
        <v>2803</v>
      </c>
      <c r="D257" s="11">
        <f t="shared" si="47"/>
        <v>2803</v>
      </c>
      <c r="E257" s="11">
        <v>1</v>
      </c>
      <c r="F257" s="36" t="s">
        <v>310</v>
      </c>
      <c r="G257" s="62" t="s">
        <v>46</v>
      </c>
      <c r="H257" s="62" t="s">
        <v>221</v>
      </c>
    </row>
    <row r="258" spans="1:10" s="11" customFormat="1" x14ac:dyDescent="0.2">
      <c r="A258" s="10"/>
      <c r="B258" s="34"/>
      <c r="F258" s="8" t="s">
        <v>118</v>
      </c>
      <c r="G258" s="63"/>
      <c r="H258" s="66"/>
    </row>
    <row r="259" spans="1:10" s="11" customFormat="1" x14ac:dyDescent="0.2">
      <c r="A259" s="10"/>
      <c r="B259" s="34"/>
      <c r="C259" s="11">
        <f>C257+E257</f>
        <v>2804</v>
      </c>
      <c r="D259" s="11">
        <f t="shared" ref="D259:D262" si="48">C259+E259-1</f>
        <v>2810</v>
      </c>
      <c r="E259" s="11">
        <v>7</v>
      </c>
      <c r="F259" s="17" t="s">
        <v>141</v>
      </c>
      <c r="G259" s="63"/>
      <c r="H259" s="62"/>
    </row>
    <row r="260" spans="1:10" s="11" customFormat="1" ht="89.25" x14ac:dyDescent="0.2">
      <c r="A260" s="34" t="s">
        <v>233</v>
      </c>
      <c r="B260" s="34" t="s">
        <v>125</v>
      </c>
      <c r="C260" s="11">
        <f>C259+E259</f>
        <v>2811</v>
      </c>
      <c r="D260" s="11">
        <f t="shared" si="48"/>
        <v>2811</v>
      </c>
      <c r="E260" s="11">
        <v>1</v>
      </c>
      <c r="F260" s="36" t="s">
        <v>311</v>
      </c>
      <c r="G260" s="66" t="s">
        <v>46</v>
      </c>
      <c r="H260" s="75" t="s">
        <v>466</v>
      </c>
    </row>
    <row r="261" spans="1:10" s="11" customFormat="1" x14ac:dyDescent="0.2">
      <c r="A261" s="10"/>
      <c r="B261" s="34"/>
      <c r="C261" s="11">
        <f>C260+E260</f>
        <v>2812</v>
      </c>
      <c r="D261" s="11">
        <f t="shared" si="48"/>
        <v>2812</v>
      </c>
      <c r="E261" s="11">
        <v>1</v>
      </c>
      <c r="F261" s="17" t="s">
        <v>141</v>
      </c>
      <c r="G261" s="63"/>
      <c r="H261" s="62"/>
    </row>
    <row r="262" spans="1:10" s="11" customFormat="1" ht="89.25" x14ac:dyDescent="0.2">
      <c r="A262" s="34" t="s">
        <v>233</v>
      </c>
      <c r="B262" s="34" t="s">
        <v>354</v>
      </c>
      <c r="C262" s="11">
        <f>C261+E261</f>
        <v>2813</v>
      </c>
      <c r="D262" s="11">
        <f t="shared" si="48"/>
        <v>2813</v>
      </c>
      <c r="E262" s="11">
        <v>1</v>
      </c>
      <c r="F262" s="36" t="s">
        <v>312</v>
      </c>
      <c r="G262" s="62" t="s">
        <v>46</v>
      </c>
      <c r="H262" s="62" t="s">
        <v>222</v>
      </c>
    </row>
    <row r="263" spans="1:10" s="11" customFormat="1" x14ac:dyDescent="0.2">
      <c r="A263" s="10"/>
      <c r="B263" s="34"/>
      <c r="E263" s="17"/>
      <c r="F263" s="8" t="s">
        <v>119</v>
      </c>
      <c r="G263" s="63"/>
      <c r="H263" s="66"/>
    </row>
    <row r="264" spans="1:10" s="11" customFormat="1" x14ac:dyDescent="0.2">
      <c r="A264" s="10"/>
      <c r="B264" s="34"/>
      <c r="C264" s="11">
        <f>C262+E262</f>
        <v>2814</v>
      </c>
      <c r="D264" s="11">
        <f t="shared" ref="D264:D268" si="49">C264+E264-1</f>
        <v>2820</v>
      </c>
      <c r="E264" s="17">
        <v>7</v>
      </c>
      <c r="F264" s="17" t="s">
        <v>141</v>
      </c>
      <c r="G264" s="63"/>
      <c r="H264" s="62"/>
    </row>
    <row r="265" spans="1:10" s="11" customFormat="1" ht="116.25" customHeight="1" x14ac:dyDescent="0.2">
      <c r="A265" s="34" t="s">
        <v>233</v>
      </c>
      <c r="B265" s="34" t="s">
        <v>125</v>
      </c>
      <c r="C265" s="11">
        <f>C264+E264</f>
        <v>2821</v>
      </c>
      <c r="D265" s="11">
        <f t="shared" si="49"/>
        <v>2821</v>
      </c>
      <c r="E265" s="17">
        <v>1</v>
      </c>
      <c r="F265" s="36" t="s">
        <v>313</v>
      </c>
      <c r="G265" s="66" t="s">
        <v>46</v>
      </c>
      <c r="H265" s="75" t="s">
        <v>467</v>
      </c>
    </row>
    <row r="266" spans="1:10" s="7" customFormat="1" x14ac:dyDescent="0.2">
      <c r="A266" s="10"/>
      <c r="B266" s="34"/>
      <c r="C266" s="11">
        <f>C265+E265</f>
        <v>2822</v>
      </c>
      <c r="D266" s="11">
        <f t="shared" si="49"/>
        <v>2822</v>
      </c>
      <c r="E266" s="17">
        <v>1</v>
      </c>
      <c r="F266" s="17" t="s">
        <v>141</v>
      </c>
      <c r="G266" s="63"/>
      <c r="H266" s="62"/>
      <c r="I266" s="11"/>
      <c r="J266" s="11"/>
    </row>
    <row r="267" spans="1:10" s="7" customFormat="1" ht="89.25" x14ac:dyDescent="0.2">
      <c r="A267" s="34" t="s">
        <v>233</v>
      </c>
      <c r="B267" s="34" t="s">
        <v>354</v>
      </c>
      <c r="C267" s="11">
        <f>C266+E266</f>
        <v>2823</v>
      </c>
      <c r="D267" s="11">
        <f t="shared" si="49"/>
        <v>2823</v>
      </c>
      <c r="E267" s="11">
        <v>1</v>
      </c>
      <c r="F267" s="36" t="s">
        <v>314</v>
      </c>
      <c r="G267" s="62" t="s">
        <v>46</v>
      </c>
      <c r="H267" s="62" t="s">
        <v>223</v>
      </c>
      <c r="I267" s="11"/>
      <c r="J267" s="11"/>
    </row>
    <row r="268" spans="1:10" s="7" customFormat="1" x14ac:dyDescent="0.2">
      <c r="A268" s="10"/>
      <c r="B268" s="34"/>
      <c r="C268" s="11">
        <f>C267+E267</f>
        <v>2824</v>
      </c>
      <c r="D268" s="11">
        <f t="shared" si="49"/>
        <v>2826</v>
      </c>
      <c r="E268" s="11">
        <v>3</v>
      </c>
      <c r="F268" s="17" t="s">
        <v>141</v>
      </c>
      <c r="G268" s="63"/>
      <c r="H268" s="66"/>
      <c r="I268" s="11"/>
      <c r="J268" s="11"/>
    </row>
    <row r="269" spans="1:10" ht="25.5" x14ac:dyDescent="0.2">
      <c r="A269" s="10"/>
      <c r="B269" s="34"/>
      <c r="C269" s="11"/>
      <c r="D269" s="11"/>
      <c r="E269" s="11"/>
      <c r="F269" s="16" t="s">
        <v>135</v>
      </c>
      <c r="G269" s="63"/>
      <c r="H269" s="66" t="s">
        <v>328</v>
      </c>
    </row>
    <row r="270" spans="1:10" ht="63.75" x14ac:dyDescent="0.2">
      <c r="A270" s="10"/>
      <c r="B270" s="34" t="s">
        <v>345</v>
      </c>
      <c r="C270" s="11">
        <f>C268+E268</f>
        <v>2827</v>
      </c>
      <c r="D270" s="11">
        <f>C270+E270-1</f>
        <v>2829</v>
      </c>
      <c r="E270" s="11">
        <v>3</v>
      </c>
      <c r="F270" s="36" t="s">
        <v>315</v>
      </c>
      <c r="G270" s="66" t="s">
        <v>235</v>
      </c>
      <c r="H270" s="66" t="s">
        <v>338</v>
      </c>
    </row>
    <row r="271" spans="1:10" x14ac:dyDescent="0.2">
      <c r="A271" s="10"/>
      <c r="B271" s="34"/>
      <c r="C271" s="11">
        <f>C270+E270</f>
        <v>2830</v>
      </c>
      <c r="D271" s="11">
        <f>C271+E271-1</f>
        <v>2869</v>
      </c>
      <c r="E271" s="11">
        <v>40</v>
      </c>
      <c r="F271" s="36" t="s">
        <v>141</v>
      </c>
      <c r="G271" s="63"/>
      <c r="H271" s="66"/>
    </row>
    <row r="272" spans="1:10" x14ac:dyDescent="0.2">
      <c r="A272" s="10"/>
      <c r="B272" s="34"/>
      <c r="C272" s="11"/>
      <c r="D272" s="11"/>
      <c r="E272" s="11"/>
      <c r="F272" s="16" t="s">
        <v>136</v>
      </c>
      <c r="G272" s="63"/>
      <c r="H272" s="66" t="s">
        <v>329</v>
      </c>
    </row>
    <row r="273" spans="1:8" ht="63.75" x14ac:dyDescent="0.2">
      <c r="A273" s="10"/>
      <c r="B273" s="34" t="s">
        <v>354</v>
      </c>
      <c r="C273" s="11">
        <f>+C271+E271</f>
        <v>2870</v>
      </c>
      <c r="D273" s="11">
        <f>C273+E273-1</f>
        <v>2872</v>
      </c>
      <c r="E273" s="11">
        <v>3</v>
      </c>
      <c r="F273" s="36" t="s">
        <v>316</v>
      </c>
      <c r="G273" s="66" t="s">
        <v>235</v>
      </c>
      <c r="H273" s="66" t="s">
        <v>278</v>
      </c>
    </row>
    <row r="274" spans="1:8" x14ac:dyDescent="0.2">
      <c r="A274" s="10"/>
      <c r="B274" s="34"/>
      <c r="C274" s="11">
        <f>C273+E273</f>
        <v>2873</v>
      </c>
      <c r="D274" s="11">
        <f>C274+E274-1</f>
        <v>2912</v>
      </c>
      <c r="E274" s="11">
        <v>40</v>
      </c>
      <c r="F274" s="36" t="s">
        <v>141</v>
      </c>
      <c r="G274" s="63"/>
      <c r="H274" s="66"/>
    </row>
    <row r="275" spans="1:8" ht="25.5" x14ac:dyDescent="0.2">
      <c r="A275" s="10"/>
      <c r="B275" s="34"/>
      <c r="C275" s="11"/>
      <c r="D275" s="11"/>
      <c r="E275" s="11"/>
      <c r="F275" s="16" t="s">
        <v>137</v>
      </c>
      <c r="G275" s="63"/>
      <c r="H275" s="66" t="s">
        <v>333</v>
      </c>
    </row>
    <row r="276" spans="1:8" ht="63.75" x14ac:dyDescent="0.2">
      <c r="A276" s="10"/>
      <c r="B276" s="34" t="s">
        <v>345</v>
      </c>
      <c r="C276" s="11">
        <f>+C274+E274</f>
        <v>2913</v>
      </c>
      <c r="D276" s="11">
        <f>C276+E276-1</f>
        <v>2915</v>
      </c>
      <c r="E276" s="11">
        <v>3</v>
      </c>
      <c r="F276" s="36" t="s">
        <v>317</v>
      </c>
      <c r="G276" s="66" t="s">
        <v>235</v>
      </c>
      <c r="H276" s="66" t="s">
        <v>336</v>
      </c>
    </row>
    <row r="277" spans="1:8" x14ac:dyDescent="0.2">
      <c r="C277" s="11">
        <f>C276+E276</f>
        <v>2916</v>
      </c>
      <c r="D277" s="11">
        <f t="shared" ref="D277:D285" si="50">C277+E277-1</f>
        <v>3007</v>
      </c>
      <c r="E277" s="11">
        <v>92</v>
      </c>
      <c r="F277" s="36" t="s">
        <v>141</v>
      </c>
      <c r="G277" s="44"/>
    </row>
    <row r="278" spans="1:8" ht="51" x14ac:dyDescent="0.2">
      <c r="A278" s="10"/>
      <c r="B278" s="34" t="s">
        <v>345</v>
      </c>
      <c r="C278" s="11">
        <f t="shared" ref="C278:C283" si="51">C277+E277</f>
        <v>3008</v>
      </c>
      <c r="D278" s="11">
        <f t="shared" si="50"/>
        <v>3013</v>
      </c>
      <c r="E278" s="11">
        <v>6</v>
      </c>
      <c r="F278" s="17" t="s">
        <v>138</v>
      </c>
      <c r="G278" s="64" t="s">
        <v>202</v>
      </c>
      <c r="H278" s="66" t="s">
        <v>144</v>
      </c>
    </row>
    <row r="279" spans="1:8" ht="76.5" x14ac:dyDescent="0.2">
      <c r="A279" s="34" t="s">
        <v>230</v>
      </c>
      <c r="B279" s="34" t="s">
        <v>345</v>
      </c>
      <c r="C279" s="11">
        <f t="shared" si="51"/>
        <v>3014</v>
      </c>
      <c r="D279" s="11">
        <f t="shared" si="50"/>
        <v>3023</v>
      </c>
      <c r="E279" s="11">
        <v>10</v>
      </c>
      <c r="F279" s="17" t="s">
        <v>239</v>
      </c>
      <c r="G279" s="62" t="s">
        <v>203</v>
      </c>
      <c r="H279" s="66" t="s">
        <v>271</v>
      </c>
    </row>
    <row r="280" spans="1:8" x14ac:dyDescent="0.2">
      <c r="A280" s="10"/>
      <c r="B280" s="34"/>
      <c r="C280" s="11">
        <f t="shared" si="51"/>
        <v>3024</v>
      </c>
      <c r="D280" s="11">
        <f t="shared" si="50"/>
        <v>3102</v>
      </c>
      <c r="E280" s="11">
        <v>79</v>
      </c>
      <c r="F280" s="17" t="s">
        <v>141</v>
      </c>
      <c r="G280" s="68"/>
    </row>
    <row r="281" spans="1:8" ht="64.5" customHeight="1" x14ac:dyDescent="0.2">
      <c r="A281" s="10"/>
      <c r="B281" s="34" t="s">
        <v>125</v>
      </c>
      <c r="C281" s="11">
        <f t="shared" si="51"/>
        <v>3103</v>
      </c>
      <c r="D281" s="11">
        <f t="shared" si="50"/>
        <v>3103</v>
      </c>
      <c r="E281" s="11">
        <v>1</v>
      </c>
      <c r="F281" s="17" t="s">
        <v>166</v>
      </c>
      <c r="G281" s="63" t="s">
        <v>184</v>
      </c>
      <c r="H281" s="66" t="s">
        <v>367</v>
      </c>
    </row>
    <row r="282" spans="1:8" ht="76.5" x14ac:dyDescent="0.2">
      <c r="A282" s="10"/>
      <c r="B282" s="34" t="s">
        <v>125</v>
      </c>
      <c r="C282" s="11">
        <f t="shared" si="51"/>
        <v>3104</v>
      </c>
      <c r="D282" s="11">
        <f t="shared" si="50"/>
        <v>3104</v>
      </c>
      <c r="E282" s="11">
        <v>1</v>
      </c>
      <c r="F282" s="17" t="s">
        <v>167</v>
      </c>
      <c r="G282" s="66" t="s">
        <v>260</v>
      </c>
      <c r="H282" s="80" t="s">
        <v>367</v>
      </c>
    </row>
    <row r="283" spans="1:8" ht="76.5" x14ac:dyDescent="0.2">
      <c r="A283" s="10"/>
      <c r="B283" s="34" t="s">
        <v>125</v>
      </c>
      <c r="C283" s="11">
        <f t="shared" si="51"/>
        <v>3105</v>
      </c>
      <c r="D283" s="11">
        <f t="shared" si="50"/>
        <v>3105</v>
      </c>
      <c r="E283" s="11">
        <v>1</v>
      </c>
      <c r="F283" s="17" t="s">
        <v>168</v>
      </c>
      <c r="G283" s="66" t="s">
        <v>261</v>
      </c>
      <c r="H283" s="80"/>
    </row>
    <row r="284" spans="1:8" x14ac:dyDescent="0.2">
      <c r="A284" s="10"/>
      <c r="B284" s="34"/>
      <c r="C284" s="11"/>
      <c r="D284" s="11"/>
      <c r="E284" s="11"/>
      <c r="F284" s="21" t="s">
        <v>211</v>
      </c>
      <c r="G284" s="63"/>
      <c r="H284" s="66"/>
    </row>
    <row r="285" spans="1:8" ht="69.75" customHeight="1" x14ac:dyDescent="0.2">
      <c r="A285" s="10"/>
      <c r="B285" s="34" t="s">
        <v>345</v>
      </c>
      <c r="C285" s="11">
        <f>C283+E283</f>
        <v>3106</v>
      </c>
      <c r="D285" s="11">
        <f t="shared" si="50"/>
        <v>3107</v>
      </c>
      <c r="E285" s="11">
        <v>2</v>
      </c>
      <c r="F285" s="46" t="s">
        <v>212</v>
      </c>
      <c r="G285" s="80" t="s">
        <v>423</v>
      </c>
      <c r="H285" s="80" t="s">
        <v>379</v>
      </c>
    </row>
    <row r="286" spans="1:8" ht="69" customHeight="1" x14ac:dyDescent="0.2">
      <c r="A286" s="10"/>
      <c r="B286" s="34" t="s">
        <v>345</v>
      </c>
      <c r="C286" s="11">
        <f>C285+E285</f>
        <v>3108</v>
      </c>
      <c r="D286" s="11">
        <f>C286+E286-1</f>
        <v>3109</v>
      </c>
      <c r="E286" s="11">
        <v>2</v>
      </c>
      <c r="F286" s="46" t="s">
        <v>213</v>
      </c>
      <c r="G286" s="88"/>
      <c r="H286" s="80"/>
    </row>
    <row r="287" spans="1:8" ht="70.5" customHeight="1" x14ac:dyDescent="0.2">
      <c r="A287" s="10"/>
      <c r="B287" s="34" t="s">
        <v>345</v>
      </c>
      <c r="C287" s="11">
        <f>C286+E286</f>
        <v>3110</v>
      </c>
      <c r="D287" s="11">
        <f>C287+E287-1</f>
        <v>3111</v>
      </c>
      <c r="E287" s="11">
        <v>2</v>
      </c>
      <c r="F287" s="46" t="s">
        <v>214</v>
      </c>
      <c r="G287" s="88"/>
      <c r="H287" s="80"/>
    </row>
    <row r="288" spans="1:8" ht="69" customHeight="1" x14ac:dyDescent="0.2">
      <c r="A288" s="10"/>
      <c r="B288" s="34" t="s">
        <v>345</v>
      </c>
      <c r="C288" s="11">
        <f>C287+E287</f>
        <v>3112</v>
      </c>
      <c r="D288" s="11">
        <f>C288+E288-1</f>
        <v>3113</v>
      </c>
      <c r="E288" s="11">
        <v>2</v>
      </c>
      <c r="F288" s="46" t="s">
        <v>215</v>
      </c>
      <c r="G288" s="88"/>
      <c r="H288" s="80"/>
    </row>
    <row r="289" spans="1:8" x14ac:dyDescent="0.2">
      <c r="A289" s="10"/>
      <c r="B289" s="34"/>
      <c r="C289" s="11">
        <f>C288+E288</f>
        <v>3114</v>
      </c>
      <c r="D289" s="11">
        <f>C289+E289-1</f>
        <v>3121</v>
      </c>
      <c r="E289" s="11">
        <v>8</v>
      </c>
      <c r="F289" s="17" t="s">
        <v>141</v>
      </c>
      <c r="G289" s="65"/>
      <c r="H289" s="66"/>
    </row>
    <row r="290" spans="1:8" s="11" customFormat="1" x14ac:dyDescent="0.2">
      <c r="A290" s="10"/>
      <c r="B290" s="34"/>
      <c r="F290" s="21" t="s">
        <v>156</v>
      </c>
      <c r="G290" s="65"/>
      <c r="H290" s="66"/>
    </row>
    <row r="291" spans="1:8" s="11" customFormat="1" x14ac:dyDescent="0.2">
      <c r="A291" s="10"/>
      <c r="B291" s="34"/>
      <c r="F291" s="21" t="s">
        <v>157</v>
      </c>
      <c r="G291" s="63"/>
      <c r="H291" s="66"/>
    </row>
    <row r="292" spans="1:8" s="19" customFormat="1" x14ac:dyDescent="0.2">
      <c r="A292" s="10"/>
      <c r="B292" s="34"/>
      <c r="C292" s="11"/>
      <c r="D292" s="11"/>
      <c r="E292" s="11"/>
      <c r="F292" s="21" t="s">
        <v>158</v>
      </c>
      <c r="G292" s="42"/>
      <c r="H292" s="62"/>
    </row>
    <row r="293" spans="1:8" s="19" customFormat="1" ht="12.75" customHeight="1" x14ac:dyDescent="0.2">
      <c r="A293" s="10" t="s">
        <v>4</v>
      </c>
      <c r="B293" s="34" t="s">
        <v>345</v>
      </c>
      <c r="C293" s="11">
        <f>C289+E289</f>
        <v>3122</v>
      </c>
      <c r="D293" s="11">
        <f>C293+E293-1</f>
        <v>3122</v>
      </c>
      <c r="E293" s="11">
        <v>1</v>
      </c>
      <c r="F293" s="11" t="s">
        <v>82</v>
      </c>
      <c r="G293" s="85" t="s">
        <v>165</v>
      </c>
      <c r="H293" s="82" t="s">
        <v>367</v>
      </c>
    </row>
    <row r="294" spans="1:8" s="19" customFormat="1" x14ac:dyDescent="0.2">
      <c r="A294" s="10" t="s">
        <v>4</v>
      </c>
      <c r="B294" s="34" t="s">
        <v>345</v>
      </c>
      <c r="C294" s="11">
        <f>C293+E293</f>
        <v>3123</v>
      </c>
      <c r="D294" s="11">
        <f t="shared" ref="D294:D303" si="52">C294+E294-1</f>
        <v>3123</v>
      </c>
      <c r="E294" s="11">
        <v>1</v>
      </c>
      <c r="F294" s="11" t="s">
        <v>83</v>
      </c>
      <c r="G294" s="85"/>
      <c r="H294" s="82"/>
    </row>
    <row r="295" spans="1:8" s="19" customFormat="1" x14ac:dyDescent="0.2">
      <c r="A295" s="10" t="s">
        <v>4</v>
      </c>
      <c r="B295" s="34" t="s">
        <v>345</v>
      </c>
      <c r="C295" s="11">
        <f t="shared" ref="C295:C303" si="53">C294+E294</f>
        <v>3124</v>
      </c>
      <c r="D295" s="11">
        <f t="shared" si="52"/>
        <v>3124</v>
      </c>
      <c r="E295" s="11">
        <v>1</v>
      </c>
      <c r="F295" s="11" t="s">
        <v>84</v>
      </c>
      <c r="G295" s="85"/>
      <c r="H295" s="82"/>
    </row>
    <row r="296" spans="1:8" s="19" customFormat="1" x14ac:dyDescent="0.2">
      <c r="A296" s="10" t="s">
        <v>4</v>
      </c>
      <c r="B296" s="34" t="s">
        <v>345</v>
      </c>
      <c r="C296" s="11">
        <f t="shared" si="53"/>
        <v>3125</v>
      </c>
      <c r="D296" s="11">
        <f t="shared" si="52"/>
        <v>3125</v>
      </c>
      <c r="E296" s="11">
        <v>1</v>
      </c>
      <c r="F296" s="11" t="s">
        <v>85</v>
      </c>
      <c r="G296" s="85"/>
      <c r="H296" s="82"/>
    </row>
    <row r="297" spans="1:8" s="19" customFormat="1" x14ac:dyDescent="0.2">
      <c r="A297" s="10" t="s">
        <v>4</v>
      </c>
      <c r="B297" s="34" t="s">
        <v>345</v>
      </c>
      <c r="C297" s="11">
        <f t="shared" si="53"/>
        <v>3126</v>
      </c>
      <c r="D297" s="11">
        <f t="shared" si="52"/>
        <v>3126</v>
      </c>
      <c r="E297" s="11">
        <v>1</v>
      </c>
      <c r="F297" s="11" t="s">
        <v>86</v>
      </c>
      <c r="G297" s="85"/>
      <c r="H297" s="82"/>
    </row>
    <row r="298" spans="1:8" s="19" customFormat="1" x14ac:dyDescent="0.2">
      <c r="A298" s="10" t="s">
        <v>4</v>
      </c>
      <c r="B298" s="34" t="s">
        <v>345</v>
      </c>
      <c r="C298" s="11">
        <f>C297+E297</f>
        <v>3127</v>
      </c>
      <c r="D298" s="11">
        <f t="shared" si="52"/>
        <v>3127</v>
      </c>
      <c r="E298" s="11">
        <v>1</v>
      </c>
      <c r="F298" s="11" t="s">
        <v>87</v>
      </c>
      <c r="G298" s="85"/>
      <c r="H298" s="82"/>
    </row>
    <row r="299" spans="1:8" s="19" customFormat="1" ht="12.75" customHeight="1" x14ac:dyDescent="0.2">
      <c r="A299" s="10" t="s">
        <v>4</v>
      </c>
      <c r="B299" s="34" t="s">
        <v>345</v>
      </c>
      <c r="C299" s="11">
        <f t="shared" si="53"/>
        <v>3128</v>
      </c>
      <c r="D299" s="11">
        <f t="shared" si="52"/>
        <v>3128</v>
      </c>
      <c r="E299" s="11">
        <v>1</v>
      </c>
      <c r="F299" s="12" t="s">
        <v>88</v>
      </c>
      <c r="G299" s="85"/>
      <c r="H299" s="82"/>
    </row>
    <row r="300" spans="1:8" s="19" customFormat="1" x14ac:dyDescent="0.2">
      <c r="A300" s="10" t="s">
        <v>4</v>
      </c>
      <c r="B300" s="34" t="s">
        <v>345</v>
      </c>
      <c r="C300" s="11">
        <f t="shared" si="53"/>
        <v>3129</v>
      </c>
      <c r="D300" s="11">
        <f t="shared" si="52"/>
        <v>3129</v>
      </c>
      <c r="E300" s="11">
        <v>1</v>
      </c>
      <c r="F300" s="11" t="s">
        <v>89</v>
      </c>
      <c r="G300" s="85"/>
      <c r="H300" s="82"/>
    </row>
    <row r="301" spans="1:8" s="19" customFormat="1" x14ac:dyDescent="0.2">
      <c r="A301" s="10" t="s">
        <v>4</v>
      </c>
      <c r="B301" s="34" t="s">
        <v>345</v>
      </c>
      <c r="C301" s="11">
        <f t="shared" si="53"/>
        <v>3130</v>
      </c>
      <c r="D301" s="11">
        <f t="shared" si="52"/>
        <v>3130</v>
      </c>
      <c r="E301" s="11">
        <v>1</v>
      </c>
      <c r="F301" s="11" t="s">
        <v>90</v>
      </c>
      <c r="G301" s="85"/>
      <c r="H301" s="82"/>
    </row>
    <row r="302" spans="1:8" s="19" customFormat="1" x14ac:dyDescent="0.2">
      <c r="A302" s="10" t="s">
        <v>4</v>
      </c>
      <c r="B302" s="34" t="s">
        <v>345</v>
      </c>
      <c r="C302" s="11">
        <f t="shared" si="53"/>
        <v>3131</v>
      </c>
      <c r="D302" s="11">
        <f t="shared" si="52"/>
        <v>3131</v>
      </c>
      <c r="E302" s="11">
        <v>1</v>
      </c>
      <c r="F302" s="11" t="s">
        <v>91</v>
      </c>
      <c r="G302" s="85"/>
      <c r="H302" s="82"/>
    </row>
    <row r="303" spans="1:8" s="19" customFormat="1" x14ac:dyDescent="0.2">
      <c r="A303" s="10" t="s">
        <v>4</v>
      </c>
      <c r="B303" s="34" t="s">
        <v>345</v>
      </c>
      <c r="C303" s="11">
        <f t="shared" si="53"/>
        <v>3132</v>
      </c>
      <c r="D303" s="11">
        <f t="shared" si="52"/>
        <v>3132</v>
      </c>
      <c r="E303" s="11">
        <v>1</v>
      </c>
      <c r="F303" s="11" t="s">
        <v>92</v>
      </c>
      <c r="G303" s="85"/>
      <c r="H303" s="82"/>
    </row>
    <row r="304" spans="1:8" s="19" customFormat="1" x14ac:dyDescent="0.2">
      <c r="A304" s="10"/>
      <c r="B304" s="34"/>
      <c r="C304" s="11"/>
      <c r="D304" s="11"/>
      <c r="E304" s="11"/>
      <c r="F304" s="8" t="s">
        <v>159</v>
      </c>
      <c r="G304" s="42"/>
      <c r="H304" s="62"/>
    </row>
    <row r="305" spans="1:8" s="19" customFormat="1" ht="12.75" customHeight="1" x14ac:dyDescent="0.2">
      <c r="A305" s="10" t="s">
        <v>4</v>
      </c>
      <c r="B305" s="34" t="s">
        <v>345</v>
      </c>
      <c r="C305" s="11">
        <f>C303+E303</f>
        <v>3133</v>
      </c>
      <c r="D305" s="11">
        <f t="shared" ref="D305:D310" si="54">C305+E305-1</f>
        <v>3133</v>
      </c>
      <c r="E305" s="11">
        <v>1</v>
      </c>
      <c r="F305" s="11" t="s">
        <v>82</v>
      </c>
      <c r="G305" s="85" t="s">
        <v>165</v>
      </c>
      <c r="H305" s="82" t="s">
        <v>367</v>
      </c>
    </row>
    <row r="306" spans="1:8" s="19" customFormat="1" x14ac:dyDescent="0.2">
      <c r="A306" s="10" t="s">
        <v>4</v>
      </c>
      <c r="B306" s="34" t="s">
        <v>345</v>
      </c>
      <c r="C306" s="11">
        <f>C305+E305</f>
        <v>3134</v>
      </c>
      <c r="D306" s="11">
        <f t="shared" si="54"/>
        <v>3134</v>
      </c>
      <c r="E306" s="11">
        <v>1</v>
      </c>
      <c r="F306" s="11" t="s">
        <v>87</v>
      </c>
      <c r="G306" s="85"/>
      <c r="H306" s="82"/>
    </row>
    <row r="307" spans="1:8" s="19" customFormat="1" x14ac:dyDescent="0.2">
      <c r="A307" s="10" t="s">
        <v>4</v>
      </c>
      <c r="B307" s="34" t="s">
        <v>345</v>
      </c>
      <c r="C307" s="11">
        <f>C306+E306</f>
        <v>3135</v>
      </c>
      <c r="D307" s="11">
        <f t="shared" si="54"/>
        <v>3135</v>
      </c>
      <c r="E307" s="11">
        <v>1</v>
      </c>
      <c r="F307" s="11" t="s">
        <v>90</v>
      </c>
      <c r="G307" s="85"/>
      <c r="H307" s="82"/>
    </row>
    <row r="308" spans="1:8" s="19" customFormat="1" x14ac:dyDescent="0.2">
      <c r="A308" s="10" t="s">
        <v>4</v>
      </c>
      <c r="B308" s="34" t="s">
        <v>345</v>
      </c>
      <c r="C308" s="11">
        <f>C307+E307</f>
        <v>3136</v>
      </c>
      <c r="D308" s="11">
        <f t="shared" si="54"/>
        <v>3136</v>
      </c>
      <c r="E308" s="11">
        <v>1</v>
      </c>
      <c r="F308" s="12" t="s">
        <v>99</v>
      </c>
      <c r="G308" s="85"/>
      <c r="H308" s="82"/>
    </row>
    <row r="309" spans="1:8" s="19" customFormat="1" x14ac:dyDescent="0.2">
      <c r="A309" s="10" t="s">
        <v>4</v>
      </c>
      <c r="B309" s="34" t="s">
        <v>345</v>
      </c>
      <c r="C309" s="11">
        <f>C308+E308</f>
        <v>3137</v>
      </c>
      <c r="D309" s="11">
        <f t="shared" si="54"/>
        <v>3137</v>
      </c>
      <c r="E309" s="11">
        <v>1</v>
      </c>
      <c r="F309" s="12" t="s">
        <v>93</v>
      </c>
      <c r="G309" s="85"/>
      <c r="H309" s="82"/>
    </row>
    <row r="310" spans="1:8" s="19" customFormat="1" x14ac:dyDescent="0.2">
      <c r="A310" s="10" t="s">
        <v>4</v>
      </c>
      <c r="B310" s="34" t="s">
        <v>345</v>
      </c>
      <c r="C310" s="11">
        <f>C309+E309</f>
        <v>3138</v>
      </c>
      <c r="D310" s="11">
        <f t="shared" si="54"/>
        <v>3138</v>
      </c>
      <c r="E310" s="11">
        <v>1</v>
      </c>
      <c r="F310" s="11" t="s">
        <v>91</v>
      </c>
      <c r="G310" s="85"/>
      <c r="H310" s="82"/>
    </row>
    <row r="311" spans="1:8" s="19" customFormat="1" x14ac:dyDescent="0.2">
      <c r="A311" s="10"/>
      <c r="B311" s="34"/>
      <c r="C311" s="11"/>
      <c r="D311" s="11"/>
      <c r="E311" s="11"/>
      <c r="F311" s="8" t="s">
        <v>160</v>
      </c>
      <c r="G311" s="42"/>
      <c r="H311" s="62"/>
    </row>
    <row r="312" spans="1:8" s="19" customFormat="1" ht="12.75" customHeight="1" x14ac:dyDescent="0.2">
      <c r="A312" s="10" t="s">
        <v>4</v>
      </c>
      <c r="B312" s="34" t="s">
        <v>345</v>
      </c>
      <c r="C312" s="11">
        <f>C310+E310</f>
        <v>3139</v>
      </c>
      <c r="D312" s="11">
        <f t="shared" ref="D312:D322" si="55">C312+E312-1</f>
        <v>3139</v>
      </c>
      <c r="E312" s="11">
        <v>1</v>
      </c>
      <c r="F312" s="11" t="s">
        <v>82</v>
      </c>
      <c r="G312" s="85" t="s">
        <v>165</v>
      </c>
      <c r="H312" s="82" t="s">
        <v>367</v>
      </c>
    </row>
    <row r="313" spans="1:8" s="19" customFormat="1" x14ac:dyDescent="0.2">
      <c r="A313" s="10" t="s">
        <v>4</v>
      </c>
      <c r="B313" s="34" t="s">
        <v>345</v>
      </c>
      <c r="C313" s="11">
        <f t="shared" ref="C313:C322" si="56">C312+E312</f>
        <v>3140</v>
      </c>
      <c r="D313" s="11">
        <f t="shared" si="55"/>
        <v>3140</v>
      </c>
      <c r="E313" s="11">
        <v>1</v>
      </c>
      <c r="F313" s="11" t="s">
        <v>83</v>
      </c>
      <c r="G313" s="85"/>
      <c r="H313" s="82"/>
    </row>
    <row r="314" spans="1:8" s="19" customFormat="1" x14ac:dyDescent="0.2">
      <c r="A314" s="10" t="s">
        <v>4</v>
      </c>
      <c r="B314" s="34" t="s">
        <v>345</v>
      </c>
      <c r="C314" s="11">
        <f t="shared" si="56"/>
        <v>3141</v>
      </c>
      <c r="D314" s="11">
        <f t="shared" si="55"/>
        <v>3141</v>
      </c>
      <c r="E314" s="11">
        <v>1</v>
      </c>
      <c r="F314" s="11" t="s">
        <v>84</v>
      </c>
      <c r="G314" s="85"/>
      <c r="H314" s="82"/>
    </row>
    <row r="315" spans="1:8" s="19" customFormat="1" x14ac:dyDescent="0.2">
      <c r="A315" s="10" t="s">
        <v>4</v>
      </c>
      <c r="B315" s="34" t="s">
        <v>345</v>
      </c>
      <c r="C315" s="11">
        <f t="shared" si="56"/>
        <v>3142</v>
      </c>
      <c r="D315" s="11">
        <f t="shared" si="55"/>
        <v>3142</v>
      </c>
      <c r="E315" s="11">
        <v>1</v>
      </c>
      <c r="F315" s="11" t="s">
        <v>85</v>
      </c>
      <c r="G315" s="85"/>
      <c r="H315" s="82"/>
    </row>
    <row r="316" spans="1:8" s="19" customFormat="1" x14ac:dyDescent="0.2">
      <c r="A316" s="10" t="s">
        <v>4</v>
      </c>
      <c r="B316" s="34" t="s">
        <v>345</v>
      </c>
      <c r="C316" s="11">
        <f t="shared" si="56"/>
        <v>3143</v>
      </c>
      <c r="D316" s="11">
        <f t="shared" si="55"/>
        <v>3143</v>
      </c>
      <c r="E316" s="11">
        <v>1</v>
      </c>
      <c r="F316" s="11" t="s">
        <v>86</v>
      </c>
      <c r="G316" s="85"/>
      <c r="H316" s="82"/>
    </row>
    <row r="317" spans="1:8" s="19" customFormat="1" x14ac:dyDescent="0.2">
      <c r="A317" s="10" t="s">
        <v>4</v>
      </c>
      <c r="B317" s="34" t="s">
        <v>345</v>
      </c>
      <c r="C317" s="11">
        <f t="shared" si="56"/>
        <v>3144</v>
      </c>
      <c r="D317" s="11">
        <f t="shared" si="55"/>
        <v>3144</v>
      </c>
      <c r="E317" s="11">
        <v>1</v>
      </c>
      <c r="F317" s="11" t="s">
        <v>87</v>
      </c>
      <c r="G317" s="85"/>
      <c r="H317" s="82"/>
    </row>
    <row r="318" spans="1:8" s="19" customFormat="1" x14ac:dyDescent="0.2">
      <c r="A318" s="10" t="s">
        <v>4</v>
      </c>
      <c r="B318" s="34" t="s">
        <v>345</v>
      </c>
      <c r="C318" s="11">
        <f t="shared" si="56"/>
        <v>3145</v>
      </c>
      <c r="D318" s="11">
        <f t="shared" si="55"/>
        <v>3145</v>
      </c>
      <c r="E318" s="11">
        <v>1</v>
      </c>
      <c r="F318" s="11" t="s">
        <v>88</v>
      </c>
      <c r="G318" s="85"/>
      <c r="H318" s="82"/>
    </row>
    <row r="319" spans="1:8" s="19" customFormat="1" x14ac:dyDescent="0.2">
      <c r="A319" s="10" t="s">
        <v>4</v>
      </c>
      <c r="B319" s="34" t="s">
        <v>345</v>
      </c>
      <c r="C319" s="11">
        <f t="shared" si="56"/>
        <v>3146</v>
      </c>
      <c r="D319" s="11">
        <f t="shared" si="55"/>
        <v>3146</v>
      </c>
      <c r="E319" s="11">
        <v>1</v>
      </c>
      <c r="F319" s="11" t="s">
        <v>89</v>
      </c>
      <c r="G319" s="85"/>
      <c r="H319" s="82"/>
    </row>
    <row r="320" spans="1:8" s="19" customFormat="1" x14ac:dyDescent="0.2">
      <c r="A320" s="10" t="s">
        <v>4</v>
      </c>
      <c r="B320" s="34" t="s">
        <v>345</v>
      </c>
      <c r="C320" s="11">
        <f t="shared" si="56"/>
        <v>3147</v>
      </c>
      <c r="D320" s="11">
        <f t="shared" si="55"/>
        <v>3147</v>
      </c>
      <c r="E320" s="11">
        <v>1</v>
      </c>
      <c r="F320" s="11" t="s">
        <v>90</v>
      </c>
      <c r="G320" s="85"/>
      <c r="H320" s="82"/>
    </row>
    <row r="321" spans="1:8" s="19" customFormat="1" x14ac:dyDescent="0.2">
      <c r="A321" s="10" t="s">
        <v>4</v>
      </c>
      <c r="B321" s="34" t="s">
        <v>345</v>
      </c>
      <c r="C321" s="11">
        <f t="shared" si="56"/>
        <v>3148</v>
      </c>
      <c r="D321" s="11">
        <f t="shared" si="55"/>
        <v>3148</v>
      </c>
      <c r="E321" s="11">
        <v>1</v>
      </c>
      <c r="F321" s="11" t="s">
        <v>91</v>
      </c>
      <c r="G321" s="85"/>
      <c r="H321" s="82"/>
    </row>
    <row r="322" spans="1:8" s="19" customFormat="1" x14ac:dyDescent="0.2">
      <c r="A322" s="10" t="s">
        <v>4</v>
      </c>
      <c r="B322" s="34" t="s">
        <v>345</v>
      </c>
      <c r="C322" s="11">
        <f t="shared" si="56"/>
        <v>3149</v>
      </c>
      <c r="D322" s="11">
        <f t="shared" si="55"/>
        <v>3149</v>
      </c>
      <c r="E322" s="11">
        <v>1</v>
      </c>
      <c r="F322" s="11" t="s">
        <v>92</v>
      </c>
      <c r="G322" s="85"/>
      <c r="H322" s="82"/>
    </row>
    <row r="323" spans="1:8" s="11" customFormat="1" x14ac:dyDescent="0.2">
      <c r="A323" s="10"/>
      <c r="B323" s="34"/>
      <c r="F323" s="21" t="s">
        <v>161</v>
      </c>
      <c r="G323" s="63"/>
      <c r="H323" s="66"/>
    </row>
    <row r="324" spans="1:8" s="19" customFormat="1" x14ac:dyDescent="0.2">
      <c r="A324" s="10"/>
      <c r="B324" s="34"/>
      <c r="C324" s="11"/>
      <c r="D324" s="11"/>
      <c r="E324" s="11"/>
      <c r="F324" s="21" t="s">
        <v>158</v>
      </c>
      <c r="G324" s="42"/>
      <c r="H324" s="62"/>
    </row>
    <row r="325" spans="1:8" s="19" customFormat="1" ht="12.75" customHeight="1" x14ac:dyDescent="0.2">
      <c r="A325" s="10" t="s">
        <v>4</v>
      </c>
      <c r="B325" s="34" t="s">
        <v>345</v>
      </c>
      <c r="C325" s="11">
        <f>C322+E322</f>
        <v>3150</v>
      </c>
      <c r="D325" s="11">
        <f>C325+E325-1</f>
        <v>3150</v>
      </c>
      <c r="E325" s="11">
        <v>1</v>
      </c>
      <c r="F325" s="11" t="s">
        <v>82</v>
      </c>
      <c r="G325" s="85" t="s">
        <v>165</v>
      </c>
      <c r="H325" s="82" t="s">
        <v>367</v>
      </c>
    </row>
    <row r="326" spans="1:8" s="19" customFormat="1" x14ac:dyDescent="0.2">
      <c r="A326" s="10" t="s">
        <v>4</v>
      </c>
      <c r="B326" s="34" t="s">
        <v>345</v>
      </c>
      <c r="C326" s="11">
        <f t="shared" ref="C326:C335" si="57">C325+E325</f>
        <v>3151</v>
      </c>
      <c r="D326" s="11">
        <f t="shared" ref="D326:D335" si="58">C326+E326-1</f>
        <v>3151</v>
      </c>
      <c r="E326" s="11">
        <v>1</v>
      </c>
      <c r="F326" s="11" t="s">
        <v>83</v>
      </c>
      <c r="G326" s="85"/>
      <c r="H326" s="82"/>
    </row>
    <row r="327" spans="1:8" s="19" customFormat="1" x14ac:dyDescent="0.2">
      <c r="A327" s="10" t="s">
        <v>4</v>
      </c>
      <c r="B327" s="34" t="s">
        <v>345</v>
      </c>
      <c r="C327" s="11">
        <f t="shared" si="57"/>
        <v>3152</v>
      </c>
      <c r="D327" s="11">
        <f t="shared" si="58"/>
        <v>3152</v>
      </c>
      <c r="E327" s="11">
        <v>1</v>
      </c>
      <c r="F327" s="11" t="s">
        <v>84</v>
      </c>
      <c r="G327" s="85"/>
      <c r="H327" s="82"/>
    </row>
    <row r="328" spans="1:8" s="19" customFormat="1" x14ac:dyDescent="0.2">
      <c r="A328" s="10" t="s">
        <v>4</v>
      </c>
      <c r="B328" s="34" t="s">
        <v>345</v>
      </c>
      <c r="C328" s="11">
        <f t="shared" si="57"/>
        <v>3153</v>
      </c>
      <c r="D328" s="11">
        <f t="shared" si="58"/>
        <v>3153</v>
      </c>
      <c r="E328" s="11">
        <v>1</v>
      </c>
      <c r="F328" s="11" t="s">
        <v>85</v>
      </c>
      <c r="G328" s="85"/>
      <c r="H328" s="82"/>
    </row>
    <row r="329" spans="1:8" s="19" customFormat="1" x14ac:dyDescent="0.2">
      <c r="A329" s="10" t="s">
        <v>4</v>
      </c>
      <c r="B329" s="34" t="s">
        <v>345</v>
      </c>
      <c r="C329" s="11">
        <f t="shared" si="57"/>
        <v>3154</v>
      </c>
      <c r="D329" s="11">
        <f t="shared" si="58"/>
        <v>3154</v>
      </c>
      <c r="E329" s="11">
        <v>1</v>
      </c>
      <c r="F329" s="11" t="s">
        <v>86</v>
      </c>
      <c r="G329" s="85"/>
      <c r="H329" s="82"/>
    </row>
    <row r="330" spans="1:8" s="19" customFormat="1" x14ac:dyDescent="0.2">
      <c r="A330" s="10" t="s">
        <v>4</v>
      </c>
      <c r="B330" s="34" t="s">
        <v>345</v>
      </c>
      <c r="C330" s="11">
        <f t="shared" si="57"/>
        <v>3155</v>
      </c>
      <c r="D330" s="11">
        <f t="shared" si="58"/>
        <v>3155</v>
      </c>
      <c r="E330" s="11">
        <v>1</v>
      </c>
      <c r="F330" s="11" t="s">
        <v>87</v>
      </c>
      <c r="G330" s="85"/>
      <c r="H330" s="82"/>
    </row>
    <row r="331" spans="1:8" s="19" customFormat="1" ht="12.75" customHeight="1" x14ac:dyDescent="0.2">
      <c r="A331" s="10" t="s">
        <v>4</v>
      </c>
      <c r="B331" s="34" t="s">
        <v>345</v>
      </c>
      <c r="C331" s="11">
        <f t="shared" si="57"/>
        <v>3156</v>
      </c>
      <c r="D331" s="11">
        <f t="shared" si="58"/>
        <v>3156</v>
      </c>
      <c r="E331" s="11">
        <v>1</v>
      </c>
      <c r="F331" s="12" t="s">
        <v>88</v>
      </c>
      <c r="G331" s="85"/>
      <c r="H331" s="82"/>
    </row>
    <row r="332" spans="1:8" s="19" customFormat="1" x14ac:dyDescent="0.2">
      <c r="A332" s="10" t="s">
        <v>4</v>
      </c>
      <c r="B332" s="34" t="s">
        <v>345</v>
      </c>
      <c r="C332" s="11">
        <f t="shared" si="57"/>
        <v>3157</v>
      </c>
      <c r="D332" s="11">
        <f t="shared" si="58"/>
        <v>3157</v>
      </c>
      <c r="E332" s="11">
        <v>1</v>
      </c>
      <c r="F332" s="11" t="s">
        <v>89</v>
      </c>
      <c r="G332" s="85"/>
      <c r="H332" s="82"/>
    </row>
    <row r="333" spans="1:8" s="19" customFormat="1" x14ac:dyDescent="0.2">
      <c r="A333" s="10" t="s">
        <v>4</v>
      </c>
      <c r="B333" s="34" t="s">
        <v>345</v>
      </c>
      <c r="C333" s="11">
        <f t="shared" si="57"/>
        <v>3158</v>
      </c>
      <c r="D333" s="11">
        <f t="shared" si="58"/>
        <v>3158</v>
      </c>
      <c r="E333" s="11">
        <v>1</v>
      </c>
      <c r="F333" s="11" t="s">
        <v>90</v>
      </c>
      <c r="G333" s="85"/>
      <c r="H333" s="82"/>
    </row>
    <row r="334" spans="1:8" s="19" customFormat="1" x14ac:dyDescent="0.2">
      <c r="A334" s="10" t="s">
        <v>4</v>
      </c>
      <c r="B334" s="34" t="s">
        <v>345</v>
      </c>
      <c r="C334" s="11">
        <f t="shared" si="57"/>
        <v>3159</v>
      </c>
      <c r="D334" s="11">
        <f t="shared" si="58"/>
        <v>3159</v>
      </c>
      <c r="E334" s="11">
        <v>1</v>
      </c>
      <c r="F334" s="11" t="s">
        <v>91</v>
      </c>
      <c r="G334" s="85"/>
      <c r="H334" s="82"/>
    </row>
    <row r="335" spans="1:8" s="19" customFormat="1" x14ac:dyDescent="0.2">
      <c r="A335" s="10" t="s">
        <v>4</v>
      </c>
      <c r="B335" s="34" t="s">
        <v>345</v>
      </c>
      <c r="C335" s="11">
        <f t="shared" si="57"/>
        <v>3160</v>
      </c>
      <c r="D335" s="11">
        <f t="shared" si="58"/>
        <v>3160</v>
      </c>
      <c r="E335" s="11">
        <v>1</v>
      </c>
      <c r="F335" s="11" t="s">
        <v>92</v>
      </c>
      <c r="G335" s="85"/>
      <c r="H335" s="82"/>
    </row>
    <row r="336" spans="1:8" s="19" customFormat="1" x14ac:dyDescent="0.2">
      <c r="A336" s="10"/>
      <c r="B336" s="34"/>
      <c r="C336" s="11"/>
      <c r="D336" s="11"/>
      <c r="E336" s="11"/>
      <c r="F336" s="8" t="s">
        <v>159</v>
      </c>
      <c r="G336" s="42"/>
      <c r="H336" s="62"/>
    </row>
    <row r="337" spans="1:8" s="19" customFormat="1" ht="12.75" customHeight="1" x14ac:dyDescent="0.2">
      <c r="A337" s="10" t="s">
        <v>4</v>
      </c>
      <c r="B337" s="34" t="s">
        <v>345</v>
      </c>
      <c r="C337" s="11">
        <f>C335+E335</f>
        <v>3161</v>
      </c>
      <c r="D337" s="11">
        <f t="shared" ref="D337:D342" si="59">C337+E337-1</f>
        <v>3161</v>
      </c>
      <c r="E337" s="11">
        <v>1</v>
      </c>
      <c r="F337" s="11" t="s">
        <v>82</v>
      </c>
      <c r="G337" s="85" t="s">
        <v>165</v>
      </c>
      <c r="H337" s="82" t="s">
        <v>367</v>
      </c>
    </row>
    <row r="338" spans="1:8" s="19" customFormat="1" x14ac:dyDescent="0.2">
      <c r="A338" s="10" t="s">
        <v>4</v>
      </c>
      <c r="B338" s="34" t="s">
        <v>345</v>
      </c>
      <c r="C338" s="11">
        <f>C337+E337</f>
        <v>3162</v>
      </c>
      <c r="D338" s="11">
        <f t="shared" si="59"/>
        <v>3162</v>
      </c>
      <c r="E338" s="11">
        <v>1</v>
      </c>
      <c r="F338" s="11" t="s">
        <v>87</v>
      </c>
      <c r="G338" s="85"/>
      <c r="H338" s="82"/>
    </row>
    <row r="339" spans="1:8" s="19" customFormat="1" x14ac:dyDescent="0.2">
      <c r="A339" s="10" t="s">
        <v>4</v>
      </c>
      <c r="B339" s="34" t="s">
        <v>345</v>
      </c>
      <c r="C339" s="11">
        <f>C338+E338</f>
        <v>3163</v>
      </c>
      <c r="D339" s="11">
        <f t="shared" si="59"/>
        <v>3163</v>
      </c>
      <c r="E339" s="11">
        <v>1</v>
      </c>
      <c r="F339" s="11" t="s">
        <v>90</v>
      </c>
      <c r="G339" s="85"/>
      <c r="H339" s="82"/>
    </row>
    <row r="340" spans="1:8" s="19" customFormat="1" x14ac:dyDescent="0.2">
      <c r="A340" s="10" t="s">
        <v>4</v>
      </c>
      <c r="B340" s="34" t="s">
        <v>345</v>
      </c>
      <c r="C340" s="11">
        <f>C339+E339</f>
        <v>3164</v>
      </c>
      <c r="D340" s="11">
        <f t="shared" si="59"/>
        <v>3164</v>
      </c>
      <c r="E340" s="11">
        <v>1</v>
      </c>
      <c r="F340" s="12" t="s">
        <v>99</v>
      </c>
      <c r="G340" s="85"/>
      <c r="H340" s="82"/>
    </row>
    <row r="341" spans="1:8" s="19" customFormat="1" x14ac:dyDescent="0.2">
      <c r="A341" s="10" t="s">
        <v>4</v>
      </c>
      <c r="B341" s="34" t="s">
        <v>345</v>
      </c>
      <c r="C341" s="11">
        <f>C340+E340</f>
        <v>3165</v>
      </c>
      <c r="D341" s="11">
        <f t="shared" si="59"/>
        <v>3165</v>
      </c>
      <c r="E341" s="11">
        <v>1</v>
      </c>
      <c r="F341" s="12" t="s">
        <v>93</v>
      </c>
      <c r="G341" s="85"/>
      <c r="H341" s="82"/>
    </row>
    <row r="342" spans="1:8" s="19" customFormat="1" x14ac:dyDescent="0.2">
      <c r="A342" s="10" t="s">
        <v>4</v>
      </c>
      <c r="B342" s="34" t="s">
        <v>345</v>
      </c>
      <c r="C342" s="11">
        <f>C341+E341</f>
        <v>3166</v>
      </c>
      <c r="D342" s="11">
        <f t="shared" si="59"/>
        <v>3166</v>
      </c>
      <c r="E342" s="11">
        <v>1</v>
      </c>
      <c r="F342" s="11" t="s">
        <v>91</v>
      </c>
      <c r="G342" s="85"/>
      <c r="H342" s="82"/>
    </row>
    <row r="343" spans="1:8" s="19" customFormat="1" x14ac:dyDescent="0.2">
      <c r="A343" s="10"/>
      <c r="B343" s="34"/>
      <c r="C343" s="11"/>
      <c r="D343" s="11"/>
      <c r="E343" s="11"/>
      <c r="F343" s="8" t="s">
        <v>160</v>
      </c>
      <c r="G343" s="42"/>
      <c r="H343" s="62"/>
    </row>
    <row r="344" spans="1:8" s="19" customFormat="1" ht="12.75" customHeight="1" x14ac:dyDescent="0.2">
      <c r="A344" s="10" t="s">
        <v>4</v>
      </c>
      <c r="B344" s="34" t="s">
        <v>345</v>
      </c>
      <c r="C344" s="11">
        <f>C342+E342</f>
        <v>3167</v>
      </c>
      <c r="D344" s="11">
        <f t="shared" ref="D344:D354" si="60">C344+E344-1</f>
        <v>3167</v>
      </c>
      <c r="E344" s="11">
        <v>1</v>
      </c>
      <c r="F344" s="11" t="s">
        <v>82</v>
      </c>
      <c r="G344" s="85" t="s">
        <v>165</v>
      </c>
      <c r="H344" s="82" t="s">
        <v>367</v>
      </c>
    </row>
    <row r="345" spans="1:8" s="19" customFormat="1" x14ac:dyDescent="0.2">
      <c r="A345" s="10" t="s">
        <v>4</v>
      </c>
      <c r="B345" s="34" t="s">
        <v>345</v>
      </c>
      <c r="C345" s="11">
        <f t="shared" ref="C345:C354" si="61">C344+E344</f>
        <v>3168</v>
      </c>
      <c r="D345" s="11">
        <f t="shared" si="60"/>
        <v>3168</v>
      </c>
      <c r="E345" s="11">
        <v>1</v>
      </c>
      <c r="F345" s="11" t="s">
        <v>83</v>
      </c>
      <c r="G345" s="85"/>
      <c r="H345" s="82"/>
    </row>
    <row r="346" spans="1:8" s="19" customFormat="1" x14ac:dyDescent="0.2">
      <c r="A346" s="10" t="s">
        <v>4</v>
      </c>
      <c r="B346" s="34" t="s">
        <v>345</v>
      </c>
      <c r="C346" s="11">
        <f t="shared" si="61"/>
        <v>3169</v>
      </c>
      <c r="D346" s="11">
        <f t="shared" si="60"/>
        <v>3169</v>
      </c>
      <c r="E346" s="11">
        <v>1</v>
      </c>
      <c r="F346" s="11" t="s">
        <v>84</v>
      </c>
      <c r="G346" s="85"/>
      <c r="H346" s="82"/>
    </row>
    <row r="347" spans="1:8" s="19" customFormat="1" x14ac:dyDescent="0.2">
      <c r="A347" s="10" t="s">
        <v>4</v>
      </c>
      <c r="B347" s="34" t="s">
        <v>345</v>
      </c>
      <c r="C347" s="11">
        <f t="shared" si="61"/>
        <v>3170</v>
      </c>
      <c r="D347" s="11">
        <f t="shared" si="60"/>
        <v>3170</v>
      </c>
      <c r="E347" s="11">
        <v>1</v>
      </c>
      <c r="F347" s="11" t="s">
        <v>85</v>
      </c>
      <c r="G347" s="85"/>
      <c r="H347" s="82"/>
    </row>
    <row r="348" spans="1:8" s="19" customFormat="1" x14ac:dyDescent="0.2">
      <c r="A348" s="10" t="s">
        <v>4</v>
      </c>
      <c r="B348" s="34" t="s">
        <v>345</v>
      </c>
      <c r="C348" s="11">
        <f t="shared" si="61"/>
        <v>3171</v>
      </c>
      <c r="D348" s="11">
        <f t="shared" si="60"/>
        <v>3171</v>
      </c>
      <c r="E348" s="11">
        <v>1</v>
      </c>
      <c r="F348" s="11" t="s">
        <v>86</v>
      </c>
      <c r="G348" s="85"/>
      <c r="H348" s="82"/>
    </row>
    <row r="349" spans="1:8" s="19" customFormat="1" x14ac:dyDescent="0.2">
      <c r="A349" s="10" t="s">
        <v>4</v>
      </c>
      <c r="B349" s="34" t="s">
        <v>345</v>
      </c>
      <c r="C349" s="11">
        <f t="shared" si="61"/>
        <v>3172</v>
      </c>
      <c r="D349" s="11">
        <f t="shared" si="60"/>
        <v>3172</v>
      </c>
      <c r="E349" s="11">
        <v>1</v>
      </c>
      <c r="F349" s="11" t="s">
        <v>87</v>
      </c>
      <c r="G349" s="85"/>
      <c r="H349" s="82"/>
    </row>
    <row r="350" spans="1:8" s="19" customFormat="1" x14ac:dyDescent="0.2">
      <c r="A350" s="10" t="s">
        <v>4</v>
      </c>
      <c r="B350" s="34" t="s">
        <v>345</v>
      </c>
      <c r="C350" s="11">
        <f t="shared" si="61"/>
        <v>3173</v>
      </c>
      <c r="D350" s="11">
        <f t="shared" si="60"/>
        <v>3173</v>
      </c>
      <c r="E350" s="11">
        <v>1</v>
      </c>
      <c r="F350" s="11" t="s">
        <v>88</v>
      </c>
      <c r="G350" s="85"/>
      <c r="H350" s="82"/>
    </row>
    <row r="351" spans="1:8" s="19" customFormat="1" x14ac:dyDescent="0.2">
      <c r="A351" s="10" t="s">
        <v>4</v>
      </c>
      <c r="B351" s="34" t="s">
        <v>345</v>
      </c>
      <c r="C351" s="11">
        <f t="shared" si="61"/>
        <v>3174</v>
      </c>
      <c r="D351" s="11">
        <f t="shared" si="60"/>
        <v>3174</v>
      </c>
      <c r="E351" s="11">
        <v>1</v>
      </c>
      <c r="F351" s="11" t="s">
        <v>89</v>
      </c>
      <c r="G351" s="85"/>
      <c r="H351" s="82"/>
    </row>
    <row r="352" spans="1:8" s="19" customFormat="1" x14ac:dyDescent="0.2">
      <c r="A352" s="10" t="s">
        <v>4</v>
      </c>
      <c r="B352" s="34" t="s">
        <v>345</v>
      </c>
      <c r="C352" s="11">
        <f t="shared" si="61"/>
        <v>3175</v>
      </c>
      <c r="D352" s="11">
        <f t="shared" si="60"/>
        <v>3175</v>
      </c>
      <c r="E352" s="11">
        <v>1</v>
      </c>
      <c r="F352" s="11" t="s">
        <v>90</v>
      </c>
      <c r="G352" s="85"/>
      <c r="H352" s="82"/>
    </row>
    <row r="353" spans="1:8" s="19" customFormat="1" x14ac:dyDescent="0.2">
      <c r="A353" s="10" t="s">
        <v>4</v>
      </c>
      <c r="B353" s="34" t="s">
        <v>345</v>
      </c>
      <c r="C353" s="11">
        <f t="shared" si="61"/>
        <v>3176</v>
      </c>
      <c r="D353" s="11">
        <f t="shared" si="60"/>
        <v>3176</v>
      </c>
      <c r="E353" s="11">
        <v>1</v>
      </c>
      <c r="F353" s="11" t="s">
        <v>91</v>
      </c>
      <c r="G353" s="85"/>
      <c r="H353" s="82"/>
    </row>
    <row r="354" spans="1:8" s="19" customFormat="1" x14ac:dyDescent="0.2">
      <c r="A354" s="10" t="s">
        <v>4</v>
      </c>
      <c r="B354" s="34" t="s">
        <v>345</v>
      </c>
      <c r="C354" s="11">
        <f t="shared" si="61"/>
        <v>3177</v>
      </c>
      <c r="D354" s="11">
        <f t="shared" si="60"/>
        <v>3177</v>
      </c>
      <c r="E354" s="11">
        <v>1</v>
      </c>
      <c r="F354" s="11" t="s">
        <v>92</v>
      </c>
      <c r="G354" s="85"/>
      <c r="H354" s="82"/>
    </row>
    <row r="355" spans="1:8" s="11" customFormat="1" x14ac:dyDescent="0.2">
      <c r="A355" s="10"/>
      <c r="B355" s="34"/>
      <c r="F355" s="21" t="s">
        <v>162</v>
      </c>
      <c r="G355" s="63"/>
      <c r="H355" s="66"/>
    </row>
    <row r="356" spans="1:8" s="19" customFormat="1" x14ac:dyDescent="0.2">
      <c r="A356" s="10"/>
      <c r="B356" s="34"/>
      <c r="C356" s="11"/>
      <c r="D356" s="11"/>
      <c r="E356" s="11"/>
      <c r="F356" s="21" t="s">
        <v>158</v>
      </c>
      <c r="G356" s="42"/>
      <c r="H356" s="62"/>
    </row>
    <row r="357" spans="1:8" s="19" customFormat="1" ht="12.75" customHeight="1" x14ac:dyDescent="0.2">
      <c r="A357" s="10" t="s">
        <v>4</v>
      </c>
      <c r="B357" s="34" t="s">
        <v>345</v>
      </c>
      <c r="C357" s="11">
        <f>C354+E354</f>
        <v>3178</v>
      </c>
      <c r="D357" s="11">
        <f>C357+E357-1</f>
        <v>3178</v>
      </c>
      <c r="E357" s="11">
        <v>1</v>
      </c>
      <c r="F357" s="11" t="s">
        <v>82</v>
      </c>
      <c r="G357" s="85" t="s">
        <v>165</v>
      </c>
      <c r="H357" s="82" t="s">
        <v>367</v>
      </c>
    </row>
    <row r="358" spans="1:8" s="19" customFormat="1" x14ac:dyDescent="0.2">
      <c r="A358" s="10" t="s">
        <v>4</v>
      </c>
      <c r="B358" s="34" t="s">
        <v>345</v>
      </c>
      <c r="C358" s="11">
        <f t="shared" ref="C358:C367" si="62">C357+E357</f>
        <v>3179</v>
      </c>
      <c r="D358" s="11">
        <f t="shared" ref="D358:D367" si="63">C358+E358-1</f>
        <v>3179</v>
      </c>
      <c r="E358" s="11">
        <v>1</v>
      </c>
      <c r="F358" s="11" t="s">
        <v>83</v>
      </c>
      <c r="G358" s="85"/>
      <c r="H358" s="82"/>
    </row>
    <row r="359" spans="1:8" s="19" customFormat="1" x14ac:dyDescent="0.2">
      <c r="A359" s="10" t="s">
        <v>4</v>
      </c>
      <c r="B359" s="34" t="s">
        <v>345</v>
      </c>
      <c r="C359" s="11">
        <f t="shared" si="62"/>
        <v>3180</v>
      </c>
      <c r="D359" s="11">
        <f t="shared" si="63"/>
        <v>3180</v>
      </c>
      <c r="E359" s="11">
        <v>1</v>
      </c>
      <c r="F359" s="11" t="s">
        <v>84</v>
      </c>
      <c r="G359" s="85"/>
      <c r="H359" s="82"/>
    </row>
    <row r="360" spans="1:8" s="19" customFormat="1" x14ac:dyDescent="0.2">
      <c r="A360" s="10" t="s">
        <v>4</v>
      </c>
      <c r="B360" s="34" t="s">
        <v>345</v>
      </c>
      <c r="C360" s="11">
        <f t="shared" si="62"/>
        <v>3181</v>
      </c>
      <c r="D360" s="11">
        <f t="shared" si="63"/>
        <v>3181</v>
      </c>
      <c r="E360" s="11">
        <v>1</v>
      </c>
      <c r="F360" s="11" t="s">
        <v>85</v>
      </c>
      <c r="G360" s="85"/>
      <c r="H360" s="82"/>
    </row>
    <row r="361" spans="1:8" s="19" customFormat="1" x14ac:dyDescent="0.2">
      <c r="A361" s="10" t="s">
        <v>4</v>
      </c>
      <c r="B361" s="34" t="s">
        <v>345</v>
      </c>
      <c r="C361" s="11">
        <f t="shared" si="62"/>
        <v>3182</v>
      </c>
      <c r="D361" s="11">
        <f t="shared" si="63"/>
        <v>3182</v>
      </c>
      <c r="E361" s="11">
        <v>1</v>
      </c>
      <c r="F361" s="11" t="s">
        <v>86</v>
      </c>
      <c r="G361" s="85"/>
      <c r="H361" s="82"/>
    </row>
    <row r="362" spans="1:8" s="19" customFormat="1" x14ac:dyDescent="0.2">
      <c r="A362" s="10" t="s">
        <v>4</v>
      </c>
      <c r="B362" s="34" t="s">
        <v>345</v>
      </c>
      <c r="C362" s="11">
        <f t="shared" si="62"/>
        <v>3183</v>
      </c>
      <c r="D362" s="11">
        <f t="shared" si="63"/>
        <v>3183</v>
      </c>
      <c r="E362" s="11">
        <v>1</v>
      </c>
      <c r="F362" s="11" t="s">
        <v>87</v>
      </c>
      <c r="G362" s="85"/>
      <c r="H362" s="82"/>
    </row>
    <row r="363" spans="1:8" s="19" customFormat="1" ht="12.75" customHeight="1" x14ac:dyDescent="0.2">
      <c r="A363" s="10" t="s">
        <v>4</v>
      </c>
      <c r="B363" s="34" t="s">
        <v>345</v>
      </c>
      <c r="C363" s="11">
        <f t="shared" si="62"/>
        <v>3184</v>
      </c>
      <c r="D363" s="11">
        <f t="shared" si="63"/>
        <v>3184</v>
      </c>
      <c r="E363" s="11">
        <v>1</v>
      </c>
      <c r="F363" s="12" t="s">
        <v>88</v>
      </c>
      <c r="G363" s="85"/>
      <c r="H363" s="82"/>
    </row>
    <row r="364" spans="1:8" s="19" customFormat="1" x14ac:dyDescent="0.2">
      <c r="A364" s="10" t="s">
        <v>4</v>
      </c>
      <c r="B364" s="34" t="s">
        <v>345</v>
      </c>
      <c r="C364" s="11">
        <f t="shared" si="62"/>
        <v>3185</v>
      </c>
      <c r="D364" s="11">
        <f t="shared" si="63"/>
        <v>3185</v>
      </c>
      <c r="E364" s="11">
        <v>1</v>
      </c>
      <c r="F364" s="11" t="s">
        <v>89</v>
      </c>
      <c r="G364" s="85"/>
      <c r="H364" s="82"/>
    </row>
    <row r="365" spans="1:8" s="19" customFormat="1" x14ac:dyDescent="0.2">
      <c r="A365" s="10" t="s">
        <v>4</v>
      </c>
      <c r="B365" s="34" t="s">
        <v>345</v>
      </c>
      <c r="C365" s="11">
        <f t="shared" si="62"/>
        <v>3186</v>
      </c>
      <c r="D365" s="11">
        <f t="shared" si="63"/>
        <v>3186</v>
      </c>
      <c r="E365" s="11">
        <v>1</v>
      </c>
      <c r="F365" s="11" t="s">
        <v>90</v>
      </c>
      <c r="G365" s="85"/>
      <c r="H365" s="82"/>
    </row>
    <row r="366" spans="1:8" s="19" customFormat="1" x14ac:dyDescent="0.2">
      <c r="A366" s="10" t="s">
        <v>4</v>
      </c>
      <c r="B366" s="34" t="s">
        <v>345</v>
      </c>
      <c r="C366" s="11">
        <f t="shared" si="62"/>
        <v>3187</v>
      </c>
      <c r="D366" s="11">
        <f t="shared" si="63"/>
        <v>3187</v>
      </c>
      <c r="E366" s="11">
        <v>1</v>
      </c>
      <c r="F366" s="11" t="s">
        <v>91</v>
      </c>
      <c r="G366" s="85"/>
      <c r="H366" s="82"/>
    </row>
    <row r="367" spans="1:8" s="19" customFormat="1" x14ac:dyDescent="0.2">
      <c r="A367" s="10" t="s">
        <v>4</v>
      </c>
      <c r="B367" s="34" t="s">
        <v>345</v>
      </c>
      <c r="C367" s="11">
        <f t="shared" si="62"/>
        <v>3188</v>
      </c>
      <c r="D367" s="11">
        <f t="shared" si="63"/>
        <v>3188</v>
      </c>
      <c r="E367" s="11">
        <v>1</v>
      </c>
      <c r="F367" s="11" t="s">
        <v>92</v>
      </c>
      <c r="G367" s="85"/>
      <c r="H367" s="82"/>
    </row>
    <row r="368" spans="1:8" s="19" customFormat="1" x14ac:dyDescent="0.2">
      <c r="A368" s="10"/>
      <c r="B368" s="34"/>
      <c r="C368" s="11"/>
      <c r="D368" s="11"/>
      <c r="E368" s="11"/>
      <c r="F368" s="8" t="s">
        <v>159</v>
      </c>
      <c r="G368" s="42"/>
      <c r="H368" s="62"/>
    </row>
    <row r="369" spans="1:8" s="19" customFormat="1" ht="12.75" customHeight="1" x14ac:dyDescent="0.2">
      <c r="A369" s="10" t="s">
        <v>4</v>
      </c>
      <c r="B369" s="34" t="s">
        <v>345</v>
      </c>
      <c r="C369" s="11">
        <f>C367+E367</f>
        <v>3189</v>
      </c>
      <c r="D369" s="11">
        <f t="shared" ref="D369:D374" si="64">C369+E369-1</f>
        <v>3189</v>
      </c>
      <c r="E369" s="11">
        <v>1</v>
      </c>
      <c r="F369" s="11" t="s">
        <v>82</v>
      </c>
      <c r="G369" s="85" t="s">
        <v>165</v>
      </c>
      <c r="H369" s="82" t="s">
        <v>367</v>
      </c>
    </row>
    <row r="370" spans="1:8" s="19" customFormat="1" x14ac:dyDescent="0.2">
      <c r="A370" s="10" t="s">
        <v>4</v>
      </c>
      <c r="B370" s="34" t="s">
        <v>345</v>
      </c>
      <c r="C370" s="11">
        <f>C369+E369</f>
        <v>3190</v>
      </c>
      <c r="D370" s="11">
        <f t="shared" si="64"/>
        <v>3190</v>
      </c>
      <c r="E370" s="11">
        <v>1</v>
      </c>
      <c r="F370" s="11" t="s">
        <v>87</v>
      </c>
      <c r="G370" s="85"/>
      <c r="H370" s="82"/>
    </row>
    <row r="371" spans="1:8" s="19" customFormat="1" x14ac:dyDescent="0.2">
      <c r="A371" s="10" t="s">
        <v>4</v>
      </c>
      <c r="B371" s="34" t="s">
        <v>345</v>
      </c>
      <c r="C371" s="11">
        <f>C370+E370</f>
        <v>3191</v>
      </c>
      <c r="D371" s="11">
        <f t="shared" si="64"/>
        <v>3191</v>
      </c>
      <c r="E371" s="11">
        <v>1</v>
      </c>
      <c r="F371" s="11" t="s">
        <v>90</v>
      </c>
      <c r="G371" s="85"/>
      <c r="H371" s="82"/>
    </row>
    <row r="372" spans="1:8" s="19" customFormat="1" x14ac:dyDescent="0.2">
      <c r="A372" s="10" t="s">
        <v>4</v>
      </c>
      <c r="B372" s="34" t="s">
        <v>345</v>
      </c>
      <c r="C372" s="11">
        <f>C371+E371</f>
        <v>3192</v>
      </c>
      <c r="D372" s="11">
        <f t="shared" si="64"/>
        <v>3192</v>
      </c>
      <c r="E372" s="11">
        <v>1</v>
      </c>
      <c r="F372" s="12" t="s">
        <v>99</v>
      </c>
      <c r="G372" s="85"/>
      <c r="H372" s="82"/>
    </row>
    <row r="373" spans="1:8" s="19" customFormat="1" x14ac:dyDescent="0.2">
      <c r="A373" s="10" t="s">
        <v>4</v>
      </c>
      <c r="B373" s="34" t="s">
        <v>345</v>
      </c>
      <c r="C373" s="11">
        <f>C372+E372</f>
        <v>3193</v>
      </c>
      <c r="D373" s="11">
        <f t="shared" si="64"/>
        <v>3193</v>
      </c>
      <c r="E373" s="11">
        <v>1</v>
      </c>
      <c r="F373" s="12" t="s">
        <v>93</v>
      </c>
      <c r="G373" s="85"/>
      <c r="H373" s="82"/>
    </row>
    <row r="374" spans="1:8" s="19" customFormat="1" x14ac:dyDescent="0.2">
      <c r="A374" s="10" t="s">
        <v>4</v>
      </c>
      <c r="B374" s="34" t="s">
        <v>345</v>
      </c>
      <c r="C374" s="11">
        <f>C373+E373</f>
        <v>3194</v>
      </c>
      <c r="D374" s="11">
        <f t="shared" si="64"/>
        <v>3194</v>
      </c>
      <c r="E374" s="11">
        <v>1</v>
      </c>
      <c r="F374" s="11" t="s">
        <v>91</v>
      </c>
      <c r="G374" s="85"/>
      <c r="H374" s="82"/>
    </row>
    <row r="375" spans="1:8" s="19" customFormat="1" x14ac:dyDescent="0.2">
      <c r="A375" s="10"/>
      <c r="B375" s="34"/>
      <c r="C375" s="11"/>
      <c r="D375" s="11"/>
      <c r="E375" s="11"/>
      <c r="F375" s="8" t="s">
        <v>160</v>
      </c>
      <c r="G375" s="42"/>
      <c r="H375" s="62"/>
    </row>
    <row r="376" spans="1:8" s="19" customFormat="1" ht="12.75" customHeight="1" x14ac:dyDescent="0.2">
      <c r="A376" s="10" t="s">
        <v>4</v>
      </c>
      <c r="B376" s="34" t="s">
        <v>345</v>
      </c>
      <c r="C376" s="11">
        <f>C374+E374</f>
        <v>3195</v>
      </c>
      <c r="D376" s="11">
        <f t="shared" ref="D376:D386" si="65">C376+E376-1</f>
        <v>3195</v>
      </c>
      <c r="E376" s="11">
        <v>1</v>
      </c>
      <c r="F376" s="11" t="s">
        <v>82</v>
      </c>
      <c r="G376" s="85" t="s">
        <v>165</v>
      </c>
      <c r="H376" s="82" t="s">
        <v>367</v>
      </c>
    </row>
    <row r="377" spans="1:8" s="19" customFormat="1" x14ac:dyDescent="0.2">
      <c r="A377" s="10" t="s">
        <v>4</v>
      </c>
      <c r="B377" s="34" t="s">
        <v>345</v>
      </c>
      <c r="C377" s="11">
        <f t="shared" ref="C377:C386" si="66">C376+E376</f>
        <v>3196</v>
      </c>
      <c r="D377" s="11">
        <f t="shared" si="65"/>
        <v>3196</v>
      </c>
      <c r="E377" s="11">
        <v>1</v>
      </c>
      <c r="F377" s="11" t="s">
        <v>83</v>
      </c>
      <c r="G377" s="85"/>
      <c r="H377" s="82"/>
    </row>
    <row r="378" spans="1:8" s="19" customFormat="1" x14ac:dyDescent="0.2">
      <c r="A378" s="10" t="s">
        <v>4</v>
      </c>
      <c r="B378" s="34" t="s">
        <v>345</v>
      </c>
      <c r="C378" s="11">
        <f t="shared" si="66"/>
        <v>3197</v>
      </c>
      <c r="D378" s="11">
        <f t="shared" si="65"/>
        <v>3197</v>
      </c>
      <c r="E378" s="11">
        <v>1</v>
      </c>
      <c r="F378" s="11" t="s">
        <v>84</v>
      </c>
      <c r="G378" s="85"/>
      <c r="H378" s="82"/>
    </row>
    <row r="379" spans="1:8" s="19" customFormat="1" x14ac:dyDescent="0.2">
      <c r="A379" s="10" t="s">
        <v>4</v>
      </c>
      <c r="B379" s="34" t="s">
        <v>345</v>
      </c>
      <c r="C379" s="11">
        <f t="shared" si="66"/>
        <v>3198</v>
      </c>
      <c r="D379" s="11">
        <f t="shared" si="65"/>
        <v>3198</v>
      </c>
      <c r="E379" s="11">
        <v>1</v>
      </c>
      <c r="F379" s="11" t="s">
        <v>85</v>
      </c>
      <c r="G379" s="85"/>
      <c r="H379" s="82"/>
    </row>
    <row r="380" spans="1:8" s="19" customFormat="1" x14ac:dyDescent="0.2">
      <c r="A380" s="10" t="s">
        <v>4</v>
      </c>
      <c r="B380" s="34" t="s">
        <v>345</v>
      </c>
      <c r="C380" s="11">
        <f t="shared" si="66"/>
        <v>3199</v>
      </c>
      <c r="D380" s="11">
        <f t="shared" si="65"/>
        <v>3199</v>
      </c>
      <c r="E380" s="11">
        <v>1</v>
      </c>
      <c r="F380" s="11" t="s">
        <v>86</v>
      </c>
      <c r="G380" s="85"/>
      <c r="H380" s="82"/>
    </row>
    <row r="381" spans="1:8" s="19" customFormat="1" x14ac:dyDescent="0.2">
      <c r="A381" s="10" t="s">
        <v>4</v>
      </c>
      <c r="B381" s="34" t="s">
        <v>345</v>
      </c>
      <c r="C381" s="11">
        <f t="shared" si="66"/>
        <v>3200</v>
      </c>
      <c r="D381" s="11">
        <f t="shared" si="65"/>
        <v>3200</v>
      </c>
      <c r="E381" s="11">
        <v>1</v>
      </c>
      <c r="F381" s="11" t="s">
        <v>87</v>
      </c>
      <c r="G381" s="85"/>
      <c r="H381" s="82"/>
    </row>
    <row r="382" spans="1:8" s="19" customFormat="1" x14ac:dyDescent="0.2">
      <c r="A382" s="10" t="s">
        <v>4</v>
      </c>
      <c r="B382" s="34" t="s">
        <v>345</v>
      </c>
      <c r="C382" s="11">
        <f t="shared" si="66"/>
        <v>3201</v>
      </c>
      <c r="D382" s="11">
        <f t="shared" si="65"/>
        <v>3201</v>
      </c>
      <c r="E382" s="11">
        <v>1</v>
      </c>
      <c r="F382" s="11" t="s">
        <v>88</v>
      </c>
      <c r="G382" s="85"/>
      <c r="H382" s="82"/>
    </row>
    <row r="383" spans="1:8" s="19" customFormat="1" x14ac:dyDescent="0.2">
      <c r="A383" s="10" t="s">
        <v>4</v>
      </c>
      <c r="B383" s="34" t="s">
        <v>345</v>
      </c>
      <c r="C383" s="11">
        <f t="shared" si="66"/>
        <v>3202</v>
      </c>
      <c r="D383" s="11">
        <f t="shared" si="65"/>
        <v>3202</v>
      </c>
      <c r="E383" s="11">
        <v>1</v>
      </c>
      <c r="F383" s="11" t="s">
        <v>89</v>
      </c>
      <c r="G383" s="85"/>
      <c r="H383" s="82"/>
    </row>
    <row r="384" spans="1:8" s="19" customFormat="1" x14ac:dyDescent="0.2">
      <c r="A384" s="10" t="s">
        <v>4</v>
      </c>
      <c r="B384" s="34" t="s">
        <v>345</v>
      </c>
      <c r="C384" s="11">
        <f t="shared" si="66"/>
        <v>3203</v>
      </c>
      <c r="D384" s="11">
        <f t="shared" si="65"/>
        <v>3203</v>
      </c>
      <c r="E384" s="11">
        <v>1</v>
      </c>
      <c r="F384" s="11" t="s">
        <v>90</v>
      </c>
      <c r="G384" s="85"/>
      <c r="H384" s="82"/>
    </row>
    <row r="385" spans="1:8" s="19" customFormat="1" x14ac:dyDescent="0.2">
      <c r="A385" s="10" t="s">
        <v>4</v>
      </c>
      <c r="B385" s="34" t="s">
        <v>345</v>
      </c>
      <c r="C385" s="11">
        <f t="shared" si="66"/>
        <v>3204</v>
      </c>
      <c r="D385" s="11">
        <f t="shared" si="65"/>
        <v>3204</v>
      </c>
      <c r="E385" s="11">
        <v>1</v>
      </c>
      <c r="F385" s="11" t="s">
        <v>91</v>
      </c>
      <c r="G385" s="85"/>
      <c r="H385" s="82"/>
    </row>
    <row r="386" spans="1:8" s="19" customFormat="1" x14ac:dyDescent="0.2">
      <c r="A386" s="10" t="s">
        <v>4</v>
      </c>
      <c r="B386" s="34" t="s">
        <v>345</v>
      </c>
      <c r="C386" s="11">
        <f t="shared" si="66"/>
        <v>3205</v>
      </c>
      <c r="D386" s="11">
        <f t="shared" si="65"/>
        <v>3205</v>
      </c>
      <c r="E386" s="11">
        <v>1</v>
      </c>
      <c r="F386" s="11" t="s">
        <v>92</v>
      </c>
      <c r="G386" s="85"/>
      <c r="H386" s="82"/>
    </row>
    <row r="387" spans="1:8" s="11" customFormat="1" x14ac:dyDescent="0.2">
      <c r="A387" s="10"/>
      <c r="B387" s="34"/>
      <c r="F387" s="21" t="s">
        <v>163</v>
      </c>
      <c r="G387" s="63"/>
      <c r="H387" s="66"/>
    </row>
    <row r="388" spans="1:8" s="19" customFormat="1" x14ac:dyDescent="0.2">
      <c r="A388" s="10"/>
      <c r="B388" s="34"/>
      <c r="C388" s="11"/>
      <c r="D388" s="11"/>
      <c r="E388" s="11"/>
      <c r="F388" s="21" t="s">
        <v>158</v>
      </c>
      <c r="G388" s="42"/>
      <c r="H388" s="62"/>
    </row>
    <row r="389" spans="1:8" s="19" customFormat="1" ht="12.75" customHeight="1" x14ac:dyDescent="0.2">
      <c r="A389" s="10" t="s">
        <v>4</v>
      </c>
      <c r="B389" s="34" t="s">
        <v>345</v>
      </c>
      <c r="C389" s="11">
        <f>C386+E386</f>
        <v>3206</v>
      </c>
      <c r="D389" s="11">
        <f>C389+E389-1</f>
        <v>3206</v>
      </c>
      <c r="E389" s="11">
        <v>1</v>
      </c>
      <c r="F389" s="11" t="s">
        <v>82</v>
      </c>
      <c r="G389" s="85" t="s">
        <v>165</v>
      </c>
      <c r="H389" s="82" t="s">
        <v>367</v>
      </c>
    </row>
    <row r="390" spans="1:8" s="19" customFormat="1" x14ac:dyDescent="0.2">
      <c r="A390" s="10" t="s">
        <v>4</v>
      </c>
      <c r="B390" s="34" t="s">
        <v>345</v>
      </c>
      <c r="C390" s="11">
        <f t="shared" ref="C390:C399" si="67">C389+E389</f>
        <v>3207</v>
      </c>
      <c r="D390" s="11">
        <f t="shared" ref="D390:D399" si="68">C390+E390-1</f>
        <v>3207</v>
      </c>
      <c r="E390" s="11">
        <v>1</v>
      </c>
      <c r="F390" s="11" t="s">
        <v>83</v>
      </c>
      <c r="G390" s="85"/>
      <c r="H390" s="82"/>
    </row>
    <row r="391" spans="1:8" s="19" customFormat="1" x14ac:dyDescent="0.2">
      <c r="A391" s="10" t="s">
        <v>4</v>
      </c>
      <c r="B391" s="34" t="s">
        <v>345</v>
      </c>
      <c r="C391" s="11">
        <f t="shared" si="67"/>
        <v>3208</v>
      </c>
      <c r="D391" s="11">
        <f t="shared" si="68"/>
        <v>3208</v>
      </c>
      <c r="E391" s="11">
        <v>1</v>
      </c>
      <c r="F391" s="11" t="s">
        <v>84</v>
      </c>
      <c r="G391" s="85"/>
      <c r="H391" s="82"/>
    </row>
    <row r="392" spans="1:8" s="19" customFormat="1" x14ac:dyDescent="0.2">
      <c r="A392" s="10" t="s">
        <v>4</v>
      </c>
      <c r="B392" s="34" t="s">
        <v>345</v>
      </c>
      <c r="C392" s="11">
        <f t="shared" si="67"/>
        <v>3209</v>
      </c>
      <c r="D392" s="11">
        <f t="shared" si="68"/>
        <v>3209</v>
      </c>
      <c r="E392" s="11">
        <v>1</v>
      </c>
      <c r="F392" s="11" t="s">
        <v>85</v>
      </c>
      <c r="G392" s="85"/>
      <c r="H392" s="82"/>
    </row>
    <row r="393" spans="1:8" s="19" customFormat="1" x14ac:dyDescent="0.2">
      <c r="A393" s="10" t="s">
        <v>4</v>
      </c>
      <c r="B393" s="34" t="s">
        <v>345</v>
      </c>
      <c r="C393" s="11">
        <f t="shared" si="67"/>
        <v>3210</v>
      </c>
      <c r="D393" s="11">
        <f t="shared" si="68"/>
        <v>3210</v>
      </c>
      <c r="E393" s="11">
        <v>1</v>
      </c>
      <c r="F393" s="11" t="s">
        <v>86</v>
      </c>
      <c r="G393" s="85"/>
      <c r="H393" s="82"/>
    </row>
    <row r="394" spans="1:8" s="19" customFormat="1" x14ac:dyDescent="0.2">
      <c r="A394" s="10" t="s">
        <v>4</v>
      </c>
      <c r="B394" s="34" t="s">
        <v>345</v>
      </c>
      <c r="C394" s="11">
        <f t="shared" si="67"/>
        <v>3211</v>
      </c>
      <c r="D394" s="11">
        <f t="shared" si="68"/>
        <v>3211</v>
      </c>
      <c r="E394" s="11">
        <v>1</v>
      </c>
      <c r="F394" s="11" t="s">
        <v>87</v>
      </c>
      <c r="G394" s="85"/>
      <c r="H394" s="82"/>
    </row>
    <row r="395" spans="1:8" s="19" customFormat="1" ht="12.75" customHeight="1" x14ac:dyDescent="0.2">
      <c r="A395" s="10" t="s">
        <v>4</v>
      </c>
      <c r="B395" s="34" t="s">
        <v>345</v>
      </c>
      <c r="C395" s="11">
        <f t="shared" si="67"/>
        <v>3212</v>
      </c>
      <c r="D395" s="11">
        <f t="shared" si="68"/>
        <v>3212</v>
      </c>
      <c r="E395" s="11">
        <v>1</v>
      </c>
      <c r="F395" s="12" t="s">
        <v>88</v>
      </c>
      <c r="G395" s="85"/>
      <c r="H395" s="82"/>
    </row>
    <row r="396" spans="1:8" s="19" customFormat="1" x14ac:dyDescent="0.2">
      <c r="A396" s="10" t="s">
        <v>4</v>
      </c>
      <c r="B396" s="34" t="s">
        <v>345</v>
      </c>
      <c r="C396" s="11">
        <f t="shared" si="67"/>
        <v>3213</v>
      </c>
      <c r="D396" s="11">
        <f t="shared" si="68"/>
        <v>3213</v>
      </c>
      <c r="E396" s="11">
        <v>1</v>
      </c>
      <c r="F396" s="11" t="s">
        <v>89</v>
      </c>
      <c r="G396" s="85"/>
      <c r="H396" s="82"/>
    </row>
    <row r="397" spans="1:8" s="19" customFormat="1" x14ac:dyDescent="0.2">
      <c r="A397" s="10" t="s">
        <v>4</v>
      </c>
      <c r="B397" s="34" t="s">
        <v>345</v>
      </c>
      <c r="C397" s="11">
        <f t="shared" si="67"/>
        <v>3214</v>
      </c>
      <c r="D397" s="11">
        <f t="shared" si="68"/>
        <v>3214</v>
      </c>
      <c r="E397" s="11">
        <v>1</v>
      </c>
      <c r="F397" s="11" t="s">
        <v>90</v>
      </c>
      <c r="G397" s="85"/>
      <c r="H397" s="82"/>
    </row>
    <row r="398" spans="1:8" s="19" customFormat="1" x14ac:dyDescent="0.2">
      <c r="A398" s="10" t="s">
        <v>4</v>
      </c>
      <c r="B398" s="34" t="s">
        <v>345</v>
      </c>
      <c r="C398" s="11">
        <f t="shared" si="67"/>
        <v>3215</v>
      </c>
      <c r="D398" s="11">
        <f t="shared" si="68"/>
        <v>3215</v>
      </c>
      <c r="E398" s="11">
        <v>1</v>
      </c>
      <c r="F398" s="11" t="s">
        <v>91</v>
      </c>
      <c r="G398" s="85"/>
      <c r="H398" s="82"/>
    </row>
    <row r="399" spans="1:8" s="19" customFormat="1" x14ac:dyDescent="0.2">
      <c r="A399" s="10" t="s">
        <v>4</v>
      </c>
      <c r="B399" s="34" t="s">
        <v>345</v>
      </c>
      <c r="C399" s="11">
        <f t="shared" si="67"/>
        <v>3216</v>
      </c>
      <c r="D399" s="11">
        <f t="shared" si="68"/>
        <v>3216</v>
      </c>
      <c r="E399" s="11">
        <v>1</v>
      </c>
      <c r="F399" s="11" t="s">
        <v>92</v>
      </c>
      <c r="G399" s="85"/>
      <c r="H399" s="82"/>
    </row>
    <row r="400" spans="1:8" s="19" customFormat="1" x14ac:dyDescent="0.2">
      <c r="A400" s="10"/>
      <c r="B400" s="34"/>
      <c r="C400" s="11"/>
      <c r="D400" s="11"/>
      <c r="E400" s="11"/>
      <c r="F400" s="8" t="s">
        <v>159</v>
      </c>
      <c r="G400" s="42"/>
      <c r="H400" s="62"/>
    </row>
    <row r="401" spans="1:8" s="19" customFormat="1" ht="12.75" customHeight="1" x14ac:dyDescent="0.2">
      <c r="A401" s="10" t="s">
        <v>4</v>
      </c>
      <c r="B401" s="34" t="s">
        <v>345</v>
      </c>
      <c r="C401" s="11">
        <f>C399+E399</f>
        <v>3217</v>
      </c>
      <c r="D401" s="11">
        <f t="shared" ref="D401:D406" si="69">C401+E401-1</f>
        <v>3217</v>
      </c>
      <c r="E401" s="11">
        <v>1</v>
      </c>
      <c r="F401" s="11" t="s">
        <v>82</v>
      </c>
      <c r="G401" s="85" t="s">
        <v>165</v>
      </c>
      <c r="H401" s="82" t="s">
        <v>367</v>
      </c>
    </row>
    <row r="402" spans="1:8" s="19" customFormat="1" x14ac:dyDescent="0.2">
      <c r="A402" s="10" t="s">
        <v>4</v>
      </c>
      <c r="B402" s="34" t="s">
        <v>345</v>
      </c>
      <c r="C402" s="11">
        <f>C401+E401</f>
        <v>3218</v>
      </c>
      <c r="D402" s="11">
        <f t="shared" si="69"/>
        <v>3218</v>
      </c>
      <c r="E402" s="11">
        <v>1</v>
      </c>
      <c r="F402" s="11" t="s">
        <v>87</v>
      </c>
      <c r="G402" s="85"/>
      <c r="H402" s="82"/>
    </row>
    <row r="403" spans="1:8" s="19" customFormat="1" x14ac:dyDescent="0.2">
      <c r="A403" s="10" t="s">
        <v>4</v>
      </c>
      <c r="B403" s="34" t="s">
        <v>345</v>
      </c>
      <c r="C403" s="11">
        <f>C402+E402</f>
        <v>3219</v>
      </c>
      <c r="D403" s="11">
        <f t="shared" si="69"/>
        <v>3219</v>
      </c>
      <c r="E403" s="11">
        <v>1</v>
      </c>
      <c r="F403" s="11" t="s">
        <v>90</v>
      </c>
      <c r="G403" s="85"/>
      <c r="H403" s="82"/>
    </row>
    <row r="404" spans="1:8" s="19" customFormat="1" x14ac:dyDescent="0.2">
      <c r="A404" s="10" t="s">
        <v>4</v>
      </c>
      <c r="B404" s="34" t="s">
        <v>345</v>
      </c>
      <c r="C404" s="11">
        <f>C403+E403</f>
        <v>3220</v>
      </c>
      <c r="D404" s="11">
        <f t="shared" si="69"/>
        <v>3220</v>
      </c>
      <c r="E404" s="11">
        <v>1</v>
      </c>
      <c r="F404" s="12" t="s">
        <v>99</v>
      </c>
      <c r="G404" s="85"/>
      <c r="H404" s="82"/>
    </row>
    <row r="405" spans="1:8" s="19" customFormat="1" x14ac:dyDescent="0.2">
      <c r="A405" s="10" t="s">
        <v>4</v>
      </c>
      <c r="B405" s="34" t="s">
        <v>345</v>
      </c>
      <c r="C405" s="11">
        <f>C404+E404</f>
        <v>3221</v>
      </c>
      <c r="D405" s="11">
        <f t="shared" si="69"/>
        <v>3221</v>
      </c>
      <c r="E405" s="11">
        <v>1</v>
      </c>
      <c r="F405" s="12" t="s">
        <v>93</v>
      </c>
      <c r="G405" s="85"/>
      <c r="H405" s="82"/>
    </row>
    <row r="406" spans="1:8" s="19" customFormat="1" x14ac:dyDescent="0.2">
      <c r="A406" s="10" t="s">
        <v>4</v>
      </c>
      <c r="B406" s="34" t="s">
        <v>345</v>
      </c>
      <c r="C406" s="11">
        <f>C405+E405</f>
        <v>3222</v>
      </c>
      <c r="D406" s="11">
        <f t="shared" si="69"/>
        <v>3222</v>
      </c>
      <c r="E406" s="11">
        <v>1</v>
      </c>
      <c r="F406" s="11" t="s">
        <v>91</v>
      </c>
      <c r="G406" s="85"/>
      <c r="H406" s="82"/>
    </row>
    <row r="407" spans="1:8" s="19" customFormat="1" x14ac:dyDescent="0.2">
      <c r="A407" s="10"/>
      <c r="B407" s="34"/>
      <c r="C407" s="11"/>
      <c r="D407" s="11"/>
      <c r="E407" s="11"/>
      <c r="F407" s="8" t="s">
        <v>160</v>
      </c>
      <c r="G407" s="42"/>
      <c r="H407" s="62"/>
    </row>
    <row r="408" spans="1:8" s="19" customFormat="1" ht="12.75" customHeight="1" x14ac:dyDescent="0.2">
      <c r="A408" s="10" t="s">
        <v>4</v>
      </c>
      <c r="B408" s="34" t="s">
        <v>345</v>
      </c>
      <c r="C408" s="11">
        <f>C406+E406</f>
        <v>3223</v>
      </c>
      <c r="D408" s="11">
        <f t="shared" ref="D408:D418" si="70">C408+E408-1</f>
        <v>3223</v>
      </c>
      <c r="E408" s="11">
        <v>1</v>
      </c>
      <c r="F408" s="11" t="s">
        <v>82</v>
      </c>
      <c r="G408" s="85" t="s">
        <v>165</v>
      </c>
      <c r="H408" s="82" t="s">
        <v>367</v>
      </c>
    </row>
    <row r="409" spans="1:8" s="19" customFormat="1" x14ac:dyDescent="0.2">
      <c r="A409" s="10" t="s">
        <v>4</v>
      </c>
      <c r="B409" s="34" t="s">
        <v>345</v>
      </c>
      <c r="C409" s="11">
        <f t="shared" ref="C409:C418" si="71">C408+E408</f>
        <v>3224</v>
      </c>
      <c r="D409" s="11">
        <f t="shared" si="70"/>
        <v>3224</v>
      </c>
      <c r="E409" s="11">
        <v>1</v>
      </c>
      <c r="F409" s="11" t="s">
        <v>83</v>
      </c>
      <c r="G409" s="85"/>
      <c r="H409" s="82"/>
    </row>
    <row r="410" spans="1:8" s="19" customFormat="1" x14ac:dyDescent="0.2">
      <c r="A410" s="10" t="s">
        <v>4</v>
      </c>
      <c r="B410" s="34" t="s">
        <v>345</v>
      </c>
      <c r="C410" s="11">
        <f t="shared" si="71"/>
        <v>3225</v>
      </c>
      <c r="D410" s="11">
        <f t="shared" si="70"/>
        <v>3225</v>
      </c>
      <c r="E410" s="11">
        <v>1</v>
      </c>
      <c r="F410" s="11" t="s">
        <v>84</v>
      </c>
      <c r="G410" s="85"/>
      <c r="H410" s="82"/>
    </row>
    <row r="411" spans="1:8" s="19" customFormat="1" x14ac:dyDescent="0.2">
      <c r="A411" s="10" t="s">
        <v>4</v>
      </c>
      <c r="B411" s="34" t="s">
        <v>345</v>
      </c>
      <c r="C411" s="11">
        <f t="shared" si="71"/>
        <v>3226</v>
      </c>
      <c r="D411" s="11">
        <f t="shared" si="70"/>
        <v>3226</v>
      </c>
      <c r="E411" s="11">
        <v>1</v>
      </c>
      <c r="F411" s="11" t="s">
        <v>85</v>
      </c>
      <c r="G411" s="85"/>
      <c r="H411" s="82"/>
    </row>
    <row r="412" spans="1:8" s="19" customFormat="1" x14ac:dyDescent="0.2">
      <c r="A412" s="10" t="s">
        <v>4</v>
      </c>
      <c r="B412" s="34" t="s">
        <v>345</v>
      </c>
      <c r="C412" s="11">
        <f t="shared" si="71"/>
        <v>3227</v>
      </c>
      <c r="D412" s="11">
        <f t="shared" si="70"/>
        <v>3227</v>
      </c>
      <c r="E412" s="11">
        <v>1</v>
      </c>
      <c r="F412" s="11" t="s">
        <v>86</v>
      </c>
      <c r="G412" s="85"/>
      <c r="H412" s="82"/>
    </row>
    <row r="413" spans="1:8" s="19" customFormat="1" x14ac:dyDescent="0.2">
      <c r="A413" s="10" t="s">
        <v>4</v>
      </c>
      <c r="B413" s="34" t="s">
        <v>345</v>
      </c>
      <c r="C413" s="11">
        <f t="shared" si="71"/>
        <v>3228</v>
      </c>
      <c r="D413" s="11">
        <f t="shared" si="70"/>
        <v>3228</v>
      </c>
      <c r="E413" s="11">
        <v>1</v>
      </c>
      <c r="F413" s="11" t="s">
        <v>87</v>
      </c>
      <c r="G413" s="85"/>
      <c r="H413" s="82"/>
    </row>
    <row r="414" spans="1:8" s="19" customFormat="1" x14ac:dyDescent="0.2">
      <c r="A414" s="10" t="s">
        <v>4</v>
      </c>
      <c r="B414" s="34" t="s">
        <v>345</v>
      </c>
      <c r="C414" s="11">
        <f t="shared" si="71"/>
        <v>3229</v>
      </c>
      <c r="D414" s="11">
        <f t="shared" si="70"/>
        <v>3229</v>
      </c>
      <c r="E414" s="11">
        <v>1</v>
      </c>
      <c r="F414" s="11" t="s">
        <v>88</v>
      </c>
      <c r="G414" s="85"/>
      <c r="H414" s="82"/>
    </row>
    <row r="415" spans="1:8" s="19" customFormat="1" x14ac:dyDescent="0.2">
      <c r="A415" s="10" t="s">
        <v>4</v>
      </c>
      <c r="B415" s="34" t="s">
        <v>345</v>
      </c>
      <c r="C415" s="11">
        <f t="shared" si="71"/>
        <v>3230</v>
      </c>
      <c r="D415" s="11">
        <f t="shared" si="70"/>
        <v>3230</v>
      </c>
      <c r="E415" s="11">
        <v>1</v>
      </c>
      <c r="F415" s="11" t="s">
        <v>89</v>
      </c>
      <c r="G415" s="85"/>
      <c r="H415" s="82"/>
    </row>
    <row r="416" spans="1:8" s="19" customFormat="1" x14ac:dyDescent="0.2">
      <c r="A416" s="10" t="s">
        <v>4</v>
      </c>
      <c r="B416" s="34" t="s">
        <v>345</v>
      </c>
      <c r="C416" s="11">
        <f t="shared" si="71"/>
        <v>3231</v>
      </c>
      <c r="D416" s="11">
        <f t="shared" si="70"/>
        <v>3231</v>
      </c>
      <c r="E416" s="11">
        <v>1</v>
      </c>
      <c r="F416" s="11" t="s">
        <v>90</v>
      </c>
      <c r="G416" s="85"/>
      <c r="H416" s="82"/>
    </row>
    <row r="417" spans="1:8" s="19" customFormat="1" x14ac:dyDescent="0.2">
      <c r="A417" s="10" t="s">
        <v>4</v>
      </c>
      <c r="B417" s="34" t="s">
        <v>345</v>
      </c>
      <c r="C417" s="11">
        <f t="shared" si="71"/>
        <v>3232</v>
      </c>
      <c r="D417" s="11">
        <f t="shared" si="70"/>
        <v>3232</v>
      </c>
      <c r="E417" s="11">
        <v>1</v>
      </c>
      <c r="F417" s="11" t="s">
        <v>91</v>
      </c>
      <c r="G417" s="85"/>
      <c r="H417" s="82"/>
    </row>
    <row r="418" spans="1:8" s="19" customFormat="1" x14ac:dyDescent="0.2">
      <c r="A418" s="10" t="s">
        <v>4</v>
      </c>
      <c r="B418" s="34" t="s">
        <v>345</v>
      </c>
      <c r="C418" s="11">
        <f t="shared" si="71"/>
        <v>3233</v>
      </c>
      <c r="D418" s="11">
        <f t="shared" si="70"/>
        <v>3233</v>
      </c>
      <c r="E418" s="11">
        <v>1</v>
      </c>
      <c r="F418" s="11" t="s">
        <v>92</v>
      </c>
      <c r="G418" s="85"/>
      <c r="H418" s="82"/>
    </row>
    <row r="419" spans="1:8" s="19" customFormat="1" x14ac:dyDescent="0.2">
      <c r="A419" s="10"/>
      <c r="B419" s="34"/>
      <c r="C419" s="11"/>
      <c r="D419" s="11"/>
      <c r="E419" s="11"/>
      <c r="F419" s="21" t="s">
        <v>204</v>
      </c>
      <c r="G419" s="61"/>
      <c r="H419" s="62"/>
    </row>
    <row r="420" spans="1:8" s="19" customFormat="1" x14ac:dyDescent="0.2">
      <c r="A420" s="10"/>
      <c r="B420" s="34"/>
      <c r="C420" s="11">
        <f>C418+E418</f>
        <v>3234</v>
      </c>
      <c r="D420" s="11">
        <f t="shared" ref="D420:D422" si="72">C420+E420-1</f>
        <v>3253</v>
      </c>
      <c r="E420" s="11">
        <v>20</v>
      </c>
      <c r="F420" s="35" t="s">
        <v>141</v>
      </c>
      <c r="G420" s="62"/>
      <c r="H420" s="47"/>
    </row>
    <row r="421" spans="1:8" x14ac:dyDescent="0.2">
      <c r="A421" s="10"/>
      <c r="B421" s="34" t="s">
        <v>345</v>
      </c>
      <c r="C421" s="11">
        <f>C420+E420</f>
        <v>3254</v>
      </c>
      <c r="D421" s="11">
        <f t="shared" si="72"/>
        <v>3272</v>
      </c>
      <c r="E421" s="11">
        <v>19</v>
      </c>
      <c r="F421" s="11" t="s">
        <v>101</v>
      </c>
      <c r="G421" s="62" t="s">
        <v>283</v>
      </c>
      <c r="H421" s="66" t="s">
        <v>105</v>
      </c>
    </row>
    <row r="422" spans="1:8" x14ac:dyDescent="0.2">
      <c r="A422" s="10"/>
      <c r="B422" s="34"/>
      <c r="C422" s="11">
        <f>C421+E421</f>
        <v>3273</v>
      </c>
      <c r="D422" s="11">
        <f t="shared" si="72"/>
        <v>3273</v>
      </c>
      <c r="E422" s="11">
        <v>1</v>
      </c>
      <c r="F422" s="17" t="s">
        <v>141</v>
      </c>
      <c r="G422" s="12"/>
      <c r="H422" s="66"/>
    </row>
    <row r="423" spans="1:8" x14ac:dyDescent="0.2">
      <c r="C423" s="7"/>
      <c r="D423" s="7"/>
      <c r="E423" s="7"/>
      <c r="F423" s="9"/>
      <c r="G423" s="26"/>
      <c r="H423" s="66"/>
    </row>
    <row r="424" spans="1:8" ht="15.75" x14ac:dyDescent="0.2">
      <c r="B424" s="4"/>
      <c r="C424" s="30" t="s">
        <v>1</v>
      </c>
      <c r="D424" s="4">
        <f>D422</f>
        <v>3273</v>
      </c>
      <c r="E424" s="7"/>
      <c r="F424" s="9"/>
      <c r="G424" s="26"/>
      <c r="H424" s="66"/>
    </row>
    <row r="425" spans="1:8" x14ac:dyDescent="0.2">
      <c r="C425" s="7"/>
      <c r="D425" s="7"/>
      <c r="E425" s="7"/>
      <c r="F425" s="20"/>
      <c r="G425" s="26"/>
      <c r="H425" s="51"/>
    </row>
    <row r="426" spans="1:8" x14ac:dyDescent="0.2">
      <c r="C426" s="7"/>
      <c r="D426" s="7"/>
      <c r="E426" s="7"/>
      <c r="F426" s="9"/>
      <c r="G426" s="26"/>
      <c r="H426" s="51"/>
    </row>
    <row r="427" spans="1:8" x14ac:dyDescent="0.2">
      <c r="C427" s="7"/>
      <c r="D427" s="7"/>
      <c r="E427" s="7"/>
      <c r="F427" s="9"/>
      <c r="G427" s="26"/>
      <c r="H427" s="51"/>
    </row>
    <row r="428" spans="1:8" x14ac:dyDescent="0.2">
      <c r="C428" s="7"/>
      <c r="D428" s="7"/>
      <c r="E428" s="7"/>
      <c r="F428" s="9"/>
      <c r="G428" s="26"/>
      <c r="H428" s="51"/>
    </row>
    <row r="429" spans="1:8" x14ac:dyDescent="0.2">
      <c r="C429" s="7"/>
      <c r="D429" s="7"/>
      <c r="E429" s="7"/>
      <c r="F429" s="9"/>
      <c r="G429" s="26"/>
      <c r="H429" s="51"/>
    </row>
    <row r="430" spans="1:8" x14ac:dyDescent="0.2">
      <c r="C430" s="7"/>
      <c r="D430" s="7"/>
      <c r="E430" s="7"/>
      <c r="F430" s="9"/>
      <c r="G430" s="26"/>
      <c r="H430" s="51"/>
    </row>
    <row r="431" spans="1:8" x14ac:dyDescent="0.2">
      <c r="C431" s="7"/>
      <c r="D431" s="7"/>
      <c r="E431" s="7"/>
      <c r="F431" s="9"/>
      <c r="G431" s="26"/>
      <c r="H431" s="51"/>
    </row>
    <row r="432" spans="1:8" x14ac:dyDescent="0.2">
      <c r="C432" s="7"/>
      <c r="D432" s="7"/>
      <c r="E432" s="7"/>
      <c r="F432" s="9"/>
      <c r="G432" s="26"/>
      <c r="H432" s="51"/>
    </row>
    <row r="433" spans="3:8" x14ac:dyDescent="0.2">
      <c r="C433" s="7"/>
      <c r="D433" s="7"/>
      <c r="E433" s="7"/>
      <c r="F433" s="9"/>
      <c r="G433" s="26"/>
      <c r="H433" s="51"/>
    </row>
    <row r="434" spans="3:8" x14ac:dyDescent="0.2">
      <c r="C434" s="7"/>
      <c r="D434" s="7"/>
      <c r="E434" s="7"/>
      <c r="F434" s="9"/>
      <c r="G434" s="26"/>
      <c r="H434" s="51"/>
    </row>
    <row r="435" spans="3:8" x14ac:dyDescent="0.2">
      <c r="C435" s="7"/>
      <c r="D435" s="7"/>
      <c r="E435" s="7"/>
      <c r="F435" s="9"/>
      <c r="G435" s="26"/>
      <c r="H435" s="51"/>
    </row>
    <row r="436" spans="3:8" x14ac:dyDescent="0.2">
      <c r="C436" s="7"/>
      <c r="D436" s="7"/>
      <c r="E436" s="7"/>
      <c r="F436" s="9"/>
      <c r="G436" s="26"/>
      <c r="H436" s="51"/>
    </row>
    <row r="437" spans="3:8" x14ac:dyDescent="0.2">
      <c r="H437" s="51"/>
    </row>
    <row r="438" spans="3:8" x14ac:dyDescent="0.2">
      <c r="H438" s="51"/>
    </row>
    <row r="439" spans="3:8" x14ac:dyDescent="0.2">
      <c r="H439" s="51"/>
    </row>
    <row r="440" spans="3:8" x14ac:dyDescent="0.2">
      <c r="H440" s="51"/>
    </row>
    <row r="441" spans="3:8" x14ac:dyDescent="0.2">
      <c r="H441" s="51"/>
    </row>
    <row r="442" spans="3:8" x14ac:dyDescent="0.2">
      <c r="H442" s="51"/>
    </row>
    <row r="443" spans="3:8" x14ac:dyDescent="0.2">
      <c r="H443" s="51"/>
    </row>
    <row r="444" spans="3:8" x14ac:dyDescent="0.2">
      <c r="H444" s="51"/>
    </row>
    <row r="445" spans="3:8" x14ac:dyDescent="0.2">
      <c r="H445" s="51"/>
    </row>
    <row r="446" spans="3:8" x14ac:dyDescent="0.2">
      <c r="H446" s="51"/>
    </row>
    <row r="447" spans="3:8" x14ac:dyDescent="0.2">
      <c r="H447" s="51"/>
    </row>
    <row r="448" spans="3:8" x14ac:dyDescent="0.2">
      <c r="H448" s="51"/>
    </row>
    <row r="449" spans="8:8" x14ac:dyDescent="0.2">
      <c r="H449" s="51"/>
    </row>
    <row r="450" spans="8:8" x14ac:dyDescent="0.2">
      <c r="H450" s="51"/>
    </row>
    <row r="451" spans="8:8" x14ac:dyDescent="0.2">
      <c r="H451" s="51"/>
    </row>
    <row r="452" spans="8:8" x14ac:dyDescent="0.2">
      <c r="H452" s="51"/>
    </row>
    <row r="453" spans="8:8" x14ac:dyDescent="0.2">
      <c r="H453" s="51"/>
    </row>
    <row r="454" spans="8:8" x14ac:dyDescent="0.2">
      <c r="H454" s="51"/>
    </row>
    <row r="455" spans="8:8" x14ac:dyDescent="0.2">
      <c r="H455" s="51"/>
    </row>
    <row r="456" spans="8:8" x14ac:dyDescent="0.2">
      <c r="H456" s="51"/>
    </row>
    <row r="457" spans="8:8" x14ac:dyDescent="0.2">
      <c r="H457" s="51"/>
    </row>
    <row r="458" spans="8:8" x14ac:dyDescent="0.2">
      <c r="H458" s="51"/>
    </row>
    <row r="459" spans="8:8" x14ac:dyDescent="0.2">
      <c r="H459" s="51"/>
    </row>
    <row r="460" spans="8:8" x14ac:dyDescent="0.2">
      <c r="H460" s="51"/>
    </row>
    <row r="461" spans="8:8" x14ac:dyDescent="0.2">
      <c r="H461" s="51"/>
    </row>
    <row r="462" spans="8:8" x14ac:dyDescent="0.2">
      <c r="H462" s="51"/>
    </row>
    <row r="463" spans="8:8" x14ac:dyDescent="0.2">
      <c r="H463" s="51"/>
    </row>
    <row r="464" spans="8:8" x14ac:dyDescent="0.2">
      <c r="H464" s="51"/>
    </row>
    <row r="465" spans="8:8" x14ac:dyDescent="0.2">
      <c r="H465" s="51"/>
    </row>
    <row r="466" spans="8:8" x14ac:dyDescent="0.2">
      <c r="H466" s="51"/>
    </row>
    <row r="467" spans="8:8" x14ac:dyDescent="0.2">
      <c r="H467" s="51"/>
    </row>
    <row r="468" spans="8:8" x14ac:dyDescent="0.2">
      <c r="H468" s="51"/>
    </row>
    <row r="469" spans="8:8" x14ac:dyDescent="0.2">
      <c r="H469" s="51"/>
    </row>
    <row r="470" spans="8:8" x14ac:dyDescent="0.2">
      <c r="H470" s="51"/>
    </row>
    <row r="471" spans="8:8" x14ac:dyDescent="0.2">
      <c r="H471" s="51"/>
    </row>
    <row r="472" spans="8:8" x14ac:dyDescent="0.2">
      <c r="H472" s="51"/>
    </row>
    <row r="473" spans="8:8" x14ac:dyDescent="0.2">
      <c r="H473" s="51"/>
    </row>
    <row r="474" spans="8:8" x14ac:dyDescent="0.2">
      <c r="H474" s="51"/>
    </row>
    <row r="475" spans="8:8" x14ac:dyDescent="0.2">
      <c r="H475" s="51"/>
    </row>
    <row r="476" spans="8:8" x14ac:dyDescent="0.2">
      <c r="H476" s="51"/>
    </row>
    <row r="477" spans="8:8" x14ac:dyDescent="0.2">
      <c r="H477" s="51"/>
    </row>
    <row r="478" spans="8:8" x14ac:dyDescent="0.2">
      <c r="H478" s="51"/>
    </row>
    <row r="479" spans="8:8" x14ac:dyDescent="0.2">
      <c r="H479" s="51"/>
    </row>
    <row r="480" spans="8:8" x14ac:dyDescent="0.2">
      <c r="H480" s="51"/>
    </row>
    <row r="481" spans="8:8" x14ac:dyDescent="0.2">
      <c r="H481" s="51"/>
    </row>
    <row r="482" spans="8:8" x14ac:dyDescent="0.2">
      <c r="H482" s="51"/>
    </row>
    <row r="483" spans="8:8" x14ac:dyDescent="0.2">
      <c r="H483" s="51"/>
    </row>
    <row r="484" spans="8:8" x14ac:dyDescent="0.2">
      <c r="H484" s="51"/>
    </row>
    <row r="485" spans="8:8" x14ac:dyDescent="0.2">
      <c r="H485" s="51"/>
    </row>
    <row r="486" spans="8:8" x14ac:dyDescent="0.2">
      <c r="H486" s="51"/>
    </row>
    <row r="487" spans="8:8" x14ac:dyDescent="0.2">
      <c r="H487" s="51"/>
    </row>
    <row r="488" spans="8:8" x14ac:dyDescent="0.2">
      <c r="H488" s="51"/>
    </row>
    <row r="489" spans="8:8" x14ac:dyDescent="0.2">
      <c r="H489" s="51"/>
    </row>
    <row r="490" spans="8:8" x14ac:dyDescent="0.2">
      <c r="H490" s="51"/>
    </row>
    <row r="491" spans="8:8" x14ac:dyDescent="0.2">
      <c r="H491" s="51"/>
    </row>
    <row r="492" spans="8:8" x14ac:dyDescent="0.2">
      <c r="H492" s="51"/>
    </row>
    <row r="493" spans="8:8" x14ac:dyDescent="0.2">
      <c r="H493" s="51"/>
    </row>
    <row r="494" spans="8:8" x14ac:dyDescent="0.2">
      <c r="H494" s="51"/>
    </row>
    <row r="495" spans="8:8" x14ac:dyDescent="0.2">
      <c r="H495" s="51"/>
    </row>
    <row r="496" spans="8:8" x14ac:dyDescent="0.2">
      <c r="H496" s="51"/>
    </row>
    <row r="497" spans="8:8" x14ac:dyDescent="0.2">
      <c r="H497" s="51"/>
    </row>
    <row r="498" spans="8:8" x14ac:dyDescent="0.2">
      <c r="H498" s="51"/>
    </row>
    <row r="499" spans="8:8" x14ac:dyDescent="0.2">
      <c r="H499" s="51"/>
    </row>
    <row r="500" spans="8:8" x14ac:dyDescent="0.2">
      <c r="H500" s="51"/>
    </row>
    <row r="501" spans="8:8" x14ac:dyDescent="0.2">
      <c r="H501" s="51"/>
    </row>
    <row r="502" spans="8:8" x14ac:dyDescent="0.2">
      <c r="H502" s="51"/>
    </row>
    <row r="503" spans="8:8" x14ac:dyDescent="0.2">
      <c r="H503" s="51"/>
    </row>
    <row r="504" spans="8:8" x14ac:dyDescent="0.2">
      <c r="H504" s="51"/>
    </row>
    <row r="505" spans="8:8" x14ac:dyDescent="0.2">
      <c r="H505" s="51"/>
    </row>
    <row r="506" spans="8:8" x14ac:dyDescent="0.2">
      <c r="H506" s="51"/>
    </row>
    <row r="507" spans="8:8" x14ac:dyDescent="0.2">
      <c r="H507" s="51"/>
    </row>
    <row r="508" spans="8:8" x14ac:dyDescent="0.2">
      <c r="H508" s="51"/>
    </row>
    <row r="509" spans="8:8" x14ac:dyDescent="0.2">
      <c r="H509" s="51"/>
    </row>
    <row r="510" spans="8:8" x14ac:dyDescent="0.2">
      <c r="H510" s="51"/>
    </row>
    <row r="511" spans="8:8" x14ac:dyDescent="0.2">
      <c r="H511" s="51"/>
    </row>
    <row r="512" spans="8:8" x14ac:dyDescent="0.2">
      <c r="H512" s="51"/>
    </row>
    <row r="513" spans="8:8" x14ac:dyDescent="0.2">
      <c r="H513" s="51"/>
    </row>
    <row r="514" spans="8:8" x14ac:dyDescent="0.2">
      <c r="H514" s="51"/>
    </row>
    <row r="515" spans="8:8" x14ac:dyDescent="0.2">
      <c r="H515" s="51"/>
    </row>
    <row r="516" spans="8:8" x14ac:dyDescent="0.2">
      <c r="H516" s="51"/>
    </row>
    <row r="517" spans="8:8" x14ac:dyDescent="0.2">
      <c r="H517" s="51"/>
    </row>
    <row r="518" spans="8:8" x14ac:dyDescent="0.2">
      <c r="H518" s="51"/>
    </row>
    <row r="519" spans="8:8" x14ac:dyDescent="0.2">
      <c r="H519" s="51"/>
    </row>
    <row r="520" spans="8:8" x14ac:dyDescent="0.2">
      <c r="H520" s="51"/>
    </row>
    <row r="521" spans="8:8" x14ac:dyDescent="0.2">
      <c r="H521" s="51"/>
    </row>
    <row r="522" spans="8:8" x14ac:dyDescent="0.2">
      <c r="H522" s="51"/>
    </row>
    <row r="523" spans="8:8" x14ac:dyDescent="0.2">
      <c r="H523" s="51"/>
    </row>
    <row r="524" spans="8:8" x14ac:dyDescent="0.2">
      <c r="H524" s="51"/>
    </row>
    <row r="525" spans="8:8" x14ac:dyDescent="0.2">
      <c r="H525" s="51"/>
    </row>
    <row r="526" spans="8:8" x14ac:dyDescent="0.2">
      <c r="H526" s="51"/>
    </row>
    <row r="527" spans="8:8" x14ac:dyDescent="0.2">
      <c r="H527" s="51"/>
    </row>
    <row r="528" spans="8:8" x14ac:dyDescent="0.2">
      <c r="H528" s="51"/>
    </row>
    <row r="529" spans="8:8" x14ac:dyDescent="0.2">
      <c r="H529" s="51"/>
    </row>
    <row r="530" spans="8:8" x14ac:dyDescent="0.2">
      <c r="H530" s="51"/>
    </row>
    <row r="531" spans="8:8" x14ac:dyDescent="0.2">
      <c r="H531" s="51"/>
    </row>
    <row r="532" spans="8:8" x14ac:dyDescent="0.2">
      <c r="H532" s="51"/>
    </row>
    <row r="533" spans="8:8" x14ac:dyDescent="0.2">
      <c r="H533" s="51"/>
    </row>
    <row r="534" spans="8:8" x14ac:dyDescent="0.2">
      <c r="H534" s="51"/>
    </row>
    <row r="535" spans="8:8" x14ac:dyDescent="0.2">
      <c r="H535" s="51"/>
    </row>
    <row r="536" spans="8:8" x14ac:dyDescent="0.2">
      <c r="H536" s="51"/>
    </row>
    <row r="537" spans="8:8" x14ac:dyDescent="0.2">
      <c r="H537" s="51"/>
    </row>
    <row r="538" spans="8:8" x14ac:dyDescent="0.2">
      <c r="H538" s="51"/>
    </row>
    <row r="539" spans="8:8" x14ac:dyDescent="0.2">
      <c r="H539" s="51"/>
    </row>
    <row r="540" spans="8:8" x14ac:dyDescent="0.2">
      <c r="H540" s="51"/>
    </row>
    <row r="541" spans="8:8" x14ac:dyDescent="0.2">
      <c r="H541" s="51"/>
    </row>
    <row r="542" spans="8:8" x14ac:dyDescent="0.2">
      <c r="H542" s="51"/>
    </row>
    <row r="543" spans="8:8" x14ac:dyDescent="0.2">
      <c r="H543" s="51"/>
    </row>
    <row r="544" spans="8:8" x14ac:dyDescent="0.2">
      <c r="H544" s="51"/>
    </row>
    <row r="545" spans="8:8" x14ac:dyDescent="0.2">
      <c r="H545" s="51"/>
    </row>
    <row r="546" spans="8:8" x14ac:dyDescent="0.2">
      <c r="H546" s="51"/>
    </row>
    <row r="547" spans="8:8" x14ac:dyDescent="0.2">
      <c r="H547" s="51"/>
    </row>
    <row r="548" spans="8:8" x14ac:dyDescent="0.2">
      <c r="H548" s="51"/>
    </row>
    <row r="549" spans="8:8" x14ac:dyDescent="0.2">
      <c r="H549" s="51"/>
    </row>
  </sheetData>
  <customSheetViews>
    <customSheetView guid="{A5DDCBF3-D6F4-4EB4-918C-ECABFE1A43AD}" fitToPage="1" showRuler="0" topLeftCell="I24">
      <selection activeCell="J33" sqref="J33:J34"/>
      <pageMargins left="0.5" right="0.5" top="0.46" bottom="0.5" header="0.27" footer="0.23"/>
      <printOptions gridLines="1"/>
      <pageSetup scale="59"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2"/>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3"/>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76">
    <mergeCell ref="H128:H130"/>
    <mergeCell ref="H160:H163"/>
    <mergeCell ref="H191:H194"/>
    <mergeCell ref="H177:H180"/>
    <mergeCell ref="G160:G163"/>
    <mergeCell ref="G149:G151"/>
    <mergeCell ref="H149:H151"/>
    <mergeCell ref="G143:G146"/>
    <mergeCell ref="H143:H146"/>
    <mergeCell ref="G165:G168"/>
    <mergeCell ref="H165:H168"/>
    <mergeCell ref="H217:H220"/>
    <mergeCell ref="G191:G194"/>
    <mergeCell ref="G217:G220"/>
    <mergeCell ref="H212:H215"/>
    <mergeCell ref="G177:G180"/>
    <mergeCell ref="H208:H210"/>
    <mergeCell ref="G208:G210"/>
    <mergeCell ref="H204:H207"/>
    <mergeCell ref="H17:H20"/>
    <mergeCell ref="H76:H79"/>
    <mergeCell ref="G67:G73"/>
    <mergeCell ref="H82:H87"/>
    <mergeCell ref="G76:G79"/>
    <mergeCell ref="G84:G87"/>
    <mergeCell ref="H67:H73"/>
    <mergeCell ref="G82:G83"/>
    <mergeCell ref="G121:G125"/>
    <mergeCell ref="G102:G109"/>
    <mergeCell ref="G111:G112"/>
    <mergeCell ref="H102:H109"/>
    <mergeCell ref="H111:H112"/>
    <mergeCell ref="G401:G406"/>
    <mergeCell ref="G204:G207"/>
    <mergeCell ref="H222:H223"/>
    <mergeCell ref="H408:H418"/>
    <mergeCell ref="H344:H354"/>
    <mergeCell ref="H357:H367"/>
    <mergeCell ref="G389:G399"/>
    <mergeCell ref="G325:G335"/>
    <mergeCell ref="G337:G342"/>
    <mergeCell ref="G285:G288"/>
    <mergeCell ref="G212:G215"/>
    <mergeCell ref="H285:H288"/>
    <mergeCell ref="H231:H233"/>
    <mergeCell ref="H401:H406"/>
    <mergeCell ref="H376:H386"/>
    <mergeCell ref="G408:G418"/>
    <mergeCell ref="H369:H374"/>
    <mergeCell ref="H389:H399"/>
    <mergeCell ref="G305:G310"/>
    <mergeCell ref="H282:H283"/>
    <mergeCell ref="H293:H303"/>
    <mergeCell ref="G293:G303"/>
    <mergeCell ref="H305:H310"/>
    <mergeCell ref="G312:G322"/>
    <mergeCell ref="G344:G354"/>
    <mergeCell ref="G357:G367"/>
    <mergeCell ref="G369:G374"/>
    <mergeCell ref="G376:G386"/>
    <mergeCell ref="G231:G233"/>
    <mergeCell ref="H312:H322"/>
    <mergeCell ref="H325:H335"/>
    <mergeCell ref="H337:H342"/>
    <mergeCell ref="A1:F1"/>
    <mergeCell ref="G171:G174"/>
    <mergeCell ref="H171:H174"/>
    <mergeCell ref="G128:G130"/>
    <mergeCell ref="G1:H1"/>
    <mergeCell ref="H33:H34"/>
    <mergeCell ref="H7:H8"/>
    <mergeCell ref="H22:H24"/>
    <mergeCell ref="G33:G34"/>
    <mergeCell ref="H12:H13"/>
    <mergeCell ref="G29:G30"/>
    <mergeCell ref="H121:H125"/>
  </mergeCells>
  <phoneticPr fontId="17" type="noConversion"/>
  <printOptions horizontalCentered="1" gridLines="1"/>
  <pageMargins left="0.5" right="0.5" top="0.46" bottom="0.54" header="0.27" footer="0.28999999999999998"/>
  <pageSetup scale="54" fitToHeight="100" orientation="landscape" r:id="rId5"/>
  <headerFooter alignWithMargins="0">
    <oddHeader>&amp;RLayout provided by Data Recognition Corporation - Proprietary and Confidential</oddHeader>
    <oddFooter>&amp;LK = Key Verification   E = Equating        M = Merge              R = Rescore
C = Corrections         G = GEE Spring   O = LEAP Spring   S = Summer     F = Fall&amp;CPage &amp;P of &amp;N&amp;RLast Saved Date: 5/27/2014 10:42:28 AM</oddFooter>
  </headerFooter>
  <rowBreaks count="5" manualBreakCount="5">
    <brk id="48" max="16383" man="1"/>
    <brk id="93" max="16383" man="1"/>
    <brk id="137" max="16383" man="1"/>
    <brk id="194" max="16383" man="1"/>
    <brk id="248" max="16383" man="1"/>
  </rowBreak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1"/>
  <sheetViews>
    <sheetView workbookViewId="0">
      <selection activeCell="C20" sqref="C20"/>
    </sheetView>
  </sheetViews>
  <sheetFormatPr defaultRowHeight="12.75" x14ac:dyDescent="0.2"/>
  <cols>
    <col min="1" max="1" width="18.85546875" customWidth="1"/>
    <col min="2" max="2" width="31.7109375" customWidth="1"/>
    <col min="3" max="3" width="35.140625" customWidth="1"/>
  </cols>
  <sheetData>
    <row r="1" spans="1:3" x14ac:dyDescent="0.2">
      <c r="A1" s="53" t="s">
        <v>381</v>
      </c>
      <c r="B1" s="53" t="s">
        <v>382</v>
      </c>
      <c r="C1" s="53" t="s">
        <v>383</v>
      </c>
    </row>
    <row r="2" spans="1:3" ht="25.5" x14ac:dyDescent="0.2">
      <c r="A2" s="95" t="s">
        <v>384</v>
      </c>
      <c r="B2" s="95" t="s">
        <v>385</v>
      </c>
      <c r="C2" s="57" t="s">
        <v>391</v>
      </c>
    </row>
    <row r="3" spans="1:3" x14ac:dyDescent="0.2">
      <c r="A3" s="96"/>
      <c r="B3" s="96"/>
      <c r="C3" s="58" t="s">
        <v>396</v>
      </c>
    </row>
    <row r="4" spans="1:3" ht="25.5" x14ac:dyDescent="0.2">
      <c r="A4" s="95" t="s">
        <v>386</v>
      </c>
      <c r="B4" s="95" t="s">
        <v>387</v>
      </c>
      <c r="C4" s="57" t="s">
        <v>391</v>
      </c>
    </row>
    <row r="5" spans="1:3" x14ac:dyDescent="0.2">
      <c r="A5" s="96"/>
      <c r="B5" s="96"/>
      <c r="C5" s="58" t="s">
        <v>396</v>
      </c>
    </row>
    <row r="6" spans="1:3" ht="38.25" customHeight="1" x14ac:dyDescent="0.2">
      <c r="A6" s="95" t="s">
        <v>388</v>
      </c>
      <c r="B6" s="95" t="s">
        <v>387</v>
      </c>
      <c r="C6" s="59" t="s">
        <v>391</v>
      </c>
    </row>
    <row r="7" spans="1:3" ht="14.25" customHeight="1" x14ac:dyDescent="0.2">
      <c r="A7" s="96"/>
      <c r="B7" s="96"/>
      <c r="C7" s="60" t="s">
        <v>397</v>
      </c>
    </row>
    <row r="8" spans="1:3" ht="38.25" x14ac:dyDescent="0.2">
      <c r="A8" s="54" t="s">
        <v>389</v>
      </c>
      <c r="B8" s="54" t="s">
        <v>390</v>
      </c>
      <c r="C8" s="55" t="s">
        <v>392</v>
      </c>
    </row>
    <row r="9" spans="1:3" x14ac:dyDescent="0.2">
      <c r="A9" s="56"/>
      <c r="B9" s="56"/>
      <c r="C9" s="56"/>
    </row>
    <row r="10" spans="1:3" x14ac:dyDescent="0.2">
      <c r="A10" s="97" t="s">
        <v>395</v>
      </c>
      <c r="B10" s="97"/>
      <c r="C10" s="97"/>
    </row>
    <row r="11" spans="1:3" x14ac:dyDescent="0.2">
      <c r="A11" s="94" t="s">
        <v>394</v>
      </c>
      <c r="B11" s="94"/>
      <c r="C11" s="94"/>
    </row>
  </sheetData>
  <mergeCells count="8">
    <mergeCell ref="A11:C11"/>
    <mergeCell ref="A6:A7"/>
    <mergeCell ref="B6:B7"/>
    <mergeCell ref="A10:C10"/>
    <mergeCell ref="A2:A3"/>
    <mergeCell ref="B2:B3"/>
    <mergeCell ref="A4:A5"/>
    <mergeCell ref="B4:B5"/>
  </mergeCells>
  <hyperlinks>
    <hyperlink ref="C6" r:id="rId1"/>
    <hyperlink ref="C8" r:id="rId2"/>
    <hyperlink ref="C2" r:id="rId3"/>
    <hyperlink ref="C4" r:id="rId4"/>
  </hyperlinks>
  <pageMargins left="0.7" right="0.7" top="0.75" bottom="0.75" header="0.3" footer="0.3"/>
  <pageSetup orientation="portrait" r:id="rId5"/>
  <headerFooter>
    <oddFooter>&amp;RLast Saved Date: 4/16/2013 10:47:22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LDESTD</vt:lpstr>
      <vt:lpstr>Reference Locations</vt:lpstr>
      <vt:lpstr>LDESTD!Print_Area</vt:lpstr>
      <vt:lpstr>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Jayanthi Sothirajah</cp:lastModifiedBy>
  <cp:lastPrinted>2014-03-06T15:24:56Z</cp:lastPrinted>
  <dcterms:created xsi:type="dcterms:W3CDTF">1999-04-08T16:47:24Z</dcterms:created>
  <dcterms:modified xsi:type="dcterms:W3CDTF">2015-05-07T12:16:15Z</dcterms:modified>
</cp:coreProperties>
</file>