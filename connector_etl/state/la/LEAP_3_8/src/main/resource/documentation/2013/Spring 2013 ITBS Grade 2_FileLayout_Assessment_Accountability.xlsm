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2025" yWindow="60" windowWidth="15480" windowHeight="7110"/>
  </bookViews>
  <sheets>
    <sheet name="Grade 2 ITBS LDESTD" sheetId="1" r:id="rId1"/>
    <sheet name="Revision Log" sheetId="3" r:id="rId2"/>
  </sheets>
  <definedNames>
    <definedName name="_xlnm._FilterDatabase" localSheetId="0" hidden="1">'Grade 2 ITBS LDESTD'!$A$2:$H$75</definedName>
    <definedName name="_xlnm.Print_Area" localSheetId="1">'Revision Log'!$A$1:$C$2</definedName>
    <definedName name="_xlnm.Print_Titles" localSheetId="0">'Grade 2 ITBS LDESTD'!$1:$2</definedName>
    <definedName name="Z_711973F9_5431_4922_B46E_FFB4E07E9E58_.wvu.Cols" localSheetId="0" hidden="1">'Grade 2 ITBS LDESTD'!#REF!</definedName>
    <definedName name="Z_711973F9_5431_4922_B46E_FFB4E07E9E58_.wvu.PrintArea" localSheetId="0" hidden="1">'Grade 2 ITBS LDESTD'!$A$4:$G$75</definedName>
    <definedName name="Z_711973F9_5431_4922_B46E_FFB4E07E9E58_.wvu.PrintTitles" localSheetId="0" hidden="1">'Grade 2 ITBS LDESTD'!#REF!</definedName>
    <definedName name="Z_7E4D7CCA_1395_44FA_80A0_38FFA0DD8C49_.wvu.PrintTitles" localSheetId="0" hidden="1">'Grade 2 ITBS LDESTD'!#REF!</definedName>
    <definedName name="Z_A5DDCBF3_D6F4_4EB4_918C_ECABFE1A43AD_.wvu.PrintTitles" localSheetId="0" hidden="1">'Grade 2 ITBS LDESTD'!#REF!</definedName>
    <definedName name="Z_B792D786_3755_11D6_AB7B_0050DA2DACD5_.wvu.PrintTitles" localSheetId="0" hidden="1">'Grade 2 ITBS LDESTD'!#REF!</definedName>
    <definedName name="Z_E34B366C_36F7_11D6_A24B_0050DA0A5BC6_.wvu.PrintTitles" localSheetId="0" hidden="1">'Grade 2 ITBS LDESTD'!#REF!</definedName>
  </definedNames>
  <calcPr calcId="145621"/>
  <customWorkbookViews>
    <customWorkbookView name="CStampfle - Personal View" guid="{7E4D7CCA-1395-44FA-80A0-38FFA0DD8C49}" mergeInterval="0" personalView="1" maximized="1" windowWidth="945" windowHeight="597" activeSheetId="1"/>
    <customWorkbookView name="Cathy Stampfle - Personal View" guid="{B792D786-3755-11D6-AB7B-0050DA2DACD5}" mergeInterval="0" personalView="1" maximized="1" windowWidth="732" windowHeight="459" activeSheetId="1" showStatusbar="0"/>
    <customWorkbookView name="DRC - Personal View" guid="{E34B366C-36F7-11D6-A24B-0050DA0A5BC6}" mergeInterval="0" personalView="1" maximized="1" windowWidth="763" windowHeight="438" activeSheetId="1"/>
    <customWorkbookView name="MWille - Personal View" guid="{A5DDCBF3-D6F4-4EB4-918C-ECABFE1A43AD}" mergeInterval="0" personalView="1" maximized="1" windowWidth="987" windowHeight="580" activeSheetId="1"/>
    <customWorkbookView name="Bob Kaufman - Personal View" guid="{711973F9-5431-4922-B46E-FFB4E07E9E58}" mergeInterval="0" personalView="1" maximized="1" windowWidth="1020" windowHeight="607" activeSheetId="1"/>
  </customWorkbookViews>
</workbook>
</file>

<file path=xl/calcChain.xml><?xml version="1.0" encoding="utf-8"?>
<calcChain xmlns="http://schemas.openxmlformats.org/spreadsheetml/2006/main">
  <c r="A5" i="1" l="1"/>
  <c r="B5" i="1" s="1"/>
  <c r="B4" i="1"/>
  <c r="A6" i="1" l="1"/>
  <c r="B6" i="1" l="1"/>
  <c r="A7" i="1"/>
  <c r="B7" i="1" l="1"/>
  <c r="A8" i="1"/>
  <c r="A9" i="1" l="1"/>
  <c r="B8" i="1"/>
  <c r="B9" i="1" l="1"/>
  <c r="A10" i="1"/>
  <c r="A11" i="1" l="1"/>
  <c r="B10" i="1"/>
  <c r="B11" i="1" l="1"/>
  <c r="A12" i="1"/>
  <c r="B12" i="1" l="1"/>
  <c r="A13" i="1"/>
  <c r="A14" i="1" l="1"/>
  <c r="B13" i="1"/>
  <c r="A15" i="1" l="1"/>
  <c r="B14" i="1"/>
  <c r="B15" i="1" l="1"/>
  <c r="A16" i="1"/>
  <c r="B16" i="1" l="1"/>
  <c r="A17" i="1"/>
  <c r="B17" i="1" l="1"/>
  <c r="A18" i="1"/>
  <c r="B18" i="1" l="1"/>
  <c r="A19" i="1"/>
  <c r="B19" i="1" l="1"/>
  <c r="A20" i="1"/>
  <c r="A21" i="1" l="1"/>
  <c r="B20" i="1"/>
  <c r="A22" i="1" l="1"/>
  <c r="B21" i="1"/>
  <c r="B22" i="1" l="1"/>
  <c r="A23" i="1"/>
  <c r="A24" i="1" l="1"/>
  <c r="B23" i="1"/>
  <c r="B24" i="1" l="1"/>
  <c r="A25" i="1"/>
  <c r="A27" i="1" l="1"/>
  <c r="B25" i="1"/>
  <c r="A28" i="1" l="1"/>
  <c r="B27" i="1"/>
  <c r="B28" i="1" l="1"/>
  <c r="A29" i="1"/>
  <c r="B29" i="1" l="1"/>
  <c r="A30" i="1"/>
  <c r="B30" i="1" l="1"/>
  <c r="A31" i="1"/>
  <c r="A32" i="1" l="1"/>
  <c r="B31" i="1"/>
  <c r="B32" i="1" l="1"/>
  <c r="A33" i="1"/>
  <c r="B33" i="1" l="1"/>
  <c r="A34" i="1"/>
  <c r="A35" i="1" l="1"/>
  <c r="B34" i="1"/>
  <c r="A36" i="1" l="1"/>
  <c r="B35" i="1"/>
  <c r="A38" i="1" l="1"/>
  <c r="B36" i="1"/>
  <c r="B38" i="1" l="1"/>
  <c r="A39" i="1"/>
  <c r="B39" i="1" l="1"/>
  <c r="A40" i="1"/>
  <c r="A41" i="1" l="1"/>
  <c r="B40" i="1"/>
  <c r="A42" i="1" l="1"/>
  <c r="B41" i="1"/>
  <c r="A44" i="1" l="1"/>
  <c r="B42" i="1"/>
  <c r="B44" i="1" l="1"/>
  <c r="A45" i="1"/>
  <c r="A46" i="1" l="1"/>
  <c r="B45" i="1"/>
  <c r="B46" i="1" l="1"/>
  <c r="A47" i="1"/>
  <c r="B47" i="1" l="1"/>
  <c r="A48" i="1"/>
  <c r="B48" i="1" l="1"/>
  <c r="A49" i="1"/>
  <c r="B49" i="1" l="1"/>
  <c r="A51" i="1"/>
  <c r="A52" i="1" l="1"/>
  <c r="B51" i="1"/>
  <c r="A53" i="1" l="1"/>
  <c r="B52" i="1"/>
  <c r="B53" i="1" l="1"/>
  <c r="A54" i="1"/>
  <c r="A55" i="1" l="1"/>
  <c r="B54" i="1"/>
  <c r="B55" i="1" l="1"/>
  <c r="A56" i="1"/>
  <c r="B56" i="1" l="1"/>
  <c r="A58" i="1"/>
  <c r="B58" i="1" l="1"/>
  <c r="A59" i="1"/>
  <c r="B59" i="1" l="1"/>
  <c r="A60" i="1"/>
  <c r="A61" i="1" l="1"/>
  <c r="B60" i="1"/>
  <c r="A62" i="1" l="1"/>
  <c r="B61" i="1"/>
  <c r="A63" i="1" l="1"/>
  <c r="B62" i="1"/>
  <c r="B63" i="1" l="1"/>
  <c r="A65" i="1"/>
  <c r="B65" i="1" l="1"/>
  <c r="A66" i="1"/>
  <c r="B66" i="1" l="1"/>
  <c r="A67" i="1"/>
  <c r="B67" i="1" l="1"/>
  <c r="A68" i="1"/>
  <c r="A69" i="1" l="1"/>
  <c r="B68" i="1"/>
  <c r="A70" i="1" l="1"/>
  <c r="B69" i="1"/>
  <c r="A71" i="1" l="1"/>
  <c r="B70" i="1"/>
  <c r="B71" i="1" l="1"/>
  <c r="A72" i="1"/>
  <c r="B72" i="1" l="1"/>
  <c r="A73" i="1"/>
  <c r="A74" i="1" l="1"/>
  <c r="B73" i="1"/>
  <c r="A75" i="1" l="1"/>
  <c r="B75" i="1" s="1"/>
  <c r="C77" i="1" s="1"/>
  <c r="B74" i="1"/>
</calcChain>
</file>

<file path=xl/sharedStrings.xml><?xml version="1.0" encoding="utf-8"?>
<sst xmlns="http://schemas.openxmlformats.org/spreadsheetml/2006/main" count="174" uniqueCount="133">
  <si>
    <t>State ID</t>
  </si>
  <si>
    <t>Y = Migrant
N = Not Migrant</t>
  </si>
  <si>
    <t>Summarized Exceptionality Category</t>
  </si>
  <si>
    <t>Y = LEP
N = Not LEP</t>
  </si>
  <si>
    <t>Y = 504
N = Not 504</t>
  </si>
  <si>
    <t>Length</t>
  </si>
  <si>
    <t>FILLER</t>
  </si>
  <si>
    <t>Year of test</t>
  </si>
  <si>
    <t>File Creation Date and Time Stamp</t>
  </si>
  <si>
    <t>Date the file was generated</t>
  </si>
  <si>
    <t>NRT Standard Score</t>
  </si>
  <si>
    <t>NRT National Percentile Rank</t>
  </si>
  <si>
    <t>NRT Raw Score</t>
  </si>
  <si>
    <t>NRT National Stanine</t>
  </si>
  <si>
    <t>Summarization Flags</t>
  </si>
  <si>
    <t>NRT Normal Curve Equivalent (NCE)</t>
  </si>
  <si>
    <r>
      <t>Keep this log intact (</t>
    </r>
    <r>
      <rPr>
        <b/>
        <sz val="8"/>
        <color indexed="10"/>
        <rFont val="Arial"/>
        <family val="2"/>
      </rPr>
      <t>even when carrying forward to a new administration</t>
    </r>
    <r>
      <rPr>
        <b/>
        <sz val="10"/>
        <color indexed="10"/>
        <rFont val="Arial"/>
        <family val="2"/>
      </rPr>
      <t xml:space="preserve">) to serve as a historical reference.  </t>
    </r>
  </si>
  <si>
    <t>Date
Revised:</t>
  </si>
  <si>
    <t xml:space="preserve">    Revision:</t>
  </si>
  <si>
    <t>Entered
By</t>
  </si>
  <si>
    <t>M = Male
F = Female
I = Invalid</t>
  </si>
  <si>
    <t>1 = Regular Education
2 = Special Education</t>
  </si>
  <si>
    <t>Summarized LEP Status</t>
  </si>
  <si>
    <t>Summarized Migrant Status</t>
  </si>
  <si>
    <t>Summarized Section 504 Status</t>
  </si>
  <si>
    <t>Summarized Education Classification</t>
  </si>
  <si>
    <t>Summarized Grade</t>
  </si>
  <si>
    <t>Starting Location</t>
  </si>
  <si>
    <t>Ending Location</t>
  </si>
  <si>
    <t>Possible Values</t>
  </si>
  <si>
    <t>Description/Comments</t>
  </si>
  <si>
    <t>COMMON DEMOGRAPHIC INFORMATION</t>
  </si>
  <si>
    <t>Test Date Month</t>
  </si>
  <si>
    <t>Test Date Year</t>
  </si>
  <si>
    <t>District Code</t>
  </si>
  <si>
    <t>School Code</t>
  </si>
  <si>
    <t>District Name</t>
  </si>
  <si>
    <t>School Name</t>
  </si>
  <si>
    <t>Student Last Name</t>
  </si>
  <si>
    <t>Student First Name</t>
  </si>
  <si>
    <t>Summarized DOB Month</t>
  </si>
  <si>
    <t>Summarized DOB Day</t>
  </si>
  <si>
    <t>Summarized DOB Year</t>
  </si>
  <si>
    <t>Summarized Gender</t>
  </si>
  <si>
    <t>Summarized Lunch Status</t>
  </si>
  <si>
    <t>READING TOTAL</t>
  </si>
  <si>
    <t>LANGUAGE TOTAL/Language (5-8)</t>
  </si>
  <si>
    <t>Record Length:</t>
  </si>
  <si>
    <t>YYYY</t>
  </si>
  <si>
    <t>Summarized Ethnicity/Race</t>
  </si>
  <si>
    <t>0000000000-9999999999
Blank</t>
  </si>
  <si>
    <t>Field Name</t>
  </si>
  <si>
    <t>LAP LDE Unique ID (GUID)</t>
  </si>
  <si>
    <t>1 = Hispanic/Latino
2 = American Indian or Alaska Native
3 = Asian
4 = Black or African American
5 = Native Hawaiian or Other Pacific Islander
6 = White
7 = Two or more races
I = Invalid</t>
  </si>
  <si>
    <t xml:space="preserve">00-39 (0-9 or - in any position)
</t>
  </si>
  <si>
    <t>0-9 or - in any position</t>
  </si>
  <si>
    <t xml:space="preserve">LDESTD File Layout - Final file_Assessment and Accountability Staff </t>
  </si>
  <si>
    <t>LANGUAGE TOTAL/Language (5-8) &lt;ITBS&gt;</t>
  </si>
  <si>
    <t xml:space="preserve">01-12
--
</t>
  </si>
  <si>
    <t xml:space="preserve">00 - 99 
Blank </t>
  </si>
  <si>
    <t>0 - 9
Blank</t>
  </si>
  <si>
    <t>00 - 99
Blank</t>
  </si>
  <si>
    <t>000 - 999
Blank</t>
  </si>
  <si>
    <t>Format: "YYYY-MM-DD HH:MM:SS"</t>
  </si>
  <si>
    <r>
      <t>000000000-999999999
---------</t>
    </r>
    <r>
      <rPr>
        <u/>
        <sz val="10"/>
        <color indexed="10"/>
        <rFont val="Arial"/>
        <family val="2"/>
      </rPr>
      <t/>
    </r>
  </si>
  <si>
    <t>Field Name: Date Tested
Position: 251-252
Length: 2</t>
  </si>
  <si>
    <t>Field Name: Building Name
Position: 159-188
Length: 30</t>
  </si>
  <si>
    <t>Field Name: Student Last Name
Position: 259-270
Length: 12</t>
  </si>
  <si>
    <t>Field Name: Student First Name
Position: 279-286
Length: 8</t>
  </si>
  <si>
    <t>Field Name: Date of Birth
Position: 300-301
Length: 2</t>
  </si>
  <si>
    <t>Field Name: Date of Birth
Position: 302-303
Length: 2</t>
  </si>
  <si>
    <t>Field Name: Date of Birth
Position: 304-307
Length: 4</t>
  </si>
  <si>
    <t>Field Name: Raw Score (READING TOTAL)
Position: 479-480
Length: 2</t>
  </si>
  <si>
    <t>Field Name: Raw Score (LANGUAGE TOTAL/Language (5-8))
Position: 493-494
Length: 2</t>
  </si>
  <si>
    <t>Field Name: Standard Score (READING TOTAL)
Position: 541-543
Length: 3</t>
  </si>
  <si>
    <t>Field Name: Standard Score (LANGUAGE TOTAL/Language (5-8))
Position: 562-564
Length: 3</t>
  </si>
  <si>
    <t>Field Name: National Percentile Rank (READING TOTAL)
Position: 839-840
Length: 2</t>
  </si>
  <si>
    <t>Field Name: National Percentile Rank (LANGUAGE TOTAL/Language (5-8))
Position: 853-854
Length: 2</t>
  </si>
  <si>
    <t>Field Name: NCE (READING TOTAL)
Position: 959-960
Length: 2</t>
  </si>
  <si>
    <t>Field Name: NCE (LANGUAGE TOTAL/Language (5-8))
Position: 973-974
Length: 2</t>
  </si>
  <si>
    <t>Field Name: Date Tested
Position: 255-258
Length: 4</t>
  </si>
  <si>
    <t>Field Name: Gender
Position: 299
Length: 1</t>
  </si>
  <si>
    <t>Field Name: Programs String (Free/Reduced Lunch)
Position: 2748
Length: 1</t>
  </si>
  <si>
    <t>Field Name: Programs String (Special Education)
Position: 2738
Length: 1</t>
  </si>
  <si>
    <t>Field Name: Programs String (Gifted &amp; Talented)
Position: 2742
Length: 1</t>
  </si>
  <si>
    <t>Field Name: Programs String (LEP)
Position: 2749
Length: 1</t>
  </si>
  <si>
    <t>Field Name: Programs String (504)
Position: 2739
Length: 1</t>
  </si>
  <si>
    <t>Field Name: Programs String (Migrant)
Position: 2750
Length: 1</t>
  </si>
  <si>
    <t>Field Name: National Stanine (READING TOTAL)
Position: 1017
Length: 1</t>
  </si>
  <si>
    <t>Field Name: National Stanine (LANGUAGE TOTAL/Language (5-8))
Position: 1024
Length: 1</t>
  </si>
  <si>
    <t>As flagged on the LAP file.
Unique number generated by LDE, and provided on the LAP file.  This is used to match students from the original LAP file with students from the updated LAP file.
Blank for a hand-coded document that could not be matched back to the LAP file.</t>
  </si>
  <si>
    <t>Field Name: Class Grade
Position: 250
Length: 1</t>
  </si>
  <si>
    <t>Field Name: Ethnicity String 
Position: 2726 (Hispanic or Latino)
Length: 1
Position: 2723 (American Indian or Alaska Native)
Length: 1
Position: 2724 (Asian)
Length: 1
Position: 2725 (Black or African American)
Length: 1
Position: 2727 (Native Hawaiian/Pacific Islander)
Length: 1
Position: 2728 (White)
Length: 1</t>
  </si>
  <si>
    <t>Field Name: Building Code
Position: 189-191
Length: 3</t>
  </si>
  <si>
    <t>Field Name: System Name
Position: 114-143
Length: 30</t>
  </si>
  <si>
    <t>Source Location 
(Catalog File Format)</t>
  </si>
  <si>
    <t>Field Name: Student ID
Position: 308-316
Length: 9</t>
  </si>
  <si>
    <t>Field Name: Secondary Student ID
Position: 4201-4210
Length: 10</t>
  </si>
  <si>
    <t>03 = March</t>
  </si>
  <si>
    <t>Field Name: Raw Score (MATH TOTAL + Computation)
Position: 503-504
Length: 2</t>
  </si>
  <si>
    <t>Field Name: Standard Score (MATH TOTAL + Computation)
Position: 577-579
Length: 3</t>
  </si>
  <si>
    <t>Field Name: Standard Score (CORE TOTAL + Computation)
Position: 583-585
Length: 3</t>
  </si>
  <si>
    <t>Field Name: National Percentile Rank (MATH TOTAL + Computation)
Position: 863-864
Length: 2</t>
  </si>
  <si>
    <t>Field Name: National Percentile Rank (CORE TOTAL + Computation)
Position: 867-868
Length: 2</t>
  </si>
  <si>
    <t>Field Name: NCE (MATH TOTAL + Computation)
Position:983-984
Length: 2</t>
  </si>
  <si>
    <t>Field Name: NCE (CORE TOTAL + Computation)
Position: 987-988
Length: 2</t>
  </si>
  <si>
    <t>Field Name: National Stanine (MATH TOTAL + Computation)
Position: 1029
Length: 1</t>
  </si>
  <si>
    <t>Field Name: National Stanine (CORE TOTAL + Computation)
Position: 1031
Length: 1</t>
  </si>
  <si>
    <t>Month of test.
The possible value of "04" is changed to "03".</t>
  </si>
  <si>
    <t xml:space="preserve">District and School Site Code where the student is enrolled and where the student is reported to.  </t>
  </si>
  <si>
    <t>Student's SSN.
"*" and " " values are changed to "-"</t>
  </si>
  <si>
    <t>Month, Day, Year of student's birth.
"*" and " " values are changed to "-".</t>
  </si>
  <si>
    <t>Student's gender.
The value of Blank (Omit) or "*" are changed to "I".</t>
  </si>
  <si>
    <t>2 = Grade 2</t>
  </si>
  <si>
    <t>01 = Gifted 
Blank</t>
  </si>
  <si>
    <t>Student's summarized exceptionality category.
The value of "0" (Omit) is changed to " " (Blank), and the value of "1" (Marked) is changed to "01".</t>
  </si>
  <si>
    <t>LEP for all subjects.
The value of "0" (Omit) is changed to "N", and the value of "1" (Marked) is changed to "Y" for Grade 2 ITBS.</t>
  </si>
  <si>
    <t>Section 504 for all subjects.
The value of "0" (Omit) is changed to "N", and the value of "1" (Marked) is changed to "Y"  for Grade 2 ITBS.</t>
  </si>
  <si>
    <t>Migrant Status for all subjects.
The value of "0" (Omit) is changed to "N", and the value of "1" (Marked) is changed to "Y" for Grade 2 ITBS.</t>
  </si>
  <si>
    <t>Refer to the RPC Processing Specifications or Catalog File Format for details on possible values.</t>
  </si>
  <si>
    <r>
      <t>MATH TOTAL +</t>
    </r>
    <r>
      <rPr>
        <sz val="10"/>
        <rFont val="Arial"/>
        <family val="2"/>
      </rPr>
      <t xml:space="preserve"> Computation</t>
    </r>
  </si>
  <si>
    <t>CORE TOTAL + Computation</t>
  </si>
  <si>
    <t>1 = Free Lunch Eligible
9 = Unknown</t>
  </si>
  <si>
    <t>Student's summarized lunch status.
The value of "0" (Omit) is changed to "9".</t>
  </si>
  <si>
    <t>Field Name: Building Code
Position: 192-194
Length: 3</t>
  </si>
  <si>
    <t xml:space="preserve">" ", "*", "-", and "_" values are changed to spaces, and then the spaces are removed by compressing the values from the name field. </t>
  </si>
  <si>
    <t>DRC Unique Student ID</t>
  </si>
  <si>
    <t>Numeric value with leading zeroes.</t>
  </si>
  <si>
    <t>Unique number generated at the time the student record is converted into the DRC Student File.  (Starts over each administration.)</t>
  </si>
  <si>
    <t>N/A</t>
  </si>
  <si>
    <t>Student's summarized ethnicity/race.
If the Hispanic or Latino value is a "1", then the Summarized Ethnicity/Race value will be a "1".
If the Hispanic or Latino value is a "0" and only one of the other Ethnicity String values (American Indian or Alaska Native, Asian, Black or African American, Native Hawaiian/Pacific Islander, or White) is a "1" , then the Summarized Ethnicity/Race value will match the value corresponding to the Ethnicity String field name from the Catalog file.
If the Hispanic or Latino value is a "0" and more than one of the other Ethnicity String values (American Indian or Alaska Native, Asian, Black or African American, Native Hawaiian/Pacific Islander, or White) is a "1" , then the Summarized Ethnicity/Race value will be a "7".
If all of the Ethnicity String values (American Indian or Alaska Native, Asian, Black or African American, Native Hawaiian/Pacific Islander, or White) are "0", then the Summarized Ethnicity/Race value will be an "I".</t>
  </si>
  <si>
    <r>
      <t xml:space="preserve">Education Classification flag for all subjects.
</t>
    </r>
    <r>
      <rPr>
        <sz val="10"/>
        <color indexed="10"/>
        <rFont val="Arial"/>
        <family val="2"/>
      </rPr>
      <t xml:space="preserve">
</t>
    </r>
    <r>
      <rPr>
        <sz val="10"/>
        <rFont val="Arial"/>
        <family val="2"/>
      </rPr>
      <t>The value of "0" (Omit) is changed to "1", and the value of "1" (Marked) is changed to "2" for Grade 2 ITBS.</t>
    </r>
  </si>
  <si>
    <t xml:space="preserve">Project: 2013 Grade 2 ITBS Spring </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</si>
</sst>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0"/>
      <name val="Arial"/>
    </font>
    <font>
      <sz val="10"/>
      <name val="Arial"/>
      <family val="2"/>
    </font>
    <font>
      <sz val="10"/>
      <color indexed="10"/>
      <name val="Arial"/>
      <family val="2"/>
    </font>
    <font>
      <sz val="10"/>
      <color indexed="12"/>
      <name val="Arial"/>
      <family val="2"/>
    </font>
    <font>
      <sz val="10"/>
      <name val="Arial"/>
      <family val="2"/>
    </font>
    <font>
      <i/>
      <sz val="10"/>
      <name val="Arial"/>
      <family val="2"/>
    </font>
    <font>
      <b/>
      <sz val="10"/>
      <name val="Arial"/>
      <family val="2"/>
    </font>
    <font>
      <sz val="10"/>
      <color indexed="8"/>
      <name val="Arial"/>
      <family val="2"/>
    </font>
    <font>
      <sz val="8"/>
      <name val="Arial"/>
      <family val="2"/>
    </font>
    <font>
      <b/>
      <sz val="10"/>
      <color indexed="10"/>
      <name val="Arial"/>
      <family val="2"/>
    </font>
    <font>
      <b/>
      <sz val="8"/>
      <color indexed="10"/>
      <name val="Arial"/>
      <family val="2"/>
    </font>
    <font>
      <b/>
      <sz val="16"/>
      <name val="Arial"/>
      <family val="2"/>
    </font>
    <font>
      <b/>
      <sz val="12"/>
      <name val="Arial"/>
      <family val="2"/>
    </font>
    <font>
      <b/>
      <sz val="10"/>
      <color indexed="12"/>
      <name val="Arial"/>
      <family val="2"/>
    </font>
    <font>
      <b/>
      <u/>
      <sz val="12"/>
      <name val="Arial"/>
      <family val="2"/>
    </font>
    <font>
      <b/>
      <u/>
      <sz val="12"/>
      <name val="Arial"/>
      <family val="2"/>
    </font>
    <font>
      <u/>
      <sz val="10"/>
      <color indexed="10"/>
      <name val="Arial"/>
      <family val="2"/>
    </font>
  </fonts>
  <fills count="3">
    <fill>
      <patternFill patternType="none"/>
    </fill>
    <fill>
      <patternFill patternType="gray125"/>
    </fill>
    <fill>
      <patternFill patternType="solid">
        <fgColor indexed="2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2">
    <xf numFmtId="0" fontId="0" fillId="0" borderId="0"/>
    <xf numFmtId="0" fontId="1" fillId="0" borderId="0"/>
  </cellStyleXfs>
  <cellXfs count="63">
    <xf numFmtId="0" fontId="0" fillId="0" borderId="0" xfId="0"/>
    <xf numFmtId="0" fontId="0" fillId="0" borderId="0" xfId="0" applyProtection="1">
      <protection locked="0"/>
    </xf>
    <xf numFmtId="0" fontId="0" fillId="0" borderId="0" xfId="0" applyAlignment="1" applyProtection="1">
      <alignment horizontal="center"/>
      <protection locked="0"/>
    </xf>
    <xf numFmtId="0" fontId="12" fillId="0" borderId="0" xfId="0" applyFont="1" applyFill="1" applyBorder="1" applyAlignment="1">
      <alignment horizontal="center" vertical="top"/>
    </xf>
    <xf numFmtId="0" fontId="12" fillId="0" borderId="0" xfId="0" applyFont="1" applyFill="1" applyBorder="1" applyAlignment="1">
      <alignment vertical="top"/>
    </xf>
    <xf numFmtId="0" fontId="13" fillId="0" borderId="0" xfId="0" applyFont="1" applyFill="1" applyBorder="1" applyAlignment="1">
      <alignment vertical="top"/>
    </xf>
    <xf numFmtId="0" fontId="1" fillId="0" borderId="0" xfId="0" applyFont="1" applyFill="1" applyBorder="1"/>
    <xf numFmtId="1" fontId="1" fillId="0" borderId="0" xfId="0" applyNumberFormat="1" applyFont="1" applyFill="1" applyBorder="1" applyAlignment="1">
      <alignment horizontal="center" vertical="top"/>
    </xf>
    <xf numFmtId="49" fontId="13" fillId="0" borderId="0" xfId="0" applyNumberFormat="1" applyFont="1" applyFill="1" applyBorder="1" applyAlignment="1">
      <alignment horizontal="left" vertical="top"/>
    </xf>
    <xf numFmtId="0" fontId="1" fillId="0" borderId="0" xfId="0" applyFont="1" applyFill="1" applyBorder="1" applyAlignment="1">
      <alignment vertical="top" wrapText="1"/>
    </xf>
    <xf numFmtId="0" fontId="0" fillId="2" borderId="1" xfId="0" applyFill="1" applyBorder="1" applyAlignment="1" applyProtection="1">
      <alignment vertical="center" wrapText="1"/>
    </xf>
    <xf numFmtId="0" fontId="0" fillId="0" borderId="0" xfId="0" applyAlignment="1" applyProtection="1">
      <alignment vertical="center"/>
      <protection locked="0"/>
    </xf>
    <xf numFmtId="0" fontId="0" fillId="2" borderId="1" xfId="0" applyFill="1" applyBorder="1" applyAlignment="1" applyProtection="1">
      <alignment horizontal="center" vertical="center" wrapText="1"/>
    </xf>
    <xf numFmtId="0" fontId="0" fillId="0" borderId="0" xfId="0" applyAlignment="1" applyProtection="1">
      <alignment horizontal="center" vertical="center"/>
      <protection locked="0"/>
    </xf>
    <xf numFmtId="0" fontId="0" fillId="2" borderId="1" xfId="0" applyFill="1" applyBorder="1" applyAlignment="1" applyProtection="1">
      <alignment vertical="center"/>
    </xf>
    <xf numFmtId="49" fontId="14" fillId="0" borderId="0" xfId="0" applyNumberFormat="1" applyFont="1" applyFill="1" applyBorder="1" applyAlignment="1">
      <alignment horizontal="center" vertical="top"/>
    </xf>
    <xf numFmtId="49" fontId="15" fillId="0" borderId="0" xfId="0" applyNumberFormat="1" applyFont="1" applyFill="1" applyBorder="1" applyAlignment="1">
      <alignment horizontal="left" vertical="center"/>
    </xf>
    <xf numFmtId="0" fontId="11" fillId="0" borderId="0" xfId="0" applyFont="1" applyFill="1" applyBorder="1"/>
    <xf numFmtId="0" fontId="12" fillId="0" borderId="0" xfId="0" applyFont="1" applyFill="1" applyBorder="1" applyAlignment="1">
      <alignment wrapText="1"/>
    </xf>
    <xf numFmtId="0" fontId="12" fillId="0" borderId="0" xfId="0" applyFont="1" applyFill="1" applyBorder="1" applyAlignment="1"/>
    <xf numFmtId="0" fontId="4" fillId="0" borderId="0" xfId="0" applyFont="1" applyFill="1" applyBorder="1" applyAlignment="1">
      <alignment horizontal="center" vertical="top"/>
    </xf>
    <xf numFmtId="0" fontId="4" fillId="0" borderId="0" xfId="0" applyFont="1" applyFill="1" applyBorder="1" applyAlignment="1">
      <alignment vertical="top"/>
    </xf>
    <xf numFmtId="49" fontId="4" fillId="0" borderId="0" xfId="0" applyNumberFormat="1" applyFont="1" applyFill="1" applyBorder="1" applyAlignment="1">
      <alignment horizontal="left" vertical="center" wrapText="1"/>
    </xf>
    <xf numFmtId="0" fontId="4" fillId="0" borderId="0" xfId="0" applyFont="1" applyFill="1" applyBorder="1" applyAlignment="1">
      <alignment horizontal="left" vertical="center"/>
    </xf>
    <xf numFmtId="0" fontId="4" fillId="0" borderId="0" xfId="0" applyFont="1" applyFill="1" applyBorder="1" applyAlignment="1">
      <alignment horizontal="left" vertical="center" wrapText="1"/>
    </xf>
    <xf numFmtId="0" fontId="2" fillId="0" borderId="0" xfId="0" applyFont="1" applyFill="1" applyBorder="1" applyAlignment="1">
      <alignment vertical="top"/>
    </xf>
    <xf numFmtId="0" fontId="1" fillId="0" borderId="0" xfId="0" applyFont="1" applyFill="1" applyBorder="1" applyAlignment="1">
      <alignment horizontal="left" vertical="center" wrapText="1"/>
    </xf>
    <xf numFmtId="49" fontId="1" fillId="0" borderId="0" xfId="0" applyNumberFormat="1" applyFont="1" applyFill="1" applyBorder="1" applyAlignment="1">
      <alignment horizontal="left" vertical="center" wrapText="1"/>
    </xf>
    <xf numFmtId="0" fontId="4" fillId="0" borderId="0" xfId="0" applyFont="1" applyFill="1" applyBorder="1" applyAlignment="1">
      <alignment vertical="top" wrapText="1"/>
    </xf>
    <xf numFmtId="0" fontId="7" fillId="0" borderId="0" xfId="0" applyFont="1" applyFill="1" applyBorder="1" applyAlignment="1">
      <alignment vertical="top"/>
    </xf>
    <xf numFmtId="0" fontId="7" fillId="0" borderId="0" xfId="0" applyFont="1" applyFill="1" applyBorder="1" applyAlignment="1">
      <alignment vertical="top" wrapText="1"/>
    </xf>
    <xf numFmtId="0" fontId="4" fillId="0" borderId="0" xfId="0" applyFont="1" applyFill="1" applyBorder="1" applyAlignment="1">
      <alignment horizontal="left" vertical="top"/>
    </xf>
    <xf numFmtId="0" fontId="2" fillId="0" borderId="0" xfId="0" applyFont="1" applyFill="1" applyBorder="1" applyAlignment="1">
      <alignment horizontal="left" vertical="center"/>
    </xf>
    <xf numFmtId="0" fontId="9" fillId="0" borderId="0" xfId="0" applyFont="1" applyFill="1" applyBorder="1" applyAlignment="1">
      <alignment horizontal="left" vertical="center" wrapText="1"/>
    </xf>
    <xf numFmtId="0" fontId="4" fillId="0" borderId="0" xfId="0" applyFont="1" applyFill="1" applyBorder="1" applyAlignment="1">
      <alignment horizontal="left"/>
    </xf>
    <xf numFmtId="0" fontId="6" fillId="0" borderId="0" xfId="0" applyFont="1" applyFill="1" applyBorder="1" applyAlignment="1">
      <alignment horizontal="center" vertical="top"/>
    </xf>
    <xf numFmtId="0" fontId="0" fillId="0" borderId="0" xfId="0" applyFill="1" applyBorder="1"/>
    <xf numFmtId="0" fontId="0" fillId="0" borderId="0" xfId="0" applyFill="1" applyBorder="1" applyAlignment="1">
      <alignment horizontal="center" vertical="top"/>
    </xf>
    <xf numFmtId="0" fontId="0" fillId="0" borderId="0" xfId="0" applyFill="1" applyBorder="1" applyAlignment="1">
      <alignment horizontal="center"/>
    </xf>
    <xf numFmtId="0" fontId="5" fillId="0" borderId="0" xfId="0" applyFont="1" applyFill="1" applyBorder="1" applyAlignment="1">
      <alignment horizontal="left" vertical="center"/>
    </xf>
    <xf numFmtId="0" fontId="0" fillId="0" borderId="0" xfId="0" applyFill="1" applyBorder="1" applyAlignment="1">
      <alignment wrapText="1"/>
    </xf>
    <xf numFmtId="0" fontId="3" fillId="0" borderId="0" xfId="0" applyFont="1" applyFill="1" applyBorder="1" applyAlignment="1">
      <alignment vertical="top" wrapText="1"/>
    </xf>
    <xf numFmtId="0" fontId="12" fillId="0" borderId="0" xfId="0" applyFont="1" applyFill="1" applyBorder="1" applyAlignment="1">
      <alignment horizontal="right" vertical="top"/>
    </xf>
    <xf numFmtId="0" fontId="0" fillId="0" borderId="0" xfId="0" applyFill="1" applyBorder="1" applyAlignment="1">
      <alignment vertical="top" wrapText="1"/>
    </xf>
    <xf numFmtId="0" fontId="1" fillId="0" borderId="0" xfId="1" applyFont="1" applyFill="1" applyBorder="1" applyAlignment="1">
      <alignment horizontal="left" vertical="center" wrapText="1"/>
    </xf>
    <xf numFmtId="0" fontId="1" fillId="0" borderId="0" xfId="0" applyFont="1" applyFill="1" applyBorder="1" applyAlignment="1">
      <alignment vertical="center" wrapText="1"/>
    </xf>
    <xf numFmtId="0" fontId="1" fillId="0" borderId="0" xfId="0" applyFont="1" applyFill="1" applyBorder="1" applyAlignment="1">
      <alignment vertical="top"/>
    </xf>
    <xf numFmtId="0" fontId="1" fillId="0" borderId="0" xfId="0" applyFont="1" applyFill="1" applyBorder="1" applyAlignment="1">
      <alignment horizontal="left"/>
    </xf>
    <xf numFmtId="0" fontId="1" fillId="0" borderId="0" xfId="0" applyFont="1" applyFill="1" applyBorder="1" applyAlignment="1"/>
    <xf numFmtId="0" fontId="11" fillId="0" borderId="0" xfId="0" applyFont="1" applyFill="1" applyBorder="1" applyAlignment="1">
      <alignment horizontal="left"/>
    </xf>
    <xf numFmtId="0" fontId="1" fillId="0" borderId="0" xfId="0" applyFont="1" applyFill="1" applyBorder="1" applyAlignment="1">
      <alignment horizontal="left" vertical="top" wrapText="1"/>
    </xf>
    <xf numFmtId="49" fontId="1" fillId="0" borderId="0" xfId="0" applyNumberFormat="1" applyFont="1" applyFill="1" applyBorder="1" applyAlignment="1">
      <alignment horizontal="left" vertical="top" wrapText="1"/>
    </xf>
    <xf numFmtId="0" fontId="1" fillId="0" borderId="0" xfId="0" applyFont="1" applyFill="1" applyBorder="1" applyAlignment="1">
      <alignment horizontal="left" vertical="top"/>
    </xf>
    <xf numFmtId="0" fontId="1" fillId="0" borderId="0" xfId="0" applyFont="1" applyFill="1" applyBorder="1" applyAlignment="1">
      <alignment horizontal="center" vertical="top"/>
    </xf>
    <xf numFmtId="0" fontId="1" fillId="0" borderId="0" xfId="0" applyFont="1" applyFill="1" applyBorder="1" applyAlignment="1">
      <alignment horizontal="left" vertical="center" wrapText="1"/>
    </xf>
    <xf numFmtId="0" fontId="4" fillId="0" borderId="0" xfId="0" applyFont="1" applyFill="1" applyBorder="1" applyAlignment="1">
      <alignment horizontal="left" vertical="center"/>
    </xf>
    <xf numFmtId="0" fontId="1" fillId="0" borderId="0" xfId="0" applyFont="1" applyFill="1" applyBorder="1" applyAlignment="1">
      <alignment horizontal="left" vertical="center"/>
    </xf>
    <xf numFmtId="0" fontId="0" fillId="0" borderId="0" xfId="0" applyFill="1" applyAlignment="1">
      <alignment horizontal="left" vertical="center"/>
    </xf>
    <xf numFmtId="0" fontId="11" fillId="0" borderId="0" xfId="0" applyFont="1" applyFill="1" applyBorder="1" applyAlignment="1">
      <alignment horizontal="left"/>
    </xf>
    <xf numFmtId="0" fontId="1" fillId="0" borderId="0" xfId="0" applyFont="1" applyFill="1"/>
    <xf numFmtId="49" fontId="1" fillId="0" borderId="0" xfId="0" applyNumberFormat="1" applyFont="1" applyFill="1" applyBorder="1" applyAlignment="1">
      <alignment horizontal="left" vertical="center" wrapText="1"/>
    </xf>
    <xf numFmtId="0" fontId="0" fillId="0" borderId="0" xfId="0" applyFill="1" applyAlignment="1">
      <alignment horizontal="left" vertical="center" wrapText="1"/>
    </xf>
    <xf numFmtId="0" fontId="9" fillId="0" borderId="2" xfId="0" applyFont="1" applyBorder="1" applyAlignment="1" applyProtection="1">
      <alignment horizontal="left" wrapText="1"/>
    </xf>
  </cellXfs>
  <cellStyles count="2">
    <cellStyle name="Normal" xfId="0" builtinId="0"/>
    <cellStyle name="Normal 2"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232"/>
  <sheetViews>
    <sheetView tabSelected="1" zoomScale="77" zoomScaleNormal="77" workbookViewId="0">
      <selection sqref="A1:E1"/>
    </sheetView>
  </sheetViews>
  <sheetFormatPr defaultRowHeight="12.75" x14ac:dyDescent="0.2"/>
  <cols>
    <col min="1" max="2" width="10.140625" style="38" customWidth="1"/>
    <col min="3" max="3" width="8.42578125" style="38" customWidth="1"/>
    <col min="4" max="4" width="43.28515625" style="40" customWidth="1"/>
    <col min="5" max="5" width="42.42578125" style="39" customWidth="1"/>
    <col min="6" max="6" width="39.7109375" style="40" customWidth="1"/>
    <col min="7" max="7" width="69.140625" style="23" customWidth="1"/>
    <col min="8" max="16384" width="9.140625" style="36"/>
  </cols>
  <sheetData>
    <row r="1" spans="1:8" s="17" customFormat="1" ht="21.75" customHeight="1" x14ac:dyDescent="0.3">
      <c r="A1" s="58" t="s">
        <v>56</v>
      </c>
      <c r="B1" s="58"/>
      <c r="C1" s="58"/>
      <c r="D1" s="58"/>
      <c r="E1" s="58"/>
      <c r="F1" s="49"/>
      <c r="G1" s="49" t="s">
        <v>132</v>
      </c>
    </row>
    <row r="2" spans="1:8" s="4" customFormat="1" ht="64.5" customHeight="1" x14ac:dyDescent="0.25">
      <c r="A2" s="18" t="s">
        <v>27</v>
      </c>
      <c r="B2" s="18" t="s">
        <v>28</v>
      </c>
      <c r="C2" s="19" t="s">
        <v>5</v>
      </c>
      <c r="D2" s="19" t="s">
        <v>51</v>
      </c>
      <c r="E2" s="18" t="s">
        <v>29</v>
      </c>
      <c r="F2" s="18" t="s">
        <v>95</v>
      </c>
      <c r="G2" s="19" t="s">
        <v>30</v>
      </c>
      <c r="H2" s="3"/>
    </row>
    <row r="3" spans="1:8" s="6" customFormat="1" ht="12.75" customHeight="1" x14ac:dyDescent="0.2">
      <c r="A3" s="15"/>
      <c r="B3" s="15"/>
      <c r="D3" s="5" t="s">
        <v>31</v>
      </c>
      <c r="E3" s="16"/>
      <c r="F3" s="5"/>
    </row>
    <row r="4" spans="1:8" s="21" customFormat="1" ht="38.25" x14ac:dyDescent="0.2">
      <c r="A4" s="20">
        <v>1</v>
      </c>
      <c r="B4" s="20">
        <f t="shared" ref="B4:B11" si="0">A4+C4-1</f>
        <v>2</v>
      </c>
      <c r="C4" s="20">
        <v>2</v>
      </c>
      <c r="D4" s="21" t="s">
        <v>32</v>
      </c>
      <c r="E4" s="27" t="s">
        <v>98</v>
      </c>
      <c r="F4" s="9" t="s">
        <v>65</v>
      </c>
      <c r="G4" s="26" t="s">
        <v>108</v>
      </c>
    </row>
    <row r="5" spans="1:8" s="21" customFormat="1" ht="38.25" x14ac:dyDescent="0.2">
      <c r="A5" s="20">
        <f>A4+C4</f>
        <v>3</v>
      </c>
      <c r="B5" s="20">
        <f t="shared" si="0"/>
        <v>6</v>
      </c>
      <c r="C5" s="20">
        <v>4</v>
      </c>
      <c r="D5" s="21" t="s">
        <v>33</v>
      </c>
      <c r="E5" s="22" t="s">
        <v>48</v>
      </c>
      <c r="F5" s="9" t="s">
        <v>80</v>
      </c>
      <c r="G5" s="23" t="s">
        <v>7</v>
      </c>
    </row>
    <row r="6" spans="1:8" s="21" customFormat="1" x14ac:dyDescent="0.2">
      <c r="A6" s="20">
        <f t="shared" ref="A6:A15" si="1">A5+C5</f>
        <v>7</v>
      </c>
      <c r="B6" s="20">
        <f t="shared" si="0"/>
        <v>7</v>
      </c>
      <c r="C6" s="20">
        <v>1</v>
      </c>
      <c r="D6" s="46" t="s">
        <v>6</v>
      </c>
      <c r="E6" s="24"/>
      <c r="F6" s="9"/>
      <c r="G6" s="24"/>
    </row>
    <row r="7" spans="1:8" s="21" customFormat="1" ht="38.25" x14ac:dyDescent="0.2">
      <c r="A7" s="20">
        <f t="shared" si="1"/>
        <v>8</v>
      </c>
      <c r="B7" s="20">
        <f t="shared" si="0"/>
        <v>10</v>
      </c>
      <c r="C7" s="20">
        <v>3</v>
      </c>
      <c r="D7" s="21" t="s">
        <v>34</v>
      </c>
      <c r="E7" s="24"/>
      <c r="F7" s="9" t="s">
        <v>93</v>
      </c>
      <c r="G7" s="60" t="s">
        <v>109</v>
      </c>
    </row>
    <row r="8" spans="1:8" s="21" customFormat="1" ht="38.25" x14ac:dyDescent="0.2">
      <c r="A8" s="20">
        <f t="shared" si="1"/>
        <v>11</v>
      </c>
      <c r="B8" s="20">
        <f t="shared" si="0"/>
        <v>13</v>
      </c>
      <c r="C8" s="20">
        <v>3</v>
      </c>
      <c r="D8" s="21" t="s">
        <v>35</v>
      </c>
      <c r="E8" s="24"/>
      <c r="F8" s="9" t="s">
        <v>124</v>
      </c>
      <c r="G8" s="61"/>
    </row>
    <row r="9" spans="1:8" s="21" customFormat="1" ht="38.25" x14ac:dyDescent="0.2">
      <c r="A9" s="20">
        <f t="shared" si="1"/>
        <v>14</v>
      </c>
      <c r="B9" s="20">
        <f t="shared" si="0"/>
        <v>53</v>
      </c>
      <c r="C9" s="20">
        <v>40</v>
      </c>
      <c r="D9" s="21" t="s">
        <v>36</v>
      </c>
      <c r="E9" s="24"/>
      <c r="F9" s="9" t="s">
        <v>94</v>
      </c>
      <c r="G9" s="23"/>
    </row>
    <row r="10" spans="1:8" s="21" customFormat="1" ht="38.25" x14ac:dyDescent="0.2">
      <c r="A10" s="20">
        <f t="shared" si="1"/>
        <v>54</v>
      </c>
      <c r="B10" s="20">
        <f t="shared" si="0"/>
        <v>93</v>
      </c>
      <c r="C10" s="20">
        <v>40</v>
      </c>
      <c r="D10" s="21" t="s">
        <v>37</v>
      </c>
      <c r="E10" s="24"/>
      <c r="F10" s="9" t="s">
        <v>66</v>
      </c>
      <c r="G10" s="23"/>
    </row>
    <row r="11" spans="1:8" s="21" customFormat="1" x14ac:dyDescent="0.2">
      <c r="A11" s="20">
        <f t="shared" si="1"/>
        <v>94</v>
      </c>
      <c r="B11" s="20">
        <f t="shared" si="0"/>
        <v>95</v>
      </c>
      <c r="C11" s="20">
        <v>2</v>
      </c>
      <c r="D11" s="46" t="s">
        <v>6</v>
      </c>
      <c r="E11" s="26"/>
      <c r="G11" s="26"/>
    </row>
    <row r="12" spans="1:8" s="21" customFormat="1" ht="38.25" x14ac:dyDescent="0.2">
      <c r="A12" s="20">
        <f>A11+C11</f>
        <v>96</v>
      </c>
      <c r="B12" s="20">
        <f>A12+C12-1</f>
        <v>107</v>
      </c>
      <c r="C12" s="20">
        <v>12</v>
      </c>
      <c r="D12" s="21" t="s">
        <v>38</v>
      </c>
      <c r="E12" s="24"/>
      <c r="F12" s="9" t="s">
        <v>67</v>
      </c>
      <c r="G12" s="54" t="s">
        <v>125</v>
      </c>
    </row>
    <row r="13" spans="1:8" s="21" customFormat="1" ht="38.25" x14ac:dyDescent="0.2">
      <c r="A13" s="20">
        <f t="shared" si="1"/>
        <v>108</v>
      </c>
      <c r="B13" s="20">
        <f>A13+C13-1</f>
        <v>115</v>
      </c>
      <c r="C13" s="20">
        <v>8</v>
      </c>
      <c r="D13" s="21" t="s">
        <v>39</v>
      </c>
      <c r="E13" s="24"/>
      <c r="F13" s="9" t="s">
        <v>68</v>
      </c>
      <c r="G13" s="59"/>
    </row>
    <row r="14" spans="1:8" s="21" customFormat="1" x14ac:dyDescent="0.2">
      <c r="A14" s="20">
        <f t="shared" si="1"/>
        <v>116</v>
      </c>
      <c r="B14" s="20">
        <f>A14+C14-1</f>
        <v>116</v>
      </c>
      <c r="C14" s="20">
        <v>1</v>
      </c>
      <c r="D14" s="46" t="s">
        <v>6</v>
      </c>
      <c r="E14" s="24"/>
      <c r="G14" s="6"/>
    </row>
    <row r="15" spans="1:8" s="21" customFormat="1" ht="38.25" x14ac:dyDescent="0.2">
      <c r="A15" s="20">
        <f t="shared" si="1"/>
        <v>117</v>
      </c>
      <c r="B15" s="20">
        <f>A15+C15-1</f>
        <v>125</v>
      </c>
      <c r="C15" s="20">
        <v>9</v>
      </c>
      <c r="D15" s="21" t="s">
        <v>0</v>
      </c>
      <c r="E15" s="26" t="s">
        <v>64</v>
      </c>
      <c r="F15" s="9" t="s">
        <v>96</v>
      </c>
      <c r="G15" s="26" t="s">
        <v>110</v>
      </c>
    </row>
    <row r="16" spans="1:8" s="21" customFormat="1" x14ac:dyDescent="0.2">
      <c r="A16" s="20">
        <f>A15+C15</f>
        <v>126</v>
      </c>
      <c r="B16" s="20">
        <f>A16+C16-1</f>
        <v>144</v>
      </c>
      <c r="C16" s="20">
        <v>19</v>
      </c>
      <c r="D16" s="46" t="s">
        <v>6</v>
      </c>
      <c r="E16" s="26"/>
      <c r="G16" s="26"/>
    </row>
    <row r="17" spans="1:7" s="21" customFormat="1" ht="38.25" x14ac:dyDescent="0.2">
      <c r="A17" s="20">
        <f>A16+C16</f>
        <v>145</v>
      </c>
      <c r="B17" s="20">
        <f t="shared" ref="B17:B23" si="2">A17+C17-1</f>
        <v>146</v>
      </c>
      <c r="C17" s="20">
        <v>2</v>
      </c>
      <c r="D17" s="21" t="s">
        <v>40</v>
      </c>
      <c r="E17" s="26" t="s">
        <v>58</v>
      </c>
      <c r="F17" s="9" t="s">
        <v>69</v>
      </c>
      <c r="G17" s="54" t="s">
        <v>111</v>
      </c>
    </row>
    <row r="18" spans="1:7" s="21" customFormat="1" ht="38.25" x14ac:dyDescent="0.2">
      <c r="A18" s="20">
        <f t="shared" ref="A18:A25" si="3">A17+C17</f>
        <v>147</v>
      </c>
      <c r="B18" s="20">
        <f t="shared" si="2"/>
        <v>148</v>
      </c>
      <c r="C18" s="20">
        <v>2</v>
      </c>
      <c r="D18" s="21" t="s">
        <v>41</v>
      </c>
      <c r="E18" s="26" t="s">
        <v>54</v>
      </c>
      <c r="F18" s="9" t="s">
        <v>70</v>
      </c>
      <c r="G18" s="54"/>
    </row>
    <row r="19" spans="1:7" s="21" customFormat="1" ht="38.25" x14ac:dyDescent="0.2">
      <c r="A19" s="20">
        <f t="shared" si="3"/>
        <v>149</v>
      </c>
      <c r="B19" s="20">
        <f t="shared" si="2"/>
        <v>152</v>
      </c>
      <c r="C19" s="20">
        <v>4</v>
      </c>
      <c r="D19" s="21" t="s">
        <v>42</v>
      </c>
      <c r="E19" s="26" t="s">
        <v>55</v>
      </c>
      <c r="F19" s="9" t="s">
        <v>71</v>
      </c>
      <c r="G19" s="54"/>
    </row>
    <row r="20" spans="1:7" s="21" customFormat="1" ht="38.25" x14ac:dyDescent="0.2">
      <c r="A20" s="20">
        <f t="shared" si="3"/>
        <v>153</v>
      </c>
      <c r="B20" s="20">
        <f t="shared" si="2"/>
        <v>153</v>
      </c>
      <c r="C20" s="20">
        <v>1</v>
      </c>
      <c r="D20" s="21" t="s">
        <v>43</v>
      </c>
      <c r="E20" s="24" t="s">
        <v>20</v>
      </c>
      <c r="F20" s="9" t="s">
        <v>81</v>
      </c>
      <c r="G20" s="26" t="s">
        <v>112</v>
      </c>
    </row>
    <row r="21" spans="1:7" s="21" customFormat="1" ht="242.25" x14ac:dyDescent="0.2">
      <c r="A21" s="20">
        <f t="shared" si="3"/>
        <v>154</v>
      </c>
      <c r="B21" s="20">
        <f t="shared" si="2"/>
        <v>154</v>
      </c>
      <c r="C21" s="20">
        <v>1</v>
      </c>
      <c r="D21" s="46" t="s">
        <v>49</v>
      </c>
      <c r="E21" s="45" t="s">
        <v>53</v>
      </c>
      <c r="F21" s="9" t="s">
        <v>92</v>
      </c>
      <c r="G21" s="26" t="s">
        <v>130</v>
      </c>
    </row>
    <row r="22" spans="1:7" s="21" customFormat="1" ht="51" x14ac:dyDescent="0.2">
      <c r="A22" s="20">
        <f t="shared" si="3"/>
        <v>155</v>
      </c>
      <c r="B22" s="20">
        <f t="shared" si="2"/>
        <v>155</v>
      </c>
      <c r="C22" s="20">
        <v>1</v>
      </c>
      <c r="D22" s="21" t="s">
        <v>44</v>
      </c>
      <c r="E22" s="26" t="s">
        <v>122</v>
      </c>
      <c r="F22" s="9" t="s">
        <v>82</v>
      </c>
      <c r="G22" s="26" t="s">
        <v>123</v>
      </c>
    </row>
    <row r="23" spans="1:7" s="25" customFormat="1" x14ac:dyDescent="0.2">
      <c r="A23" s="20">
        <f t="shared" si="3"/>
        <v>156</v>
      </c>
      <c r="B23" s="20">
        <f t="shared" si="2"/>
        <v>172</v>
      </c>
      <c r="C23" s="20">
        <v>17</v>
      </c>
      <c r="D23" s="46" t="s">
        <v>6</v>
      </c>
      <c r="E23" s="26"/>
      <c r="F23" s="46"/>
      <c r="G23" s="26"/>
    </row>
    <row r="24" spans="1:7" s="21" customFormat="1" ht="38.25" x14ac:dyDescent="0.2">
      <c r="A24" s="20">
        <f>A23+C23</f>
        <v>173</v>
      </c>
      <c r="B24" s="20">
        <f>A24+C24-1</f>
        <v>173</v>
      </c>
      <c r="C24" s="20">
        <v>1</v>
      </c>
      <c r="D24" s="21" t="s">
        <v>26</v>
      </c>
      <c r="E24" s="27" t="s">
        <v>113</v>
      </c>
      <c r="F24" s="9" t="s">
        <v>91</v>
      </c>
      <c r="G24" s="26"/>
    </row>
    <row r="25" spans="1:7" s="21" customFormat="1" x14ac:dyDescent="0.2">
      <c r="A25" s="20">
        <f t="shared" si="3"/>
        <v>174</v>
      </c>
      <c r="B25" s="20">
        <f>A25+C25-1</f>
        <v>306</v>
      </c>
      <c r="C25" s="20">
        <v>133</v>
      </c>
      <c r="D25" s="51" t="s">
        <v>6</v>
      </c>
      <c r="E25" s="27"/>
      <c r="F25" s="46"/>
      <c r="G25" s="26"/>
    </row>
    <row r="26" spans="1:7" s="6" customFormat="1" x14ac:dyDescent="0.2">
      <c r="A26" s="7"/>
      <c r="B26" s="7"/>
      <c r="D26" s="8" t="s">
        <v>14</v>
      </c>
      <c r="E26" s="23"/>
      <c r="F26" s="8"/>
    </row>
    <row r="27" spans="1:7" s="25" customFormat="1" ht="51" x14ac:dyDescent="0.2">
      <c r="A27" s="20">
        <f>A25+C25</f>
        <v>307</v>
      </c>
      <c r="B27" s="20">
        <f>A27+C27-1</f>
        <v>308</v>
      </c>
      <c r="C27" s="20">
        <v>2</v>
      </c>
      <c r="D27" s="28" t="s">
        <v>2</v>
      </c>
      <c r="E27" s="26" t="s">
        <v>114</v>
      </c>
      <c r="F27" s="9" t="s">
        <v>84</v>
      </c>
      <c r="G27" s="26" t="s">
        <v>115</v>
      </c>
    </row>
    <row r="28" spans="1:7" s="25" customFormat="1" x14ac:dyDescent="0.2">
      <c r="A28" s="20">
        <f t="shared" ref="A28:A36" si="4">A27+C27</f>
        <v>309</v>
      </c>
      <c r="B28" s="20">
        <f>A28+C28-1</f>
        <v>322</v>
      </c>
      <c r="C28" s="20">
        <v>14</v>
      </c>
      <c r="D28" s="51" t="s">
        <v>6</v>
      </c>
      <c r="E28" s="24"/>
      <c r="F28" s="28"/>
      <c r="G28" s="24"/>
    </row>
    <row r="29" spans="1:7" s="25" customFormat="1" ht="51" x14ac:dyDescent="0.2">
      <c r="A29" s="20">
        <f t="shared" si="4"/>
        <v>323</v>
      </c>
      <c r="B29" s="20">
        <f t="shared" ref="B29:B35" si="5">A29+C29-1</f>
        <v>323</v>
      </c>
      <c r="C29" s="20">
        <v>1</v>
      </c>
      <c r="D29" s="21" t="s">
        <v>25</v>
      </c>
      <c r="E29" s="24" t="s">
        <v>21</v>
      </c>
      <c r="F29" s="9" t="s">
        <v>83</v>
      </c>
      <c r="G29" s="26" t="s">
        <v>131</v>
      </c>
    </row>
    <row r="30" spans="1:7" s="21" customFormat="1" x14ac:dyDescent="0.2">
      <c r="A30" s="20">
        <f t="shared" si="4"/>
        <v>324</v>
      </c>
      <c r="B30" s="20">
        <f t="shared" si="5"/>
        <v>324</v>
      </c>
      <c r="C30" s="20">
        <v>1</v>
      </c>
      <c r="D30" s="21" t="s">
        <v>6</v>
      </c>
      <c r="E30" s="24"/>
      <c r="G30" s="23"/>
    </row>
    <row r="31" spans="1:7" s="25" customFormat="1" ht="51" x14ac:dyDescent="0.2">
      <c r="A31" s="20">
        <f t="shared" si="4"/>
        <v>325</v>
      </c>
      <c r="B31" s="20">
        <f t="shared" si="5"/>
        <v>325</v>
      </c>
      <c r="C31" s="20">
        <v>1</v>
      </c>
      <c r="D31" s="21" t="s">
        <v>22</v>
      </c>
      <c r="E31" s="24" t="s">
        <v>3</v>
      </c>
      <c r="F31" s="9" t="s">
        <v>85</v>
      </c>
      <c r="G31" s="45" t="s">
        <v>116</v>
      </c>
    </row>
    <row r="32" spans="1:7" s="25" customFormat="1" x14ac:dyDescent="0.2">
      <c r="A32" s="20">
        <f t="shared" si="4"/>
        <v>326</v>
      </c>
      <c r="B32" s="20">
        <f t="shared" si="5"/>
        <v>326</v>
      </c>
      <c r="C32" s="20">
        <v>1</v>
      </c>
      <c r="D32" s="21" t="s">
        <v>6</v>
      </c>
      <c r="E32" s="24"/>
      <c r="F32" s="21"/>
      <c r="G32" s="32"/>
    </row>
    <row r="33" spans="1:7" s="25" customFormat="1" ht="51" x14ac:dyDescent="0.2">
      <c r="A33" s="20">
        <f t="shared" si="4"/>
        <v>327</v>
      </c>
      <c r="B33" s="20">
        <f t="shared" si="5"/>
        <v>327</v>
      </c>
      <c r="C33" s="20">
        <v>1</v>
      </c>
      <c r="D33" s="21" t="s">
        <v>24</v>
      </c>
      <c r="E33" s="24" t="s">
        <v>4</v>
      </c>
      <c r="F33" s="9" t="s">
        <v>86</v>
      </c>
      <c r="G33" s="45" t="s">
        <v>117</v>
      </c>
    </row>
    <row r="34" spans="1:7" s="21" customFormat="1" x14ac:dyDescent="0.2">
      <c r="A34" s="20">
        <f t="shared" si="4"/>
        <v>328</v>
      </c>
      <c r="B34" s="20">
        <f t="shared" si="5"/>
        <v>328</v>
      </c>
      <c r="C34" s="20">
        <v>1</v>
      </c>
      <c r="D34" s="46" t="s">
        <v>6</v>
      </c>
      <c r="E34" s="26"/>
      <c r="F34" s="46"/>
      <c r="G34" s="45"/>
    </row>
    <row r="35" spans="1:7" s="21" customFormat="1" ht="51" x14ac:dyDescent="0.2">
      <c r="A35" s="20">
        <f t="shared" si="4"/>
        <v>329</v>
      </c>
      <c r="B35" s="20">
        <f t="shared" si="5"/>
        <v>329</v>
      </c>
      <c r="C35" s="20">
        <v>1</v>
      </c>
      <c r="D35" s="21" t="s">
        <v>23</v>
      </c>
      <c r="E35" s="24" t="s">
        <v>1</v>
      </c>
      <c r="F35" s="30" t="s">
        <v>87</v>
      </c>
      <c r="G35" s="45" t="s">
        <v>118</v>
      </c>
    </row>
    <row r="36" spans="1:7" s="21" customFormat="1" x14ac:dyDescent="0.2">
      <c r="A36" s="20">
        <f t="shared" si="4"/>
        <v>330</v>
      </c>
      <c r="B36" s="20">
        <f>A36+C36-1</f>
        <v>1907</v>
      </c>
      <c r="C36" s="20">
        <v>1578</v>
      </c>
      <c r="D36" s="46" t="s">
        <v>6</v>
      </c>
      <c r="E36" s="45"/>
      <c r="F36" s="9"/>
      <c r="G36" s="26"/>
    </row>
    <row r="37" spans="1:7" x14ac:dyDescent="0.2">
      <c r="A37" s="20"/>
      <c r="B37" s="35"/>
      <c r="C37" s="35"/>
      <c r="D37" s="5" t="s">
        <v>12</v>
      </c>
      <c r="E37" s="23"/>
      <c r="F37" s="9"/>
      <c r="G37" s="24"/>
    </row>
    <row r="38" spans="1:7" x14ac:dyDescent="0.2">
      <c r="A38" s="20">
        <f>A36+C36</f>
        <v>1908</v>
      </c>
      <c r="B38" s="20">
        <f>A38+C38-1</f>
        <v>1911</v>
      </c>
      <c r="C38" s="37">
        <v>4</v>
      </c>
      <c r="D38" s="47" t="s">
        <v>6</v>
      </c>
      <c r="E38" s="26"/>
      <c r="F38" s="47"/>
    </row>
    <row r="39" spans="1:7" ht="38.25" x14ac:dyDescent="0.2">
      <c r="A39" s="20">
        <f>+A38+C38</f>
        <v>1912</v>
      </c>
      <c r="B39" s="20">
        <f>A39+C39-1</f>
        <v>1913</v>
      </c>
      <c r="C39" s="37">
        <v>2</v>
      </c>
      <c r="D39" s="31" t="s">
        <v>45</v>
      </c>
      <c r="E39" s="54" t="s">
        <v>59</v>
      </c>
      <c r="F39" s="26" t="s">
        <v>72</v>
      </c>
      <c r="G39" s="54" t="s">
        <v>119</v>
      </c>
    </row>
    <row r="40" spans="1:7" ht="51" x14ac:dyDescent="0.2">
      <c r="A40" s="20">
        <f>+A39+C39</f>
        <v>1914</v>
      </c>
      <c r="B40" s="20">
        <f>A40+C40-1</f>
        <v>1915</v>
      </c>
      <c r="C40" s="37">
        <v>2</v>
      </c>
      <c r="D40" s="31" t="s">
        <v>46</v>
      </c>
      <c r="E40" s="55"/>
      <c r="F40" s="26" t="s">
        <v>73</v>
      </c>
      <c r="G40" s="56"/>
    </row>
    <row r="41" spans="1:7" ht="51" x14ac:dyDescent="0.2">
      <c r="A41" s="20">
        <f>+A40+C40</f>
        <v>1916</v>
      </c>
      <c r="B41" s="20">
        <f>A41+C41-1</f>
        <v>1917</v>
      </c>
      <c r="C41" s="37">
        <v>2</v>
      </c>
      <c r="D41" s="52" t="s">
        <v>120</v>
      </c>
      <c r="E41" s="55"/>
      <c r="F41" s="26" t="s">
        <v>99</v>
      </c>
      <c r="G41" s="56"/>
    </row>
    <row r="42" spans="1:7" x14ac:dyDescent="0.2">
      <c r="A42" s="20">
        <f>+A41+C41</f>
        <v>1918</v>
      </c>
      <c r="B42" s="20">
        <f>A42+C42-1</f>
        <v>1929</v>
      </c>
      <c r="C42" s="37">
        <v>12</v>
      </c>
      <c r="D42" s="34" t="s">
        <v>6</v>
      </c>
      <c r="E42" s="23"/>
      <c r="F42" s="34"/>
    </row>
    <row r="43" spans="1:7" x14ac:dyDescent="0.2">
      <c r="D43" s="5" t="s">
        <v>10</v>
      </c>
      <c r="E43" s="24"/>
      <c r="F43" s="5"/>
      <c r="G43" s="24"/>
    </row>
    <row r="44" spans="1:7" x14ac:dyDescent="0.2">
      <c r="A44" s="20">
        <f>+A42+C42</f>
        <v>1930</v>
      </c>
      <c r="B44" s="20">
        <f t="shared" ref="B44:B49" si="6">A44+C44-1</f>
        <v>1935</v>
      </c>
      <c r="C44" s="37">
        <v>6</v>
      </c>
      <c r="D44" s="48" t="s">
        <v>6</v>
      </c>
      <c r="E44" s="26"/>
      <c r="F44" s="48"/>
    </row>
    <row r="45" spans="1:7" ht="51" x14ac:dyDescent="0.2">
      <c r="A45" s="20">
        <f>+A44+C44</f>
        <v>1936</v>
      </c>
      <c r="B45" s="20">
        <f t="shared" si="6"/>
        <v>1938</v>
      </c>
      <c r="C45" s="37">
        <v>3</v>
      </c>
      <c r="D45" s="21" t="s">
        <v>45</v>
      </c>
      <c r="E45" s="54" t="s">
        <v>62</v>
      </c>
      <c r="F45" s="26" t="s">
        <v>74</v>
      </c>
      <c r="G45" s="54" t="s">
        <v>119</v>
      </c>
    </row>
    <row r="46" spans="1:7" ht="51" x14ac:dyDescent="0.2">
      <c r="A46" s="20">
        <f>+A45+C45</f>
        <v>1939</v>
      </c>
      <c r="B46" s="20">
        <f t="shared" si="6"/>
        <v>1941</v>
      </c>
      <c r="C46" s="37">
        <v>3</v>
      </c>
      <c r="D46" s="9" t="s">
        <v>57</v>
      </c>
      <c r="E46" s="55"/>
      <c r="F46" s="26" t="s">
        <v>75</v>
      </c>
      <c r="G46" s="56"/>
    </row>
    <row r="47" spans="1:7" ht="51" x14ac:dyDescent="0.2">
      <c r="A47" s="20">
        <f>+A46+C46</f>
        <v>1942</v>
      </c>
      <c r="B47" s="20">
        <f t="shared" si="6"/>
        <v>1944</v>
      </c>
      <c r="C47" s="37">
        <v>3</v>
      </c>
      <c r="D47" s="52" t="s">
        <v>120</v>
      </c>
      <c r="E47" s="55"/>
      <c r="F47" s="26" t="s">
        <v>100</v>
      </c>
      <c r="G47" s="56"/>
    </row>
    <row r="48" spans="1:7" ht="51" x14ac:dyDescent="0.2">
      <c r="A48" s="20">
        <f>+A47+C47</f>
        <v>1945</v>
      </c>
      <c r="B48" s="20">
        <f t="shared" si="6"/>
        <v>1947</v>
      </c>
      <c r="C48" s="37">
        <v>3</v>
      </c>
      <c r="D48" s="52" t="s">
        <v>121</v>
      </c>
      <c r="E48" s="55"/>
      <c r="F48" s="26" t="s">
        <v>101</v>
      </c>
      <c r="G48" s="56"/>
    </row>
    <row r="49" spans="1:7" x14ac:dyDescent="0.2">
      <c r="A49" s="20">
        <f>+A48+C48</f>
        <v>1948</v>
      </c>
      <c r="B49" s="20">
        <f t="shared" si="6"/>
        <v>1957</v>
      </c>
      <c r="C49" s="37">
        <v>10</v>
      </c>
      <c r="D49" s="34" t="s">
        <v>6</v>
      </c>
      <c r="F49" s="34"/>
    </row>
    <row r="50" spans="1:7" x14ac:dyDescent="0.2">
      <c r="D50" s="5" t="s">
        <v>11</v>
      </c>
      <c r="E50" s="23"/>
      <c r="F50" s="5"/>
      <c r="G50" s="24"/>
    </row>
    <row r="51" spans="1:7" x14ac:dyDescent="0.2">
      <c r="A51" s="20">
        <f>+A49+C49</f>
        <v>1958</v>
      </c>
      <c r="B51" s="20">
        <f t="shared" ref="B51:B56" si="7">A51+C51-1</f>
        <v>1961</v>
      </c>
      <c r="C51" s="37">
        <v>4</v>
      </c>
      <c r="D51" s="47" t="s">
        <v>6</v>
      </c>
      <c r="E51" s="26"/>
      <c r="F51" s="47"/>
    </row>
    <row r="52" spans="1:7" ht="51" x14ac:dyDescent="0.2">
      <c r="A52" s="20">
        <f>+A51+C51</f>
        <v>1962</v>
      </c>
      <c r="B52" s="20">
        <f t="shared" si="7"/>
        <v>1963</v>
      </c>
      <c r="C52" s="37">
        <v>2</v>
      </c>
      <c r="D52" s="31" t="s">
        <v>45</v>
      </c>
      <c r="E52" s="54" t="s">
        <v>61</v>
      </c>
      <c r="F52" s="26" t="s">
        <v>76</v>
      </c>
      <c r="G52" s="54" t="s">
        <v>119</v>
      </c>
    </row>
    <row r="53" spans="1:7" ht="51" x14ac:dyDescent="0.2">
      <c r="A53" s="20">
        <f>+A52+C52</f>
        <v>1964</v>
      </c>
      <c r="B53" s="20">
        <f t="shared" si="7"/>
        <v>1965</v>
      </c>
      <c r="C53" s="37">
        <v>2</v>
      </c>
      <c r="D53" s="50" t="s">
        <v>57</v>
      </c>
      <c r="E53" s="55"/>
      <c r="F53" s="26" t="s">
        <v>77</v>
      </c>
      <c r="G53" s="56"/>
    </row>
    <row r="54" spans="1:7" ht="51" x14ac:dyDescent="0.2">
      <c r="A54" s="20">
        <f>+A53+C53</f>
        <v>1966</v>
      </c>
      <c r="B54" s="20">
        <f t="shared" si="7"/>
        <v>1967</v>
      </c>
      <c r="C54" s="37">
        <v>2</v>
      </c>
      <c r="D54" s="52" t="s">
        <v>120</v>
      </c>
      <c r="E54" s="55"/>
      <c r="F54" s="26" t="s">
        <v>102</v>
      </c>
      <c r="G54" s="56"/>
    </row>
    <row r="55" spans="1:7" ht="51" x14ac:dyDescent="0.2">
      <c r="A55" s="20">
        <f>+A54+C54</f>
        <v>1968</v>
      </c>
      <c r="B55" s="20">
        <f t="shared" si="7"/>
        <v>1969</v>
      </c>
      <c r="C55" s="37">
        <v>2</v>
      </c>
      <c r="D55" s="52" t="s">
        <v>121</v>
      </c>
      <c r="E55" s="55"/>
      <c r="F55" s="26" t="s">
        <v>103</v>
      </c>
      <c r="G55" s="56"/>
    </row>
    <row r="56" spans="1:7" x14ac:dyDescent="0.2">
      <c r="A56" s="20">
        <f>+A55+C55</f>
        <v>1970</v>
      </c>
      <c r="B56" s="20">
        <f t="shared" si="7"/>
        <v>1979</v>
      </c>
      <c r="C56" s="37">
        <v>10</v>
      </c>
      <c r="D56" s="34" t="s">
        <v>6</v>
      </c>
      <c r="F56" s="34"/>
    </row>
    <row r="57" spans="1:7" x14ac:dyDescent="0.2">
      <c r="D57" s="5" t="s">
        <v>15</v>
      </c>
      <c r="E57" s="23"/>
      <c r="F57" s="5"/>
      <c r="G57" s="24"/>
    </row>
    <row r="58" spans="1:7" x14ac:dyDescent="0.2">
      <c r="A58" s="20">
        <f>+A56+C56</f>
        <v>1980</v>
      </c>
      <c r="B58" s="20">
        <f t="shared" ref="B58:B63" si="8">A58+C58-1</f>
        <v>1983</v>
      </c>
      <c r="C58" s="37">
        <v>4</v>
      </c>
      <c r="D58" s="47" t="s">
        <v>6</v>
      </c>
      <c r="E58" s="26"/>
      <c r="F58" s="47"/>
    </row>
    <row r="59" spans="1:7" ht="38.25" x14ac:dyDescent="0.2">
      <c r="A59" s="20">
        <f>+A58+C58</f>
        <v>1984</v>
      </c>
      <c r="B59" s="20">
        <f t="shared" si="8"/>
        <v>1985</v>
      </c>
      <c r="C59" s="37">
        <v>2</v>
      </c>
      <c r="D59" s="31" t="s">
        <v>45</v>
      </c>
      <c r="E59" s="54" t="s">
        <v>61</v>
      </c>
      <c r="F59" s="26" t="s">
        <v>78</v>
      </c>
      <c r="G59" s="54" t="s">
        <v>119</v>
      </c>
    </row>
    <row r="60" spans="1:7" ht="51" x14ac:dyDescent="0.2">
      <c r="A60" s="20">
        <f>+A59+C59</f>
        <v>1986</v>
      </c>
      <c r="B60" s="20">
        <f t="shared" si="8"/>
        <v>1987</v>
      </c>
      <c r="C60" s="37">
        <v>2</v>
      </c>
      <c r="D60" s="50" t="s">
        <v>57</v>
      </c>
      <c r="E60" s="55"/>
      <c r="F60" s="26" t="s">
        <v>79</v>
      </c>
      <c r="G60" s="56"/>
    </row>
    <row r="61" spans="1:7" ht="51" x14ac:dyDescent="0.2">
      <c r="A61" s="20">
        <f>+A60+C60</f>
        <v>1988</v>
      </c>
      <c r="B61" s="20">
        <f t="shared" si="8"/>
        <v>1989</v>
      </c>
      <c r="C61" s="37">
        <v>2</v>
      </c>
      <c r="D61" s="52" t="s">
        <v>120</v>
      </c>
      <c r="E61" s="55"/>
      <c r="F61" s="26" t="s">
        <v>104</v>
      </c>
      <c r="G61" s="56"/>
    </row>
    <row r="62" spans="1:7" ht="51" x14ac:dyDescent="0.2">
      <c r="A62" s="20">
        <f>+A61+C61</f>
        <v>1990</v>
      </c>
      <c r="B62" s="20">
        <f t="shared" si="8"/>
        <v>1991</v>
      </c>
      <c r="C62" s="37">
        <v>2</v>
      </c>
      <c r="D62" s="52" t="s">
        <v>121</v>
      </c>
      <c r="E62" s="55"/>
      <c r="F62" s="26" t="s">
        <v>105</v>
      </c>
      <c r="G62" s="56"/>
    </row>
    <row r="63" spans="1:7" x14ac:dyDescent="0.2">
      <c r="A63" s="20">
        <f>+A62+C62</f>
        <v>1992</v>
      </c>
      <c r="B63" s="20">
        <f t="shared" si="8"/>
        <v>2001</v>
      </c>
      <c r="C63" s="37">
        <v>10</v>
      </c>
      <c r="D63" s="34" t="s">
        <v>6</v>
      </c>
      <c r="F63" s="34"/>
    </row>
    <row r="64" spans="1:7" x14ac:dyDescent="0.2">
      <c r="D64" s="5" t="s">
        <v>13</v>
      </c>
      <c r="E64" s="23"/>
      <c r="F64" s="5"/>
      <c r="G64" s="24"/>
    </row>
    <row r="65" spans="1:7" x14ac:dyDescent="0.2">
      <c r="A65" s="20">
        <f>+A63+C63</f>
        <v>2002</v>
      </c>
      <c r="B65" s="20">
        <f t="shared" ref="B65:B70" si="9">A65+C65-1</f>
        <v>2003</v>
      </c>
      <c r="C65" s="37">
        <v>2</v>
      </c>
      <c r="D65" s="47" t="s">
        <v>6</v>
      </c>
      <c r="E65" s="26"/>
      <c r="F65" s="47"/>
    </row>
    <row r="66" spans="1:7" ht="51" x14ac:dyDescent="0.2">
      <c r="A66" s="20">
        <f t="shared" ref="A66:A72" si="10">+A65+C65</f>
        <v>2004</v>
      </c>
      <c r="B66" s="20">
        <f t="shared" si="9"/>
        <v>2004</v>
      </c>
      <c r="C66" s="37">
        <v>1</v>
      </c>
      <c r="D66" s="31" t="s">
        <v>45</v>
      </c>
      <c r="E66" s="54" t="s">
        <v>60</v>
      </c>
      <c r="F66" s="26" t="s">
        <v>88</v>
      </c>
      <c r="G66" s="54" t="s">
        <v>119</v>
      </c>
    </row>
    <row r="67" spans="1:7" ht="51" x14ac:dyDescent="0.2">
      <c r="A67" s="20">
        <f t="shared" si="10"/>
        <v>2005</v>
      </c>
      <c r="B67" s="20">
        <f t="shared" si="9"/>
        <v>2005</v>
      </c>
      <c r="C67" s="37">
        <v>1</v>
      </c>
      <c r="D67" s="50" t="s">
        <v>57</v>
      </c>
      <c r="E67" s="57"/>
      <c r="F67" s="26" t="s">
        <v>89</v>
      </c>
      <c r="G67" s="56"/>
    </row>
    <row r="68" spans="1:7" ht="51" x14ac:dyDescent="0.2">
      <c r="A68" s="20">
        <f t="shared" si="10"/>
        <v>2006</v>
      </c>
      <c r="B68" s="20">
        <f t="shared" si="9"/>
        <v>2006</v>
      </c>
      <c r="C68" s="37">
        <v>1</v>
      </c>
      <c r="D68" s="52" t="s">
        <v>120</v>
      </c>
      <c r="E68" s="57"/>
      <c r="F68" s="26" t="s">
        <v>106</v>
      </c>
      <c r="G68" s="56"/>
    </row>
    <row r="69" spans="1:7" ht="51" x14ac:dyDescent="0.2">
      <c r="A69" s="20">
        <f t="shared" si="10"/>
        <v>2007</v>
      </c>
      <c r="B69" s="20">
        <f t="shared" si="9"/>
        <v>2007</v>
      </c>
      <c r="C69" s="37">
        <v>1</v>
      </c>
      <c r="D69" s="52" t="s">
        <v>121</v>
      </c>
      <c r="E69" s="57"/>
      <c r="F69" s="26" t="s">
        <v>107</v>
      </c>
      <c r="G69" s="56"/>
    </row>
    <row r="70" spans="1:7" x14ac:dyDescent="0.2">
      <c r="A70" s="20">
        <f>+A69+C69</f>
        <v>2008</v>
      </c>
      <c r="B70" s="20">
        <f t="shared" si="9"/>
        <v>2163</v>
      </c>
      <c r="C70" s="37">
        <v>156</v>
      </c>
      <c r="D70" s="34" t="s">
        <v>6</v>
      </c>
      <c r="F70" s="34"/>
    </row>
    <row r="71" spans="1:7" ht="102" x14ac:dyDescent="0.2">
      <c r="A71" s="20">
        <f>+A70+C70</f>
        <v>2164</v>
      </c>
      <c r="B71" s="20">
        <f>A71+C71-1</f>
        <v>2173</v>
      </c>
      <c r="C71" s="20">
        <v>10</v>
      </c>
      <c r="D71" s="9" t="s">
        <v>52</v>
      </c>
      <c r="E71" s="26" t="s">
        <v>50</v>
      </c>
      <c r="F71" s="9" t="s">
        <v>97</v>
      </c>
      <c r="G71" s="26" t="s">
        <v>90</v>
      </c>
    </row>
    <row r="72" spans="1:7" s="21" customFormat="1" x14ac:dyDescent="0.2">
      <c r="A72" s="20">
        <f t="shared" si="10"/>
        <v>2174</v>
      </c>
      <c r="B72" s="20">
        <f>A72+C72-1</f>
        <v>2205</v>
      </c>
      <c r="C72" s="20">
        <v>32</v>
      </c>
      <c r="D72" s="29" t="s">
        <v>6</v>
      </c>
      <c r="E72" s="26"/>
      <c r="G72" s="44"/>
    </row>
    <row r="73" spans="1:7" s="21" customFormat="1" ht="25.5" x14ac:dyDescent="0.2">
      <c r="A73" s="20">
        <f>+A72+C72</f>
        <v>2206</v>
      </c>
      <c r="B73" s="20">
        <f>A73+C73-1</f>
        <v>2211</v>
      </c>
      <c r="C73" s="53">
        <v>6</v>
      </c>
      <c r="D73" s="29" t="s">
        <v>126</v>
      </c>
      <c r="E73" s="26" t="s">
        <v>127</v>
      </c>
      <c r="F73" s="46" t="s">
        <v>129</v>
      </c>
      <c r="G73" s="45" t="s">
        <v>128</v>
      </c>
    </row>
    <row r="74" spans="1:7" s="21" customFormat="1" x14ac:dyDescent="0.2">
      <c r="A74" s="20">
        <f>+A73+C73</f>
        <v>2212</v>
      </c>
      <c r="B74" s="20">
        <f>A74+C74-1</f>
        <v>2252</v>
      </c>
      <c r="C74" s="20">
        <v>41</v>
      </c>
      <c r="D74" s="29" t="s">
        <v>6</v>
      </c>
      <c r="E74" s="26"/>
      <c r="G74" s="44"/>
    </row>
    <row r="75" spans="1:7" s="21" customFormat="1" x14ac:dyDescent="0.2">
      <c r="A75" s="20">
        <f>+A74+C74</f>
        <v>2253</v>
      </c>
      <c r="B75" s="20">
        <f>A75+C75-1</f>
        <v>2271</v>
      </c>
      <c r="C75" s="20">
        <v>19</v>
      </c>
      <c r="D75" s="21" t="s">
        <v>8</v>
      </c>
      <c r="E75" s="26" t="s">
        <v>63</v>
      </c>
      <c r="G75" s="23" t="s">
        <v>9</v>
      </c>
    </row>
    <row r="76" spans="1:7" ht="15" customHeight="1" x14ac:dyDescent="0.2">
      <c r="A76" s="20"/>
      <c r="B76" s="37"/>
      <c r="C76" s="37"/>
      <c r="D76" s="41"/>
      <c r="E76" s="33"/>
      <c r="F76" s="41"/>
    </row>
    <row r="77" spans="1:7" ht="15.75" x14ac:dyDescent="0.2">
      <c r="A77" s="42"/>
      <c r="B77" s="42" t="s">
        <v>47</v>
      </c>
      <c r="C77" s="3">
        <f>B75</f>
        <v>2271</v>
      </c>
      <c r="D77" s="43"/>
      <c r="E77" s="23"/>
      <c r="F77" s="43"/>
      <c r="G77" s="24"/>
    </row>
    <row r="78" spans="1:7" x14ac:dyDescent="0.2">
      <c r="A78" s="20"/>
      <c r="B78" s="37"/>
      <c r="C78" s="37"/>
      <c r="D78" s="34"/>
      <c r="E78" s="23"/>
      <c r="F78" s="34"/>
    </row>
    <row r="79" spans="1:7" x14ac:dyDescent="0.2">
      <c r="A79" s="20"/>
      <c r="B79" s="20"/>
      <c r="C79" s="37"/>
      <c r="D79" s="34"/>
      <c r="E79" s="23"/>
      <c r="F79" s="34"/>
    </row>
    <row r="80" spans="1:7" x14ac:dyDescent="0.2">
      <c r="A80" s="20"/>
      <c r="B80" s="20"/>
      <c r="C80" s="37"/>
      <c r="D80" s="34"/>
      <c r="E80" s="23"/>
      <c r="F80" s="34"/>
    </row>
    <row r="81" spans="1:6" x14ac:dyDescent="0.2">
      <c r="A81" s="20"/>
      <c r="B81" s="20"/>
      <c r="C81" s="37"/>
      <c r="D81" s="34"/>
      <c r="E81" s="23"/>
      <c r="F81" s="34"/>
    </row>
    <row r="82" spans="1:6" x14ac:dyDescent="0.2">
      <c r="A82" s="20"/>
      <c r="B82" s="20"/>
      <c r="C82" s="37"/>
      <c r="D82" s="34"/>
      <c r="E82" s="23"/>
      <c r="F82" s="34"/>
    </row>
    <row r="83" spans="1:6" x14ac:dyDescent="0.2">
      <c r="A83" s="20"/>
      <c r="B83" s="20"/>
      <c r="C83" s="37"/>
      <c r="D83" s="34"/>
      <c r="E83" s="23"/>
      <c r="F83" s="34"/>
    </row>
    <row r="84" spans="1:6" x14ac:dyDescent="0.2">
      <c r="A84" s="20"/>
      <c r="B84" s="20"/>
      <c r="C84" s="37"/>
      <c r="D84" s="34"/>
      <c r="E84" s="23"/>
      <c r="F84" s="34"/>
    </row>
    <row r="85" spans="1:6" x14ac:dyDescent="0.2">
      <c r="A85" s="20"/>
      <c r="B85" s="20"/>
      <c r="C85" s="37"/>
      <c r="D85" s="34"/>
      <c r="E85" s="23"/>
      <c r="F85" s="34"/>
    </row>
    <row r="86" spans="1:6" x14ac:dyDescent="0.2">
      <c r="A86" s="20"/>
      <c r="B86" s="20"/>
      <c r="C86" s="37"/>
      <c r="D86" s="34"/>
      <c r="E86" s="23"/>
      <c r="F86" s="34"/>
    </row>
    <row r="87" spans="1:6" x14ac:dyDescent="0.2">
      <c r="A87" s="20"/>
      <c r="B87" s="20"/>
      <c r="C87" s="37"/>
      <c r="D87" s="34"/>
      <c r="E87" s="23"/>
      <c r="F87" s="34"/>
    </row>
    <row r="88" spans="1:6" x14ac:dyDescent="0.2">
      <c r="A88" s="20"/>
      <c r="B88" s="20"/>
      <c r="C88" s="37"/>
      <c r="D88" s="34"/>
      <c r="E88" s="23"/>
      <c r="F88" s="34"/>
    </row>
    <row r="89" spans="1:6" x14ac:dyDescent="0.2">
      <c r="A89" s="20"/>
      <c r="B89" s="20"/>
      <c r="C89" s="37"/>
      <c r="D89" s="34"/>
      <c r="E89" s="23"/>
      <c r="F89" s="34"/>
    </row>
    <row r="90" spans="1:6" x14ac:dyDescent="0.2">
      <c r="A90" s="20"/>
      <c r="B90" s="20"/>
      <c r="C90" s="37"/>
      <c r="D90" s="34"/>
      <c r="E90" s="23"/>
      <c r="F90" s="34"/>
    </row>
    <row r="91" spans="1:6" x14ac:dyDescent="0.2">
      <c r="A91" s="20"/>
      <c r="B91" s="20"/>
      <c r="C91" s="37"/>
      <c r="D91" s="34"/>
      <c r="E91" s="23"/>
      <c r="F91" s="34"/>
    </row>
    <row r="92" spans="1:6" x14ac:dyDescent="0.2">
      <c r="A92" s="20"/>
      <c r="B92" s="20"/>
      <c r="C92" s="37"/>
      <c r="D92" s="34"/>
      <c r="E92" s="23"/>
      <c r="F92" s="34"/>
    </row>
    <row r="93" spans="1:6" x14ac:dyDescent="0.2">
      <c r="A93" s="20"/>
      <c r="B93" s="20"/>
      <c r="C93" s="37"/>
      <c r="D93" s="34"/>
      <c r="E93" s="23"/>
      <c r="F93" s="34"/>
    </row>
    <row r="94" spans="1:6" x14ac:dyDescent="0.2">
      <c r="A94" s="20"/>
      <c r="B94" s="20"/>
      <c r="C94" s="37"/>
      <c r="D94" s="34"/>
      <c r="E94" s="23"/>
      <c r="F94" s="34"/>
    </row>
    <row r="95" spans="1:6" x14ac:dyDescent="0.2">
      <c r="A95" s="20"/>
      <c r="B95" s="20"/>
      <c r="C95" s="37"/>
      <c r="D95" s="34"/>
      <c r="E95" s="23"/>
      <c r="F95" s="34"/>
    </row>
    <row r="96" spans="1:6" x14ac:dyDescent="0.2">
      <c r="A96" s="20"/>
      <c r="B96" s="20"/>
      <c r="C96" s="37"/>
      <c r="D96" s="34"/>
      <c r="E96" s="23"/>
      <c r="F96" s="34"/>
    </row>
    <row r="97" spans="1:7" x14ac:dyDescent="0.2">
      <c r="A97" s="20"/>
      <c r="B97" s="20"/>
      <c r="C97" s="37"/>
      <c r="D97" s="34"/>
      <c r="E97" s="23"/>
      <c r="F97" s="34"/>
    </row>
    <row r="98" spans="1:7" x14ac:dyDescent="0.2">
      <c r="A98" s="20"/>
      <c r="B98" s="20"/>
      <c r="C98" s="37"/>
      <c r="D98" s="34"/>
      <c r="E98" s="23"/>
      <c r="F98" s="34"/>
    </row>
    <row r="99" spans="1:7" x14ac:dyDescent="0.2">
      <c r="A99" s="20"/>
      <c r="B99" s="20"/>
      <c r="C99" s="37"/>
      <c r="D99" s="34"/>
      <c r="E99" s="23"/>
      <c r="F99" s="34"/>
    </row>
    <row r="100" spans="1:7" x14ac:dyDescent="0.2">
      <c r="A100" s="20"/>
      <c r="B100" s="20"/>
      <c r="C100" s="37"/>
      <c r="D100" s="34"/>
      <c r="E100" s="23"/>
      <c r="F100" s="34"/>
    </row>
    <row r="101" spans="1:7" x14ac:dyDescent="0.2">
      <c r="A101" s="20"/>
      <c r="B101" s="20"/>
      <c r="C101" s="37"/>
      <c r="D101" s="34"/>
      <c r="E101" s="23"/>
      <c r="F101" s="34"/>
    </row>
    <row r="102" spans="1:7" x14ac:dyDescent="0.2">
      <c r="A102" s="20"/>
      <c r="B102" s="20"/>
      <c r="C102" s="37"/>
      <c r="D102" s="34"/>
      <c r="E102" s="23"/>
      <c r="F102" s="34"/>
    </row>
    <row r="103" spans="1:7" x14ac:dyDescent="0.2">
      <c r="A103" s="20"/>
      <c r="B103" s="20"/>
      <c r="C103" s="37"/>
      <c r="D103" s="34"/>
      <c r="E103" s="23"/>
      <c r="F103" s="34"/>
    </row>
    <row r="104" spans="1:7" x14ac:dyDescent="0.2">
      <c r="A104" s="20"/>
      <c r="B104" s="20"/>
      <c r="C104" s="37"/>
      <c r="D104" s="34"/>
      <c r="E104" s="23"/>
      <c r="F104" s="34"/>
    </row>
    <row r="105" spans="1:7" x14ac:dyDescent="0.2">
      <c r="A105" s="20"/>
      <c r="B105" s="20"/>
      <c r="C105" s="37"/>
      <c r="D105" s="34"/>
      <c r="E105" s="23"/>
      <c r="F105" s="34"/>
    </row>
    <row r="106" spans="1:7" x14ac:dyDescent="0.2">
      <c r="A106" s="20"/>
      <c r="B106" s="20"/>
      <c r="C106" s="37"/>
      <c r="D106" s="34"/>
      <c r="E106" s="23"/>
      <c r="F106" s="34"/>
    </row>
    <row r="107" spans="1:7" x14ac:dyDescent="0.2">
      <c r="A107" s="20"/>
      <c r="B107" s="20"/>
      <c r="C107" s="37"/>
      <c r="D107" s="34"/>
      <c r="E107" s="23"/>
      <c r="F107" s="34"/>
    </row>
    <row r="108" spans="1:7" ht="42" customHeight="1" x14ac:dyDescent="0.2">
      <c r="E108" s="24"/>
      <c r="G108" s="24"/>
    </row>
    <row r="109" spans="1:7" x14ac:dyDescent="0.2">
      <c r="A109" s="20"/>
      <c r="B109" s="20"/>
      <c r="C109" s="37"/>
      <c r="D109" s="34"/>
      <c r="F109" s="34"/>
    </row>
    <row r="110" spans="1:7" x14ac:dyDescent="0.2">
      <c r="A110" s="20"/>
      <c r="B110" s="20"/>
      <c r="C110" s="37"/>
      <c r="D110" s="34"/>
      <c r="F110" s="34"/>
    </row>
    <row r="111" spans="1:7" x14ac:dyDescent="0.2">
      <c r="A111" s="20"/>
      <c r="B111" s="20"/>
      <c r="C111" s="37"/>
      <c r="D111" s="34"/>
      <c r="F111" s="34"/>
    </row>
    <row r="112" spans="1:7" x14ac:dyDescent="0.2">
      <c r="A112" s="20"/>
      <c r="B112" s="20"/>
      <c r="C112" s="37"/>
      <c r="D112" s="34"/>
      <c r="F112" s="34"/>
    </row>
    <row r="113" spans="1:6" x14ac:dyDescent="0.2">
      <c r="A113" s="20"/>
      <c r="B113" s="20"/>
      <c r="C113" s="37"/>
      <c r="D113" s="34"/>
      <c r="F113" s="34"/>
    </row>
    <row r="114" spans="1:6" x14ac:dyDescent="0.2">
      <c r="A114" s="20"/>
      <c r="B114" s="20"/>
      <c r="C114" s="37"/>
      <c r="D114" s="34"/>
      <c r="F114" s="34"/>
    </row>
    <row r="115" spans="1:6" x14ac:dyDescent="0.2">
      <c r="A115" s="20"/>
      <c r="B115" s="20"/>
      <c r="C115" s="37"/>
      <c r="D115" s="34"/>
      <c r="F115" s="34"/>
    </row>
    <row r="116" spans="1:6" x14ac:dyDescent="0.2">
      <c r="A116" s="20"/>
      <c r="B116" s="20"/>
      <c r="C116" s="37"/>
      <c r="D116" s="34"/>
      <c r="F116" s="34"/>
    </row>
    <row r="117" spans="1:6" x14ac:dyDescent="0.2">
      <c r="A117" s="20"/>
      <c r="B117" s="20"/>
      <c r="C117" s="37"/>
      <c r="D117" s="34"/>
      <c r="F117" s="34"/>
    </row>
    <row r="118" spans="1:6" x14ac:dyDescent="0.2">
      <c r="A118" s="20"/>
      <c r="B118" s="20"/>
      <c r="C118" s="37"/>
      <c r="D118" s="34"/>
      <c r="F118" s="34"/>
    </row>
    <row r="119" spans="1:6" x14ac:dyDescent="0.2">
      <c r="A119" s="20"/>
      <c r="B119" s="20"/>
      <c r="C119" s="37"/>
      <c r="D119" s="34"/>
      <c r="F119" s="34"/>
    </row>
    <row r="120" spans="1:6" x14ac:dyDescent="0.2">
      <c r="A120" s="20"/>
      <c r="B120" s="20"/>
      <c r="C120" s="37"/>
      <c r="D120" s="34"/>
      <c r="F120" s="34"/>
    </row>
    <row r="121" spans="1:6" x14ac:dyDescent="0.2">
      <c r="A121" s="20"/>
      <c r="B121" s="20"/>
      <c r="C121" s="37"/>
      <c r="D121" s="34"/>
      <c r="F121" s="34"/>
    </row>
    <row r="122" spans="1:6" x14ac:dyDescent="0.2">
      <c r="A122" s="20"/>
      <c r="B122" s="20"/>
      <c r="C122" s="37"/>
      <c r="D122" s="34"/>
      <c r="F122" s="34"/>
    </row>
    <row r="123" spans="1:6" x14ac:dyDescent="0.2">
      <c r="A123" s="20"/>
      <c r="B123" s="20"/>
      <c r="C123" s="37"/>
      <c r="D123" s="34"/>
      <c r="F123" s="34"/>
    </row>
    <row r="124" spans="1:6" x14ac:dyDescent="0.2">
      <c r="A124" s="20"/>
      <c r="B124" s="20"/>
      <c r="C124" s="37"/>
      <c r="D124" s="34"/>
      <c r="F124" s="34"/>
    </row>
    <row r="125" spans="1:6" x14ac:dyDescent="0.2">
      <c r="A125" s="20"/>
      <c r="B125" s="20"/>
      <c r="C125" s="37"/>
      <c r="D125" s="34"/>
      <c r="F125" s="34"/>
    </row>
    <row r="126" spans="1:6" x14ac:dyDescent="0.2">
      <c r="A126" s="20"/>
      <c r="B126" s="20"/>
      <c r="C126" s="37"/>
      <c r="D126" s="34"/>
      <c r="F126" s="34"/>
    </row>
    <row r="127" spans="1:6" x14ac:dyDescent="0.2">
      <c r="A127" s="20"/>
      <c r="B127" s="20"/>
      <c r="C127" s="37"/>
      <c r="D127" s="34"/>
      <c r="F127" s="34"/>
    </row>
    <row r="128" spans="1:6" x14ac:dyDescent="0.2">
      <c r="A128" s="20"/>
      <c r="B128" s="20"/>
      <c r="C128" s="37"/>
      <c r="D128" s="34"/>
      <c r="F128" s="34"/>
    </row>
    <row r="129" spans="1:7" x14ac:dyDescent="0.2">
      <c r="A129" s="20"/>
      <c r="B129" s="20"/>
      <c r="C129" s="37"/>
      <c r="D129" s="34"/>
      <c r="F129" s="34"/>
    </row>
    <row r="130" spans="1:7" x14ac:dyDescent="0.2">
      <c r="A130" s="20"/>
      <c r="B130" s="20"/>
      <c r="C130" s="37"/>
      <c r="D130" s="34"/>
      <c r="F130" s="34"/>
    </row>
    <row r="131" spans="1:7" x14ac:dyDescent="0.2">
      <c r="A131" s="20"/>
      <c r="B131" s="20"/>
      <c r="C131" s="37"/>
      <c r="D131" s="34"/>
      <c r="F131" s="34"/>
    </row>
    <row r="132" spans="1:7" x14ac:dyDescent="0.2">
      <c r="A132" s="20"/>
      <c r="B132" s="20"/>
      <c r="C132" s="37"/>
      <c r="D132" s="34"/>
      <c r="F132" s="34"/>
    </row>
    <row r="133" spans="1:7" x14ac:dyDescent="0.2">
      <c r="A133" s="20"/>
      <c r="B133" s="20"/>
      <c r="C133" s="37"/>
      <c r="D133" s="34"/>
      <c r="F133" s="34"/>
    </row>
    <row r="134" spans="1:7" x14ac:dyDescent="0.2">
      <c r="A134" s="20"/>
      <c r="B134" s="20"/>
      <c r="C134" s="37"/>
      <c r="D134" s="34"/>
      <c r="F134" s="34"/>
    </row>
    <row r="135" spans="1:7" x14ac:dyDescent="0.2">
      <c r="A135" s="20"/>
      <c r="B135" s="20"/>
      <c r="C135" s="37"/>
      <c r="D135" s="34"/>
      <c r="F135" s="34"/>
    </row>
    <row r="136" spans="1:7" x14ac:dyDescent="0.2">
      <c r="A136" s="20"/>
      <c r="B136" s="20"/>
      <c r="C136" s="37"/>
      <c r="D136" s="34"/>
      <c r="F136" s="34"/>
    </row>
    <row r="137" spans="1:7" x14ac:dyDescent="0.2">
      <c r="A137" s="20"/>
      <c r="B137" s="20"/>
      <c r="C137" s="37"/>
      <c r="D137" s="34"/>
      <c r="F137" s="34"/>
    </row>
    <row r="138" spans="1:7" x14ac:dyDescent="0.2">
      <c r="A138" s="20"/>
      <c r="B138" s="20"/>
      <c r="C138" s="37"/>
      <c r="D138" s="34"/>
      <c r="F138" s="34"/>
    </row>
    <row r="139" spans="1:7" x14ac:dyDescent="0.2">
      <c r="E139" s="23"/>
      <c r="G139" s="24"/>
    </row>
    <row r="140" spans="1:7" x14ac:dyDescent="0.2">
      <c r="A140" s="20"/>
      <c r="B140" s="20"/>
      <c r="C140" s="37"/>
      <c r="D140" s="34"/>
      <c r="F140" s="34"/>
    </row>
    <row r="141" spans="1:7" x14ac:dyDescent="0.2">
      <c r="B141" s="20"/>
      <c r="C141" s="37"/>
      <c r="D141" s="34"/>
      <c r="F141" s="34"/>
    </row>
    <row r="142" spans="1:7" x14ac:dyDescent="0.2">
      <c r="B142" s="20"/>
      <c r="C142" s="37"/>
      <c r="D142" s="34"/>
      <c r="F142" s="34"/>
    </row>
    <row r="143" spans="1:7" x14ac:dyDescent="0.2">
      <c r="B143" s="20"/>
      <c r="C143" s="37"/>
      <c r="D143" s="34"/>
      <c r="F143" s="34"/>
    </row>
    <row r="144" spans="1:7" x14ac:dyDescent="0.2">
      <c r="B144" s="20"/>
      <c r="C144" s="37"/>
      <c r="D144" s="34"/>
      <c r="F144" s="34"/>
    </row>
    <row r="145" spans="2:6" x14ac:dyDescent="0.2">
      <c r="B145" s="20"/>
      <c r="C145" s="37"/>
      <c r="D145" s="34"/>
      <c r="F145" s="34"/>
    </row>
    <row r="146" spans="2:6" x14ac:dyDescent="0.2">
      <c r="B146" s="20"/>
      <c r="C146" s="37"/>
      <c r="D146" s="34"/>
      <c r="F146" s="34"/>
    </row>
    <row r="147" spans="2:6" x14ac:dyDescent="0.2">
      <c r="B147" s="20"/>
      <c r="C147" s="37"/>
      <c r="D147" s="34"/>
      <c r="F147" s="34"/>
    </row>
    <row r="148" spans="2:6" x14ac:dyDescent="0.2">
      <c r="B148" s="20"/>
      <c r="C148" s="37"/>
      <c r="D148" s="34"/>
      <c r="F148" s="34"/>
    </row>
    <row r="149" spans="2:6" x14ac:dyDescent="0.2">
      <c r="B149" s="20"/>
      <c r="C149" s="37"/>
      <c r="D149" s="34"/>
      <c r="F149" s="34"/>
    </row>
    <row r="150" spans="2:6" x14ac:dyDescent="0.2">
      <c r="B150" s="20"/>
      <c r="C150" s="37"/>
      <c r="D150" s="34"/>
      <c r="F150" s="34"/>
    </row>
    <row r="151" spans="2:6" x14ac:dyDescent="0.2">
      <c r="B151" s="20"/>
      <c r="C151" s="37"/>
      <c r="D151" s="34"/>
      <c r="F151" s="34"/>
    </row>
    <row r="152" spans="2:6" x14ac:dyDescent="0.2">
      <c r="B152" s="20"/>
      <c r="C152" s="37"/>
      <c r="D152" s="34"/>
      <c r="F152" s="34"/>
    </row>
    <row r="153" spans="2:6" x14ac:dyDescent="0.2">
      <c r="B153" s="20"/>
      <c r="C153" s="37"/>
      <c r="D153" s="34"/>
      <c r="F153" s="34"/>
    </row>
    <row r="154" spans="2:6" x14ac:dyDescent="0.2">
      <c r="B154" s="20"/>
      <c r="C154" s="37"/>
      <c r="D154" s="34"/>
      <c r="F154" s="34"/>
    </row>
    <row r="155" spans="2:6" x14ac:dyDescent="0.2">
      <c r="B155" s="20"/>
      <c r="C155" s="37"/>
      <c r="D155" s="34"/>
      <c r="F155" s="34"/>
    </row>
    <row r="156" spans="2:6" x14ac:dyDescent="0.2">
      <c r="B156" s="20"/>
      <c r="C156" s="37"/>
      <c r="D156" s="34"/>
      <c r="F156" s="34"/>
    </row>
    <row r="157" spans="2:6" x14ac:dyDescent="0.2">
      <c r="B157" s="20"/>
      <c r="C157" s="37"/>
      <c r="D157" s="34"/>
      <c r="F157" s="34"/>
    </row>
    <row r="158" spans="2:6" x14ac:dyDescent="0.2">
      <c r="B158" s="20"/>
      <c r="C158" s="37"/>
      <c r="D158" s="34"/>
      <c r="F158" s="34"/>
    </row>
    <row r="159" spans="2:6" x14ac:dyDescent="0.2">
      <c r="B159" s="20"/>
      <c r="C159" s="37"/>
      <c r="D159" s="34"/>
      <c r="F159" s="34"/>
    </row>
    <row r="160" spans="2:6" x14ac:dyDescent="0.2">
      <c r="B160" s="20"/>
      <c r="C160" s="37"/>
      <c r="D160" s="34"/>
      <c r="F160" s="34"/>
    </row>
    <row r="161" spans="2:7" x14ac:dyDescent="0.2">
      <c r="B161" s="20"/>
      <c r="C161" s="37"/>
      <c r="D161" s="34"/>
      <c r="F161" s="34"/>
    </row>
    <row r="162" spans="2:7" x14ac:dyDescent="0.2">
      <c r="B162" s="20"/>
      <c r="C162" s="37"/>
      <c r="D162" s="34"/>
      <c r="F162" s="34"/>
    </row>
    <row r="163" spans="2:7" x14ac:dyDescent="0.2">
      <c r="B163" s="20"/>
      <c r="C163" s="37"/>
      <c r="D163" s="34"/>
      <c r="F163" s="34"/>
    </row>
    <row r="164" spans="2:7" x14ac:dyDescent="0.2">
      <c r="B164" s="20"/>
      <c r="C164" s="37"/>
      <c r="D164" s="34"/>
      <c r="F164" s="34"/>
    </row>
    <row r="165" spans="2:7" x14ac:dyDescent="0.2">
      <c r="B165" s="20"/>
      <c r="C165" s="37"/>
      <c r="D165" s="34"/>
      <c r="F165" s="34"/>
    </row>
    <row r="166" spans="2:7" x14ac:dyDescent="0.2">
      <c r="B166" s="20"/>
      <c r="C166" s="37"/>
      <c r="D166" s="34"/>
      <c r="F166" s="34"/>
    </row>
    <row r="167" spans="2:7" x14ac:dyDescent="0.2">
      <c r="B167" s="20"/>
      <c r="C167" s="37"/>
      <c r="D167" s="34"/>
      <c r="F167" s="34"/>
    </row>
    <row r="168" spans="2:7" x14ac:dyDescent="0.2">
      <c r="B168" s="20"/>
      <c r="C168" s="37"/>
      <c r="D168" s="34"/>
      <c r="F168" s="34"/>
    </row>
    <row r="169" spans="2:7" x14ac:dyDescent="0.2">
      <c r="B169" s="20"/>
      <c r="C169" s="37"/>
      <c r="D169" s="34"/>
      <c r="F169" s="34"/>
    </row>
    <row r="170" spans="2:7" x14ac:dyDescent="0.2">
      <c r="E170" s="23"/>
      <c r="G170" s="24"/>
    </row>
    <row r="171" spans="2:7" x14ac:dyDescent="0.2">
      <c r="B171" s="20"/>
      <c r="C171" s="37"/>
      <c r="D171" s="34"/>
      <c r="F171" s="34"/>
    </row>
    <row r="172" spans="2:7" x14ac:dyDescent="0.2">
      <c r="B172" s="20"/>
      <c r="C172" s="37"/>
      <c r="D172" s="34"/>
      <c r="F172" s="34"/>
    </row>
    <row r="173" spans="2:7" x14ac:dyDescent="0.2">
      <c r="B173" s="20"/>
      <c r="C173" s="37"/>
      <c r="D173" s="34"/>
      <c r="F173" s="34"/>
    </row>
    <row r="174" spans="2:7" x14ac:dyDescent="0.2">
      <c r="B174" s="20"/>
      <c r="C174" s="37"/>
      <c r="D174" s="34"/>
      <c r="F174" s="34"/>
    </row>
    <row r="175" spans="2:7" x14ac:dyDescent="0.2">
      <c r="B175" s="20"/>
      <c r="C175" s="37"/>
      <c r="D175" s="34"/>
      <c r="F175" s="34"/>
    </row>
    <row r="176" spans="2:7" x14ac:dyDescent="0.2">
      <c r="B176" s="20"/>
      <c r="C176" s="37"/>
      <c r="D176" s="34"/>
      <c r="F176" s="34"/>
    </row>
    <row r="177" spans="2:6" x14ac:dyDescent="0.2">
      <c r="B177" s="20"/>
      <c r="C177" s="37"/>
      <c r="D177" s="34"/>
      <c r="F177" s="34"/>
    </row>
    <row r="178" spans="2:6" x14ac:dyDescent="0.2">
      <c r="B178" s="20"/>
      <c r="C178" s="37"/>
      <c r="D178" s="34"/>
      <c r="F178" s="34"/>
    </row>
    <row r="179" spans="2:6" x14ac:dyDescent="0.2">
      <c r="B179" s="20"/>
      <c r="C179" s="37"/>
      <c r="D179" s="34"/>
      <c r="F179" s="34"/>
    </row>
    <row r="180" spans="2:6" x14ac:dyDescent="0.2">
      <c r="B180" s="20"/>
      <c r="C180" s="37"/>
      <c r="D180" s="34"/>
      <c r="F180" s="34"/>
    </row>
    <row r="181" spans="2:6" x14ac:dyDescent="0.2">
      <c r="B181" s="20"/>
      <c r="C181" s="37"/>
      <c r="D181" s="34"/>
      <c r="F181" s="34"/>
    </row>
    <row r="182" spans="2:6" x14ac:dyDescent="0.2">
      <c r="B182" s="20"/>
      <c r="C182" s="37"/>
      <c r="D182" s="34"/>
      <c r="F182" s="34"/>
    </row>
    <row r="183" spans="2:6" x14ac:dyDescent="0.2">
      <c r="B183" s="20"/>
      <c r="C183" s="37"/>
      <c r="D183" s="34"/>
      <c r="F183" s="34"/>
    </row>
    <row r="184" spans="2:6" x14ac:dyDescent="0.2">
      <c r="B184" s="20"/>
      <c r="C184" s="37"/>
      <c r="D184" s="34"/>
      <c r="F184" s="34"/>
    </row>
    <row r="185" spans="2:6" x14ac:dyDescent="0.2">
      <c r="B185" s="20"/>
      <c r="C185" s="37"/>
      <c r="D185" s="34"/>
      <c r="F185" s="34"/>
    </row>
    <row r="186" spans="2:6" x14ac:dyDescent="0.2">
      <c r="B186" s="20"/>
      <c r="C186" s="37"/>
      <c r="D186" s="34"/>
      <c r="F186" s="34"/>
    </row>
    <row r="187" spans="2:6" x14ac:dyDescent="0.2">
      <c r="B187" s="20"/>
      <c r="C187" s="37"/>
      <c r="D187" s="34"/>
      <c r="F187" s="34"/>
    </row>
    <row r="188" spans="2:6" x14ac:dyDescent="0.2">
      <c r="B188" s="20"/>
      <c r="C188" s="37"/>
      <c r="D188" s="34"/>
      <c r="F188" s="34"/>
    </row>
    <row r="189" spans="2:6" x14ac:dyDescent="0.2">
      <c r="B189" s="20"/>
      <c r="C189" s="37"/>
      <c r="D189" s="34"/>
      <c r="F189" s="34"/>
    </row>
    <row r="190" spans="2:6" x14ac:dyDescent="0.2">
      <c r="B190" s="20"/>
      <c r="C190" s="37"/>
      <c r="D190" s="34"/>
      <c r="F190" s="34"/>
    </row>
    <row r="191" spans="2:6" x14ac:dyDescent="0.2">
      <c r="B191" s="20"/>
      <c r="C191" s="37"/>
      <c r="D191" s="34"/>
      <c r="F191" s="34"/>
    </row>
    <row r="192" spans="2:6" x14ac:dyDescent="0.2">
      <c r="B192" s="20"/>
      <c r="C192" s="37"/>
      <c r="D192" s="34"/>
      <c r="F192" s="34"/>
    </row>
    <row r="193" spans="2:7" x14ac:dyDescent="0.2">
      <c r="B193" s="20"/>
      <c r="C193" s="37"/>
      <c r="D193" s="34"/>
      <c r="F193" s="34"/>
    </row>
    <row r="194" spans="2:7" x14ac:dyDescent="0.2">
      <c r="B194" s="20"/>
      <c r="C194" s="37"/>
      <c r="D194" s="34"/>
      <c r="F194" s="34"/>
    </row>
    <row r="195" spans="2:7" x14ac:dyDescent="0.2">
      <c r="B195" s="20"/>
      <c r="C195" s="37"/>
      <c r="D195" s="34"/>
      <c r="F195" s="34"/>
    </row>
    <row r="196" spans="2:7" x14ac:dyDescent="0.2">
      <c r="B196" s="20"/>
      <c r="C196" s="37"/>
      <c r="D196" s="34"/>
      <c r="F196" s="34"/>
    </row>
    <row r="197" spans="2:7" x14ac:dyDescent="0.2">
      <c r="B197" s="20"/>
      <c r="C197" s="37"/>
      <c r="D197" s="34"/>
      <c r="F197" s="34"/>
    </row>
    <row r="198" spans="2:7" x14ac:dyDescent="0.2">
      <c r="B198" s="20"/>
      <c r="C198" s="37"/>
      <c r="D198" s="34"/>
      <c r="F198" s="34"/>
    </row>
    <row r="199" spans="2:7" x14ac:dyDescent="0.2">
      <c r="B199" s="20"/>
      <c r="C199" s="37"/>
      <c r="D199" s="34"/>
      <c r="F199" s="34"/>
    </row>
    <row r="200" spans="2:7" x14ac:dyDescent="0.2">
      <c r="B200" s="20"/>
      <c r="C200" s="37"/>
      <c r="D200" s="34"/>
      <c r="F200" s="34"/>
    </row>
    <row r="201" spans="2:7" x14ac:dyDescent="0.2">
      <c r="E201" s="23"/>
      <c r="G201" s="24"/>
    </row>
    <row r="202" spans="2:7" x14ac:dyDescent="0.2">
      <c r="B202" s="20"/>
      <c r="C202" s="37"/>
      <c r="D202" s="34"/>
      <c r="F202" s="34"/>
    </row>
    <row r="203" spans="2:7" x14ac:dyDescent="0.2">
      <c r="B203" s="20"/>
      <c r="C203" s="37"/>
      <c r="D203" s="34"/>
      <c r="F203" s="34"/>
    </row>
    <row r="204" spans="2:7" x14ac:dyDescent="0.2">
      <c r="B204" s="20"/>
      <c r="C204" s="37"/>
      <c r="D204" s="34"/>
      <c r="F204" s="34"/>
    </row>
    <row r="205" spans="2:7" x14ac:dyDescent="0.2">
      <c r="B205" s="20"/>
      <c r="C205" s="37"/>
      <c r="D205" s="34"/>
      <c r="F205" s="34"/>
    </row>
    <row r="206" spans="2:7" x14ac:dyDescent="0.2">
      <c r="B206" s="20"/>
      <c r="C206" s="37"/>
      <c r="D206" s="34"/>
      <c r="F206" s="34"/>
    </row>
    <row r="207" spans="2:7" x14ac:dyDescent="0.2">
      <c r="B207" s="20"/>
      <c r="C207" s="37"/>
      <c r="D207" s="34"/>
      <c r="F207" s="34"/>
    </row>
    <row r="208" spans="2:7" x14ac:dyDescent="0.2">
      <c r="B208" s="20"/>
      <c r="C208" s="37"/>
      <c r="D208" s="34"/>
      <c r="F208" s="34"/>
    </row>
    <row r="209" spans="2:6" x14ac:dyDescent="0.2">
      <c r="B209" s="20"/>
      <c r="C209" s="37"/>
      <c r="D209" s="34"/>
      <c r="F209" s="34"/>
    </row>
    <row r="210" spans="2:6" x14ac:dyDescent="0.2">
      <c r="B210" s="20"/>
      <c r="C210" s="37"/>
      <c r="D210" s="34"/>
      <c r="F210" s="34"/>
    </row>
    <row r="211" spans="2:6" x14ac:dyDescent="0.2">
      <c r="B211" s="20"/>
      <c r="C211" s="37"/>
      <c r="D211" s="34"/>
      <c r="F211" s="34"/>
    </row>
    <row r="212" spans="2:6" x14ac:dyDescent="0.2">
      <c r="B212" s="20"/>
      <c r="C212" s="37"/>
      <c r="D212" s="34"/>
      <c r="F212" s="34"/>
    </row>
    <row r="213" spans="2:6" x14ac:dyDescent="0.2">
      <c r="B213" s="20"/>
      <c r="C213" s="37"/>
      <c r="D213" s="34"/>
      <c r="F213" s="34"/>
    </row>
    <row r="214" spans="2:6" x14ac:dyDescent="0.2">
      <c r="B214" s="20"/>
      <c r="C214" s="37"/>
      <c r="D214" s="34"/>
      <c r="F214" s="34"/>
    </row>
    <row r="215" spans="2:6" x14ac:dyDescent="0.2">
      <c r="B215" s="20"/>
      <c r="C215" s="37"/>
      <c r="D215" s="34"/>
      <c r="F215" s="34"/>
    </row>
    <row r="216" spans="2:6" x14ac:dyDescent="0.2">
      <c r="B216" s="20"/>
      <c r="C216" s="37"/>
      <c r="D216" s="34"/>
      <c r="F216" s="34"/>
    </row>
    <row r="217" spans="2:6" x14ac:dyDescent="0.2">
      <c r="B217" s="20"/>
      <c r="C217" s="37"/>
      <c r="D217" s="34"/>
      <c r="F217" s="34"/>
    </row>
    <row r="218" spans="2:6" x14ac:dyDescent="0.2">
      <c r="B218" s="20"/>
      <c r="C218" s="37"/>
      <c r="D218" s="34"/>
      <c r="F218" s="34"/>
    </row>
    <row r="219" spans="2:6" x14ac:dyDescent="0.2">
      <c r="B219" s="20"/>
      <c r="C219" s="37"/>
      <c r="D219" s="34"/>
      <c r="F219" s="34"/>
    </row>
    <row r="220" spans="2:6" x14ac:dyDescent="0.2">
      <c r="B220" s="20"/>
      <c r="C220" s="37"/>
      <c r="D220" s="34"/>
      <c r="F220" s="34"/>
    </row>
    <row r="221" spans="2:6" x14ac:dyDescent="0.2">
      <c r="B221" s="20"/>
      <c r="C221" s="37"/>
      <c r="D221" s="34"/>
      <c r="F221" s="34"/>
    </row>
    <row r="222" spans="2:6" x14ac:dyDescent="0.2">
      <c r="B222" s="20"/>
      <c r="C222" s="37"/>
      <c r="D222" s="34"/>
      <c r="F222" s="34"/>
    </row>
    <row r="223" spans="2:6" x14ac:dyDescent="0.2">
      <c r="B223" s="20"/>
      <c r="C223" s="37"/>
      <c r="D223" s="34"/>
      <c r="F223" s="34"/>
    </row>
    <row r="224" spans="2:6" x14ac:dyDescent="0.2">
      <c r="B224" s="20"/>
      <c r="C224" s="37"/>
      <c r="D224" s="34"/>
      <c r="F224" s="34"/>
    </row>
    <row r="225" spans="2:6" x14ac:dyDescent="0.2">
      <c r="B225" s="20"/>
      <c r="C225" s="37"/>
      <c r="D225" s="34"/>
      <c r="F225" s="34"/>
    </row>
    <row r="226" spans="2:6" x14ac:dyDescent="0.2">
      <c r="B226" s="20"/>
      <c r="C226" s="37"/>
      <c r="D226" s="34"/>
      <c r="F226" s="34"/>
    </row>
    <row r="227" spans="2:6" x14ac:dyDescent="0.2">
      <c r="B227" s="20"/>
      <c r="C227" s="37"/>
      <c r="D227" s="34"/>
      <c r="F227" s="34"/>
    </row>
    <row r="228" spans="2:6" x14ac:dyDescent="0.2">
      <c r="B228" s="20"/>
      <c r="C228" s="37"/>
      <c r="D228" s="34"/>
      <c r="F228" s="34"/>
    </row>
    <row r="229" spans="2:6" x14ac:dyDescent="0.2">
      <c r="B229" s="20"/>
      <c r="C229" s="37"/>
      <c r="D229" s="34"/>
      <c r="F229" s="34"/>
    </row>
    <row r="230" spans="2:6" x14ac:dyDescent="0.2">
      <c r="B230" s="20"/>
      <c r="C230" s="37"/>
      <c r="D230" s="34"/>
      <c r="F230" s="34"/>
    </row>
    <row r="231" spans="2:6" x14ac:dyDescent="0.2">
      <c r="B231" s="20"/>
      <c r="C231" s="37"/>
      <c r="D231" s="34"/>
      <c r="F231" s="34"/>
    </row>
    <row r="232" spans="2:6" x14ac:dyDescent="0.2">
      <c r="B232" s="20"/>
      <c r="C232" s="37"/>
    </row>
  </sheetData>
  <customSheetViews>
    <customSheetView guid="{7E4D7CCA-1395-44FA-80A0-38FFA0DD8C49}" showPageBreaks="1" fitToPage="1" showRuler="0" topLeftCell="A522">
      <selection activeCell="I534" sqref="I534"/>
      <pageMargins left="0.5" right="0.5" top="0.46" bottom="0.5" header="0.27" footer="0.23"/>
      <printOptions gridLines="1"/>
      <pageSetup scale="61" fitToHeight="20" orientation="landscape" r:id="rId1"/>
      <headerFooter alignWithMargins="0">
        <oddHeader>&amp;L&amp;"Arial,Bold"DRC Confidential&amp;R&amp;"Arial,Bold"&amp;D</oddHeader>
        <oddFooter>&amp;L## Used for a Retest administration only.
** Used for an Operational administration only&amp;CPage &amp;P of &amp;N</oddFooter>
      </headerFooter>
    </customSheetView>
    <customSheetView guid="{B792D786-3755-11D6-AB7B-0050DA2DACD5}" scale="70" showPageBreaks="1" fitToPage="1" showRuler="0" topLeftCell="D15">
      <selection activeCell="G24" sqref="G24"/>
      <pageMargins left="0.75" right="0.75" top="0.46" bottom="0.41" header="0.27" footer="0.23"/>
      <printOptions gridLines="1"/>
      <pageSetup scale="64" fitToHeight="15" orientation="landscape" r:id="rId2"/>
      <headerFooter alignWithMargins="0">
        <oddHeader>&amp;L&amp;"Arial,Bold"DRC Confidential&amp;R&amp;"Arial,Bold"&amp;D</oddHeader>
        <oddFooter>Page &amp;P of &amp;N</oddFooter>
      </headerFooter>
    </customSheetView>
    <customSheetView guid="{E34B366C-36F7-11D6-A24B-0050DA0A5BC6}" scale="85" showPageBreaks="1" fitToPage="1" showRuler="0" topLeftCell="D361">
      <selection activeCell="E361" sqref="E361"/>
      <pageMargins left="0.75" right="0.75" top="0.46" bottom="0.41" header="0.27" footer="0.23"/>
      <printOptions gridLines="1"/>
      <pageSetup scale="65" fitToHeight="15" orientation="landscape" r:id="rId3"/>
      <headerFooter alignWithMargins="0">
        <oddHeader>&amp;L&amp;"Arial,Bold"DRC Confidential&amp;R&amp;"Arial,Bold"&amp;D</oddHeader>
        <oddFooter>Page &amp;P of &amp;N</oddFooter>
      </headerFooter>
    </customSheetView>
    <customSheetView guid="{A5DDCBF3-D6F4-4EB4-918C-ECABFE1A43AD}" fitToPage="1" showRuler="0" topLeftCell="I24">
      <selection activeCell="J33" sqref="J33:J34"/>
      <pageMargins left="0.5" right="0.5" top="0.46" bottom="0.5" header="0.27" footer="0.23"/>
      <printOptions gridLines="1"/>
      <pageSetup scale="59" fitToHeight="20" orientation="landscape" r:id="rId4"/>
      <headerFooter alignWithMargins="0">
        <oddHeader>&amp;L&amp;"Arial,Bold"DRC Confidential&amp;R&amp;"Arial,Bold"&amp;D</oddHeader>
        <oddFooter>&amp;L## Used for a Retest administration only.
** Used for an Operational administration only&amp;CPage &amp;P of &amp;N</oddFooter>
      </headerFooter>
    </customSheetView>
    <customSheetView guid="{711973F9-5431-4922-B46E-FFB4E07E9E58}" fitToPage="1" hiddenColumns="1" showRuler="0" topLeftCell="H32">
      <selection activeCell="H47" sqref="H47"/>
      <pageMargins left="0.5" right="0.5" top="0.46" bottom="0.5" header="0.27" footer="0.23"/>
      <printOptions gridLines="1"/>
      <pageSetup scale="56" fitToHeight="20" orientation="landscape" r:id="rId5"/>
      <headerFooter alignWithMargins="0">
        <oddHeader>&amp;L&amp;"Arial,Bold"DRC Confidential&amp;R&amp;"Arial,Bold"&amp;D</oddHeader>
        <oddFooter>&amp;CPage &amp;P of &amp;N</oddFooter>
      </headerFooter>
    </customSheetView>
  </customSheetViews>
  <mergeCells count="14">
    <mergeCell ref="A1:E1"/>
    <mergeCell ref="G17:G19"/>
    <mergeCell ref="G12:G13"/>
    <mergeCell ref="G7:G8"/>
    <mergeCell ref="E52:E55"/>
    <mergeCell ref="E39:E41"/>
    <mergeCell ref="E59:E62"/>
    <mergeCell ref="G39:G41"/>
    <mergeCell ref="E45:E48"/>
    <mergeCell ref="E66:E69"/>
    <mergeCell ref="G45:G48"/>
    <mergeCell ref="G52:G55"/>
    <mergeCell ref="G59:G62"/>
    <mergeCell ref="G66:G69"/>
  </mergeCells>
  <phoneticPr fontId="8" type="noConversion"/>
  <printOptions horizontalCentered="1" gridLines="1"/>
  <pageMargins left="0.5" right="0.5" top="0.46" bottom="0.5" header="0.27" footer="0.23"/>
  <pageSetup scale="55" fitToHeight="20" orientation="landscape" r:id="rId6"/>
  <headerFooter alignWithMargins="0">
    <oddHeader>&amp;RLayout provided by Data Recognition Corporation - Proprietary and Confidential</oddHeader>
    <oddFooter>&amp;CPage &amp;P of &amp;N&amp;RLast Saved Date: 8/16/2013 10:11:15 AM</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135"/>
  <sheetViews>
    <sheetView zoomScaleNormal="100" workbookViewId="0">
      <selection sqref="A1:C1"/>
    </sheetView>
  </sheetViews>
  <sheetFormatPr defaultRowHeight="12.75" x14ac:dyDescent="0.2"/>
  <cols>
    <col min="1" max="1" width="11.5703125" style="13" customWidth="1"/>
    <col min="2" max="2" width="68.28515625" style="11" customWidth="1"/>
    <col min="3" max="3" width="17.5703125" style="11" customWidth="1"/>
    <col min="4" max="12" width="9.140625" style="1"/>
    <col min="13" max="13" width="8.85546875" style="1" customWidth="1"/>
    <col min="14" max="16384" width="9.140625" style="1"/>
  </cols>
  <sheetData>
    <row r="1" spans="1:4" ht="30" customHeight="1" x14ac:dyDescent="0.2">
      <c r="A1" s="62" t="s">
        <v>16</v>
      </c>
      <c r="B1" s="62"/>
      <c r="C1" s="62"/>
    </row>
    <row r="2" spans="1:4" ht="25.5" x14ac:dyDescent="0.2">
      <c r="A2" s="12" t="s">
        <v>17</v>
      </c>
      <c r="B2" s="14" t="s">
        <v>18</v>
      </c>
      <c r="C2" s="10" t="s">
        <v>19</v>
      </c>
      <c r="D2" s="2"/>
    </row>
    <row r="6" spans="1:4" ht="28.5" customHeight="1" x14ac:dyDescent="0.2"/>
    <row r="127" ht="51" customHeight="1" x14ac:dyDescent="0.2"/>
    <row r="130" ht="26.25" customHeight="1" x14ac:dyDescent="0.2"/>
    <row r="131" ht="26.25" customHeight="1" x14ac:dyDescent="0.2"/>
    <row r="135" ht="26.25" customHeight="1" x14ac:dyDescent="0.2"/>
  </sheetData>
  <mergeCells count="1">
    <mergeCell ref="A1:C1"/>
  </mergeCells>
  <phoneticPr fontId="8" type="noConversion"/>
  <pageMargins left="0.5" right="0.5" top="1" bottom="1" header="0.5" footer="0.5"/>
  <pageSetup orientation="portrait" r:id="rId1"/>
  <headerFooter alignWithMargins="0">
    <oddFooter>&amp;RLast Saved Date: 2/15/2012 11:30:31 AM</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Grade 2 ITBS LDESTD</vt:lpstr>
      <vt:lpstr>Revision Log</vt:lpstr>
      <vt:lpstr>'Revision Log'!Print_Area</vt:lpstr>
      <vt:lpstr>'Grade 2 ITBS LDESTD'!Print_Titles</vt:lpstr>
    </vt:vector>
  </TitlesOfParts>
  <Company>DOE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fchou</dc:creator>
  <cp:lastModifiedBy>WTRAHAN</cp:lastModifiedBy>
  <cp:lastPrinted>2012-04-25T15:32:19Z</cp:lastPrinted>
  <dcterms:created xsi:type="dcterms:W3CDTF">1999-04-08T16:47:24Z</dcterms:created>
  <dcterms:modified xsi:type="dcterms:W3CDTF">2013-08-16T15:11:46Z</dcterms:modified>
</cp:coreProperties>
</file>