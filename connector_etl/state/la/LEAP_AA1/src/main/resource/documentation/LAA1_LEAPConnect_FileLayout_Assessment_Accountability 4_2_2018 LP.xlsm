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F2B83AC3-3A92-4FF1-8D57-CA5CB3A19BB1}"/>
  <workbookPr codeName="ThisWorkbook"/>
  <bookViews>
    <workbookView xWindow="0" yWindow="0" windowWidth="23256" windowHeight="12792"/>
  </bookViews>
  <sheets>
    <sheet name="LDESTD" sheetId="1" r:id="rId1"/>
    <sheet name="Revision Log" sheetId="2" r:id="rId2"/>
    <sheet name="Reference Locations" sheetId="3" r:id="rId3"/>
  </sheets>
  <definedNames>
    <definedName name="_xlnm._FilterDatabase" localSheetId="0" hidden="1">LDESTD!$A$2:$B$292</definedName>
    <definedName name="_xlnm.Print_Titles" localSheetId="0">LDESTD!$1:$2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8" i="1" l="1"/>
  <c r="D116" i="1"/>
  <c r="E116" i="1"/>
  <c r="D87" i="1" l="1"/>
  <c r="D86" i="1"/>
  <c r="E86" i="1" s="1"/>
  <c r="D5" i="1" l="1"/>
  <c r="D6" i="1" s="1"/>
  <c r="E4" i="1"/>
  <c r="E6" i="1" l="1"/>
  <c r="D7" i="1"/>
  <c r="E5" i="1"/>
  <c r="D8" i="1" l="1"/>
  <c r="E7" i="1"/>
  <c r="E8" i="1" l="1"/>
  <c r="D9" i="1"/>
  <c r="D10" i="1" l="1"/>
  <c r="E9" i="1"/>
  <c r="E10" i="1" l="1"/>
  <c r="D11" i="1"/>
  <c r="D12" i="1" l="1"/>
  <c r="E11" i="1"/>
  <c r="E12" i="1" l="1"/>
  <c r="D13" i="1"/>
  <c r="D14" i="1" l="1"/>
  <c r="E13" i="1"/>
  <c r="E14" i="1" l="1"/>
  <c r="D15" i="1"/>
  <c r="D16" i="1" l="1"/>
  <c r="E15" i="1"/>
  <c r="E16" i="1" l="1"/>
  <c r="D17" i="1"/>
  <c r="D18" i="1" l="1"/>
  <c r="E17" i="1"/>
  <c r="E18" i="1" l="1"/>
  <c r="D19" i="1"/>
  <c r="D20" i="1" l="1"/>
  <c r="E19" i="1"/>
  <c r="E20" i="1" l="1"/>
  <c r="D21" i="1"/>
  <c r="D22" i="1" l="1"/>
  <c r="E21" i="1"/>
  <c r="E22" i="1" l="1"/>
  <c r="D23" i="1"/>
  <c r="D24" i="1" l="1"/>
  <c r="D25" i="1" s="1"/>
  <c r="D26" i="1" s="1"/>
  <c r="E23" i="1"/>
  <c r="E24" i="1" l="1"/>
  <c r="D27" i="1" l="1"/>
  <c r="E26" i="1"/>
  <c r="E27" i="1" l="1"/>
  <c r="D28" i="1"/>
  <c r="D29" i="1" s="1"/>
  <c r="E29" i="1" l="1"/>
  <c r="D30" i="1"/>
  <c r="E28" i="1"/>
  <c r="E30" i="1" l="1"/>
  <c r="D31" i="1"/>
  <c r="D32" i="1" l="1"/>
  <c r="D33" i="1" s="1"/>
  <c r="E31" i="1"/>
  <c r="D34" i="1" l="1"/>
  <c r="E32" i="1"/>
  <c r="E34" i="1" l="1"/>
  <c r="D35" i="1"/>
  <c r="D36" i="1" l="1"/>
  <c r="E35" i="1"/>
  <c r="E36" i="1" l="1"/>
  <c r="D37" i="1"/>
  <c r="D38" i="1" l="1"/>
  <c r="E37" i="1"/>
  <c r="E38" i="1" l="1"/>
  <c r="D39" i="1"/>
  <c r="E39" i="1" l="1"/>
  <c r="D40" i="1"/>
  <c r="E25" i="1"/>
  <c r="E40" i="1" l="1"/>
  <c r="D41" i="1"/>
  <c r="E33" i="1"/>
  <c r="E41" i="1" l="1"/>
  <c r="D42" i="1"/>
  <c r="D43" i="1" l="1"/>
  <c r="E42" i="1"/>
  <c r="E43" i="1" l="1"/>
  <c r="D44" i="1"/>
  <c r="D45" i="1" l="1"/>
  <c r="E44" i="1"/>
  <c r="D48" i="1" l="1"/>
  <c r="E45" i="1"/>
  <c r="D49" i="1" l="1"/>
  <c r="E48" i="1"/>
  <c r="D50" i="1" l="1"/>
  <c r="E49" i="1"/>
  <c r="E50" i="1" l="1"/>
  <c r="D51" i="1"/>
  <c r="E51" i="1" l="1"/>
  <c r="D52" i="1"/>
  <c r="D53" i="1" s="1"/>
  <c r="E52" i="1" l="1"/>
  <c r="E53" i="1" l="1"/>
  <c r="D55" i="1"/>
  <c r="E55" i="1" l="1"/>
  <c r="D56" i="1"/>
  <c r="D57" i="1" l="1"/>
  <c r="E56" i="1"/>
  <c r="D58" i="1" l="1"/>
  <c r="E57" i="1"/>
  <c r="E58" i="1" l="1"/>
  <c r="D59" i="1"/>
  <c r="D60" i="1" s="1"/>
  <c r="E59" i="1" l="1"/>
  <c r="D63" i="1" l="1"/>
  <c r="D64" i="1" l="1"/>
  <c r="E63" i="1"/>
  <c r="E60" i="1"/>
  <c r="D65" i="1" l="1"/>
  <c r="E64" i="1"/>
  <c r="D66" i="1" l="1"/>
  <c r="E65" i="1"/>
  <c r="D67" i="1" l="1"/>
  <c r="D68" i="1" s="1"/>
  <c r="E66" i="1"/>
  <c r="D69" i="1" l="1"/>
  <c r="E68" i="1"/>
  <c r="E67" i="1"/>
  <c r="E69" i="1" l="1"/>
  <c r="D71" i="1"/>
  <c r="D72" i="1" l="1"/>
  <c r="E71" i="1"/>
  <c r="E72" i="1" l="1"/>
  <c r="D73" i="1"/>
  <c r="E73" i="1" l="1"/>
  <c r="D74" i="1"/>
  <c r="E74" i="1" l="1"/>
  <c r="D75" i="1"/>
  <c r="E75" i="1" l="1"/>
  <c r="D76" i="1"/>
  <c r="D77" i="1" l="1"/>
  <c r="E76" i="1"/>
  <c r="E77" i="1" l="1"/>
  <c r="D79" i="1"/>
  <c r="D80" i="1" l="1"/>
  <c r="E79" i="1"/>
  <c r="E80" i="1" l="1"/>
  <c r="D81" i="1"/>
  <c r="D82" i="1" l="1"/>
  <c r="E81" i="1"/>
  <c r="D83" i="1" l="1"/>
  <c r="D84" i="1" s="1"/>
  <c r="E82" i="1"/>
  <c r="E83" i="1" l="1"/>
  <c r="D85" i="1" l="1"/>
  <c r="E84" i="1"/>
  <c r="E85" i="1" l="1"/>
  <c r="D89" i="1" l="1"/>
  <c r="E87" i="1"/>
  <c r="D90" i="1" l="1"/>
  <c r="E89" i="1"/>
  <c r="E90" i="1" l="1"/>
  <c r="D91" i="1"/>
  <c r="D92" i="1" l="1"/>
  <c r="E91" i="1"/>
  <c r="D93" i="1" l="1"/>
  <c r="E92" i="1"/>
  <c r="D94" i="1" l="1"/>
  <c r="E93" i="1"/>
  <c r="E94" i="1" l="1"/>
  <c r="D96" i="1"/>
  <c r="D97" i="1" l="1"/>
  <c r="E96" i="1"/>
  <c r="D98" i="1" l="1"/>
  <c r="E97" i="1"/>
  <c r="D99" i="1" l="1"/>
  <c r="E98" i="1"/>
  <c r="E99" i="1" l="1"/>
  <c r="D100" i="1"/>
  <c r="E100" i="1" l="1"/>
  <c r="D101" i="1"/>
  <c r="E101" i="1" l="1"/>
  <c r="D102" i="1"/>
  <c r="D103" i="1" l="1"/>
  <c r="E102" i="1"/>
  <c r="D104" i="1" l="1"/>
  <c r="E103" i="1"/>
  <c r="D105" i="1" l="1"/>
  <c r="E104" i="1"/>
  <c r="D106" i="1" l="1"/>
  <c r="E105" i="1"/>
  <c r="D107" i="1" l="1"/>
  <c r="E106" i="1"/>
  <c r="D108" i="1" l="1"/>
  <c r="E107" i="1"/>
  <c r="D109" i="1" l="1"/>
  <c r="E108" i="1"/>
  <c r="D110" i="1" l="1"/>
  <c r="E109" i="1"/>
  <c r="D111" i="1" l="1"/>
  <c r="E110" i="1"/>
  <c r="D113" i="1" l="1"/>
  <c r="E111" i="1"/>
  <c r="D114" i="1" l="1"/>
  <c r="E113" i="1"/>
  <c r="D115" i="1" l="1"/>
  <c r="E114" i="1"/>
  <c r="E115" i="1" l="1"/>
  <c r="D119" i="1" l="1"/>
  <c r="E118" i="1"/>
  <c r="D120" i="1" l="1"/>
  <c r="E119" i="1"/>
  <c r="D121" i="1" l="1"/>
  <c r="D124" i="1" s="1"/>
  <c r="E120" i="1"/>
  <c r="E121" i="1" l="1"/>
  <c r="E124" i="1" l="1"/>
  <c r="D125" i="1"/>
  <c r="D126" i="1" l="1"/>
  <c r="D127" i="1" s="1"/>
  <c r="E125" i="1"/>
  <c r="D129" i="1" l="1"/>
  <c r="E127" i="1"/>
  <c r="E126" i="1"/>
  <c r="D130" i="1" l="1"/>
  <c r="D131" i="1" s="1"/>
  <c r="E129" i="1"/>
  <c r="E130" i="1" l="1"/>
  <c r="D132" i="1" l="1"/>
  <c r="D134" i="1" s="1"/>
  <c r="E131" i="1"/>
  <c r="E132" i="1" l="1"/>
  <c r="D135" i="1" l="1"/>
  <c r="E134" i="1"/>
  <c r="E135" i="1" l="1"/>
  <c r="D136" i="1"/>
  <c r="D137" i="1" l="1"/>
  <c r="E136" i="1"/>
  <c r="E137" i="1" l="1"/>
  <c r="D138" i="1"/>
  <c r="D139" i="1" l="1"/>
  <c r="E138" i="1"/>
  <c r="D140" i="1" l="1"/>
  <c r="E139" i="1"/>
  <c r="E140" i="1" l="1"/>
  <c r="D141" i="1"/>
  <c r="D142" i="1" l="1"/>
  <c r="E141" i="1"/>
  <c r="E142" i="1" l="1"/>
  <c r="D143" i="1"/>
  <c r="D144" i="1" l="1"/>
  <c r="E143" i="1"/>
  <c r="D145" i="1" l="1"/>
  <c r="D146" i="1" s="1"/>
  <c r="E144" i="1"/>
  <c r="E145" i="1" l="1"/>
  <c r="E146" i="1" l="1"/>
  <c r="D148" i="1"/>
  <c r="D149" i="1" l="1"/>
  <c r="E148" i="1"/>
  <c r="D150" i="1" l="1"/>
  <c r="D152" i="1" s="1"/>
  <c r="D154" i="1" s="1"/>
  <c r="E149" i="1"/>
  <c r="D155" i="1" l="1"/>
  <c r="E154" i="1"/>
  <c r="E150" i="1"/>
  <c r="E155" i="1" l="1"/>
  <c r="D156" i="1"/>
  <c r="E152" i="1"/>
  <c r="D158" i="1" l="1"/>
  <c r="D159" i="1" s="1"/>
  <c r="D160" i="1" s="1"/>
  <c r="E156" i="1"/>
  <c r="E159" i="1" l="1"/>
  <c r="E158" i="1"/>
  <c r="D162" i="1"/>
  <c r="E160" i="1"/>
  <c r="D163" i="1" l="1"/>
  <c r="E162" i="1"/>
  <c r="D164" i="1" l="1"/>
  <c r="D166" i="1" s="1"/>
  <c r="E163" i="1"/>
  <c r="E164" i="1" l="1"/>
  <c r="E166" i="1" l="1"/>
  <c r="D168" i="1"/>
  <c r="E168" i="1" l="1"/>
  <c r="D169" i="1"/>
  <c r="E169" i="1" l="1"/>
  <c r="D170" i="1"/>
  <c r="E170" i="1" l="1"/>
  <c r="D172" i="1"/>
  <c r="E172" i="1" l="1"/>
  <c r="D173" i="1"/>
  <c r="E173" i="1" l="1"/>
  <c r="D174" i="1"/>
  <c r="E174" i="1" l="1"/>
  <c r="D175" i="1"/>
  <c r="D176" i="1" l="1"/>
  <c r="E175" i="1"/>
  <c r="E176" i="1" l="1"/>
  <c r="D177" i="1"/>
  <c r="D178" i="1" l="1"/>
  <c r="E177" i="1"/>
  <c r="E178" i="1" l="1"/>
  <c r="D179" i="1"/>
  <c r="E179" i="1" l="1"/>
  <c r="D180" i="1"/>
  <c r="D181" i="1" l="1"/>
  <c r="E180" i="1"/>
  <c r="D182" i="1" l="1"/>
  <c r="E181" i="1"/>
  <c r="D183" i="1" l="1"/>
  <c r="E182" i="1"/>
  <c r="D184" i="1" l="1"/>
  <c r="E183" i="1"/>
  <c r="E184" i="1" l="1"/>
  <c r="D185" i="1"/>
  <c r="D188" i="1" l="1"/>
  <c r="E185" i="1"/>
  <c r="E188" i="1" l="1"/>
  <c r="D189" i="1"/>
  <c r="E189" i="1" l="1"/>
  <c r="D190" i="1"/>
  <c r="D192" i="1" l="1"/>
  <c r="E190" i="1"/>
  <c r="D194" i="1" l="1"/>
  <c r="E192" i="1"/>
  <c r="E194" i="1" l="1"/>
  <c r="D195" i="1"/>
  <c r="E195" i="1" l="1"/>
  <c r="D196" i="1"/>
  <c r="E196" i="1" l="1"/>
  <c r="D197" i="1"/>
  <c r="D200" i="1" l="1"/>
  <c r="E197" i="1"/>
  <c r="E200" i="1" l="1"/>
  <c r="D201" i="1"/>
  <c r="E201" i="1" l="1"/>
  <c r="D202" i="1"/>
  <c r="E202" i="1" l="1"/>
  <c r="D204" i="1"/>
  <c r="D205" i="1" l="1"/>
  <c r="E204" i="1"/>
  <c r="D206" i="1" l="1"/>
  <c r="E205" i="1"/>
  <c r="D207" i="1" l="1"/>
  <c r="E206" i="1"/>
  <c r="E207" i="1" l="1"/>
  <c r="D208" i="1"/>
  <c r="D209" i="1" l="1"/>
  <c r="E208" i="1"/>
  <c r="E209" i="1" l="1"/>
  <c r="D210" i="1"/>
  <c r="D212" i="1" l="1"/>
  <c r="E210" i="1"/>
  <c r="D213" i="1" l="1"/>
  <c r="E212" i="1"/>
  <c r="D214" i="1" l="1"/>
  <c r="E213" i="1"/>
  <c r="D215" i="1" l="1"/>
  <c r="E214" i="1"/>
  <c r="E215" i="1" l="1"/>
  <c r="D217" i="1"/>
  <c r="D218" i="1" l="1"/>
  <c r="E217" i="1"/>
  <c r="E218" i="1" l="1"/>
  <c r="D219" i="1"/>
  <c r="D221" i="1" l="1"/>
  <c r="E219" i="1"/>
  <c r="D222" i="1" l="1"/>
  <c r="E221" i="1"/>
  <c r="D223" i="1" l="1"/>
  <c r="E222" i="1"/>
  <c r="D224" i="1" l="1"/>
  <c r="E223" i="1"/>
  <c r="E224" i="1" l="1"/>
  <c r="D227" i="1"/>
  <c r="E227" i="1" l="1"/>
  <c r="D228" i="1"/>
  <c r="D229" i="1" l="1"/>
  <c r="E228" i="1"/>
  <c r="D230" i="1" l="1"/>
  <c r="E229" i="1"/>
  <c r="E230" i="1" l="1"/>
  <c r="D232" i="1"/>
  <c r="E232" i="1" l="1"/>
  <c r="D233" i="1"/>
  <c r="E233" i="1" l="1"/>
  <c r="D234" i="1"/>
  <c r="D235" i="1" l="1"/>
  <c r="E234" i="1"/>
  <c r="E235" i="1" l="1"/>
  <c r="D237" i="1"/>
  <c r="D238" i="1" l="1"/>
  <c r="E237" i="1"/>
  <c r="E238" i="1" l="1"/>
  <c r="D239" i="1"/>
  <c r="D240" i="1" l="1"/>
  <c r="E239" i="1"/>
  <c r="D241" i="1" l="1"/>
  <c r="E240" i="1"/>
  <c r="E241" i="1" l="1"/>
  <c r="D242" i="1"/>
  <c r="E242" i="1" l="1"/>
  <c r="D244" i="1"/>
  <c r="D245" i="1" l="1"/>
  <c r="E244" i="1"/>
  <c r="D246" i="1" l="1"/>
  <c r="E245" i="1"/>
  <c r="E246" i="1" l="1"/>
  <c r="D247" i="1"/>
  <c r="D248" i="1" l="1"/>
  <c r="E247" i="1"/>
  <c r="D249" i="1" l="1"/>
  <c r="E248" i="1"/>
  <c r="D250" i="1" l="1"/>
  <c r="E249" i="1"/>
  <c r="D251" i="1" l="1"/>
  <c r="E250" i="1"/>
  <c r="E251" i="1" l="1"/>
  <c r="D252" i="1"/>
  <c r="D253" i="1" l="1"/>
  <c r="E252" i="1"/>
  <c r="E253" i="1" l="1"/>
  <c r="D254" i="1"/>
  <c r="D255" i="1" l="1"/>
  <c r="E254" i="1"/>
  <c r="D257" i="1" l="1"/>
  <c r="E255" i="1"/>
  <c r="E257" i="1" l="1"/>
  <c r="D258" i="1"/>
  <c r="E258" i="1" l="1"/>
  <c r="D259" i="1"/>
  <c r="D260" i="1" l="1"/>
  <c r="E259" i="1"/>
  <c r="E260" i="1" l="1"/>
  <c r="D261" i="1"/>
  <c r="D263" i="1" l="1"/>
  <c r="E261" i="1"/>
  <c r="D264" i="1" l="1"/>
  <c r="E263" i="1"/>
  <c r="D265" i="1" l="1"/>
  <c r="E264" i="1"/>
  <c r="D266" i="1" l="1"/>
  <c r="E265" i="1"/>
  <c r="D269" i="1" l="1"/>
  <c r="E266" i="1"/>
  <c r="D270" i="1" l="1"/>
  <c r="E269" i="1"/>
  <c r="D271" i="1" l="1"/>
  <c r="E270" i="1"/>
  <c r="D273" i="1" l="1"/>
  <c r="E271" i="1"/>
  <c r="E273" i="1" l="1"/>
  <c r="D274" i="1"/>
  <c r="E274" i="1" l="1"/>
  <c r="D275" i="1"/>
  <c r="D277" i="1" l="1"/>
  <c r="E275" i="1"/>
  <c r="E277" i="1" l="1"/>
  <c r="D278" i="1"/>
  <c r="E278" i="1" l="1"/>
  <c r="D279" i="1"/>
  <c r="D281" i="1" l="1"/>
  <c r="E279" i="1"/>
  <c r="E281" i="1" l="1"/>
  <c r="D282" i="1"/>
  <c r="D284" i="1" l="1"/>
  <c r="D285" i="1" s="1"/>
  <c r="E282" i="1"/>
  <c r="E284" i="1" l="1"/>
  <c r="E285" i="1" l="1"/>
  <c r="D286" i="1"/>
  <c r="E286" i="1" l="1"/>
  <c r="D287" i="1"/>
  <c r="E287" i="1" l="1"/>
  <c r="D288" i="1"/>
  <c r="E288" i="1" l="1"/>
  <c r="D289" i="1"/>
  <c r="E289" i="1" l="1"/>
  <c r="D290" i="1"/>
  <c r="E290" i="1" l="1"/>
  <c r="D291" i="1"/>
  <c r="E291" i="1" l="1"/>
  <c r="D292" i="1"/>
  <c r="E292" i="1" s="1"/>
  <c r="E294" i="1" s="1"/>
</calcChain>
</file>

<file path=xl/sharedStrings.xml><?xml version="1.0" encoding="utf-8"?>
<sst xmlns="http://schemas.openxmlformats.org/spreadsheetml/2006/main" count="1108" uniqueCount="456">
  <si>
    <t>Include in Researcher File</t>
  </si>
  <si>
    <t>Include in Staff &amp; Contractors file?</t>
  </si>
  <si>
    <t>Field Use</t>
  </si>
  <si>
    <t>Starting Location</t>
  </si>
  <si>
    <t>Ending Location</t>
  </si>
  <si>
    <t>Length</t>
  </si>
  <si>
    <t>Field Name</t>
  </si>
  <si>
    <t>Possible Values</t>
  </si>
  <si>
    <t>Description/Comments</t>
  </si>
  <si>
    <t>LDESTD File Layout - Final File_Assessment and Accountability Staff</t>
  </si>
  <si>
    <t>Project: 2018 LAA 1/LEAP Connect</t>
  </si>
  <si>
    <t>COMMON DEMOGRAPHIC INFORMATION</t>
  </si>
  <si>
    <t>Test Date Month</t>
  </si>
  <si>
    <t>Month of test</t>
  </si>
  <si>
    <t>Test Date Year</t>
  </si>
  <si>
    <t>Year of test</t>
  </si>
  <si>
    <t>Straggler</t>
  </si>
  <si>
    <t>Y = Yes, student classified as a straggler 
N = No, student not classified as a straggler</t>
  </si>
  <si>
    <t>Value of "Y" will only appear in the final LDESTD file</t>
  </si>
  <si>
    <t>District Code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</si>
  <si>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</si>
  <si>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School Code</t>
  </si>
  <si>
    <t>District Name</t>
  </si>
  <si>
    <t>School Name</t>
  </si>
  <si>
    <t>Barcode/Student Precode Number</t>
  </si>
  <si>
    <t>&lt;Barcode Value&gt;
Blank</t>
  </si>
  <si>
    <t>DRC Unique Student ID</t>
  </si>
  <si>
    <t>Numeric value with leading zeros
Blank</t>
  </si>
  <si>
    <t>Unique number generated at the time the student record is converted into the DRC Student File.  (Starts over each administration.)
Blank for Equating file.</t>
  </si>
  <si>
    <t>Precoded Tester</t>
  </si>
  <si>
    <t>Y = Student was on the LAP File
N = Student was not on the LAP File</t>
  </si>
  <si>
    <t>Value of "Y" will display for any student that matched back to the March LAP File.</t>
  </si>
  <si>
    <t>Student Last Name</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</si>
  <si>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</si>
  <si>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Student First Name</t>
  </si>
  <si>
    <t>Student Middle Initial</t>
  </si>
  <si>
    <t>LASID</t>
  </si>
  <si>
    <t>0-9 or - in any position</t>
  </si>
  <si>
    <t>Summarized Grade</t>
  </si>
  <si>
    <t>LAP Grade Placement</t>
  </si>
  <si>
    <t>As flagged on the LAP file.
Blank for a hand coded paper document that could not be matched back to the LAP file or manually added online tester.</t>
  </si>
  <si>
    <t>Summarized DOB Month</t>
  </si>
  <si>
    <t>01-12
-- 
99
Blank</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</si>
  <si>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</si>
  <si>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Summarized DOB Day</t>
  </si>
  <si>
    <t>00-39 (0-9 or - in any position)
99</t>
  </si>
  <si>
    <t>Summarized DOB Year</t>
  </si>
  <si>
    <t>0-9 or - in any position
Blank</t>
  </si>
  <si>
    <t>Summarized Gender</t>
  </si>
  <si>
    <t>M = Male
F = Female
I = Invalid</t>
  </si>
  <si>
    <t>LAP Gender</t>
  </si>
  <si>
    <t>F = Female
M = Male
Blank</t>
  </si>
  <si>
    <t>Summarized Ethnicity/Race</t>
  </si>
  <si>
    <t>1 = Hispanic/Latino
2 = American Indian or Alaska Native
3 = Asian
4 = Black or African American
5 = Native Hawaiian or Other Pacific
       Islander
6 = White
7 = Two or more races
 I = Invalid</t>
  </si>
  <si>
    <t>Summarized Migrant Status</t>
  </si>
  <si>
    <t>Y = Classified as a Migrant Student
N = Not classified as a Migrant Student</t>
  </si>
  <si>
    <t>LAP Migrant Flag</t>
  </si>
  <si>
    <t>Y = Classified as a Migrant Student
N = Not classified as a Migrant Student
Blank</t>
  </si>
  <si>
    <t>LAP Economically Disadvantaged</t>
  </si>
  <si>
    <t xml:space="preserve">1 = Economically Disadvantaged
0 = Not Economically Disadvantaged
Blank </t>
  </si>
  <si>
    <t>As flagged on the LAP file for paper testers or populated in eDIRECT for online testers.
Blank for a hand-coded paper document that could not be matched back to the LAP file, if the value was blank on the LAP file or if the value was blank in eDIRECT.</t>
  </si>
  <si>
    <t>Summarized McKinney-Vento Act (Homeless)</t>
  </si>
  <si>
    <t>Y = Yes
N = No</t>
  </si>
  <si>
    <t>LAP McKinney-Vento (Homeless) Flag</t>
  </si>
  <si>
    <t>1 = Shelter
2 = Double-up
3 = Unsheltered
4 = Hotels/Motels
5 = Unknown
Blank</t>
  </si>
  <si>
    <t>FILLER</t>
  </si>
  <si>
    <t>LAP Twin Flag</t>
  </si>
  <si>
    <t>Y = Indicated as one of the twins
N = Not Indicated as one of the twins
Blank</t>
  </si>
  <si>
    <t>As flagged on the LAP file.
Blank for a paper hand-coded document that could not be matched back to the LAP file or for a manually added online tester.</t>
  </si>
  <si>
    <t>LAP TDR Tester</t>
  </si>
  <si>
    <t>LAP Scholarship Student Flag</t>
  </si>
  <si>
    <t>Y = indicates student has an approved 
        scholarship
N = indicates student does not have an 
        approved scholarship
Blank</t>
  </si>
  <si>
    <t>LAP March Update Flag</t>
  </si>
  <si>
    <t>D = student no longer enrolled in Louisiana
        schools since submission of Nov. LAP
        file.
N = student newly enrolled in Louisiana
        schools since submission of Nov. LAP
        file.
Blank = student enrollment status 
         unchanged since submission 
         of Nov LAP file.</t>
  </si>
  <si>
    <t>As flagged on the LAP file.
Blank for a hand-coded paper document that could not be matched back to the LAP file, manually added online testers, or if the value was blank on the LAP file.</t>
  </si>
  <si>
    <t>eDIRECT Gender</t>
  </si>
  <si>
    <t>As valued in eDIRECT.
Blank for a hand-coded document that could not be matched back to the LAP file or an online student.</t>
  </si>
  <si>
    <t>eDIRECT Migrant Flag</t>
  </si>
  <si>
    <t>eDIRECT McKinney-Vento (Homeless) Flag</t>
  </si>
  <si>
    <t>Y = Classified as Homeless Student
N = Not classified as Homeless Student
Blank</t>
  </si>
  <si>
    <t>03 = Spring</t>
  </si>
  <si>
    <t>YYYY</t>
  </si>
  <si>
    <t xml:space="preserve">Unique student identification number generated by LDE.
"*" and  " "  values are changed to -
This is the retired LASID for precoded students that were given a new LASID in the March LAP file. The new LASID is in the new LASID field at the end of this layout. </t>
  </si>
  <si>
    <t>03 = Grade 3
04 = Grade 4
05 = Grade 5
06 = Grade 6
07 = Grade 7
08 = Grade 8
11 = Grade 11</t>
  </si>
  <si>
    <t>03 = Grade 3
04 = Grade 4
05 = Grade 5
06 = Grade 6
07 = Grade 7
08 = Grade 8
11 = Grade 11
Blank</t>
  </si>
  <si>
    <t>As flagged on the LAP file.
Blank for a hand coded paper document that could not be matched back to the LAP file, for manually added online tester, or if the value was blank on the LAP file.</t>
  </si>
  <si>
    <t>ELA (DOCUMENT 1) INFORMATION</t>
  </si>
  <si>
    <t>LAP Accommodations</t>
  </si>
  <si>
    <t>Y = Yes
Blank</t>
  </si>
  <si>
    <t>Transferred Answers</t>
  </si>
  <si>
    <t>Answers Recorded</t>
  </si>
  <si>
    <t>Braille</t>
  </si>
  <si>
    <t>Online Accommodations</t>
  </si>
  <si>
    <t>As flagged on the LAP file.
Blank for manually added online testers, or if the value was blank on the LAP file.</t>
  </si>
  <si>
    <t>MATH (DOCUMENT 2) INFORMATION</t>
  </si>
  <si>
    <t>Calculator</t>
  </si>
  <si>
    <t>Bubbled Special Education Test Accommodations</t>
  </si>
  <si>
    <t>1 = Yes
- = No response (document returned)
Blank = document not returned</t>
  </si>
  <si>
    <t>SCIENCE (DOCUMENT 3) DEMOGRAPHIC INFORMATION</t>
  </si>
  <si>
    <t>Bubbled Gender</t>
  </si>
  <si>
    <t>1 = Male
2 = Female
* = Multiple responses
- = No response (document returned)
Blank = document not returned</t>
  </si>
  <si>
    <t>Bubbled Migrant Status</t>
  </si>
  <si>
    <t>Bubbled McKinney-Vento Act (Homeless)</t>
  </si>
  <si>
    <t>Bubbled Optional Local Use</t>
  </si>
  <si>
    <t>0-9, - , or * in each position
---------- = No response (document returned)
Blank = document not returned</t>
  </si>
  <si>
    <t>Bubbled Accountability Code</t>
  </si>
  <si>
    <t>0-9, -, or * in each position
-- = No response (document returned)
Blank = document not returned</t>
  </si>
  <si>
    <t>Bubbled Ethnicity/Race</t>
  </si>
  <si>
    <t>Hispanic/Latino</t>
  </si>
  <si>
    <t>1 = Yes
2 = No
* = Multiple response
- = No response (document returned)
Blank = document not returned</t>
  </si>
  <si>
    <t>American Indian or Alaska Native</t>
  </si>
  <si>
    <t>Asian</t>
  </si>
  <si>
    <t>Black or African American</t>
  </si>
  <si>
    <t>Native Hawaiian or Other Pacific Islander</t>
  </si>
  <si>
    <t>White</t>
  </si>
  <si>
    <t xml:space="preserve">Bubbled Special Education Exceptionality </t>
  </si>
  <si>
    <t>Autism</t>
  </si>
  <si>
    <t>Deafblindness</t>
  </si>
  <si>
    <t>Developmental Delay</t>
  </si>
  <si>
    <t>Emotional Disturbance</t>
  </si>
  <si>
    <t>HI-Deaf</t>
  </si>
  <si>
    <t>HI-Hard of Hearing</t>
  </si>
  <si>
    <t>Mild Mental Disability</t>
  </si>
  <si>
    <t>Orthopedic Impairment</t>
  </si>
  <si>
    <t>Speech or Language Impairment</t>
  </si>
  <si>
    <t>Traumatic Brain Injury</t>
  </si>
  <si>
    <t>Visual Impairment</t>
  </si>
  <si>
    <t>Other</t>
  </si>
  <si>
    <t>As flagged on the LAP file.
Blank for a hand-coded paper document that could not be matched back to the LAP file or if the value was blank on the LAP file.</t>
  </si>
  <si>
    <t>Assistive Technology</t>
  </si>
  <si>
    <t>Task Descriptions</t>
  </si>
  <si>
    <t>LAP Primary Exceptionality</t>
  </si>
  <si>
    <t>01-34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</si>
  <si>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</si>
  <si>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LAP Exceptionality Category</t>
  </si>
  <si>
    <t>eDIRECT Exceptionality Category</t>
  </si>
  <si>
    <r>
      <t xml:space="preserve">As valued in eDIRECT.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if the value was blank in eDIRECT or for hand-coded students that could not be matched back to the LAP file.</t>
    </r>
  </si>
  <si>
    <t>LEP Flag</t>
  </si>
  <si>
    <t>LAP LEP Code</t>
  </si>
  <si>
    <t>01 = Not LEP
02 = LEP
Blank</t>
  </si>
  <si>
    <t>eDIRECT LEP Code</t>
  </si>
  <si>
    <r>
      <t>As valued in eDIRECT.</t>
    </r>
    <r>
      <rPr>
        <sz val="10"/>
        <rFont val="Arial"/>
        <family val="2"/>
      </rPr>
      <t xml:space="preserve">
Blank if the value was blank in eDIRECT or for hand-coded students that could not be matched back to the LAP file.</t>
    </r>
  </si>
  <si>
    <t xml:space="preserve">Summarized LEP Status </t>
  </si>
  <si>
    <t>Y = LEP
N = Not LEP</t>
  </si>
  <si>
    <t>LAP LEP Indicator Code</t>
  </si>
  <si>
    <t>0 = in SIS, not LEP prior 2 yrs
1 = LEP 1 yr prior
2 = LEP 2 yrs prior
3 = LEP current year
Blank = not in SIS prior 2 years or student is not on the LAP file</t>
  </si>
  <si>
    <t>As flagged on the LAP file.
Blank for a hand-coded document that could not be matched back to the LAP file, manually added online testers, or if the value was blank on the LAP file.</t>
  </si>
  <si>
    <t>Ethnicity/Race Flag</t>
  </si>
  <si>
    <t>LAP Hispanic/Latino</t>
  </si>
  <si>
    <t>Y = Hispanic or Latino
N = Not Hispanic or Latino
Blank</t>
  </si>
  <si>
    <t>eDIRECT Hispanic/Latino</t>
  </si>
  <si>
    <t>LAP American Indian or Alaska Native</t>
  </si>
  <si>
    <t>Y = American Indian or Alaska Native
N = Not American Indian or Alaska Native
Blank</t>
  </si>
  <si>
    <t>eDIRECT American Indian or Alaska Native</t>
  </si>
  <si>
    <t>LAP Asian</t>
  </si>
  <si>
    <t>Y = Asian
N = Not Asian
Blank</t>
  </si>
  <si>
    <t>eDIRECT Asian</t>
  </si>
  <si>
    <t>LAP Black or African American</t>
  </si>
  <si>
    <t>Y = Black or African American
N = Not Black or African American
Blank</t>
  </si>
  <si>
    <t>eDIRECT Black or African American</t>
  </si>
  <si>
    <t>LAP Native Hawaiian or Other Pacific Islander</t>
  </si>
  <si>
    <t>Y = Native Hawaiian or Other Pacific 
        Islander
N = Not Native Hawaiian or Other Pacific 
        Islander
Blank</t>
  </si>
  <si>
    <t>eDIRECT Native Hawaiian or Other Pacific Islander</t>
  </si>
  <si>
    <t>LAP White</t>
  </si>
  <si>
    <t>Y = White
N = Not White
Blank</t>
  </si>
  <si>
    <t>eDIRECT White</t>
  </si>
  <si>
    <t>SUMMARIZED DEMOGRAPHICS</t>
  </si>
  <si>
    <t>01-20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</si>
  <si>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 coded paper document that could not be matched back to the LAP file, for manually added online tester, or if the value was blank in the LAP file.</t>
    </r>
  </si>
  <si>
    <t>As flagged on the LAP file.
Blank for a hand coded paper document that could not be matched back to the LAP file, for manually added online tester, or if the value was blank in the LAP file.</t>
  </si>
  <si>
    <t>Moderate Mental Disability</t>
  </si>
  <si>
    <t>Severe Mental Disability</t>
  </si>
  <si>
    <t>Multiple Disabilities</t>
  </si>
  <si>
    <t>Other Health Impairment</t>
  </si>
  <si>
    <t>Specific Learning Disability</t>
  </si>
  <si>
    <t>Summarized Military Affiliation</t>
  </si>
  <si>
    <t>LAP Military Affiliation</t>
  </si>
  <si>
    <t>eDIRECT Military Affiliation</t>
  </si>
  <si>
    <t>Summarized Foster Care</t>
  </si>
  <si>
    <t>LAP Foster Care</t>
  </si>
  <si>
    <t>eDIRECT Foster Care</t>
  </si>
  <si>
    <t>Y = Classified as Military Affiliated
N = Not classified as Military Affiliated</t>
  </si>
  <si>
    <t>Y = Classified as Foster Care
N = Not classified as Foster Care</t>
  </si>
  <si>
    <t>Bubbled Military Affiliated</t>
  </si>
  <si>
    <t>Bubbled Foster Care</t>
  </si>
  <si>
    <t>Blank</t>
  </si>
  <si>
    <t>ELA SCORING INFORMATION</t>
  </si>
  <si>
    <t>Raw Score Total - ELA</t>
  </si>
  <si>
    <t>Scaled Score - ELA</t>
  </si>
  <si>
    <t>Assessment Achievement Level - ELA</t>
  </si>
  <si>
    <r>
      <t xml:space="preserve">Total raw score for ELA.
Refer to the </t>
    </r>
    <r>
      <rPr>
        <b/>
        <u/>
        <sz val="10"/>
        <rFont val="Arial"/>
        <family val="2"/>
      </rPr>
      <t>Resulting LDESTD Values by Subject</t>
    </r>
    <r>
      <rPr>
        <sz val="10"/>
        <rFont val="Arial"/>
        <family val="2"/>
      </rPr>
      <t xml:space="preserve"> section within the Processing Rules - Scoring document for the logic used to set the Raw Score value.</t>
    </r>
  </si>
  <si>
    <r>
      <t xml:space="preserve">Scaled score for ELA
Refer to the </t>
    </r>
    <r>
      <rPr>
        <b/>
        <u/>
        <sz val="10"/>
        <rFont val="Arial"/>
        <family val="2"/>
      </rPr>
      <t>Resulting LDESTD Values by Subject</t>
    </r>
    <r>
      <rPr>
        <sz val="10"/>
        <rFont val="Arial"/>
        <family val="2"/>
      </rPr>
      <t xml:space="preserve"> section within the Processing Rules - Scoring document for the logic used to set the Scaled Score value.</t>
    </r>
  </si>
  <si>
    <t>0-100
Blank</t>
  </si>
  <si>
    <t>SEM Values</t>
  </si>
  <si>
    <t>SEM High</t>
  </si>
  <si>
    <t>SEM Low</t>
  </si>
  <si>
    <t>MATH SCORING INFORMATION</t>
  </si>
  <si>
    <t>Raw Score Total - Math</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</si>
  <si>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</si>
  <si>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t>Scaled Score - Math</t>
  </si>
  <si>
    <r>
      <t xml:space="preserve">Scaled score for Math.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</si>
  <si>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Assessment Achievement Level - Math</t>
  </si>
  <si>
    <t>SCIENCE SCORING SECTION</t>
  </si>
  <si>
    <t>Raw Score Total - Science</t>
  </si>
  <si>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-Scoring document for the logic used to set the Raw Score value.</t>
    </r>
  </si>
  <si>
    <t>Scaled Score - Science</t>
  </si>
  <si>
    <t>700-900
Blank</t>
  </si>
  <si>
    <r>
      <t xml:space="preserve">Scaled Score for Science.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</si>
  <si>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t>Assessment Achievement Level - Science</t>
  </si>
  <si>
    <t>EST = Exceeds Standard
MST = Meets Standard
WST = Working Toward Standard
Blank</t>
  </si>
  <si>
    <r>
      <t>Assessment Achievement Level for Science.
Refer to the</t>
    </r>
    <r>
      <rPr>
        <b/>
        <u/>
        <sz val="10"/>
        <rFont val="Arial"/>
        <family val="2"/>
      </rPr>
      <t xml:space="preserve"> Resulting LAA1LDESTD Values by Subject </t>
    </r>
    <r>
      <rPr>
        <sz val="10"/>
        <rFont val="Arial"/>
        <family val="2"/>
      </rPr>
      <t>section within the LAA 1 Processing Rules -Scoring document for the logic used to set the Assessment Achievement Level value.</t>
    </r>
  </si>
  <si>
    <t>Earth, Space, and Environmental Science Raw Score</t>
  </si>
  <si>
    <t>Total points earned for each Science content standard, which includes any automatic or partial credit applied.
Blank when Raw Score Total - Science is blank or when content standard is not assessed (zero points possible).</t>
  </si>
  <si>
    <t>Life Science Raw Score</t>
  </si>
  <si>
    <t>Physical Science Raw Score</t>
  </si>
  <si>
    <t>Science as Inquiry Raw Score</t>
  </si>
  <si>
    <t>Percent correct for each Science content standard. This is calculated by dividing the total points earned by the total points possible for the content standard.
Blank when the associated Content Standard Raw Score is blank.</t>
  </si>
  <si>
    <t>Earth, Space, and Environmental Science Percent Correct</t>
  </si>
  <si>
    <t>Life Science Percent Correct</t>
  </si>
  <si>
    <t>Physical Science Percent Correct</t>
  </si>
  <si>
    <r>
      <t xml:space="preserve">Assessment achievement level for ELA. 
Refer to the </t>
    </r>
    <r>
      <rPr>
        <b/>
        <u/>
        <sz val="10"/>
        <rFont val="Arial"/>
        <family val="2"/>
      </rPr>
      <t>Resulting LDESTD Values by Subject</t>
    </r>
    <r>
      <rPr>
        <sz val="10"/>
        <rFont val="Arial"/>
        <family val="2"/>
      </rPr>
      <t xml:space="preserve"> section within the Processing Rules - Scoring document for the logic used to set the Assessment Achievement Level  value.</t>
    </r>
  </si>
  <si>
    <r>
      <t xml:space="preserve">Assessment achievement level for Math.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</si>
  <si>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STUDENT FLAGS BY SUBJECT</t>
  </si>
  <si>
    <t>Test Taken Flag</t>
  </si>
  <si>
    <t>Test Taken Flag - ELA</t>
  </si>
  <si>
    <t>Y = Subject was attempted
N = Subject was not attempted</t>
  </si>
  <si>
    <t>Test Taken Flag - Math</t>
  </si>
  <si>
    <t>Test Taken Flag - Science</t>
  </si>
  <si>
    <t>Handscoring Complete Flags</t>
  </si>
  <si>
    <t>Handscoring Complete - ELA</t>
  </si>
  <si>
    <t>Included in N-Counts</t>
  </si>
  <si>
    <t>Include in N-counts - ELA</t>
  </si>
  <si>
    <t>Y = Include student in summary
      N-counts for subject
N = Do not include student in summary 
      N-counts for subject</t>
  </si>
  <si>
    <t>Include in N-counts - Math</t>
  </si>
  <si>
    <t>Include in N-counts - Science</t>
  </si>
  <si>
    <t>VOID FLAGS</t>
  </si>
  <si>
    <t>Summarized Void Flags</t>
  </si>
  <si>
    <t>1 = Plagiarism
2 = District
4 = Off-Grade
Blank</t>
  </si>
  <si>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</si>
  <si>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r>
      <t xml:space="preserve">Refer to the </t>
    </r>
    <r>
      <rPr>
        <b/>
        <u/>
        <sz val="10"/>
        <rFont val="Arial"/>
        <family val="2"/>
      </rPr>
      <t>Test Taken</t>
    </r>
    <r>
      <rPr>
        <sz val="10"/>
        <rFont val="Arial"/>
        <family val="2"/>
      </rPr>
      <t xml:space="preserve"> section of the Processing Rules - Scoring document for rules on populating these values.
The Test Taken Flag will be set to "N" if the subject was the secondary record involved in a score merge.</t>
    </r>
  </si>
  <si>
    <t>Summary of District Voids, Plagiarism Voids and Off-Grade Voids in each subject.  
The Summarized Void flag will be "1" for a subject if the student has a row in the LDE approved Void .csv file for the subject and the LDE Type of Void field contains "1"
The Summarized Void flag will be "2" for a subject if the student has a row in the LDE approved Void .csv file for the subject and the LDE Type of Void field contains "2"
The Summarized Void flag will be "4" for a subject if the student has a row in the LDE approved Void .csv file for the subject and the LDE Type of Void field contains "4"
Blank when the subject is not voided.</t>
  </si>
  <si>
    <t>Void Flag - ELA</t>
  </si>
  <si>
    <t>Void Flag - Math</t>
  </si>
  <si>
    <t>Void Flag - Science</t>
  </si>
  <si>
    <t>ACCOUNTABILITY INFORMATION</t>
  </si>
  <si>
    <t>Updated Accountability Code - Document 1 (ELA)</t>
  </si>
  <si>
    <t>01-99
Blank (default value)</t>
  </si>
  <si>
    <t>Updated Accountability Code - Document 2 (Math)</t>
  </si>
  <si>
    <t>Updated Accountability Code - Document 3 (Science)</t>
  </si>
  <si>
    <t>Accountability Achievement Level - ELA</t>
  </si>
  <si>
    <t>Accountability Achievement Level - Math</t>
  </si>
  <si>
    <t>Accountability Achievement Level - Science</t>
  </si>
  <si>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</si>
  <si>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involved in a score merge.</t>
    </r>
  </si>
  <si>
    <t>SITE CODE</t>
  </si>
  <si>
    <t>LAP Site Code</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</si>
  <si>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</si>
  <si>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</si>
  <si>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Site Code - Document 1 (ELA)</t>
  </si>
  <si>
    <t>6 digit site code
Blank = document not returned</t>
  </si>
  <si>
    <t>Site Code - Document 2 (Math)</t>
  </si>
  <si>
    <t>Site Code - Document 3 (Science)</t>
  </si>
  <si>
    <t>DOCUMENT TYPE RETURNED</t>
  </si>
  <si>
    <t>Document Type Returned - Document 1 (ELA)</t>
  </si>
  <si>
    <t>Document Type Returned - Document 2 (Math)</t>
  </si>
  <si>
    <t>Document Type Returned - Document 3 (Science)</t>
  </si>
  <si>
    <t>SCHOOL TYPE FLAGS</t>
  </si>
  <si>
    <t>Assess Group Type</t>
  </si>
  <si>
    <t>01 = LEA
02 = LAB
03 = CHA
04 = TRI
05 = NPB
06 = STA
08 = BSE
09 = OJJ
10 = MAR
12 = RES
13 = NPS
14 = RLA
15 = RNO
16 = JUV
17 = RBR</t>
  </si>
  <si>
    <t>The numeric type for the Assess Group Code value from the School Master File for the school the student is being reported to.</t>
  </si>
  <si>
    <t>Home Study/Nonpublic Flag</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</si>
  <si>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</si>
  <si>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</si>
  <si>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Charter Type</t>
  </si>
  <si>
    <t>1 = Type 1 Charter
2 = Type 2 Charter
3 = Type 3 Charter
4 = Type 4 Charter
5 = Type 5 Charter
6 = Type 3B Charter
Blank = Not a Charter School</t>
  </si>
  <si>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t>
    </r>
  </si>
  <si>
    <t>N = No Document Returned For 
      Precoded Record
M = Manually Coded Document 
       Returned
P = Precoded Document Returned 
O = Manually Coded Document 
       matched back to Precode Record.
C = Online Tester
Blank</t>
  </si>
  <si>
    <r>
      <t>Indicates whether a paper document was returned and whether it was manually completed for demographics or precoded with student label.</t>
    </r>
    <r>
      <rPr>
        <strike/>
        <sz val="10"/>
        <rFont val="Arial"/>
        <family val="2"/>
      </rPr>
      <t xml:space="preserve">
</t>
    </r>
    <r>
      <rPr>
        <sz val="10"/>
        <rFont val="Arial"/>
        <family val="2"/>
      </rPr>
      <t>Blank for a subject when the student did not test the subject and the student was not precoded.</t>
    </r>
  </si>
  <si>
    <t>Charter type as listed in the School Master File.
Blank for 888 and 998 school types.</t>
  </si>
  <si>
    <t>DOCUMENT INFORMATION</t>
  </si>
  <si>
    <t>Lithocode - ELA</t>
  </si>
  <si>
    <t>Launch Flag - ELA</t>
  </si>
  <si>
    <t>Y = Online Test was Launched
N = Online Test not Launched
Blank</t>
  </si>
  <si>
    <t>Form</t>
  </si>
  <si>
    <t>Lithocode - Math</t>
  </si>
  <si>
    <t>Launch Flag - Math</t>
  </si>
  <si>
    <t>Batch Number - Science</t>
  </si>
  <si>
    <t>00000001-99999999
Blank = document not returned</t>
  </si>
  <si>
    <t>Serial Number - Science</t>
  </si>
  <si>
    <t>000001-999999
Blank = document not returned</t>
  </si>
  <si>
    <t>Lithocode - Science</t>
  </si>
  <si>
    <t>Security Barcode Number - Science</t>
  </si>
  <si>
    <t>8 digit number
Blank = document not returned</t>
  </si>
  <si>
    <t>This is the last 8 digits of the document security barcode number.</t>
  </si>
  <si>
    <t>Form Number
Blank for all students.</t>
  </si>
  <si>
    <t>000000000001-999999999999
Blank</t>
  </si>
  <si>
    <t xml:space="preserve">
12 digits in length for online testers.
Lithocode will be blank for online testers that have not been placed in a test session for the subject.</t>
  </si>
  <si>
    <t>00000001-99999999
Blank = paper document not returned</t>
  </si>
  <si>
    <t>8 digits in length for paper testers.</t>
  </si>
  <si>
    <t>Document 2 (Math)</t>
  </si>
  <si>
    <t>Document 1 (ELA)</t>
  </si>
  <si>
    <t>Document 3 (Science)</t>
  </si>
  <si>
    <t>Blank when the online tester is not in a test session.</t>
  </si>
  <si>
    <t>Form Number
Blank when an online tester is not in a test session.</t>
  </si>
  <si>
    <t>ASSESSMENT ROLLUP AND INCLUSION FLAGS</t>
  </si>
  <si>
    <t>Rollup to State</t>
  </si>
  <si>
    <t>Student's scores were summarized in the State totals.</t>
  </si>
  <si>
    <t>Summarize to Assessment Group Code for district level reporting</t>
  </si>
  <si>
    <t>Student's school was included in Assessment Group Code for district level reporting.</t>
  </si>
  <si>
    <t>Show 'N/A' in place of district results on school reports</t>
  </si>
  <si>
    <t>Reports to student's school showed "N/A" instead of district results.</t>
  </si>
  <si>
    <t>Schools summarized to LEA Code for district level reporting</t>
  </si>
  <si>
    <t>Student's school was included in LEA code for district level reporting.</t>
  </si>
  <si>
    <t>District reports go to district</t>
  </si>
  <si>
    <t>Student's district gets district reports.</t>
  </si>
  <si>
    <t>Site Report Code</t>
  </si>
  <si>
    <t>6-digit school code
3 digit district code
3 character assess group</t>
  </si>
  <si>
    <t>Student's site reports should be rolled up/reported to.</t>
  </si>
  <si>
    <t>District report goes to LDE</t>
  </si>
  <si>
    <t>LDE gets reports of student's district.</t>
  </si>
  <si>
    <t>Cleanup reports</t>
  </si>
  <si>
    <t>Student's school was included in cleanup reports.</t>
  </si>
  <si>
    <t>Summary Reports</t>
  </si>
  <si>
    <t>Student's school was included in summary reports.</t>
  </si>
  <si>
    <t>Roster Reports</t>
  </si>
  <si>
    <t>Student's school was included in Roster Reports.</t>
  </si>
  <si>
    <t>Student Reports</t>
  </si>
  <si>
    <t>Student's school was included in Student Reports (SR).</t>
  </si>
  <si>
    <t>STUDENT LEVEL REPORTING FLAGS</t>
  </si>
  <si>
    <t>School Roster - ELA/Math</t>
  </si>
  <si>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t>
    </r>
  </si>
  <si>
    <t>School Roster - Science</t>
  </si>
  <si>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t>
    </r>
  </si>
  <si>
    <t>Student Report - ELA</t>
  </si>
  <si>
    <r>
      <t xml:space="preserve">If field value = "Y", then student will appear on the ELA Student Report (SR).
The Student Report for ELA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t>
    </r>
  </si>
  <si>
    <t>Student Report - Math</t>
  </si>
  <si>
    <r>
      <t xml:space="preserve">If field value = "Y", then student will appear on the Math Student Report (SR).
The Student Report for 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Math.</t>
    </r>
  </si>
  <si>
    <t>Student Report - Science</t>
  </si>
  <si>
    <r>
      <t xml:space="preserve">If field value = "Y", then student will appear on the Science Student Report (SR).
The Student Report for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</si>
  <si>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t>FOOTNOTE FLAGS</t>
  </si>
  <si>
    <t>Footnote: Test Security Violation (Void) - ELA</t>
  </si>
  <si>
    <t>Footnote: Test Security Violation (Void) - Math</t>
  </si>
  <si>
    <t>Footnote: Test Security Violation (Void) - Science</t>
  </si>
  <si>
    <t>TEST ADMINISTRATOR INFORMATION</t>
  </si>
  <si>
    <t>Test Administrator Number - ELA</t>
  </si>
  <si>
    <t>100-899 = School Level
900-999 = District Level
--- = No response (document returned)
* = Multiple Response
Blank = document not returned</t>
  </si>
  <si>
    <t>Test Administrator Last Name - ELA</t>
  </si>
  <si>
    <t>Test Administrator First Name - ELA</t>
  </si>
  <si>
    <t>Test Administrator Number - Math</t>
  </si>
  <si>
    <t>Test Administrator Last Name - Math</t>
  </si>
  <si>
    <t>Test Administrator First Name - Math</t>
  </si>
  <si>
    <t>Test Administrator Number - Science</t>
  </si>
  <si>
    <t>Test Administrator Last Name - Science</t>
  </si>
  <si>
    <t>Test Administrator First Name - Science</t>
  </si>
  <si>
    <t>Test Administrator Number associated with the eDIRECT test session</t>
  </si>
  <si>
    <t>Test Administrator Number associated with the eDIRECT test session.</t>
  </si>
  <si>
    <t>100-899 = School Level
900-999 = District Level
Blank = student not in a test session</t>
  </si>
  <si>
    <t>ASSESSMENT/ACCOUNTABILITY INFORMATION</t>
  </si>
  <si>
    <t>LAP Entry Code</t>
  </si>
  <si>
    <t>2 digit code
Blank</t>
  </si>
  <si>
    <t>LAP Entry Date</t>
  </si>
  <si>
    <t>MMDDYYYY
Blank</t>
  </si>
  <si>
    <t>As flagged on the LAP file.
Blank for a hand-coded document or manually added online student that could not be matched back to the LAP file.</t>
  </si>
  <si>
    <t>RESPONSE STRINGS BY SUBJECT</t>
  </si>
  <si>
    <t>Full Student First Name</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</si>
  <si>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 xml:space="preserve">
For files delivered to eScholar</t>
    </r>
    <r>
      <rPr>
        <sz val="10"/>
        <rFont val="Arial"/>
        <family val="2"/>
      </rPr>
      <t xml:space="preserve">
These fields will be populated with the full values on the file produced for eScholar</t>
    </r>
  </si>
  <si>
    <t>Full Student Last Name</t>
  </si>
  <si>
    <t>New LASID</t>
  </si>
  <si>
    <t>0-9 or in any position
Blank</t>
  </si>
  <si>
    <t>Unique student identification number generated by LDE.
Will match LASID field if the student's LASID is not retired 
New LASID value from the March LAP file.
Blank for students that do not match back to the March LAP file.</t>
  </si>
  <si>
    <t>File Creation Date and Time Stamp</t>
  </si>
  <si>
    <t>Format: "YYYY-MM-DD HH:MM:SS"</t>
  </si>
  <si>
    <t>Date the file was generated</t>
  </si>
  <si>
    <t>Science Operational Item Responses</t>
  </si>
  <si>
    <t>Record Length:</t>
  </si>
  <si>
    <t>Online Accommodated Paper</t>
  </si>
  <si>
    <r>
      <t xml:space="preserve">As valued in eDIRECT.
</t>
    </r>
    <r>
      <rPr>
        <b/>
        <sz val="10"/>
        <rFont val="Arial"/>
        <family val="2"/>
      </rPr>
      <t/>
    </r>
  </si>
  <si>
    <t>1 = Yes
Blank</t>
  </si>
  <si>
    <t>As valued in eDIRECT.</t>
  </si>
  <si>
    <t>1
Blank</t>
  </si>
  <si>
    <t>Reporting CategoryScoring Information</t>
  </si>
  <si>
    <t>1 = Level 1
2 = Level 2
3 = Level 3
4 = Level 4</t>
  </si>
  <si>
    <t>1200-1290
Blank</t>
  </si>
  <si>
    <t>From Raw Score to Scaled Score tables.
Blank if the student's Math Summarized Void Flag = "Y", or if the student's Math Test Taken Flag = "N".</t>
  </si>
  <si>
    <t>From Raw Score to Scaled Score Table. 
Blank if the student's Science Summarized Void Flag = "Y", or if the student's Science Test Taken Flag = "N".</t>
  </si>
  <si>
    <t>From Raw Score to Scaled Score tables.
Blank if the student's ELA Summarized Void Flag = "Y", or if the student's ELA Test Taken Flag = "N".</t>
  </si>
  <si>
    <t>Reporting Category Scoring Information</t>
  </si>
  <si>
    <t>0-2 = original item score
- = Blank item (document returned)
* = Multiple responses for item
Blank = document not returned or when 
               subject not applicable to the grade</t>
  </si>
  <si>
    <t>Y</t>
  </si>
  <si>
    <t>N</t>
  </si>
  <si>
    <t xml:space="preserve">
Y</t>
  </si>
  <si>
    <t>1
2
1nv
2nv
Blank</t>
  </si>
  <si>
    <t>E</t>
  </si>
  <si>
    <t>K, E</t>
  </si>
  <si>
    <t>E, C</t>
  </si>
  <si>
    <t>Summarized Special Education Exceptionality</t>
  </si>
  <si>
    <t>C</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</si>
  <si>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</si>
  <si>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</si>
  <si>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</si>
  <si>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</si>
  <si>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Document Name</t>
  </si>
  <si>
    <t>LDE SFTP Location</t>
  </si>
  <si>
    <t>DRC Location</t>
  </si>
  <si>
    <t>Common Louisiana Processing Rules - Reporting</t>
  </si>
  <si>
    <t>Accountability Codes for Testing</t>
  </si>
  <si>
    <t>Louisiana/Accountability Data/Accountability Codes Chart/YYYY-YYYY/</t>
  </si>
  <si>
    <t>Louisiana/&lt;YYYY&gt; - LEAP Connect_LAA 1/Processing Rules - Final</t>
  </si>
  <si>
    <t>Louisiana/&lt;YYYY&gt; -  LEAP Connect_LAA 1/Processing Rules - Final</t>
  </si>
  <si>
    <t>LEAP Connect/LAA 1 Processing Rules - Scoring</t>
  </si>
  <si>
    <t>LEAP Connect/LAA 1 Processing Rules - Reporting</t>
  </si>
  <si>
    <t>https://drive.google.com/open?id=1usIr5gXPUaDb2bnII5uVh6ZdzVEWIbYJ</t>
  </si>
  <si>
    <t>https://drive.google.com/open?id=1qYeTUEI8AV7BSRcMctiKVea6Vjb0vPUq</t>
  </si>
  <si>
    <t>https://drive.google.com/open?id=1kB9GUoKBzlUMUn9PlOnRln6KKjySVifj</t>
  </si>
  <si>
    <t xml:space="preserve">First character ("P" or "L"), followed by the last 8 digits of the number.
"P" when the Response Document is precoded, or when a hand-coded Response Document matches by 4 demographics to a precode record. 
"L" when a hand-coded Response Document does not match to a precode record by 4 demographics.  
Blank for students who tested all subjects online.
</t>
  </si>
  <si>
    <t>As bubbled on the Science Response Document.</t>
  </si>
  <si>
    <r>
      <t xml:space="preserve">Refer to the Rules to </t>
    </r>
    <r>
      <rPr>
        <b/>
        <u/>
        <sz val="10"/>
        <rFont val="Arial"/>
        <family val="2"/>
      </rPr>
      <t>Determine Demographic Values</t>
    </r>
    <r>
      <rPr>
        <sz val="10"/>
        <rFont val="Arial"/>
        <family val="2"/>
      </rPr>
      <t xml:space="preserve"> section of the Processing Rules - Scoring document for logic to determine this value based on the values from the LAP file and the Response Documents.
Paper: Values are derived from response document for a hand-coded document, or from LAP file for a preidentified document. For students who tested in a grade that differs from their grade on the LAP file, the grade level of the document will be populated here.
Online: Values are derived from the test session grade, or from the LAP file. For students who tested in a grade that differs from their grade on the LAP file, the grade level from the test session will be populated here.</t>
    </r>
  </si>
  <si>
    <r>
      <t xml:space="preserve">Student's gender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</si>
  <si>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</si>
  <si>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Refer to the </t>
    </r>
    <r>
      <rPr>
        <b/>
        <u/>
        <sz val="10"/>
        <rFont val="Arial"/>
        <family val="2"/>
      </rPr>
      <t>Rules to Determine Demographic Value</t>
    </r>
    <r>
      <rPr>
        <sz val="10"/>
        <rFont val="Arial"/>
        <family val="2"/>
      </rPr>
      <t>s 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</si>
  <si>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</si>
  <si>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As bubbled on the Science Response Document.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</si>
  <si>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r>
      <t xml:space="preserve">Special Education Exceptionality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Response Document.</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</si>
  <si>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Response Document.</t>
    </r>
  </si>
  <si>
    <t>ELA Survey Item Responses</t>
  </si>
  <si>
    <t>Math Survey Item Responses</t>
  </si>
  <si>
    <t>If field value = "Y", then student will be receiving this footnote.
The Test Security Violation (Void) footnote will be set to "Y", if the Summarized Void Flag for Math = "2", or "4".</t>
  </si>
  <si>
    <t>If field value = "Y", then student will be receiving this footnote.
The Test Security Violation (Void) footnote will be set to "Y", if the Summarized Void Flag for Science = "2", or "4".</t>
  </si>
  <si>
    <t>If field value = "Y", then student will be receiving this footnote.
The Test Security Violation (Void) footnote will be set to "Y", if the Summarized Void Flag for ELA = "1", "2", or "4".</t>
  </si>
  <si>
    <r>
      <t xml:space="preserve">Science as Inquiry </t>
    </r>
    <r>
      <rPr>
        <sz val="10"/>
        <color rgb="FFFF0000"/>
        <rFont val="Arial"/>
        <family val="2"/>
      </rPr>
      <t>Percent</t>
    </r>
    <r>
      <rPr>
        <sz val="10"/>
        <rFont val="Arial"/>
        <family val="2"/>
      </rPr>
      <t xml:space="preserve"> Correct</t>
    </r>
  </si>
  <si>
    <r>
      <t xml:space="preserve">Y = Handscoring is complete
N = Handscoring is not complete
</t>
    </r>
    <r>
      <rPr>
        <sz val="10"/>
        <color rgb="FFFF0000"/>
        <rFont val="Arial"/>
        <family val="2"/>
      </rPr>
      <t>Blank</t>
    </r>
  </si>
  <si>
    <r>
      <t xml:space="preserve">The Handscoring Complete Flag for the subject will be set to "Y" if handscoring has been completed for the subject.
</t>
    </r>
    <r>
      <rPr>
        <sz val="10"/>
        <color rgb="FFFF0000"/>
        <rFont val="Arial"/>
        <family val="2"/>
      </rPr>
      <t xml:space="preserve">
Blank for 2018.</t>
    </r>
  </si>
  <si>
    <t>ELA Item Responses</t>
  </si>
  <si>
    <t>Score Set Scores</t>
  </si>
  <si>
    <t>Reading Foundational Set 1 Raw Score</t>
  </si>
  <si>
    <t>Reading Foundational Set 2 Raw Score</t>
  </si>
  <si>
    <t>0-1
Blank</t>
  </si>
  <si>
    <t>0-2
Blank</t>
  </si>
  <si>
    <r>
      <t xml:space="preserve">Raw Score associated with Reading Foundational Set 1 in Grades 3 and 4. Refer to </t>
    </r>
    <r>
      <rPr>
        <b/>
        <u/>
        <sz val="10"/>
        <color theme="1"/>
        <rFont val="Arial"/>
        <family val="2"/>
      </rPr>
      <t>DOTS</t>
    </r>
    <r>
      <rPr>
        <sz val="10"/>
        <color theme="1"/>
        <rFont val="Arial"/>
        <family val="2"/>
      </rPr>
      <t xml:space="preserve"> for the items that contribute to this score.
Blank for Grades 5-8, or if the student's Total Raw Score for ELA is blank.</t>
    </r>
  </si>
  <si>
    <t>Tier 1 Writing Prompt Raw Score</t>
  </si>
  <si>
    <r>
      <t xml:space="preserve">Raw Score associated with the Tier 1 Writing Prompt. Refer to </t>
    </r>
    <r>
      <rPr>
        <b/>
        <u/>
        <sz val="10"/>
        <color theme="1"/>
        <rFont val="Arial"/>
        <family val="2"/>
      </rPr>
      <t>DOTS</t>
    </r>
    <r>
      <rPr>
        <sz val="10"/>
        <color theme="1"/>
        <rFont val="Arial"/>
        <family val="2"/>
      </rPr>
      <t xml:space="preserve"> for the items that contribute to this score.
Blank if there is no Writing set for the grade, or if the student's Total Raw Score for ELA is blank.</t>
    </r>
  </si>
  <si>
    <t>Bubbled Limited English Proficient (LEP) Status</t>
  </si>
  <si>
    <t>1 = Yes
- = No Response (document returned)
Blank = document not returned</t>
  </si>
  <si>
    <r>
      <t xml:space="preserve">Form Number
&lt;#&gt;nv indicates a nonverbal form was used by the student. </t>
    </r>
    <r>
      <rPr>
        <sz val="10"/>
        <color rgb="FFFF0000"/>
        <rFont val="Arial"/>
        <family val="2"/>
      </rPr>
      <t>Nonverbal forms are only applicable to students in grades 3 and 4.</t>
    </r>
    <r>
      <rPr>
        <sz val="10"/>
        <rFont val="Arial"/>
        <family val="2"/>
      </rPr>
      <t xml:space="preserve">
Blank when an online tester is not in a test session.</t>
    </r>
  </si>
  <si>
    <r>
      <rPr>
        <strike/>
        <sz val="10"/>
        <rFont val="Arial"/>
        <family val="2"/>
      </rPr>
      <t>1 = Level 1
2 = Level 2
3 = Level 3
4 = Level 4</t>
    </r>
    <r>
      <rPr>
        <sz val="10"/>
        <rFont val="Arial"/>
        <family val="2"/>
      </rPr>
      <t xml:space="preserve">
UNS = Unsatisfactory / Level 1
BAS = Basic / Level 2
MAS = Mastery / Level 3
ADV = Advanced / Level 4</t>
    </r>
  </si>
  <si>
    <r>
      <t xml:space="preserve">Math </t>
    </r>
    <r>
      <rPr>
        <strike/>
        <sz val="10"/>
        <color rgb="FFFF0000"/>
        <rFont val="Arial"/>
        <family val="2"/>
      </rPr>
      <t>Operational</t>
    </r>
    <r>
      <rPr>
        <sz val="10"/>
        <rFont val="Arial"/>
        <family val="2"/>
      </rPr>
      <t xml:space="preserve"> Item Responses</t>
    </r>
  </si>
  <si>
    <t>Y = Classified as Military Affiliated
N = Not classified as Military Affiliated
Blank</t>
  </si>
  <si>
    <t>Y = Classified as Foster Care
N = Not classified as Foster Care
Blank</t>
  </si>
  <si>
    <t>Y = TDR Student
N = Non-TDR Student
Blank</t>
  </si>
  <si>
    <t>As flagged on the LAP file.
Identifies the Tuition Donation Rebate (TDR) students.
Blank for a hand-coded document that could not be matched back to the LAP file or an online student.</t>
  </si>
  <si>
    <r>
      <t>Each item uses</t>
    </r>
    <r>
      <rPr>
        <sz val="10"/>
        <color rgb="FFFF0000"/>
        <rFont val="Arial"/>
        <family val="2"/>
      </rPr>
      <t xml:space="preserve"> 1</t>
    </r>
    <r>
      <rPr>
        <sz val="10"/>
        <rFont val="Arial"/>
        <family val="2"/>
      </rPr>
      <t xml:space="preserve"> field positions.
Refer to the </t>
    </r>
    <r>
      <rPr>
        <b/>
        <u/>
        <sz val="10"/>
        <rFont val="Arial"/>
        <family val="2"/>
      </rPr>
      <t>Scoring Rules</t>
    </r>
    <r>
      <rPr>
        <sz val="10"/>
        <rFont val="Arial"/>
        <family val="2"/>
      </rPr>
      <t xml:space="preserve"> section of the Processing Rules - Scoring document for rules on populating these values.</t>
    </r>
  </si>
  <si>
    <r>
      <rPr>
        <strike/>
        <sz val="10"/>
        <color rgb="FFFF0000"/>
        <rFont val="Arial"/>
        <family val="2"/>
      </rPr>
      <t>For "Item Responses" strings, each item uses two characters of space.</t>
    </r>
    <r>
      <rPr>
        <sz val="10"/>
        <rFont val="Arial"/>
        <family val="2"/>
      </rPr>
      <t xml:space="preserve">
If the item is </t>
    </r>
    <r>
      <rPr>
        <b/>
        <sz val="10"/>
        <rFont val="Arial"/>
        <family val="2"/>
      </rPr>
      <t>multiple choice</t>
    </r>
    <r>
      <rPr>
        <sz val="10"/>
        <rFont val="Arial"/>
        <family val="2"/>
      </rPr>
      <t xml:space="preserve">, the first character of the two is populated with the student's response with the remaining position as filler.  
1-4
A
B
C
D
Blank = No response for online document
If the item is </t>
    </r>
    <r>
      <rPr>
        <b/>
        <sz val="10"/>
        <rFont val="Arial"/>
        <family val="2"/>
      </rPr>
      <t>constructed response</t>
    </r>
    <r>
      <rPr>
        <sz val="10"/>
        <rFont val="Arial"/>
        <family val="2"/>
      </rPr>
      <t xml:space="preserve">, the student's score for the constructed response item is represented. If a response is &lt;10, the value will display in the first position. response is ≥10, the value will use both positions.
0-12
&lt;NonScore Code&gt; = Refer to the
        </t>
    </r>
    <r>
      <rPr>
        <b/>
        <u/>
        <sz val="10"/>
        <rFont val="Arial"/>
        <family val="2"/>
      </rPr>
      <t>Constructed Response Items</t>
    </r>
    <r>
      <rPr>
        <sz val="10"/>
        <rFont val="Arial"/>
        <family val="2"/>
      </rPr>
      <t xml:space="preserve"> 
        section of the Processing Rules 
        Scoring document for applicable 
        non-score codes. 
Blank or "-" = Session not submitted, session not sent to Performance Assessment Group</t>
    </r>
    <r>
      <rPr>
        <sz val="10"/>
        <color rgb="FF0000FF"/>
        <rFont val="Arial"/>
        <family val="2"/>
      </rPr>
      <t/>
    </r>
  </si>
  <si>
    <r>
      <rPr>
        <sz val="10"/>
        <color rgb="FFFF0000"/>
        <rFont val="Arial"/>
        <family val="2"/>
      </rPr>
      <t>For the Item Response strings, each item uses two characters of space.
For the Survey Item Response strings, each item uses one character of space.</t>
    </r>
    <r>
      <rPr>
        <sz val="10"/>
        <rFont val="Arial"/>
        <family val="2"/>
      </rPr>
      <t xml:space="preserve">
When a subject is updated because of a score merge, the item response string is changed to blank.</t>
    </r>
  </si>
  <si>
    <r>
      <rPr>
        <strike/>
        <sz val="10"/>
        <color rgb="FFFF0000"/>
        <rFont val="Arial"/>
        <family val="2"/>
      </rPr>
      <t xml:space="preserve">Y </t>
    </r>
    <r>
      <rPr>
        <sz val="10"/>
        <color rgb="FFFF0000"/>
        <rFont val="Arial"/>
        <family val="2"/>
      </rPr>
      <t xml:space="preserve">1 </t>
    </r>
    <r>
      <rPr>
        <sz val="10"/>
        <rFont val="Arial"/>
        <family val="2"/>
      </rPr>
      <t>= Yes
- = No response (document returned)
Blank = document not returned</t>
    </r>
  </si>
  <si>
    <t>0-999
Blank</t>
  </si>
  <si>
    <t>0-99
Blank</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</si>
</sst>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0"/>
      <color theme="1"/>
      <name val="Arial"/>
      <family val="2"/>
    </font>
    <font>
      <b/>
      <sz val="10"/>
      <color theme="1"/>
      <name val="Arial"/>
      <family val="2"/>
    </font>
    <font>
      <b/>
      <sz val="12"/>
      <color theme="1"/>
      <name val="Arial"/>
      <family val="2"/>
    </font>
    <font>
      <sz val="10"/>
      <name val="Arial"/>
      <family val="2"/>
    </font>
    <font>
      <b/>
      <sz val="10"/>
      <color indexed="12"/>
      <name val="Arial"/>
      <family val="2"/>
    </font>
    <font>
      <b/>
      <u/>
      <sz val="10"/>
      <name val="Arial"/>
      <family val="2"/>
    </font>
    <font>
      <b/>
      <sz val="10"/>
      <name val="Arial"/>
      <family val="2"/>
    </font>
    <font>
      <strike/>
      <sz val="10"/>
      <color rgb="FFFF0000"/>
      <name val="Arial"/>
      <family val="2"/>
    </font>
    <font>
      <b/>
      <sz val="10"/>
      <color rgb="FF0000FF"/>
      <name val="Arial"/>
      <family val="2"/>
    </font>
    <font>
      <strike/>
      <sz val="10"/>
      <name val="Arial"/>
      <family val="2"/>
    </font>
    <font>
      <b/>
      <u/>
      <sz val="10"/>
      <color theme="1"/>
      <name val="Arial"/>
      <family val="2"/>
    </font>
    <font>
      <sz val="10"/>
      <color rgb="FFFF0000"/>
      <name val="Arial"/>
      <family val="2"/>
    </font>
    <font>
      <sz val="10"/>
      <color rgb="FF0000FF"/>
      <name val="Arial"/>
      <family val="2"/>
    </font>
    <font>
      <b/>
      <sz val="10"/>
      <color indexed="10"/>
      <name val="Arial"/>
      <family val="2"/>
    </font>
    <font>
      <b/>
      <sz val="8"/>
      <color indexed="10"/>
      <name val="Arial"/>
      <family val="2"/>
    </font>
    <font>
      <u/>
      <sz val="10"/>
      <color theme="10"/>
      <name val="Arial"/>
      <family val="2"/>
    </font>
    <font>
      <sz val="11"/>
      <color theme="1"/>
      <name val="Calibri"/>
      <family val="2"/>
      <scheme val="minor"/>
    </font>
    <font>
      <sz val="10"/>
      <name val="Arial"/>
      <family val="2"/>
    </font>
  </fonts>
  <fills count="8">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7" tint="0.79998168889431442"/>
        <bgColor indexed="64"/>
      </patternFill>
    </fill>
  </fills>
  <borders count="8">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32">
    <xf numFmtId="0" fontId="0" fillId="0" borderId="0"/>
    <xf numFmtId="0" fontId="4" fillId="0" borderId="0"/>
    <xf numFmtId="0" fontId="4" fillId="0" borderId="0"/>
    <xf numFmtId="0" fontId="4" fillId="0" borderId="0"/>
    <xf numFmtId="0" fontId="4" fillId="0" borderId="0"/>
    <xf numFmtId="0" fontId="16" fillId="0" borderId="0" applyNumberFormat="0" applyFill="0" applyBorder="0" applyAlignment="0" applyProtection="0"/>
    <xf numFmtId="0" fontId="18" fillId="0" borderId="0"/>
    <xf numFmtId="0" fontId="4" fillId="0" borderId="0"/>
    <xf numFmtId="0" fontId="4" fillId="0" borderId="0"/>
    <xf numFmtId="0" fontId="17" fillId="0" borderId="0"/>
    <xf numFmtId="0" fontId="4"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17" fillId="0" borderId="0"/>
    <xf numFmtId="0" fontId="17" fillId="0" borderId="0"/>
    <xf numFmtId="0" fontId="4" fillId="0" borderId="0"/>
    <xf numFmtId="0" fontId="17" fillId="0" borderId="0"/>
    <xf numFmtId="0" fontId="17" fillId="0" borderId="0"/>
    <xf numFmtId="0" fontId="17" fillId="0" borderId="0"/>
    <xf numFmtId="0" fontId="17" fillId="0" borderId="0"/>
    <xf numFmtId="0" fontId="17" fillId="0" borderId="0"/>
  </cellStyleXfs>
  <cellXfs count="116">
    <xf numFmtId="0" fontId="0" fillId="0" borderId="0" xfId="0"/>
    <xf numFmtId="0" fontId="1" fillId="0" borderId="0" xfId="0" applyFont="1" applyAlignment="1">
      <alignment wrapText="1"/>
    </xf>
    <xf numFmtId="0" fontId="1" fillId="0" borderId="0" xfId="0" applyFont="1" applyAlignment="1">
      <alignment horizontal="right" vertical="top"/>
    </xf>
    <xf numFmtId="0" fontId="5" fillId="0" borderId="0" xfId="1" applyFont="1" applyFill="1" applyBorder="1" applyAlignment="1">
      <alignment vertical="top" wrapText="1"/>
    </xf>
    <xf numFmtId="0" fontId="1" fillId="0" borderId="0" xfId="0" applyFont="1" applyAlignment="1">
      <alignment vertical="center"/>
    </xf>
    <xf numFmtId="0" fontId="1" fillId="0" borderId="0" xfId="0" applyFont="1" applyAlignment="1">
      <alignment vertical="center" wrapText="1"/>
    </xf>
    <xf numFmtId="0" fontId="4" fillId="0" borderId="0" xfId="0" applyFont="1" applyFill="1" applyAlignment="1">
      <alignment vertical="center"/>
    </xf>
    <xf numFmtId="0" fontId="1" fillId="0" borderId="0" xfId="0" applyFont="1" applyFill="1" applyAlignment="1">
      <alignment wrapText="1"/>
    </xf>
    <xf numFmtId="0" fontId="1" fillId="0" borderId="0" xfId="0" applyFont="1" applyAlignment="1">
      <alignment horizontal="center" wrapText="1"/>
    </xf>
    <xf numFmtId="0" fontId="0" fillId="2" borderId="2" xfId="0" applyFill="1" applyBorder="1" applyAlignment="1" applyProtection="1">
      <alignment horizontal="center" wrapText="1"/>
    </xf>
    <xf numFmtId="0" fontId="0" fillId="2" borderId="2" xfId="0" applyFill="1" applyBorder="1" applyAlignment="1" applyProtection="1">
      <alignment wrapText="1"/>
    </xf>
    <xf numFmtId="0" fontId="7" fillId="3" borderId="2" xfId="0" applyFont="1" applyFill="1" applyBorder="1"/>
    <xf numFmtId="0" fontId="4" fillId="0" borderId="2" xfId="0" applyFont="1" applyFill="1" applyBorder="1" applyAlignment="1">
      <alignment wrapText="1"/>
    </xf>
    <xf numFmtId="0" fontId="16" fillId="0" borderId="2" xfId="5" applyFill="1" applyBorder="1" applyAlignment="1">
      <alignment wrapText="1"/>
    </xf>
    <xf numFmtId="0" fontId="16" fillId="0" borderId="2" xfId="5" applyFill="1" applyBorder="1" applyAlignment="1">
      <alignment horizontal="left" vertical="center" wrapText="1"/>
    </xf>
    <xf numFmtId="0" fontId="0" fillId="0" borderId="0" xfId="0" applyFill="1" applyAlignment="1">
      <alignment wrapText="1"/>
    </xf>
    <xf numFmtId="0" fontId="0" fillId="0" borderId="0" xfId="0" applyFill="1" applyAlignment="1"/>
    <xf numFmtId="0" fontId="1" fillId="0" borderId="3" xfId="0" applyFont="1" applyBorder="1" applyAlignment="1">
      <alignment horizontal="center" wrapText="1"/>
    </xf>
    <xf numFmtId="0" fontId="1" fillId="0" borderId="3" xfId="0" applyFont="1" applyBorder="1" applyAlignment="1">
      <alignment horizontal="right" vertical="top"/>
    </xf>
    <xf numFmtId="1" fontId="4" fillId="0" borderId="3" xfId="2" applyNumberFormat="1" applyFont="1" applyFill="1" applyBorder="1" applyAlignment="1">
      <alignment horizontal="right" vertical="top"/>
    </xf>
    <xf numFmtId="0" fontId="4" fillId="0" borderId="3" xfId="2" applyFont="1" applyFill="1" applyBorder="1" applyAlignment="1">
      <alignment horizontal="right" vertical="top"/>
    </xf>
    <xf numFmtId="0" fontId="4" fillId="0" borderId="3" xfId="1" applyFont="1" applyFill="1" applyBorder="1" applyAlignment="1">
      <alignment vertical="top" wrapText="1"/>
    </xf>
    <xf numFmtId="0" fontId="4" fillId="0" borderId="3" xfId="0" applyFont="1" applyFill="1" applyBorder="1" applyAlignment="1">
      <alignment vertical="center"/>
    </xf>
    <xf numFmtId="0" fontId="4" fillId="0" borderId="3" xfId="0" applyFont="1" applyFill="1" applyBorder="1" applyAlignment="1">
      <alignment vertical="center" wrapText="1"/>
    </xf>
    <xf numFmtId="0" fontId="4" fillId="0" borderId="3" xfId="1" applyFont="1" applyFill="1" applyBorder="1" applyAlignment="1">
      <alignment vertical="center" wrapText="1"/>
    </xf>
    <xf numFmtId="0" fontId="4" fillId="0" borderId="3" xfId="1" applyFont="1" applyFill="1" applyBorder="1" applyAlignment="1">
      <alignment horizontal="left" vertical="center" wrapText="1"/>
    </xf>
    <xf numFmtId="0" fontId="4" fillId="0" borderId="3" xfId="0" applyFont="1" applyBorder="1" applyAlignment="1">
      <alignment vertical="top" wrapText="1"/>
    </xf>
    <xf numFmtId="0" fontId="1" fillId="0" borderId="3" xfId="0" applyFont="1" applyBorder="1" applyAlignment="1">
      <alignment vertical="center" wrapText="1"/>
    </xf>
    <xf numFmtId="0" fontId="4" fillId="0" borderId="3" xfId="0" applyFont="1" applyFill="1" applyBorder="1" applyAlignment="1">
      <alignment horizontal="center"/>
    </xf>
    <xf numFmtId="0" fontId="1" fillId="0" borderId="3" xfId="0" applyFont="1" applyBorder="1" applyAlignment="1">
      <alignment vertical="center"/>
    </xf>
    <xf numFmtId="0" fontId="4" fillId="0" borderId="3" xfId="0" applyFont="1" applyFill="1" applyBorder="1" applyAlignment="1">
      <alignment horizontal="center" wrapText="1"/>
    </xf>
    <xf numFmtId="0" fontId="4" fillId="0" borderId="3" xfId="2" applyFont="1" applyFill="1" applyBorder="1" applyAlignment="1">
      <alignment vertical="center" wrapText="1"/>
    </xf>
    <xf numFmtId="49" fontId="4" fillId="0" borderId="3" xfId="3" applyNumberFormat="1" applyFont="1" applyFill="1" applyBorder="1" applyAlignment="1">
      <alignment horizontal="left" vertical="center" wrapText="1"/>
    </xf>
    <xf numFmtId="0" fontId="4" fillId="0" borderId="3" xfId="2" applyFont="1" applyFill="1" applyBorder="1" applyAlignment="1">
      <alignment horizontal="left" vertical="center" wrapText="1"/>
    </xf>
    <xf numFmtId="49" fontId="4" fillId="0" borderId="3" xfId="2" applyNumberFormat="1" applyFont="1" applyFill="1" applyBorder="1" applyAlignment="1">
      <alignment horizontal="left" vertical="center" wrapText="1"/>
    </xf>
    <xf numFmtId="0" fontId="1" fillId="0" borderId="3" xfId="0" applyFont="1" applyFill="1" applyBorder="1" applyAlignment="1">
      <alignment horizontal="right" vertical="top"/>
    </xf>
    <xf numFmtId="0" fontId="1" fillId="0" borderId="3" xfId="0" applyFont="1" applyFill="1" applyBorder="1" applyAlignment="1">
      <alignment vertical="center" wrapText="1"/>
    </xf>
    <xf numFmtId="0" fontId="4" fillId="0" borderId="3" xfId="2" applyFont="1" applyFill="1" applyBorder="1" applyAlignment="1">
      <alignment vertical="top" wrapText="1"/>
    </xf>
    <xf numFmtId="0" fontId="1" fillId="0" borderId="3" xfId="0" applyFont="1" applyBorder="1" applyAlignment="1">
      <alignment wrapText="1"/>
    </xf>
    <xf numFmtId="0" fontId="9" fillId="0" borderId="3" xfId="0" applyFont="1" applyBorder="1" applyAlignment="1">
      <alignment wrapText="1"/>
    </xf>
    <xf numFmtId="0" fontId="1" fillId="0" borderId="3" xfId="0" applyFont="1" applyFill="1" applyBorder="1" applyAlignment="1">
      <alignment horizontal="center" wrapText="1"/>
    </xf>
    <xf numFmtId="0" fontId="9" fillId="0" borderId="3" xfId="2" applyFont="1" applyFill="1" applyBorder="1" applyAlignment="1">
      <alignment vertical="top" wrapText="1"/>
    </xf>
    <xf numFmtId="0" fontId="1" fillId="0" borderId="3" xfId="0" applyFont="1" applyFill="1" applyBorder="1" applyAlignment="1">
      <alignment wrapText="1"/>
    </xf>
    <xf numFmtId="0" fontId="1" fillId="0" borderId="3" xfId="0" applyFont="1" applyFill="1" applyBorder="1" applyAlignment="1">
      <alignment vertical="center"/>
    </xf>
    <xf numFmtId="0" fontId="9" fillId="0" borderId="3" xfId="0" applyFont="1" applyBorder="1" applyAlignment="1">
      <alignment vertical="top" wrapText="1"/>
    </xf>
    <xf numFmtId="0" fontId="4" fillId="0" borderId="3" xfId="0" applyFont="1" applyFill="1" applyBorder="1" applyAlignment="1">
      <alignment horizontal="right" vertical="top"/>
    </xf>
    <xf numFmtId="0" fontId="4" fillId="0" borderId="3" xfId="0" applyFont="1" applyFill="1" applyBorder="1" applyAlignment="1">
      <alignment wrapText="1"/>
    </xf>
    <xf numFmtId="0" fontId="4" fillId="5" borderId="3" xfId="2" applyFont="1" applyFill="1" applyBorder="1" applyAlignment="1">
      <alignment vertical="center" wrapText="1"/>
    </xf>
    <xf numFmtId="0" fontId="1" fillId="4" borderId="3" xfId="0" applyFont="1" applyFill="1" applyBorder="1" applyAlignment="1">
      <alignment horizontal="center" wrapText="1"/>
    </xf>
    <xf numFmtId="0" fontId="1" fillId="4" borderId="3" xfId="0" applyFont="1" applyFill="1" applyBorder="1" applyAlignment="1">
      <alignment horizontal="right" vertical="top"/>
    </xf>
    <xf numFmtId="1" fontId="4" fillId="4" borderId="3" xfId="2" applyNumberFormat="1" applyFont="1" applyFill="1" applyBorder="1" applyAlignment="1">
      <alignment horizontal="right" vertical="top"/>
    </xf>
    <xf numFmtId="1" fontId="4" fillId="4" borderId="3" xfId="6" applyNumberFormat="1" applyFont="1" applyFill="1" applyBorder="1" applyAlignment="1">
      <alignment horizontal="right" vertical="top"/>
    </xf>
    <xf numFmtId="49" fontId="4" fillId="4" borderId="3" xfId="6" applyNumberFormat="1" applyFont="1" applyFill="1" applyBorder="1" applyAlignment="1">
      <alignment horizontal="left" vertical="top" wrapText="1"/>
    </xf>
    <xf numFmtId="49" fontId="4" fillId="4" borderId="3" xfId="6" applyNumberFormat="1" applyFont="1" applyFill="1" applyBorder="1" applyAlignment="1">
      <alignment horizontal="left" vertical="center" wrapText="1"/>
    </xf>
    <xf numFmtId="1" fontId="1" fillId="0" borderId="3" xfId="0" applyNumberFormat="1" applyFont="1" applyBorder="1" applyAlignment="1">
      <alignment horizontal="right" vertical="top"/>
    </xf>
    <xf numFmtId="49" fontId="4" fillId="0" borderId="3" xfId="0" applyNumberFormat="1" applyFont="1" applyFill="1" applyBorder="1" applyAlignment="1">
      <alignment horizontal="left" vertical="top" wrapText="1"/>
    </xf>
    <xf numFmtId="49" fontId="4" fillId="0" borderId="3" xfId="0" applyNumberFormat="1" applyFont="1" applyFill="1" applyBorder="1" applyAlignment="1">
      <alignment horizontal="left" vertical="top"/>
    </xf>
    <xf numFmtId="0" fontId="5" fillId="0" borderId="3" xfId="2" applyFont="1" applyFill="1" applyBorder="1" applyAlignment="1">
      <alignment vertical="top" wrapText="1"/>
    </xf>
    <xf numFmtId="0" fontId="1" fillId="0" borderId="3" xfId="0" applyFont="1" applyFill="1" applyBorder="1" applyAlignment="1">
      <alignment vertical="top" wrapText="1"/>
    </xf>
    <xf numFmtId="49" fontId="4" fillId="0" borderId="3" xfId="2" applyNumberFormat="1" applyFont="1" applyFill="1" applyBorder="1" applyAlignment="1">
      <alignment vertical="center" wrapText="1"/>
    </xf>
    <xf numFmtId="0" fontId="1" fillId="0" borderId="3" xfId="0" applyFont="1" applyBorder="1" applyAlignment="1">
      <alignment vertical="top" wrapText="1"/>
    </xf>
    <xf numFmtId="0" fontId="4" fillId="0" borderId="3" xfId="0" applyFont="1" applyFill="1" applyBorder="1" applyAlignment="1">
      <alignment vertical="top" wrapText="1"/>
    </xf>
    <xf numFmtId="0" fontId="9" fillId="0" borderId="3" xfId="0" applyFont="1" applyFill="1" applyBorder="1" applyAlignment="1">
      <alignment vertical="top" wrapText="1"/>
    </xf>
    <xf numFmtId="0" fontId="4" fillId="0" borderId="3" xfId="4" applyFont="1" applyFill="1" applyBorder="1" applyAlignment="1">
      <alignment vertical="top" wrapText="1"/>
    </xf>
    <xf numFmtId="0" fontId="4" fillId="0" borderId="3" xfId="0" applyFont="1" applyFill="1" applyBorder="1" applyAlignment="1">
      <alignment horizontal="center" vertical="top"/>
    </xf>
    <xf numFmtId="49" fontId="5" fillId="0" borderId="3" xfId="0" applyNumberFormat="1" applyFont="1" applyFill="1" applyBorder="1" applyAlignment="1">
      <alignment horizontal="left" vertical="top" wrapText="1"/>
    </xf>
    <xf numFmtId="0" fontId="4" fillId="0" borderId="3" xfId="0" applyFont="1" applyFill="1" applyBorder="1" applyAlignment="1">
      <alignment horizontal="left" vertical="center"/>
    </xf>
    <xf numFmtId="1" fontId="4" fillId="0" borderId="3" xfId="0" applyNumberFormat="1" applyFont="1" applyFill="1" applyBorder="1" applyAlignment="1">
      <alignment horizontal="right" vertical="top"/>
    </xf>
    <xf numFmtId="0" fontId="4" fillId="0" borderId="3" xfId="0" applyFont="1" applyFill="1" applyBorder="1" applyAlignment="1">
      <alignment vertical="top"/>
    </xf>
    <xf numFmtId="0" fontId="4" fillId="0" borderId="3" xfId="0" applyFont="1" applyFill="1" applyBorder="1" applyAlignment="1">
      <alignment horizontal="left" vertical="center" wrapText="1"/>
    </xf>
    <xf numFmtId="0" fontId="4" fillId="0" borderId="3" xfId="0" applyFont="1" applyFill="1" applyBorder="1" applyAlignment="1">
      <alignment horizontal="left" vertical="top"/>
    </xf>
    <xf numFmtId="0" fontId="1" fillId="0" borderId="3" xfId="0" applyFont="1" applyFill="1" applyBorder="1" applyAlignment="1">
      <alignment horizontal="left" vertical="center" wrapText="1"/>
    </xf>
    <xf numFmtId="16" fontId="1" fillId="0" borderId="3" xfId="0" applyNumberFormat="1" applyFont="1" applyFill="1" applyBorder="1" applyAlignment="1">
      <alignment vertical="center" wrapText="1"/>
    </xf>
    <xf numFmtId="0" fontId="4" fillId="0" borderId="3" xfId="1" applyFont="1" applyFill="1" applyBorder="1" applyAlignment="1">
      <alignment horizontal="right" vertical="top"/>
    </xf>
    <xf numFmtId="0" fontId="4" fillId="0" borderId="3" xfId="0" applyFont="1" applyBorder="1" applyAlignment="1">
      <alignment vertical="center" wrapText="1"/>
    </xf>
    <xf numFmtId="0" fontId="1" fillId="4" borderId="3" xfId="0" applyFont="1" applyFill="1" applyBorder="1" applyAlignment="1">
      <alignment wrapText="1"/>
    </xf>
    <xf numFmtId="0" fontId="9" fillId="0" borderId="3" xfId="4" applyFont="1" applyFill="1" applyBorder="1" applyAlignment="1">
      <alignment vertical="top" wrapText="1"/>
    </xf>
    <xf numFmtId="16" fontId="4" fillId="0" borderId="3" xfId="1" applyNumberFormat="1" applyFont="1" applyFill="1" applyBorder="1" applyAlignment="1">
      <alignment horizontal="left" vertical="center" wrapText="1"/>
    </xf>
    <xf numFmtId="49" fontId="4" fillId="0" borderId="3" xfId="1" applyNumberFormat="1" applyFont="1" applyFill="1" applyBorder="1" applyAlignment="1">
      <alignment vertical="center" wrapText="1"/>
    </xf>
    <xf numFmtId="0" fontId="4" fillId="4" borderId="3" xfId="2" applyFont="1" applyFill="1" applyBorder="1" applyAlignment="1">
      <alignment vertical="top" wrapText="1"/>
    </xf>
    <xf numFmtId="0" fontId="4" fillId="0" borderId="3" xfId="1" applyFont="1" applyFill="1" applyBorder="1" applyAlignment="1">
      <alignment wrapText="1"/>
    </xf>
    <xf numFmtId="0" fontId="4" fillId="4" borderId="3" xfId="0" applyFont="1" applyFill="1" applyBorder="1" applyAlignment="1">
      <alignment horizontal="right" vertical="top"/>
    </xf>
    <xf numFmtId="49" fontId="4" fillId="0" borderId="3" xfId="0" applyNumberFormat="1" applyFont="1" applyFill="1" applyBorder="1" applyAlignment="1">
      <alignment horizontal="left" vertical="center" wrapText="1"/>
    </xf>
    <xf numFmtId="49" fontId="4" fillId="0" borderId="3" xfId="0" applyNumberFormat="1" applyFont="1" applyFill="1" applyBorder="1" applyAlignment="1">
      <alignment horizontal="left" vertical="center"/>
    </xf>
    <xf numFmtId="0" fontId="1" fillId="0" borderId="4" xfId="0" applyFont="1" applyBorder="1" applyAlignment="1">
      <alignment horizontal="center" wrapText="1"/>
    </xf>
    <xf numFmtId="0" fontId="3" fillId="0" borderId="4" xfId="0" applyFont="1" applyBorder="1" applyAlignment="1">
      <alignment wrapText="1"/>
    </xf>
    <xf numFmtId="0" fontId="2" fillId="0" borderId="4" xfId="0" applyFont="1" applyBorder="1" applyAlignment="1">
      <alignment horizontal="center" wrapText="1"/>
    </xf>
    <xf numFmtId="0" fontId="3" fillId="0" borderId="4" xfId="0" applyFont="1" applyBorder="1" applyAlignment="1">
      <alignment horizontal="left" wrapText="1"/>
    </xf>
    <xf numFmtId="49" fontId="4" fillId="0" borderId="3" xfId="1" applyNumberFormat="1" applyFont="1" applyFill="1" applyBorder="1" applyAlignment="1">
      <alignment vertical="center" wrapText="1"/>
    </xf>
    <xf numFmtId="0" fontId="4" fillId="0" borderId="3" xfId="1" applyFont="1" applyFill="1" applyBorder="1" applyAlignment="1">
      <alignment vertical="center" wrapText="1"/>
    </xf>
    <xf numFmtId="0" fontId="4" fillId="0" borderId="3" xfId="1" applyFont="1" applyFill="1" applyBorder="1" applyAlignment="1">
      <alignment horizontal="left" vertical="center" wrapText="1"/>
    </xf>
    <xf numFmtId="0" fontId="4" fillId="0" borderId="3" xfId="2" applyFont="1" applyFill="1" applyBorder="1" applyAlignment="1">
      <alignment horizontal="left" vertical="center" wrapText="1"/>
    </xf>
    <xf numFmtId="0" fontId="1" fillId="0" borderId="3" xfId="0" applyFont="1" applyFill="1" applyBorder="1" applyAlignment="1">
      <alignment horizontal="left" vertical="center" wrapText="1"/>
    </xf>
    <xf numFmtId="0" fontId="4" fillId="0" borderId="3" xfId="0" applyFont="1" applyFill="1" applyBorder="1" applyAlignment="1">
      <alignment horizontal="left" vertical="center" wrapText="1"/>
    </xf>
    <xf numFmtId="0" fontId="4" fillId="0" borderId="3" xfId="2" applyFont="1" applyFill="1" applyBorder="1" applyAlignment="1">
      <alignment vertical="center" wrapText="1"/>
    </xf>
    <xf numFmtId="0" fontId="1" fillId="0" borderId="3" xfId="0" applyFont="1" applyBorder="1" applyAlignment="1">
      <alignment horizontal="left" vertical="center" wrapText="1"/>
    </xf>
    <xf numFmtId="0" fontId="1" fillId="0" borderId="3" xfId="0" applyFont="1" applyFill="1" applyBorder="1" applyAlignment="1">
      <alignment horizontal="left" vertical="center"/>
    </xf>
    <xf numFmtId="0" fontId="4" fillId="0" borderId="3" xfId="0" applyFont="1" applyFill="1" applyBorder="1" applyAlignment="1">
      <alignment horizontal="left" vertical="center"/>
    </xf>
    <xf numFmtId="0" fontId="6" fillId="0" borderId="3" xfId="1" applyFont="1" applyFill="1" applyBorder="1" applyAlignment="1">
      <alignment horizontal="left" vertical="center" wrapText="1"/>
    </xf>
    <xf numFmtId="0" fontId="4" fillId="0" borderId="3" xfId="0" applyFont="1" applyFill="1" applyBorder="1" applyAlignment="1">
      <alignment horizontal="left" wrapText="1"/>
    </xf>
    <xf numFmtId="0" fontId="14" fillId="0" borderId="1" xfId="0" applyFont="1" applyBorder="1" applyAlignment="1" applyProtection="1">
      <alignment horizontal="left" wrapText="1"/>
    </xf>
    <xf numFmtId="0" fontId="1" fillId="6" borderId="3" xfId="0" applyFont="1" applyFill="1" applyBorder="1" applyAlignment="1">
      <alignment horizontal="center" wrapText="1"/>
    </xf>
    <xf numFmtId="0" fontId="1" fillId="6" borderId="3" xfId="0" applyFont="1" applyFill="1" applyBorder="1" applyAlignment="1">
      <alignment horizontal="right" vertical="top"/>
    </xf>
    <xf numFmtId="1" fontId="4" fillId="6" borderId="3" xfId="2" applyNumberFormat="1" applyFont="1" applyFill="1" applyBorder="1" applyAlignment="1">
      <alignment horizontal="right" vertical="top"/>
    </xf>
    <xf numFmtId="0" fontId="4" fillId="6" borderId="3" xfId="4" applyFont="1" applyFill="1" applyBorder="1" applyAlignment="1">
      <alignment vertical="top" wrapText="1"/>
    </xf>
    <xf numFmtId="0" fontId="1" fillId="6" borderId="3" xfId="0" applyFont="1" applyFill="1" applyBorder="1" applyAlignment="1">
      <alignment vertical="center"/>
    </xf>
    <xf numFmtId="0" fontId="1" fillId="6" borderId="3" xfId="0" applyFont="1" applyFill="1" applyBorder="1" applyAlignment="1">
      <alignment vertical="center" wrapText="1"/>
    </xf>
    <xf numFmtId="0" fontId="9" fillId="6" borderId="3" xfId="4" applyFont="1" applyFill="1" applyBorder="1" applyAlignment="1">
      <alignment vertical="top" wrapText="1"/>
    </xf>
    <xf numFmtId="0" fontId="4" fillId="6" borderId="3" xfId="1" applyFont="1" applyFill="1" applyBorder="1" applyAlignment="1">
      <alignment horizontal="left" vertical="center" wrapText="1"/>
    </xf>
    <xf numFmtId="0" fontId="4" fillId="6" borderId="3" xfId="2" applyFont="1" applyFill="1" applyBorder="1" applyAlignment="1">
      <alignment vertical="top" wrapText="1"/>
    </xf>
    <xf numFmtId="0" fontId="4" fillId="7" borderId="3" xfId="0" applyFont="1" applyFill="1" applyBorder="1" applyAlignment="1">
      <alignment horizontal="left" vertical="center" wrapText="1"/>
    </xf>
    <xf numFmtId="0" fontId="4" fillId="7" borderId="3" xfId="2" applyFont="1" applyFill="1" applyBorder="1" applyAlignment="1">
      <alignment vertical="top" wrapText="1"/>
    </xf>
    <xf numFmtId="0" fontId="1" fillId="0" borderId="5" xfId="0" applyFont="1" applyBorder="1" applyAlignment="1">
      <alignment horizontal="center" wrapText="1"/>
    </xf>
    <xf numFmtId="0" fontId="2" fillId="0" borderId="6" xfId="0" applyFont="1" applyBorder="1" applyAlignment="1">
      <alignment horizontal="center"/>
    </xf>
    <xf numFmtId="0" fontId="1" fillId="0" borderId="6" xfId="0" applyFont="1" applyBorder="1" applyAlignment="1">
      <alignment horizontal="right" vertical="top"/>
    </xf>
    <xf numFmtId="1" fontId="2" fillId="0" borderId="7" xfId="0" applyNumberFormat="1" applyFont="1" applyFill="1" applyBorder="1" applyAlignment="1">
      <alignment horizontal="right" vertical="top"/>
    </xf>
  </cellXfs>
  <cellStyles count="32">
    <cellStyle name="Hyperlink" xfId="5" builtinId="8"/>
    <cellStyle name="Normal" xfId="0" builtinId="0"/>
    <cellStyle name="Normal 10" xfId="11"/>
    <cellStyle name="Normal 11" xfId="12"/>
    <cellStyle name="Normal 12" xfId="2"/>
    <cellStyle name="Normal 13" xfId="6"/>
    <cellStyle name="Normal 2" xfId="3"/>
    <cellStyle name="Normal 2 2" xfId="19"/>
    <cellStyle name="Normal 2 3" xfId="14"/>
    <cellStyle name="Normal 23" xfId="4"/>
    <cellStyle name="Normal 29" xfId="1"/>
    <cellStyle name="Normal 3" xfId="7"/>
    <cellStyle name="Normal 3 2" xfId="8"/>
    <cellStyle name="Normal 3 2 2" xfId="20"/>
    <cellStyle name="Normal 3 3" xfId="15"/>
    <cellStyle name="Normal 4" xfId="9"/>
    <cellStyle name="Normal 4 2" xfId="21"/>
    <cellStyle name="Normal 4 2 2" xfId="24"/>
    <cellStyle name="Normal 4 2 3" xfId="30"/>
    <cellStyle name="Normal 4 3" xfId="16"/>
    <cellStyle name="Normal 4 4" xfId="22"/>
    <cellStyle name="Normal 4 5" xfId="28"/>
    <cellStyle name="Normal 5" xfId="10"/>
    <cellStyle name="Normal 5 2" xfId="18"/>
    <cellStyle name="Normal 6" xfId="17"/>
    <cellStyle name="Normal 6 2" xfId="23"/>
    <cellStyle name="Normal 6 3" xfId="29"/>
    <cellStyle name="Normal 7" xfId="13"/>
    <cellStyle name="Normal 7 2" xfId="25"/>
    <cellStyle name="Normal 7 3" xfId="31"/>
    <cellStyle name="Normal 8" xfId="26"/>
    <cellStyle name="Normal 9" xfId="27"/>
  </cellStyles>
  <dxfs count="0"/>
  <tableStyles count="0" defaultTableStyle="TableStyleMedium2" defaultPivotStyle="PivotStyleLight16"/>
  <colors>
    <mruColors>
      <color rgb="FFFFFFFF"/>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94"/>
  <sheetViews>
    <sheetView tabSelected="1" topLeftCell="A160" zoomScale="90" zoomScaleNormal="90" workbookViewId="0">
      <selection activeCell="F314" sqref="F314"/>
    </sheetView>
  </sheetViews>
  <sheetFormatPr defaultColWidth="9.109375" defaultRowHeight="13.2" x14ac:dyDescent="0.25"/>
  <cols>
    <col min="1" max="1" width="9.33203125" style="8" customWidth="1"/>
    <col min="2" max="2" width="10.109375" style="8" customWidth="1"/>
    <col min="3" max="3" width="10.6640625" style="8" customWidth="1"/>
    <col min="4" max="4" width="9.5546875" style="1" customWidth="1"/>
    <col min="5" max="6" width="9.109375" style="1"/>
    <col min="7" max="7" width="49.109375" style="1" customWidth="1"/>
    <col min="8" max="8" width="41.21875" style="1" customWidth="1"/>
    <col min="9" max="9" width="68.6640625" style="1" customWidth="1"/>
    <col min="10" max="16384" width="9.109375" style="1"/>
  </cols>
  <sheetData>
    <row r="1" spans="1:9" ht="46.8" customHeight="1" thickBot="1" x14ac:dyDescent="0.35">
      <c r="A1" s="84"/>
      <c r="B1" s="84"/>
      <c r="C1" s="87" t="s">
        <v>9</v>
      </c>
      <c r="D1" s="87"/>
      <c r="E1" s="87"/>
      <c r="F1" s="87"/>
      <c r="G1" s="87"/>
      <c r="H1" s="87"/>
      <c r="I1" s="85" t="s">
        <v>10</v>
      </c>
    </row>
    <row r="2" spans="1:9" ht="46.8" customHeight="1" thickBot="1" x14ac:dyDescent="0.3">
      <c r="A2" s="86" t="s">
        <v>0</v>
      </c>
      <c r="B2" s="86" t="s">
        <v>1</v>
      </c>
      <c r="C2" s="86" t="s">
        <v>2</v>
      </c>
      <c r="D2" s="86" t="s">
        <v>3</v>
      </c>
      <c r="E2" s="86" t="s">
        <v>4</v>
      </c>
      <c r="F2" s="86" t="s">
        <v>5</v>
      </c>
      <c r="G2" s="86" t="s">
        <v>6</v>
      </c>
      <c r="H2" s="86" t="s">
        <v>7</v>
      </c>
      <c r="I2" s="86" t="s">
        <v>8</v>
      </c>
    </row>
    <row r="3" spans="1:9" x14ac:dyDescent="0.25">
      <c r="D3" s="2"/>
      <c r="E3" s="2"/>
      <c r="F3" s="2"/>
      <c r="G3" s="3" t="s">
        <v>11</v>
      </c>
      <c r="H3" s="4"/>
      <c r="I3" s="5"/>
    </row>
    <row r="4" spans="1:9" x14ac:dyDescent="0.25">
      <c r="A4" s="17" t="s">
        <v>388</v>
      </c>
      <c r="B4" s="17" t="s">
        <v>388</v>
      </c>
      <c r="C4" s="17"/>
      <c r="D4" s="18">
        <v>1</v>
      </c>
      <c r="E4" s="19">
        <f>D4+F4-1</f>
        <v>2</v>
      </c>
      <c r="F4" s="20">
        <v>2</v>
      </c>
      <c r="G4" s="21" t="s">
        <v>12</v>
      </c>
      <c r="H4" s="22" t="s">
        <v>80</v>
      </c>
      <c r="I4" s="23" t="s">
        <v>13</v>
      </c>
    </row>
    <row r="5" spans="1:9" x14ac:dyDescent="0.25">
      <c r="A5" s="17" t="s">
        <v>388</v>
      </c>
      <c r="B5" s="17" t="s">
        <v>388</v>
      </c>
      <c r="C5" s="17"/>
      <c r="D5" s="18">
        <f>D4+F4</f>
        <v>3</v>
      </c>
      <c r="E5" s="19">
        <f t="shared" ref="E5:E44" si="0">D5+F5-1</f>
        <v>6</v>
      </c>
      <c r="F5" s="20">
        <v>4</v>
      </c>
      <c r="G5" s="21" t="s">
        <v>14</v>
      </c>
      <c r="H5" s="22" t="s">
        <v>81</v>
      </c>
      <c r="I5" s="23" t="s">
        <v>15</v>
      </c>
    </row>
    <row r="6" spans="1:9" ht="26.4" x14ac:dyDescent="0.25">
      <c r="A6" s="17" t="s">
        <v>388</v>
      </c>
      <c r="B6" s="17" t="s">
        <v>388</v>
      </c>
      <c r="C6" s="17"/>
      <c r="D6" s="18">
        <f t="shared" ref="D6:D44" si="1">D5+F5</f>
        <v>7</v>
      </c>
      <c r="E6" s="19">
        <f t="shared" si="0"/>
        <v>7</v>
      </c>
      <c r="F6" s="20">
        <v>1</v>
      </c>
      <c r="G6" s="21" t="s">
        <v>16</v>
      </c>
      <c r="H6" s="24" t="s">
        <v>17</v>
      </c>
      <c r="I6" s="25" t="s">
        <v>18</v>
      </c>
    </row>
    <row r="7" spans="1:9" x14ac:dyDescent="0.25">
      <c r="A7" s="17" t="s">
        <v>388</v>
      </c>
      <c r="B7" s="17" t="s">
        <v>388</v>
      </c>
      <c r="C7" s="17" t="s">
        <v>392</v>
      </c>
      <c r="D7" s="18">
        <f t="shared" si="1"/>
        <v>8</v>
      </c>
      <c r="E7" s="19">
        <f t="shared" si="0"/>
        <v>10</v>
      </c>
      <c r="F7" s="20">
        <v>3</v>
      </c>
      <c r="G7" s="21" t="s">
        <v>19</v>
      </c>
      <c r="H7" s="24"/>
      <c r="I7" s="88" t="s">
        <v>20</v>
      </c>
    </row>
    <row r="8" spans="1:9" x14ac:dyDescent="0.25">
      <c r="A8" s="17" t="s">
        <v>388</v>
      </c>
      <c r="B8" s="17" t="s">
        <v>388</v>
      </c>
      <c r="C8" s="17" t="s">
        <v>392</v>
      </c>
      <c r="D8" s="18">
        <f t="shared" si="1"/>
        <v>11</v>
      </c>
      <c r="E8" s="19">
        <f t="shared" si="0"/>
        <v>13</v>
      </c>
      <c r="F8" s="20">
        <v>3</v>
      </c>
      <c r="G8" s="21" t="s">
        <v>21</v>
      </c>
      <c r="H8" s="24"/>
      <c r="I8" s="89"/>
    </row>
    <row r="9" spans="1:9" x14ac:dyDescent="0.25">
      <c r="A9" s="17" t="s">
        <v>388</v>
      </c>
      <c r="B9" s="17" t="s">
        <v>388</v>
      </c>
      <c r="C9" s="17"/>
      <c r="D9" s="18">
        <f t="shared" si="1"/>
        <v>14</v>
      </c>
      <c r="E9" s="19">
        <f t="shared" si="0"/>
        <v>53</v>
      </c>
      <c r="F9" s="20">
        <v>40</v>
      </c>
      <c r="G9" s="21" t="s">
        <v>22</v>
      </c>
      <c r="H9" s="22"/>
      <c r="I9" s="23"/>
    </row>
    <row r="10" spans="1:9" x14ac:dyDescent="0.25">
      <c r="A10" s="17" t="s">
        <v>388</v>
      </c>
      <c r="B10" s="17" t="s">
        <v>388</v>
      </c>
      <c r="C10" s="17"/>
      <c r="D10" s="18">
        <f t="shared" si="1"/>
        <v>54</v>
      </c>
      <c r="E10" s="19">
        <f t="shared" si="0"/>
        <v>93</v>
      </c>
      <c r="F10" s="20">
        <v>40</v>
      </c>
      <c r="G10" s="21" t="s">
        <v>23</v>
      </c>
      <c r="H10" s="22"/>
      <c r="I10" s="23"/>
    </row>
    <row r="11" spans="1:9" ht="132" x14ac:dyDescent="0.25">
      <c r="A11" s="17" t="s">
        <v>388</v>
      </c>
      <c r="B11" s="17" t="s">
        <v>388</v>
      </c>
      <c r="C11" s="17"/>
      <c r="D11" s="18">
        <f t="shared" si="1"/>
        <v>94</v>
      </c>
      <c r="E11" s="19">
        <f t="shared" si="0"/>
        <v>102</v>
      </c>
      <c r="F11" s="20">
        <v>9</v>
      </c>
      <c r="G11" s="21" t="s">
        <v>24</v>
      </c>
      <c r="H11" s="23" t="s">
        <v>25</v>
      </c>
      <c r="I11" s="25" t="s">
        <v>414</v>
      </c>
    </row>
    <row r="12" spans="1:9" ht="52.8" x14ac:dyDescent="0.25">
      <c r="A12" s="17" t="s">
        <v>388</v>
      </c>
      <c r="B12" s="17" t="s">
        <v>388</v>
      </c>
      <c r="C12" s="17" t="s">
        <v>393</v>
      </c>
      <c r="D12" s="18">
        <f t="shared" si="1"/>
        <v>103</v>
      </c>
      <c r="E12" s="19">
        <f t="shared" si="0"/>
        <v>108</v>
      </c>
      <c r="F12" s="20">
        <v>6</v>
      </c>
      <c r="G12" s="21" t="s">
        <v>26</v>
      </c>
      <c r="H12" s="24" t="s">
        <v>27</v>
      </c>
      <c r="I12" s="24" t="s">
        <v>28</v>
      </c>
    </row>
    <row r="13" spans="1:9" ht="26.4" x14ac:dyDescent="0.25">
      <c r="A13" s="17" t="s">
        <v>388</v>
      </c>
      <c r="B13" s="17" t="s">
        <v>388</v>
      </c>
      <c r="C13" s="17"/>
      <c r="D13" s="18">
        <f t="shared" si="1"/>
        <v>109</v>
      </c>
      <c r="E13" s="19">
        <f t="shared" si="0"/>
        <v>109</v>
      </c>
      <c r="F13" s="20">
        <v>1</v>
      </c>
      <c r="G13" s="26" t="s">
        <v>29</v>
      </c>
      <c r="H13" s="27" t="s">
        <v>30</v>
      </c>
      <c r="I13" s="27" t="s">
        <v>31</v>
      </c>
    </row>
    <row r="14" spans="1:9" ht="53.25" customHeight="1" x14ac:dyDescent="0.25">
      <c r="A14" s="28" t="s">
        <v>389</v>
      </c>
      <c r="B14" s="28" t="s">
        <v>388</v>
      </c>
      <c r="C14" s="17" t="s">
        <v>396</v>
      </c>
      <c r="D14" s="18">
        <f t="shared" si="1"/>
        <v>110</v>
      </c>
      <c r="E14" s="19">
        <f t="shared" si="0"/>
        <v>121</v>
      </c>
      <c r="F14" s="20">
        <v>12</v>
      </c>
      <c r="G14" s="21" t="s">
        <v>32</v>
      </c>
      <c r="H14" s="29"/>
      <c r="I14" s="90" t="s">
        <v>33</v>
      </c>
    </row>
    <row r="15" spans="1:9" ht="52.5" customHeight="1" x14ac:dyDescent="0.25">
      <c r="A15" s="28" t="s">
        <v>389</v>
      </c>
      <c r="B15" s="28" t="s">
        <v>388</v>
      </c>
      <c r="C15" s="17" t="s">
        <v>396</v>
      </c>
      <c r="D15" s="18">
        <f t="shared" si="1"/>
        <v>122</v>
      </c>
      <c r="E15" s="19">
        <f t="shared" si="0"/>
        <v>129</v>
      </c>
      <c r="F15" s="20">
        <v>8</v>
      </c>
      <c r="G15" s="21" t="s">
        <v>34</v>
      </c>
      <c r="H15" s="29"/>
      <c r="I15" s="90"/>
    </row>
    <row r="16" spans="1:9" ht="53.25" customHeight="1" x14ac:dyDescent="0.25">
      <c r="A16" s="28" t="s">
        <v>389</v>
      </c>
      <c r="B16" s="28" t="s">
        <v>388</v>
      </c>
      <c r="C16" s="17"/>
      <c r="D16" s="18">
        <f t="shared" si="1"/>
        <v>130</v>
      </c>
      <c r="E16" s="19">
        <f t="shared" si="0"/>
        <v>130</v>
      </c>
      <c r="F16" s="20">
        <v>1</v>
      </c>
      <c r="G16" s="21" t="s">
        <v>35</v>
      </c>
      <c r="H16" s="29"/>
      <c r="I16" s="90"/>
    </row>
    <row r="17" spans="1:9" ht="79.2" x14ac:dyDescent="0.25">
      <c r="A17" s="30" t="s">
        <v>390</v>
      </c>
      <c r="B17" s="28" t="s">
        <v>388</v>
      </c>
      <c r="C17" s="17" t="s">
        <v>396</v>
      </c>
      <c r="D17" s="18">
        <f t="shared" si="1"/>
        <v>131</v>
      </c>
      <c r="E17" s="19">
        <f t="shared" si="0"/>
        <v>140</v>
      </c>
      <c r="F17" s="20">
        <v>10</v>
      </c>
      <c r="G17" s="21" t="s">
        <v>36</v>
      </c>
      <c r="H17" s="29" t="s">
        <v>37</v>
      </c>
      <c r="I17" s="23" t="s">
        <v>82</v>
      </c>
    </row>
    <row r="18" spans="1:9" ht="158.4" x14ac:dyDescent="0.25">
      <c r="A18" s="17" t="s">
        <v>388</v>
      </c>
      <c r="B18" s="17" t="s">
        <v>388</v>
      </c>
      <c r="C18" s="17" t="s">
        <v>393</v>
      </c>
      <c r="D18" s="18">
        <f t="shared" si="1"/>
        <v>141</v>
      </c>
      <c r="E18" s="19">
        <f t="shared" si="0"/>
        <v>142</v>
      </c>
      <c r="F18" s="20">
        <v>2</v>
      </c>
      <c r="G18" s="21" t="s">
        <v>38</v>
      </c>
      <c r="H18" s="27" t="s">
        <v>83</v>
      </c>
      <c r="I18" s="23" t="s">
        <v>416</v>
      </c>
    </row>
    <row r="19" spans="1:9" ht="105.6" x14ac:dyDescent="0.25">
      <c r="A19" s="17" t="s">
        <v>389</v>
      </c>
      <c r="B19" s="17" t="s">
        <v>389</v>
      </c>
      <c r="C19" s="17"/>
      <c r="D19" s="18">
        <f t="shared" si="1"/>
        <v>143</v>
      </c>
      <c r="E19" s="19">
        <f t="shared" si="0"/>
        <v>144</v>
      </c>
      <c r="F19" s="20">
        <v>2</v>
      </c>
      <c r="G19" s="21" t="s">
        <v>39</v>
      </c>
      <c r="H19" s="27" t="s">
        <v>84</v>
      </c>
      <c r="I19" s="31" t="s">
        <v>40</v>
      </c>
    </row>
    <row r="20" spans="1:9" ht="52.8" x14ac:dyDescent="0.25">
      <c r="A20" s="28" t="s">
        <v>389</v>
      </c>
      <c r="B20" s="28" t="s">
        <v>389</v>
      </c>
      <c r="C20" s="17" t="s">
        <v>396</v>
      </c>
      <c r="D20" s="18">
        <f t="shared" si="1"/>
        <v>145</v>
      </c>
      <c r="E20" s="19">
        <f t="shared" si="0"/>
        <v>146</v>
      </c>
      <c r="F20" s="20">
        <v>2</v>
      </c>
      <c r="G20" s="21" t="s">
        <v>41</v>
      </c>
      <c r="H20" s="32" t="s">
        <v>42</v>
      </c>
      <c r="I20" s="91" t="s">
        <v>43</v>
      </c>
    </row>
    <row r="21" spans="1:9" ht="52.5" customHeight="1" x14ac:dyDescent="0.25">
      <c r="A21" s="28" t="s">
        <v>388</v>
      </c>
      <c r="B21" s="28" t="s">
        <v>388</v>
      </c>
      <c r="C21" s="17" t="s">
        <v>396</v>
      </c>
      <c r="D21" s="18">
        <f t="shared" si="1"/>
        <v>147</v>
      </c>
      <c r="E21" s="19">
        <f t="shared" si="0"/>
        <v>148</v>
      </c>
      <c r="F21" s="20">
        <v>2</v>
      </c>
      <c r="G21" s="21" t="s">
        <v>44</v>
      </c>
      <c r="H21" s="32" t="s">
        <v>45</v>
      </c>
      <c r="I21" s="91"/>
    </row>
    <row r="22" spans="1:9" ht="56.25" customHeight="1" x14ac:dyDescent="0.25">
      <c r="A22" s="28" t="s">
        <v>389</v>
      </c>
      <c r="B22" s="28" t="s">
        <v>389</v>
      </c>
      <c r="C22" s="17" t="s">
        <v>396</v>
      </c>
      <c r="D22" s="18">
        <f t="shared" si="1"/>
        <v>149</v>
      </c>
      <c r="E22" s="19">
        <f t="shared" si="0"/>
        <v>152</v>
      </c>
      <c r="F22" s="20">
        <v>4</v>
      </c>
      <c r="G22" s="21" t="s">
        <v>46</v>
      </c>
      <c r="H22" s="32" t="s">
        <v>47</v>
      </c>
      <c r="I22" s="91"/>
    </row>
    <row r="23" spans="1:9" ht="66" x14ac:dyDescent="0.25">
      <c r="A23" s="17" t="s">
        <v>388</v>
      </c>
      <c r="B23" s="17" t="s">
        <v>388</v>
      </c>
      <c r="C23" s="17" t="s">
        <v>394</v>
      </c>
      <c r="D23" s="18">
        <f t="shared" si="1"/>
        <v>153</v>
      </c>
      <c r="E23" s="19">
        <f t="shared" si="0"/>
        <v>153</v>
      </c>
      <c r="F23" s="20">
        <v>1</v>
      </c>
      <c r="G23" s="21" t="s">
        <v>48</v>
      </c>
      <c r="H23" s="31" t="s">
        <v>49</v>
      </c>
      <c r="I23" s="33" t="s">
        <v>417</v>
      </c>
    </row>
    <row r="24" spans="1:9" ht="66" x14ac:dyDescent="0.25">
      <c r="A24" s="17" t="s">
        <v>389</v>
      </c>
      <c r="B24" s="17" t="s">
        <v>389</v>
      </c>
      <c r="C24" s="17"/>
      <c r="D24" s="18">
        <f>D23+F23</f>
        <v>154</v>
      </c>
      <c r="E24" s="19">
        <f t="shared" si="0"/>
        <v>154</v>
      </c>
      <c r="F24" s="20">
        <v>1</v>
      </c>
      <c r="G24" s="21" t="s">
        <v>50</v>
      </c>
      <c r="H24" s="34" t="s">
        <v>51</v>
      </c>
      <c r="I24" s="31" t="s">
        <v>85</v>
      </c>
    </row>
    <row r="25" spans="1:9" ht="52.8" x14ac:dyDescent="0.25">
      <c r="A25" s="17" t="s">
        <v>389</v>
      </c>
      <c r="B25" s="17" t="s">
        <v>389</v>
      </c>
      <c r="C25" s="17"/>
      <c r="D25" s="18">
        <f>D24+F24</f>
        <v>155</v>
      </c>
      <c r="E25" s="19">
        <f>D25+F25-1</f>
        <v>155</v>
      </c>
      <c r="F25" s="20">
        <v>1</v>
      </c>
      <c r="G25" s="21" t="s">
        <v>75</v>
      </c>
      <c r="H25" s="31" t="s">
        <v>51</v>
      </c>
      <c r="I25" s="31" t="s">
        <v>76</v>
      </c>
    </row>
    <row r="26" spans="1:9" ht="118.8" x14ac:dyDescent="0.25">
      <c r="A26" s="17" t="s">
        <v>388</v>
      </c>
      <c r="B26" s="17" t="s">
        <v>388</v>
      </c>
      <c r="C26" s="17" t="s">
        <v>394</v>
      </c>
      <c r="D26" s="18">
        <f>D25+F25</f>
        <v>156</v>
      </c>
      <c r="E26" s="19">
        <f t="shared" si="0"/>
        <v>156</v>
      </c>
      <c r="F26" s="20">
        <v>1</v>
      </c>
      <c r="G26" s="21" t="s">
        <v>52</v>
      </c>
      <c r="H26" s="31" t="s">
        <v>53</v>
      </c>
      <c r="I26" s="33" t="s">
        <v>418</v>
      </c>
    </row>
    <row r="27" spans="1:9" ht="39.6" x14ac:dyDescent="0.25">
      <c r="A27" s="17" t="s">
        <v>388</v>
      </c>
      <c r="B27" s="17" t="s">
        <v>388</v>
      </c>
      <c r="C27" s="17" t="s">
        <v>392</v>
      </c>
      <c r="D27" s="18">
        <f t="shared" si="1"/>
        <v>157</v>
      </c>
      <c r="E27" s="19">
        <f t="shared" si="0"/>
        <v>157</v>
      </c>
      <c r="F27" s="20">
        <v>1</v>
      </c>
      <c r="G27" s="21" t="s">
        <v>54</v>
      </c>
      <c r="H27" s="31" t="s">
        <v>55</v>
      </c>
      <c r="I27" s="31" t="s">
        <v>419</v>
      </c>
    </row>
    <row r="28" spans="1:9" ht="66" x14ac:dyDescent="0.25">
      <c r="A28" s="17" t="s">
        <v>389</v>
      </c>
      <c r="B28" s="17" t="s">
        <v>389</v>
      </c>
      <c r="C28" s="17"/>
      <c r="D28" s="35">
        <f>D27+F27</f>
        <v>158</v>
      </c>
      <c r="E28" s="19">
        <f t="shared" si="0"/>
        <v>158</v>
      </c>
      <c r="F28" s="20">
        <v>1</v>
      </c>
      <c r="G28" s="21" t="s">
        <v>56</v>
      </c>
      <c r="H28" s="31" t="s">
        <v>57</v>
      </c>
      <c r="I28" s="31" t="s">
        <v>85</v>
      </c>
    </row>
    <row r="29" spans="1:9" ht="52.8" x14ac:dyDescent="0.25">
      <c r="A29" s="17" t="s">
        <v>389</v>
      </c>
      <c r="B29" s="17" t="s">
        <v>389</v>
      </c>
      <c r="C29" s="17"/>
      <c r="D29" s="18">
        <f>D28+F28</f>
        <v>159</v>
      </c>
      <c r="E29" s="19">
        <f t="shared" ref="E29" si="2">D29+F29-1</f>
        <v>159</v>
      </c>
      <c r="F29" s="20">
        <v>1</v>
      </c>
      <c r="G29" s="21" t="s">
        <v>77</v>
      </c>
      <c r="H29" s="31" t="s">
        <v>57</v>
      </c>
      <c r="I29" s="31" t="s">
        <v>76</v>
      </c>
    </row>
    <row r="30" spans="1:9" ht="79.2" x14ac:dyDescent="0.25">
      <c r="A30" s="17" t="s">
        <v>389</v>
      </c>
      <c r="B30" s="17" t="s">
        <v>389</v>
      </c>
      <c r="C30" s="17" t="s">
        <v>392</v>
      </c>
      <c r="D30" s="35">
        <f>D29+F29</f>
        <v>160</v>
      </c>
      <c r="E30" s="19">
        <f t="shared" si="0"/>
        <v>160</v>
      </c>
      <c r="F30" s="20">
        <v>1</v>
      </c>
      <c r="G30" s="21" t="s">
        <v>58</v>
      </c>
      <c r="H30" s="31" t="s">
        <v>59</v>
      </c>
      <c r="I30" s="31" t="s">
        <v>60</v>
      </c>
    </row>
    <row r="31" spans="1:9" ht="39.6" x14ac:dyDescent="0.25">
      <c r="A31" s="17" t="s">
        <v>388</v>
      </c>
      <c r="B31" s="17" t="s">
        <v>388</v>
      </c>
      <c r="C31" s="17"/>
      <c r="D31" s="35">
        <f t="shared" si="1"/>
        <v>161</v>
      </c>
      <c r="E31" s="19">
        <f t="shared" si="0"/>
        <v>161</v>
      </c>
      <c r="F31" s="20">
        <v>1</v>
      </c>
      <c r="G31" s="21" t="s">
        <v>61</v>
      </c>
      <c r="H31" s="31" t="s">
        <v>62</v>
      </c>
      <c r="I31" s="31" t="s">
        <v>420</v>
      </c>
    </row>
    <row r="32" spans="1:9" ht="79.2" x14ac:dyDescent="0.25">
      <c r="A32" s="17" t="s">
        <v>389</v>
      </c>
      <c r="B32" s="17" t="s">
        <v>389</v>
      </c>
      <c r="C32" s="17"/>
      <c r="D32" s="35">
        <f>D31+F31</f>
        <v>162</v>
      </c>
      <c r="E32" s="19">
        <f t="shared" si="0"/>
        <v>162</v>
      </c>
      <c r="F32" s="20">
        <v>1</v>
      </c>
      <c r="G32" s="21" t="s">
        <v>63</v>
      </c>
      <c r="H32" s="31" t="s">
        <v>64</v>
      </c>
      <c r="I32" s="31" t="s">
        <v>85</v>
      </c>
    </row>
    <row r="33" spans="1:9" ht="52.8" x14ac:dyDescent="0.25">
      <c r="A33" s="17" t="s">
        <v>389</v>
      </c>
      <c r="B33" s="17" t="s">
        <v>389</v>
      </c>
      <c r="C33" s="17"/>
      <c r="D33" s="35">
        <f>D32+F32</f>
        <v>163</v>
      </c>
      <c r="E33" s="19">
        <f>D33+F33-1</f>
        <v>163</v>
      </c>
      <c r="F33" s="20">
        <v>1</v>
      </c>
      <c r="G33" s="21" t="s">
        <v>78</v>
      </c>
      <c r="H33" s="31" t="s">
        <v>79</v>
      </c>
      <c r="I33" s="31" t="s">
        <v>76</v>
      </c>
    </row>
    <row r="34" spans="1:9" ht="39.6" x14ac:dyDescent="0.25">
      <c r="A34" s="17" t="s">
        <v>388</v>
      </c>
      <c r="B34" s="17" t="s">
        <v>388</v>
      </c>
      <c r="C34" s="17" t="s">
        <v>392</v>
      </c>
      <c r="D34" s="35">
        <f t="shared" ref="D34:D39" si="3">D33+F33</f>
        <v>164</v>
      </c>
      <c r="E34" s="19">
        <f t="shared" ref="E34:E39" si="4">D34+F34-1</f>
        <v>164</v>
      </c>
      <c r="F34" s="20">
        <v>1</v>
      </c>
      <c r="G34" s="21" t="s">
        <v>175</v>
      </c>
      <c r="H34" s="31" t="s">
        <v>181</v>
      </c>
      <c r="I34" s="31" t="s">
        <v>420</v>
      </c>
    </row>
    <row r="35" spans="1:9" ht="66" x14ac:dyDescent="0.25">
      <c r="A35" s="17" t="s">
        <v>389</v>
      </c>
      <c r="B35" s="17" t="s">
        <v>389</v>
      </c>
      <c r="C35" s="17"/>
      <c r="D35" s="35">
        <f t="shared" si="3"/>
        <v>165</v>
      </c>
      <c r="E35" s="19">
        <f t="shared" si="4"/>
        <v>165</v>
      </c>
      <c r="F35" s="20">
        <v>1</v>
      </c>
      <c r="G35" s="21" t="s">
        <v>176</v>
      </c>
      <c r="H35" s="31" t="s">
        <v>446</v>
      </c>
      <c r="I35" s="31" t="s">
        <v>85</v>
      </c>
    </row>
    <row r="36" spans="1:9" ht="52.8" x14ac:dyDescent="0.25">
      <c r="A36" s="17" t="s">
        <v>389</v>
      </c>
      <c r="B36" s="17" t="s">
        <v>389</v>
      </c>
      <c r="C36" s="17"/>
      <c r="D36" s="35">
        <f t="shared" si="3"/>
        <v>166</v>
      </c>
      <c r="E36" s="19">
        <f t="shared" si="4"/>
        <v>166</v>
      </c>
      <c r="F36" s="20">
        <v>1</v>
      </c>
      <c r="G36" s="21" t="s">
        <v>177</v>
      </c>
      <c r="H36" s="31" t="s">
        <v>446</v>
      </c>
      <c r="I36" s="31" t="s">
        <v>76</v>
      </c>
    </row>
    <row r="37" spans="1:9" ht="39.6" x14ac:dyDescent="0.25">
      <c r="A37" s="17" t="s">
        <v>388</v>
      </c>
      <c r="B37" s="17" t="s">
        <v>388</v>
      </c>
      <c r="C37" s="17" t="s">
        <v>392</v>
      </c>
      <c r="D37" s="35">
        <f t="shared" si="3"/>
        <v>167</v>
      </c>
      <c r="E37" s="19">
        <f t="shared" si="4"/>
        <v>167</v>
      </c>
      <c r="F37" s="20">
        <v>1</v>
      </c>
      <c r="G37" s="21" t="s">
        <v>178</v>
      </c>
      <c r="H37" s="31" t="s">
        <v>182</v>
      </c>
      <c r="I37" s="31" t="s">
        <v>420</v>
      </c>
    </row>
    <row r="38" spans="1:9" ht="66" x14ac:dyDescent="0.25">
      <c r="A38" s="17" t="s">
        <v>389</v>
      </c>
      <c r="B38" s="17" t="s">
        <v>389</v>
      </c>
      <c r="C38" s="17"/>
      <c r="D38" s="35">
        <f t="shared" si="3"/>
        <v>168</v>
      </c>
      <c r="E38" s="19">
        <f t="shared" si="4"/>
        <v>168</v>
      </c>
      <c r="F38" s="20">
        <v>1</v>
      </c>
      <c r="G38" s="21" t="s">
        <v>179</v>
      </c>
      <c r="H38" s="31" t="s">
        <v>447</v>
      </c>
      <c r="I38" s="31" t="s">
        <v>85</v>
      </c>
    </row>
    <row r="39" spans="1:9" ht="52.8" x14ac:dyDescent="0.25">
      <c r="A39" s="17" t="s">
        <v>389</v>
      </c>
      <c r="B39" s="17" t="s">
        <v>389</v>
      </c>
      <c r="C39" s="17"/>
      <c r="D39" s="35">
        <f t="shared" si="3"/>
        <v>169</v>
      </c>
      <c r="E39" s="19">
        <f t="shared" si="4"/>
        <v>169</v>
      </c>
      <c r="F39" s="20">
        <v>1</v>
      </c>
      <c r="G39" s="21" t="s">
        <v>180</v>
      </c>
      <c r="H39" s="31" t="s">
        <v>447</v>
      </c>
      <c r="I39" s="31" t="s">
        <v>76</v>
      </c>
    </row>
    <row r="40" spans="1:9" x14ac:dyDescent="0.25">
      <c r="A40" s="17"/>
      <c r="B40" s="17"/>
      <c r="C40" s="17"/>
      <c r="D40" s="35">
        <f>D39+F39</f>
        <v>170</v>
      </c>
      <c r="E40" s="19">
        <f t="shared" si="0"/>
        <v>179</v>
      </c>
      <c r="F40" s="20">
        <v>10</v>
      </c>
      <c r="G40" s="21" t="s">
        <v>65</v>
      </c>
      <c r="H40" s="31"/>
      <c r="I40" s="34"/>
    </row>
    <row r="41" spans="1:9" ht="52.8" x14ac:dyDescent="0.25">
      <c r="A41" s="17" t="s">
        <v>389</v>
      </c>
      <c r="B41" s="17" t="s">
        <v>389</v>
      </c>
      <c r="C41" s="17"/>
      <c r="D41" s="18">
        <f>D40+F40</f>
        <v>180</v>
      </c>
      <c r="E41" s="19">
        <f t="shared" si="0"/>
        <v>180</v>
      </c>
      <c r="F41" s="20">
        <v>1</v>
      </c>
      <c r="G41" s="21" t="s">
        <v>66</v>
      </c>
      <c r="H41" s="25" t="s">
        <v>67</v>
      </c>
      <c r="I41" s="25" t="s">
        <v>68</v>
      </c>
    </row>
    <row r="42" spans="1:9" ht="79.2" x14ac:dyDescent="0.25">
      <c r="A42" s="17" t="s">
        <v>389</v>
      </c>
      <c r="B42" s="17" t="s">
        <v>389</v>
      </c>
      <c r="C42" s="17"/>
      <c r="D42" s="18">
        <f t="shared" si="1"/>
        <v>181</v>
      </c>
      <c r="E42" s="19">
        <f t="shared" si="0"/>
        <v>181</v>
      </c>
      <c r="F42" s="20">
        <v>1</v>
      </c>
      <c r="G42" s="21" t="s">
        <v>69</v>
      </c>
      <c r="H42" s="36" t="s">
        <v>448</v>
      </c>
      <c r="I42" s="36" t="s">
        <v>449</v>
      </c>
    </row>
    <row r="43" spans="1:9" ht="66" x14ac:dyDescent="0.25">
      <c r="A43" s="17" t="s">
        <v>389</v>
      </c>
      <c r="B43" s="17" t="s">
        <v>389</v>
      </c>
      <c r="C43" s="17"/>
      <c r="D43" s="18">
        <f t="shared" si="1"/>
        <v>182</v>
      </c>
      <c r="E43" s="19">
        <f t="shared" si="0"/>
        <v>182</v>
      </c>
      <c r="F43" s="20">
        <v>1</v>
      </c>
      <c r="G43" s="37" t="s">
        <v>70</v>
      </c>
      <c r="H43" s="25" t="s">
        <v>71</v>
      </c>
      <c r="I43" s="25" t="s">
        <v>68</v>
      </c>
    </row>
    <row r="44" spans="1:9" ht="118.8" x14ac:dyDescent="0.25">
      <c r="A44" s="17" t="s">
        <v>389</v>
      </c>
      <c r="B44" s="17" t="s">
        <v>389</v>
      </c>
      <c r="C44" s="17"/>
      <c r="D44" s="18">
        <f t="shared" si="1"/>
        <v>183</v>
      </c>
      <c r="E44" s="19">
        <f t="shared" si="0"/>
        <v>183</v>
      </c>
      <c r="F44" s="20">
        <v>1</v>
      </c>
      <c r="G44" s="21" t="s">
        <v>72</v>
      </c>
      <c r="H44" s="31" t="s">
        <v>73</v>
      </c>
      <c r="I44" s="31" t="s">
        <v>74</v>
      </c>
    </row>
    <row r="45" spans="1:9" x14ac:dyDescent="0.25">
      <c r="A45" s="17"/>
      <c r="B45" s="17"/>
      <c r="C45" s="17"/>
      <c r="D45" s="35">
        <f>D44+F44</f>
        <v>184</v>
      </c>
      <c r="E45" s="19">
        <f t="shared" ref="E45" si="5">D45+F45-1</f>
        <v>193</v>
      </c>
      <c r="F45" s="20">
        <v>10</v>
      </c>
      <c r="G45" s="21" t="s">
        <v>65</v>
      </c>
      <c r="H45" s="31"/>
      <c r="I45" s="34"/>
    </row>
    <row r="46" spans="1:9" x14ac:dyDescent="0.25">
      <c r="A46" s="17"/>
      <c r="B46" s="17"/>
      <c r="C46" s="17"/>
      <c r="D46" s="38"/>
      <c r="E46" s="38"/>
      <c r="F46" s="38"/>
      <c r="G46" s="39" t="s">
        <v>86</v>
      </c>
      <c r="H46" s="38"/>
      <c r="I46" s="38"/>
    </row>
    <row r="47" spans="1:9" x14ac:dyDescent="0.25">
      <c r="A47" s="40"/>
      <c r="B47" s="40"/>
      <c r="C47" s="40"/>
      <c r="D47" s="35"/>
      <c r="E47" s="19"/>
      <c r="F47" s="20"/>
      <c r="G47" s="41" t="s">
        <v>87</v>
      </c>
      <c r="H47" s="25"/>
      <c r="I47" s="25"/>
    </row>
    <row r="48" spans="1:9" x14ac:dyDescent="0.25">
      <c r="A48" s="40" t="s">
        <v>389</v>
      </c>
      <c r="B48" s="40" t="s">
        <v>389</v>
      </c>
      <c r="C48" s="40"/>
      <c r="D48" s="35">
        <f>D45+F45</f>
        <v>194</v>
      </c>
      <c r="E48" s="19">
        <f t="shared" ref="E48:E52" si="6">D48+F48-1</f>
        <v>194</v>
      </c>
      <c r="F48" s="20">
        <v>1</v>
      </c>
      <c r="G48" s="42" t="s">
        <v>129</v>
      </c>
      <c r="H48" s="90" t="s">
        <v>88</v>
      </c>
      <c r="I48" s="91" t="s">
        <v>93</v>
      </c>
    </row>
    <row r="49" spans="1:10" x14ac:dyDescent="0.25">
      <c r="A49" s="40" t="s">
        <v>389</v>
      </c>
      <c r="B49" s="40" t="s">
        <v>389</v>
      </c>
      <c r="C49" s="40"/>
      <c r="D49" s="35">
        <f t="shared" ref="D49:D52" si="7">D48+F48</f>
        <v>195</v>
      </c>
      <c r="E49" s="19">
        <f t="shared" si="6"/>
        <v>195</v>
      </c>
      <c r="F49" s="20">
        <v>1</v>
      </c>
      <c r="G49" s="37" t="s">
        <v>375</v>
      </c>
      <c r="H49" s="90"/>
      <c r="I49" s="91"/>
    </row>
    <row r="50" spans="1:10" x14ac:dyDescent="0.25">
      <c r="A50" s="40" t="s">
        <v>389</v>
      </c>
      <c r="B50" s="40" t="s">
        <v>389</v>
      </c>
      <c r="C50" s="40"/>
      <c r="D50" s="35">
        <f t="shared" si="7"/>
        <v>196</v>
      </c>
      <c r="E50" s="19">
        <f t="shared" si="6"/>
        <v>196</v>
      </c>
      <c r="F50" s="20">
        <v>1</v>
      </c>
      <c r="G50" s="37" t="s">
        <v>91</v>
      </c>
      <c r="H50" s="90"/>
      <c r="I50" s="91"/>
    </row>
    <row r="51" spans="1:10" x14ac:dyDescent="0.25">
      <c r="A51" s="40" t="s">
        <v>389</v>
      </c>
      <c r="B51" s="40" t="s">
        <v>389</v>
      </c>
      <c r="C51" s="40"/>
      <c r="D51" s="35">
        <f t="shared" si="7"/>
        <v>197</v>
      </c>
      <c r="E51" s="19">
        <f t="shared" si="6"/>
        <v>197</v>
      </c>
      <c r="F51" s="20">
        <v>1</v>
      </c>
      <c r="G51" s="37" t="s">
        <v>90</v>
      </c>
      <c r="H51" s="90"/>
      <c r="I51" s="91"/>
    </row>
    <row r="52" spans="1:10" x14ac:dyDescent="0.25">
      <c r="A52" s="40" t="s">
        <v>389</v>
      </c>
      <c r="B52" s="40" t="s">
        <v>389</v>
      </c>
      <c r="C52" s="40"/>
      <c r="D52" s="35">
        <f t="shared" si="7"/>
        <v>198</v>
      </c>
      <c r="E52" s="19">
        <f t="shared" si="6"/>
        <v>198</v>
      </c>
      <c r="F52" s="20">
        <v>1</v>
      </c>
      <c r="G52" s="37" t="s">
        <v>89</v>
      </c>
      <c r="H52" s="90"/>
      <c r="I52" s="91"/>
    </row>
    <row r="53" spans="1:10" x14ac:dyDescent="0.25">
      <c r="A53" s="40"/>
      <c r="B53" s="40"/>
      <c r="C53" s="40"/>
      <c r="D53" s="35">
        <f>D52+F52</f>
        <v>199</v>
      </c>
      <c r="E53" s="19">
        <f t="shared" ref="E53" si="8">D53+F53-1</f>
        <v>203</v>
      </c>
      <c r="F53" s="42">
        <v>5</v>
      </c>
      <c r="G53" s="42" t="s">
        <v>65</v>
      </c>
      <c r="H53" s="42"/>
      <c r="I53" s="42"/>
    </row>
    <row r="54" spans="1:10" x14ac:dyDescent="0.25">
      <c r="A54" s="40"/>
      <c r="B54" s="40"/>
      <c r="C54" s="40"/>
      <c r="D54" s="35"/>
      <c r="E54" s="35"/>
      <c r="F54" s="35"/>
      <c r="G54" s="41" t="s">
        <v>92</v>
      </c>
      <c r="H54" s="43"/>
      <c r="I54" s="36"/>
    </row>
    <row r="55" spans="1:10" x14ac:dyDescent="0.25">
      <c r="A55" s="40" t="s">
        <v>388</v>
      </c>
      <c r="B55" s="40" t="s">
        <v>388</v>
      </c>
      <c r="C55" s="40" t="s">
        <v>392</v>
      </c>
      <c r="D55" s="35">
        <f>D53+F53</f>
        <v>204</v>
      </c>
      <c r="E55" s="19">
        <f t="shared" ref="E55:E59" si="9">D55+F55-1</f>
        <v>204</v>
      </c>
      <c r="F55" s="20">
        <v>1</v>
      </c>
      <c r="G55" s="42" t="s">
        <v>129</v>
      </c>
      <c r="H55" s="92" t="s">
        <v>377</v>
      </c>
      <c r="I55" s="92" t="s">
        <v>378</v>
      </c>
    </row>
    <row r="56" spans="1:10" x14ac:dyDescent="0.25">
      <c r="A56" s="40" t="s">
        <v>388</v>
      </c>
      <c r="B56" s="40" t="s">
        <v>388</v>
      </c>
      <c r="C56" s="40" t="s">
        <v>392</v>
      </c>
      <c r="D56" s="35">
        <f t="shared" ref="D56:D59" si="10">D55+F55</f>
        <v>205</v>
      </c>
      <c r="E56" s="19">
        <f t="shared" si="9"/>
        <v>205</v>
      </c>
      <c r="F56" s="20">
        <v>1</v>
      </c>
      <c r="G56" s="37" t="s">
        <v>375</v>
      </c>
      <c r="H56" s="92"/>
      <c r="I56" s="92"/>
    </row>
    <row r="57" spans="1:10" x14ac:dyDescent="0.25">
      <c r="A57" s="40" t="s">
        <v>388</v>
      </c>
      <c r="B57" s="40" t="s">
        <v>388</v>
      </c>
      <c r="C57" s="40" t="s">
        <v>392</v>
      </c>
      <c r="D57" s="35">
        <f t="shared" si="10"/>
        <v>206</v>
      </c>
      <c r="E57" s="19">
        <f t="shared" si="9"/>
        <v>206</v>
      </c>
      <c r="F57" s="20">
        <v>1</v>
      </c>
      <c r="G57" s="37" t="s">
        <v>91</v>
      </c>
      <c r="H57" s="92"/>
      <c r="I57" s="92"/>
    </row>
    <row r="58" spans="1:10" x14ac:dyDescent="0.25">
      <c r="A58" s="40" t="s">
        <v>388</v>
      </c>
      <c r="B58" s="40" t="s">
        <v>388</v>
      </c>
      <c r="C58" s="40" t="s">
        <v>392</v>
      </c>
      <c r="D58" s="35">
        <f t="shared" si="10"/>
        <v>207</v>
      </c>
      <c r="E58" s="19">
        <f t="shared" si="9"/>
        <v>207</v>
      </c>
      <c r="F58" s="20">
        <v>1</v>
      </c>
      <c r="G58" s="37" t="s">
        <v>90</v>
      </c>
      <c r="H58" s="92"/>
      <c r="I58" s="92"/>
    </row>
    <row r="59" spans="1:10" x14ac:dyDescent="0.25">
      <c r="A59" s="40" t="s">
        <v>388</v>
      </c>
      <c r="B59" s="40" t="s">
        <v>388</v>
      </c>
      <c r="C59" s="40" t="s">
        <v>392</v>
      </c>
      <c r="D59" s="35">
        <f t="shared" si="10"/>
        <v>208</v>
      </c>
      <c r="E59" s="19">
        <f t="shared" si="9"/>
        <v>208</v>
      </c>
      <c r="F59" s="20">
        <v>1</v>
      </c>
      <c r="G59" s="37" t="s">
        <v>89</v>
      </c>
      <c r="H59" s="92"/>
      <c r="I59" s="92"/>
    </row>
    <row r="60" spans="1:10" x14ac:dyDescent="0.25">
      <c r="A60" s="17"/>
      <c r="B60" s="17"/>
      <c r="C60" s="17"/>
      <c r="D60" s="35">
        <f>D59+F59</f>
        <v>209</v>
      </c>
      <c r="E60" s="19">
        <f t="shared" ref="E60" si="11">D60+F60-1</f>
        <v>213</v>
      </c>
      <c r="F60" s="38">
        <v>5</v>
      </c>
      <c r="G60" s="38" t="s">
        <v>65</v>
      </c>
      <c r="H60" s="38"/>
      <c r="I60" s="38"/>
    </row>
    <row r="61" spans="1:10" x14ac:dyDescent="0.25">
      <c r="A61" s="17"/>
      <c r="B61" s="17"/>
      <c r="C61" s="17"/>
      <c r="D61" s="38"/>
      <c r="E61" s="38"/>
      <c r="F61" s="38"/>
      <c r="G61" s="39" t="s">
        <v>94</v>
      </c>
      <c r="H61" s="38"/>
      <c r="I61" s="38"/>
    </row>
    <row r="62" spans="1:10" x14ac:dyDescent="0.25">
      <c r="A62" s="40"/>
      <c r="B62" s="40"/>
      <c r="C62" s="40"/>
      <c r="D62" s="35"/>
      <c r="E62" s="19"/>
      <c r="F62" s="20"/>
      <c r="G62" s="41" t="s">
        <v>87</v>
      </c>
      <c r="H62" s="25"/>
      <c r="I62" s="25"/>
      <c r="J62" s="7"/>
    </row>
    <row r="63" spans="1:10" ht="12.75" customHeight="1" x14ac:dyDescent="0.25">
      <c r="A63" s="40" t="s">
        <v>389</v>
      </c>
      <c r="B63" s="40" t="s">
        <v>389</v>
      </c>
      <c r="C63" s="40"/>
      <c r="D63" s="35">
        <f>D60+F60</f>
        <v>214</v>
      </c>
      <c r="E63" s="19">
        <f t="shared" ref="E63:E67" si="12">D63+F63-1</f>
        <v>214</v>
      </c>
      <c r="F63" s="20">
        <v>1</v>
      </c>
      <c r="G63" s="42" t="s">
        <v>129</v>
      </c>
      <c r="H63" s="90" t="s">
        <v>88</v>
      </c>
      <c r="I63" s="91" t="s">
        <v>93</v>
      </c>
      <c r="J63" s="7"/>
    </row>
    <row r="64" spans="1:10" x14ac:dyDescent="0.25">
      <c r="A64" s="40" t="s">
        <v>389</v>
      </c>
      <c r="B64" s="40" t="s">
        <v>389</v>
      </c>
      <c r="C64" s="40"/>
      <c r="D64" s="35">
        <f t="shared" ref="D64:D67" si="13">D63+F63</f>
        <v>215</v>
      </c>
      <c r="E64" s="19">
        <f t="shared" si="12"/>
        <v>215</v>
      </c>
      <c r="F64" s="20">
        <v>1</v>
      </c>
      <c r="G64" s="37" t="s">
        <v>375</v>
      </c>
      <c r="H64" s="90"/>
      <c r="I64" s="91"/>
      <c r="J64" s="7"/>
    </row>
    <row r="65" spans="1:10" x14ac:dyDescent="0.25">
      <c r="A65" s="40" t="s">
        <v>389</v>
      </c>
      <c r="B65" s="40" t="s">
        <v>389</v>
      </c>
      <c r="C65" s="40"/>
      <c r="D65" s="35">
        <f t="shared" si="13"/>
        <v>216</v>
      </c>
      <c r="E65" s="19">
        <f t="shared" si="12"/>
        <v>216</v>
      </c>
      <c r="F65" s="20">
        <v>1</v>
      </c>
      <c r="G65" s="37" t="s">
        <v>91</v>
      </c>
      <c r="H65" s="90"/>
      <c r="I65" s="91"/>
      <c r="J65" s="7"/>
    </row>
    <row r="66" spans="1:10" x14ac:dyDescent="0.25">
      <c r="A66" s="40" t="s">
        <v>389</v>
      </c>
      <c r="B66" s="40" t="s">
        <v>389</v>
      </c>
      <c r="C66" s="40"/>
      <c r="D66" s="35">
        <f t="shared" si="13"/>
        <v>217</v>
      </c>
      <c r="E66" s="19">
        <f t="shared" si="12"/>
        <v>217</v>
      </c>
      <c r="F66" s="20">
        <v>1</v>
      </c>
      <c r="G66" s="37" t="s">
        <v>90</v>
      </c>
      <c r="H66" s="90"/>
      <c r="I66" s="91"/>
      <c r="J66" s="7"/>
    </row>
    <row r="67" spans="1:10" x14ac:dyDescent="0.25">
      <c r="A67" s="40" t="s">
        <v>389</v>
      </c>
      <c r="B67" s="40" t="s">
        <v>389</v>
      </c>
      <c r="C67" s="40"/>
      <c r="D67" s="35">
        <f t="shared" si="13"/>
        <v>218</v>
      </c>
      <c r="E67" s="19">
        <f t="shared" si="12"/>
        <v>218</v>
      </c>
      <c r="F67" s="20">
        <v>1</v>
      </c>
      <c r="G67" s="37" t="s">
        <v>89</v>
      </c>
      <c r="H67" s="90"/>
      <c r="I67" s="91"/>
      <c r="J67" s="7"/>
    </row>
    <row r="68" spans="1:10" x14ac:dyDescent="0.25">
      <c r="A68" s="40" t="s">
        <v>389</v>
      </c>
      <c r="B68" s="40" t="s">
        <v>389</v>
      </c>
      <c r="C68" s="40"/>
      <c r="D68" s="35">
        <f t="shared" ref="D68" si="14">D67+F67</f>
        <v>219</v>
      </c>
      <c r="E68" s="19">
        <f t="shared" ref="E68" si="15">D68+F68-1</f>
        <v>219</v>
      </c>
      <c r="F68" s="20">
        <v>1</v>
      </c>
      <c r="G68" s="37" t="s">
        <v>95</v>
      </c>
      <c r="H68" s="90"/>
      <c r="I68" s="91"/>
      <c r="J68" s="7"/>
    </row>
    <row r="69" spans="1:10" x14ac:dyDescent="0.25">
      <c r="A69" s="40"/>
      <c r="B69" s="40"/>
      <c r="C69" s="40"/>
      <c r="D69" s="35">
        <f>D68+F68</f>
        <v>220</v>
      </c>
      <c r="E69" s="19">
        <f t="shared" ref="E69" si="16">D69+F69-1</f>
        <v>224</v>
      </c>
      <c r="F69" s="20">
        <v>5</v>
      </c>
      <c r="G69" s="37" t="s">
        <v>65</v>
      </c>
      <c r="H69" s="25"/>
      <c r="I69" s="33"/>
      <c r="J69" s="7"/>
    </row>
    <row r="70" spans="1:10" x14ac:dyDescent="0.25">
      <c r="A70" s="17"/>
      <c r="B70" s="17"/>
      <c r="C70" s="17"/>
      <c r="D70" s="18"/>
      <c r="E70" s="18"/>
      <c r="F70" s="18"/>
      <c r="G70" s="44" t="s">
        <v>92</v>
      </c>
      <c r="H70" s="31"/>
      <c r="I70" s="27"/>
    </row>
    <row r="71" spans="1:10" ht="12.75" customHeight="1" x14ac:dyDescent="0.25">
      <c r="A71" s="17" t="s">
        <v>388</v>
      </c>
      <c r="B71" s="17" t="s">
        <v>388</v>
      </c>
      <c r="C71" s="17" t="s">
        <v>392</v>
      </c>
      <c r="D71" s="45">
        <f>D69+F69</f>
        <v>225</v>
      </c>
      <c r="E71" s="19">
        <f t="shared" ref="E71:E77" si="17">D71+F71-1</f>
        <v>225</v>
      </c>
      <c r="F71" s="20">
        <v>1</v>
      </c>
      <c r="G71" s="42" t="s">
        <v>129</v>
      </c>
      <c r="H71" s="93" t="s">
        <v>377</v>
      </c>
      <c r="I71" s="93" t="s">
        <v>376</v>
      </c>
    </row>
    <row r="72" spans="1:10" x14ac:dyDescent="0.25">
      <c r="A72" s="17" t="s">
        <v>388</v>
      </c>
      <c r="B72" s="17" t="s">
        <v>388</v>
      </c>
      <c r="C72" s="17" t="s">
        <v>392</v>
      </c>
      <c r="D72" s="45">
        <f t="shared" ref="D72:D75" si="18">D71+F71</f>
        <v>226</v>
      </c>
      <c r="E72" s="19">
        <f t="shared" si="17"/>
        <v>226</v>
      </c>
      <c r="F72" s="20">
        <v>1</v>
      </c>
      <c r="G72" s="37" t="s">
        <v>375</v>
      </c>
      <c r="H72" s="93"/>
      <c r="I72" s="93"/>
    </row>
    <row r="73" spans="1:10" x14ac:dyDescent="0.25">
      <c r="A73" s="17" t="s">
        <v>388</v>
      </c>
      <c r="B73" s="17" t="s">
        <v>388</v>
      </c>
      <c r="C73" s="17" t="s">
        <v>392</v>
      </c>
      <c r="D73" s="45">
        <f t="shared" si="18"/>
        <v>227</v>
      </c>
      <c r="E73" s="19">
        <f t="shared" si="17"/>
        <v>227</v>
      </c>
      <c r="F73" s="20">
        <v>1</v>
      </c>
      <c r="G73" s="37" t="s">
        <v>91</v>
      </c>
      <c r="H73" s="93"/>
      <c r="I73" s="93"/>
    </row>
    <row r="74" spans="1:10" x14ac:dyDescent="0.25">
      <c r="A74" s="17" t="s">
        <v>388</v>
      </c>
      <c r="B74" s="17" t="s">
        <v>388</v>
      </c>
      <c r="C74" s="17" t="s">
        <v>392</v>
      </c>
      <c r="D74" s="45">
        <f t="shared" si="18"/>
        <v>228</v>
      </c>
      <c r="E74" s="19">
        <f t="shared" si="17"/>
        <v>228</v>
      </c>
      <c r="F74" s="20">
        <v>1</v>
      </c>
      <c r="G74" s="37" t="s">
        <v>90</v>
      </c>
      <c r="H74" s="93"/>
      <c r="I74" s="93"/>
    </row>
    <row r="75" spans="1:10" x14ac:dyDescent="0.25">
      <c r="A75" s="17" t="s">
        <v>388</v>
      </c>
      <c r="B75" s="17" t="s">
        <v>388</v>
      </c>
      <c r="C75" s="17" t="s">
        <v>392</v>
      </c>
      <c r="D75" s="45">
        <f t="shared" si="18"/>
        <v>229</v>
      </c>
      <c r="E75" s="19">
        <f t="shared" si="17"/>
        <v>229</v>
      </c>
      <c r="F75" s="20">
        <v>1</v>
      </c>
      <c r="G75" s="37" t="s">
        <v>89</v>
      </c>
      <c r="H75" s="93"/>
      <c r="I75" s="93"/>
    </row>
    <row r="76" spans="1:10" x14ac:dyDescent="0.25">
      <c r="A76" s="17" t="s">
        <v>388</v>
      </c>
      <c r="B76" s="17" t="s">
        <v>388</v>
      </c>
      <c r="C76" s="17" t="s">
        <v>392</v>
      </c>
      <c r="D76" s="45">
        <f t="shared" ref="D76" si="19">D75+F75</f>
        <v>230</v>
      </c>
      <c r="E76" s="19">
        <f t="shared" ref="E76" si="20">D76+F76-1</f>
        <v>230</v>
      </c>
      <c r="F76" s="20">
        <v>1</v>
      </c>
      <c r="G76" s="37" t="s">
        <v>95</v>
      </c>
      <c r="H76" s="93"/>
      <c r="I76" s="93"/>
    </row>
    <row r="77" spans="1:10" x14ac:dyDescent="0.25">
      <c r="A77" s="17"/>
      <c r="B77" s="17"/>
      <c r="C77" s="17"/>
      <c r="D77" s="45">
        <f>D76+F76</f>
        <v>231</v>
      </c>
      <c r="E77" s="19">
        <f t="shared" si="17"/>
        <v>235</v>
      </c>
      <c r="F77" s="20">
        <v>5</v>
      </c>
      <c r="G77" s="37" t="s">
        <v>65</v>
      </c>
      <c r="H77" s="46"/>
      <c r="I77" s="46"/>
    </row>
    <row r="78" spans="1:10" ht="26.4" x14ac:dyDescent="0.25">
      <c r="A78" s="17"/>
      <c r="B78" s="17"/>
      <c r="C78" s="17"/>
      <c r="D78" s="18"/>
      <c r="E78" s="18"/>
      <c r="F78" s="18"/>
      <c r="G78" s="44" t="s">
        <v>98</v>
      </c>
      <c r="H78" s="29"/>
      <c r="I78" s="27"/>
    </row>
    <row r="79" spans="1:10" ht="66" x14ac:dyDescent="0.25">
      <c r="A79" s="17" t="s">
        <v>389</v>
      </c>
      <c r="B79" s="17" t="s">
        <v>389</v>
      </c>
      <c r="C79" s="17"/>
      <c r="D79" s="18">
        <f>D77+F77</f>
        <v>236</v>
      </c>
      <c r="E79" s="19">
        <f t="shared" ref="E79:E87" si="21">D79+F79-1</f>
        <v>236</v>
      </c>
      <c r="F79" s="20">
        <v>1</v>
      </c>
      <c r="G79" s="21" t="s">
        <v>99</v>
      </c>
      <c r="H79" s="31" t="s">
        <v>100</v>
      </c>
      <c r="I79" s="27" t="s">
        <v>415</v>
      </c>
    </row>
    <row r="80" spans="1:10" ht="39.6" x14ac:dyDescent="0.25">
      <c r="A80" s="17" t="s">
        <v>389</v>
      </c>
      <c r="B80" s="17" t="s">
        <v>389</v>
      </c>
      <c r="C80" s="17"/>
      <c r="D80" s="18">
        <f t="shared" ref="D80:D85" si="22">D79+F79</f>
        <v>237</v>
      </c>
      <c r="E80" s="19">
        <f t="shared" si="21"/>
        <v>237</v>
      </c>
      <c r="F80" s="20">
        <v>1</v>
      </c>
      <c r="G80" s="21" t="s">
        <v>101</v>
      </c>
      <c r="H80" s="47" t="s">
        <v>453</v>
      </c>
      <c r="I80" s="27" t="s">
        <v>415</v>
      </c>
    </row>
    <row r="81" spans="1:9" ht="39.6" x14ac:dyDescent="0.25">
      <c r="A81" s="17" t="s">
        <v>389</v>
      </c>
      <c r="B81" s="17" t="s">
        <v>389</v>
      </c>
      <c r="C81" s="17"/>
      <c r="D81" s="18">
        <f t="shared" si="22"/>
        <v>238</v>
      </c>
      <c r="E81" s="19">
        <f t="shared" si="21"/>
        <v>238</v>
      </c>
      <c r="F81" s="20">
        <v>1</v>
      </c>
      <c r="G81" s="21" t="s">
        <v>102</v>
      </c>
      <c r="H81" s="31" t="s">
        <v>97</v>
      </c>
      <c r="I81" s="27" t="s">
        <v>415</v>
      </c>
    </row>
    <row r="82" spans="1:9" ht="39.6" x14ac:dyDescent="0.25">
      <c r="A82" s="17" t="s">
        <v>389</v>
      </c>
      <c r="B82" s="17" t="s">
        <v>389</v>
      </c>
      <c r="C82" s="17"/>
      <c r="D82" s="18">
        <f t="shared" ref="D82:D83" si="23">D81+F81</f>
        <v>239</v>
      </c>
      <c r="E82" s="19">
        <f t="shared" ref="E82:E83" si="24">D82+F82-1</f>
        <v>239</v>
      </c>
      <c r="F82" s="20">
        <v>1</v>
      </c>
      <c r="G82" s="21" t="s">
        <v>183</v>
      </c>
      <c r="H82" s="31" t="s">
        <v>97</v>
      </c>
      <c r="I82" s="27" t="s">
        <v>415</v>
      </c>
    </row>
    <row r="83" spans="1:9" ht="39.6" x14ac:dyDescent="0.25">
      <c r="A83" s="17" t="s">
        <v>389</v>
      </c>
      <c r="B83" s="17" t="s">
        <v>389</v>
      </c>
      <c r="C83" s="17"/>
      <c r="D83" s="18">
        <f t="shared" si="23"/>
        <v>240</v>
      </c>
      <c r="E83" s="19">
        <f t="shared" si="24"/>
        <v>240</v>
      </c>
      <c r="F83" s="20">
        <v>1</v>
      </c>
      <c r="G83" s="21" t="s">
        <v>184</v>
      </c>
      <c r="H83" s="31" t="s">
        <v>97</v>
      </c>
      <c r="I83" s="27" t="s">
        <v>415</v>
      </c>
    </row>
    <row r="84" spans="1:9" ht="39.6" x14ac:dyDescent="0.25">
      <c r="A84" s="17" t="s">
        <v>388</v>
      </c>
      <c r="B84" s="17" t="s">
        <v>388</v>
      </c>
      <c r="C84" s="17"/>
      <c r="D84" s="18">
        <f>D83+F83</f>
        <v>241</v>
      </c>
      <c r="E84" s="19">
        <f t="shared" si="21"/>
        <v>250</v>
      </c>
      <c r="F84" s="20">
        <v>10</v>
      </c>
      <c r="G84" s="37" t="s">
        <v>103</v>
      </c>
      <c r="H84" s="34" t="s">
        <v>104</v>
      </c>
      <c r="I84" s="27" t="s">
        <v>415</v>
      </c>
    </row>
    <row r="85" spans="1:9" ht="66" x14ac:dyDescent="0.25">
      <c r="A85" s="17" t="s">
        <v>388</v>
      </c>
      <c r="B85" s="17" t="s">
        <v>388</v>
      </c>
      <c r="C85" s="17"/>
      <c r="D85" s="18">
        <f t="shared" si="22"/>
        <v>251</v>
      </c>
      <c r="E85" s="19">
        <f t="shared" si="21"/>
        <v>252</v>
      </c>
      <c r="F85" s="20">
        <v>2</v>
      </c>
      <c r="G85" s="37" t="s">
        <v>105</v>
      </c>
      <c r="H85" s="31" t="s">
        <v>106</v>
      </c>
      <c r="I85" s="27" t="s">
        <v>421</v>
      </c>
    </row>
    <row r="86" spans="1:9" ht="39.6" x14ac:dyDescent="0.25">
      <c r="A86" s="48" t="s">
        <v>389</v>
      </c>
      <c r="B86" s="48" t="s">
        <v>389</v>
      </c>
      <c r="C86" s="48"/>
      <c r="D86" s="49">
        <f t="shared" ref="D86" si="25">D85+F85</f>
        <v>253</v>
      </c>
      <c r="E86" s="50">
        <f t="shared" ref="E86" si="26">D86+F86-1</f>
        <v>253</v>
      </c>
      <c r="F86" s="51">
        <v>1</v>
      </c>
      <c r="G86" s="52" t="s">
        <v>441</v>
      </c>
      <c r="H86" s="53" t="s">
        <v>442</v>
      </c>
      <c r="I86" s="53" t="s">
        <v>415</v>
      </c>
    </row>
    <row r="87" spans="1:9" x14ac:dyDescent="0.25">
      <c r="A87" s="17"/>
      <c r="B87" s="17"/>
      <c r="C87" s="17"/>
      <c r="D87" s="54">
        <f>D86+F86</f>
        <v>254</v>
      </c>
      <c r="E87" s="19">
        <f t="shared" si="21"/>
        <v>262</v>
      </c>
      <c r="F87" s="20">
        <v>9</v>
      </c>
      <c r="G87" s="37" t="s">
        <v>65</v>
      </c>
      <c r="H87" s="29"/>
      <c r="I87" s="27"/>
    </row>
    <row r="88" spans="1:9" x14ac:dyDescent="0.25">
      <c r="A88" s="17"/>
      <c r="B88" s="17"/>
      <c r="C88" s="17"/>
      <c r="D88" s="18"/>
      <c r="E88" s="18"/>
      <c r="F88" s="18"/>
      <c r="G88" s="41" t="s">
        <v>107</v>
      </c>
      <c r="H88" s="29"/>
      <c r="I88" s="27"/>
    </row>
    <row r="89" spans="1:9" ht="66" x14ac:dyDescent="0.25">
      <c r="A89" s="17" t="s">
        <v>389</v>
      </c>
      <c r="B89" s="17" t="s">
        <v>389</v>
      </c>
      <c r="C89" s="17"/>
      <c r="D89" s="18">
        <f>D87+F87</f>
        <v>263</v>
      </c>
      <c r="E89" s="19">
        <f t="shared" ref="E89:E94" si="27">D89+F89-1</f>
        <v>263</v>
      </c>
      <c r="F89" s="20">
        <v>1</v>
      </c>
      <c r="G89" s="37" t="s">
        <v>108</v>
      </c>
      <c r="H89" s="31" t="s">
        <v>109</v>
      </c>
      <c r="I89" s="27" t="s">
        <v>415</v>
      </c>
    </row>
    <row r="90" spans="1:9" x14ac:dyDescent="0.25">
      <c r="A90" s="17" t="s">
        <v>389</v>
      </c>
      <c r="B90" s="17" t="s">
        <v>389</v>
      </c>
      <c r="C90" s="17"/>
      <c r="D90" s="18">
        <f t="shared" ref="D90:D94" si="28">D89+F89</f>
        <v>264</v>
      </c>
      <c r="E90" s="19">
        <f t="shared" si="27"/>
        <v>264</v>
      </c>
      <c r="F90" s="20">
        <v>1</v>
      </c>
      <c r="G90" s="37" t="s">
        <v>110</v>
      </c>
      <c r="H90" s="94" t="s">
        <v>97</v>
      </c>
      <c r="I90" s="95" t="s">
        <v>415</v>
      </c>
    </row>
    <row r="91" spans="1:9" x14ac:dyDescent="0.25">
      <c r="A91" s="17" t="s">
        <v>389</v>
      </c>
      <c r="B91" s="17" t="s">
        <v>389</v>
      </c>
      <c r="C91" s="17"/>
      <c r="D91" s="18">
        <f t="shared" si="28"/>
        <v>265</v>
      </c>
      <c r="E91" s="19">
        <f t="shared" si="27"/>
        <v>265</v>
      </c>
      <c r="F91" s="20">
        <v>1</v>
      </c>
      <c r="G91" s="37" t="s">
        <v>111</v>
      </c>
      <c r="H91" s="94"/>
      <c r="I91" s="95"/>
    </row>
    <row r="92" spans="1:9" x14ac:dyDescent="0.25">
      <c r="A92" s="17" t="s">
        <v>389</v>
      </c>
      <c r="B92" s="17" t="s">
        <v>389</v>
      </c>
      <c r="C92" s="17"/>
      <c r="D92" s="18">
        <f t="shared" si="28"/>
        <v>266</v>
      </c>
      <c r="E92" s="19">
        <f t="shared" si="27"/>
        <v>266</v>
      </c>
      <c r="F92" s="20">
        <v>1</v>
      </c>
      <c r="G92" s="37" t="s">
        <v>112</v>
      </c>
      <c r="H92" s="94"/>
      <c r="I92" s="95"/>
    </row>
    <row r="93" spans="1:9" x14ac:dyDescent="0.25">
      <c r="A93" s="17" t="s">
        <v>389</v>
      </c>
      <c r="B93" s="17" t="s">
        <v>389</v>
      </c>
      <c r="C93" s="17"/>
      <c r="D93" s="18">
        <f t="shared" si="28"/>
        <v>267</v>
      </c>
      <c r="E93" s="19">
        <f t="shared" si="27"/>
        <v>267</v>
      </c>
      <c r="F93" s="20">
        <v>1</v>
      </c>
      <c r="G93" s="37" t="s">
        <v>113</v>
      </c>
      <c r="H93" s="94"/>
      <c r="I93" s="95"/>
    </row>
    <row r="94" spans="1:9" x14ac:dyDescent="0.25">
      <c r="A94" s="17" t="s">
        <v>389</v>
      </c>
      <c r="B94" s="17" t="s">
        <v>389</v>
      </c>
      <c r="C94" s="17"/>
      <c r="D94" s="18">
        <f t="shared" si="28"/>
        <v>268</v>
      </c>
      <c r="E94" s="19">
        <f t="shared" si="27"/>
        <v>268</v>
      </c>
      <c r="F94" s="20">
        <v>1</v>
      </c>
      <c r="G94" s="37" t="s">
        <v>114</v>
      </c>
      <c r="H94" s="94"/>
      <c r="I94" s="95"/>
    </row>
    <row r="95" spans="1:9" x14ac:dyDescent="0.25">
      <c r="A95" s="17"/>
      <c r="B95" s="17"/>
      <c r="C95" s="17"/>
      <c r="D95" s="18"/>
      <c r="E95" s="18"/>
      <c r="F95" s="18"/>
      <c r="G95" s="41" t="s">
        <v>115</v>
      </c>
      <c r="H95" s="29"/>
      <c r="I95" s="27"/>
    </row>
    <row r="96" spans="1:9" x14ac:dyDescent="0.25">
      <c r="A96" s="17" t="s">
        <v>389</v>
      </c>
      <c r="B96" s="17" t="s">
        <v>389</v>
      </c>
      <c r="C96" s="17"/>
      <c r="D96" s="18">
        <f>D94+F94</f>
        <v>269</v>
      </c>
      <c r="E96" s="19">
        <f t="shared" ref="E96:E111" si="29">D96+F96-1</f>
        <v>269</v>
      </c>
      <c r="F96" s="20">
        <v>1</v>
      </c>
      <c r="G96" s="55" t="s">
        <v>170</v>
      </c>
      <c r="H96" s="90" t="s">
        <v>97</v>
      </c>
      <c r="I96" s="90" t="s">
        <v>415</v>
      </c>
    </row>
    <row r="97" spans="1:9" x14ac:dyDescent="0.25">
      <c r="A97" s="17" t="s">
        <v>389</v>
      </c>
      <c r="B97" s="17" t="s">
        <v>389</v>
      </c>
      <c r="C97" s="17"/>
      <c r="D97" s="18">
        <f t="shared" ref="D97:D111" si="30">D96+F96</f>
        <v>270</v>
      </c>
      <c r="E97" s="19">
        <f t="shared" si="29"/>
        <v>270</v>
      </c>
      <c r="F97" s="20">
        <v>1</v>
      </c>
      <c r="G97" s="55" t="s">
        <v>171</v>
      </c>
      <c r="H97" s="90"/>
      <c r="I97" s="90"/>
    </row>
    <row r="98" spans="1:9" x14ac:dyDescent="0.25">
      <c r="A98" s="17" t="s">
        <v>389</v>
      </c>
      <c r="B98" s="17" t="s">
        <v>389</v>
      </c>
      <c r="C98" s="17"/>
      <c r="D98" s="18">
        <f>D97+F97</f>
        <v>271</v>
      </c>
      <c r="E98" s="19">
        <f t="shared" si="29"/>
        <v>271</v>
      </c>
      <c r="F98" s="20">
        <v>1</v>
      </c>
      <c r="G98" s="55" t="s">
        <v>116</v>
      </c>
      <c r="H98" s="90"/>
      <c r="I98" s="90"/>
    </row>
    <row r="99" spans="1:9" x14ac:dyDescent="0.25">
      <c r="A99" s="17" t="s">
        <v>389</v>
      </c>
      <c r="B99" s="17" t="s">
        <v>389</v>
      </c>
      <c r="C99" s="17"/>
      <c r="D99" s="18">
        <f t="shared" si="30"/>
        <v>272</v>
      </c>
      <c r="E99" s="19">
        <f t="shared" si="29"/>
        <v>272</v>
      </c>
      <c r="F99" s="20">
        <v>1</v>
      </c>
      <c r="G99" s="55" t="s">
        <v>172</v>
      </c>
      <c r="H99" s="90"/>
      <c r="I99" s="90"/>
    </row>
    <row r="100" spans="1:9" x14ac:dyDescent="0.25">
      <c r="A100" s="17" t="s">
        <v>389</v>
      </c>
      <c r="B100" s="17" t="s">
        <v>389</v>
      </c>
      <c r="C100" s="17"/>
      <c r="D100" s="18">
        <f t="shared" si="30"/>
        <v>273</v>
      </c>
      <c r="E100" s="19">
        <f t="shared" si="29"/>
        <v>273</v>
      </c>
      <c r="F100" s="20">
        <v>1</v>
      </c>
      <c r="G100" s="55" t="s">
        <v>125</v>
      </c>
      <c r="H100" s="90"/>
      <c r="I100" s="90"/>
    </row>
    <row r="101" spans="1:9" x14ac:dyDescent="0.25">
      <c r="A101" s="17" t="s">
        <v>389</v>
      </c>
      <c r="B101" s="17" t="s">
        <v>389</v>
      </c>
      <c r="C101" s="17"/>
      <c r="D101" s="18">
        <f t="shared" si="30"/>
        <v>274</v>
      </c>
      <c r="E101" s="19">
        <f t="shared" si="29"/>
        <v>274</v>
      </c>
      <c r="F101" s="20">
        <v>1</v>
      </c>
      <c r="G101" s="55" t="s">
        <v>120</v>
      </c>
      <c r="H101" s="90"/>
      <c r="I101" s="90"/>
    </row>
    <row r="102" spans="1:9" x14ac:dyDescent="0.25">
      <c r="A102" s="17" t="s">
        <v>389</v>
      </c>
      <c r="B102" s="17" t="s">
        <v>389</v>
      </c>
      <c r="C102" s="17"/>
      <c r="D102" s="18">
        <f t="shared" si="30"/>
        <v>275</v>
      </c>
      <c r="E102" s="19">
        <f t="shared" si="29"/>
        <v>275</v>
      </c>
      <c r="F102" s="20">
        <v>1</v>
      </c>
      <c r="G102" s="55" t="s">
        <v>117</v>
      </c>
      <c r="H102" s="90"/>
      <c r="I102" s="90"/>
    </row>
    <row r="103" spans="1:9" x14ac:dyDescent="0.25">
      <c r="A103" s="17" t="s">
        <v>389</v>
      </c>
      <c r="B103" s="17" t="s">
        <v>389</v>
      </c>
      <c r="C103" s="17"/>
      <c r="D103" s="18">
        <f t="shared" si="30"/>
        <v>276</v>
      </c>
      <c r="E103" s="19">
        <f t="shared" si="29"/>
        <v>276</v>
      </c>
      <c r="F103" s="20">
        <v>1</v>
      </c>
      <c r="G103" s="55" t="s">
        <v>118</v>
      </c>
      <c r="H103" s="90"/>
      <c r="I103" s="90"/>
    </row>
    <row r="104" spans="1:9" x14ac:dyDescent="0.25">
      <c r="A104" s="17" t="s">
        <v>389</v>
      </c>
      <c r="B104" s="17" t="s">
        <v>389</v>
      </c>
      <c r="C104" s="17"/>
      <c r="D104" s="18">
        <f t="shared" si="30"/>
        <v>277</v>
      </c>
      <c r="E104" s="19">
        <f t="shared" si="29"/>
        <v>277</v>
      </c>
      <c r="F104" s="20">
        <v>1</v>
      </c>
      <c r="G104" s="55" t="s">
        <v>119</v>
      </c>
      <c r="H104" s="90"/>
      <c r="I104" s="90"/>
    </row>
    <row r="105" spans="1:9" x14ac:dyDescent="0.25">
      <c r="A105" s="17" t="s">
        <v>389</v>
      </c>
      <c r="B105" s="17" t="s">
        <v>389</v>
      </c>
      <c r="C105" s="17"/>
      <c r="D105" s="18">
        <f t="shared" si="30"/>
        <v>278</v>
      </c>
      <c r="E105" s="19">
        <f t="shared" si="29"/>
        <v>278</v>
      </c>
      <c r="F105" s="20">
        <v>1</v>
      </c>
      <c r="G105" s="55" t="s">
        <v>121</v>
      </c>
      <c r="H105" s="90"/>
      <c r="I105" s="90"/>
    </row>
    <row r="106" spans="1:9" x14ac:dyDescent="0.25">
      <c r="A106" s="17" t="s">
        <v>389</v>
      </c>
      <c r="B106" s="17" t="s">
        <v>389</v>
      </c>
      <c r="C106" s="17"/>
      <c r="D106" s="18">
        <f t="shared" si="30"/>
        <v>279</v>
      </c>
      <c r="E106" s="19">
        <f t="shared" si="29"/>
        <v>279</v>
      </c>
      <c r="F106" s="20">
        <v>1</v>
      </c>
      <c r="G106" s="55" t="s">
        <v>122</v>
      </c>
      <c r="H106" s="90"/>
      <c r="I106" s="90"/>
    </row>
    <row r="107" spans="1:9" x14ac:dyDescent="0.25">
      <c r="A107" s="17" t="s">
        <v>389</v>
      </c>
      <c r="B107" s="17" t="s">
        <v>389</v>
      </c>
      <c r="C107" s="17"/>
      <c r="D107" s="18">
        <f t="shared" si="30"/>
        <v>280</v>
      </c>
      <c r="E107" s="19">
        <f t="shared" si="29"/>
        <v>280</v>
      </c>
      <c r="F107" s="20">
        <v>1</v>
      </c>
      <c r="G107" s="55" t="s">
        <v>123</v>
      </c>
      <c r="H107" s="90"/>
      <c r="I107" s="90"/>
    </row>
    <row r="108" spans="1:9" x14ac:dyDescent="0.25">
      <c r="A108" s="17" t="s">
        <v>389</v>
      </c>
      <c r="B108" s="17" t="s">
        <v>389</v>
      </c>
      <c r="C108" s="17"/>
      <c r="D108" s="18">
        <f t="shared" si="30"/>
        <v>281</v>
      </c>
      <c r="E108" s="19">
        <f t="shared" si="29"/>
        <v>281</v>
      </c>
      <c r="F108" s="20">
        <v>1</v>
      </c>
      <c r="G108" s="55" t="s">
        <v>173</v>
      </c>
      <c r="H108" s="90"/>
      <c r="I108" s="90"/>
    </row>
    <row r="109" spans="1:9" x14ac:dyDescent="0.25">
      <c r="A109" s="17" t="s">
        <v>389</v>
      </c>
      <c r="B109" s="17" t="s">
        <v>389</v>
      </c>
      <c r="C109" s="17"/>
      <c r="D109" s="18">
        <f t="shared" si="30"/>
        <v>282</v>
      </c>
      <c r="E109" s="19">
        <f t="shared" si="29"/>
        <v>282</v>
      </c>
      <c r="F109" s="20">
        <v>1</v>
      </c>
      <c r="G109" s="55" t="s">
        <v>174</v>
      </c>
      <c r="H109" s="90"/>
      <c r="I109" s="90"/>
    </row>
    <row r="110" spans="1:9" x14ac:dyDescent="0.25">
      <c r="A110" s="17" t="s">
        <v>389</v>
      </c>
      <c r="B110" s="17" t="s">
        <v>389</v>
      </c>
      <c r="C110" s="17"/>
      <c r="D110" s="18">
        <f t="shared" si="30"/>
        <v>283</v>
      </c>
      <c r="E110" s="19">
        <f t="shared" si="29"/>
        <v>283</v>
      </c>
      <c r="F110" s="20">
        <v>1</v>
      </c>
      <c r="G110" s="55" t="s">
        <v>124</v>
      </c>
      <c r="H110" s="90"/>
      <c r="I110" s="90"/>
    </row>
    <row r="111" spans="1:9" x14ac:dyDescent="0.25">
      <c r="A111" s="17" t="s">
        <v>389</v>
      </c>
      <c r="B111" s="17" t="s">
        <v>389</v>
      </c>
      <c r="C111" s="17"/>
      <c r="D111" s="18">
        <f t="shared" si="30"/>
        <v>284</v>
      </c>
      <c r="E111" s="19">
        <f t="shared" si="29"/>
        <v>284</v>
      </c>
      <c r="F111" s="20">
        <v>1</v>
      </c>
      <c r="G111" s="55" t="s">
        <v>126</v>
      </c>
      <c r="H111" s="90"/>
      <c r="I111" s="90"/>
    </row>
    <row r="112" spans="1:9" x14ac:dyDescent="0.25">
      <c r="A112" s="17"/>
      <c r="B112" s="17"/>
      <c r="C112" s="17"/>
      <c r="D112" s="35"/>
      <c r="E112" s="19"/>
      <c r="F112" s="20"/>
      <c r="G112" s="41" t="s">
        <v>87</v>
      </c>
      <c r="H112" s="25"/>
      <c r="I112" s="25"/>
    </row>
    <row r="113" spans="1:9" x14ac:dyDescent="0.25">
      <c r="A113" s="17" t="s">
        <v>389</v>
      </c>
      <c r="B113" s="17" t="s">
        <v>389</v>
      </c>
      <c r="C113" s="17"/>
      <c r="D113" s="35">
        <f>D111+F111</f>
        <v>285</v>
      </c>
      <c r="E113" s="19">
        <f t="shared" ref="E113:E115" si="31">D113+F113-1</f>
        <v>285</v>
      </c>
      <c r="F113" s="20">
        <v>1</v>
      </c>
      <c r="G113" s="56" t="s">
        <v>129</v>
      </c>
      <c r="H113" s="90" t="s">
        <v>88</v>
      </c>
      <c r="I113" s="91" t="s">
        <v>128</v>
      </c>
    </row>
    <row r="114" spans="1:9" x14ac:dyDescent="0.25">
      <c r="A114" s="17" t="s">
        <v>389</v>
      </c>
      <c r="B114" s="17" t="s">
        <v>389</v>
      </c>
      <c r="C114" s="17"/>
      <c r="D114" s="35">
        <f t="shared" ref="D114" si="32">D113+F113</f>
        <v>286</v>
      </c>
      <c r="E114" s="19">
        <f t="shared" si="31"/>
        <v>286</v>
      </c>
      <c r="F114" s="20">
        <v>1</v>
      </c>
      <c r="G114" s="56" t="s">
        <v>130</v>
      </c>
      <c r="H114" s="90"/>
      <c r="I114" s="91"/>
    </row>
    <row r="115" spans="1:9" x14ac:dyDescent="0.25">
      <c r="A115" s="17" t="s">
        <v>389</v>
      </c>
      <c r="B115" s="17" t="s">
        <v>389</v>
      </c>
      <c r="C115" s="17"/>
      <c r="D115" s="35">
        <f>D114+F114</f>
        <v>287</v>
      </c>
      <c r="E115" s="19">
        <f t="shared" si="31"/>
        <v>287</v>
      </c>
      <c r="F115" s="20">
        <v>1</v>
      </c>
      <c r="G115" s="56" t="s">
        <v>127</v>
      </c>
      <c r="H115" s="90"/>
      <c r="I115" s="91"/>
    </row>
    <row r="116" spans="1:9" x14ac:dyDescent="0.25">
      <c r="A116" s="17"/>
      <c r="B116" s="17"/>
      <c r="C116" s="17"/>
      <c r="D116" s="49">
        <f>D115+F115</f>
        <v>288</v>
      </c>
      <c r="E116" s="50">
        <f t="shared" ref="E116" si="33">D116+F116-1</f>
        <v>302</v>
      </c>
      <c r="F116" s="20">
        <v>15</v>
      </c>
      <c r="G116" s="37" t="s">
        <v>65</v>
      </c>
      <c r="H116" s="43"/>
      <c r="I116" s="36"/>
    </row>
    <row r="117" spans="1:9" x14ac:dyDescent="0.25">
      <c r="A117" s="17"/>
      <c r="B117" s="17"/>
      <c r="C117" s="17"/>
      <c r="D117" s="35"/>
      <c r="E117" s="35"/>
      <c r="F117" s="20"/>
      <c r="G117" s="57" t="s">
        <v>96</v>
      </c>
      <c r="H117" s="43"/>
      <c r="I117" s="36"/>
    </row>
    <row r="118" spans="1:9" x14ac:dyDescent="0.25">
      <c r="A118" s="17" t="s">
        <v>388</v>
      </c>
      <c r="B118" s="17" t="s">
        <v>388</v>
      </c>
      <c r="C118" s="17" t="s">
        <v>392</v>
      </c>
      <c r="D118" s="35">
        <f>D116+F116</f>
        <v>303</v>
      </c>
      <c r="E118" s="19">
        <f t="shared" ref="E118:E121" si="34">D118+F118-1</f>
        <v>303</v>
      </c>
      <c r="F118" s="20">
        <v>1</v>
      </c>
      <c r="G118" s="56" t="s">
        <v>129</v>
      </c>
      <c r="H118" s="91" t="s">
        <v>97</v>
      </c>
      <c r="I118" s="92" t="s">
        <v>415</v>
      </c>
    </row>
    <row r="119" spans="1:9" x14ac:dyDescent="0.25">
      <c r="A119" s="17" t="s">
        <v>388</v>
      </c>
      <c r="B119" s="17" t="s">
        <v>388</v>
      </c>
      <c r="C119" s="17" t="s">
        <v>392</v>
      </c>
      <c r="D119" s="35">
        <f t="shared" ref="D119:D120" si="35">D118+F118</f>
        <v>304</v>
      </c>
      <c r="E119" s="19">
        <f t="shared" si="34"/>
        <v>304</v>
      </c>
      <c r="F119" s="20">
        <v>1</v>
      </c>
      <c r="G119" s="56" t="s">
        <v>130</v>
      </c>
      <c r="H119" s="91"/>
      <c r="I119" s="92"/>
    </row>
    <row r="120" spans="1:9" x14ac:dyDescent="0.25">
      <c r="A120" s="17" t="s">
        <v>388</v>
      </c>
      <c r="B120" s="17" t="s">
        <v>388</v>
      </c>
      <c r="C120" s="17" t="s">
        <v>392</v>
      </c>
      <c r="D120" s="35">
        <f t="shared" si="35"/>
        <v>305</v>
      </c>
      <c r="E120" s="19">
        <f t="shared" si="34"/>
        <v>305</v>
      </c>
      <c r="F120" s="20">
        <v>1</v>
      </c>
      <c r="G120" s="56" t="s">
        <v>127</v>
      </c>
      <c r="H120" s="91"/>
      <c r="I120" s="92"/>
    </row>
    <row r="121" spans="1:9" x14ac:dyDescent="0.25">
      <c r="A121" s="17"/>
      <c r="B121" s="17"/>
      <c r="C121" s="17"/>
      <c r="D121" s="35">
        <f>D120+F120</f>
        <v>306</v>
      </c>
      <c r="E121" s="19">
        <f t="shared" si="34"/>
        <v>320</v>
      </c>
      <c r="F121" s="20">
        <v>15</v>
      </c>
      <c r="G121" s="37" t="s">
        <v>65</v>
      </c>
      <c r="H121" s="43"/>
      <c r="I121" s="36"/>
    </row>
    <row r="122" spans="1:9" x14ac:dyDescent="0.25">
      <c r="A122" s="17"/>
      <c r="B122" s="17"/>
      <c r="C122" s="17"/>
      <c r="D122" s="35"/>
      <c r="E122" s="19"/>
      <c r="F122" s="20"/>
      <c r="G122" s="41" t="s">
        <v>166</v>
      </c>
      <c r="H122" s="43"/>
      <c r="I122" s="36"/>
    </row>
    <row r="123" spans="1:9" x14ac:dyDescent="0.25">
      <c r="A123" s="17"/>
      <c r="B123" s="17"/>
      <c r="C123" s="17"/>
      <c r="D123" s="18"/>
      <c r="E123" s="18"/>
      <c r="F123" s="18"/>
      <c r="G123" s="44" t="s">
        <v>395</v>
      </c>
      <c r="H123" s="29"/>
      <c r="I123" s="27"/>
    </row>
    <row r="124" spans="1:9" ht="105.6" x14ac:dyDescent="0.25">
      <c r="A124" s="17" t="s">
        <v>388</v>
      </c>
      <c r="B124" s="17" t="s">
        <v>388</v>
      </c>
      <c r="C124" s="17"/>
      <c r="D124" s="35">
        <f>D121+F121</f>
        <v>321</v>
      </c>
      <c r="E124" s="19">
        <f t="shared" ref="E124:E126" si="36">D124+F124-1</f>
        <v>322</v>
      </c>
      <c r="F124" s="35">
        <v>2</v>
      </c>
      <c r="G124" s="58" t="s">
        <v>131</v>
      </c>
      <c r="H124" s="34" t="s">
        <v>132</v>
      </c>
      <c r="I124" s="31" t="s">
        <v>133</v>
      </c>
    </row>
    <row r="125" spans="1:9" ht="105.6" x14ac:dyDescent="0.25">
      <c r="A125" s="17" t="s">
        <v>389</v>
      </c>
      <c r="B125" s="17" t="s">
        <v>389</v>
      </c>
      <c r="C125" s="17"/>
      <c r="D125" s="35">
        <f>D124+F124</f>
        <v>323</v>
      </c>
      <c r="E125" s="19">
        <f t="shared" si="36"/>
        <v>324</v>
      </c>
      <c r="F125" s="35">
        <v>2</v>
      </c>
      <c r="G125" s="58" t="s">
        <v>134</v>
      </c>
      <c r="H125" s="59" t="s">
        <v>167</v>
      </c>
      <c r="I125" s="31" t="s">
        <v>168</v>
      </c>
    </row>
    <row r="126" spans="1:9" ht="105.6" x14ac:dyDescent="0.25">
      <c r="A126" s="17" t="s">
        <v>389</v>
      </c>
      <c r="B126" s="17" t="s">
        <v>389</v>
      </c>
      <c r="C126" s="17"/>
      <c r="D126" s="35">
        <f>D125+F125</f>
        <v>325</v>
      </c>
      <c r="E126" s="19">
        <f t="shared" si="36"/>
        <v>326</v>
      </c>
      <c r="F126" s="35">
        <v>2</v>
      </c>
      <c r="G126" s="58" t="s">
        <v>135</v>
      </c>
      <c r="H126" s="59" t="s">
        <v>167</v>
      </c>
      <c r="I126" s="31" t="s">
        <v>136</v>
      </c>
    </row>
    <row r="127" spans="1:9" ht="66" x14ac:dyDescent="0.25">
      <c r="A127" s="17" t="s">
        <v>388</v>
      </c>
      <c r="B127" s="17" t="s">
        <v>388</v>
      </c>
      <c r="C127" s="17" t="s">
        <v>392</v>
      </c>
      <c r="D127" s="35">
        <f>D126+F126</f>
        <v>327</v>
      </c>
      <c r="E127" s="19">
        <f t="shared" ref="E127" si="37">D127+F127-1</f>
        <v>328</v>
      </c>
      <c r="F127" s="35">
        <v>2</v>
      </c>
      <c r="G127" s="58" t="s">
        <v>395</v>
      </c>
      <c r="H127" s="59" t="s">
        <v>167</v>
      </c>
      <c r="I127" s="31" t="s">
        <v>422</v>
      </c>
    </row>
    <row r="128" spans="1:9" ht="12.75" customHeight="1" x14ac:dyDescent="0.25">
      <c r="A128" s="17"/>
      <c r="B128" s="17"/>
      <c r="C128" s="17"/>
      <c r="D128" s="18"/>
      <c r="E128" s="18"/>
      <c r="F128" s="18"/>
      <c r="G128" s="44" t="s">
        <v>137</v>
      </c>
      <c r="H128" s="27"/>
      <c r="I128" s="27"/>
    </row>
    <row r="129" spans="1:9" ht="52.8" x14ac:dyDescent="0.25">
      <c r="A129" s="17" t="s">
        <v>389</v>
      </c>
      <c r="B129" s="17" t="s">
        <v>389</v>
      </c>
      <c r="C129" s="17"/>
      <c r="D129" s="35">
        <f>D127+F127</f>
        <v>329</v>
      </c>
      <c r="E129" s="19">
        <f t="shared" ref="E129:E132" si="38">D129+F129-1</f>
        <v>330</v>
      </c>
      <c r="F129" s="35">
        <v>2</v>
      </c>
      <c r="G129" s="58" t="s">
        <v>138</v>
      </c>
      <c r="H129" s="36" t="s">
        <v>139</v>
      </c>
      <c r="I129" s="31" t="s">
        <v>169</v>
      </c>
    </row>
    <row r="130" spans="1:9" ht="52.8" x14ac:dyDescent="0.25">
      <c r="A130" s="17" t="s">
        <v>389</v>
      </c>
      <c r="B130" s="17" t="s">
        <v>389</v>
      </c>
      <c r="C130" s="17"/>
      <c r="D130" s="35">
        <f>D129+F129</f>
        <v>331</v>
      </c>
      <c r="E130" s="19">
        <f t="shared" si="38"/>
        <v>332</v>
      </c>
      <c r="F130" s="35">
        <v>2</v>
      </c>
      <c r="G130" s="58" t="s">
        <v>140</v>
      </c>
      <c r="H130" s="31" t="s">
        <v>139</v>
      </c>
      <c r="I130" s="31" t="s">
        <v>141</v>
      </c>
    </row>
    <row r="131" spans="1:9" ht="66" x14ac:dyDescent="0.25">
      <c r="A131" s="17" t="s">
        <v>388</v>
      </c>
      <c r="B131" s="17" t="s">
        <v>388</v>
      </c>
      <c r="C131" s="17" t="s">
        <v>392</v>
      </c>
      <c r="D131" s="35">
        <f>D130+F130</f>
        <v>333</v>
      </c>
      <c r="E131" s="19">
        <f t="shared" si="38"/>
        <v>333</v>
      </c>
      <c r="F131" s="18">
        <v>1</v>
      </c>
      <c r="G131" s="60" t="s">
        <v>142</v>
      </c>
      <c r="H131" s="31" t="s">
        <v>143</v>
      </c>
      <c r="I131" s="31" t="s">
        <v>423</v>
      </c>
    </row>
    <row r="132" spans="1:9" ht="79.2" x14ac:dyDescent="0.25">
      <c r="A132" s="17" t="s">
        <v>388</v>
      </c>
      <c r="B132" s="17" t="s">
        <v>388</v>
      </c>
      <c r="C132" s="17"/>
      <c r="D132" s="35">
        <f t="shared" ref="D132" si="39">D131+F131</f>
        <v>334</v>
      </c>
      <c r="E132" s="19">
        <f t="shared" si="38"/>
        <v>334</v>
      </c>
      <c r="F132" s="18">
        <v>1</v>
      </c>
      <c r="G132" s="60" t="s">
        <v>144</v>
      </c>
      <c r="H132" s="31" t="s">
        <v>145</v>
      </c>
      <c r="I132" s="31" t="s">
        <v>146</v>
      </c>
    </row>
    <row r="133" spans="1:9" x14ac:dyDescent="0.25">
      <c r="A133" s="17"/>
      <c r="B133" s="17"/>
      <c r="C133" s="17"/>
      <c r="D133" s="18"/>
      <c r="E133" s="18"/>
      <c r="F133" s="18"/>
      <c r="G133" s="44" t="s">
        <v>147</v>
      </c>
      <c r="H133" s="29"/>
      <c r="I133" s="27"/>
    </row>
    <row r="134" spans="1:9" ht="52.8" x14ac:dyDescent="0.25">
      <c r="A134" s="17" t="s">
        <v>389</v>
      </c>
      <c r="B134" s="17" t="s">
        <v>389</v>
      </c>
      <c r="C134" s="17"/>
      <c r="D134" s="35">
        <f>D132+F132</f>
        <v>335</v>
      </c>
      <c r="E134" s="19">
        <f t="shared" ref="E134:E145" si="40">D134+F134-1</f>
        <v>335</v>
      </c>
      <c r="F134" s="35">
        <v>1</v>
      </c>
      <c r="G134" s="61" t="s">
        <v>148</v>
      </c>
      <c r="H134" s="36" t="s">
        <v>149</v>
      </c>
      <c r="I134" s="31" t="s">
        <v>169</v>
      </c>
    </row>
    <row r="135" spans="1:9" ht="52.8" x14ac:dyDescent="0.25">
      <c r="A135" s="17" t="s">
        <v>389</v>
      </c>
      <c r="B135" s="17" t="s">
        <v>389</v>
      </c>
      <c r="C135" s="17"/>
      <c r="D135" s="35">
        <f t="shared" ref="D135:D145" si="41">D134+F134</f>
        <v>336</v>
      </c>
      <c r="E135" s="19">
        <f t="shared" si="40"/>
        <v>336</v>
      </c>
      <c r="F135" s="35">
        <v>1</v>
      </c>
      <c r="G135" s="37" t="s">
        <v>150</v>
      </c>
      <c r="H135" s="31" t="s">
        <v>149</v>
      </c>
      <c r="I135" s="31" t="s">
        <v>141</v>
      </c>
    </row>
    <row r="136" spans="1:9" ht="52.8" x14ac:dyDescent="0.25">
      <c r="A136" s="17" t="s">
        <v>389</v>
      </c>
      <c r="B136" s="17" t="s">
        <v>389</v>
      </c>
      <c r="C136" s="17"/>
      <c r="D136" s="35">
        <f t="shared" si="41"/>
        <v>337</v>
      </c>
      <c r="E136" s="19">
        <f t="shared" si="40"/>
        <v>337</v>
      </c>
      <c r="F136" s="35">
        <v>1</v>
      </c>
      <c r="G136" s="37" t="s">
        <v>151</v>
      </c>
      <c r="H136" s="31" t="s">
        <v>152</v>
      </c>
      <c r="I136" s="31" t="s">
        <v>169</v>
      </c>
    </row>
    <row r="137" spans="1:9" ht="52.8" x14ac:dyDescent="0.25">
      <c r="A137" s="17" t="s">
        <v>389</v>
      </c>
      <c r="B137" s="17" t="s">
        <v>389</v>
      </c>
      <c r="C137" s="17"/>
      <c r="D137" s="35">
        <f t="shared" si="41"/>
        <v>338</v>
      </c>
      <c r="E137" s="19">
        <f t="shared" si="40"/>
        <v>338</v>
      </c>
      <c r="F137" s="35">
        <v>1</v>
      </c>
      <c r="G137" s="37" t="s">
        <v>153</v>
      </c>
      <c r="H137" s="31" t="s">
        <v>152</v>
      </c>
      <c r="I137" s="31" t="s">
        <v>141</v>
      </c>
    </row>
    <row r="138" spans="1:9" ht="52.8" x14ac:dyDescent="0.25">
      <c r="A138" s="17" t="s">
        <v>389</v>
      </c>
      <c r="B138" s="17" t="s">
        <v>389</v>
      </c>
      <c r="C138" s="17"/>
      <c r="D138" s="35">
        <f t="shared" si="41"/>
        <v>339</v>
      </c>
      <c r="E138" s="19">
        <f t="shared" si="40"/>
        <v>339</v>
      </c>
      <c r="F138" s="35">
        <v>1</v>
      </c>
      <c r="G138" s="37" t="s">
        <v>154</v>
      </c>
      <c r="H138" s="31" t="s">
        <v>155</v>
      </c>
      <c r="I138" s="31" t="s">
        <v>169</v>
      </c>
    </row>
    <row r="139" spans="1:9" ht="52.8" x14ac:dyDescent="0.25">
      <c r="A139" s="17" t="s">
        <v>389</v>
      </c>
      <c r="B139" s="17" t="s">
        <v>389</v>
      </c>
      <c r="C139" s="17"/>
      <c r="D139" s="35">
        <f t="shared" si="41"/>
        <v>340</v>
      </c>
      <c r="E139" s="19">
        <f t="shared" si="40"/>
        <v>340</v>
      </c>
      <c r="F139" s="35">
        <v>1</v>
      </c>
      <c r="G139" s="37" t="s">
        <v>156</v>
      </c>
      <c r="H139" s="31" t="s">
        <v>155</v>
      </c>
      <c r="I139" s="31" t="s">
        <v>141</v>
      </c>
    </row>
    <row r="140" spans="1:9" ht="52.8" x14ac:dyDescent="0.25">
      <c r="A140" s="17" t="s">
        <v>389</v>
      </c>
      <c r="B140" s="17" t="s">
        <v>389</v>
      </c>
      <c r="C140" s="17"/>
      <c r="D140" s="35">
        <f t="shared" si="41"/>
        <v>341</v>
      </c>
      <c r="E140" s="19">
        <f t="shared" si="40"/>
        <v>341</v>
      </c>
      <c r="F140" s="35">
        <v>1</v>
      </c>
      <c r="G140" s="37" t="s">
        <v>157</v>
      </c>
      <c r="H140" s="31" t="s">
        <v>158</v>
      </c>
      <c r="I140" s="31" t="s">
        <v>169</v>
      </c>
    </row>
    <row r="141" spans="1:9" ht="52.8" x14ac:dyDescent="0.25">
      <c r="A141" s="17" t="s">
        <v>389</v>
      </c>
      <c r="B141" s="17" t="s">
        <v>389</v>
      </c>
      <c r="C141" s="17"/>
      <c r="D141" s="35">
        <f t="shared" si="41"/>
        <v>342</v>
      </c>
      <c r="E141" s="19">
        <f t="shared" si="40"/>
        <v>342</v>
      </c>
      <c r="F141" s="35">
        <v>1</v>
      </c>
      <c r="G141" s="37" t="s">
        <v>159</v>
      </c>
      <c r="H141" s="31" t="s">
        <v>158</v>
      </c>
      <c r="I141" s="31" t="s">
        <v>141</v>
      </c>
    </row>
    <row r="142" spans="1:9" ht="66" x14ac:dyDescent="0.25">
      <c r="A142" s="17" t="s">
        <v>389</v>
      </c>
      <c r="B142" s="17" t="s">
        <v>389</v>
      </c>
      <c r="C142" s="17"/>
      <c r="D142" s="35">
        <f t="shared" si="41"/>
        <v>343</v>
      </c>
      <c r="E142" s="19">
        <f t="shared" si="40"/>
        <v>343</v>
      </c>
      <c r="F142" s="35">
        <v>1</v>
      </c>
      <c r="G142" s="37" t="s">
        <v>160</v>
      </c>
      <c r="H142" s="31" t="s">
        <v>161</v>
      </c>
      <c r="I142" s="31" t="s">
        <v>169</v>
      </c>
    </row>
    <row r="143" spans="1:9" ht="66" x14ac:dyDescent="0.25">
      <c r="A143" s="17" t="s">
        <v>389</v>
      </c>
      <c r="B143" s="17" t="s">
        <v>389</v>
      </c>
      <c r="C143" s="17"/>
      <c r="D143" s="35">
        <f t="shared" si="41"/>
        <v>344</v>
      </c>
      <c r="E143" s="19">
        <f t="shared" si="40"/>
        <v>344</v>
      </c>
      <c r="F143" s="35">
        <v>1</v>
      </c>
      <c r="G143" s="37" t="s">
        <v>162</v>
      </c>
      <c r="H143" s="31" t="s">
        <v>161</v>
      </c>
      <c r="I143" s="31" t="s">
        <v>141</v>
      </c>
    </row>
    <row r="144" spans="1:9" ht="52.8" x14ac:dyDescent="0.25">
      <c r="A144" s="17" t="s">
        <v>389</v>
      </c>
      <c r="B144" s="17" t="s">
        <v>389</v>
      </c>
      <c r="C144" s="17"/>
      <c r="D144" s="35">
        <f t="shared" si="41"/>
        <v>345</v>
      </c>
      <c r="E144" s="19">
        <f t="shared" si="40"/>
        <v>345</v>
      </c>
      <c r="F144" s="35">
        <v>1</v>
      </c>
      <c r="G144" s="37" t="s">
        <v>163</v>
      </c>
      <c r="H144" s="31" t="s">
        <v>164</v>
      </c>
      <c r="I144" s="31" t="s">
        <v>169</v>
      </c>
    </row>
    <row r="145" spans="1:9" ht="52.8" x14ac:dyDescent="0.25">
      <c r="A145" s="17" t="s">
        <v>389</v>
      </c>
      <c r="B145" s="17" t="s">
        <v>389</v>
      </c>
      <c r="C145" s="17"/>
      <c r="D145" s="35">
        <f t="shared" si="41"/>
        <v>346</v>
      </c>
      <c r="E145" s="19">
        <f t="shared" si="40"/>
        <v>346</v>
      </c>
      <c r="F145" s="35">
        <v>1</v>
      </c>
      <c r="G145" s="37" t="s">
        <v>165</v>
      </c>
      <c r="H145" s="31" t="s">
        <v>164</v>
      </c>
      <c r="I145" s="31" t="s">
        <v>141</v>
      </c>
    </row>
    <row r="146" spans="1:9" x14ac:dyDescent="0.25">
      <c r="A146" s="17"/>
      <c r="B146" s="17"/>
      <c r="C146" s="17"/>
      <c r="D146" s="35">
        <f>D145+F145</f>
        <v>347</v>
      </c>
      <c r="E146" s="19">
        <f t="shared" ref="E146" si="42">D146+F146-1</f>
        <v>356</v>
      </c>
      <c r="F146" s="35">
        <v>10</v>
      </c>
      <c r="G146" s="37" t="s">
        <v>65</v>
      </c>
      <c r="H146" s="38"/>
      <c r="I146" s="27"/>
    </row>
    <row r="147" spans="1:9" ht="12.75" customHeight="1" x14ac:dyDescent="0.25">
      <c r="A147" s="17"/>
      <c r="B147" s="17"/>
      <c r="C147" s="17"/>
      <c r="D147" s="42"/>
      <c r="E147" s="42"/>
      <c r="F147" s="35"/>
      <c r="G147" s="62" t="s">
        <v>186</v>
      </c>
      <c r="H147" s="43"/>
      <c r="I147" s="36"/>
    </row>
    <row r="148" spans="1:9" ht="66" x14ac:dyDescent="0.25">
      <c r="A148" s="17" t="s">
        <v>388</v>
      </c>
      <c r="B148" s="17" t="s">
        <v>388</v>
      </c>
      <c r="C148" s="17" t="s">
        <v>393</v>
      </c>
      <c r="D148" s="35">
        <f>D146+F146</f>
        <v>357</v>
      </c>
      <c r="E148" s="19">
        <f t="shared" ref="E148:E150" si="43">D148+F148-1</f>
        <v>359</v>
      </c>
      <c r="F148" s="35">
        <v>3</v>
      </c>
      <c r="G148" s="63" t="s">
        <v>187</v>
      </c>
      <c r="H148" s="31" t="s">
        <v>454</v>
      </c>
      <c r="I148" s="31" t="s">
        <v>190</v>
      </c>
    </row>
    <row r="149" spans="1:9" ht="66" x14ac:dyDescent="0.25">
      <c r="A149" s="17" t="s">
        <v>388</v>
      </c>
      <c r="B149" s="17" t="s">
        <v>388</v>
      </c>
      <c r="C149" s="17"/>
      <c r="D149" s="35">
        <f t="shared" ref="D149:D150" si="44">D148+F148</f>
        <v>360</v>
      </c>
      <c r="E149" s="19">
        <f t="shared" si="43"/>
        <v>363</v>
      </c>
      <c r="F149" s="35">
        <v>4</v>
      </c>
      <c r="G149" s="63" t="s">
        <v>188</v>
      </c>
      <c r="H149" s="23" t="s">
        <v>382</v>
      </c>
      <c r="I149" s="31" t="s">
        <v>191</v>
      </c>
    </row>
    <row r="150" spans="1:9" ht="66" x14ac:dyDescent="0.25">
      <c r="A150" s="17" t="s">
        <v>388</v>
      </c>
      <c r="B150" s="17" t="s">
        <v>388</v>
      </c>
      <c r="C150" s="17"/>
      <c r="D150" s="35">
        <f t="shared" si="44"/>
        <v>364</v>
      </c>
      <c r="E150" s="19">
        <f t="shared" si="43"/>
        <v>364</v>
      </c>
      <c r="F150" s="35">
        <v>1</v>
      </c>
      <c r="G150" s="63" t="s">
        <v>189</v>
      </c>
      <c r="H150" s="31" t="s">
        <v>381</v>
      </c>
      <c r="I150" s="33" t="s">
        <v>220</v>
      </c>
    </row>
    <row r="151" spans="1:9" x14ac:dyDescent="0.25">
      <c r="A151" s="17"/>
      <c r="B151" s="17"/>
      <c r="C151" s="17"/>
      <c r="D151" s="35"/>
      <c r="E151" s="35"/>
      <c r="F151" s="35"/>
      <c r="G151" s="62" t="s">
        <v>380</v>
      </c>
      <c r="H151" s="43"/>
      <c r="I151" s="36"/>
    </row>
    <row r="152" spans="1:9" x14ac:dyDescent="0.25">
      <c r="A152" s="101"/>
      <c r="B152" s="101"/>
      <c r="C152" s="101"/>
      <c r="D152" s="102">
        <f>D150+F150</f>
        <v>365</v>
      </c>
      <c r="E152" s="103">
        <f t="shared" ref="E152" si="45">D152+F152-1</f>
        <v>420</v>
      </c>
      <c r="F152" s="102">
        <v>56</v>
      </c>
      <c r="G152" s="104" t="s">
        <v>65</v>
      </c>
      <c r="H152" s="105"/>
      <c r="I152" s="106"/>
    </row>
    <row r="153" spans="1:9" x14ac:dyDescent="0.25">
      <c r="A153" s="101"/>
      <c r="B153" s="101"/>
      <c r="C153" s="101"/>
      <c r="D153" s="102"/>
      <c r="E153" s="103"/>
      <c r="F153" s="102"/>
      <c r="G153" s="107" t="s">
        <v>433</v>
      </c>
      <c r="H153" s="105"/>
      <c r="I153" s="106"/>
    </row>
    <row r="154" spans="1:9" ht="52.8" x14ac:dyDescent="0.25">
      <c r="A154" s="101" t="s">
        <v>388</v>
      </c>
      <c r="B154" s="101" t="s">
        <v>388</v>
      </c>
      <c r="C154" s="101" t="s">
        <v>392</v>
      </c>
      <c r="D154" s="102">
        <f>D152+F152</f>
        <v>421</v>
      </c>
      <c r="E154" s="103">
        <f t="shared" ref="E154" si="46">D154+F154-1</f>
        <v>421</v>
      </c>
      <c r="F154" s="102">
        <v>1</v>
      </c>
      <c r="G154" s="104" t="s">
        <v>434</v>
      </c>
      <c r="H154" s="106" t="s">
        <v>436</v>
      </c>
      <c r="I154" s="106" t="s">
        <v>438</v>
      </c>
    </row>
    <row r="155" spans="1:9" ht="52.8" x14ac:dyDescent="0.25">
      <c r="A155" s="101" t="s">
        <v>388</v>
      </c>
      <c r="B155" s="101" t="s">
        <v>388</v>
      </c>
      <c r="C155" s="101" t="s">
        <v>392</v>
      </c>
      <c r="D155" s="102">
        <f>D154+F154</f>
        <v>422</v>
      </c>
      <c r="E155" s="103">
        <f t="shared" ref="E155" si="47">D155+F155-1</f>
        <v>422</v>
      </c>
      <c r="F155" s="102">
        <v>1</v>
      </c>
      <c r="G155" s="104" t="s">
        <v>435</v>
      </c>
      <c r="H155" s="106" t="s">
        <v>436</v>
      </c>
      <c r="I155" s="106" t="s">
        <v>438</v>
      </c>
    </row>
    <row r="156" spans="1:9" ht="66" x14ac:dyDescent="0.25">
      <c r="A156" s="101" t="s">
        <v>388</v>
      </c>
      <c r="B156" s="101" t="s">
        <v>388</v>
      </c>
      <c r="C156" s="101" t="s">
        <v>392</v>
      </c>
      <c r="D156" s="102">
        <f>D155+F155</f>
        <v>423</v>
      </c>
      <c r="E156" s="103">
        <f t="shared" ref="E156" si="48">D156+F156-1</f>
        <v>423</v>
      </c>
      <c r="F156" s="102">
        <v>1</v>
      </c>
      <c r="G156" s="104" t="s">
        <v>439</v>
      </c>
      <c r="H156" s="106" t="s">
        <v>437</v>
      </c>
      <c r="I156" s="106" t="s">
        <v>440</v>
      </c>
    </row>
    <row r="157" spans="1:9" x14ac:dyDescent="0.25">
      <c r="A157" s="17"/>
      <c r="B157" s="17"/>
      <c r="C157" s="17"/>
      <c r="D157" s="35"/>
      <c r="E157" s="35"/>
      <c r="F157" s="35"/>
      <c r="G157" s="62" t="s">
        <v>193</v>
      </c>
      <c r="H157" s="22"/>
      <c r="I157" s="23"/>
    </row>
    <row r="158" spans="1:9" ht="24.75" customHeight="1" x14ac:dyDescent="0.25">
      <c r="A158" s="17" t="s">
        <v>389</v>
      </c>
      <c r="B158" s="17" t="s">
        <v>389</v>
      </c>
      <c r="C158" s="17"/>
      <c r="D158" s="35">
        <f>D156+F156</f>
        <v>424</v>
      </c>
      <c r="E158" s="19">
        <f t="shared" ref="E158:E160" si="49">D158+F158-1</f>
        <v>427</v>
      </c>
      <c r="F158" s="35">
        <v>4</v>
      </c>
      <c r="G158" s="63" t="s">
        <v>194</v>
      </c>
      <c r="H158" s="93" t="s">
        <v>382</v>
      </c>
      <c r="I158" s="93" t="s">
        <v>385</v>
      </c>
    </row>
    <row r="159" spans="1:9" ht="26.25" customHeight="1" x14ac:dyDescent="0.25">
      <c r="A159" s="17" t="s">
        <v>389</v>
      </c>
      <c r="B159" s="17" t="s">
        <v>389</v>
      </c>
      <c r="C159" s="17"/>
      <c r="D159" s="35">
        <f t="shared" ref="D159:D160" si="50">D158+F158</f>
        <v>428</v>
      </c>
      <c r="E159" s="19">
        <f t="shared" si="49"/>
        <v>431</v>
      </c>
      <c r="F159" s="35">
        <v>4</v>
      </c>
      <c r="G159" s="63" t="s">
        <v>195</v>
      </c>
      <c r="H159" s="97"/>
      <c r="I159" s="93"/>
    </row>
    <row r="160" spans="1:9" x14ac:dyDescent="0.25">
      <c r="A160" s="17"/>
      <c r="B160" s="17"/>
      <c r="C160" s="17"/>
      <c r="D160" s="35">
        <f t="shared" si="50"/>
        <v>432</v>
      </c>
      <c r="E160" s="19">
        <f t="shared" si="49"/>
        <v>441</v>
      </c>
      <c r="F160" s="35">
        <v>10</v>
      </c>
      <c r="G160" s="63" t="s">
        <v>65</v>
      </c>
      <c r="H160" s="22"/>
      <c r="I160" s="23"/>
    </row>
    <row r="161" spans="1:9" x14ac:dyDescent="0.25">
      <c r="A161" s="17"/>
      <c r="B161" s="17"/>
      <c r="C161" s="17"/>
      <c r="D161" s="35"/>
      <c r="E161" s="35"/>
      <c r="F161" s="35"/>
      <c r="G161" s="62" t="s">
        <v>196</v>
      </c>
      <c r="H161" s="22"/>
      <c r="I161" s="23"/>
    </row>
    <row r="162" spans="1:9" ht="66" x14ac:dyDescent="0.25">
      <c r="A162" s="17" t="s">
        <v>388</v>
      </c>
      <c r="B162" s="17" t="s">
        <v>388</v>
      </c>
      <c r="C162" s="17" t="s">
        <v>393</v>
      </c>
      <c r="D162" s="35">
        <f>D160+F160</f>
        <v>442</v>
      </c>
      <c r="E162" s="19">
        <f t="shared" ref="E162:E164" si="51">D162+F162-1</f>
        <v>444</v>
      </c>
      <c r="F162" s="35">
        <v>3</v>
      </c>
      <c r="G162" s="63" t="s">
        <v>197</v>
      </c>
      <c r="H162" s="31" t="s">
        <v>454</v>
      </c>
      <c r="I162" s="31" t="s">
        <v>198</v>
      </c>
    </row>
    <row r="163" spans="1:9" ht="66" x14ac:dyDescent="0.25">
      <c r="A163" s="17" t="s">
        <v>388</v>
      </c>
      <c r="B163" s="17" t="s">
        <v>388</v>
      </c>
      <c r="C163" s="17"/>
      <c r="D163" s="35">
        <f t="shared" ref="D163:D164" si="52">D162+F162</f>
        <v>445</v>
      </c>
      <c r="E163" s="19">
        <f t="shared" si="51"/>
        <v>448</v>
      </c>
      <c r="F163" s="35">
        <v>4</v>
      </c>
      <c r="G163" s="63" t="s">
        <v>199</v>
      </c>
      <c r="H163" s="23" t="s">
        <v>382</v>
      </c>
      <c r="I163" s="31" t="s">
        <v>200</v>
      </c>
    </row>
    <row r="164" spans="1:9" ht="66" x14ac:dyDescent="0.25">
      <c r="A164" s="17" t="s">
        <v>388</v>
      </c>
      <c r="B164" s="17" t="s">
        <v>388</v>
      </c>
      <c r="C164" s="17"/>
      <c r="D164" s="35">
        <f t="shared" si="52"/>
        <v>449</v>
      </c>
      <c r="E164" s="19">
        <f t="shared" si="51"/>
        <v>449</v>
      </c>
      <c r="F164" s="35">
        <v>1</v>
      </c>
      <c r="G164" s="63" t="s">
        <v>201</v>
      </c>
      <c r="H164" s="31" t="s">
        <v>381</v>
      </c>
      <c r="I164" s="33" t="s">
        <v>221</v>
      </c>
    </row>
    <row r="165" spans="1:9" x14ac:dyDescent="0.25">
      <c r="A165" s="17"/>
      <c r="B165" s="17"/>
      <c r="C165" s="17"/>
      <c r="D165" s="35"/>
      <c r="E165" s="35"/>
      <c r="F165" s="35"/>
      <c r="G165" s="62" t="s">
        <v>386</v>
      </c>
      <c r="H165" s="22"/>
      <c r="I165" s="23"/>
    </row>
    <row r="166" spans="1:9" x14ac:dyDescent="0.25">
      <c r="A166" s="17"/>
      <c r="B166" s="17"/>
      <c r="C166" s="17"/>
      <c r="D166" s="49">
        <f>D164+F164</f>
        <v>450</v>
      </c>
      <c r="E166" s="19">
        <f t="shared" ref="E166" si="53">D166+F166-1</f>
        <v>529</v>
      </c>
      <c r="F166" s="49">
        <v>80</v>
      </c>
      <c r="G166" s="63" t="s">
        <v>65</v>
      </c>
      <c r="H166" s="43"/>
      <c r="I166" s="36"/>
    </row>
    <row r="167" spans="1:9" x14ac:dyDescent="0.25">
      <c r="A167" s="17"/>
      <c r="B167" s="17"/>
      <c r="C167" s="17"/>
      <c r="D167" s="35"/>
      <c r="E167" s="35"/>
      <c r="F167" s="35"/>
      <c r="G167" s="62" t="s">
        <v>193</v>
      </c>
      <c r="H167" s="43"/>
      <c r="I167" s="36"/>
    </row>
    <row r="168" spans="1:9" ht="26.25" customHeight="1" x14ac:dyDescent="0.25">
      <c r="A168" s="17" t="s">
        <v>389</v>
      </c>
      <c r="B168" s="17" t="s">
        <v>389</v>
      </c>
      <c r="C168" s="17"/>
      <c r="D168" s="35">
        <f>D166+F166</f>
        <v>530</v>
      </c>
      <c r="E168" s="19">
        <f t="shared" ref="E168:E170" si="54">D168+F168-1</f>
        <v>533</v>
      </c>
      <c r="F168" s="35">
        <v>4</v>
      </c>
      <c r="G168" s="63" t="s">
        <v>194</v>
      </c>
      <c r="H168" s="92" t="s">
        <v>382</v>
      </c>
      <c r="I168" s="92" t="s">
        <v>383</v>
      </c>
    </row>
    <row r="169" spans="1:9" ht="26.25" customHeight="1" x14ac:dyDescent="0.25">
      <c r="A169" s="17" t="s">
        <v>389</v>
      </c>
      <c r="B169" s="17" t="s">
        <v>389</v>
      </c>
      <c r="C169" s="17"/>
      <c r="D169" s="35">
        <f t="shared" ref="D169:D170" si="55">D168+F168</f>
        <v>534</v>
      </c>
      <c r="E169" s="19">
        <f t="shared" si="54"/>
        <v>537</v>
      </c>
      <c r="F169" s="35">
        <v>4</v>
      </c>
      <c r="G169" s="63" t="s">
        <v>195</v>
      </c>
      <c r="H169" s="96"/>
      <c r="I169" s="92"/>
    </row>
    <row r="170" spans="1:9" x14ac:dyDescent="0.25">
      <c r="A170" s="17"/>
      <c r="B170" s="17"/>
      <c r="C170" s="17"/>
      <c r="D170" s="18">
        <f t="shared" si="55"/>
        <v>538</v>
      </c>
      <c r="E170" s="19">
        <f t="shared" si="54"/>
        <v>547</v>
      </c>
      <c r="F170" s="18">
        <v>10</v>
      </c>
      <c r="G170" s="63" t="s">
        <v>65</v>
      </c>
      <c r="H170" s="29"/>
      <c r="I170" s="27"/>
    </row>
    <row r="171" spans="1:9" x14ac:dyDescent="0.25">
      <c r="A171" s="17"/>
      <c r="B171" s="17"/>
      <c r="C171" s="17"/>
      <c r="D171" s="64"/>
      <c r="E171" s="64"/>
      <c r="F171" s="64"/>
      <c r="G171" s="65" t="s">
        <v>202</v>
      </c>
      <c r="H171" s="66"/>
      <c r="I171" s="66"/>
    </row>
    <row r="172" spans="1:9" ht="79.2" x14ac:dyDescent="0.25">
      <c r="A172" s="17" t="s">
        <v>388</v>
      </c>
      <c r="B172" s="17" t="s">
        <v>388</v>
      </c>
      <c r="C172" s="17" t="s">
        <v>393</v>
      </c>
      <c r="D172" s="67">
        <f>D170+F170</f>
        <v>548</v>
      </c>
      <c r="E172" s="67">
        <f>D172+F172-1</f>
        <v>549</v>
      </c>
      <c r="F172" s="45">
        <v>2</v>
      </c>
      <c r="G172" s="68" t="s">
        <v>203</v>
      </c>
      <c r="H172" s="69" t="s">
        <v>455</v>
      </c>
      <c r="I172" s="69" t="s">
        <v>204</v>
      </c>
    </row>
    <row r="173" spans="1:9" ht="66" x14ac:dyDescent="0.25">
      <c r="A173" s="17" t="s">
        <v>388</v>
      </c>
      <c r="B173" s="17" t="s">
        <v>388</v>
      </c>
      <c r="C173" s="17"/>
      <c r="D173" s="67">
        <f>D172+F172</f>
        <v>550</v>
      </c>
      <c r="E173" s="67">
        <f>D173+F173-1</f>
        <v>552</v>
      </c>
      <c r="F173" s="45">
        <v>3</v>
      </c>
      <c r="G173" s="68" t="s">
        <v>205</v>
      </c>
      <c r="H173" s="69" t="s">
        <v>206</v>
      </c>
      <c r="I173" s="69" t="s">
        <v>207</v>
      </c>
    </row>
    <row r="174" spans="1:9" ht="66" x14ac:dyDescent="0.25">
      <c r="A174" s="17" t="s">
        <v>388</v>
      </c>
      <c r="B174" s="17" t="s">
        <v>388</v>
      </c>
      <c r="C174" s="17"/>
      <c r="D174" s="67">
        <f>D173+F173</f>
        <v>553</v>
      </c>
      <c r="E174" s="67">
        <f>D174+F174-1</f>
        <v>555</v>
      </c>
      <c r="F174" s="45">
        <v>3</v>
      </c>
      <c r="G174" s="70" t="s">
        <v>208</v>
      </c>
      <c r="H174" s="69" t="s">
        <v>209</v>
      </c>
      <c r="I174" s="69" t="s">
        <v>210</v>
      </c>
    </row>
    <row r="175" spans="1:9" ht="66" x14ac:dyDescent="0.25">
      <c r="A175" s="17" t="s">
        <v>388</v>
      </c>
      <c r="B175" s="17" t="s">
        <v>388</v>
      </c>
      <c r="C175" s="17" t="s">
        <v>392</v>
      </c>
      <c r="D175" s="67">
        <f>D174+F174</f>
        <v>556</v>
      </c>
      <c r="E175" s="67">
        <f t="shared" ref="E175:E184" si="56">D175+F175-1</f>
        <v>557</v>
      </c>
      <c r="F175" s="45">
        <v>2</v>
      </c>
      <c r="G175" s="68" t="s">
        <v>211</v>
      </c>
      <c r="H175" s="71" t="s">
        <v>455</v>
      </c>
      <c r="I175" s="69" t="s">
        <v>212</v>
      </c>
    </row>
    <row r="176" spans="1:9" ht="52.8" x14ac:dyDescent="0.25">
      <c r="A176" s="17" t="s">
        <v>388</v>
      </c>
      <c r="B176" s="17" t="s">
        <v>388</v>
      </c>
      <c r="C176" s="17"/>
      <c r="D176" s="67">
        <f>D175+F175</f>
        <v>558</v>
      </c>
      <c r="E176" s="67">
        <f t="shared" ref="E176:E182" si="57">D176+F176-1</f>
        <v>560</v>
      </c>
      <c r="F176" s="45">
        <v>3</v>
      </c>
      <c r="G176" s="68" t="s">
        <v>217</v>
      </c>
      <c r="H176" s="72" t="s">
        <v>192</v>
      </c>
      <c r="I176" s="36" t="s">
        <v>216</v>
      </c>
    </row>
    <row r="177" spans="1:9" ht="66" x14ac:dyDescent="0.25">
      <c r="A177" s="17" t="s">
        <v>388</v>
      </c>
      <c r="B177" s="17" t="s">
        <v>388</v>
      </c>
      <c r="C177" s="17" t="s">
        <v>392</v>
      </c>
      <c r="D177" s="67">
        <f t="shared" ref="D177:D182" si="58">D176+F176</f>
        <v>561</v>
      </c>
      <c r="E177" s="67">
        <f t="shared" si="57"/>
        <v>562</v>
      </c>
      <c r="F177" s="45">
        <v>2</v>
      </c>
      <c r="G177" s="68" t="s">
        <v>213</v>
      </c>
      <c r="H177" s="71" t="s">
        <v>455</v>
      </c>
      <c r="I177" s="69" t="s">
        <v>212</v>
      </c>
    </row>
    <row r="178" spans="1:9" ht="52.8" x14ac:dyDescent="0.25">
      <c r="A178" s="17" t="s">
        <v>388</v>
      </c>
      <c r="B178" s="17" t="s">
        <v>388</v>
      </c>
      <c r="C178" s="17"/>
      <c r="D178" s="67">
        <f t="shared" si="58"/>
        <v>563</v>
      </c>
      <c r="E178" s="67">
        <f t="shared" si="57"/>
        <v>565</v>
      </c>
      <c r="F178" s="45">
        <v>3</v>
      </c>
      <c r="G178" s="68" t="s">
        <v>218</v>
      </c>
      <c r="H178" s="72" t="s">
        <v>192</v>
      </c>
      <c r="I178" s="36" t="s">
        <v>216</v>
      </c>
    </row>
    <row r="179" spans="1:9" ht="66" x14ac:dyDescent="0.25">
      <c r="A179" s="17" t="s">
        <v>388</v>
      </c>
      <c r="B179" s="17" t="s">
        <v>388</v>
      </c>
      <c r="C179" s="17" t="s">
        <v>392</v>
      </c>
      <c r="D179" s="67">
        <f t="shared" si="58"/>
        <v>566</v>
      </c>
      <c r="E179" s="67">
        <f t="shared" si="57"/>
        <v>567</v>
      </c>
      <c r="F179" s="45">
        <v>2</v>
      </c>
      <c r="G179" s="68" t="s">
        <v>214</v>
      </c>
      <c r="H179" s="71" t="s">
        <v>455</v>
      </c>
      <c r="I179" s="69" t="s">
        <v>212</v>
      </c>
    </row>
    <row r="180" spans="1:9" ht="52.8" x14ac:dyDescent="0.25">
      <c r="A180" s="17" t="s">
        <v>388</v>
      </c>
      <c r="B180" s="17" t="s">
        <v>388</v>
      </c>
      <c r="C180" s="17"/>
      <c r="D180" s="67">
        <f t="shared" si="58"/>
        <v>568</v>
      </c>
      <c r="E180" s="67">
        <f t="shared" si="57"/>
        <v>570</v>
      </c>
      <c r="F180" s="45">
        <v>3</v>
      </c>
      <c r="G180" s="68" t="s">
        <v>219</v>
      </c>
      <c r="H180" s="72" t="s">
        <v>192</v>
      </c>
      <c r="I180" s="36" t="s">
        <v>216</v>
      </c>
    </row>
    <row r="181" spans="1:9" ht="66" x14ac:dyDescent="0.25">
      <c r="A181" s="17" t="s">
        <v>388</v>
      </c>
      <c r="B181" s="17" t="s">
        <v>388</v>
      </c>
      <c r="C181" s="17" t="s">
        <v>392</v>
      </c>
      <c r="D181" s="67">
        <f t="shared" si="58"/>
        <v>571</v>
      </c>
      <c r="E181" s="67">
        <f t="shared" si="57"/>
        <v>572</v>
      </c>
      <c r="F181" s="45">
        <v>2</v>
      </c>
      <c r="G181" s="68" t="s">
        <v>215</v>
      </c>
      <c r="H181" s="71" t="s">
        <v>455</v>
      </c>
      <c r="I181" s="69" t="s">
        <v>212</v>
      </c>
    </row>
    <row r="182" spans="1:9" ht="52.8" x14ac:dyDescent="0.25">
      <c r="A182" s="17" t="s">
        <v>388</v>
      </c>
      <c r="B182" s="17" t="s">
        <v>388</v>
      </c>
      <c r="C182" s="17"/>
      <c r="D182" s="67">
        <f t="shared" si="58"/>
        <v>573</v>
      </c>
      <c r="E182" s="67">
        <f t="shared" si="57"/>
        <v>575</v>
      </c>
      <c r="F182" s="45">
        <v>3</v>
      </c>
      <c r="G182" s="68" t="s">
        <v>429</v>
      </c>
      <c r="H182" s="72" t="s">
        <v>192</v>
      </c>
      <c r="I182" s="36" t="s">
        <v>216</v>
      </c>
    </row>
    <row r="183" spans="1:9" ht="24.75" customHeight="1" x14ac:dyDescent="0.25">
      <c r="A183" s="17" t="s">
        <v>389</v>
      </c>
      <c r="B183" s="17" t="s">
        <v>389</v>
      </c>
      <c r="C183" s="17"/>
      <c r="D183" s="67">
        <f>D182+F182</f>
        <v>576</v>
      </c>
      <c r="E183" s="67">
        <f t="shared" si="56"/>
        <v>578</v>
      </c>
      <c r="F183" s="45">
        <v>3</v>
      </c>
      <c r="G183" s="68" t="s">
        <v>194</v>
      </c>
      <c r="H183" s="93" t="s">
        <v>206</v>
      </c>
      <c r="I183" s="93" t="s">
        <v>384</v>
      </c>
    </row>
    <row r="184" spans="1:9" ht="24.75" customHeight="1" x14ac:dyDescent="0.25">
      <c r="A184" s="17" t="s">
        <v>389</v>
      </c>
      <c r="B184" s="17" t="s">
        <v>389</v>
      </c>
      <c r="C184" s="17"/>
      <c r="D184" s="67">
        <f t="shared" ref="D184:D185" si="59">D183+F183</f>
        <v>579</v>
      </c>
      <c r="E184" s="67">
        <f t="shared" si="56"/>
        <v>581</v>
      </c>
      <c r="F184" s="45">
        <v>3</v>
      </c>
      <c r="G184" s="68" t="s">
        <v>195</v>
      </c>
      <c r="H184" s="93"/>
      <c r="I184" s="93"/>
    </row>
    <row r="185" spans="1:9" x14ac:dyDescent="0.25">
      <c r="A185" s="17"/>
      <c r="B185" s="17"/>
      <c r="C185" s="17"/>
      <c r="D185" s="67">
        <f t="shared" si="59"/>
        <v>582</v>
      </c>
      <c r="E185" s="67">
        <f>D185+F185-1</f>
        <v>631</v>
      </c>
      <c r="F185" s="45">
        <v>50</v>
      </c>
      <c r="G185" s="68" t="s">
        <v>65</v>
      </c>
      <c r="H185" s="66"/>
      <c r="I185" s="66"/>
    </row>
    <row r="186" spans="1:9" x14ac:dyDescent="0.25">
      <c r="A186" s="17"/>
      <c r="B186" s="17"/>
      <c r="C186" s="17"/>
      <c r="D186" s="18"/>
      <c r="E186" s="18"/>
      <c r="F186" s="18"/>
      <c r="G186" s="44" t="s">
        <v>222</v>
      </c>
      <c r="H186" s="29"/>
      <c r="I186" s="27"/>
    </row>
    <row r="187" spans="1:9" x14ac:dyDescent="0.25">
      <c r="A187" s="17"/>
      <c r="B187" s="17"/>
      <c r="C187" s="17"/>
      <c r="D187" s="18"/>
      <c r="E187" s="18"/>
      <c r="F187" s="18"/>
      <c r="G187" s="44" t="s">
        <v>223</v>
      </c>
      <c r="H187" s="29"/>
      <c r="I187" s="27"/>
    </row>
    <row r="188" spans="1:9" ht="19.5" customHeight="1" x14ac:dyDescent="0.25">
      <c r="A188" s="17" t="s">
        <v>388</v>
      </c>
      <c r="B188" s="17" t="s">
        <v>388</v>
      </c>
      <c r="C188" s="17" t="s">
        <v>393</v>
      </c>
      <c r="D188" s="18">
        <f>D185+F185</f>
        <v>632</v>
      </c>
      <c r="E188" s="19">
        <f t="shared" ref="E188:E190" si="60">D188+F188-1</f>
        <v>632</v>
      </c>
      <c r="F188" s="73">
        <v>1</v>
      </c>
      <c r="G188" s="60" t="s">
        <v>224</v>
      </c>
      <c r="H188" s="92" t="s">
        <v>225</v>
      </c>
      <c r="I188" s="93" t="s">
        <v>239</v>
      </c>
    </row>
    <row r="189" spans="1:9" ht="20.25" customHeight="1" x14ac:dyDescent="0.25">
      <c r="A189" s="17" t="s">
        <v>388</v>
      </c>
      <c r="B189" s="17" t="s">
        <v>388</v>
      </c>
      <c r="C189" s="17" t="s">
        <v>393</v>
      </c>
      <c r="D189" s="18">
        <f>D188+F188</f>
        <v>633</v>
      </c>
      <c r="E189" s="19">
        <f t="shared" si="60"/>
        <v>633</v>
      </c>
      <c r="F189" s="73">
        <v>1</v>
      </c>
      <c r="G189" s="60" t="s">
        <v>226</v>
      </c>
      <c r="H189" s="96"/>
      <c r="I189" s="93"/>
    </row>
    <row r="190" spans="1:9" ht="28.5" customHeight="1" x14ac:dyDescent="0.25">
      <c r="A190" s="17" t="s">
        <v>388</v>
      </c>
      <c r="B190" s="17" t="s">
        <v>388</v>
      </c>
      <c r="C190" s="17" t="s">
        <v>393</v>
      </c>
      <c r="D190" s="18">
        <f t="shared" ref="D190" si="61">D189+F189</f>
        <v>634</v>
      </c>
      <c r="E190" s="19">
        <f t="shared" si="60"/>
        <v>634</v>
      </c>
      <c r="F190" s="73">
        <v>1</v>
      </c>
      <c r="G190" s="60" t="s">
        <v>227</v>
      </c>
      <c r="H190" s="96"/>
      <c r="I190" s="93"/>
    </row>
    <row r="191" spans="1:9" x14ac:dyDescent="0.25">
      <c r="A191" s="17"/>
      <c r="B191" s="17"/>
      <c r="C191" s="17"/>
      <c r="D191" s="18"/>
      <c r="E191" s="18"/>
      <c r="F191" s="18"/>
      <c r="G191" s="44" t="s">
        <v>228</v>
      </c>
      <c r="H191" s="43"/>
      <c r="I191" s="23"/>
    </row>
    <row r="192" spans="1:9" ht="52.8" x14ac:dyDescent="0.25">
      <c r="A192" s="17" t="s">
        <v>389</v>
      </c>
      <c r="B192" s="17" t="s">
        <v>389</v>
      </c>
      <c r="C192" s="17" t="s">
        <v>392</v>
      </c>
      <c r="D192" s="18">
        <f>D190+F190</f>
        <v>635</v>
      </c>
      <c r="E192" s="19">
        <f t="shared" ref="E192" si="62">D192+F192-1</f>
        <v>635</v>
      </c>
      <c r="F192" s="73">
        <v>1</v>
      </c>
      <c r="G192" s="60" t="s">
        <v>229</v>
      </c>
      <c r="H192" s="71" t="s">
        <v>430</v>
      </c>
      <c r="I192" s="69" t="s">
        <v>431</v>
      </c>
    </row>
    <row r="193" spans="1:9" x14ac:dyDescent="0.25">
      <c r="A193" s="17"/>
      <c r="B193" s="17"/>
      <c r="C193" s="17"/>
      <c r="D193" s="18"/>
      <c r="E193" s="18"/>
      <c r="F193" s="18"/>
      <c r="G193" s="44" t="s">
        <v>230</v>
      </c>
      <c r="H193" s="43"/>
      <c r="I193" s="23"/>
    </row>
    <row r="194" spans="1:9" ht="23.25" customHeight="1" x14ac:dyDescent="0.25">
      <c r="A194" s="17" t="s">
        <v>388</v>
      </c>
      <c r="B194" s="17" t="s">
        <v>388</v>
      </c>
      <c r="C194" s="17" t="s">
        <v>392</v>
      </c>
      <c r="D194" s="18">
        <f>D192+F192</f>
        <v>636</v>
      </c>
      <c r="E194" s="19">
        <f t="shared" ref="E194:E197" si="63">D194+F194-1</f>
        <v>636</v>
      </c>
      <c r="F194" s="73">
        <v>1</v>
      </c>
      <c r="G194" s="60" t="s">
        <v>231</v>
      </c>
      <c r="H194" s="92" t="s">
        <v>232</v>
      </c>
      <c r="I194" s="91" t="s">
        <v>238</v>
      </c>
    </row>
    <row r="195" spans="1:9" ht="24.75" customHeight="1" x14ac:dyDescent="0.25">
      <c r="A195" s="17" t="s">
        <v>388</v>
      </c>
      <c r="B195" s="17" t="s">
        <v>388</v>
      </c>
      <c r="C195" s="17" t="s">
        <v>392</v>
      </c>
      <c r="D195" s="18">
        <f t="shared" ref="D195:D196" si="64">D194+F194</f>
        <v>637</v>
      </c>
      <c r="E195" s="19">
        <f t="shared" si="63"/>
        <v>637</v>
      </c>
      <c r="F195" s="73">
        <v>1</v>
      </c>
      <c r="G195" s="60" t="s">
        <v>233</v>
      </c>
      <c r="H195" s="96"/>
      <c r="I195" s="91"/>
    </row>
    <row r="196" spans="1:9" ht="24.75" customHeight="1" x14ac:dyDescent="0.25">
      <c r="A196" s="17" t="s">
        <v>388</v>
      </c>
      <c r="B196" s="17" t="s">
        <v>388</v>
      </c>
      <c r="C196" s="17" t="s">
        <v>392</v>
      </c>
      <c r="D196" s="18">
        <f t="shared" si="64"/>
        <v>638</v>
      </c>
      <c r="E196" s="19">
        <f t="shared" si="63"/>
        <v>638</v>
      </c>
      <c r="F196" s="73">
        <v>1</v>
      </c>
      <c r="G196" s="60" t="s">
        <v>234</v>
      </c>
      <c r="H196" s="96"/>
      <c r="I196" s="91"/>
    </row>
    <row r="197" spans="1:9" x14ac:dyDescent="0.25">
      <c r="A197" s="17"/>
      <c r="B197" s="17"/>
      <c r="C197" s="17"/>
      <c r="D197" s="18">
        <f>D196+F196</f>
        <v>639</v>
      </c>
      <c r="E197" s="19">
        <f t="shared" si="63"/>
        <v>658</v>
      </c>
      <c r="F197" s="18">
        <v>20</v>
      </c>
      <c r="G197" s="60" t="s">
        <v>65</v>
      </c>
      <c r="H197" s="43"/>
      <c r="I197" s="23"/>
    </row>
    <row r="198" spans="1:9" x14ac:dyDescent="0.25">
      <c r="A198" s="17"/>
      <c r="B198" s="17"/>
      <c r="C198" s="17"/>
      <c r="D198" s="18"/>
      <c r="E198" s="18"/>
      <c r="F198" s="18"/>
      <c r="G198" s="44" t="s">
        <v>235</v>
      </c>
      <c r="H198" s="43"/>
      <c r="I198" s="23"/>
    </row>
    <row r="199" spans="1:9" x14ac:dyDescent="0.25">
      <c r="A199" s="17"/>
      <c r="B199" s="17"/>
      <c r="C199" s="17"/>
      <c r="D199" s="18"/>
      <c r="E199" s="18"/>
      <c r="F199" s="18"/>
      <c r="G199" s="44" t="s">
        <v>236</v>
      </c>
      <c r="H199" s="43"/>
      <c r="I199" s="23"/>
    </row>
    <row r="200" spans="1:9" ht="45" customHeight="1" x14ac:dyDescent="0.25">
      <c r="A200" s="17" t="s">
        <v>388</v>
      </c>
      <c r="B200" s="17" t="s">
        <v>388</v>
      </c>
      <c r="C200" s="17"/>
      <c r="D200" s="18">
        <f>D197+F197</f>
        <v>659</v>
      </c>
      <c r="E200" s="19">
        <f t="shared" ref="E200:E202" si="65">D200+F200-1</f>
        <v>659</v>
      </c>
      <c r="F200" s="18">
        <v>1</v>
      </c>
      <c r="G200" s="60" t="s">
        <v>241</v>
      </c>
      <c r="H200" s="92" t="s">
        <v>237</v>
      </c>
      <c r="I200" s="93" t="s">
        <v>240</v>
      </c>
    </row>
    <row r="201" spans="1:9" ht="48.75" customHeight="1" x14ac:dyDescent="0.25">
      <c r="A201" s="17" t="s">
        <v>388</v>
      </c>
      <c r="B201" s="17" t="s">
        <v>388</v>
      </c>
      <c r="C201" s="17"/>
      <c r="D201" s="18">
        <f t="shared" ref="D201:D202" si="66">D200+F200</f>
        <v>660</v>
      </c>
      <c r="E201" s="19">
        <f t="shared" si="65"/>
        <v>660</v>
      </c>
      <c r="F201" s="18">
        <v>1</v>
      </c>
      <c r="G201" s="60" t="s">
        <v>242</v>
      </c>
      <c r="H201" s="96"/>
      <c r="I201" s="93"/>
    </row>
    <row r="202" spans="1:9" ht="39.75" customHeight="1" x14ac:dyDescent="0.25">
      <c r="A202" s="17" t="s">
        <v>388</v>
      </c>
      <c r="B202" s="17" t="s">
        <v>388</v>
      </c>
      <c r="C202" s="17"/>
      <c r="D202" s="18">
        <f t="shared" si="66"/>
        <v>661</v>
      </c>
      <c r="E202" s="19">
        <f t="shared" si="65"/>
        <v>661</v>
      </c>
      <c r="F202" s="18">
        <v>1</v>
      </c>
      <c r="G202" s="60" t="s">
        <v>243</v>
      </c>
      <c r="H202" s="96"/>
      <c r="I202" s="93"/>
    </row>
    <row r="203" spans="1:9" x14ac:dyDescent="0.25">
      <c r="A203" s="17"/>
      <c r="B203" s="17"/>
      <c r="C203" s="17"/>
      <c r="D203" s="18"/>
      <c r="E203" s="18"/>
      <c r="F203" s="18"/>
      <c r="G203" s="44" t="s">
        <v>244</v>
      </c>
      <c r="H203" s="29"/>
      <c r="I203" s="74"/>
    </row>
    <row r="204" spans="1:9" ht="25.5" customHeight="1" x14ac:dyDescent="0.25">
      <c r="A204" s="17" t="s">
        <v>388</v>
      </c>
      <c r="B204" s="17" t="s">
        <v>388</v>
      </c>
      <c r="C204" s="17" t="s">
        <v>396</v>
      </c>
      <c r="D204" s="18">
        <f>D202+F202</f>
        <v>662</v>
      </c>
      <c r="E204" s="19">
        <f t="shared" ref="E204:E209" si="67">D204+F204-1</f>
        <v>663</v>
      </c>
      <c r="F204" s="18">
        <v>2</v>
      </c>
      <c r="G204" s="63" t="s">
        <v>245</v>
      </c>
      <c r="H204" s="90" t="s">
        <v>246</v>
      </c>
      <c r="I204" s="98" t="s">
        <v>252</v>
      </c>
    </row>
    <row r="205" spans="1:9" ht="26.25" customHeight="1" x14ac:dyDescent="0.25">
      <c r="A205" s="17" t="s">
        <v>388</v>
      </c>
      <c r="B205" s="17" t="s">
        <v>388</v>
      </c>
      <c r="C205" s="17" t="s">
        <v>396</v>
      </c>
      <c r="D205" s="18">
        <f t="shared" ref="D205:D209" si="68">D204+F204</f>
        <v>664</v>
      </c>
      <c r="E205" s="19">
        <f t="shared" si="67"/>
        <v>665</v>
      </c>
      <c r="F205" s="18">
        <v>2</v>
      </c>
      <c r="G205" s="63" t="s">
        <v>247</v>
      </c>
      <c r="H205" s="90"/>
      <c r="I205" s="98"/>
    </row>
    <row r="206" spans="1:9" ht="25.5" customHeight="1" x14ac:dyDescent="0.25">
      <c r="A206" s="17" t="s">
        <v>388</v>
      </c>
      <c r="B206" s="17" t="s">
        <v>388</v>
      </c>
      <c r="C206" s="17" t="s">
        <v>396</v>
      </c>
      <c r="D206" s="18">
        <f t="shared" si="68"/>
        <v>666</v>
      </c>
      <c r="E206" s="19">
        <f t="shared" si="67"/>
        <v>667</v>
      </c>
      <c r="F206" s="18">
        <v>2</v>
      </c>
      <c r="G206" s="63" t="s">
        <v>248</v>
      </c>
      <c r="H206" s="90"/>
      <c r="I206" s="98"/>
    </row>
    <row r="207" spans="1:9" ht="60.75" customHeight="1" x14ac:dyDescent="0.25">
      <c r="A207" s="17" t="s">
        <v>388</v>
      </c>
      <c r="B207" s="17" t="s">
        <v>388</v>
      </c>
      <c r="C207" s="17" t="s">
        <v>396</v>
      </c>
      <c r="D207" s="18">
        <f>D206+F206</f>
        <v>668</v>
      </c>
      <c r="E207" s="19">
        <f t="shared" si="67"/>
        <v>670</v>
      </c>
      <c r="F207" s="49">
        <v>3</v>
      </c>
      <c r="G207" s="63" t="s">
        <v>249</v>
      </c>
      <c r="H207" s="108" t="s">
        <v>444</v>
      </c>
      <c r="I207" s="90" t="s">
        <v>253</v>
      </c>
    </row>
    <row r="208" spans="1:9" ht="63" customHeight="1" x14ac:dyDescent="0.25">
      <c r="A208" s="17" t="s">
        <v>388</v>
      </c>
      <c r="B208" s="17" t="s">
        <v>388</v>
      </c>
      <c r="C208" s="17" t="s">
        <v>396</v>
      </c>
      <c r="D208" s="49">
        <f t="shared" si="68"/>
        <v>671</v>
      </c>
      <c r="E208" s="50">
        <f t="shared" si="67"/>
        <v>673</v>
      </c>
      <c r="F208" s="49">
        <v>3</v>
      </c>
      <c r="G208" s="63" t="s">
        <v>250</v>
      </c>
      <c r="H208" s="108"/>
      <c r="I208" s="90"/>
    </row>
    <row r="209" spans="1:9" ht="52.8" x14ac:dyDescent="0.25">
      <c r="A209" s="17" t="s">
        <v>388</v>
      </c>
      <c r="B209" s="17" t="s">
        <v>388</v>
      </c>
      <c r="C209" s="17" t="s">
        <v>396</v>
      </c>
      <c r="D209" s="49">
        <f t="shared" si="68"/>
        <v>674</v>
      </c>
      <c r="E209" s="50">
        <f t="shared" si="67"/>
        <v>676</v>
      </c>
      <c r="F209" s="18">
        <v>3</v>
      </c>
      <c r="G209" s="63" t="s">
        <v>251</v>
      </c>
      <c r="H209" s="69" t="s">
        <v>209</v>
      </c>
      <c r="I209" s="90"/>
    </row>
    <row r="210" spans="1:9" x14ac:dyDescent="0.25">
      <c r="A210" s="17"/>
      <c r="B210" s="17"/>
      <c r="C210" s="17"/>
      <c r="D210" s="49">
        <f t="shared" ref="D210" si="69">D209+F209</f>
        <v>677</v>
      </c>
      <c r="E210" s="50">
        <f t="shared" ref="E210" si="70">D210+F210-1</f>
        <v>682</v>
      </c>
      <c r="F210" s="75">
        <v>6</v>
      </c>
      <c r="G210" s="38" t="s">
        <v>65</v>
      </c>
      <c r="H210" s="38"/>
      <c r="I210" s="38"/>
    </row>
    <row r="211" spans="1:9" x14ac:dyDescent="0.25">
      <c r="A211" s="17"/>
      <c r="B211" s="17"/>
      <c r="C211" s="17"/>
      <c r="D211" s="18"/>
      <c r="E211" s="18"/>
      <c r="F211" s="18"/>
      <c r="G211" s="76" t="s">
        <v>254</v>
      </c>
      <c r="H211" s="29"/>
      <c r="I211" s="74"/>
    </row>
    <row r="212" spans="1:9" ht="66" x14ac:dyDescent="0.25">
      <c r="A212" s="17" t="s">
        <v>388</v>
      </c>
      <c r="B212" s="17" t="s">
        <v>388</v>
      </c>
      <c r="C212" s="17"/>
      <c r="D212" s="18">
        <f>D210+F210</f>
        <v>683</v>
      </c>
      <c r="E212" s="19">
        <f t="shared" ref="E212:E215" si="71">D212+F212-1</f>
        <v>688</v>
      </c>
      <c r="F212" s="18">
        <v>6</v>
      </c>
      <c r="G212" s="63" t="s">
        <v>255</v>
      </c>
      <c r="H212" s="24" t="s">
        <v>256</v>
      </c>
      <c r="I212" s="24" t="s">
        <v>257</v>
      </c>
    </row>
    <row r="213" spans="1:9" ht="18" customHeight="1" x14ac:dyDescent="0.25">
      <c r="A213" s="17" t="s">
        <v>388</v>
      </c>
      <c r="B213" s="17" t="s">
        <v>388</v>
      </c>
      <c r="C213" s="17"/>
      <c r="D213" s="18">
        <f t="shared" ref="D213:D215" si="72">D212+F212</f>
        <v>689</v>
      </c>
      <c r="E213" s="19">
        <f t="shared" si="71"/>
        <v>694</v>
      </c>
      <c r="F213" s="18">
        <v>6</v>
      </c>
      <c r="G213" s="63" t="s">
        <v>258</v>
      </c>
      <c r="H213" s="90" t="s">
        <v>259</v>
      </c>
      <c r="I213" s="90" t="s">
        <v>275</v>
      </c>
    </row>
    <row r="214" spans="1:9" ht="16.5" customHeight="1" x14ac:dyDescent="0.25">
      <c r="A214" s="17" t="s">
        <v>388</v>
      </c>
      <c r="B214" s="17" t="s">
        <v>388</v>
      </c>
      <c r="C214" s="17"/>
      <c r="D214" s="18">
        <f t="shared" si="72"/>
        <v>695</v>
      </c>
      <c r="E214" s="19">
        <f t="shared" si="71"/>
        <v>700</v>
      </c>
      <c r="F214" s="18">
        <v>6</v>
      </c>
      <c r="G214" s="63" t="s">
        <v>260</v>
      </c>
      <c r="H214" s="90"/>
      <c r="I214" s="90"/>
    </row>
    <row r="215" spans="1:9" ht="20.25" customHeight="1" x14ac:dyDescent="0.25">
      <c r="A215" s="17" t="s">
        <v>388</v>
      </c>
      <c r="B215" s="17" t="s">
        <v>388</v>
      </c>
      <c r="C215" s="17"/>
      <c r="D215" s="18">
        <f t="shared" si="72"/>
        <v>701</v>
      </c>
      <c r="E215" s="19">
        <f t="shared" si="71"/>
        <v>706</v>
      </c>
      <c r="F215" s="18">
        <v>6</v>
      </c>
      <c r="G215" s="63" t="s">
        <v>261</v>
      </c>
      <c r="H215" s="90"/>
      <c r="I215" s="90"/>
    </row>
    <row r="216" spans="1:9" x14ac:dyDescent="0.25">
      <c r="A216" s="17"/>
      <c r="B216" s="17"/>
      <c r="C216" s="17"/>
      <c r="D216" s="18"/>
      <c r="E216" s="18"/>
      <c r="F216" s="18"/>
      <c r="G216" s="76" t="s">
        <v>262</v>
      </c>
      <c r="H216" s="29"/>
      <c r="I216" s="74"/>
    </row>
    <row r="217" spans="1:9" ht="38.25" customHeight="1" x14ac:dyDescent="0.25">
      <c r="A217" s="17" t="s">
        <v>389</v>
      </c>
      <c r="B217" s="17" t="s">
        <v>389</v>
      </c>
      <c r="C217" s="17"/>
      <c r="D217" s="18">
        <f>D215+F215</f>
        <v>707</v>
      </c>
      <c r="E217" s="19">
        <f t="shared" ref="E217:E219" si="73">D217+F217-1</f>
        <v>707</v>
      </c>
      <c r="F217" s="18">
        <v>1</v>
      </c>
      <c r="G217" s="63" t="s">
        <v>263</v>
      </c>
      <c r="H217" s="90" t="s">
        <v>276</v>
      </c>
      <c r="I217" s="90" t="s">
        <v>277</v>
      </c>
    </row>
    <row r="218" spans="1:9" ht="39.75" customHeight="1" x14ac:dyDescent="0.25">
      <c r="A218" s="17" t="s">
        <v>389</v>
      </c>
      <c r="B218" s="17" t="s">
        <v>389</v>
      </c>
      <c r="C218" s="17"/>
      <c r="D218" s="18">
        <f t="shared" ref="D218:D219" si="74">D217+F217</f>
        <v>708</v>
      </c>
      <c r="E218" s="19">
        <f t="shared" si="73"/>
        <v>708</v>
      </c>
      <c r="F218" s="18">
        <v>1</v>
      </c>
      <c r="G218" s="63" t="s">
        <v>264</v>
      </c>
      <c r="H218" s="90"/>
      <c r="I218" s="90"/>
    </row>
    <row r="219" spans="1:9" ht="40.799999999999997" customHeight="1" x14ac:dyDescent="0.25">
      <c r="A219" s="17" t="s">
        <v>389</v>
      </c>
      <c r="B219" s="17" t="s">
        <v>389</v>
      </c>
      <c r="C219" s="17"/>
      <c r="D219" s="18">
        <f t="shared" si="74"/>
        <v>709</v>
      </c>
      <c r="E219" s="19">
        <f t="shared" si="73"/>
        <v>709</v>
      </c>
      <c r="F219" s="18">
        <v>1</v>
      </c>
      <c r="G219" s="63" t="s">
        <v>265</v>
      </c>
      <c r="H219" s="90"/>
      <c r="I219" s="90"/>
    </row>
    <row r="220" spans="1:9" x14ac:dyDescent="0.25">
      <c r="A220" s="17"/>
      <c r="B220" s="17"/>
      <c r="C220" s="17"/>
      <c r="D220" s="18"/>
      <c r="E220" s="18"/>
      <c r="F220" s="18"/>
      <c r="G220" s="44" t="s">
        <v>266</v>
      </c>
      <c r="H220" s="29"/>
      <c r="I220" s="27"/>
    </row>
    <row r="221" spans="1:9" ht="198" x14ac:dyDescent="0.25">
      <c r="A221" s="17" t="s">
        <v>388</v>
      </c>
      <c r="B221" s="17" t="s">
        <v>388</v>
      </c>
      <c r="C221" s="17"/>
      <c r="D221" s="18">
        <f>D219+F219</f>
        <v>710</v>
      </c>
      <c r="E221" s="19">
        <f t="shared" ref="E221:E224" si="75">D221+F221-1</f>
        <v>711</v>
      </c>
      <c r="F221" s="18">
        <v>2</v>
      </c>
      <c r="G221" s="37" t="s">
        <v>267</v>
      </c>
      <c r="H221" s="24" t="s">
        <v>268</v>
      </c>
      <c r="I221" s="24" t="s">
        <v>269</v>
      </c>
    </row>
    <row r="222" spans="1:9" ht="39.6" x14ac:dyDescent="0.25">
      <c r="A222" s="17" t="s">
        <v>388</v>
      </c>
      <c r="B222" s="17" t="s">
        <v>388</v>
      </c>
      <c r="C222" s="17"/>
      <c r="D222" s="18">
        <f t="shared" ref="D222:D224" si="76">D221+F221</f>
        <v>712</v>
      </c>
      <c r="E222" s="19">
        <f t="shared" si="75"/>
        <v>712</v>
      </c>
      <c r="F222" s="18">
        <v>1</v>
      </c>
      <c r="G222" s="60" t="s">
        <v>270</v>
      </c>
      <c r="H222" s="24" t="s">
        <v>271</v>
      </c>
      <c r="I222" s="24" t="s">
        <v>272</v>
      </c>
    </row>
    <row r="223" spans="1:9" ht="92.4" x14ac:dyDescent="0.25">
      <c r="A223" s="17" t="s">
        <v>388</v>
      </c>
      <c r="B223" s="17" t="s">
        <v>388</v>
      </c>
      <c r="C223" s="17"/>
      <c r="D223" s="18">
        <f t="shared" si="76"/>
        <v>713</v>
      </c>
      <c r="E223" s="19">
        <f t="shared" si="75"/>
        <v>713</v>
      </c>
      <c r="F223" s="18">
        <v>1</v>
      </c>
      <c r="G223" s="60" t="s">
        <v>273</v>
      </c>
      <c r="H223" s="77" t="s">
        <v>274</v>
      </c>
      <c r="I223" s="24" t="s">
        <v>278</v>
      </c>
    </row>
    <row r="224" spans="1:9" x14ac:dyDescent="0.25">
      <c r="A224" s="17"/>
      <c r="B224" s="17"/>
      <c r="C224" s="17"/>
      <c r="D224" s="18">
        <f t="shared" si="76"/>
        <v>714</v>
      </c>
      <c r="E224" s="19">
        <f t="shared" si="75"/>
        <v>728</v>
      </c>
      <c r="F224" s="18">
        <v>15</v>
      </c>
      <c r="G224" s="60" t="s">
        <v>65</v>
      </c>
      <c r="H224" s="29"/>
      <c r="I224" s="27"/>
    </row>
    <row r="225" spans="1:9" x14ac:dyDescent="0.25">
      <c r="A225" s="17"/>
      <c r="B225" s="17"/>
      <c r="C225" s="17"/>
      <c r="D225" s="18"/>
      <c r="E225" s="18"/>
      <c r="F225" s="18"/>
      <c r="G225" s="44" t="s">
        <v>279</v>
      </c>
      <c r="H225" s="29"/>
      <c r="I225" s="27"/>
    </row>
    <row r="226" spans="1:9" x14ac:dyDescent="0.25">
      <c r="A226" s="17"/>
      <c r="B226" s="17"/>
      <c r="C226" s="17"/>
      <c r="D226" s="18"/>
      <c r="E226" s="18"/>
      <c r="F226" s="18"/>
      <c r="G226" s="41" t="s">
        <v>300</v>
      </c>
      <c r="H226" s="29"/>
      <c r="I226" s="27"/>
    </row>
    <row r="227" spans="1:9" ht="66" x14ac:dyDescent="0.25">
      <c r="A227" s="17" t="s">
        <v>389</v>
      </c>
      <c r="B227" s="17" t="s">
        <v>389</v>
      </c>
      <c r="C227" s="17"/>
      <c r="D227" s="18">
        <f>D224+F224</f>
        <v>729</v>
      </c>
      <c r="E227" s="19">
        <f t="shared" ref="E227:E230" si="77">D227+F227-1</f>
        <v>740</v>
      </c>
      <c r="F227" s="18">
        <v>12</v>
      </c>
      <c r="G227" s="63" t="s">
        <v>280</v>
      </c>
      <c r="H227" s="23" t="s">
        <v>295</v>
      </c>
      <c r="I227" s="23" t="s">
        <v>296</v>
      </c>
    </row>
    <row r="228" spans="1:9" ht="39.6" x14ac:dyDescent="0.25">
      <c r="A228" s="17" t="s">
        <v>389</v>
      </c>
      <c r="B228" s="17" t="s">
        <v>389</v>
      </c>
      <c r="C228" s="17"/>
      <c r="D228" s="35">
        <f>D227+F227</f>
        <v>741</v>
      </c>
      <c r="E228" s="19">
        <f t="shared" si="77"/>
        <v>741</v>
      </c>
      <c r="F228" s="35">
        <v>1</v>
      </c>
      <c r="G228" s="63" t="s">
        <v>281</v>
      </c>
      <c r="H228" s="24" t="s">
        <v>282</v>
      </c>
      <c r="I228" s="24" t="s">
        <v>302</v>
      </c>
    </row>
    <row r="229" spans="1:9" ht="79.2" x14ac:dyDescent="0.25">
      <c r="A229" s="17" t="s">
        <v>389</v>
      </c>
      <c r="B229" s="17" t="s">
        <v>389</v>
      </c>
      <c r="C229" s="17"/>
      <c r="D229" s="35">
        <f>D228+F228</f>
        <v>742</v>
      </c>
      <c r="E229" s="19">
        <f t="shared" si="77"/>
        <v>747</v>
      </c>
      <c r="F229" s="35">
        <v>6</v>
      </c>
      <c r="G229" s="63" t="s">
        <v>283</v>
      </c>
      <c r="H229" s="78" t="s">
        <v>391</v>
      </c>
      <c r="I229" s="24" t="s">
        <v>443</v>
      </c>
    </row>
    <row r="230" spans="1:9" x14ac:dyDescent="0.25">
      <c r="A230" s="17"/>
      <c r="B230" s="17"/>
      <c r="C230" s="17"/>
      <c r="D230" s="35">
        <f>D229+F229</f>
        <v>748</v>
      </c>
      <c r="E230" s="19">
        <f t="shared" si="77"/>
        <v>752</v>
      </c>
      <c r="F230" s="35">
        <v>5</v>
      </c>
      <c r="G230" s="63" t="s">
        <v>65</v>
      </c>
      <c r="H230" s="43"/>
      <c r="I230" s="36"/>
    </row>
    <row r="231" spans="1:9" x14ac:dyDescent="0.25">
      <c r="A231" s="17"/>
      <c r="B231" s="17"/>
      <c r="C231" s="17"/>
      <c r="D231" s="18"/>
      <c r="E231" s="18"/>
      <c r="F231" s="18"/>
      <c r="G231" s="41" t="s">
        <v>299</v>
      </c>
      <c r="H231" s="29"/>
      <c r="I231" s="27"/>
    </row>
    <row r="232" spans="1:9" ht="66" x14ac:dyDescent="0.25">
      <c r="A232" s="17" t="s">
        <v>389</v>
      </c>
      <c r="B232" s="17" t="s">
        <v>389</v>
      </c>
      <c r="C232" s="17"/>
      <c r="D232" s="18">
        <f>D230+F230</f>
        <v>753</v>
      </c>
      <c r="E232" s="19">
        <f t="shared" ref="E232:E235" si="78">D232+F232-1</f>
        <v>764</v>
      </c>
      <c r="F232" s="18">
        <v>12</v>
      </c>
      <c r="G232" s="63" t="s">
        <v>284</v>
      </c>
      <c r="H232" s="23" t="s">
        <v>295</v>
      </c>
      <c r="I232" s="23" t="s">
        <v>296</v>
      </c>
    </row>
    <row r="233" spans="1:9" ht="39.6" x14ac:dyDescent="0.25">
      <c r="A233" s="17" t="s">
        <v>389</v>
      </c>
      <c r="B233" s="17" t="s">
        <v>389</v>
      </c>
      <c r="C233" s="17"/>
      <c r="D233" s="35">
        <f>D232+F232</f>
        <v>765</v>
      </c>
      <c r="E233" s="19">
        <f t="shared" si="78"/>
        <v>765</v>
      </c>
      <c r="F233" s="35">
        <v>1</v>
      </c>
      <c r="G233" s="63" t="s">
        <v>285</v>
      </c>
      <c r="H233" s="24" t="s">
        <v>282</v>
      </c>
      <c r="I233" s="24" t="s">
        <v>302</v>
      </c>
    </row>
    <row r="234" spans="1:9" ht="39.6" x14ac:dyDescent="0.25">
      <c r="A234" s="17" t="s">
        <v>389</v>
      </c>
      <c r="B234" s="17" t="s">
        <v>389</v>
      </c>
      <c r="C234" s="17"/>
      <c r="D234" s="35">
        <f>D233+F233</f>
        <v>766</v>
      </c>
      <c r="E234" s="19">
        <f t="shared" si="78"/>
        <v>771</v>
      </c>
      <c r="F234" s="35">
        <v>6</v>
      </c>
      <c r="G234" s="63" t="s">
        <v>283</v>
      </c>
      <c r="H234" s="78" t="s">
        <v>379</v>
      </c>
      <c r="I234" s="24" t="s">
        <v>303</v>
      </c>
    </row>
    <row r="235" spans="1:9" x14ac:dyDescent="0.25">
      <c r="A235" s="17"/>
      <c r="B235" s="17"/>
      <c r="C235" s="17"/>
      <c r="D235" s="35">
        <f>D234+F234</f>
        <v>772</v>
      </c>
      <c r="E235" s="19">
        <f t="shared" si="78"/>
        <v>776</v>
      </c>
      <c r="F235" s="35">
        <v>5</v>
      </c>
      <c r="G235" s="63" t="s">
        <v>65</v>
      </c>
      <c r="H235" s="43"/>
      <c r="I235" s="36"/>
    </row>
    <row r="236" spans="1:9" x14ac:dyDescent="0.25">
      <c r="A236" s="17"/>
      <c r="B236" s="17"/>
      <c r="C236" s="17"/>
      <c r="D236" s="18"/>
      <c r="E236" s="18"/>
      <c r="F236" s="18"/>
      <c r="G236" s="41" t="s">
        <v>301</v>
      </c>
      <c r="H236" s="29"/>
      <c r="I236" s="27"/>
    </row>
    <row r="237" spans="1:9" ht="26.4" x14ac:dyDescent="0.25">
      <c r="A237" s="17" t="s">
        <v>389</v>
      </c>
      <c r="B237" s="17" t="s">
        <v>389</v>
      </c>
      <c r="C237" s="17"/>
      <c r="D237" s="45">
        <f>D235+F235</f>
        <v>777</v>
      </c>
      <c r="E237" s="19">
        <f t="shared" ref="E237:E242" si="79">D237+F237-1</f>
        <v>784</v>
      </c>
      <c r="F237" s="45">
        <v>8</v>
      </c>
      <c r="G237" s="63" t="s">
        <v>286</v>
      </c>
      <c r="H237" s="24" t="s">
        <v>287</v>
      </c>
      <c r="I237" s="23"/>
    </row>
    <row r="238" spans="1:9" ht="26.4" x14ac:dyDescent="0.25">
      <c r="A238" s="17" t="s">
        <v>389</v>
      </c>
      <c r="B238" s="17" t="s">
        <v>389</v>
      </c>
      <c r="C238" s="17"/>
      <c r="D238" s="45">
        <f t="shared" ref="D238:D240" si="80">D237+F237</f>
        <v>785</v>
      </c>
      <c r="E238" s="19">
        <f t="shared" si="79"/>
        <v>790</v>
      </c>
      <c r="F238" s="45">
        <v>6</v>
      </c>
      <c r="G238" s="63" t="s">
        <v>288</v>
      </c>
      <c r="H238" s="24" t="s">
        <v>289</v>
      </c>
      <c r="I238" s="23"/>
    </row>
    <row r="239" spans="1:9" ht="26.4" x14ac:dyDescent="0.25">
      <c r="A239" s="17" t="s">
        <v>389</v>
      </c>
      <c r="B239" s="17" t="s">
        <v>389</v>
      </c>
      <c r="C239" s="17"/>
      <c r="D239" s="45">
        <f t="shared" si="80"/>
        <v>791</v>
      </c>
      <c r="E239" s="19">
        <f t="shared" si="79"/>
        <v>802</v>
      </c>
      <c r="F239" s="45">
        <v>12</v>
      </c>
      <c r="G239" s="63" t="s">
        <v>290</v>
      </c>
      <c r="H239" s="23" t="s">
        <v>297</v>
      </c>
      <c r="I239" s="23" t="s">
        <v>298</v>
      </c>
    </row>
    <row r="240" spans="1:9" ht="26.4" x14ac:dyDescent="0.25">
      <c r="A240" s="17" t="s">
        <v>389</v>
      </c>
      <c r="B240" s="17" t="s">
        <v>389</v>
      </c>
      <c r="C240" s="17"/>
      <c r="D240" s="45">
        <f t="shared" si="80"/>
        <v>803</v>
      </c>
      <c r="E240" s="19">
        <f t="shared" si="79"/>
        <v>810</v>
      </c>
      <c r="F240" s="45">
        <v>8</v>
      </c>
      <c r="G240" s="63" t="s">
        <v>291</v>
      </c>
      <c r="H240" s="24" t="s">
        <v>292</v>
      </c>
      <c r="I240" s="24" t="s">
        <v>293</v>
      </c>
    </row>
    <row r="241" spans="1:9" ht="39.6" x14ac:dyDescent="0.25">
      <c r="A241" s="17" t="s">
        <v>389</v>
      </c>
      <c r="B241" s="17" t="s">
        <v>389</v>
      </c>
      <c r="C241" s="17"/>
      <c r="D241" s="45">
        <f>D240+F240</f>
        <v>811</v>
      </c>
      <c r="E241" s="19">
        <f t="shared" si="79"/>
        <v>816</v>
      </c>
      <c r="F241" s="45">
        <v>6</v>
      </c>
      <c r="G241" s="63" t="s">
        <v>283</v>
      </c>
      <c r="H241" s="78" t="s">
        <v>185</v>
      </c>
      <c r="I241" s="24" t="s">
        <v>294</v>
      </c>
    </row>
    <row r="242" spans="1:9" x14ac:dyDescent="0.25">
      <c r="A242" s="17"/>
      <c r="B242" s="17"/>
      <c r="C242" s="17"/>
      <c r="D242" s="45">
        <f>D241+F241</f>
        <v>817</v>
      </c>
      <c r="E242" s="19">
        <f t="shared" si="79"/>
        <v>821</v>
      </c>
      <c r="F242" s="45">
        <v>5</v>
      </c>
      <c r="G242" s="63" t="s">
        <v>65</v>
      </c>
      <c r="H242" s="22"/>
      <c r="I242" s="23"/>
    </row>
    <row r="243" spans="1:9" x14ac:dyDescent="0.25">
      <c r="A243" s="17"/>
      <c r="B243" s="17"/>
      <c r="C243" s="17"/>
      <c r="D243" s="18"/>
      <c r="E243" s="18"/>
      <c r="F243" s="18"/>
      <c r="G243" s="44" t="s">
        <v>304</v>
      </c>
      <c r="H243" s="29"/>
      <c r="I243" s="27"/>
    </row>
    <row r="244" spans="1:9" ht="26.25" customHeight="1" x14ac:dyDescent="0.25">
      <c r="A244" s="17" t="s">
        <v>388</v>
      </c>
      <c r="B244" s="17" t="s">
        <v>388</v>
      </c>
      <c r="C244" s="17" t="s">
        <v>392</v>
      </c>
      <c r="D244" s="18">
        <f>D242+F242</f>
        <v>822</v>
      </c>
      <c r="E244" s="19">
        <f t="shared" ref="E244:E255" si="81">D244+F244-1</f>
        <v>822</v>
      </c>
      <c r="F244" s="18">
        <v>1</v>
      </c>
      <c r="G244" s="37" t="s">
        <v>305</v>
      </c>
      <c r="H244" s="33" t="s">
        <v>62</v>
      </c>
      <c r="I244" s="33" t="s">
        <v>306</v>
      </c>
    </row>
    <row r="245" spans="1:9" ht="26.4" x14ac:dyDescent="0.25">
      <c r="A245" s="17" t="s">
        <v>388</v>
      </c>
      <c r="B245" s="17" t="s">
        <v>388</v>
      </c>
      <c r="C245" s="17"/>
      <c r="D245" s="18">
        <f>D244+F244</f>
        <v>823</v>
      </c>
      <c r="E245" s="19">
        <f t="shared" si="81"/>
        <v>823</v>
      </c>
      <c r="F245" s="18">
        <v>1</v>
      </c>
      <c r="G245" s="37" t="s">
        <v>307</v>
      </c>
      <c r="H245" s="33" t="s">
        <v>62</v>
      </c>
      <c r="I245" s="33" t="s">
        <v>308</v>
      </c>
    </row>
    <row r="246" spans="1:9" ht="26.4" x14ac:dyDescent="0.25">
      <c r="A246" s="17" t="s">
        <v>389</v>
      </c>
      <c r="B246" s="17" t="s">
        <v>389</v>
      </c>
      <c r="C246" s="17"/>
      <c r="D246" s="18">
        <f t="shared" ref="D246:D255" si="82">D245+F245</f>
        <v>824</v>
      </c>
      <c r="E246" s="19">
        <f t="shared" si="81"/>
        <v>824</v>
      </c>
      <c r="F246" s="18">
        <v>1</v>
      </c>
      <c r="G246" s="37" t="s">
        <v>309</v>
      </c>
      <c r="H246" s="33" t="s">
        <v>62</v>
      </c>
      <c r="I246" s="33" t="s">
        <v>310</v>
      </c>
    </row>
    <row r="247" spans="1:9" ht="26.4" x14ac:dyDescent="0.25">
      <c r="A247" s="17" t="s">
        <v>388</v>
      </c>
      <c r="B247" s="17" t="s">
        <v>388</v>
      </c>
      <c r="C247" s="17"/>
      <c r="D247" s="18">
        <f t="shared" si="82"/>
        <v>825</v>
      </c>
      <c r="E247" s="19">
        <f t="shared" si="81"/>
        <v>825</v>
      </c>
      <c r="F247" s="18">
        <v>1</v>
      </c>
      <c r="G247" s="37" t="s">
        <v>311</v>
      </c>
      <c r="H247" s="33" t="s">
        <v>62</v>
      </c>
      <c r="I247" s="33" t="s">
        <v>312</v>
      </c>
    </row>
    <row r="248" spans="1:9" ht="26.4" x14ac:dyDescent="0.25">
      <c r="A248" s="17" t="s">
        <v>389</v>
      </c>
      <c r="B248" s="17" t="s">
        <v>389</v>
      </c>
      <c r="C248" s="17"/>
      <c r="D248" s="18">
        <f t="shared" si="82"/>
        <v>826</v>
      </c>
      <c r="E248" s="19">
        <f t="shared" si="81"/>
        <v>826</v>
      </c>
      <c r="F248" s="18">
        <v>1</v>
      </c>
      <c r="G248" s="37" t="s">
        <v>313</v>
      </c>
      <c r="H248" s="33" t="s">
        <v>62</v>
      </c>
      <c r="I248" s="33" t="s">
        <v>314</v>
      </c>
    </row>
    <row r="249" spans="1:9" ht="39.6" x14ac:dyDescent="0.25">
      <c r="A249" s="17" t="s">
        <v>388</v>
      </c>
      <c r="B249" s="17" t="s">
        <v>388</v>
      </c>
      <c r="C249" s="17"/>
      <c r="D249" s="18">
        <f t="shared" si="82"/>
        <v>827</v>
      </c>
      <c r="E249" s="19">
        <f t="shared" si="81"/>
        <v>832</v>
      </c>
      <c r="F249" s="18">
        <v>6</v>
      </c>
      <c r="G249" s="37" t="s">
        <v>315</v>
      </c>
      <c r="H249" s="27" t="s">
        <v>316</v>
      </c>
      <c r="I249" s="27" t="s">
        <v>317</v>
      </c>
    </row>
    <row r="250" spans="1:9" ht="26.4" x14ac:dyDescent="0.25">
      <c r="A250" s="17" t="s">
        <v>389</v>
      </c>
      <c r="B250" s="17" t="s">
        <v>389</v>
      </c>
      <c r="C250" s="17"/>
      <c r="D250" s="18">
        <f t="shared" si="82"/>
        <v>833</v>
      </c>
      <c r="E250" s="19">
        <f t="shared" si="81"/>
        <v>833</v>
      </c>
      <c r="F250" s="18">
        <v>1</v>
      </c>
      <c r="G250" s="37" t="s">
        <v>318</v>
      </c>
      <c r="H250" s="33" t="s">
        <v>62</v>
      </c>
      <c r="I250" s="33" t="s">
        <v>319</v>
      </c>
    </row>
    <row r="251" spans="1:9" ht="26.4" x14ac:dyDescent="0.25">
      <c r="A251" s="17" t="s">
        <v>389</v>
      </c>
      <c r="B251" s="17" t="s">
        <v>389</v>
      </c>
      <c r="C251" s="17"/>
      <c r="D251" s="18">
        <f t="shared" si="82"/>
        <v>834</v>
      </c>
      <c r="E251" s="19">
        <f t="shared" si="81"/>
        <v>834</v>
      </c>
      <c r="F251" s="18">
        <v>1</v>
      </c>
      <c r="G251" s="37" t="s">
        <v>320</v>
      </c>
      <c r="H251" s="33" t="s">
        <v>62</v>
      </c>
      <c r="I251" s="33" t="s">
        <v>321</v>
      </c>
    </row>
    <row r="252" spans="1:9" ht="26.4" x14ac:dyDescent="0.25">
      <c r="A252" s="17" t="s">
        <v>388</v>
      </c>
      <c r="B252" s="17" t="s">
        <v>388</v>
      </c>
      <c r="C252" s="17"/>
      <c r="D252" s="18">
        <f t="shared" si="82"/>
        <v>835</v>
      </c>
      <c r="E252" s="19">
        <f t="shared" si="81"/>
        <v>835</v>
      </c>
      <c r="F252" s="18">
        <v>1</v>
      </c>
      <c r="G252" s="37" t="s">
        <v>322</v>
      </c>
      <c r="H252" s="33" t="s">
        <v>62</v>
      </c>
      <c r="I252" s="33" t="s">
        <v>323</v>
      </c>
    </row>
    <row r="253" spans="1:9" ht="26.4" x14ac:dyDescent="0.25">
      <c r="A253" s="17" t="s">
        <v>389</v>
      </c>
      <c r="B253" s="17" t="s">
        <v>389</v>
      </c>
      <c r="C253" s="17"/>
      <c r="D253" s="18">
        <f>D252+F252</f>
        <v>836</v>
      </c>
      <c r="E253" s="19">
        <f t="shared" si="81"/>
        <v>836</v>
      </c>
      <c r="F253" s="18">
        <v>1</v>
      </c>
      <c r="G253" s="37" t="s">
        <v>324</v>
      </c>
      <c r="H253" s="33" t="s">
        <v>62</v>
      </c>
      <c r="I253" s="33" t="s">
        <v>325</v>
      </c>
    </row>
    <row r="254" spans="1:9" ht="26.4" x14ac:dyDescent="0.25">
      <c r="A254" s="17" t="s">
        <v>389</v>
      </c>
      <c r="B254" s="17" t="s">
        <v>389</v>
      </c>
      <c r="C254" s="17"/>
      <c r="D254" s="18">
        <f t="shared" si="82"/>
        <v>837</v>
      </c>
      <c r="E254" s="19">
        <f t="shared" si="81"/>
        <v>837</v>
      </c>
      <c r="F254" s="35">
        <v>1</v>
      </c>
      <c r="G254" s="37" t="s">
        <v>326</v>
      </c>
      <c r="H254" s="33" t="s">
        <v>62</v>
      </c>
      <c r="I254" s="33" t="s">
        <v>327</v>
      </c>
    </row>
    <row r="255" spans="1:9" x14ac:dyDescent="0.25">
      <c r="A255" s="17"/>
      <c r="B255" s="17"/>
      <c r="C255" s="17"/>
      <c r="D255" s="35">
        <f t="shared" si="82"/>
        <v>838</v>
      </c>
      <c r="E255" s="19">
        <f t="shared" si="81"/>
        <v>847</v>
      </c>
      <c r="F255" s="35">
        <v>10</v>
      </c>
      <c r="G255" s="37" t="s">
        <v>65</v>
      </c>
      <c r="H255" s="29"/>
      <c r="I255" s="27"/>
    </row>
    <row r="256" spans="1:9" x14ac:dyDescent="0.25">
      <c r="A256" s="17"/>
      <c r="B256" s="17"/>
      <c r="C256" s="17"/>
      <c r="D256" s="18"/>
      <c r="E256" s="18"/>
      <c r="F256" s="18"/>
      <c r="G256" s="41" t="s">
        <v>328</v>
      </c>
      <c r="H256" s="29"/>
      <c r="I256" s="27"/>
    </row>
    <row r="257" spans="1:9" ht="66" x14ac:dyDescent="0.25">
      <c r="A257" s="17" t="s">
        <v>389</v>
      </c>
      <c r="B257" s="17" t="s">
        <v>389</v>
      </c>
      <c r="C257" s="17" t="s">
        <v>396</v>
      </c>
      <c r="D257" s="35">
        <f>D255+F255</f>
        <v>848</v>
      </c>
      <c r="E257" s="19">
        <f t="shared" ref="E257:E261" si="83">D257+F257-1</f>
        <v>848</v>
      </c>
      <c r="F257" s="35">
        <v>1</v>
      </c>
      <c r="G257" s="109" t="s">
        <v>329</v>
      </c>
      <c r="H257" s="33" t="s">
        <v>62</v>
      </c>
      <c r="I257" s="33" t="s">
        <v>330</v>
      </c>
    </row>
    <row r="258" spans="1:9" ht="66" x14ac:dyDescent="0.25">
      <c r="A258" s="17" t="s">
        <v>389</v>
      </c>
      <c r="B258" s="17" t="s">
        <v>389</v>
      </c>
      <c r="C258" s="17" t="s">
        <v>396</v>
      </c>
      <c r="D258" s="35">
        <f t="shared" ref="D258" si="84">D257+F257</f>
        <v>849</v>
      </c>
      <c r="E258" s="19">
        <f t="shared" si="83"/>
        <v>849</v>
      </c>
      <c r="F258" s="35">
        <v>1</v>
      </c>
      <c r="G258" s="37" t="s">
        <v>331</v>
      </c>
      <c r="H258" s="33" t="s">
        <v>62</v>
      </c>
      <c r="I258" s="33" t="s">
        <v>332</v>
      </c>
    </row>
    <row r="259" spans="1:9" ht="66" x14ac:dyDescent="0.25">
      <c r="A259" s="17" t="s">
        <v>389</v>
      </c>
      <c r="B259" s="17" t="s">
        <v>389</v>
      </c>
      <c r="C259" s="17"/>
      <c r="D259" s="18">
        <f>D258+F258</f>
        <v>850</v>
      </c>
      <c r="E259" s="19">
        <f t="shared" si="83"/>
        <v>850</v>
      </c>
      <c r="F259" s="18">
        <v>1</v>
      </c>
      <c r="G259" s="37" t="s">
        <v>333</v>
      </c>
      <c r="H259" s="33" t="s">
        <v>62</v>
      </c>
      <c r="I259" s="33" t="s">
        <v>334</v>
      </c>
    </row>
    <row r="260" spans="1:9" ht="66" x14ac:dyDescent="0.25">
      <c r="A260" s="17" t="s">
        <v>389</v>
      </c>
      <c r="B260" s="17" t="s">
        <v>389</v>
      </c>
      <c r="C260" s="17"/>
      <c r="D260" s="18">
        <f t="shared" ref="D260:D261" si="85">D259+F259</f>
        <v>851</v>
      </c>
      <c r="E260" s="19">
        <f t="shared" si="83"/>
        <v>851</v>
      </c>
      <c r="F260" s="18">
        <v>1</v>
      </c>
      <c r="G260" s="37" t="s">
        <v>335</v>
      </c>
      <c r="H260" s="33" t="s">
        <v>62</v>
      </c>
      <c r="I260" s="33" t="s">
        <v>336</v>
      </c>
    </row>
    <row r="261" spans="1:9" ht="66" x14ac:dyDescent="0.25">
      <c r="A261" s="17" t="s">
        <v>389</v>
      </c>
      <c r="B261" s="17" t="s">
        <v>389</v>
      </c>
      <c r="C261" s="17"/>
      <c r="D261" s="18">
        <f t="shared" si="85"/>
        <v>852</v>
      </c>
      <c r="E261" s="19">
        <f t="shared" si="83"/>
        <v>852</v>
      </c>
      <c r="F261" s="18">
        <v>1</v>
      </c>
      <c r="G261" s="37" t="s">
        <v>337</v>
      </c>
      <c r="H261" s="33" t="s">
        <v>62</v>
      </c>
      <c r="I261" s="33" t="s">
        <v>338</v>
      </c>
    </row>
    <row r="262" spans="1:9" x14ac:dyDescent="0.25">
      <c r="A262" s="17"/>
      <c r="B262" s="17"/>
      <c r="C262" s="17"/>
      <c r="D262" s="18"/>
      <c r="E262" s="18"/>
      <c r="F262" s="18"/>
      <c r="G262" s="44" t="s">
        <v>339</v>
      </c>
      <c r="H262" s="29"/>
      <c r="I262" s="74"/>
    </row>
    <row r="263" spans="1:9" ht="52.8" x14ac:dyDescent="0.25">
      <c r="A263" s="17" t="s">
        <v>389</v>
      </c>
      <c r="B263" s="17" t="s">
        <v>389</v>
      </c>
      <c r="C263" s="17"/>
      <c r="D263" s="18">
        <f>D261+F261</f>
        <v>853</v>
      </c>
      <c r="E263" s="19">
        <f t="shared" ref="E263:E266" si="86">D263+F263-1</f>
        <v>853</v>
      </c>
      <c r="F263" s="18">
        <v>1</v>
      </c>
      <c r="G263" s="60" t="s">
        <v>340</v>
      </c>
      <c r="H263" s="33" t="s">
        <v>62</v>
      </c>
      <c r="I263" s="33" t="s">
        <v>428</v>
      </c>
    </row>
    <row r="264" spans="1:9" ht="52.8" x14ac:dyDescent="0.25">
      <c r="A264" s="17" t="s">
        <v>389</v>
      </c>
      <c r="B264" s="17" t="s">
        <v>389</v>
      </c>
      <c r="C264" s="17"/>
      <c r="D264" s="18">
        <f t="shared" ref="D264:D265" si="87">D263+F263</f>
        <v>854</v>
      </c>
      <c r="E264" s="19">
        <f t="shared" si="86"/>
        <v>854</v>
      </c>
      <c r="F264" s="18">
        <v>1</v>
      </c>
      <c r="G264" s="60" t="s">
        <v>341</v>
      </c>
      <c r="H264" s="33" t="s">
        <v>62</v>
      </c>
      <c r="I264" s="33" t="s">
        <v>426</v>
      </c>
    </row>
    <row r="265" spans="1:9" ht="52.8" x14ac:dyDescent="0.25">
      <c r="A265" s="17" t="s">
        <v>389</v>
      </c>
      <c r="B265" s="17" t="s">
        <v>389</v>
      </c>
      <c r="C265" s="17"/>
      <c r="D265" s="18">
        <f t="shared" si="87"/>
        <v>855</v>
      </c>
      <c r="E265" s="19">
        <f t="shared" si="86"/>
        <v>855</v>
      </c>
      <c r="F265" s="18">
        <v>1</v>
      </c>
      <c r="G265" s="60" t="s">
        <v>342</v>
      </c>
      <c r="H265" s="33" t="s">
        <v>62</v>
      </c>
      <c r="I265" s="33" t="s">
        <v>427</v>
      </c>
    </row>
    <row r="266" spans="1:9" x14ac:dyDescent="0.25">
      <c r="A266" s="17"/>
      <c r="B266" s="17"/>
      <c r="C266" s="17"/>
      <c r="D266" s="18">
        <f>D265+F265</f>
        <v>856</v>
      </c>
      <c r="E266" s="19">
        <f t="shared" si="86"/>
        <v>865</v>
      </c>
      <c r="F266" s="18">
        <v>10</v>
      </c>
      <c r="G266" s="60" t="s">
        <v>65</v>
      </c>
      <c r="H266" s="29"/>
      <c r="I266" s="27"/>
    </row>
    <row r="267" spans="1:9" x14ac:dyDescent="0.25">
      <c r="A267" s="17"/>
      <c r="B267" s="17"/>
      <c r="C267" s="17"/>
      <c r="D267" s="18"/>
      <c r="E267" s="18"/>
      <c r="F267" s="18"/>
      <c r="G267" s="44" t="s">
        <v>343</v>
      </c>
      <c r="H267" s="29"/>
      <c r="I267" s="27"/>
    </row>
    <row r="268" spans="1:9" x14ac:dyDescent="0.25">
      <c r="A268" s="17"/>
      <c r="B268" s="17"/>
      <c r="C268" s="17"/>
      <c r="D268" s="18"/>
      <c r="E268" s="18"/>
      <c r="F268" s="18"/>
      <c r="G268" s="44" t="s">
        <v>300</v>
      </c>
      <c r="H268" s="29"/>
      <c r="I268" s="27"/>
    </row>
    <row r="269" spans="1:9" ht="39.6" x14ac:dyDescent="0.25">
      <c r="A269" s="17" t="s">
        <v>388</v>
      </c>
      <c r="B269" s="17" t="s">
        <v>388</v>
      </c>
      <c r="C269" s="17"/>
      <c r="D269" s="18">
        <f>D266+F266</f>
        <v>866</v>
      </c>
      <c r="E269" s="19">
        <f t="shared" ref="E269:E271" si="88">D269+F269-1</f>
        <v>868</v>
      </c>
      <c r="F269" s="18">
        <v>3</v>
      </c>
      <c r="G269" s="60" t="s">
        <v>344</v>
      </c>
      <c r="H269" s="24" t="s">
        <v>356</v>
      </c>
      <c r="I269" s="24" t="s">
        <v>354</v>
      </c>
    </row>
    <row r="270" spans="1:9" x14ac:dyDescent="0.25">
      <c r="A270" s="17" t="s">
        <v>389</v>
      </c>
      <c r="B270" s="17" t="s">
        <v>389</v>
      </c>
      <c r="C270" s="17"/>
      <c r="D270" s="18">
        <f>D269+F269</f>
        <v>869</v>
      </c>
      <c r="E270" s="19">
        <f t="shared" si="88"/>
        <v>888</v>
      </c>
      <c r="F270" s="18">
        <v>20</v>
      </c>
      <c r="G270" s="60" t="s">
        <v>346</v>
      </c>
      <c r="H270" s="29"/>
      <c r="I270" s="27"/>
    </row>
    <row r="271" spans="1:9" x14ac:dyDescent="0.25">
      <c r="A271" s="17" t="s">
        <v>389</v>
      </c>
      <c r="B271" s="17" t="s">
        <v>389</v>
      </c>
      <c r="C271" s="17"/>
      <c r="D271" s="18">
        <f>D270+F270</f>
        <v>889</v>
      </c>
      <c r="E271" s="19">
        <f t="shared" si="88"/>
        <v>908</v>
      </c>
      <c r="F271" s="18">
        <v>20</v>
      </c>
      <c r="G271" s="60" t="s">
        <v>347</v>
      </c>
      <c r="H271" s="29"/>
      <c r="I271" s="27"/>
    </row>
    <row r="272" spans="1:9" x14ac:dyDescent="0.25">
      <c r="A272" s="17"/>
      <c r="B272" s="17"/>
      <c r="C272" s="17"/>
      <c r="D272" s="18"/>
      <c r="E272" s="18"/>
      <c r="F272" s="18"/>
      <c r="G272" s="44" t="s">
        <v>299</v>
      </c>
      <c r="H272" s="29"/>
      <c r="I272" s="27"/>
    </row>
    <row r="273" spans="1:9" ht="39.6" x14ac:dyDescent="0.25">
      <c r="A273" s="17" t="s">
        <v>388</v>
      </c>
      <c r="B273" s="17" t="s">
        <v>388</v>
      </c>
      <c r="C273" s="17"/>
      <c r="D273" s="18">
        <f>D271+F271</f>
        <v>909</v>
      </c>
      <c r="E273" s="19">
        <f t="shared" ref="E273:E275" si="89">D273+F273-1</f>
        <v>911</v>
      </c>
      <c r="F273" s="18">
        <v>3</v>
      </c>
      <c r="G273" s="60" t="s">
        <v>348</v>
      </c>
      <c r="H273" s="24" t="s">
        <v>356</v>
      </c>
      <c r="I273" s="24" t="s">
        <v>355</v>
      </c>
    </row>
    <row r="274" spans="1:9" x14ac:dyDescent="0.25">
      <c r="A274" s="17" t="s">
        <v>389</v>
      </c>
      <c r="B274" s="17" t="s">
        <v>389</v>
      </c>
      <c r="C274" s="17"/>
      <c r="D274" s="18">
        <f t="shared" ref="D274:D275" si="90">D273+F273</f>
        <v>912</v>
      </c>
      <c r="E274" s="19">
        <f t="shared" si="89"/>
        <v>931</v>
      </c>
      <c r="F274" s="18">
        <v>20</v>
      </c>
      <c r="G274" s="60" t="s">
        <v>349</v>
      </c>
      <c r="H274" s="29"/>
      <c r="I274" s="27"/>
    </row>
    <row r="275" spans="1:9" x14ac:dyDescent="0.25">
      <c r="A275" s="17" t="s">
        <v>389</v>
      </c>
      <c r="B275" s="17" t="s">
        <v>389</v>
      </c>
      <c r="C275" s="17"/>
      <c r="D275" s="18">
        <f t="shared" si="90"/>
        <v>932</v>
      </c>
      <c r="E275" s="19">
        <f t="shared" si="89"/>
        <v>951</v>
      </c>
      <c r="F275" s="18">
        <v>20</v>
      </c>
      <c r="G275" s="60" t="s">
        <v>350</v>
      </c>
      <c r="H275" s="29"/>
      <c r="I275" s="27"/>
    </row>
    <row r="276" spans="1:9" x14ac:dyDescent="0.25">
      <c r="A276" s="17"/>
      <c r="B276" s="17"/>
      <c r="C276" s="17"/>
      <c r="D276" s="18"/>
      <c r="E276" s="18"/>
      <c r="F276" s="18"/>
      <c r="G276" s="44" t="s">
        <v>301</v>
      </c>
      <c r="H276" s="29"/>
      <c r="I276" s="27"/>
    </row>
    <row r="277" spans="1:9" ht="66" x14ac:dyDescent="0.25">
      <c r="A277" s="17" t="s">
        <v>388</v>
      </c>
      <c r="B277" s="17" t="s">
        <v>388</v>
      </c>
      <c r="C277" s="17"/>
      <c r="D277" s="18">
        <f>D275+F275</f>
        <v>952</v>
      </c>
      <c r="E277" s="19">
        <f t="shared" ref="E277:E279" si="91">D277+F277-1</f>
        <v>954</v>
      </c>
      <c r="F277" s="18">
        <v>3</v>
      </c>
      <c r="G277" s="60" t="s">
        <v>351</v>
      </c>
      <c r="H277" s="24" t="s">
        <v>345</v>
      </c>
      <c r="I277" s="24" t="s">
        <v>415</v>
      </c>
    </row>
    <row r="278" spans="1:9" x14ac:dyDescent="0.25">
      <c r="A278" s="17" t="s">
        <v>389</v>
      </c>
      <c r="B278" s="17" t="s">
        <v>389</v>
      </c>
      <c r="C278" s="17"/>
      <c r="D278" s="18">
        <f t="shared" ref="D278:D279" si="92">D277+F277</f>
        <v>955</v>
      </c>
      <c r="E278" s="19">
        <f t="shared" si="91"/>
        <v>974</v>
      </c>
      <c r="F278" s="18">
        <v>20</v>
      </c>
      <c r="G278" s="60" t="s">
        <v>352</v>
      </c>
      <c r="H278" s="29"/>
      <c r="I278" s="27"/>
    </row>
    <row r="279" spans="1:9" x14ac:dyDescent="0.25">
      <c r="A279" s="17" t="s">
        <v>389</v>
      </c>
      <c r="B279" s="17" t="s">
        <v>389</v>
      </c>
      <c r="C279" s="17"/>
      <c r="D279" s="18">
        <f t="shared" si="92"/>
        <v>975</v>
      </c>
      <c r="E279" s="19">
        <f t="shared" si="91"/>
        <v>994</v>
      </c>
      <c r="F279" s="18">
        <v>20</v>
      </c>
      <c r="G279" s="60" t="s">
        <v>353</v>
      </c>
      <c r="H279" s="29"/>
      <c r="I279" s="27"/>
    </row>
    <row r="280" spans="1:9" x14ac:dyDescent="0.25">
      <c r="A280" s="17"/>
      <c r="B280" s="17"/>
      <c r="C280" s="17"/>
      <c r="D280" s="18"/>
      <c r="E280" s="18"/>
      <c r="F280" s="18"/>
      <c r="G280" s="44" t="s">
        <v>357</v>
      </c>
      <c r="H280" s="29"/>
      <c r="I280" s="27"/>
    </row>
    <row r="281" spans="1:9" ht="52.8" x14ac:dyDescent="0.25">
      <c r="A281" s="17" t="s">
        <v>389</v>
      </c>
      <c r="B281" s="17" t="s">
        <v>389</v>
      </c>
      <c r="C281" s="17"/>
      <c r="D281" s="18">
        <f>D279+F279</f>
        <v>995</v>
      </c>
      <c r="E281" s="19">
        <f t="shared" ref="E281:E282" si="93">D281+F281-1</f>
        <v>996</v>
      </c>
      <c r="F281" s="18">
        <v>2</v>
      </c>
      <c r="G281" s="37" t="s">
        <v>358</v>
      </c>
      <c r="H281" s="25" t="s">
        <v>359</v>
      </c>
      <c r="I281" s="80" t="s">
        <v>362</v>
      </c>
    </row>
    <row r="282" spans="1:9" ht="52.8" x14ac:dyDescent="0.25">
      <c r="A282" s="17" t="s">
        <v>389</v>
      </c>
      <c r="B282" s="17"/>
      <c r="C282" s="17"/>
      <c r="D282" s="18">
        <f t="shared" ref="D282" si="94">D281+F281</f>
        <v>997</v>
      </c>
      <c r="E282" s="19">
        <f t="shared" si="93"/>
        <v>1004</v>
      </c>
      <c r="F282" s="18">
        <v>8</v>
      </c>
      <c r="G282" s="37" t="s">
        <v>360</v>
      </c>
      <c r="H282" s="25" t="s">
        <v>361</v>
      </c>
      <c r="I282" s="80" t="s">
        <v>362</v>
      </c>
    </row>
    <row r="283" spans="1:9" x14ac:dyDescent="0.25">
      <c r="A283" s="17"/>
      <c r="B283" s="17"/>
      <c r="C283" s="17"/>
      <c r="D283" s="18"/>
      <c r="E283" s="18"/>
      <c r="F283" s="18"/>
      <c r="G283" s="41" t="s">
        <v>363</v>
      </c>
      <c r="H283" s="29"/>
      <c r="I283" s="27"/>
    </row>
    <row r="284" spans="1:9" ht="83.25" customHeight="1" x14ac:dyDescent="0.25">
      <c r="A284" s="48" t="s">
        <v>389</v>
      </c>
      <c r="B284" s="48" t="s">
        <v>389</v>
      </c>
      <c r="C284" s="48" t="s">
        <v>393</v>
      </c>
      <c r="D284" s="81">
        <f>D282+F282</f>
        <v>1005</v>
      </c>
      <c r="E284" s="50">
        <f t="shared" ref="E284" si="95">D284+F284-1</f>
        <v>1229</v>
      </c>
      <c r="F284" s="81">
        <v>225</v>
      </c>
      <c r="G284" s="79" t="s">
        <v>432</v>
      </c>
      <c r="H284" s="110" t="s">
        <v>451</v>
      </c>
      <c r="I284" s="110" t="s">
        <v>452</v>
      </c>
    </row>
    <row r="285" spans="1:9" ht="92.25" customHeight="1" x14ac:dyDescent="0.25">
      <c r="A285" s="48" t="s">
        <v>389</v>
      </c>
      <c r="B285" s="48" t="s">
        <v>389</v>
      </c>
      <c r="C285" s="48"/>
      <c r="D285" s="81">
        <f>D284+F284</f>
        <v>1230</v>
      </c>
      <c r="E285" s="50">
        <f t="shared" ref="E285:E292" si="96">D285+F285-1</f>
        <v>1329</v>
      </c>
      <c r="F285" s="81">
        <v>100</v>
      </c>
      <c r="G285" s="79" t="s">
        <v>424</v>
      </c>
      <c r="H285" s="110"/>
      <c r="I285" s="110"/>
    </row>
    <row r="286" spans="1:9" ht="99" customHeight="1" x14ac:dyDescent="0.25">
      <c r="A286" s="48" t="s">
        <v>389</v>
      </c>
      <c r="B286" s="48" t="s">
        <v>389</v>
      </c>
      <c r="C286" s="48" t="s">
        <v>393</v>
      </c>
      <c r="D286" s="81">
        <f t="shared" ref="D286:D292" si="97">D285+F285</f>
        <v>1330</v>
      </c>
      <c r="E286" s="50">
        <f t="shared" si="96"/>
        <v>1529</v>
      </c>
      <c r="F286" s="81">
        <v>200</v>
      </c>
      <c r="G286" s="111" t="s">
        <v>445</v>
      </c>
      <c r="H286" s="110"/>
      <c r="I286" s="110"/>
    </row>
    <row r="287" spans="1:9" ht="99" customHeight="1" x14ac:dyDescent="0.25">
      <c r="A287" s="48" t="s">
        <v>389</v>
      </c>
      <c r="B287" s="48" t="s">
        <v>389</v>
      </c>
      <c r="C287" s="48"/>
      <c r="D287" s="81">
        <f t="shared" si="97"/>
        <v>1530</v>
      </c>
      <c r="E287" s="50">
        <f t="shared" si="96"/>
        <v>1629</v>
      </c>
      <c r="F287" s="81">
        <v>100</v>
      </c>
      <c r="G287" s="79" t="s">
        <v>425</v>
      </c>
      <c r="H287" s="110"/>
      <c r="I287" s="110"/>
    </row>
    <row r="288" spans="1:9" ht="87.75" customHeight="1" x14ac:dyDescent="0.25">
      <c r="A288" s="17" t="s">
        <v>389</v>
      </c>
      <c r="B288" s="17" t="s">
        <v>389</v>
      </c>
      <c r="C288" s="17" t="s">
        <v>393</v>
      </c>
      <c r="D288" s="45">
        <f t="shared" si="97"/>
        <v>1630</v>
      </c>
      <c r="E288" s="19">
        <f t="shared" si="96"/>
        <v>1829</v>
      </c>
      <c r="F288" s="68">
        <v>200</v>
      </c>
      <c r="G288" s="37" t="s">
        <v>373</v>
      </c>
      <c r="H288" s="25" t="s">
        <v>387</v>
      </c>
      <c r="I288" s="69" t="s">
        <v>450</v>
      </c>
    </row>
    <row r="289" spans="1:9" ht="12.75" customHeight="1" x14ac:dyDescent="0.25">
      <c r="A289" s="17" t="s">
        <v>389</v>
      </c>
      <c r="B289" s="17" t="s">
        <v>389</v>
      </c>
      <c r="C289" s="17"/>
      <c r="D289" s="45">
        <f t="shared" si="97"/>
        <v>1830</v>
      </c>
      <c r="E289" s="19">
        <f t="shared" si="96"/>
        <v>1844</v>
      </c>
      <c r="F289" s="64">
        <v>15</v>
      </c>
      <c r="G289" s="70" t="s">
        <v>364</v>
      </c>
      <c r="H289" s="82"/>
      <c r="I289" s="99" t="s">
        <v>365</v>
      </c>
    </row>
    <row r="290" spans="1:9" x14ac:dyDescent="0.25">
      <c r="A290" s="17" t="s">
        <v>389</v>
      </c>
      <c r="B290" s="17" t="s">
        <v>389</v>
      </c>
      <c r="C290" s="17"/>
      <c r="D290" s="45">
        <f t="shared" si="97"/>
        <v>1845</v>
      </c>
      <c r="E290" s="19">
        <f t="shared" si="96"/>
        <v>1864</v>
      </c>
      <c r="F290" s="64">
        <v>20</v>
      </c>
      <c r="G290" s="70" t="s">
        <v>366</v>
      </c>
      <c r="H290" s="83"/>
      <c r="I290" s="99"/>
    </row>
    <row r="291" spans="1:9" ht="92.4" x14ac:dyDescent="0.25">
      <c r="A291" s="17" t="s">
        <v>389</v>
      </c>
      <c r="B291" s="17" t="s">
        <v>389</v>
      </c>
      <c r="C291" s="17"/>
      <c r="D291" s="45">
        <f t="shared" si="97"/>
        <v>1865</v>
      </c>
      <c r="E291" s="19">
        <f t="shared" si="96"/>
        <v>1874</v>
      </c>
      <c r="F291" s="64">
        <v>10</v>
      </c>
      <c r="G291" s="70" t="s">
        <v>367</v>
      </c>
      <c r="H291" s="69" t="s">
        <v>368</v>
      </c>
      <c r="I291" s="69" t="s">
        <v>369</v>
      </c>
    </row>
    <row r="292" spans="1:9" x14ac:dyDescent="0.25">
      <c r="A292" s="17" t="s">
        <v>388</v>
      </c>
      <c r="B292" s="17" t="s">
        <v>388</v>
      </c>
      <c r="C292" s="17"/>
      <c r="D292" s="45">
        <f t="shared" si="97"/>
        <v>1875</v>
      </c>
      <c r="E292" s="19">
        <f t="shared" si="96"/>
        <v>1893</v>
      </c>
      <c r="F292" s="45">
        <v>19</v>
      </c>
      <c r="G292" s="37" t="s">
        <v>370</v>
      </c>
      <c r="H292" s="25" t="s">
        <v>371</v>
      </c>
      <c r="I292" s="24" t="s">
        <v>372</v>
      </c>
    </row>
    <row r="293" spans="1:9" ht="13.8" thickBot="1" x14ac:dyDescent="0.3"/>
    <row r="294" spans="1:9" ht="13.8" thickBot="1" x14ac:dyDescent="0.3">
      <c r="B294" s="112"/>
      <c r="C294" s="113" t="s">
        <v>374</v>
      </c>
      <c r="D294" s="114"/>
      <c r="E294" s="115">
        <f>E292</f>
        <v>1893</v>
      </c>
    </row>
  </sheetData>
  <mergeCells count="43">
    <mergeCell ref="I289:I290"/>
    <mergeCell ref="I207:I209"/>
    <mergeCell ref="H213:H215"/>
    <mergeCell ref="I213:I215"/>
    <mergeCell ref="H217:H219"/>
    <mergeCell ref="I217:I219"/>
    <mergeCell ref="H207:H208"/>
    <mergeCell ref="H284:H287"/>
    <mergeCell ref="I284:I287"/>
    <mergeCell ref="H194:H196"/>
    <mergeCell ref="I194:I196"/>
    <mergeCell ref="H200:H202"/>
    <mergeCell ref="I200:I202"/>
    <mergeCell ref="H204:H206"/>
    <mergeCell ref="I204:I206"/>
    <mergeCell ref="H188:H190"/>
    <mergeCell ref="I188:I190"/>
    <mergeCell ref="H158:H159"/>
    <mergeCell ref="I158:I159"/>
    <mergeCell ref="H168:H169"/>
    <mergeCell ref="I168:I169"/>
    <mergeCell ref="H183:H184"/>
    <mergeCell ref="I183:I184"/>
    <mergeCell ref="H71:H76"/>
    <mergeCell ref="I71:I76"/>
    <mergeCell ref="H118:H120"/>
    <mergeCell ref="I118:I120"/>
    <mergeCell ref="H90:H94"/>
    <mergeCell ref="I90:I94"/>
    <mergeCell ref="H96:H111"/>
    <mergeCell ref="I96:I111"/>
    <mergeCell ref="H113:H115"/>
    <mergeCell ref="I113:I115"/>
    <mergeCell ref="C1:H1"/>
    <mergeCell ref="I7:I8"/>
    <mergeCell ref="I14:I16"/>
    <mergeCell ref="I20:I22"/>
    <mergeCell ref="H63:H68"/>
    <mergeCell ref="I63:I68"/>
    <mergeCell ref="H48:H52"/>
    <mergeCell ref="I48:I52"/>
    <mergeCell ref="H55:H59"/>
    <mergeCell ref="I55:I59"/>
  </mergeCells>
  <printOptions gridLines="1"/>
  <pageMargins left="0.2" right="0.2" top="0.25" bottom="0.75" header="0.3" footer="0.3"/>
  <pageSetup paperSize="5" scale="78" fitToHeight="0" orientation="landscape" r:id="rId1"/>
  <headerFooter>
    <oddFooter>&amp;L&amp;"Arial,Regular"&amp;10K = Key Verification     E = Equating      C = Corrections&amp;C&amp;"Arial,Regular"&amp;10Page &amp;P of &amp;N&amp;RLast Saved Date: 4/2/2018 5:18:26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
  <sheetViews>
    <sheetView workbookViewId="0">
      <selection activeCell="C4" sqref="C4"/>
    </sheetView>
  </sheetViews>
  <sheetFormatPr defaultRowHeight="14.4" x14ac:dyDescent="0.3"/>
  <cols>
    <col min="1" max="1" width="14.33203125" customWidth="1"/>
    <col min="2" max="2" width="63.88671875" customWidth="1"/>
    <col min="3" max="3" width="27" customWidth="1"/>
  </cols>
  <sheetData>
    <row r="1" spans="1:3" ht="15" x14ac:dyDescent="0.25">
      <c r="A1" s="100" t="s">
        <v>397</v>
      </c>
      <c r="B1" s="100"/>
      <c r="C1" s="100"/>
    </row>
    <row r="2" spans="1:3" ht="30" x14ac:dyDescent="0.25">
      <c r="A2" s="9" t="s">
        <v>398</v>
      </c>
      <c r="B2" s="10" t="s">
        <v>399</v>
      </c>
      <c r="C2" s="10" t="s">
        <v>400</v>
      </c>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9"/>
  <sheetViews>
    <sheetView workbookViewId="0">
      <selection activeCell="C5" sqref="C5"/>
    </sheetView>
  </sheetViews>
  <sheetFormatPr defaultRowHeight="14.4" x14ac:dyDescent="0.3"/>
  <cols>
    <col min="1" max="1" width="27.44140625" customWidth="1"/>
    <col min="2" max="2" width="36.44140625" customWidth="1"/>
    <col min="3" max="3" width="36.5546875" customWidth="1"/>
  </cols>
  <sheetData>
    <row r="1" spans="1:3" ht="15" x14ac:dyDescent="0.25">
      <c r="A1" s="11" t="s">
        <v>401</v>
      </c>
      <c r="B1" s="11" t="s">
        <v>402</v>
      </c>
      <c r="C1" s="11" t="s">
        <v>403</v>
      </c>
    </row>
    <row r="2" spans="1:3" ht="26.25" x14ac:dyDescent="0.25">
      <c r="A2" s="12" t="s">
        <v>409</v>
      </c>
      <c r="B2" s="12" t="s">
        <v>408</v>
      </c>
      <c r="C2" s="13" t="s">
        <v>412</v>
      </c>
    </row>
    <row r="3" spans="1:3" ht="26.25" x14ac:dyDescent="0.25">
      <c r="A3" s="12" t="s">
        <v>410</v>
      </c>
      <c r="B3" s="12" t="s">
        <v>408</v>
      </c>
      <c r="C3" s="13"/>
    </row>
    <row r="4" spans="1:3" ht="26.25" x14ac:dyDescent="0.25">
      <c r="A4" s="12" t="s">
        <v>404</v>
      </c>
      <c r="B4" s="12" t="s">
        <v>407</v>
      </c>
      <c r="C4" s="13" t="s">
        <v>411</v>
      </c>
    </row>
    <row r="5" spans="1:3" ht="39" x14ac:dyDescent="0.25">
      <c r="A5" s="12" t="s">
        <v>405</v>
      </c>
      <c r="B5" s="12" t="s">
        <v>406</v>
      </c>
      <c r="C5" s="14" t="s">
        <v>413</v>
      </c>
    </row>
    <row r="6" spans="1:3" x14ac:dyDescent="0.3">
      <c r="A6" s="15"/>
      <c r="B6" s="15"/>
      <c r="C6" s="15"/>
    </row>
    <row r="7" spans="1:3" x14ac:dyDescent="0.3">
      <c r="A7" s="15"/>
      <c r="B7" s="15"/>
      <c r="C7" s="15"/>
    </row>
    <row r="8" spans="1:3" x14ac:dyDescent="0.3">
      <c r="A8" s="6"/>
      <c r="B8" s="16"/>
      <c r="C8" s="15"/>
    </row>
    <row r="9" spans="1:3" x14ac:dyDescent="0.3">
      <c r="A9" s="15"/>
      <c r="B9" s="15"/>
      <c r="C9"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LDESTD</vt:lpstr>
      <vt:lpstr>Revision Log</vt:lpstr>
      <vt:lpstr>Reference Locations</vt:lpstr>
      <vt:lpstr>LDESTD!Print_Titles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Mallory</dc:creator>
  <cp:lastModifiedBy>Marieanne Hollay</cp:lastModifiedBy>
  <cp:lastPrinted>2018-04-30T20:37:32Z</cp:lastPrinted>
  <dcterms:created xsi:type="dcterms:W3CDTF">2017-10-10T18:09:40Z</dcterms:created>
  <dcterms:modified xsi:type="dcterms:W3CDTF">2018-04-30T20:39:44Z</dcterms:modified>
</cp:coreProperties>
</file>