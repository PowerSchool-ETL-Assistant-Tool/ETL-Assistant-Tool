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fileSharing readOnlyRecommended="1"/>
  <workbookPr codeName="ThisWorkbook"/>
  <mc:AlternateContent xmlns:mc="http://schemas.openxmlformats.org/markup-compatibility/2006">
    <mc:Choice Requires="x15">
      <x15ac:absPath xmlns:x15ac="http://schemas.microsoft.com/office/spreadsheetml/2010/11/ac" url="T:\LEAP-iLEAP-GEE\File Layouts_Syntax_txt files\"/>
    </mc:Choice>
  </mc:AlternateContent>
  <bookViews>
    <workbookView xWindow="0" yWindow="0" windowWidth="19605" windowHeight="9195"/>
  </bookViews>
  <sheets>
    <sheet name="LAA1LDESTD" sheetId="1" r:id="rId1"/>
    <sheet name="Revision Log" sheetId="2" r:id="rId2"/>
  </sheets>
  <definedNames>
    <definedName name="_xlnm._FilterDatabase" localSheetId="0" hidden="1">LAA1LDESTD!$A$2:$J$112</definedName>
    <definedName name="_xlnm.Print_Area" localSheetId="0">LAA1LDESTD!$A$1:$I$114</definedName>
    <definedName name="_xlnm.Print_Titles" localSheetId="0">LAA1LDESTD!$1:$2</definedName>
    <definedName name="Z_711973F9_5431_4922_B46E_FFB4E07E9E58_.wvu.Cols" localSheetId="0" hidden="1">LAA1LDESTD!$K:$O</definedName>
    <definedName name="Z_711973F9_5431_4922_B46E_FFB4E07E9E58_.wvu.PrintArea" localSheetId="0" hidden="1">LAA1LDESTD!$A$2:$I$2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5251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E5" i="1" l="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E4" i="1"/>
  <c r="D4" i="1"/>
  <c r="C4" i="1" l="1"/>
  <c r="B5" i="1"/>
  <c r="C5" i="1" s="1"/>
  <c r="B6" i="1" l="1"/>
  <c r="C6" i="1" l="1"/>
  <c r="B7" i="1"/>
  <c r="C7" i="1" l="1"/>
  <c r="B8" i="1"/>
  <c r="C8" i="1" l="1"/>
  <c r="B9" i="1"/>
  <c r="C9" i="1" l="1"/>
  <c r="B10" i="1"/>
  <c r="B11" i="1" l="1"/>
  <c r="C10" i="1"/>
  <c r="C11" i="1" l="1"/>
  <c r="B12" i="1"/>
  <c r="C12" i="1" l="1"/>
  <c r="B13" i="1"/>
  <c r="C13" i="1" l="1"/>
  <c r="B14" i="1"/>
  <c r="B15" i="1" l="1"/>
  <c r="B16" i="1" s="1"/>
  <c r="C14" i="1"/>
  <c r="C15" i="1" l="1"/>
  <c r="B17" i="1" l="1"/>
  <c r="B18" i="1" s="1"/>
  <c r="C16" i="1" l="1"/>
  <c r="C17" i="1" l="1"/>
  <c r="B19" i="1" l="1"/>
  <c r="C18" i="1"/>
  <c r="C19" i="1" l="1"/>
  <c r="B20" i="1"/>
  <c r="B21" i="1" s="1"/>
  <c r="C20" i="1" l="1"/>
  <c r="B22" i="1" l="1"/>
  <c r="C21" i="1"/>
  <c r="C22" i="1" l="1"/>
  <c r="B23" i="1"/>
  <c r="B24" i="1" s="1"/>
  <c r="C23" i="1" l="1"/>
  <c r="C24" i="1" l="1"/>
  <c r="B25" i="1"/>
  <c r="B26" i="1" l="1"/>
  <c r="B27" i="1" s="1"/>
  <c r="C25" i="1"/>
  <c r="C26" i="1" l="1"/>
  <c r="C27" i="1" l="1"/>
  <c r="B28" i="1"/>
  <c r="B29" i="1" l="1"/>
  <c r="B31" i="1" s="1"/>
  <c r="C28" i="1"/>
  <c r="C29" i="1" l="1"/>
  <c r="C31" i="1" l="1"/>
  <c r="B33" i="1"/>
  <c r="B34" i="1" l="1"/>
  <c r="C33" i="1"/>
  <c r="C34" i="1" l="1"/>
  <c r="B35" i="1"/>
  <c r="B36" i="1" s="1"/>
  <c r="C35" i="1" l="1"/>
  <c r="B37" i="1" l="1"/>
  <c r="C36" i="1"/>
  <c r="C37" i="1" l="1"/>
  <c r="B38" i="1"/>
  <c r="C38" i="1" l="1"/>
  <c r="B39" i="1"/>
  <c r="B40" i="1" s="1"/>
  <c r="C39" i="1" l="1"/>
  <c r="C40" i="1" l="1"/>
  <c r="B41" i="1"/>
  <c r="C41" i="1" l="1"/>
  <c r="B42" i="1"/>
  <c r="B43" i="1" s="1"/>
  <c r="C42" i="1" l="1"/>
  <c r="C43" i="1" l="1"/>
  <c r="B44" i="1"/>
  <c r="C44" i="1" l="1"/>
  <c r="B45" i="1"/>
  <c r="B46" i="1" s="1"/>
  <c r="C45" i="1" l="1"/>
  <c r="C46" i="1" l="1"/>
  <c r="B47" i="1"/>
  <c r="B49" i="1" s="1"/>
  <c r="C47" i="1" l="1"/>
  <c r="B50" i="1" l="1"/>
  <c r="C49" i="1"/>
  <c r="B51" i="1" l="1"/>
  <c r="C50" i="1"/>
  <c r="B52" i="1" l="1"/>
  <c r="C51" i="1"/>
  <c r="C52" i="1" l="1"/>
  <c r="B53" i="1"/>
  <c r="C53" i="1" l="1"/>
  <c r="B54" i="1"/>
  <c r="B55" i="1" l="1"/>
  <c r="B56" i="1" s="1"/>
  <c r="C54" i="1"/>
  <c r="C55" i="1" l="1"/>
  <c r="B58" i="1" l="1"/>
  <c r="C56" i="1"/>
  <c r="B59" i="1" l="1"/>
  <c r="C58" i="1"/>
  <c r="B60" i="1" l="1"/>
  <c r="C59" i="1"/>
  <c r="C60" i="1" l="1"/>
  <c r="B61" i="1"/>
  <c r="B62" i="1" l="1"/>
  <c r="C61" i="1"/>
  <c r="B63" i="1" l="1"/>
  <c r="C62" i="1"/>
  <c r="B64" i="1" l="1"/>
  <c r="B65" i="1" s="1"/>
  <c r="C63" i="1"/>
  <c r="C64" i="1" l="1"/>
  <c r="B67" i="1" l="1"/>
  <c r="C65" i="1"/>
  <c r="B68" i="1" l="1"/>
  <c r="C67" i="1"/>
  <c r="B69" i="1" l="1"/>
  <c r="C68" i="1"/>
  <c r="B70" i="1" l="1"/>
  <c r="C69" i="1"/>
  <c r="B71" i="1" l="1"/>
  <c r="C70" i="1"/>
  <c r="C71" i="1" l="1"/>
  <c r="B72" i="1"/>
  <c r="B73" i="1" l="1"/>
  <c r="B74" i="1" s="1"/>
  <c r="C72" i="1"/>
  <c r="C73" i="1" l="1"/>
  <c r="B77" i="1" l="1"/>
  <c r="C74" i="1" l="1"/>
  <c r="B78" i="1" l="1"/>
  <c r="C77" i="1"/>
  <c r="C78" i="1" l="1"/>
  <c r="B79" i="1"/>
  <c r="C79" i="1" s="1"/>
  <c r="B81" i="1" s="1"/>
  <c r="B82" i="1" l="1"/>
  <c r="C81" i="1"/>
  <c r="B83" i="1" l="1"/>
  <c r="C82" i="1"/>
  <c r="C83" i="1" l="1"/>
  <c r="B84" i="1"/>
  <c r="B85" i="1" l="1"/>
  <c r="C84" i="1"/>
  <c r="C85" i="1" l="1"/>
  <c r="B86" i="1"/>
  <c r="B87" i="1" l="1"/>
  <c r="C86" i="1"/>
  <c r="C87" i="1" l="1"/>
  <c r="B88" i="1"/>
  <c r="B89" i="1" s="1"/>
  <c r="C88" i="1" l="1"/>
  <c r="B91" i="1" l="1"/>
  <c r="C89" i="1"/>
  <c r="B92" i="1" l="1"/>
  <c r="C91" i="1"/>
  <c r="B93" i="1" l="1"/>
  <c r="C92" i="1"/>
  <c r="B94" i="1" l="1"/>
  <c r="B95" i="1" s="1"/>
  <c r="C93" i="1"/>
  <c r="C94" i="1" l="1"/>
  <c r="C95" i="1" l="1"/>
  <c r="B97" i="1"/>
  <c r="B98" i="1" l="1"/>
  <c r="C97" i="1"/>
  <c r="B99" i="1" l="1"/>
  <c r="C98" i="1"/>
  <c r="B100" i="1" l="1"/>
  <c r="C99" i="1"/>
  <c r="B101" i="1" l="1"/>
  <c r="C100" i="1"/>
  <c r="B102" i="1" l="1"/>
  <c r="C101" i="1"/>
  <c r="B103" i="1" l="1"/>
  <c r="C102" i="1"/>
  <c r="C103" i="1" l="1"/>
  <c r="B104" i="1"/>
  <c r="C104" i="1" l="1"/>
  <c r="B105" i="1"/>
  <c r="B106" i="1" l="1"/>
  <c r="C105" i="1"/>
  <c r="C106" i="1" l="1"/>
  <c r="B107" i="1"/>
  <c r="B108" i="1" l="1"/>
  <c r="B110" i="1" s="1"/>
  <c r="B111" i="1" s="1"/>
  <c r="C107" i="1"/>
  <c r="C108" i="1" l="1"/>
  <c r="C110" i="1" l="1"/>
  <c r="C111" i="1" l="1"/>
  <c r="B112" i="1"/>
  <c r="C112" i="1" s="1"/>
  <c r="C114" i="1" s="1"/>
</calcChain>
</file>

<file path=xl/sharedStrings.xml><?xml version="1.0" encoding="utf-8"?>
<sst xmlns="http://schemas.openxmlformats.org/spreadsheetml/2006/main" count="605" uniqueCount="360">
  <si>
    <t xml:space="preserve">Unique number assigned by DRC </t>
  </si>
  <si>
    <t>Length</t>
  </si>
  <si>
    <t>Field Name</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</si>
  <si>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</si>
  <si>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</si>
  <si>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</si>
  <si>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</si>
  <si>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Y = Yes
N = No</t>
  </si>
  <si>
    <t>1</t>
  </si>
  <si>
    <t>District Code</t>
  </si>
  <si>
    <t>School Code</t>
  </si>
  <si>
    <t>District Name</t>
  </si>
  <si>
    <t>School Name</t>
  </si>
  <si>
    <t>Summarized Grade</t>
  </si>
  <si>
    <t>F = Female
M = Male
I = Invalid</t>
  </si>
  <si>
    <t>File Creation Date and Time Stamp</t>
  </si>
  <si>
    <t>Date the file was generated</t>
  </si>
  <si>
    <t>Value of "Y" will only appear in the final LDESTD file.</t>
  </si>
  <si>
    <t>Summarized Migrant Status</t>
  </si>
  <si>
    <t>Initial version in new format for 2008 administration</t>
  </si>
  <si>
    <t>Jamie Kubik</t>
  </si>
  <si>
    <t>Month of test</t>
  </si>
  <si>
    <t>Year of test</t>
  </si>
  <si>
    <t>Summarized Gender</t>
  </si>
  <si>
    <t>Summarized LEP Status</t>
  </si>
  <si>
    <t>Y = LEP
N = Not LEP</t>
  </si>
  <si>
    <t xml:space="preserve">Bubbled Accountability Code </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</si>
  <si>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</si>
  <si>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</si>
  <si>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</si>
  <si>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</si>
  <si>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</si>
  <si>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</si>
  <si>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</si>
  <si>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</si>
  <si>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</si>
  <si>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</si>
  <si>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</si>
  <si>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Bubbled Optional Local Use</t>
  </si>
  <si>
    <t>Assess Group Type</t>
  </si>
  <si>
    <t>Included in N-Counts - ELA</t>
  </si>
  <si>
    <t>Included in N-Counts - Math</t>
  </si>
  <si>
    <t>Included in N-Counts - Science</t>
  </si>
  <si>
    <t>Rollup to State</t>
  </si>
  <si>
    <t>Summarize to Assess Group Code for District Level Reporting</t>
  </si>
  <si>
    <t>Schools summarized to LEA Code for district level reporting</t>
  </si>
  <si>
    <t>Y = student classified as a straggler
N = student not classified as a straggler</t>
  </si>
  <si>
    <t>Bubbled Test Administrator Number</t>
  </si>
  <si>
    <t>Added 'Task Description' field in pos. 179.  Shifted subsequent fields one position up to filler in pos. 268.</t>
  </si>
  <si>
    <t>Added SEM values to positions 443-448, 469-474, and 495-500</t>
  </si>
  <si>
    <t>Positions 540-549 were revised to allow for separate Roster and SR flags per subject (ELA/Math and SCI).</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</si>
  <si>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</si>
  <si>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</si>
  <si>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</si>
  <si>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</si>
  <si>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</si>
  <si>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</si>
  <si>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</si>
  <si>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</si>
  <si>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</si>
  <si>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</si>
  <si>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</si>
  <si>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</si>
  <si>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</si>
  <si>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Summarized DOB Day</t>
  </si>
  <si>
    <t>Assistive Technology</t>
  </si>
  <si>
    <t>Task Descriptions</t>
  </si>
  <si>
    <t>Other</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</si>
  <si>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</si>
  <si>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</si>
  <si>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</si>
  <si>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</si>
  <si>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</si>
  <si>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</si>
  <si>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</si>
  <si>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</si>
  <si>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</si>
  <si>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</si>
  <si>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</si>
  <si>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</si>
  <si>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</si>
  <si>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</si>
  <si>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</si>
  <si>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</si>
  <si>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</si>
  <si>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ACCOUNTABILITY FIELDS</t>
  </si>
  <si>
    <t>Record Length:</t>
  </si>
  <si>
    <t>Filler position 268 was changed to the LAP Homeless Flag.</t>
  </si>
  <si>
    <t>Assess group value descriptions in position 94-95 were changed to use 'OJJ' instead of 'OYD' and a value of "13" was added for NPS.</t>
  </si>
  <si>
    <t>E</t>
  </si>
  <si>
    <t>K, E</t>
  </si>
  <si>
    <t>Position 128 was changed to Document Grade instead of Grade Span and became a two-position field (128-129)</t>
  </si>
  <si>
    <t>Position 129-130 was changed from Bubbled Grade to Bubbled PreGED/Skills.  The field was reduced to a single position (130).</t>
  </si>
  <si>
    <t>Added bubbled Gender (pos. 269) and Ethnicity (pos. 270), replacing to of the following filler positions.</t>
  </si>
  <si>
    <t>Removed value 17 and added value 99 to position 176-177.</t>
  </si>
  <si>
    <t>In pos. 94-95, 11=RSD was removed and 14=RLA, 15=RNO were added.</t>
  </si>
  <si>
    <t>FILLER</t>
  </si>
  <si>
    <t>Jennifer Klein</t>
  </si>
  <si>
    <t>Changed position 246-254, LA Generated ID, to Filler.</t>
  </si>
  <si>
    <t>Added possible values and detail to the description/comments column for positions 117-125 that "*" and " " values are changed to "-".</t>
  </si>
  <si>
    <t xml:space="preserve">Added possible value of "4 = Career Diploma" to position 133, LAP Option Code.  </t>
  </si>
  <si>
    <t>Added additional detail to the description/comments column for positions 135-142, DOB, that "*" and " " values are changed to "-".</t>
  </si>
  <si>
    <t>Added description/comments for position 155, LAP Primary Exceptionality Code.</t>
  </si>
  <si>
    <t>Updated the Scoring Information, positions 427-494, for each subject to further clarify the possible values for Raw Score Total and Raw Scores.</t>
  </si>
  <si>
    <t>Removed possible value of "03 = LEP but passed first parts of ELDA" from position 151-152.</t>
  </si>
  <si>
    <t>Added 'K, E' to the Field Use column for DRC Unique ID.</t>
  </si>
  <si>
    <t>Added possible value of "3 = LEP current year" to position 150.</t>
  </si>
  <si>
    <t>Changed position 583-588, Updated Routing Sitecode, to Filler.</t>
  </si>
  <si>
    <t>Summarized Ethnicity/Race</t>
  </si>
  <si>
    <t>Removed '09' as a possible value from the LAP Grade field position 126 - 127 and the Document Grade field position 128-129. (not testing grade 9 starting Spring 2011)</t>
  </si>
  <si>
    <t>Removed the Bubbled PreGED/Skills field from position 130 and replaced with FILLER.</t>
  </si>
  <si>
    <t>Heidi Bjugstad</t>
  </si>
  <si>
    <t>Removed 'PreGED/Skills' as a possible value from the LAP Option Code field, position 133.</t>
  </si>
  <si>
    <t>Removed the Summarized PreGed/Skills field from position 134 and replaced with FILLER.</t>
  </si>
  <si>
    <t>Updated the file heading from 'Complete' to 'Final file_Assessment and Accountability Staff'.</t>
  </si>
  <si>
    <t>Updated the Research and Simple column fields to be Researcher and LDE Staff &amp; Contractors.</t>
  </si>
  <si>
    <t>Added Charter Type field to position 538.</t>
  </si>
  <si>
    <t>Summarized McKinney-Vento Act (Homeless)</t>
  </si>
  <si>
    <t xml:space="preserve">Y = Yes
N = No    </t>
  </si>
  <si>
    <t xml:space="preserve">Added Bubbled and Summarized McKinney-Vento Act (Homeless) flags to positions 282-283. </t>
  </si>
  <si>
    <t>Updated FILLER at position 284 to length of 3.</t>
  </si>
  <si>
    <t>Charter Type</t>
  </si>
  <si>
    <t>Added a business rule for the Scoring Study Flag logic, position 543.</t>
  </si>
  <si>
    <t>Added a business rule to reference the School Roster Report section of the Processing Rules - Reporting document to the ELA/Math and SCI on Roster flags in positions 544 - 545.</t>
  </si>
  <si>
    <t>Added a business rule to reference the Student Reports section of the Processing Rules - Reporting document to the Student Report ELA/Math and Science flags in positions 546-547.</t>
  </si>
  <si>
    <t>Added a business rule to reference the Student Label section of the Processing Rules - Reporting document to the Student Label flag in position 548.</t>
  </si>
  <si>
    <t>Removed '09' as a possible value from the Summarized Grade field, position 131-132.</t>
  </si>
  <si>
    <t>Updated the Include in N-Counts business rule to reference the new Include in N-Counts section in the Scoring Processing Rules for how the flags are set positions 531-533.</t>
  </si>
  <si>
    <t>Removed the LAP Ethnicity field from position 145 and replaced with FILLER.</t>
  </si>
  <si>
    <t>Changed the values for the following fields from "N" to "Y" for the Researcher/Staff and Contractors Files per the RWS: positions 262-267, 550, 551, 553.</t>
  </si>
  <si>
    <t>Added Home-base District Site Code to positions 246-248.</t>
  </si>
  <si>
    <t>Added Home-base School Site Code to positions 249-251.</t>
  </si>
  <si>
    <t>Updated the LDE Unique ID field to be named LDE Unique ID (GUID) and updated the length from 7 to 10 in positions 252-261.</t>
  </si>
  <si>
    <t>The DRC Unique ID (position 262-267) will now be included in both the Researcher and LDE Staff and Contractors files per the RWS.</t>
  </si>
  <si>
    <t>Added Bubbled Ethnicity/Race fields to positions 270-275.</t>
  </si>
  <si>
    <t xml:space="preserve">Added to LAP Ethnicity/Race field at positions 276-281. </t>
  </si>
  <si>
    <t>Added a business rule to reference the Rules to Determine Demographic Values section of the Processing Rules - Scoring document: positions 131-132, 135-142, 144, 146, 149, 154, 176-177, 183, 283.</t>
  </si>
  <si>
    <t>Updated the field name and Summarized Ethnicity/Race possible values in pos. 146.</t>
  </si>
  <si>
    <t>Renamed LAP Homeless Flag to LAP McKinney-Vento (Homeless) Flag, position 268.</t>
  </si>
  <si>
    <t>Added possible value 16 = JUV to the Assess Group Type field in position 94-95.</t>
  </si>
  <si>
    <t>ASSESSMENT/ACCOUNTABILITY INFORMATION</t>
  </si>
  <si>
    <t>Precoded Site Code</t>
  </si>
  <si>
    <r>
      <t xml:space="preserve">Extended the file layout from </t>
    </r>
    <r>
      <rPr>
        <b/>
        <sz val="10"/>
        <rFont val="Arial"/>
        <family val="2"/>
      </rPr>
      <t>677</t>
    </r>
    <r>
      <rPr>
        <sz val="10"/>
        <rFont val="Arial"/>
        <family val="2"/>
      </rPr>
      <t xml:space="preserve"> to </t>
    </r>
    <r>
      <rPr>
        <b/>
        <sz val="10"/>
        <rFont val="Arial"/>
        <family val="2"/>
      </rPr>
      <t>703</t>
    </r>
    <r>
      <rPr>
        <sz val="10"/>
        <rFont val="Arial"/>
        <family val="2"/>
      </rPr>
      <t>.</t>
    </r>
  </si>
  <si>
    <t>Moved File Creation Date and Timestamp from 659-677 to positions 685-703.</t>
  </si>
  <si>
    <t>Added "Precoded Site Code", "Entry Code", "Entry Date", "Exit Code", and "Exit Date" fields in positions 659-684.</t>
  </si>
  <si>
    <t>Clarified the Homebased Site Code Description/Comments in positions 246-251.</t>
  </si>
  <si>
    <t xml:space="preserve">The Entry and Exit Dates were received on the March LAP file in the incorrect format of MMDDYYYY.  The LDESTD file layout for the Entry Date (667-674) and Exit Date (677-684)  have been changed to MMDDYYYY for Spring 2011 processing in order to accommodate the pass through of LAP file information. </t>
  </si>
  <si>
    <t>C</t>
  </si>
  <si>
    <t>E, C</t>
  </si>
  <si>
    <t>Breanna Squire</t>
  </si>
  <si>
    <t>1 = Yes
- = No (document returned)
Blank = document not returned</t>
  </si>
  <si>
    <t>3 digit district code for the home-base Site 
Blank</t>
  </si>
  <si>
    <t>3 digit school code for the home-base Site 
Blank</t>
  </si>
  <si>
    <t>00-99
Blank</t>
  </si>
  <si>
    <t>700-900
Blank</t>
  </si>
  <si>
    <t>EST = Exceeds Standard
MST = Meets Standard
WST = Working Toward Standard
Blank</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</si>
  <si>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</si>
  <si>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</si>
  <si>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</si>
  <si>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t>Added a note to position 538 that the Charter Type value will be blank for 888 school types as we do not receive 888 schools on the School Master File.</t>
  </si>
  <si>
    <t>Charter Type as flagged in the School Master File.
Blank for 888 school types.</t>
  </si>
  <si>
    <t>Added "LAP" to the beginning of the Entry Code, Exit Code, Entry Date, and Exit Date field names as these values come from the LAP file.  Added "Blank" as a possible value for hand coded records that could not be matched back to LAP, and clarified the Description/Comments to include when the value will be blank for positions 665-684.</t>
  </si>
  <si>
    <t>Changed "LAP Grade" to "LAP Grade Placement" in position 126-127 to match the field name used in the LAP File Layout.</t>
  </si>
  <si>
    <t>Changed "LAP Lunch Status" to "LAP Free/Reduced Lunch" in position 147 to match the field name used in the LAP File Layout.</t>
  </si>
  <si>
    <t>LAP LEP Indicator Code</t>
  </si>
  <si>
    <t>Changed "LAP LEP Status" to "LAP LEP Code" in position 151-152 to match the field name used in the LAP File Layout.  Corrected the possible value descriptions to match the descriptions used in the LAP file.</t>
  </si>
  <si>
    <t>LAP Primary Exceptionality</t>
  </si>
  <si>
    <t xml:space="preserve">Changed "LAP Primary Exceptionality Code" to "LAP Primary Exceptionality" in position 155-156 to match the field name used in the LAP File Layout. </t>
  </si>
  <si>
    <t xml:space="preserve">Changed "LAP McKinney-Vento Act (Homeless) Flag" to "LAP McKinney-Vento (Homeless) Flag" in position 268 to match the field name used in the LAP File Layout. </t>
  </si>
  <si>
    <t xml:space="preserve">Changed "LAP Migrant Status" to "LAP Migrant Flag" in position 181 to match the field name used in the LAP File Layout. </t>
  </si>
  <si>
    <t>LAP Home-base Site District Code</t>
  </si>
  <si>
    <t>LAP Home-base Site School Code</t>
  </si>
  <si>
    <t xml:space="preserve">Changed "Home-base District Site Code" to "LAP Home-base Site District Code" in position 246-248 to match the field name used in the LAP File Layout. </t>
  </si>
  <si>
    <t xml:space="preserve">Changed "Home-base School Site Code" to "LAP Home-base Site School Code" in position 249-251 to match the field name used in the LAP File Layout. </t>
  </si>
  <si>
    <t>6 digit site code
Blank</t>
  </si>
  <si>
    <t>1 = Hispanic/Latino
2 = American Indian or Alaska Native
3 = Asian
4 = Black or African American
5 = Native Hawaiian or Other Pacific Islander
6 = White
7 = Two or more races
I = Invalid</t>
  </si>
  <si>
    <t>Changed  Summarized Ethnicity/Race Possible Value 2 from "American Indian or Alaskan Native" to "American Indian or Alaska Native" in position 146.</t>
  </si>
  <si>
    <t>Added (0-9 or - in any position) after 00-39 in Summarized DOB Day in positions 137-138 for clarification and removed "-- (default)".</t>
  </si>
  <si>
    <t>Changed Include in Researcher file? And Include in LDE Staff &amp; Contractor file? Flags from "Y" to "N" for the LAP LEP Code in position 151-152, and LAP Migrant Flag in position 181.  These fields have Summarized values that are included in those files so the LAP values do not need to be included.</t>
  </si>
  <si>
    <t>0-9, - , or *  in each position
---------- = No response (document returned)
Blank = document not returned</t>
  </si>
  <si>
    <t>Updated Possible Values from "0000000000-9999999999" to "0-9, - , or *  in each position",  "---------- = No response (document returned)", and "Blank = document not returned" for the Bubbled Optional Local Use field in position 184-193.</t>
  </si>
  <si>
    <t>Y = Subject was attempted
N = Subject was not attempted</t>
  </si>
  <si>
    <t>0 = in SIS, not LEP prior 2 yrs
1 = LEP 1 yr prior
2 = LEP 2 yrs prior
3 = LEP current year
Blank = not in SIS prior 2 years</t>
  </si>
  <si>
    <t>Changed "LAP LEP 2 Yr. Flag" to "LAP LEP Indicator Code" in position 150 to match the field name used in the LAP File Layout which was updated for Spring 2012.  Added "Blank for hand-coded document that could not be matched back to the LAP file." to the Descriptions/Notes column.</t>
  </si>
  <si>
    <t>Added Possible Values and "Blank for a hand-coded document that could not be matched back to the LAP file." rule to the Description/Notes column for the Precoded Site Code field in positions 659-664.</t>
  </si>
  <si>
    <t>01-99
Blank</t>
  </si>
  <si>
    <t xml:space="preserve">Changed "LDE Unique ID (GUID)" to "LAP LDE Unique ID (GUID)" in position 252-261 to match the field name used in the LAP File Layout. </t>
  </si>
  <si>
    <r>
      <t>Added "C" to the Field Use Column for the fields that are updated when the OCS Extract is applied</t>
    </r>
    <r>
      <rPr>
        <sz val="10"/>
        <color indexed="10"/>
        <rFont val="Arial"/>
        <family val="2"/>
      </rPr>
      <t>.</t>
    </r>
  </si>
  <si>
    <t>Added reference to Accountability Code for Testing document for positions 569-574, Updated Accountability Code fields.</t>
  </si>
  <si>
    <t>DRC Unique Student ID</t>
  </si>
  <si>
    <t xml:space="preserve">Changed "DRC Unique ID" to "DRC Unique Student ID" in position 262-267 to match the field name used in the other administrations. </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</si>
  <si>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</si>
  <si>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</si>
  <si>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</si>
  <si>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</si>
  <si>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</si>
  <si>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</si>
  <si>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</si>
  <si>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</si>
  <si>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</si>
  <si>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Changed "Raw Score Total" to "Raw Score Total - ELA" in position 427-428 for consistency across projects within the Source Location column of the Accountability File layout.</t>
  </si>
  <si>
    <t>Changed "Scaled Score" to "Scaled Score - ELA" in position 429-431 for consistency across projects within the Source Location column of the Accountability File layout.</t>
  </si>
  <si>
    <t>Changed "Assessment Achievement Level" to "Assessment Achievement Level - ELA" in position 432-434 for consistency across projects within the Source Location column of the Accountability File layout.</t>
  </si>
  <si>
    <t>Changed "Raw Score Total" to "Raw Score Total - Math" in position 453-454 for consistency across projects within the Source Location column of the Accountability File layout.</t>
  </si>
  <si>
    <t>Changed "Scaled Score" to "Scaled Score - Math" in position 455-457 for consistency across projects within the Source Location column of the Accountability File layout.</t>
  </si>
  <si>
    <t>Changed "Assessment Achievement Level" to "Assessment Achievement Level - Math" in position 458-460 for consistency across projects within the Source Location column of the Accountability File layout.</t>
  </si>
  <si>
    <t>Changed "Scaled Score" to "Scaled Score - Science" in position 481-483 for consistency across projects within the Source Location column of the Accountability File layout.</t>
  </si>
  <si>
    <t>Changed "Assessment Achievement Level" to "Assessment Achievement Level - Science" in position 484-486 for consistency across projects within the Source Location column of the Accountability File layout.</t>
  </si>
  <si>
    <t>Removed "1980-2009" and "---- (default)" in Summarized DOB Year in positions 139-142.  The year value listed was just the bubbled DOB Year range.  The LAP DOB Year value may be outside of the bubbled year values that were previously listed so the range was removed.</t>
  </si>
  <si>
    <t>Removed "1" from the LAP Option Code possible values as it is not a valid value for LAA 1 students in the LAP file in position 133.  Added possible value "5" Non-Diploma Bound as a new possible value.</t>
  </si>
  <si>
    <t>Changed  Bubbled "American Indian or Alaskan Native" to  "American Indian or Alaska Native" in position 271 to match the  name used on the Response Document.</t>
  </si>
  <si>
    <t>Changed "LAP American Indian or Alaskan Native" to "LAP American Indian or Alaska Native" in position 277 to match the field name used in the LAP File Layout.  Updated the possible value description from "Alaskan" to "Alaska".</t>
  </si>
  <si>
    <t>Changed "0-2 = item score" to "0-2 = original item score" for the Item Response possible values in positions 287-381.  The LAA1LDESTD file will now contain the original scored responses without auto or partial credit applied. (Logic Change)</t>
  </si>
  <si>
    <t>Changed "Raw Score Total" to "Raw Score Total - Science" in position 479-480 for consistency across projects within the Source Location column of the Accountability File layout.</t>
  </si>
  <si>
    <t>Removed "(default)" from the possible value "--" for Summarized DOB Month in position 135-136.</t>
  </si>
  <si>
    <t>Added the notes from the Updated Accountability Code field's Description/Comments  to the Description/Comments field for Bubbled Accountability Code in position 567-568.</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</si>
  <si>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</si>
  <si>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Description/Note for the Raw Score fields to show that the value includes automatic or partial credit if applied in positions 427-428, 435-438, 453-454, 464-468, 479-480, and 487-494.</t>
  </si>
  <si>
    <t>01-34
Blank</t>
  </si>
  <si>
    <t>Changed Include in Researcher file? And Include in LDE Staff &amp; Contractor file? Flags from "N" to "Y" for the Scoring Study Flag in position 543.</t>
  </si>
  <si>
    <t>Changed Include in Researcher file? And Include in LDE Staff &amp; Contractor file? Flags from "Y" to "N" for the Bubbled Special Education Exceptionality Categories in position 159-175.  These fields have Summarized values that are included in those files so the LAP values do not need to be included.</t>
  </si>
  <si>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</si>
  <si>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</si>
  <si>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</si>
  <si>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t>Updated the Description/Comments to ensure that all LAP fields had the same statements: 
As flagged on the LAP file.
Blank for a hand-coded document that could not be matched back to the LAP file.</t>
  </si>
  <si>
    <t>Removed the following from the Description/Comments column for the Updated Accountability Code fields in positions 569-574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</si>
  <si>
    <t xml:space="preserve">Updated the Description/Comments section for the ELA, Math, and Science Scoring Sections to clarify when the values will be blank.  The rules now match how they are documented in LEAP/GEE and iLEAP. </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</si>
  <si>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</si>
  <si>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Bubbled Special Education Exceptionality Category</t>
  </si>
  <si>
    <t>01 = LEA
02 = LAB
03 = CHA
04 = TRI
05 = NPB
06 = STA
08 = BSE
09 = OJJ
10 = MAR
12 = RES
13 = NPS
14 = RLA
15 = RNO
16 = JUV
17 = RBR</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</si>
  <si>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</si>
  <si>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</si>
  <si>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</si>
  <si>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Added a description for the Assess Group Type field to show that it is derived from the school's Assess Group Code value.</t>
  </si>
  <si>
    <t>As flagged on the LAP file.
Blank for a hand-coded document that could not be matched back to the LAP file.</t>
  </si>
  <si>
    <t>As flagged on the LAP file.
Blank for a hand-coded document that could not be matched back to the LAP file, or if the value was blank on the LAP file.</t>
  </si>
  <si>
    <t>Added the reference "Refer to the Test Taken section in the Processing Rules - Materials and Scoring document for rules on populating these values." in the Test Taken Flag fields pos. 535-357</t>
  </si>
  <si>
    <t>Mallory Johannes</t>
  </si>
  <si>
    <t>Updated the year value in the Project Name to "2013".</t>
  </si>
  <si>
    <t>Added additional detail to the description/comments column for positions 96-115 that "*", "-", and "_" values are changed to spaces, and then the spaces are removed by compressing the values from the name fields.</t>
  </si>
  <si>
    <t>Changed the values for the following fields from "Y" to "N" for the Researcher/Staff and Contractors Files per the RWS:
   Staff File only: position 153
   Researcher and Staff and Contractors file: positions 126-129, 143, 147, 157-158, 268, 619-625, 627-634.</t>
  </si>
  <si>
    <t xml:space="preserve">Updated the reference within the Description/Comments column in position 569-574, Updated Accountability Code, to provide the new location of the  Accountability Codes List in it's own document on the FTP site.
</t>
  </si>
  <si>
    <t>Updated the reference within the Description/Comments column in position 550-560, Assessment Rollup and Inclusion Flags, to provide the new location of the  Reporting Summarization and Delivery Table and Table of Districts/School Types Included on Each Report as they are now in the Common Louisiana Processing Rules - Reporting document.</t>
  </si>
  <si>
    <t>YYYY</t>
  </si>
  <si>
    <t>Y= indicates student has an approved 
     scholarship
N= indicates student does not have an 
     approved scholarship
Blank</t>
  </si>
  <si>
    <t>As bubbled on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</si>
  <si>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</si>
  <si>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t>Summarized Special Education Exceptionality Category</t>
  </si>
  <si>
    <t>Updated field name "Summarized Exceptionality Category" to "Summarized Special Education Exceptionality Category" in pos. 176-177 for consistency across all admins.</t>
  </si>
  <si>
    <t>Updated field name "ELA Item Responses" to "English Language Arts Item Responses" in pos. 287-311 for consistency across all admins.</t>
  </si>
  <si>
    <t>Updated field name "School Roster - SCI" to "School Roster - Science" in pos. 545 for consistency across all admins.</t>
  </si>
  <si>
    <t>Updated field name "Student Report - SCI" to "Student Report - Science" in pos. 547 for consistency across all admins.</t>
  </si>
  <si>
    <t>Updated field name "Student Reports (SR)" to "Student Reports" in pos. 559 for consistency across all admins.</t>
  </si>
  <si>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Option Code pos. 133, LAP Free/Reduced Lunch pos. 147, LAP LEP Indicator Code pos. 150, LAP LEP Code pos.151-152, LAP Primary Exceptionality pos. 155-156, LAP Exceptionality Category pos. 157-158, LAP Migrant Flag pos. 181, LAP Home-base Site District Code pos. 246-248, LAP Home-base Site School Code pos. 249-251, LAP McKinney-Vento (Homeless) Flag pos. 268, LAP March Update Flag pos. 539, LAP Exit Code pos. 675-676, LAP Exit Date pos. 677-684.</t>
  </si>
  <si>
    <t>Added a Business Rule to the Accountability Achievement Level - &lt;subject&gt; in pos. 589-591, 592-594, and 595-597 to refer to the Resulting LDESTD Values by Subject table in the Processing Rules - Materials and Scoring document for the logic to set the Accountability Achievement Level for each subject.</t>
  </si>
  <si>
    <r>
      <rPr>
        <b/>
        <sz val="10"/>
        <rFont val="Arial"/>
        <family val="2"/>
      </rPr>
      <t xml:space="preserve">(Logic Change) </t>
    </r>
    <r>
      <rPr>
        <sz val="10"/>
        <rFont val="Arial"/>
        <family val="2"/>
      </rPr>
      <t>Added possible value "17 = RBR" to the Assess Group Type field in pos. 94-95.</t>
    </r>
  </si>
  <si>
    <r>
      <rPr>
        <b/>
        <sz val="10"/>
        <rFont val="Arial"/>
        <family val="2"/>
      </rPr>
      <t xml:space="preserve">(Logic Change) </t>
    </r>
    <r>
      <rPr>
        <sz val="10"/>
        <rFont val="Arial"/>
        <family val="2"/>
      </rPr>
      <t>Added possible values "7 = Student Pursuing State approved Skills Certificate after participation in Connections Process" and "8 = Student Pursuing GED after participation in Connections process" to the LAP Option Code field in pos. 133.</t>
    </r>
  </si>
  <si>
    <r>
      <rPr>
        <b/>
        <sz val="10"/>
        <rFont val="Arial"/>
        <family val="2"/>
      </rPr>
      <t xml:space="preserve">(Logic Change) </t>
    </r>
    <r>
      <rPr>
        <sz val="10"/>
        <rFont val="Arial"/>
        <family val="2"/>
      </rPr>
      <t>The Bubbled Routing Sitecode field in pos. 577-582 was removed as that field was grayed out in the Response Document. Routing Information is no longer being collected on the Response Document. The length of the FILLER field in position 575 was updated to 14.</t>
    </r>
  </si>
  <si>
    <r>
      <rPr>
        <b/>
        <sz val="10"/>
        <rFont val="Arial"/>
        <family val="2"/>
      </rPr>
      <t xml:space="preserve">(Logic Change) </t>
    </r>
    <r>
      <rPr>
        <sz val="10"/>
        <rFont val="Arial"/>
        <family val="2"/>
      </rPr>
      <t>Added the LAP Scholarship Student Flag field in pos. 598 (previously FILLER).</t>
    </r>
  </si>
  <si>
    <r>
      <rPr>
        <b/>
        <sz val="10"/>
        <rFont val="Arial"/>
        <family val="2"/>
      </rPr>
      <t xml:space="preserve">(Logic Change) </t>
    </r>
    <r>
      <rPr>
        <sz val="10"/>
        <rFont val="Arial"/>
        <family val="2"/>
      </rPr>
      <t>Added the LAP Scholarship Site Code field in pos. 599-604 (previously FILLER).</t>
    </r>
  </si>
  <si>
    <r>
      <rPr>
        <b/>
        <sz val="10"/>
        <rFont val="Arial"/>
        <family val="2"/>
      </rPr>
      <t xml:space="preserve">(Logic Change) </t>
    </r>
    <r>
      <rPr>
        <sz val="10"/>
        <rFont val="Arial"/>
        <family val="2"/>
      </rPr>
      <t>Added the LAP Residence_LEA field in pos. 605-607 (previously FILLER).</t>
    </r>
  </si>
  <si>
    <r>
      <rPr>
        <b/>
        <sz val="10"/>
        <rFont val="Arial"/>
        <family val="2"/>
      </rPr>
      <t>(Logic Change)</t>
    </r>
    <r>
      <rPr>
        <sz val="10"/>
        <rFont val="Arial"/>
        <family val="2"/>
      </rPr>
      <t>Updated the length of FILLER in position 608 to a length of 10.</t>
    </r>
  </si>
  <si>
    <r>
      <rPr>
        <b/>
        <sz val="10"/>
        <rFont val="Arial"/>
        <family val="2"/>
      </rPr>
      <t xml:space="preserve">(Logic Change) </t>
    </r>
    <r>
      <rPr>
        <sz val="10"/>
        <rFont val="Arial"/>
        <family val="2"/>
      </rPr>
      <t>The Document Spray Value in pos. 641-658 was removed and replaced with filler as the Document Spray Value will be replaced with "Serial Number" to match LEAP/GEE.</t>
    </r>
  </si>
  <si>
    <r>
      <rPr>
        <b/>
        <sz val="10"/>
        <rFont val="Arial"/>
        <family val="2"/>
      </rPr>
      <t xml:space="preserve">(Logic Change) </t>
    </r>
    <r>
      <rPr>
        <sz val="10"/>
        <rFont val="Arial"/>
        <family val="2"/>
      </rPr>
      <t>Updated the length of Batch Number in position 635-642 from a length of 6 to 8 to accommodate more batches.</t>
    </r>
  </si>
  <si>
    <r>
      <rPr>
        <b/>
        <sz val="10"/>
        <rFont val="Arial"/>
        <family val="2"/>
      </rPr>
      <t xml:space="preserve">(Logic Change) </t>
    </r>
    <r>
      <rPr>
        <sz val="10"/>
        <rFont val="Arial"/>
        <family val="2"/>
      </rPr>
      <t>Added the field Serial Number in pos. 643-648 (previously FILLER).</t>
    </r>
  </si>
  <si>
    <t>Updated field name "Bubbled LEP Status" to "Bubbled Limited English Proficient (LEP) Status" in pos. 150 for consistency across all admins.</t>
  </si>
  <si>
    <r>
      <t xml:space="preserve">(Logic change) </t>
    </r>
    <r>
      <rPr>
        <sz val="10"/>
        <rFont val="Arial"/>
        <family val="2"/>
      </rPr>
      <t>Changed field position 675-676, LAP Exit Code, to FILLER, as this field is only populated in the June version of the LAP file.</t>
    </r>
  </si>
  <si>
    <r>
      <rPr>
        <b/>
        <sz val="10"/>
        <rFont val="Arial"/>
        <family val="2"/>
      </rPr>
      <t xml:space="preserve">(Logic change) </t>
    </r>
    <r>
      <rPr>
        <sz val="10"/>
        <rFont val="Arial"/>
        <family val="2"/>
      </rPr>
      <t>Changed field position 677-684, LAP Exit Date, to FILLER, as this field is only populated in the June version of the LAP file.</t>
    </r>
  </si>
  <si>
    <t>Updated the Business Rule Column in positions 427-428 Raw Score Total - ELA, pos. 453-454 Raw Score Total - Math, and pos. 479-480 Raw Score Total - Science, to remove the "Blank when &lt;subject&gt; not attempted or document not returned" and replace it with a reference to the Resulting LAA1LDESTD Values by Subject table for setting this value.</t>
  </si>
  <si>
    <t>Updated the Business Rule Column in positions 429-431 Scaled Score - ELA, pos. 455-457 Scaled Score - Math, and pos. 481-483 Scaled Score - Science, to remove the "Blank when Raw Score Total - &lt;subject&gt; is blank" and replace it with a reference to the Resulting LAA1LDESTD Values by Subject table for setting this value.</t>
  </si>
  <si>
    <t>Updated the Business Rule Column in positions 432-434 Assessment Achievement Level - ELA, pos. 458-460 Assessment Achievement Level - Math, and pos. 484-486 Assessment Achievement Level - Science, to remove the "Blank when Raw Score Total - &lt;subject&gt; is blank" and replace it with a reference to the Resulting LAA1LDESTD Values by Subject table for setting this value.</t>
  </si>
  <si>
    <r>
      <rPr>
        <b/>
        <sz val="10"/>
        <rFont val="Arial"/>
        <family val="2"/>
      </rPr>
      <t>(Logic Change)</t>
    </r>
    <r>
      <rPr>
        <sz val="10"/>
        <rFont val="Arial"/>
        <family val="2"/>
      </rPr>
      <t xml:space="preserve"> Updated the "Include in Researcher file?" and "Include in LDE Staff &amp; Contractors" file from N to Y in  (Pos. 598, 599-604, 605-607 - LAP Scholarship Student Flag, LAP Scholarship Site Code and LAP Residence_LEA).</t>
    </r>
  </si>
  <si>
    <t>Debbie Williams</t>
  </si>
  <si>
    <t>Updated the year value in the Project Name to "2014".</t>
  </si>
  <si>
    <t>LAP Twin Flag</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</si>
  <si>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</si>
  <si>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Summarized Grade used for reporting.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</si>
  <si>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</si>
  <si>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</si>
  <si>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</si>
  <si>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</si>
  <si>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</si>
  <si>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ELA.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</si>
  <si>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Scoring document for the logic used to set the Asessment Achievement Level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</si>
  <si>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</si>
  <si>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Math.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</si>
  <si>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-Scoring document for the logic used to set the Assessment Achievement Level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</si>
  <si>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</si>
  <si>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</si>
  <si>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</si>
  <si>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</si>
  <si>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</si>
  <si>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-Scoring document for the logic to set these fields.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</si>
  <si>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Scoring document for the logic to set these fields.</t>
    </r>
  </si>
  <si>
    <t>Updated references to the document "Processing Rules - Materials and Scoring " to read "Processing Rules - Scoring".  (multiple locations)</t>
  </si>
  <si>
    <t>Added a "Reference Locations" tab to show the SFTP and DRC locations of documents referred to in the LDESTD File Layout.</t>
  </si>
  <si>
    <t>Removed the reference to the actual location of the Accountability Codes for Testing document statement as the location is now shown on the Reference Location tab . (Pos. 567-574)  Bubbled Accountability Code and Updated Accountability Codes.</t>
  </si>
  <si>
    <r>
      <rPr>
        <b/>
        <sz val="10"/>
        <color theme="1"/>
        <rFont val="Arial"/>
        <family val="2"/>
      </rPr>
      <t>(Logic Change)</t>
    </r>
    <r>
      <rPr>
        <sz val="10"/>
        <color theme="1"/>
        <rFont val="Arial"/>
        <family val="2"/>
      </rPr>
      <t xml:space="preserve">  Add "LAP Twin Flag" (Pos. 608).
Change (Pos. 609-617) to Filler.</t>
    </r>
  </si>
  <si>
    <r>
      <rPr>
        <b/>
        <sz val="10"/>
        <rFont val="Arial"/>
        <family val="2"/>
      </rPr>
      <t>(Logic Change)</t>
    </r>
    <r>
      <rPr>
        <sz val="10"/>
        <rFont val="Arial"/>
        <family val="2"/>
      </rPr>
      <t xml:space="preserve">  Removed Bubbled Special Education Exceptionality Category "Profound Mental Disability"  (Ref. 161) and changed it to FILLER.  </t>
    </r>
  </si>
  <si>
    <r>
      <rPr>
        <b/>
        <sz val="10"/>
        <rFont val="Arial"/>
        <family val="2"/>
      </rPr>
      <t>(Logic Change)</t>
    </r>
    <r>
      <rPr>
        <sz val="10"/>
        <rFont val="Arial"/>
        <family val="2"/>
      </rPr>
      <t xml:space="preserve"> Removed "19-Profound Mental Disability" from the LAP Exceptionality Category possible values (Pos 157-158). </t>
    </r>
  </si>
  <si>
    <r>
      <rPr>
        <b/>
        <sz val="10"/>
        <rFont val="Arial"/>
        <family val="2"/>
      </rPr>
      <t xml:space="preserve">(Logic Change)  </t>
    </r>
    <r>
      <rPr>
        <sz val="10"/>
        <rFont val="Arial"/>
        <family val="2"/>
      </rPr>
      <t>Removed #19 "Profound Mental Disability" from the possible values for Summarized Special Education Exceptionality Category. (Ref. 176-177).</t>
    </r>
  </si>
  <si>
    <t>Y = Indicated as one of the twins
N = Not a twin
Blank</t>
  </si>
  <si>
    <r>
      <rPr>
        <b/>
        <sz val="10"/>
        <rFont val="Arial"/>
        <family val="2"/>
      </rPr>
      <t xml:space="preserve">(Logic Change)  </t>
    </r>
    <r>
      <rPr>
        <sz val="10"/>
        <rFont val="Arial"/>
        <family val="2"/>
      </rPr>
      <t>The LAP Twin Flag will NOT be sent on the Researcher File, but WILL BE sent on the Staff and Contractor File.</t>
    </r>
  </si>
  <si>
    <t xml:space="preserve">Added "99" as a possible value to the Summarized Date of Birth - Month (Pos. 135-136) and the Summarized Date of Birth - Day (Pos. 137-138) and a business rule to note that this value is only valid after Online Corrections System (OCS) has been applied since this is a valid OCS value and will appear in post OCS files. </t>
  </si>
  <si>
    <r>
      <rPr>
        <b/>
        <sz val="10"/>
        <rFont val="Arial"/>
        <family val="2"/>
      </rPr>
      <t>(Logic Change)</t>
    </r>
    <r>
      <rPr>
        <sz val="10"/>
        <rFont val="Arial"/>
        <family val="2"/>
      </rPr>
      <t xml:space="preserve"> Pos. 605-607, LAP Residence_LEA field was changed to FILLER. This field is no longer populated in the LAP file.</t>
    </r>
  </si>
  <si>
    <r>
      <rPr>
        <b/>
        <sz val="10"/>
        <rFont val="Arial"/>
        <family val="2"/>
      </rPr>
      <t>(Logic change)</t>
    </r>
    <r>
      <rPr>
        <sz val="10"/>
        <rFont val="Arial"/>
        <family val="2"/>
      </rPr>
      <t xml:space="preserve"> Added "C" to the Field Use column for LAP LDE Unique ID GUID in pos. 252-261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</si>
  <si>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t>00-39 (0-9 or - in any position)
99</t>
  </si>
  <si>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</si>
  <si>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</si>
  <si>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rPr>
        <b/>
        <sz val="10"/>
        <rFont val="Arial"/>
        <family val="2"/>
      </rPr>
      <t xml:space="preserve">(Spring 2015) (Logic change) </t>
    </r>
    <r>
      <rPr>
        <sz val="10"/>
        <rFont val="Arial"/>
        <family val="2"/>
      </rPr>
      <t>Updated the possible values in pos. 117-125, State ID to note that alpha characters are possible.</t>
    </r>
  </si>
  <si>
    <r>
      <rPr>
        <b/>
        <sz val="10"/>
        <rFont val="Arial"/>
        <family val="2"/>
      </rPr>
      <t xml:space="preserve">(Spring 2015)(Logic change) </t>
    </r>
    <r>
      <rPr>
        <sz val="10"/>
        <rFont val="Arial"/>
        <family val="2"/>
      </rPr>
      <t>Pos. 599-604, LAP Scholarship Site Code, was changed to FILLER. This field is no longer populated in the LAP file.</t>
    </r>
  </si>
  <si>
    <r>
      <rPr>
        <b/>
        <sz val="10"/>
        <rFont val="Arial"/>
        <family val="2"/>
      </rPr>
      <t xml:space="preserve">(Spring 2015) (Logic change) </t>
    </r>
    <r>
      <rPr>
        <sz val="10"/>
        <rFont val="Arial"/>
        <family val="2"/>
      </rPr>
      <t>Updated the business rule in pos. 276, LAP Hispanic/Latino to note that this field will be blank if the value was blank on the LAP file since blank was added as a possible value on the LAP file.</t>
    </r>
  </si>
  <si>
    <r>
      <rPr>
        <b/>
        <sz val="11"/>
        <color theme="1"/>
        <rFont val="Calibri"/>
        <family val="2"/>
        <scheme val="minor"/>
      </rPr>
      <t xml:space="preserve">(Spring 2015) (Logic change) </t>
    </r>
    <r>
      <rPr>
        <sz val="10"/>
        <rFont val="Arial"/>
        <family val="2"/>
      </rPr>
      <t>Updated pos. 149 to be Summarized Economically Disadvantaged instead of Summarized Lunch Status. The possible values were updated to only be "1" and "0".</t>
    </r>
  </si>
  <si>
    <r>
      <rPr>
        <b/>
        <sz val="11"/>
        <color theme="1"/>
        <rFont val="Calibri"/>
        <family val="2"/>
        <scheme val="minor"/>
      </rPr>
      <t xml:space="preserve">(Spring 2015) (Logic change) </t>
    </r>
    <r>
      <rPr>
        <sz val="10"/>
        <rFont val="Arial"/>
        <family val="2"/>
      </rPr>
      <t>Updated pos. 147 to be LAP Economically Disadvantaged instead of LAP Free/Reduced Lunch. The possible values were updated to be "1", "0" and Blank.</t>
    </r>
  </si>
  <si>
    <r>
      <rPr>
        <b/>
        <sz val="10"/>
        <color theme="1"/>
        <rFont val="Arial"/>
        <family val="2"/>
      </rPr>
      <t xml:space="preserve">(Spring 2016) </t>
    </r>
    <r>
      <rPr>
        <sz val="10"/>
        <color theme="1"/>
        <rFont val="Arial"/>
        <family val="2"/>
      </rPr>
      <t>Added a note to the Last Name and First Name business rules to reflect the limited PII that will display in the full file.</t>
    </r>
  </si>
  <si>
    <r>
      <rPr>
        <b/>
        <sz val="10"/>
        <color theme="1"/>
        <rFont val="Arial"/>
        <family val="2"/>
      </rPr>
      <t>(Spring 2016)</t>
    </r>
    <r>
      <rPr>
        <sz val="10"/>
        <color theme="1"/>
        <rFont val="Arial"/>
        <family val="2"/>
      </rPr>
      <t xml:space="preserve"> Updated the State ID field in pos. 117-126 to be the LASID. Length was updated from 9 to 10 digits. Starting and ending location of the LAP Grade Placement and Document Grade fields were updated to accommodate the extra position. The FILLER field in position 130 was removed.</t>
    </r>
  </si>
  <si>
    <r>
      <rPr>
        <b/>
        <sz val="10"/>
        <color theme="1"/>
        <rFont val="Arial"/>
        <family val="2"/>
      </rPr>
      <t xml:space="preserve">(Spring 2016) </t>
    </r>
    <r>
      <rPr>
        <sz val="10"/>
        <color theme="1"/>
        <rFont val="Arial"/>
        <family val="2"/>
      </rPr>
      <t>Updated pos. 133, LAP option code to FILLER since it was removed from the LAP file.</t>
    </r>
  </si>
  <si>
    <r>
      <rPr>
        <b/>
        <sz val="10"/>
        <color theme="1"/>
        <rFont val="Arial"/>
        <family val="2"/>
      </rPr>
      <t>(Spring 2016)</t>
    </r>
    <r>
      <rPr>
        <sz val="10"/>
        <color theme="1"/>
        <rFont val="Arial"/>
        <family val="2"/>
      </rPr>
      <t xml:space="preserve"> Added blank as a possible value for  DOB Month and Year. These fields will be blank on the complete LDESTD file produced for LDE.</t>
    </r>
  </si>
  <si>
    <r>
      <rPr>
        <b/>
        <sz val="10"/>
        <color theme="1"/>
        <rFont val="Arial"/>
        <family val="2"/>
      </rPr>
      <t>(Spring 2016)</t>
    </r>
    <r>
      <rPr>
        <sz val="10"/>
        <color theme="1"/>
        <rFont val="Arial"/>
        <family val="2"/>
      </rPr>
      <t xml:space="preserve"> Updated pos. 148, Bubbled Lunch Status to FILLER since it was removed from the answer documents.</t>
    </r>
  </si>
  <si>
    <r>
      <rPr>
        <b/>
        <sz val="10"/>
        <color theme="1"/>
        <rFont val="Arial"/>
        <family val="2"/>
      </rPr>
      <t>(Spring 2016)</t>
    </r>
    <r>
      <rPr>
        <sz val="10"/>
        <color theme="1"/>
        <rFont val="Arial"/>
        <family val="2"/>
      </rPr>
      <t xml:space="preserve"> Updated pos. 149, Summarized Economically Disadvantaged to FILLER since it is no longer needed.</t>
    </r>
  </si>
  <si>
    <r>
      <rPr>
        <b/>
        <sz val="10"/>
        <color theme="1"/>
        <rFont val="Arial"/>
        <family val="2"/>
      </rPr>
      <t xml:space="preserve">(Spring 2016) </t>
    </r>
    <r>
      <rPr>
        <sz val="10"/>
        <color theme="1"/>
        <rFont val="Arial"/>
        <family val="2"/>
      </rPr>
      <t>Updated pos. 252-261, LAP LDE Unique ID (GUID) to FILLER since it is no longer used.</t>
    </r>
  </si>
  <si>
    <r>
      <rPr>
        <b/>
        <sz val="10"/>
        <color theme="1"/>
        <rFont val="Arial"/>
        <family val="2"/>
      </rPr>
      <t xml:space="preserve">(Spring 2016) </t>
    </r>
    <r>
      <rPr>
        <sz val="10"/>
        <color theme="1"/>
        <rFont val="Arial"/>
        <family val="2"/>
      </rPr>
      <t>Added possible value "6" to pos. 538, Charter Type, since it was a new value on the Master File.</t>
    </r>
  </si>
  <si>
    <r>
      <rPr>
        <b/>
        <sz val="10"/>
        <color theme="1"/>
        <rFont val="Arial"/>
        <family val="2"/>
      </rPr>
      <t xml:space="preserve">(Spring 2016) </t>
    </r>
    <r>
      <rPr>
        <sz val="10"/>
        <color theme="1"/>
        <rFont val="Arial"/>
        <family val="2"/>
      </rPr>
      <t>Updated pos. 543, Scoring Study Flag to FILLER since there is no scoring study in 2016.</t>
    </r>
  </si>
  <si>
    <r>
      <rPr>
        <b/>
        <sz val="10"/>
        <color theme="1"/>
        <rFont val="Arial"/>
        <family val="2"/>
      </rPr>
      <t xml:space="preserve">(Spring 2016) </t>
    </r>
    <r>
      <rPr>
        <sz val="10"/>
        <color theme="1"/>
        <rFont val="Arial"/>
        <family val="2"/>
      </rPr>
      <t>Updated pos. 548, Student Labels, to FILLER since these are not a report deliverable for 2016.</t>
    </r>
  </si>
  <si>
    <r>
      <rPr>
        <b/>
        <sz val="10"/>
        <color theme="1"/>
        <rFont val="Arial"/>
        <family val="2"/>
      </rPr>
      <t xml:space="preserve">(Spring 2016) </t>
    </r>
    <r>
      <rPr>
        <sz val="10"/>
        <color theme="1"/>
        <rFont val="Arial"/>
        <family val="2"/>
      </rPr>
      <t>Updated pos. 560, Student Labels, to FILLER since these are not a report deliverable for 2016.</t>
    </r>
  </si>
  <si>
    <r>
      <t xml:space="preserve">(Spring 2016) </t>
    </r>
    <r>
      <rPr>
        <sz val="10"/>
        <color theme="1"/>
        <rFont val="Arial"/>
        <family val="2"/>
      </rPr>
      <t>Added a reference to the Common Processing Rules - Reporting document for the assess groups that can pass full vs. limited PII in files to LDE to the Name and DOB fields.</t>
    </r>
  </si>
  <si>
    <r>
      <t xml:space="preserve">Outstanding Item: </t>
    </r>
    <r>
      <rPr>
        <sz val="10"/>
        <rFont val="Arial"/>
        <family val="2"/>
      </rPr>
      <t>Decision about adding District Reporting Code to the layout.</t>
    </r>
  </si>
  <si>
    <t>Louisiana Secure Identification Number (LASID)</t>
  </si>
  <si>
    <t>0-9, or - in any position</t>
  </si>
  <si>
    <t>03 = Grade 3
04 = Grade 4
05 = Grade 5
06 = Grade 6
07 = Grade 7
08 = Grade 8
10 = Grade 10
11 = Grade 11</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</si>
  <si>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</si>
  <si>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 = Type 1 Charter
2 = Type 2 Charter
3 = Type 3 Charter
4 = Type 4 Charter
5 = Type 5 Charter
6 = Type 3B Charter
Blank = Not a Charter School</t>
  </si>
  <si>
    <t>Pulled forward to 2017</t>
  </si>
  <si>
    <t>Allan Dahlen</t>
  </si>
  <si>
    <t>Project:  2017 LAA 1 Spring</t>
  </si>
  <si>
    <t>Updated Header to reflect 2017 as the year</t>
  </si>
  <si>
    <t>Jenny Amundson</t>
  </si>
  <si>
    <t>Added LAP Accommodation fields</t>
  </si>
  <si>
    <t>Udpated the length of the Lithocode to be 8. The FILLER field below the lithocode was removed to accommodate the extra byte.</t>
  </si>
  <si>
    <t>Added the District Reporting Cod field in pos. 560. The Filler following this field was reduced from 7 to 1.</t>
  </si>
  <si>
    <t>VOID FLAGS</t>
  </si>
  <si>
    <t>Added the District Void Flags in pos. 528-530.</t>
  </si>
  <si>
    <t>LDOE Sign-off</t>
  </si>
  <si>
    <t>Rebecca Frederick</t>
  </si>
  <si>
    <t>Updated Void fields to summarized</t>
  </si>
  <si>
    <t>Summarized Void Flag - ELA</t>
  </si>
  <si>
    <t>Summarized Void Flag - Math</t>
  </si>
  <si>
    <t>Summarized Void Flag - Science</t>
  </si>
  <si>
    <t>Summarized Void Flags</t>
  </si>
  <si>
    <t>The Summarized Void flag for the subject will be set to 2 if the student has a row in the LDE approved Void .CSV file for the subject, and the LDE Type of Void field contains "2"
The Summarized Void flag for the subject will be set to 4 if the student has a row in the LDE approved Void .CSV file for the subject, and the LDE Type of Void field contains "4"
Blank when the subject is not voided</t>
  </si>
  <si>
    <t>2 = District
4 = Off-Grade
blank</t>
  </si>
  <si>
    <t>Added full first name and last name to the end of the layout</t>
  </si>
  <si>
    <t>New LASID field added to end of the layout</t>
  </si>
  <si>
    <r>
      <t xml:space="preserve">"*", "-", and "_" values are changed to spaces, and then the spaces are removed by compressing the values from the name field. 
The value must be in all capital letters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</si>
  <si>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 xml:space="preserve">Unique student identification number generated by LDE.
"*" and  " "  values are changed to -
This is the retired LASID for the student. If the student's LASID is not retired, this field will match the new LASID field </t>
  </si>
  <si>
    <r>
      <t xml:space="preserve">As flagged on the LAP file.
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applicable to LAA 1.</t>
    </r>
  </si>
  <si>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
20 = Severe Mental Disability 
99 = Unknown (Multiple Responses)
Blank</t>
  </si>
  <si>
    <t>LAA1LDESTD File Layout - Final file_LDE Staff and Contractor</t>
  </si>
  <si>
    <t>SPSS Start</t>
  </si>
  <si>
    <t>SPSS End</t>
  </si>
</sst>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b/>
      <sz val="10"/>
      <color indexed="10"/>
      <name val="Arial"/>
      <family val="2"/>
    </font>
    <font>
      <b/>
      <sz val="8"/>
      <color indexed="10"/>
      <name val="Arial"/>
      <family val="2"/>
    </font>
    <font>
      <i/>
      <sz val="10"/>
      <name val="Arial"/>
      <family val="2"/>
    </font>
    <font>
      <sz val="10"/>
      <name val="Arial"/>
      <family val="2"/>
    </font>
    <font>
      <sz val="10"/>
      <color indexed="10"/>
      <name val="Arial"/>
      <family val="2"/>
    </font>
    <font>
      <sz val="10"/>
      <name val="Arial"/>
      <family val="2"/>
    </font>
    <font>
      <sz val="10"/>
      <name val="Arial"/>
      <family val="2"/>
    </font>
    <font>
      <b/>
      <u/>
      <sz val="12"/>
      <name val="Arial"/>
      <family val="2"/>
    </font>
    <font>
      <sz val="10"/>
      <name val="Arial"/>
      <family val="2"/>
    </font>
    <font>
      <sz val="10"/>
      <name val="Arial"/>
      <family val="2"/>
    </font>
    <font>
      <sz val="10"/>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
      <strike/>
      <sz val="10"/>
      <name val="Arial"/>
      <family val="2"/>
    </font>
    <font>
      <sz val="10"/>
      <color theme="1"/>
      <name val="Arial"/>
      <family val="2"/>
    </font>
    <font>
      <b/>
      <sz val="10"/>
      <color theme="1"/>
      <name val="Arial"/>
      <family val="2"/>
    </font>
    <font>
      <strike/>
      <sz val="10"/>
      <color rgb="FFFF0000"/>
      <name val="Arial"/>
      <family val="2"/>
    </font>
    <font>
      <b/>
      <sz val="11"/>
      <color theme="1"/>
      <name val="Calibri"/>
      <family val="2"/>
      <scheme val="minor"/>
    </font>
  </fonts>
  <fills count="3">
    <fill>
      <patternFill patternType="none"/>
    </fill>
    <fill>
      <patternFill patternType="gray125"/>
    </fill>
    <fill>
      <patternFill patternType="solid">
        <fgColor indexed="2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s>
  <cellStyleXfs count="27">
    <xf numFmtId="0" fontId="0" fillId="0" borderId="0"/>
    <xf numFmtId="0" fontId="6" fillId="0" borderId="0"/>
    <xf numFmtId="0" fontId="26" fillId="0" borderId="0"/>
    <xf numFmtId="0" fontId="6" fillId="0" borderId="0"/>
    <xf numFmtId="0" fontId="28" fillId="0" borderId="0"/>
    <xf numFmtId="0" fontId="27" fillId="0" borderId="0"/>
    <xf numFmtId="0" fontId="4" fillId="0" borderId="0"/>
    <xf numFmtId="0" fontId="4" fillId="0" borderId="0"/>
    <xf numFmtId="0" fontId="5" fillId="0" borderId="0"/>
    <xf numFmtId="0" fontId="5" fillId="0" borderId="0"/>
    <xf numFmtId="0" fontId="5" fillId="0" borderId="0"/>
    <xf numFmtId="0" fontId="3" fillId="0" borderId="0"/>
    <xf numFmtId="0" fontId="3" fillId="0" borderId="0"/>
    <xf numFmtId="0" fontId="5" fillId="0" borderId="0"/>
    <xf numFmtId="0" fontId="5" fillId="0" borderId="0"/>
    <xf numFmtId="0" fontId="5" fillId="0" borderId="0"/>
    <xf numFmtId="0" fontId="3" fillId="0" borderId="0"/>
    <xf numFmtId="0" fontId="2" fillId="0" borderId="0"/>
    <xf numFmtId="0" fontId="2" fillId="0" borderId="0"/>
    <xf numFmtId="0" fontId="2" fillId="0" borderId="0"/>
    <xf numFmtId="0" fontId="2" fillId="0" borderId="0"/>
    <xf numFmtId="0" fontId="5" fillId="0" borderId="0"/>
    <xf numFmtId="0" fontId="1" fillId="0" borderId="0"/>
    <xf numFmtId="0" fontId="1" fillId="0" borderId="0"/>
    <xf numFmtId="0" fontId="1" fillId="0" borderId="0"/>
    <xf numFmtId="0" fontId="1" fillId="0" borderId="0"/>
    <xf numFmtId="0" fontId="1" fillId="0" borderId="0"/>
  </cellStyleXfs>
  <cellXfs count="144">
    <xf numFmtId="0" fontId="0" fillId="0" borderId="0" xfId="0"/>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11" fillId="0" borderId="0" xfId="0" applyFont="1" applyFill="1"/>
    <xf numFmtId="0" fontId="14" fillId="0" borderId="0" xfId="0" applyFont="1" applyFill="1"/>
    <xf numFmtId="0" fontId="13" fillId="0" borderId="0" xfId="0" applyFont="1" applyFill="1"/>
    <xf numFmtId="0" fontId="16" fillId="0" borderId="0" xfId="0" applyFont="1" applyFill="1"/>
    <xf numFmtId="0" fontId="12" fillId="0" borderId="0" xfId="0" applyFont="1" applyFill="1" applyAlignment="1">
      <alignment horizontal="center"/>
    </xf>
    <xf numFmtId="0" fontId="13" fillId="0" borderId="0" xfId="0" applyFont="1" applyFill="1" applyAlignment="1">
      <alignment wrapText="1"/>
    </xf>
    <xf numFmtId="0" fontId="20" fillId="0" borderId="0" xfId="0" applyFont="1" applyFill="1"/>
    <xf numFmtId="0" fontId="21" fillId="0" borderId="0" xfId="0" applyFont="1" applyFill="1" applyBorder="1" applyAlignment="1">
      <alignment wrapText="1"/>
    </xf>
    <xf numFmtId="0" fontId="21" fillId="0" borderId="0" xfId="0" applyFont="1" applyFill="1" applyBorder="1" applyAlignment="1"/>
    <xf numFmtId="0" fontId="21" fillId="0" borderId="0" xfId="0" applyFont="1" applyFill="1" applyBorder="1" applyAlignment="1">
      <alignment horizontal="center" vertical="top"/>
    </xf>
    <xf numFmtId="0" fontId="21" fillId="0" borderId="0" xfId="0" applyFont="1" applyFill="1" applyBorder="1" applyAlignment="1">
      <alignment vertical="top"/>
    </xf>
    <xf numFmtId="0" fontId="21" fillId="0" borderId="0" xfId="0" applyFont="1" applyFill="1" applyAlignment="1">
      <alignment horizontal="right" vertical="top"/>
    </xf>
    <xf numFmtId="0" fontId="14" fillId="0" borderId="0" xfId="0" applyFont="1" applyFill="1" applyBorder="1" applyAlignment="1">
      <alignment horizontal="center" vertical="top"/>
    </xf>
    <xf numFmtId="49" fontId="14" fillId="0" borderId="0" xfId="0" applyNumberFormat="1" applyFont="1" applyFill="1" applyBorder="1" applyAlignment="1">
      <alignment horizontal="center" vertical="top"/>
    </xf>
    <xf numFmtId="1" fontId="14" fillId="0" borderId="0" xfId="0" applyNumberFormat="1" applyFont="1" applyFill="1" applyBorder="1" applyAlignment="1">
      <alignment horizontal="center" vertical="top"/>
    </xf>
    <xf numFmtId="49" fontId="14" fillId="0" borderId="0" xfId="0" applyNumberFormat="1" applyFont="1" applyFill="1" applyBorder="1" applyAlignment="1">
      <alignment horizontal="left" vertical="top" wrapText="1"/>
    </xf>
    <xf numFmtId="0" fontId="5" fillId="0" borderId="0" xfId="0" applyFont="1" applyFill="1" applyBorder="1" applyAlignment="1">
      <alignment horizontal="center" vertical="top"/>
    </xf>
    <xf numFmtId="1" fontId="13" fillId="0" borderId="0" xfId="0" applyNumberFormat="1" applyFont="1" applyFill="1" applyBorder="1" applyAlignment="1">
      <alignment horizontal="center" vertical="top"/>
    </xf>
    <xf numFmtId="0" fontId="13" fillId="0" borderId="0" xfId="0" applyFont="1" applyFill="1" applyBorder="1" applyAlignment="1">
      <alignment vertical="top"/>
    </xf>
    <xf numFmtId="0" fontId="13" fillId="0" borderId="0" xfId="0" applyFont="1" applyFill="1" applyBorder="1" applyAlignment="1">
      <alignment horizontal="center" vertical="top"/>
    </xf>
    <xf numFmtId="49" fontId="13" fillId="0" borderId="0" xfId="0" applyNumberFormat="1" applyFont="1" applyFill="1" applyBorder="1" applyAlignment="1">
      <alignment horizontal="left" vertical="top" wrapText="1"/>
    </xf>
    <xf numFmtId="49" fontId="13" fillId="0" borderId="0" xfId="0" applyNumberFormat="1" applyFont="1" applyFill="1" applyBorder="1" applyAlignment="1">
      <alignment horizontal="left" vertical="top"/>
    </xf>
    <xf numFmtId="0" fontId="17" fillId="0" borderId="0" xfId="0" applyFont="1" applyFill="1" applyBorder="1" applyAlignment="1">
      <alignment horizontal="center" vertical="top"/>
    </xf>
    <xf numFmtId="0" fontId="17" fillId="0" borderId="0" xfId="0" applyFont="1" applyFill="1" applyBorder="1" applyAlignment="1">
      <alignment vertical="top"/>
    </xf>
    <xf numFmtId="0" fontId="18" fillId="0" borderId="0" xfId="0" applyFont="1" applyFill="1" applyBorder="1" applyAlignment="1">
      <alignment horizontal="left" vertical="top"/>
    </xf>
    <xf numFmtId="49" fontId="22" fillId="0" borderId="0" xfId="0" applyNumberFormat="1" applyFont="1" applyFill="1" applyBorder="1" applyAlignment="1">
      <alignment horizontal="left" vertical="top"/>
    </xf>
    <xf numFmtId="0" fontId="23" fillId="0" borderId="0" xfId="0" applyFont="1" applyFill="1" applyBorder="1" applyAlignment="1">
      <alignment horizontal="center" vertical="top"/>
    </xf>
    <xf numFmtId="49" fontId="24" fillId="0" borderId="0" xfId="0" applyNumberFormat="1" applyFont="1" applyFill="1" applyBorder="1" applyAlignment="1">
      <alignment horizontal="center" vertical="top"/>
    </xf>
    <xf numFmtId="49" fontId="24" fillId="0" borderId="0" xfId="0" applyNumberFormat="1" applyFont="1" applyFill="1" applyBorder="1" applyAlignment="1">
      <alignment horizontal="left" vertical="center"/>
    </xf>
    <xf numFmtId="0" fontId="11" fillId="0" borderId="0" xfId="0" applyFont="1" applyFill="1" applyBorder="1" applyAlignment="1">
      <alignment horizontal="center" vertical="top"/>
    </xf>
    <xf numFmtId="49" fontId="11" fillId="0" borderId="0" xfId="0" applyNumberFormat="1" applyFont="1" applyFill="1" applyBorder="1" applyAlignment="1">
      <alignment horizontal="center" vertical="top"/>
    </xf>
    <xf numFmtId="0" fontId="5" fillId="0" borderId="0" xfId="0" applyFont="1" applyFill="1" applyBorder="1" applyAlignment="1">
      <alignment horizontal="center" vertical="center"/>
    </xf>
    <xf numFmtId="49" fontId="15" fillId="0" borderId="0" xfId="0" applyNumberFormat="1" applyFont="1" applyFill="1" applyBorder="1" applyAlignment="1">
      <alignment horizontal="center" vertical="top"/>
    </xf>
    <xf numFmtId="1" fontId="11" fillId="0" borderId="0" xfId="0" applyNumberFormat="1" applyFont="1" applyFill="1" applyBorder="1" applyAlignment="1">
      <alignment horizontal="center" vertical="top"/>
    </xf>
    <xf numFmtId="49" fontId="11" fillId="0" borderId="0" xfId="0" applyNumberFormat="1" applyFont="1" applyFill="1" applyBorder="1" applyAlignment="1">
      <alignment horizontal="left" vertical="top" wrapText="1"/>
    </xf>
    <xf numFmtId="0" fontId="14" fillId="0" borderId="2" xfId="0" applyFont="1" applyFill="1" applyBorder="1" applyAlignment="1">
      <alignment horizontal="center" vertical="top"/>
    </xf>
    <xf numFmtId="49" fontId="15" fillId="0" borderId="2" xfId="0" applyNumberFormat="1" applyFont="1" applyFill="1" applyBorder="1" applyAlignment="1">
      <alignment horizontal="center" vertical="top"/>
    </xf>
    <xf numFmtId="0" fontId="16" fillId="0" borderId="0" xfId="0" applyFont="1" applyFill="1" applyBorder="1"/>
    <xf numFmtId="0" fontId="25" fillId="0" borderId="0" xfId="0" applyFont="1" applyFill="1" applyBorder="1" applyAlignment="1">
      <alignment vertical="top"/>
    </xf>
    <xf numFmtId="49" fontId="25" fillId="0" borderId="0" xfId="0" applyNumberFormat="1" applyFont="1" applyFill="1" applyBorder="1" applyAlignment="1">
      <alignment horizontal="left" vertical="top"/>
    </xf>
    <xf numFmtId="49" fontId="25" fillId="0" borderId="0" xfId="0" applyNumberFormat="1" applyFont="1" applyFill="1" applyBorder="1" applyAlignment="1">
      <alignment horizontal="left" vertical="top" wrapText="1"/>
    </xf>
    <xf numFmtId="49" fontId="0" fillId="0" borderId="0" xfId="0" applyNumberFormat="1" applyFill="1" applyBorder="1" applyAlignment="1">
      <alignment horizontal="left" vertical="top" wrapText="1"/>
    </xf>
    <xf numFmtId="14" fontId="0" fillId="0" borderId="1" xfId="0" applyNumberFormat="1" applyFill="1" applyBorder="1" applyAlignment="1" applyProtection="1">
      <alignment vertical="top" wrapText="1"/>
      <protection locked="0"/>
    </xf>
    <xf numFmtId="0" fontId="0" fillId="0" borderId="1" xfId="0" applyFill="1" applyBorder="1" applyAlignment="1" applyProtection="1">
      <alignment vertical="top"/>
      <protection locked="0"/>
    </xf>
    <xf numFmtId="0" fontId="17" fillId="0" borderId="1" xfId="0" applyFont="1" applyFill="1" applyBorder="1" applyAlignment="1" applyProtection="1">
      <alignment vertical="top" wrapText="1"/>
      <protection locked="0"/>
    </xf>
    <xf numFmtId="0" fontId="0" fillId="2" borderId="1" xfId="0" applyFill="1" applyBorder="1" applyAlignment="1" applyProtection="1">
      <alignment wrapText="1"/>
    </xf>
    <xf numFmtId="0" fontId="0" fillId="0" borderId="1" xfId="0" applyFill="1" applyBorder="1" applyAlignment="1" applyProtection="1">
      <alignment wrapText="1"/>
      <protection locked="0"/>
    </xf>
    <xf numFmtId="0" fontId="0" fillId="0" borderId="0" xfId="0" applyAlignment="1" applyProtection="1">
      <alignment wrapText="1"/>
      <protection locked="0"/>
    </xf>
    <xf numFmtId="49" fontId="6" fillId="0" borderId="0" xfId="0" applyNumberFormat="1" applyFont="1" applyFill="1" applyBorder="1" applyAlignment="1">
      <alignment horizontal="left" vertical="top" wrapText="1"/>
    </xf>
    <xf numFmtId="0" fontId="0" fillId="0" borderId="0" xfId="0" applyFill="1" applyBorder="1" applyAlignment="1">
      <alignment horizontal="center" vertical="top"/>
    </xf>
    <xf numFmtId="1" fontId="6" fillId="0" borderId="0" xfId="0" applyNumberFormat="1" applyFont="1" applyFill="1" applyBorder="1" applyAlignment="1">
      <alignment horizontal="center" vertical="top"/>
    </xf>
    <xf numFmtId="0" fontId="6" fillId="0" borderId="0" xfId="0" applyFont="1" applyFill="1" applyBorder="1" applyAlignment="1">
      <alignment horizontal="center" vertical="top"/>
    </xf>
    <xf numFmtId="49" fontId="15" fillId="0" borderId="2" xfId="0" applyNumberFormat="1" applyFont="1" applyFill="1" applyBorder="1" applyAlignment="1">
      <alignment horizontal="left" vertical="center"/>
    </xf>
    <xf numFmtId="49" fontId="15" fillId="0" borderId="0" xfId="0" applyNumberFormat="1" applyFont="1" applyFill="1" applyBorder="1" applyAlignment="1">
      <alignment horizontal="left" vertical="center"/>
    </xf>
    <xf numFmtId="0" fontId="10" fillId="0" borderId="0" xfId="0" applyFont="1" applyFill="1" applyAlignment="1">
      <alignment horizontal="left" vertical="center"/>
    </xf>
    <xf numFmtId="0" fontId="6" fillId="0" borderId="0" xfId="0" applyFont="1" applyFill="1" applyBorder="1" applyAlignment="1">
      <alignment vertical="top"/>
    </xf>
    <xf numFmtId="0" fontId="29" fillId="0" borderId="0" xfId="0" applyFont="1" applyFill="1" applyBorder="1" applyAlignment="1">
      <alignment vertical="top"/>
    </xf>
    <xf numFmtId="14" fontId="26" fillId="0" borderId="1" xfId="2" applyNumberFormat="1" applyFill="1" applyBorder="1" applyAlignment="1" applyProtection="1">
      <alignment horizontal="center" vertical="top"/>
      <protection locked="0"/>
    </xf>
    <xf numFmtId="0" fontId="6" fillId="0" borderId="1" xfId="2" applyFont="1" applyFill="1" applyBorder="1" applyAlignment="1" applyProtection="1">
      <alignment vertical="center" wrapText="1"/>
      <protection locked="0"/>
    </xf>
    <xf numFmtId="0" fontId="26" fillId="0" borderId="1" xfId="2" applyFill="1" applyBorder="1" applyAlignment="1" applyProtection="1">
      <alignment wrapText="1"/>
      <protection locked="0"/>
    </xf>
    <xf numFmtId="0" fontId="6" fillId="0" borderId="1" xfId="2" applyFont="1" applyFill="1" applyBorder="1" applyAlignment="1" applyProtection="1">
      <alignment vertical="top" wrapText="1"/>
      <protection locked="0"/>
    </xf>
    <xf numFmtId="0" fontId="6" fillId="0" borderId="0" xfId="2" applyFont="1" applyFill="1" applyAlignment="1" applyProtection="1">
      <alignment vertical="center" wrapText="1"/>
      <protection locked="0"/>
    </xf>
    <xf numFmtId="0" fontId="26" fillId="0" borderId="1" xfId="2" applyFill="1" applyBorder="1" applyAlignment="1" applyProtection="1">
      <alignment vertical="top" wrapText="1"/>
      <protection locked="0"/>
    </xf>
    <xf numFmtId="0" fontId="6" fillId="0" borderId="1" xfId="1" applyFont="1" applyFill="1" applyBorder="1" applyAlignment="1" applyProtection="1">
      <alignment vertical="center" wrapText="1"/>
      <protection locked="0"/>
    </xf>
    <xf numFmtId="0" fontId="6" fillId="0" borderId="0" xfId="2" applyFont="1" applyFill="1" applyAlignment="1">
      <alignment wrapText="1"/>
    </xf>
    <xf numFmtId="0" fontId="6" fillId="0" borderId="1" xfId="0" applyFont="1" applyFill="1" applyBorder="1" applyAlignment="1" applyProtection="1">
      <alignment vertical="top" wrapText="1"/>
      <protection locked="0"/>
    </xf>
    <xf numFmtId="14" fontId="0" fillId="0" borderId="1" xfId="0" applyNumberFormat="1" applyFill="1" applyBorder="1" applyProtection="1">
      <protection locked="0"/>
    </xf>
    <xf numFmtId="0" fontId="6" fillId="0" borderId="1" xfId="0" applyFont="1" applyFill="1" applyBorder="1" applyAlignment="1" applyProtection="1">
      <alignment vertical="center" wrapText="1"/>
      <protection locked="0"/>
    </xf>
    <xf numFmtId="0" fontId="6" fillId="0" borderId="1" xfId="0" applyFont="1" applyFill="1" applyBorder="1" applyAlignment="1" applyProtection="1">
      <alignment vertical="top"/>
      <protection locked="0"/>
    </xf>
    <xf numFmtId="14" fontId="6" fillId="0" borderId="1" xfId="1" applyNumberFormat="1" applyFill="1" applyBorder="1" applyAlignment="1" applyProtection="1">
      <alignment horizontal="center"/>
      <protection locked="0"/>
    </xf>
    <xf numFmtId="0" fontId="6" fillId="0" borderId="1" xfId="1" applyFont="1" applyFill="1" applyBorder="1" applyAlignment="1" applyProtection="1">
      <alignment vertical="top"/>
      <protection locked="0"/>
    </xf>
    <xf numFmtId="0" fontId="6" fillId="0" borderId="1" xfId="0" applyFont="1" applyFill="1" applyBorder="1" applyAlignment="1" applyProtection="1">
      <alignment wrapText="1"/>
      <protection locked="0"/>
    </xf>
    <xf numFmtId="0" fontId="26" fillId="0" borderId="1" xfId="2" applyFill="1" applyBorder="1" applyAlignment="1" applyProtection="1">
      <alignment vertical="top"/>
      <protection locked="0"/>
    </xf>
    <xf numFmtId="0" fontId="0" fillId="0" borderId="0" xfId="0" applyAlignment="1" applyProtection="1">
      <protection locked="0"/>
    </xf>
    <xf numFmtId="0" fontId="6" fillId="0" borderId="0" xfId="0" applyFont="1" applyFill="1" applyBorder="1" applyAlignment="1">
      <alignment horizontal="left" vertical="top"/>
    </xf>
    <xf numFmtId="0" fontId="21" fillId="0" borderId="3" xfId="0" applyFont="1" applyFill="1" applyBorder="1" applyAlignment="1"/>
    <xf numFmtId="14" fontId="0" fillId="0" borderId="1" xfId="0" applyNumberFormat="1" applyFill="1" applyBorder="1" applyAlignment="1" applyProtection="1">
      <alignment horizontal="left" vertical="top"/>
      <protection locked="0"/>
    </xf>
    <xf numFmtId="0" fontId="6" fillId="0" borderId="1" xfId="0"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14" fontId="0" fillId="0" borderId="1" xfId="0" applyNumberFormat="1" applyFill="1" applyBorder="1" applyAlignment="1" applyProtection="1">
      <alignment horizontal="center"/>
      <protection locked="0"/>
    </xf>
    <xf numFmtId="0" fontId="0" fillId="0" borderId="1" xfId="0" applyFill="1" applyBorder="1" applyAlignment="1" applyProtection="1">
      <protection locked="0"/>
    </xf>
    <xf numFmtId="14" fontId="6" fillId="0" borderId="1" xfId="0" applyNumberFormat="1" applyFont="1" applyFill="1" applyBorder="1" applyAlignment="1" applyProtection="1">
      <alignment horizontal="left" vertical="top"/>
      <protection locked="0"/>
    </xf>
    <xf numFmtId="0" fontId="6" fillId="0" borderId="0" xfId="0" applyFont="1" applyFill="1" applyBorder="1" applyAlignment="1">
      <alignment horizontal="left" vertical="top" wrapText="1"/>
    </xf>
    <xf numFmtId="49" fontId="6" fillId="0" borderId="0" xfId="0" applyNumberFormat="1" applyFont="1" applyFill="1" applyBorder="1" applyAlignment="1">
      <alignment horizontal="left" vertical="top"/>
    </xf>
    <xf numFmtId="0" fontId="6" fillId="0" borderId="1" xfId="0" applyFont="1" applyFill="1" applyBorder="1" applyAlignment="1" applyProtection="1">
      <protection locked="0"/>
    </xf>
    <xf numFmtId="0" fontId="6" fillId="0" borderId="1" xfId="5" applyFont="1" applyFill="1" applyBorder="1" applyAlignment="1" applyProtection="1">
      <alignment wrapText="1"/>
      <protection locked="0"/>
    </xf>
    <xf numFmtId="0" fontId="24" fillId="0" borderId="1" xfId="0" applyFont="1" applyFill="1" applyBorder="1" applyAlignment="1" applyProtection="1">
      <alignment wrapText="1"/>
      <protection locked="0"/>
    </xf>
    <xf numFmtId="0" fontId="5" fillId="0" borderId="1" xfId="0" applyFont="1" applyFill="1" applyBorder="1" applyAlignment="1" applyProtection="1">
      <alignment wrapText="1"/>
      <protection locked="0"/>
    </xf>
    <xf numFmtId="0" fontId="5" fillId="0" borderId="1" xfId="0" applyFont="1" applyFill="1" applyBorder="1" applyAlignment="1" applyProtection="1">
      <protection locked="0"/>
    </xf>
    <xf numFmtId="0" fontId="5" fillId="0" borderId="1" xfId="0" applyFont="1" applyFill="1" applyBorder="1" applyAlignment="1" applyProtection="1">
      <alignment vertical="center" wrapText="1"/>
      <protection locked="0"/>
    </xf>
    <xf numFmtId="0" fontId="31" fillId="0" borderId="1" xfId="6" applyFont="1" applyFill="1" applyBorder="1" applyAlignment="1">
      <alignment wrapText="1"/>
    </xf>
    <xf numFmtId="0" fontId="33" fillId="0" borderId="0" xfId="0" applyFont="1" applyFill="1" applyBorder="1" applyAlignment="1">
      <alignment horizontal="center" vertical="top"/>
    </xf>
    <xf numFmtId="0" fontId="5" fillId="0" borderId="0" xfId="0" applyFont="1" applyFill="1" applyBorder="1" applyAlignment="1">
      <alignment vertical="top"/>
    </xf>
    <xf numFmtId="0" fontId="5" fillId="0" borderId="0" xfId="0" applyFont="1" applyFill="1" applyAlignment="1">
      <alignment horizontal="left" vertical="center" wrapText="1"/>
    </xf>
    <xf numFmtId="2" fontId="5" fillId="0" borderId="0" xfId="0" applyNumberFormat="1" applyFont="1" applyFill="1" applyBorder="1" applyAlignment="1">
      <alignment horizontal="left" vertical="center" wrapText="1"/>
    </xf>
    <xf numFmtId="0" fontId="5" fillId="0" borderId="0" xfId="1" applyFont="1" applyFill="1" applyBorder="1" applyAlignment="1">
      <alignment horizontal="left" vertical="center" wrapText="1"/>
    </xf>
    <xf numFmtId="49" fontId="5" fillId="0" borderId="0" xfId="0" applyNumberFormat="1" applyFont="1" applyFill="1" applyBorder="1" applyAlignment="1">
      <alignment horizontal="left" vertical="top" wrapText="1"/>
    </xf>
    <xf numFmtId="0" fontId="30" fillId="0" borderId="0" xfId="0" applyFont="1" applyFill="1" applyBorder="1" applyAlignment="1">
      <alignment horizontal="left" vertical="center" wrapText="1"/>
    </xf>
    <xf numFmtId="14" fontId="0" fillId="0" borderId="1" xfId="0" applyNumberFormat="1" applyBorder="1" applyAlignment="1" applyProtection="1">
      <alignment horizontal="center"/>
      <protection locked="0"/>
    </xf>
    <xf numFmtId="0" fontId="5" fillId="0" borderId="1" xfId="0" applyFont="1" applyBorder="1" applyAlignment="1" applyProtection="1">
      <alignment wrapText="1"/>
      <protection locked="0"/>
    </xf>
    <xf numFmtId="0" fontId="5" fillId="0" borderId="1" xfId="0" applyFont="1" applyBorder="1" applyAlignment="1" applyProtection="1">
      <protection locked="0"/>
    </xf>
    <xf numFmtId="14" fontId="0" fillId="0" borderId="1" xfId="0" applyNumberFormat="1" applyBorder="1"/>
    <xf numFmtId="0" fontId="5" fillId="0" borderId="1" xfId="0" applyFont="1" applyBorder="1" applyAlignment="1">
      <alignment wrapText="1"/>
    </xf>
    <xf numFmtId="0" fontId="5" fillId="0" borderId="0" xfId="14" applyFont="1" applyFill="1" applyBorder="1" applyAlignment="1">
      <alignment horizontal="left" vertical="center" wrapText="1"/>
    </xf>
    <xf numFmtId="1" fontId="5" fillId="0" borderId="0" xfId="0" applyNumberFormat="1" applyFont="1" applyFill="1" applyBorder="1" applyAlignment="1">
      <alignment horizontal="center" vertical="top"/>
    </xf>
    <xf numFmtId="1" fontId="31" fillId="0" borderId="0" xfId="0" applyNumberFormat="1" applyFont="1" applyFill="1" applyBorder="1" applyAlignment="1">
      <alignment horizontal="center" vertical="top"/>
    </xf>
    <xf numFmtId="0" fontId="31" fillId="0" borderId="1" xfId="20" applyFont="1" applyBorder="1" applyAlignment="1">
      <alignment wrapText="1"/>
    </xf>
    <xf numFmtId="0" fontId="31" fillId="0" borderId="4" xfId="20" applyFont="1" applyFill="1" applyBorder="1" applyAlignment="1">
      <alignment wrapText="1"/>
    </xf>
    <xf numFmtId="0" fontId="5" fillId="0" borderId="0" xfId="0" applyFont="1" applyFill="1"/>
    <xf numFmtId="0" fontId="5" fillId="0" borderId="0" xfId="0" applyFont="1" applyFill="1" applyAlignment="1">
      <alignment wrapText="1"/>
    </xf>
    <xf numFmtId="0" fontId="32" fillId="0" borderId="1" xfId="22" applyFont="1" applyBorder="1" applyAlignment="1">
      <alignment wrapText="1"/>
    </xf>
    <xf numFmtId="0" fontId="5" fillId="0" borderId="0" xfId="8" applyFont="1" applyFill="1" applyBorder="1" applyAlignment="1">
      <alignment horizontal="left" vertical="top"/>
    </xf>
    <xf numFmtId="0" fontId="5" fillId="0" borderId="0" xfId="14" applyFont="1" applyFill="1" applyBorder="1" applyAlignment="1">
      <alignment horizontal="left" vertical="top" wrapText="1"/>
    </xf>
    <xf numFmtId="0" fontId="5" fillId="0" borderId="0" xfId="0" applyFont="1" applyFill="1" applyBorder="1" applyAlignment="1">
      <alignment vertical="top" wrapText="1"/>
    </xf>
    <xf numFmtId="16" fontId="5" fillId="0" borderId="0" xfId="0" applyNumberFormat="1" applyFont="1" applyFill="1" applyBorder="1" applyAlignment="1">
      <alignment horizontal="left" vertical="center" wrapText="1"/>
    </xf>
    <xf numFmtId="0" fontId="5" fillId="0" borderId="1" xfId="0" applyFont="1" applyFill="1" applyBorder="1" applyAlignment="1" applyProtection="1">
      <alignment vertical="top" wrapText="1"/>
      <protection locked="0"/>
    </xf>
    <xf numFmtId="14"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Border="1" applyAlignment="1" applyProtection="1">
      <alignment wrapText="1"/>
      <protection locked="0"/>
    </xf>
    <xf numFmtId="0" fontId="0" fillId="0" borderId="1" xfId="0" applyBorder="1" applyAlignment="1" applyProtection="1">
      <protection locked="0"/>
    </xf>
    <xf numFmtId="0" fontId="5" fillId="0" borderId="0" xfId="0" applyNumberFormat="1" applyFont="1" applyFill="1" applyBorder="1" applyAlignment="1">
      <alignment horizontal="left" vertical="center" wrapText="1"/>
    </xf>
    <xf numFmtId="49" fontId="1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49" fontId="5" fillId="0" borderId="0" xfId="0" applyNumberFormat="1" applyFont="1" applyFill="1" applyBorder="1" applyAlignment="1">
      <alignment horizontal="left" vertical="top"/>
    </xf>
    <xf numFmtId="0" fontId="21" fillId="0" borderId="0" xfId="0" applyFont="1" applyFill="1" applyAlignment="1">
      <alignment vertical="top"/>
    </xf>
    <xf numFmtId="0" fontId="30" fillId="0" borderId="0" xfId="14" applyFont="1" applyFill="1" applyBorder="1" applyAlignment="1">
      <alignment horizontal="left" vertical="center" wrapText="1"/>
    </xf>
    <xf numFmtId="49" fontId="30"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5" fillId="0" borderId="0" xfId="0" applyFont="1" applyFill="1" applyAlignment="1">
      <alignment horizontal="left" vertical="center"/>
    </xf>
    <xf numFmtId="0" fontId="20" fillId="0" borderId="0" xfId="0" applyFont="1" applyFill="1" applyBorder="1" applyAlignment="1">
      <alignment horizontal="left"/>
    </xf>
    <xf numFmtId="0" fontId="5" fillId="0" borderId="0" xfId="0" applyFont="1" applyFill="1" applyBorder="1" applyAlignment="1">
      <alignment horizontal="left" vertical="center" wrapText="1"/>
    </xf>
    <xf numFmtId="49" fontId="5" fillId="0" borderId="0" xfId="0" applyNumberFormat="1" applyFont="1" applyFill="1" applyBorder="1" applyAlignment="1">
      <alignment horizontal="left" vertical="center" wrapText="1"/>
    </xf>
    <xf numFmtId="0" fontId="5" fillId="0" borderId="0" xfId="0" applyFont="1" applyFill="1" applyAlignment="1">
      <alignment horizontal="left" vertical="center" wrapText="1"/>
    </xf>
    <xf numFmtId="2" fontId="5"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5" fillId="0" borderId="0" xfId="0" applyNumberFormat="1" applyFont="1" applyFill="1" applyBorder="1" applyAlignment="1">
      <alignment horizontal="left" vertical="center" wrapText="1"/>
    </xf>
    <xf numFmtId="0" fontId="8" fillId="0" borderId="3" xfId="0" applyFont="1" applyBorder="1" applyAlignment="1" applyProtection="1">
      <alignment horizontal="left" wrapText="1"/>
    </xf>
  </cellXfs>
  <cellStyles count="27">
    <cellStyle name="Normal" xfId="0" builtinId="0"/>
    <cellStyle name="Normal 10" xfId="6"/>
    <cellStyle name="Normal 11" xfId="7"/>
    <cellStyle name="Normal 2" xfId="1"/>
    <cellStyle name="Normal 2 2" xfId="14"/>
    <cellStyle name="Normal 2 3" xfId="9"/>
    <cellStyle name="Normal 3" xfId="2"/>
    <cellStyle name="Normal 3 2" xfId="3"/>
    <cellStyle name="Normal 3 2 2" xfId="15"/>
    <cellStyle name="Normal 3 3" xfId="10"/>
    <cellStyle name="Normal 4" xfId="4"/>
    <cellStyle name="Normal 4 2" xfId="16"/>
    <cellStyle name="Normal 4 2 2" xfId="19"/>
    <cellStyle name="Normal 4 2 3" xfId="25"/>
    <cellStyle name="Normal 4 3" xfId="11"/>
    <cellStyle name="Normal 4 4" xfId="17"/>
    <cellStyle name="Normal 4 5" xfId="23"/>
    <cellStyle name="Normal 5" xfId="5"/>
    <cellStyle name="Normal 5 2" xfId="13"/>
    <cellStyle name="Normal 6" xfId="12"/>
    <cellStyle name="Normal 6 2" xfId="18"/>
    <cellStyle name="Normal 6 3" xfId="24"/>
    <cellStyle name="Normal 7" xfId="8"/>
    <cellStyle name="Normal 7 2" xfId="20"/>
    <cellStyle name="Normal 7 3" xfId="26"/>
    <cellStyle name="Normal 8" xfId="21"/>
    <cellStyle name="Normal 9" xfId="22"/>
  </cellStyles>
  <dxfs count="0"/>
  <tableStyles count="0" defaultTableStyle="TableStyleMedium9" defaultPivotStyle="PivotStyleLight16"/>
  <colors>
    <mruColors>
      <color rgb="FFFFFF99"/>
      <color rgb="FF0000FF"/>
      <color rgb="FFCDE1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1</xdr:row>
      <xdr:rowOff>0</xdr:rowOff>
    </xdr:to>
    <xdr:sp macro="" textlink="">
      <xdr:nvSpPr>
        <xdr:cNvPr id="5523" name="Rectangle 1">
          <a:extLst>
            <a:ext uri="{FF2B5EF4-FFF2-40B4-BE49-F238E27FC236}">
              <a16:creationId xmlns:a16="http://schemas.microsoft.com/office/drawing/2014/main" xmlns="" id="{00000000-0008-0000-0000-000093150000}"/>
            </a:ext>
          </a:extLst>
        </xdr:cNvPr>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5524" name="Rectangle 690">
          <a:extLst>
            <a:ext uri="{FF2B5EF4-FFF2-40B4-BE49-F238E27FC236}">
              <a16:creationId xmlns:a16="http://schemas.microsoft.com/office/drawing/2014/main" xmlns="" id="{00000000-0008-0000-0000-000094150000}"/>
            </a:ext>
          </a:extLst>
        </xdr:cNvPr>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K114"/>
  <sheetViews>
    <sheetView tabSelected="1" topLeftCell="A101" zoomScale="80" zoomScaleNormal="80" zoomScalePageLayoutView="70" workbookViewId="0">
      <selection activeCell="E4" sqref="E4:E112"/>
    </sheetView>
  </sheetViews>
  <sheetFormatPr defaultRowHeight="12.75" x14ac:dyDescent="0.2"/>
  <cols>
    <col min="1" max="1" width="7.140625" style="10" customWidth="1"/>
    <col min="2" max="2" width="10.42578125" style="8" customWidth="1"/>
    <col min="3" max="5" width="10.28515625" style="8" customWidth="1"/>
    <col min="6" max="6" width="9.140625" style="8"/>
    <col min="7" max="7" width="57.42578125" style="11" customWidth="1"/>
    <col min="8" max="8" width="38" style="60" customWidth="1"/>
    <col min="9" max="9" width="73.140625" style="135" customWidth="1"/>
    <col min="10" max="10" width="12" style="6" customWidth="1"/>
    <col min="11" max="11" width="8" style="6" customWidth="1"/>
    <col min="12" max="12" width="12.5703125" style="6" customWidth="1"/>
    <col min="13" max="13" width="13.5703125" style="6" customWidth="1"/>
    <col min="14" max="14" width="11.28515625" style="6" customWidth="1"/>
    <col min="15" max="15" width="16.28515625" style="6" customWidth="1"/>
    <col min="16" max="16384" width="9.140625" style="6"/>
  </cols>
  <sheetData>
    <row r="1" spans="1:11" s="12" customFormat="1" ht="20.25" x14ac:dyDescent="0.3">
      <c r="A1" s="136" t="s">
        <v>357</v>
      </c>
      <c r="B1" s="136"/>
      <c r="C1" s="136"/>
      <c r="D1" s="136"/>
      <c r="E1" s="136"/>
      <c r="F1" s="136"/>
      <c r="G1" s="136"/>
      <c r="H1" s="136"/>
      <c r="I1" s="136" t="s">
        <v>334</v>
      </c>
      <c r="J1" s="136"/>
    </row>
    <row r="2" spans="1:11" s="16" customFormat="1" ht="47.25" x14ac:dyDescent="0.25">
      <c r="A2" s="13" t="s">
        <v>51</v>
      </c>
      <c r="B2" s="13" t="s">
        <v>52</v>
      </c>
      <c r="C2" s="13" t="s">
        <v>53</v>
      </c>
      <c r="D2" s="13" t="s">
        <v>358</v>
      </c>
      <c r="E2" s="13" t="s">
        <v>359</v>
      </c>
      <c r="F2" s="14" t="s">
        <v>1</v>
      </c>
      <c r="G2" s="81" t="s">
        <v>2</v>
      </c>
      <c r="H2" s="14" t="s">
        <v>54</v>
      </c>
      <c r="I2" s="14" t="s">
        <v>55</v>
      </c>
      <c r="J2" s="15"/>
    </row>
    <row r="3" spans="1:11" s="9" customFormat="1" ht="15.75" x14ac:dyDescent="0.2">
      <c r="A3" s="41"/>
      <c r="B3" s="42"/>
      <c r="C3" s="42"/>
      <c r="D3" s="42"/>
      <c r="E3" s="42"/>
      <c r="F3" s="42"/>
      <c r="G3" s="44" t="s">
        <v>56</v>
      </c>
      <c r="H3" s="58"/>
      <c r="I3" s="58"/>
      <c r="J3" s="43"/>
    </row>
    <row r="4" spans="1:11" s="7" customFormat="1" x14ac:dyDescent="0.2">
      <c r="A4" s="18"/>
      <c r="B4" s="19" t="s">
        <v>8</v>
      </c>
      <c r="C4" s="20">
        <f t="shared" ref="C4:C10" si="0">B4+F4-1</f>
        <v>2</v>
      </c>
      <c r="D4" s="20">
        <f>B4-1</f>
        <v>0</v>
      </c>
      <c r="E4" s="20">
        <f>C4-1</f>
        <v>1</v>
      </c>
      <c r="F4" s="20">
        <v>2</v>
      </c>
      <c r="G4" s="21" t="s">
        <v>57</v>
      </c>
      <c r="H4" s="129" t="s">
        <v>59</v>
      </c>
      <c r="I4" s="129" t="s">
        <v>21</v>
      </c>
    </row>
    <row r="5" spans="1:11" s="7" customFormat="1" x14ac:dyDescent="0.2">
      <c r="A5" s="18"/>
      <c r="B5" s="20">
        <f t="shared" ref="B5:B10" si="1">B4+F4</f>
        <v>3</v>
      </c>
      <c r="C5" s="20">
        <f t="shared" si="0"/>
        <v>6</v>
      </c>
      <c r="D5" s="20">
        <f t="shared" ref="D5:D68" si="2">B5-1</f>
        <v>2</v>
      </c>
      <c r="E5" s="20">
        <f t="shared" ref="E5:E68" si="3">C5-1</f>
        <v>5</v>
      </c>
      <c r="F5" s="20">
        <v>4</v>
      </c>
      <c r="G5" s="21" t="s">
        <v>58</v>
      </c>
      <c r="H5" s="129" t="s">
        <v>243</v>
      </c>
      <c r="I5" s="129" t="s">
        <v>22</v>
      </c>
    </row>
    <row r="6" spans="1:11" s="8" customFormat="1" ht="25.5" x14ac:dyDescent="0.2">
      <c r="A6" s="22"/>
      <c r="B6" s="20">
        <f t="shared" si="1"/>
        <v>7</v>
      </c>
      <c r="C6" s="20">
        <f t="shared" si="0"/>
        <v>7</v>
      </c>
      <c r="D6" s="20">
        <f t="shared" si="2"/>
        <v>6</v>
      </c>
      <c r="E6" s="20">
        <f t="shared" si="3"/>
        <v>6</v>
      </c>
      <c r="F6" s="23">
        <v>1</v>
      </c>
      <c r="G6" s="24" t="s">
        <v>60</v>
      </c>
      <c r="H6" s="128" t="s">
        <v>46</v>
      </c>
      <c r="I6" s="128" t="s">
        <v>17</v>
      </c>
    </row>
    <row r="7" spans="1:11" s="8" customFormat="1" ht="24" customHeight="1" x14ac:dyDescent="0.2">
      <c r="A7" s="25" t="s">
        <v>89</v>
      </c>
      <c r="B7" s="20">
        <f t="shared" si="1"/>
        <v>8</v>
      </c>
      <c r="C7" s="20">
        <f t="shared" si="0"/>
        <v>10</v>
      </c>
      <c r="D7" s="20">
        <f t="shared" si="2"/>
        <v>7</v>
      </c>
      <c r="E7" s="20">
        <f t="shared" si="3"/>
        <v>9</v>
      </c>
      <c r="F7" s="23">
        <v>3</v>
      </c>
      <c r="G7" s="26" t="s">
        <v>9</v>
      </c>
      <c r="H7" s="129"/>
      <c r="I7" s="138" t="s">
        <v>275</v>
      </c>
    </row>
    <row r="8" spans="1:11" s="8" customFormat="1" ht="43.5" customHeight="1" x14ac:dyDescent="0.2">
      <c r="A8" s="25" t="s">
        <v>89</v>
      </c>
      <c r="B8" s="20">
        <f t="shared" si="1"/>
        <v>11</v>
      </c>
      <c r="C8" s="20">
        <f t="shared" si="0"/>
        <v>13</v>
      </c>
      <c r="D8" s="20">
        <f t="shared" si="2"/>
        <v>10</v>
      </c>
      <c r="E8" s="20">
        <f t="shared" si="3"/>
        <v>12</v>
      </c>
      <c r="F8" s="23">
        <v>3</v>
      </c>
      <c r="G8" s="26" t="s">
        <v>10</v>
      </c>
      <c r="H8" s="129"/>
      <c r="I8" s="139"/>
    </row>
    <row r="9" spans="1:11" s="8" customFormat="1" x14ac:dyDescent="0.2">
      <c r="A9" s="25"/>
      <c r="B9" s="20">
        <f t="shared" si="1"/>
        <v>14</v>
      </c>
      <c r="C9" s="20">
        <f t="shared" si="0"/>
        <v>53</v>
      </c>
      <c r="D9" s="20">
        <f t="shared" si="2"/>
        <v>13</v>
      </c>
      <c r="E9" s="20">
        <f t="shared" si="3"/>
        <v>52</v>
      </c>
      <c r="F9" s="23">
        <v>40</v>
      </c>
      <c r="G9" s="26" t="s">
        <v>11</v>
      </c>
      <c r="H9" s="129"/>
      <c r="I9" s="129"/>
    </row>
    <row r="10" spans="1:11" s="8" customFormat="1" x14ac:dyDescent="0.2">
      <c r="A10" s="25"/>
      <c r="B10" s="20">
        <f t="shared" si="1"/>
        <v>54</v>
      </c>
      <c r="C10" s="20">
        <f t="shared" si="0"/>
        <v>93</v>
      </c>
      <c r="D10" s="20">
        <f t="shared" si="2"/>
        <v>53</v>
      </c>
      <c r="E10" s="20">
        <f t="shared" si="3"/>
        <v>92</v>
      </c>
      <c r="F10" s="23">
        <v>40</v>
      </c>
      <c r="G10" s="26" t="s">
        <v>12</v>
      </c>
      <c r="H10" s="129"/>
      <c r="I10" s="129"/>
    </row>
    <row r="11" spans="1:11" ht="202.5" customHeight="1" x14ac:dyDescent="0.2">
      <c r="A11" s="22"/>
      <c r="B11" s="20">
        <f t="shared" ref="B11:B15" si="4">B10+F10</f>
        <v>94</v>
      </c>
      <c r="C11" s="20">
        <f t="shared" ref="C11:C16" si="5">B11+F11-1</f>
        <v>95</v>
      </c>
      <c r="D11" s="20">
        <f t="shared" si="2"/>
        <v>93</v>
      </c>
      <c r="E11" s="20">
        <f t="shared" si="3"/>
        <v>94</v>
      </c>
      <c r="F11" s="25">
        <v>2</v>
      </c>
      <c r="G11" s="61" t="s">
        <v>39</v>
      </c>
      <c r="H11" s="128" t="s">
        <v>229</v>
      </c>
      <c r="I11" s="128" t="s">
        <v>231</v>
      </c>
    </row>
    <row r="12" spans="1:11" s="8" customFormat="1" ht="71.25" customHeight="1" x14ac:dyDescent="0.2">
      <c r="A12" s="22" t="s">
        <v>147</v>
      </c>
      <c r="B12" s="110">
        <f t="shared" si="4"/>
        <v>96</v>
      </c>
      <c r="C12" s="110">
        <f t="shared" si="5"/>
        <v>107</v>
      </c>
      <c r="D12" s="20">
        <f t="shared" si="2"/>
        <v>95</v>
      </c>
      <c r="E12" s="20">
        <f t="shared" si="3"/>
        <v>106</v>
      </c>
      <c r="F12" s="110">
        <v>12</v>
      </c>
      <c r="G12" s="102" t="s">
        <v>61</v>
      </c>
      <c r="H12" s="129"/>
      <c r="I12" s="139" t="s">
        <v>353</v>
      </c>
    </row>
    <row r="13" spans="1:11" s="8" customFormat="1" ht="57" customHeight="1" x14ac:dyDescent="0.2">
      <c r="A13" s="22" t="s">
        <v>147</v>
      </c>
      <c r="B13" s="110">
        <f t="shared" si="4"/>
        <v>108</v>
      </c>
      <c r="C13" s="110">
        <f t="shared" si="5"/>
        <v>115</v>
      </c>
      <c r="D13" s="20">
        <f t="shared" si="2"/>
        <v>107</v>
      </c>
      <c r="E13" s="20">
        <f t="shared" si="3"/>
        <v>114</v>
      </c>
      <c r="F13" s="110">
        <v>8</v>
      </c>
      <c r="G13" s="102" t="s">
        <v>62</v>
      </c>
      <c r="H13" s="129"/>
      <c r="I13" s="139"/>
      <c r="J13" s="115"/>
      <c r="K13" s="114"/>
    </row>
    <row r="14" spans="1:11" s="8" customFormat="1" ht="69" customHeight="1" x14ac:dyDescent="0.2">
      <c r="A14" s="22"/>
      <c r="B14" s="110">
        <f t="shared" si="4"/>
        <v>116</v>
      </c>
      <c r="C14" s="110">
        <f t="shared" si="5"/>
        <v>116</v>
      </c>
      <c r="D14" s="20">
        <f t="shared" si="2"/>
        <v>115</v>
      </c>
      <c r="E14" s="20">
        <f t="shared" si="3"/>
        <v>115</v>
      </c>
      <c r="F14" s="110">
        <v>1</v>
      </c>
      <c r="G14" s="102" t="s">
        <v>63</v>
      </c>
      <c r="H14" s="129"/>
      <c r="I14" s="139"/>
    </row>
    <row r="15" spans="1:11" s="8" customFormat="1" ht="63.75" x14ac:dyDescent="0.2">
      <c r="A15" s="22" t="s">
        <v>147</v>
      </c>
      <c r="B15" s="110">
        <f t="shared" si="4"/>
        <v>117</v>
      </c>
      <c r="C15" s="110">
        <f t="shared" si="5"/>
        <v>126</v>
      </c>
      <c r="D15" s="20">
        <f t="shared" si="2"/>
        <v>116</v>
      </c>
      <c r="E15" s="20">
        <f t="shared" si="3"/>
        <v>125</v>
      </c>
      <c r="F15" s="110">
        <v>10</v>
      </c>
      <c r="G15" s="117" t="s">
        <v>327</v>
      </c>
      <c r="H15" s="99" t="s">
        <v>328</v>
      </c>
      <c r="I15" s="109" t="s">
        <v>354</v>
      </c>
    </row>
    <row r="16" spans="1:11" s="8" customFormat="1" x14ac:dyDescent="0.2">
      <c r="A16" s="22" t="s">
        <v>90</v>
      </c>
      <c r="B16" s="110">
        <f>B15+F15</f>
        <v>127</v>
      </c>
      <c r="C16" s="110">
        <f t="shared" si="5"/>
        <v>130</v>
      </c>
      <c r="D16" s="20">
        <f t="shared" si="2"/>
        <v>126</v>
      </c>
      <c r="E16" s="20">
        <f t="shared" si="3"/>
        <v>129</v>
      </c>
      <c r="F16" s="110">
        <v>4</v>
      </c>
      <c r="G16" s="102" t="s">
        <v>96</v>
      </c>
      <c r="H16" s="129"/>
      <c r="I16" s="129"/>
    </row>
    <row r="17" spans="1:9" s="8" customFormat="1" ht="102" x14ac:dyDescent="0.2">
      <c r="A17" s="22" t="s">
        <v>90</v>
      </c>
      <c r="B17" s="110">
        <f>B16+F16</f>
        <v>131</v>
      </c>
      <c r="C17" s="110">
        <f t="shared" ref="C17:C22" si="6">B17+F17-1</f>
        <v>132</v>
      </c>
      <c r="D17" s="20">
        <f t="shared" si="2"/>
        <v>130</v>
      </c>
      <c r="E17" s="20">
        <f t="shared" si="3"/>
        <v>131</v>
      </c>
      <c r="F17" s="110">
        <v>2</v>
      </c>
      <c r="G17" s="102" t="s">
        <v>13</v>
      </c>
      <c r="H17" s="129" t="s">
        <v>329</v>
      </c>
      <c r="I17" s="128" t="s">
        <v>276</v>
      </c>
    </row>
    <row r="18" spans="1:9" s="8" customFormat="1" ht="85.5" customHeight="1" x14ac:dyDescent="0.2">
      <c r="A18" s="22" t="s">
        <v>147</v>
      </c>
      <c r="B18" s="110">
        <f>B17+F17</f>
        <v>133</v>
      </c>
      <c r="C18" s="110">
        <f t="shared" si="6"/>
        <v>136</v>
      </c>
      <c r="D18" s="20">
        <f t="shared" si="2"/>
        <v>132</v>
      </c>
      <c r="E18" s="20">
        <f t="shared" si="3"/>
        <v>135</v>
      </c>
      <c r="F18" s="110">
        <v>4</v>
      </c>
      <c r="G18" s="102" t="s">
        <v>96</v>
      </c>
      <c r="H18" s="129"/>
      <c r="I18" s="137" t="s">
        <v>330</v>
      </c>
    </row>
    <row r="19" spans="1:9" s="8" customFormat="1" ht="75.75" customHeight="1" x14ac:dyDescent="0.2">
      <c r="A19" s="22" t="s">
        <v>147</v>
      </c>
      <c r="B19" s="110">
        <f t="shared" ref="B19:B29" si="7">B18+F18</f>
        <v>137</v>
      </c>
      <c r="C19" s="110">
        <f t="shared" si="6"/>
        <v>138</v>
      </c>
      <c r="D19" s="20">
        <f t="shared" si="2"/>
        <v>136</v>
      </c>
      <c r="E19" s="20">
        <f t="shared" si="3"/>
        <v>137</v>
      </c>
      <c r="F19" s="110">
        <v>2</v>
      </c>
      <c r="G19" s="102" t="s">
        <v>64</v>
      </c>
      <c r="H19" s="129" t="s">
        <v>306</v>
      </c>
      <c r="I19" s="137"/>
    </row>
    <row r="20" spans="1:9" s="8" customFormat="1" ht="84.75" customHeight="1" x14ac:dyDescent="0.2">
      <c r="A20" s="22" t="s">
        <v>147</v>
      </c>
      <c r="B20" s="110">
        <f t="shared" si="7"/>
        <v>139</v>
      </c>
      <c r="C20" s="110">
        <f t="shared" si="6"/>
        <v>143</v>
      </c>
      <c r="D20" s="20">
        <f t="shared" si="2"/>
        <v>138</v>
      </c>
      <c r="E20" s="20">
        <f t="shared" si="3"/>
        <v>142</v>
      </c>
      <c r="F20" s="110">
        <v>5</v>
      </c>
      <c r="G20" s="102" t="s">
        <v>96</v>
      </c>
      <c r="H20" s="129"/>
      <c r="I20" s="137"/>
    </row>
    <row r="21" spans="1:9" s="8" customFormat="1" ht="72.75" customHeight="1" x14ac:dyDescent="0.2">
      <c r="A21" s="57" t="s">
        <v>148</v>
      </c>
      <c r="B21" s="20">
        <f>B20+F20</f>
        <v>144</v>
      </c>
      <c r="C21" s="20">
        <f t="shared" si="6"/>
        <v>144</v>
      </c>
      <c r="D21" s="20">
        <f t="shared" si="2"/>
        <v>143</v>
      </c>
      <c r="E21" s="20">
        <f t="shared" si="3"/>
        <v>143</v>
      </c>
      <c r="F21" s="23">
        <v>1</v>
      </c>
      <c r="G21" s="26" t="s">
        <v>23</v>
      </c>
      <c r="H21" s="129" t="s">
        <v>14</v>
      </c>
      <c r="I21" s="128" t="s">
        <v>277</v>
      </c>
    </row>
    <row r="22" spans="1:9" s="8" customFormat="1" x14ac:dyDescent="0.2">
      <c r="A22" s="25"/>
      <c r="B22" s="56">
        <f t="shared" si="7"/>
        <v>145</v>
      </c>
      <c r="C22" s="56">
        <f t="shared" si="6"/>
        <v>145</v>
      </c>
      <c r="D22" s="20">
        <f t="shared" si="2"/>
        <v>144</v>
      </c>
      <c r="E22" s="20">
        <f t="shared" si="3"/>
        <v>144</v>
      </c>
      <c r="F22" s="56">
        <v>1</v>
      </c>
      <c r="G22" s="54" t="s">
        <v>96</v>
      </c>
      <c r="H22" s="128"/>
      <c r="I22" s="128"/>
    </row>
    <row r="23" spans="1:9" s="8" customFormat="1" ht="114.75" x14ac:dyDescent="0.2">
      <c r="A23" s="57" t="s">
        <v>148</v>
      </c>
      <c r="B23" s="56">
        <f t="shared" si="7"/>
        <v>146</v>
      </c>
      <c r="C23" s="56">
        <f t="shared" ref="C23:C29" si="8">B23+F23-1</f>
        <v>146</v>
      </c>
      <c r="D23" s="20">
        <f t="shared" si="2"/>
        <v>145</v>
      </c>
      <c r="E23" s="20">
        <f t="shared" si="3"/>
        <v>145</v>
      </c>
      <c r="F23" s="23">
        <v>1</v>
      </c>
      <c r="G23" s="54" t="s">
        <v>108</v>
      </c>
      <c r="H23" s="128" t="s">
        <v>175</v>
      </c>
      <c r="I23" s="128" t="s">
        <v>278</v>
      </c>
    </row>
    <row r="24" spans="1:9" s="8" customFormat="1" x14ac:dyDescent="0.2">
      <c r="A24" s="97"/>
      <c r="B24" s="111">
        <f>B23+F23</f>
        <v>147</v>
      </c>
      <c r="C24" s="111">
        <f t="shared" si="8"/>
        <v>149</v>
      </c>
      <c r="D24" s="20">
        <f t="shared" si="2"/>
        <v>146</v>
      </c>
      <c r="E24" s="20">
        <f t="shared" si="3"/>
        <v>148</v>
      </c>
      <c r="F24" s="111">
        <v>3</v>
      </c>
      <c r="G24" s="118" t="s">
        <v>96</v>
      </c>
      <c r="H24" s="132"/>
      <c r="I24" s="103"/>
    </row>
    <row r="25" spans="1:9" s="8" customFormat="1" ht="63.75" x14ac:dyDescent="0.2">
      <c r="A25" s="25"/>
      <c r="B25" s="20">
        <f t="shared" si="7"/>
        <v>150</v>
      </c>
      <c r="C25" s="20">
        <f t="shared" si="8"/>
        <v>150</v>
      </c>
      <c r="D25" s="20">
        <f t="shared" si="2"/>
        <v>149</v>
      </c>
      <c r="E25" s="20">
        <f t="shared" si="3"/>
        <v>149</v>
      </c>
      <c r="F25" s="23">
        <v>1</v>
      </c>
      <c r="G25" s="54" t="s">
        <v>164</v>
      </c>
      <c r="H25" s="99" t="s">
        <v>182</v>
      </c>
      <c r="I25" s="99" t="s">
        <v>235</v>
      </c>
    </row>
    <row r="26" spans="1:9" s="8" customFormat="1" x14ac:dyDescent="0.2">
      <c r="A26" s="25"/>
      <c r="B26" s="20">
        <f t="shared" si="7"/>
        <v>151</v>
      </c>
      <c r="C26" s="20">
        <f t="shared" si="8"/>
        <v>153</v>
      </c>
      <c r="D26" s="20">
        <f t="shared" si="2"/>
        <v>150</v>
      </c>
      <c r="E26" s="20">
        <f t="shared" si="3"/>
        <v>152</v>
      </c>
      <c r="F26" s="23">
        <v>3</v>
      </c>
      <c r="G26" s="102" t="s">
        <v>96</v>
      </c>
      <c r="H26" s="129"/>
      <c r="I26" s="129"/>
    </row>
    <row r="27" spans="1:9" s="8" customFormat="1" ht="59.25" customHeight="1" x14ac:dyDescent="0.2">
      <c r="A27" s="25" t="s">
        <v>89</v>
      </c>
      <c r="B27" s="20">
        <f>B26+F26</f>
        <v>154</v>
      </c>
      <c r="C27" s="20">
        <f t="shared" si="8"/>
        <v>154</v>
      </c>
      <c r="D27" s="20">
        <f t="shared" si="2"/>
        <v>153</v>
      </c>
      <c r="E27" s="20">
        <f t="shared" si="3"/>
        <v>153</v>
      </c>
      <c r="F27" s="23">
        <v>1</v>
      </c>
      <c r="G27" s="26" t="s">
        <v>24</v>
      </c>
      <c r="H27" s="129" t="s">
        <v>25</v>
      </c>
      <c r="I27" s="128" t="s">
        <v>279</v>
      </c>
    </row>
    <row r="28" spans="1:9" s="8" customFormat="1" ht="111.75" customHeight="1" x14ac:dyDescent="0.2">
      <c r="A28" s="25"/>
      <c r="B28" s="20">
        <f t="shared" si="7"/>
        <v>155</v>
      </c>
      <c r="C28" s="20">
        <f t="shared" si="8"/>
        <v>156</v>
      </c>
      <c r="D28" s="20">
        <f t="shared" si="2"/>
        <v>154</v>
      </c>
      <c r="E28" s="20">
        <f t="shared" si="3"/>
        <v>155</v>
      </c>
      <c r="F28" s="23">
        <v>2</v>
      </c>
      <c r="G28" s="54" t="s">
        <v>166</v>
      </c>
      <c r="H28" s="129" t="s">
        <v>218</v>
      </c>
      <c r="I28" s="99" t="s">
        <v>355</v>
      </c>
    </row>
    <row r="29" spans="1:9" s="8" customFormat="1" x14ac:dyDescent="0.2">
      <c r="A29" s="25"/>
      <c r="B29" s="20">
        <f t="shared" si="7"/>
        <v>157</v>
      </c>
      <c r="C29" s="20">
        <f t="shared" si="8"/>
        <v>175</v>
      </c>
      <c r="D29" s="20">
        <f t="shared" si="2"/>
        <v>156</v>
      </c>
      <c r="E29" s="20">
        <f t="shared" si="3"/>
        <v>174</v>
      </c>
      <c r="F29" s="23">
        <v>19</v>
      </c>
      <c r="G29" s="130" t="s">
        <v>96</v>
      </c>
      <c r="H29" s="100"/>
      <c r="I29" s="101"/>
    </row>
    <row r="30" spans="1:9" s="8" customFormat="1" x14ac:dyDescent="0.2">
      <c r="A30" s="25"/>
      <c r="B30" s="20"/>
      <c r="C30" s="20"/>
      <c r="D30" s="20">
        <f t="shared" si="2"/>
        <v>-1</v>
      </c>
      <c r="E30" s="20">
        <f t="shared" si="3"/>
        <v>-1</v>
      </c>
      <c r="F30" s="23"/>
      <c r="G30" s="31" t="s">
        <v>228</v>
      </c>
      <c r="H30" s="100"/>
      <c r="I30" s="129" t="s">
        <v>245</v>
      </c>
    </row>
    <row r="31" spans="1:9" s="8" customFormat="1" ht="242.25" x14ac:dyDescent="0.2">
      <c r="A31" s="25" t="s">
        <v>89</v>
      </c>
      <c r="B31" s="20">
        <f>B29+F29</f>
        <v>176</v>
      </c>
      <c r="C31" s="20">
        <f t="shared" ref="C31:C36" si="9">B31+F31-1</f>
        <v>177</v>
      </c>
      <c r="D31" s="20">
        <f t="shared" si="2"/>
        <v>175</v>
      </c>
      <c r="E31" s="20">
        <f t="shared" si="3"/>
        <v>176</v>
      </c>
      <c r="F31" s="23">
        <v>2</v>
      </c>
      <c r="G31" s="89" t="s">
        <v>247</v>
      </c>
      <c r="H31" s="100" t="s">
        <v>356</v>
      </c>
      <c r="I31" s="128" t="s">
        <v>280</v>
      </c>
    </row>
    <row r="32" spans="1:9" s="8" customFormat="1" x14ac:dyDescent="0.2">
      <c r="A32" s="25"/>
      <c r="B32" s="20"/>
      <c r="C32" s="20"/>
      <c r="D32" s="20">
        <f t="shared" si="2"/>
        <v>-1</v>
      </c>
      <c r="E32" s="20">
        <f t="shared" si="3"/>
        <v>-1</v>
      </c>
      <c r="F32" s="23"/>
      <c r="G32" s="45" t="s">
        <v>37</v>
      </c>
      <c r="H32" s="100"/>
      <c r="I32" s="129" t="s">
        <v>245</v>
      </c>
    </row>
    <row r="33" spans="1:9" s="8" customFormat="1" x14ac:dyDescent="0.2">
      <c r="A33" s="25" t="s">
        <v>89</v>
      </c>
      <c r="B33" s="20">
        <f>B31+F31</f>
        <v>178</v>
      </c>
      <c r="C33" s="20">
        <f>B33+F33-1</f>
        <v>178</v>
      </c>
      <c r="D33" s="20">
        <f t="shared" si="2"/>
        <v>177</v>
      </c>
      <c r="E33" s="20">
        <f t="shared" si="3"/>
        <v>177</v>
      </c>
      <c r="F33" s="23">
        <v>1</v>
      </c>
      <c r="G33" s="27" t="s">
        <v>65</v>
      </c>
      <c r="H33" s="140" t="s">
        <v>150</v>
      </c>
      <c r="I33" s="126"/>
    </row>
    <row r="34" spans="1:9" s="8" customFormat="1" x14ac:dyDescent="0.2">
      <c r="A34" s="25" t="s">
        <v>89</v>
      </c>
      <c r="B34" s="20">
        <f>B33+F33</f>
        <v>179</v>
      </c>
      <c r="C34" s="20">
        <f>B34+F34-1</f>
        <v>179</v>
      </c>
      <c r="D34" s="20">
        <f t="shared" si="2"/>
        <v>178</v>
      </c>
      <c r="E34" s="20">
        <f t="shared" si="3"/>
        <v>178</v>
      </c>
      <c r="F34" s="23">
        <v>1</v>
      </c>
      <c r="G34" s="27" t="s">
        <v>66</v>
      </c>
      <c r="H34" s="140"/>
      <c r="I34" s="126"/>
    </row>
    <row r="35" spans="1:9" s="8" customFormat="1" x14ac:dyDescent="0.2">
      <c r="A35" s="25" t="s">
        <v>89</v>
      </c>
      <c r="B35" s="20">
        <f>B34+F34</f>
        <v>180</v>
      </c>
      <c r="C35" s="20">
        <f>B35+F35-1</f>
        <v>180</v>
      </c>
      <c r="D35" s="20">
        <f t="shared" si="2"/>
        <v>179</v>
      </c>
      <c r="E35" s="20">
        <f t="shared" si="3"/>
        <v>179</v>
      </c>
      <c r="F35" s="23">
        <v>1</v>
      </c>
      <c r="G35" s="27" t="s">
        <v>67</v>
      </c>
      <c r="H35" s="140"/>
      <c r="I35" s="126"/>
    </row>
    <row r="36" spans="1:9" s="8" customFormat="1" x14ac:dyDescent="0.2">
      <c r="A36" s="25"/>
      <c r="B36" s="20">
        <f>B35+F35</f>
        <v>181</v>
      </c>
      <c r="C36" s="20">
        <f t="shared" si="9"/>
        <v>182</v>
      </c>
      <c r="D36" s="20">
        <f t="shared" si="2"/>
        <v>180</v>
      </c>
      <c r="E36" s="20">
        <f t="shared" si="3"/>
        <v>181</v>
      </c>
      <c r="F36" s="23">
        <v>2</v>
      </c>
      <c r="G36" s="102" t="s">
        <v>96</v>
      </c>
      <c r="H36" s="129"/>
      <c r="I36" s="129"/>
    </row>
    <row r="37" spans="1:9" s="8" customFormat="1" ht="52.5" customHeight="1" x14ac:dyDescent="0.2">
      <c r="A37" s="25" t="s">
        <v>89</v>
      </c>
      <c r="B37" s="20">
        <f t="shared" ref="B37:B44" si="10">B36+F36</f>
        <v>183</v>
      </c>
      <c r="C37" s="20">
        <f t="shared" ref="C37:C44" si="11">B37+F37-1</f>
        <v>183</v>
      </c>
      <c r="D37" s="20">
        <f t="shared" si="2"/>
        <v>182</v>
      </c>
      <c r="E37" s="20">
        <f t="shared" si="3"/>
        <v>182</v>
      </c>
      <c r="F37" s="23">
        <v>1</v>
      </c>
      <c r="G37" s="26" t="s">
        <v>18</v>
      </c>
      <c r="H37" s="129" t="s">
        <v>7</v>
      </c>
      <c r="I37" s="128" t="s">
        <v>279</v>
      </c>
    </row>
    <row r="38" spans="1:9" s="8" customFormat="1" ht="38.25" x14ac:dyDescent="0.2">
      <c r="A38" s="25"/>
      <c r="B38" s="20">
        <f t="shared" si="10"/>
        <v>184</v>
      </c>
      <c r="C38" s="20">
        <f t="shared" si="11"/>
        <v>193</v>
      </c>
      <c r="D38" s="20">
        <f t="shared" si="2"/>
        <v>183</v>
      </c>
      <c r="E38" s="20">
        <f t="shared" si="3"/>
        <v>192</v>
      </c>
      <c r="F38" s="23">
        <v>10</v>
      </c>
      <c r="G38" s="26" t="s">
        <v>38</v>
      </c>
      <c r="H38" s="102" t="s">
        <v>179</v>
      </c>
      <c r="I38" s="129" t="s">
        <v>245</v>
      </c>
    </row>
    <row r="39" spans="1:9" s="8" customFormat="1" ht="63.75" x14ac:dyDescent="0.2">
      <c r="A39" s="25"/>
      <c r="B39" s="20">
        <f t="shared" si="10"/>
        <v>194</v>
      </c>
      <c r="C39" s="20">
        <f t="shared" si="11"/>
        <v>196</v>
      </c>
      <c r="D39" s="20">
        <f t="shared" si="2"/>
        <v>193</v>
      </c>
      <c r="E39" s="20">
        <f t="shared" si="3"/>
        <v>195</v>
      </c>
      <c r="F39" s="23">
        <v>3</v>
      </c>
      <c r="G39" s="26" t="s">
        <v>47</v>
      </c>
      <c r="H39" s="129" t="s">
        <v>157</v>
      </c>
      <c r="I39" s="129" t="s">
        <v>245</v>
      </c>
    </row>
    <row r="40" spans="1:9" s="8" customFormat="1" ht="70.5" customHeight="1" x14ac:dyDescent="0.2">
      <c r="A40" s="25"/>
      <c r="B40" s="20">
        <f>B39+F39</f>
        <v>197</v>
      </c>
      <c r="C40" s="20">
        <f t="shared" si="11"/>
        <v>245</v>
      </c>
      <c r="D40" s="20">
        <f t="shared" si="2"/>
        <v>196</v>
      </c>
      <c r="E40" s="20">
        <f t="shared" si="3"/>
        <v>244</v>
      </c>
      <c r="F40" s="23">
        <v>49</v>
      </c>
      <c r="G40" s="102" t="s">
        <v>96</v>
      </c>
      <c r="H40" s="129"/>
      <c r="I40" s="101"/>
    </row>
    <row r="41" spans="1:9" s="8" customFormat="1" ht="42" customHeight="1" x14ac:dyDescent="0.2">
      <c r="A41" s="25"/>
      <c r="B41" s="20">
        <f t="shared" si="10"/>
        <v>246</v>
      </c>
      <c r="C41" s="20">
        <f t="shared" si="11"/>
        <v>248</v>
      </c>
      <c r="D41" s="20">
        <f t="shared" si="2"/>
        <v>245</v>
      </c>
      <c r="E41" s="20">
        <f t="shared" si="3"/>
        <v>247</v>
      </c>
      <c r="F41" s="23">
        <v>3</v>
      </c>
      <c r="G41" s="61" t="s">
        <v>170</v>
      </c>
      <c r="H41" s="128" t="s">
        <v>151</v>
      </c>
      <c r="I41" s="137" t="s">
        <v>230</v>
      </c>
    </row>
    <row r="42" spans="1:9" s="8" customFormat="1" ht="52.5" customHeight="1" x14ac:dyDescent="0.2">
      <c r="A42" s="25"/>
      <c r="B42" s="20">
        <f t="shared" si="10"/>
        <v>249</v>
      </c>
      <c r="C42" s="20">
        <f t="shared" si="11"/>
        <v>251</v>
      </c>
      <c r="D42" s="20">
        <f t="shared" si="2"/>
        <v>248</v>
      </c>
      <c r="E42" s="20">
        <f t="shared" si="3"/>
        <v>250</v>
      </c>
      <c r="F42" s="23">
        <v>3</v>
      </c>
      <c r="G42" s="88" t="s">
        <v>171</v>
      </c>
      <c r="H42" s="128" t="s">
        <v>152</v>
      </c>
      <c r="I42" s="137"/>
    </row>
    <row r="43" spans="1:9" s="8" customFormat="1" x14ac:dyDescent="0.2">
      <c r="A43" s="97"/>
      <c r="B43" s="20">
        <f>B42+F42</f>
        <v>252</v>
      </c>
      <c r="C43" s="20">
        <f t="shared" si="11"/>
        <v>261</v>
      </c>
      <c r="D43" s="20">
        <f t="shared" si="2"/>
        <v>251</v>
      </c>
      <c r="E43" s="20">
        <f t="shared" si="3"/>
        <v>260</v>
      </c>
      <c r="F43" s="110">
        <v>10</v>
      </c>
      <c r="G43" s="119" t="s">
        <v>96</v>
      </c>
      <c r="H43" s="103"/>
      <c r="I43" s="133"/>
    </row>
    <row r="44" spans="1:9" s="8" customFormat="1" x14ac:dyDescent="0.2">
      <c r="A44" s="55" t="s">
        <v>90</v>
      </c>
      <c r="B44" s="20">
        <f t="shared" si="10"/>
        <v>262</v>
      </c>
      <c r="C44" s="20">
        <f t="shared" si="11"/>
        <v>267</v>
      </c>
      <c r="D44" s="20">
        <f t="shared" si="2"/>
        <v>261</v>
      </c>
      <c r="E44" s="20">
        <f t="shared" si="3"/>
        <v>266</v>
      </c>
      <c r="F44" s="23">
        <v>6</v>
      </c>
      <c r="G44" s="54" t="s">
        <v>189</v>
      </c>
      <c r="H44" s="134" t="s">
        <v>30</v>
      </c>
      <c r="I44" s="129" t="s">
        <v>0</v>
      </c>
    </row>
    <row r="45" spans="1:9" s="8" customFormat="1" x14ac:dyDescent="0.2">
      <c r="A45" s="25"/>
      <c r="B45" s="20">
        <f>B44+F44</f>
        <v>268</v>
      </c>
      <c r="C45" s="20">
        <f>B45+F45-1</f>
        <v>282</v>
      </c>
      <c r="D45" s="20">
        <f t="shared" si="2"/>
        <v>267</v>
      </c>
      <c r="E45" s="20">
        <f t="shared" si="3"/>
        <v>281</v>
      </c>
      <c r="F45" s="23">
        <v>15</v>
      </c>
      <c r="G45" s="102" t="s">
        <v>96</v>
      </c>
      <c r="H45" s="128"/>
      <c r="I45" s="129"/>
    </row>
    <row r="46" spans="1:9" ht="38.25" x14ac:dyDescent="0.2">
      <c r="A46" s="57"/>
      <c r="B46" s="56">
        <f>B45+F45</f>
        <v>283</v>
      </c>
      <c r="C46" s="56">
        <f>B46+F46-1</f>
        <v>283</v>
      </c>
      <c r="D46" s="20">
        <f t="shared" si="2"/>
        <v>282</v>
      </c>
      <c r="E46" s="20">
        <f t="shared" si="3"/>
        <v>282</v>
      </c>
      <c r="F46" s="57">
        <v>1</v>
      </c>
      <c r="G46" s="61" t="s">
        <v>117</v>
      </c>
      <c r="H46" s="129" t="s">
        <v>118</v>
      </c>
      <c r="I46" s="128" t="s">
        <v>279</v>
      </c>
    </row>
    <row r="47" spans="1:9" s="8" customFormat="1" x14ac:dyDescent="0.2">
      <c r="A47" s="25"/>
      <c r="B47" s="56">
        <f t="shared" ref="B47" si="12">B46+F46</f>
        <v>284</v>
      </c>
      <c r="C47" s="20">
        <f>B47+F47-1</f>
        <v>426</v>
      </c>
      <c r="D47" s="20">
        <f t="shared" si="2"/>
        <v>283</v>
      </c>
      <c r="E47" s="20">
        <f t="shared" si="3"/>
        <v>425</v>
      </c>
      <c r="F47" s="23">
        <v>143</v>
      </c>
      <c r="G47" s="26" t="s">
        <v>96</v>
      </c>
      <c r="H47" s="135"/>
      <c r="I47" s="129"/>
    </row>
    <row r="48" spans="1:9" s="8" customFormat="1" x14ac:dyDescent="0.2">
      <c r="A48" s="25"/>
      <c r="B48" s="23"/>
      <c r="C48" s="23"/>
      <c r="D48" s="20">
        <f t="shared" si="2"/>
        <v>-1</v>
      </c>
      <c r="E48" s="20">
        <f t="shared" si="3"/>
        <v>-1</v>
      </c>
      <c r="F48" s="23"/>
      <c r="G48" s="46" t="s">
        <v>68</v>
      </c>
      <c r="H48" s="129"/>
      <c r="I48" s="129"/>
    </row>
    <row r="49" spans="1:9" s="7" customFormat="1" ht="71.25" customHeight="1" x14ac:dyDescent="0.2">
      <c r="A49" s="57" t="s">
        <v>90</v>
      </c>
      <c r="B49" s="20">
        <f>B47+F47</f>
        <v>427</v>
      </c>
      <c r="C49" s="20">
        <f>B49+F49-1</f>
        <v>428</v>
      </c>
      <c r="D49" s="20">
        <f t="shared" si="2"/>
        <v>426</v>
      </c>
      <c r="E49" s="20">
        <f t="shared" si="3"/>
        <v>427</v>
      </c>
      <c r="F49" s="18">
        <v>2</v>
      </c>
      <c r="G49" s="98" t="s">
        <v>191</v>
      </c>
      <c r="H49" s="99" t="s">
        <v>153</v>
      </c>
      <c r="I49" s="99" t="s">
        <v>281</v>
      </c>
    </row>
    <row r="50" spans="1:9" s="7" customFormat="1" ht="67.5" customHeight="1" x14ac:dyDescent="0.2">
      <c r="A50" s="57"/>
      <c r="B50" s="20">
        <f>B49+F49</f>
        <v>429</v>
      </c>
      <c r="C50" s="20">
        <f>B50+F50-1</f>
        <v>431</v>
      </c>
      <c r="D50" s="20">
        <f t="shared" si="2"/>
        <v>428</v>
      </c>
      <c r="E50" s="20">
        <f t="shared" si="3"/>
        <v>430</v>
      </c>
      <c r="F50" s="18">
        <v>3</v>
      </c>
      <c r="G50" s="61" t="s">
        <v>192</v>
      </c>
      <c r="H50" s="128" t="s">
        <v>154</v>
      </c>
      <c r="I50" s="99" t="s">
        <v>282</v>
      </c>
    </row>
    <row r="51" spans="1:9" s="7" customFormat="1" ht="70.5" customHeight="1" x14ac:dyDescent="0.2">
      <c r="A51" s="57"/>
      <c r="B51" s="20">
        <f>B50+F50</f>
        <v>432</v>
      </c>
      <c r="C51" s="20">
        <f>B51+F51-1</f>
        <v>434</v>
      </c>
      <c r="D51" s="20">
        <f t="shared" si="2"/>
        <v>431</v>
      </c>
      <c r="E51" s="20">
        <f t="shared" si="3"/>
        <v>433</v>
      </c>
      <c r="F51" s="18">
        <v>3</v>
      </c>
      <c r="G51" s="80" t="s">
        <v>193</v>
      </c>
      <c r="H51" s="128" t="s">
        <v>155</v>
      </c>
      <c r="I51" s="128" t="s">
        <v>283</v>
      </c>
    </row>
    <row r="52" spans="1:9" s="7" customFormat="1" x14ac:dyDescent="0.2">
      <c r="A52" s="57" t="s">
        <v>89</v>
      </c>
      <c r="B52" s="20">
        <f>B51+F51</f>
        <v>435</v>
      </c>
      <c r="C52" s="20">
        <f t="shared" ref="C52:C56" si="13">B52+F52-1</f>
        <v>436</v>
      </c>
      <c r="D52" s="20">
        <f t="shared" si="2"/>
        <v>434</v>
      </c>
      <c r="E52" s="20">
        <f t="shared" si="3"/>
        <v>435</v>
      </c>
      <c r="F52" s="18">
        <v>2</v>
      </c>
      <c r="G52" s="61" t="s">
        <v>70</v>
      </c>
      <c r="H52" s="137" t="s">
        <v>153</v>
      </c>
      <c r="I52" s="137" t="s">
        <v>223</v>
      </c>
    </row>
    <row r="53" spans="1:9" s="7" customFormat="1" x14ac:dyDescent="0.2">
      <c r="A53" s="57" t="s">
        <v>89</v>
      </c>
      <c r="B53" s="20">
        <f t="shared" ref="B53:B55" si="14">B52+F52</f>
        <v>437</v>
      </c>
      <c r="C53" s="20">
        <f t="shared" si="13"/>
        <v>438</v>
      </c>
      <c r="D53" s="20">
        <f t="shared" si="2"/>
        <v>436</v>
      </c>
      <c r="E53" s="20">
        <f t="shared" si="3"/>
        <v>437</v>
      </c>
      <c r="F53" s="18">
        <v>2</v>
      </c>
      <c r="G53" s="29" t="s">
        <v>71</v>
      </c>
      <c r="H53" s="141"/>
      <c r="I53" s="141"/>
    </row>
    <row r="54" spans="1:9" s="7" customFormat="1" x14ac:dyDescent="0.2">
      <c r="A54" s="57" t="s">
        <v>89</v>
      </c>
      <c r="B54" s="20">
        <f t="shared" si="14"/>
        <v>439</v>
      </c>
      <c r="C54" s="20">
        <f t="shared" si="13"/>
        <v>440</v>
      </c>
      <c r="D54" s="20">
        <f t="shared" si="2"/>
        <v>438</v>
      </c>
      <c r="E54" s="20">
        <f t="shared" si="3"/>
        <v>439</v>
      </c>
      <c r="F54" s="18">
        <v>2</v>
      </c>
      <c r="G54" s="29" t="s">
        <v>72</v>
      </c>
      <c r="H54" s="141"/>
      <c r="I54" s="141"/>
    </row>
    <row r="55" spans="1:9" s="7" customFormat="1" ht="30.75" customHeight="1" x14ac:dyDescent="0.2">
      <c r="A55" s="57" t="s">
        <v>89</v>
      </c>
      <c r="B55" s="20">
        <f t="shared" si="14"/>
        <v>441</v>
      </c>
      <c r="C55" s="20">
        <f t="shared" si="13"/>
        <v>442</v>
      </c>
      <c r="D55" s="20">
        <f t="shared" si="2"/>
        <v>440</v>
      </c>
      <c r="E55" s="20">
        <f t="shared" si="3"/>
        <v>441</v>
      </c>
      <c r="F55" s="18">
        <v>2</v>
      </c>
      <c r="G55" s="29" t="s">
        <v>73</v>
      </c>
      <c r="H55" s="141"/>
      <c r="I55" s="141"/>
    </row>
    <row r="56" spans="1:9" s="7" customFormat="1" x14ac:dyDescent="0.2">
      <c r="A56" s="28"/>
      <c r="B56" s="20">
        <f>B55+F55</f>
        <v>443</v>
      </c>
      <c r="C56" s="20">
        <f t="shared" si="13"/>
        <v>452</v>
      </c>
      <c r="D56" s="20">
        <f t="shared" si="2"/>
        <v>442</v>
      </c>
      <c r="E56" s="20">
        <f t="shared" si="3"/>
        <v>451</v>
      </c>
      <c r="F56" s="18">
        <v>10</v>
      </c>
      <c r="G56" s="29" t="s">
        <v>96</v>
      </c>
      <c r="H56" s="134"/>
      <c r="I56" s="134"/>
    </row>
    <row r="57" spans="1:9" s="7" customFormat="1" x14ac:dyDescent="0.2">
      <c r="A57" s="30"/>
      <c r="B57" s="18"/>
      <c r="C57" s="18"/>
      <c r="D57" s="20">
        <f t="shared" si="2"/>
        <v>-1</v>
      </c>
      <c r="E57" s="20">
        <f t="shared" si="3"/>
        <v>-1</v>
      </c>
      <c r="F57" s="18"/>
      <c r="G57" s="46" t="s">
        <v>69</v>
      </c>
      <c r="H57" s="134"/>
      <c r="I57" s="134"/>
    </row>
    <row r="58" spans="1:9" s="7" customFormat="1" ht="69.75" customHeight="1" x14ac:dyDescent="0.2">
      <c r="A58" s="57" t="s">
        <v>90</v>
      </c>
      <c r="B58" s="20">
        <f>B56+F56</f>
        <v>453</v>
      </c>
      <c r="C58" s="20">
        <f>B58+F58-1</f>
        <v>454</v>
      </c>
      <c r="D58" s="20">
        <f t="shared" si="2"/>
        <v>452</v>
      </c>
      <c r="E58" s="20">
        <f t="shared" si="3"/>
        <v>453</v>
      </c>
      <c r="F58" s="18">
        <v>2</v>
      </c>
      <c r="G58" s="61" t="s">
        <v>194</v>
      </c>
      <c r="H58" s="99" t="s">
        <v>153</v>
      </c>
      <c r="I58" s="99" t="s">
        <v>284</v>
      </c>
    </row>
    <row r="59" spans="1:9" s="7" customFormat="1" ht="78.75" customHeight="1" x14ac:dyDescent="0.2">
      <c r="A59" s="57"/>
      <c r="B59" s="20">
        <f>B58+F58</f>
        <v>455</v>
      </c>
      <c r="C59" s="20">
        <f>B59+F59-1</f>
        <v>457</v>
      </c>
      <c r="D59" s="20">
        <f t="shared" si="2"/>
        <v>454</v>
      </c>
      <c r="E59" s="20">
        <f t="shared" si="3"/>
        <v>456</v>
      </c>
      <c r="F59" s="18">
        <v>3</v>
      </c>
      <c r="G59" s="61" t="s">
        <v>195</v>
      </c>
      <c r="H59" s="128" t="s">
        <v>154</v>
      </c>
      <c r="I59" s="99" t="s">
        <v>285</v>
      </c>
    </row>
    <row r="60" spans="1:9" s="7" customFormat="1" ht="76.5" customHeight="1" x14ac:dyDescent="0.2">
      <c r="A60" s="57"/>
      <c r="B60" s="20">
        <f>B59+F59</f>
        <v>458</v>
      </c>
      <c r="C60" s="20">
        <f>B60+F60-1</f>
        <v>460</v>
      </c>
      <c r="D60" s="20">
        <f t="shared" si="2"/>
        <v>457</v>
      </c>
      <c r="E60" s="20">
        <f t="shared" si="3"/>
        <v>459</v>
      </c>
      <c r="F60" s="18">
        <v>3</v>
      </c>
      <c r="G60" s="80" t="s">
        <v>196</v>
      </c>
      <c r="H60" s="128" t="s">
        <v>155</v>
      </c>
      <c r="I60" s="128" t="s">
        <v>286</v>
      </c>
    </row>
    <row r="61" spans="1:9" s="7" customFormat="1" x14ac:dyDescent="0.2">
      <c r="A61" s="57" t="s">
        <v>89</v>
      </c>
      <c r="B61" s="20">
        <f>B60+F60</f>
        <v>461</v>
      </c>
      <c r="C61" s="20">
        <f t="shared" ref="C61:C65" si="15">B61+F61-1</f>
        <v>462</v>
      </c>
      <c r="D61" s="20">
        <f t="shared" si="2"/>
        <v>460</v>
      </c>
      <c r="E61" s="20">
        <f t="shared" si="3"/>
        <v>461</v>
      </c>
      <c r="F61" s="18">
        <v>2</v>
      </c>
      <c r="G61" s="29" t="s">
        <v>74</v>
      </c>
      <c r="H61" s="137" t="s">
        <v>153</v>
      </c>
      <c r="I61" s="137" t="s">
        <v>222</v>
      </c>
    </row>
    <row r="62" spans="1:9" s="7" customFormat="1" x14ac:dyDescent="0.2">
      <c r="A62" s="57" t="s">
        <v>89</v>
      </c>
      <c r="B62" s="20">
        <f t="shared" ref="B62:B64" si="16">B61+F61</f>
        <v>463</v>
      </c>
      <c r="C62" s="20">
        <f t="shared" si="15"/>
        <v>464</v>
      </c>
      <c r="D62" s="20">
        <f t="shared" si="2"/>
        <v>462</v>
      </c>
      <c r="E62" s="20">
        <f t="shared" si="3"/>
        <v>463</v>
      </c>
      <c r="F62" s="18">
        <v>2</v>
      </c>
      <c r="G62" s="29" t="s">
        <v>75</v>
      </c>
      <c r="H62" s="141"/>
      <c r="I62" s="141"/>
    </row>
    <row r="63" spans="1:9" s="7" customFormat="1" x14ac:dyDescent="0.2">
      <c r="A63" s="57" t="s">
        <v>89</v>
      </c>
      <c r="B63" s="20">
        <f t="shared" si="16"/>
        <v>465</v>
      </c>
      <c r="C63" s="20">
        <f t="shared" si="15"/>
        <v>466</v>
      </c>
      <c r="D63" s="20">
        <f t="shared" si="2"/>
        <v>464</v>
      </c>
      <c r="E63" s="20">
        <f t="shared" si="3"/>
        <v>465</v>
      </c>
      <c r="F63" s="18">
        <v>2</v>
      </c>
      <c r="G63" s="29" t="s">
        <v>76</v>
      </c>
      <c r="H63" s="141"/>
      <c r="I63" s="141"/>
    </row>
    <row r="64" spans="1:9" s="7" customFormat="1" x14ac:dyDescent="0.2">
      <c r="A64" s="57" t="s">
        <v>89</v>
      </c>
      <c r="B64" s="20">
        <f t="shared" si="16"/>
        <v>467</v>
      </c>
      <c r="C64" s="20">
        <f t="shared" si="15"/>
        <v>468</v>
      </c>
      <c r="D64" s="20">
        <f t="shared" si="2"/>
        <v>466</v>
      </c>
      <c r="E64" s="20">
        <f t="shared" si="3"/>
        <v>467</v>
      </c>
      <c r="F64" s="18">
        <v>2</v>
      </c>
      <c r="G64" s="29" t="s">
        <v>77</v>
      </c>
      <c r="H64" s="141"/>
      <c r="I64" s="141"/>
    </row>
    <row r="65" spans="1:9" s="7" customFormat="1" x14ac:dyDescent="0.2">
      <c r="A65" s="30"/>
      <c r="B65" s="20">
        <f>B64+F64</f>
        <v>469</v>
      </c>
      <c r="C65" s="20">
        <f t="shared" si="15"/>
        <v>478</v>
      </c>
      <c r="D65" s="20">
        <f t="shared" si="2"/>
        <v>468</v>
      </c>
      <c r="E65" s="20">
        <f t="shared" si="3"/>
        <v>477</v>
      </c>
      <c r="F65" s="18">
        <v>10</v>
      </c>
      <c r="G65" s="29" t="s">
        <v>96</v>
      </c>
      <c r="H65" s="134"/>
      <c r="I65" s="134"/>
    </row>
    <row r="66" spans="1:9" s="7" customFormat="1" x14ac:dyDescent="0.2">
      <c r="A66" s="30"/>
      <c r="B66" s="18"/>
      <c r="C66" s="18"/>
      <c r="D66" s="20">
        <f t="shared" si="2"/>
        <v>-1</v>
      </c>
      <c r="E66" s="20">
        <f t="shared" si="3"/>
        <v>-1</v>
      </c>
      <c r="F66" s="18"/>
      <c r="G66" s="46" t="s">
        <v>78</v>
      </c>
      <c r="H66" s="134"/>
      <c r="I66" s="134"/>
    </row>
    <row r="67" spans="1:9" s="7" customFormat="1" ht="75" customHeight="1" x14ac:dyDescent="0.2">
      <c r="A67" s="57" t="s">
        <v>90</v>
      </c>
      <c r="B67" s="20">
        <f>B65+F65</f>
        <v>479</v>
      </c>
      <c r="C67" s="20">
        <f>B67+F67-1</f>
        <v>480</v>
      </c>
      <c r="D67" s="20">
        <f t="shared" si="2"/>
        <v>478</v>
      </c>
      <c r="E67" s="20">
        <f t="shared" si="3"/>
        <v>479</v>
      </c>
      <c r="F67" s="18">
        <v>2</v>
      </c>
      <c r="G67" s="61" t="s">
        <v>197</v>
      </c>
      <c r="H67" s="99" t="s">
        <v>153</v>
      </c>
      <c r="I67" s="99" t="s">
        <v>287</v>
      </c>
    </row>
    <row r="68" spans="1:9" s="7" customFormat="1" ht="78" customHeight="1" x14ac:dyDescent="0.2">
      <c r="A68" s="57"/>
      <c r="B68" s="20">
        <f>B67+F67</f>
        <v>481</v>
      </c>
      <c r="C68" s="20">
        <f>B68+F68-1</f>
        <v>483</v>
      </c>
      <c r="D68" s="20">
        <f t="shared" si="2"/>
        <v>480</v>
      </c>
      <c r="E68" s="20">
        <f t="shared" si="3"/>
        <v>482</v>
      </c>
      <c r="F68" s="18">
        <v>3</v>
      </c>
      <c r="G68" s="61" t="s">
        <v>198</v>
      </c>
      <c r="H68" s="128" t="s">
        <v>154</v>
      </c>
      <c r="I68" s="99" t="s">
        <v>288</v>
      </c>
    </row>
    <row r="69" spans="1:9" s="7" customFormat="1" ht="72.75" customHeight="1" x14ac:dyDescent="0.2">
      <c r="A69" s="57"/>
      <c r="B69" s="20">
        <f>B68+F68</f>
        <v>484</v>
      </c>
      <c r="C69" s="20">
        <f>B69+F69-1</f>
        <v>486</v>
      </c>
      <c r="D69" s="20">
        <f t="shared" ref="D69:D112" si="17">B69-1</f>
        <v>483</v>
      </c>
      <c r="E69" s="20">
        <f t="shared" ref="E69:E112" si="18">C69-1</f>
        <v>485</v>
      </c>
      <c r="F69" s="18">
        <v>3</v>
      </c>
      <c r="G69" s="80" t="s">
        <v>199</v>
      </c>
      <c r="H69" s="128" t="s">
        <v>155</v>
      </c>
      <c r="I69" s="128" t="s">
        <v>289</v>
      </c>
    </row>
    <row r="70" spans="1:9" s="7" customFormat="1" x14ac:dyDescent="0.2">
      <c r="A70" s="57" t="s">
        <v>89</v>
      </c>
      <c r="B70" s="20">
        <f>B69+F69</f>
        <v>487</v>
      </c>
      <c r="C70" s="20">
        <f t="shared" ref="C70:C73" si="19">B70+F70-1</f>
        <v>488</v>
      </c>
      <c r="D70" s="20">
        <f t="shared" si="17"/>
        <v>486</v>
      </c>
      <c r="E70" s="20">
        <f t="shared" si="18"/>
        <v>487</v>
      </c>
      <c r="F70" s="18">
        <v>2</v>
      </c>
      <c r="G70" s="29" t="s">
        <v>79</v>
      </c>
      <c r="H70" s="137" t="s">
        <v>153</v>
      </c>
      <c r="I70" s="137" t="s">
        <v>221</v>
      </c>
    </row>
    <row r="71" spans="1:9" s="7" customFormat="1" x14ac:dyDescent="0.2">
      <c r="A71" s="57" t="s">
        <v>89</v>
      </c>
      <c r="B71" s="20">
        <f t="shared" ref="B71:B73" si="20">B70+F70</f>
        <v>489</v>
      </c>
      <c r="C71" s="20">
        <f t="shared" si="19"/>
        <v>490</v>
      </c>
      <c r="D71" s="20">
        <f t="shared" si="17"/>
        <v>488</v>
      </c>
      <c r="E71" s="20">
        <f t="shared" si="18"/>
        <v>489</v>
      </c>
      <c r="F71" s="18">
        <v>2</v>
      </c>
      <c r="G71" s="29" t="s">
        <v>80</v>
      </c>
      <c r="H71" s="141"/>
      <c r="I71" s="141"/>
    </row>
    <row r="72" spans="1:9" s="7" customFormat="1" x14ac:dyDescent="0.2">
      <c r="A72" s="57" t="s">
        <v>89</v>
      </c>
      <c r="B72" s="20">
        <f t="shared" si="20"/>
        <v>491</v>
      </c>
      <c r="C72" s="20">
        <f t="shared" si="19"/>
        <v>492</v>
      </c>
      <c r="D72" s="20">
        <f t="shared" si="17"/>
        <v>490</v>
      </c>
      <c r="E72" s="20">
        <f t="shared" si="18"/>
        <v>491</v>
      </c>
      <c r="F72" s="18">
        <v>2</v>
      </c>
      <c r="G72" s="29" t="s">
        <v>81</v>
      </c>
      <c r="H72" s="141"/>
      <c r="I72" s="141"/>
    </row>
    <row r="73" spans="1:9" s="7" customFormat="1" x14ac:dyDescent="0.2">
      <c r="A73" s="57" t="s">
        <v>89</v>
      </c>
      <c r="B73" s="20">
        <f t="shared" si="20"/>
        <v>493</v>
      </c>
      <c r="C73" s="20">
        <f t="shared" si="19"/>
        <v>494</v>
      </c>
      <c r="D73" s="20">
        <f t="shared" si="17"/>
        <v>492</v>
      </c>
      <c r="E73" s="20">
        <f t="shared" si="18"/>
        <v>493</v>
      </c>
      <c r="F73" s="18">
        <v>2</v>
      </c>
      <c r="G73" s="29" t="s">
        <v>82</v>
      </c>
      <c r="H73" s="141"/>
      <c r="I73" s="141"/>
    </row>
    <row r="74" spans="1:9" s="7" customFormat="1" x14ac:dyDescent="0.2">
      <c r="A74" s="30"/>
      <c r="B74" s="20">
        <f>B73+F73</f>
        <v>495</v>
      </c>
      <c r="C74" s="20">
        <f>B74+F74-1</f>
        <v>527</v>
      </c>
      <c r="D74" s="20">
        <f t="shared" si="17"/>
        <v>494</v>
      </c>
      <c r="E74" s="20">
        <f t="shared" si="18"/>
        <v>526</v>
      </c>
      <c r="F74" s="18">
        <v>33</v>
      </c>
      <c r="G74" s="29" t="s">
        <v>96</v>
      </c>
      <c r="H74" s="134"/>
      <c r="I74" s="134"/>
    </row>
    <row r="75" spans="1:9" s="7" customFormat="1" x14ac:dyDescent="0.2">
      <c r="A75" s="30"/>
      <c r="B75" s="20"/>
      <c r="C75" s="20"/>
      <c r="D75" s="20">
        <f t="shared" si="17"/>
        <v>-1</v>
      </c>
      <c r="E75" s="20">
        <f t="shared" si="18"/>
        <v>-1</v>
      </c>
      <c r="F75" s="18"/>
      <c r="G75" s="62" t="s">
        <v>340</v>
      </c>
      <c r="H75" s="134"/>
      <c r="I75" s="134"/>
    </row>
    <row r="76" spans="1:9" s="7" customFormat="1" x14ac:dyDescent="0.2">
      <c r="A76" s="30"/>
      <c r="B76" s="20"/>
      <c r="C76" s="20"/>
      <c r="D76" s="20">
        <f t="shared" si="17"/>
        <v>-1</v>
      </c>
      <c r="E76" s="20">
        <f t="shared" si="18"/>
        <v>-1</v>
      </c>
      <c r="F76" s="18"/>
      <c r="G76" s="62" t="s">
        <v>348</v>
      </c>
      <c r="H76" s="134"/>
      <c r="I76" s="134"/>
    </row>
    <row r="77" spans="1:9" s="7" customFormat="1" ht="30.75" customHeight="1" x14ac:dyDescent="0.2">
      <c r="A77" s="30"/>
      <c r="B77" s="20">
        <f>B74+F74</f>
        <v>528</v>
      </c>
      <c r="C77" s="20">
        <f>B77+F77-1</f>
        <v>528</v>
      </c>
      <c r="D77" s="20">
        <f t="shared" si="17"/>
        <v>527</v>
      </c>
      <c r="E77" s="20">
        <f t="shared" si="18"/>
        <v>527</v>
      </c>
      <c r="F77" s="18">
        <v>1</v>
      </c>
      <c r="G77" s="98" t="s">
        <v>345</v>
      </c>
      <c r="H77" s="137" t="s">
        <v>350</v>
      </c>
      <c r="I77" s="137" t="s">
        <v>349</v>
      </c>
    </row>
    <row r="78" spans="1:9" s="7" customFormat="1" ht="30" customHeight="1" x14ac:dyDescent="0.2">
      <c r="A78" s="30"/>
      <c r="B78" s="20">
        <f>B77+F77</f>
        <v>529</v>
      </c>
      <c r="C78" s="20">
        <f>B78+F78-1</f>
        <v>529</v>
      </c>
      <c r="D78" s="20">
        <f t="shared" si="17"/>
        <v>528</v>
      </c>
      <c r="E78" s="20">
        <f t="shared" si="18"/>
        <v>528</v>
      </c>
      <c r="F78" s="18">
        <v>1</v>
      </c>
      <c r="G78" s="98" t="s">
        <v>346</v>
      </c>
      <c r="H78" s="141"/>
      <c r="I78" s="141"/>
    </row>
    <row r="79" spans="1:9" s="7" customFormat="1" ht="30.75" customHeight="1" x14ac:dyDescent="0.2">
      <c r="A79" s="30"/>
      <c r="B79" s="20">
        <f>B78+F78</f>
        <v>530</v>
      </c>
      <c r="C79" s="20">
        <f>B79+F79-1</f>
        <v>530</v>
      </c>
      <c r="D79" s="20">
        <f t="shared" si="17"/>
        <v>529</v>
      </c>
      <c r="E79" s="20">
        <f t="shared" si="18"/>
        <v>529</v>
      </c>
      <c r="F79" s="18">
        <v>1</v>
      </c>
      <c r="G79" s="98" t="s">
        <v>347</v>
      </c>
      <c r="H79" s="141"/>
      <c r="I79" s="141"/>
    </row>
    <row r="80" spans="1:9" s="8" customFormat="1" ht="15.75" customHeight="1" x14ac:dyDescent="0.2">
      <c r="A80" s="32"/>
      <c r="B80" s="33"/>
      <c r="C80" s="33"/>
      <c r="D80" s="20">
        <f t="shared" si="17"/>
        <v>-1</v>
      </c>
      <c r="E80" s="20">
        <f t="shared" si="18"/>
        <v>-1</v>
      </c>
      <c r="F80" s="33"/>
      <c r="G80" s="31" t="s">
        <v>83</v>
      </c>
      <c r="H80" s="34"/>
      <c r="I80" s="34"/>
    </row>
    <row r="81" spans="1:9" s="8" customFormat="1" ht="16.5" customHeight="1" x14ac:dyDescent="0.2">
      <c r="A81" s="57" t="s">
        <v>89</v>
      </c>
      <c r="B81" s="20">
        <f>C79+F79</f>
        <v>531</v>
      </c>
      <c r="C81" s="20">
        <f t="shared" ref="C81:C87" si="21">B81+F81-1</f>
        <v>531</v>
      </c>
      <c r="D81" s="20">
        <f t="shared" si="17"/>
        <v>530</v>
      </c>
      <c r="E81" s="20">
        <f t="shared" si="18"/>
        <v>530</v>
      </c>
      <c r="F81" s="23">
        <v>1</v>
      </c>
      <c r="G81" s="127" t="s">
        <v>40</v>
      </c>
      <c r="H81" s="138" t="s">
        <v>7</v>
      </c>
      <c r="I81" s="137" t="s">
        <v>290</v>
      </c>
    </row>
    <row r="82" spans="1:9" s="8" customFormat="1" ht="25.5" customHeight="1" x14ac:dyDescent="0.2">
      <c r="A82" s="57" t="s">
        <v>89</v>
      </c>
      <c r="B82" s="20">
        <f t="shared" ref="B82:B87" si="22">B81+F81</f>
        <v>532</v>
      </c>
      <c r="C82" s="20">
        <f t="shared" si="21"/>
        <v>532</v>
      </c>
      <c r="D82" s="20">
        <f t="shared" si="17"/>
        <v>531</v>
      </c>
      <c r="E82" s="20">
        <f t="shared" si="18"/>
        <v>531</v>
      </c>
      <c r="F82" s="23">
        <v>1</v>
      </c>
      <c r="G82" s="127" t="s">
        <v>41</v>
      </c>
      <c r="H82" s="138"/>
      <c r="I82" s="137"/>
    </row>
    <row r="83" spans="1:9" s="8" customFormat="1" x14ac:dyDescent="0.2">
      <c r="A83" s="57" t="s">
        <v>89</v>
      </c>
      <c r="B83" s="20">
        <f t="shared" si="22"/>
        <v>533</v>
      </c>
      <c r="C83" s="20">
        <f t="shared" si="21"/>
        <v>533</v>
      </c>
      <c r="D83" s="20">
        <f t="shared" si="17"/>
        <v>532</v>
      </c>
      <c r="E83" s="20">
        <f t="shared" si="18"/>
        <v>532</v>
      </c>
      <c r="F83" s="23">
        <v>1</v>
      </c>
      <c r="G83" s="127" t="s">
        <v>42</v>
      </c>
      <c r="H83" s="138"/>
      <c r="I83" s="137"/>
    </row>
    <row r="84" spans="1:9" s="8" customFormat="1" x14ac:dyDescent="0.2">
      <c r="A84" s="25"/>
      <c r="B84" s="20">
        <f>B83+F83</f>
        <v>534</v>
      </c>
      <c r="C84" s="20">
        <f>B84+F84-1</f>
        <v>534</v>
      </c>
      <c r="D84" s="20">
        <f t="shared" si="17"/>
        <v>533</v>
      </c>
      <c r="E84" s="20">
        <f t="shared" si="18"/>
        <v>533</v>
      </c>
      <c r="F84" s="23">
        <v>1</v>
      </c>
      <c r="G84" s="127" t="s">
        <v>96</v>
      </c>
      <c r="H84" s="129"/>
      <c r="I84" s="134"/>
    </row>
    <row r="85" spans="1:9" s="8" customFormat="1" x14ac:dyDescent="0.2">
      <c r="A85" s="57" t="s">
        <v>90</v>
      </c>
      <c r="B85" s="20">
        <f>B84+F84</f>
        <v>535</v>
      </c>
      <c r="C85" s="20">
        <f>B85+F85-1</f>
        <v>535</v>
      </c>
      <c r="D85" s="20">
        <f t="shared" si="17"/>
        <v>534</v>
      </c>
      <c r="E85" s="20">
        <f t="shared" si="18"/>
        <v>534</v>
      </c>
      <c r="F85" s="23">
        <v>1</v>
      </c>
      <c r="G85" s="26" t="s">
        <v>27</v>
      </c>
      <c r="H85" s="137" t="s">
        <v>181</v>
      </c>
      <c r="I85" s="138" t="s">
        <v>291</v>
      </c>
    </row>
    <row r="86" spans="1:9" s="8" customFormat="1" x14ac:dyDescent="0.2">
      <c r="A86" s="57" t="s">
        <v>90</v>
      </c>
      <c r="B86" s="20">
        <f t="shared" si="22"/>
        <v>536</v>
      </c>
      <c r="C86" s="20">
        <f t="shared" si="21"/>
        <v>536</v>
      </c>
      <c r="D86" s="20">
        <f t="shared" si="17"/>
        <v>535</v>
      </c>
      <c r="E86" s="20">
        <f t="shared" si="18"/>
        <v>535</v>
      </c>
      <c r="F86" s="23">
        <v>1</v>
      </c>
      <c r="G86" s="26" t="s">
        <v>28</v>
      </c>
      <c r="H86" s="137"/>
      <c r="I86" s="138"/>
    </row>
    <row r="87" spans="1:9" s="8" customFormat="1" x14ac:dyDescent="0.2">
      <c r="A87" s="57" t="s">
        <v>90</v>
      </c>
      <c r="B87" s="20">
        <f t="shared" si="22"/>
        <v>537</v>
      </c>
      <c r="C87" s="20">
        <f t="shared" si="21"/>
        <v>537</v>
      </c>
      <c r="D87" s="20">
        <f t="shared" si="17"/>
        <v>536</v>
      </c>
      <c r="E87" s="20">
        <f t="shared" si="18"/>
        <v>536</v>
      </c>
      <c r="F87" s="23">
        <v>1</v>
      </c>
      <c r="G87" s="26" t="s">
        <v>29</v>
      </c>
      <c r="H87" s="137"/>
      <c r="I87" s="138"/>
    </row>
    <row r="88" spans="1:9" s="8" customFormat="1" ht="89.25" x14ac:dyDescent="0.2">
      <c r="A88" s="25"/>
      <c r="B88" s="20">
        <f>B87+F87</f>
        <v>538</v>
      </c>
      <c r="C88" s="20">
        <f>B88+F88-1</f>
        <v>538</v>
      </c>
      <c r="D88" s="20">
        <f t="shared" si="17"/>
        <v>537</v>
      </c>
      <c r="E88" s="20">
        <f t="shared" si="18"/>
        <v>537</v>
      </c>
      <c r="F88" s="23">
        <v>1</v>
      </c>
      <c r="G88" s="61" t="s">
        <v>121</v>
      </c>
      <c r="H88" s="120" t="s">
        <v>331</v>
      </c>
      <c r="I88" s="128" t="s">
        <v>160</v>
      </c>
    </row>
    <row r="89" spans="1:9" s="8" customFormat="1" x14ac:dyDescent="0.2">
      <c r="A89" s="25"/>
      <c r="B89" s="20">
        <f>B88+F88</f>
        <v>539</v>
      </c>
      <c r="C89" s="20">
        <f t="shared" ref="C89" si="23">B89+F89-1</f>
        <v>549</v>
      </c>
      <c r="D89" s="20">
        <f t="shared" si="17"/>
        <v>538</v>
      </c>
      <c r="E89" s="20">
        <f t="shared" si="18"/>
        <v>548</v>
      </c>
      <c r="F89" s="23">
        <v>11</v>
      </c>
      <c r="G89" s="26" t="s">
        <v>96</v>
      </c>
      <c r="H89" s="134"/>
      <c r="I89" s="129"/>
    </row>
    <row r="90" spans="1:9" s="8" customFormat="1" x14ac:dyDescent="0.2">
      <c r="A90" s="25"/>
      <c r="B90" s="20"/>
      <c r="C90" s="20"/>
      <c r="D90" s="20">
        <f t="shared" si="17"/>
        <v>-1</v>
      </c>
      <c r="E90" s="20">
        <f t="shared" si="18"/>
        <v>-1</v>
      </c>
      <c r="F90" s="23"/>
      <c r="G90" s="46" t="s">
        <v>84</v>
      </c>
      <c r="H90" s="134"/>
      <c r="I90" s="135"/>
    </row>
    <row r="91" spans="1:9" s="8" customFormat="1" x14ac:dyDescent="0.2">
      <c r="A91" s="37" t="s">
        <v>89</v>
      </c>
      <c r="B91" s="20">
        <f>B89+F89</f>
        <v>550</v>
      </c>
      <c r="C91" s="20">
        <f>B91+F91-1</f>
        <v>550</v>
      </c>
      <c r="D91" s="20">
        <f t="shared" si="17"/>
        <v>549</v>
      </c>
      <c r="E91" s="20">
        <f t="shared" si="18"/>
        <v>549</v>
      </c>
      <c r="F91" s="23">
        <v>1</v>
      </c>
      <c r="G91" s="26" t="s">
        <v>43</v>
      </c>
      <c r="H91" s="137" t="s">
        <v>7</v>
      </c>
      <c r="I91" s="142" t="s">
        <v>227</v>
      </c>
    </row>
    <row r="92" spans="1:9" s="8" customFormat="1" x14ac:dyDescent="0.2">
      <c r="A92" s="37"/>
      <c r="B92" s="20">
        <f>B91+F91</f>
        <v>551</v>
      </c>
      <c r="C92" s="20">
        <f t="shared" ref="C92:C95" si="24">B92+F92-1</f>
        <v>551</v>
      </c>
      <c r="D92" s="20">
        <f t="shared" si="17"/>
        <v>550</v>
      </c>
      <c r="E92" s="20">
        <f t="shared" si="18"/>
        <v>550</v>
      </c>
      <c r="F92" s="23">
        <v>1</v>
      </c>
      <c r="G92" s="26" t="s">
        <v>44</v>
      </c>
      <c r="H92" s="141"/>
      <c r="I92" s="142"/>
    </row>
    <row r="93" spans="1:9" s="8" customFormat="1" x14ac:dyDescent="0.2">
      <c r="A93" s="37"/>
      <c r="B93" s="20">
        <f t="shared" ref="B93:B94" si="25">B92+F92</f>
        <v>552</v>
      </c>
      <c r="C93" s="20">
        <f t="shared" si="24"/>
        <v>552</v>
      </c>
      <c r="D93" s="20">
        <f t="shared" si="17"/>
        <v>551</v>
      </c>
      <c r="E93" s="20">
        <f t="shared" si="18"/>
        <v>551</v>
      </c>
      <c r="F93" s="23">
        <v>1</v>
      </c>
      <c r="G93" s="98" t="s">
        <v>96</v>
      </c>
      <c r="H93" s="141"/>
      <c r="I93" s="142"/>
    </row>
    <row r="94" spans="1:9" s="8" customFormat="1" x14ac:dyDescent="0.2">
      <c r="A94" s="37"/>
      <c r="B94" s="20">
        <f t="shared" si="25"/>
        <v>553</v>
      </c>
      <c r="C94" s="20">
        <f t="shared" si="24"/>
        <v>553</v>
      </c>
      <c r="D94" s="20">
        <f t="shared" si="17"/>
        <v>552</v>
      </c>
      <c r="E94" s="20">
        <f t="shared" si="18"/>
        <v>552</v>
      </c>
      <c r="F94" s="23">
        <v>1</v>
      </c>
      <c r="G94" s="54" t="s">
        <v>45</v>
      </c>
      <c r="H94" s="141"/>
      <c r="I94" s="142"/>
    </row>
    <row r="95" spans="1:9" ht="30" customHeight="1" x14ac:dyDescent="0.2">
      <c r="A95" s="25"/>
      <c r="B95" s="20">
        <f>B94+F94</f>
        <v>554</v>
      </c>
      <c r="C95" s="20">
        <f t="shared" si="24"/>
        <v>566</v>
      </c>
      <c r="D95" s="20">
        <f t="shared" si="17"/>
        <v>553</v>
      </c>
      <c r="E95" s="20">
        <f t="shared" si="18"/>
        <v>565</v>
      </c>
      <c r="F95" s="23">
        <v>13</v>
      </c>
      <c r="G95" s="26" t="s">
        <v>96</v>
      </c>
      <c r="H95" s="134"/>
      <c r="I95" s="128"/>
    </row>
    <row r="96" spans="1:9" ht="30" customHeight="1" x14ac:dyDescent="0.2">
      <c r="A96" s="18"/>
      <c r="B96" s="38"/>
      <c r="C96" s="38"/>
      <c r="D96" s="20">
        <f t="shared" si="17"/>
        <v>-1</v>
      </c>
      <c r="E96" s="20">
        <f t="shared" si="18"/>
        <v>-1</v>
      </c>
      <c r="F96" s="38"/>
      <c r="G96" s="31" t="s">
        <v>85</v>
      </c>
      <c r="H96" s="59"/>
      <c r="I96" s="128"/>
    </row>
    <row r="97" spans="1:9" ht="63.75" customHeight="1" x14ac:dyDescent="0.2">
      <c r="A97" s="25"/>
      <c r="B97" s="20">
        <f>B95+F95</f>
        <v>567</v>
      </c>
      <c r="C97" s="20">
        <f>B97+F97-1</f>
        <v>568</v>
      </c>
      <c r="D97" s="20">
        <f t="shared" si="17"/>
        <v>566</v>
      </c>
      <c r="E97" s="20">
        <f t="shared" si="18"/>
        <v>567</v>
      </c>
      <c r="F97" s="23">
        <v>2</v>
      </c>
      <c r="G97" s="26" t="s">
        <v>26</v>
      </c>
      <c r="H97" s="129" t="s">
        <v>156</v>
      </c>
      <c r="I97" s="128" t="s">
        <v>307</v>
      </c>
    </row>
    <row r="98" spans="1:9" ht="63.75" customHeight="1" x14ac:dyDescent="0.2">
      <c r="A98" s="57" t="s">
        <v>147</v>
      </c>
      <c r="B98" s="20">
        <f t="shared" ref="B98:B107" si="26">B97+F97</f>
        <v>569</v>
      </c>
      <c r="C98" s="20">
        <f>B98+F98-1</f>
        <v>570</v>
      </c>
      <c r="D98" s="20">
        <f t="shared" si="17"/>
        <v>568</v>
      </c>
      <c r="E98" s="20">
        <f t="shared" si="18"/>
        <v>569</v>
      </c>
      <c r="F98" s="39">
        <v>2</v>
      </c>
      <c r="G98" s="40" t="s">
        <v>31</v>
      </c>
      <c r="H98" s="138" t="s">
        <v>185</v>
      </c>
      <c r="I98" s="142" t="s">
        <v>308</v>
      </c>
    </row>
    <row r="99" spans="1:9" ht="56.25" customHeight="1" x14ac:dyDescent="0.2">
      <c r="A99" s="57" t="s">
        <v>147</v>
      </c>
      <c r="B99" s="20">
        <f t="shared" si="26"/>
        <v>571</v>
      </c>
      <c r="C99" s="20">
        <f>B99+F99-1</f>
        <v>572</v>
      </c>
      <c r="D99" s="20">
        <f t="shared" si="17"/>
        <v>570</v>
      </c>
      <c r="E99" s="20">
        <f t="shared" si="18"/>
        <v>571</v>
      </c>
      <c r="F99" s="39">
        <v>2</v>
      </c>
      <c r="G99" s="40" t="s">
        <v>32</v>
      </c>
      <c r="H99" s="138"/>
      <c r="I99" s="142"/>
    </row>
    <row r="100" spans="1:9" x14ac:dyDescent="0.2">
      <c r="A100" s="57" t="s">
        <v>147</v>
      </c>
      <c r="B100" s="20">
        <f t="shared" si="26"/>
        <v>573</v>
      </c>
      <c r="C100" s="20">
        <f t="shared" ref="C100:C107" si="27">B100+F100-1</f>
        <v>574</v>
      </c>
      <c r="D100" s="20">
        <f t="shared" si="17"/>
        <v>572</v>
      </c>
      <c r="E100" s="20">
        <f t="shared" si="18"/>
        <v>573</v>
      </c>
      <c r="F100" s="39">
        <v>2</v>
      </c>
      <c r="G100" s="40" t="s">
        <v>33</v>
      </c>
      <c r="H100" s="138"/>
      <c r="I100" s="142"/>
    </row>
    <row r="101" spans="1:9" x14ac:dyDescent="0.2">
      <c r="A101" s="35"/>
      <c r="B101" s="20">
        <f t="shared" si="26"/>
        <v>575</v>
      </c>
      <c r="C101" s="20">
        <f t="shared" si="27"/>
        <v>588</v>
      </c>
      <c r="D101" s="20">
        <f t="shared" si="17"/>
        <v>574</v>
      </c>
      <c r="E101" s="20">
        <f t="shared" si="18"/>
        <v>587</v>
      </c>
      <c r="F101" s="39">
        <v>14</v>
      </c>
      <c r="G101" s="47" t="s">
        <v>96</v>
      </c>
      <c r="H101" s="129"/>
      <c r="I101" s="129"/>
    </row>
    <row r="102" spans="1:9" ht="75.75" customHeight="1" x14ac:dyDescent="0.2">
      <c r="A102" s="57" t="s">
        <v>147</v>
      </c>
      <c r="B102" s="20">
        <f t="shared" si="26"/>
        <v>589</v>
      </c>
      <c r="C102" s="20">
        <f t="shared" si="27"/>
        <v>591</v>
      </c>
      <c r="D102" s="20">
        <f t="shared" si="17"/>
        <v>588</v>
      </c>
      <c r="E102" s="20">
        <f t="shared" si="18"/>
        <v>590</v>
      </c>
      <c r="F102" s="39">
        <v>3</v>
      </c>
      <c r="G102" s="40" t="s">
        <v>34</v>
      </c>
      <c r="H102" s="128" t="s">
        <v>155</v>
      </c>
      <c r="I102" s="129" t="s">
        <v>292</v>
      </c>
    </row>
    <row r="103" spans="1:9" ht="75.75" customHeight="1" x14ac:dyDescent="0.2">
      <c r="A103" s="57" t="s">
        <v>147</v>
      </c>
      <c r="B103" s="20">
        <f t="shared" si="26"/>
        <v>592</v>
      </c>
      <c r="C103" s="20">
        <f t="shared" si="27"/>
        <v>594</v>
      </c>
      <c r="D103" s="20">
        <f t="shared" si="17"/>
        <v>591</v>
      </c>
      <c r="E103" s="20">
        <f t="shared" si="18"/>
        <v>593</v>
      </c>
      <c r="F103" s="39">
        <v>3</v>
      </c>
      <c r="G103" s="40" t="s">
        <v>35</v>
      </c>
      <c r="H103" s="128" t="s">
        <v>155</v>
      </c>
      <c r="I103" s="129" t="s">
        <v>292</v>
      </c>
    </row>
    <row r="104" spans="1:9" ht="51" x14ac:dyDescent="0.2">
      <c r="A104" s="57" t="s">
        <v>147</v>
      </c>
      <c r="B104" s="20">
        <f t="shared" si="26"/>
        <v>595</v>
      </c>
      <c r="C104" s="20">
        <f t="shared" si="27"/>
        <v>597</v>
      </c>
      <c r="D104" s="20">
        <f t="shared" si="17"/>
        <v>594</v>
      </c>
      <c r="E104" s="20">
        <f t="shared" si="18"/>
        <v>596</v>
      </c>
      <c r="F104" s="39">
        <v>3</v>
      </c>
      <c r="G104" s="40" t="s">
        <v>36</v>
      </c>
      <c r="H104" s="128" t="s">
        <v>155</v>
      </c>
      <c r="I104" s="129" t="s">
        <v>293</v>
      </c>
    </row>
    <row r="105" spans="1:9" s="8" customFormat="1" ht="63.75" x14ac:dyDescent="0.2">
      <c r="A105" s="57"/>
      <c r="B105" s="20">
        <f t="shared" si="26"/>
        <v>598</v>
      </c>
      <c r="C105" s="20">
        <f t="shared" si="27"/>
        <v>598</v>
      </c>
      <c r="D105" s="20">
        <f t="shared" si="17"/>
        <v>597</v>
      </c>
      <c r="E105" s="20">
        <f t="shared" si="18"/>
        <v>597</v>
      </c>
      <c r="F105" s="39">
        <v>1</v>
      </c>
      <c r="G105" s="54" t="s">
        <v>232</v>
      </c>
      <c r="H105" s="128" t="s">
        <v>244</v>
      </c>
      <c r="I105" s="128" t="s">
        <v>234</v>
      </c>
    </row>
    <row r="106" spans="1:9" s="8" customFormat="1" x14ac:dyDescent="0.2">
      <c r="A106" s="57"/>
      <c r="B106" s="20">
        <f>B105+F105</f>
        <v>599</v>
      </c>
      <c r="C106" s="20">
        <f t="shared" si="27"/>
        <v>607</v>
      </c>
      <c r="D106" s="20">
        <f t="shared" si="17"/>
        <v>598</v>
      </c>
      <c r="E106" s="20">
        <f t="shared" si="18"/>
        <v>606</v>
      </c>
      <c r="F106" s="39">
        <v>9</v>
      </c>
      <c r="G106" s="102" t="s">
        <v>96</v>
      </c>
      <c r="H106" s="103"/>
      <c r="I106" s="103"/>
    </row>
    <row r="107" spans="1:9" s="8" customFormat="1" ht="38.25" x14ac:dyDescent="0.2">
      <c r="A107" s="36"/>
      <c r="B107" s="20">
        <f t="shared" si="26"/>
        <v>608</v>
      </c>
      <c r="C107" s="20">
        <f t="shared" si="27"/>
        <v>608</v>
      </c>
      <c r="D107" s="20">
        <f t="shared" si="17"/>
        <v>607</v>
      </c>
      <c r="E107" s="20">
        <f t="shared" si="18"/>
        <v>607</v>
      </c>
      <c r="F107" s="39">
        <v>1</v>
      </c>
      <c r="G107" s="102" t="s">
        <v>274</v>
      </c>
      <c r="H107" s="129" t="s">
        <v>301</v>
      </c>
      <c r="I107" s="128" t="s">
        <v>234</v>
      </c>
    </row>
    <row r="108" spans="1:9" s="8" customFormat="1" x14ac:dyDescent="0.2">
      <c r="A108" s="36"/>
      <c r="B108" s="20">
        <f>B107+F107</f>
        <v>609</v>
      </c>
      <c r="C108" s="20">
        <f>B108+F108-1</f>
        <v>658</v>
      </c>
      <c r="D108" s="20">
        <f t="shared" si="17"/>
        <v>608</v>
      </c>
      <c r="E108" s="20">
        <f t="shared" si="18"/>
        <v>657</v>
      </c>
      <c r="F108" s="39">
        <v>50</v>
      </c>
      <c r="G108" s="102" t="s">
        <v>96</v>
      </c>
      <c r="H108" s="129"/>
      <c r="I108" s="128"/>
    </row>
    <row r="109" spans="1:9" x14ac:dyDescent="0.2">
      <c r="A109" s="36"/>
      <c r="B109" s="20"/>
      <c r="C109" s="20"/>
      <c r="D109" s="20">
        <f t="shared" si="17"/>
        <v>-1</v>
      </c>
      <c r="E109" s="20">
        <f t="shared" si="18"/>
        <v>-1</v>
      </c>
      <c r="F109" s="23"/>
      <c r="G109" s="62" t="s">
        <v>140</v>
      </c>
      <c r="H109" s="129"/>
      <c r="I109" s="128"/>
    </row>
    <row r="110" spans="1:9" ht="89.25" x14ac:dyDescent="0.2">
      <c r="A110" s="36"/>
      <c r="B110" s="20">
        <f>B108+F108</f>
        <v>659</v>
      </c>
      <c r="C110" s="20">
        <f t="shared" ref="C110:C112" si="28">B110+F110-1</f>
        <v>664</v>
      </c>
      <c r="D110" s="20">
        <f t="shared" si="17"/>
        <v>658</v>
      </c>
      <c r="E110" s="20">
        <f t="shared" si="18"/>
        <v>663</v>
      </c>
      <c r="F110" s="57">
        <v>6</v>
      </c>
      <c r="G110" s="61" t="s">
        <v>141</v>
      </c>
      <c r="H110" s="128" t="s">
        <v>174</v>
      </c>
      <c r="I110" s="128" t="s">
        <v>246</v>
      </c>
    </row>
    <row r="111" spans="1:9" ht="63" customHeight="1" x14ac:dyDescent="0.2">
      <c r="A111" s="22"/>
      <c r="B111" s="110">
        <f>B110+F110</f>
        <v>665</v>
      </c>
      <c r="C111" s="110">
        <f t="shared" si="28"/>
        <v>729</v>
      </c>
      <c r="D111" s="20">
        <f t="shared" si="17"/>
        <v>664</v>
      </c>
      <c r="E111" s="20">
        <f t="shared" si="18"/>
        <v>728</v>
      </c>
      <c r="F111" s="110">
        <v>65</v>
      </c>
      <c r="G111" s="98" t="s">
        <v>96</v>
      </c>
      <c r="H111" s="99"/>
      <c r="I111" s="109"/>
    </row>
    <row r="112" spans="1:9" x14ac:dyDescent="0.2">
      <c r="A112" s="22"/>
      <c r="B112" s="20">
        <f>B111+F111</f>
        <v>730</v>
      </c>
      <c r="C112" s="20">
        <f t="shared" si="28"/>
        <v>748</v>
      </c>
      <c r="D112" s="20">
        <f t="shared" si="17"/>
        <v>729</v>
      </c>
      <c r="E112" s="20">
        <f t="shared" si="18"/>
        <v>747</v>
      </c>
      <c r="F112" s="25">
        <v>19</v>
      </c>
      <c r="G112" s="24" t="s">
        <v>15</v>
      </c>
      <c r="H112" s="128" t="s">
        <v>158</v>
      </c>
      <c r="I112" s="134" t="s">
        <v>16</v>
      </c>
    </row>
    <row r="114" spans="2:5" ht="15.75" x14ac:dyDescent="0.2">
      <c r="B114" s="17" t="s">
        <v>86</v>
      </c>
      <c r="C114" s="131">
        <f>C112</f>
        <v>748</v>
      </c>
      <c r="D114" s="131"/>
      <c r="E114" s="131"/>
    </row>
  </sheetData>
  <autoFilter ref="A2:J112"/>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23">
    <mergeCell ref="H98:H100"/>
    <mergeCell ref="I98:I100"/>
    <mergeCell ref="H81:H83"/>
    <mergeCell ref="I81:I83"/>
    <mergeCell ref="H91:H94"/>
    <mergeCell ref="I91:I94"/>
    <mergeCell ref="H85:H87"/>
    <mergeCell ref="I85:I87"/>
    <mergeCell ref="H52:H55"/>
    <mergeCell ref="I52:I55"/>
    <mergeCell ref="H77:H79"/>
    <mergeCell ref="I77:I79"/>
    <mergeCell ref="I70:I73"/>
    <mergeCell ref="H61:H64"/>
    <mergeCell ref="H70:H73"/>
    <mergeCell ref="I61:I64"/>
    <mergeCell ref="I1:J1"/>
    <mergeCell ref="I18:I20"/>
    <mergeCell ref="A1:H1"/>
    <mergeCell ref="I7:I8"/>
    <mergeCell ref="I41:I42"/>
    <mergeCell ref="I12:I14"/>
    <mergeCell ref="H33:H35"/>
  </mergeCells>
  <phoneticPr fontId="7" type="noConversion"/>
  <printOptions horizontalCentered="1" gridLines="1"/>
  <pageMargins left="0.5" right="0.5" top="0.46" bottom="0.5" header="0.27" footer="0.23"/>
  <pageSetup scale="57" fitToHeight="20" orientation="landscape" r:id="rId6"/>
  <headerFooter alignWithMargins="0">
    <oddHeader>&amp;RLayout provided by Data Recognition Corporation - Proprietary and Confidential</oddHeader>
    <oddFooter>&amp;LK = Key Verification                C = Corrections
E = Equating&amp;CPage &amp;P of &amp;N&amp;RLast Saved Date: 9/5/2017 8:16:15 AM</oddFooter>
  </headerFooter>
  <ignoredErrors>
    <ignoredError sqref="B34 B98"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1"/>
  <sheetViews>
    <sheetView topLeftCell="A160" workbookViewId="0">
      <selection activeCell="B173" sqref="B173"/>
    </sheetView>
  </sheetViews>
  <sheetFormatPr defaultRowHeight="12.75" x14ac:dyDescent="0.2"/>
  <cols>
    <col min="1" max="1" width="10.140625" style="3" bestFit="1" customWidth="1"/>
    <col min="2" max="2" width="65.85546875" style="53" customWidth="1"/>
    <col min="3" max="3" width="18" style="79" customWidth="1"/>
    <col min="4" max="16384" width="9.140625" style="1"/>
  </cols>
  <sheetData>
    <row r="1" spans="1:4" ht="30" customHeight="1" x14ac:dyDescent="0.2">
      <c r="A1" s="143" t="s">
        <v>3</v>
      </c>
      <c r="B1" s="143"/>
      <c r="C1" s="143"/>
    </row>
    <row r="2" spans="1:4" ht="25.5" x14ac:dyDescent="0.2">
      <c r="A2" s="2" t="s">
        <v>4</v>
      </c>
      <c r="B2" s="51" t="s">
        <v>5</v>
      </c>
      <c r="C2" s="51" t="s">
        <v>6</v>
      </c>
      <c r="D2" s="3"/>
    </row>
    <row r="3" spans="1:4" x14ac:dyDescent="0.2">
      <c r="A3" s="4">
        <v>39407</v>
      </c>
      <c r="B3" s="5" t="s">
        <v>19</v>
      </c>
      <c r="C3" s="49" t="s">
        <v>20</v>
      </c>
    </row>
    <row r="4" spans="1:4" ht="25.5" x14ac:dyDescent="0.2">
      <c r="A4" s="4">
        <v>39553</v>
      </c>
      <c r="B4" s="5" t="s">
        <v>48</v>
      </c>
      <c r="C4" s="49" t="s">
        <v>20</v>
      </c>
    </row>
    <row r="5" spans="1:4" x14ac:dyDescent="0.2">
      <c r="A5" s="4">
        <v>39567</v>
      </c>
      <c r="B5" s="5" t="s">
        <v>49</v>
      </c>
      <c r="C5" s="49" t="s">
        <v>20</v>
      </c>
    </row>
    <row r="6" spans="1:4" ht="25.5" x14ac:dyDescent="0.2">
      <c r="A6" s="4">
        <v>39665</v>
      </c>
      <c r="B6" s="5" t="s">
        <v>50</v>
      </c>
      <c r="C6" s="49" t="s">
        <v>20</v>
      </c>
    </row>
    <row r="7" spans="1:4" ht="25.5" x14ac:dyDescent="0.2">
      <c r="A7" s="4">
        <v>39813</v>
      </c>
      <c r="B7" s="5" t="s">
        <v>91</v>
      </c>
      <c r="C7" s="49" t="s">
        <v>20</v>
      </c>
    </row>
    <row r="8" spans="1:4" ht="25.5" x14ac:dyDescent="0.2">
      <c r="A8" s="4"/>
      <c r="B8" s="5" t="s">
        <v>92</v>
      </c>
      <c r="C8" s="49"/>
    </row>
    <row r="9" spans="1:4" x14ac:dyDescent="0.2">
      <c r="A9" s="4"/>
      <c r="B9" s="5" t="s">
        <v>87</v>
      </c>
      <c r="C9" s="49"/>
    </row>
    <row r="10" spans="1:4" ht="25.5" x14ac:dyDescent="0.2">
      <c r="A10" s="4"/>
      <c r="B10" s="5" t="s">
        <v>88</v>
      </c>
      <c r="C10" s="49"/>
    </row>
    <row r="11" spans="1:4" ht="25.5" x14ac:dyDescent="0.2">
      <c r="A11" s="4">
        <v>39836</v>
      </c>
      <c r="B11" s="5" t="s">
        <v>93</v>
      </c>
      <c r="C11" s="49" t="s">
        <v>20</v>
      </c>
    </row>
    <row r="12" spans="1:4" x14ac:dyDescent="0.2">
      <c r="A12" s="4">
        <v>39853</v>
      </c>
      <c r="B12" s="5" t="s">
        <v>94</v>
      </c>
      <c r="C12" s="49" t="s">
        <v>20</v>
      </c>
    </row>
    <row r="13" spans="1:4" x14ac:dyDescent="0.2">
      <c r="A13" s="4">
        <v>39867</v>
      </c>
      <c r="B13" s="5" t="s">
        <v>95</v>
      </c>
      <c r="C13" s="49" t="s">
        <v>20</v>
      </c>
    </row>
    <row r="14" spans="1:4" ht="38.25" x14ac:dyDescent="0.2">
      <c r="A14" s="48">
        <v>40147</v>
      </c>
      <c r="B14" s="5" t="s">
        <v>239</v>
      </c>
      <c r="C14" s="49" t="s">
        <v>97</v>
      </c>
    </row>
    <row r="15" spans="1:4" ht="25.5" x14ac:dyDescent="0.2">
      <c r="A15" s="48">
        <v>40147</v>
      </c>
      <c r="B15" s="5" t="s">
        <v>99</v>
      </c>
      <c r="C15" s="49" t="s">
        <v>97</v>
      </c>
    </row>
    <row r="16" spans="1:4" ht="25.5" x14ac:dyDescent="0.2">
      <c r="A16" s="48">
        <v>40147</v>
      </c>
      <c r="B16" s="5" t="s">
        <v>100</v>
      </c>
      <c r="C16" s="49" t="s">
        <v>97</v>
      </c>
    </row>
    <row r="17" spans="1:3" ht="25.5" x14ac:dyDescent="0.2">
      <c r="A17" s="48">
        <v>40147</v>
      </c>
      <c r="B17" s="50" t="s">
        <v>101</v>
      </c>
      <c r="C17" s="49" t="s">
        <v>97</v>
      </c>
    </row>
    <row r="18" spans="1:3" x14ac:dyDescent="0.2">
      <c r="A18" s="48">
        <v>40147</v>
      </c>
      <c r="B18" s="50" t="s">
        <v>106</v>
      </c>
      <c r="C18" s="49" t="s">
        <v>97</v>
      </c>
    </row>
    <row r="19" spans="1:3" ht="25.5" x14ac:dyDescent="0.2">
      <c r="A19" s="48">
        <v>40147</v>
      </c>
      <c r="B19" s="50" t="s">
        <v>104</v>
      </c>
      <c r="C19" s="49" t="s">
        <v>97</v>
      </c>
    </row>
    <row r="20" spans="1:3" ht="25.5" x14ac:dyDescent="0.2">
      <c r="A20" s="48">
        <v>40147</v>
      </c>
      <c r="B20" s="50" t="s">
        <v>102</v>
      </c>
      <c r="C20" s="49" t="s">
        <v>97</v>
      </c>
    </row>
    <row r="21" spans="1:3" x14ac:dyDescent="0.2">
      <c r="A21" s="48">
        <v>40147</v>
      </c>
      <c r="B21" s="5" t="s">
        <v>98</v>
      </c>
      <c r="C21" s="49" t="s">
        <v>97</v>
      </c>
    </row>
    <row r="22" spans="1:3" x14ac:dyDescent="0.2">
      <c r="A22" s="48">
        <v>40147</v>
      </c>
      <c r="B22" s="5" t="s">
        <v>105</v>
      </c>
      <c r="C22" s="49" t="s">
        <v>97</v>
      </c>
    </row>
    <row r="23" spans="1:3" ht="25.5" x14ac:dyDescent="0.2">
      <c r="A23" s="48">
        <v>40147</v>
      </c>
      <c r="B23" s="50" t="s">
        <v>103</v>
      </c>
      <c r="C23" s="49" t="s">
        <v>97</v>
      </c>
    </row>
    <row r="24" spans="1:3" ht="25.5" x14ac:dyDescent="0.2">
      <c r="A24" s="48">
        <v>40147</v>
      </c>
      <c r="B24" s="71" t="s">
        <v>188</v>
      </c>
      <c r="C24" s="49" t="s">
        <v>97</v>
      </c>
    </row>
    <row r="25" spans="1:3" x14ac:dyDescent="0.2">
      <c r="A25" s="4">
        <v>40213</v>
      </c>
      <c r="B25" s="52" t="s">
        <v>107</v>
      </c>
      <c r="C25" s="49" t="s">
        <v>97</v>
      </c>
    </row>
    <row r="26" spans="1:3" ht="25.5" x14ac:dyDescent="0.2">
      <c r="A26" s="63">
        <v>40560</v>
      </c>
      <c r="B26" s="64" t="s">
        <v>114</v>
      </c>
      <c r="C26" s="78" t="s">
        <v>111</v>
      </c>
    </row>
    <row r="27" spans="1:3" ht="25.5" x14ac:dyDescent="0.2">
      <c r="A27" s="63">
        <v>40560</v>
      </c>
      <c r="B27" s="64" t="s">
        <v>115</v>
      </c>
      <c r="C27" s="78" t="s">
        <v>111</v>
      </c>
    </row>
    <row r="28" spans="1:3" ht="38.25" x14ac:dyDescent="0.2">
      <c r="A28" s="63">
        <v>40560</v>
      </c>
      <c r="B28" s="64" t="s">
        <v>109</v>
      </c>
      <c r="C28" s="78" t="s">
        <v>111</v>
      </c>
    </row>
    <row r="29" spans="1:3" ht="25.5" x14ac:dyDescent="0.2">
      <c r="A29" s="63">
        <v>40560</v>
      </c>
      <c r="B29" s="65" t="s">
        <v>110</v>
      </c>
      <c r="C29" s="78" t="s">
        <v>111</v>
      </c>
    </row>
    <row r="30" spans="1:3" ht="25.5" x14ac:dyDescent="0.2">
      <c r="A30" s="63">
        <v>40560</v>
      </c>
      <c r="B30" s="64" t="s">
        <v>126</v>
      </c>
      <c r="C30" s="78" t="s">
        <v>111</v>
      </c>
    </row>
    <row r="31" spans="1:3" ht="25.5" x14ac:dyDescent="0.2">
      <c r="A31" s="63">
        <v>40560</v>
      </c>
      <c r="B31" s="64" t="s">
        <v>112</v>
      </c>
      <c r="C31" s="78" t="s">
        <v>111</v>
      </c>
    </row>
    <row r="32" spans="1:3" ht="25.5" x14ac:dyDescent="0.2">
      <c r="A32" s="63">
        <v>40560</v>
      </c>
      <c r="B32" s="65" t="s">
        <v>113</v>
      </c>
      <c r="C32" s="78" t="s">
        <v>111</v>
      </c>
    </row>
    <row r="33" spans="1:3" ht="25.5" x14ac:dyDescent="0.2">
      <c r="A33" s="63">
        <v>40560</v>
      </c>
      <c r="B33" s="65" t="s">
        <v>128</v>
      </c>
      <c r="C33" s="78" t="s">
        <v>111</v>
      </c>
    </row>
    <row r="34" spans="1:3" ht="63.75" x14ac:dyDescent="0.2">
      <c r="A34" s="63">
        <v>40560</v>
      </c>
      <c r="B34" s="66" t="s">
        <v>240</v>
      </c>
      <c r="C34" s="78" t="s">
        <v>111</v>
      </c>
    </row>
    <row r="35" spans="1:3" ht="38.25" x14ac:dyDescent="0.2">
      <c r="A35" s="63">
        <v>40560</v>
      </c>
      <c r="B35" s="66" t="s">
        <v>129</v>
      </c>
      <c r="C35" s="78" t="s">
        <v>111</v>
      </c>
    </row>
    <row r="36" spans="1:3" x14ac:dyDescent="0.2">
      <c r="A36" s="63">
        <v>40560</v>
      </c>
      <c r="B36" s="64" t="s">
        <v>130</v>
      </c>
      <c r="C36" s="78" t="s">
        <v>111</v>
      </c>
    </row>
    <row r="37" spans="1:3" x14ac:dyDescent="0.2">
      <c r="A37" s="63">
        <v>40560</v>
      </c>
      <c r="B37" s="64" t="s">
        <v>131</v>
      </c>
      <c r="C37" s="78" t="s">
        <v>111</v>
      </c>
    </row>
    <row r="38" spans="1:3" ht="25.5" x14ac:dyDescent="0.2">
      <c r="A38" s="63">
        <v>40560</v>
      </c>
      <c r="B38" s="67" t="s">
        <v>132</v>
      </c>
      <c r="C38" s="78" t="s">
        <v>111</v>
      </c>
    </row>
    <row r="39" spans="1:3" ht="25.5" x14ac:dyDescent="0.2">
      <c r="A39" s="63">
        <v>40560</v>
      </c>
      <c r="B39" s="68" t="s">
        <v>133</v>
      </c>
      <c r="C39" s="78" t="s">
        <v>111</v>
      </c>
    </row>
    <row r="40" spans="1:3" x14ac:dyDescent="0.2">
      <c r="A40" s="63">
        <v>40564</v>
      </c>
      <c r="B40" s="64" t="s">
        <v>134</v>
      </c>
      <c r="C40" s="78" t="s">
        <v>111</v>
      </c>
    </row>
    <row r="41" spans="1:3" x14ac:dyDescent="0.2">
      <c r="A41" s="63">
        <v>40560</v>
      </c>
      <c r="B41" s="64" t="s">
        <v>116</v>
      </c>
      <c r="C41" s="78" t="s">
        <v>111</v>
      </c>
    </row>
    <row r="42" spans="1:3" x14ac:dyDescent="0.2">
      <c r="A42" s="63">
        <v>40564</v>
      </c>
      <c r="B42" s="64" t="s">
        <v>135</v>
      </c>
      <c r="C42" s="78" t="s">
        <v>111</v>
      </c>
    </row>
    <row r="43" spans="1:3" ht="25.5" x14ac:dyDescent="0.2">
      <c r="A43" s="63">
        <v>40564</v>
      </c>
      <c r="B43" s="64" t="s">
        <v>119</v>
      </c>
      <c r="C43" s="78" t="s">
        <v>111</v>
      </c>
    </row>
    <row r="44" spans="1:3" x14ac:dyDescent="0.2">
      <c r="A44" s="63">
        <v>40564</v>
      </c>
      <c r="B44" s="68" t="s">
        <v>120</v>
      </c>
      <c r="C44" s="78" t="s">
        <v>111</v>
      </c>
    </row>
    <row r="45" spans="1:3" ht="38.25" x14ac:dyDescent="0.2">
      <c r="A45" s="63">
        <v>40564</v>
      </c>
      <c r="B45" s="68" t="s">
        <v>136</v>
      </c>
      <c r="C45" s="78" t="s">
        <v>111</v>
      </c>
    </row>
    <row r="46" spans="1:3" ht="25.5" x14ac:dyDescent="0.2">
      <c r="A46" s="63">
        <v>40564</v>
      </c>
      <c r="B46" s="69" t="s">
        <v>137</v>
      </c>
      <c r="C46" s="78" t="s">
        <v>111</v>
      </c>
    </row>
    <row r="47" spans="1:3" ht="25.5" x14ac:dyDescent="0.2">
      <c r="A47" s="63">
        <v>40564</v>
      </c>
      <c r="B47" s="64" t="s">
        <v>138</v>
      </c>
      <c r="C47" s="78" t="s">
        <v>111</v>
      </c>
    </row>
    <row r="48" spans="1:3" x14ac:dyDescent="0.2">
      <c r="A48" s="63">
        <v>40564</v>
      </c>
      <c r="B48" s="70" t="s">
        <v>122</v>
      </c>
      <c r="C48" s="78" t="s">
        <v>111</v>
      </c>
    </row>
    <row r="49" spans="1:3" ht="38.25" x14ac:dyDescent="0.2">
      <c r="A49" s="63">
        <v>40564</v>
      </c>
      <c r="B49" s="64" t="s">
        <v>123</v>
      </c>
      <c r="C49" s="78" t="s">
        <v>111</v>
      </c>
    </row>
    <row r="50" spans="1:3" ht="38.25" x14ac:dyDescent="0.2">
      <c r="A50" s="63">
        <v>40564</v>
      </c>
      <c r="B50" s="64" t="s">
        <v>124</v>
      </c>
      <c r="C50" s="78" t="s">
        <v>111</v>
      </c>
    </row>
    <row r="51" spans="1:3" ht="38.25" x14ac:dyDescent="0.2">
      <c r="A51" s="63">
        <v>40564</v>
      </c>
      <c r="B51" s="64" t="s">
        <v>125</v>
      </c>
      <c r="C51" s="78" t="s">
        <v>111</v>
      </c>
    </row>
    <row r="52" spans="1:3" ht="38.25" x14ac:dyDescent="0.2">
      <c r="A52" s="63">
        <v>40564</v>
      </c>
      <c r="B52" s="64" t="s">
        <v>127</v>
      </c>
      <c r="C52" s="78" t="s">
        <v>111</v>
      </c>
    </row>
    <row r="53" spans="1:3" ht="25.5" x14ac:dyDescent="0.2">
      <c r="A53" s="4">
        <v>40610</v>
      </c>
      <c r="B53" s="71" t="s">
        <v>139</v>
      </c>
      <c r="C53" s="78" t="s">
        <v>111</v>
      </c>
    </row>
    <row r="54" spans="1:3" ht="25.5" x14ac:dyDescent="0.2">
      <c r="A54" s="72">
        <v>40612</v>
      </c>
      <c r="B54" s="73" t="s">
        <v>145</v>
      </c>
      <c r="C54" s="74" t="s">
        <v>97</v>
      </c>
    </row>
    <row r="55" spans="1:3" x14ac:dyDescent="0.2">
      <c r="A55" s="75">
        <v>40612</v>
      </c>
      <c r="B55" s="69" t="s">
        <v>142</v>
      </c>
      <c r="C55" s="76" t="s">
        <v>97</v>
      </c>
    </row>
    <row r="56" spans="1:3" ht="25.5" x14ac:dyDescent="0.2">
      <c r="A56" s="75">
        <v>40612</v>
      </c>
      <c r="B56" s="69" t="s">
        <v>144</v>
      </c>
      <c r="C56" s="76" t="s">
        <v>97</v>
      </c>
    </row>
    <row r="57" spans="1:3" ht="25.5" x14ac:dyDescent="0.2">
      <c r="A57" s="75">
        <v>40612</v>
      </c>
      <c r="B57" s="69" t="s">
        <v>143</v>
      </c>
      <c r="C57" s="76" t="s">
        <v>97</v>
      </c>
    </row>
    <row r="58" spans="1:3" ht="63.75" x14ac:dyDescent="0.2">
      <c r="A58" s="75">
        <v>40625</v>
      </c>
      <c r="B58" s="77" t="s">
        <v>146</v>
      </c>
      <c r="C58" s="76" t="s">
        <v>111</v>
      </c>
    </row>
    <row r="59" spans="1:3" ht="25.5" x14ac:dyDescent="0.2">
      <c r="A59" s="82">
        <v>40858</v>
      </c>
      <c r="B59" s="83" t="s">
        <v>187</v>
      </c>
      <c r="C59" s="49" t="s">
        <v>149</v>
      </c>
    </row>
    <row r="60" spans="1:3" ht="25.5" x14ac:dyDescent="0.2">
      <c r="A60" s="82">
        <v>40861</v>
      </c>
      <c r="B60" s="84" t="s">
        <v>162</v>
      </c>
      <c r="C60" s="74" t="s">
        <v>149</v>
      </c>
    </row>
    <row r="61" spans="1:3" ht="38.25" x14ac:dyDescent="0.2">
      <c r="A61" s="82">
        <v>40861</v>
      </c>
      <c r="B61" s="83" t="s">
        <v>209</v>
      </c>
      <c r="C61" s="74" t="s">
        <v>149</v>
      </c>
    </row>
    <row r="62" spans="1:3" ht="25.5" x14ac:dyDescent="0.2">
      <c r="A62" s="82">
        <v>40861</v>
      </c>
      <c r="B62" s="83" t="s">
        <v>214</v>
      </c>
      <c r="C62" s="74" t="s">
        <v>149</v>
      </c>
    </row>
    <row r="63" spans="1:3" ht="25.5" x14ac:dyDescent="0.2">
      <c r="A63" s="82">
        <v>40861</v>
      </c>
      <c r="B63" s="84" t="s">
        <v>177</v>
      </c>
      <c r="C63" s="49" t="s">
        <v>149</v>
      </c>
    </row>
    <row r="64" spans="1:3" ht="51" x14ac:dyDescent="0.2">
      <c r="A64" s="82">
        <v>40861</v>
      </c>
      <c r="B64" s="84" t="s">
        <v>208</v>
      </c>
      <c r="C64" s="49" t="s">
        <v>149</v>
      </c>
    </row>
    <row r="65" spans="1:3" ht="38.25" x14ac:dyDescent="0.2">
      <c r="A65" s="82">
        <v>40861</v>
      </c>
      <c r="B65" s="84" t="s">
        <v>176</v>
      </c>
      <c r="C65" s="74" t="s">
        <v>149</v>
      </c>
    </row>
    <row r="66" spans="1:3" ht="25.5" x14ac:dyDescent="0.2">
      <c r="A66" s="82">
        <v>40861</v>
      </c>
      <c r="B66" s="83" t="s">
        <v>163</v>
      </c>
      <c r="C66" s="74" t="s">
        <v>149</v>
      </c>
    </row>
    <row r="67" spans="1:3" ht="51" x14ac:dyDescent="0.2">
      <c r="A67" s="82">
        <v>40861</v>
      </c>
      <c r="B67" s="83" t="s">
        <v>183</v>
      </c>
      <c r="C67" s="74" t="s">
        <v>149</v>
      </c>
    </row>
    <row r="68" spans="1:3" ht="38.25" x14ac:dyDescent="0.2">
      <c r="A68" s="82">
        <v>40861</v>
      </c>
      <c r="B68" s="83" t="s">
        <v>165</v>
      </c>
      <c r="C68" s="74" t="s">
        <v>149</v>
      </c>
    </row>
    <row r="69" spans="1:3" ht="63.75" x14ac:dyDescent="0.2">
      <c r="A69" s="82">
        <v>40870</v>
      </c>
      <c r="B69" s="83" t="s">
        <v>178</v>
      </c>
      <c r="C69" s="74" t="s">
        <v>149</v>
      </c>
    </row>
    <row r="70" spans="1:3" ht="38.25" x14ac:dyDescent="0.2">
      <c r="A70" s="82">
        <v>40861</v>
      </c>
      <c r="B70" s="83" t="s">
        <v>167</v>
      </c>
      <c r="C70" s="74" t="s">
        <v>149</v>
      </c>
    </row>
    <row r="71" spans="1:3" ht="25.5" x14ac:dyDescent="0.2">
      <c r="A71" s="82">
        <v>40861</v>
      </c>
      <c r="B71" s="83" t="s">
        <v>169</v>
      </c>
      <c r="C71" s="74" t="s">
        <v>149</v>
      </c>
    </row>
    <row r="72" spans="1:3" ht="51" x14ac:dyDescent="0.2">
      <c r="A72" s="82">
        <v>40876</v>
      </c>
      <c r="B72" s="83" t="s">
        <v>180</v>
      </c>
      <c r="C72" s="74" t="s">
        <v>149</v>
      </c>
    </row>
    <row r="73" spans="1:3" ht="38.25" x14ac:dyDescent="0.2">
      <c r="A73" s="82">
        <v>40861</v>
      </c>
      <c r="B73" s="83" t="s">
        <v>172</v>
      </c>
      <c r="C73" s="74" t="s">
        <v>149</v>
      </c>
    </row>
    <row r="74" spans="1:3" ht="38.25" x14ac:dyDescent="0.2">
      <c r="A74" s="82">
        <v>40861</v>
      </c>
      <c r="B74" s="83" t="s">
        <v>173</v>
      </c>
      <c r="C74" s="74" t="s">
        <v>149</v>
      </c>
    </row>
    <row r="75" spans="1:3" ht="25.5" x14ac:dyDescent="0.2">
      <c r="A75" s="82">
        <v>40861</v>
      </c>
      <c r="B75" s="83" t="s">
        <v>186</v>
      </c>
      <c r="C75" s="74" t="s">
        <v>149</v>
      </c>
    </row>
    <row r="76" spans="1:3" ht="25.5" x14ac:dyDescent="0.2">
      <c r="A76" s="85">
        <v>40918</v>
      </c>
      <c r="B76" s="83" t="s">
        <v>190</v>
      </c>
      <c r="C76" s="86" t="s">
        <v>149</v>
      </c>
    </row>
    <row r="77" spans="1:3" ht="38.25" x14ac:dyDescent="0.2">
      <c r="A77" s="82">
        <v>40861</v>
      </c>
      <c r="B77" s="83" t="s">
        <v>168</v>
      </c>
      <c r="C77" s="74" t="s">
        <v>149</v>
      </c>
    </row>
    <row r="78" spans="1:3" ht="38.25" x14ac:dyDescent="0.2">
      <c r="A78" s="82">
        <v>40861</v>
      </c>
      <c r="B78" s="83" t="s">
        <v>210</v>
      </c>
      <c r="C78" s="74" t="s">
        <v>149</v>
      </c>
    </row>
    <row r="79" spans="1:3" ht="51" x14ac:dyDescent="0.2">
      <c r="A79" s="82">
        <v>40861</v>
      </c>
      <c r="B79" s="83" t="s">
        <v>211</v>
      </c>
      <c r="C79" s="74" t="s">
        <v>149</v>
      </c>
    </row>
    <row r="80" spans="1:3" ht="51" x14ac:dyDescent="0.2">
      <c r="A80" s="87">
        <v>40870</v>
      </c>
      <c r="B80" s="83" t="s">
        <v>212</v>
      </c>
      <c r="C80" s="74" t="s">
        <v>149</v>
      </c>
    </row>
    <row r="81" spans="1:3" ht="39" customHeight="1" x14ac:dyDescent="0.2">
      <c r="A81" s="82">
        <v>40925</v>
      </c>
      <c r="B81" s="83" t="s">
        <v>217</v>
      </c>
      <c r="C81" s="74" t="s">
        <v>149</v>
      </c>
    </row>
    <row r="82" spans="1:3" ht="38.25" x14ac:dyDescent="0.2">
      <c r="A82" s="85">
        <v>40918</v>
      </c>
      <c r="B82" s="71" t="s">
        <v>200</v>
      </c>
      <c r="C82" s="86" t="s">
        <v>149</v>
      </c>
    </row>
    <row r="83" spans="1:3" ht="38.25" x14ac:dyDescent="0.2">
      <c r="A83" s="85">
        <v>40918</v>
      </c>
      <c r="B83" s="71" t="s">
        <v>201</v>
      </c>
      <c r="C83" s="86" t="s">
        <v>149</v>
      </c>
    </row>
    <row r="84" spans="1:3" ht="38.25" x14ac:dyDescent="0.2">
      <c r="A84" s="85">
        <v>40918</v>
      </c>
      <c r="B84" s="71" t="s">
        <v>202</v>
      </c>
      <c r="C84" s="86" t="s">
        <v>149</v>
      </c>
    </row>
    <row r="85" spans="1:3" ht="38.25" x14ac:dyDescent="0.2">
      <c r="A85" s="85">
        <v>40918</v>
      </c>
      <c r="B85" s="71" t="s">
        <v>203</v>
      </c>
      <c r="C85" s="86" t="s">
        <v>149</v>
      </c>
    </row>
    <row r="86" spans="1:3" ht="38.25" x14ac:dyDescent="0.2">
      <c r="A86" s="85">
        <v>40918</v>
      </c>
      <c r="B86" s="71" t="s">
        <v>204</v>
      </c>
      <c r="C86" s="86" t="s">
        <v>149</v>
      </c>
    </row>
    <row r="87" spans="1:3" ht="38.25" x14ac:dyDescent="0.2">
      <c r="A87" s="85">
        <v>40918</v>
      </c>
      <c r="B87" s="71" t="s">
        <v>205</v>
      </c>
      <c r="C87" s="86" t="s">
        <v>149</v>
      </c>
    </row>
    <row r="88" spans="1:3" ht="38.25" x14ac:dyDescent="0.2">
      <c r="A88" s="85">
        <v>40918</v>
      </c>
      <c r="B88" s="71" t="s">
        <v>213</v>
      </c>
      <c r="C88" s="86" t="s">
        <v>149</v>
      </c>
    </row>
    <row r="89" spans="1:3" ht="38.25" x14ac:dyDescent="0.2">
      <c r="A89" s="85">
        <v>40918</v>
      </c>
      <c r="B89" s="71" t="s">
        <v>206</v>
      </c>
      <c r="C89" s="86" t="s">
        <v>149</v>
      </c>
    </row>
    <row r="90" spans="1:3" ht="38.25" x14ac:dyDescent="0.2">
      <c r="A90" s="85">
        <v>40918</v>
      </c>
      <c r="B90" s="71" t="s">
        <v>207</v>
      </c>
      <c r="C90" s="86" t="s">
        <v>149</v>
      </c>
    </row>
    <row r="91" spans="1:3" ht="38.25" x14ac:dyDescent="0.2">
      <c r="A91" s="82">
        <v>40861</v>
      </c>
      <c r="B91" s="84" t="s">
        <v>159</v>
      </c>
      <c r="C91" s="49" t="s">
        <v>149</v>
      </c>
    </row>
    <row r="92" spans="1:3" ht="38.25" x14ac:dyDescent="0.2">
      <c r="A92" s="82">
        <v>40918</v>
      </c>
      <c r="B92" s="83" t="s">
        <v>215</v>
      </c>
      <c r="C92" s="74" t="s">
        <v>149</v>
      </c>
    </row>
    <row r="93" spans="1:3" ht="127.5" x14ac:dyDescent="0.2">
      <c r="A93" s="82">
        <v>40877</v>
      </c>
      <c r="B93" s="83" t="s">
        <v>225</v>
      </c>
      <c r="C93" s="74" t="s">
        <v>149</v>
      </c>
    </row>
    <row r="94" spans="1:3" ht="51" x14ac:dyDescent="0.2">
      <c r="A94" s="82">
        <v>40918</v>
      </c>
      <c r="B94" s="83" t="s">
        <v>241</v>
      </c>
      <c r="C94" s="74" t="s">
        <v>149</v>
      </c>
    </row>
    <row r="95" spans="1:3" ht="38.25" x14ac:dyDescent="0.2">
      <c r="A95" s="82">
        <v>40877</v>
      </c>
      <c r="B95" s="83" t="s">
        <v>184</v>
      </c>
      <c r="C95" s="74" t="s">
        <v>149</v>
      </c>
    </row>
    <row r="96" spans="1:3" ht="63.75" x14ac:dyDescent="0.2">
      <c r="A96" s="82">
        <v>40861</v>
      </c>
      <c r="B96" s="84" t="s">
        <v>161</v>
      </c>
      <c r="C96" s="49" t="s">
        <v>149</v>
      </c>
    </row>
    <row r="97" spans="1:3" ht="51" x14ac:dyDescent="0.2">
      <c r="A97" s="82">
        <v>40925</v>
      </c>
      <c r="B97" s="84" t="s">
        <v>216</v>
      </c>
      <c r="C97" s="49" t="s">
        <v>149</v>
      </c>
    </row>
    <row r="98" spans="1:3" ht="25.5" x14ac:dyDescent="0.2">
      <c r="A98" s="82">
        <v>40945</v>
      </c>
      <c r="B98" s="84" t="s">
        <v>219</v>
      </c>
      <c r="C98" s="49" t="s">
        <v>149</v>
      </c>
    </row>
    <row r="99" spans="1:3" ht="51" x14ac:dyDescent="0.2">
      <c r="A99" s="82">
        <v>40945</v>
      </c>
      <c r="B99" s="84" t="s">
        <v>220</v>
      </c>
      <c r="C99" s="49" t="s">
        <v>149</v>
      </c>
    </row>
    <row r="100" spans="1:3" ht="76.5" x14ac:dyDescent="0.2">
      <c r="A100" s="82">
        <v>40945</v>
      </c>
      <c r="B100" s="84" t="s">
        <v>224</v>
      </c>
      <c r="C100" s="49" t="s">
        <v>149</v>
      </c>
    </row>
    <row r="101" spans="1:3" ht="38.25" x14ac:dyDescent="0.2">
      <c r="A101" s="82">
        <v>40945</v>
      </c>
      <c r="B101" s="84" t="s">
        <v>226</v>
      </c>
      <c r="C101" s="49" t="s">
        <v>149</v>
      </c>
    </row>
    <row r="102" spans="1:3" ht="63.75" x14ac:dyDescent="0.2">
      <c r="A102" s="82">
        <v>41001</v>
      </c>
      <c r="B102" s="5" t="s">
        <v>242</v>
      </c>
      <c r="C102" s="49" t="s">
        <v>149</v>
      </c>
    </row>
    <row r="103" spans="1:3" x14ac:dyDescent="0.2">
      <c r="A103" s="85">
        <v>41242</v>
      </c>
      <c r="B103" s="52" t="s">
        <v>238</v>
      </c>
      <c r="C103" s="86" t="s">
        <v>237</v>
      </c>
    </row>
    <row r="104" spans="1:3" ht="25.5" x14ac:dyDescent="0.2">
      <c r="A104" s="85">
        <v>41242</v>
      </c>
      <c r="B104" s="77" t="s">
        <v>255</v>
      </c>
      <c r="C104" s="86" t="s">
        <v>237</v>
      </c>
    </row>
    <row r="105" spans="1:3" ht="25.5" x14ac:dyDescent="0.2">
      <c r="A105" s="85">
        <v>41242</v>
      </c>
      <c r="B105" s="77" t="s">
        <v>233</v>
      </c>
      <c r="C105" s="86" t="s">
        <v>237</v>
      </c>
    </row>
    <row r="106" spans="1:3" ht="51" x14ac:dyDescent="0.2">
      <c r="A106" s="85">
        <v>41242</v>
      </c>
      <c r="B106" s="77" t="s">
        <v>256</v>
      </c>
      <c r="C106" s="86" t="s">
        <v>237</v>
      </c>
    </row>
    <row r="107" spans="1:3" ht="165.75" x14ac:dyDescent="0.2">
      <c r="A107" s="85">
        <v>41242</v>
      </c>
      <c r="B107" s="77" t="s">
        <v>253</v>
      </c>
      <c r="C107" s="86" t="s">
        <v>237</v>
      </c>
    </row>
    <row r="108" spans="1:3" ht="25.5" x14ac:dyDescent="0.2">
      <c r="A108" s="85">
        <v>41249</v>
      </c>
      <c r="B108" s="77" t="s">
        <v>265</v>
      </c>
      <c r="C108" s="86" t="s">
        <v>237</v>
      </c>
    </row>
    <row r="109" spans="1:3" ht="38.25" x14ac:dyDescent="0.2">
      <c r="A109" s="85">
        <v>41249</v>
      </c>
      <c r="B109" s="77" t="s">
        <v>248</v>
      </c>
      <c r="C109" s="86" t="s">
        <v>237</v>
      </c>
    </row>
    <row r="110" spans="1:3" ht="25.5" x14ac:dyDescent="0.2">
      <c r="A110" s="85">
        <v>41249</v>
      </c>
      <c r="B110" s="77" t="s">
        <v>249</v>
      </c>
      <c r="C110" s="86" t="s">
        <v>237</v>
      </c>
    </row>
    <row r="111" spans="1:3" ht="38.25" x14ac:dyDescent="0.2">
      <c r="A111" s="85">
        <v>41242</v>
      </c>
      <c r="B111" s="52" t="s">
        <v>236</v>
      </c>
      <c r="C111" s="86" t="s">
        <v>237</v>
      </c>
    </row>
    <row r="112" spans="1:3" ht="25.5" x14ac:dyDescent="0.2">
      <c r="A112" s="85">
        <v>41249</v>
      </c>
      <c r="B112" s="77" t="s">
        <v>250</v>
      </c>
      <c r="C112" s="86" t="s">
        <v>237</v>
      </c>
    </row>
    <row r="113" spans="1:3" ht="25.5" x14ac:dyDescent="0.2">
      <c r="A113" s="85">
        <v>41249</v>
      </c>
      <c r="B113" s="77" t="s">
        <v>251</v>
      </c>
      <c r="C113" s="86" t="s">
        <v>237</v>
      </c>
    </row>
    <row r="114" spans="1:3" ht="25.5" x14ac:dyDescent="0.2">
      <c r="A114" s="85">
        <v>41249</v>
      </c>
      <c r="B114" s="77" t="s">
        <v>252</v>
      </c>
      <c r="C114" s="86" t="s">
        <v>237</v>
      </c>
    </row>
    <row r="115" spans="1:3" ht="51" x14ac:dyDescent="0.2">
      <c r="A115" s="85">
        <v>41242</v>
      </c>
      <c r="B115" s="77" t="s">
        <v>257</v>
      </c>
      <c r="C115" s="86" t="s">
        <v>237</v>
      </c>
    </row>
    <row r="116" spans="1:3" ht="54.75" customHeight="1" x14ac:dyDescent="0.2">
      <c r="A116" s="85">
        <v>41285</v>
      </c>
      <c r="B116" s="77" t="s">
        <v>254</v>
      </c>
      <c r="C116" s="90" t="s">
        <v>237</v>
      </c>
    </row>
    <row r="117" spans="1:3" ht="25.5" x14ac:dyDescent="0.2">
      <c r="A117" s="85">
        <v>41242</v>
      </c>
      <c r="B117" s="77" t="s">
        <v>258</v>
      </c>
      <c r="C117" s="86" t="s">
        <v>237</v>
      </c>
    </row>
    <row r="118" spans="1:3" ht="25.5" x14ac:dyDescent="0.2">
      <c r="A118" s="85">
        <v>41242</v>
      </c>
      <c r="B118" s="77" t="s">
        <v>259</v>
      </c>
      <c r="C118" s="86" t="s">
        <v>237</v>
      </c>
    </row>
    <row r="119" spans="1:3" ht="25.5" x14ac:dyDescent="0.2">
      <c r="A119" s="85">
        <v>41242</v>
      </c>
      <c r="B119" s="77" t="s">
        <v>260</v>
      </c>
      <c r="C119" s="86" t="s">
        <v>237</v>
      </c>
    </row>
    <row r="120" spans="1:3" ht="25.5" x14ac:dyDescent="0.2">
      <c r="A120" s="85">
        <v>41242</v>
      </c>
      <c r="B120" s="77" t="s">
        <v>261</v>
      </c>
      <c r="C120" s="86" t="s">
        <v>237</v>
      </c>
    </row>
    <row r="121" spans="1:3" ht="38.25" x14ac:dyDescent="0.2">
      <c r="A121" s="85">
        <v>41243</v>
      </c>
      <c r="B121" s="91" t="s">
        <v>262</v>
      </c>
      <c r="C121" s="86" t="s">
        <v>237</v>
      </c>
    </row>
    <row r="122" spans="1:3" ht="25.5" x14ac:dyDescent="0.2">
      <c r="A122" s="85">
        <v>41244</v>
      </c>
      <c r="B122" s="91" t="s">
        <v>263</v>
      </c>
      <c r="C122" s="86" t="s">
        <v>237</v>
      </c>
    </row>
    <row r="123" spans="1:3" ht="25.5" x14ac:dyDescent="0.2">
      <c r="A123" s="85">
        <v>41245</v>
      </c>
      <c r="B123" s="91" t="s">
        <v>264</v>
      </c>
      <c r="C123" s="86" t="s">
        <v>237</v>
      </c>
    </row>
    <row r="124" spans="1:3" ht="25.5" x14ac:dyDescent="0.2">
      <c r="A124" s="85">
        <v>40929</v>
      </c>
      <c r="B124" s="92" t="s">
        <v>266</v>
      </c>
      <c r="C124" s="86" t="s">
        <v>237</v>
      </c>
    </row>
    <row r="125" spans="1:3" ht="25.5" x14ac:dyDescent="0.2">
      <c r="A125" s="85">
        <v>40929</v>
      </c>
      <c r="B125" s="77" t="s">
        <v>267</v>
      </c>
      <c r="C125" s="86" t="s">
        <v>237</v>
      </c>
    </row>
    <row r="126" spans="1:3" ht="63.75" x14ac:dyDescent="0.2">
      <c r="A126" s="85">
        <v>40938</v>
      </c>
      <c r="B126" s="77" t="s">
        <v>268</v>
      </c>
      <c r="C126" s="86" t="s">
        <v>237</v>
      </c>
    </row>
    <row r="127" spans="1:3" ht="63.75" x14ac:dyDescent="0.2">
      <c r="A127" s="85">
        <v>40938</v>
      </c>
      <c r="B127" s="77" t="s">
        <v>269</v>
      </c>
      <c r="C127" s="86" t="s">
        <v>237</v>
      </c>
    </row>
    <row r="128" spans="1:3" ht="76.5" x14ac:dyDescent="0.2">
      <c r="A128" s="85">
        <v>40938</v>
      </c>
      <c r="B128" s="77" t="s">
        <v>270</v>
      </c>
      <c r="C128" s="86" t="s">
        <v>237</v>
      </c>
    </row>
    <row r="129" spans="1:5" ht="50.25" customHeight="1" x14ac:dyDescent="0.2">
      <c r="A129" s="85">
        <v>41396</v>
      </c>
      <c r="B129" s="93" t="s">
        <v>271</v>
      </c>
      <c r="C129" s="86" t="s">
        <v>237</v>
      </c>
    </row>
    <row r="130" spans="1:5" ht="28.5" customHeight="1" x14ac:dyDescent="0.2">
      <c r="A130" s="85">
        <v>41570</v>
      </c>
      <c r="B130" s="93" t="s">
        <v>273</v>
      </c>
      <c r="C130" s="94" t="s">
        <v>272</v>
      </c>
    </row>
    <row r="131" spans="1:5" ht="28.5" customHeight="1" x14ac:dyDescent="0.2">
      <c r="A131" s="85">
        <v>41570</v>
      </c>
      <c r="B131" s="93" t="s">
        <v>294</v>
      </c>
      <c r="C131" s="94" t="s">
        <v>272</v>
      </c>
    </row>
    <row r="132" spans="1:5" ht="28.5" customHeight="1" x14ac:dyDescent="0.2">
      <c r="A132" s="85">
        <v>41570</v>
      </c>
      <c r="B132" s="95" t="s">
        <v>295</v>
      </c>
      <c r="C132" s="94" t="s">
        <v>272</v>
      </c>
    </row>
    <row r="133" spans="1:5" ht="25.5" x14ac:dyDescent="0.2">
      <c r="A133" s="85">
        <v>41570</v>
      </c>
      <c r="B133" s="93" t="s">
        <v>299</v>
      </c>
      <c r="C133" s="94" t="s">
        <v>272</v>
      </c>
    </row>
    <row r="134" spans="1:5" ht="32.25" customHeight="1" x14ac:dyDescent="0.2">
      <c r="A134" s="85">
        <v>41570</v>
      </c>
      <c r="B134" s="95" t="s">
        <v>298</v>
      </c>
      <c r="C134" s="94" t="s">
        <v>272</v>
      </c>
    </row>
    <row r="135" spans="1:5" ht="38.25" x14ac:dyDescent="0.2">
      <c r="A135" s="85">
        <v>41570</v>
      </c>
      <c r="B135" s="95" t="s">
        <v>300</v>
      </c>
      <c r="C135" s="94" t="s">
        <v>272</v>
      </c>
    </row>
    <row r="136" spans="1:5" ht="25.5" x14ac:dyDescent="0.2">
      <c r="A136" s="85">
        <v>41570</v>
      </c>
      <c r="B136" s="96" t="s">
        <v>297</v>
      </c>
      <c r="C136" s="94" t="s">
        <v>272</v>
      </c>
      <c r="D136" s="53"/>
      <c r="E136" s="53"/>
    </row>
    <row r="137" spans="1:5" ht="51" x14ac:dyDescent="0.2">
      <c r="A137" s="85">
        <v>41570</v>
      </c>
      <c r="B137" s="96" t="s">
        <v>296</v>
      </c>
      <c r="C137" s="94" t="s">
        <v>272</v>
      </c>
      <c r="D137" s="53"/>
      <c r="E137" s="53"/>
    </row>
    <row r="138" spans="1:5" ht="63.75" x14ac:dyDescent="0.2">
      <c r="A138" s="85">
        <v>41677</v>
      </c>
      <c r="B138" s="52" t="s">
        <v>303</v>
      </c>
      <c r="C138" s="86" t="s">
        <v>272</v>
      </c>
    </row>
    <row r="139" spans="1:5" ht="25.5" x14ac:dyDescent="0.2">
      <c r="A139" s="85">
        <v>41680</v>
      </c>
      <c r="B139" s="93" t="s">
        <v>302</v>
      </c>
      <c r="C139" s="94" t="s">
        <v>272</v>
      </c>
    </row>
    <row r="140" spans="1:5" ht="30" customHeight="1" x14ac:dyDescent="0.2">
      <c r="A140" s="85">
        <v>41709</v>
      </c>
      <c r="B140" s="93" t="s">
        <v>304</v>
      </c>
      <c r="C140" s="86" t="s">
        <v>272</v>
      </c>
    </row>
    <row r="141" spans="1:5" ht="153" x14ac:dyDescent="0.2">
      <c r="A141" s="85">
        <v>41716</v>
      </c>
      <c r="B141" s="95" t="s">
        <v>305</v>
      </c>
      <c r="C141" s="86" t="s">
        <v>272</v>
      </c>
    </row>
    <row r="142" spans="1:5" ht="25.5" x14ac:dyDescent="0.2">
      <c r="A142" s="85">
        <v>42002</v>
      </c>
      <c r="B142" s="95" t="s">
        <v>309</v>
      </c>
      <c r="C142" s="94" t="s">
        <v>237</v>
      </c>
    </row>
    <row r="143" spans="1:5" ht="38.25" x14ac:dyDescent="0.2">
      <c r="A143" s="85">
        <v>42017</v>
      </c>
      <c r="B143" s="95" t="s">
        <v>311</v>
      </c>
      <c r="C143" s="94" t="s">
        <v>237</v>
      </c>
    </row>
    <row r="144" spans="1:5" ht="25.5" x14ac:dyDescent="0.2">
      <c r="A144" s="104">
        <v>41926</v>
      </c>
      <c r="B144" s="105" t="s">
        <v>310</v>
      </c>
      <c r="C144" s="106" t="s">
        <v>237</v>
      </c>
    </row>
    <row r="145" spans="1:3" ht="40.5" x14ac:dyDescent="0.2">
      <c r="A145" s="107">
        <v>42061</v>
      </c>
      <c r="B145" s="108" t="s">
        <v>312</v>
      </c>
      <c r="C145" s="106" t="s">
        <v>237</v>
      </c>
    </row>
    <row r="146" spans="1:3" ht="40.5" x14ac:dyDescent="0.2">
      <c r="A146" s="107">
        <v>42061</v>
      </c>
      <c r="B146" s="108" t="s">
        <v>313</v>
      </c>
      <c r="C146" s="106" t="s">
        <v>237</v>
      </c>
    </row>
    <row r="147" spans="1:3" ht="25.5" x14ac:dyDescent="0.2">
      <c r="A147" s="104">
        <v>42388</v>
      </c>
      <c r="B147" s="112" t="s">
        <v>314</v>
      </c>
      <c r="C147" s="106" t="s">
        <v>237</v>
      </c>
    </row>
    <row r="148" spans="1:3" ht="63.75" x14ac:dyDescent="0.2">
      <c r="A148" s="104">
        <v>42388</v>
      </c>
      <c r="B148" s="112" t="s">
        <v>315</v>
      </c>
      <c r="C148" s="106" t="s">
        <v>237</v>
      </c>
    </row>
    <row r="149" spans="1:3" ht="25.5" x14ac:dyDescent="0.2">
      <c r="A149" s="104">
        <v>42388</v>
      </c>
      <c r="B149" s="112" t="s">
        <v>316</v>
      </c>
      <c r="C149" s="106" t="s">
        <v>237</v>
      </c>
    </row>
    <row r="150" spans="1:3" ht="25.5" x14ac:dyDescent="0.2">
      <c r="A150" s="104">
        <v>42388</v>
      </c>
      <c r="B150" s="112" t="s">
        <v>317</v>
      </c>
      <c r="C150" s="106" t="s">
        <v>237</v>
      </c>
    </row>
    <row r="151" spans="1:3" ht="25.5" x14ac:dyDescent="0.2">
      <c r="A151" s="104">
        <v>42388</v>
      </c>
      <c r="B151" s="112" t="s">
        <v>318</v>
      </c>
      <c r="C151" s="106" t="s">
        <v>237</v>
      </c>
    </row>
    <row r="152" spans="1:3" ht="25.5" x14ac:dyDescent="0.2">
      <c r="A152" s="104">
        <v>42388</v>
      </c>
      <c r="B152" s="112" t="s">
        <v>319</v>
      </c>
      <c r="C152" s="106" t="s">
        <v>237</v>
      </c>
    </row>
    <row r="153" spans="1:3" ht="25.5" x14ac:dyDescent="0.2">
      <c r="A153" s="104">
        <v>42388</v>
      </c>
      <c r="B153" s="112" t="s">
        <v>320</v>
      </c>
      <c r="C153" s="106" t="s">
        <v>237</v>
      </c>
    </row>
    <row r="154" spans="1:3" ht="25.5" x14ac:dyDescent="0.2">
      <c r="A154" s="104">
        <v>42388</v>
      </c>
      <c r="B154" s="112" t="s">
        <v>321</v>
      </c>
      <c r="C154" s="106" t="s">
        <v>237</v>
      </c>
    </row>
    <row r="155" spans="1:3" ht="25.5" x14ac:dyDescent="0.2">
      <c r="A155" s="104">
        <v>42388</v>
      </c>
      <c r="B155" s="113" t="s">
        <v>322</v>
      </c>
      <c r="C155" s="106" t="s">
        <v>237</v>
      </c>
    </row>
    <row r="156" spans="1:3" ht="25.5" x14ac:dyDescent="0.2">
      <c r="A156" s="104">
        <v>42388</v>
      </c>
      <c r="B156" s="112" t="s">
        <v>323</v>
      </c>
      <c r="C156" s="106" t="s">
        <v>237</v>
      </c>
    </row>
    <row r="157" spans="1:3" ht="25.5" x14ac:dyDescent="0.2">
      <c r="A157" s="104">
        <v>42388</v>
      </c>
      <c r="B157" s="112" t="s">
        <v>324</v>
      </c>
      <c r="C157" s="106" t="s">
        <v>237</v>
      </c>
    </row>
    <row r="158" spans="1:3" ht="38.25" x14ac:dyDescent="0.2">
      <c r="A158" s="104">
        <v>42398</v>
      </c>
      <c r="B158" s="116" t="s">
        <v>325</v>
      </c>
      <c r="C158" s="106" t="s">
        <v>237</v>
      </c>
    </row>
    <row r="159" spans="1:3" ht="25.5" x14ac:dyDescent="0.2">
      <c r="A159" s="85">
        <v>42411</v>
      </c>
      <c r="B159" s="92" t="s">
        <v>326</v>
      </c>
      <c r="C159" s="94" t="s">
        <v>237</v>
      </c>
    </row>
    <row r="160" spans="1:3" x14ac:dyDescent="0.2">
      <c r="A160" s="85">
        <v>42586</v>
      </c>
      <c r="B160" s="71" t="s">
        <v>332</v>
      </c>
      <c r="C160" s="86" t="s">
        <v>333</v>
      </c>
    </row>
    <row r="161" spans="1:3" x14ac:dyDescent="0.2">
      <c r="A161" s="85">
        <v>42669</v>
      </c>
      <c r="B161" s="121" t="s">
        <v>335</v>
      </c>
      <c r="C161" s="86" t="s">
        <v>336</v>
      </c>
    </row>
    <row r="162" spans="1:3" x14ac:dyDescent="0.2">
      <c r="A162" s="85">
        <v>42669</v>
      </c>
      <c r="B162" s="121" t="s">
        <v>337</v>
      </c>
      <c r="C162" s="86" t="s">
        <v>336</v>
      </c>
    </row>
    <row r="163" spans="1:3" ht="25.5" x14ac:dyDescent="0.2">
      <c r="A163" s="85">
        <v>42681</v>
      </c>
      <c r="B163" s="121" t="s">
        <v>338</v>
      </c>
      <c r="C163" s="86" t="s">
        <v>336</v>
      </c>
    </row>
    <row r="164" spans="1:3" ht="25.5" x14ac:dyDescent="0.2">
      <c r="A164" s="122">
        <v>42695</v>
      </c>
      <c r="B164" s="93" t="s">
        <v>339</v>
      </c>
      <c r="C164" s="123" t="s">
        <v>237</v>
      </c>
    </row>
    <row r="165" spans="1:3" x14ac:dyDescent="0.2">
      <c r="A165" s="104">
        <v>42720</v>
      </c>
      <c r="B165" s="124" t="s">
        <v>341</v>
      </c>
      <c r="C165" s="125" t="s">
        <v>336</v>
      </c>
    </row>
    <row r="166" spans="1:3" x14ac:dyDescent="0.2">
      <c r="A166" s="104">
        <v>42725</v>
      </c>
      <c r="B166" s="124" t="s">
        <v>342</v>
      </c>
      <c r="C166" s="125" t="s">
        <v>343</v>
      </c>
    </row>
    <row r="167" spans="1:3" x14ac:dyDescent="0.2">
      <c r="A167" s="104">
        <v>42752</v>
      </c>
      <c r="B167" s="124" t="s">
        <v>344</v>
      </c>
      <c r="C167" s="125" t="s">
        <v>336</v>
      </c>
    </row>
    <row r="168" spans="1:3" x14ac:dyDescent="0.2">
      <c r="A168" s="104">
        <v>42762</v>
      </c>
      <c r="B168" s="124" t="s">
        <v>351</v>
      </c>
      <c r="C168" s="125" t="s">
        <v>336</v>
      </c>
    </row>
    <row r="169" spans="1:3" x14ac:dyDescent="0.2">
      <c r="A169" s="104">
        <v>42769</v>
      </c>
      <c r="B169" s="124" t="s">
        <v>342</v>
      </c>
      <c r="C169" s="125" t="s">
        <v>343</v>
      </c>
    </row>
    <row r="170" spans="1:3" x14ac:dyDescent="0.2">
      <c r="A170" s="104">
        <v>42794</v>
      </c>
      <c r="B170" s="124" t="s">
        <v>352</v>
      </c>
      <c r="C170" s="125" t="s">
        <v>336</v>
      </c>
    </row>
    <row r="171" spans="1:3" x14ac:dyDescent="0.2">
      <c r="A171" s="104">
        <v>42807</v>
      </c>
      <c r="B171" s="124" t="s">
        <v>342</v>
      </c>
      <c r="C171" s="125" t="s">
        <v>343</v>
      </c>
    </row>
  </sheetData>
  <mergeCells count="1">
    <mergeCell ref="A1:C1"/>
  </mergeCells>
  <phoneticPr fontId="7" type="noConversion"/>
  <pageMargins left="0.5" right="0.5" top="1" bottom="1" header="0.5" footer="0.5"/>
  <pageSetup orientation="portrait" r:id="rId1"/>
  <headerFooter alignWithMargins="0">
    <oddHeader>&amp;RLast Saved Date: 4/15/20087:29:50 AM</oddHeader>
    <oddFooter>&amp;RLast Saved Date: 2/3/2017 10:35:53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LAA1LDESTD</vt:lpstr>
      <vt:lpstr>Revision Log</vt:lpstr>
      <vt:lpstr>LAA1LDESTD!Print_Area</vt:lpstr>
      <vt:lpstr>LAA1LDESTD!Print_Titles</vt:lpstr>
    </vt:vector>
  </TitlesOfParts>
  <Company>DOE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Jayanthi Sothirajah</cp:lastModifiedBy>
  <cp:lastPrinted>2016-12-14T19:39:59Z</cp:lastPrinted>
  <dcterms:created xsi:type="dcterms:W3CDTF">1999-04-08T16:47:24Z</dcterms:created>
  <dcterms:modified xsi:type="dcterms:W3CDTF">2017-09-05T13:16:16Z</dcterms:modified>
</cp:coreProperties>
</file>