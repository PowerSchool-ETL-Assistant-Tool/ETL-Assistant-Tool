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225" yWindow="0" windowWidth="15330" windowHeight="11295"/>
  </bookViews>
  <sheets>
    <sheet name="LAA1LDESTD" sheetId="1" r:id="rId1"/>
    <sheet name="Revision Log" sheetId="2" r:id="rId2"/>
    <sheet name="Reference Locations" sheetId="3" r:id="rId3"/>
  </sheets>
  <definedNames>
    <definedName name="_xlnm._FilterDatabase" localSheetId="0" hidden="1">LAA1LDESTD!$G$1:$G$196</definedName>
    <definedName name="_xlnm.Print_Area" localSheetId="0">LAA1LDESTD!$A$1:$I$193</definedName>
    <definedName name="_xlnm.Print_Titles" localSheetId="0">LAA1LDESTD!$1:$2</definedName>
    <definedName name="Z_711973F9_5431_4922_B46E_FFB4E07E9E58_.wvu.Cols" localSheetId="0" hidden="1">LAA1LDESTD!$K:$O</definedName>
    <definedName name="Z_711973F9_5431_4922_B46E_FFB4E07E9E58_.wvu.PrintArea" localSheetId="0" hidden="1">LAA1LDESTD!$A$2:$I$2</definedName>
    <definedName name="Z_711973F9_5431_4922_B46E_FFB4E07E9E58_.wvu.PrintTitles" localSheetId="0" hidden="1">LAA1LDESTD!$2:$2</definedName>
    <definedName name="Z_7E4D7CCA_1395_44FA_80A0_38FFA0DD8C49_.wvu.PrintTitles" localSheetId="0" hidden="1">LAA1LDESTD!$2:$2</definedName>
    <definedName name="Z_A5DDCBF3_D6F4_4EB4_918C_ECABFE1A43AD_.wvu.PrintTitles" localSheetId="0" hidden="1">LAA1LDESTD!$2:$2</definedName>
    <definedName name="Z_B792D786_3755_11D6_AB7B_0050DA2DACD5_.wvu.PrintTitles" localSheetId="0" hidden="1">LAA1LDESTD!$2:$2</definedName>
    <definedName name="Z_E34B366C_36F7_11D6_A24B_0050DA0A5BC6_.wvu.PrintTitles" localSheetId="0" hidden="1">LAA1LDESTD!$2:$2</definedName>
  </definedNames>
  <calcPr calcId="145621"/>
  <customWorkbookViews>
    <customWorkbookView name="CStampfle - Personal View" guid="{7E4D7CCA-1395-44FA-80A0-38FFA0DD8C49}" mergeInterval="0" personalView="1" maximized="1" windowWidth="945" windowHeight="597" activeSheetId="1"/>
    <customWorkbookView name="Cathy Stampfle - Personal View" guid="{B792D786-3755-11D6-AB7B-0050DA2DACD5}" mergeInterval="0" personalView="1" maximized="1" windowWidth="732" windowHeight="459" activeSheetId="1" showStatusbar="0"/>
    <customWorkbookView name="DRC - Personal View" guid="{E34B366C-36F7-11D6-A24B-0050DA0A5BC6}" mergeInterval="0" personalView="1" maximized="1" windowWidth="763" windowHeight="438" activeSheetId="1"/>
    <customWorkbookView name="MWille - Personal View" guid="{A5DDCBF3-D6F4-4EB4-918C-ECABFE1A43AD}" mergeInterval="0" personalView="1" maximized="1" windowWidth="987" windowHeight="580" activeSheetId="1"/>
    <customWorkbookView name="Bob Kaufman - Personal View" guid="{711973F9-5431-4922-B46E-FFB4E07E9E58}" mergeInterval="0" personalView="1" maximized="1" windowWidth="1020" windowHeight="607" activeSheetId="1"/>
  </customWorkbookViews>
</workbook>
</file>

<file path=xl/calcChain.xml><?xml version="1.0" encoding="utf-8"?>
<calcChain xmlns="http://schemas.openxmlformats.org/spreadsheetml/2006/main">
  <c r="D179" i="1" l="1"/>
  <c r="E177" i="1"/>
  <c r="D177" i="1"/>
  <c r="E4" i="1" l="1"/>
  <c r="D5" i="1"/>
  <c r="E5" i="1" s="1"/>
  <c r="D6" i="1" l="1"/>
  <c r="E6" i="1" l="1"/>
  <c r="D7" i="1"/>
  <c r="E7" i="1" l="1"/>
  <c r="D8" i="1"/>
  <c r="E8" i="1" l="1"/>
  <c r="D9" i="1"/>
  <c r="E9" i="1" l="1"/>
  <c r="D10" i="1"/>
  <c r="D11" i="1" l="1"/>
  <c r="E10" i="1"/>
  <c r="E11" i="1" l="1"/>
  <c r="D12" i="1"/>
  <c r="E12" i="1" l="1"/>
  <c r="D13" i="1"/>
  <c r="E13" i="1" l="1"/>
  <c r="D14" i="1"/>
  <c r="D15" i="1" l="1"/>
  <c r="E14" i="1"/>
  <c r="E15" i="1" l="1"/>
  <c r="D16" i="1"/>
  <c r="E16" i="1" l="1"/>
  <c r="D17" i="1"/>
  <c r="E17" i="1" l="1"/>
  <c r="D18" i="1"/>
  <c r="D19" i="1" l="1"/>
  <c r="E18" i="1"/>
  <c r="E19" i="1" l="1"/>
  <c r="D20" i="1"/>
  <c r="E20" i="1" l="1"/>
  <c r="D21" i="1"/>
  <c r="E21" i="1" l="1"/>
  <c r="D22" i="1"/>
  <c r="D23" i="1" l="1"/>
  <c r="E22" i="1"/>
  <c r="E23" i="1" l="1"/>
  <c r="D24" i="1"/>
  <c r="E24" i="1" l="1"/>
  <c r="D25" i="1"/>
  <c r="E25" i="1" l="1"/>
  <c r="D26" i="1"/>
  <c r="D27" i="1" l="1"/>
  <c r="E26" i="1"/>
  <c r="E27" i="1" l="1"/>
  <c r="D28" i="1"/>
  <c r="D29" i="1" l="1"/>
  <c r="E28" i="1"/>
  <c r="E29" i="1" l="1"/>
  <c r="D30" i="1"/>
  <c r="D31" i="1" l="1"/>
  <c r="E30" i="1"/>
  <c r="E31" i="1" l="1"/>
  <c r="D32" i="1"/>
  <c r="D33" i="1" l="1"/>
  <c r="E32" i="1"/>
  <c r="E33" i="1" l="1"/>
  <c r="D34" i="1"/>
  <c r="D35" i="1" l="1"/>
  <c r="E34" i="1"/>
  <c r="E35" i="1" l="1"/>
  <c r="D36" i="1"/>
  <c r="D37" i="1" l="1"/>
  <c r="E36" i="1"/>
  <c r="E37" i="1" l="1"/>
  <c r="D39" i="1"/>
  <c r="D40" i="1" l="1"/>
  <c r="E39" i="1"/>
  <c r="E40" i="1" l="1"/>
  <c r="D41" i="1"/>
  <c r="E41" i="1" l="1"/>
  <c r="D42" i="1"/>
  <c r="E42" i="1" l="1"/>
  <c r="D43" i="1"/>
  <c r="D44" i="1" l="1"/>
  <c r="E43" i="1"/>
  <c r="E44" i="1" l="1"/>
  <c r="D45" i="1"/>
  <c r="D46" i="1" l="1"/>
  <c r="E45" i="1"/>
  <c r="E46" i="1" l="1"/>
  <c r="D47" i="1"/>
  <c r="E47" i="1" l="1"/>
  <c r="D48" i="1"/>
  <c r="E48" i="1" l="1"/>
  <c r="D49" i="1"/>
  <c r="D50" i="1" l="1"/>
  <c r="E49" i="1"/>
  <c r="E50" i="1" l="1"/>
  <c r="D51" i="1"/>
  <c r="E51" i="1" l="1"/>
  <c r="D52" i="1"/>
  <c r="E52" i="1" l="1"/>
  <c r="D53" i="1"/>
  <c r="D54" i="1" l="1"/>
  <c r="E53" i="1"/>
  <c r="E54" i="1" l="1"/>
  <c r="D55" i="1"/>
  <c r="E55" i="1" l="1"/>
  <c r="D56" i="1"/>
  <c r="E56" i="1" l="1"/>
  <c r="D58" i="1"/>
  <c r="D59" i="1" l="1"/>
  <c r="E58" i="1"/>
  <c r="E59" i="1" l="1"/>
  <c r="D60" i="1"/>
  <c r="E60" i="1" l="1"/>
  <c r="D61" i="1"/>
  <c r="E61" i="1" l="1"/>
  <c r="D62" i="1"/>
  <c r="D63" i="1" l="1"/>
  <c r="E62" i="1"/>
  <c r="E63" i="1" l="1"/>
  <c r="D64" i="1"/>
  <c r="E64" i="1" l="1"/>
  <c r="D65" i="1"/>
  <c r="E65" i="1" l="1"/>
  <c r="D66" i="1"/>
  <c r="D67" i="1" l="1"/>
  <c r="E66" i="1"/>
  <c r="E67" i="1" l="1"/>
  <c r="D68" i="1"/>
  <c r="E68" i="1" l="1"/>
  <c r="D69" i="1"/>
  <c r="E69" i="1" l="1"/>
  <c r="D70" i="1"/>
  <c r="E70" i="1" l="1"/>
  <c r="D71" i="1"/>
  <c r="E71" i="1" l="1"/>
  <c r="D72" i="1"/>
  <c r="E72" i="1" l="1"/>
  <c r="D73" i="1"/>
  <c r="E73" i="1" l="1"/>
  <c r="D74" i="1"/>
  <c r="E74" i="1" l="1"/>
  <c r="D76" i="1"/>
  <c r="E76" i="1" l="1"/>
  <c r="D77" i="1"/>
  <c r="D78" i="1" l="1"/>
  <c r="E77" i="1"/>
  <c r="E78" i="1" l="1"/>
  <c r="D79" i="1"/>
  <c r="E79" i="1" l="1"/>
  <c r="D80" i="1"/>
  <c r="E80" i="1" l="1"/>
  <c r="D81" i="1"/>
  <c r="E81" i="1" l="1"/>
  <c r="D83" i="1"/>
  <c r="E83" i="1" l="1"/>
  <c r="D84" i="1"/>
  <c r="D85" i="1" l="1"/>
  <c r="E84" i="1"/>
  <c r="E85" i="1" l="1"/>
  <c r="D86" i="1"/>
  <c r="E86" i="1" l="1"/>
  <c r="D87" i="1"/>
  <c r="E87" i="1" l="1"/>
  <c r="D88" i="1"/>
  <c r="E88" i="1" l="1"/>
  <c r="D89" i="1"/>
  <c r="E89" i="1" l="1"/>
  <c r="D90" i="1"/>
  <c r="D91" i="1" l="1"/>
  <c r="E90" i="1"/>
  <c r="E91" i="1" l="1"/>
  <c r="D93" i="1"/>
  <c r="E93" i="1" l="1"/>
  <c r="D94" i="1"/>
  <c r="E94" i="1" l="1"/>
  <c r="D95" i="1"/>
  <c r="D96" i="1" l="1"/>
  <c r="E95" i="1"/>
  <c r="E96" i="1" l="1"/>
  <c r="D97" i="1"/>
  <c r="E97" i="1" l="1"/>
  <c r="D98" i="1"/>
  <c r="E98" i="1" l="1"/>
  <c r="D100" i="1"/>
  <c r="E100" i="1" l="1"/>
  <c r="D101" i="1"/>
  <c r="E101" i="1" l="1"/>
  <c r="D102" i="1"/>
  <c r="E102" i="1" l="1"/>
  <c r="D103" i="1"/>
  <c r="E103" i="1" l="1"/>
  <c r="D104" i="1"/>
  <c r="D105" i="1" l="1"/>
  <c r="E104" i="1"/>
  <c r="E105" i="1" l="1"/>
  <c r="D106" i="1"/>
  <c r="E106" i="1" l="1"/>
  <c r="D107" i="1"/>
  <c r="E107" i="1" l="1"/>
  <c r="D108" i="1"/>
  <c r="E108" i="1" l="1"/>
  <c r="D109" i="1"/>
  <c r="E109" i="1" l="1"/>
  <c r="D111" i="1"/>
  <c r="E111" i="1" l="1"/>
  <c r="D112" i="1"/>
  <c r="E112" i="1" l="1"/>
  <c r="D113" i="1"/>
  <c r="D114" i="1" l="1"/>
  <c r="E113" i="1"/>
  <c r="E114" i="1" l="1"/>
  <c r="D115" i="1"/>
  <c r="E115" i="1" l="1"/>
  <c r="D116" i="1"/>
  <c r="E116" i="1" l="1"/>
  <c r="D117" i="1"/>
  <c r="E117" i="1" l="1"/>
  <c r="D118" i="1"/>
  <c r="E118" i="1" l="1"/>
  <c r="D119" i="1"/>
  <c r="D120" i="1" l="1"/>
  <c r="E119" i="1"/>
  <c r="E120" i="1" l="1"/>
  <c r="D122" i="1"/>
  <c r="E122" i="1" l="1"/>
  <c r="D123" i="1"/>
  <c r="E123" i="1" l="1"/>
  <c r="D124" i="1"/>
  <c r="E124" i="1" l="1"/>
  <c r="D125" i="1"/>
  <c r="E125" i="1" l="1"/>
  <c r="D126" i="1"/>
  <c r="D127" i="1" l="1"/>
  <c r="E126" i="1"/>
  <c r="E127" i="1" l="1"/>
  <c r="D128" i="1"/>
  <c r="D129" i="1" l="1"/>
  <c r="E128" i="1"/>
  <c r="E129" i="1" l="1"/>
  <c r="D130" i="1"/>
  <c r="E130" i="1" l="1"/>
  <c r="D131" i="1"/>
  <c r="E131" i="1" l="1"/>
  <c r="D133" i="1"/>
  <c r="D134" i="1" l="1"/>
  <c r="E133" i="1"/>
  <c r="E134" i="1" l="1"/>
  <c r="D135" i="1"/>
  <c r="D136" i="1" l="1"/>
  <c r="E135" i="1"/>
  <c r="E136" i="1" l="1"/>
  <c r="D137" i="1"/>
  <c r="D138" i="1" l="1"/>
  <c r="E137" i="1"/>
  <c r="E138" i="1" l="1"/>
  <c r="D139" i="1"/>
  <c r="D140" i="1" l="1"/>
  <c r="E139" i="1"/>
  <c r="E140" i="1" l="1"/>
  <c r="D141" i="1"/>
  <c r="E141" i="1" l="1"/>
  <c r="D142" i="1"/>
  <c r="E142" i="1" l="1"/>
  <c r="D143" i="1"/>
  <c r="D145" i="1" l="1"/>
  <c r="E143" i="1"/>
  <c r="E145" i="1" l="1"/>
  <c r="D146" i="1"/>
  <c r="E146" i="1" l="1"/>
  <c r="D147" i="1"/>
  <c r="E147" i="1" l="1"/>
  <c r="D148" i="1"/>
  <c r="E148" i="1" l="1"/>
  <c r="D149" i="1"/>
  <c r="E149" i="1" l="1"/>
  <c r="D150" i="1"/>
  <c r="E150" i="1" l="1"/>
  <c r="D152" i="1"/>
  <c r="E152" i="1" l="1"/>
  <c r="D153" i="1"/>
  <c r="E153" i="1" l="1"/>
  <c r="D154" i="1"/>
  <c r="E154" i="1" l="1"/>
  <c r="D155" i="1"/>
  <c r="D156" i="1" l="1"/>
  <c r="E155" i="1"/>
  <c r="E156" i="1" l="1"/>
  <c r="D157" i="1"/>
  <c r="D158" i="1" l="1"/>
  <c r="E157" i="1"/>
  <c r="E158" i="1" l="1"/>
  <c r="D159" i="1"/>
  <c r="D160" i="1" l="1"/>
  <c r="E159" i="1"/>
  <c r="E160" i="1" l="1"/>
  <c r="D161" i="1"/>
  <c r="E161" i="1" l="1"/>
  <c r="D162" i="1"/>
  <c r="E162" i="1" l="1"/>
  <c r="D163" i="1"/>
  <c r="D165" i="1" l="1"/>
  <c r="E163" i="1"/>
  <c r="E165" i="1" l="1"/>
  <c r="D166" i="1"/>
  <c r="E166" i="1" l="1"/>
  <c r="D167" i="1"/>
  <c r="E167" i="1" l="1"/>
  <c r="D168" i="1"/>
  <c r="E168" i="1" l="1"/>
  <c r="D169" i="1"/>
  <c r="E169" i="1" l="1"/>
  <c r="D170" i="1"/>
  <c r="E170" i="1" l="1"/>
  <c r="D171" i="1"/>
  <c r="D172" i="1" l="1"/>
  <c r="E171" i="1"/>
  <c r="D173" i="1" l="1"/>
  <c r="E172" i="1"/>
  <c r="D174" i="1" l="1"/>
  <c r="E173" i="1"/>
  <c r="E174" i="1" l="1"/>
  <c r="D175" i="1"/>
  <c r="D176" i="1" l="1"/>
  <c r="E175" i="1"/>
  <c r="E176" i="1" l="1"/>
  <c r="E179" i="1" l="1"/>
  <c r="D180" i="1"/>
  <c r="D181" i="1" l="1"/>
  <c r="E180" i="1"/>
  <c r="E181" i="1" l="1"/>
  <c r="D182" i="1"/>
  <c r="E182" i="1" l="1"/>
  <c r="D183" i="1"/>
  <c r="E183" i="1" l="1"/>
  <c r="D184" i="1"/>
  <c r="E184" i="1" l="1"/>
  <c r="D185" i="1"/>
  <c r="D187" i="1" l="1"/>
  <c r="E185" i="1"/>
  <c r="D188" i="1" l="1"/>
  <c r="E187" i="1"/>
  <c r="E188" i="1" l="1"/>
  <c r="D189" i="1"/>
  <c r="D190" i="1" l="1"/>
  <c r="E189" i="1"/>
  <c r="E190" i="1" l="1"/>
  <c r="D191" i="1"/>
  <c r="E191" i="1" s="1"/>
  <c r="E193" i="1" s="1"/>
</calcChain>
</file>

<file path=xl/sharedStrings.xml><?xml version="1.0" encoding="utf-8"?>
<sst xmlns="http://schemas.openxmlformats.org/spreadsheetml/2006/main" count="1052" uniqueCount="484">
  <si>
    <t xml:space="preserve">Unique number assigned by DRC </t>
  </si>
  <si>
    <t>Length</t>
  </si>
  <si>
    <t>Field Name</t>
  </si>
  <si>
    <t>Y</t>
  </si>
  <si>
    <t>N</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</si>
  <si>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</si>
  <si>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</si>
  <si>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</si>
  <si>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</si>
  <si>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Y = Yes
N = No</t>
  </si>
  <si>
    <t>1</t>
  </si>
  <si>
    <t>District Code</t>
  </si>
  <si>
    <t>School Code</t>
  </si>
  <si>
    <t>District Name</t>
  </si>
  <si>
    <t>School Name</t>
  </si>
  <si>
    <t>Summarized Grade</t>
  </si>
  <si>
    <t>F = Female
M = Male
I = Invalid</t>
  </si>
  <si>
    <t>Test Administrator Last Name</t>
  </si>
  <si>
    <t>Test Administrator First Name</t>
  </si>
  <si>
    <t>File Creation Date and Time Stamp</t>
  </si>
  <si>
    <t>Date the file was generated</t>
  </si>
  <si>
    <t>Value of "Y" will only appear in the final LDESTD file.</t>
  </si>
  <si>
    <t>Exceptionality Category as bubbled on the Response Document</t>
  </si>
  <si>
    <t>Lithocode</t>
  </si>
  <si>
    <t>Summarized Migrant Status</t>
  </si>
  <si>
    <t>Barcode/Student Precode Number</t>
  </si>
  <si>
    <t>Math Item Responses</t>
  </si>
  <si>
    <t>Science Item Responses</t>
  </si>
  <si>
    <t>Initial version in new format for 2008 administration</t>
  </si>
  <si>
    <t>Jamie Kubik</t>
  </si>
  <si>
    <t>Bubbled Lunch Status</t>
  </si>
  <si>
    <t>Summarized Lunch Status</t>
  </si>
  <si>
    <t>Bubbled Migrant Status</t>
  </si>
  <si>
    <t>LAP Option Code</t>
  </si>
  <si>
    <t>LAP March Update Flag</t>
  </si>
  <si>
    <t>Month of test</t>
  </si>
  <si>
    <t>Year of test</t>
  </si>
  <si>
    <t>State ID</t>
  </si>
  <si>
    <t>Summarized Gender</t>
  </si>
  <si>
    <t>LAP Gender</t>
  </si>
  <si>
    <t>Summarized LEP Status</t>
  </si>
  <si>
    <t>Y = LEP
N = Not LEP</t>
  </si>
  <si>
    <t>LAP Exceptionality Category</t>
  </si>
  <si>
    <t xml:space="preserve">Bubbled Accountability Code </t>
  </si>
  <si>
    <t>Blank when document not returned.</t>
  </si>
  <si>
    <t>Test Taken Flag - ELA</t>
  </si>
  <si>
    <t>Test Taken Flag - Math</t>
  </si>
  <si>
    <t>Test Taken Flag - Science</t>
  </si>
  <si>
    <t>000000-999999</t>
  </si>
  <si>
    <t>Updated Accountability Code - ELA</t>
  </si>
  <si>
    <t>Updated Accountability Code - Math</t>
  </si>
  <si>
    <t>Updated Accountability Code - Science</t>
  </si>
  <si>
    <t>Accountability Achievement Level - ELA</t>
  </si>
  <si>
    <t>Accountability Achievement Level - Math</t>
  </si>
  <si>
    <t>Accountability Achievement Level - Science</t>
  </si>
  <si>
    <t>Bubbled Special Education Test Accommodations</t>
  </si>
  <si>
    <t>Batch Number</t>
  </si>
  <si>
    <t>Bubbled Optional Local Use</t>
  </si>
  <si>
    <t>Assess Group Type</t>
  </si>
  <si>
    <t>Included in N-Counts - ELA</t>
  </si>
  <si>
    <t>Included in N-Counts - Math</t>
  </si>
  <si>
    <t>Included in N-Counts - Science</t>
  </si>
  <si>
    <t>Student-Level Reporting Flags</t>
  </si>
  <si>
    <t>Rollup to State</t>
  </si>
  <si>
    <t>Summarize to Assess Group Code for District Level Reporting</t>
  </si>
  <si>
    <t>Show 'N/A' in place of district results on school level reports</t>
  </si>
  <si>
    <t>Schools summarized to LEA Code for district level reporting</t>
  </si>
  <si>
    <t>Cleanup Reports</t>
  </si>
  <si>
    <t>Summary Reports</t>
  </si>
  <si>
    <t>Roster Reports</t>
  </si>
  <si>
    <t>Student Labels</t>
  </si>
  <si>
    <t>Y = student classified as a straggler
N = student not classified as a straggler</t>
  </si>
  <si>
    <t>Bubbled Test Administrator Number</t>
  </si>
  <si>
    <t>Blank if TA number is invalid or blank.</t>
  </si>
  <si>
    <t>Scoring Study Flag</t>
  </si>
  <si>
    <t>Y = Record for scoring study
N = Not a scoring study record</t>
  </si>
  <si>
    <t>1 = Free Lunch Eligible
2 = Reduced Lunch Eligible
0 = Paid
9 = Unknown</t>
  </si>
  <si>
    <t>Added 'Task Description' field in pos. 179.  Shifted subsequent fields one position up to filler in pos. 268.</t>
  </si>
  <si>
    <t>Added SEM values to positions 443-448, 469-474, and 495-500</t>
  </si>
  <si>
    <t>Positions 540-549 were revised to allow for separate Roster and SR flags per subject (ELA/Math and SCI).</t>
  </si>
  <si>
    <t>Field Use</t>
  </si>
  <si>
    <t>Starting Location</t>
  </si>
  <si>
    <t>Ending Location</t>
  </si>
  <si>
    <t>Possible Values</t>
  </si>
  <si>
    <t>Description/Comments</t>
  </si>
  <si>
    <t>COMMON DEMOGRAPHIC INFORMATION</t>
  </si>
  <si>
    <t>Test Date Month</t>
  </si>
  <si>
    <t>Test Date Year</t>
  </si>
  <si>
    <t>03</t>
  </si>
  <si>
    <t>Straggler</t>
  </si>
  <si>
    <t>Student Last Name</t>
  </si>
  <si>
    <t>Student First Name</t>
  </si>
  <si>
    <t>Student Middle Initial</t>
  </si>
  <si>
    <t>Document Grade</t>
  </si>
  <si>
    <t>Summarized DOB Month</t>
  </si>
  <si>
    <t>Summarized DOB Day</t>
  </si>
  <si>
    <t>Summarized DOB Year</t>
  </si>
  <si>
    <t>Moderate Mental Disability</t>
  </si>
  <si>
    <t>Severe Mental Disability</t>
  </si>
  <si>
    <t>Autism</t>
  </si>
  <si>
    <t>Multiple Disabilities</t>
  </si>
  <si>
    <t>Traumatic Brain Injury</t>
  </si>
  <si>
    <t>HI-Deaf</t>
  </si>
  <si>
    <t>Deafblindness</t>
  </si>
  <si>
    <t>Developmental Delay</t>
  </si>
  <si>
    <t>Emotional Disturbance</t>
  </si>
  <si>
    <t>HI-Hard of Hearing</t>
  </si>
  <si>
    <t>Mild Mental Disability</t>
  </si>
  <si>
    <t>Orthopedic Impairment</t>
  </si>
  <si>
    <t>Other Health Impairment</t>
  </si>
  <si>
    <t>Specific Learning Disability</t>
  </si>
  <si>
    <t>Speech or Language Impairment</t>
  </si>
  <si>
    <t>Visual Impairment</t>
  </si>
  <si>
    <t>Assistive Technology</t>
  </si>
  <si>
    <t>Task Descriptions</t>
  </si>
  <si>
    <t>Other</t>
  </si>
  <si>
    <t>ITEM RESPONSE STRINGS</t>
  </si>
  <si>
    <t>ELA SCORING SECTION</t>
  </si>
  <si>
    <t>MATH SCORING SECTION</t>
  </si>
  <si>
    <t>Listening Raw Score</t>
  </si>
  <si>
    <t>Reading Raw Score</t>
  </si>
  <si>
    <t>Using Information Resources Raw Score</t>
  </si>
  <si>
    <t>Writing Raw Score</t>
  </si>
  <si>
    <t>Algebra and Patterns Raw Score</t>
  </si>
  <si>
    <t>Data Raw Score</t>
  </si>
  <si>
    <t>Measurement and Geometry Raw Score</t>
  </si>
  <si>
    <t>Numbers Raw Score</t>
  </si>
  <si>
    <t>SCIENCE SCORING SECTION</t>
  </si>
  <si>
    <t>Earth, Space, and Environmental Science Raw Score</t>
  </si>
  <si>
    <t>Life Science Raw Score</t>
  </si>
  <si>
    <t>Physical Science Raw Score</t>
  </si>
  <si>
    <t>Science as Inquiry Raw Score</t>
  </si>
  <si>
    <t>STUDENT PROCESSING &amp; REPORTING FLAGS</t>
  </si>
  <si>
    <t>ASSESSMENT ROLLUP &amp; INCLUSION FLAGS</t>
  </si>
  <si>
    <t>School Roster - ELA/Math</t>
  </si>
  <si>
    <t>Student Report - ELA/Math</t>
  </si>
  <si>
    <t>Student Label</t>
  </si>
  <si>
    <t>ACCOUNTABILITY FIELDS</t>
  </si>
  <si>
    <t>DOCUMENT IDENTIFICATION</t>
  </si>
  <si>
    <t>Record Length:</t>
  </si>
  <si>
    <t>Filler position 268 was changed to the LAP Homeless Flag.</t>
  </si>
  <si>
    <t>Assess group value descriptions in position 94-95 were changed to use 'OJJ' instead of 'OYD' and a value of "13" was added for NPS.</t>
  </si>
  <si>
    <t>E</t>
  </si>
  <si>
    <t>K, E</t>
  </si>
  <si>
    <t>Position 128 was changed to Document Grade instead of Grade Span and became a two-position field (128-129)</t>
  </si>
  <si>
    <t>Position 129-130 was changed from Bubbled Grade to Bubbled PreGED/Skills.  The field was reduced to a single position (130).</t>
  </si>
  <si>
    <t>Bubbled Gender</t>
  </si>
  <si>
    <t>Added bubbled Gender (pos. 269) and Ethnicity (pos. 270), replacing to of the following filler positions.</t>
  </si>
  <si>
    <t>This represents the response document that the student took the test on.  It is derived from the first position of the lithocode for the document.  
Blank if no document was returned.</t>
  </si>
  <si>
    <t>Removed value 17 and added value 99 to position 176-177.</t>
  </si>
  <si>
    <t>In pos. 94-95, 11=RSD was removed and 14=RLA, 15=RNO were added.</t>
  </si>
  <si>
    <t>FILLER</t>
  </si>
  <si>
    <t>Jennifer Klein</t>
  </si>
  <si>
    <t>Changed position 246-254, LA Generated ID, to Filler.</t>
  </si>
  <si>
    <t xml:space="preserve">"*", "-", and "_" values are changed to spaces, and then the spaces are removed by compressing the values from the name field. </t>
  </si>
  <si>
    <t>000000000-999999999
---------</t>
  </si>
  <si>
    <t>Student's SSN
"*" and " " values are changed to "-".</t>
  </si>
  <si>
    <t>Added possible values and detail to the description/comments column for positions 117-125 that "*" and " " values are changed to "-".</t>
  </si>
  <si>
    <t xml:space="preserve">Added possible value of "4 = Career Diploma" to position 133, LAP Option Code.  </t>
  </si>
  <si>
    <t>Added additional detail to the description/comments column for positions 135-142, DOB, that "*" and " " values are changed to "-".</t>
  </si>
  <si>
    <t>Added description/comments for position 155, LAP Primary Exceptionality Code.</t>
  </si>
  <si>
    <t>Updated the Scoring Information, positions 427-494, for each subject to further clarify the possible values for Raw Score Total and Raw Scores.</t>
  </si>
  <si>
    <t>Removed possible value of "03 = LEP but passed first parts of ELDA" from position 151-152.</t>
  </si>
  <si>
    <t>Added 'K, E' to the Field Use column for DRC Unique ID.</t>
  </si>
  <si>
    <t>Added possible value of "3 = LEP current year" to position 150.</t>
  </si>
  <si>
    <t>Changed position 583-588, Updated Routing Sitecode, to Filler.</t>
  </si>
  <si>
    <t>Include in Researcher file?</t>
  </si>
  <si>
    <t>Include in LDE Staff &amp; Contractors file?</t>
  </si>
  <si>
    <t>1 = Type 1 Charter
2 = Type 2 Charter
3 = Type 3 Charter
4 = Type 4 Charter
5 = Type 5 Charter
Blank = Not a Charter School</t>
  </si>
  <si>
    <t>0000000000-9999999999
Blank</t>
  </si>
  <si>
    <t>LAP Ethnicity/Race</t>
  </si>
  <si>
    <t>Summarized Ethnicity/Race</t>
  </si>
  <si>
    <t>Bubbled Ethnicity/Race</t>
  </si>
  <si>
    <t>Removed '09' as a possible value from the LAP Grade field position 126 - 127 and the Document Grade field position 128-129. (not testing grade 9 starting Spring 2011)</t>
  </si>
  <si>
    <t>Removed the Bubbled PreGED/Skills field from position 130 and replaced with FILLER.</t>
  </si>
  <si>
    <t>Heidi Bjugstad</t>
  </si>
  <si>
    <t>Removed 'PreGED/Skills' as a possible value from the LAP Option Code field, position 133.</t>
  </si>
  <si>
    <t>Removed the Summarized PreGed/Skills field from position 134 and replaced with FILLER.</t>
  </si>
  <si>
    <t>Updated the file heading from 'Complete' to 'Final file_Assessment and Accountability Staff'.</t>
  </si>
  <si>
    <t>Updated the Research and Simple column fields to be Researcher and LDE Staff &amp; Contractors.</t>
  </si>
  <si>
    <t>Added Charter Type field to position 538.</t>
  </si>
  <si>
    <t>Hispanic/Latino</t>
  </si>
  <si>
    <t>Asian</t>
  </si>
  <si>
    <t>Black or African American</t>
  </si>
  <si>
    <t>Native Hawaiian or Other Pacific Islander</t>
  </si>
  <si>
    <t>White</t>
  </si>
  <si>
    <t>LAP Hispanic/Latino</t>
  </si>
  <si>
    <t>LAP Asian</t>
  </si>
  <si>
    <t>LAP Black or African American</t>
  </si>
  <si>
    <t>LAP Native Hawaiian or Other Pacific Islander</t>
  </si>
  <si>
    <t>LAP White</t>
  </si>
  <si>
    <t>Bubbled McKinney-Vento Act (Homeless)</t>
  </si>
  <si>
    <t>Summarized McKinney-Vento Act (Homeless)</t>
  </si>
  <si>
    <t xml:space="preserve">Y = Yes
N = No    </t>
  </si>
  <si>
    <t xml:space="preserve">Added Bubbled and Summarized McKinney-Vento Act (Homeless) flags to positions 282-283. </t>
  </si>
  <si>
    <t>Updated FILLER at position 284 to length of 3.</t>
  </si>
  <si>
    <t>Charter Type</t>
  </si>
  <si>
    <t>LAA1LDESTD File Layout - Final file_Assessment and Accountability Staff</t>
  </si>
  <si>
    <t>Added a business rule for the Scoring Study Flag logic, position 543.</t>
  </si>
  <si>
    <t>Added a business rule to reference the School Roster Report section of the Processing Rules - Reporting document to the ELA/Math and SCI on Roster flags in positions 544 - 545.</t>
  </si>
  <si>
    <t>Added a business rule to reference the Student Reports section of the Processing Rules - Reporting document to the Student Report ELA/Math and Science flags in positions 546-547.</t>
  </si>
  <si>
    <t>Added a business rule to reference the Student Label section of the Processing Rules - Reporting document to the Student Label flag in position 548.</t>
  </si>
  <si>
    <t>Removed '09' as a possible value from the Summarized Grade field, position 131-132.</t>
  </si>
  <si>
    <t>Updated the Include in N-Counts business rule to reference the new Include in N-Counts section in the Scoring Processing Rules for how the flags are set positions 531-533.</t>
  </si>
  <si>
    <t>Removed the LAP Ethnicity field from position 145 and replaced with FILLER.</t>
  </si>
  <si>
    <t>Changed the values for the following fields from "N" to "Y" for the Researcher/Staff and Contractors Files per the RWS: positions 262-267, 550, 551, 553.</t>
  </si>
  <si>
    <t>Added Home-base District Site Code to positions 246-248.</t>
  </si>
  <si>
    <t>Added Home-base School Site Code to positions 249-251.</t>
  </si>
  <si>
    <t>Updated the LDE Unique ID field to be named LDE Unique ID (GUID) and updated the length from 7 to 10 in positions 252-261.</t>
  </si>
  <si>
    <t>The DRC Unique ID (position 262-267) will now be included in both the Researcher and LDE Staff and Contractors files per the RWS.</t>
  </si>
  <si>
    <t>Added Bubbled Ethnicity/Race fields to positions 270-275.</t>
  </si>
  <si>
    <t xml:space="preserve">Added to LAP Ethnicity/Race field at positions 276-281. </t>
  </si>
  <si>
    <t>Added a business rule to reference the Rules to Determine Demographic Values section of the Processing Rules - Scoring document: positions 131-132, 135-142, 144, 146, 149, 154, 176-177, 183, 283.</t>
  </si>
  <si>
    <t>Updated the field name and Summarized Ethnicity/Race possible values in pos. 146.</t>
  </si>
  <si>
    <t>Renamed LAP Homeless Flag to LAP McKinney-Vento (Homeless) Flag, position 268.</t>
  </si>
  <si>
    <t>Security Barcode Number</t>
  </si>
  <si>
    <t>Added possible value 16 = JUV to the Assess Group Type field in position 94-95.</t>
  </si>
  <si>
    <t>ASSESSMENT/ACCOUNTABILITY INFORMATION</t>
  </si>
  <si>
    <t>Precoded Site Code</t>
  </si>
  <si>
    <r>
      <t xml:space="preserve">Extended the file layout from </t>
    </r>
    <r>
      <rPr>
        <b/>
        <sz val="10"/>
        <rFont val="Arial"/>
        <family val="2"/>
      </rPr>
      <t>677</t>
    </r>
    <r>
      <rPr>
        <sz val="10"/>
        <rFont val="Arial"/>
        <family val="2"/>
      </rPr>
      <t xml:space="preserve"> to </t>
    </r>
    <r>
      <rPr>
        <b/>
        <sz val="10"/>
        <rFont val="Arial"/>
        <family val="2"/>
      </rPr>
      <t>703</t>
    </r>
    <r>
      <rPr>
        <sz val="10"/>
        <rFont val="Arial"/>
        <family val="2"/>
      </rPr>
      <t>.</t>
    </r>
  </si>
  <si>
    <t>Moved File Creation Date and Timestamp from 659-677 to positions 685-703.</t>
  </si>
  <si>
    <t>Added "Precoded Site Code", "Entry Code", "Entry Date", "Exit Code", and "Exit Date" fields in positions 659-684.</t>
  </si>
  <si>
    <t>Clarified the Homebased Site Code Description/Comments in positions 246-251.</t>
  </si>
  <si>
    <t xml:space="preserve">The Entry and Exit Dates were received on the March LAP file in the incorrect format of MMDDYYYY.  The LDESTD file layout for the Entry Date (667-674) and Exit Date (677-684)  have been changed to MMDDYYYY for Spring 2011 processing in order to accommodate the pass through of LAP file information. </t>
  </si>
  <si>
    <r>
      <t>03 = Grade 3
04 = Grade 4
05 = Grade 5
06 = Grade 6
07 = Grade 7
08 = Grade 8</t>
    </r>
    <r>
      <rPr>
        <sz val="10"/>
        <rFont val="Arial"/>
        <family val="2"/>
      </rPr>
      <t xml:space="preserve">
10 = Grade 10
11 = Grade 11</t>
    </r>
  </si>
  <si>
    <t>C</t>
  </si>
  <si>
    <t>E, C</t>
  </si>
  <si>
    <t>Breanna Squire</t>
  </si>
  <si>
    <t>03 = Grade 3
04 = Grade 4
05 = Grade 5
06 = Grade 6
07 = Grade 7
08 = Grade 8
10 = Grade 10
11 = Grade 11
Blank</t>
  </si>
  <si>
    <t>03 = Grade 3 (Span 3-4)
04 = Grade 4 (Span 3-4)
05 = Grade 5 (Span 5-6)
06 = Grade 6 (Span 5-6)
07 = Grade 7 (Span 7-8)
08 = Grade 8 (Span 7-8)
10 = Grade 10 (Span 10-11)
11 = Grade 11 (Span 10-11)
Blank</t>
  </si>
  <si>
    <t>F = Female
M = Male
Blank</t>
  </si>
  <si>
    <t>1 = Free Lunch Eligible
2 = Reduced Lunch Eligible
0 = Paid
Blank</t>
  </si>
  <si>
    <t>1 = Free Lunch Eligible
2 = Reduced Lunch Eligible
0 = Paid
* = Multiple Responses
- = No Response (document returned)
Blank = document not returned</t>
  </si>
  <si>
    <t>1 = Yes
- = No Response (document returned)
Blank = document not returned</t>
  </si>
  <si>
    <t>1 = Yes
- = No (document returned)
Blank = document not returned</t>
  </si>
  <si>
    <t>Y = Yes
N = No    
Blank</t>
  </si>
  <si>
    <t>1 = Yes
- = no response  (document returned)
Blank = document not returned</t>
  </si>
  <si>
    <t>3 digit district code for the home-base Site 
Blank</t>
  </si>
  <si>
    <t>3 digit school code for the home-base Site 
Blank</t>
  </si>
  <si>
    <t>1 = Shelter
2 = Double-up
3 = Unsheltered
4 = Hotels/Motels
5 = Unknown
Blank</t>
  </si>
  <si>
    <t>1 = Male
2 = Female
* = Multiple Responses
- = No Response (document returned)
Blank = document not returned</t>
  </si>
  <si>
    <t xml:space="preserve">Y = Hispanic or Latino
N = Not Hispanic or Latino
Blank
</t>
  </si>
  <si>
    <t xml:space="preserve">Y = Asian
N = Not Asian
Blank
</t>
  </si>
  <si>
    <t xml:space="preserve">Y = Black or African American
N = Not Black or African American
Blank
</t>
  </si>
  <si>
    <t xml:space="preserve">Y = White
N = Not White
Blank
</t>
  </si>
  <si>
    <t>00-99
Blank</t>
  </si>
  <si>
    <t>700-900
Blank</t>
  </si>
  <si>
    <t>EST = Exceeds Standard
MST = Meets Standard
WST = Working Toward Standard
Blank</t>
  </si>
  <si>
    <t>0000001-9999999
Blank</t>
  </si>
  <si>
    <t>Last 8 digits of response document security barcode
Blank</t>
  </si>
  <si>
    <t>1 = Yes
2 = No 
* = Multiple Responses
- = No Response (document returned)
Blank = (document not returned)</t>
  </si>
  <si>
    <t>1 = Yes
- = No (document returned)
Blank = (document not returned)</t>
  </si>
  <si>
    <t>0-9, - , or *  in each position
-- = No response (document returned)
Blank = document not returned</t>
  </si>
  <si>
    <t>100-899 = School Level
900-999 = District Level
--- = Blank (document returned)
* = Multiple responses in this position
Blank = No response (document returned)</t>
  </si>
  <si>
    <t>Format:  YYYY-MM-DD HH:MM:SS</t>
  </si>
  <si>
    <r>
      <t xml:space="preserve">District reports </t>
    </r>
    <r>
      <rPr>
        <sz val="10"/>
        <rFont val="Arial"/>
        <family val="2"/>
      </rPr>
      <t xml:space="preserve">go </t>
    </r>
    <r>
      <rPr>
        <sz val="10"/>
        <rFont val="Arial"/>
        <family val="2"/>
      </rPr>
      <t>to district</t>
    </r>
  </si>
  <si>
    <t>District reports goes to LDE</t>
  </si>
  <si>
    <t>Document Type Returned</t>
  </si>
  <si>
    <t>Added a note to position 538 that the Charter Type value will be blank for 888 school types as we do not receive 888 schools on the School Master File.</t>
  </si>
  <si>
    <t>LAP Entry Code</t>
  </si>
  <si>
    <t>LAP Entry Date</t>
  </si>
  <si>
    <t>2 digit code
Blank</t>
  </si>
  <si>
    <t>Charter Type as flagged in the School Master File.
Blank for 888 school types.</t>
  </si>
  <si>
    <t>MMDDYYYY
Blank</t>
  </si>
  <si>
    <t>Added "LAP" to the beginning of the Entry Code, Exit Code, Entry Date, and Exit Date field names as these values come from the LAP file.  Added "Blank" as a possible value for hand coded records that could not be matched back to LAP, and clarified the Description/Comments to include when the value will be blank for positions 665-684.</t>
  </si>
  <si>
    <t>LAP Grade Placement</t>
  </si>
  <si>
    <t>Changed "LAP Grade" to "LAP Grade Placement" in position 126-127 to match the field name used in the LAP File Layout.</t>
  </si>
  <si>
    <t>LAP Free/Reduced Lunch</t>
  </si>
  <si>
    <t>Changed "LAP Lunch Status" to "LAP Free/Reduced Lunch" in position 147 to match the field name used in the LAP File Layout.</t>
  </si>
  <si>
    <t>LAP LEP Indicator Code</t>
  </si>
  <si>
    <t>01 = Not LEP
02 = LEP
Blank</t>
  </si>
  <si>
    <t>Changed "LAP LEP Status" to "LAP LEP Code" in position 151-152 to match the field name used in the LAP File Layout.  Corrected the possible value descriptions to match the descriptions used in the LAP file.</t>
  </si>
  <si>
    <t>LAP Primary Exceptionality</t>
  </si>
  <si>
    <t xml:space="preserve">Changed "LAP Primary Exceptionality Code" to "LAP Primary Exceptionality" in position 155-156 to match the field name used in the LAP File Layout. </t>
  </si>
  <si>
    <t>LAP McKinney-Vento (Homeless) Flag</t>
  </si>
  <si>
    <t xml:space="preserve">Changed "LAP McKinney-Vento Act (Homeless) Flag" to "LAP McKinney-Vento (Homeless) Flag" in position 268 to match the field name used in the LAP File Layout. </t>
  </si>
  <si>
    <t>LAP American Indian or Alaska Native</t>
  </si>
  <si>
    <t>LAP LDE Unique ID (GUID)</t>
  </si>
  <si>
    <t>LAP Migrant Flag</t>
  </si>
  <si>
    <t xml:space="preserve">Changed "LAP Migrant Status" to "LAP Migrant Flag" in position 181 to match the field name used in the LAP File Layout. </t>
  </si>
  <si>
    <t>LAP Home-base Site District Code</t>
  </si>
  <si>
    <t>LAP Home-base Site School Code</t>
  </si>
  <si>
    <t xml:space="preserve">Changed "Home-base District Site Code" to "LAP Home-base Site District Code" in position 246-248 to match the field name used in the LAP File Layout. </t>
  </si>
  <si>
    <t xml:space="preserve">Changed "Home-base School Site Code" to "LAP Home-base Site School Code" in position 249-251 to match the field name used in the LAP File Layout. </t>
  </si>
  <si>
    <t>6 digit site code
Blank</t>
  </si>
  <si>
    <t>1 = Hispanic/Latino
2 = American Indian or Alaska Native
3 = Asian
4 = Black or African American
5 = Native Hawaiian or Other Pacific Islander
6 = White
7 = Two or more races
I = Invalid</t>
  </si>
  <si>
    <t>Changed  Summarized Ethnicity/Race Possible Value 2 from "American Indian or Alaskan Native" to "American Indian or Alaska Native" in position 146.</t>
  </si>
  <si>
    <t xml:space="preserve">Y = American Indian or Alaska Native
N = Not American Indian or Alaska Native
Blank
</t>
  </si>
  <si>
    <t>0-9 or - in any position</t>
  </si>
  <si>
    <t>Added (0-9 or - in any position) after 00-39 in Summarized DOB Day in positions 137-138 for clarification and removed "-- (default)".</t>
  </si>
  <si>
    <t>Changed Include in Researcher file? And Include in LDE Staff &amp; Contractor file? Flags from "Y" to "N" for the LAP LEP Code in position 151-152, and LAP Migrant Flag in position 181.  These fields have Summarized values that are included in those files so the LAP values do not need to be included.</t>
  </si>
  <si>
    <t>SEM High</t>
  </si>
  <si>
    <t>SEM Low</t>
  </si>
  <si>
    <t>0-9, - , or *  in each position
---------- = No response (document returned)
Blank = document not returned</t>
  </si>
  <si>
    <t>Updated Possible Values from "0000000000-9999999999" to "0-9, - , or *  in each position",  "---------- = No response (document returned)", and "Blank = document not returned" for the Bubbled Optional Local Use field in position 184-193.</t>
  </si>
  <si>
    <t>Y = Subject was attempted
N = Subject was not attempted</t>
  </si>
  <si>
    <t>0 = in SIS, not LEP prior 2 yrs
1 = LEP 1 yr prior
2 = LEP 2 yrs prior
3 = LEP current year
Blank = not in SIS prior 2 years</t>
  </si>
  <si>
    <t>Changed "LAP LEP 2 Yr. Flag" to "LAP LEP Indicator Code" in position 150 to match the field name used in the LAP File Layout which was updated for Spring 2012.  Added "Blank for hand-coded document that could not be matched back to the LAP file." to the Descriptions/Notes column.</t>
  </si>
  <si>
    <t>Added Possible Values and "Blank for a hand-coded document that could not be matched back to the LAP file." rule to the Description/Notes column for the Precoded Site Code field in positions 659-664.</t>
  </si>
  <si>
    <t>01-99
Blank</t>
  </si>
  <si>
    <t xml:space="preserve">Changed "LDE Unique ID (GUID)" to "LAP LDE Unique ID (GUID)" in position 252-261 to match the field name used in the LAP File Layout. </t>
  </si>
  <si>
    <r>
      <t>Added "C" to the Field Use Column for the fields that are updated when the OCS Extract is applied</t>
    </r>
    <r>
      <rPr>
        <sz val="10"/>
        <color indexed="10"/>
        <rFont val="Arial"/>
        <family val="2"/>
      </rPr>
      <t>.</t>
    </r>
  </si>
  <si>
    <t>American Indian or Alaska Native</t>
  </si>
  <si>
    <t>Added reference to Accountability Code for Testing document for positions 569-574, Updated Accountability Code fields.</t>
  </si>
  <si>
    <t>DRC Unique Student ID</t>
  </si>
  <si>
    <t xml:space="preserve">Changed "DRC Unique ID" to "DRC Unique Student ID" in position 262-267 to match the field name used in the other administrations. </t>
  </si>
  <si>
    <t>Raw Score Total - ELA</t>
  </si>
  <si>
    <t>Scaled Score - ELA</t>
  </si>
  <si>
    <t>Assessment Achievement Level - ELA</t>
  </si>
  <si>
    <t>Raw Score Total - Math</t>
  </si>
  <si>
    <t>Scaled Score - Math</t>
  </si>
  <si>
    <t>Assessment Achievement Level - Math</t>
  </si>
  <si>
    <t>Raw Score Total - Science</t>
  </si>
  <si>
    <t>Scaled Score - Science</t>
  </si>
  <si>
    <t>Assessment Achievement Level - Science</t>
  </si>
  <si>
    <t>Changed "Raw Score Total" to "Raw Score Total - ELA" in position 427-428 for consistency across projects within the Source Location column of the Accountability File layout.</t>
  </si>
  <si>
    <t>Changed "Scaled Score" to "Scaled Score - ELA" in position 429-431 for consistency across projects within the Source Location column of the Accountability File layout.</t>
  </si>
  <si>
    <t>Changed "Assessment Achievement Level" to "Assessment Achievement Level - ELA" in position 432-434 for consistency across projects within the Source Location column of the Accountability File layout.</t>
  </si>
  <si>
    <t>Changed "Raw Score Total" to "Raw Score Total - Math" in position 453-454 for consistency across projects within the Source Location column of the Accountability File layout.</t>
  </si>
  <si>
    <t>Changed "Scaled Score" to "Scaled Score - Math" in position 455-457 for consistency across projects within the Source Location column of the Accountability File layout.</t>
  </si>
  <si>
    <t>Changed "Assessment Achievement Level" to "Assessment Achievement Level - Math" in position 458-460 for consistency across projects within the Source Location column of the Accountability File layout.</t>
  </si>
  <si>
    <t>Changed "Scaled Score" to "Scaled Score - Science" in position 481-483 for consistency across projects within the Source Location column of the Accountability File layout.</t>
  </si>
  <si>
    <t>Changed "Assessment Achievement Level" to "Assessment Achievement Level - Science" in position 484-486 for consistency across projects within the Source Location column of the Accountability File layout.</t>
  </si>
  <si>
    <t>Removed "1980-2009" and "---- (default)" in Summarized DOB Year in positions 139-142.  The year value listed was just the bubbled DOB Year range.  The LAP DOB Year value may be outside of the bubbled year values that were previously listed so the range was removed.</t>
  </si>
  <si>
    <t>Removed "1" from the LAP Option Code possible values as it is not a valid value for LAA 1 students in the LAP file in position 133.  Added possible value "5" Non-Diploma Bound as a new possible value.</t>
  </si>
  <si>
    <t>Changed  Bubbled "American Indian or Alaskan Native" to  "American Indian or Alaska Native" in position 271 to match the  name used on the Response Document.</t>
  </si>
  <si>
    <t>Changed "LAP American Indian or Alaskan Native" to "LAP American Indian or Alaska Native" in position 277 to match the field name used in the LAP File Layout.  Updated the possible value description from "Alaskan" to "Alaska".</t>
  </si>
  <si>
    <t>Changed "0-2 = item score" to "0-2 = original item score" for the Item Response possible values in positions 287-381.  The LAA1LDESTD file will now contain the original scored responses without auto or partial credit applied. (Logic Change)</t>
  </si>
  <si>
    <t>Changed "Raw Score Total" to "Raw Score Total - Science" in position 479-480 for consistency across projects within the Source Location column of the Accountability File layout.</t>
  </si>
  <si>
    <t>Removed "(default)" from the possible value "--" for Summarized DOB Month in position 135-136.</t>
  </si>
  <si>
    <t>Added the notes from the Updated Accountability Code field's Description/Comments  to the Description/Comments field for Bubbled Accountability Code in position 567-568.</t>
  </si>
  <si>
    <t>Added the following reference within the Description/Comments column for the District and School Code fields in positions 8-13, "Refer to the Capturing Site Codes section of the Processing Rules - Materials and Scoring document for logic to determine the Reporting Site-Code value."</t>
  </si>
  <si>
    <t>Updated the Description/Note for the Raw Score fields to show that the value includes automatic or partial credit if applied in positions 427-428, 435-438, 453-454, 464-468, 479-480, and 487-494.</t>
  </si>
  <si>
    <t>01-34
Blank</t>
  </si>
  <si>
    <t>Changed Include in Researcher file? And Include in LDE Staff &amp; Contractor file? Flags from "N" to "Y" for the Scoring Study Flag in position 543.</t>
  </si>
  <si>
    <t>Changed Include in Researcher file? And Include in LDE Staff &amp; Contractor file? Flags from "Y" to "N" for the Bubbled Special Education Exceptionality Categories in position 159-175.  These fields have Summarized values that are included in those files so the LAP values do not need to be included.</t>
  </si>
  <si>
    <t>Total points earned for each Science content standard, which includes any automatic or partial credit applied.
Blank when Raw Score Total - Science is blank or when content standard is not assessed (zero points possible).</t>
  </si>
  <si>
    <t>Total points earned for each Math content standard, which includes any automatic or partial credit applied.
Blank when Raw Score Total - Math is blank or content standard is not assessed (zero points possible).</t>
  </si>
  <si>
    <t>Total points earned for each ELA content standard, which includes any automatic or partial credit applied.
Blank when Raw Score Total - ELA is blank or content standard is not assessed (zero points possible).</t>
  </si>
  <si>
    <t>From Raw Score to Scaled Score Table.  ELA Scaled Score plus Std. Error of Measurement.
Blank when Raw Score Total - ELA is blank.</t>
  </si>
  <si>
    <t>From Raw Score to Scaled Score Table.  ELA Scaled Score minus Std. Error of Measurement.
Blank when Raw Score Total - ELA is blank.</t>
  </si>
  <si>
    <t>From Raw Score to Scaled Score Table.  Math Scaled Score plus Std. Error of Measurement.
Blank when Raw Score Total - Math is blank.</t>
  </si>
  <si>
    <t>From Raw Score to Scaled Score Table.  Math Scaled Score minus Std. Error of Measurement.
Blank when Raw Score Total - Math is blank.</t>
  </si>
  <si>
    <t>From Raw Score to Scaled Score Table.  Science Scaled Score minus Std. Error of Measurement.
Blank when Raw Score Total - Science is blank.</t>
  </si>
  <si>
    <t>From Raw Score to Scaled Score Table.  Science Scaled Score plus Std. Error of Measurement.
Blank when Raw Score Total - Science is blank.</t>
  </si>
  <si>
    <t>Updated the Description/Comments to ensure that all LAP fields had the same statements: 
As flagged on the LAP file.
Blank for a hand-coded document that could not be matched back to the LAP file.</t>
  </si>
  <si>
    <t>Removed the following from the Description/Comments column for the Updated Accountability Code fields in positions 569-574 as the logic also exists in the Processing Rules - Materials and Scoring Document: 
"Prior to Online Corrections – use the Bubbled Accountability Code value (if valid bubbled code and Test Taken Flag = "N"), or an accountability code applied by DRC, otherwise blank.
After Online Corrections – this is the updated value taken from the OCS extract file."</t>
  </si>
  <si>
    <t xml:space="preserve">Updated the Description/Comments section for the ELA, Math, and Science Scoring Sections to clarify when the values will be blank.  The rules now match how they are documented in LEAP/GEE and iLEAP. </t>
  </si>
  <si>
    <r>
      <t xml:space="preserve">School-level flags set per the LDE School Master Files according to the Assess Group Code of the student's district and school.
Refer to the </t>
    </r>
    <r>
      <rPr>
        <b/>
        <u/>
        <sz val="10"/>
        <rFont val="Arial"/>
        <family val="2"/>
      </rPr>
      <t xml:space="preserve">Reporting Summarization and Delivery Table </t>
    </r>
    <r>
      <rPr>
        <sz val="10"/>
        <rFont val="Arial"/>
        <family val="2"/>
      </rPr>
      <t xml:space="preserve">and the </t>
    </r>
    <r>
      <rPr>
        <b/>
        <u/>
        <sz val="10"/>
        <rFont val="Arial"/>
        <family val="2"/>
      </rPr>
      <t xml:space="preserve">Table of District/School Types Included on Each Report </t>
    </r>
    <r>
      <rPr>
        <sz val="10"/>
        <rFont val="Arial"/>
        <family val="2"/>
      </rPr>
      <t>in the Common Louisiana Processing Rules - Reporting document for further details.</t>
    </r>
  </si>
  <si>
    <t>LAP LEP Code</t>
  </si>
  <si>
    <t>Bubbled Special Education Exceptionality Category</t>
  </si>
  <si>
    <t>01 = LEA
02 = LAB
03 = CHA
04 = TRI
05 = NPB
06 = STA
08 = BSE
09 = OJJ
10 = MAR
12 = RES
13 = NPS
14 = RLA
15 = RNO
16 = JUV
17 = RBR</t>
  </si>
  <si>
    <t>As flagged on the LAP file.
Blank for all hand-coded documents that could not be matched back to the LAP file, or if the value was blank on the LAP file.</t>
  </si>
  <si>
    <t>Site code provided by LDE on the LAP file, which is used to route assessment data back to a student’s "home" site for accountability purposes when students are non-full academic year (non-FAY).  This is a required code for students attending alternative schools.
Blank for all hand-coded documents that could not be matched back to the LAP file, or if the value was blank on the LAP file.</t>
  </si>
  <si>
    <t>The Assess Group Code value from the School Master File for the school the student is being reported to.</t>
  </si>
  <si>
    <t>LAP Scholarship Student Flag</t>
  </si>
  <si>
    <t>LAP Scholarship Site Code</t>
  </si>
  <si>
    <t>3-digit Residential LEA
Blank</t>
  </si>
  <si>
    <t>Added a description for the Assess Group Type field to show that it is derived from the school's Assess Group Code value.</t>
  </si>
  <si>
    <t>As flagged on the LAP file.
Blank for a hand-coded document that could not be matched back to the LAP file.</t>
  </si>
  <si>
    <t>As flagged on the LAP file.
Blank for a hand-coded document that could not be matched back to the LAP file, or if the value was blank on the LAP file.</t>
  </si>
  <si>
    <t>Added the reference "Refer to the Test Taken section in the Processing Rules - Materials and Scoring document for rules on populating these values." in the Test Taken Flag fields pos. 535-357</t>
  </si>
  <si>
    <t>Mallory Johannes</t>
  </si>
  <si>
    <t>Updated the year value in the Project Name to "2013".</t>
  </si>
  <si>
    <t>Added additional detail to the description/comments column for positions 96-115 that "*", "-", and "_" values are changed to spaces, and then the spaces are removed by compressing the values from the name fields.</t>
  </si>
  <si>
    <t>Changed the values for the following fields from "Y" to "N" for the Researcher/Staff and Contractors Files per the RWS:
   Staff File only: position 153
   Researcher and Staff and Contractors file: positions 126-129, 143, 147, 157-158, 268, 619-625, 627-634.</t>
  </si>
  <si>
    <t xml:space="preserve">Updated the reference within the Description/Comments column in position 569-574, Updated Accountability Code, to provide the new location of the  Accountability Codes List in it's own document on the FTP site.
</t>
  </si>
  <si>
    <t>Updated the reference within the Description/Comments column in position 550-560, Assessment Rollup and Inclusion Flags, to provide the new location of the  Reporting Summarization and Delivery Table and Table of Districts/School Types Included on Each Report as they are now in the Common Louisiana Processing Rules - Reporting document.</t>
  </si>
  <si>
    <t>YYYY</t>
  </si>
  <si>
    <t>"*", "-", and "_" values are changed to spaces.</t>
  </si>
  <si>
    <t>0-2 = original item score
- = Blank item (document returned)
* = Multiple responses for item
Blank = document not returned or when 
               subject not contained within document</t>
  </si>
  <si>
    <t>Y = Native Hawaiian or Other Pacific Islander
N = Not Native Hawaiian or Other Pacific 
       Islander
Blank</t>
  </si>
  <si>
    <t>Y= indicates student has an approved 
     scholarship
N= indicates student does not have an 
     approved scholarship
Blank</t>
  </si>
  <si>
    <r>
      <t xml:space="preserve">If field value = "Y", then student will appear on the ELA and Math School Roster.
The ELA/Math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ELA and/or Math.
</t>
    </r>
  </si>
  <si>
    <r>
      <t xml:space="preserve">If field value = "Y", then student will appear on the Science School Roster.
The SCI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Science.</t>
    </r>
  </si>
  <si>
    <r>
      <t xml:space="preserve">If field value = "Y", then student will appear on the Science Student Report (SR).
The Student Report - Science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Science.</t>
    </r>
  </si>
  <si>
    <r>
      <t xml:space="preserve">If field value = "Y", then student will receive a Student Label.
The Student Label flag will be set to "Y", if the student meets the selection criteria defined within the </t>
    </r>
    <r>
      <rPr>
        <b/>
        <u/>
        <sz val="10"/>
        <rFont val="Arial"/>
        <family val="2"/>
      </rPr>
      <t>Student Label</t>
    </r>
    <r>
      <rPr>
        <sz val="10"/>
        <rFont val="Arial"/>
        <family val="2"/>
      </rPr>
      <t xml:space="preserve"> section of the Processing Rules – Reporting document. </t>
    </r>
  </si>
  <si>
    <r>
      <t xml:space="preserve">If field value = "Y", then student will appear on the ELA and Math Student Report (SR).
The Student Report - ELA/Math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ELA and/or Math.</t>
    </r>
  </si>
  <si>
    <t>As bubbled on the response document.</t>
  </si>
  <si>
    <t>The precoded site code is the site where the student received preidentified response documents.
Site code from the LAP File, which will match the site code on the DRC Precode File.  
Blank for a hand-coded document that could not be matched back to the LAP file.</t>
  </si>
  <si>
    <t>D = student no longer enrolled in Louisiana 
        schools since submission of Nov. 
        LAP file.
N = student newly enrolled in Louisiana 
        schools since submission of Nov.
        LAP file.
Blank = student enrollment status
            unchanged since submission of Nov. 
            LAP file.</t>
  </si>
  <si>
    <t>Bubbled Limited English Proficient (LEP) Status</t>
  </si>
  <si>
    <t>Summarized Special Education Exceptionality Category</t>
  </si>
  <si>
    <t>School Roster - Science</t>
  </si>
  <si>
    <t>Student Report - Science</t>
  </si>
  <si>
    <t>Student Reports</t>
  </si>
  <si>
    <t>Serial Number</t>
  </si>
  <si>
    <t>000001-999999
Blank</t>
  </si>
  <si>
    <t>Updated field name "Summarized Exceptionality Category" to "Summarized Special Education Exceptionality Category" in pos. 176-177 for consistency across all admins.</t>
  </si>
  <si>
    <t>Updated field name "ELA Item Responses" to "English Language Arts Item Responses" in pos. 287-311 for consistency across all admins.</t>
  </si>
  <si>
    <t>Updated field name "School Roster - SCI" to "School Roster - Science" in pos. 545 for consistency across all admins.</t>
  </si>
  <si>
    <t>Updated field name "Student Report - SCI" to "Student Report - Science" in pos. 547 for consistency across all admins.</t>
  </si>
  <si>
    <t>Updated field name "Student Reports (SR)" to "Student Reports" in pos. 559 for consistency across all admins.</t>
  </si>
  <si>
    <t>As flagged on the LAP file. 
Blank for all hand-coded documents that could not be matched back to the LAP file, or if the value was blank on the LAP file.</t>
  </si>
  <si>
    <t>Clarified the following rule from "Blank for a hand-coded document that could not be matched back to the LAP file." to "Blank for a hand-coded document that could not be matched back to the LAP file, or if the value was blank on the LAP file." for all fields that are populated from the LAP file where the LAP File has "Blank" as a possible value. 
LAP Option Code pos. 133, LAP Free/Reduced Lunch pos. 147, LAP LEP Indicator Code pos. 150, LAP LEP Code pos.151-152, LAP Primary Exceptionality pos. 155-156, LAP Exceptionality Category pos. 157-158, LAP Migrant Flag pos. 181, LAP Home-base Site District Code pos. 246-248, LAP Home-base Site School Code pos. 249-251, LAP McKinney-Vento (Homeless) Flag pos. 268, LAP March Update Flag pos. 539, LAP Exit Code pos. 675-676, LAP Exit Date pos. 677-684.</t>
  </si>
  <si>
    <t>Added a Business Rule to the Accountability Achievement Level - &lt;subject&gt; in pos. 589-591, 592-594, and 595-597 to refer to the Resulting LDESTD Values by Subject table in the Processing Rules - Materials and Scoring document for the logic to set the Accountability Achievement Level for each subject.</t>
  </si>
  <si>
    <t>00000001-99999999
Blank</t>
  </si>
  <si>
    <t>4 = Career Diploma Pathway/Track
5 = Non-Diploma Bound
7 = Student Pursuing State approved Skills 
      Certificate after participation in 
      Connections Process
8 = Student Pursuing GED after participation      
      in Connections Process
Blank</t>
  </si>
  <si>
    <t>English Language Arts Item Responses</t>
  </si>
  <si>
    <t>6-digit site code for the site the student was 
    enrolled in prior to receiving the
    scholarship
Blank</t>
  </si>
  <si>
    <t>N = No Document Returned For Precoded  
        Record 
M = Manually Coded Document Returned 
P = Precoded Document Returned
O = Manually Coded Document matched 
        back  to Precode record</t>
  </si>
  <si>
    <r>
      <rPr>
        <b/>
        <sz val="10"/>
        <rFont val="Arial"/>
        <family val="2"/>
      </rPr>
      <t xml:space="preserve">(Logic Change) </t>
    </r>
    <r>
      <rPr>
        <sz val="10"/>
        <rFont val="Arial"/>
        <family val="2"/>
      </rPr>
      <t>Added possible value "17 = RBR" to the Assess Group Type field in pos. 94-95.</t>
    </r>
  </si>
  <si>
    <r>
      <rPr>
        <b/>
        <sz val="10"/>
        <rFont val="Arial"/>
        <family val="2"/>
      </rPr>
      <t xml:space="preserve">(Logic Change) </t>
    </r>
    <r>
      <rPr>
        <sz val="10"/>
        <rFont val="Arial"/>
        <family val="2"/>
      </rPr>
      <t>Added possible values "7 = Student Pursuing State approved Skills Certificate after participation in Connections Process" and "8 = Student Pursuing GED after participation in Connections process" to the LAP Option Code field in pos. 133.</t>
    </r>
  </si>
  <si>
    <r>
      <rPr>
        <b/>
        <sz val="10"/>
        <rFont val="Arial"/>
        <family val="2"/>
      </rPr>
      <t xml:space="preserve">(Logic Change) </t>
    </r>
    <r>
      <rPr>
        <sz val="10"/>
        <rFont val="Arial"/>
        <family val="2"/>
      </rPr>
      <t>The Bubbled Routing Sitecode field in pos. 577-582 was removed as that field was grayed out in the Response Document. Routing Information is no longer being collected on the Response Document. The length of the FILLER field in position 575 was updated to 14.</t>
    </r>
  </si>
  <si>
    <r>
      <rPr>
        <b/>
        <sz val="10"/>
        <rFont val="Arial"/>
        <family val="2"/>
      </rPr>
      <t xml:space="preserve">(Logic Change) </t>
    </r>
    <r>
      <rPr>
        <sz val="10"/>
        <rFont val="Arial"/>
        <family val="2"/>
      </rPr>
      <t>Added the LAP Scholarship Student Flag field in pos. 598 (previously FILLER).</t>
    </r>
  </si>
  <si>
    <r>
      <rPr>
        <b/>
        <sz val="10"/>
        <rFont val="Arial"/>
        <family val="2"/>
      </rPr>
      <t xml:space="preserve">(Logic Change) </t>
    </r>
    <r>
      <rPr>
        <sz val="10"/>
        <rFont val="Arial"/>
        <family val="2"/>
      </rPr>
      <t>Added the LAP Scholarship Site Code field in pos. 599-604 (previously FILLER).</t>
    </r>
  </si>
  <si>
    <r>
      <rPr>
        <b/>
        <sz val="10"/>
        <rFont val="Arial"/>
        <family val="2"/>
      </rPr>
      <t xml:space="preserve">(Logic Change) </t>
    </r>
    <r>
      <rPr>
        <sz val="10"/>
        <rFont val="Arial"/>
        <family val="2"/>
      </rPr>
      <t>Added the LAP Residence_LEA field in pos. 605-607 (previously FILLER).</t>
    </r>
  </si>
  <si>
    <r>
      <rPr>
        <b/>
        <sz val="10"/>
        <rFont val="Arial"/>
        <family val="2"/>
      </rPr>
      <t>(Logic Change)</t>
    </r>
    <r>
      <rPr>
        <sz val="10"/>
        <rFont val="Arial"/>
        <family val="2"/>
      </rPr>
      <t>Updated the length of FILLER in position 608 to a length of 10.</t>
    </r>
  </si>
  <si>
    <r>
      <rPr>
        <b/>
        <sz val="10"/>
        <rFont val="Arial"/>
        <family val="2"/>
      </rPr>
      <t xml:space="preserve">(Logic Change) </t>
    </r>
    <r>
      <rPr>
        <sz val="10"/>
        <rFont val="Arial"/>
        <family val="2"/>
      </rPr>
      <t>The Document Spray Value in pos. 641-658 was removed and replaced with filler as the Document Spray Value will be replaced with "Serial Number" to match LEAP/GEE.</t>
    </r>
  </si>
  <si>
    <r>
      <rPr>
        <b/>
        <sz val="10"/>
        <rFont val="Arial"/>
        <family val="2"/>
      </rPr>
      <t xml:space="preserve">(Logic Change) </t>
    </r>
    <r>
      <rPr>
        <sz val="10"/>
        <rFont val="Arial"/>
        <family val="2"/>
      </rPr>
      <t>Updated the length of Batch Number in position 635-642 from a length of 6 to 8 to accommodate more batches.</t>
    </r>
  </si>
  <si>
    <r>
      <rPr>
        <b/>
        <sz val="10"/>
        <rFont val="Arial"/>
        <family val="2"/>
      </rPr>
      <t xml:space="preserve">(Logic Change) </t>
    </r>
    <r>
      <rPr>
        <sz val="10"/>
        <rFont val="Arial"/>
        <family val="2"/>
      </rPr>
      <t>Added the field Serial Number in pos. 643-648 (previously FILLER).</t>
    </r>
  </si>
  <si>
    <t>Updated field name "Bubbled LEP Status" to "Bubbled Limited English Proficient (LEP) Status" in pos. 150 for consistency across all admins.</t>
  </si>
  <si>
    <t>10</t>
  </si>
  <si>
    <r>
      <t xml:space="preserve">(Logic change) </t>
    </r>
    <r>
      <rPr>
        <sz val="10"/>
        <rFont val="Arial"/>
        <family val="2"/>
      </rPr>
      <t>Changed field position 675-676, LAP Exit Code, to FILLER, as this field is only populated in the June version of the LAP file.</t>
    </r>
  </si>
  <si>
    <r>
      <rPr>
        <b/>
        <sz val="10"/>
        <rFont val="Arial"/>
        <family val="2"/>
      </rPr>
      <t xml:space="preserve">(Logic change) </t>
    </r>
    <r>
      <rPr>
        <sz val="10"/>
        <rFont val="Arial"/>
        <family val="2"/>
      </rPr>
      <t>Changed field position 677-684, LAP Exit Date, to FILLER, as this field is only populated in the June version of the LAP file.</t>
    </r>
  </si>
  <si>
    <t>Updated the Business Rule Column in positions 427-428 Raw Score Total - ELA, pos. 453-454 Raw Score Total - Math, and pos. 479-480 Raw Score Total - Science, to remove the "Blank when &lt;subject&gt; not attempted or document not returned" and replace it with a reference to the Resulting LAA1LDESTD Values by Subject table for setting this value.</t>
  </si>
  <si>
    <t>Updated the Business Rule Column in positions 429-431 Scaled Score - ELA, pos. 455-457 Scaled Score - Math, and pos. 481-483 Scaled Score - Science, to remove the "Blank when Raw Score Total - &lt;subject&gt; is blank" and replace it with a reference to the Resulting LAA1LDESTD Values by Subject table for setting this value.</t>
  </si>
  <si>
    <t>Updated the Business Rule Column in positions 432-434 Assessment Achievement Level - ELA, pos. 458-460 Assessment Achievement Level - Math, and pos. 484-486 Assessment Achievement Level - Science, to remove the "Blank when Raw Score Total - &lt;subject&gt; is blank" and replace it with a reference to the Resulting LAA1LDESTD Values by Subject table for setting this value.</t>
  </si>
  <si>
    <t>Project:  2014 LAA 1 Spring</t>
  </si>
  <si>
    <r>
      <t xml:space="preserve">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18 = Multiple Disabilities
</t>
    </r>
    <r>
      <rPr>
        <strike/>
        <sz val="10"/>
        <rFont val="Arial"/>
        <family val="2"/>
      </rPr>
      <t>19 = Profound Mental Disability</t>
    </r>
    <r>
      <rPr>
        <sz val="10"/>
        <rFont val="Arial"/>
        <family val="2"/>
      </rPr>
      <t xml:space="preserve">
20 = Severe Mental Disability
Blank                              </t>
    </r>
  </si>
  <si>
    <r>
      <t>Profound Mental Disability</t>
    </r>
    <r>
      <rPr>
        <sz val="10"/>
        <rFont val="Arial"/>
        <family val="2"/>
      </rPr>
      <t xml:space="preserve">  FILLER</t>
    </r>
  </si>
  <si>
    <r>
      <t xml:space="preserve">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18 = Multiple Disabilities
</t>
    </r>
    <r>
      <rPr>
        <strike/>
        <sz val="10"/>
        <rFont val="Arial"/>
        <family val="2"/>
      </rPr>
      <t>19 = Profound Mental Disability</t>
    </r>
    <r>
      <rPr>
        <sz val="10"/>
        <rFont val="Arial"/>
        <family val="2"/>
      </rPr>
      <t xml:space="preserve">
20 = Severe Mental Disability 
99 = Unknown (Multiple Responses)
Blank</t>
    </r>
  </si>
  <si>
    <r>
      <rPr>
        <b/>
        <sz val="10"/>
        <rFont val="Arial"/>
        <family val="2"/>
      </rPr>
      <t>(Logic Change)</t>
    </r>
    <r>
      <rPr>
        <sz val="10"/>
        <rFont val="Arial"/>
      </rPr>
      <t xml:space="preserve"> Updated the "Include in Researcher file?" and "Include in LDE Staff &amp; Contractors" file from N to Y in  (Pos. 598, 599-604, 605-607 - LAP Scholarship Student Flag, LAP Scholarship Site Code and LAP Residence_LEA).</t>
    </r>
  </si>
  <si>
    <t>Debbie Williams</t>
  </si>
  <si>
    <t>Updated the year value in the Project Name to "2014".</t>
  </si>
  <si>
    <t>LAP Twin Flag</t>
  </si>
  <si>
    <r>
      <t xml:space="preserve">District and School Site Code where the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</si>
  <si>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r>
      <t xml:space="preserve">Summarized Grade used for reporting.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</si>
  <si>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Student's gender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</si>
  <si>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response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</si>
  <si>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</si>
  <si>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As flagged on the LAP file.
</t>
    </r>
    <r>
      <rPr>
        <sz val="10"/>
        <rFont val="Arial"/>
        <family val="2"/>
      </rPr>
      <t xml:space="preserve">Blank for a hand-coded document that could not be matched back to the LAP file, or if the value was blank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applicable to LAA 1.</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</si>
  <si>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Scoring document for the list of codes applicable to LAA 1.</t>
    </r>
  </si>
  <si>
    <r>
      <t xml:space="preserve">This is a compilation of the codes from the LAP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</si>
  <si>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</si>
  <si>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First character ("P" or "L"), followed by the last 8 digits of the number.
Refer to the </t>
    </r>
    <r>
      <rPr>
        <b/>
        <u/>
        <sz val="10"/>
        <rFont val="Arial"/>
        <family val="2"/>
      </rPr>
      <t>Match-back and LAA1LDESTD Record Creation</t>
    </r>
    <r>
      <rPr>
        <sz val="10"/>
        <rFont val="Arial"/>
        <family val="2"/>
      </rPr>
      <t xml:space="preserve"> section of the Processing Rules - Scoring document for more information on how this field is populated.</t>
    </r>
  </si>
  <si>
    <r>
      <t xml:space="preserve">Each item uses 1 field position.
Refer to the </t>
    </r>
    <r>
      <rPr>
        <b/>
        <u/>
        <sz val="10"/>
        <rFont val="Arial"/>
        <family val="2"/>
      </rPr>
      <t>Scoring Rules</t>
    </r>
    <r>
      <rPr>
        <sz val="10"/>
        <rFont val="Arial"/>
        <family val="2"/>
      </rPr>
      <t xml:space="preserve"> section of the Processing Rules - Scoring document for rules on populating these values.</t>
    </r>
  </si>
  <si>
    <r>
      <t xml:space="preserve">Total raw score for ELA, which includes any automatic or partial credit applied.
Refer to the </t>
    </r>
    <r>
      <rPr>
        <b/>
        <u/>
        <sz val="10"/>
        <rFont val="Arial"/>
        <family val="2"/>
      </rPr>
      <t>Resulting LAA1LDESTD Values by Subject</t>
    </r>
    <r>
      <rPr>
        <sz val="10"/>
        <rFont val="Arial"/>
        <family val="2"/>
      </rPr>
      <t xml:space="preserve"> section within the LAA 1 Processing Rules - Scoring document for the logic used to set the Raw Score value.</t>
    </r>
  </si>
  <si>
    <r>
      <t xml:space="preserve">Scaled Score for ELA.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</si>
  <si>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 xml:space="preserve">Assessment Achievement Level for ELA.
Refer to the </t>
    </r>
    <r>
      <rPr>
        <b/>
        <u/>
        <sz val="10"/>
        <rFont val="Arial"/>
        <family val="2"/>
      </rPr>
      <t>Resulting LAA1LDESTD Values by Subject</t>
    </r>
    <r>
      <rPr>
        <sz val="10"/>
        <rFont val="Arial"/>
        <family val="2"/>
      </rPr>
      <t xml:space="preserve"> section within the LAA 1 Processing Rules - Scoring document for the logic used to set the Asessment Achievement Level value.</t>
    </r>
  </si>
  <si>
    <r>
      <t xml:space="preserve">Total raw score for Math, which includes any automatic or partial credit applied.
Refer to the </t>
    </r>
    <r>
      <rPr>
        <b/>
        <u/>
        <sz val="10"/>
        <rFont val="Arial"/>
        <family val="2"/>
      </rPr>
      <t>Resulting LAA1LDESTD Values by Subject</t>
    </r>
    <r>
      <rPr>
        <sz val="10"/>
        <rFont val="Arial"/>
        <family val="2"/>
      </rPr>
      <t xml:space="preserve"> section within the LAA 1 Processing Rules - Scoring document for the logic used to set the Raw Score value.</t>
    </r>
  </si>
  <si>
    <r>
      <t xml:space="preserve">Scaled Score for Math.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</si>
  <si>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 xml:space="preserve">Assessment Achievement Level for Math.
Refer to the </t>
    </r>
    <r>
      <rPr>
        <b/>
        <u/>
        <sz val="10"/>
        <rFont val="Arial"/>
        <family val="2"/>
      </rPr>
      <t xml:space="preserve">Resulting LAA1LDESTD Values by Subject </t>
    </r>
    <r>
      <rPr>
        <sz val="10"/>
        <rFont val="Arial"/>
        <family val="2"/>
      </rPr>
      <t>section within the LAA 1 Processing Rules -Scoring document for the logic used to set the Assessment Achievement Level value.</t>
    </r>
  </si>
  <si>
    <r>
      <t xml:space="preserve">Total raw score for Science, which includes any automatic or partial credit applied.
Refer to the </t>
    </r>
    <r>
      <rPr>
        <b/>
        <u/>
        <sz val="10"/>
        <rFont val="Arial"/>
        <family val="2"/>
      </rPr>
      <t xml:space="preserve">Resulting LAA1LDESTD Values by Subject </t>
    </r>
    <r>
      <rPr>
        <sz val="10"/>
        <rFont val="Arial"/>
        <family val="2"/>
      </rPr>
      <t>section within the LAA 1 Processing Rules -Scoring document for the logic used to set the Raw Score value.</t>
    </r>
  </si>
  <si>
    <r>
      <t xml:space="preserve">Scaled Score for Science.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</si>
  <si>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Assessment Achievement Level for Science.
Refer to the</t>
    </r>
    <r>
      <rPr>
        <b/>
        <u/>
        <sz val="10"/>
        <rFont val="Arial"/>
        <family val="2"/>
      </rPr>
      <t xml:space="preserve"> Resulting LAA1LDESTD Values by Subject </t>
    </r>
    <r>
      <rPr>
        <sz val="10"/>
        <rFont val="Arial"/>
        <family val="2"/>
      </rPr>
      <t>section within the LAA 1 Processing Rules -Scoring document for the logic used to set the Assessment Achievement Level value.</t>
    </r>
  </si>
  <si>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Scoring document.</t>
    </r>
  </si>
  <si>
    <r>
      <t xml:space="preserve">Student attempted this Subject. 
Refer to the </t>
    </r>
    <r>
      <rPr>
        <b/>
        <u/>
        <sz val="10"/>
        <rFont val="Arial"/>
        <family val="2"/>
      </rPr>
      <t>Test Taken</t>
    </r>
    <r>
      <rPr>
        <sz val="10"/>
        <rFont val="Arial"/>
        <family val="2"/>
      </rPr>
      <t xml:space="preserve"> section in the Processing Rules - Scoring document for rules on populating these values.</t>
    </r>
  </si>
  <si>
    <r>
      <t xml:space="preserve">
The Scoring Study flag will be set to "Y", if the student meets the selection criteria defined within the </t>
    </r>
    <r>
      <rPr>
        <b/>
        <u/>
        <sz val="10"/>
        <rFont val="Arial"/>
        <family val="2"/>
      </rPr>
      <t>Scoring Study Flag</t>
    </r>
    <r>
      <rPr>
        <sz val="10"/>
        <rFont val="Arial"/>
        <family val="2"/>
      </rPr>
      <t xml:space="preserve"> section of the Processing Rules – Scoring document.
</t>
    </r>
  </si>
  <si>
    <r>
      <t xml:space="preserve">Accountability Achievement Level for the given subject. 
Refer to the </t>
    </r>
    <r>
      <rPr>
        <b/>
        <u/>
        <sz val="10"/>
        <rFont val="Arial"/>
        <family val="2"/>
      </rPr>
      <t>Resulting LDESTD Values by Subject</t>
    </r>
    <r>
      <rPr>
        <sz val="10"/>
        <rFont val="Arial"/>
        <family val="2"/>
      </rPr>
      <t xml:space="preserve"> table within the LAA 1 Processing Rules -Scoring document for the logic to set these fields.</t>
    </r>
  </si>
  <si>
    <r>
      <t xml:space="preserve">Accountability Achievement Level for the given subject. 
Refer to the </t>
    </r>
    <r>
      <rPr>
        <b/>
        <u/>
        <sz val="10"/>
        <rFont val="Arial"/>
        <family val="2"/>
      </rPr>
      <t>Resulting LDESTD Values by Subject</t>
    </r>
    <r>
      <rPr>
        <sz val="10"/>
        <rFont val="Arial"/>
        <family val="2"/>
      </rPr>
      <t xml:space="preserve"> table within the LAA 1 Processing Rules - Scoring document for the logic to set these fields.</t>
    </r>
  </si>
  <si>
    <t>Updated references to the document "Processing Rules - Materials and Scoring " to read "Processing Rules - Scoring".  (multiple locations)</t>
  </si>
  <si>
    <t>Added a "Reference Locations" tab to show the SFTP and DRC locations of documents referred to in the LDESTD File Layout.</t>
  </si>
  <si>
    <t>Document Name</t>
  </si>
  <si>
    <t>LDE SFTP Location</t>
  </si>
  <si>
    <t>DRC Location</t>
  </si>
  <si>
    <t>Common Louisiana Processing Rules - Reporting</t>
  </si>
  <si>
    <t>http://drcdirect/informationsystems/eis/dteam/Louisiana/Common Louisiana &lt;Admin&gt;/Reporting/</t>
  </si>
  <si>
    <t>Accountability Codes for Testing</t>
  </si>
  <si>
    <t>Louisiana/Accountability Data/Accountability Codes Chart/YYYY-YYYY/</t>
  </si>
  <si>
    <t>http://drcdirect/informationsystems/eis/dteam/Louisiana/Accountability/</t>
  </si>
  <si>
    <t>DRC Location &lt;Admin&gt; = “Spring”, “Summer”, or “Fall”</t>
  </si>
  <si>
    <t>LDE SFTP &lt;Admin&gt; = "Spring", "Summer Retest", "Fall Retest"</t>
  </si>
  <si>
    <t>LAA 1 Processing Rules - Scoring</t>
  </si>
  <si>
    <t>LAA 1 Processing Rules - Reporting</t>
  </si>
  <si>
    <t>http://drcdirect/informationsystems/eis/dteam/Louisiana/LAA 1</t>
  </si>
  <si>
    <t>http://drcdirect/informationsystems/eis/dteam/Louisiana/LAA 1/</t>
  </si>
  <si>
    <t>Louisiana/&lt;YYYY&gt; - LAA 1/Processing Rules - Final</t>
  </si>
  <si>
    <t>Removed the reference to the actual location of the Accountability Codes for Testing document statement as the location is now shown on the Reference Location tab . (Pos. 567-574)  Bubbled Accountability Code and Updated Accountability Codes.</t>
  </si>
  <si>
    <r>
      <t xml:space="preserve">As bubbled on the response document.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r>
      <rPr>
        <strike/>
        <sz val="10"/>
        <rFont val="Arial"/>
        <family val="2"/>
      </rPr>
      <t>and for the location of the Accountability Codes for Testing document.</t>
    </r>
  </si>
  <si>
    <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r>
      <rPr>
        <strike/>
        <sz val="10"/>
        <rFont val="Arial"/>
        <family val="2"/>
      </rPr>
      <t>and for the location of the Accountability Codes for Testing document.</t>
    </r>
  </si>
  <si>
    <r>
      <rPr>
        <b/>
        <sz val="10"/>
        <color theme="1"/>
        <rFont val="Arial"/>
        <family val="2"/>
      </rPr>
      <t>(Logic Change)</t>
    </r>
    <r>
      <rPr>
        <sz val="10"/>
        <color theme="1"/>
        <rFont val="Arial"/>
        <family val="2"/>
      </rPr>
      <t xml:space="preserve">  Add "LAP Twin Flag" (Pos. 608).
Change (Pos. 609-617) to Filler.</t>
    </r>
  </si>
  <si>
    <r>
      <rPr>
        <b/>
        <sz val="10"/>
        <rFont val="Arial"/>
        <family val="2"/>
      </rPr>
      <t>(Logic Change)</t>
    </r>
    <r>
      <rPr>
        <sz val="10"/>
        <rFont val="Arial"/>
      </rPr>
      <t xml:space="preserve">  Removed Bubbled Special Education Exceptionality Category "Profound Mental Disability"  (Ref. 161) and changed it to FILLER.  </t>
    </r>
  </si>
  <si>
    <r>
      <rPr>
        <b/>
        <sz val="10"/>
        <rFont val="Arial"/>
        <family val="2"/>
      </rPr>
      <t>(Logic Change)</t>
    </r>
    <r>
      <rPr>
        <sz val="10"/>
        <rFont val="Arial"/>
        <family val="2"/>
      </rPr>
      <t xml:space="preserve"> Removed "19-Profound Mental Disability" from the LAP Exceptionality Category possible values (Pos 157-158). </t>
    </r>
  </si>
  <si>
    <r>
      <rPr>
        <b/>
        <sz val="10"/>
        <rFont val="Arial"/>
        <family val="2"/>
      </rPr>
      <t xml:space="preserve">(Logic Change)  </t>
    </r>
    <r>
      <rPr>
        <sz val="10"/>
        <rFont val="Arial"/>
        <family val="2"/>
      </rPr>
      <t>Removed #19 "Profound Mental Disability" from the possible values for Summarized Special Education Exceptionality Category. (Ref. 176-177).</t>
    </r>
  </si>
  <si>
    <t>Y = Indicated as one of the twins
N = Not a twin
Blank</t>
  </si>
  <si>
    <r>
      <t xml:space="preserve">01-12
--
</t>
    </r>
    <r>
      <rPr>
        <sz val="10"/>
        <color rgb="FFFF0000"/>
        <rFont val="Arial"/>
        <family val="2"/>
      </rPr>
      <t>99</t>
    </r>
  </si>
  <si>
    <r>
      <t xml:space="preserve">00-39 (0-9 or - in any position)
</t>
    </r>
    <r>
      <rPr>
        <sz val="10"/>
        <color rgb="FFFF0000"/>
        <rFont val="Arial"/>
        <family val="2"/>
      </rPr>
      <t>99</t>
    </r>
  </si>
  <si>
    <r>
      <rPr>
        <b/>
        <sz val="10"/>
        <rFont val="Arial"/>
        <family val="2"/>
      </rPr>
      <t xml:space="preserve">(Logic Change)  </t>
    </r>
    <r>
      <rPr>
        <sz val="10"/>
        <rFont val="Arial"/>
        <family val="2"/>
      </rPr>
      <t>The LAP Twin Flag will NOT be sent on the Researcher File, but WILL BE sent on the Staff and Contractor File.</t>
    </r>
  </si>
  <si>
    <r>
      <t xml:space="preserve">Month, Day, Year of student's birth
"*" and " " values are changed to "-".
Refer to the </t>
    </r>
    <r>
      <rPr>
        <b/>
        <u/>
        <sz val="10"/>
        <rFont val="Arial"/>
        <family val="2"/>
      </rPr>
      <t>Rules to Determine Demographic Values</t>
    </r>
    <r>
      <rPr>
        <b/>
        <sz val="10"/>
        <rFont val="Arial"/>
        <family val="2"/>
      </rPr>
      <t xml:space="preserve"> </t>
    </r>
    <r>
      <rPr>
        <sz val="10"/>
        <rFont val="Arial"/>
        <family val="2"/>
      </rPr>
      <t xml:space="preserve">section of the Processing Rules - Scoring document for logic to determine these values based on values from the LAP file and the response document.
</t>
    </r>
    <r>
      <rPr>
        <sz val="10"/>
        <color rgb="FFFF0000"/>
        <rFont val="Arial"/>
        <family val="2"/>
      </rPr>
      <t>"99" is only valid after the Online Corrections System (OCS) has been applied.</t>
    </r>
  </si>
  <si>
    <t xml:space="preserve">Added "99" as a possible value to the Summarized Date of Birth - Month (Pos. 135-136) and the Summarized Date of Birth - Day (Pos. 137-138) and a business rule to note that this value is only valid after Online Corrections System (OCS) has been applied since this is a valid OCS value and will appear in post OCS files. </t>
  </si>
  <si>
    <r>
      <rPr>
        <b/>
        <sz val="10"/>
        <rFont val="Arial"/>
        <family val="2"/>
      </rPr>
      <t>(Logic Change)</t>
    </r>
    <r>
      <rPr>
        <sz val="10"/>
        <rFont val="Arial"/>
      </rPr>
      <t xml:space="preserve"> Pos. 605-607, LAP Residence_LEA field was changed to FILLER. This field is no longer populated in the LAP file.</t>
    </r>
  </si>
  <si>
    <r>
      <rPr>
        <strike/>
        <sz val="10"/>
        <color rgb="FFFF0000"/>
        <rFont val="Arial"/>
        <family val="2"/>
      </rPr>
      <t>LAP Residence_LEA</t>
    </r>
    <r>
      <rPr>
        <sz val="10"/>
        <rFont val="Arial"/>
        <family val="2"/>
      </rPr>
      <t xml:space="preserve">     FILLER</t>
    </r>
  </si>
  <si>
    <r>
      <rPr>
        <b/>
        <sz val="10"/>
        <rFont val="Arial"/>
        <family val="2"/>
      </rPr>
      <t>(Logic change)</t>
    </r>
    <r>
      <rPr>
        <sz val="10"/>
        <rFont val="Arial"/>
        <family val="2"/>
      </rPr>
      <t xml:space="preserve"> Added "C" to the Field Use column for LAP LDE Unique ID GUID in pos. 252-261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t>
    </r>
    <r>
      <rPr>
        <b/>
        <sz val="10"/>
        <rFont val="Arial"/>
        <family val="2"/>
      </rPr>
      <t>Note:</t>
    </r>
    <r>
      <rPr>
        <sz val="10"/>
        <rFont val="Arial"/>
        <family val="2"/>
      </rPr>
      <t xml:space="preserve"> The values are only updated with the value from the May LAP file if the LDE Unique ID GUID value was blank prior to applying the May LAP file.</t>
    </r>
  </si>
</sst>
</file>

<file path=xl/styles.xml><?xml version="1.0" encoding="utf-8"?>
<styleSheet xmlns="http://schemas.openxmlformats.org/spreadsheetml/2006/main" xmlns:mc="http://schemas.openxmlformats.org/markup-compatibility/2006" xmlns:x14ac="http://schemas.microsoft.com/office/spreadsheetml/2009/9/ac" mc:Ignorable="x14ac">
  <fonts count="38" x14ac:knownFonts="1">
    <font>
      <sz val="10"/>
      <name val="Arial"/>
    </font>
    <font>
      <sz val="11"/>
      <color theme="1"/>
      <name val="Calibri"/>
      <family val="2"/>
      <scheme val="minor"/>
    </font>
    <font>
      <sz val="10"/>
      <name val="Arial"/>
      <family val="2"/>
    </font>
    <font>
      <sz val="10"/>
      <name val="Arial"/>
      <family val="2"/>
    </font>
    <font>
      <sz val="8"/>
      <name val="Arial"/>
      <family val="2"/>
    </font>
    <font>
      <b/>
      <sz val="10"/>
      <color indexed="10"/>
      <name val="Arial"/>
      <family val="2"/>
    </font>
    <font>
      <b/>
      <sz val="8"/>
      <color indexed="10"/>
      <name val="Arial"/>
      <family val="2"/>
    </font>
    <font>
      <i/>
      <sz val="10"/>
      <name val="Arial"/>
      <family val="2"/>
    </font>
    <font>
      <sz val="10"/>
      <name val="Arial"/>
      <family val="2"/>
    </font>
    <font>
      <sz val="10"/>
      <color indexed="10"/>
      <name val="Arial"/>
      <family val="2"/>
    </font>
    <font>
      <sz val="10"/>
      <name val="Arial"/>
      <family val="2"/>
    </font>
    <font>
      <b/>
      <u/>
      <sz val="12"/>
      <color indexed="12"/>
      <name val="Arial"/>
      <family val="2"/>
    </font>
    <font>
      <sz val="10"/>
      <name val="Arial"/>
      <family val="2"/>
    </font>
    <font>
      <sz val="10"/>
      <name val="Arial"/>
      <family val="2"/>
    </font>
    <font>
      <b/>
      <u/>
      <sz val="12"/>
      <name val="Arial"/>
      <family val="2"/>
    </font>
    <font>
      <sz val="10"/>
      <name val="Arial"/>
      <family val="2"/>
    </font>
    <font>
      <sz val="10"/>
      <name val="Arial"/>
      <family val="2"/>
    </font>
    <font>
      <b/>
      <u/>
      <sz val="12"/>
      <name val="Arial"/>
      <family val="2"/>
    </font>
    <font>
      <sz val="10"/>
      <color indexed="12"/>
      <name val="Arial"/>
      <family val="2"/>
    </font>
    <font>
      <b/>
      <u/>
      <sz val="12"/>
      <color indexed="12"/>
      <name val="Arial"/>
      <family val="2"/>
    </font>
    <font>
      <b/>
      <u/>
      <sz val="10"/>
      <name val="Arial"/>
      <family val="2"/>
    </font>
    <font>
      <b/>
      <sz val="16"/>
      <name val="Arial"/>
      <family val="2"/>
    </font>
    <font>
      <b/>
      <sz val="12"/>
      <name val="Arial"/>
      <family val="2"/>
    </font>
    <font>
      <b/>
      <sz val="10"/>
      <color indexed="12"/>
      <name val="Arial"/>
      <family val="2"/>
    </font>
    <font>
      <sz val="10"/>
      <name val="Arial"/>
      <family val="2"/>
    </font>
    <font>
      <b/>
      <sz val="10"/>
      <name val="Arial"/>
      <family val="2"/>
    </font>
    <font>
      <sz val="10"/>
      <name val="Arial"/>
      <family val="2"/>
    </font>
    <font>
      <b/>
      <sz val="10"/>
      <color indexed="12"/>
      <name val="Arial"/>
      <family val="2"/>
    </font>
    <font>
      <sz val="10"/>
      <name val="Arial"/>
      <family val="2"/>
    </font>
    <font>
      <sz val="10"/>
      <name val="Arial"/>
      <family val="2"/>
    </font>
    <font>
      <sz val="11"/>
      <color theme="1"/>
      <name val="Calibri"/>
      <family val="2"/>
      <scheme val="minor"/>
    </font>
    <font>
      <b/>
      <sz val="10"/>
      <color rgb="FF0000FF"/>
      <name val="Arial"/>
      <family val="2"/>
    </font>
    <font>
      <strike/>
      <sz val="10"/>
      <name val="Arial"/>
      <family val="2"/>
    </font>
    <font>
      <sz val="10"/>
      <color theme="1"/>
      <name val="Arial"/>
      <family val="2"/>
    </font>
    <font>
      <b/>
      <sz val="10"/>
      <color theme="1"/>
      <name val="Arial"/>
      <family val="2"/>
    </font>
    <font>
      <u/>
      <sz val="10"/>
      <color theme="10"/>
      <name val="Arial"/>
      <family val="2"/>
    </font>
    <font>
      <sz val="10"/>
      <color rgb="FFFF0000"/>
      <name val="Arial"/>
      <family val="2"/>
    </font>
    <font>
      <strike/>
      <sz val="10"/>
      <color rgb="FFFF0000"/>
      <name val="Arial"/>
      <family val="2"/>
    </font>
  </fonts>
  <fills count="6">
    <fill>
      <patternFill patternType="none"/>
    </fill>
    <fill>
      <patternFill patternType="gray125"/>
    </fill>
    <fill>
      <patternFill patternType="solid">
        <fgColor indexed="22"/>
        <bgColor indexed="64"/>
      </patternFill>
    </fill>
    <fill>
      <patternFill patternType="solid">
        <fgColor theme="2"/>
        <bgColor indexed="64"/>
      </patternFill>
    </fill>
    <fill>
      <patternFill patternType="solid">
        <fgColor theme="0" tint="-0.14999847407452621"/>
        <bgColor indexed="64"/>
      </patternFill>
    </fill>
    <fill>
      <patternFill patternType="solid">
        <fgColor rgb="FFFFFF99"/>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s>
  <cellStyleXfs count="9">
    <xf numFmtId="0" fontId="0" fillId="0" borderId="0"/>
    <xf numFmtId="0" fontId="3" fillId="0" borderId="0"/>
    <xf numFmtId="0" fontId="28" fillId="0" borderId="0"/>
    <xf numFmtId="0" fontId="3" fillId="0" borderId="0"/>
    <xf numFmtId="0" fontId="30" fillId="0" borderId="0"/>
    <xf numFmtId="0" fontId="29" fillId="0" borderId="0"/>
    <xf numFmtId="0" fontId="1" fillId="0" borderId="0"/>
    <xf numFmtId="0" fontId="1" fillId="0" borderId="0"/>
    <xf numFmtId="0" fontId="35" fillId="0" borderId="0" applyNumberFormat="0" applyFill="0" applyBorder="0" applyAlignment="0" applyProtection="0"/>
  </cellStyleXfs>
  <cellXfs count="196">
    <xf numFmtId="0" fontId="0" fillId="0" borderId="0" xfId="0"/>
    <xf numFmtId="0" fontId="0" fillId="0" borderId="0" xfId="0" applyProtection="1">
      <protection locked="0"/>
    </xf>
    <xf numFmtId="0" fontId="0" fillId="2" borderId="1" xfId="0" applyFill="1" applyBorder="1" applyAlignment="1" applyProtection="1">
      <alignment horizontal="center" wrapText="1"/>
    </xf>
    <xf numFmtId="0" fontId="0" fillId="0" borderId="0" xfId="0" applyAlignment="1" applyProtection="1">
      <alignment horizontal="center"/>
      <protection locked="0"/>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vertical="top" wrapText="1"/>
      <protection locked="0"/>
    </xf>
    <xf numFmtId="0" fontId="8" fillId="0" borderId="0" xfId="0" applyFont="1" applyFill="1"/>
    <xf numFmtId="0" fontId="12" fillId="0" borderId="0" xfId="0" applyFont="1" applyFill="1"/>
    <xf numFmtId="0" fontId="10" fillId="0" borderId="0" xfId="0" applyFont="1" applyFill="1"/>
    <xf numFmtId="0" fontId="15" fillId="0" borderId="0" xfId="0" applyFont="1" applyFill="1"/>
    <xf numFmtId="0" fontId="8" fillId="0" borderId="0" xfId="0" applyFont="1" applyFill="1" applyAlignment="1">
      <alignment horizontal="center"/>
    </xf>
    <xf numFmtId="0" fontId="9" fillId="0" borderId="0" xfId="0" applyFont="1" applyFill="1" applyAlignment="1">
      <alignment horizontal="center"/>
    </xf>
    <xf numFmtId="0" fontId="10" fillId="0" borderId="0" xfId="0" applyFont="1" applyFill="1" applyAlignment="1">
      <alignment wrapText="1"/>
    </xf>
    <xf numFmtId="0" fontId="8" fillId="0" borderId="0" xfId="0" applyFont="1" applyFill="1" applyAlignment="1">
      <alignment horizontal="center" vertical="top"/>
    </xf>
    <xf numFmtId="0" fontId="16" fillId="0" borderId="0" xfId="0" applyFont="1" applyFill="1" applyAlignment="1">
      <alignment horizontal="left" vertical="center"/>
    </xf>
    <xf numFmtId="0" fontId="21" fillId="0" borderId="0" xfId="0" applyFont="1" applyFill="1"/>
    <xf numFmtId="0" fontId="22" fillId="0" borderId="0" xfId="0" applyFont="1" applyFill="1" applyBorder="1" applyAlignment="1">
      <alignment wrapText="1"/>
    </xf>
    <xf numFmtId="0" fontId="22" fillId="0" borderId="0" xfId="0" applyFont="1" applyFill="1" applyBorder="1" applyAlignment="1"/>
    <xf numFmtId="0" fontId="22" fillId="0" borderId="0" xfId="0" applyFont="1" applyFill="1" applyBorder="1" applyAlignment="1">
      <alignment horizontal="center" vertical="top"/>
    </xf>
    <xf numFmtId="0" fontId="22" fillId="0" borderId="0" xfId="0" applyFont="1" applyFill="1" applyBorder="1" applyAlignment="1">
      <alignment vertical="top"/>
    </xf>
    <xf numFmtId="0" fontId="26" fillId="0" borderId="0" xfId="0" applyFont="1" applyFill="1"/>
    <xf numFmtId="0" fontId="22" fillId="0" borderId="0" xfId="0" applyFont="1" applyFill="1" applyAlignment="1">
      <alignment horizontal="right" vertical="top"/>
    </xf>
    <xf numFmtId="0" fontId="12" fillId="0" borderId="0" xfId="0" applyFont="1" applyFill="1" applyBorder="1" applyAlignment="1">
      <alignment horizontal="center" vertical="top"/>
    </xf>
    <xf numFmtId="49" fontId="12" fillId="0" borderId="0" xfId="0" applyNumberFormat="1" applyFont="1" applyFill="1" applyBorder="1" applyAlignment="1">
      <alignment horizontal="center" vertical="top"/>
    </xf>
    <xf numFmtId="1" fontId="12" fillId="0" borderId="0" xfId="0" applyNumberFormat="1" applyFont="1" applyFill="1" applyBorder="1" applyAlignment="1">
      <alignment horizontal="center" vertical="top"/>
    </xf>
    <xf numFmtId="49" fontId="12" fillId="0" borderId="0" xfId="0" applyNumberFormat="1" applyFont="1" applyFill="1" applyBorder="1" applyAlignment="1">
      <alignment horizontal="left" vertical="top" wrapText="1"/>
    </xf>
    <xf numFmtId="0" fontId="2" fillId="0" borderId="0" xfId="0" applyFont="1" applyFill="1" applyBorder="1" applyAlignment="1">
      <alignment horizontal="center" vertical="top"/>
    </xf>
    <xf numFmtId="1" fontId="10" fillId="0" borderId="0" xfId="0" applyNumberFormat="1" applyFont="1" applyFill="1" applyBorder="1" applyAlignment="1">
      <alignment horizontal="center" vertical="top"/>
    </xf>
    <xf numFmtId="0" fontId="10" fillId="0" borderId="0" xfId="0" applyFont="1" applyFill="1" applyBorder="1" applyAlignment="1">
      <alignment vertical="top"/>
    </xf>
    <xf numFmtId="0" fontId="16" fillId="0" borderId="0" xfId="0" applyFont="1" applyFill="1" applyBorder="1" applyAlignment="1">
      <alignment horizontal="left" vertical="center" wrapText="1"/>
    </xf>
    <xf numFmtId="0" fontId="10" fillId="0" borderId="0" xfId="0" applyFont="1" applyFill="1" applyBorder="1" applyAlignment="1">
      <alignment horizontal="center" vertical="top"/>
    </xf>
    <xf numFmtId="49" fontId="10" fillId="0" borderId="0" xfId="0" applyNumberFormat="1" applyFont="1" applyFill="1" applyBorder="1" applyAlignment="1">
      <alignment horizontal="left" vertical="top" wrapText="1"/>
    </xf>
    <xf numFmtId="0" fontId="15" fillId="0" borderId="0" xfId="0" applyFont="1" applyFill="1" applyBorder="1" applyAlignment="1">
      <alignment horizontal="center" vertical="top"/>
    </xf>
    <xf numFmtId="0" fontId="13" fillId="0" borderId="0" xfId="0" applyFont="1" applyFill="1" applyBorder="1" applyAlignment="1">
      <alignment horizontal="center" vertical="top"/>
    </xf>
    <xf numFmtId="0" fontId="16" fillId="0" borderId="0" xfId="0" applyFont="1" applyFill="1" applyBorder="1" applyAlignment="1">
      <alignment horizontal="left" vertical="center"/>
    </xf>
    <xf numFmtId="1" fontId="10" fillId="0" borderId="0" xfId="0" applyNumberFormat="1" applyFont="1" applyFill="1" applyBorder="1" applyAlignment="1">
      <alignment horizontal="center" vertical="top" wrapText="1"/>
    </xf>
    <xf numFmtId="49" fontId="10" fillId="0" borderId="0" xfId="0" applyNumberFormat="1" applyFont="1" applyFill="1" applyBorder="1" applyAlignment="1">
      <alignment horizontal="left" vertical="top"/>
    </xf>
    <xf numFmtId="0" fontId="16" fillId="0" borderId="0" xfId="0" applyNumberFormat="1" applyFont="1" applyFill="1" applyBorder="1" applyAlignment="1">
      <alignment horizontal="left" vertical="center" wrapText="1"/>
    </xf>
    <xf numFmtId="49" fontId="11" fillId="0" borderId="0" xfId="0" applyNumberFormat="1" applyFont="1" applyFill="1" applyBorder="1" applyAlignment="1">
      <alignment horizontal="left" vertical="top"/>
    </xf>
    <xf numFmtId="49" fontId="16" fillId="0" borderId="0" xfId="0" applyNumberFormat="1" applyFont="1" applyFill="1" applyBorder="1" applyAlignment="1">
      <alignment horizontal="center" vertical="top"/>
    </xf>
    <xf numFmtId="0" fontId="16" fillId="0" borderId="0" xfId="0" applyFont="1" applyFill="1" applyBorder="1" applyAlignment="1">
      <alignment horizontal="center" vertical="top"/>
    </xf>
    <xf numFmtId="0" fontId="16" fillId="0" borderId="0" xfId="0" applyFont="1" applyFill="1" applyBorder="1" applyAlignment="1">
      <alignment vertical="top"/>
    </xf>
    <xf numFmtId="0" fontId="18" fillId="0" borderId="0" xfId="0" applyFont="1" applyFill="1" applyBorder="1" applyAlignment="1">
      <alignment horizontal="left" vertical="top"/>
    </xf>
    <xf numFmtId="49" fontId="23" fillId="0" borderId="0" xfId="0" applyNumberFormat="1" applyFont="1" applyFill="1" applyBorder="1" applyAlignment="1">
      <alignment horizontal="left" vertical="top"/>
    </xf>
    <xf numFmtId="0" fontId="24" fillId="0" borderId="0" xfId="0" applyFont="1" applyFill="1" applyBorder="1" applyAlignment="1">
      <alignment horizontal="center" vertical="top"/>
    </xf>
    <xf numFmtId="49" fontId="25" fillId="0" borderId="0" xfId="0" applyNumberFormat="1" applyFont="1" applyFill="1" applyBorder="1" applyAlignment="1">
      <alignment horizontal="center" vertical="top"/>
    </xf>
    <xf numFmtId="49" fontId="25" fillId="0" borderId="0" xfId="0" applyNumberFormat="1" applyFont="1" applyFill="1" applyBorder="1" applyAlignment="1">
      <alignment horizontal="left" vertical="center"/>
    </xf>
    <xf numFmtId="0" fontId="8" fillId="0" borderId="0" xfId="0" applyFont="1" applyFill="1" applyBorder="1" applyAlignment="1">
      <alignment horizontal="center" vertical="top"/>
    </xf>
    <xf numFmtId="49" fontId="8" fillId="0" borderId="0" xfId="0" applyNumberFormat="1" applyFont="1" applyFill="1" applyBorder="1" applyAlignment="1">
      <alignment horizontal="center" vertical="top"/>
    </xf>
    <xf numFmtId="0" fontId="2" fillId="0" borderId="0" xfId="0" applyFont="1" applyFill="1" applyBorder="1" applyAlignment="1">
      <alignment horizontal="center" vertical="center"/>
    </xf>
    <xf numFmtId="49" fontId="2" fillId="0" borderId="0" xfId="0" applyNumberFormat="1" applyFont="1" applyFill="1" applyBorder="1" applyAlignment="1">
      <alignment horizontal="center" vertical="center"/>
    </xf>
    <xf numFmtId="49" fontId="14" fillId="0" borderId="0" xfId="0" applyNumberFormat="1" applyFont="1" applyFill="1" applyBorder="1" applyAlignment="1">
      <alignment horizontal="center" vertical="top"/>
    </xf>
    <xf numFmtId="1" fontId="8" fillId="0" borderId="0" xfId="0" applyNumberFormat="1" applyFont="1" applyFill="1" applyBorder="1" applyAlignment="1">
      <alignment horizontal="center" vertical="top"/>
    </xf>
    <xf numFmtId="49" fontId="8" fillId="0" borderId="0" xfId="0" applyNumberFormat="1" applyFont="1" applyFill="1" applyBorder="1" applyAlignment="1">
      <alignment horizontal="left" vertical="top" wrapText="1"/>
    </xf>
    <xf numFmtId="49" fontId="8" fillId="0" borderId="0" xfId="0" applyNumberFormat="1" applyFont="1" applyFill="1" applyBorder="1" applyAlignment="1">
      <alignment horizontal="center" vertical="top" wrapText="1"/>
    </xf>
    <xf numFmtId="0" fontId="13" fillId="0" borderId="2" xfId="0" applyFont="1" applyFill="1" applyBorder="1" applyAlignment="1">
      <alignment horizontal="center" vertical="top"/>
    </xf>
    <xf numFmtId="49" fontId="19" fillId="0" borderId="2" xfId="0" applyNumberFormat="1" applyFont="1" applyFill="1" applyBorder="1" applyAlignment="1">
      <alignment horizontal="left" vertical="top"/>
    </xf>
    <xf numFmtId="0" fontId="12" fillId="0" borderId="2" xfId="0" applyFont="1" applyFill="1" applyBorder="1" applyAlignment="1">
      <alignment horizontal="center" vertical="top"/>
    </xf>
    <xf numFmtId="49" fontId="14" fillId="0" borderId="2" xfId="0" applyNumberFormat="1" applyFont="1" applyFill="1" applyBorder="1" applyAlignment="1">
      <alignment horizontal="center" vertical="top"/>
    </xf>
    <xf numFmtId="49" fontId="17" fillId="0" borderId="2" xfId="0" applyNumberFormat="1" applyFont="1" applyFill="1" applyBorder="1" applyAlignment="1">
      <alignment horizontal="left" vertical="center"/>
    </xf>
    <xf numFmtId="0" fontId="15" fillId="0" borderId="0" xfId="0" applyFont="1" applyFill="1" applyBorder="1"/>
    <xf numFmtId="0" fontId="27" fillId="0" borderId="0" xfId="0" applyFont="1" applyFill="1" applyBorder="1" applyAlignment="1">
      <alignment vertical="top"/>
    </xf>
    <xf numFmtId="49" fontId="27" fillId="0" borderId="0" xfId="0" applyNumberFormat="1" applyFont="1" applyFill="1" applyBorder="1" applyAlignment="1">
      <alignment horizontal="left" vertical="top"/>
    </xf>
    <xf numFmtId="49" fontId="27" fillId="0" borderId="0" xfId="0" applyNumberFormat="1" applyFont="1" applyFill="1" applyBorder="1" applyAlignment="1">
      <alignment horizontal="left" vertical="top" wrapText="1"/>
    </xf>
    <xf numFmtId="0" fontId="16" fillId="0" borderId="0" xfId="0" applyFont="1" applyFill="1" applyAlignment="1">
      <alignment horizontal="left" vertical="center" wrapText="1"/>
    </xf>
    <xf numFmtId="49" fontId="0" fillId="0" borderId="0" xfId="0" applyNumberFormat="1" applyFill="1" applyBorder="1" applyAlignment="1">
      <alignment horizontal="left" vertical="top" wrapText="1"/>
    </xf>
    <xf numFmtId="14" fontId="0" fillId="0" borderId="1" xfId="0" applyNumberFormat="1" applyFill="1" applyBorder="1" applyAlignment="1" applyProtection="1">
      <alignment vertical="top" wrapText="1"/>
      <protection locked="0"/>
    </xf>
    <xf numFmtId="0" fontId="0" fillId="0" borderId="1" xfId="0" applyFill="1" applyBorder="1" applyAlignment="1" applyProtection="1">
      <alignment vertical="top"/>
      <protection locked="0"/>
    </xf>
    <xf numFmtId="0" fontId="16" fillId="0" borderId="1" xfId="0" applyFont="1" applyFill="1" applyBorder="1" applyAlignment="1" applyProtection="1">
      <alignment vertical="top" wrapText="1"/>
      <protection locked="0"/>
    </xf>
    <xf numFmtId="0" fontId="0" fillId="2" borderId="1" xfId="0" applyFill="1" applyBorder="1" applyAlignment="1" applyProtection="1">
      <alignment wrapText="1"/>
    </xf>
    <xf numFmtId="0" fontId="0" fillId="0" borderId="1" xfId="0" applyFill="1" applyBorder="1" applyAlignment="1" applyProtection="1">
      <alignment wrapText="1"/>
      <protection locked="0"/>
    </xf>
    <xf numFmtId="0" fontId="0" fillId="0" borderId="0" xfId="0" applyAlignment="1" applyProtection="1">
      <alignment wrapText="1"/>
      <protection locked="0"/>
    </xf>
    <xf numFmtId="49" fontId="3" fillId="0" borderId="0" xfId="0" applyNumberFormat="1" applyFont="1" applyFill="1" applyBorder="1" applyAlignment="1">
      <alignment horizontal="left" vertical="top" wrapText="1"/>
    </xf>
    <xf numFmtId="0" fontId="0" fillId="0" borderId="0" xfId="0" applyFill="1" applyBorder="1" applyAlignment="1">
      <alignment horizontal="center" vertical="top"/>
    </xf>
    <xf numFmtId="1" fontId="3" fillId="0" borderId="0" xfId="0" applyNumberFormat="1" applyFont="1" applyFill="1" applyBorder="1" applyAlignment="1">
      <alignment horizontal="center" vertical="top"/>
    </xf>
    <xf numFmtId="0" fontId="3" fillId="0" borderId="0" xfId="0" applyFont="1" applyFill="1" applyBorder="1" applyAlignment="1">
      <alignment horizontal="center" vertical="top"/>
    </xf>
    <xf numFmtId="49" fontId="14" fillId="0" borderId="2" xfId="0" applyNumberFormat="1" applyFont="1" applyFill="1" applyBorder="1" applyAlignment="1">
      <alignment horizontal="left" vertical="center"/>
    </xf>
    <xf numFmtId="49" fontId="12" fillId="0" borderId="0" xfId="0" applyNumberFormat="1" applyFont="1" applyFill="1" applyBorder="1" applyAlignment="1">
      <alignment horizontal="left" vertical="center" wrapText="1"/>
    </xf>
    <xf numFmtId="0" fontId="10" fillId="0" borderId="0" xfId="0" applyFont="1" applyFill="1" applyAlignment="1">
      <alignment horizontal="left" vertical="center"/>
    </xf>
    <xf numFmtId="0" fontId="12" fillId="0" borderId="0" xfId="0" applyFont="1" applyFill="1" applyBorder="1" applyAlignment="1">
      <alignment horizontal="left" vertical="center" wrapText="1"/>
    </xf>
    <xf numFmtId="0" fontId="0" fillId="0" borderId="0" xfId="0" applyFill="1" applyBorder="1" applyAlignment="1">
      <alignment horizontal="left" vertical="center"/>
    </xf>
    <xf numFmtId="49" fontId="14" fillId="0" borderId="0" xfId="0" applyNumberFormat="1" applyFont="1" applyFill="1" applyBorder="1" applyAlignment="1">
      <alignment horizontal="left" vertical="center"/>
    </xf>
    <xf numFmtId="0" fontId="7" fillId="0" borderId="0" xfId="0" applyFont="1" applyFill="1" applyAlignment="1">
      <alignment horizontal="left" vertical="center"/>
    </xf>
    <xf numFmtId="0" fontId="8" fillId="0" borderId="0" xfId="0" applyFont="1" applyFill="1" applyAlignment="1">
      <alignment horizontal="left" vertical="center"/>
    </xf>
    <xf numFmtId="0" fontId="3" fillId="0" borderId="0" xfId="1" applyFont="1" applyFill="1" applyBorder="1" applyAlignment="1">
      <alignment horizontal="left" vertical="center" wrapText="1"/>
    </xf>
    <xf numFmtId="0" fontId="3" fillId="0" borderId="0" xfId="0" applyFont="1" applyFill="1" applyBorder="1" applyAlignment="1">
      <alignment vertical="top"/>
    </xf>
    <xf numFmtId="0" fontId="23" fillId="0" borderId="0" xfId="0" applyFont="1" applyFill="1" applyBorder="1" applyAlignment="1">
      <alignment horizontal="left" vertical="top"/>
    </xf>
    <xf numFmtId="16" fontId="3" fillId="0" borderId="0" xfId="0" applyNumberFormat="1" applyFont="1" applyFill="1" applyBorder="1" applyAlignment="1">
      <alignment horizontal="left" vertical="center" wrapText="1"/>
    </xf>
    <xf numFmtId="0" fontId="0" fillId="0" borderId="0" xfId="0" applyFill="1" applyBorder="1" applyAlignment="1">
      <alignment horizontal="center" vertical="center"/>
    </xf>
    <xf numFmtId="49" fontId="0" fillId="0" borderId="0" xfId="0" applyNumberFormat="1" applyFill="1" applyBorder="1" applyAlignment="1">
      <alignment horizontal="center" vertical="center"/>
    </xf>
    <xf numFmtId="0" fontId="31" fillId="0" borderId="0" xfId="0" applyFont="1" applyFill="1" applyBorder="1" applyAlignment="1">
      <alignment vertical="top"/>
    </xf>
    <xf numFmtId="0" fontId="3" fillId="0" borderId="0" xfId="1" applyFont="1" applyFill="1" applyBorder="1" applyAlignment="1">
      <alignment horizontal="center" vertical="top"/>
    </xf>
    <xf numFmtId="0" fontId="22" fillId="0" borderId="0" xfId="0" applyFont="1" applyFill="1" applyAlignment="1">
      <alignment vertical="top"/>
    </xf>
    <xf numFmtId="14" fontId="28" fillId="0" borderId="1" xfId="2" applyNumberFormat="1" applyFill="1" applyBorder="1" applyAlignment="1" applyProtection="1">
      <alignment horizontal="center" vertical="top"/>
      <protection locked="0"/>
    </xf>
    <xf numFmtId="0" fontId="3" fillId="0" borderId="1" xfId="2" applyFont="1" applyFill="1" applyBorder="1" applyAlignment="1" applyProtection="1">
      <alignment vertical="center" wrapText="1"/>
      <protection locked="0"/>
    </xf>
    <xf numFmtId="0" fontId="28" fillId="0" borderId="1" xfId="2" applyFill="1" applyBorder="1" applyAlignment="1" applyProtection="1">
      <alignment wrapText="1"/>
      <protection locked="0"/>
    </xf>
    <xf numFmtId="0" fontId="3" fillId="0" borderId="1" xfId="2" applyFont="1" applyFill="1" applyBorder="1" applyAlignment="1" applyProtection="1">
      <alignment vertical="top" wrapText="1"/>
      <protection locked="0"/>
    </xf>
    <xf numFmtId="0" fontId="3" fillId="0" borderId="0" xfId="2" applyFont="1" applyFill="1" applyAlignment="1" applyProtection="1">
      <alignment vertical="center" wrapText="1"/>
      <protection locked="0"/>
    </xf>
    <xf numFmtId="0" fontId="28" fillId="0" borderId="1" xfId="2" applyFill="1" applyBorder="1" applyAlignment="1" applyProtection="1">
      <alignment vertical="top" wrapText="1"/>
      <protection locked="0"/>
    </xf>
    <xf numFmtId="0" fontId="3" fillId="0" borderId="1" xfId="1" applyFont="1" applyFill="1" applyBorder="1" applyAlignment="1" applyProtection="1">
      <alignment vertical="center" wrapText="1"/>
      <protection locked="0"/>
    </xf>
    <xf numFmtId="0" fontId="3" fillId="0" borderId="0" xfId="2" applyFont="1" applyFill="1" applyAlignment="1">
      <alignment wrapText="1"/>
    </xf>
    <xf numFmtId="0" fontId="3" fillId="0" borderId="1" xfId="0" applyFont="1" applyFill="1" applyBorder="1" applyAlignment="1" applyProtection="1">
      <alignment vertical="top" wrapText="1"/>
      <protection locked="0"/>
    </xf>
    <xf numFmtId="14" fontId="0" fillId="0" borderId="1" xfId="0" applyNumberFormat="1" applyFill="1" applyBorder="1" applyProtection="1">
      <protection locked="0"/>
    </xf>
    <xf numFmtId="0" fontId="3" fillId="0" borderId="1" xfId="0" applyFont="1" applyFill="1" applyBorder="1" applyAlignment="1" applyProtection="1">
      <alignment vertical="center" wrapText="1"/>
      <protection locked="0"/>
    </xf>
    <xf numFmtId="0" fontId="3" fillId="0" borderId="1" xfId="0" applyFont="1" applyFill="1" applyBorder="1" applyAlignment="1" applyProtection="1">
      <alignment vertical="top"/>
      <protection locked="0"/>
    </xf>
    <xf numFmtId="14" fontId="3" fillId="0" borderId="1" xfId="1" applyNumberFormat="1" applyFill="1" applyBorder="1" applyAlignment="1" applyProtection="1">
      <alignment horizontal="center"/>
      <protection locked="0"/>
    </xf>
    <xf numFmtId="0" fontId="3" fillId="0" borderId="1" xfId="1" applyFont="1" applyFill="1" applyBorder="1" applyAlignment="1" applyProtection="1">
      <alignment vertical="top"/>
      <protection locked="0"/>
    </xf>
    <xf numFmtId="0" fontId="3" fillId="0" borderId="1" xfId="0" applyFont="1" applyFill="1" applyBorder="1" applyAlignment="1" applyProtection="1">
      <alignment wrapText="1"/>
      <protection locked="0"/>
    </xf>
    <xf numFmtId="0" fontId="21" fillId="0" borderId="0" xfId="0" applyFont="1" applyFill="1" applyBorder="1" applyAlignment="1">
      <alignment horizontal="center"/>
    </xf>
    <xf numFmtId="0" fontId="28" fillId="0" borderId="1" xfId="2" applyFill="1" applyBorder="1" applyAlignment="1" applyProtection="1">
      <alignment vertical="top"/>
      <protection locked="0"/>
    </xf>
    <xf numFmtId="0" fontId="0" fillId="0" borderId="0" xfId="0" applyAlignment="1" applyProtection="1">
      <protection locked="0"/>
    </xf>
    <xf numFmtId="0" fontId="3" fillId="0" borderId="0" xfId="0" applyFont="1" applyFill="1" applyBorder="1" applyAlignment="1">
      <alignment vertical="top" wrapText="1"/>
    </xf>
    <xf numFmtId="0" fontId="3" fillId="0" borderId="0" xfId="0" applyFont="1" applyFill="1" applyBorder="1" applyAlignment="1">
      <alignment horizontal="left" vertical="top"/>
    </xf>
    <xf numFmtId="49" fontId="0" fillId="0" borderId="0" xfId="0" applyNumberFormat="1" applyFill="1" applyBorder="1" applyAlignment="1">
      <alignment horizontal="center" vertical="top"/>
    </xf>
    <xf numFmtId="0" fontId="22" fillId="0" borderId="3" xfId="0" applyFont="1" applyFill="1" applyBorder="1" applyAlignment="1"/>
    <xf numFmtId="14" fontId="0" fillId="0" borderId="1" xfId="0" applyNumberFormat="1" applyFill="1" applyBorder="1" applyAlignment="1" applyProtection="1">
      <alignment horizontal="left" vertical="top"/>
      <protection locked="0"/>
    </xf>
    <xf numFmtId="0" fontId="3" fillId="0" borderId="1" xfId="0" applyFont="1" applyFill="1" applyBorder="1" applyAlignment="1" applyProtection="1">
      <alignment horizontal="left" vertical="top" wrapText="1"/>
      <protection locked="0"/>
    </xf>
    <xf numFmtId="0" fontId="0" fillId="0" borderId="1" xfId="0" applyFill="1" applyBorder="1" applyAlignment="1" applyProtection="1">
      <alignment horizontal="left" vertical="top" wrapText="1"/>
      <protection locked="0"/>
    </xf>
    <xf numFmtId="14" fontId="0" fillId="0" borderId="1" xfId="0" applyNumberFormat="1" applyFill="1" applyBorder="1" applyAlignment="1" applyProtection="1">
      <alignment horizontal="center"/>
      <protection locked="0"/>
    </xf>
    <xf numFmtId="0" fontId="0" fillId="0" borderId="1" xfId="0" applyFill="1" applyBorder="1" applyAlignment="1" applyProtection="1">
      <protection locked="0"/>
    </xf>
    <xf numFmtId="14" fontId="3" fillId="0" borderId="1" xfId="0" applyNumberFormat="1" applyFont="1" applyFill="1" applyBorder="1" applyAlignment="1" applyProtection="1">
      <alignment horizontal="left" vertical="top"/>
      <protection locked="0"/>
    </xf>
    <xf numFmtId="0" fontId="3" fillId="0" borderId="0" xfId="0" applyFont="1" applyFill="1" applyBorder="1" applyAlignment="1">
      <alignment horizontal="left" vertical="top" wrapText="1"/>
    </xf>
    <xf numFmtId="0" fontId="3" fillId="0" borderId="0" xfId="0" applyFont="1" applyFill="1" applyAlignment="1">
      <alignment horizontal="left" vertical="center" wrapText="1"/>
    </xf>
    <xf numFmtId="49" fontId="3" fillId="0" borderId="0" xfId="0" applyNumberFormat="1" applyFont="1" applyFill="1" applyBorder="1" applyAlignment="1">
      <alignment horizontal="left" vertical="center" wrapText="1"/>
    </xf>
    <xf numFmtId="49" fontId="16" fillId="0" borderId="0" xfId="0" applyNumberFormat="1" applyFont="1" applyFill="1" applyBorder="1" applyAlignment="1">
      <alignment horizontal="left" vertical="center" wrapText="1"/>
    </xf>
    <xf numFmtId="0" fontId="3" fillId="0" borderId="0" xfId="0" applyFont="1" applyFill="1" applyBorder="1" applyAlignment="1">
      <alignment horizontal="left" vertical="center" wrapText="1"/>
    </xf>
    <xf numFmtId="49" fontId="10" fillId="0" borderId="0" xfId="0" applyNumberFormat="1" applyFont="1" applyFill="1" applyBorder="1" applyAlignment="1">
      <alignment horizontal="left" vertical="center" wrapText="1"/>
    </xf>
    <xf numFmtId="49" fontId="8" fillId="0" borderId="0" xfId="0" applyNumberFormat="1" applyFont="1" applyFill="1" applyBorder="1" applyAlignment="1">
      <alignment horizontal="left" vertical="center" wrapText="1"/>
    </xf>
    <xf numFmtId="2" fontId="10" fillId="0" borderId="0" xfId="0" applyNumberFormat="1" applyFont="1" applyFill="1" applyBorder="1" applyAlignment="1">
      <alignment horizontal="left" vertical="center" wrapText="1"/>
    </xf>
    <xf numFmtId="0" fontId="10" fillId="0" borderId="0" xfId="0" applyFont="1" applyFill="1" applyBorder="1" applyAlignment="1">
      <alignment horizontal="left" vertical="center" wrapText="1"/>
    </xf>
    <xf numFmtId="0" fontId="10" fillId="0" borderId="0" xfId="0" applyFont="1" applyFill="1" applyBorder="1" applyAlignment="1">
      <alignment horizontal="left" vertical="center"/>
    </xf>
    <xf numFmtId="0" fontId="0" fillId="0" borderId="0" xfId="0" applyFill="1" applyBorder="1" applyAlignment="1">
      <alignment horizontal="left" vertical="center" wrapText="1"/>
    </xf>
    <xf numFmtId="0" fontId="12" fillId="0" borderId="0" xfId="0" applyFont="1" applyFill="1" applyBorder="1" applyAlignment="1">
      <alignment horizontal="left" vertical="center"/>
    </xf>
    <xf numFmtId="49" fontId="3" fillId="0" borderId="0" xfId="0" applyNumberFormat="1" applyFont="1" applyFill="1" applyBorder="1" applyAlignment="1">
      <alignment horizontal="left" vertical="top"/>
    </xf>
    <xf numFmtId="49" fontId="3" fillId="0" borderId="0" xfId="0" applyNumberFormat="1" applyFont="1" applyFill="1" applyBorder="1" applyAlignment="1">
      <alignment horizontal="center" vertical="center" wrapText="1"/>
    </xf>
    <xf numFmtId="0" fontId="3" fillId="0" borderId="1" xfId="0" applyFont="1" applyFill="1" applyBorder="1" applyAlignment="1" applyProtection="1">
      <protection locked="0"/>
    </xf>
    <xf numFmtId="0" fontId="3" fillId="0" borderId="1" xfId="5" applyFont="1" applyFill="1" applyBorder="1" applyAlignment="1" applyProtection="1">
      <alignment wrapText="1"/>
      <protection locked="0"/>
    </xf>
    <xf numFmtId="0" fontId="25" fillId="0" borderId="1" xfId="0" applyFont="1" applyFill="1" applyBorder="1" applyAlignment="1" applyProtection="1">
      <alignment wrapText="1"/>
      <protection locked="0"/>
    </xf>
    <xf numFmtId="0" fontId="2" fillId="0" borderId="1" xfId="0" applyFont="1" applyFill="1" applyBorder="1" applyAlignment="1" applyProtection="1">
      <alignment wrapText="1"/>
      <protection locked="0"/>
    </xf>
    <xf numFmtId="0" fontId="2" fillId="0" borderId="0" xfId="0" applyFont="1" applyFill="1" applyAlignment="1">
      <alignment horizontal="center"/>
    </xf>
    <xf numFmtId="0" fontId="25" fillId="3" borderId="1" xfId="0" applyFont="1" applyFill="1" applyBorder="1"/>
    <xf numFmtId="0" fontId="2" fillId="0" borderId="1" xfId="0" applyFont="1" applyFill="1" applyBorder="1" applyAlignment="1">
      <alignment wrapText="1"/>
    </xf>
    <xf numFmtId="0" fontId="35" fillId="0" borderId="1" xfId="8" applyFill="1" applyBorder="1" applyAlignment="1">
      <alignment wrapText="1"/>
    </xf>
    <xf numFmtId="0" fontId="35" fillId="0" borderId="1" xfId="8" applyFill="1" applyBorder="1" applyAlignment="1">
      <alignment horizontal="left" vertical="center" wrapText="1"/>
    </xf>
    <xf numFmtId="0" fontId="0" fillId="0" borderId="0" xfId="0" applyFill="1" applyAlignment="1">
      <alignment wrapText="1"/>
    </xf>
    <xf numFmtId="0" fontId="0" fillId="0" borderId="0" xfId="0" applyFill="1"/>
    <xf numFmtId="0" fontId="2" fillId="0" borderId="1" xfId="0" applyFont="1" applyFill="1" applyBorder="1" applyAlignment="1" applyProtection="1">
      <protection locked="0"/>
    </xf>
    <xf numFmtId="0" fontId="2" fillId="0" borderId="1" xfId="0" applyFont="1" applyFill="1" applyBorder="1" applyAlignment="1" applyProtection="1">
      <alignment vertical="center" wrapText="1"/>
      <protection locked="0"/>
    </xf>
    <xf numFmtId="0" fontId="33" fillId="0" borderId="1" xfId="6" applyFont="1" applyFill="1" applyBorder="1" applyAlignment="1">
      <alignment wrapText="1"/>
    </xf>
    <xf numFmtId="0" fontId="2" fillId="4" borderId="0" xfId="0" applyFont="1" applyFill="1" applyBorder="1" applyAlignment="1">
      <alignment horizontal="left" vertical="center" wrapText="1"/>
    </xf>
    <xf numFmtId="49" fontId="2" fillId="4" borderId="0" xfId="0" applyNumberFormat="1" applyFont="1" applyFill="1" applyBorder="1" applyAlignment="1">
      <alignment horizontal="left" vertical="center" wrapText="1"/>
    </xf>
    <xf numFmtId="0" fontId="2" fillId="4" borderId="0" xfId="0" applyFont="1" applyFill="1" applyBorder="1" applyAlignment="1">
      <alignment horizontal="left" vertical="center" wrapText="1"/>
    </xf>
    <xf numFmtId="0" fontId="2" fillId="4" borderId="0" xfId="0" applyFont="1" applyFill="1" applyAlignment="1">
      <alignment horizontal="left" vertical="center" wrapText="1"/>
    </xf>
    <xf numFmtId="2" fontId="2" fillId="4" borderId="0" xfId="0" applyNumberFormat="1" applyFont="1" applyFill="1" applyBorder="1" applyAlignment="1">
      <alignment horizontal="left" vertical="center" wrapText="1"/>
    </xf>
    <xf numFmtId="0" fontId="2" fillId="4" borderId="0" xfId="1" applyFont="1" applyFill="1" applyBorder="1" applyAlignment="1">
      <alignment horizontal="left" vertical="center" wrapText="1"/>
    </xf>
    <xf numFmtId="49" fontId="32" fillId="4" borderId="0" xfId="0" applyNumberFormat="1" applyFont="1" applyFill="1" applyBorder="1" applyAlignment="1">
      <alignment horizontal="left" vertical="top" wrapText="1"/>
    </xf>
    <xf numFmtId="0" fontId="32" fillId="4" borderId="0" xfId="0" applyFont="1" applyFill="1" applyBorder="1" applyAlignment="1">
      <alignment horizontal="center" vertical="top"/>
    </xf>
    <xf numFmtId="1" fontId="12" fillId="4" borderId="0" xfId="0" applyNumberFormat="1" applyFont="1" applyFill="1" applyBorder="1" applyAlignment="1">
      <alignment horizontal="center" vertical="top"/>
    </xf>
    <xf numFmtId="1" fontId="8" fillId="4" borderId="0" xfId="0" applyNumberFormat="1" applyFont="1" applyFill="1" applyBorder="1" applyAlignment="1">
      <alignment horizontal="center" vertical="top"/>
    </xf>
    <xf numFmtId="49" fontId="2" fillId="4" borderId="0" xfId="0" applyNumberFormat="1" applyFont="1" applyFill="1" applyBorder="1" applyAlignment="1">
      <alignment horizontal="left" vertical="top" wrapText="1"/>
    </xf>
    <xf numFmtId="0" fontId="2" fillId="4" borderId="0" xfId="0" applyFont="1" applyFill="1" applyAlignment="1">
      <alignment horizontal="center"/>
    </xf>
    <xf numFmtId="0" fontId="37" fillId="0" borderId="0" xfId="0" applyFont="1" applyFill="1" applyBorder="1" applyAlignment="1">
      <alignment horizontal="center" vertical="top"/>
    </xf>
    <xf numFmtId="49" fontId="2" fillId="5" borderId="0" xfId="0" applyNumberFormat="1" applyFont="1" applyFill="1" applyBorder="1" applyAlignment="1">
      <alignment horizontal="left" vertical="top" wrapText="1"/>
    </xf>
    <xf numFmtId="0" fontId="32" fillId="5" borderId="0" xfId="0" applyFont="1" applyFill="1" applyBorder="1" applyAlignment="1">
      <alignment horizontal="left" vertical="center" wrapText="1"/>
    </xf>
    <xf numFmtId="14" fontId="0" fillId="5" borderId="1" xfId="0" applyNumberFormat="1" applyFill="1" applyBorder="1" applyAlignment="1" applyProtection="1">
      <alignment horizontal="center"/>
      <protection locked="0"/>
    </xf>
    <xf numFmtId="0" fontId="2" fillId="5" borderId="1" xfId="0" applyFont="1" applyFill="1" applyBorder="1" applyAlignment="1" applyProtection="1">
      <alignment wrapText="1"/>
      <protection locked="0"/>
    </xf>
    <xf numFmtId="0" fontId="0" fillId="5" borderId="1" xfId="0" applyFill="1" applyBorder="1" applyAlignment="1" applyProtection="1">
      <protection locked="0"/>
    </xf>
    <xf numFmtId="0" fontId="2" fillId="5" borderId="1" xfId="0" applyFont="1" applyFill="1" applyBorder="1" applyAlignment="1" applyProtection="1">
      <alignment vertical="center" wrapText="1"/>
      <protection locked="0"/>
    </xf>
    <xf numFmtId="0" fontId="36" fillId="5" borderId="0" xfId="0" applyFont="1" applyFill="1" applyBorder="1" applyAlignment="1">
      <alignment horizontal="center" vertical="top"/>
    </xf>
    <xf numFmtId="49" fontId="3" fillId="0" borderId="0" xfId="0" applyNumberFormat="1" applyFont="1" applyFill="1" applyBorder="1" applyAlignment="1">
      <alignment horizontal="left" vertical="center" wrapText="1"/>
    </xf>
    <xf numFmtId="49" fontId="8" fillId="0" borderId="0" xfId="0" applyNumberFormat="1" applyFont="1" applyFill="1" applyBorder="1" applyAlignment="1">
      <alignment horizontal="left" vertical="center" wrapText="1"/>
    </xf>
    <xf numFmtId="0" fontId="2" fillId="4" borderId="0" xfId="0" applyNumberFormat="1" applyFont="1" applyFill="1" applyBorder="1" applyAlignment="1">
      <alignment horizontal="left" vertical="center" wrapText="1"/>
    </xf>
    <xf numFmtId="0" fontId="3" fillId="4" borderId="0" xfId="0" applyNumberFormat="1" applyFont="1" applyFill="1" applyBorder="1" applyAlignment="1">
      <alignment horizontal="left" vertical="center" wrapText="1"/>
    </xf>
    <xf numFmtId="2" fontId="10" fillId="0" borderId="0" xfId="0" applyNumberFormat="1" applyFont="1" applyFill="1" applyBorder="1" applyAlignment="1">
      <alignment horizontal="left" vertical="center" wrapText="1"/>
    </xf>
    <xf numFmtId="49" fontId="10" fillId="0" borderId="0" xfId="0" applyNumberFormat="1" applyFont="1" applyFill="1" applyBorder="1" applyAlignment="1">
      <alignment horizontal="left" vertical="center" wrapText="1"/>
    </xf>
    <xf numFmtId="0" fontId="2" fillId="4" borderId="0" xfId="0" applyFont="1" applyFill="1" applyBorder="1" applyAlignment="1">
      <alignment horizontal="left" vertical="center" wrapText="1"/>
    </xf>
    <xf numFmtId="0" fontId="3" fillId="4" borderId="0" xfId="0" applyFont="1" applyFill="1" applyBorder="1" applyAlignment="1">
      <alignment horizontal="left" vertical="center" wrapText="1"/>
    </xf>
    <xf numFmtId="0" fontId="10" fillId="0" borderId="0" xfId="0" applyFont="1" applyFill="1" applyBorder="1" applyAlignment="1">
      <alignment horizontal="left" vertical="center" wrapText="1"/>
    </xf>
    <xf numFmtId="0" fontId="10" fillId="0" borderId="0" xfId="0" applyFont="1" applyFill="1" applyBorder="1" applyAlignment="1">
      <alignment horizontal="left" vertical="center"/>
    </xf>
    <xf numFmtId="0" fontId="0" fillId="0" borderId="0" xfId="0" applyFill="1" applyBorder="1" applyAlignment="1">
      <alignment horizontal="left" vertical="center" wrapText="1"/>
    </xf>
    <xf numFmtId="0" fontId="12" fillId="0" borderId="0" xfId="0" applyFont="1" applyFill="1" applyBorder="1" applyAlignment="1">
      <alignment horizontal="left" vertical="center"/>
    </xf>
    <xf numFmtId="0" fontId="3" fillId="0" borderId="0" xfId="0" applyFont="1" applyFill="1" applyBorder="1" applyAlignment="1">
      <alignment horizontal="left" vertical="center" wrapText="1"/>
    </xf>
    <xf numFmtId="0" fontId="3" fillId="0" borderId="0" xfId="0" applyFont="1" applyFill="1" applyBorder="1" applyAlignment="1">
      <alignment horizontal="left" vertical="center"/>
    </xf>
    <xf numFmtId="0" fontId="3" fillId="0" borderId="0" xfId="0" applyNumberFormat="1" applyFont="1" applyFill="1" applyBorder="1" applyAlignment="1">
      <alignment horizontal="left" vertical="center" wrapText="1"/>
    </xf>
    <xf numFmtId="49" fontId="2" fillId="4" borderId="0" xfId="0" applyNumberFormat="1" applyFont="1" applyFill="1" applyBorder="1" applyAlignment="1">
      <alignment horizontal="left" vertical="center" wrapText="1"/>
    </xf>
    <xf numFmtId="49" fontId="16" fillId="4" borderId="0" xfId="0" applyNumberFormat="1" applyFont="1" applyFill="1" applyBorder="1" applyAlignment="1">
      <alignment horizontal="left" vertical="center" wrapText="1"/>
    </xf>
    <xf numFmtId="0" fontId="21" fillId="4" borderId="0" xfId="0" applyFont="1" applyFill="1" applyBorder="1" applyAlignment="1">
      <alignment horizontal="left"/>
    </xf>
    <xf numFmtId="0" fontId="3" fillId="0" borderId="0" xfId="0" applyFont="1" applyFill="1" applyAlignment="1">
      <alignment horizontal="left" vertical="center" wrapText="1"/>
    </xf>
    <xf numFmtId="0" fontId="0" fillId="0" borderId="0" xfId="0" applyFill="1" applyAlignment="1">
      <alignment horizontal="left" vertical="center"/>
    </xf>
    <xf numFmtId="0" fontId="21" fillId="0" borderId="0" xfId="0" applyFont="1" applyFill="1" applyBorder="1" applyAlignment="1">
      <alignment horizontal="left"/>
    </xf>
    <xf numFmtId="0" fontId="0" fillId="4" borderId="0" xfId="0" applyFill="1" applyAlignment="1">
      <alignment horizontal="left" vertical="center" wrapText="1"/>
    </xf>
    <xf numFmtId="49" fontId="16" fillId="0" borderId="0" xfId="0" applyNumberFormat="1" applyFont="1" applyFill="1" applyBorder="1" applyAlignment="1">
      <alignment horizontal="left" vertical="center" wrapText="1"/>
    </xf>
    <xf numFmtId="0" fontId="5" fillId="0" borderId="3" xfId="0" applyFont="1" applyBorder="1" applyAlignment="1" applyProtection="1">
      <alignment horizontal="left" wrapText="1"/>
    </xf>
    <xf numFmtId="0" fontId="2" fillId="0" borderId="0" xfId="0" applyFont="1" applyFill="1" applyAlignment="1">
      <alignment vertical="center"/>
    </xf>
    <xf numFmtId="0" fontId="0" fillId="0" borderId="0" xfId="0" applyFill="1" applyAlignment="1"/>
    <xf numFmtId="0" fontId="0" fillId="0" borderId="0" xfId="0" applyFill="1" applyAlignment="1">
      <alignment wrapText="1"/>
    </xf>
  </cellXfs>
  <cellStyles count="9">
    <cellStyle name="Hyperlink" xfId="8" builtinId="8"/>
    <cellStyle name="Normal" xfId="0" builtinId="0"/>
    <cellStyle name="Normal 10" xfId="6"/>
    <cellStyle name="Normal 11" xfId="7"/>
    <cellStyle name="Normal 2" xfId="1"/>
    <cellStyle name="Normal 3" xfId="2"/>
    <cellStyle name="Normal 3 2" xfId="3"/>
    <cellStyle name="Normal 4" xfId="4"/>
    <cellStyle name="Normal 5" xfId="5"/>
  </cellStyles>
  <dxfs count="0"/>
  <tableStyles count="0" defaultTableStyle="TableStyleMedium9" defaultPivotStyle="PivotStyleLight16"/>
  <colors>
    <mruColors>
      <color rgb="FFFFFF99"/>
      <color rgb="FFCDE10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8</xdr:col>
      <xdr:colOff>0</xdr:colOff>
      <xdr:row>1</xdr:row>
      <xdr:rowOff>0</xdr:rowOff>
    </xdr:from>
    <xdr:to>
      <xdr:col>8</xdr:col>
      <xdr:colOff>0</xdr:colOff>
      <xdr:row>1</xdr:row>
      <xdr:rowOff>0</xdr:rowOff>
    </xdr:to>
    <xdr:sp macro="" textlink="">
      <xdr:nvSpPr>
        <xdr:cNvPr id="5523" name="Rectangle 1"/>
        <xdr:cNvSpPr>
          <a:spLocks noChangeArrowheads="1"/>
        </xdr:cNvSpPr>
      </xdr:nvSpPr>
      <xdr:spPr bwMode="auto">
        <a:xfrm>
          <a:off x="10677525" y="257175"/>
          <a:ext cx="0" cy="0"/>
        </a:xfrm>
        <a:prstGeom prst="rect">
          <a:avLst/>
        </a:prstGeom>
        <a:solidFill>
          <a:srgbClr val="C0C0C0"/>
        </a:solidFill>
        <a:ln w="9525">
          <a:noFill/>
          <a:miter lim="800000"/>
          <a:headEnd/>
          <a:tailEnd/>
        </a:ln>
      </xdr:spPr>
    </xdr:sp>
    <xdr:clientData/>
  </xdr:twoCellAnchor>
  <xdr:twoCellAnchor>
    <xdr:from>
      <xdr:col>9</xdr:col>
      <xdr:colOff>0</xdr:colOff>
      <xdr:row>0</xdr:row>
      <xdr:rowOff>180975</xdr:rowOff>
    </xdr:from>
    <xdr:to>
      <xdr:col>9</xdr:col>
      <xdr:colOff>0</xdr:colOff>
      <xdr:row>1</xdr:row>
      <xdr:rowOff>0</xdr:rowOff>
    </xdr:to>
    <xdr:sp macro="" textlink="">
      <xdr:nvSpPr>
        <xdr:cNvPr id="5524" name="Rectangle 690"/>
        <xdr:cNvSpPr>
          <a:spLocks noChangeArrowheads="1"/>
        </xdr:cNvSpPr>
      </xdr:nvSpPr>
      <xdr:spPr bwMode="auto">
        <a:xfrm>
          <a:off x="15554325" y="180975"/>
          <a:ext cx="0" cy="7620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xml.rels><?xml version="1.0" encoding="UTF-8" standalone="yes"?>
<Relationships xmlns="http://schemas.openxmlformats.org/package/2006/relationships"><Relationship Id="rId3" Type="http://schemas.openxmlformats.org/officeDocument/2006/relationships/hyperlink" Target="http://drcdirect/informationsystems/eis/dteam/Louisiana/LAA%201" TargetMode="External"/><Relationship Id="rId2" Type="http://schemas.openxmlformats.org/officeDocument/2006/relationships/hyperlink" Target="http://drcdirect/informationsystems/eis/dteam/Louisiana/Accountability" TargetMode="External"/><Relationship Id="rId1" Type="http://schemas.openxmlformats.org/officeDocument/2006/relationships/hyperlink" Target="http://drcdirect/informationsystems/eis/dteam/Louisiana/Forms/AllItems.aspx" TargetMode="External"/><Relationship Id="rId5" Type="http://schemas.openxmlformats.org/officeDocument/2006/relationships/printerSettings" Target="../printerSettings/printerSettings8.bin"/><Relationship Id="rId4" Type="http://schemas.openxmlformats.org/officeDocument/2006/relationships/hyperlink" Target="http://drcdirect/informationsystems/eis/dteam/Louisiana/LAA%20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J196"/>
  <sheetViews>
    <sheetView tabSelected="1" zoomScale="75" zoomScaleNormal="75" zoomScalePageLayoutView="70" workbookViewId="0"/>
  </sheetViews>
  <sheetFormatPr defaultRowHeight="12.75" x14ac:dyDescent="0.2"/>
  <cols>
    <col min="1" max="2" width="14.140625" style="10" customWidth="1"/>
    <col min="3" max="3" width="7.140625" style="11" customWidth="1"/>
    <col min="4" max="4" width="10.42578125" style="8" customWidth="1"/>
    <col min="5" max="5" width="10.28515625" style="8" customWidth="1"/>
    <col min="6" max="6" width="9.140625" style="8"/>
    <col min="7" max="7" width="57.42578125" style="12" customWidth="1"/>
    <col min="8" max="8" width="38" style="82" customWidth="1"/>
    <col min="9" max="9" width="73.140625" style="83" customWidth="1"/>
    <col min="10" max="10" width="12" style="6" customWidth="1"/>
    <col min="11" max="11" width="8" style="6" customWidth="1"/>
    <col min="12" max="12" width="12.5703125" style="6" customWidth="1"/>
    <col min="13" max="13" width="13.5703125" style="6" customWidth="1"/>
    <col min="14" max="14" width="11.28515625" style="6" customWidth="1"/>
    <col min="15" max="15" width="16.28515625" style="6" customWidth="1"/>
    <col min="16" max="16384" width="9.140625" style="6"/>
  </cols>
  <sheetData>
    <row r="1" spans="1:10" s="15" customFormat="1" ht="20.25" x14ac:dyDescent="0.3">
      <c r="A1" s="108"/>
      <c r="B1" s="108"/>
      <c r="C1" s="189" t="s">
        <v>197</v>
      </c>
      <c r="D1" s="189"/>
      <c r="E1" s="189"/>
      <c r="F1" s="189"/>
      <c r="G1" s="189"/>
      <c r="H1" s="189"/>
      <c r="I1" s="186" t="s">
        <v>418</v>
      </c>
      <c r="J1" s="186"/>
    </row>
    <row r="2" spans="1:10" s="19" customFormat="1" ht="63" x14ac:dyDescent="0.25">
      <c r="A2" s="16" t="s">
        <v>166</v>
      </c>
      <c r="B2" s="16" t="s">
        <v>167</v>
      </c>
      <c r="C2" s="16" t="s">
        <v>80</v>
      </c>
      <c r="D2" s="16" t="s">
        <v>81</v>
      </c>
      <c r="E2" s="16" t="s">
        <v>82</v>
      </c>
      <c r="F2" s="17" t="s">
        <v>1</v>
      </c>
      <c r="G2" s="114" t="s">
        <v>2</v>
      </c>
      <c r="H2" s="17" t="s">
        <v>83</v>
      </c>
      <c r="I2" s="17" t="s">
        <v>84</v>
      </c>
      <c r="J2" s="18"/>
    </row>
    <row r="3" spans="1:10" s="9" customFormat="1" ht="15.75" x14ac:dyDescent="0.2">
      <c r="A3" s="55"/>
      <c r="B3" s="56"/>
      <c r="C3" s="57"/>
      <c r="D3" s="58"/>
      <c r="E3" s="58"/>
      <c r="F3" s="58"/>
      <c r="G3" s="61" t="s">
        <v>85</v>
      </c>
      <c r="H3" s="76"/>
      <c r="I3" s="59"/>
      <c r="J3" s="60"/>
    </row>
    <row r="4" spans="1:10" s="7" customFormat="1" x14ac:dyDescent="0.2">
      <c r="A4" s="22" t="s">
        <v>3</v>
      </c>
      <c r="B4" s="22" t="s">
        <v>3</v>
      </c>
      <c r="C4" s="22"/>
      <c r="D4" s="23" t="s">
        <v>10</v>
      </c>
      <c r="E4" s="24">
        <f t="shared" ref="E4:E10" si="0">D4+F4-1</f>
        <v>2</v>
      </c>
      <c r="F4" s="24">
        <v>2</v>
      </c>
      <c r="G4" s="25" t="s">
        <v>86</v>
      </c>
      <c r="H4" s="77" t="s">
        <v>88</v>
      </c>
      <c r="I4" s="124" t="s">
        <v>35</v>
      </c>
    </row>
    <row r="5" spans="1:10" s="7" customFormat="1" x14ac:dyDescent="0.2">
      <c r="A5" s="22" t="s">
        <v>3</v>
      </c>
      <c r="B5" s="22" t="s">
        <v>3</v>
      </c>
      <c r="C5" s="22"/>
      <c r="D5" s="24">
        <f t="shared" ref="D5:D10" si="1">D4+F4</f>
        <v>3</v>
      </c>
      <c r="E5" s="24">
        <f t="shared" si="0"/>
        <v>6</v>
      </c>
      <c r="F5" s="24">
        <v>4</v>
      </c>
      <c r="G5" s="25" t="s">
        <v>87</v>
      </c>
      <c r="H5" s="123" t="s">
        <v>368</v>
      </c>
      <c r="I5" s="124" t="s">
        <v>36</v>
      </c>
    </row>
    <row r="6" spans="1:10" s="8" customFormat="1" ht="25.5" x14ac:dyDescent="0.2">
      <c r="A6" s="22" t="s">
        <v>3</v>
      </c>
      <c r="B6" s="22" t="s">
        <v>3</v>
      </c>
      <c r="C6" s="26"/>
      <c r="D6" s="24">
        <f t="shared" si="1"/>
        <v>7</v>
      </c>
      <c r="E6" s="24">
        <f t="shared" si="0"/>
        <v>7</v>
      </c>
      <c r="F6" s="27">
        <v>1</v>
      </c>
      <c r="G6" s="28" t="s">
        <v>89</v>
      </c>
      <c r="H6" s="129" t="s">
        <v>71</v>
      </c>
      <c r="I6" s="29" t="s">
        <v>21</v>
      </c>
    </row>
    <row r="7" spans="1:10" s="8" customFormat="1" ht="24" customHeight="1" x14ac:dyDescent="0.2">
      <c r="A7" s="30" t="s">
        <v>3</v>
      </c>
      <c r="B7" s="30" t="s">
        <v>3</v>
      </c>
      <c r="C7" s="30" t="s">
        <v>142</v>
      </c>
      <c r="D7" s="24">
        <f t="shared" si="1"/>
        <v>8</v>
      </c>
      <c r="E7" s="24">
        <f t="shared" si="0"/>
        <v>10</v>
      </c>
      <c r="F7" s="27">
        <v>3</v>
      </c>
      <c r="G7" s="31" t="s">
        <v>11</v>
      </c>
      <c r="H7" s="126"/>
      <c r="I7" s="184" t="s">
        <v>426</v>
      </c>
    </row>
    <row r="8" spans="1:10" s="8" customFormat="1" ht="43.5" customHeight="1" x14ac:dyDescent="0.2">
      <c r="A8" s="30" t="s">
        <v>3</v>
      </c>
      <c r="B8" s="30" t="s">
        <v>3</v>
      </c>
      <c r="C8" s="30" t="s">
        <v>142</v>
      </c>
      <c r="D8" s="24">
        <f t="shared" si="1"/>
        <v>11</v>
      </c>
      <c r="E8" s="24">
        <f t="shared" si="0"/>
        <v>13</v>
      </c>
      <c r="F8" s="27">
        <v>3</v>
      </c>
      <c r="G8" s="31" t="s">
        <v>12</v>
      </c>
      <c r="H8" s="126"/>
      <c r="I8" s="190"/>
    </row>
    <row r="9" spans="1:10" s="8" customFormat="1" x14ac:dyDescent="0.2">
      <c r="A9" s="30" t="s">
        <v>3</v>
      </c>
      <c r="B9" s="30" t="s">
        <v>3</v>
      </c>
      <c r="C9" s="30"/>
      <c r="D9" s="24">
        <f t="shared" si="1"/>
        <v>14</v>
      </c>
      <c r="E9" s="24">
        <f t="shared" si="0"/>
        <v>53</v>
      </c>
      <c r="F9" s="27">
        <v>40</v>
      </c>
      <c r="G9" s="31" t="s">
        <v>13</v>
      </c>
      <c r="H9" s="126"/>
      <c r="I9" s="124"/>
    </row>
    <row r="10" spans="1:10" s="8" customFormat="1" x14ac:dyDescent="0.2">
      <c r="A10" s="30" t="s">
        <v>3</v>
      </c>
      <c r="B10" s="30" t="s">
        <v>3</v>
      </c>
      <c r="C10" s="30"/>
      <c r="D10" s="24">
        <f t="shared" si="1"/>
        <v>54</v>
      </c>
      <c r="E10" s="24">
        <f t="shared" si="0"/>
        <v>93</v>
      </c>
      <c r="F10" s="27">
        <v>40</v>
      </c>
      <c r="G10" s="31" t="s">
        <v>14</v>
      </c>
      <c r="H10" s="126"/>
      <c r="I10" s="124"/>
    </row>
    <row r="11" spans="1:10" ht="197.25" customHeight="1" x14ac:dyDescent="0.2">
      <c r="A11" s="32" t="s">
        <v>3</v>
      </c>
      <c r="B11" s="33" t="s">
        <v>3</v>
      </c>
      <c r="C11" s="26"/>
      <c r="D11" s="24">
        <f t="shared" ref="D11:D22" si="2">D10+F10</f>
        <v>94</v>
      </c>
      <c r="E11" s="24">
        <f t="shared" ref="E11:E17" si="3">D11+F11-1</f>
        <v>95</v>
      </c>
      <c r="F11" s="30">
        <v>2</v>
      </c>
      <c r="G11" s="85" t="s">
        <v>58</v>
      </c>
      <c r="H11" s="125" t="s">
        <v>351</v>
      </c>
      <c r="I11" s="125" t="s">
        <v>354</v>
      </c>
    </row>
    <row r="12" spans="1:10" s="8" customFormat="1" x14ac:dyDescent="0.2">
      <c r="A12" s="30" t="s">
        <v>4</v>
      </c>
      <c r="B12" s="30" t="s">
        <v>3</v>
      </c>
      <c r="C12" s="75" t="s">
        <v>225</v>
      </c>
      <c r="D12" s="24">
        <f t="shared" si="2"/>
        <v>96</v>
      </c>
      <c r="E12" s="24">
        <f t="shared" si="3"/>
        <v>107</v>
      </c>
      <c r="F12" s="27">
        <v>12</v>
      </c>
      <c r="G12" s="31" t="s">
        <v>90</v>
      </c>
      <c r="H12" s="126"/>
      <c r="I12" s="187" t="s">
        <v>154</v>
      </c>
    </row>
    <row r="13" spans="1:10" s="8" customFormat="1" x14ac:dyDescent="0.2">
      <c r="A13" s="30" t="s">
        <v>4</v>
      </c>
      <c r="B13" s="30" t="s">
        <v>3</v>
      </c>
      <c r="C13" s="75" t="s">
        <v>225</v>
      </c>
      <c r="D13" s="24">
        <f t="shared" si="2"/>
        <v>108</v>
      </c>
      <c r="E13" s="24">
        <f t="shared" si="3"/>
        <v>115</v>
      </c>
      <c r="F13" s="27">
        <v>8</v>
      </c>
      <c r="G13" s="31" t="s">
        <v>91</v>
      </c>
      <c r="H13" s="126"/>
      <c r="I13" s="188"/>
    </row>
    <row r="14" spans="1:10" s="8" customFormat="1" x14ac:dyDescent="0.2">
      <c r="A14" s="30" t="s">
        <v>4</v>
      </c>
      <c r="B14" s="30" t="s">
        <v>3</v>
      </c>
      <c r="C14" s="75"/>
      <c r="D14" s="24">
        <f t="shared" si="2"/>
        <v>116</v>
      </c>
      <c r="E14" s="24">
        <f t="shared" si="3"/>
        <v>116</v>
      </c>
      <c r="F14" s="27">
        <v>1</v>
      </c>
      <c r="G14" s="31" t="s">
        <v>92</v>
      </c>
      <c r="H14" s="126"/>
      <c r="I14" s="123" t="s">
        <v>369</v>
      </c>
    </row>
    <row r="15" spans="1:10" s="8" customFormat="1" ht="38.25" x14ac:dyDescent="0.2">
      <c r="A15" s="30" t="s">
        <v>4</v>
      </c>
      <c r="B15" s="30" t="s">
        <v>3</v>
      </c>
      <c r="C15" s="75" t="s">
        <v>225</v>
      </c>
      <c r="D15" s="24">
        <f t="shared" si="2"/>
        <v>117</v>
      </c>
      <c r="E15" s="24">
        <f t="shared" si="3"/>
        <v>125</v>
      </c>
      <c r="F15" s="27">
        <v>9</v>
      </c>
      <c r="G15" s="31" t="s">
        <v>37</v>
      </c>
      <c r="H15" s="64" t="s">
        <v>155</v>
      </c>
      <c r="I15" s="64" t="s">
        <v>156</v>
      </c>
    </row>
    <row r="16" spans="1:10" s="8" customFormat="1" ht="114.75" x14ac:dyDescent="0.2">
      <c r="A16" s="75" t="s">
        <v>4</v>
      </c>
      <c r="B16" s="75" t="s">
        <v>4</v>
      </c>
      <c r="C16" s="30"/>
      <c r="D16" s="24">
        <f t="shared" si="2"/>
        <v>126</v>
      </c>
      <c r="E16" s="24">
        <f t="shared" si="3"/>
        <v>127</v>
      </c>
      <c r="F16" s="27">
        <v>2</v>
      </c>
      <c r="G16" s="72" t="s">
        <v>265</v>
      </c>
      <c r="H16" s="123" t="s">
        <v>228</v>
      </c>
      <c r="I16" s="123" t="s">
        <v>359</v>
      </c>
    </row>
    <row r="17" spans="1:9" s="8" customFormat="1" ht="114.75" x14ac:dyDescent="0.2">
      <c r="A17" s="75" t="s">
        <v>4</v>
      </c>
      <c r="B17" s="75" t="s">
        <v>4</v>
      </c>
      <c r="C17" s="30" t="s">
        <v>143</v>
      </c>
      <c r="D17" s="24">
        <f t="shared" si="2"/>
        <v>128</v>
      </c>
      <c r="E17" s="24">
        <f t="shared" si="3"/>
        <v>129</v>
      </c>
      <c r="F17" s="27">
        <v>2</v>
      </c>
      <c r="G17" s="31" t="s">
        <v>93</v>
      </c>
      <c r="H17" s="123" t="s">
        <v>229</v>
      </c>
      <c r="I17" s="124" t="s">
        <v>148</v>
      </c>
    </row>
    <row r="18" spans="1:9" s="8" customFormat="1" x14ac:dyDescent="0.2">
      <c r="A18" s="75"/>
      <c r="B18" s="75"/>
      <c r="C18" s="30"/>
      <c r="D18" s="24">
        <f t="shared" si="2"/>
        <v>130</v>
      </c>
      <c r="E18" s="24">
        <f t="shared" ref="E18:E27" si="4">D18+F18-1</f>
        <v>130</v>
      </c>
      <c r="F18" s="27">
        <v>1</v>
      </c>
      <c r="G18" s="72" t="s">
        <v>151</v>
      </c>
      <c r="H18" s="123"/>
      <c r="I18" s="123"/>
    </row>
    <row r="19" spans="1:9" s="8" customFormat="1" ht="102" x14ac:dyDescent="0.2">
      <c r="A19" s="30" t="s">
        <v>3</v>
      </c>
      <c r="B19" s="30" t="s">
        <v>3</v>
      </c>
      <c r="C19" s="30" t="s">
        <v>143</v>
      </c>
      <c r="D19" s="24">
        <f t="shared" si="2"/>
        <v>131</v>
      </c>
      <c r="E19" s="24">
        <f t="shared" si="4"/>
        <v>132</v>
      </c>
      <c r="F19" s="27">
        <v>2</v>
      </c>
      <c r="G19" s="31" t="s">
        <v>15</v>
      </c>
      <c r="H19" s="123" t="s">
        <v>224</v>
      </c>
      <c r="I19" s="149" t="s">
        <v>427</v>
      </c>
    </row>
    <row r="20" spans="1:9" s="8" customFormat="1" ht="118.5" customHeight="1" x14ac:dyDescent="0.2">
      <c r="A20" s="30" t="s">
        <v>3</v>
      </c>
      <c r="B20" s="30" t="s">
        <v>3</v>
      </c>
      <c r="C20" s="30"/>
      <c r="D20" s="24">
        <f t="shared" si="2"/>
        <v>133</v>
      </c>
      <c r="E20" s="24">
        <f t="shared" si="4"/>
        <v>133</v>
      </c>
      <c r="F20" s="27">
        <v>1</v>
      </c>
      <c r="G20" s="72" t="s">
        <v>33</v>
      </c>
      <c r="H20" s="125" t="s">
        <v>397</v>
      </c>
      <c r="I20" s="123" t="s">
        <v>360</v>
      </c>
    </row>
    <row r="21" spans="1:9" s="8" customFormat="1" x14ac:dyDescent="0.2">
      <c r="A21" s="75"/>
      <c r="B21" s="75"/>
      <c r="C21" s="30"/>
      <c r="D21" s="24">
        <f t="shared" si="2"/>
        <v>134</v>
      </c>
      <c r="E21" s="24">
        <f t="shared" si="4"/>
        <v>134</v>
      </c>
      <c r="F21" s="27">
        <v>1</v>
      </c>
      <c r="G21" s="72" t="s">
        <v>151</v>
      </c>
      <c r="H21" s="123"/>
      <c r="I21" s="29"/>
    </row>
    <row r="22" spans="1:9" s="8" customFormat="1" ht="46.5" customHeight="1" x14ac:dyDescent="0.2">
      <c r="A22" s="30" t="s">
        <v>3</v>
      </c>
      <c r="B22" s="30" t="s">
        <v>3</v>
      </c>
      <c r="C22" s="75" t="s">
        <v>225</v>
      </c>
      <c r="D22" s="24">
        <f t="shared" si="2"/>
        <v>135</v>
      </c>
      <c r="E22" s="24">
        <f t="shared" si="4"/>
        <v>136</v>
      </c>
      <c r="F22" s="27">
        <v>2</v>
      </c>
      <c r="G22" s="31" t="s">
        <v>94</v>
      </c>
      <c r="H22" s="150" t="s">
        <v>476</v>
      </c>
      <c r="I22" s="175" t="s">
        <v>479</v>
      </c>
    </row>
    <row r="23" spans="1:9" s="8" customFormat="1" ht="31.5" customHeight="1" x14ac:dyDescent="0.2">
      <c r="A23" s="30" t="s">
        <v>3</v>
      </c>
      <c r="B23" s="30" t="s">
        <v>3</v>
      </c>
      <c r="C23" s="75" t="s">
        <v>225</v>
      </c>
      <c r="D23" s="24">
        <f t="shared" ref="D23:D37" si="5">D22+F22</f>
        <v>137</v>
      </c>
      <c r="E23" s="24">
        <f t="shared" si="4"/>
        <v>138</v>
      </c>
      <c r="F23" s="27">
        <v>2</v>
      </c>
      <c r="G23" s="31" t="s">
        <v>95</v>
      </c>
      <c r="H23" s="150" t="s">
        <v>477</v>
      </c>
      <c r="I23" s="176"/>
    </row>
    <row r="24" spans="1:9" s="8" customFormat="1" ht="38.25" customHeight="1" x14ac:dyDescent="0.2">
      <c r="A24" s="30" t="s">
        <v>3</v>
      </c>
      <c r="B24" s="30" t="s">
        <v>3</v>
      </c>
      <c r="C24" s="75" t="s">
        <v>225</v>
      </c>
      <c r="D24" s="24">
        <f t="shared" si="5"/>
        <v>139</v>
      </c>
      <c r="E24" s="24">
        <f t="shared" si="4"/>
        <v>142</v>
      </c>
      <c r="F24" s="27">
        <v>4</v>
      </c>
      <c r="G24" s="31" t="s">
        <v>96</v>
      </c>
      <c r="H24" s="123" t="s">
        <v>288</v>
      </c>
      <c r="I24" s="176"/>
    </row>
    <row r="25" spans="1:9" s="8" customFormat="1" ht="53.25" customHeight="1" x14ac:dyDescent="0.2">
      <c r="A25" s="75" t="s">
        <v>4</v>
      </c>
      <c r="B25" s="75" t="s">
        <v>4</v>
      </c>
      <c r="C25" s="30"/>
      <c r="D25" s="24">
        <f t="shared" si="5"/>
        <v>143</v>
      </c>
      <c r="E25" s="24">
        <f t="shared" si="4"/>
        <v>143</v>
      </c>
      <c r="F25" s="27">
        <v>1</v>
      </c>
      <c r="G25" s="31" t="s">
        <v>39</v>
      </c>
      <c r="H25" s="126" t="s">
        <v>230</v>
      </c>
      <c r="I25" s="123" t="s">
        <v>359</v>
      </c>
    </row>
    <row r="26" spans="1:9" s="8" customFormat="1" ht="72.75" customHeight="1" x14ac:dyDescent="0.2">
      <c r="A26" s="30" t="s">
        <v>3</v>
      </c>
      <c r="B26" s="30" t="s">
        <v>3</v>
      </c>
      <c r="C26" s="75" t="s">
        <v>226</v>
      </c>
      <c r="D26" s="24">
        <f t="shared" si="5"/>
        <v>144</v>
      </c>
      <c r="E26" s="24">
        <f t="shared" si="4"/>
        <v>144</v>
      </c>
      <c r="F26" s="27">
        <v>1</v>
      </c>
      <c r="G26" s="31" t="s">
        <v>38</v>
      </c>
      <c r="H26" s="126" t="s">
        <v>16</v>
      </c>
      <c r="I26" s="151" t="s">
        <v>428</v>
      </c>
    </row>
    <row r="27" spans="1:9" s="8" customFormat="1" x14ac:dyDescent="0.2">
      <c r="A27" s="75"/>
      <c r="B27" s="75"/>
      <c r="C27" s="30"/>
      <c r="D27" s="74">
        <f t="shared" si="5"/>
        <v>145</v>
      </c>
      <c r="E27" s="74">
        <f t="shared" si="4"/>
        <v>145</v>
      </c>
      <c r="F27" s="74">
        <v>1</v>
      </c>
      <c r="G27" s="72" t="s">
        <v>151</v>
      </c>
      <c r="H27" s="125"/>
      <c r="I27" s="125"/>
    </row>
    <row r="28" spans="1:9" s="8" customFormat="1" ht="114.75" x14ac:dyDescent="0.2">
      <c r="A28" s="30" t="s">
        <v>3</v>
      </c>
      <c r="B28" s="30" t="s">
        <v>3</v>
      </c>
      <c r="C28" s="75" t="s">
        <v>226</v>
      </c>
      <c r="D28" s="74">
        <f t="shared" si="5"/>
        <v>146</v>
      </c>
      <c r="E28" s="74">
        <f t="shared" ref="E28:E37" si="6">D28+F28-1</f>
        <v>146</v>
      </c>
      <c r="F28" s="27">
        <v>1</v>
      </c>
      <c r="G28" s="72" t="s">
        <v>171</v>
      </c>
      <c r="H28" s="125" t="s">
        <v>285</v>
      </c>
      <c r="I28" s="151" t="s">
        <v>429</v>
      </c>
    </row>
    <row r="29" spans="1:9" s="8" customFormat="1" ht="54" customHeight="1" x14ac:dyDescent="0.2">
      <c r="A29" s="75" t="s">
        <v>4</v>
      </c>
      <c r="B29" s="75" t="s">
        <v>4</v>
      </c>
      <c r="C29" s="30"/>
      <c r="D29" s="24">
        <f t="shared" si="5"/>
        <v>147</v>
      </c>
      <c r="E29" s="24">
        <f t="shared" si="6"/>
        <v>147</v>
      </c>
      <c r="F29" s="35">
        <v>1</v>
      </c>
      <c r="G29" s="72" t="s">
        <v>267</v>
      </c>
      <c r="H29" s="126" t="s">
        <v>231</v>
      </c>
      <c r="I29" s="122" t="s">
        <v>352</v>
      </c>
    </row>
    <row r="30" spans="1:9" s="8" customFormat="1" ht="76.5" x14ac:dyDescent="0.2">
      <c r="A30" s="30" t="s">
        <v>4</v>
      </c>
      <c r="B30" s="30" t="s">
        <v>4</v>
      </c>
      <c r="C30" s="30"/>
      <c r="D30" s="24">
        <f t="shared" si="5"/>
        <v>148</v>
      </c>
      <c r="E30" s="24">
        <f t="shared" si="6"/>
        <v>148</v>
      </c>
      <c r="F30" s="27">
        <v>1</v>
      </c>
      <c r="G30" s="31" t="s">
        <v>30</v>
      </c>
      <c r="H30" s="126" t="s">
        <v>232</v>
      </c>
      <c r="I30" s="123" t="s">
        <v>378</v>
      </c>
    </row>
    <row r="31" spans="1:9" s="8" customFormat="1" ht="69" customHeight="1" x14ac:dyDescent="0.2">
      <c r="A31" s="30" t="s">
        <v>3</v>
      </c>
      <c r="B31" s="30" t="s">
        <v>3</v>
      </c>
      <c r="C31" s="30" t="s">
        <v>142</v>
      </c>
      <c r="D31" s="24">
        <f t="shared" si="5"/>
        <v>149</v>
      </c>
      <c r="E31" s="24">
        <f t="shared" si="6"/>
        <v>149</v>
      </c>
      <c r="F31" s="27">
        <v>1</v>
      </c>
      <c r="G31" s="31" t="s">
        <v>31</v>
      </c>
      <c r="H31" s="126" t="s">
        <v>76</v>
      </c>
      <c r="I31" s="149" t="s">
        <v>430</v>
      </c>
    </row>
    <row r="32" spans="1:9" s="8" customFormat="1" ht="63.75" x14ac:dyDescent="0.2">
      <c r="A32" s="30" t="s">
        <v>3</v>
      </c>
      <c r="B32" s="30" t="s">
        <v>3</v>
      </c>
      <c r="C32" s="30"/>
      <c r="D32" s="24">
        <f t="shared" si="5"/>
        <v>150</v>
      </c>
      <c r="E32" s="24">
        <f t="shared" si="6"/>
        <v>150</v>
      </c>
      <c r="F32" s="27">
        <v>1</v>
      </c>
      <c r="G32" s="72" t="s">
        <v>269</v>
      </c>
      <c r="H32" s="122" t="s">
        <v>296</v>
      </c>
      <c r="I32" s="122" t="s">
        <v>360</v>
      </c>
    </row>
    <row r="33" spans="1:9" s="8" customFormat="1" ht="51" x14ac:dyDescent="0.2">
      <c r="A33" s="30" t="s">
        <v>4</v>
      </c>
      <c r="B33" s="75" t="s">
        <v>4</v>
      </c>
      <c r="C33" s="30"/>
      <c r="D33" s="24">
        <f t="shared" si="5"/>
        <v>151</v>
      </c>
      <c r="E33" s="24">
        <f t="shared" si="6"/>
        <v>152</v>
      </c>
      <c r="F33" s="27">
        <v>2</v>
      </c>
      <c r="G33" s="72" t="s">
        <v>349</v>
      </c>
      <c r="H33" s="123" t="s">
        <v>270</v>
      </c>
      <c r="I33" s="123" t="s">
        <v>393</v>
      </c>
    </row>
    <row r="34" spans="1:9" s="8" customFormat="1" ht="38.25" x14ac:dyDescent="0.2">
      <c r="A34" s="30" t="s">
        <v>4</v>
      </c>
      <c r="B34" s="75" t="s">
        <v>4</v>
      </c>
      <c r="C34" s="30"/>
      <c r="D34" s="24">
        <f t="shared" si="5"/>
        <v>153</v>
      </c>
      <c r="E34" s="24">
        <f t="shared" si="6"/>
        <v>153</v>
      </c>
      <c r="F34" s="27">
        <v>1</v>
      </c>
      <c r="G34" s="72" t="s">
        <v>381</v>
      </c>
      <c r="H34" s="126" t="s">
        <v>233</v>
      </c>
      <c r="I34" s="123" t="s">
        <v>378</v>
      </c>
    </row>
    <row r="35" spans="1:9" s="8" customFormat="1" ht="59.25" customHeight="1" x14ac:dyDescent="0.2">
      <c r="A35" s="30" t="s">
        <v>3</v>
      </c>
      <c r="B35" s="30" t="s">
        <v>3</v>
      </c>
      <c r="C35" s="30" t="s">
        <v>142</v>
      </c>
      <c r="D35" s="24">
        <f t="shared" si="5"/>
        <v>154</v>
      </c>
      <c r="E35" s="24">
        <f t="shared" si="6"/>
        <v>154</v>
      </c>
      <c r="F35" s="27">
        <v>1</v>
      </c>
      <c r="G35" s="31" t="s">
        <v>40</v>
      </c>
      <c r="H35" s="126" t="s">
        <v>41</v>
      </c>
      <c r="I35" s="149" t="s">
        <v>430</v>
      </c>
    </row>
    <row r="36" spans="1:9" s="8" customFormat="1" ht="111.75" customHeight="1" x14ac:dyDescent="0.2">
      <c r="A36" s="30" t="s">
        <v>3</v>
      </c>
      <c r="B36" s="30" t="s">
        <v>3</v>
      </c>
      <c r="C36" s="30"/>
      <c r="D36" s="24">
        <f t="shared" si="5"/>
        <v>155</v>
      </c>
      <c r="E36" s="24">
        <f t="shared" si="6"/>
        <v>156</v>
      </c>
      <c r="F36" s="27">
        <v>2</v>
      </c>
      <c r="G36" s="72" t="s">
        <v>272</v>
      </c>
      <c r="H36" s="123" t="s">
        <v>333</v>
      </c>
      <c r="I36" s="152" t="s">
        <v>431</v>
      </c>
    </row>
    <row r="37" spans="1:9" s="8" customFormat="1" ht="242.25" x14ac:dyDescent="0.2">
      <c r="A37" s="75" t="s">
        <v>4</v>
      </c>
      <c r="B37" s="75" t="s">
        <v>4</v>
      </c>
      <c r="C37" s="30"/>
      <c r="D37" s="24">
        <f t="shared" si="5"/>
        <v>157</v>
      </c>
      <c r="E37" s="24">
        <f t="shared" si="6"/>
        <v>158</v>
      </c>
      <c r="F37" s="27">
        <v>2</v>
      </c>
      <c r="G37" s="36" t="s">
        <v>42</v>
      </c>
      <c r="H37" s="153" t="s">
        <v>419</v>
      </c>
      <c r="I37" s="154" t="s">
        <v>432</v>
      </c>
    </row>
    <row r="38" spans="1:9" s="8" customFormat="1" x14ac:dyDescent="0.2">
      <c r="A38" s="30"/>
      <c r="B38" s="30"/>
      <c r="C38" s="30"/>
      <c r="D38" s="24"/>
      <c r="E38" s="24"/>
      <c r="F38" s="27"/>
      <c r="G38" s="43" t="s">
        <v>350</v>
      </c>
      <c r="H38" s="128"/>
      <c r="I38" s="123" t="s">
        <v>378</v>
      </c>
    </row>
    <row r="39" spans="1:9" s="8" customFormat="1" x14ac:dyDescent="0.2">
      <c r="A39" s="75" t="s">
        <v>4</v>
      </c>
      <c r="B39" s="75" t="s">
        <v>4</v>
      </c>
      <c r="C39" s="30"/>
      <c r="D39" s="24">
        <f>D37+F37</f>
        <v>159</v>
      </c>
      <c r="E39" s="24">
        <f>D39+F39-1</f>
        <v>159</v>
      </c>
      <c r="F39" s="27">
        <v>1</v>
      </c>
      <c r="G39" s="31" t="s">
        <v>97</v>
      </c>
      <c r="H39" s="174" t="s">
        <v>234</v>
      </c>
      <c r="I39" s="191" t="s">
        <v>22</v>
      </c>
    </row>
    <row r="40" spans="1:9" s="8" customFormat="1" x14ac:dyDescent="0.2">
      <c r="A40" s="75" t="s">
        <v>4</v>
      </c>
      <c r="B40" s="75" t="s">
        <v>4</v>
      </c>
      <c r="C40" s="30"/>
      <c r="D40" s="24">
        <f>D39+F39</f>
        <v>160</v>
      </c>
      <c r="E40" s="24">
        <f>D40+F40-1</f>
        <v>160</v>
      </c>
      <c r="F40" s="27">
        <v>1</v>
      </c>
      <c r="G40" s="31" t="s">
        <v>98</v>
      </c>
      <c r="H40" s="174"/>
      <c r="I40" s="191"/>
    </row>
    <row r="41" spans="1:9" s="8" customFormat="1" x14ac:dyDescent="0.2">
      <c r="A41" s="156" t="s">
        <v>4</v>
      </c>
      <c r="B41" s="156" t="s">
        <v>4</v>
      </c>
      <c r="C41" s="30"/>
      <c r="D41" s="24">
        <f>D40+F40</f>
        <v>161</v>
      </c>
      <c r="E41" s="24">
        <f>D41+F41-1</f>
        <v>161</v>
      </c>
      <c r="F41" s="27">
        <v>1</v>
      </c>
      <c r="G41" s="155" t="s">
        <v>420</v>
      </c>
      <c r="H41" s="174"/>
      <c r="I41" s="191"/>
    </row>
    <row r="42" spans="1:9" s="8" customFormat="1" x14ac:dyDescent="0.2">
      <c r="A42" s="75" t="s">
        <v>4</v>
      </c>
      <c r="B42" s="75" t="s">
        <v>4</v>
      </c>
      <c r="C42" s="30"/>
      <c r="D42" s="24">
        <f t="shared" ref="D42:D62" si="7">D41+F41</f>
        <v>162</v>
      </c>
      <c r="E42" s="24">
        <f t="shared" ref="E42:E62" si="8">D42+F42-1</f>
        <v>162</v>
      </c>
      <c r="F42" s="27">
        <v>1</v>
      </c>
      <c r="G42" s="31" t="s">
        <v>99</v>
      </c>
      <c r="H42" s="174"/>
      <c r="I42" s="191"/>
    </row>
    <row r="43" spans="1:9" s="8" customFormat="1" x14ac:dyDescent="0.2">
      <c r="A43" s="75" t="s">
        <v>4</v>
      </c>
      <c r="B43" s="75" t="s">
        <v>4</v>
      </c>
      <c r="C43" s="30"/>
      <c r="D43" s="24">
        <f t="shared" si="7"/>
        <v>163</v>
      </c>
      <c r="E43" s="24">
        <f t="shared" si="8"/>
        <v>163</v>
      </c>
      <c r="F43" s="27">
        <v>1</v>
      </c>
      <c r="G43" s="31" t="s">
        <v>100</v>
      </c>
      <c r="H43" s="174"/>
      <c r="I43" s="191"/>
    </row>
    <row r="44" spans="1:9" s="8" customFormat="1" x14ac:dyDescent="0.2">
      <c r="A44" s="75" t="s">
        <v>4</v>
      </c>
      <c r="B44" s="75" t="s">
        <v>4</v>
      </c>
      <c r="C44" s="30"/>
      <c r="D44" s="24">
        <f t="shared" si="7"/>
        <v>164</v>
      </c>
      <c r="E44" s="24">
        <f t="shared" si="8"/>
        <v>164</v>
      </c>
      <c r="F44" s="27">
        <v>1</v>
      </c>
      <c r="G44" s="31" t="s">
        <v>101</v>
      </c>
      <c r="H44" s="174"/>
      <c r="I44" s="191"/>
    </row>
    <row r="45" spans="1:9" s="8" customFormat="1" x14ac:dyDescent="0.2">
      <c r="A45" s="75" t="s">
        <v>4</v>
      </c>
      <c r="B45" s="75" t="s">
        <v>4</v>
      </c>
      <c r="C45" s="30"/>
      <c r="D45" s="24">
        <f t="shared" si="7"/>
        <v>165</v>
      </c>
      <c r="E45" s="24">
        <f t="shared" si="8"/>
        <v>165</v>
      </c>
      <c r="F45" s="27">
        <v>1</v>
      </c>
      <c r="G45" s="31" t="s">
        <v>102</v>
      </c>
      <c r="H45" s="174"/>
      <c r="I45" s="191"/>
    </row>
    <row r="46" spans="1:9" s="8" customFormat="1" x14ac:dyDescent="0.2">
      <c r="A46" s="75" t="s">
        <v>4</v>
      </c>
      <c r="B46" s="75" t="s">
        <v>4</v>
      </c>
      <c r="C46" s="30"/>
      <c r="D46" s="24">
        <f t="shared" si="7"/>
        <v>166</v>
      </c>
      <c r="E46" s="24">
        <f t="shared" si="8"/>
        <v>166</v>
      </c>
      <c r="F46" s="27">
        <v>1</v>
      </c>
      <c r="G46" s="31" t="s">
        <v>103</v>
      </c>
      <c r="H46" s="174"/>
      <c r="I46" s="191"/>
    </row>
    <row r="47" spans="1:9" s="8" customFormat="1" x14ac:dyDescent="0.2">
      <c r="A47" s="75" t="s">
        <v>4</v>
      </c>
      <c r="B47" s="75" t="s">
        <v>4</v>
      </c>
      <c r="C47" s="30"/>
      <c r="D47" s="24">
        <f t="shared" si="7"/>
        <v>167</v>
      </c>
      <c r="E47" s="24">
        <f t="shared" si="8"/>
        <v>167</v>
      </c>
      <c r="F47" s="27">
        <v>1</v>
      </c>
      <c r="G47" s="31" t="s">
        <v>104</v>
      </c>
      <c r="H47" s="174"/>
      <c r="I47" s="191"/>
    </row>
    <row r="48" spans="1:9" s="8" customFormat="1" x14ac:dyDescent="0.2">
      <c r="A48" s="75" t="s">
        <v>4</v>
      </c>
      <c r="B48" s="75" t="s">
        <v>4</v>
      </c>
      <c r="C48" s="30"/>
      <c r="D48" s="24">
        <f t="shared" si="7"/>
        <v>168</v>
      </c>
      <c r="E48" s="24">
        <f t="shared" si="8"/>
        <v>168</v>
      </c>
      <c r="F48" s="27">
        <v>1</v>
      </c>
      <c r="G48" s="31" t="s">
        <v>105</v>
      </c>
      <c r="H48" s="174"/>
      <c r="I48" s="191"/>
    </row>
    <row r="49" spans="1:9" s="8" customFormat="1" x14ac:dyDescent="0.2">
      <c r="A49" s="75" t="s">
        <v>4</v>
      </c>
      <c r="B49" s="75" t="s">
        <v>4</v>
      </c>
      <c r="C49" s="30"/>
      <c r="D49" s="24">
        <f t="shared" si="7"/>
        <v>169</v>
      </c>
      <c r="E49" s="24">
        <f t="shared" si="8"/>
        <v>169</v>
      </c>
      <c r="F49" s="27">
        <v>1</v>
      </c>
      <c r="G49" s="31" t="s">
        <v>106</v>
      </c>
      <c r="H49" s="174"/>
      <c r="I49" s="191"/>
    </row>
    <row r="50" spans="1:9" s="8" customFormat="1" x14ac:dyDescent="0.2">
      <c r="A50" s="75" t="s">
        <v>4</v>
      </c>
      <c r="B50" s="75" t="s">
        <v>4</v>
      </c>
      <c r="C50" s="30"/>
      <c r="D50" s="24">
        <f t="shared" si="7"/>
        <v>170</v>
      </c>
      <c r="E50" s="24">
        <f t="shared" si="8"/>
        <v>170</v>
      </c>
      <c r="F50" s="27">
        <v>1</v>
      </c>
      <c r="G50" s="31" t="s">
        <v>107</v>
      </c>
      <c r="H50" s="174"/>
      <c r="I50" s="191"/>
    </row>
    <row r="51" spans="1:9" s="8" customFormat="1" x14ac:dyDescent="0.2">
      <c r="A51" s="75" t="s">
        <v>4</v>
      </c>
      <c r="B51" s="75" t="s">
        <v>4</v>
      </c>
      <c r="C51" s="30"/>
      <c r="D51" s="24">
        <f t="shared" si="7"/>
        <v>171</v>
      </c>
      <c r="E51" s="24">
        <f t="shared" si="8"/>
        <v>171</v>
      </c>
      <c r="F51" s="27">
        <v>1</v>
      </c>
      <c r="G51" s="31" t="s">
        <v>108</v>
      </c>
      <c r="H51" s="174"/>
      <c r="I51" s="191"/>
    </row>
    <row r="52" spans="1:9" s="8" customFormat="1" x14ac:dyDescent="0.2">
      <c r="A52" s="75" t="s">
        <v>4</v>
      </c>
      <c r="B52" s="75" t="s">
        <v>4</v>
      </c>
      <c r="C52" s="30"/>
      <c r="D52" s="24">
        <f t="shared" si="7"/>
        <v>172</v>
      </c>
      <c r="E52" s="24">
        <f t="shared" si="8"/>
        <v>172</v>
      </c>
      <c r="F52" s="27">
        <v>1</v>
      </c>
      <c r="G52" s="31" t="s">
        <v>109</v>
      </c>
      <c r="H52" s="174"/>
      <c r="I52" s="191"/>
    </row>
    <row r="53" spans="1:9" s="8" customFormat="1" x14ac:dyDescent="0.2">
      <c r="A53" s="75" t="s">
        <v>4</v>
      </c>
      <c r="B53" s="75" t="s">
        <v>4</v>
      </c>
      <c r="C53" s="30"/>
      <c r="D53" s="24">
        <f t="shared" si="7"/>
        <v>173</v>
      </c>
      <c r="E53" s="24">
        <f t="shared" si="8"/>
        <v>173</v>
      </c>
      <c r="F53" s="27">
        <v>1</v>
      </c>
      <c r="G53" s="31" t="s">
        <v>110</v>
      </c>
      <c r="H53" s="174"/>
      <c r="I53" s="191"/>
    </row>
    <row r="54" spans="1:9" s="8" customFormat="1" x14ac:dyDescent="0.2">
      <c r="A54" s="75" t="s">
        <v>4</v>
      </c>
      <c r="B54" s="75" t="s">
        <v>4</v>
      </c>
      <c r="C54" s="30"/>
      <c r="D54" s="24">
        <f t="shared" si="7"/>
        <v>174</v>
      </c>
      <c r="E54" s="24">
        <f t="shared" si="8"/>
        <v>174</v>
      </c>
      <c r="F54" s="27">
        <v>1</v>
      </c>
      <c r="G54" s="31" t="s">
        <v>111</v>
      </c>
      <c r="H54" s="174"/>
      <c r="I54" s="191"/>
    </row>
    <row r="55" spans="1:9" s="8" customFormat="1" x14ac:dyDescent="0.2">
      <c r="A55" s="75" t="s">
        <v>4</v>
      </c>
      <c r="B55" s="75" t="s">
        <v>4</v>
      </c>
      <c r="C55" s="30"/>
      <c r="D55" s="24">
        <f t="shared" si="7"/>
        <v>175</v>
      </c>
      <c r="E55" s="24">
        <f t="shared" si="8"/>
        <v>175</v>
      </c>
      <c r="F55" s="27">
        <v>1</v>
      </c>
      <c r="G55" s="31" t="s">
        <v>112</v>
      </c>
      <c r="H55" s="174"/>
      <c r="I55" s="191"/>
    </row>
    <row r="56" spans="1:9" s="8" customFormat="1" ht="255" x14ac:dyDescent="0.2">
      <c r="A56" s="30" t="s">
        <v>3</v>
      </c>
      <c r="B56" s="30" t="s">
        <v>3</v>
      </c>
      <c r="C56" s="30" t="s">
        <v>142</v>
      </c>
      <c r="D56" s="24">
        <f t="shared" si="7"/>
        <v>176</v>
      </c>
      <c r="E56" s="24">
        <f t="shared" si="8"/>
        <v>177</v>
      </c>
      <c r="F56" s="27">
        <v>2</v>
      </c>
      <c r="G56" s="133" t="s">
        <v>382</v>
      </c>
      <c r="H56" s="153" t="s">
        <v>421</v>
      </c>
      <c r="I56" s="149" t="s">
        <v>433</v>
      </c>
    </row>
    <row r="57" spans="1:9" s="8" customFormat="1" x14ac:dyDescent="0.2">
      <c r="A57" s="30"/>
      <c r="B57" s="30"/>
      <c r="C57" s="30"/>
      <c r="D57" s="24"/>
      <c r="E57" s="24"/>
      <c r="F57" s="27"/>
      <c r="G57" s="62" t="s">
        <v>55</v>
      </c>
      <c r="H57" s="128"/>
      <c r="I57" s="123" t="s">
        <v>378</v>
      </c>
    </row>
    <row r="58" spans="1:9" s="8" customFormat="1" x14ac:dyDescent="0.2">
      <c r="A58" s="30" t="s">
        <v>3</v>
      </c>
      <c r="B58" s="30" t="s">
        <v>3</v>
      </c>
      <c r="C58" s="30" t="s">
        <v>142</v>
      </c>
      <c r="D58" s="24">
        <f>D56+F56</f>
        <v>178</v>
      </c>
      <c r="E58" s="24">
        <f>D58+F58-1</f>
        <v>178</v>
      </c>
      <c r="F58" s="27">
        <v>1</v>
      </c>
      <c r="G58" s="36" t="s">
        <v>113</v>
      </c>
      <c r="H58" s="173" t="s">
        <v>234</v>
      </c>
      <c r="I58" s="37"/>
    </row>
    <row r="59" spans="1:9" s="8" customFormat="1" x14ac:dyDescent="0.2">
      <c r="A59" s="30" t="s">
        <v>3</v>
      </c>
      <c r="B59" s="30" t="s">
        <v>3</v>
      </c>
      <c r="C59" s="30" t="s">
        <v>142</v>
      </c>
      <c r="D59" s="24">
        <f>D58+F58</f>
        <v>179</v>
      </c>
      <c r="E59" s="24">
        <f>D59+F59-1</f>
        <v>179</v>
      </c>
      <c r="F59" s="27">
        <v>1</v>
      </c>
      <c r="G59" s="36" t="s">
        <v>114</v>
      </c>
      <c r="H59" s="173"/>
      <c r="I59" s="37"/>
    </row>
    <row r="60" spans="1:9" s="8" customFormat="1" x14ac:dyDescent="0.2">
      <c r="A60" s="30" t="s">
        <v>3</v>
      </c>
      <c r="B60" s="30" t="s">
        <v>3</v>
      </c>
      <c r="C60" s="30" t="s">
        <v>142</v>
      </c>
      <c r="D60" s="24">
        <f>D59+F59</f>
        <v>180</v>
      </c>
      <c r="E60" s="24">
        <f>D60+F60-1</f>
        <v>180</v>
      </c>
      <c r="F60" s="27">
        <v>1</v>
      </c>
      <c r="G60" s="36" t="s">
        <v>115</v>
      </c>
      <c r="H60" s="173"/>
      <c r="I60" s="37"/>
    </row>
    <row r="61" spans="1:9" s="8" customFormat="1" ht="51" x14ac:dyDescent="0.2">
      <c r="A61" s="75" t="s">
        <v>4</v>
      </c>
      <c r="B61" s="75" t="s">
        <v>4</v>
      </c>
      <c r="C61" s="30"/>
      <c r="D61" s="24">
        <f>D60+F60</f>
        <v>181</v>
      </c>
      <c r="E61" s="24">
        <f>D61+F61-1</f>
        <v>181</v>
      </c>
      <c r="F61" s="27">
        <v>1</v>
      </c>
      <c r="G61" s="72" t="s">
        <v>278</v>
      </c>
      <c r="H61" s="126" t="s">
        <v>235</v>
      </c>
      <c r="I61" s="123" t="s">
        <v>352</v>
      </c>
    </row>
    <row r="62" spans="1:9" s="8" customFormat="1" ht="38.25" x14ac:dyDescent="0.2">
      <c r="A62" s="75" t="s">
        <v>4</v>
      </c>
      <c r="B62" s="75" t="s">
        <v>4</v>
      </c>
      <c r="C62" s="30"/>
      <c r="D62" s="24">
        <f t="shared" si="7"/>
        <v>182</v>
      </c>
      <c r="E62" s="24">
        <f t="shared" si="8"/>
        <v>182</v>
      </c>
      <c r="F62" s="27">
        <v>1</v>
      </c>
      <c r="G62" s="31" t="s">
        <v>32</v>
      </c>
      <c r="H62" s="126" t="s">
        <v>236</v>
      </c>
      <c r="I62" s="123" t="s">
        <v>378</v>
      </c>
    </row>
    <row r="63" spans="1:9" s="8" customFormat="1" ht="52.5" customHeight="1" x14ac:dyDescent="0.2">
      <c r="A63" s="30" t="s">
        <v>3</v>
      </c>
      <c r="B63" s="30" t="s">
        <v>3</v>
      </c>
      <c r="C63" s="30" t="s">
        <v>142</v>
      </c>
      <c r="D63" s="24">
        <f t="shared" ref="D63:D72" si="9">D62+F62</f>
        <v>183</v>
      </c>
      <c r="E63" s="24">
        <f t="shared" ref="E63:E72" si="10">D63+F63-1</f>
        <v>183</v>
      </c>
      <c r="F63" s="27">
        <v>1</v>
      </c>
      <c r="G63" s="31" t="s">
        <v>24</v>
      </c>
      <c r="H63" s="126" t="s">
        <v>9</v>
      </c>
      <c r="I63" s="149" t="s">
        <v>434</v>
      </c>
    </row>
    <row r="64" spans="1:9" s="8" customFormat="1" ht="38.25" x14ac:dyDescent="0.2">
      <c r="A64" s="30" t="s">
        <v>3</v>
      </c>
      <c r="B64" s="30" t="s">
        <v>3</v>
      </c>
      <c r="C64" s="30"/>
      <c r="D64" s="24">
        <f t="shared" si="9"/>
        <v>184</v>
      </c>
      <c r="E64" s="24">
        <f t="shared" si="10"/>
        <v>193</v>
      </c>
      <c r="F64" s="27">
        <v>10</v>
      </c>
      <c r="G64" s="31" t="s">
        <v>57</v>
      </c>
      <c r="H64" s="65" t="s">
        <v>293</v>
      </c>
      <c r="I64" s="123" t="s">
        <v>378</v>
      </c>
    </row>
    <row r="65" spans="1:9" s="8" customFormat="1" ht="63.75" x14ac:dyDescent="0.2">
      <c r="A65" s="75" t="s">
        <v>3</v>
      </c>
      <c r="B65" s="75" t="s">
        <v>3</v>
      </c>
      <c r="C65" s="30"/>
      <c r="D65" s="24">
        <f t="shared" si="9"/>
        <v>194</v>
      </c>
      <c r="E65" s="24">
        <f t="shared" si="10"/>
        <v>196</v>
      </c>
      <c r="F65" s="27">
        <v>3</v>
      </c>
      <c r="G65" s="31" t="s">
        <v>72</v>
      </c>
      <c r="H65" s="123" t="s">
        <v>253</v>
      </c>
      <c r="I65" s="123" t="s">
        <v>378</v>
      </c>
    </row>
    <row r="66" spans="1:9" s="8" customFormat="1" x14ac:dyDescent="0.2">
      <c r="A66" s="75" t="s">
        <v>4</v>
      </c>
      <c r="B66" s="75" t="s">
        <v>4</v>
      </c>
      <c r="C66" s="30"/>
      <c r="D66" s="24">
        <f t="shared" si="9"/>
        <v>197</v>
      </c>
      <c r="E66" s="24">
        <f t="shared" si="10"/>
        <v>216</v>
      </c>
      <c r="F66" s="27">
        <v>20</v>
      </c>
      <c r="G66" s="31" t="s">
        <v>17</v>
      </c>
      <c r="H66" s="126"/>
      <c r="I66" s="124" t="s">
        <v>73</v>
      </c>
    </row>
    <row r="67" spans="1:9" s="8" customFormat="1" x14ac:dyDescent="0.2">
      <c r="A67" s="75" t="s">
        <v>4</v>
      </c>
      <c r="B67" s="75" t="s">
        <v>4</v>
      </c>
      <c r="C67" s="30"/>
      <c r="D67" s="24">
        <f t="shared" si="9"/>
        <v>217</v>
      </c>
      <c r="E67" s="24">
        <f t="shared" si="10"/>
        <v>236</v>
      </c>
      <c r="F67" s="27">
        <v>20</v>
      </c>
      <c r="G67" s="31" t="s">
        <v>18</v>
      </c>
      <c r="H67" s="126"/>
      <c r="I67" s="124" t="s">
        <v>73</v>
      </c>
    </row>
    <row r="68" spans="1:9" s="8" customFormat="1" ht="70.5" customHeight="1" x14ac:dyDescent="0.2">
      <c r="A68" s="75" t="s">
        <v>4</v>
      </c>
      <c r="B68" s="75" t="s">
        <v>4</v>
      </c>
      <c r="C68" s="30"/>
      <c r="D68" s="24">
        <f t="shared" si="9"/>
        <v>237</v>
      </c>
      <c r="E68" s="24">
        <f t="shared" si="10"/>
        <v>245</v>
      </c>
      <c r="F68" s="27">
        <v>9</v>
      </c>
      <c r="G68" s="31" t="s">
        <v>25</v>
      </c>
      <c r="H68" s="123"/>
      <c r="I68" s="154" t="s">
        <v>435</v>
      </c>
    </row>
    <row r="69" spans="1:9" s="8" customFormat="1" ht="42" customHeight="1" x14ac:dyDescent="0.2">
      <c r="A69" s="75" t="s">
        <v>3</v>
      </c>
      <c r="B69" s="75" t="s">
        <v>3</v>
      </c>
      <c r="C69" s="30"/>
      <c r="D69" s="24">
        <f t="shared" si="9"/>
        <v>246</v>
      </c>
      <c r="E69" s="24">
        <f t="shared" si="10"/>
        <v>248</v>
      </c>
      <c r="F69" s="27">
        <v>3</v>
      </c>
      <c r="G69" s="85" t="s">
        <v>280</v>
      </c>
      <c r="H69" s="125" t="s">
        <v>237</v>
      </c>
      <c r="I69" s="181" t="s">
        <v>353</v>
      </c>
    </row>
    <row r="70" spans="1:9" s="8" customFormat="1" ht="52.5" customHeight="1" x14ac:dyDescent="0.2">
      <c r="A70" s="75" t="s">
        <v>3</v>
      </c>
      <c r="B70" s="75" t="s">
        <v>3</v>
      </c>
      <c r="C70" s="30"/>
      <c r="D70" s="24">
        <f t="shared" si="9"/>
        <v>249</v>
      </c>
      <c r="E70" s="24">
        <f t="shared" si="10"/>
        <v>251</v>
      </c>
      <c r="F70" s="27">
        <v>3</v>
      </c>
      <c r="G70" s="121" t="s">
        <v>281</v>
      </c>
      <c r="H70" s="125" t="s">
        <v>238</v>
      </c>
      <c r="I70" s="181"/>
    </row>
    <row r="71" spans="1:9" s="8" customFormat="1" ht="38.25" x14ac:dyDescent="0.2">
      <c r="A71" s="75" t="s">
        <v>3</v>
      </c>
      <c r="B71" s="75" t="s">
        <v>3</v>
      </c>
      <c r="C71" s="168" t="s">
        <v>225</v>
      </c>
      <c r="D71" s="24">
        <f t="shared" si="9"/>
        <v>252</v>
      </c>
      <c r="E71" s="24">
        <f t="shared" si="10"/>
        <v>261</v>
      </c>
      <c r="F71" s="27">
        <v>10</v>
      </c>
      <c r="G71" s="111" t="s">
        <v>277</v>
      </c>
      <c r="H71" s="125" t="s">
        <v>169</v>
      </c>
      <c r="I71" s="123" t="s">
        <v>359</v>
      </c>
    </row>
    <row r="72" spans="1:9" s="8" customFormat="1" x14ac:dyDescent="0.2">
      <c r="A72" s="75" t="s">
        <v>3</v>
      </c>
      <c r="B72" s="75" t="s">
        <v>3</v>
      </c>
      <c r="C72" s="73" t="s">
        <v>143</v>
      </c>
      <c r="D72" s="24">
        <f t="shared" si="9"/>
        <v>262</v>
      </c>
      <c r="E72" s="24">
        <f t="shared" si="10"/>
        <v>267</v>
      </c>
      <c r="F72" s="27">
        <v>6</v>
      </c>
      <c r="G72" s="72" t="s">
        <v>304</v>
      </c>
      <c r="H72" s="130" t="s">
        <v>48</v>
      </c>
      <c r="I72" s="126" t="s">
        <v>0</v>
      </c>
    </row>
    <row r="73" spans="1:9" s="8" customFormat="1" ht="76.5" x14ac:dyDescent="0.2">
      <c r="A73" s="30" t="s">
        <v>4</v>
      </c>
      <c r="B73" s="30" t="s">
        <v>4</v>
      </c>
      <c r="C73" s="30"/>
      <c r="D73" s="24">
        <f>D72+F72</f>
        <v>268</v>
      </c>
      <c r="E73" s="24">
        <f>D73+F73-1</f>
        <v>268</v>
      </c>
      <c r="F73" s="27">
        <v>1</v>
      </c>
      <c r="G73" s="72" t="s">
        <v>274</v>
      </c>
      <c r="H73" s="129" t="s">
        <v>239</v>
      </c>
      <c r="I73" s="123" t="s">
        <v>352</v>
      </c>
    </row>
    <row r="74" spans="1:9" s="8" customFormat="1" ht="63.75" x14ac:dyDescent="0.2">
      <c r="A74" s="30" t="s">
        <v>4</v>
      </c>
      <c r="B74" s="30" t="s">
        <v>4</v>
      </c>
      <c r="C74" s="30"/>
      <c r="D74" s="24">
        <f>D73+F73</f>
        <v>269</v>
      </c>
      <c r="E74" s="24">
        <f>D74+F74-1</f>
        <v>269</v>
      </c>
      <c r="F74" s="27">
        <v>1</v>
      </c>
      <c r="G74" s="31" t="s">
        <v>146</v>
      </c>
      <c r="H74" s="129" t="s">
        <v>240</v>
      </c>
      <c r="I74" s="123" t="s">
        <v>378</v>
      </c>
    </row>
    <row r="75" spans="1:9" s="8" customFormat="1" x14ac:dyDescent="0.2">
      <c r="A75" s="75"/>
      <c r="B75" s="75"/>
      <c r="C75" s="30"/>
      <c r="D75" s="24"/>
      <c r="E75" s="24"/>
      <c r="F75" s="27"/>
      <c r="G75" s="86" t="s">
        <v>172</v>
      </c>
      <c r="H75" s="129"/>
      <c r="I75" s="123" t="s">
        <v>378</v>
      </c>
    </row>
    <row r="76" spans="1:9" s="8" customFormat="1" ht="63.75" x14ac:dyDescent="0.2">
      <c r="A76" s="75" t="s">
        <v>4</v>
      </c>
      <c r="B76" s="75" t="s">
        <v>4</v>
      </c>
      <c r="C76" s="30"/>
      <c r="D76" s="24">
        <f>D74+F74</f>
        <v>270</v>
      </c>
      <c r="E76" s="24">
        <f t="shared" ref="E76:E81" si="11">D76+F76-1</f>
        <v>270</v>
      </c>
      <c r="F76" s="75">
        <v>1</v>
      </c>
      <c r="G76" s="85" t="s">
        <v>181</v>
      </c>
      <c r="H76" s="125" t="s">
        <v>250</v>
      </c>
      <c r="I76" s="125"/>
    </row>
    <row r="77" spans="1:9" s="8" customFormat="1" x14ac:dyDescent="0.2">
      <c r="A77" s="30" t="s">
        <v>4</v>
      </c>
      <c r="B77" s="33" t="s">
        <v>4</v>
      </c>
      <c r="C77" s="30"/>
      <c r="D77" s="24">
        <f>D76+F76</f>
        <v>271</v>
      </c>
      <c r="E77" s="24">
        <f t="shared" si="11"/>
        <v>271</v>
      </c>
      <c r="F77" s="75">
        <v>1</v>
      </c>
      <c r="G77" s="85" t="s">
        <v>302</v>
      </c>
      <c r="H77" s="181" t="s">
        <v>251</v>
      </c>
      <c r="I77" s="125"/>
    </row>
    <row r="78" spans="1:9" s="8" customFormat="1" x14ac:dyDescent="0.2">
      <c r="A78" s="75" t="s">
        <v>4</v>
      </c>
      <c r="B78" s="75" t="s">
        <v>4</v>
      </c>
      <c r="C78" s="30"/>
      <c r="D78" s="24">
        <f>D77+F77</f>
        <v>272</v>
      </c>
      <c r="E78" s="24">
        <f t="shared" si="11"/>
        <v>272</v>
      </c>
      <c r="F78" s="75">
        <v>1</v>
      </c>
      <c r="G78" s="85" t="s">
        <v>182</v>
      </c>
      <c r="H78" s="181"/>
      <c r="I78" s="125"/>
    </row>
    <row r="79" spans="1:9" s="8" customFormat="1" x14ac:dyDescent="0.2">
      <c r="A79" s="75" t="s">
        <v>4</v>
      </c>
      <c r="B79" s="75" t="s">
        <v>4</v>
      </c>
      <c r="C79" s="30"/>
      <c r="D79" s="24">
        <f>D78+F78</f>
        <v>273</v>
      </c>
      <c r="E79" s="24">
        <f t="shared" si="11"/>
        <v>273</v>
      </c>
      <c r="F79" s="75">
        <v>1</v>
      </c>
      <c r="G79" s="85" t="s">
        <v>183</v>
      </c>
      <c r="H79" s="181"/>
      <c r="I79" s="125"/>
    </row>
    <row r="80" spans="1:9" s="8" customFormat="1" x14ac:dyDescent="0.2">
      <c r="A80" s="75" t="s">
        <v>4</v>
      </c>
      <c r="B80" s="75" t="s">
        <v>4</v>
      </c>
      <c r="C80" s="30"/>
      <c r="D80" s="24">
        <f>D79+F79</f>
        <v>274</v>
      </c>
      <c r="E80" s="24">
        <f t="shared" si="11"/>
        <v>274</v>
      </c>
      <c r="F80" s="75">
        <v>1</v>
      </c>
      <c r="G80" s="85" t="s">
        <v>184</v>
      </c>
      <c r="H80" s="181"/>
      <c r="I80" s="125"/>
    </row>
    <row r="81" spans="1:9" s="8" customFormat="1" x14ac:dyDescent="0.2">
      <c r="A81" s="75" t="s">
        <v>4</v>
      </c>
      <c r="B81" s="75" t="s">
        <v>4</v>
      </c>
      <c r="C81" s="30"/>
      <c r="D81" s="24">
        <f>D80+F80</f>
        <v>275</v>
      </c>
      <c r="E81" s="24">
        <f t="shared" si="11"/>
        <v>275</v>
      </c>
      <c r="F81" s="75">
        <v>1</v>
      </c>
      <c r="G81" s="85" t="s">
        <v>185</v>
      </c>
      <c r="H81" s="181"/>
      <c r="I81" s="125"/>
    </row>
    <row r="82" spans="1:9" s="8" customFormat="1" x14ac:dyDescent="0.2">
      <c r="A82" s="75"/>
      <c r="B82" s="75"/>
      <c r="C82" s="30"/>
      <c r="D82" s="24"/>
      <c r="E82" s="24"/>
      <c r="F82" s="75"/>
      <c r="G82" s="86" t="s">
        <v>170</v>
      </c>
      <c r="H82" s="125"/>
      <c r="I82" s="125"/>
    </row>
    <row r="83" spans="1:9" s="8" customFormat="1" ht="51.75" customHeight="1" x14ac:dyDescent="0.2">
      <c r="A83" s="75" t="s">
        <v>4</v>
      </c>
      <c r="B83" s="75" t="s">
        <v>4</v>
      </c>
      <c r="C83" s="75"/>
      <c r="D83" s="24">
        <f>D81+F81</f>
        <v>276</v>
      </c>
      <c r="E83" s="24">
        <f t="shared" ref="E83:E88" si="12">D83+F83-1</f>
        <v>276</v>
      </c>
      <c r="F83" s="75">
        <v>1</v>
      </c>
      <c r="G83" s="85" t="s">
        <v>186</v>
      </c>
      <c r="H83" s="125" t="s">
        <v>241</v>
      </c>
      <c r="I83" s="181" t="s">
        <v>359</v>
      </c>
    </row>
    <row r="84" spans="1:9" s="8" customFormat="1" ht="54" customHeight="1" x14ac:dyDescent="0.2">
      <c r="A84" s="75" t="s">
        <v>4</v>
      </c>
      <c r="B84" s="75" t="s">
        <v>4</v>
      </c>
      <c r="C84" s="75"/>
      <c r="D84" s="24">
        <f t="shared" ref="D84:D91" si="13">D83+F83</f>
        <v>277</v>
      </c>
      <c r="E84" s="24">
        <f t="shared" si="12"/>
        <v>277</v>
      </c>
      <c r="F84" s="75">
        <v>1</v>
      </c>
      <c r="G84" s="85" t="s">
        <v>276</v>
      </c>
      <c r="H84" s="125" t="s">
        <v>287</v>
      </c>
      <c r="I84" s="181"/>
    </row>
    <row r="85" spans="1:9" s="8" customFormat="1" ht="50.25" customHeight="1" x14ac:dyDescent="0.2">
      <c r="A85" s="75" t="s">
        <v>4</v>
      </c>
      <c r="B85" s="75" t="s">
        <v>4</v>
      </c>
      <c r="C85" s="75"/>
      <c r="D85" s="24">
        <f t="shared" si="13"/>
        <v>278</v>
      </c>
      <c r="E85" s="24">
        <f t="shared" si="12"/>
        <v>278</v>
      </c>
      <c r="F85" s="75">
        <v>1</v>
      </c>
      <c r="G85" s="85" t="s">
        <v>187</v>
      </c>
      <c r="H85" s="125" t="s">
        <v>242</v>
      </c>
      <c r="I85" s="181"/>
    </row>
    <row r="86" spans="1:9" ht="57.75" customHeight="1" x14ac:dyDescent="0.2">
      <c r="A86" s="75" t="s">
        <v>4</v>
      </c>
      <c r="B86" s="75" t="s">
        <v>4</v>
      </c>
      <c r="C86" s="75"/>
      <c r="D86" s="24">
        <f t="shared" si="13"/>
        <v>279</v>
      </c>
      <c r="E86" s="24">
        <f t="shared" si="12"/>
        <v>279</v>
      </c>
      <c r="F86" s="75">
        <v>1</v>
      </c>
      <c r="G86" s="85" t="s">
        <v>188</v>
      </c>
      <c r="H86" s="125" t="s">
        <v>243</v>
      </c>
      <c r="I86" s="181"/>
    </row>
    <row r="87" spans="1:9" ht="63.75" x14ac:dyDescent="0.2">
      <c r="A87" s="75" t="s">
        <v>4</v>
      </c>
      <c r="B87" s="75" t="s">
        <v>4</v>
      </c>
      <c r="C87" s="75"/>
      <c r="D87" s="24">
        <f t="shared" si="13"/>
        <v>280</v>
      </c>
      <c r="E87" s="24">
        <f t="shared" si="12"/>
        <v>280</v>
      </c>
      <c r="F87" s="75">
        <v>1</v>
      </c>
      <c r="G87" s="85" t="s">
        <v>189</v>
      </c>
      <c r="H87" s="125" t="s">
        <v>371</v>
      </c>
      <c r="I87" s="181"/>
    </row>
    <row r="88" spans="1:9" ht="56.25" customHeight="1" x14ac:dyDescent="0.2">
      <c r="A88" s="75" t="s">
        <v>4</v>
      </c>
      <c r="B88" s="75" t="s">
        <v>4</v>
      </c>
      <c r="C88" s="75"/>
      <c r="D88" s="24">
        <f t="shared" si="13"/>
        <v>281</v>
      </c>
      <c r="E88" s="24">
        <f t="shared" si="12"/>
        <v>281</v>
      </c>
      <c r="F88" s="75">
        <v>1</v>
      </c>
      <c r="G88" s="85" t="s">
        <v>190</v>
      </c>
      <c r="H88" s="125" t="s">
        <v>244</v>
      </c>
      <c r="I88" s="181"/>
    </row>
    <row r="89" spans="1:9" ht="41.25" customHeight="1" x14ac:dyDescent="0.2">
      <c r="A89" s="75" t="s">
        <v>4</v>
      </c>
      <c r="B89" s="75" t="s">
        <v>4</v>
      </c>
      <c r="C89" s="75"/>
      <c r="D89" s="24">
        <f t="shared" si="13"/>
        <v>282</v>
      </c>
      <c r="E89" s="24">
        <f>D89+F89-1</f>
        <v>282</v>
      </c>
      <c r="F89" s="75">
        <v>1</v>
      </c>
      <c r="G89" s="85" t="s">
        <v>191</v>
      </c>
      <c r="H89" s="125" t="s">
        <v>233</v>
      </c>
      <c r="I89" s="123" t="s">
        <v>378</v>
      </c>
    </row>
    <row r="90" spans="1:9" ht="38.25" x14ac:dyDescent="0.2">
      <c r="A90" s="75" t="s">
        <v>3</v>
      </c>
      <c r="B90" s="75" t="s">
        <v>3</v>
      </c>
      <c r="C90" s="75"/>
      <c r="D90" s="74">
        <f t="shared" si="13"/>
        <v>283</v>
      </c>
      <c r="E90" s="74">
        <f>D90+F90-1</f>
        <v>283</v>
      </c>
      <c r="F90" s="75">
        <v>1</v>
      </c>
      <c r="G90" s="85" t="s">
        <v>192</v>
      </c>
      <c r="H90" s="123" t="s">
        <v>193</v>
      </c>
      <c r="I90" s="149" t="s">
        <v>434</v>
      </c>
    </row>
    <row r="91" spans="1:9" s="8" customFormat="1" x14ac:dyDescent="0.2">
      <c r="A91" s="75"/>
      <c r="B91" s="75"/>
      <c r="C91" s="30"/>
      <c r="D91" s="74">
        <f t="shared" si="13"/>
        <v>284</v>
      </c>
      <c r="E91" s="24">
        <f>D91+F91-1</f>
        <v>286</v>
      </c>
      <c r="F91" s="27">
        <v>3</v>
      </c>
      <c r="G91" s="31" t="s">
        <v>151</v>
      </c>
      <c r="H91" s="78"/>
      <c r="I91" s="124"/>
    </row>
    <row r="92" spans="1:9" s="8" customFormat="1" x14ac:dyDescent="0.2">
      <c r="A92" s="75"/>
      <c r="B92" s="75"/>
      <c r="C92" s="30"/>
      <c r="D92" s="27"/>
      <c r="E92" s="27"/>
      <c r="F92" s="27"/>
      <c r="G92" s="63" t="s">
        <v>116</v>
      </c>
      <c r="H92" s="126"/>
      <c r="I92" s="124"/>
    </row>
    <row r="93" spans="1:9" s="8" customFormat="1" x14ac:dyDescent="0.2">
      <c r="A93" s="30" t="s">
        <v>4</v>
      </c>
      <c r="B93" s="39" t="s">
        <v>4</v>
      </c>
      <c r="C93" s="30" t="s">
        <v>143</v>
      </c>
      <c r="D93" s="24">
        <f>D91+F91</f>
        <v>287</v>
      </c>
      <c r="E93" s="24">
        <f t="shared" ref="E93:E98" si="14">D93+F93-1</f>
        <v>311</v>
      </c>
      <c r="F93" s="27">
        <v>25</v>
      </c>
      <c r="G93" s="72" t="s">
        <v>398</v>
      </c>
      <c r="H93" s="169" t="s">
        <v>370</v>
      </c>
      <c r="I93" s="184" t="s">
        <v>436</v>
      </c>
    </row>
    <row r="94" spans="1:9" s="8" customFormat="1" x14ac:dyDescent="0.2">
      <c r="A94" s="30"/>
      <c r="B94" s="30"/>
      <c r="C94" s="30"/>
      <c r="D94" s="24">
        <f>D93+F93</f>
        <v>312</v>
      </c>
      <c r="E94" s="24">
        <f t="shared" si="14"/>
        <v>321</v>
      </c>
      <c r="F94" s="27">
        <v>10</v>
      </c>
      <c r="G94" s="31" t="s">
        <v>151</v>
      </c>
      <c r="H94" s="187"/>
      <c r="I94" s="185"/>
    </row>
    <row r="95" spans="1:9" s="8" customFormat="1" x14ac:dyDescent="0.2">
      <c r="A95" s="30" t="s">
        <v>4</v>
      </c>
      <c r="B95" s="39" t="s">
        <v>4</v>
      </c>
      <c r="C95" s="30" t="s">
        <v>143</v>
      </c>
      <c r="D95" s="24">
        <f>D94+F94</f>
        <v>322</v>
      </c>
      <c r="E95" s="24">
        <f t="shared" si="14"/>
        <v>346</v>
      </c>
      <c r="F95" s="27">
        <v>25</v>
      </c>
      <c r="G95" s="31" t="s">
        <v>26</v>
      </c>
      <c r="H95" s="187"/>
      <c r="I95" s="185"/>
    </row>
    <row r="96" spans="1:9" s="8" customFormat="1" x14ac:dyDescent="0.2">
      <c r="A96" s="30"/>
      <c r="B96" s="39"/>
      <c r="C96" s="30"/>
      <c r="D96" s="24">
        <f>D95+F95</f>
        <v>347</v>
      </c>
      <c r="E96" s="24">
        <f t="shared" si="14"/>
        <v>356</v>
      </c>
      <c r="F96" s="27">
        <v>10</v>
      </c>
      <c r="G96" s="31" t="s">
        <v>151</v>
      </c>
      <c r="H96" s="187"/>
      <c r="I96" s="185"/>
    </row>
    <row r="97" spans="1:9" s="8" customFormat="1" x14ac:dyDescent="0.2">
      <c r="A97" s="30" t="s">
        <v>4</v>
      </c>
      <c r="B97" s="39" t="s">
        <v>4</v>
      </c>
      <c r="C97" s="30" t="s">
        <v>143</v>
      </c>
      <c r="D97" s="24">
        <f>D96+F96</f>
        <v>357</v>
      </c>
      <c r="E97" s="24">
        <f t="shared" si="14"/>
        <v>381</v>
      </c>
      <c r="F97" s="27">
        <v>25</v>
      </c>
      <c r="G97" s="31" t="s">
        <v>27</v>
      </c>
      <c r="H97" s="187"/>
      <c r="I97" s="185"/>
    </row>
    <row r="98" spans="1:9" s="8" customFormat="1" x14ac:dyDescent="0.2">
      <c r="C98" s="30"/>
      <c r="D98" s="24">
        <f>D97+F97</f>
        <v>382</v>
      </c>
      <c r="E98" s="24">
        <f t="shared" si="14"/>
        <v>426</v>
      </c>
      <c r="F98" s="27">
        <v>45</v>
      </c>
      <c r="G98" s="31" t="s">
        <v>151</v>
      </c>
      <c r="H98" s="187"/>
      <c r="I98" s="185"/>
    </row>
    <row r="99" spans="1:9" s="8" customFormat="1" x14ac:dyDescent="0.2">
      <c r="A99" s="30"/>
      <c r="B99" s="39"/>
      <c r="C99" s="30"/>
      <c r="D99" s="27"/>
      <c r="E99" s="27"/>
      <c r="F99" s="27"/>
      <c r="G99" s="63" t="s">
        <v>117</v>
      </c>
      <c r="H99" s="126"/>
      <c r="I99" s="124"/>
    </row>
    <row r="100" spans="1:9" s="7" customFormat="1" ht="71.25" customHeight="1" x14ac:dyDescent="0.2">
      <c r="A100" s="40" t="s">
        <v>3</v>
      </c>
      <c r="B100" s="40" t="s">
        <v>3</v>
      </c>
      <c r="C100" s="75" t="s">
        <v>143</v>
      </c>
      <c r="D100" s="24">
        <f>D98+F98</f>
        <v>427</v>
      </c>
      <c r="E100" s="24">
        <f>D100+F100-1</f>
        <v>428</v>
      </c>
      <c r="F100" s="22">
        <v>2</v>
      </c>
      <c r="G100" s="85" t="s">
        <v>306</v>
      </c>
      <c r="H100" s="64" t="s">
        <v>245</v>
      </c>
      <c r="I100" s="152" t="s">
        <v>437</v>
      </c>
    </row>
    <row r="101" spans="1:9" s="7" customFormat="1" ht="67.5" customHeight="1" x14ac:dyDescent="0.2">
      <c r="A101" s="40" t="s">
        <v>3</v>
      </c>
      <c r="B101" s="40" t="s">
        <v>3</v>
      </c>
      <c r="C101" s="75"/>
      <c r="D101" s="24">
        <f>D100+F100</f>
        <v>429</v>
      </c>
      <c r="E101" s="24">
        <f>D101+F101-1</f>
        <v>431</v>
      </c>
      <c r="F101" s="22">
        <v>3</v>
      </c>
      <c r="G101" s="85" t="s">
        <v>307</v>
      </c>
      <c r="H101" s="79" t="s">
        <v>246</v>
      </c>
      <c r="I101" s="152" t="s">
        <v>438</v>
      </c>
    </row>
    <row r="102" spans="1:9" s="7" customFormat="1" ht="70.5" customHeight="1" x14ac:dyDescent="0.2">
      <c r="A102" s="40" t="s">
        <v>3</v>
      </c>
      <c r="B102" s="40" t="s">
        <v>3</v>
      </c>
      <c r="C102" s="75"/>
      <c r="D102" s="24">
        <f>D101+F101</f>
        <v>432</v>
      </c>
      <c r="E102" s="24">
        <f>D102+F102-1</f>
        <v>434</v>
      </c>
      <c r="F102" s="22">
        <v>3</v>
      </c>
      <c r="G102" s="112" t="s">
        <v>308</v>
      </c>
      <c r="H102" s="79" t="s">
        <v>247</v>
      </c>
      <c r="I102" s="149" t="s">
        <v>439</v>
      </c>
    </row>
    <row r="103" spans="1:9" s="7" customFormat="1" x14ac:dyDescent="0.2">
      <c r="A103" s="40" t="s">
        <v>3</v>
      </c>
      <c r="B103" s="40" t="s">
        <v>3</v>
      </c>
      <c r="C103" s="75" t="s">
        <v>142</v>
      </c>
      <c r="D103" s="24">
        <f>D102+F102</f>
        <v>435</v>
      </c>
      <c r="E103" s="24">
        <f t="shared" ref="E103:E109" si="15">D103+F103-1</f>
        <v>436</v>
      </c>
      <c r="F103" s="22">
        <v>2</v>
      </c>
      <c r="G103" s="85" t="s">
        <v>119</v>
      </c>
      <c r="H103" s="179" t="s">
        <v>245</v>
      </c>
      <c r="I103" s="181" t="s">
        <v>338</v>
      </c>
    </row>
    <row r="104" spans="1:9" s="7" customFormat="1" x14ac:dyDescent="0.2">
      <c r="A104" s="40" t="s">
        <v>3</v>
      </c>
      <c r="B104" s="40" t="s">
        <v>3</v>
      </c>
      <c r="C104" s="75" t="s">
        <v>142</v>
      </c>
      <c r="D104" s="24">
        <f t="shared" ref="D104:D109" si="16">D103+F103</f>
        <v>437</v>
      </c>
      <c r="E104" s="24">
        <f t="shared" si="15"/>
        <v>438</v>
      </c>
      <c r="F104" s="22">
        <v>2</v>
      </c>
      <c r="G104" s="41" t="s">
        <v>120</v>
      </c>
      <c r="H104" s="180"/>
      <c r="I104" s="182"/>
    </row>
    <row r="105" spans="1:9" s="7" customFormat="1" x14ac:dyDescent="0.2">
      <c r="A105" s="40" t="s">
        <v>3</v>
      </c>
      <c r="B105" s="40" t="s">
        <v>3</v>
      </c>
      <c r="C105" s="75" t="s">
        <v>142</v>
      </c>
      <c r="D105" s="24">
        <f t="shared" si="16"/>
        <v>439</v>
      </c>
      <c r="E105" s="24">
        <f t="shared" si="15"/>
        <v>440</v>
      </c>
      <c r="F105" s="22">
        <v>2</v>
      </c>
      <c r="G105" s="41" t="s">
        <v>121</v>
      </c>
      <c r="H105" s="180"/>
      <c r="I105" s="182"/>
    </row>
    <row r="106" spans="1:9" s="7" customFormat="1" ht="30.75" customHeight="1" x14ac:dyDescent="0.2">
      <c r="A106" s="40" t="s">
        <v>3</v>
      </c>
      <c r="B106" s="40" t="s">
        <v>3</v>
      </c>
      <c r="C106" s="75" t="s">
        <v>142</v>
      </c>
      <c r="D106" s="24">
        <f t="shared" si="16"/>
        <v>441</v>
      </c>
      <c r="E106" s="24">
        <f t="shared" si="15"/>
        <v>442</v>
      </c>
      <c r="F106" s="22">
        <v>2</v>
      </c>
      <c r="G106" s="41" t="s">
        <v>122</v>
      </c>
      <c r="H106" s="180"/>
      <c r="I106" s="182"/>
    </row>
    <row r="107" spans="1:9" s="7" customFormat="1" ht="51" x14ac:dyDescent="0.2">
      <c r="A107" s="75" t="s">
        <v>4</v>
      </c>
      <c r="B107" s="75" t="s">
        <v>4</v>
      </c>
      <c r="C107" s="75"/>
      <c r="D107" s="24">
        <f t="shared" si="16"/>
        <v>443</v>
      </c>
      <c r="E107" s="24">
        <f t="shared" si="15"/>
        <v>445</v>
      </c>
      <c r="F107" s="22">
        <v>3</v>
      </c>
      <c r="G107" s="85" t="s">
        <v>291</v>
      </c>
      <c r="H107" s="79" t="s">
        <v>246</v>
      </c>
      <c r="I107" s="125" t="s">
        <v>339</v>
      </c>
    </row>
    <row r="108" spans="1:9" s="7" customFormat="1" ht="51" x14ac:dyDescent="0.2">
      <c r="A108" s="75" t="s">
        <v>4</v>
      </c>
      <c r="B108" s="75" t="s">
        <v>4</v>
      </c>
      <c r="C108" s="75"/>
      <c r="D108" s="24">
        <f t="shared" si="16"/>
        <v>446</v>
      </c>
      <c r="E108" s="24">
        <f t="shared" si="15"/>
        <v>448</v>
      </c>
      <c r="F108" s="22">
        <v>3</v>
      </c>
      <c r="G108" s="85" t="s">
        <v>292</v>
      </c>
      <c r="H108" s="79" t="s">
        <v>246</v>
      </c>
      <c r="I108" s="125" t="s">
        <v>340</v>
      </c>
    </row>
    <row r="109" spans="1:9" s="7" customFormat="1" x14ac:dyDescent="0.2">
      <c r="A109" s="40"/>
      <c r="B109" s="40"/>
      <c r="C109" s="40"/>
      <c r="D109" s="24">
        <f t="shared" si="16"/>
        <v>449</v>
      </c>
      <c r="E109" s="24">
        <f t="shared" si="15"/>
        <v>452</v>
      </c>
      <c r="F109" s="22">
        <v>4</v>
      </c>
      <c r="G109" s="41" t="s">
        <v>151</v>
      </c>
      <c r="H109" s="132"/>
      <c r="I109" s="34"/>
    </row>
    <row r="110" spans="1:9" s="7" customFormat="1" x14ac:dyDescent="0.2">
      <c r="A110" s="40"/>
      <c r="B110" s="40"/>
      <c r="C110" s="42"/>
      <c r="D110" s="22"/>
      <c r="E110" s="22"/>
      <c r="F110" s="22"/>
      <c r="G110" s="63" t="s">
        <v>118</v>
      </c>
      <c r="H110" s="132"/>
      <c r="I110" s="34"/>
    </row>
    <row r="111" spans="1:9" s="7" customFormat="1" ht="69.75" customHeight="1" x14ac:dyDescent="0.2">
      <c r="A111" s="40" t="s">
        <v>3</v>
      </c>
      <c r="B111" s="40" t="s">
        <v>3</v>
      </c>
      <c r="C111" s="75" t="s">
        <v>143</v>
      </c>
      <c r="D111" s="24">
        <f>D109+F109</f>
        <v>453</v>
      </c>
      <c r="E111" s="24">
        <f>D111+F111-1</f>
        <v>454</v>
      </c>
      <c r="F111" s="22">
        <v>2</v>
      </c>
      <c r="G111" s="85" t="s">
        <v>309</v>
      </c>
      <c r="H111" s="64" t="s">
        <v>245</v>
      </c>
      <c r="I111" s="152" t="s">
        <v>440</v>
      </c>
    </row>
    <row r="112" spans="1:9" s="7" customFormat="1" ht="78.75" customHeight="1" x14ac:dyDescent="0.2">
      <c r="A112" s="40" t="s">
        <v>3</v>
      </c>
      <c r="B112" s="40" t="s">
        <v>3</v>
      </c>
      <c r="C112" s="75"/>
      <c r="D112" s="24">
        <f>D111+F111</f>
        <v>455</v>
      </c>
      <c r="E112" s="24">
        <f>D112+F112-1</f>
        <v>457</v>
      </c>
      <c r="F112" s="22">
        <v>3</v>
      </c>
      <c r="G112" s="85" t="s">
        <v>310</v>
      </c>
      <c r="H112" s="79" t="s">
        <v>246</v>
      </c>
      <c r="I112" s="152" t="s">
        <v>441</v>
      </c>
    </row>
    <row r="113" spans="1:9" s="7" customFormat="1" ht="76.5" customHeight="1" x14ac:dyDescent="0.2">
      <c r="A113" s="40" t="s">
        <v>3</v>
      </c>
      <c r="B113" s="40" t="s">
        <v>3</v>
      </c>
      <c r="C113" s="75"/>
      <c r="D113" s="24">
        <f>D112+F112</f>
        <v>458</v>
      </c>
      <c r="E113" s="24">
        <f>D113+F113-1</f>
        <v>460</v>
      </c>
      <c r="F113" s="22">
        <v>3</v>
      </c>
      <c r="G113" s="112" t="s">
        <v>311</v>
      </c>
      <c r="H113" s="79" t="s">
        <v>247</v>
      </c>
      <c r="I113" s="149" t="s">
        <v>442</v>
      </c>
    </row>
    <row r="114" spans="1:9" s="7" customFormat="1" x14ac:dyDescent="0.2">
      <c r="A114" s="40" t="s">
        <v>3</v>
      </c>
      <c r="B114" s="40" t="s">
        <v>3</v>
      </c>
      <c r="C114" s="75" t="s">
        <v>142</v>
      </c>
      <c r="D114" s="24">
        <f>D113+F113</f>
        <v>461</v>
      </c>
      <c r="E114" s="24">
        <f t="shared" ref="E114:E120" si="17">D114+F114-1</f>
        <v>462</v>
      </c>
      <c r="F114" s="22">
        <v>2</v>
      </c>
      <c r="G114" s="41" t="s">
        <v>123</v>
      </c>
      <c r="H114" s="179" t="s">
        <v>245</v>
      </c>
      <c r="I114" s="181" t="s">
        <v>337</v>
      </c>
    </row>
    <row r="115" spans="1:9" s="7" customFormat="1" x14ac:dyDescent="0.2">
      <c r="A115" s="40" t="s">
        <v>3</v>
      </c>
      <c r="B115" s="40" t="s">
        <v>3</v>
      </c>
      <c r="C115" s="75" t="s">
        <v>142</v>
      </c>
      <c r="D115" s="24">
        <f t="shared" ref="D115:D120" si="18">D114+F114</f>
        <v>463</v>
      </c>
      <c r="E115" s="24">
        <f t="shared" si="17"/>
        <v>464</v>
      </c>
      <c r="F115" s="22">
        <v>2</v>
      </c>
      <c r="G115" s="41" t="s">
        <v>124</v>
      </c>
      <c r="H115" s="180"/>
      <c r="I115" s="182"/>
    </row>
    <row r="116" spans="1:9" s="7" customFormat="1" x14ac:dyDescent="0.2">
      <c r="A116" s="40" t="s">
        <v>3</v>
      </c>
      <c r="B116" s="40" t="s">
        <v>3</v>
      </c>
      <c r="C116" s="75" t="s">
        <v>142</v>
      </c>
      <c r="D116" s="24">
        <f t="shared" si="18"/>
        <v>465</v>
      </c>
      <c r="E116" s="24">
        <f t="shared" si="17"/>
        <v>466</v>
      </c>
      <c r="F116" s="22">
        <v>2</v>
      </c>
      <c r="G116" s="41" t="s">
        <v>125</v>
      </c>
      <c r="H116" s="180"/>
      <c r="I116" s="182"/>
    </row>
    <row r="117" spans="1:9" s="7" customFormat="1" x14ac:dyDescent="0.2">
      <c r="A117" s="40" t="s">
        <v>3</v>
      </c>
      <c r="B117" s="40" t="s">
        <v>3</v>
      </c>
      <c r="C117" s="75" t="s">
        <v>142</v>
      </c>
      <c r="D117" s="24">
        <f t="shared" si="18"/>
        <v>467</v>
      </c>
      <c r="E117" s="24">
        <f t="shared" si="17"/>
        <v>468</v>
      </c>
      <c r="F117" s="22">
        <v>2</v>
      </c>
      <c r="G117" s="41" t="s">
        <v>126</v>
      </c>
      <c r="H117" s="180"/>
      <c r="I117" s="182"/>
    </row>
    <row r="118" spans="1:9" s="7" customFormat="1" ht="51" x14ac:dyDescent="0.2">
      <c r="A118" s="40" t="s">
        <v>4</v>
      </c>
      <c r="B118" s="40" t="s">
        <v>4</v>
      </c>
      <c r="C118" s="75"/>
      <c r="D118" s="24">
        <f t="shared" si="18"/>
        <v>469</v>
      </c>
      <c r="E118" s="24">
        <f t="shared" si="17"/>
        <v>471</v>
      </c>
      <c r="F118" s="22">
        <v>3</v>
      </c>
      <c r="G118" s="85" t="s">
        <v>291</v>
      </c>
      <c r="H118" s="79" t="s">
        <v>246</v>
      </c>
      <c r="I118" s="125" t="s">
        <v>341</v>
      </c>
    </row>
    <row r="119" spans="1:9" s="7" customFormat="1" ht="51" x14ac:dyDescent="0.2">
      <c r="A119" s="40" t="s">
        <v>4</v>
      </c>
      <c r="B119" s="40" t="s">
        <v>4</v>
      </c>
      <c r="C119" s="75"/>
      <c r="D119" s="24">
        <f t="shared" si="18"/>
        <v>472</v>
      </c>
      <c r="E119" s="24">
        <f t="shared" si="17"/>
        <v>474</v>
      </c>
      <c r="F119" s="22">
        <v>3</v>
      </c>
      <c r="G119" s="85" t="s">
        <v>292</v>
      </c>
      <c r="H119" s="79" t="s">
        <v>246</v>
      </c>
      <c r="I119" s="125" t="s">
        <v>342</v>
      </c>
    </row>
    <row r="120" spans="1:9" s="7" customFormat="1" x14ac:dyDescent="0.2">
      <c r="C120" s="42"/>
      <c r="D120" s="24">
        <f t="shared" si="18"/>
        <v>475</v>
      </c>
      <c r="E120" s="24">
        <f t="shared" si="17"/>
        <v>478</v>
      </c>
      <c r="F120" s="22">
        <v>4</v>
      </c>
      <c r="G120" s="41" t="s">
        <v>151</v>
      </c>
      <c r="H120" s="132"/>
      <c r="I120" s="34"/>
    </row>
    <row r="121" spans="1:9" s="7" customFormat="1" x14ac:dyDescent="0.2">
      <c r="C121" s="42"/>
      <c r="D121" s="22"/>
      <c r="E121" s="22"/>
      <c r="F121" s="22"/>
      <c r="G121" s="63" t="s">
        <v>127</v>
      </c>
      <c r="H121" s="132"/>
      <c r="I121" s="34"/>
    </row>
    <row r="122" spans="1:9" s="7" customFormat="1" ht="75" customHeight="1" x14ac:dyDescent="0.2">
      <c r="A122" s="40" t="s">
        <v>3</v>
      </c>
      <c r="B122" s="40" t="s">
        <v>3</v>
      </c>
      <c r="C122" s="75" t="s">
        <v>143</v>
      </c>
      <c r="D122" s="24">
        <f>D120+F120</f>
        <v>479</v>
      </c>
      <c r="E122" s="24">
        <f>D122+F122-1</f>
        <v>480</v>
      </c>
      <c r="F122" s="22">
        <v>2</v>
      </c>
      <c r="G122" s="85" t="s">
        <v>312</v>
      </c>
      <c r="H122" s="64" t="s">
        <v>245</v>
      </c>
      <c r="I122" s="152" t="s">
        <v>443</v>
      </c>
    </row>
    <row r="123" spans="1:9" s="7" customFormat="1" ht="78" customHeight="1" x14ac:dyDescent="0.2">
      <c r="A123" s="40" t="s">
        <v>3</v>
      </c>
      <c r="B123" s="40" t="s">
        <v>3</v>
      </c>
      <c r="C123" s="75"/>
      <c r="D123" s="24">
        <f>D122+F122</f>
        <v>481</v>
      </c>
      <c r="E123" s="24">
        <f>D123+F123-1</f>
        <v>483</v>
      </c>
      <c r="F123" s="22">
        <v>3</v>
      </c>
      <c r="G123" s="85" t="s">
        <v>313</v>
      </c>
      <c r="H123" s="79" t="s">
        <v>246</v>
      </c>
      <c r="I123" s="152" t="s">
        <v>444</v>
      </c>
    </row>
    <row r="124" spans="1:9" s="7" customFormat="1" ht="72.75" customHeight="1" x14ac:dyDescent="0.2">
      <c r="A124" s="40" t="s">
        <v>3</v>
      </c>
      <c r="B124" s="40" t="s">
        <v>3</v>
      </c>
      <c r="C124" s="75"/>
      <c r="D124" s="24">
        <f>D123+F123</f>
        <v>484</v>
      </c>
      <c r="E124" s="24">
        <f>D124+F124-1</f>
        <v>486</v>
      </c>
      <c r="F124" s="22">
        <v>3</v>
      </c>
      <c r="G124" s="112" t="s">
        <v>314</v>
      </c>
      <c r="H124" s="79" t="s">
        <v>247</v>
      </c>
      <c r="I124" s="149" t="s">
        <v>445</v>
      </c>
    </row>
    <row r="125" spans="1:9" s="7" customFormat="1" x14ac:dyDescent="0.2">
      <c r="A125" s="40" t="s">
        <v>3</v>
      </c>
      <c r="B125" s="40" t="s">
        <v>3</v>
      </c>
      <c r="C125" s="75" t="s">
        <v>142</v>
      </c>
      <c r="D125" s="24">
        <f>D124+F124</f>
        <v>487</v>
      </c>
      <c r="E125" s="24">
        <f t="shared" ref="E125:E131" si="19">D125+F125-1</f>
        <v>488</v>
      </c>
      <c r="F125" s="22">
        <v>2</v>
      </c>
      <c r="G125" s="41" t="s">
        <v>128</v>
      </c>
      <c r="H125" s="179" t="s">
        <v>245</v>
      </c>
      <c r="I125" s="181" t="s">
        <v>336</v>
      </c>
    </row>
    <row r="126" spans="1:9" s="7" customFormat="1" x14ac:dyDescent="0.2">
      <c r="A126" s="40" t="s">
        <v>3</v>
      </c>
      <c r="B126" s="40" t="s">
        <v>3</v>
      </c>
      <c r="C126" s="75" t="s">
        <v>142</v>
      </c>
      <c r="D126" s="24">
        <f t="shared" ref="D126:D131" si="20">D125+F125</f>
        <v>489</v>
      </c>
      <c r="E126" s="24">
        <f t="shared" si="19"/>
        <v>490</v>
      </c>
      <c r="F126" s="22">
        <v>2</v>
      </c>
      <c r="G126" s="41" t="s">
        <v>129</v>
      </c>
      <c r="H126" s="180"/>
      <c r="I126" s="182"/>
    </row>
    <row r="127" spans="1:9" s="7" customFormat="1" x14ac:dyDescent="0.2">
      <c r="A127" s="40" t="s">
        <v>3</v>
      </c>
      <c r="B127" s="40" t="s">
        <v>3</v>
      </c>
      <c r="C127" s="75" t="s">
        <v>142</v>
      </c>
      <c r="D127" s="24">
        <f t="shared" si="20"/>
        <v>491</v>
      </c>
      <c r="E127" s="24">
        <f t="shared" si="19"/>
        <v>492</v>
      </c>
      <c r="F127" s="22">
        <v>2</v>
      </c>
      <c r="G127" s="41" t="s">
        <v>130</v>
      </c>
      <c r="H127" s="180"/>
      <c r="I127" s="182"/>
    </row>
    <row r="128" spans="1:9" s="7" customFormat="1" x14ac:dyDescent="0.2">
      <c r="A128" s="40" t="s">
        <v>3</v>
      </c>
      <c r="B128" s="40" t="s">
        <v>3</v>
      </c>
      <c r="C128" s="75" t="s">
        <v>142</v>
      </c>
      <c r="D128" s="24">
        <f t="shared" si="20"/>
        <v>493</v>
      </c>
      <c r="E128" s="24">
        <f t="shared" si="19"/>
        <v>494</v>
      </c>
      <c r="F128" s="22">
        <v>2</v>
      </c>
      <c r="G128" s="41" t="s">
        <v>131</v>
      </c>
      <c r="H128" s="180"/>
      <c r="I128" s="182"/>
    </row>
    <row r="129" spans="1:9" s="7" customFormat="1" ht="51" x14ac:dyDescent="0.2">
      <c r="A129" s="40" t="s">
        <v>4</v>
      </c>
      <c r="B129" s="40" t="s">
        <v>4</v>
      </c>
      <c r="C129" s="75"/>
      <c r="D129" s="24">
        <f t="shared" si="20"/>
        <v>495</v>
      </c>
      <c r="E129" s="24">
        <f t="shared" si="19"/>
        <v>497</v>
      </c>
      <c r="F129" s="22">
        <v>3</v>
      </c>
      <c r="G129" s="85" t="s">
        <v>291</v>
      </c>
      <c r="H129" s="131" t="s">
        <v>246</v>
      </c>
      <c r="I129" s="125" t="s">
        <v>344</v>
      </c>
    </row>
    <row r="130" spans="1:9" s="7" customFormat="1" ht="51" x14ac:dyDescent="0.2">
      <c r="A130" s="40" t="s">
        <v>4</v>
      </c>
      <c r="B130" s="40" t="s">
        <v>4</v>
      </c>
      <c r="C130" s="75"/>
      <c r="D130" s="24">
        <f t="shared" si="20"/>
        <v>498</v>
      </c>
      <c r="E130" s="24">
        <f t="shared" si="19"/>
        <v>500</v>
      </c>
      <c r="F130" s="22">
        <v>3</v>
      </c>
      <c r="G130" s="85" t="s">
        <v>292</v>
      </c>
      <c r="H130" s="79" t="s">
        <v>246</v>
      </c>
      <c r="I130" s="125" t="s">
        <v>343</v>
      </c>
    </row>
    <row r="131" spans="1:9" s="7" customFormat="1" x14ac:dyDescent="0.2">
      <c r="C131" s="42"/>
      <c r="D131" s="24">
        <f t="shared" si="20"/>
        <v>501</v>
      </c>
      <c r="E131" s="24">
        <f t="shared" si="19"/>
        <v>530</v>
      </c>
      <c r="F131" s="22">
        <v>30</v>
      </c>
      <c r="G131" s="41" t="s">
        <v>151</v>
      </c>
      <c r="H131" s="132"/>
      <c r="I131" s="34"/>
    </row>
    <row r="132" spans="1:9" s="20" customFormat="1" x14ac:dyDescent="0.2">
      <c r="C132" s="44"/>
      <c r="D132" s="45"/>
      <c r="E132" s="45"/>
      <c r="F132" s="45"/>
      <c r="G132" s="43" t="s">
        <v>132</v>
      </c>
      <c r="H132" s="46"/>
      <c r="I132" s="46"/>
    </row>
    <row r="133" spans="1:9" s="8" customFormat="1" ht="23.25" customHeight="1" x14ac:dyDescent="0.2">
      <c r="A133" s="33" t="s">
        <v>3</v>
      </c>
      <c r="B133" s="30" t="s">
        <v>3</v>
      </c>
      <c r="C133" s="75" t="s">
        <v>142</v>
      </c>
      <c r="D133" s="24">
        <f>D131+F131</f>
        <v>531</v>
      </c>
      <c r="E133" s="24">
        <f t="shared" ref="E133:E139" si="21">D133+F133-1</f>
        <v>531</v>
      </c>
      <c r="F133" s="27">
        <v>1</v>
      </c>
      <c r="G133" s="126" t="s">
        <v>59</v>
      </c>
      <c r="H133" s="169" t="s">
        <v>9</v>
      </c>
      <c r="I133" s="175" t="s">
        <v>446</v>
      </c>
    </row>
    <row r="134" spans="1:9" s="8" customFormat="1" ht="18.75" customHeight="1" x14ac:dyDescent="0.2">
      <c r="A134" s="33" t="s">
        <v>3</v>
      </c>
      <c r="B134" s="30" t="s">
        <v>3</v>
      </c>
      <c r="C134" s="75" t="s">
        <v>142</v>
      </c>
      <c r="D134" s="24">
        <f t="shared" ref="D134:D139" si="22">D133+F133</f>
        <v>532</v>
      </c>
      <c r="E134" s="24">
        <f t="shared" si="21"/>
        <v>532</v>
      </c>
      <c r="F134" s="27">
        <v>1</v>
      </c>
      <c r="G134" s="126" t="s">
        <v>60</v>
      </c>
      <c r="H134" s="174"/>
      <c r="I134" s="176"/>
    </row>
    <row r="135" spans="1:9" s="8" customFormat="1" ht="22.5" customHeight="1" x14ac:dyDescent="0.2">
      <c r="A135" s="33" t="s">
        <v>3</v>
      </c>
      <c r="B135" s="30" t="s">
        <v>3</v>
      </c>
      <c r="C135" s="75" t="s">
        <v>142</v>
      </c>
      <c r="D135" s="24">
        <f t="shared" si="22"/>
        <v>533</v>
      </c>
      <c r="E135" s="24">
        <f t="shared" si="21"/>
        <v>533</v>
      </c>
      <c r="F135" s="27">
        <v>1</v>
      </c>
      <c r="G135" s="126" t="s">
        <v>61</v>
      </c>
      <c r="H135" s="174"/>
      <c r="I135" s="176"/>
    </row>
    <row r="136" spans="1:9" s="8" customFormat="1" x14ac:dyDescent="0.2">
      <c r="C136" s="30"/>
      <c r="D136" s="24">
        <f>D135+F135</f>
        <v>534</v>
      </c>
      <c r="E136" s="24">
        <f>D136+F136-1</f>
        <v>534</v>
      </c>
      <c r="F136" s="27">
        <v>1</v>
      </c>
      <c r="G136" s="126" t="s">
        <v>151</v>
      </c>
      <c r="H136" s="126"/>
      <c r="I136" s="80"/>
    </row>
    <row r="137" spans="1:9" s="8" customFormat="1" ht="15.75" customHeight="1" x14ac:dyDescent="0.2">
      <c r="A137" s="30" t="s">
        <v>3</v>
      </c>
      <c r="B137" s="33" t="s">
        <v>3</v>
      </c>
      <c r="C137" s="75" t="s">
        <v>143</v>
      </c>
      <c r="D137" s="24">
        <f>D136+F136</f>
        <v>535</v>
      </c>
      <c r="E137" s="24">
        <f>D137+F137-1</f>
        <v>535</v>
      </c>
      <c r="F137" s="27">
        <v>1</v>
      </c>
      <c r="G137" s="31" t="s">
        <v>45</v>
      </c>
      <c r="H137" s="181" t="s">
        <v>295</v>
      </c>
      <c r="I137" s="184" t="s">
        <v>447</v>
      </c>
    </row>
    <row r="138" spans="1:9" s="8" customFormat="1" ht="16.5" customHeight="1" x14ac:dyDescent="0.2">
      <c r="A138" s="30" t="s">
        <v>3</v>
      </c>
      <c r="B138" s="33" t="s">
        <v>3</v>
      </c>
      <c r="C138" s="75" t="s">
        <v>143</v>
      </c>
      <c r="D138" s="24">
        <f t="shared" si="22"/>
        <v>536</v>
      </c>
      <c r="E138" s="24">
        <f t="shared" si="21"/>
        <v>536</v>
      </c>
      <c r="F138" s="27">
        <v>1</v>
      </c>
      <c r="G138" s="31" t="s">
        <v>46</v>
      </c>
      <c r="H138" s="177"/>
      <c r="I138" s="185"/>
    </row>
    <row r="139" spans="1:9" s="8" customFormat="1" ht="25.5" customHeight="1" x14ac:dyDescent="0.2">
      <c r="A139" s="30" t="s">
        <v>3</v>
      </c>
      <c r="B139" s="33" t="s">
        <v>3</v>
      </c>
      <c r="C139" s="75" t="s">
        <v>143</v>
      </c>
      <c r="D139" s="24">
        <f t="shared" si="22"/>
        <v>537</v>
      </c>
      <c r="E139" s="24">
        <f t="shared" si="21"/>
        <v>537</v>
      </c>
      <c r="F139" s="27">
        <v>1</v>
      </c>
      <c r="G139" s="31" t="s">
        <v>47</v>
      </c>
      <c r="H139" s="177"/>
      <c r="I139" s="185"/>
    </row>
    <row r="140" spans="1:9" s="8" customFormat="1" ht="76.5" x14ac:dyDescent="0.2">
      <c r="A140" s="75" t="s">
        <v>3</v>
      </c>
      <c r="B140" s="75" t="s">
        <v>3</v>
      </c>
      <c r="C140" s="30"/>
      <c r="D140" s="24">
        <f>D139+F139</f>
        <v>538</v>
      </c>
      <c r="E140" s="24">
        <f>D140+F140-1</f>
        <v>538</v>
      </c>
      <c r="F140" s="27">
        <v>1</v>
      </c>
      <c r="G140" s="85" t="s">
        <v>196</v>
      </c>
      <c r="H140" s="87" t="s">
        <v>168</v>
      </c>
      <c r="I140" s="125" t="s">
        <v>262</v>
      </c>
    </row>
    <row r="141" spans="1:9" s="8" customFormat="1" ht="127.5" x14ac:dyDescent="0.2">
      <c r="A141" s="30" t="s">
        <v>4</v>
      </c>
      <c r="B141" s="33" t="s">
        <v>4</v>
      </c>
      <c r="C141" s="26"/>
      <c r="D141" s="24">
        <f>D140+F140</f>
        <v>539</v>
      </c>
      <c r="E141" s="24">
        <f>D141+F141-1</f>
        <v>539</v>
      </c>
      <c r="F141" s="30">
        <v>1</v>
      </c>
      <c r="G141" s="28" t="s">
        <v>34</v>
      </c>
      <c r="H141" s="125" t="s">
        <v>380</v>
      </c>
      <c r="I141" s="123" t="s">
        <v>360</v>
      </c>
    </row>
    <row r="142" spans="1:9" s="8" customFormat="1" x14ac:dyDescent="0.2">
      <c r="C142" s="30"/>
      <c r="D142" s="24">
        <f>D141+F141</f>
        <v>540</v>
      </c>
      <c r="E142" s="24">
        <f>D142+F142-1</f>
        <v>542</v>
      </c>
      <c r="F142" s="27">
        <v>3</v>
      </c>
      <c r="G142" s="31" t="s">
        <v>151</v>
      </c>
      <c r="H142" s="130"/>
      <c r="I142" s="126"/>
    </row>
    <row r="143" spans="1:9" s="8" customFormat="1" ht="63.75" x14ac:dyDescent="0.2">
      <c r="A143" s="73" t="s">
        <v>3</v>
      </c>
      <c r="B143" s="113" t="s">
        <v>3</v>
      </c>
      <c r="C143" s="26"/>
      <c r="D143" s="24">
        <f>D142+F142</f>
        <v>543</v>
      </c>
      <c r="E143" s="24">
        <f>D143+F143-1</f>
        <v>543</v>
      </c>
      <c r="F143" s="30">
        <v>1</v>
      </c>
      <c r="G143" s="28" t="s">
        <v>74</v>
      </c>
      <c r="H143" s="129" t="s">
        <v>75</v>
      </c>
      <c r="I143" s="152" t="s">
        <v>448</v>
      </c>
    </row>
    <row r="144" spans="1:9" s="8" customFormat="1" x14ac:dyDescent="0.2">
      <c r="C144" s="26"/>
      <c r="D144" s="24"/>
      <c r="E144" s="24"/>
      <c r="F144" s="30"/>
      <c r="G144" s="61" t="s">
        <v>62</v>
      </c>
      <c r="H144" s="129"/>
      <c r="I144" s="29"/>
    </row>
    <row r="145" spans="1:9" s="8" customFormat="1" ht="76.5" x14ac:dyDescent="0.2">
      <c r="A145" s="47" t="s">
        <v>4</v>
      </c>
      <c r="B145" s="33" t="s">
        <v>4</v>
      </c>
      <c r="C145" s="75" t="s">
        <v>225</v>
      </c>
      <c r="D145" s="24">
        <f>D143+F143</f>
        <v>544</v>
      </c>
      <c r="E145" s="24">
        <f t="shared" ref="E145:E150" si="23">D145+F145-1</f>
        <v>544</v>
      </c>
      <c r="F145" s="30">
        <v>1</v>
      </c>
      <c r="G145" s="28" t="s">
        <v>134</v>
      </c>
      <c r="H145" s="129" t="s">
        <v>9</v>
      </c>
      <c r="I145" s="125" t="s">
        <v>373</v>
      </c>
    </row>
    <row r="146" spans="1:9" s="8" customFormat="1" ht="63.75" x14ac:dyDescent="0.2">
      <c r="A146" s="47" t="s">
        <v>4</v>
      </c>
      <c r="B146" s="33" t="s">
        <v>4</v>
      </c>
      <c r="C146" s="75" t="s">
        <v>225</v>
      </c>
      <c r="D146" s="24">
        <f>D145+F145</f>
        <v>545</v>
      </c>
      <c r="E146" s="24">
        <f t="shared" si="23"/>
        <v>545</v>
      </c>
      <c r="F146" s="30">
        <v>1</v>
      </c>
      <c r="G146" s="85" t="s">
        <v>383</v>
      </c>
      <c r="H146" s="129" t="s">
        <v>9</v>
      </c>
      <c r="I146" s="125" t="s">
        <v>374</v>
      </c>
    </row>
    <row r="147" spans="1:9" s="8" customFormat="1" ht="76.5" x14ac:dyDescent="0.2">
      <c r="A147" s="47" t="s">
        <v>4</v>
      </c>
      <c r="B147" s="33" t="s">
        <v>4</v>
      </c>
      <c r="C147" s="75"/>
      <c r="D147" s="24">
        <f>D146+F146</f>
        <v>546</v>
      </c>
      <c r="E147" s="24">
        <f t="shared" si="23"/>
        <v>546</v>
      </c>
      <c r="F147" s="30">
        <v>1</v>
      </c>
      <c r="G147" s="28" t="s">
        <v>135</v>
      </c>
      <c r="H147" s="129" t="s">
        <v>9</v>
      </c>
      <c r="I147" s="125" t="s">
        <v>377</v>
      </c>
    </row>
    <row r="148" spans="1:9" s="8" customFormat="1" ht="63.75" x14ac:dyDescent="0.2">
      <c r="A148" s="47" t="s">
        <v>4</v>
      </c>
      <c r="B148" s="33" t="s">
        <v>4</v>
      </c>
      <c r="C148" s="75"/>
      <c r="D148" s="24">
        <f>D147+F147</f>
        <v>547</v>
      </c>
      <c r="E148" s="24">
        <f t="shared" si="23"/>
        <v>547</v>
      </c>
      <c r="F148" s="30">
        <v>1</v>
      </c>
      <c r="G148" s="85" t="s">
        <v>384</v>
      </c>
      <c r="H148" s="129" t="s">
        <v>9</v>
      </c>
      <c r="I148" s="125" t="s">
        <v>375</v>
      </c>
    </row>
    <row r="149" spans="1:9" s="8" customFormat="1" ht="63.75" x14ac:dyDescent="0.2">
      <c r="A149" s="47" t="s">
        <v>4</v>
      </c>
      <c r="B149" s="33" t="s">
        <v>4</v>
      </c>
      <c r="C149" s="75" t="s">
        <v>225</v>
      </c>
      <c r="D149" s="24">
        <f>D148+F148</f>
        <v>548</v>
      </c>
      <c r="E149" s="24">
        <f t="shared" si="23"/>
        <v>548</v>
      </c>
      <c r="F149" s="30">
        <v>1</v>
      </c>
      <c r="G149" s="28" t="s">
        <v>136</v>
      </c>
      <c r="H149" s="129" t="s">
        <v>9</v>
      </c>
      <c r="I149" s="84" t="s">
        <v>376</v>
      </c>
    </row>
    <row r="150" spans="1:9" s="8" customFormat="1" x14ac:dyDescent="0.2">
      <c r="C150" s="30"/>
      <c r="D150" s="24">
        <f>D149+F149</f>
        <v>549</v>
      </c>
      <c r="E150" s="24">
        <f t="shared" si="23"/>
        <v>549</v>
      </c>
      <c r="F150" s="27">
        <v>1</v>
      </c>
      <c r="G150" s="31" t="s">
        <v>151</v>
      </c>
      <c r="H150" s="130"/>
      <c r="I150" s="126"/>
    </row>
    <row r="151" spans="1:9" s="8" customFormat="1" x14ac:dyDescent="0.2">
      <c r="C151" s="30"/>
      <c r="D151" s="24"/>
      <c r="E151" s="24"/>
      <c r="F151" s="27"/>
      <c r="G151" s="63" t="s">
        <v>133</v>
      </c>
      <c r="H151" s="130"/>
      <c r="I151" s="78"/>
    </row>
    <row r="152" spans="1:9" s="8" customFormat="1" x14ac:dyDescent="0.2">
      <c r="A152" s="88" t="s">
        <v>3</v>
      </c>
      <c r="B152" s="89" t="s">
        <v>3</v>
      </c>
      <c r="C152" s="49" t="s">
        <v>142</v>
      </c>
      <c r="D152" s="24">
        <f>D150+F150</f>
        <v>550</v>
      </c>
      <c r="E152" s="24">
        <f>D152+F152-1</f>
        <v>550</v>
      </c>
      <c r="F152" s="27">
        <v>1</v>
      </c>
      <c r="G152" s="31" t="s">
        <v>63</v>
      </c>
      <c r="H152" s="177" t="s">
        <v>9</v>
      </c>
      <c r="I152" s="183" t="s">
        <v>348</v>
      </c>
    </row>
    <row r="153" spans="1:9" s="8" customFormat="1" x14ac:dyDescent="0.2">
      <c r="A153" s="88" t="s">
        <v>3</v>
      </c>
      <c r="B153" s="89" t="s">
        <v>3</v>
      </c>
      <c r="C153" s="49"/>
      <c r="D153" s="24">
        <f>D152+F152</f>
        <v>551</v>
      </c>
      <c r="E153" s="24">
        <f t="shared" ref="E153:E163" si="24">D153+F153-1</f>
        <v>551</v>
      </c>
      <c r="F153" s="27">
        <v>1</v>
      </c>
      <c r="G153" s="31" t="s">
        <v>64</v>
      </c>
      <c r="H153" s="178"/>
      <c r="I153" s="183"/>
    </row>
    <row r="154" spans="1:9" s="8" customFormat="1" x14ac:dyDescent="0.2">
      <c r="A154" s="49" t="s">
        <v>4</v>
      </c>
      <c r="B154" s="50" t="s">
        <v>4</v>
      </c>
      <c r="C154" s="49"/>
      <c r="D154" s="24">
        <f t="shared" ref="D154:D163" si="25">D153+F153</f>
        <v>552</v>
      </c>
      <c r="E154" s="24">
        <f t="shared" si="24"/>
        <v>552</v>
      </c>
      <c r="F154" s="27">
        <v>1</v>
      </c>
      <c r="G154" s="31" t="s">
        <v>65</v>
      </c>
      <c r="H154" s="178"/>
      <c r="I154" s="183"/>
    </row>
    <row r="155" spans="1:9" s="8" customFormat="1" x14ac:dyDescent="0.2">
      <c r="A155" s="88" t="s">
        <v>3</v>
      </c>
      <c r="B155" s="88" t="s">
        <v>3</v>
      </c>
      <c r="C155" s="49"/>
      <c r="D155" s="24">
        <f t="shared" si="25"/>
        <v>553</v>
      </c>
      <c r="E155" s="24">
        <f t="shared" si="24"/>
        <v>553</v>
      </c>
      <c r="F155" s="27">
        <v>1</v>
      </c>
      <c r="G155" s="72" t="s">
        <v>66</v>
      </c>
      <c r="H155" s="178"/>
      <c r="I155" s="183"/>
    </row>
    <row r="156" spans="1:9" s="8" customFormat="1" x14ac:dyDescent="0.2">
      <c r="A156" s="49" t="s">
        <v>4</v>
      </c>
      <c r="B156" s="50" t="s">
        <v>4</v>
      </c>
      <c r="C156" s="49"/>
      <c r="D156" s="24">
        <f t="shared" si="25"/>
        <v>554</v>
      </c>
      <c r="E156" s="24">
        <f t="shared" si="24"/>
        <v>554</v>
      </c>
      <c r="F156" s="27">
        <v>1</v>
      </c>
      <c r="G156" s="72" t="s">
        <v>255</v>
      </c>
      <c r="H156" s="178"/>
      <c r="I156" s="183"/>
    </row>
    <row r="157" spans="1:9" s="8" customFormat="1" x14ac:dyDescent="0.2">
      <c r="A157" s="49" t="s">
        <v>4</v>
      </c>
      <c r="B157" s="50" t="s">
        <v>4</v>
      </c>
      <c r="C157" s="49"/>
      <c r="D157" s="24">
        <f t="shared" si="25"/>
        <v>555</v>
      </c>
      <c r="E157" s="24">
        <f t="shared" si="24"/>
        <v>555</v>
      </c>
      <c r="F157" s="27">
        <v>1</v>
      </c>
      <c r="G157" s="72" t="s">
        <v>256</v>
      </c>
      <c r="H157" s="178"/>
      <c r="I157" s="183"/>
    </row>
    <row r="158" spans="1:9" s="8" customFormat="1" x14ac:dyDescent="0.2">
      <c r="A158" s="49" t="s">
        <v>4</v>
      </c>
      <c r="B158" s="50" t="s">
        <v>4</v>
      </c>
      <c r="C158" s="49"/>
      <c r="D158" s="24">
        <f t="shared" si="25"/>
        <v>556</v>
      </c>
      <c r="E158" s="24">
        <f t="shared" si="24"/>
        <v>556</v>
      </c>
      <c r="F158" s="27">
        <v>1</v>
      </c>
      <c r="G158" s="31" t="s">
        <v>67</v>
      </c>
      <c r="H158" s="178"/>
      <c r="I158" s="183"/>
    </row>
    <row r="159" spans="1:9" s="8" customFormat="1" x14ac:dyDescent="0.2">
      <c r="A159" s="49" t="s">
        <v>4</v>
      </c>
      <c r="B159" s="50" t="s">
        <v>4</v>
      </c>
      <c r="C159" s="49"/>
      <c r="D159" s="24">
        <f t="shared" si="25"/>
        <v>557</v>
      </c>
      <c r="E159" s="24">
        <f t="shared" si="24"/>
        <v>557</v>
      </c>
      <c r="F159" s="27">
        <v>1</v>
      </c>
      <c r="G159" s="31" t="s">
        <v>68</v>
      </c>
      <c r="H159" s="178"/>
      <c r="I159" s="183"/>
    </row>
    <row r="160" spans="1:9" s="8" customFormat="1" x14ac:dyDescent="0.2">
      <c r="A160" s="49" t="s">
        <v>4</v>
      </c>
      <c r="B160" s="50" t="s">
        <v>4</v>
      </c>
      <c r="C160" s="49"/>
      <c r="D160" s="24">
        <f t="shared" si="25"/>
        <v>558</v>
      </c>
      <c r="E160" s="24">
        <f t="shared" si="24"/>
        <v>558</v>
      </c>
      <c r="F160" s="27">
        <v>1</v>
      </c>
      <c r="G160" s="31" t="s">
        <v>69</v>
      </c>
      <c r="H160" s="178"/>
      <c r="I160" s="183"/>
    </row>
    <row r="161" spans="1:9" s="8" customFormat="1" x14ac:dyDescent="0.2">
      <c r="A161" s="49" t="s">
        <v>4</v>
      </c>
      <c r="B161" s="50" t="s">
        <v>4</v>
      </c>
      <c r="C161" s="49"/>
      <c r="D161" s="24">
        <f t="shared" si="25"/>
        <v>559</v>
      </c>
      <c r="E161" s="24">
        <f t="shared" si="24"/>
        <v>559</v>
      </c>
      <c r="F161" s="27">
        <v>1</v>
      </c>
      <c r="G161" s="72" t="s">
        <v>385</v>
      </c>
      <c r="H161" s="178"/>
      <c r="I161" s="183"/>
    </row>
    <row r="162" spans="1:9" s="8" customFormat="1" x14ac:dyDescent="0.2">
      <c r="A162" s="49" t="s">
        <v>4</v>
      </c>
      <c r="B162" s="50" t="s">
        <v>4</v>
      </c>
      <c r="C162" s="49"/>
      <c r="D162" s="24">
        <f t="shared" si="25"/>
        <v>560</v>
      </c>
      <c r="E162" s="24">
        <f t="shared" si="24"/>
        <v>560</v>
      </c>
      <c r="F162" s="27">
        <v>1</v>
      </c>
      <c r="G162" s="31" t="s">
        <v>70</v>
      </c>
      <c r="H162" s="178"/>
      <c r="I162" s="183"/>
    </row>
    <row r="163" spans="1:9" s="8" customFormat="1" x14ac:dyDescent="0.2">
      <c r="A163" s="30"/>
      <c r="B163" s="30"/>
      <c r="C163" s="30"/>
      <c r="D163" s="24">
        <f t="shared" si="25"/>
        <v>561</v>
      </c>
      <c r="E163" s="24">
        <f t="shared" si="24"/>
        <v>566</v>
      </c>
      <c r="F163" s="27">
        <v>6</v>
      </c>
      <c r="G163" s="31" t="s">
        <v>151</v>
      </c>
      <c r="H163" s="130"/>
      <c r="I163" s="125"/>
    </row>
    <row r="164" spans="1:9" s="9" customFormat="1" ht="15.75" x14ac:dyDescent="0.2">
      <c r="A164" s="30"/>
      <c r="B164" s="30"/>
      <c r="C164" s="22"/>
      <c r="D164" s="51"/>
      <c r="E164" s="51"/>
      <c r="F164" s="51"/>
      <c r="G164" s="43" t="s">
        <v>137</v>
      </c>
      <c r="H164" s="81"/>
      <c r="I164" s="125"/>
    </row>
    <row r="165" spans="1:9" s="8" customFormat="1" ht="104.25" customHeight="1" x14ac:dyDescent="0.2">
      <c r="A165" s="30" t="s">
        <v>3</v>
      </c>
      <c r="B165" s="30" t="s">
        <v>3</v>
      </c>
      <c r="C165" s="30"/>
      <c r="D165" s="24">
        <f>D163+F163</f>
        <v>567</v>
      </c>
      <c r="E165" s="24">
        <f>D165+F165-1</f>
        <v>568</v>
      </c>
      <c r="F165" s="27">
        <v>2</v>
      </c>
      <c r="G165" s="31" t="s">
        <v>43</v>
      </c>
      <c r="H165" s="123" t="s">
        <v>252</v>
      </c>
      <c r="I165" s="149" t="s">
        <v>469</v>
      </c>
    </row>
    <row r="166" spans="1:9" ht="27" customHeight="1" x14ac:dyDescent="0.2">
      <c r="A166" s="47" t="s">
        <v>3</v>
      </c>
      <c r="B166" s="47" t="s">
        <v>3</v>
      </c>
      <c r="C166" s="75" t="s">
        <v>225</v>
      </c>
      <c r="D166" s="24">
        <f t="shared" ref="D166:D176" si="26">D165+F165</f>
        <v>569</v>
      </c>
      <c r="E166" s="24">
        <f>D166+F166-1</f>
        <v>570</v>
      </c>
      <c r="F166" s="52">
        <v>2</v>
      </c>
      <c r="G166" s="53" t="s">
        <v>49</v>
      </c>
      <c r="H166" s="169" t="s">
        <v>299</v>
      </c>
      <c r="I166" s="171" t="s">
        <v>470</v>
      </c>
    </row>
    <row r="167" spans="1:9" ht="27" customHeight="1" x14ac:dyDescent="0.2">
      <c r="A167" s="47" t="s">
        <v>3</v>
      </c>
      <c r="B167" s="47" t="s">
        <v>3</v>
      </c>
      <c r="C167" s="75" t="s">
        <v>225</v>
      </c>
      <c r="D167" s="24">
        <f t="shared" si="26"/>
        <v>571</v>
      </c>
      <c r="E167" s="24">
        <f>D167+F167-1</f>
        <v>572</v>
      </c>
      <c r="F167" s="52">
        <v>2</v>
      </c>
      <c r="G167" s="53" t="s">
        <v>50</v>
      </c>
      <c r="H167" s="170"/>
      <c r="I167" s="172"/>
    </row>
    <row r="168" spans="1:9" ht="30" customHeight="1" x14ac:dyDescent="0.2">
      <c r="A168" s="47" t="s">
        <v>3</v>
      </c>
      <c r="B168" s="47" t="s">
        <v>3</v>
      </c>
      <c r="C168" s="75" t="s">
        <v>225</v>
      </c>
      <c r="D168" s="24">
        <f t="shared" si="26"/>
        <v>573</v>
      </c>
      <c r="E168" s="24">
        <f t="shared" ref="E168:E185" si="27">D168+F168-1</f>
        <v>574</v>
      </c>
      <c r="F168" s="52">
        <v>2</v>
      </c>
      <c r="G168" s="53" t="s">
        <v>51</v>
      </c>
      <c r="H168" s="170"/>
      <c r="I168" s="172"/>
    </row>
    <row r="169" spans="1:9" ht="30" customHeight="1" x14ac:dyDescent="0.2">
      <c r="C169" s="47"/>
      <c r="D169" s="24">
        <f t="shared" si="26"/>
        <v>575</v>
      </c>
      <c r="E169" s="24">
        <f t="shared" si="27"/>
        <v>588</v>
      </c>
      <c r="F169" s="52">
        <v>14</v>
      </c>
      <c r="G169" s="65" t="s">
        <v>151</v>
      </c>
      <c r="H169" s="126"/>
      <c r="I169" s="124"/>
    </row>
    <row r="170" spans="1:9" ht="63.75" customHeight="1" x14ac:dyDescent="0.2">
      <c r="A170" s="47" t="s">
        <v>3</v>
      </c>
      <c r="B170" s="33" t="s">
        <v>3</v>
      </c>
      <c r="C170" s="75" t="s">
        <v>225</v>
      </c>
      <c r="D170" s="24">
        <f t="shared" si="26"/>
        <v>589</v>
      </c>
      <c r="E170" s="24">
        <f t="shared" si="27"/>
        <v>591</v>
      </c>
      <c r="F170" s="52">
        <v>3</v>
      </c>
      <c r="G170" s="53" t="s">
        <v>52</v>
      </c>
      <c r="H170" s="79" t="s">
        <v>247</v>
      </c>
      <c r="I170" s="150" t="s">
        <v>449</v>
      </c>
    </row>
    <row r="171" spans="1:9" ht="63.75" customHeight="1" x14ac:dyDescent="0.2">
      <c r="A171" s="47" t="s">
        <v>3</v>
      </c>
      <c r="B171" s="33" t="s">
        <v>3</v>
      </c>
      <c r="C171" s="75" t="s">
        <v>225</v>
      </c>
      <c r="D171" s="24">
        <f t="shared" si="26"/>
        <v>592</v>
      </c>
      <c r="E171" s="24">
        <f t="shared" si="27"/>
        <v>594</v>
      </c>
      <c r="F171" s="52">
        <v>3</v>
      </c>
      <c r="G171" s="53" t="s">
        <v>53</v>
      </c>
      <c r="H171" s="79" t="s">
        <v>247</v>
      </c>
      <c r="I171" s="150" t="s">
        <v>449</v>
      </c>
    </row>
    <row r="172" spans="1:9" ht="56.25" customHeight="1" x14ac:dyDescent="0.2">
      <c r="A172" s="47" t="s">
        <v>3</v>
      </c>
      <c r="B172" s="33" t="s">
        <v>3</v>
      </c>
      <c r="C172" s="75" t="s">
        <v>225</v>
      </c>
      <c r="D172" s="24">
        <f t="shared" si="26"/>
        <v>595</v>
      </c>
      <c r="E172" s="24">
        <f t="shared" si="27"/>
        <v>597</v>
      </c>
      <c r="F172" s="52">
        <v>3</v>
      </c>
      <c r="G172" s="53" t="s">
        <v>54</v>
      </c>
      <c r="H172" s="79" t="s">
        <v>247</v>
      </c>
      <c r="I172" s="150" t="s">
        <v>450</v>
      </c>
    </row>
    <row r="173" spans="1:9" ht="63.75" x14ac:dyDescent="0.2">
      <c r="A173" s="26" t="s">
        <v>3</v>
      </c>
      <c r="B173" s="26" t="s">
        <v>3</v>
      </c>
      <c r="C173" s="75"/>
      <c r="D173" s="24">
        <f t="shared" si="26"/>
        <v>598</v>
      </c>
      <c r="E173" s="24">
        <f t="shared" si="27"/>
        <v>598</v>
      </c>
      <c r="F173" s="52">
        <v>1</v>
      </c>
      <c r="G173" s="72" t="s">
        <v>355</v>
      </c>
      <c r="H173" s="125" t="s">
        <v>372</v>
      </c>
      <c r="I173" s="125" t="s">
        <v>359</v>
      </c>
    </row>
    <row r="174" spans="1:9" ht="63.75" x14ac:dyDescent="0.2">
      <c r="A174" s="26" t="s">
        <v>3</v>
      </c>
      <c r="B174" s="26" t="s">
        <v>3</v>
      </c>
      <c r="C174" s="75"/>
      <c r="D174" s="24">
        <f t="shared" si="26"/>
        <v>599</v>
      </c>
      <c r="E174" s="24">
        <f t="shared" si="27"/>
        <v>604</v>
      </c>
      <c r="F174" s="52">
        <v>6</v>
      </c>
      <c r="G174" s="72" t="s">
        <v>356</v>
      </c>
      <c r="H174" s="125" t="s">
        <v>399</v>
      </c>
      <c r="I174" s="125" t="s">
        <v>360</v>
      </c>
    </row>
    <row r="175" spans="1:9" ht="51" x14ac:dyDescent="0.2">
      <c r="A175" s="161" t="s">
        <v>3</v>
      </c>
      <c r="B175" s="161" t="s">
        <v>3</v>
      </c>
      <c r="C175" s="75"/>
      <c r="D175" s="24">
        <f t="shared" si="26"/>
        <v>605</v>
      </c>
      <c r="E175" s="24">
        <f t="shared" si="27"/>
        <v>607</v>
      </c>
      <c r="F175" s="52">
        <v>3</v>
      </c>
      <c r="G175" s="162" t="s">
        <v>482</v>
      </c>
      <c r="H175" s="163" t="s">
        <v>357</v>
      </c>
      <c r="I175" s="163" t="s">
        <v>360</v>
      </c>
    </row>
    <row r="176" spans="1:9" ht="75.75" customHeight="1" x14ac:dyDescent="0.2">
      <c r="A176" s="160" t="s">
        <v>4</v>
      </c>
      <c r="B176" s="160" t="s">
        <v>3</v>
      </c>
      <c r="C176" s="48"/>
      <c r="D176" s="157">
        <f t="shared" si="26"/>
        <v>608</v>
      </c>
      <c r="E176" s="157">
        <f t="shared" si="27"/>
        <v>608</v>
      </c>
      <c r="F176" s="158">
        <v>1</v>
      </c>
      <c r="G176" s="159" t="s">
        <v>425</v>
      </c>
      <c r="H176" s="150" t="s">
        <v>475</v>
      </c>
      <c r="I176" s="149" t="s">
        <v>359</v>
      </c>
    </row>
    <row r="177" spans="1:9" ht="75.75" customHeight="1" x14ac:dyDescent="0.2">
      <c r="A177" s="139"/>
      <c r="B177" s="139"/>
      <c r="C177" s="48"/>
      <c r="D177" s="157">
        <f>D176+F176</f>
        <v>609</v>
      </c>
      <c r="E177" s="157">
        <f>D177+F177-1</f>
        <v>617</v>
      </c>
      <c r="F177" s="158">
        <v>9</v>
      </c>
      <c r="G177" s="159" t="s">
        <v>151</v>
      </c>
      <c r="H177" s="127"/>
      <c r="I177" s="29"/>
    </row>
    <row r="178" spans="1:9" x14ac:dyDescent="0.2">
      <c r="C178" s="48"/>
      <c r="D178" s="52"/>
      <c r="E178" s="52"/>
      <c r="F178" s="54"/>
      <c r="G178" s="63" t="s">
        <v>138</v>
      </c>
      <c r="H178" s="127"/>
      <c r="I178" s="29"/>
    </row>
    <row r="179" spans="1:9" s="8" customFormat="1" ht="76.5" x14ac:dyDescent="0.2">
      <c r="A179" s="32" t="s">
        <v>4</v>
      </c>
      <c r="B179" s="32" t="s">
        <v>4</v>
      </c>
      <c r="C179" s="26"/>
      <c r="D179" s="24">
        <f>D177+F177</f>
        <v>618</v>
      </c>
      <c r="E179" s="24">
        <f t="shared" si="27"/>
        <v>618</v>
      </c>
      <c r="F179" s="30">
        <v>1</v>
      </c>
      <c r="G179" s="72" t="s">
        <v>257</v>
      </c>
      <c r="H179" s="123" t="s">
        <v>400</v>
      </c>
      <c r="I179" s="124"/>
    </row>
    <row r="180" spans="1:9" s="8" customFormat="1" ht="25.5" x14ac:dyDescent="0.2">
      <c r="A180" s="75" t="s">
        <v>4</v>
      </c>
      <c r="B180" s="75" t="s">
        <v>4</v>
      </c>
      <c r="C180" s="30"/>
      <c r="D180" s="24">
        <f t="shared" ref="D180:D185" si="28">D179+F179</f>
        <v>619</v>
      </c>
      <c r="E180" s="24">
        <f t="shared" si="27"/>
        <v>625</v>
      </c>
      <c r="F180" s="27">
        <v>7</v>
      </c>
      <c r="G180" s="31" t="s">
        <v>23</v>
      </c>
      <c r="H180" s="126" t="s">
        <v>248</v>
      </c>
      <c r="I180" s="124" t="s">
        <v>44</v>
      </c>
    </row>
    <row r="181" spans="1:9" s="8" customFormat="1" ht="15.75" x14ac:dyDescent="0.2">
      <c r="A181" s="47"/>
      <c r="B181" s="38"/>
      <c r="C181" s="30"/>
      <c r="D181" s="24">
        <f t="shared" si="28"/>
        <v>626</v>
      </c>
      <c r="E181" s="24">
        <f>D181+F181-1</f>
        <v>626</v>
      </c>
      <c r="F181" s="27">
        <v>1</v>
      </c>
      <c r="G181" s="31" t="s">
        <v>151</v>
      </c>
      <c r="H181" s="126"/>
      <c r="I181" s="124"/>
    </row>
    <row r="182" spans="1:9" s="8" customFormat="1" ht="38.25" x14ac:dyDescent="0.2">
      <c r="A182" s="30" t="s">
        <v>4</v>
      </c>
      <c r="B182" s="75" t="s">
        <v>4</v>
      </c>
      <c r="C182" s="30"/>
      <c r="D182" s="24">
        <f t="shared" si="28"/>
        <v>627</v>
      </c>
      <c r="E182" s="24">
        <f>D182+F182-1</f>
        <v>634</v>
      </c>
      <c r="F182" s="27">
        <v>8</v>
      </c>
      <c r="G182" s="72" t="s">
        <v>215</v>
      </c>
      <c r="H182" s="126" t="s">
        <v>249</v>
      </c>
    </row>
    <row r="183" spans="1:9" ht="25.5" x14ac:dyDescent="0.2">
      <c r="A183" s="47" t="s">
        <v>4</v>
      </c>
      <c r="B183" s="33" t="s">
        <v>4</v>
      </c>
      <c r="C183" s="48"/>
      <c r="D183" s="24">
        <f t="shared" si="28"/>
        <v>635</v>
      </c>
      <c r="E183" s="24">
        <f>D183+F183-1</f>
        <v>642</v>
      </c>
      <c r="F183" s="27">
        <v>8</v>
      </c>
      <c r="G183" s="53" t="s">
        <v>56</v>
      </c>
      <c r="H183" s="123" t="s">
        <v>396</v>
      </c>
      <c r="I183" s="125" t="s">
        <v>44</v>
      </c>
    </row>
    <row r="184" spans="1:9" ht="25.5" x14ac:dyDescent="0.2">
      <c r="A184" s="47" t="s">
        <v>4</v>
      </c>
      <c r="B184" s="33" t="s">
        <v>4</v>
      </c>
      <c r="C184" s="48"/>
      <c r="D184" s="24">
        <f t="shared" si="28"/>
        <v>643</v>
      </c>
      <c r="E184" s="24">
        <f t="shared" si="27"/>
        <v>648</v>
      </c>
      <c r="F184" s="27">
        <v>6</v>
      </c>
      <c r="G184" s="72" t="s">
        <v>386</v>
      </c>
      <c r="H184" s="123" t="s">
        <v>387</v>
      </c>
      <c r="I184" s="125" t="s">
        <v>44</v>
      </c>
    </row>
    <row r="185" spans="1:9" x14ac:dyDescent="0.2">
      <c r="A185" s="47"/>
      <c r="B185" s="33"/>
      <c r="C185" s="48"/>
      <c r="D185" s="24">
        <f t="shared" si="28"/>
        <v>649</v>
      </c>
      <c r="E185" s="24">
        <f t="shared" si="27"/>
        <v>658</v>
      </c>
      <c r="F185" s="27">
        <v>10</v>
      </c>
      <c r="G185" s="72" t="s">
        <v>151</v>
      </c>
      <c r="H185" s="123"/>
      <c r="I185" s="29"/>
    </row>
    <row r="186" spans="1:9" x14ac:dyDescent="0.2">
      <c r="A186" s="47"/>
      <c r="B186" s="33"/>
      <c r="C186" s="48"/>
      <c r="D186" s="24"/>
      <c r="E186" s="24"/>
      <c r="F186" s="27"/>
      <c r="G186" s="90" t="s">
        <v>217</v>
      </c>
      <c r="H186" s="127"/>
      <c r="I186" s="29"/>
    </row>
    <row r="187" spans="1:9" ht="89.25" x14ac:dyDescent="0.2">
      <c r="A187" s="75" t="s">
        <v>3</v>
      </c>
      <c r="B187" s="75" t="s">
        <v>3</v>
      </c>
      <c r="C187" s="48"/>
      <c r="D187" s="24">
        <f>D185+F185</f>
        <v>659</v>
      </c>
      <c r="E187" s="24">
        <f>D187+F187-1</f>
        <v>664</v>
      </c>
      <c r="F187" s="75">
        <v>6</v>
      </c>
      <c r="G187" s="85" t="s">
        <v>218</v>
      </c>
      <c r="H187" s="125" t="s">
        <v>284</v>
      </c>
      <c r="I187" s="125" t="s">
        <v>379</v>
      </c>
    </row>
    <row r="188" spans="1:9" ht="38.25" x14ac:dyDescent="0.2">
      <c r="A188" s="91" t="s">
        <v>4</v>
      </c>
      <c r="B188" s="91" t="s">
        <v>4</v>
      </c>
      <c r="C188" s="48"/>
      <c r="D188" s="24">
        <f>D187+F187</f>
        <v>665</v>
      </c>
      <c r="E188" s="24">
        <f>D188+F188-1</f>
        <v>666</v>
      </c>
      <c r="F188" s="75">
        <v>2</v>
      </c>
      <c r="G188" s="111" t="s">
        <v>259</v>
      </c>
      <c r="H188" s="125" t="s">
        <v>261</v>
      </c>
      <c r="I188" s="123" t="s">
        <v>359</v>
      </c>
    </row>
    <row r="189" spans="1:9" ht="38.25" x14ac:dyDescent="0.2">
      <c r="A189" s="91" t="s">
        <v>4</v>
      </c>
      <c r="B189" s="91" t="s">
        <v>4</v>
      </c>
      <c r="C189" s="48"/>
      <c r="D189" s="24">
        <f>D188+F188</f>
        <v>667</v>
      </c>
      <c r="E189" s="24">
        <f>D189+F189-1</f>
        <v>674</v>
      </c>
      <c r="F189" s="75">
        <v>8</v>
      </c>
      <c r="G189" s="111" t="s">
        <v>260</v>
      </c>
      <c r="H189" s="125" t="s">
        <v>263</v>
      </c>
      <c r="I189" s="123" t="s">
        <v>359</v>
      </c>
    </row>
    <row r="190" spans="1:9" x14ac:dyDescent="0.2">
      <c r="A190" s="123"/>
      <c r="B190" s="123"/>
      <c r="C190" s="123"/>
      <c r="D190" s="134">
        <f>D189+F189</f>
        <v>675</v>
      </c>
      <c r="E190" s="134">
        <f>D190+F190-1</f>
        <v>684</v>
      </c>
      <c r="F190" s="134" t="s">
        <v>412</v>
      </c>
      <c r="G190" s="123" t="s">
        <v>151</v>
      </c>
      <c r="H190" s="123"/>
      <c r="I190" s="123"/>
    </row>
    <row r="191" spans="1:9" x14ac:dyDescent="0.2">
      <c r="A191" s="33" t="s">
        <v>3</v>
      </c>
      <c r="B191" s="33" t="s">
        <v>3</v>
      </c>
      <c r="C191" s="26"/>
      <c r="D191" s="24">
        <f>D190+F190</f>
        <v>685</v>
      </c>
      <c r="E191" s="24">
        <f>D191+F191-1</f>
        <v>703</v>
      </c>
      <c r="F191" s="30">
        <v>19</v>
      </c>
      <c r="G191" s="28" t="s">
        <v>19</v>
      </c>
      <c r="H191" s="125" t="s">
        <v>254</v>
      </c>
      <c r="I191" s="34" t="s">
        <v>20</v>
      </c>
    </row>
    <row r="192" spans="1:9" x14ac:dyDescent="0.2">
      <c r="I192" s="14"/>
    </row>
    <row r="193" spans="1:9" ht="15.75" x14ac:dyDescent="0.2">
      <c r="D193" s="21" t="s">
        <v>139</v>
      </c>
      <c r="E193" s="92">
        <f>E191</f>
        <v>703</v>
      </c>
      <c r="I193" s="14"/>
    </row>
    <row r="194" spans="1:9" x14ac:dyDescent="0.2">
      <c r="I194" s="14"/>
    </row>
    <row r="195" spans="1:9" x14ac:dyDescent="0.2">
      <c r="A195" s="13"/>
    </row>
    <row r="196" spans="1:9" x14ac:dyDescent="0.2">
      <c r="A196" s="13"/>
    </row>
  </sheetData>
  <customSheetViews>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2"/>
      <headerFooter alignWithMargins="0">
        <oddHeader>&amp;L&amp;"Arial,Bold"DRC Confidential&amp;R&amp;"Arial,Bold"&amp;D</oddHeader>
        <oddFooter>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5"/>
      <headerFooter alignWithMargins="0">
        <oddHeader>&amp;L&amp;"Arial,Bold"DRC Confidential&amp;R&amp;"Arial,Bold"&amp;D</oddHeader>
        <oddFooter>&amp;CPage &amp;P of &amp;N</oddFooter>
      </headerFooter>
    </customSheetView>
  </customSheetViews>
  <mergeCells count="27">
    <mergeCell ref="I1:J1"/>
    <mergeCell ref="I12:I13"/>
    <mergeCell ref="H93:H98"/>
    <mergeCell ref="I93:I98"/>
    <mergeCell ref="I22:I24"/>
    <mergeCell ref="I83:I88"/>
    <mergeCell ref="C1:H1"/>
    <mergeCell ref="I7:I8"/>
    <mergeCell ref="I39:I55"/>
    <mergeCell ref="H39:H55"/>
    <mergeCell ref="H77:H81"/>
    <mergeCell ref="I69:I70"/>
    <mergeCell ref="H166:H168"/>
    <mergeCell ref="I166:I168"/>
    <mergeCell ref="H58:H60"/>
    <mergeCell ref="H133:H135"/>
    <mergeCell ref="I133:I135"/>
    <mergeCell ref="H152:H162"/>
    <mergeCell ref="H114:H117"/>
    <mergeCell ref="H125:H128"/>
    <mergeCell ref="I114:I117"/>
    <mergeCell ref="I152:I162"/>
    <mergeCell ref="H137:H139"/>
    <mergeCell ref="I137:I139"/>
    <mergeCell ref="H103:H106"/>
    <mergeCell ref="I103:I106"/>
    <mergeCell ref="I125:I128"/>
  </mergeCells>
  <phoneticPr fontId="4" type="noConversion"/>
  <printOptions horizontalCentered="1" gridLines="1"/>
  <pageMargins left="0.5" right="0.5" top="0.46" bottom="0.5" header="0.27" footer="0.23"/>
  <pageSetup scale="55" fitToHeight="20" orientation="landscape" r:id="rId6"/>
  <headerFooter alignWithMargins="0">
    <oddHeader>&amp;RLayout provided by Data Recognition Corporation - Proprietary and Confidential</oddHeader>
    <oddFooter>&amp;LK = Key Verification                C = Corrections
E = Equating&amp;CPage &amp;P of &amp;N&amp;RLast Saved Date: 3/20/2014 3:29:27 PM</oddFooter>
  </headerFooter>
  <ignoredErrors>
    <ignoredError sqref="D59 D166" formula="1"/>
  </ignoredError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41"/>
  <sheetViews>
    <sheetView topLeftCell="A129" workbookViewId="0">
      <selection activeCell="H132" sqref="H132"/>
    </sheetView>
  </sheetViews>
  <sheetFormatPr defaultRowHeight="12.75" x14ac:dyDescent="0.2"/>
  <cols>
    <col min="1" max="1" width="10.140625" style="3" bestFit="1" customWidth="1"/>
    <col min="2" max="2" width="65.85546875" style="71" customWidth="1"/>
    <col min="3" max="3" width="18" style="110" customWidth="1"/>
    <col min="4" max="16384" width="9.140625" style="1"/>
  </cols>
  <sheetData>
    <row r="1" spans="1:4" ht="30" customHeight="1" x14ac:dyDescent="0.2">
      <c r="A1" s="192" t="s">
        <v>5</v>
      </c>
      <c r="B1" s="192"/>
      <c r="C1" s="192"/>
    </row>
    <row r="2" spans="1:4" ht="25.5" x14ac:dyDescent="0.2">
      <c r="A2" s="2" t="s">
        <v>6</v>
      </c>
      <c r="B2" s="69" t="s">
        <v>7</v>
      </c>
      <c r="C2" s="69" t="s">
        <v>8</v>
      </c>
      <c r="D2" s="3"/>
    </row>
    <row r="3" spans="1:4" x14ac:dyDescent="0.2">
      <c r="A3" s="4">
        <v>39407</v>
      </c>
      <c r="B3" s="5" t="s">
        <v>28</v>
      </c>
      <c r="C3" s="67" t="s">
        <v>29</v>
      </c>
    </row>
    <row r="4" spans="1:4" ht="25.5" x14ac:dyDescent="0.2">
      <c r="A4" s="4">
        <v>39553</v>
      </c>
      <c r="B4" s="5" t="s">
        <v>77</v>
      </c>
      <c r="C4" s="67" t="s">
        <v>29</v>
      </c>
    </row>
    <row r="5" spans="1:4" x14ac:dyDescent="0.2">
      <c r="A5" s="4">
        <v>39567</v>
      </c>
      <c r="B5" s="5" t="s">
        <v>78</v>
      </c>
      <c r="C5" s="67" t="s">
        <v>29</v>
      </c>
    </row>
    <row r="6" spans="1:4" ht="25.5" x14ac:dyDescent="0.2">
      <c r="A6" s="4">
        <v>39665</v>
      </c>
      <c r="B6" s="5" t="s">
        <v>79</v>
      </c>
      <c r="C6" s="67" t="s">
        <v>29</v>
      </c>
    </row>
    <row r="7" spans="1:4" ht="25.5" x14ac:dyDescent="0.2">
      <c r="A7" s="4">
        <v>39813</v>
      </c>
      <c r="B7" s="5" t="s">
        <v>144</v>
      </c>
      <c r="C7" s="67" t="s">
        <v>29</v>
      </c>
    </row>
    <row r="8" spans="1:4" ht="25.5" x14ac:dyDescent="0.2">
      <c r="A8" s="4"/>
      <c r="B8" s="5" t="s">
        <v>145</v>
      </c>
      <c r="C8" s="67"/>
    </row>
    <row r="9" spans="1:4" x14ac:dyDescent="0.2">
      <c r="A9" s="4"/>
      <c r="B9" s="5" t="s">
        <v>140</v>
      </c>
      <c r="C9" s="67"/>
    </row>
    <row r="10" spans="1:4" ht="25.5" x14ac:dyDescent="0.2">
      <c r="A10" s="4"/>
      <c r="B10" s="5" t="s">
        <v>141</v>
      </c>
      <c r="C10" s="67"/>
    </row>
    <row r="11" spans="1:4" ht="25.5" x14ac:dyDescent="0.2">
      <c r="A11" s="4">
        <v>39836</v>
      </c>
      <c r="B11" s="5" t="s">
        <v>147</v>
      </c>
      <c r="C11" s="67" t="s">
        <v>29</v>
      </c>
    </row>
    <row r="12" spans="1:4" x14ac:dyDescent="0.2">
      <c r="A12" s="4">
        <v>39853</v>
      </c>
      <c r="B12" s="5" t="s">
        <v>149</v>
      </c>
      <c r="C12" s="67" t="s">
        <v>29</v>
      </c>
    </row>
    <row r="13" spans="1:4" x14ac:dyDescent="0.2">
      <c r="A13" s="4">
        <v>39867</v>
      </c>
      <c r="B13" s="5" t="s">
        <v>150</v>
      </c>
      <c r="C13" s="67" t="s">
        <v>29</v>
      </c>
    </row>
    <row r="14" spans="1:4" ht="38.25" x14ac:dyDescent="0.2">
      <c r="A14" s="66">
        <v>40147</v>
      </c>
      <c r="B14" s="5" t="s">
        <v>364</v>
      </c>
      <c r="C14" s="67" t="s">
        <v>152</v>
      </c>
    </row>
    <row r="15" spans="1:4" ht="25.5" x14ac:dyDescent="0.2">
      <c r="A15" s="66">
        <v>40147</v>
      </c>
      <c r="B15" s="5" t="s">
        <v>157</v>
      </c>
      <c r="C15" s="67" t="s">
        <v>152</v>
      </c>
    </row>
    <row r="16" spans="1:4" ht="25.5" x14ac:dyDescent="0.2">
      <c r="A16" s="66">
        <v>40147</v>
      </c>
      <c r="B16" s="5" t="s">
        <v>158</v>
      </c>
      <c r="C16" s="67" t="s">
        <v>152</v>
      </c>
    </row>
    <row r="17" spans="1:3" ht="25.5" x14ac:dyDescent="0.2">
      <c r="A17" s="66">
        <v>40147</v>
      </c>
      <c r="B17" s="68" t="s">
        <v>159</v>
      </c>
      <c r="C17" s="67" t="s">
        <v>152</v>
      </c>
    </row>
    <row r="18" spans="1:3" x14ac:dyDescent="0.2">
      <c r="A18" s="66">
        <v>40147</v>
      </c>
      <c r="B18" s="68" t="s">
        <v>164</v>
      </c>
      <c r="C18" s="67" t="s">
        <v>152</v>
      </c>
    </row>
    <row r="19" spans="1:3" ht="25.5" x14ac:dyDescent="0.2">
      <c r="A19" s="66">
        <v>40147</v>
      </c>
      <c r="B19" s="68" t="s">
        <v>162</v>
      </c>
      <c r="C19" s="67" t="s">
        <v>152</v>
      </c>
    </row>
    <row r="20" spans="1:3" ht="25.5" x14ac:dyDescent="0.2">
      <c r="A20" s="66">
        <v>40147</v>
      </c>
      <c r="B20" s="68" t="s">
        <v>160</v>
      </c>
      <c r="C20" s="67" t="s">
        <v>152</v>
      </c>
    </row>
    <row r="21" spans="1:3" x14ac:dyDescent="0.2">
      <c r="A21" s="66">
        <v>40147</v>
      </c>
      <c r="B21" s="5" t="s">
        <v>153</v>
      </c>
      <c r="C21" s="67" t="s">
        <v>152</v>
      </c>
    </row>
    <row r="22" spans="1:3" x14ac:dyDescent="0.2">
      <c r="A22" s="66">
        <v>40147</v>
      </c>
      <c r="B22" s="5" t="s">
        <v>163</v>
      </c>
      <c r="C22" s="67" t="s">
        <v>152</v>
      </c>
    </row>
    <row r="23" spans="1:3" ht="25.5" x14ac:dyDescent="0.2">
      <c r="A23" s="66">
        <v>40147</v>
      </c>
      <c r="B23" s="68" t="s">
        <v>161</v>
      </c>
      <c r="C23" s="67" t="s">
        <v>152</v>
      </c>
    </row>
    <row r="24" spans="1:3" ht="25.5" x14ac:dyDescent="0.2">
      <c r="A24" s="66">
        <v>40147</v>
      </c>
      <c r="B24" s="101" t="s">
        <v>303</v>
      </c>
      <c r="C24" s="67" t="s">
        <v>152</v>
      </c>
    </row>
    <row r="25" spans="1:3" x14ac:dyDescent="0.2">
      <c r="A25" s="4">
        <v>40213</v>
      </c>
      <c r="B25" s="70" t="s">
        <v>165</v>
      </c>
      <c r="C25" s="67" t="s">
        <v>152</v>
      </c>
    </row>
    <row r="26" spans="1:3" ht="25.5" x14ac:dyDescent="0.2">
      <c r="A26" s="93">
        <v>40560</v>
      </c>
      <c r="B26" s="94" t="s">
        <v>178</v>
      </c>
      <c r="C26" s="109" t="s">
        <v>175</v>
      </c>
    </row>
    <row r="27" spans="1:3" ht="25.5" x14ac:dyDescent="0.2">
      <c r="A27" s="93">
        <v>40560</v>
      </c>
      <c r="B27" s="94" t="s">
        <v>179</v>
      </c>
      <c r="C27" s="109" t="s">
        <v>175</v>
      </c>
    </row>
    <row r="28" spans="1:3" ht="38.25" x14ac:dyDescent="0.2">
      <c r="A28" s="93">
        <v>40560</v>
      </c>
      <c r="B28" s="94" t="s">
        <v>173</v>
      </c>
      <c r="C28" s="109" t="s">
        <v>175</v>
      </c>
    </row>
    <row r="29" spans="1:3" ht="25.5" x14ac:dyDescent="0.2">
      <c r="A29" s="93">
        <v>40560</v>
      </c>
      <c r="B29" s="95" t="s">
        <v>174</v>
      </c>
      <c r="C29" s="109" t="s">
        <v>175</v>
      </c>
    </row>
    <row r="30" spans="1:3" ht="25.5" x14ac:dyDescent="0.2">
      <c r="A30" s="93">
        <v>40560</v>
      </c>
      <c r="B30" s="94" t="s">
        <v>202</v>
      </c>
      <c r="C30" s="109" t="s">
        <v>175</v>
      </c>
    </row>
    <row r="31" spans="1:3" ht="25.5" x14ac:dyDescent="0.2">
      <c r="A31" s="93">
        <v>40560</v>
      </c>
      <c r="B31" s="94" t="s">
        <v>176</v>
      </c>
      <c r="C31" s="109" t="s">
        <v>175</v>
      </c>
    </row>
    <row r="32" spans="1:3" ht="25.5" x14ac:dyDescent="0.2">
      <c r="A32" s="93">
        <v>40560</v>
      </c>
      <c r="B32" s="95" t="s">
        <v>177</v>
      </c>
      <c r="C32" s="109" t="s">
        <v>175</v>
      </c>
    </row>
    <row r="33" spans="1:3" ht="25.5" x14ac:dyDescent="0.2">
      <c r="A33" s="93">
        <v>40560</v>
      </c>
      <c r="B33" s="95" t="s">
        <v>204</v>
      </c>
      <c r="C33" s="109" t="s">
        <v>175</v>
      </c>
    </row>
    <row r="34" spans="1:3" ht="63.75" x14ac:dyDescent="0.2">
      <c r="A34" s="93">
        <v>40560</v>
      </c>
      <c r="B34" s="96" t="s">
        <v>365</v>
      </c>
      <c r="C34" s="109" t="s">
        <v>175</v>
      </c>
    </row>
    <row r="35" spans="1:3" ht="38.25" x14ac:dyDescent="0.2">
      <c r="A35" s="93">
        <v>40560</v>
      </c>
      <c r="B35" s="96" t="s">
        <v>205</v>
      </c>
      <c r="C35" s="109" t="s">
        <v>175</v>
      </c>
    </row>
    <row r="36" spans="1:3" x14ac:dyDescent="0.2">
      <c r="A36" s="93">
        <v>40560</v>
      </c>
      <c r="B36" s="94" t="s">
        <v>206</v>
      </c>
      <c r="C36" s="109" t="s">
        <v>175</v>
      </c>
    </row>
    <row r="37" spans="1:3" x14ac:dyDescent="0.2">
      <c r="A37" s="93">
        <v>40560</v>
      </c>
      <c r="B37" s="94" t="s">
        <v>207</v>
      </c>
      <c r="C37" s="109" t="s">
        <v>175</v>
      </c>
    </row>
    <row r="38" spans="1:3" ht="25.5" x14ac:dyDescent="0.2">
      <c r="A38" s="93">
        <v>40560</v>
      </c>
      <c r="B38" s="97" t="s">
        <v>208</v>
      </c>
      <c r="C38" s="109" t="s">
        <v>175</v>
      </c>
    </row>
    <row r="39" spans="1:3" ht="25.5" x14ac:dyDescent="0.2">
      <c r="A39" s="93">
        <v>40560</v>
      </c>
      <c r="B39" s="98" t="s">
        <v>209</v>
      </c>
      <c r="C39" s="109" t="s">
        <v>175</v>
      </c>
    </row>
    <row r="40" spans="1:3" x14ac:dyDescent="0.2">
      <c r="A40" s="93">
        <v>40564</v>
      </c>
      <c r="B40" s="94" t="s">
        <v>210</v>
      </c>
      <c r="C40" s="109" t="s">
        <v>175</v>
      </c>
    </row>
    <row r="41" spans="1:3" x14ac:dyDescent="0.2">
      <c r="A41" s="93">
        <v>40560</v>
      </c>
      <c r="B41" s="94" t="s">
        <v>180</v>
      </c>
      <c r="C41" s="109" t="s">
        <v>175</v>
      </c>
    </row>
    <row r="42" spans="1:3" x14ac:dyDescent="0.2">
      <c r="A42" s="93">
        <v>40564</v>
      </c>
      <c r="B42" s="94" t="s">
        <v>211</v>
      </c>
      <c r="C42" s="109" t="s">
        <v>175</v>
      </c>
    </row>
    <row r="43" spans="1:3" ht="25.5" x14ac:dyDescent="0.2">
      <c r="A43" s="93">
        <v>40564</v>
      </c>
      <c r="B43" s="94" t="s">
        <v>194</v>
      </c>
      <c r="C43" s="109" t="s">
        <v>175</v>
      </c>
    </row>
    <row r="44" spans="1:3" x14ac:dyDescent="0.2">
      <c r="A44" s="93">
        <v>40564</v>
      </c>
      <c r="B44" s="98" t="s">
        <v>195</v>
      </c>
      <c r="C44" s="109" t="s">
        <v>175</v>
      </c>
    </row>
    <row r="45" spans="1:3" ht="38.25" x14ac:dyDescent="0.2">
      <c r="A45" s="93">
        <v>40564</v>
      </c>
      <c r="B45" s="98" t="s">
        <v>212</v>
      </c>
      <c r="C45" s="109" t="s">
        <v>175</v>
      </c>
    </row>
    <row r="46" spans="1:3" ht="25.5" x14ac:dyDescent="0.2">
      <c r="A46" s="93">
        <v>40564</v>
      </c>
      <c r="B46" s="99" t="s">
        <v>213</v>
      </c>
      <c r="C46" s="109" t="s">
        <v>175</v>
      </c>
    </row>
    <row r="47" spans="1:3" ht="25.5" x14ac:dyDescent="0.2">
      <c r="A47" s="93">
        <v>40564</v>
      </c>
      <c r="B47" s="94" t="s">
        <v>214</v>
      </c>
      <c r="C47" s="109" t="s">
        <v>175</v>
      </c>
    </row>
    <row r="48" spans="1:3" x14ac:dyDescent="0.2">
      <c r="A48" s="93">
        <v>40564</v>
      </c>
      <c r="B48" s="100" t="s">
        <v>198</v>
      </c>
      <c r="C48" s="109" t="s">
        <v>175</v>
      </c>
    </row>
    <row r="49" spans="1:3" ht="38.25" x14ac:dyDescent="0.2">
      <c r="A49" s="93">
        <v>40564</v>
      </c>
      <c r="B49" s="94" t="s">
        <v>199</v>
      </c>
      <c r="C49" s="109" t="s">
        <v>175</v>
      </c>
    </row>
    <row r="50" spans="1:3" ht="38.25" x14ac:dyDescent="0.2">
      <c r="A50" s="93">
        <v>40564</v>
      </c>
      <c r="B50" s="94" t="s">
        <v>200</v>
      </c>
      <c r="C50" s="109" t="s">
        <v>175</v>
      </c>
    </row>
    <row r="51" spans="1:3" ht="38.25" x14ac:dyDescent="0.2">
      <c r="A51" s="93">
        <v>40564</v>
      </c>
      <c r="B51" s="94" t="s">
        <v>201</v>
      </c>
      <c r="C51" s="109" t="s">
        <v>175</v>
      </c>
    </row>
    <row r="52" spans="1:3" ht="38.25" x14ac:dyDescent="0.2">
      <c r="A52" s="93">
        <v>40564</v>
      </c>
      <c r="B52" s="94" t="s">
        <v>203</v>
      </c>
      <c r="C52" s="109" t="s">
        <v>175</v>
      </c>
    </row>
    <row r="53" spans="1:3" ht="25.5" x14ac:dyDescent="0.2">
      <c r="A53" s="4">
        <v>40610</v>
      </c>
      <c r="B53" s="101" t="s">
        <v>216</v>
      </c>
      <c r="C53" s="109" t="s">
        <v>175</v>
      </c>
    </row>
    <row r="54" spans="1:3" ht="25.5" x14ac:dyDescent="0.2">
      <c r="A54" s="102">
        <v>40612</v>
      </c>
      <c r="B54" s="103" t="s">
        <v>222</v>
      </c>
      <c r="C54" s="104" t="s">
        <v>152</v>
      </c>
    </row>
    <row r="55" spans="1:3" x14ac:dyDescent="0.2">
      <c r="A55" s="105">
        <v>40612</v>
      </c>
      <c r="B55" s="99" t="s">
        <v>219</v>
      </c>
      <c r="C55" s="106" t="s">
        <v>152</v>
      </c>
    </row>
    <row r="56" spans="1:3" ht="25.5" x14ac:dyDescent="0.2">
      <c r="A56" s="105">
        <v>40612</v>
      </c>
      <c r="B56" s="99" t="s">
        <v>221</v>
      </c>
      <c r="C56" s="106" t="s">
        <v>152</v>
      </c>
    </row>
    <row r="57" spans="1:3" ht="25.5" x14ac:dyDescent="0.2">
      <c r="A57" s="105">
        <v>40612</v>
      </c>
      <c r="B57" s="99" t="s">
        <v>220</v>
      </c>
      <c r="C57" s="106" t="s">
        <v>152</v>
      </c>
    </row>
    <row r="58" spans="1:3" ht="63.75" x14ac:dyDescent="0.2">
      <c r="A58" s="105">
        <v>40625</v>
      </c>
      <c r="B58" s="107" t="s">
        <v>223</v>
      </c>
      <c r="C58" s="106" t="s">
        <v>175</v>
      </c>
    </row>
    <row r="59" spans="1:3" ht="25.5" x14ac:dyDescent="0.2">
      <c r="A59" s="115">
        <v>40858</v>
      </c>
      <c r="B59" s="116" t="s">
        <v>301</v>
      </c>
      <c r="C59" s="67" t="s">
        <v>227</v>
      </c>
    </row>
    <row r="60" spans="1:3" ht="25.5" x14ac:dyDescent="0.2">
      <c r="A60" s="115">
        <v>40861</v>
      </c>
      <c r="B60" s="117" t="s">
        <v>266</v>
      </c>
      <c r="C60" s="104" t="s">
        <v>227</v>
      </c>
    </row>
    <row r="61" spans="1:3" ht="38.25" x14ac:dyDescent="0.2">
      <c r="A61" s="115">
        <v>40861</v>
      </c>
      <c r="B61" s="116" t="s">
        <v>324</v>
      </c>
      <c r="C61" s="104" t="s">
        <v>227</v>
      </c>
    </row>
    <row r="62" spans="1:3" ht="25.5" x14ac:dyDescent="0.2">
      <c r="A62" s="115">
        <v>40861</v>
      </c>
      <c r="B62" s="116" t="s">
        <v>329</v>
      </c>
      <c r="C62" s="104" t="s">
        <v>227</v>
      </c>
    </row>
    <row r="63" spans="1:3" ht="25.5" x14ac:dyDescent="0.2">
      <c r="A63" s="115">
        <v>40861</v>
      </c>
      <c r="B63" s="117" t="s">
        <v>289</v>
      </c>
      <c r="C63" s="67" t="s">
        <v>227</v>
      </c>
    </row>
    <row r="64" spans="1:3" ht="51" x14ac:dyDescent="0.2">
      <c r="A64" s="115">
        <v>40861</v>
      </c>
      <c r="B64" s="117" t="s">
        <v>323</v>
      </c>
      <c r="C64" s="67" t="s">
        <v>227</v>
      </c>
    </row>
    <row r="65" spans="1:3" ht="38.25" x14ac:dyDescent="0.2">
      <c r="A65" s="115">
        <v>40861</v>
      </c>
      <c r="B65" s="117" t="s">
        <v>286</v>
      </c>
      <c r="C65" s="104" t="s">
        <v>227</v>
      </c>
    </row>
    <row r="66" spans="1:3" ht="25.5" x14ac:dyDescent="0.2">
      <c r="A66" s="115">
        <v>40861</v>
      </c>
      <c r="B66" s="116" t="s">
        <v>268</v>
      </c>
      <c r="C66" s="104" t="s">
        <v>227</v>
      </c>
    </row>
    <row r="67" spans="1:3" ht="51" x14ac:dyDescent="0.2">
      <c r="A67" s="115">
        <v>40861</v>
      </c>
      <c r="B67" s="116" t="s">
        <v>297</v>
      </c>
      <c r="C67" s="104" t="s">
        <v>227</v>
      </c>
    </row>
    <row r="68" spans="1:3" ht="38.25" x14ac:dyDescent="0.2">
      <c r="A68" s="115">
        <v>40861</v>
      </c>
      <c r="B68" s="116" t="s">
        <v>271</v>
      </c>
      <c r="C68" s="104" t="s">
        <v>227</v>
      </c>
    </row>
    <row r="69" spans="1:3" ht="63.75" x14ac:dyDescent="0.2">
      <c r="A69" s="115">
        <v>40870</v>
      </c>
      <c r="B69" s="116" t="s">
        <v>290</v>
      </c>
      <c r="C69" s="104" t="s">
        <v>227</v>
      </c>
    </row>
    <row r="70" spans="1:3" ht="38.25" x14ac:dyDescent="0.2">
      <c r="A70" s="115">
        <v>40861</v>
      </c>
      <c r="B70" s="116" t="s">
        <v>273</v>
      </c>
      <c r="C70" s="104" t="s">
        <v>227</v>
      </c>
    </row>
    <row r="71" spans="1:3" ht="25.5" x14ac:dyDescent="0.2">
      <c r="A71" s="115">
        <v>40861</v>
      </c>
      <c r="B71" s="116" t="s">
        <v>279</v>
      </c>
      <c r="C71" s="104" t="s">
        <v>227</v>
      </c>
    </row>
    <row r="72" spans="1:3" ht="51" x14ac:dyDescent="0.2">
      <c r="A72" s="115">
        <v>40876</v>
      </c>
      <c r="B72" s="116" t="s">
        <v>294</v>
      </c>
      <c r="C72" s="104" t="s">
        <v>227</v>
      </c>
    </row>
    <row r="73" spans="1:3" ht="38.25" x14ac:dyDescent="0.2">
      <c r="A73" s="115">
        <v>40861</v>
      </c>
      <c r="B73" s="116" t="s">
        <v>282</v>
      </c>
      <c r="C73" s="104" t="s">
        <v>227</v>
      </c>
    </row>
    <row r="74" spans="1:3" ht="38.25" x14ac:dyDescent="0.2">
      <c r="A74" s="115">
        <v>40861</v>
      </c>
      <c r="B74" s="116" t="s">
        <v>283</v>
      </c>
      <c r="C74" s="104" t="s">
        <v>227</v>
      </c>
    </row>
    <row r="75" spans="1:3" ht="25.5" x14ac:dyDescent="0.2">
      <c r="A75" s="115">
        <v>40861</v>
      </c>
      <c r="B75" s="116" t="s">
        <v>300</v>
      </c>
      <c r="C75" s="104" t="s">
        <v>227</v>
      </c>
    </row>
    <row r="76" spans="1:3" ht="25.5" x14ac:dyDescent="0.2">
      <c r="A76" s="118">
        <v>40918</v>
      </c>
      <c r="B76" s="116" t="s">
        <v>305</v>
      </c>
      <c r="C76" s="119" t="s">
        <v>227</v>
      </c>
    </row>
    <row r="77" spans="1:3" ht="38.25" x14ac:dyDescent="0.2">
      <c r="A77" s="115">
        <v>40861</v>
      </c>
      <c r="B77" s="116" t="s">
        <v>275</v>
      </c>
      <c r="C77" s="104" t="s">
        <v>227</v>
      </c>
    </row>
    <row r="78" spans="1:3" ht="38.25" x14ac:dyDescent="0.2">
      <c r="A78" s="115">
        <v>40861</v>
      </c>
      <c r="B78" s="116" t="s">
        <v>325</v>
      </c>
      <c r="C78" s="104" t="s">
        <v>227</v>
      </c>
    </row>
    <row r="79" spans="1:3" ht="51" x14ac:dyDescent="0.2">
      <c r="A79" s="115">
        <v>40861</v>
      </c>
      <c r="B79" s="116" t="s">
        <v>326</v>
      </c>
      <c r="C79" s="104" t="s">
        <v>227</v>
      </c>
    </row>
    <row r="80" spans="1:3" ht="51" x14ac:dyDescent="0.2">
      <c r="A80" s="120">
        <v>40870</v>
      </c>
      <c r="B80" s="116" t="s">
        <v>327</v>
      </c>
      <c r="C80" s="104" t="s">
        <v>227</v>
      </c>
    </row>
    <row r="81" spans="1:3" ht="39" customHeight="1" x14ac:dyDescent="0.2">
      <c r="A81" s="115">
        <v>40925</v>
      </c>
      <c r="B81" s="116" t="s">
        <v>332</v>
      </c>
      <c r="C81" s="104" t="s">
        <v>227</v>
      </c>
    </row>
    <row r="82" spans="1:3" ht="38.25" x14ac:dyDescent="0.2">
      <c r="A82" s="118">
        <v>40918</v>
      </c>
      <c r="B82" s="101" t="s">
        <v>315</v>
      </c>
      <c r="C82" s="119" t="s">
        <v>227</v>
      </c>
    </row>
    <row r="83" spans="1:3" ht="38.25" x14ac:dyDescent="0.2">
      <c r="A83" s="118">
        <v>40918</v>
      </c>
      <c r="B83" s="101" t="s">
        <v>316</v>
      </c>
      <c r="C83" s="119" t="s">
        <v>227</v>
      </c>
    </row>
    <row r="84" spans="1:3" ht="38.25" x14ac:dyDescent="0.2">
      <c r="A84" s="118">
        <v>40918</v>
      </c>
      <c r="B84" s="101" t="s">
        <v>317</v>
      </c>
      <c r="C84" s="119" t="s">
        <v>227</v>
      </c>
    </row>
    <row r="85" spans="1:3" ht="38.25" x14ac:dyDescent="0.2">
      <c r="A85" s="118">
        <v>40918</v>
      </c>
      <c r="B85" s="101" t="s">
        <v>318</v>
      </c>
      <c r="C85" s="119" t="s">
        <v>227</v>
      </c>
    </row>
    <row r="86" spans="1:3" ht="38.25" x14ac:dyDescent="0.2">
      <c r="A86" s="118">
        <v>40918</v>
      </c>
      <c r="B86" s="101" t="s">
        <v>319</v>
      </c>
      <c r="C86" s="119" t="s">
        <v>227</v>
      </c>
    </row>
    <row r="87" spans="1:3" ht="38.25" x14ac:dyDescent="0.2">
      <c r="A87" s="118">
        <v>40918</v>
      </c>
      <c r="B87" s="101" t="s">
        <v>320</v>
      </c>
      <c r="C87" s="119" t="s">
        <v>227</v>
      </c>
    </row>
    <row r="88" spans="1:3" ht="38.25" x14ac:dyDescent="0.2">
      <c r="A88" s="118">
        <v>40918</v>
      </c>
      <c r="B88" s="101" t="s">
        <v>328</v>
      </c>
      <c r="C88" s="119" t="s">
        <v>227</v>
      </c>
    </row>
    <row r="89" spans="1:3" ht="38.25" x14ac:dyDescent="0.2">
      <c r="A89" s="118">
        <v>40918</v>
      </c>
      <c r="B89" s="101" t="s">
        <v>321</v>
      </c>
      <c r="C89" s="119" t="s">
        <v>227</v>
      </c>
    </row>
    <row r="90" spans="1:3" ht="38.25" x14ac:dyDescent="0.2">
      <c r="A90" s="118">
        <v>40918</v>
      </c>
      <c r="B90" s="101" t="s">
        <v>322</v>
      </c>
      <c r="C90" s="119" t="s">
        <v>227</v>
      </c>
    </row>
    <row r="91" spans="1:3" ht="38.25" x14ac:dyDescent="0.2">
      <c r="A91" s="115">
        <v>40861</v>
      </c>
      <c r="B91" s="117" t="s">
        <v>258</v>
      </c>
      <c r="C91" s="67" t="s">
        <v>227</v>
      </c>
    </row>
    <row r="92" spans="1:3" ht="38.25" x14ac:dyDescent="0.2">
      <c r="A92" s="115">
        <v>40918</v>
      </c>
      <c r="B92" s="116" t="s">
        <v>330</v>
      </c>
      <c r="C92" s="104" t="s">
        <v>227</v>
      </c>
    </row>
    <row r="93" spans="1:3" ht="127.5" x14ac:dyDescent="0.2">
      <c r="A93" s="115">
        <v>40877</v>
      </c>
      <c r="B93" s="116" t="s">
        <v>346</v>
      </c>
      <c r="C93" s="104" t="s">
        <v>227</v>
      </c>
    </row>
    <row r="94" spans="1:3" ht="51" x14ac:dyDescent="0.2">
      <c r="A94" s="115">
        <v>40918</v>
      </c>
      <c r="B94" s="116" t="s">
        <v>366</v>
      </c>
      <c r="C94" s="104" t="s">
        <v>227</v>
      </c>
    </row>
    <row r="95" spans="1:3" ht="38.25" x14ac:dyDescent="0.2">
      <c r="A95" s="115">
        <v>40877</v>
      </c>
      <c r="B95" s="116" t="s">
        <v>298</v>
      </c>
      <c r="C95" s="104" t="s">
        <v>227</v>
      </c>
    </row>
    <row r="96" spans="1:3" ht="63.75" x14ac:dyDescent="0.2">
      <c r="A96" s="115">
        <v>40861</v>
      </c>
      <c r="B96" s="117" t="s">
        <v>264</v>
      </c>
      <c r="C96" s="67" t="s">
        <v>227</v>
      </c>
    </row>
    <row r="97" spans="1:3" ht="51" x14ac:dyDescent="0.2">
      <c r="A97" s="115">
        <v>40925</v>
      </c>
      <c r="B97" s="117" t="s">
        <v>331</v>
      </c>
      <c r="C97" s="67" t="s">
        <v>227</v>
      </c>
    </row>
    <row r="98" spans="1:3" ht="25.5" x14ac:dyDescent="0.2">
      <c r="A98" s="115">
        <v>40945</v>
      </c>
      <c r="B98" s="117" t="s">
        <v>334</v>
      </c>
      <c r="C98" s="67" t="s">
        <v>227</v>
      </c>
    </row>
    <row r="99" spans="1:3" ht="51" x14ac:dyDescent="0.2">
      <c r="A99" s="115">
        <v>40945</v>
      </c>
      <c r="B99" s="117" t="s">
        <v>335</v>
      </c>
      <c r="C99" s="67" t="s">
        <v>227</v>
      </c>
    </row>
    <row r="100" spans="1:3" ht="76.5" x14ac:dyDescent="0.2">
      <c r="A100" s="115">
        <v>40945</v>
      </c>
      <c r="B100" s="117" t="s">
        <v>345</v>
      </c>
      <c r="C100" s="67" t="s">
        <v>227</v>
      </c>
    </row>
    <row r="101" spans="1:3" ht="38.25" x14ac:dyDescent="0.2">
      <c r="A101" s="115">
        <v>40945</v>
      </c>
      <c r="B101" s="117" t="s">
        <v>347</v>
      </c>
      <c r="C101" s="67" t="s">
        <v>227</v>
      </c>
    </row>
    <row r="102" spans="1:3" ht="63.75" x14ac:dyDescent="0.2">
      <c r="A102" s="115">
        <v>41001</v>
      </c>
      <c r="B102" s="5" t="s">
        <v>367</v>
      </c>
      <c r="C102" s="67" t="s">
        <v>227</v>
      </c>
    </row>
    <row r="103" spans="1:3" x14ac:dyDescent="0.2">
      <c r="A103" s="118">
        <v>41242</v>
      </c>
      <c r="B103" s="70" t="s">
        <v>363</v>
      </c>
      <c r="C103" s="119" t="s">
        <v>362</v>
      </c>
    </row>
    <row r="104" spans="1:3" ht="25.5" x14ac:dyDescent="0.2">
      <c r="A104" s="118">
        <v>41242</v>
      </c>
      <c r="B104" s="107" t="s">
        <v>401</v>
      </c>
      <c r="C104" s="119" t="s">
        <v>362</v>
      </c>
    </row>
    <row r="105" spans="1:3" ht="25.5" x14ac:dyDescent="0.2">
      <c r="A105" s="118">
        <v>41242</v>
      </c>
      <c r="B105" s="107" t="s">
        <v>358</v>
      </c>
      <c r="C105" s="119" t="s">
        <v>362</v>
      </c>
    </row>
    <row r="106" spans="1:3" ht="51" x14ac:dyDescent="0.2">
      <c r="A106" s="118">
        <v>41242</v>
      </c>
      <c r="B106" s="107" t="s">
        <v>402</v>
      </c>
      <c r="C106" s="119" t="s">
        <v>362</v>
      </c>
    </row>
    <row r="107" spans="1:3" ht="165.75" x14ac:dyDescent="0.2">
      <c r="A107" s="118">
        <v>41242</v>
      </c>
      <c r="B107" s="107" t="s">
        <v>394</v>
      </c>
      <c r="C107" s="119" t="s">
        <v>362</v>
      </c>
    </row>
    <row r="108" spans="1:3" ht="25.5" x14ac:dyDescent="0.2">
      <c r="A108" s="118">
        <v>41249</v>
      </c>
      <c r="B108" s="107" t="s">
        <v>411</v>
      </c>
      <c r="C108" s="119" t="s">
        <v>362</v>
      </c>
    </row>
    <row r="109" spans="1:3" ht="38.25" x14ac:dyDescent="0.2">
      <c r="A109" s="118">
        <v>41249</v>
      </c>
      <c r="B109" s="107" t="s">
        <v>388</v>
      </c>
      <c r="C109" s="119" t="s">
        <v>362</v>
      </c>
    </row>
    <row r="110" spans="1:3" ht="25.5" x14ac:dyDescent="0.2">
      <c r="A110" s="118">
        <v>41249</v>
      </c>
      <c r="B110" s="107" t="s">
        <v>389</v>
      </c>
      <c r="C110" s="119" t="s">
        <v>362</v>
      </c>
    </row>
    <row r="111" spans="1:3" ht="38.25" x14ac:dyDescent="0.2">
      <c r="A111" s="118">
        <v>41242</v>
      </c>
      <c r="B111" s="70" t="s">
        <v>361</v>
      </c>
      <c r="C111" s="119" t="s">
        <v>362</v>
      </c>
    </row>
    <row r="112" spans="1:3" ht="25.5" x14ac:dyDescent="0.2">
      <c r="A112" s="118">
        <v>41249</v>
      </c>
      <c r="B112" s="107" t="s">
        <v>390</v>
      </c>
      <c r="C112" s="119" t="s">
        <v>362</v>
      </c>
    </row>
    <row r="113" spans="1:3" ht="25.5" x14ac:dyDescent="0.2">
      <c r="A113" s="118">
        <v>41249</v>
      </c>
      <c r="B113" s="107" t="s">
        <v>391</v>
      </c>
      <c r="C113" s="119" t="s">
        <v>362</v>
      </c>
    </row>
    <row r="114" spans="1:3" ht="25.5" x14ac:dyDescent="0.2">
      <c r="A114" s="118">
        <v>41249</v>
      </c>
      <c r="B114" s="107" t="s">
        <v>392</v>
      </c>
      <c r="C114" s="119" t="s">
        <v>362</v>
      </c>
    </row>
    <row r="115" spans="1:3" ht="51" x14ac:dyDescent="0.2">
      <c r="A115" s="118">
        <v>41242</v>
      </c>
      <c r="B115" s="107" t="s">
        <v>403</v>
      </c>
      <c r="C115" s="119" t="s">
        <v>362</v>
      </c>
    </row>
    <row r="116" spans="1:3" ht="54.75" customHeight="1" x14ac:dyDescent="0.2">
      <c r="A116" s="118">
        <v>41285</v>
      </c>
      <c r="B116" s="107" t="s">
        <v>395</v>
      </c>
      <c r="C116" s="135" t="s">
        <v>362</v>
      </c>
    </row>
    <row r="117" spans="1:3" ht="25.5" x14ac:dyDescent="0.2">
      <c r="A117" s="118">
        <v>41242</v>
      </c>
      <c r="B117" s="107" t="s">
        <v>404</v>
      </c>
      <c r="C117" s="119" t="s">
        <v>362</v>
      </c>
    </row>
    <row r="118" spans="1:3" ht="25.5" x14ac:dyDescent="0.2">
      <c r="A118" s="118">
        <v>41242</v>
      </c>
      <c r="B118" s="107" t="s">
        <v>405</v>
      </c>
      <c r="C118" s="119" t="s">
        <v>362</v>
      </c>
    </row>
    <row r="119" spans="1:3" ht="25.5" x14ac:dyDescent="0.2">
      <c r="A119" s="118">
        <v>41242</v>
      </c>
      <c r="B119" s="107" t="s">
        <v>406</v>
      </c>
      <c r="C119" s="119" t="s">
        <v>362</v>
      </c>
    </row>
    <row r="120" spans="1:3" ht="25.5" x14ac:dyDescent="0.2">
      <c r="A120" s="118">
        <v>41242</v>
      </c>
      <c r="B120" s="107" t="s">
        <v>407</v>
      </c>
      <c r="C120" s="119" t="s">
        <v>362</v>
      </c>
    </row>
    <row r="121" spans="1:3" ht="38.25" x14ac:dyDescent="0.2">
      <c r="A121" s="118">
        <v>41243</v>
      </c>
      <c r="B121" s="136" t="s">
        <v>408</v>
      </c>
      <c r="C121" s="119" t="s">
        <v>362</v>
      </c>
    </row>
    <row r="122" spans="1:3" ht="25.5" x14ac:dyDescent="0.2">
      <c r="A122" s="118">
        <v>41244</v>
      </c>
      <c r="B122" s="136" t="s">
        <v>409</v>
      </c>
      <c r="C122" s="119" t="s">
        <v>362</v>
      </c>
    </row>
    <row r="123" spans="1:3" ht="25.5" x14ac:dyDescent="0.2">
      <c r="A123" s="118">
        <v>41245</v>
      </c>
      <c r="B123" s="136" t="s">
        <v>410</v>
      </c>
      <c r="C123" s="119" t="s">
        <v>362</v>
      </c>
    </row>
    <row r="124" spans="1:3" ht="25.5" x14ac:dyDescent="0.2">
      <c r="A124" s="118">
        <v>40929</v>
      </c>
      <c r="B124" s="137" t="s">
        <v>413</v>
      </c>
      <c r="C124" s="119" t="s">
        <v>362</v>
      </c>
    </row>
    <row r="125" spans="1:3" ht="25.5" x14ac:dyDescent="0.2">
      <c r="A125" s="118">
        <v>40929</v>
      </c>
      <c r="B125" s="107" t="s">
        <v>414</v>
      </c>
      <c r="C125" s="119" t="s">
        <v>362</v>
      </c>
    </row>
    <row r="126" spans="1:3" ht="63.75" x14ac:dyDescent="0.2">
      <c r="A126" s="118">
        <v>40938</v>
      </c>
      <c r="B126" s="107" t="s">
        <v>415</v>
      </c>
      <c r="C126" s="119" t="s">
        <v>362</v>
      </c>
    </row>
    <row r="127" spans="1:3" ht="63.75" x14ac:dyDescent="0.2">
      <c r="A127" s="118">
        <v>40938</v>
      </c>
      <c r="B127" s="107" t="s">
        <v>416</v>
      </c>
      <c r="C127" s="119" t="s">
        <v>362</v>
      </c>
    </row>
    <row r="128" spans="1:3" ht="76.5" x14ac:dyDescent="0.2">
      <c r="A128" s="118">
        <v>40938</v>
      </c>
      <c r="B128" s="107" t="s">
        <v>417</v>
      </c>
      <c r="C128" s="119" t="s">
        <v>362</v>
      </c>
    </row>
    <row r="129" spans="1:5" ht="50.25" customHeight="1" x14ac:dyDescent="0.2">
      <c r="A129" s="118">
        <v>41396</v>
      </c>
      <c r="B129" s="138" t="s">
        <v>422</v>
      </c>
      <c r="C129" s="119" t="s">
        <v>362</v>
      </c>
    </row>
    <row r="130" spans="1:5" ht="28.5" customHeight="1" x14ac:dyDescent="0.2">
      <c r="A130" s="118">
        <v>41570</v>
      </c>
      <c r="B130" s="138" t="s">
        <v>424</v>
      </c>
      <c r="C130" s="146" t="s">
        <v>423</v>
      </c>
    </row>
    <row r="131" spans="1:5" ht="28.5" customHeight="1" x14ac:dyDescent="0.2">
      <c r="A131" s="118">
        <v>41570</v>
      </c>
      <c r="B131" s="138" t="s">
        <v>451</v>
      </c>
      <c r="C131" s="146" t="s">
        <v>423</v>
      </c>
    </row>
    <row r="132" spans="1:5" ht="28.5" customHeight="1" x14ac:dyDescent="0.2">
      <c r="A132" s="118">
        <v>41570</v>
      </c>
      <c r="B132" s="147" t="s">
        <v>452</v>
      </c>
      <c r="C132" s="146" t="s">
        <v>423</v>
      </c>
    </row>
    <row r="133" spans="1:5" ht="25.5" x14ac:dyDescent="0.2">
      <c r="A133" s="118">
        <v>41570</v>
      </c>
      <c r="B133" s="138" t="s">
        <v>473</v>
      </c>
      <c r="C133" s="146" t="s">
        <v>423</v>
      </c>
    </row>
    <row r="134" spans="1:5" ht="32.25" customHeight="1" x14ac:dyDescent="0.2">
      <c r="A134" s="118">
        <v>41570</v>
      </c>
      <c r="B134" s="147" t="s">
        <v>472</v>
      </c>
      <c r="C134" s="146" t="s">
        <v>423</v>
      </c>
    </row>
    <row r="135" spans="1:5" ht="38.25" x14ac:dyDescent="0.2">
      <c r="A135" s="118">
        <v>41570</v>
      </c>
      <c r="B135" s="147" t="s">
        <v>474</v>
      </c>
      <c r="C135" s="146" t="s">
        <v>423</v>
      </c>
    </row>
    <row r="136" spans="1:5" ht="25.5" x14ac:dyDescent="0.2">
      <c r="A136" s="118">
        <v>41570</v>
      </c>
      <c r="B136" s="148" t="s">
        <v>471</v>
      </c>
      <c r="C136" s="146" t="s">
        <v>423</v>
      </c>
      <c r="D136" s="71"/>
      <c r="E136" s="71"/>
    </row>
    <row r="137" spans="1:5" ht="51" x14ac:dyDescent="0.2">
      <c r="A137" s="118">
        <v>41570</v>
      </c>
      <c r="B137" s="148" t="s">
        <v>468</v>
      </c>
      <c r="C137" s="146" t="s">
        <v>423</v>
      </c>
      <c r="D137" s="71"/>
      <c r="E137" s="71"/>
    </row>
    <row r="138" spans="1:5" ht="63.75" x14ac:dyDescent="0.2">
      <c r="A138" s="118">
        <v>41677</v>
      </c>
      <c r="B138" s="70" t="s">
        <v>480</v>
      </c>
      <c r="C138" s="119" t="s">
        <v>423</v>
      </c>
    </row>
    <row r="139" spans="1:5" ht="25.5" x14ac:dyDescent="0.2">
      <c r="A139" s="118">
        <v>41680</v>
      </c>
      <c r="B139" s="138" t="s">
        <v>478</v>
      </c>
      <c r="C139" s="146" t="s">
        <v>423</v>
      </c>
    </row>
    <row r="140" spans="1:5" ht="30" customHeight="1" x14ac:dyDescent="0.2">
      <c r="A140" s="164">
        <v>41709</v>
      </c>
      <c r="B140" s="165" t="s">
        <v>481</v>
      </c>
      <c r="C140" s="166" t="s">
        <v>423</v>
      </c>
    </row>
    <row r="141" spans="1:5" ht="153" x14ac:dyDescent="0.2">
      <c r="A141" s="164">
        <v>41716</v>
      </c>
      <c r="B141" s="167" t="s">
        <v>483</v>
      </c>
      <c r="C141" s="166" t="s">
        <v>423</v>
      </c>
    </row>
  </sheetData>
  <mergeCells count="1">
    <mergeCell ref="A1:C1"/>
  </mergeCells>
  <phoneticPr fontId="4" type="noConversion"/>
  <pageMargins left="0.5" right="0.5" top="1" bottom="1" header="0.5" footer="0.5"/>
  <pageSetup orientation="portrait" r:id="rId1"/>
  <headerFooter alignWithMargins="0">
    <oddHeader>&amp;RLast Saved Date: 4/15/20087:29:50 AM</oddHeader>
    <oddFooter>&amp;RLast Saved Date: 3/18/2014 12:50:55 PM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
  <sheetViews>
    <sheetView workbookViewId="0">
      <selection activeCell="C9" sqref="C9"/>
    </sheetView>
  </sheetViews>
  <sheetFormatPr defaultRowHeight="12.75" x14ac:dyDescent="0.2"/>
  <cols>
    <col min="1" max="1" width="26.140625" customWidth="1"/>
    <col min="2" max="2" width="32.140625" customWidth="1"/>
    <col min="3" max="3" width="34.140625" customWidth="1"/>
  </cols>
  <sheetData>
    <row r="1" spans="1:3" x14ac:dyDescent="0.2">
      <c r="A1" s="140" t="s">
        <v>453</v>
      </c>
      <c r="B1" s="140" t="s">
        <v>454</v>
      </c>
      <c r="C1" s="140" t="s">
        <v>455</v>
      </c>
    </row>
    <row r="2" spans="1:3" ht="52.5" customHeight="1" x14ac:dyDescent="0.2">
      <c r="A2" s="141" t="s">
        <v>463</v>
      </c>
      <c r="B2" s="141" t="s">
        <v>467</v>
      </c>
      <c r="C2" s="142" t="s">
        <v>465</v>
      </c>
    </row>
    <row r="3" spans="1:3" ht="55.5" customHeight="1" x14ac:dyDescent="0.2">
      <c r="A3" s="141" t="s">
        <v>464</v>
      </c>
      <c r="B3" s="141" t="s">
        <v>467</v>
      </c>
      <c r="C3" s="142" t="s">
        <v>466</v>
      </c>
    </row>
    <row r="4" spans="1:3" ht="88.5" customHeight="1" x14ac:dyDescent="0.2">
      <c r="A4" s="141" t="s">
        <v>456</v>
      </c>
      <c r="B4" s="141" t="s">
        <v>467</v>
      </c>
      <c r="C4" s="142" t="s">
        <v>457</v>
      </c>
    </row>
    <row r="5" spans="1:3" ht="38.25" x14ac:dyDescent="0.2">
      <c r="A5" s="141" t="s">
        <v>458</v>
      </c>
      <c r="B5" s="141" t="s">
        <v>459</v>
      </c>
      <c r="C5" s="143" t="s">
        <v>460</v>
      </c>
    </row>
    <row r="6" spans="1:3" x14ac:dyDescent="0.2">
      <c r="A6" s="144"/>
      <c r="B6" s="144"/>
      <c r="C6" s="144"/>
    </row>
    <row r="7" spans="1:3" x14ac:dyDescent="0.2">
      <c r="A7" s="144"/>
      <c r="B7" s="144"/>
      <c r="C7" s="144"/>
    </row>
    <row r="8" spans="1:3" x14ac:dyDescent="0.2">
      <c r="A8" s="193" t="s">
        <v>461</v>
      </c>
      <c r="B8" s="194"/>
      <c r="C8" s="144"/>
    </row>
    <row r="9" spans="1:3" x14ac:dyDescent="0.2">
      <c r="A9" s="195" t="s">
        <v>462</v>
      </c>
      <c r="B9" s="195"/>
      <c r="C9" s="144"/>
    </row>
    <row r="10" spans="1:3" x14ac:dyDescent="0.2">
      <c r="A10" s="145"/>
      <c r="B10" s="145"/>
      <c r="C10" s="145"/>
    </row>
    <row r="11" spans="1:3" x14ac:dyDescent="0.2">
      <c r="A11" s="145"/>
      <c r="B11" s="145"/>
      <c r="C11" s="145"/>
    </row>
    <row r="12" spans="1:3" x14ac:dyDescent="0.2">
      <c r="A12" s="145"/>
      <c r="B12" s="145"/>
      <c r="C12" s="145"/>
    </row>
    <row r="13" spans="1:3" x14ac:dyDescent="0.2">
      <c r="A13" s="145"/>
      <c r="B13" s="145"/>
      <c r="C13" s="145"/>
    </row>
  </sheetData>
  <mergeCells count="2">
    <mergeCell ref="A8:B8"/>
    <mergeCell ref="A9:B9"/>
  </mergeCells>
  <hyperlinks>
    <hyperlink ref="C4" r:id="rId1" display="../Forms/AllItems.aspx"/>
    <hyperlink ref="C5" r:id="rId2" display="../Accountability"/>
    <hyperlink ref="C2" r:id="rId3"/>
    <hyperlink ref="C3" r:id="rId4"/>
  </hyperlinks>
  <pageMargins left="0.7" right="0.7" top="0.75" bottom="0.75" header="0.3" footer="0.3"/>
  <pageSetup orientation="landscape" r:id="rId5"/>
  <headerFooter>
    <oddFooter>&amp;RLast Saved Date: 10/23/2013 3:53:59 PM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LAA1LDESTD</vt:lpstr>
      <vt:lpstr>Revision Log</vt:lpstr>
      <vt:lpstr>Reference Locations</vt:lpstr>
      <vt:lpstr>LAA1LDESTD!Print_Area</vt:lpstr>
      <vt:lpstr>LAA1LDESTD!Print_Titles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Debbie Williams</cp:lastModifiedBy>
  <cp:lastPrinted>2014-03-18T17:50:48Z</cp:lastPrinted>
  <dcterms:created xsi:type="dcterms:W3CDTF">1999-04-08T16:47:24Z</dcterms:created>
  <dcterms:modified xsi:type="dcterms:W3CDTF">2014-03-20T20:30:28Z</dcterms:modified>
</cp:coreProperties>
</file>