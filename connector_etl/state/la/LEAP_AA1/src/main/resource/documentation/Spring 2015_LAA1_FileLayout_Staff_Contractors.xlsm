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225" yWindow="0" windowWidth="15330" windowHeight="11295"/>
  </bookViews>
  <sheets>
    <sheet name="LAA1LDESTD" sheetId="1" r:id="rId1"/>
    <sheet name="Reference Locations" sheetId="3" r:id="rId2"/>
  </sheets>
  <definedNames>
    <definedName name="_xlnm._FilterDatabase" localSheetId="0" hidden="1">LAA1LDESTD!$E$1:$E$117</definedName>
    <definedName name="_xlnm.Print_Area" localSheetId="0">LAA1LDESTD!$A$1:$G$114</definedName>
    <definedName name="_xlnm.Print_Titles" localSheetId="0">LAA1LDESTD!$1:$2</definedName>
    <definedName name="Z_711973F9_5431_4922_B46E_FFB4E07E9E58_.wvu.Cols" localSheetId="0" hidden="1">LAA1LDESTD!$I:$M</definedName>
    <definedName name="Z_711973F9_5431_4922_B46E_FFB4E07E9E58_.wvu.PrintArea" localSheetId="0" hidden="1">LAA1LDESTD!$A$2:$G$2</definedName>
    <definedName name="Z_711973F9_5431_4922_B46E_FFB4E07E9E58_.wvu.PrintTitles" localSheetId="0" hidden="1">LAA1LDESTD!$2:$2</definedName>
    <definedName name="Z_7E4D7CCA_1395_44FA_80A0_38FFA0DD8C49_.wvu.PrintTitles" localSheetId="0" hidden="1">LAA1LDESTD!$2:$2</definedName>
    <definedName name="Z_A5DDCBF3_D6F4_4EB4_918C_ECABFE1A43AD_.wvu.PrintTitles" localSheetId="0" hidden="1">LAA1LDESTD!$2:$2</definedName>
    <definedName name="Z_B792D786_3755_11D6_AB7B_0050DA2DACD5_.wvu.PrintTitles" localSheetId="0" hidden="1">LAA1LDESTD!$2:$2</definedName>
    <definedName name="Z_E34B366C_36F7_11D6_A24B_0050DA0A5BC6_.wvu.PrintTitles" localSheetId="0" hidden="1">LAA1LDESTD!$2:$2</definedName>
  </definedNames>
  <calcPr calcId="145621"/>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B108" i="1" l="1"/>
  <c r="C4" i="1" l="1"/>
  <c r="B5" i="1"/>
  <c r="C5" i="1" s="1"/>
  <c r="B6" i="1" l="1"/>
  <c r="C6" i="1" l="1"/>
  <c r="B7" i="1"/>
  <c r="C7" i="1" l="1"/>
  <c r="B8" i="1"/>
  <c r="C8" i="1" l="1"/>
  <c r="B9" i="1"/>
  <c r="C9" i="1" l="1"/>
  <c r="B10" i="1"/>
  <c r="B11" i="1" l="1"/>
  <c r="C10" i="1"/>
  <c r="C11" i="1" l="1"/>
  <c r="B12" i="1"/>
  <c r="C12" i="1" l="1"/>
  <c r="B13" i="1"/>
  <c r="C13" i="1" l="1"/>
  <c r="B14" i="1"/>
  <c r="B15" i="1" l="1"/>
  <c r="B16" i="1" s="1"/>
  <c r="C14" i="1"/>
  <c r="C15" i="1" l="1"/>
  <c r="B17" i="1" l="1"/>
  <c r="C16" i="1"/>
  <c r="C17" i="1" l="1"/>
  <c r="B18" i="1"/>
  <c r="C18" i="1" l="1"/>
  <c r="B19" i="1"/>
  <c r="C19" i="1" l="1"/>
  <c r="B20" i="1"/>
  <c r="B21" i="1" l="1"/>
  <c r="C20" i="1"/>
  <c r="C21" i="1" l="1"/>
  <c r="B22" i="1"/>
  <c r="C22" i="1" l="1"/>
  <c r="B23" i="1"/>
  <c r="C23" i="1" l="1"/>
  <c r="B24" i="1"/>
  <c r="B25" i="1" l="1"/>
  <c r="C24" i="1"/>
  <c r="C25" i="1" l="1"/>
  <c r="B26" i="1"/>
  <c r="B27" i="1" s="1"/>
  <c r="C26" i="1" l="1"/>
  <c r="B28" i="1" l="1"/>
  <c r="C27" i="1"/>
  <c r="C28" i="1" l="1"/>
  <c r="B29" i="1"/>
  <c r="B30" i="1" s="1"/>
  <c r="C29" i="1" l="1"/>
  <c r="B31" i="1" l="1"/>
  <c r="C30" i="1"/>
  <c r="C31" i="1" l="1"/>
  <c r="B32" i="1"/>
  <c r="B33" i="1" s="1"/>
  <c r="C32" i="1" l="1"/>
  <c r="C33" i="1" l="1"/>
  <c r="B34" i="1"/>
  <c r="C34" i="1" l="1"/>
  <c r="B36" i="1"/>
  <c r="B37" i="1" l="1"/>
  <c r="C36" i="1"/>
  <c r="C37" i="1" l="1"/>
  <c r="B38" i="1"/>
  <c r="B39" i="1" s="1"/>
  <c r="C38" i="1" l="1"/>
  <c r="B40" i="1" l="1"/>
  <c r="C39" i="1"/>
  <c r="C40" i="1" l="1"/>
  <c r="B41" i="1"/>
  <c r="C41" i="1" l="1"/>
  <c r="B42" i="1"/>
  <c r="B43" i="1" s="1"/>
  <c r="C42" i="1" l="1"/>
  <c r="C43" i="1" l="1"/>
  <c r="B44" i="1"/>
  <c r="C44" i="1" l="1"/>
  <c r="B45" i="1"/>
  <c r="C45" i="1" l="1"/>
  <c r="B46" i="1"/>
  <c r="C46" i="1" l="1"/>
  <c r="B47" i="1"/>
  <c r="B48" i="1" s="1"/>
  <c r="C47" i="1" l="1"/>
  <c r="C48" i="1" l="1"/>
  <c r="B49" i="1"/>
  <c r="B50" i="1" s="1"/>
  <c r="C49" i="1" l="1"/>
  <c r="C50" i="1" l="1"/>
  <c r="B52" i="1"/>
  <c r="C52" i="1" l="1"/>
  <c r="B53" i="1"/>
  <c r="C53" i="1" l="1"/>
  <c r="B54" i="1"/>
  <c r="C54" i="1" l="1"/>
  <c r="B55" i="1"/>
  <c r="C55" i="1" l="1"/>
  <c r="B56" i="1"/>
  <c r="B57" i="1" l="1"/>
  <c r="C56" i="1"/>
  <c r="C57" i="1" l="1"/>
  <c r="B58" i="1"/>
  <c r="B59" i="1" s="1"/>
  <c r="C58" i="1" l="1"/>
  <c r="C59" i="1" l="1"/>
  <c r="B61" i="1"/>
  <c r="C61" i="1" l="1"/>
  <c r="B62" i="1"/>
  <c r="C62" i="1" l="1"/>
  <c r="B63" i="1"/>
  <c r="B64" i="1" l="1"/>
  <c r="C63" i="1"/>
  <c r="C64" i="1" l="1"/>
  <c r="B65" i="1"/>
  <c r="C65" i="1" l="1"/>
  <c r="B66" i="1"/>
  <c r="C66" i="1" l="1"/>
  <c r="B67" i="1"/>
  <c r="B68" i="1" s="1"/>
  <c r="C67" i="1" l="1"/>
  <c r="C68" i="1" l="1"/>
  <c r="B70" i="1"/>
  <c r="C70" i="1" l="1"/>
  <c r="B71" i="1"/>
  <c r="C71" i="1" l="1"/>
  <c r="B72" i="1"/>
  <c r="C72" i="1" l="1"/>
  <c r="B73" i="1"/>
  <c r="C73" i="1" l="1"/>
  <c r="B74" i="1"/>
  <c r="B75" i="1" l="1"/>
  <c r="C74" i="1"/>
  <c r="C75" i="1" l="1"/>
  <c r="B76" i="1"/>
  <c r="B77" i="1" s="1"/>
  <c r="C76" i="1" l="1"/>
  <c r="C77" i="1" l="1"/>
  <c r="B79" i="1"/>
  <c r="B80" i="1" l="1"/>
  <c r="C79" i="1"/>
  <c r="C80" i="1" l="1"/>
  <c r="B81" i="1"/>
  <c r="B82" i="1" l="1"/>
  <c r="C81" i="1"/>
  <c r="C82" i="1" l="1"/>
  <c r="B83" i="1"/>
  <c r="B84" i="1" l="1"/>
  <c r="C83" i="1"/>
  <c r="C84" i="1" l="1"/>
  <c r="B85" i="1"/>
  <c r="B86" i="1" l="1"/>
  <c r="B87" i="1" s="1"/>
  <c r="C85" i="1"/>
  <c r="C86" i="1" l="1"/>
  <c r="C87" i="1" l="1"/>
  <c r="B88" i="1"/>
  <c r="B89" i="1" s="1"/>
  <c r="C88" i="1" l="1"/>
  <c r="C89" i="1" l="1"/>
  <c r="B91" i="1"/>
  <c r="C91" i="1" l="1"/>
  <c r="B92" i="1"/>
  <c r="C92" i="1" l="1"/>
  <c r="B93" i="1"/>
  <c r="C93" i="1" l="1"/>
  <c r="B94" i="1"/>
  <c r="B95" i="1" s="1"/>
  <c r="C94" i="1" l="1"/>
  <c r="B97" i="1" l="1"/>
  <c r="C95" i="1"/>
  <c r="C97" i="1" l="1"/>
  <c r="B98" i="1"/>
  <c r="C98" i="1" l="1"/>
  <c r="B99" i="1"/>
  <c r="C99" i="1" l="1"/>
  <c r="B100" i="1"/>
  <c r="C100" i="1" l="1"/>
  <c r="B101" i="1"/>
  <c r="C101" i="1" l="1"/>
  <c r="B102" i="1"/>
  <c r="C102" i="1" l="1"/>
  <c r="B103" i="1"/>
  <c r="B104" i="1" l="1"/>
  <c r="C103" i="1"/>
  <c r="B105" i="1" l="1"/>
  <c r="B106" i="1" s="1"/>
  <c r="C104" i="1"/>
  <c r="C105" i="1" l="1"/>
  <c r="B107" i="1" l="1"/>
  <c r="C106" i="1"/>
  <c r="C107" i="1" l="1"/>
  <c r="B110" i="1" l="1"/>
  <c r="B111" i="1" s="1"/>
  <c r="C108" i="1"/>
  <c r="C110" i="1" l="1"/>
  <c r="C111" i="1" l="1"/>
  <c r="B112" i="1"/>
  <c r="C112" i="1" s="1"/>
  <c r="C114" i="1" s="1"/>
</calcChain>
</file>

<file path=xl/sharedStrings.xml><?xml version="1.0" encoding="utf-8"?>
<sst xmlns="http://schemas.openxmlformats.org/spreadsheetml/2006/main" count="291" uniqueCount="201">
  <si>
    <t xml:space="preserve">Unique number assigned by DRC </t>
  </si>
  <si>
    <t>Length</t>
  </si>
  <si>
    <t>Field Name</t>
  </si>
  <si>
    <t>Y = Yes
N = No</t>
  </si>
  <si>
    <t>1</t>
  </si>
  <si>
    <t>District Code</t>
  </si>
  <si>
    <t>School Code</t>
  </si>
  <si>
    <t>District Name</t>
  </si>
  <si>
    <t>School Name</t>
  </si>
  <si>
    <t>Summarized Grade</t>
  </si>
  <si>
    <t>F = Female
M = Male
I = Invalid</t>
  </si>
  <si>
    <t>File Creation Date and Time Stamp</t>
  </si>
  <si>
    <t>Date the file was generated</t>
  </si>
  <si>
    <t>Value of "Y" will only appear in the final LDESTD file.</t>
  </si>
  <si>
    <t>Summarized Migrant Status</t>
  </si>
  <si>
    <t>LAP Option Code</t>
  </si>
  <si>
    <t>Month of test</t>
  </si>
  <si>
    <t>Year of test</t>
  </si>
  <si>
    <t>State ID</t>
  </si>
  <si>
    <t>Summarized Gender</t>
  </si>
  <si>
    <t>Summarized LEP Status</t>
  </si>
  <si>
    <t>Y = LEP
N = Not LEP</t>
  </si>
  <si>
    <t xml:space="preserve">Bubbled Accountability Code </t>
  </si>
  <si>
    <t>Test Taken Flag - ELA</t>
  </si>
  <si>
    <t>Test Taken Flag - Math</t>
  </si>
  <si>
    <t>Test Taken Flag - Science</t>
  </si>
  <si>
    <t>000000-999999</t>
  </si>
  <si>
    <t>Updated Accountability Code - ELA</t>
  </si>
  <si>
    <t>Updated Accountability Code - Math</t>
  </si>
  <si>
    <t>Updated Accountability Code - Science</t>
  </si>
  <si>
    <t>Accountability Achievement Level - ELA</t>
  </si>
  <si>
    <t>Accountability Achievement Level - Math</t>
  </si>
  <si>
    <t>Accountability Achievement Level - Science</t>
  </si>
  <si>
    <t>Bubbled Special Education Test Accommodations</t>
  </si>
  <si>
    <t>Bubbled Optional Local Use</t>
  </si>
  <si>
    <t>Assess Group Type</t>
  </si>
  <si>
    <t>Included in N-Counts - ELA</t>
  </si>
  <si>
    <t>Included in N-Counts - Math</t>
  </si>
  <si>
    <t>Included in N-Counts - Science</t>
  </si>
  <si>
    <t>Rollup to State</t>
  </si>
  <si>
    <t>Summarize to Assess Group Code for District Level Reporting</t>
  </si>
  <si>
    <t>Schools summarized to LEA Code for district level reporting</t>
  </si>
  <si>
    <t>Y = student classified as a straggler
N = student not classified as a straggler</t>
  </si>
  <si>
    <t>Bubbled Test Administrator Number</t>
  </si>
  <si>
    <t>Scoring Study Flag</t>
  </si>
  <si>
    <t>Y = Record for scoring study
N = Not a scoring study record</t>
  </si>
  <si>
    <t>Field Use</t>
  </si>
  <si>
    <t>Starting Location</t>
  </si>
  <si>
    <t>Ending Location</t>
  </si>
  <si>
    <t>Possible Values</t>
  </si>
  <si>
    <t>Description/Comments</t>
  </si>
  <si>
    <t>COMMON DEMOGRAPHIC INFORMATION</t>
  </si>
  <si>
    <t>Test Date Month</t>
  </si>
  <si>
    <t>Test Date Year</t>
  </si>
  <si>
    <t>03</t>
  </si>
  <si>
    <t>Straggler</t>
  </si>
  <si>
    <t>Student Last Name</t>
  </si>
  <si>
    <t>Student First Name</t>
  </si>
  <si>
    <t>Student Middle Initial</t>
  </si>
  <si>
    <t>Summarized DOB Month</t>
  </si>
  <si>
    <t>Summarized DOB Day</t>
  </si>
  <si>
    <t>Summarized DOB Year</t>
  </si>
  <si>
    <t>Assistive Technology</t>
  </si>
  <si>
    <t>Task Descriptions</t>
  </si>
  <si>
    <t>Other</t>
  </si>
  <si>
    <t>ELA SCORING SECTION</t>
  </si>
  <si>
    <t>MATH SCORING SECTION</t>
  </si>
  <si>
    <t>Listening Raw Score</t>
  </si>
  <si>
    <t>Reading Raw Score</t>
  </si>
  <si>
    <t>Using Information Resources Raw Score</t>
  </si>
  <si>
    <t>Writing Raw Score</t>
  </si>
  <si>
    <t>Algebra and Patterns Raw Score</t>
  </si>
  <si>
    <t>Data Raw Score</t>
  </si>
  <si>
    <t>Measurement and Geometry Raw Score</t>
  </si>
  <si>
    <t>Numbers Raw Score</t>
  </si>
  <si>
    <t>SCIENCE SCORING SECTION</t>
  </si>
  <si>
    <t>Earth, Space, and Environmental Science Raw Score</t>
  </si>
  <si>
    <t>Life Science Raw Score</t>
  </si>
  <si>
    <t>Physical Science Raw Score</t>
  </si>
  <si>
    <t>Science as Inquiry Raw Score</t>
  </si>
  <si>
    <t>STUDENT PROCESSING &amp; REPORTING FLAGS</t>
  </si>
  <si>
    <t>ASSESSMENT ROLLUP &amp; INCLUSION FLAGS</t>
  </si>
  <si>
    <t>ACCOUNTABILITY FIELDS</t>
  </si>
  <si>
    <t>Record Length:</t>
  </si>
  <si>
    <t>E</t>
  </si>
  <si>
    <t>K, E</t>
  </si>
  <si>
    <t>FILLER</t>
  </si>
  <si>
    <t xml:space="preserve">"*", "-", and "_" values are changed to spaces, and then the spaces are removed by compressing the values from the name field. </t>
  </si>
  <si>
    <t>Student's SSN
"*" and " " values are changed to "-".</t>
  </si>
  <si>
    <t>1 = Type 1 Charter
2 = Type 2 Charter
3 = Type 3 Charter
4 = Type 4 Charter
5 = Type 5 Charter
Blank = Not a Charter School</t>
  </si>
  <si>
    <t>0000000000-9999999999
Blank</t>
  </si>
  <si>
    <t>Summarized Ethnicity/Race</t>
  </si>
  <si>
    <t>Summarized McKinney-Vento Act (Homeless)</t>
  </si>
  <si>
    <t xml:space="preserve">Y = Yes
N = No    </t>
  </si>
  <si>
    <t>Charter Type</t>
  </si>
  <si>
    <t>ASSESSMENT/ACCOUNTABILITY INFORMATION</t>
  </si>
  <si>
    <t>Precoded Site Code</t>
  </si>
  <si>
    <r>
      <t>03 = Grade 3
04 = Grade 4
05 = Grade 5
06 = Grade 6
07 = Grade 7
08 = Grade 8</t>
    </r>
    <r>
      <rPr>
        <sz val="10"/>
        <rFont val="Arial"/>
        <family val="2"/>
      </rPr>
      <t xml:space="preserve">
10 = Grade 10
11 = Grade 11</t>
    </r>
  </si>
  <si>
    <t>C</t>
  </si>
  <si>
    <t>E, C</t>
  </si>
  <si>
    <t>1 = Yes
- = No (document returned)
Blank = document not returned</t>
  </si>
  <si>
    <t>3 digit district code for the home-base Site 
Blank</t>
  </si>
  <si>
    <t>3 digit school code for the home-base Site 
Blank</t>
  </si>
  <si>
    <t>00-99
Blank</t>
  </si>
  <si>
    <t>700-900
Blank</t>
  </si>
  <si>
    <t>EST = Exceeds Standard
MST = Meets Standard
WST = Working Toward Standard
Blank</t>
  </si>
  <si>
    <t>0-9, - , or *  in each position
-- = No response (document returned)
Blank = document not returned</t>
  </si>
  <si>
    <t>100-899 = School Level
900-999 = District Level
--- = Blank (document returned)
* = Multiple responses in this position
Blank = No response (document returned)</t>
  </si>
  <si>
    <t>Format:  YYYY-MM-DD HH:MM:SS</t>
  </si>
  <si>
    <t>Charter Type as flagged in the School Master File.
Blank for 888 school types.</t>
  </si>
  <si>
    <t>LAP LEP Indicator Code</t>
  </si>
  <si>
    <t>LAP Primary Exceptionality</t>
  </si>
  <si>
    <t>LAP LDE Unique ID (GUID)</t>
  </si>
  <si>
    <t>LAP Home-base Site District Code</t>
  </si>
  <si>
    <t>LAP Home-base Site School Code</t>
  </si>
  <si>
    <t>6 digit site code
Blank</t>
  </si>
  <si>
    <t>1 = Hispanic/Latino
2 = American Indian or Alaska Native
3 = Asian
4 = Black or African American
5 = Native Hawaiian or Other Pacific Islander
6 = White
7 = Two or more races
I = Invalid</t>
  </si>
  <si>
    <t>0-9 or - in any position</t>
  </si>
  <si>
    <t>0-9, - , or *  in each position
---------- = No response (document returned)
Blank = document not returned</t>
  </si>
  <si>
    <t>Y = Subject was attempted
N = Subject was not attempted</t>
  </si>
  <si>
    <t>0 = in SIS, not LEP prior 2 yrs
1 = LEP 1 yr prior
2 = LEP 2 yrs prior
3 = LEP current year
Blank = not in SIS prior 2 years</t>
  </si>
  <si>
    <t>01-99
Blank</t>
  </si>
  <si>
    <t>DRC Unique Student ID</t>
  </si>
  <si>
    <t>Raw Score Total - ELA</t>
  </si>
  <si>
    <t>Scaled Score - ELA</t>
  </si>
  <si>
    <t>Assessment Achievement Level - ELA</t>
  </si>
  <si>
    <t>Raw Score Total - Math</t>
  </si>
  <si>
    <t>Scaled Score - Math</t>
  </si>
  <si>
    <t>Assessment Achievement Level - Math</t>
  </si>
  <si>
    <t>Raw Score Total - Science</t>
  </si>
  <si>
    <t>Scaled Score - Science</t>
  </si>
  <si>
    <t>Assessment Achievement Level - Science</t>
  </si>
  <si>
    <t>01-34
Blank</t>
  </si>
  <si>
    <t>Total points earned for each Science content standard, which includes any automatic or partial credit applied.
Blank when Raw Score Total - Science is blank or when content standard is not assessed (zero points possible).</t>
  </si>
  <si>
    <t>Total points earned for each Math content standard, which includes any automatic or partial credit applied.
Blank when Raw Score Total - Math is blank or content standard is not assessed (zero points possible).</t>
  </si>
  <si>
    <t>Total points earned for each ELA content standard, which includes any automatic or partial credit applied.
Blank when Raw Score Total - ELA is blank or content standard is not assessed (zero points possible).</t>
  </si>
  <si>
    <r>
      <t xml:space="preserve">School-level flags set per the LDE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 xml:space="preserve">Table of District/School Types Included on Each Report </t>
    </r>
    <r>
      <rPr>
        <sz val="10"/>
        <rFont val="Arial"/>
        <family val="2"/>
      </rPr>
      <t>in the Common Louisiana Processing Rules - Reporting document for further details.</t>
    </r>
  </si>
  <si>
    <t>01 = LEA
02 = LAB
03 = CHA
04 = TRI
05 = NPB
06 = STA
08 = BSE
09 = OJJ
10 = MAR
12 = RES
13 = NPS
14 = RLA
15 = RNO
16 = JUV
17 = RBR</t>
  </si>
  <si>
    <t>Site code provided by LDE on the LAP file, which is used to route assessment data back to a student’s "home" site for accountability purposes when students are non-full academic year (non-FAY).  This is a required code for students attending alternative schools.
Blank for all hand-coded documents that could not be matched back to the LAP file, or if the value was blank on the LAP file.</t>
  </si>
  <si>
    <t>The Assess Group Code value from the School Master File for the school the student is being reported to.</t>
  </si>
  <si>
    <t>LAP Scholarship Student Flag</t>
  </si>
  <si>
    <t>As flagged on the LAP file.
Blank for a hand-coded document that could not be matched back to the LAP file.</t>
  </si>
  <si>
    <t>As flagged on the LAP file.
Blank for a hand-coded document that could not be matched back to the LAP file, or if the value was blank on the LAP file.</t>
  </si>
  <si>
    <t>YYYY</t>
  </si>
  <si>
    <t>"*", "-", and "_" values are changed to spaces.</t>
  </si>
  <si>
    <t>Y= indicates student has an approved 
     scholarship
N= indicates student does not have an 
     approved scholarship
Blank</t>
  </si>
  <si>
    <t>As bubbled on the response document.</t>
  </si>
  <si>
    <t>The precoded site code is the site where the student received preidentified response documents.
Site code from the LAP File, which will match the site code on the DRC Precode File.  
Blank for a hand-coded document that could not be matched back to the LAP file.</t>
  </si>
  <si>
    <t>Summarized Special Education Exceptionality Category</t>
  </si>
  <si>
    <t>4 = Career Diploma Pathway/Track
5 = Non-Diploma Bound
7 = Student Pursuing State approved Skills 
      Certificate after participation in 
      Connections Process
8 = Student Pursuing GED after participation      
      in Connections Process
Blank</t>
  </si>
  <si>
    <t>LAP Twin Flag</t>
  </si>
  <si>
    <r>
      <t xml:space="preserve">District and School Site Code where the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</si>
  <si>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Summarized Grade used for reporting.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</si>
  <si>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gender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</si>
  <si>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</si>
  <si>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</si>
  <si>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As flagged on the LAP file.
</t>
    </r>
    <r>
      <rPr>
        <sz val="10"/>
        <rFont val="Arial"/>
        <family val="2"/>
      </rPr>
      <t xml:space="preserve">Blank for a hand-coded document that could not be matched back to the LAP file, or if the value was blank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applicable to LAA 1.</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</si>
  <si>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</si>
  <si>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response document.</t>
    </r>
  </si>
  <si>
    <r>
      <t xml:space="preserve">Total raw score for ELA,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</si>
  <si>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ELA.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</si>
  <si>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ELA.
Refer to the </t>
    </r>
    <r>
      <rPr>
        <b/>
        <u/>
        <sz val="10"/>
        <rFont val="Arial"/>
        <family val="2"/>
      </rPr>
      <t>Resulting LAA1LDESTD Values by Subject</t>
    </r>
    <r>
      <rPr>
        <sz val="10"/>
        <rFont val="Arial"/>
        <family val="2"/>
      </rPr>
      <t xml:space="preserve"> section within the LAA 1 Processing Rules - Scoring document for the logic used to set the Asessment Achievement Level value.</t>
    </r>
  </si>
  <si>
    <r>
      <t xml:space="preserve">Total raw score for Math, which includes any automatic or partial credit applied.
Refer to the </t>
    </r>
    <r>
      <rPr>
        <b/>
        <u/>
        <sz val="10"/>
        <rFont val="Arial"/>
        <family val="2"/>
      </rPr>
      <t>Resulting LAA1LDESTD Values by Subject</t>
    </r>
    <r>
      <rPr>
        <sz val="10"/>
        <rFont val="Arial"/>
        <family val="2"/>
      </rPr>
      <t xml:space="preserve"> section within the LAA 1 Processing Rules - Scoring document for the logic used to set the Raw Score value.</t>
    </r>
  </si>
  <si>
    <r>
      <t xml:space="preserve">Scaled Score for Math.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</si>
  <si>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 xml:space="preserve">Assessment Achievement Level for Math.
Refer to the </t>
    </r>
    <r>
      <rPr>
        <b/>
        <u/>
        <sz val="10"/>
        <rFont val="Arial"/>
        <family val="2"/>
      </rPr>
      <t xml:space="preserve">Resulting LAA1LDESTD Values by Subject </t>
    </r>
    <r>
      <rPr>
        <sz val="10"/>
        <rFont val="Arial"/>
        <family val="2"/>
      </rPr>
      <t>section within the LAA 1 Processing Rules -Scoring document for the logic used to set the Assessment Achievement Level value.</t>
    </r>
  </si>
  <si>
    <r>
      <t xml:space="preserve">Total raw score for Science, which includes any automatic or partial credit applied.
Refer to the </t>
    </r>
    <r>
      <rPr>
        <b/>
        <u/>
        <sz val="10"/>
        <rFont val="Arial"/>
        <family val="2"/>
      </rPr>
      <t xml:space="preserve">Resulting LAA1LDESTD Values by Subject </t>
    </r>
    <r>
      <rPr>
        <sz val="10"/>
        <rFont val="Arial"/>
        <family val="2"/>
      </rPr>
      <t>section within the LAA 1 Processing Rules -Scoring document for the logic used to set the Raw Score value.</t>
    </r>
  </si>
  <si>
    <r>
      <t xml:space="preserve">Scaled Score for Science.
Refer to the </t>
    </r>
    <r>
      <rPr>
        <b/>
        <u/>
        <sz val="10"/>
        <rFont val="Arial"/>
        <family val="2"/>
      </rPr>
      <t>Resulting LAA1LDESTD Values by Subject</t>
    </r>
    <r>
      <rPr>
        <sz val="10"/>
        <rFont val="Arial"/>
        <family val="2"/>
      </rPr>
      <t xml:space="preserve"> section within the LAA 1 Processing Rules - Scoring document for the logic used to set the Scaled Score value.</t>
    </r>
  </si>
  <si>
    <r>
      <t>Assessment Achievement Level for Science.
Refer to the</t>
    </r>
    <r>
      <rPr>
        <b/>
        <u/>
        <sz val="10"/>
        <rFont val="Arial"/>
        <family val="2"/>
      </rPr>
      <t xml:space="preserve"> Resulting LAA1LDESTD Values by Subject </t>
    </r>
    <r>
      <rPr>
        <sz val="10"/>
        <rFont val="Arial"/>
        <family val="2"/>
      </rPr>
      <t>section within the LAA 1 Processing Rules -Scoring document for the logic used to set the Assessment Achievement Level value.</t>
    </r>
  </si>
  <si>
    <r>
      <t xml:space="preserve">Include student in summarization for this Subject.
The Include in N-Counts flag will be set to "Y" if the student meets the criteria within the </t>
    </r>
    <r>
      <rPr>
        <b/>
        <u/>
        <sz val="10"/>
        <rFont val="Arial"/>
        <family val="2"/>
      </rPr>
      <t>Include in N-Counts</t>
    </r>
    <r>
      <rPr>
        <sz val="10"/>
        <rFont val="Arial"/>
        <family val="2"/>
      </rPr>
      <t xml:space="preserve"> section in the Processing Rules - Scoring document.</t>
    </r>
  </si>
  <si>
    <r>
      <t xml:space="preserve">Student attempted this Subject. 
Refer to the </t>
    </r>
    <r>
      <rPr>
        <b/>
        <u/>
        <sz val="10"/>
        <rFont val="Arial"/>
        <family val="2"/>
      </rPr>
      <t>Test Taken</t>
    </r>
    <r>
      <rPr>
        <sz val="10"/>
        <rFont val="Arial"/>
        <family val="2"/>
      </rPr>
      <t xml:space="preserve"> section in the Processing Rules - Scoring document for rules on populating these values.</t>
    </r>
  </si>
  <si>
    <r>
      <t xml:space="preserve">
The Scoring Study flag will be set to "Y", if the student meets the selection criteria defined within the </t>
    </r>
    <r>
      <rPr>
        <b/>
        <u/>
        <sz val="10"/>
        <rFont val="Arial"/>
        <family val="2"/>
      </rPr>
      <t>Scoring Study Flag</t>
    </r>
    <r>
      <rPr>
        <sz val="10"/>
        <rFont val="Arial"/>
        <family val="2"/>
      </rPr>
      <t xml:space="preserve"> section of the Processing Rules – Scoring document.
</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</si>
  <si>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-Scoring document for the logic to set these fields.</t>
    </r>
  </si>
  <si>
    <r>
      <t xml:space="preserve">Accountability Achievement Level for the given subject. 
Refer to the </t>
    </r>
    <r>
      <rPr>
        <b/>
        <u/>
        <sz val="10"/>
        <rFont val="Arial"/>
        <family val="2"/>
      </rPr>
      <t>Resulting LDESTD Values by Subject</t>
    </r>
    <r>
      <rPr>
        <sz val="10"/>
        <rFont val="Arial"/>
        <family val="2"/>
      </rPr>
      <t xml:space="preserve"> table within the LAA 1 Processing Rules - Scoring document for the logic to set these fields.</t>
    </r>
  </si>
  <si>
    <t>Document Name</t>
  </si>
  <si>
    <t>LDE SFTP Location</t>
  </si>
  <si>
    <t>DRC Location</t>
  </si>
  <si>
    <t>Common Louisiana Processing Rules - Reporting</t>
  </si>
  <si>
    <t>http://drcdirect/informationsystems/eis/dteam/Louisiana/Common Louisiana &lt;Admin&gt;/Reporting/</t>
  </si>
  <si>
    <t>Accountability Codes for Testing</t>
  </si>
  <si>
    <t>Louisiana/Accountability Data/Accountability Codes Chart/YYYY-YYYY/</t>
  </si>
  <si>
    <t>http://drcdirect/informationsystems/eis/dteam/Louisiana/Accountability/</t>
  </si>
  <si>
    <t>DRC Location &lt;Admin&gt; = “Spring”, “Summer”, or “Fall”</t>
  </si>
  <si>
    <t>LDE SFTP &lt;Admin&gt; = "Spring", "Summer Retest", "Fall Retest"</t>
  </si>
  <si>
    <t>LAA 1 Processing Rules - Scoring</t>
  </si>
  <si>
    <t>LAA 1 Processing Rules - Reporting</t>
  </si>
  <si>
    <t>http://drcdirect/informationsystems/eis/dteam/Louisiana/LAA 1</t>
  </si>
  <si>
    <t>http://drcdirect/informationsystems/eis/dteam/Louisiana/LAA 1/</t>
  </si>
  <si>
    <t>Louisiana/&lt;YYYY&gt; - LAA 1/Processing Rules - Final</t>
  </si>
  <si>
    <t>Y = Indicated as one of the twins
N = Not a twin
Blank</t>
  </si>
  <si>
    <t>01-12
--
99</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</si>
  <si>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these values based on values from the LAP file and the response document.
"99" is only valid after the Online Corrections System (OCS) has been applied.</t>
    </r>
  </si>
  <si>
    <t>00-39 (0-9 or - in any position)
99</t>
  </si>
  <si>
    <r>
      <t>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18 = Multiple Disabilities</t>
    </r>
    <r>
      <rPr>
        <sz val="10"/>
        <rFont val="Arial"/>
        <family val="2"/>
      </rPr>
      <t xml:space="preserve">
20 = Severe Mental Disability 
99 = Unknown (Multiple Responses)
Blank</t>
    </r>
  </si>
  <si>
    <r>
      <t xml:space="preserve">As bubbled on the response document.
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</si>
  <si>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</si>
  <si>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t>Project:  2015 LAA 1 Spring</t>
  </si>
  <si>
    <t>---------
0-9, A-Z, or - in any position</t>
  </si>
  <si>
    <t>Summarized Economically Disadvantaged</t>
  </si>
  <si>
    <t>1 = Economically Disadvantaged
0 = Not Economically Disadvantaged
Blank</t>
  </si>
  <si>
    <t>20</t>
  </si>
  <si>
    <t>LAA1LDESTD File Layout - Final file_LDE Staff and Contractors</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</si>
</sst>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0"/>
      <name val="Arial"/>
    </font>
    <font>
      <sz val="11"/>
      <color theme="1"/>
      <name val="Calibri"/>
      <family val="2"/>
      <scheme val="minor"/>
    </font>
    <font>
      <sz val="10"/>
      <name val="Arial"/>
      <family val="2"/>
    </font>
    <font>
      <sz val="10"/>
      <name val="Arial"/>
      <family val="2"/>
    </font>
    <font>
      <sz val="8"/>
      <name val="Arial"/>
      <family val="2"/>
    </font>
    <font>
      <i/>
      <sz val="10"/>
      <name val="Arial"/>
      <family val="2"/>
    </font>
    <font>
      <sz val="10"/>
      <name val="Arial"/>
      <family val="2"/>
    </font>
    <font>
      <sz val="10"/>
      <color indexed="10"/>
      <name val="Arial"/>
      <family val="2"/>
    </font>
    <font>
      <sz val="10"/>
      <name val="Arial"/>
      <family val="2"/>
    </font>
    <font>
      <sz val="10"/>
      <name val="Arial"/>
      <family val="2"/>
    </font>
    <font>
      <b/>
      <u/>
      <sz val="12"/>
      <name val="Arial"/>
      <family val="2"/>
    </font>
    <font>
      <sz val="10"/>
      <name val="Arial"/>
      <family val="2"/>
    </font>
    <font>
      <sz val="10"/>
      <name val="Arial"/>
      <family val="2"/>
    </font>
    <font>
      <b/>
      <u/>
      <sz val="12"/>
      <name val="Arial"/>
      <family val="2"/>
    </font>
    <font>
      <sz val="10"/>
      <color indexed="12"/>
      <name val="Arial"/>
      <family val="2"/>
    </font>
    <font>
      <b/>
      <u/>
      <sz val="10"/>
      <name val="Arial"/>
      <family val="2"/>
    </font>
    <font>
      <b/>
      <sz val="16"/>
      <name val="Arial"/>
      <family val="2"/>
    </font>
    <font>
      <b/>
      <sz val="12"/>
      <name val="Arial"/>
      <family val="2"/>
    </font>
    <font>
      <b/>
      <sz val="10"/>
      <color indexed="12"/>
      <name val="Arial"/>
      <family val="2"/>
    </font>
    <font>
      <sz val="10"/>
      <name val="Arial"/>
      <family val="2"/>
    </font>
    <font>
      <b/>
      <sz val="10"/>
      <name val="Arial"/>
      <family val="2"/>
    </font>
    <font>
      <sz val="10"/>
      <name val="Arial"/>
      <family val="2"/>
    </font>
    <font>
      <b/>
      <sz val="10"/>
      <color indexed="12"/>
      <name val="Arial"/>
      <family val="2"/>
    </font>
    <font>
      <sz val="10"/>
      <name val="Arial"/>
      <family val="2"/>
    </font>
    <font>
      <sz val="10"/>
      <name val="Arial"/>
      <family val="2"/>
    </font>
    <font>
      <sz val="11"/>
      <color theme="1"/>
      <name val="Calibri"/>
      <family val="2"/>
      <scheme val="minor"/>
    </font>
    <font>
      <b/>
      <sz val="10"/>
      <color rgb="FF0000FF"/>
      <name val="Arial"/>
      <family val="2"/>
    </font>
    <font>
      <strike/>
      <sz val="10"/>
      <name val="Arial"/>
      <family val="2"/>
    </font>
    <font>
      <u/>
      <sz val="10"/>
      <color theme="10"/>
      <name val="Arial"/>
      <family val="2"/>
    </font>
  </fonts>
  <fills count="3">
    <fill>
      <patternFill patternType="none"/>
    </fill>
    <fill>
      <patternFill patternType="gray125"/>
    </fill>
    <fill>
      <patternFill patternType="solid">
        <fgColor them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s>
  <cellStyleXfs count="9">
    <xf numFmtId="0" fontId="0" fillId="0" borderId="0"/>
    <xf numFmtId="0" fontId="3" fillId="0" borderId="0"/>
    <xf numFmtId="0" fontId="23" fillId="0" borderId="0"/>
    <xf numFmtId="0" fontId="3" fillId="0" borderId="0"/>
    <xf numFmtId="0" fontId="25" fillId="0" borderId="0"/>
    <xf numFmtId="0" fontId="24" fillId="0" borderId="0"/>
    <xf numFmtId="0" fontId="1" fillId="0" borderId="0"/>
    <xf numFmtId="0" fontId="1" fillId="0" borderId="0"/>
    <xf numFmtId="0" fontId="28" fillId="0" borderId="0" applyNumberFormat="0" applyFill="0" applyBorder="0" applyAlignment="0" applyProtection="0"/>
  </cellStyleXfs>
  <cellXfs count="126">
    <xf numFmtId="0" fontId="0" fillId="0" borderId="0" xfId="0"/>
    <xf numFmtId="0" fontId="6" fillId="0" borderId="0" xfId="0" applyFont="1" applyFill="1"/>
    <xf numFmtId="0" fontId="9" fillId="0" borderId="0" xfId="0" applyFont="1" applyFill="1"/>
    <xf numFmtId="0" fontId="8" fillId="0" borderId="0" xfId="0" applyFont="1" applyFill="1"/>
    <xf numFmtId="0" fontId="11" fillId="0" borderId="0" xfId="0" applyFont="1" applyFill="1"/>
    <xf numFmtId="0" fontId="7" fillId="0" borderId="0" xfId="0" applyFont="1" applyFill="1" applyAlignment="1">
      <alignment horizontal="center"/>
    </xf>
    <xf numFmtId="0" fontId="8" fillId="0" borderId="0" xfId="0" applyFont="1" applyFill="1" applyAlignment="1">
      <alignment wrapText="1"/>
    </xf>
    <xf numFmtId="0" fontId="12" fillId="0" borderId="0" xfId="0" applyFont="1" applyFill="1" applyAlignment="1">
      <alignment horizontal="left" vertical="center"/>
    </xf>
    <xf numFmtId="0" fontId="16" fillId="0" borderId="0" xfId="0" applyFont="1" applyFill="1"/>
    <xf numFmtId="0" fontId="17" fillId="0" borderId="0" xfId="0" applyFont="1" applyFill="1" applyBorder="1" applyAlignment="1">
      <alignment wrapText="1"/>
    </xf>
    <xf numFmtId="0" fontId="17" fillId="0" borderId="0" xfId="0" applyFont="1" applyFill="1" applyBorder="1" applyAlignment="1"/>
    <xf numFmtId="0" fontId="17" fillId="0" borderId="0" xfId="0" applyFont="1" applyFill="1" applyBorder="1" applyAlignment="1">
      <alignment horizontal="center" vertical="top"/>
    </xf>
    <xf numFmtId="0" fontId="17" fillId="0" borderId="0" xfId="0" applyFont="1" applyFill="1" applyBorder="1" applyAlignment="1">
      <alignment vertical="top"/>
    </xf>
    <xf numFmtId="0" fontId="21" fillId="0" borderId="0" xfId="0" applyFont="1" applyFill="1"/>
    <xf numFmtId="0" fontId="17" fillId="0" borderId="0" xfId="0" applyFont="1" applyFill="1" applyAlignment="1">
      <alignment horizontal="right" vertical="top"/>
    </xf>
    <xf numFmtId="0" fontId="9" fillId="0" borderId="0" xfId="0" applyFont="1" applyFill="1" applyBorder="1" applyAlignment="1">
      <alignment horizontal="center" vertical="top"/>
    </xf>
    <xf numFmtId="49" fontId="9" fillId="0" borderId="0" xfId="0" applyNumberFormat="1" applyFont="1" applyFill="1" applyBorder="1" applyAlignment="1">
      <alignment horizontal="center" vertical="top"/>
    </xf>
    <xf numFmtId="1" fontId="9" fillId="0" borderId="0" xfId="0" applyNumberFormat="1" applyFont="1" applyFill="1" applyBorder="1" applyAlignment="1">
      <alignment horizontal="center" vertical="top"/>
    </xf>
    <xf numFmtId="49" fontId="9" fillId="0" borderId="0" xfId="0" applyNumberFormat="1" applyFont="1" applyFill="1" applyBorder="1" applyAlignment="1">
      <alignment horizontal="left" vertical="top" wrapText="1"/>
    </xf>
    <xf numFmtId="0" fontId="2" fillId="0" borderId="0" xfId="0" applyFont="1" applyFill="1" applyBorder="1" applyAlignment="1">
      <alignment horizontal="center" vertical="top"/>
    </xf>
    <xf numFmtId="1" fontId="8" fillId="0" borderId="0" xfId="0" applyNumberFormat="1" applyFont="1" applyFill="1" applyBorder="1" applyAlignment="1">
      <alignment horizontal="center" vertical="top"/>
    </xf>
    <xf numFmtId="0" fontId="8" fillId="0" borderId="0" xfId="0" applyFont="1" applyFill="1" applyBorder="1" applyAlignment="1">
      <alignment vertical="top"/>
    </xf>
    <xf numFmtId="0" fontId="12" fillId="0" borderId="0" xfId="0" applyFont="1" applyFill="1" applyBorder="1" applyAlignment="1">
      <alignment horizontal="left" vertical="center" wrapText="1"/>
    </xf>
    <xf numFmtId="0" fontId="8" fillId="0" borderId="0" xfId="0" applyFont="1" applyFill="1" applyBorder="1" applyAlignment="1">
      <alignment horizontal="center" vertical="top"/>
    </xf>
    <xf numFmtId="49" fontId="8" fillId="0" borderId="0" xfId="0" applyNumberFormat="1" applyFont="1" applyFill="1" applyBorder="1" applyAlignment="1">
      <alignment horizontal="left" vertical="top" wrapText="1"/>
    </xf>
    <xf numFmtId="0" fontId="12" fillId="0" borderId="0" xfId="0" applyFont="1" applyFill="1" applyBorder="1" applyAlignment="1">
      <alignment horizontal="left" vertical="center"/>
    </xf>
    <xf numFmtId="49" fontId="8" fillId="0" borderId="0" xfId="0" applyNumberFormat="1" applyFont="1" applyFill="1" applyBorder="1" applyAlignment="1">
      <alignment horizontal="left" vertical="top"/>
    </xf>
    <xf numFmtId="0" fontId="12" fillId="0" borderId="0" xfId="0" applyNumberFormat="1" applyFont="1" applyFill="1" applyBorder="1" applyAlignment="1">
      <alignment horizontal="left" vertical="center" wrapText="1"/>
    </xf>
    <xf numFmtId="0" fontId="12" fillId="0" borderId="0" xfId="0" applyFont="1" applyFill="1" applyBorder="1" applyAlignment="1">
      <alignment horizontal="center" vertical="top"/>
    </xf>
    <xf numFmtId="0" fontId="12" fillId="0" borderId="0" xfId="0" applyFont="1" applyFill="1" applyBorder="1" applyAlignment="1">
      <alignment vertical="top"/>
    </xf>
    <xf numFmtId="0" fontId="14" fillId="0" borderId="0" xfId="0" applyFont="1" applyFill="1" applyBorder="1" applyAlignment="1">
      <alignment horizontal="left" vertical="top"/>
    </xf>
    <xf numFmtId="49" fontId="18" fillId="0" borderId="0" xfId="0" applyNumberFormat="1" applyFont="1" applyFill="1" applyBorder="1" applyAlignment="1">
      <alignment horizontal="left" vertical="top"/>
    </xf>
    <xf numFmtId="0" fontId="19" fillId="0" borderId="0" xfId="0" applyFont="1" applyFill="1" applyBorder="1" applyAlignment="1">
      <alignment horizontal="center" vertical="top"/>
    </xf>
    <xf numFmtId="49" fontId="20" fillId="0" borderId="0" xfId="0" applyNumberFormat="1" applyFont="1" applyFill="1" applyBorder="1" applyAlignment="1">
      <alignment horizontal="center" vertical="top"/>
    </xf>
    <xf numFmtId="49" fontId="20" fillId="0" borderId="0" xfId="0" applyNumberFormat="1" applyFont="1" applyFill="1" applyBorder="1" applyAlignment="1">
      <alignment horizontal="left" vertical="center"/>
    </xf>
    <xf numFmtId="0" fontId="6" fillId="0" borderId="0" xfId="0" applyFont="1" applyFill="1" applyBorder="1" applyAlignment="1">
      <alignment horizontal="center" vertical="top"/>
    </xf>
    <xf numFmtId="49" fontId="6" fillId="0" borderId="0" xfId="0" applyNumberFormat="1" applyFont="1" applyFill="1" applyBorder="1" applyAlignment="1">
      <alignment horizontal="center" vertical="top"/>
    </xf>
    <xf numFmtId="0" fontId="2" fillId="0" borderId="0" xfId="0" applyFont="1" applyFill="1" applyBorder="1" applyAlignment="1">
      <alignment horizontal="center" vertical="center"/>
    </xf>
    <xf numFmtId="49" fontId="10" fillId="0" borderId="0" xfId="0" applyNumberFormat="1" applyFont="1" applyFill="1" applyBorder="1" applyAlignment="1">
      <alignment horizontal="center" vertical="top"/>
    </xf>
    <xf numFmtId="1" fontId="6" fillId="0" borderId="0" xfId="0" applyNumberFormat="1" applyFont="1" applyFill="1" applyBorder="1" applyAlignment="1">
      <alignment horizontal="center" vertical="top"/>
    </xf>
    <xf numFmtId="49" fontId="6" fillId="0" borderId="0" xfId="0" applyNumberFormat="1" applyFont="1" applyFill="1" applyBorder="1" applyAlignment="1">
      <alignment horizontal="left" vertical="top" wrapText="1"/>
    </xf>
    <xf numFmtId="0" fontId="9" fillId="0" borderId="2" xfId="0" applyFont="1" applyFill="1" applyBorder="1" applyAlignment="1">
      <alignment horizontal="center" vertical="top"/>
    </xf>
    <xf numFmtId="49" fontId="10" fillId="0" borderId="2" xfId="0" applyNumberFormat="1" applyFont="1" applyFill="1" applyBorder="1" applyAlignment="1">
      <alignment horizontal="center" vertical="top"/>
    </xf>
    <xf numFmtId="49" fontId="13" fillId="0" borderId="2" xfId="0" applyNumberFormat="1" applyFont="1" applyFill="1" applyBorder="1" applyAlignment="1">
      <alignment horizontal="left" vertical="center"/>
    </xf>
    <xf numFmtId="0" fontId="11" fillId="0" borderId="0" xfId="0" applyFont="1" applyFill="1" applyBorder="1"/>
    <xf numFmtId="0" fontId="22" fillId="0" borderId="0" xfId="0" applyFont="1" applyFill="1" applyBorder="1" applyAlignment="1">
      <alignment vertical="top"/>
    </xf>
    <xf numFmtId="49" fontId="22" fillId="0" borderId="0" xfId="0" applyNumberFormat="1" applyFont="1" applyFill="1" applyBorder="1" applyAlignment="1">
      <alignment horizontal="left" vertical="top"/>
    </xf>
    <xf numFmtId="49" fontId="22" fillId="0" borderId="0" xfId="0" applyNumberFormat="1" applyFont="1" applyFill="1" applyBorder="1" applyAlignment="1">
      <alignment horizontal="left" vertical="top" wrapText="1"/>
    </xf>
    <xf numFmtId="0" fontId="12" fillId="0" borderId="0" xfId="0" applyFont="1" applyFill="1" applyAlignment="1">
      <alignment horizontal="left" vertical="center" wrapText="1"/>
    </xf>
    <xf numFmtId="49" fontId="0" fillId="0" borderId="0" xfId="0" applyNumberFormat="1" applyFill="1" applyBorder="1" applyAlignment="1">
      <alignment horizontal="left" vertical="top" wrapText="1"/>
    </xf>
    <xf numFmtId="49" fontId="3" fillId="0" borderId="0" xfId="0" applyNumberFormat="1" applyFont="1" applyFill="1" applyBorder="1" applyAlignment="1">
      <alignment horizontal="left" vertical="top" wrapText="1"/>
    </xf>
    <xf numFmtId="0" fontId="0" fillId="0" borderId="0" xfId="0" applyFill="1" applyBorder="1" applyAlignment="1">
      <alignment horizontal="center" vertical="top"/>
    </xf>
    <xf numFmtId="1" fontId="3" fillId="0" borderId="0" xfId="0" applyNumberFormat="1" applyFont="1" applyFill="1" applyBorder="1" applyAlignment="1">
      <alignment horizontal="center" vertical="top"/>
    </xf>
    <xf numFmtId="0" fontId="3" fillId="0" borderId="0" xfId="0" applyFont="1" applyFill="1" applyBorder="1" applyAlignment="1">
      <alignment horizontal="center" vertical="top"/>
    </xf>
    <xf numFmtId="49" fontId="10" fillId="0" borderId="2" xfId="0" applyNumberFormat="1" applyFont="1" applyFill="1" applyBorder="1" applyAlignment="1">
      <alignment horizontal="left" vertical="center"/>
    </xf>
    <xf numFmtId="49" fontId="9" fillId="0" borderId="0" xfId="0" applyNumberFormat="1" applyFont="1" applyFill="1" applyBorder="1" applyAlignment="1">
      <alignment horizontal="left" vertical="center" wrapText="1"/>
    </xf>
    <xf numFmtId="0" fontId="8" fillId="0" borderId="0" xfId="0" applyFont="1" applyFill="1" applyAlignment="1">
      <alignment horizontal="left" vertical="center"/>
    </xf>
    <xf numFmtId="0" fontId="9" fillId="0" borderId="0" xfId="0" applyFont="1" applyFill="1" applyBorder="1" applyAlignment="1">
      <alignment horizontal="left" vertical="center" wrapText="1"/>
    </xf>
    <xf numFmtId="0" fontId="0" fillId="0" borderId="0" xfId="0" applyFill="1" applyBorder="1" applyAlignment="1">
      <alignment horizontal="left" vertical="center"/>
    </xf>
    <xf numFmtId="49" fontId="10" fillId="0" borderId="0" xfId="0" applyNumberFormat="1" applyFont="1" applyFill="1" applyBorder="1" applyAlignment="1">
      <alignment horizontal="left" vertical="center"/>
    </xf>
    <xf numFmtId="0" fontId="5" fillId="0" borderId="0" xfId="0" applyFont="1" applyFill="1" applyAlignment="1">
      <alignment horizontal="left" vertical="center"/>
    </xf>
    <xf numFmtId="0" fontId="6" fillId="0" borderId="0" xfId="0" applyFont="1" applyFill="1" applyAlignment="1">
      <alignment horizontal="left" vertical="center"/>
    </xf>
    <xf numFmtId="0" fontId="3" fillId="0" borderId="0" xfId="0" applyFont="1" applyFill="1" applyBorder="1" applyAlignment="1">
      <alignment vertical="top"/>
    </xf>
    <xf numFmtId="16" fontId="3" fillId="0" borderId="0" xfId="0" applyNumberFormat="1" applyFont="1" applyFill="1" applyBorder="1" applyAlignment="1">
      <alignment horizontal="left" vertical="center" wrapText="1"/>
    </xf>
    <xf numFmtId="0" fontId="26" fillId="0" borderId="0" xfId="0" applyFont="1" applyFill="1" applyBorder="1" applyAlignment="1">
      <alignment vertical="top"/>
    </xf>
    <xf numFmtId="0" fontId="17" fillId="0" borderId="0" xfId="0" applyFont="1" applyFill="1" applyAlignment="1">
      <alignment vertical="top"/>
    </xf>
    <xf numFmtId="0" fontId="3" fillId="0" borderId="0" xfId="0" applyFont="1" applyFill="1" applyBorder="1" applyAlignment="1">
      <alignment vertical="top" wrapText="1"/>
    </xf>
    <xf numFmtId="0" fontId="3" fillId="0" borderId="0" xfId="0" applyFont="1" applyFill="1" applyBorder="1" applyAlignment="1">
      <alignment horizontal="left" vertical="top"/>
    </xf>
    <xf numFmtId="0" fontId="17" fillId="0" borderId="3" xfId="0" applyFont="1" applyFill="1" applyBorder="1" applyAlignment="1"/>
    <xf numFmtId="0" fontId="3" fillId="0" borderId="0" xfId="0" applyFont="1" applyFill="1" applyBorder="1" applyAlignment="1">
      <alignment horizontal="left" vertical="top" wrapText="1"/>
    </xf>
    <xf numFmtId="0" fontId="3" fillId="0" borderId="0" xfId="0" applyFont="1" applyFill="1" applyAlignment="1">
      <alignment horizontal="left" vertical="center" wrapText="1"/>
    </xf>
    <xf numFmtId="49" fontId="3" fillId="0" borderId="0" xfId="0" applyNumberFormat="1" applyFont="1" applyFill="1" applyBorder="1" applyAlignment="1">
      <alignment horizontal="left" vertical="center" wrapText="1"/>
    </xf>
    <xf numFmtId="49" fontId="12" fillId="0" borderId="0" xfId="0" applyNumberFormat="1" applyFont="1" applyFill="1" applyBorder="1" applyAlignment="1">
      <alignment horizontal="left" vertical="center" wrapText="1"/>
    </xf>
    <xf numFmtId="0" fontId="3" fillId="0" borderId="0" xfId="0"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49" fontId="6" fillId="0" borderId="0" xfId="0" applyNumberFormat="1" applyFont="1" applyFill="1" applyBorder="1" applyAlignment="1">
      <alignment horizontal="left" vertical="center" wrapText="1"/>
    </xf>
    <xf numFmtId="2" fontId="8" fillId="0" borderId="0" xfId="0" applyNumberFormat="1"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0" xfId="0" applyFont="1" applyFill="1" applyBorder="1" applyAlignment="1">
      <alignment horizontal="left" vertical="center"/>
    </xf>
    <xf numFmtId="0" fontId="9" fillId="0" borderId="0" xfId="0" applyFont="1" applyFill="1" applyBorder="1" applyAlignment="1">
      <alignment horizontal="left" vertical="center"/>
    </xf>
    <xf numFmtId="49" fontId="3" fillId="0" borderId="0" xfId="0" applyNumberFormat="1" applyFont="1" applyFill="1" applyBorder="1" applyAlignment="1">
      <alignment horizontal="left" vertical="top"/>
    </xf>
    <xf numFmtId="49" fontId="3" fillId="0" borderId="0" xfId="0" applyNumberFormat="1" applyFont="1" applyFill="1" applyBorder="1" applyAlignment="1">
      <alignment horizontal="center" vertical="center" wrapText="1"/>
    </xf>
    <xf numFmtId="0" fontId="20" fillId="2" borderId="1" xfId="0" applyFont="1" applyFill="1" applyBorder="1"/>
    <xf numFmtId="0" fontId="2" fillId="0" borderId="1" xfId="0" applyFont="1" applyFill="1" applyBorder="1" applyAlignment="1">
      <alignment wrapText="1"/>
    </xf>
    <xf numFmtId="0" fontId="28" fillId="0" borderId="1" xfId="8" applyFill="1" applyBorder="1" applyAlignment="1">
      <alignment wrapText="1"/>
    </xf>
    <xf numFmtId="0" fontId="28" fillId="0" borderId="1" xfId="8" applyFill="1" applyBorder="1" applyAlignment="1">
      <alignment horizontal="left" vertical="center" wrapText="1"/>
    </xf>
    <xf numFmtId="0" fontId="0" fillId="0" borderId="0" xfId="0" applyFill="1" applyAlignment="1">
      <alignment wrapText="1"/>
    </xf>
    <xf numFmtId="0" fontId="0" fillId="0" borderId="0" xfId="0" applyFill="1"/>
    <xf numFmtId="49" fontId="12" fillId="0" borderId="0" xfId="0" applyNumberFormat="1"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2" fillId="0" borderId="0" xfId="0" applyFont="1" applyFill="1" applyBorder="1" applyAlignment="1">
      <alignment vertical="top"/>
    </xf>
    <xf numFmtId="0" fontId="2" fillId="0" borderId="0" xfId="0" applyFont="1" applyFill="1" applyBorder="1" applyAlignment="1">
      <alignment horizontal="left" vertical="center" wrapText="1"/>
    </xf>
    <xf numFmtId="0" fontId="2" fillId="0" borderId="0" xfId="0" applyFont="1" applyFill="1" applyAlignment="1">
      <alignment horizontal="left" vertical="center" wrapText="1"/>
    </xf>
    <xf numFmtId="2" fontId="2" fillId="0" borderId="0" xfId="0" applyNumberFormat="1" applyFont="1" applyFill="1" applyBorder="1" applyAlignment="1">
      <alignment horizontal="left" vertical="center" wrapText="1"/>
    </xf>
    <xf numFmtId="0" fontId="2" fillId="0" borderId="0" xfId="1" applyFont="1" applyFill="1" applyBorder="1" applyAlignment="1">
      <alignment horizontal="left" vertical="center" wrapText="1"/>
    </xf>
    <xf numFmtId="49" fontId="2" fillId="0" borderId="0" xfId="0" applyNumberFormat="1" applyFont="1" applyFill="1" applyBorder="1" applyAlignment="1">
      <alignment horizontal="left" vertical="top" wrapText="1"/>
    </xf>
    <xf numFmtId="0" fontId="27" fillId="0" borderId="0" xfId="0" applyFont="1" applyFill="1" applyBorder="1" applyAlignment="1">
      <alignment horizontal="left" vertical="center" wrapText="1"/>
    </xf>
    <xf numFmtId="0" fontId="3" fillId="0" borderId="0" xfId="0" applyFont="1" applyFill="1" applyAlignment="1">
      <alignment horizontal="left" vertical="center" wrapText="1"/>
    </xf>
    <xf numFmtId="49" fontId="2" fillId="0" borderId="0" xfId="0" applyNumberFormat="1" applyFont="1" applyFill="1" applyBorder="1" applyAlignment="1">
      <alignment horizontal="left" vertical="center" wrapText="1"/>
    </xf>
    <xf numFmtId="49" fontId="12"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49" fontId="2" fillId="0" borderId="0" xfId="0" applyNumberFormat="1" applyFont="1" applyFill="1" applyAlignment="1">
      <alignment horizontal="left" vertical="center" wrapText="1"/>
    </xf>
    <xf numFmtId="49" fontId="2" fillId="0" borderId="0" xfId="0" applyNumberFormat="1" applyFont="1" applyFill="1" applyBorder="1" applyAlignment="1">
      <alignment horizontal="center" vertical="center" wrapText="1"/>
    </xf>
    <xf numFmtId="1" fontId="2" fillId="0" borderId="0" xfId="0" applyNumberFormat="1" applyFont="1" applyFill="1" applyBorder="1" applyAlignment="1">
      <alignment horizontal="center" vertical="center" wrapText="1"/>
    </xf>
    <xf numFmtId="0" fontId="16" fillId="0" borderId="0" xfId="0" applyFont="1" applyFill="1" applyBorder="1" applyAlignment="1">
      <alignment horizontal="left"/>
    </xf>
    <xf numFmtId="0" fontId="3" fillId="0" borderId="0" xfId="0" applyFont="1" applyFill="1" applyAlignment="1">
      <alignment horizontal="left" vertical="center" wrapText="1"/>
    </xf>
    <xf numFmtId="0" fontId="0" fillId="0" borderId="0" xfId="0" applyFill="1" applyAlignment="1">
      <alignment horizontal="left" vertical="center"/>
    </xf>
    <xf numFmtId="0" fontId="2" fillId="0" borderId="0"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0" fillId="0" borderId="0" xfId="0" applyFill="1" applyAlignment="1">
      <alignment horizontal="left" vertical="center" wrapText="1"/>
    </xf>
    <xf numFmtId="0" fontId="3"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49" fontId="6" fillId="0" borderId="0" xfId="0" applyNumberFormat="1" applyFon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3" fillId="0" borderId="0" xfId="0" applyNumberFormat="1" applyFont="1" applyFill="1" applyBorder="1" applyAlignment="1">
      <alignment horizontal="left" vertical="center" wrapText="1"/>
    </xf>
    <xf numFmtId="2" fontId="8" fillId="0" borderId="0" xfId="0" applyNumberFormat="1" applyFont="1" applyFill="1" applyBorder="1" applyAlignment="1">
      <alignment horizontal="left" vertical="center" wrapText="1"/>
    </xf>
    <xf numFmtId="49" fontId="8" fillId="0" borderId="0" xfId="0" applyNumberFormat="1"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0" xfId="0" applyFont="1" applyFill="1" applyBorder="1" applyAlignment="1">
      <alignment horizontal="left" vertical="center"/>
    </xf>
    <xf numFmtId="0" fontId="0" fillId="0" borderId="0" xfId="0" applyFill="1" applyBorder="1" applyAlignment="1">
      <alignment horizontal="left" vertical="center" wrapText="1"/>
    </xf>
    <xf numFmtId="0" fontId="9" fillId="0" borderId="0" xfId="0" applyFont="1" applyFill="1" applyBorder="1" applyAlignment="1">
      <alignment horizontal="left" vertical="center"/>
    </xf>
    <xf numFmtId="0" fontId="3" fillId="0" borderId="0" xfId="0" applyFont="1" applyFill="1" applyBorder="1" applyAlignment="1">
      <alignment horizontal="left" vertical="center"/>
    </xf>
    <xf numFmtId="49" fontId="12" fillId="0" borderId="0" xfId="0" applyNumberFormat="1" applyFont="1" applyFill="1" applyBorder="1" applyAlignment="1">
      <alignment horizontal="left" vertical="center" wrapText="1"/>
    </xf>
    <xf numFmtId="0" fontId="2" fillId="0" borderId="0" xfId="0" applyFont="1" applyFill="1" applyAlignment="1">
      <alignment vertical="center"/>
    </xf>
    <xf numFmtId="0" fontId="0" fillId="0" borderId="0" xfId="0" applyFill="1" applyAlignment="1"/>
    <xf numFmtId="0" fontId="0" fillId="0" borderId="0" xfId="0" applyFill="1" applyAlignment="1">
      <alignment wrapText="1"/>
    </xf>
  </cellXfs>
  <cellStyles count="9">
    <cellStyle name="Hyperlink" xfId="8" builtinId="8"/>
    <cellStyle name="Normal" xfId="0" builtinId="0"/>
    <cellStyle name="Normal 10" xfId="6"/>
    <cellStyle name="Normal 11" xfId="7"/>
    <cellStyle name="Normal 2" xfId="1"/>
    <cellStyle name="Normal 3" xfId="2"/>
    <cellStyle name="Normal 3 2" xfId="3"/>
    <cellStyle name="Normal 4" xfId="4"/>
    <cellStyle name="Normal 5" xfId="5"/>
  </cellStyles>
  <dxfs count="0"/>
  <tableStyles count="0" defaultTableStyle="TableStyleMedium9" defaultPivotStyle="PivotStyleLight16"/>
  <colors>
    <mruColors>
      <color rgb="FFFFFF99"/>
      <color rgb="FFCDE10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1</xdr:row>
      <xdr:rowOff>0</xdr:rowOff>
    </xdr:from>
    <xdr:to>
      <xdr:col>6</xdr:col>
      <xdr:colOff>0</xdr:colOff>
      <xdr:row>1</xdr:row>
      <xdr:rowOff>0</xdr:rowOff>
    </xdr:to>
    <xdr:sp macro="" textlink="">
      <xdr:nvSpPr>
        <xdr:cNvPr id="5523" name="Rectangle 1"/>
        <xdr:cNvSpPr>
          <a:spLocks noChangeArrowheads="1"/>
        </xdr:cNvSpPr>
      </xdr:nvSpPr>
      <xdr:spPr bwMode="auto">
        <a:xfrm>
          <a:off x="10677525" y="257175"/>
          <a:ext cx="0" cy="0"/>
        </a:xfrm>
        <a:prstGeom prst="rect">
          <a:avLst/>
        </a:prstGeom>
        <a:solidFill>
          <a:srgbClr val="C0C0C0"/>
        </a:solidFill>
        <a:ln w="9525">
          <a:noFill/>
          <a:miter lim="800000"/>
          <a:headEnd/>
          <a:tailEnd/>
        </a:ln>
      </xdr:spPr>
    </xdr:sp>
    <xdr:clientData/>
  </xdr:twoCellAnchor>
  <xdr:twoCellAnchor>
    <xdr:from>
      <xdr:col>7</xdr:col>
      <xdr:colOff>0</xdr:colOff>
      <xdr:row>0</xdr:row>
      <xdr:rowOff>180975</xdr:rowOff>
    </xdr:from>
    <xdr:to>
      <xdr:col>7</xdr:col>
      <xdr:colOff>0</xdr:colOff>
      <xdr:row>1</xdr:row>
      <xdr:rowOff>0</xdr:rowOff>
    </xdr:to>
    <xdr:sp macro="" textlink="">
      <xdr:nvSpPr>
        <xdr:cNvPr id="5524" name="Rectangle 690"/>
        <xdr:cNvSpPr>
          <a:spLocks noChangeArrowheads="1"/>
        </xdr:cNvSpPr>
      </xdr:nvSpPr>
      <xdr:spPr bwMode="auto">
        <a:xfrm>
          <a:off x="15554325" y="180975"/>
          <a:ext cx="0" cy="7620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hyperlink" Target="http://drcdirect/informationsystems/eis/dteam/Louisiana/LAA%201"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Forms/AllItems.aspx" TargetMode="External"/><Relationship Id="rId5" Type="http://schemas.openxmlformats.org/officeDocument/2006/relationships/printerSettings" Target="../printerSettings/printerSettings7.bin"/><Relationship Id="rId4" Type="http://schemas.openxmlformats.org/officeDocument/2006/relationships/hyperlink" Target="http://drcdirect/informationsystems/eis/dteam/Louisiana/LAA%20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H115"/>
  <sheetViews>
    <sheetView tabSelected="1" zoomScale="70" zoomScaleNormal="70" zoomScalePageLayoutView="70" workbookViewId="0">
      <selection sqref="A1:F1"/>
    </sheetView>
  </sheetViews>
  <sheetFormatPr defaultRowHeight="12.75" x14ac:dyDescent="0.2"/>
  <cols>
    <col min="1" max="1" width="7.140625" style="5" customWidth="1"/>
    <col min="2" max="2" width="10.42578125" style="3" customWidth="1"/>
    <col min="3" max="3" width="10.28515625" style="3" customWidth="1"/>
    <col min="4" max="4" width="9.140625" style="3"/>
    <col min="5" max="5" width="57.42578125" style="6" customWidth="1"/>
    <col min="6" max="6" width="38" style="60" customWidth="1"/>
    <col min="7" max="7" width="73.140625" style="61" customWidth="1"/>
    <col min="8" max="8" width="12" style="1" customWidth="1"/>
    <col min="9" max="9" width="8" style="1" customWidth="1"/>
    <col min="10" max="10" width="12.5703125" style="1" customWidth="1"/>
    <col min="11" max="11" width="13.5703125" style="1" customWidth="1"/>
    <col min="12" max="12" width="11.28515625" style="1" customWidth="1"/>
    <col min="13" max="13" width="16.28515625" style="1" customWidth="1"/>
    <col min="14" max="16384" width="9.140625" style="1"/>
  </cols>
  <sheetData>
    <row r="1" spans="1:8" s="8" customFormat="1" ht="20.25" x14ac:dyDescent="0.3">
      <c r="A1" s="104" t="s">
        <v>200</v>
      </c>
      <c r="B1" s="104"/>
      <c r="C1" s="104"/>
      <c r="D1" s="104"/>
      <c r="E1" s="104"/>
      <c r="F1" s="104"/>
      <c r="G1" s="104" t="s">
        <v>195</v>
      </c>
      <c r="H1" s="104"/>
    </row>
    <row r="2" spans="1:8" s="12" customFormat="1" ht="47.25" x14ac:dyDescent="0.25">
      <c r="A2" s="9" t="s">
        <v>46</v>
      </c>
      <c r="B2" s="9" t="s">
        <v>47</v>
      </c>
      <c r="C2" s="9" t="s">
        <v>48</v>
      </c>
      <c r="D2" s="10" t="s">
        <v>1</v>
      </c>
      <c r="E2" s="68" t="s">
        <v>2</v>
      </c>
      <c r="F2" s="10" t="s">
        <v>49</v>
      </c>
      <c r="G2" s="10" t="s">
        <v>50</v>
      </c>
      <c r="H2" s="11"/>
    </row>
    <row r="3" spans="1:8" s="4" customFormat="1" ht="15.75" x14ac:dyDescent="0.2">
      <c r="A3" s="41"/>
      <c r="B3" s="42"/>
      <c r="C3" s="42"/>
      <c r="D3" s="42"/>
      <c r="E3" s="45" t="s">
        <v>51</v>
      </c>
      <c r="F3" s="54"/>
      <c r="G3" s="43"/>
      <c r="H3" s="44"/>
    </row>
    <row r="4" spans="1:8" s="2" customFormat="1" x14ac:dyDescent="0.2">
      <c r="A4" s="15"/>
      <c r="B4" s="16" t="s">
        <v>4</v>
      </c>
      <c r="C4" s="17">
        <f t="shared" ref="C4:C10" si="0">B4+D4-1</f>
        <v>2</v>
      </c>
      <c r="D4" s="17">
        <v>2</v>
      </c>
      <c r="E4" s="18" t="s">
        <v>52</v>
      </c>
      <c r="F4" s="55" t="s">
        <v>54</v>
      </c>
      <c r="G4" s="72" t="s">
        <v>16</v>
      </c>
    </row>
    <row r="5" spans="1:8" s="2" customFormat="1" x14ac:dyDescent="0.2">
      <c r="A5" s="15"/>
      <c r="B5" s="17">
        <f t="shared" ref="B5:B10" si="1">B4+D4</f>
        <v>3</v>
      </c>
      <c r="C5" s="17">
        <f t="shared" si="0"/>
        <v>6</v>
      </c>
      <c r="D5" s="17">
        <v>4</v>
      </c>
      <c r="E5" s="18" t="s">
        <v>53</v>
      </c>
      <c r="F5" s="71" t="s">
        <v>143</v>
      </c>
      <c r="G5" s="72" t="s">
        <v>17</v>
      </c>
    </row>
    <row r="6" spans="1:8" s="3" customFormat="1" ht="25.5" x14ac:dyDescent="0.2">
      <c r="A6" s="19"/>
      <c r="B6" s="17">
        <f t="shared" si="1"/>
        <v>7</v>
      </c>
      <c r="C6" s="17">
        <f t="shared" si="0"/>
        <v>7</v>
      </c>
      <c r="D6" s="20">
        <v>1</v>
      </c>
      <c r="E6" s="21" t="s">
        <v>55</v>
      </c>
      <c r="F6" s="77" t="s">
        <v>42</v>
      </c>
      <c r="G6" s="22" t="s">
        <v>13</v>
      </c>
    </row>
    <row r="7" spans="1:8" s="3" customFormat="1" ht="24" customHeight="1" x14ac:dyDescent="0.2">
      <c r="A7" s="23" t="s">
        <v>84</v>
      </c>
      <c r="B7" s="17">
        <f t="shared" si="1"/>
        <v>8</v>
      </c>
      <c r="C7" s="17">
        <f t="shared" si="0"/>
        <v>10</v>
      </c>
      <c r="D7" s="20">
        <v>3</v>
      </c>
      <c r="E7" s="24" t="s">
        <v>5</v>
      </c>
      <c r="F7" s="74"/>
      <c r="G7" s="108" t="s">
        <v>151</v>
      </c>
    </row>
    <row r="8" spans="1:8" s="3" customFormat="1" ht="43.5" customHeight="1" x14ac:dyDescent="0.2">
      <c r="A8" s="23" t="s">
        <v>84</v>
      </c>
      <c r="B8" s="17">
        <f t="shared" si="1"/>
        <v>11</v>
      </c>
      <c r="C8" s="17">
        <f t="shared" si="0"/>
        <v>13</v>
      </c>
      <c r="D8" s="20">
        <v>3</v>
      </c>
      <c r="E8" s="24" t="s">
        <v>6</v>
      </c>
      <c r="F8" s="74"/>
      <c r="G8" s="109"/>
    </row>
    <row r="9" spans="1:8" s="3" customFormat="1" x14ac:dyDescent="0.2">
      <c r="A9" s="23"/>
      <c r="B9" s="17">
        <f t="shared" si="1"/>
        <v>14</v>
      </c>
      <c r="C9" s="17">
        <f t="shared" si="0"/>
        <v>53</v>
      </c>
      <c r="D9" s="20">
        <v>40</v>
      </c>
      <c r="E9" s="24" t="s">
        <v>7</v>
      </c>
      <c r="F9" s="74"/>
      <c r="G9" s="72"/>
    </row>
    <row r="10" spans="1:8" s="3" customFormat="1" x14ac:dyDescent="0.2">
      <c r="A10" s="23"/>
      <c r="B10" s="17">
        <f t="shared" si="1"/>
        <v>54</v>
      </c>
      <c r="C10" s="17">
        <f t="shared" si="0"/>
        <v>93</v>
      </c>
      <c r="D10" s="20">
        <v>40</v>
      </c>
      <c r="E10" s="24" t="s">
        <v>8</v>
      </c>
      <c r="F10" s="74"/>
      <c r="G10" s="72"/>
    </row>
    <row r="11" spans="1:8" ht="197.25" customHeight="1" x14ac:dyDescent="0.2">
      <c r="A11" s="19"/>
      <c r="B11" s="17">
        <f t="shared" ref="B11:B20" si="2">B10+D10</f>
        <v>94</v>
      </c>
      <c r="C11" s="17">
        <f t="shared" ref="C11:C15" si="3">B11+D11-1</f>
        <v>95</v>
      </c>
      <c r="D11" s="23">
        <v>2</v>
      </c>
      <c r="E11" s="62" t="s">
        <v>35</v>
      </c>
      <c r="F11" s="73" t="s">
        <v>137</v>
      </c>
      <c r="G11" s="73" t="s">
        <v>139</v>
      </c>
    </row>
    <row r="12" spans="1:8" s="3" customFormat="1" x14ac:dyDescent="0.2">
      <c r="A12" s="53" t="s">
        <v>98</v>
      </c>
      <c r="B12" s="17">
        <f t="shared" si="2"/>
        <v>96</v>
      </c>
      <c r="C12" s="17">
        <f t="shared" si="3"/>
        <v>107</v>
      </c>
      <c r="D12" s="20">
        <v>12</v>
      </c>
      <c r="E12" s="24" t="s">
        <v>56</v>
      </c>
      <c r="F12" s="74"/>
      <c r="G12" s="105" t="s">
        <v>87</v>
      </c>
    </row>
    <row r="13" spans="1:8" s="3" customFormat="1" x14ac:dyDescent="0.2">
      <c r="A13" s="53" t="s">
        <v>98</v>
      </c>
      <c r="B13" s="17">
        <f t="shared" si="2"/>
        <v>108</v>
      </c>
      <c r="C13" s="17">
        <f t="shared" si="3"/>
        <v>115</v>
      </c>
      <c r="D13" s="20">
        <v>8</v>
      </c>
      <c r="E13" s="24" t="s">
        <v>57</v>
      </c>
      <c r="F13" s="74"/>
      <c r="G13" s="106"/>
    </row>
    <row r="14" spans="1:8" s="3" customFormat="1" x14ac:dyDescent="0.2">
      <c r="A14" s="53"/>
      <c r="B14" s="17">
        <f t="shared" si="2"/>
        <v>116</v>
      </c>
      <c r="C14" s="17">
        <f t="shared" si="3"/>
        <v>116</v>
      </c>
      <c r="D14" s="20">
        <v>1</v>
      </c>
      <c r="E14" s="24" t="s">
        <v>58</v>
      </c>
      <c r="F14" s="74"/>
      <c r="G14" s="71" t="s">
        <v>144</v>
      </c>
    </row>
    <row r="15" spans="1:8" s="3" customFormat="1" ht="38.25" x14ac:dyDescent="0.2">
      <c r="A15" s="53" t="s">
        <v>98</v>
      </c>
      <c r="B15" s="17">
        <f t="shared" si="2"/>
        <v>117</v>
      </c>
      <c r="C15" s="17">
        <f t="shared" si="3"/>
        <v>125</v>
      </c>
      <c r="D15" s="20">
        <v>9</v>
      </c>
      <c r="E15" s="24" t="s">
        <v>18</v>
      </c>
      <c r="F15" s="101" t="s">
        <v>196</v>
      </c>
      <c r="G15" s="48" t="s">
        <v>88</v>
      </c>
    </row>
    <row r="16" spans="1:8" s="3" customFormat="1" x14ac:dyDescent="0.2">
      <c r="A16" s="23"/>
      <c r="B16" s="17">
        <f>B15+D15</f>
        <v>126</v>
      </c>
      <c r="C16" s="17">
        <f t="shared" ref="C16:C25" si="4">B16+D16-1</f>
        <v>130</v>
      </c>
      <c r="D16" s="20">
        <v>5</v>
      </c>
      <c r="E16" s="50" t="s">
        <v>86</v>
      </c>
      <c r="F16" s="71"/>
      <c r="G16" s="71"/>
    </row>
    <row r="17" spans="1:7" s="3" customFormat="1" ht="102" x14ac:dyDescent="0.2">
      <c r="A17" s="23" t="s">
        <v>85</v>
      </c>
      <c r="B17" s="17">
        <f t="shared" si="2"/>
        <v>131</v>
      </c>
      <c r="C17" s="17">
        <f t="shared" si="4"/>
        <v>132</v>
      </c>
      <c r="D17" s="20">
        <v>2</v>
      </c>
      <c r="E17" s="24" t="s">
        <v>9</v>
      </c>
      <c r="F17" s="71" t="s">
        <v>97</v>
      </c>
      <c r="G17" s="91" t="s">
        <v>152</v>
      </c>
    </row>
    <row r="18" spans="1:7" s="3" customFormat="1" ht="118.5" customHeight="1" x14ac:dyDescent="0.2">
      <c r="A18" s="23"/>
      <c r="B18" s="17">
        <f t="shared" si="2"/>
        <v>133</v>
      </c>
      <c r="C18" s="17">
        <f t="shared" si="4"/>
        <v>133</v>
      </c>
      <c r="D18" s="20">
        <v>1</v>
      </c>
      <c r="E18" s="50" t="s">
        <v>15</v>
      </c>
      <c r="F18" s="73" t="s">
        <v>149</v>
      </c>
      <c r="G18" s="71" t="s">
        <v>142</v>
      </c>
    </row>
    <row r="19" spans="1:7" s="3" customFormat="1" x14ac:dyDescent="0.2">
      <c r="A19" s="23"/>
      <c r="B19" s="17">
        <f t="shared" si="2"/>
        <v>134</v>
      </c>
      <c r="C19" s="17">
        <f t="shared" si="4"/>
        <v>134</v>
      </c>
      <c r="D19" s="20">
        <v>1</v>
      </c>
      <c r="E19" s="50" t="s">
        <v>86</v>
      </c>
      <c r="F19" s="71"/>
      <c r="G19" s="22"/>
    </row>
    <row r="20" spans="1:7" s="3" customFormat="1" ht="46.5" customHeight="1" x14ac:dyDescent="0.2">
      <c r="A20" s="53" t="s">
        <v>98</v>
      </c>
      <c r="B20" s="17">
        <f t="shared" si="2"/>
        <v>135</v>
      </c>
      <c r="C20" s="17">
        <f t="shared" si="4"/>
        <v>136</v>
      </c>
      <c r="D20" s="20">
        <v>2</v>
      </c>
      <c r="E20" s="24" t="s">
        <v>59</v>
      </c>
      <c r="F20" s="89" t="s">
        <v>189</v>
      </c>
      <c r="G20" s="107" t="s">
        <v>190</v>
      </c>
    </row>
    <row r="21" spans="1:7" s="3" customFormat="1" ht="31.5" customHeight="1" x14ac:dyDescent="0.2">
      <c r="A21" s="53" t="s">
        <v>98</v>
      </c>
      <c r="B21" s="17">
        <f t="shared" ref="B21:B32" si="5">B20+D20</f>
        <v>137</v>
      </c>
      <c r="C21" s="17">
        <f t="shared" si="4"/>
        <v>138</v>
      </c>
      <c r="D21" s="20">
        <v>2</v>
      </c>
      <c r="E21" s="24" t="s">
        <v>60</v>
      </c>
      <c r="F21" s="89" t="s">
        <v>191</v>
      </c>
      <c r="G21" s="107"/>
    </row>
    <row r="22" spans="1:7" s="3" customFormat="1" ht="38.25" customHeight="1" x14ac:dyDescent="0.2">
      <c r="A22" s="53" t="s">
        <v>98</v>
      </c>
      <c r="B22" s="17">
        <f t="shared" si="5"/>
        <v>139</v>
      </c>
      <c r="C22" s="17">
        <f t="shared" si="4"/>
        <v>142</v>
      </c>
      <c r="D22" s="20">
        <v>4</v>
      </c>
      <c r="E22" s="24" t="s">
        <v>61</v>
      </c>
      <c r="F22" s="89" t="s">
        <v>117</v>
      </c>
      <c r="G22" s="107"/>
    </row>
    <row r="23" spans="1:7" s="3" customFormat="1" x14ac:dyDescent="0.2">
      <c r="A23" s="23"/>
      <c r="B23" s="17">
        <f t="shared" si="5"/>
        <v>143</v>
      </c>
      <c r="C23" s="17">
        <f t="shared" si="4"/>
        <v>143</v>
      </c>
      <c r="D23" s="20">
        <v>1</v>
      </c>
      <c r="E23" s="95" t="s">
        <v>86</v>
      </c>
      <c r="F23" s="74"/>
      <c r="G23" s="71"/>
    </row>
    <row r="24" spans="1:7" s="3" customFormat="1" ht="72.75" customHeight="1" x14ac:dyDescent="0.2">
      <c r="A24" s="53" t="s">
        <v>99</v>
      </c>
      <c r="B24" s="17">
        <f t="shared" si="5"/>
        <v>144</v>
      </c>
      <c r="C24" s="17">
        <f t="shared" si="4"/>
        <v>144</v>
      </c>
      <c r="D24" s="20">
        <v>1</v>
      </c>
      <c r="E24" s="24" t="s">
        <v>19</v>
      </c>
      <c r="F24" s="74" t="s">
        <v>10</v>
      </c>
      <c r="G24" s="91" t="s">
        <v>153</v>
      </c>
    </row>
    <row r="25" spans="1:7" s="3" customFormat="1" x14ac:dyDescent="0.2">
      <c r="A25" s="23"/>
      <c r="B25" s="52">
        <f t="shared" si="5"/>
        <v>145</v>
      </c>
      <c r="C25" s="52">
        <f t="shared" si="4"/>
        <v>145</v>
      </c>
      <c r="D25" s="52">
        <v>1</v>
      </c>
      <c r="E25" s="50" t="s">
        <v>86</v>
      </c>
      <c r="F25" s="73"/>
      <c r="G25" s="73"/>
    </row>
    <row r="26" spans="1:7" s="3" customFormat="1" ht="114.75" x14ac:dyDescent="0.2">
      <c r="A26" s="53" t="s">
        <v>99</v>
      </c>
      <c r="B26" s="52">
        <f t="shared" si="5"/>
        <v>146</v>
      </c>
      <c r="C26" s="52">
        <f t="shared" ref="C26:C32" si="6">B26+D26-1</f>
        <v>146</v>
      </c>
      <c r="D26" s="20">
        <v>1</v>
      </c>
      <c r="E26" s="50" t="s">
        <v>91</v>
      </c>
      <c r="F26" s="73" t="s">
        <v>116</v>
      </c>
      <c r="G26" s="91" t="s">
        <v>154</v>
      </c>
    </row>
    <row r="27" spans="1:7" s="3" customFormat="1" x14ac:dyDescent="0.2">
      <c r="A27" s="23"/>
      <c r="B27" s="17">
        <f>B26+D26</f>
        <v>147</v>
      </c>
      <c r="C27" s="17">
        <f t="shared" si="6"/>
        <v>148</v>
      </c>
      <c r="D27" s="20">
        <v>2</v>
      </c>
      <c r="E27" s="95" t="s">
        <v>86</v>
      </c>
      <c r="F27" s="98"/>
      <c r="G27" s="71"/>
    </row>
    <row r="28" spans="1:7" s="3" customFormat="1" ht="38.25" x14ac:dyDescent="0.2">
      <c r="A28" s="23" t="s">
        <v>84</v>
      </c>
      <c r="B28" s="17">
        <f t="shared" si="5"/>
        <v>149</v>
      </c>
      <c r="C28" s="17">
        <f t="shared" si="6"/>
        <v>149</v>
      </c>
      <c r="D28" s="20">
        <v>1</v>
      </c>
      <c r="E28" s="95" t="s">
        <v>197</v>
      </c>
      <c r="F28" s="98" t="s">
        <v>198</v>
      </c>
      <c r="G28" s="91" t="s">
        <v>155</v>
      </c>
    </row>
    <row r="29" spans="1:7" s="3" customFormat="1" ht="63.75" x14ac:dyDescent="0.2">
      <c r="A29" s="23"/>
      <c r="B29" s="17">
        <f t="shared" si="5"/>
        <v>150</v>
      </c>
      <c r="C29" s="17">
        <f t="shared" si="6"/>
        <v>150</v>
      </c>
      <c r="D29" s="20">
        <v>1</v>
      </c>
      <c r="E29" s="50" t="s">
        <v>110</v>
      </c>
      <c r="F29" s="70" t="s">
        <v>120</v>
      </c>
      <c r="G29" s="70" t="s">
        <v>142</v>
      </c>
    </row>
    <row r="30" spans="1:7" s="3" customFormat="1" x14ac:dyDescent="0.2">
      <c r="A30" s="23"/>
      <c r="B30" s="17">
        <f>B29+D29</f>
        <v>151</v>
      </c>
      <c r="C30" s="17">
        <f t="shared" si="6"/>
        <v>153</v>
      </c>
      <c r="D30" s="20">
        <v>3</v>
      </c>
      <c r="E30" s="95" t="s">
        <v>86</v>
      </c>
      <c r="F30" s="74"/>
      <c r="G30" s="71"/>
    </row>
    <row r="31" spans="1:7" s="3" customFormat="1" ht="59.25" customHeight="1" x14ac:dyDescent="0.2">
      <c r="A31" s="23" t="s">
        <v>84</v>
      </c>
      <c r="B31" s="17">
        <f t="shared" si="5"/>
        <v>154</v>
      </c>
      <c r="C31" s="17">
        <f t="shared" si="6"/>
        <v>154</v>
      </c>
      <c r="D31" s="20">
        <v>1</v>
      </c>
      <c r="E31" s="24" t="s">
        <v>20</v>
      </c>
      <c r="F31" s="74" t="s">
        <v>21</v>
      </c>
      <c r="G31" s="91" t="s">
        <v>155</v>
      </c>
    </row>
    <row r="32" spans="1:7" s="3" customFormat="1" ht="111.75" customHeight="1" x14ac:dyDescent="0.2">
      <c r="A32" s="23"/>
      <c r="B32" s="17">
        <f t="shared" si="5"/>
        <v>155</v>
      </c>
      <c r="C32" s="17">
        <f t="shared" si="6"/>
        <v>156</v>
      </c>
      <c r="D32" s="20">
        <v>2</v>
      </c>
      <c r="E32" s="50" t="s">
        <v>111</v>
      </c>
      <c r="F32" s="71" t="s">
        <v>132</v>
      </c>
      <c r="G32" s="92" t="s">
        <v>156</v>
      </c>
    </row>
    <row r="33" spans="1:7" s="3" customFormat="1" x14ac:dyDescent="0.2">
      <c r="A33" s="23"/>
      <c r="B33" s="17">
        <f>B32+D32</f>
        <v>157</v>
      </c>
      <c r="C33" s="17">
        <f t="shared" ref="C33:C39" si="7">B33+D33-1</f>
        <v>175</v>
      </c>
      <c r="D33" s="20">
        <v>19</v>
      </c>
      <c r="E33" s="95" t="s">
        <v>86</v>
      </c>
      <c r="F33" s="100"/>
      <c r="G33" s="99"/>
    </row>
    <row r="34" spans="1:7" s="3" customFormat="1" ht="242.25" x14ac:dyDescent="0.2">
      <c r="A34" s="23" t="s">
        <v>84</v>
      </c>
      <c r="B34" s="17">
        <f t="shared" ref="B34" si="8">B33+D33</f>
        <v>176</v>
      </c>
      <c r="C34" s="17">
        <f t="shared" si="7"/>
        <v>177</v>
      </c>
      <c r="D34" s="20">
        <v>2</v>
      </c>
      <c r="E34" s="80" t="s">
        <v>148</v>
      </c>
      <c r="F34" s="93" t="s">
        <v>192</v>
      </c>
      <c r="G34" s="91" t="s">
        <v>157</v>
      </c>
    </row>
    <row r="35" spans="1:7" s="3" customFormat="1" x14ac:dyDescent="0.2">
      <c r="A35" s="23"/>
      <c r="B35" s="17"/>
      <c r="C35" s="17"/>
      <c r="D35" s="20"/>
      <c r="E35" s="46" t="s">
        <v>33</v>
      </c>
      <c r="F35" s="76"/>
      <c r="G35" s="71" t="s">
        <v>146</v>
      </c>
    </row>
    <row r="36" spans="1:7" s="3" customFormat="1" x14ac:dyDescent="0.2">
      <c r="A36" s="23" t="s">
        <v>84</v>
      </c>
      <c r="B36" s="17">
        <f>B34+D34</f>
        <v>178</v>
      </c>
      <c r="C36" s="17">
        <f>B36+D36-1</f>
        <v>178</v>
      </c>
      <c r="D36" s="20">
        <v>1</v>
      </c>
      <c r="E36" s="26" t="s">
        <v>62</v>
      </c>
      <c r="F36" s="115" t="s">
        <v>100</v>
      </c>
      <c r="G36" s="27"/>
    </row>
    <row r="37" spans="1:7" s="3" customFormat="1" x14ac:dyDescent="0.2">
      <c r="A37" s="23" t="s">
        <v>84</v>
      </c>
      <c r="B37" s="17">
        <f>B36+D36</f>
        <v>179</v>
      </c>
      <c r="C37" s="17">
        <f>B37+D37-1</f>
        <v>179</v>
      </c>
      <c r="D37" s="20">
        <v>1</v>
      </c>
      <c r="E37" s="26" t="s">
        <v>63</v>
      </c>
      <c r="F37" s="115"/>
      <c r="G37" s="27"/>
    </row>
    <row r="38" spans="1:7" s="3" customFormat="1" x14ac:dyDescent="0.2">
      <c r="A38" s="23" t="s">
        <v>84</v>
      </c>
      <c r="B38" s="17">
        <f>B37+D37</f>
        <v>180</v>
      </c>
      <c r="C38" s="17">
        <f>B38+D38-1</f>
        <v>180</v>
      </c>
      <c r="D38" s="20">
        <v>1</v>
      </c>
      <c r="E38" s="26" t="s">
        <v>64</v>
      </c>
      <c r="F38" s="115"/>
      <c r="G38" s="27"/>
    </row>
    <row r="39" spans="1:7" s="3" customFormat="1" x14ac:dyDescent="0.2">
      <c r="A39" s="23"/>
      <c r="B39" s="17">
        <f>B38+D38</f>
        <v>181</v>
      </c>
      <c r="C39" s="17">
        <f t="shared" si="7"/>
        <v>182</v>
      </c>
      <c r="D39" s="20">
        <v>2</v>
      </c>
      <c r="E39" s="95" t="s">
        <v>86</v>
      </c>
      <c r="F39" s="74"/>
      <c r="G39" s="71"/>
    </row>
    <row r="40" spans="1:7" s="3" customFormat="1" ht="52.5" customHeight="1" x14ac:dyDescent="0.2">
      <c r="A40" s="23" t="s">
        <v>84</v>
      </c>
      <c r="B40" s="17">
        <f t="shared" ref="B40:B47" si="9">B39+D39</f>
        <v>183</v>
      </c>
      <c r="C40" s="17">
        <f t="shared" ref="C40:C47" si="10">B40+D40-1</f>
        <v>183</v>
      </c>
      <c r="D40" s="20">
        <v>1</v>
      </c>
      <c r="E40" s="24" t="s">
        <v>14</v>
      </c>
      <c r="F40" s="74" t="s">
        <v>3</v>
      </c>
      <c r="G40" s="91" t="s">
        <v>158</v>
      </c>
    </row>
    <row r="41" spans="1:7" s="3" customFormat="1" ht="38.25" x14ac:dyDescent="0.2">
      <c r="A41" s="23"/>
      <c r="B41" s="17">
        <f t="shared" si="9"/>
        <v>184</v>
      </c>
      <c r="C41" s="17">
        <f t="shared" si="10"/>
        <v>193</v>
      </c>
      <c r="D41" s="20">
        <v>10</v>
      </c>
      <c r="E41" s="24" t="s">
        <v>34</v>
      </c>
      <c r="F41" s="49" t="s">
        <v>118</v>
      </c>
      <c r="G41" s="71" t="s">
        <v>146</v>
      </c>
    </row>
    <row r="42" spans="1:7" s="3" customFormat="1" ht="63.75" x14ac:dyDescent="0.2">
      <c r="A42" s="23"/>
      <c r="B42" s="17">
        <f t="shared" si="9"/>
        <v>194</v>
      </c>
      <c r="C42" s="17">
        <f t="shared" si="10"/>
        <v>196</v>
      </c>
      <c r="D42" s="20">
        <v>3</v>
      </c>
      <c r="E42" s="24" t="s">
        <v>43</v>
      </c>
      <c r="F42" s="71" t="s">
        <v>107</v>
      </c>
      <c r="G42" s="71" t="s">
        <v>146</v>
      </c>
    </row>
    <row r="43" spans="1:7" s="3" customFormat="1" ht="70.5" customHeight="1" x14ac:dyDescent="0.2">
      <c r="A43" s="23"/>
      <c r="B43" s="17">
        <f>B42+D42</f>
        <v>197</v>
      </c>
      <c r="C43" s="17">
        <f t="shared" si="10"/>
        <v>245</v>
      </c>
      <c r="D43" s="20">
        <v>49</v>
      </c>
      <c r="E43" s="95" t="s">
        <v>86</v>
      </c>
      <c r="F43" s="71"/>
      <c r="G43" s="94"/>
    </row>
    <row r="44" spans="1:7" s="3" customFormat="1" ht="42" customHeight="1" x14ac:dyDescent="0.2">
      <c r="A44" s="23"/>
      <c r="B44" s="17">
        <f t="shared" si="9"/>
        <v>246</v>
      </c>
      <c r="C44" s="17">
        <f t="shared" si="10"/>
        <v>248</v>
      </c>
      <c r="D44" s="20">
        <v>3</v>
      </c>
      <c r="E44" s="62" t="s">
        <v>113</v>
      </c>
      <c r="F44" s="73" t="s">
        <v>101</v>
      </c>
      <c r="G44" s="110" t="s">
        <v>138</v>
      </c>
    </row>
    <row r="45" spans="1:7" s="3" customFormat="1" ht="52.5" customHeight="1" x14ac:dyDescent="0.2">
      <c r="A45" s="23"/>
      <c r="B45" s="17">
        <f t="shared" si="9"/>
        <v>249</v>
      </c>
      <c r="C45" s="17">
        <f t="shared" si="10"/>
        <v>251</v>
      </c>
      <c r="D45" s="20">
        <v>3</v>
      </c>
      <c r="E45" s="69" t="s">
        <v>114</v>
      </c>
      <c r="F45" s="73" t="s">
        <v>102</v>
      </c>
      <c r="G45" s="110"/>
    </row>
    <row r="46" spans="1:7" s="3" customFormat="1" ht="38.25" x14ac:dyDescent="0.2">
      <c r="A46" s="19" t="s">
        <v>98</v>
      </c>
      <c r="B46" s="17">
        <f t="shared" si="9"/>
        <v>252</v>
      </c>
      <c r="C46" s="17">
        <f t="shared" si="10"/>
        <v>261</v>
      </c>
      <c r="D46" s="20">
        <v>10</v>
      </c>
      <c r="E46" s="66" t="s">
        <v>112</v>
      </c>
      <c r="F46" s="73" t="s">
        <v>90</v>
      </c>
      <c r="G46" s="71" t="s">
        <v>141</v>
      </c>
    </row>
    <row r="47" spans="1:7" s="3" customFormat="1" x14ac:dyDescent="0.2">
      <c r="A47" s="51" t="s">
        <v>85</v>
      </c>
      <c r="B47" s="17">
        <f t="shared" si="9"/>
        <v>262</v>
      </c>
      <c r="C47" s="17">
        <f t="shared" si="10"/>
        <v>267</v>
      </c>
      <c r="D47" s="20">
        <v>6</v>
      </c>
      <c r="E47" s="50" t="s">
        <v>122</v>
      </c>
      <c r="F47" s="78" t="s">
        <v>26</v>
      </c>
      <c r="G47" s="74" t="s">
        <v>0</v>
      </c>
    </row>
    <row r="48" spans="1:7" x14ac:dyDescent="0.2">
      <c r="A48" s="53"/>
      <c r="B48" s="17">
        <f>B47+D47</f>
        <v>268</v>
      </c>
      <c r="C48" s="17">
        <f>B48+D48-1</f>
        <v>282</v>
      </c>
      <c r="D48" s="53">
        <v>15</v>
      </c>
      <c r="E48" s="90" t="s">
        <v>86</v>
      </c>
      <c r="F48" s="73"/>
      <c r="G48" s="71"/>
    </row>
    <row r="49" spans="1:7" ht="38.25" x14ac:dyDescent="0.2">
      <c r="A49" s="53"/>
      <c r="B49" s="52">
        <f t="shared" ref="B49" si="11">B48+D48</f>
        <v>283</v>
      </c>
      <c r="C49" s="52">
        <f>B49+D49-1</f>
        <v>283</v>
      </c>
      <c r="D49" s="53">
        <v>1</v>
      </c>
      <c r="E49" s="62" t="s">
        <v>92</v>
      </c>
      <c r="F49" s="71" t="s">
        <v>93</v>
      </c>
      <c r="G49" s="91" t="s">
        <v>158</v>
      </c>
    </row>
    <row r="50" spans="1:7" s="3" customFormat="1" x14ac:dyDescent="0.2">
      <c r="A50" s="23"/>
      <c r="B50" s="17">
        <f>B49+D49</f>
        <v>284</v>
      </c>
      <c r="C50" s="17">
        <f t="shared" ref="C50" si="12">B50+D50-1</f>
        <v>426</v>
      </c>
      <c r="D50" s="20">
        <v>143</v>
      </c>
      <c r="E50" s="24" t="s">
        <v>86</v>
      </c>
      <c r="F50" s="97"/>
      <c r="G50" s="99"/>
    </row>
    <row r="51" spans="1:7" s="3" customFormat="1" x14ac:dyDescent="0.2">
      <c r="A51" s="23"/>
      <c r="B51" s="20"/>
      <c r="C51" s="20"/>
      <c r="D51" s="20"/>
      <c r="E51" s="47" t="s">
        <v>65</v>
      </c>
      <c r="F51" s="74"/>
      <c r="G51" s="88"/>
    </row>
    <row r="52" spans="1:7" s="2" customFormat="1" ht="71.25" customHeight="1" x14ac:dyDescent="0.2">
      <c r="A52" s="53" t="s">
        <v>85</v>
      </c>
      <c r="B52" s="17">
        <f>B50+D50</f>
        <v>427</v>
      </c>
      <c r="C52" s="17">
        <f>B52+D52-1</f>
        <v>428</v>
      </c>
      <c r="D52" s="15">
        <v>2</v>
      </c>
      <c r="E52" s="90" t="s">
        <v>123</v>
      </c>
      <c r="F52" s="48" t="s">
        <v>103</v>
      </c>
      <c r="G52" s="92" t="s">
        <v>159</v>
      </c>
    </row>
    <row r="53" spans="1:7" s="2" customFormat="1" ht="67.5" customHeight="1" x14ac:dyDescent="0.2">
      <c r="A53" s="53"/>
      <c r="B53" s="17">
        <f>B52+D52</f>
        <v>429</v>
      </c>
      <c r="C53" s="17">
        <f>B53+D53-1</f>
        <v>431</v>
      </c>
      <c r="D53" s="15">
        <v>3</v>
      </c>
      <c r="E53" s="62" t="s">
        <v>124</v>
      </c>
      <c r="F53" s="57" t="s">
        <v>104</v>
      </c>
      <c r="G53" s="92" t="s">
        <v>160</v>
      </c>
    </row>
    <row r="54" spans="1:7" s="2" customFormat="1" ht="70.5" customHeight="1" x14ac:dyDescent="0.2">
      <c r="A54" s="53"/>
      <c r="B54" s="17">
        <f>B53+D53</f>
        <v>432</v>
      </c>
      <c r="C54" s="17">
        <f>B54+D54-1</f>
        <v>434</v>
      </c>
      <c r="D54" s="15">
        <v>3</v>
      </c>
      <c r="E54" s="67" t="s">
        <v>125</v>
      </c>
      <c r="F54" s="57" t="s">
        <v>105</v>
      </c>
      <c r="G54" s="91" t="s">
        <v>161</v>
      </c>
    </row>
    <row r="55" spans="1:7" s="2" customFormat="1" x14ac:dyDescent="0.2">
      <c r="A55" s="53" t="s">
        <v>84</v>
      </c>
      <c r="B55" s="17">
        <f>B54+D54</f>
        <v>435</v>
      </c>
      <c r="C55" s="17">
        <f t="shared" ref="C55:C59" si="13">B55+D55-1</f>
        <v>436</v>
      </c>
      <c r="D55" s="15">
        <v>2</v>
      </c>
      <c r="E55" s="62" t="s">
        <v>67</v>
      </c>
      <c r="F55" s="119" t="s">
        <v>103</v>
      </c>
      <c r="G55" s="110" t="s">
        <v>135</v>
      </c>
    </row>
    <row r="56" spans="1:7" s="2" customFormat="1" x14ac:dyDescent="0.2">
      <c r="A56" s="53" t="s">
        <v>84</v>
      </c>
      <c r="B56" s="17">
        <f t="shared" ref="B56:B58" si="14">B55+D55</f>
        <v>437</v>
      </c>
      <c r="C56" s="17">
        <f t="shared" si="13"/>
        <v>438</v>
      </c>
      <c r="D56" s="15">
        <v>2</v>
      </c>
      <c r="E56" s="29" t="s">
        <v>68</v>
      </c>
      <c r="F56" s="120"/>
      <c r="G56" s="121"/>
    </row>
    <row r="57" spans="1:7" s="2" customFormat="1" x14ac:dyDescent="0.2">
      <c r="A57" s="53" t="s">
        <v>84</v>
      </c>
      <c r="B57" s="17">
        <f t="shared" si="14"/>
        <v>439</v>
      </c>
      <c r="C57" s="17">
        <f t="shared" si="13"/>
        <v>440</v>
      </c>
      <c r="D57" s="15">
        <v>2</v>
      </c>
      <c r="E57" s="29" t="s">
        <v>69</v>
      </c>
      <c r="F57" s="120"/>
      <c r="G57" s="121"/>
    </row>
    <row r="58" spans="1:7" s="2" customFormat="1" ht="30.75" customHeight="1" x14ac:dyDescent="0.2">
      <c r="A58" s="53" t="s">
        <v>84</v>
      </c>
      <c r="B58" s="17">
        <f t="shared" si="14"/>
        <v>441</v>
      </c>
      <c r="C58" s="17">
        <f t="shared" si="13"/>
        <v>442</v>
      </c>
      <c r="D58" s="15">
        <v>2</v>
      </c>
      <c r="E58" s="29" t="s">
        <v>70</v>
      </c>
      <c r="F58" s="120"/>
      <c r="G58" s="121"/>
    </row>
    <row r="59" spans="1:7" s="2" customFormat="1" x14ac:dyDescent="0.2">
      <c r="A59" s="28"/>
      <c r="B59" s="17">
        <f>B58+D58</f>
        <v>443</v>
      </c>
      <c r="C59" s="17">
        <f t="shared" si="13"/>
        <v>452</v>
      </c>
      <c r="D59" s="15">
        <v>10</v>
      </c>
      <c r="E59" s="29" t="s">
        <v>86</v>
      </c>
      <c r="F59" s="79"/>
      <c r="G59" s="25"/>
    </row>
    <row r="60" spans="1:7" s="2" customFormat="1" x14ac:dyDescent="0.2">
      <c r="A60" s="30"/>
      <c r="B60" s="15"/>
      <c r="C60" s="15"/>
      <c r="D60" s="15"/>
      <c r="E60" s="47" t="s">
        <v>66</v>
      </c>
      <c r="F60" s="79"/>
      <c r="G60" s="25"/>
    </row>
    <row r="61" spans="1:7" s="2" customFormat="1" ht="69.75" customHeight="1" x14ac:dyDescent="0.2">
      <c r="A61" s="53" t="s">
        <v>85</v>
      </c>
      <c r="B61" s="17">
        <f>B59+D59</f>
        <v>453</v>
      </c>
      <c r="C61" s="17">
        <f>B61+D61-1</f>
        <v>454</v>
      </c>
      <c r="D61" s="15">
        <v>2</v>
      </c>
      <c r="E61" s="62" t="s">
        <v>126</v>
      </c>
      <c r="F61" s="48" t="s">
        <v>103</v>
      </c>
      <c r="G61" s="92" t="s">
        <v>162</v>
      </c>
    </row>
    <row r="62" spans="1:7" s="2" customFormat="1" ht="78.75" customHeight="1" x14ac:dyDescent="0.2">
      <c r="A62" s="53"/>
      <c r="B62" s="17">
        <f>B61+D61</f>
        <v>455</v>
      </c>
      <c r="C62" s="17">
        <f>B62+D62-1</f>
        <v>457</v>
      </c>
      <c r="D62" s="15">
        <v>3</v>
      </c>
      <c r="E62" s="62" t="s">
        <v>127</v>
      </c>
      <c r="F62" s="57" t="s">
        <v>104</v>
      </c>
      <c r="G62" s="92" t="s">
        <v>163</v>
      </c>
    </row>
    <row r="63" spans="1:7" s="2" customFormat="1" ht="76.5" customHeight="1" x14ac:dyDescent="0.2">
      <c r="A63" s="53"/>
      <c r="B63" s="17">
        <f>B62+D62</f>
        <v>458</v>
      </c>
      <c r="C63" s="17">
        <f>B63+D63-1</f>
        <v>460</v>
      </c>
      <c r="D63" s="15">
        <v>3</v>
      </c>
      <c r="E63" s="67" t="s">
        <v>128</v>
      </c>
      <c r="F63" s="57" t="s">
        <v>105</v>
      </c>
      <c r="G63" s="91" t="s">
        <v>164</v>
      </c>
    </row>
    <row r="64" spans="1:7" s="2" customFormat="1" x14ac:dyDescent="0.2">
      <c r="A64" s="53" t="s">
        <v>84</v>
      </c>
      <c r="B64" s="17">
        <f>B63+D63</f>
        <v>461</v>
      </c>
      <c r="C64" s="17">
        <f t="shared" ref="C64:C68" si="15">B64+D64-1</f>
        <v>462</v>
      </c>
      <c r="D64" s="15">
        <v>2</v>
      </c>
      <c r="E64" s="29" t="s">
        <v>71</v>
      </c>
      <c r="F64" s="119" t="s">
        <v>103</v>
      </c>
      <c r="G64" s="110" t="s">
        <v>134</v>
      </c>
    </row>
    <row r="65" spans="1:7" s="2" customFormat="1" x14ac:dyDescent="0.2">
      <c r="A65" s="53" t="s">
        <v>84</v>
      </c>
      <c r="B65" s="17">
        <f t="shared" ref="B65:B67" si="16">B64+D64</f>
        <v>463</v>
      </c>
      <c r="C65" s="17">
        <f t="shared" si="15"/>
        <v>464</v>
      </c>
      <c r="D65" s="15">
        <v>2</v>
      </c>
      <c r="E65" s="29" t="s">
        <v>72</v>
      </c>
      <c r="F65" s="120"/>
      <c r="G65" s="121"/>
    </row>
    <row r="66" spans="1:7" s="2" customFormat="1" x14ac:dyDescent="0.2">
      <c r="A66" s="53" t="s">
        <v>84</v>
      </c>
      <c r="B66" s="17">
        <f t="shared" si="16"/>
        <v>465</v>
      </c>
      <c r="C66" s="17">
        <f t="shared" si="15"/>
        <v>466</v>
      </c>
      <c r="D66" s="15">
        <v>2</v>
      </c>
      <c r="E66" s="29" t="s">
        <v>73</v>
      </c>
      <c r="F66" s="120"/>
      <c r="G66" s="121"/>
    </row>
    <row r="67" spans="1:7" s="2" customFormat="1" x14ac:dyDescent="0.2">
      <c r="A67" s="53" t="s">
        <v>84</v>
      </c>
      <c r="B67" s="17">
        <f t="shared" si="16"/>
        <v>467</v>
      </c>
      <c r="C67" s="17">
        <f t="shared" si="15"/>
        <v>468</v>
      </c>
      <c r="D67" s="15">
        <v>2</v>
      </c>
      <c r="E67" s="29" t="s">
        <v>74</v>
      </c>
      <c r="F67" s="120"/>
      <c r="G67" s="121"/>
    </row>
    <row r="68" spans="1:7" s="2" customFormat="1" x14ac:dyDescent="0.2">
      <c r="A68" s="30"/>
      <c r="B68" s="17">
        <f>B67+D67</f>
        <v>469</v>
      </c>
      <c r="C68" s="17">
        <f t="shared" si="15"/>
        <v>478</v>
      </c>
      <c r="D68" s="15">
        <v>10</v>
      </c>
      <c r="E68" s="29" t="s">
        <v>86</v>
      </c>
      <c r="F68" s="79"/>
      <c r="G68" s="25"/>
    </row>
    <row r="69" spans="1:7" s="2" customFormat="1" x14ac:dyDescent="0.2">
      <c r="A69" s="30"/>
      <c r="B69" s="15"/>
      <c r="C69" s="15"/>
      <c r="D69" s="15"/>
      <c r="E69" s="47" t="s">
        <v>75</v>
      </c>
      <c r="F69" s="79"/>
      <c r="G69" s="25"/>
    </row>
    <row r="70" spans="1:7" s="2" customFormat="1" ht="75" customHeight="1" x14ac:dyDescent="0.2">
      <c r="A70" s="53" t="s">
        <v>85</v>
      </c>
      <c r="B70" s="17">
        <f>B68+D68</f>
        <v>479</v>
      </c>
      <c r="C70" s="17">
        <f>B70+D70-1</f>
        <v>480</v>
      </c>
      <c r="D70" s="15">
        <v>2</v>
      </c>
      <c r="E70" s="62" t="s">
        <v>129</v>
      </c>
      <c r="F70" s="48" t="s">
        <v>103</v>
      </c>
      <c r="G70" s="92" t="s">
        <v>165</v>
      </c>
    </row>
    <row r="71" spans="1:7" s="2" customFormat="1" ht="78" customHeight="1" x14ac:dyDescent="0.2">
      <c r="A71" s="53"/>
      <c r="B71" s="17">
        <f>B70+D70</f>
        <v>481</v>
      </c>
      <c r="C71" s="17">
        <f>B71+D71-1</f>
        <v>483</v>
      </c>
      <c r="D71" s="15">
        <v>3</v>
      </c>
      <c r="E71" s="62" t="s">
        <v>130</v>
      </c>
      <c r="F71" s="57" t="s">
        <v>104</v>
      </c>
      <c r="G71" s="92" t="s">
        <v>166</v>
      </c>
    </row>
    <row r="72" spans="1:7" s="2" customFormat="1" ht="72.75" customHeight="1" x14ac:dyDescent="0.2">
      <c r="A72" s="53"/>
      <c r="B72" s="17">
        <f>B71+D71</f>
        <v>484</v>
      </c>
      <c r="C72" s="17">
        <f>B72+D72-1</f>
        <v>486</v>
      </c>
      <c r="D72" s="15">
        <v>3</v>
      </c>
      <c r="E72" s="67" t="s">
        <v>131</v>
      </c>
      <c r="F72" s="57" t="s">
        <v>105</v>
      </c>
      <c r="G72" s="91" t="s">
        <v>167</v>
      </c>
    </row>
    <row r="73" spans="1:7" s="2" customFormat="1" x14ac:dyDescent="0.2">
      <c r="A73" s="53" t="s">
        <v>84</v>
      </c>
      <c r="B73" s="17">
        <f>B72+D72</f>
        <v>487</v>
      </c>
      <c r="C73" s="17">
        <f t="shared" ref="C73:C77" si="17">B73+D73-1</f>
        <v>488</v>
      </c>
      <c r="D73" s="15">
        <v>2</v>
      </c>
      <c r="E73" s="29" t="s">
        <v>76</v>
      </c>
      <c r="F73" s="119" t="s">
        <v>103</v>
      </c>
      <c r="G73" s="110" t="s">
        <v>133</v>
      </c>
    </row>
    <row r="74" spans="1:7" s="2" customFormat="1" x14ac:dyDescent="0.2">
      <c r="A74" s="53" t="s">
        <v>84</v>
      </c>
      <c r="B74" s="17">
        <f t="shared" ref="B74:B76" si="18">B73+D73</f>
        <v>489</v>
      </c>
      <c r="C74" s="17">
        <f t="shared" si="17"/>
        <v>490</v>
      </c>
      <c r="D74" s="15">
        <v>2</v>
      </c>
      <c r="E74" s="29" t="s">
        <v>77</v>
      </c>
      <c r="F74" s="120"/>
      <c r="G74" s="121"/>
    </row>
    <row r="75" spans="1:7" s="2" customFormat="1" x14ac:dyDescent="0.2">
      <c r="A75" s="53" t="s">
        <v>84</v>
      </c>
      <c r="B75" s="17">
        <f t="shared" si="18"/>
        <v>491</v>
      </c>
      <c r="C75" s="17">
        <f t="shared" si="17"/>
        <v>492</v>
      </c>
      <c r="D75" s="15">
        <v>2</v>
      </c>
      <c r="E75" s="29" t="s">
        <v>78</v>
      </c>
      <c r="F75" s="120"/>
      <c r="G75" s="121"/>
    </row>
    <row r="76" spans="1:7" s="2" customFormat="1" x14ac:dyDescent="0.2">
      <c r="A76" s="53" t="s">
        <v>84</v>
      </c>
      <c r="B76" s="17">
        <f t="shared" si="18"/>
        <v>493</v>
      </c>
      <c r="C76" s="17">
        <f t="shared" si="17"/>
        <v>494</v>
      </c>
      <c r="D76" s="15">
        <v>2</v>
      </c>
      <c r="E76" s="29" t="s">
        <v>79</v>
      </c>
      <c r="F76" s="120"/>
      <c r="G76" s="121"/>
    </row>
    <row r="77" spans="1:7" s="2" customFormat="1" x14ac:dyDescent="0.2">
      <c r="A77" s="30"/>
      <c r="B77" s="17">
        <f>B76+D76</f>
        <v>495</v>
      </c>
      <c r="C77" s="17">
        <f t="shared" si="17"/>
        <v>530</v>
      </c>
      <c r="D77" s="15">
        <v>36</v>
      </c>
      <c r="E77" s="29" t="s">
        <v>86</v>
      </c>
      <c r="F77" s="79"/>
      <c r="G77" s="25"/>
    </row>
    <row r="78" spans="1:7" s="13" customFormat="1" x14ac:dyDescent="0.2">
      <c r="A78" s="32"/>
      <c r="B78" s="33"/>
      <c r="C78" s="33"/>
      <c r="D78" s="33"/>
      <c r="E78" s="31" t="s">
        <v>80</v>
      </c>
      <c r="F78" s="34"/>
      <c r="G78" s="34"/>
    </row>
    <row r="79" spans="1:7" s="3" customFormat="1" ht="23.25" customHeight="1" x14ac:dyDescent="0.2">
      <c r="A79" s="53" t="s">
        <v>84</v>
      </c>
      <c r="B79" s="17">
        <f>B77+D77</f>
        <v>531</v>
      </c>
      <c r="C79" s="17">
        <f t="shared" ref="C79:C85" si="19">B79+D79-1</f>
        <v>531</v>
      </c>
      <c r="D79" s="20">
        <v>1</v>
      </c>
      <c r="E79" s="74" t="s">
        <v>36</v>
      </c>
      <c r="F79" s="111" t="s">
        <v>3</v>
      </c>
      <c r="G79" s="107" t="s">
        <v>168</v>
      </c>
    </row>
    <row r="80" spans="1:7" s="3" customFormat="1" ht="18.75" customHeight="1" x14ac:dyDescent="0.2">
      <c r="A80" s="53" t="s">
        <v>84</v>
      </c>
      <c r="B80" s="17">
        <f t="shared" ref="B80:B85" si="20">B79+D79</f>
        <v>532</v>
      </c>
      <c r="C80" s="17">
        <f t="shared" si="19"/>
        <v>532</v>
      </c>
      <c r="D80" s="20">
        <v>1</v>
      </c>
      <c r="E80" s="74" t="s">
        <v>37</v>
      </c>
      <c r="F80" s="116"/>
      <c r="G80" s="110"/>
    </row>
    <row r="81" spans="1:7" s="3" customFormat="1" ht="22.5" customHeight="1" x14ac:dyDescent="0.2">
      <c r="A81" s="53" t="s">
        <v>84</v>
      </c>
      <c r="B81" s="17">
        <f t="shared" si="20"/>
        <v>533</v>
      </c>
      <c r="C81" s="17">
        <f t="shared" si="19"/>
        <v>533</v>
      </c>
      <c r="D81" s="20">
        <v>1</v>
      </c>
      <c r="E81" s="74" t="s">
        <v>38</v>
      </c>
      <c r="F81" s="116"/>
      <c r="G81" s="110"/>
    </row>
    <row r="82" spans="1:7" s="3" customFormat="1" x14ac:dyDescent="0.2">
      <c r="A82" s="23"/>
      <c r="B82" s="17">
        <f>B81+D81</f>
        <v>534</v>
      </c>
      <c r="C82" s="17">
        <f>B82+D82-1</f>
        <v>534</v>
      </c>
      <c r="D82" s="20">
        <v>1</v>
      </c>
      <c r="E82" s="74" t="s">
        <v>86</v>
      </c>
      <c r="F82" s="74"/>
      <c r="G82" s="58"/>
    </row>
    <row r="83" spans="1:7" s="3" customFormat="1" ht="15.75" customHeight="1" x14ac:dyDescent="0.2">
      <c r="A83" s="53" t="s">
        <v>85</v>
      </c>
      <c r="B83" s="17">
        <f>B82+D82</f>
        <v>535</v>
      </c>
      <c r="C83" s="17">
        <f>B83+D83-1</f>
        <v>535</v>
      </c>
      <c r="D83" s="20">
        <v>1</v>
      </c>
      <c r="E83" s="24" t="s">
        <v>23</v>
      </c>
      <c r="F83" s="110" t="s">
        <v>119</v>
      </c>
      <c r="G83" s="108" t="s">
        <v>169</v>
      </c>
    </row>
    <row r="84" spans="1:7" s="3" customFormat="1" ht="16.5" customHeight="1" x14ac:dyDescent="0.2">
      <c r="A84" s="53" t="s">
        <v>85</v>
      </c>
      <c r="B84" s="17">
        <f t="shared" si="20"/>
        <v>536</v>
      </c>
      <c r="C84" s="17">
        <f t="shared" si="19"/>
        <v>536</v>
      </c>
      <c r="D84" s="20">
        <v>1</v>
      </c>
      <c r="E84" s="24" t="s">
        <v>24</v>
      </c>
      <c r="F84" s="117"/>
      <c r="G84" s="122"/>
    </row>
    <row r="85" spans="1:7" s="3" customFormat="1" ht="25.5" customHeight="1" x14ac:dyDescent="0.2">
      <c r="A85" s="53" t="s">
        <v>85</v>
      </c>
      <c r="B85" s="17">
        <f t="shared" si="20"/>
        <v>537</v>
      </c>
      <c r="C85" s="17">
        <f t="shared" si="19"/>
        <v>537</v>
      </c>
      <c r="D85" s="20">
        <v>1</v>
      </c>
      <c r="E85" s="24" t="s">
        <v>25</v>
      </c>
      <c r="F85" s="117"/>
      <c r="G85" s="122"/>
    </row>
    <row r="86" spans="1:7" s="3" customFormat="1" ht="76.5" x14ac:dyDescent="0.2">
      <c r="A86" s="23"/>
      <c r="B86" s="17">
        <f>B85+D85</f>
        <v>538</v>
      </c>
      <c r="C86" s="17">
        <f>B86+D86-1</f>
        <v>538</v>
      </c>
      <c r="D86" s="20">
        <v>1</v>
      </c>
      <c r="E86" s="62" t="s">
        <v>94</v>
      </c>
      <c r="F86" s="63" t="s">
        <v>89</v>
      </c>
      <c r="G86" s="73" t="s">
        <v>109</v>
      </c>
    </row>
    <row r="87" spans="1:7" s="3" customFormat="1" x14ac:dyDescent="0.2">
      <c r="A87" s="23"/>
      <c r="B87" s="17">
        <f>B86+D86</f>
        <v>539</v>
      </c>
      <c r="C87" s="17">
        <f>B87+D87-1</f>
        <v>542</v>
      </c>
      <c r="D87" s="20">
        <v>4</v>
      </c>
      <c r="E87" s="24" t="s">
        <v>86</v>
      </c>
      <c r="F87" s="78"/>
      <c r="G87" s="74"/>
    </row>
    <row r="88" spans="1:7" s="3" customFormat="1" ht="63.75" x14ac:dyDescent="0.2">
      <c r="A88" s="19"/>
      <c r="B88" s="17">
        <f>B87+D87</f>
        <v>543</v>
      </c>
      <c r="C88" s="17">
        <f>B88+D88-1</f>
        <v>543</v>
      </c>
      <c r="D88" s="23">
        <v>1</v>
      </c>
      <c r="E88" s="21" t="s">
        <v>44</v>
      </c>
      <c r="F88" s="77" t="s">
        <v>45</v>
      </c>
      <c r="G88" s="92" t="s">
        <v>170</v>
      </c>
    </row>
    <row r="89" spans="1:7" s="3" customFormat="1" x14ac:dyDescent="0.2">
      <c r="A89" s="23"/>
      <c r="B89" s="17">
        <f>B88+D88</f>
        <v>544</v>
      </c>
      <c r="C89" s="17">
        <f t="shared" ref="C89" si="21">B89+D89-1</f>
        <v>549</v>
      </c>
      <c r="D89" s="20">
        <v>6</v>
      </c>
      <c r="E89" s="24" t="s">
        <v>86</v>
      </c>
      <c r="F89" s="78"/>
      <c r="G89" s="74"/>
    </row>
    <row r="90" spans="1:7" s="3" customFormat="1" x14ac:dyDescent="0.2">
      <c r="A90" s="23"/>
      <c r="B90" s="17"/>
      <c r="C90" s="17"/>
      <c r="D90" s="20"/>
      <c r="E90" s="47" t="s">
        <v>81</v>
      </c>
      <c r="F90" s="78"/>
      <c r="G90" s="56"/>
    </row>
    <row r="91" spans="1:7" s="3" customFormat="1" x14ac:dyDescent="0.2">
      <c r="A91" s="37" t="s">
        <v>84</v>
      </c>
      <c r="B91" s="17">
        <f>B89+D89</f>
        <v>550</v>
      </c>
      <c r="C91" s="17">
        <f>B91+D91-1</f>
        <v>550</v>
      </c>
      <c r="D91" s="20">
        <v>1</v>
      </c>
      <c r="E91" s="24" t="s">
        <v>39</v>
      </c>
      <c r="F91" s="117" t="s">
        <v>3</v>
      </c>
      <c r="G91" s="114" t="s">
        <v>136</v>
      </c>
    </row>
    <row r="92" spans="1:7" s="3" customFormat="1" x14ac:dyDescent="0.2">
      <c r="A92" s="37"/>
      <c r="B92" s="17">
        <f>B91+D91</f>
        <v>551</v>
      </c>
      <c r="C92" s="17">
        <f t="shared" ref="C92:C95" si="22">B92+D92-1</f>
        <v>551</v>
      </c>
      <c r="D92" s="20">
        <v>1</v>
      </c>
      <c r="E92" s="24" t="s">
        <v>40</v>
      </c>
      <c r="F92" s="118"/>
      <c r="G92" s="114"/>
    </row>
    <row r="93" spans="1:7" s="3" customFormat="1" x14ac:dyDescent="0.2">
      <c r="A93" s="37"/>
      <c r="B93" s="17">
        <f t="shared" ref="B93:B94" si="23">B92+D92</f>
        <v>552</v>
      </c>
      <c r="C93" s="17">
        <f t="shared" si="22"/>
        <v>552</v>
      </c>
      <c r="D93" s="20">
        <v>1</v>
      </c>
      <c r="E93" s="95" t="s">
        <v>86</v>
      </c>
      <c r="F93" s="118"/>
      <c r="G93" s="114"/>
    </row>
    <row r="94" spans="1:7" s="3" customFormat="1" ht="46.5" customHeight="1" x14ac:dyDescent="0.2">
      <c r="A94" s="37"/>
      <c r="B94" s="17">
        <f t="shared" si="23"/>
        <v>553</v>
      </c>
      <c r="C94" s="17">
        <f t="shared" si="22"/>
        <v>553</v>
      </c>
      <c r="D94" s="20">
        <v>1</v>
      </c>
      <c r="E94" s="50" t="s">
        <v>41</v>
      </c>
      <c r="F94" s="118"/>
      <c r="G94" s="114"/>
    </row>
    <row r="95" spans="1:7" s="3" customFormat="1" x14ac:dyDescent="0.2">
      <c r="A95" s="23"/>
      <c r="B95" s="17">
        <f>B94+D94</f>
        <v>554</v>
      </c>
      <c r="C95" s="17">
        <f t="shared" si="22"/>
        <v>566</v>
      </c>
      <c r="D95" s="20">
        <v>13</v>
      </c>
      <c r="E95" s="24" t="s">
        <v>86</v>
      </c>
      <c r="F95" s="78"/>
      <c r="G95" s="73"/>
    </row>
    <row r="96" spans="1:7" s="4" customFormat="1" ht="15.75" x14ac:dyDescent="0.2">
      <c r="A96" s="15"/>
      <c r="B96" s="38"/>
      <c r="C96" s="38"/>
      <c r="D96" s="38"/>
      <c r="E96" s="31" t="s">
        <v>82</v>
      </c>
      <c r="F96" s="59"/>
      <c r="G96" s="73"/>
    </row>
    <row r="97" spans="1:7" s="3" customFormat="1" ht="104.25" customHeight="1" x14ac:dyDescent="0.2">
      <c r="A97" s="23"/>
      <c r="B97" s="17">
        <f>B95+D95</f>
        <v>567</v>
      </c>
      <c r="C97" s="17">
        <f>B97+D97-1</f>
        <v>568</v>
      </c>
      <c r="D97" s="20">
        <v>2</v>
      </c>
      <c r="E97" s="24" t="s">
        <v>22</v>
      </c>
      <c r="F97" s="71" t="s">
        <v>106</v>
      </c>
      <c r="G97" s="91" t="s">
        <v>193</v>
      </c>
    </row>
    <row r="98" spans="1:7" ht="27" customHeight="1" x14ac:dyDescent="0.2">
      <c r="A98" s="53" t="s">
        <v>98</v>
      </c>
      <c r="B98" s="17">
        <f t="shared" ref="B98:B107" si="24">B97+D97</f>
        <v>569</v>
      </c>
      <c r="C98" s="17">
        <f>B98+D98-1</f>
        <v>570</v>
      </c>
      <c r="D98" s="39">
        <v>2</v>
      </c>
      <c r="E98" s="40" t="s">
        <v>27</v>
      </c>
      <c r="F98" s="111" t="s">
        <v>121</v>
      </c>
      <c r="G98" s="113" t="s">
        <v>194</v>
      </c>
    </row>
    <row r="99" spans="1:7" ht="27" customHeight="1" x14ac:dyDescent="0.2">
      <c r="A99" s="53" t="s">
        <v>98</v>
      </c>
      <c r="B99" s="17">
        <f t="shared" si="24"/>
        <v>571</v>
      </c>
      <c r="C99" s="17">
        <f>B99+D99-1</f>
        <v>572</v>
      </c>
      <c r="D99" s="39">
        <v>2</v>
      </c>
      <c r="E99" s="40" t="s">
        <v>28</v>
      </c>
      <c r="F99" s="112"/>
      <c r="G99" s="114"/>
    </row>
    <row r="100" spans="1:7" ht="30" customHeight="1" x14ac:dyDescent="0.2">
      <c r="A100" s="53" t="s">
        <v>98</v>
      </c>
      <c r="B100" s="17">
        <f t="shared" si="24"/>
        <v>573</v>
      </c>
      <c r="C100" s="17">
        <f t="shared" ref="C100:C108" si="25">B100+D100-1</f>
        <v>574</v>
      </c>
      <c r="D100" s="39">
        <v>2</v>
      </c>
      <c r="E100" s="40" t="s">
        <v>29</v>
      </c>
      <c r="F100" s="112"/>
      <c r="G100" s="114"/>
    </row>
    <row r="101" spans="1:7" x14ac:dyDescent="0.2">
      <c r="A101" s="35"/>
      <c r="B101" s="17">
        <f t="shared" si="24"/>
        <v>575</v>
      </c>
      <c r="C101" s="17">
        <f t="shared" si="25"/>
        <v>588</v>
      </c>
      <c r="D101" s="39">
        <v>14</v>
      </c>
      <c r="E101" s="49" t="s">
        <v>86</v>
      </c>
      <c r="F101" s="74"/>
      <c r="G101" s="88"/>
    </row>
    <row r="102" spans="1:7" ht="63.75" customHeight="1" x14ac:dyDescent="0.2">
      <c r="A102" s="53" t="s">
        <v>98</v>
      </c>
      <c r="B102" s="17">
        <f t="shared" si="24"/>
        <v>589</v>
      </c>
      <c r="C102" s="17">
        <f t="shared" si="25"/>
        <v>591</v>
      </c>
      <c r="D102" s="39">
        <v>3</v>
      </c>
      <c r="E102" s="40" t="s">
        <v>30</v>
      </c>
      <c r="F102" s="57" t="s">
        <v>105</v>
      </c>
      <c r="G102" s="89" t="s">
        <v>171</v>
      </c>
    </row>
    <row r="103" spans="1:7" ht="63.75" customHeight="1" x14ac:dyDescent="0.2">
      <c r="A103" s="53" t="s">
        <v>98</v>
      </c>
      <c r="B103" s="17">
        <f t="shared" si="24"/>
        <v>592</v>
      </c>
      <c r="C103" s="17">
        <f t="shared" si="25"/>
        <v>594</v>
      </c>
      <c r="D103" s="39">
        <v>3</v>
      </c>
      <c r="E103" s="40" t="s">
        <v>31</v>
      </c>
      <c r="F103" s="57" t="s">
        <v>105</v>
      </c>
      <c r="G103" s="89" t="s">
        <v>171</v>
      </c>
    </row>
    <row r="104" spans="1:7" ht="56.25" customHeight="1" x14ac:dyDescent="0.2">
      <c r="A104" s="53" t="s">
        <v>98</v>
      </c>
      <c r="B104" s="17">
        <f t="shared" si="24"/>
        <v>595</v>
      </c>
      <c r="C104" s="17">
        <f t="shared" si="25"/>
        <v>597</v>
      </c>
      <c r="D104" s="39">
        <v>3</v>
      </c>
      <c r="E104" s="40" t="s">
        <v>32</v>
      </c>
      <c r="F104" s="57" t="s">
        <v>105</v>
      </c>
      <c r="G104" s="89" t="s">
        <v>172</v>
      </c>
    </row>
    <row r="105" spans="1:7" ht="63.75" x14ac:dyDescent="0.2">
      <c r="A105" s="53"/>
      <c r="B105" s="17">
        <f t="shared" si="24"/>
        <v>598</v>
      </c>
      <c r="C105" s="17">
        <f t="shared" si="25"/>
        <v>598</v>
      </c>
      <c r="D105" s="39">
        <v>1</v>
      </c>
      <c r="E105" s="50" t="s">
        <v>140</v>
      </c>
      <c r="F105" s="73" t="s">
        <v>145</v>
      </c>
      <c r="G105" s="73" t="s">
        <v>141</v>
      </c>
    </row>
    <row r="106" spans="1:7" x14ac:dyDescent="0.2">
      <c r="A106" s="53"/>
      <c r="B106" s="17">
        <f>B105+D105</f>
        <v>599</v>
      </c>
      <c r="C106" s="17">
        <f t="shared" si="25"/>
        <v>607</v>
      </c>
      <c r="D106" s="39">
        <v>9</v>
      </c>
      <c r="E106" s="95" t="s">
        <v>86</v>
      </c>
      <c r="F106" s="96"/>
      <c r="G106" s="96"/>
    </row>
    <row r="107" spans="1:7" ht="75.75" customHeight="1" x14ac:dyDescent="0.2">
      <c r="A107" s="36"/>
      <c r="B107" s="17">
        <f t="shared" si="24"/>
        <v>608</v>
      </c>
      <c r="C107" s="17">
        <f t="shared" si="25"/>
        <v>608</v>
      </c>
      <c r="D107" s="39">
        <v>1</v>
      </c>
      <c r="E107" s="95" t="s">
        <v>150</v>
      </c>
      <c r="F107" s="89" t="s">
        <v>188</v>
      </c>
      <c r="G107" s="91" t="s">
        <v>141</v>
      </c>
    </row>
    <row r="108" spans="1:7" x14ac:dyDescent="0.2">
      <c r="A108" s="36"/>
      <c r="B108" s="17">
        <f>B107+D107</f>
        <v>609</v>
      </c>
      <c r="C108" s="17">
        <f t="shared" si="25"/>
        <v>658</v>
      </c>
      <c r="D108" s="20">
        <v>50</v>
      </c>
      <c r="E108" s="50" t="s">
        <v>86</v>
      </c>
      <c r="F108" s="71"/>
      <c r="G108" s="22"/>
    </row>
    <row r="109" spans="1:7" x14ac:dyDescent="0.2">
      <c r="A109" s="36"/>
      <c r="B109" s="17"/>
      <c r="C109" s="17"/>
      <c r="D109" s="20"/>
      <c r="E109" s="64" t="s">
        <v>95</v>
      </c>
      <c r="F109" s="75"/>
      <c r="G109" s="22"/>
    </row>
    <row r="110" spans="1:7" ht="89.25" x14ac:dyDescent="0.2">
      <c r="A110" s="36"/>
      <c r="B110" s="17">
        <f>B108+D108</f>
        <v>659</v>
      </c>
      <c r="C110" s="17">
        <f>B110+D110-1</f>
        <v>664</v>
      </c>
      <c r="D110" s="53">
        <v>6</v>
      </c>
      <c r="E110" s="62" t="s">
        <v>96</v>
      </c>
      <c r="F110" s="73" t="s">
        <v>115</v>
      </c>
      <c r="G110" s="73" t="s">
        <v>147</v>
      </c>
    </row>
    <row r="111" spans="1:7" x14ac:dyDescent="0.2">
      <c r="A111" s="71"/>
      <c r="B111" s="103">
        <f>B110+D110</f>
        <v>665</v>
      </c>
      <c r="C111" s="81">
        <f>B111+D111-1</f>
        <v>684</v>
      </c>
      <c r="D111" s="102" t="s">
        <v>199</v>
      </c>
      <c r="E111" s="71" t="s">
        <v>86</v>
      </c>
      <c r="F111" s="71"/>
      <c r="G111" s="71"/>
    </row>
    <row r="112" spans="1:7" x14ac:dyDescent="0.2">
      <c r="A112" s="19"/>
      <c r="B112" s="17">
        <f>B111+D111</f>
        <v>685</v>
      </c>
      <c r="C112" s="17">
        <f>B112+D112-1</f>
        <v>703</v>
      </c>
      <c r="D112" s="23">
        <v>19</v>
      </c>
      <c r="E112" s="21" t="s">
        <v>11</v>
      </c>
      <c r="F112" s="73" t="s">
        <v>108</v>
      </c>
      <c r="G112" s="25" t="s">
        <v>12</v>
      </c>
    </row>
    <row r="113" spans="2:7" x14ac:dyDescent="0.2">
      <c r="G113" s="7"/>
    </row>
    <row r="114" spans="2:7" ht="15.75" x14ac:dyDescent="0.2">
      <c r="B114" s="14" t="s">
        <v>83</v>
      </c>
      <c r="C114" s="65">
        <f>C112</f>
        <v>703</v>
      </c>
      <c r="G114" s="7"/>
    </row>
    <row r="115" spans="2:7" x14ac:dyDescent="0.2">
      <c r="G115" s="7"/>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21">
    <mergeCell ref="G44:G45"/>
    <mergeCell ref="F98:F100"/>
    <mergeCell ref="G98:G100"/>
    <mergeCell ref="F36:F38"/>
    <mergeCell ref="F79:F81"/>
    <mergeCell ref="G79:G81"/>
    <mergeCell ref="F91:F94"/>
    <mergeCell ref="F64:F67"/>
    <mergeCell ref="F73:F76"/>
    <mergeCell ref="G64:G67"/>
    <mergeCell ref="G91:G94"/>
    <mergeCell ref="F83:F85"/>
    <mergeCell ref="G83:G85"/>
    <mergeCell ref="F55:F58"/>
    <mergeCell ref="G55:G58"/>
    <mergeCell ref="G73:G76"/>
    <mergeCell ref="G1:H1"/>
    <mergeCell ref="G12:G13"/>
    <mergeCell ref="G20:G22"/>
    <mergeCell ref="A1:F1"/>
    <mergeCell ref="G7:G8"/>
  </mergeCells>
  <phoneticPr fontId="4" type="noConversion"/>
  <printOptions horizontalCentered="1" gridLines="1"/>
  <pageMargins left="0.5" right="0.5" top="0.46" bottom="0.5" header="0.27" footer="0.23"/>
  <pageSetup scale="63" fitToHeight="20" orientation="landscape" r:id="rId6"/>
  <headerFooter alignWithMargins="0">
    <oddHeader>&amp;RLayout provided by Data Recognition Corporation - Proprietary and Confidential</oddHeader>
    <oddFooter>&amp;LK = Key Verification                C = Corrections
E = Equating&amp;CPage &amp;P of &amp;N&amp;RLast Saved Date: 5/26/2015 1:12:35 PM</oddFooter>
  </headerFooter>
  <ignoredErrors>
    <ignoredError sqref="B37 B98"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3"/>
  <sheetViews>
    <sheetView workbookViewId="0">
      <selection activeCell="C9" sqref="C9"/>
    </sheetView>
  </sheetViews>
  <sheetFormatPr defaultRowHeight="12.75" x14ac:dyDescent="0.2"/>
  <cols>
    <col min="1" max="1" width="26.140625" customWidth="1"/>
    <col min="2" max="2" width="32.140625" customWidth="1"/>
    <col min="3" max="3" width="34.140625" customWidth="1"/>
  </cols>
  <sheetData>
    <row r="1" spans="1:3" x14ac:dyDescent="0.2">
      <c r="A1" s="82" t="s">
        <v>173</v>
      </c>
      <c r="B1" s="82" t="s">
        <v>174</v>
      </c>
      <c r="C1" s="82" t="s">
        <v>175</v>
      </c>
    </row>
    <row r="2" spans="1:3" ht="52.5" customHeight="1" x14ac:dyDescent="0.2">
      <c r="A2" s="83" t="s">
        <v>183</v>
      </c>
      <c r="B2" s="83" t="s">
        <v>187</v>
      </c>
      <c r="C2" s="84" t="s">
        <v>185</v>
      </c>
    </row>
    <row r="3" spans="1:3" ht="55.5" customHeight="1" x14ac:dyDescent="0.2">
      <c r="A3" s="83" t="s">
        <v>184</v>
      </c>
      <c r="B3" s="83" t="s">
        <v>187</v>
      </c>
      <c r="C3" s="84" t="s">
        <v>186</v>
      </c>
    </row>
    <row r="4" spans="1:3" ht="88.5" customHeight="1" x14ac:dyDescent="0.2">
      <c r="A4" s="83" t="s">
        <v>176</v>
      </c>
      <c r="B4" s="83" t="s">
        <v>187</v>
      </c>
      <c r="C4" s="84" t="s">
        <v>177</v>
      </c>
    </row>
    <row r="5" spans="1:3" ht="38.25" x14ac:dyDescent="0.2">
      <c r="A5" s="83" t="s">
        <v>178</v>
      </c>
      <c r="B5" s="83" t="s">
        <v>179</v>
      </c>
      <c r="C5" s="85" t="s">
        <v>180</v>
      </c>
    </row>
    <row r="6" spans="1:3" x14ac:dyDescent="0.2">
      <c r="A6" s="86"/>
      <c r="B6" s="86"/>
      <c r="C6" s="86"/>
    </row>
    <row r="7" spans="1:3" x14ac:dyDescent="0.2">
      <c r="A7" s="86"/>
      <c r="B7" s="86"/>
      <c r="C7" s="86"/>
    </row>
    <row r="8" spans="1:3" x14ac:dyDescent="0.2">
      <c r="A8" s="123" t="s">
        <v>181</v>
      </c>
      <c r="B8" s="124"/>
      <c r="C8" s="86"/>
    </row>
    <row r="9" spans="1:3" x14ac:dyDescent="0.2">
      <c r="A9" s="125" t="s">
        <v>182</v>
      </c>
      <c r="B9" s="125"/>
      <c r="C9" s="86"/>
    </row>
    <row r="10" spans="1:3" x14ac:dyDescent="0.2">
      <c r="A10" s="87"/>
      <c r="B10" s="87"/>
      <c r="C10" s="87"/>
    </row>
    <row r="11" spans="1:3" x14ac:dyDescent="0.2">
      <c r="A11" s="87"/>
      <c r="B11" s="87"/>
      <c r="C11" s="87"/>
    </row>
    <row r="12" spans="1:3" x14ac:dyDescent="0.2">
      <c r="A12" s="87"/>
      <c r="B12" s="87"/>
      <c r="C12" s="87"/>
    </row>
    <row r="13" spans="1:3" x14ac:dyDescent="0.2">
      <c r="A13" s="87"/>
      <c r="B13" s="87"/>
      <c r="C13" s="87"/>
    </row>
  </sheetData>
  <mergeCells count="2">
    <mergeCell ref="A8:B8"/>
    <mergeCell ref="A9:B9"/>
  </mergeCells>
  <hyperlinks>
    <hyperlink ref="C4" r:id="rId1" display="../Forms/AllItems.aspx"/>
    <hyperlink ref="C5" r:id="rId2" display="../Accountability"/>
    <hyperlink ref="C2" r:id="rId3"/>
    <hyperlink ref="C3" r:id="rId4"/>
  </hyperlinks>
  <pageMargins left="0.7" right="0.7" top="0.75" bottom="0.75" header="0.3" footer="0.3"/>
  <pageSetup orientation="landscape" r:id="rId5"/>
  <headerFooter>
    <oddFooter>&amp;RLast Saved Date: 10/23/2013 3:53:59 PM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LAA1LDESTD</vt:lpstr>
      <vt:lpstr>Reference Locations</vt:lpstr>
      <vt:lpstr>LAA1LDESTD!Print_Area</vt:lpstr>
      <vt:lpstr>LAA1LDESTD!Print_Titles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fchou</dc:creator>
  <cp:lastModifiedBy>Mallory Johannes</cp:lastModifiedBy>
  <cp:lastPrinted>2014-03-18T17:50:48Z</cp:lastPrinted>
  <dcterms:created xsi:type="dcterms:W3CDTF">1999-04-08T16:47:24Z</dcterms:created>
  <dcterms:modified xsi:type="dcterms:W3CDTF">2015-05-26T18:12:35Z</dcterms:modified>
</cp:coreProperties>
</file>