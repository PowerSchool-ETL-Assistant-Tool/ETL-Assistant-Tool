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2550" yWindow="1230" windowWidth="8670" windowHeight="9375"/>
  </bookViews>
  <sheets>
    <sheet name="eLDESTD" sheetId="1" r:id="rId1"/>
    <sheet name="Revision log" sheetId="2" r:id="rId2"/>
    <sheet name="Reference Locations" sheetId="5" r:id="rId3"/>
    <sheet name="ELDA Language Codes" sheetId="4" r:id="rId4"/>
    <sheet name="ELDA Birth Country Codes" sheetId="3" r:id="rId5"/>
  </sheets>
  <definedNames>
    <definedName name="_xlnm.Print_Area" localSheetId="0">eLDESTD!$A$1:$I$280</definedName>
    <definedName name="_xlnm.Print_Titles" localSheetId="0">eLDESTD!$1:$4</definedName>
    <definedName name="_xlnm.Print_Titles" localSheetId="1">'Revision log'!$1:$2</definedName>
    <definedName name="Z_711973F9_5431_4922_B46E_FFB4E07E9E58_.wvu.Cols" localSheetId="0" hidden="1">eLDESTD!$K:$N</definedName>
    <definedName name="Z_711973F9_5431_4922_B46E_FFB4E07E9E58_.wvu.PrintArea" localSheetId="0" hidden="1">eLDESTD!$A$1:$I$269</definedName>
    <definedName name="Z_711973F9_5431_4922_B46E_FFB4E07E9E58_.wvu.PrintTitles" localSheetId="0" hidden="1">eLDESTD!$1:$4</definedName>
    <definedName name="Z_7E4D7CCA_1395_44FA_80A0_38FFA0DD8C49_.wvu.PrintTitles" localSheetId="0" hidden="1">eLDESTD!$1:$4</definedName>
    <definedName name="Z_A5DDCBF3_D6F4_4EB4_918C_ECABFE1A43AD_.wvu.PrintTitles" localSheetId="0" hidden="1">eLDESTD!$1:$4</definedName>
    <definedName name="Z_B792D786_3755_11D6_AB7B_0050DA2DACD5_.wvu.PrintTitles" localSheetId="0" hidden="1">eLDESTD!$1:$4</definedName>
    <definedName name="Z_E34B366C_36F7_11D6_A24B_0050DA0A5BC6_.wvu.PrintTitles" localSheetId="0" hidden="1">eLDESTD!$1:$4</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D224" i="1" l="1"/>
  <c r="E223" i="1"/>
  <c r="D223" i="1"/>
  <c r="D7" i="1" l="1"/>
  <c r="E7" i="1" s="1"/>
  <c r="E6" i="1"/>
  <c r="D8" i="1" l="1"/>
  <c r="D9" i="1" s="1"/>
  <c r="E9" i="1" s="1"/>
  <c r="E8" i="1" l="1"/>
  <c r="D10" i="1"/>
  <c r="E10" i="1" s="1"/>
  <c r="D11" i="1" l="1"/>
  <c r="E11" i="1" s="1"/>
  <c r="D12" i="1" l="1"/>
  <c r="E12" i="1" s="1"/>
  <c r="D13" i="1" l="1"/>
  <c r="E13" i="1" s="1"/>
  <c r="D14" i="1" l="1"/>
  <c r="E14" i="1" s="1"/>
  <c r="D15" i="1" l="1"/>
  <c r="E15" i="1" s="1"/>
  <c r="D16" i="1" l="1"/>
  <c r="E16" i="1" s="1"/>
  <c r="D17" i="1" l="1"/>
  <c r="E17" i="1" s="1"/>
  <c r="D18" i="1"/>
  <c r="E18" i="1" l="1"/>
  <c r="D19" i="1"/>
  <c r="E19" i="1" l="1"/>
  <c r="D20" i="1"/>
  <c r="E20" i="1" l="1"/>
  <c r="D21" i="1"/>
  <c r="D22" i="1" l="1"/>
  <c r="E21" i="1"/>
  <c r="D23" i="1" l="1"/>
  <c r="E22" i="1"/>
  <c r="D24" i="1" l="1"/>
  <c r="E23" i="1"/>
  <c r="D25" i="1" l="1"/>
  <c r="E24" i="1"/>
  <c r="E25" i="1" l="1"/>
  <c r="D26" i="1"/>
  <c r="E26" i="1" l="1"/>
  <c r="D27" i="1"/>
  <c r="E27" i="1" l="1"/>
  <c r="D28" i="1"/>
  <c r="E28" i="1" l="1"/>
  <c r="D29" i="1"/>
  <c r="E29" i="1" l="1"/>
  <c r="D30" i="1"/>
  <c r="E30" i="1" l="1"/>
  <c r="D31" i="1"/>
  <c r="E31" i="1" l="1"/>
  <c r="D32" i="1"/>
  <c r="E32" i="1" l="1"/>
  <c r="D33" i="1"/>
  <c r="E33" i="1" l="1"/>
  <c r="D34" i="1"/>
  <c r="E34" i="1" l="1"/>
  <c r="D35" i="1"/>
  <c r="E35" i="1" l="1"/>
  <c r="D36" i="1"/>
  <c r="E36" i="1" l="1"/>
  <c r="D37" i="1"/>
  <c r="E37" i="1" l="1"/>
  <c r="D38" i="1"/>
  <c r="E38" i="1" l="1"/>
  <c r="D39" i="1"/>
  <c r="D40" i="1" l="1"/>
  <c r="E39" i="1"/>
  <c r="E40" i="1" l="1"/>
  <c r="D41" i="1"/>
  <c r="D42" i="1" l="1"/>
  <c r="E41" i="1"/>
  <c r="D44" i="1" l="1"/>
  <c r="E42" i="1"/>
  <c r="D45" i="1" l="1"/>
  <c r="E44" i="1"/>
  <c r="D46" i="1" l="1"/>
  <c r="E45" i="1"/>
  <c r="E46" i="1" l="1"/>
  <c r="D47" i="1"/>
  <c r="D48" i="1" l="1"/>
  <c r="E47" i="1"/>
  <c r="E48" i="1" l="1"/>
  <c r="D49" i="1"/>
  <c r="D50" i="1" l="1"/>
  <c r="E49" i="1"/>
  <c r="D51" i="1" l="1"/>
  <c r="E50" i="1"/>
  <c r="D52" i="1" l="1"/>
  <c r="E51" i="1"/>
  <c r="E52" i="1" l="1"/>
  <c r="D54" i="1"/>
  <c r="D55" i="1" l="1"/>
  <c r="E54" i="1"/>
  <c r="E55" i="1" l="1"/>
  <c r="D56" i="1"/>
  <c r="E56" i="1" l="1"/>
  <c r="D57" i="1"/>
  <c r="E57" i="1" l="1"/>
  <c r="D58" i="1"/>
  <c r="E58" i="1" l="1"/>
  <c r="D59" i="1"/>
  <c r="E59" i="1" l="1"/>
  <c r="D60" i="1"/>
  <c r="E60" i="1" l="1"/>
  <c r="D61" i="1"/>
  <c r="E61" i="1" l="1"/>
  <c r="D62" i="1"/>
  <c r="E62" i="1" l="1"/>
  <c r="D63" i="1"/>
  <c r="E63" i="1" l="1"/>
  <c r="D64" i="1"/>
  <c r="E64" i="1" l="1"/>
  <c r="D65" i="1"/>
  <c r="E65" i="1" l="1"/>
  <c r="D66" i="1"/>
  <c r="E66" i="1" l="1"/>
  <c r="D67" i="1"/>
  <c r="E67" i="1" l="1"/>
  <c r="D68" i="1"/>
  <c r="E68" i="1" l="1"/>
  <c r="D69" i="1"/>
  <c r="E69" i="1" l="1"/>
  <c r="D70" i="1"/>
  <c r="D71" i="1" l="1"/>
  <c r="E70" i="1"/>
  <c r="D73" i="1" l="1"/>
  <c r="E71" i="1"/>
  <c r="D74" i="1" l="1"/>
  <c r="E73" i="1"/>
  <c r="D75" i="1" l="1"/>
  <c r="E74" i="1"/>
  <c r="D76" i="1" l="1"/>
  <c r="E75" i="1"/>
  <c r="D77" i="1" l="1"/>
  <c r="E76" i="1"/>
  <c r="D78" i="1" l="1"/>
  <c r="E77" i="1"/>
  <c r="D79" i="1" l="1"/>
  <c r="E78" i="1"/>
  <c r="D80" i="1" l="1"/>
  <c r="E79" i="1"/>
  <c r="D81" i="1" l="1"/>
  <c r="E80" i="1"/>
  <c r="D82" i="1" l="1"/>
  <c r="E81" i="1"/>
  <c r="D83" i="1" l="1"/>
  <c r="E82" i="1"/>
  <c r="D85" i="1" l="1"/>
  <c r="E83" i="1"/>
  <c r="D86" i="1" l="1"/>
  <c r="E85" i="1"/>
  <c r="E86" i="1" l="1"/>
  <c r="D87" i="1"/>
  <c r="D88" i="1" l="1"/>
  <c r="E87" i="1"/>
  <c r="E88" i="1" l="1"/>
  <c r="D89" i="1"/>
  <c r="D90" i="1" l="1"/>
  <c r="E89" i="1"/>
  <c r="E90" i="1" l="1"/>
  <c r="D91" i="1"/>
  <c r="D92" i="1" l="1"/>
  <c r="E91" i="1"/>
  <c r="E92" i="1" l="1"/>
  <c r="D93" i="1"/>
  <c r="D94" i="1" l="1"/>
  <c r="E93" i="1"/>
  <c r="D95" i="1" l="1"/>
  <c r="E94" i="1"/>
  <c r="E95" i="1" l="1"/>
  <c r="D96" i="1"/>
  <c r="D98" i="1" l="1"/>
  <c r="E96" i="1"/>
  <c r="E98" i="1" l="1"/>
  <c r="D99" i="1"/>
  <c r="D100" i="1" l="1"/>
  <c r="E99" i="1"/>
  <c r="E100" i="1" l="1"/>
  <c r="D101" i="1"/>
  <c r="D102" i="1" l="1"/>
  <c r="E101" i="1"/>
  <c r="D103" i="1" l="1"/>
  <c r="E102" i="1"/>
  <c r="D104" i="1" l="1"/>
  <c r="E103" i="1"/>
  <c r="D105" i="1" l="1"/>
  <c r="E104" i="1"/>
  <c r="D106" i="1" l="1"/>
  <c r="E105" i="1"/>
  <c r="E106" i="1" l="1"/>
  <c r="D107" i="1"/>
  <c r="D108" i="1" l="1"/>
  <c r="E107" i="1"/>
  <c r="D109" i="1" l="1"/>
  <c r="E108" i="1"/>
  <c r="D110" i="1" l="1"/>
  <c r="E109" i="1"/>
  <c r="E110" i="1" l="1"/>
  <c r="D112" i="1"/>
  <c r="D113" i="1" l="1"/>
  <c r="E112" i="1"/>
  <c r="D114" i="1" l="1"/>
  <c r="E113" i="1"/>
  <c r="D115" i="1" l="1"/>
  <c r="E114" i="1"/>
  <c r="D116" i="1" l="1"/>
  <c r="E115" i="1"/>
  <c r="D117" i="1" l="1"/>
  <c r="E116" i="1"/>
  <c r="E117" i="1" l="1"/>
  <c r="D118" i="1"/>
  <c r="D119" i="1" l="1"/>
  <c r="E118" i="1"/>
  <c r="D120" i="1" l="1"/>
  <c r="E119" i="1"/>
  <c r="D122" i="1" l="1"/>
  <c r="E120" i="1"/>
  <c r="D123" i="1" l="1"/>
  <c r="E122" i="1"/>
  <c r="D124" i="1" l="1"/>
  <c r="E123" i="1"/>
  <c r="D126" i="1" l="1"/>
  <c r="E124" i="1"/>
  <c r="D127" i="1" l="1"/>
  <c r="E126" i="1"/>
  <c r="E127" i="1" l="1"/>
  <c r="D129" i="1"/>
  <c r="D130" i="1" l="1"/>
  <c r="E129" i="1"/>
  <c r="E130" i="1" l="1"/>
  <c r="D131" i="1"/>
  <c r="D132" i="1" l="1"/>
  <c r="E131" i="1"/>
  <c r="D133" i="1" l="1"/>
  <c r="E132" i="1"/>
  <c r="D134" i="1" l="1"/>
  <c r="E133" i="1"/>
  <c r="E134" i="1" l="1"/>
  <c r="D135" i="1"/>
  <c r="D136" i="1" l="1"/>
  <c r="E135" i="1"/>
  <c r="E136" i="1" l="1"/>
  <c r="D137" i="1"/>
  <c r="D139" i="1" l="1"/>
  <c r="E137" i="1"/>
  <c r="E139" i="1" l="1"/>
  <c r="D140" i="1"/>
  <c r="D141" i="1" l="1"/>
  <c r="E140" i="1"/>
  <c r="D142" i="1" l="1"/>
  <c r="E141" i="1"/>
  <c r="D143" i="1" l="1"/>
  <c r="E142" i="1"/>
  <c r="D144" i="1" l="1"/>
  <c r="E143" i="1"/>
  <c r="D145" i="1" l="1"/>
  <c r="E144" i="1"/>
  <c r="D146" i="1" l="1"/>
  <c r="E145" i="1"/>
  <c r="D149" i="1" l="1"/>
  <c r="E146" i="1"/>
  <c r="E149" i="1" l="1"/>
  <c r="D150" i="1"/>
  <c r="D151" i="1" l="1"/>
  <c r="E150" i="1"/>
  <c r="D153" i="1" l="1"/>
  <c r="E151" i="1"/>
  <c r="D154" i="1" l="1"/>
  <c r="E153" i="1"/>
  <c r="E154" i="1" l="1"/>
  <c r="D155" i="1"/>
  <c r="D157" i="1" l="1"/>
  <c r="E155" i="1"/>
  <c r="D158" i="1" l="1"/>
  <c r="E157" i="1"/>
  <c r="D160" i="1" l="1"/>
  <c r="E158" i="1"/>
  <c r="E160" i="1" l="1"/>
  <c r="D161" i="1"/>
  <c r="D162" i="1" l="1"/>
  <c r="E161" i="1"/>
  <c r="D163" i="1" l="1"/>
  <c r="E162" i="1"/>
  <c r="D164" i="1" l="1"/>
  <c r="E163" i="1"/>
  <c r="D166" i="1" l="1"/>
  <c r="E164" i="1"/>
  <c r="D167" i="1" l="1"/>
  <c r="E166" i="1"/>
  <c r="E167" i="1" l="1"/>
  <c r="D168" i="1"/>
  <c r="D169" i="1" l="1"/>
  <c r="E168" i="1"/>
  <c r="E169" i="1" l="1"/>
  <c r="D171" i="1"/>
  <c r="D172" i="1" l="1"/>
  <c r="E171" i="1"/>
  <c r="D173" i="1" l="1"/>
  <c r="E172" i="1"/>
  <c r="D174" i="1" l="1"/>
  <c r="E173" i="1"/>
  <c r="D176" i="1" l="1"/>
  <c r="E174" i="1"/>
  <c r="D177" i="1" l="1"/>
  <c r="E176" i="1"/>
  <c r="E177" i="1" l="1"/>
  <c r="D178" i="1"/>
  <c r="D179" i="1" l="1"/>
  <c r="E178" i="1"/>
  <c r="E179" i="1" l="1"/>
  <c r="D181" i="1"/>
  <c r="D182" i="1" l="1"/>
  <c r="E181" i="1"/>
  <c r="D183" i="1" l="1"/>
  <c r="E182" i="1"/>
  <c r="D184" i="1" l="1"/>
  <c r="E183" i="1"/>
  <c r="D186" i="1" l="1"/>
  <c r="E184" i="1"/>
  <c r="D187" i="1" l="1"/>
  <c r="E186" i="1"/>
  <c r="E187" i="1" l="1"/>
  <c r="D188" i="1"/>
  <c r="D189" i="1" l="1"/>
  <c r="E188" i="1"/>
  <c r="E189" i="1" l="1"/>
  <c r="D190" i="1"/>
  <c r="D193" i="1" l="1"/>
  <c r="D195" i="1" s="1"/>
  <c r="E190" i="1"/>
  <c r="D196" i="1" l="1"/>
  <c r="E195" i="1"/>
  <c r="E193" i="1"/>
  <c r="E196" i="1" l="1"/>
  <c r="D198" i="1"/>
  <c r="D199" i="1" l="1"/>
  <c r="E198" i="1"/>
  <c r="D200" i="1" l="1"/>
  <c r="E199" i="1"/>
  <c r="E200" i="1" l="1"/>
  <c r="D201" i="1"/>
  <c r="D202" i="1" l="1"/>
  <c r="E201" i="1"/>
  <c r="E202" i="1" l="1"/>
  <c r="D204" i="1"/>
  <c r="E204" i="1" l="1"/>
  <c r="D205" i="1"/>
  <c r="E205" i="1" l="1"/>
  <c r="D206" i="1"/>
  <c r="D207" i="1" l="1"/>
  <c r="E206" i="1"/>
  <c r="D208" i="1" l="1"/>
  <c r="E207" i="1"/>
  <c r="E208" i="1" l="1"/>
  <c r="D210" i="1"/>
  <c r="D211" i="1" l="1"/>
  <c r="E210" i="1"/>
  <c r="E211" i="1" l="1"/>
  <c r="D212" i="1"/>
  <c r="D213" i="1" l="1"/>
  <c r="E212" i="1"/>
  <c r="E213" i="1" l="1"/>
  <c r="D214" i="1"/>
  <c r="D216" i="1" l="1"/>
  <c r="E214" i="1"/>
  <c r="D217" i="1" l="1"/>
  <c r="E216" i="1"/>
  <c r="E217" i="1" l="1"/>
  <c r="D218" i="1"/>
  <c r="E218" i="1" l="1"/>
  <c r="D219" i="1"/>
  <c r="E219" i="1" l="1"/>
  <c r="D220" i="1"/>
  <c r="E220" i="1" l="1"/>
  <c r="D221" i="1"/>
  <c r="E221" i="1" l="1"/>
  <c r="D222" i="1"/>
  <c r="E222" i="1" l="1"/>
  <c r="E224" i="1" l="1"/>
  <c r="D225" i="1"/>
  <c r="D226" i="1" l="1"/>
  <c r="E225" i="1"/>
  <c r="D227" i="1" l="1"/>
  <c r="E226" i="1"/>
  <c r="D229" i="1" l="1"/>
  <c r="E227" i="1"/>
  <c r="E229" i="1" l="1"/>
  <c r="D230" i="1"/>
  <c r="E230" i="1" l="1"/>
  <c r="D231" i="1"/>
  <c r="E231" i="1" l="1"/>
  <c r="D232" i="1"/>
  <c r="E232" i="1" l="1"/>
  <c r="D233" i="1"/>
  <c r="E233" i="1" l="1"/>
  <c r="D234" i="1"/>
  <c r="E234" i="1" l="1"/>
  <c r="D235" i="1"/>
  <c r="E235" i="1" l="1"/>
  <c r="D236" i="1"/>
  <c r="E236" i="1" l="1"/>
  <c r="D237" i="1"/>
  <c r="E237" i="1" l="1"/>
  <c r="D238" i="1"/>
  <c r="E238" i="1" l="1"/>
  <c r="D239" i="1"/>
  <c r="D240" i="1" l="1"/>
  <c r="E239" i="1"/>
  <c r="E240" i="1" l="1"/>
  <c r="D242" i="1"/>
  <c r="E242" i="1" l="1"/>
  <c r="D243" i="1"/>
  <c r="E243" i="1" l="1"/>
  <c r="D244" i="1"/>
  <c r="E244" i="1" l="1"/>
  <c r="D245" i="1"/>
  <c r="E245" i="1" l="1"/>
  <c r="D247" i="1"/>
  <c r="D248" i="1" l="1"/>
  <c r="E247" i="1"/>
  <c r="D250" i="1" l="1"/>
  <c r="E248" i="1"/>
  <c r="D251" i="1" l="1"/>
  <c r="E250" i="1"/>
  <c r="D253" i="1" l="1"/>
  <c r="E251" i="1"/>
  <c r="D254" i="1" l="1"/>
  <c r="E253" i="1"/>
  <c r="E254" i="1" l="1"/>
  <c r="D256" i="1"/>
  <c r="D257" i="1" l="1"/>
  <c r="E256" i="1"/>
  <c r="D258" i="1" l="1"/>
  <c r="E257" i="1"/>
  <c r="E258" i="1" l="1"/>
  <c r="D260" i="1"/>
  <c r="D261" i="1" l="1"/>
  <c r="E260" i="1"/>
  <c r="D262" i="1" l="1"/>
  <c r="E261" i="1"/>
  <c r="D263" i="1" l="1"/>
  <c r="E262" i="1"/>
  <c r="E263" i="1" l="1"/>
  <c r="D264" i="1"/>
  <c r="E264" i="1" l="1"/>
  <c r="D265" i="1"/>
  <c r="E265" i="1" l="1"/>
  <c r="D266" i="1"/>
  <c r="D267" i="1" l="1"/>
  <c r="E266" i="1"/>
  <c r="D268" i="1" l="1"/>
  <c r="E267" i="1"/>
  <c r="E268" i="1" l="1"/>
  <c r="D269" i="1"/>
  <c r="D270" i="1" l="1"/>
  <c r="E269" i="1"/>
  <c r="E270" i="1" l="1"/>
  <c r="D271" i="1"/>
  <c r="D272" i="1" l="1"/>
  <c r="E271" i="1"/>
  <c r="D273" i="1" l="1"/>
  <c r="E272" i="1"/>
  <c r="D274" i="1" l="1"/>
  <c r="E273" i="1"/>
  <c r="D275" i="1" l="1"/>
  <c r="E274" i="1"/>
  <c r="E275" i="1" l="1"/>
  <c r="D276" i="1"/>
  <c r="E276" i="1" l="1"/>
  <c r="D277" i="1"/>
  <c r="E277" i="1" s="1"/>
</calcChain>
</file>

<file path=xl/sharedStrings.xml><?xml version="1.0" encoding="utf-8"?>
<sst xmlns="http://schemas.openxmlformats.org/spreadsheetml/2006/main" count="1751" uniqueCount="1025">
  <si>
    <t>Document Grade Cluster = add Blank (document not returned) as option</t>
  </si>
  <si>
    <t>Assess Group Type</t>
  </si>
  <si>
    <t>Test Administrator Last Name</t>
  </si>
  <si>
    <t>Test Administrator First Name</t>
  </si>
  <si>
    <t>Version 1.1 - changes made as a result of conference call between DRC and LDE on 3/9/07.  All changes hi-lighted in yellow, along with 1.0 changes.</t>
  </si>
  <si>
    <t>"Type of Specialized Language Program" has changed from "Mark only one" to "Mark all that apply."   -   Data collection needs to capture each value.  This was moved from a single length to pos 233-241 to allow a separate field for each option.</t>
  </si>
  <si>
    <t>Field 1094 is not valid for K-2 grades.  Added blank as a valid value.</t>
  </si>
  <si>
    <t xml:space="preserve">Position 1143 to filler at LDE request.  This field is not needed for ELDA.  
Clarified comment on summary Migrant status to show precode overridden with bubbled value if no on precode file.
Added note about reporting grade.  If precode grade is incorrect on the LAP file it will not be overridden by the bubbling indicated in the AD. </t>
  </si>
  <si>
    <t>Changed the DOB comment field to clarify what the program does.  This method is the same for iLEAP, LAA 2 and ELDA.</t>
  </si>
  <si>
    <t>Fixed spelling and clarified 1185 Student Reporting Flag (INC) comment</t>
  </si>
  <si>
    <t>Bubbled Born in U.S.?</t>
  </si>
  <si>
    <t>Bubbled Migrant Status</t>
  </si>
  <si>
    <t>Debbie Williams</t>
  </si>
  <si>
    <t>Bubbled Type of Specialized Language Program</t>
  </si>
  <si>
    <t>Bubbled Time Student Enrolled in US School</t>
  </si>
  <si>
    <t>Bubbled Unable to Locate Information</t>
  </si>
  <si>
    <t>Y = Migrant
N = Not Migrant</t>
  </si>
  <si>
    <t>Bubbled Gender</t>
  </si>
  <si>
    <t>The layout and format of the LDESTD file has been updated</t>
  </si>
  <si>
    <t>Add new field for Bubbled Ethnicity (pos 243)</t>
  </si>
  <si>
    <t>Add new field for Bubbled Gender (pos 242)</t>
  </si>
  <si>
    <t>Add new field for LAP Homeless Flag (Pos 178-178)</t>
  </si>
  <si>
    <t>Add "NPS"  (Nonpublic Scholarship) as possible value in Assess Group Type (Pos 1141-1142)</t>
  </si>
  <si>
    <t>Change "OYD"  to "OJJ" (Office of Juvenile Justice) in Assess Group Type (Pos 1141-1142)</t>
  </si>
  <si>
    <t xml:space="preserve">Bubbled Nonparticipation Codes will be listed as a length of 1 (pos266).  Teachers are instructed to choose just one that applies.  </t>
  </si>
  <si>
    <t>LAP Gender</t>
  </si>
  <si>
    <t>LAP March Update Flag</t>
  </si>
  <si>
    <t>Initial version (1.0) for Spring 2008 administration - several fields added are hi-lighted in yellow and filler adjusted appropriately.</t>
  </si>
  <si>
    <t>Changed Straggler field (pos. 7) possible values to "Y" and "N" instead of  "Y" and blank.</t>
  </si>
  <si>
    <t>Bubbled, LAP and Summarized Special Education Exceptionalities have changed  to Deafblindness, HI-Deaf, HI-Hard of Hearing</t>
  </si>
  <si>
    <t>The DRC Precode March Update flag (pos. 178) has been removed and changed to filler.</t>
  </si>
  <si>
    <t>Value of 12 has been added to Assess Group Type (pos. 1141-1142 ) for RES.</t>
  </si>
  <si>
    <t xml:space="preserve">Security Barcode Number (Pos. 1298) was changed from using 15 to  8 digits.  The first 7 were added as filler in (Pos. 1298) and the new Security Barcode will be (Pos. 1305 ) and use the last 8 digits of the security barcode number.  </t>
  </si>
  <si>
    <t>Changed Text from "Time Student Enrolled in Specialized Program Indicated in Section V" to say "Time student has received services in specialized programs indicated in section V."</t>
  </si>
  <si>
    <t>Summarized Void Flag</t>
  </si>
  <si>
    <t>Plagiarism Void Flag</t>
  </si>
  <si>
    <t>Added a new note to the Summarized Void Flag fields (pos 1100-1100)</t>
  </si>
  <si>
    <t xml:space="preserve">Clarified titles "Summarized Void Flag" and "Plagiarism Void Flag" </t>
  </si>
  <si>
    <t>Added "e" to LDESTD to show eLDESTD in heading</t>
  </si>
  <si>
    <t>Initial version (1.0) for Spring 2007 administration - several fields added are hi-lighted in yellow and filler adjusted appropriately.</t>
  </si>
  <si>
    <t>Delete "00=unknown" from Summarized Grade Pos 99-100 due to the new grade cleanup process prior to generating eLDESTD.</t>
  </si>
  <si>
    <t>Y = 504
N = Not 504</t>
  </si>
  <si>
    <t>STUDENT LEVEL REPORTING FLAGS</t>
  </si>
  <si>
    <t>The possible value of “03” should be deleted from positions 1313, 1315, 1317 and 1319 (subject-specific non-participation codes) on the eLDESTD layout.  This change was made last year on the bubbled LDESTD locations, and since 03 is no longer an option should be removed from the updated file locations also.</t>
  </si>
  <si>
    <t>Length</t>
  </si>
  <si>
    <t>Field Name</t>
  </si>
  <si>
    <t>Month of test</t>
  </si>
  <si>
    <t>Year of test</t>
  </si>
  <si>
    <t>Summarized  Education  Classification</t>
  </si>
  <si>
    <t>Bubbled Time Student Has Received Services in Specialized Language Program</t>
  </si>
  <si>
    <t>Y</t>
  </si>
  <si>
    <t>N</t>
  </si>
  <si>
    <t>File Creation Date and Time Stamp</t>
  </si>
  <si>
    <t>Date the file was generated</t>
  </si>
  <si>
    <t>Scoring Section</t>
  </si>
  <si>
    <t>Y = Student classified as a straggler
N = Student not classified as a straggler</t>
  </si>
  <si>
    <t>Numeric value with leading zeroes</t>
  </si>
  <si>
    <t>Summarization Flags</t>
  </si>
  <si>
    <t>Updated text in  Pos 298  and 305 to reflect clearer explanation of number of years.  It now  matches the answer document.</t>
  </si>
  <si>
    <r>
      <t>The following field no longer has a 'No' bubble, so the value of "2" and "mults" has been removed:  504 S</t>
    </r>
    <r>
      <rPr>
        <sz val="10"/>
        <rFont val="Arial"/>
        <family val="2"/>
      </rPr>
      <t>tatus (pos. 248</t>
    </r>
    <r>
      <rPr>
        <sz val="10"/>
        <rFont val="Arial"/>
        <family val="2"/>
      </rPr>
      <t xml:space="preserve">), </t>
    </r>
  </si>
  <si>
    <t>Add "exceptionality" to "Special Education Exceptionality Category"</t>
  </si>
  <si>
    <t>4 fields added to handle Updated Non-participation Codes for each domain (similar to accountability codes).  Pos 1313-1314, Pos 1315-1316, 
Pos 1317-1318, Pos 1319-1320</t>
  </si>
  <si>
    <t>Add Bubbled Test Administrator Number  (Pos. 1321-1323) 3 characters
Add Test Administrator Last Name (Pos. 1324-1343) 20 characters
Add Test Administrator First Name (Pos. 1344-1363) 20 characters.</t>
  </si>
  <si>
    <t xml:space="preserve"> Multiple Choice / Constructed Response Items Taken (attempted) Flag</t>
  </si>
  <si>
    <t>Format:  "YYYY-MM-DD HH:MM:SS"</t>
  </si>
  <si>
    <t>Bubbled First or Native Language</t>
  </si>
  <si>
    <t>Summarized First or Native Language</t>
  </si>
  <si>
    <t>Bubbled Date of Entry into US</t>
  </si>
  <si>
    <t>Summarized Date of Entry into US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</si>
  <si>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</si>
  <si>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</si>
  <si>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</si>
  <si>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</si>
  <si>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Initial draft for ELDA Spring 2006 test administration.</t>
  </si>
  <si>
    <t>Dave Rowles</t>
  </si>
  <si>
    <t>Bubbled Grade</t>
  </si>
  <si>
    <t xml:space="preserve">Assess Group Codes will need to be changed (pos 1141-1142) for the new RSD division.    Removed 11=RSD and replaced with 2 new codes 14=RLA and 15=RNO.  </t>
  </si>
  <si>
    <t>READING SCORING INFORMATION</t>
  </si>
  <si>
    <t>WRITING SCORING INFORMATION</t>
  </si>
  <si>
    <t>LISTENING SCORING INFORMATION</t>
  </si>
  <si>
    <t>SPEAKING SCORING INFORMATION</t>
  </si>
  <si>
    <t xml:space="preserve">001 Abkhazian </t>
  </si>
  <si>
    <t xml:space="preserve">041 French </t>
  </si>
  <si>
    <t xml:space="preserve">081 Maori </t>
  </si>
  <si>
    <t xml:space="preserve">121 Telugu </t>
  </si>
  <si>
    <t xml:space="preserve">002 Afan Oromo </t>
  </si>
  <si>
    <t xml:space="preserve">042 Frisian </t>
  </si>
  <si>
    <t xml:space="preserve">082 Marathi </t>
  </si>
  <si>
    <r>
      <t xml:space="preserve">122 </t>
    </r>
    <r>
      <rPr>
        <b/>
        <sz val="7"/>
        <rFont val="Times New Roman"/>
        <family val="1"/>
      </rPr>
      <t xml:space="preserve">Thai </t>
    </r>
  </si>
  <si>
    <t xml:space="preserve">003 Afar </t>
  </si>
  <si>
    <t xml:space="preserve">043 Galician </t>
  </si>
  <si>
    <t xml:space="preserve">083 Moldavian </t>
  </si>
  <si>
    <r>
      <t>123</t>
    </r>
    <r>
      <rPr>
        <sz val="7"/>
        <rFont val="Times New Roman"/>
        <family val="1"/>
      </rPr>
      <t xml:space="preserve"> Tibetan Bodskad </t>
    </r>
  </si>
  <si>
    <t xml:space="preserve">004 Afrikaans </t>
  </si>
  <si>
    <t xml:space="preserve">044 Georgian Kartuli </t>
  </si>
  <si>
    <t xml:space="preserve">084 Mongolian </t>
  </si>
  <si>
    <t xml:space="preserve">124 Tigrinya </t>
  </si>
  <si>
    <t xml:space="preserve">005 Albanian Shqip </t>
  </si>
  <si>
    <r>
      <t>045 German</t>
    </r>
    <r>
      <rPr>
        <sz val="7"/>
        <rFont val="Times New Roman"/>
        <family val="1"/>
      </rPr>
      <t xml:space="preserve"> </t>
    </r>
  </si>
  <si>
    <t xml:space="preserve">085 Nauru </t>
  </si>
  <si>
    <t xml:space="preserve">125 Tonga </t>
  </si>
  <si>
    <t xml:space="preserve">006 Amharic </t>
  </si>
  <si>
    <t xml:space="preserve">046 Greek </t>
  </si>
  <si>
    <t xml:space="preserve">086 Nepali </t>
  </si>
  <si>
    <t xml:space="preserve">126 Tsonga </t>
  </si>
  <si>
    <t xml:space="preserve">007 Arabic </t>
  </si>
  <si>
    <t xml:space="preserve">047 Greenlandic Kalaallisut </t>
  </si>
  <si>
    <t xml:space="preserve">087 Norwegian </t>
  </si>
  <si>
    <t>"K" and "E" codes have been entered in the new Field use column</t>
  </si>
  <si>
    <t xml:space="preserve">127 Turkish </t>
  </si>
  <si>
    <t xml:space="preserve">008 Armenian Hayeren </t>
  </si>
  <si>
    <t xml:space="preserve">048 Guarani </t>
  </si>
  <si>
    <t xml:space="preserve">088 Occitan </t>
  </si>
  <si>
    <t xml:space="preserve">128 Turkmen </t>
  </si>
  <si>
    <t xml:space="preserve">009 Assamese </t>
  </si>
  <si>
    <t xml:space="preserve">049 Gujarati </t>
  </si>
  <si>
    <t xml:space="preserve">089 Oriya </t>
  </si>
  <si>
    <t xml:space="preserve">129 Twi </t>
  </si>
  <si>
    <t xml:space="preserve">010 Aymara </t>
  </si>
  <si>
    <t xml:space="preserve">050 Hausa </t>
  </si>
  <si>
    <t xml:space="preserve">Research and Simple files information has been added for TA Number Fields and Updated Non-Participation Codes.  Both Research and Simple will have Yes for Bubbled TA Number Field and No for Last Name, First Name.   Non-participation Codes were set to Yes. </t>
  </si>
  <si>
    <t xml:space="preserve">090 Pashto, Pushto </t>
  </si>
  <si>
    <t xml:space="preserve">130 Ukrainian </t>
  </si>
  <si>
    <t xml:space="preserve">011 Azerbaijani </t>
  </si>
  <si>
    <t xml:space="preserve">051 Hebrew Iwrith </t>
  </si>
  <si>
    <t xml:space="preserve">091 Polish </t>
  </si>
  <si>
    <r>
      <t>131 Urdu</t>
    </r>
    <r>
      <rPr>
        <sz val="7"/>
        <rFont val="Times New Roman"/>
        <family val="1"/>
      </rPr>
      <t xml:space="preserve"> </t>
    </r>
  </si>
  <si>
    <t xml:space="preserve">012 Bashkir </t>
  </si>
  <si>
    <r>
      <t>052 Hindi</t>
    </r>
    <r>
      <rPr>
        <sz val="7"/>
        <rFont val="Times New Roman"/>
        <family val="1"/>
      </rPr>
      <t xml:space="preserve"> </t>
    </r>
  </si>
  <si>
    <r>
      <t>092 Portuguese</t>
    </r>
    <r>
      <rPr>
        <sz val="7"/>
        <rFont val="Times New Roman"/>
        <family val="1"/>
      </rPr>
      <t xml:space="preserve"> </t>
    </r>
  </si>
  <si>
    <t xml:space="preserve">132 Uzbek </t>
  </si>
  <si>
    <t>013 Basque Euskera</t>
  </si>
  <si>
    <t xml:space="preserve">053 Hungarian Magyar </t>
  </si>
  <si>
    <t xml:space="preserve">093 Punjabi Panjabi </t>
  </si>
  <si>
    <r>
      <t>133 Vietnamese</t>
    </r>
    <r>
      <rPr>
        <sz val="7"/>
        <rFont val="Times New Roman"/>
        <family val="1"/>
      </rPr>
      <t xml:space="preserve"> </t>
    </r>
  </si>
  <si>
    <t xml:space="preserve">014 Bengali Bangla </t>
  </si>
  <si>
    <t xml:space="preserve">054 Icelandic Islenzk </t>
  </si>
  <si>
    <t xml:space="preserve">094 Quechua </t>
  </si>
  <si>
    <t xml:space="preserve">015 Bhutani </t>
  </si>
  <si>
    <t xml:space="preserve">055 Indonesian Bahasa Indonesia </t>
  </si>
  <si>
    <t xml:space="preserve">095 Rhaeto - Romance </t>
  </si>
  <si>
    <t xml:space="preserve">135 Welsh </t>
  </si>
  <si>
    <t xml:space="preserve">016 Bihari </t>
  </si>
  <si>
    <t xml:space="preserve">096 Romanian </t>
  </si>
  <si>
    <t xml:space="preserve">136 Wolof </t>
  </si>
  <si>
    <t xml:space="preserve">017 Bislama </t>
  </si>
  <si>
    <t xml:space="preserve">097 Russian </t>
  </si>
  <si>
    <t xml:space="preserve">137 Xhosa </t>
  </si>
  <si>
    <t xml:space="preserve">018 Breton </t>
  </si>
  <si>
    <t xml:space="preserve">058 Inupiak </t>
  </si>
  <si>
    <r>
      <t>098</t>
    </r>
    <r>
      <rPr>
        <sz val="7"/>
        <rFont val="Times New Roman"/>
        <family val="1"/>
      </rPr>
      <t xml:space="preserve"> Samoan </t>
    </r>
  </si>
  <si>
    <r>
      <t>138 Yiddish Jiddisch</t>
    </r>
    <r>
      <rPr>
        <sz val="7"/>
        <rFont val="Times New Roman"/>
        <family val="1"/>
      </rPr>
      <t xml:space="preserve"> </t>
    </r>
  </si>
  <si>
    <t xml:space="preserve">019 Bulgarian </t>
  </si>
  <si>
    <t xml:space="preserve">059 Irish Gaeilge </t>
  </si>
  <si>
    <t xml:space="preserve">099 Sangho </t>
  </si>
  <si>
    <t xml:space="preserve">139 Yoruba </t>
  </si>
  <si>
    <t xml:space="preserve">020 Burmese Myanmasa </t>
  </si>
  <si>
    <t>The decision was approved by LDE to  use 99=unknown  when mults occur for Specialized Education Exceptionality Category (in ELDA only) rather than use 17 (other).  I have added “99” as a value in the ‘Summarized Special Education Exceptionality Category’ in eLDESTD.  (pos 306-307)  This will show only in the data but will not be reported on any summary reports.</t>
  </si>
  <si>
    <t xml:space="preserve">060 Italian </t>
  </si>
  <si>
    <t xml:space="preserve">100 Sanskrit </t>
  </si>
  <si>
    <t xml:space="preserve">140 Zulu </t>
  </si>
  <si>
    <t xml:space="preserve">021 Byelorussian </t>
  </si>
  <si>
    <r>
      <t>061 Japanese Nihongo</t>
    </r>
    <r>
      <rPr>
        <sz val="7"/>
        <rFont val="Times New Roman"/>
        <family val="1"/>
      </rPr>
      <t xml:space="preserve"> </t>
    </r>
  </si>
  <si>
    <t xml:space="preserve">101 Scots Gaelic </t>
  </si>
  <si>
    <r>
      <t>141 OTHER</t>
    </r>
    <r>
      <rPr>
        <sz val="7"/>
        <rFont val="Times New Roman"/>
        <family val="1"/>
      </rPr>
      <t xml:space="preserve"> </t>
    </r>
  </si>
  <si>
    <t>Field Use</t>
  </si>
  <si>
    <t>Starting Location</t>
  </si>
  <si>
    <t>Ending Location</t>
  </si>
  <si>
    <t xml:space="preserve">022 Cambodian Khmer </t>
  </si>
  <si>
    <t xml:space="preserve">062 Javanese Bahasa Jawa </t>
  </si>
  <si>
    <t>Change Bubbled Time Student Has Received Services in Specialized Language Program to "5 years or more" (pos 305) to be same as answer document</t>
  </si>
  <si>
    <t>Add "E" for equating to Field Use for Include in N Count (pos1123-1126) and Rollup to State (Pos 1159).  (4/15/09) Took "E" out as ELDA  is not equated at DRC.  LDE gives us the appropriate files.</t>
  </si>
  <si>
    <t>Change Bubbled Time Student Enrolled In School to "5 years or more" (pos298) to be same as answer document.</t>
  </si>
  <si>
    <t xml:space="preserve">102 Serbian Srpski </t>
  </si>
  <si>
    <t xml:space="preserve">023 Catalan </t>
  </si>
  <si>
    <t xml:space="preserve">063 Kannada </t>
  </si>
  <si>
    <t xml:space="preserve">103 Serbo-Croatian </t>
  </si>
  <si>
    <t xml:space="preserve">024 Cherokee </t>
  </si>
  <si>
    <t xml:space="preserve">064 Kashmiri </t>
  </si>
  <si>
    <t xml:space="preserve">104 Sesotho </t>
  </si>
  <si>
    <r>
      <t>025 Chetemacha</t>
    </r>
    <r>
      <rPr>
        <b/>
        <sz val="7"/>
        <rFont val="Times New Roman"/>
        <family val="1"/>
      </rPr>
      <t xml:space="preserve"> </t>
    </r>
  </si>
  <si>
    <t xml:space="preserve">065 Kazakh </t>
  </si>
  <si>
    <t xml:space="preserve">105 Setswana </t>
  </si>
  <si>
    <t>026 Chinese/Cantonese/Mandarin/Zhongwen</t>
  </si>
  <si>
    <t xml:space="preserve">066 Kinyarwanda </t>
  </si>
  <si>
    <t xml:space="preserve">106 Shona </t>
  </si>
  <si>
    <t xml:space="preserve">027 Choctaw </t>
  </si>
  <si>
    <t xml:space="preserve">067 Kirghiz Kyrgyz </t>
  </si>
  <si>
    <t xml:space="preserve">107 Sindhi </t>
  </si>
  <si>
    <t xml:space="preserve">028 Corsican </t>
  </si>
  <si>
    <t xml:space="preserve">068 Kirundi </t>
  </si>
  <si>
    <t xml:space="preserve">108 Singhalese </t>
  </si>
  <si>
    <t xml:space="preserve">029 Coushatta </t>
  </si>
  <si>
    <r>
      <t>069 Korean Choson-o</t>
    </r>
    <r>
      <rPr>
        <sz val="7"/>
        <rFont val="Times New Roman"/>
        <family val="1"/>
      </rPr>
      <t xml:space="preserve"> </t>
    </r>
  </si>
  <si>
    <t xml:space="preserve">109 Siswati </t>
  </si>
  <si>
    <t xml:space="preserve">030 Croatian Hrvatski </t>
  </si>
  <si>
    <t xml:space="preserve">070 Kurdish Zimany Kurdy </t>
  </si>
  <si>
    <t xml:space="preserve">110 Slovak </t>
  </si>
  <si>
    <r>
      <t>031 Czech</t>
    </r>
    <r>
      <rPr>
        <sz val="7"/>
        <rFont val="Times New Roman"/>
        <family val="1"/>
      </rPr>
      <t xml:space="preserve"> </t>
    </r>
  </si>
  <si>
    <t xml:space="preserve">071 Laothian Pha Xa Lao </t>
  </si>
  <si>
    <t xml:space="preserve">111 Slovenian </t>
  </si>
  <si>
    <t xml:space="preserve">032 Danish </t>
  </si>
  <si>
    <t xml:space="preserve">072 Latin </t>
  </si>
  <si>
    <t xml:space="preserve">112 Somali </t>
  </si>
  <si>
    <t xml:space="preserve">033 Dutch Nederlands </t>
  </si>
  <si>
    <t xml:space="preserve">073 Latvian, Lettish </t>
  </si>
  <si>
    <t xml:space="preserve">113 Spanish </t>
  </si>
  <si>
    <t xml:space="preserve">034 English </t>
  </si>
  <si>
    <t xml:space="preserve">074 Lingala </t>
  </si>
  <si>
    <t xml:space="preserve">114 Sundanese </t>
  </si>
  <si>
    <t xml:space="preserve">075 Lithuanian </t>
  </si>
  <si>
    <t xml:space="preserve">115 Swahili </t>
  </si>
  <si>
    <t xml:space="preserve">036 Estonian </t>
  </si>
  <si>
    <t>076 Macedonian</t>
  </si>
  <si>
    <t xml:space="preserve">116 Swedish Svenska </t>
  </si>
  <si>
    <t>037 Faroese</t>
  </si>
  <si>
    <t xml:space="preserve">077 Malagasy </t>
  </si>
  <si>
    <t xml:space="preserve">117 Tagalog </t>
  </si>
  <si>
    <r>
      <t>038 Farsi (Persian)</t>
    </r>
    <r>
      <rPr>
        <sz val="7"/>
        <rFont val="Times New Roman"/>
        <family val="1"/>
      </rPr>
      <t xml:space="preserve"> </t>
    </r>
  </si>
  <si>
    <t xml:space="preserve">078 Malay Bahasa Malaysia </t>
  </si>
  <si>
    <t xml:space="preserve">118 Tajik </t>
  </si>
  <si>
    <t xml:space="preserve">039 Fiji </t>
  </si>
  <si>
    <t xml:space="preserve">079 Malayalam </t>
  </si>
  <si>
    <t xml:space="preserve">119 Tamil </t>
  </si>
  <si>
    <t xml:space="preserve">040 Finnish Suomi </t>
  </si>
  <si>
    <t xml:space="preserve">080 Maltese </t>
  </si>
  <si>
    <t xml:space="preserve">120 Tatar </t>
  </si>
  <si>
    <t xml:space="preserve">AD Andorra </t>
  </si>
  <si>
    <t xml:space="preserve">ER Eritrea </t>
  </si>
  <si>
    <t xml:space="preserve">LU Luxembourg </t>
  </si>
  <si>
    <t xml:space="preserve">SL Sierra Leone </t>
  </si>
  <si>
    <t xml:space="preserve">AE United Arab Emirates </t>
  </si>
  <si>
    <t xml:space="preserve">ES Spain </t>
  </si>
  <si>
    <t xml:space="preserve">LV Latvia </t>
  </si>
  <si>
    <t xml:space="preserve">SM San Marino </t>
  </si>
  <si>
    <t xml:space="preserve">AF Afghanistan </t>
  </si>
  <si>
    <t xml:space="preserve">ET Ethiopia </t>
  </si>
  <si>
    <t xml:space="preserve">LY Libyan Arab Jamahiriya </t>
  </si>
  <si>
    <t xml:space="preserve">SN Senegal </t>
  </si>
  <si>
    <t xml:space="preserve">AG Antigua and Barbuda </t>
  </si>
  <si>
    <t xml:space="preserve">FI Finland </t>
  </si>
  <si>
    <t xml:space="preserve">MA Morocco </t>
  </si>
  <si>
    <t xml:space="preserve">SO Somalia </t>
  </si>
  <si>
    <t xml:space="preserve">AI Anguilla </t>
  </si>
  <si>
    <t xml:space="preserve">FJ Fiji </t>
  </si>
  <si>
    <t xml:space="preserve">MC Monaco </t>
  </si>
  <si>
    <t xml:space="preserve">SR Suriname </t>
  </si>
  <si>
    <t xml:space="preserve">AL Albania </t>
  </si>
  <si>
    <t xml:space="preserve">FK Falkland Islands (Malvinas) </t>
  </si>
  <si>
    <t xml:space="preserve">MD Moldova, Republic of </t>
  </si>
  <si>
    <t xml:space="preserve">ST Sao Tome and Principe </t>
  </si>
  <si>
    <t xml:space="preserve">AM Armenia </t>
  </si>
  <si>
    <t xml:space="preserve">FM Micronesia </t>
  </si>
  <si>
    <t xml:space="preserve">MG Madagascar </t>
  </si>
  <si>
    <t xml:space="preserve">SU Union of Soviet Socialist Republics </t>
  </si>
  <si>
    <t xml:space="preserve">AN Netherlands Antilles </t>
  </si>
  <si>
    <t xml:space="preserve">FO Faroe Islands </t>
  </si>
  <si>
    <t xml:space="preserve">MH Marshall Islands </t>
  </si>
  <si>
    <t xml:space="preserve">SV El Salvador </t>
  </si>
  <si>
    <t xml:space="preserve">AO Angola </t>
  </si>
  <si>
    <t xml:space="preserve">FR France </t>
  </si>
  <si>
    <t xml:space="preserve">ML Mali </t>
  </si>
  <si>
    <t xml:space="preserve">SY Syrian Arab Republic </t>
  </si>
  <si>
    <t xml:space="preserve">AQ Antarctica </t>
  </si>
  <si>
    <t xml:space="preserve">FX France, Metropolitan </t>
  </si>
  <si>
    <t xml:space="preserve">MM Myanmar </t>
  </si>
  <si>
    <t xml:space="preserve">SZ Swaziland </t>
  </si>
  <si>
    <t xml:space="preserve">AR Argentina </t>
  </si>
  <si>
    <t xml:space="preserve">GA Gabon </t>
  </si>
  <si>
    <t xml:space="preserve">MN Mongolia </t>
  </si>
  <si>
    <t xml:space="preserve">TC Turks and Caicos Islands </t>
  </si>
  <si>
    <t xml:space="preserve">AS American Samoa </t>
  </si>
  <si>
    <t xml:space="preserve">GB United Kingdom (Great Britain) </t>
  </si>
  <si>
    <t xml:space="preserve">MO Macau </t>
  </si>
  <si>
    <t xml:space="preserve">TD Chad </t>
  </si>
  <si>
    <t xml:space="preserve">AT Austria </t>
  </si>
  <si>
    <t xml:space="preserve">GD Grenada </t>
  </si>
  <si>
    <t xml:space="preserve">MP Northern Mariana Islands </t>
  </si>
  <si>
    <t xml:space="preserve">TF French Southern Territories </t>
  </si>
  <si>
    <t xml:space="preserve">AU Australia </t>
  </si>
  <si>
    <t>COMMON DEMOGRAPHIC INFORMATION</t>
  </si>
  <si>
    <t>Test Date Month</t>
  </si>
  <si>
    <t>Test Date Year</t>
  </si>
  <si>
    <t xml:space="preserve">Straggler </t>
  </si>
  <si>
    <t>State ID</t>
  </si>
  <si>
    <t>Barcode/Student Precode Number</t>
  </si>
  <si>
    <t>Student Last Name</t>
  </si>
  <si>
    <t>Student First Name</t>
  </si>
  <si>
    <t>Student Middle Initial</t>
  </si>
  <si>
    <t>Summarized DOB Month</t>
  </si>
  <si>
    <t>Summarized DOB Day</t>
  </si>
  <si>
    <t>Summarized DOB Year</t>
  </si>
  <si>
    <t>Summarized Gender</t>
  </si>
  <si>
    <t>Summarized Lunch Status</t>
  </si>
  <si>
    <t>Bubbled Lunch Status</t>
  </si>
  <si>
    <t>LAP Option Code</t>
  </si>
  <si>
    <t>Bubbled Education Classification</t>
  </si>
  <si>
    <t xml:space="preserve">Gifted </t>
  </si>
  <si>
    <t>Talented</t>
  </si>
  <si>
    <t>Autism</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</si>
  <si>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</si>
  <si>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</si>
  <si>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</si>
  <si>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</si>
  <si>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</si>
  <si>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</si>
  <si>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</si>
  <si>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</si>
  <si>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</si>
  <si>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</si>
  <si>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</si>
  <si>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</si>
  <si>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Bubbled Special Education Test Accommodations</t>
  </si>
  <si>
    <t>No Accommodations</t>
  </si>
  <si>
    <t>Braille</t>
  </si>
  <si>
    <t>Large Print</t>
  </si>
  <si>
    <t>Answers Recorded</t>
  </si>
  <si>
    <t>Assistive Technology</t>
  </si>
  <si>
    <t>Extended Time</t>
  </si>
  <si>
    <t>Communication Assistance</t>
  </si>
  <si>
    <t>Transferred Answers</t>
  </si>
  <si>
    <t>Individual/Small Group Administration</t>
  </si>
  <si>
    <t>Bubbled Date of Entry into US - Month</t>
  </si>
  <si>
    <t>Bubbled Date of Entry into US - Year</t>
  </si>
  <si>
    <t>Tests Read Aloud</t>
  </si>
  <si>
    <t>Other</t>
  </si>
  <si>
    <t>Content-Based ESL</t>
  </si>
  <si>
    <t>Pull-out ESL</t>
  </si>
  <si>
    <t>Dual language</t>
  </si>
  <si>
    <t>Transitional bilingual</t>
  </si>
  <si>
    <t>Developmental bilingual</t>
  </si>
  <si>
    <t>Sheltered English instruction</t>
  </si>
  <si>
    <t>Structured English immersion</t>
  </si>
  <si>
    <t>Did not participate</t>
  </si>
  <si>
    <t>Bubbled Section 504 Status</t>
  </si>
  <si>
    <t>Bubbled Section 504 Test Accommodations</t>
  </si>
  <si>
    <t>Bubbled Nonparticipation Codes</t>
  </si>
  <si>
    <t>Date of Entry into US to Establish Immigrant Status</t>
  </si>
  <si>
    <t>Summarized  Reporting Grade</t>
  </si>
  <si>
    <t>Summarized Date of Entry into US - Month</t>
  </si>
  <si>
    <t>Summarized Date of Entry into US - Year</t>
  </si>
  <si>
    <t>Reading Item Responses</t>
  </si>
  <si>
    <t>Writing Item Responses</t>
  </si>
  <si>
    <t>Listening Item Responses</t>
  </si>
  <si>
    <t>Teacher Scored Speaking Item Responses</t>
  </si>
  <si>
    <t>K-2 Inventory Reading Item Responses</t>
  </si>
  <si>
    <t>K-2 Inventory Writing Item Responses</t>
  </si>
  <si>
    <t>K-2 Inventory Listening Item Responses</t>
  </si>
  <si>
    <t>K-2 Inventory Speaking Item Responses</t>
  </si>
  <si>
    <t>Production Level</t>
  </si>
  <si>
    <t>Comprehension Level</t>
  </si>
  <si>
    <t>Composite Level</t>
  </si>
  <si>
    <t>Student Processing &amp; Reporting Section</t>
  </si>
  <si>
    <t>Included in N-counts</t>
  </si>
  <si>
    <t>Test Taken Flag</t>
  </si>
  <si>
    <t>Rollup to State</t>
  </si>
  <si>
    <t>Summarize to Assessment Group Code for district level reporting</t>
  </si>
  <si>
    <t>Schools summarized to LEA Code for district level reporting</t>
  </si>
  <si>
    <t>District reports go to district</t>
  </si>
  <si>
    <t>District report goes to LDE</t>
  </si>
  <si>
    <t>Summary Reports</t>
  </si>
  <si>
    <t>Roster Reports</t>
  </si>
  <si>
    <t>Student Labels</t>
  </si>
  <si>
    <t xml:space="preserve">Student Label </t>
  </si>
  <si>
    <t>K</t>
  </si>
  <si>
    <t xml:space="preserve">Student Report </t>
  </si>
  <si>
    <t>Document Type Returned</t>
  </si>
  <si>
    <t>Batch Number</t>
  </si>
  <si>
    <t>Lithocode</t>
  </si>
  <si>
    <t>DRC Unique Student ID</t>
  </si>
  <si>
    <t>Security Barcode Number</t>
  </si>
  <si>
    <t>Record Length:</t>
  </si>
  <si>
    <t>Document Grade Cluster</t>
  </si>
  <si>
    <t>School Name</t>
  </si>
  <si>
    <t>District Name</t>
  </si>
  <si>
    <t>School Code</t>
  </si>
  <si>
    <t>District Code</t>
  </si>
  <si>
    <t xml:space="preserve">ASSESSMENT ROLLUP &amp; INCLUSION FLAGS </t>
  </si>
  <si>
    <t xml:space="preserve">GE Georgia </t>
  </si>
  <si>
    <t xml:space="preserve">MQ Martinique </t>
  </si>
  <si>
    <t xml:space="preserve">TG Togo </t>
  </si>
  <si>
    <t xml:space="preserve">AW Aruba </t>
  </si>
  <si>
    <t xml:space="preserve">GF French Guiana </t>
  </si>
  <si>
    <t xml:space="preserve">MR Mauritania </t>
  </si>
  <si>
    <t xml:space="preserve">TH Thailand </t>
  </si>
  <si>
    <t xml:space="preserve">AZ Azerbaijan </t>
  </si>
  <si>
    <t xml:space="preserve">GH Ghana </t>
  </si>
  <si>
    <t xml:space="preserve">MS Montserrat </t>
  </si>
  <si>
    <t xml:space="preserve">TJ Tajikistan </t>
  </si>
  <si>
    <t xml:space="preserve">BA Bosnia and Herzegovina </t>
  </si>
  <si>
    <t xml:space="preserve">GI Gibraltar </t>
  </si>
  <si>
    <t xml:space="preserve">MT Malta </t>
  </si>
  <si>
    <t xml:space="preserve">TK Tokelau </t>
  </si>
  <si>
    <t xml:space="preserve">BB Barbados </t>
  </si>
  <si>
    <t xml:space="preserve">GL Greenland </t>
  </si>
  <si>
    <t xml:space="preserve">MU Mauritius </t>
  </si>
  <si>
    <t xml:space="preserve">TM Turkmenistan </t>
  </si>
  <si>
    <t xml:space="preserve">BD Bangladesh </t>
  </si>
  <si>
    <t xml:space="preserve">GM Gambia </t>
  </si>
  <si>
    <t xml:space="preserve">MV Maldives </t>
  </si>
  <si>
    <t xml:space="preserve">TN Tunisia </t>
  </si>
  <si>
    <t xml:space="preserve">BE Belgium </t>
  </si>
  <si>
    <t xml:space="preserve">GN Guinea </t>
  </si>
  <si>
    <t xml:space="preserve">MW Malawi </t>
  </si>
  <si>
    <t xml:space="preserve">TO Tonga </t>
  </si>
  <si>
    <t xml:space="preserve">BF Burkina Faso </t>
  </si>
  <si>
    <t xml:space="preserve">GP Guadeloupe </t>
  </si>
  <si>
    <t xml:space="preserve">MX Mexico </t>
  </si>
  <si>
    <t xml:space="preserve">TP East Timor </t>
  </si>
  <si>
    <t xml:space="preserve">BG Bulgaria </t>
  </si>
  <si>
    <t xml:space="preserve">GQ Equatorial Guinea </t>
  </si>
  <si>
    <t xml:space="preserve">MY Malaysia </t>
  </si>
  <si>
    <t xml:space="preserve">TR Turkey </t>
  </si>
  <si>
    <t xml:space="preserve">BH Bahrain </t>
  </si>
  <si>
    <t xml:space="preserve">GR Greece </t>
  </si>
  <si>
    <t xml:space="preserve">MZ Mozambique </t>
  </si>
  <si>
    <t xml:space="preserve">TT Trinidad and Tobago </t>
  </si>
  <si>
    <t xml:space="preserve">BI Burundi </t>
  </si>
  <si>
    <t>GS South Georgia and South Sandwich Is.</t>
  </si>
  <si>
    <t xml:space="preserve">NA Namibia </t>
  </si>
  <si>
    <t xml:space="preserve">TV Tuvalu </t>
  </si>
  <si>
    <t xml:space="preserve">BJ Benin </t>
  </si>
  <si>
    <t xml:space="preserve">GT Guatemala </t>
  </si>
  <si>
    <t xml:space="preserve">NC New Caledonia </t>
  </si>
  <si>
    <t xml:space="preserve">TW Taiwan, Province of China </t>
  </si>
  <si>
    <t xml:space="preserve">BM Bermuda </t>
  </si>
  <si>
    <t xml:space="preserve">GU Guam </t>
  </si>
  <si>
    <t xml:space="preserve">NE Niger </t>
  </si>
  <si>
    <t>Changed documentation of the comment for Specialized language field to reflect true values (e.g. "08" instead of just "8")</t>
  </si>
  <si>
    <t xml:space="preserve">TZ Tanzania, United Republic of </t>
  </si>
  <si>
    <t xml:space="preserve">BN Brunei Darussalam </t>
  </si>
  <si>
    <t xml:space="preserve">GW Guinea-Bissau </t>
  </si>
  <si>
    <t xml:space="preserve">NF Norfolk Island </t>
  </si>
  <si>
    <t xml:space="preserve">UA Ukraine </t>
  </si>
  <si>
    <t xml:space="preserve">BO Bolivia </t>
  </si>
  <si>
    <t xml:space="preserve">GY Guyana </t>
  </si>
  <si>
    <t xml:space="preserve">NG Nigeria </t>
  </si>
  <si>
    <t xml:space="preserve">UG Uganda </t>
  </si>
  <si>
    <t xml:space="preserve">BR Brazil </t>
  </si>
  <si>
    <t xml:space="preserve">HK Hong Kong </t>
  </si>
  <si>
    <t xml:space="preserve">NI Nicaragua </t>
  </si>
  <si>
    <t>UM United States Minor Outlying Is</t>
  </si>
  <si>
    <t xml:space="preserve">BS Bahamas </t>
  </si>
  <si>
    <t xml:space="preserve">HM Heard Island &amp; McDonald Islands </t>
  </si>
  <si>
    <t xml:space="preserve">NL Netherlands </t>
  </si>
  <si>
    <r>
      <t>US United States of America</t>
    </r>
    <r>
      <rPr>
        <sz val="7"/>
        <rFont val="Times New Roman"/>
        <family val="1"/>
      </rPr>
      <t xml:space="preserve"> </t>
    </r>
  </si>
  <si>
    <t xml:space="preserve">BT Bhutan </t>
  </si>
  <si>
    <t xml:space="preserve">HN Honduras </t>
  </si>
  <si>
    <t xml:space="preserve">NO Norway </t>
  </si>
  <si>
    <t xml:space="preserve">UY Uruguay </t>
  </si>
  <si>
    <t xml:space="preserve">BU Burma </t>
  </si>
  <si>
    <t xml:space="preserve">HR Croatia </t>
  </si>
  <si>
    <t xml:space="preserve">NP Nepal </t>
  </si>
  <si>
    <t>Pos1313-1320 added detail in description(if valid and Test Taken = N), otherwise blank</t>
  </si>
  <si>
    <t xml:space="preserve">UZ Uzbekistan </t>
  </si>
  <si>
    <t xml:space="preserve">BV Bouvet Island </t>
  </si>
  <si>
    <t xml:space="preserve">HT Haiti </t>
  </si>
  <si>
    <t xml:space="preserve">NR Nauru </t>
  </si>
  <si>
    <t>VA Vatican City State</t>
  </si>
  <si>
    <t xml:space="preserve">BW Botswana </t>
  </si>
  <si>
    <t xml:space="preserve">HU Hungary </t>
  </si>
  <si>
    <t xml:space="preserve">NT Neutral Zone </t>
  </si>
  <si>
    <t xml:space="preserve">VC St. Vincent and the Grenadines </t>
  </si>
  <si>
    <t xml:space="preserve">BY Byelorussian SSR  </t>
  </si>
  <si>
    <t xml:space="preserve">ID Indonesia </t>
  </si>
  <si>
    <t xml:space="preserve">NU Niue </t>
  </si>
  <si>
    <t xml:space="preserve">VE Venezuela </t>
  </si>
  <si>
    <t xml:space="preserve">BZ Belize </t>
  </si>
  <si>
    <t xml:space="preserve">IE Ireland </t>
  </si>
  <si>
    <t xml:space="preserve">NZ New Zealand </t>
  </si>
  <si>
    <t xml:space="preserve">VG British Virgin Islands </t>
  </si>
  <si>
    <t xml:space="preserve">CA Canada </t>
  </si>
  <si>
    <t xml:space="preserve">IL Israel </t>
  </si>
  <si>
    <t xml:space="preserve">OM Oman </t>
  </si>
  <si>
    <t xml:space="preserve">VI United States Virgin Islands </t>
  </si>
  <si>
    <t xml:space="preserve">CC Cocos (Keeling) Islands </t>
  </si>
  <si>
    <t xml:space="preserve">IN India </t>
  </si>
  <si>
    <t xml:space="preserve">PA Panama </t>
  </si>
  <si>
    <t xml:space="preserve">VN Vietnam </t>
  </si>
  <si>
    <t xml:space="preserve">CF Central African Republic </t>
  </si>
  <si>
    <t xml:space="preserve">IO British Indian Ocean Territory </t>
  </si>
  <si>
    <t xml:space="preserve">PE Peru </t>
  </si>
  <si>
    <t xml:space="preserve">VU Vanuatu </t>
  </si>
  <si>
    <t xml:space="preserve">CG Congo </t>
  </si>
  <si>
    <t xml:space="preserve">IQ Iraq </t>
  </si>
  <si>
    <t xml:space="preserve">PF French Polynesia </t>
  </si>
  <si>
    <t xml:space="preserve">Changes to Pos 101-102 Bubbled Grade:  Clarify "--" is used when there is "no response" on a Returned Document.  Add "blank" as a bubbled value to be used when document is Not Returned and also eliminated a generic logic note and stated that  summarized (reporting) grade should be determined from scoring tables. </t>
  </si>
  <si>
    <t>For consistency, changed description of  Summarized Special Education Exceptionality Category (Pos 306-307)    "99" to be Unknown (Multiple Responses)</t>
  </si>
  <si>
    <t xml:space="preserve">WF Wallis and Futuna Islands </t>
  </si>
  <si>
    <t xml:space="preserve">CH Switzerland </t>
  </si>
  <si>
    <t xml:space="preserve">IR Islamic Republic of Iran </t>
  </si>
  <si>
    <t xml:space="preserve">PG Papua New Guinea </t>
  </si>
  <si>
    <t xml:space="preserve">WS Samoa </t>
  </si>
  <si>
    <t xml:space="preserve">CI Ivory Coast </t>
  </si>
  <si>
    <t xml:space="preserve">IS Iceland </t>
  </si>
  <si>
    <t xml:space="preserve">PH Philippines </t>
  </si>
  <si>
    <t xml:space="preserve">YD Democratic Yemen </t>
  </si>
  <si>
    <t xml:space="preserve">CK Cook Islands </t>
  </si>
  <si>
    <t xml:space="preserve">IT Italy </t>
  </si>
  <si>
    <t xml:space="preserve">PK Pakistan </t>
  </si>
  <si>
    <t xml:space="preserve">YE Yemen </t>
  </si>
  <si>
    <t xml:space="preserve">CL Chile </t>
  </si>
  <si>
    <t xml:space="preserve">JM Jamaica </t>
  </si>
  <si>
    <t xml:space="preserve">PL Poland </t>
  </si>
  <si>
    <t xml:space="preserve">YT Mayotte </t>
  </si>
  <si>
    <t xml:space="preserve">CM Cameroon </t>
  </si>
  <si>
    <t xml:space="preserve">JO Jordan </t>
  </si>
  <si>
    <t xml:space="preserve">PM St. Pierre and Miquelon </t>
  </si>
  <si>
    <t xml:space="preserve">YU Yugoslavia </t>
  </si>
  <si>
    <t xml:space="preserve">CN China </t>
  </si>
  <si>
    <t xml:space="preserve">JP Japan </t>
  </si>
  <si>
    <t xml:space="preserve">PN Pitcairn </t>
  </si>
  <si>
    <t xml:space="preserve">ZA South Africa </t>
  </si>
  <si>
    <t xml:space="preserve">CO Columbia </t>
  </si>
  <si>
    <t xml:space="preserve">KE Kenya </t>
  </si>
  <si>
    <t xml:space="preserve">PR Puerto Rico </t>
  </si>
  <si>
    <t xml:space="preserve">ZM Zambia </t>
  </si>
  <si>
    <t xml:space="preserve">CR Costa Rica </t>
  </si>
  <si>
    <t xml:space="preserve">KG Kyrgyzstan </t>
  </si>
  <si>
    <t xml:space="preserve">PT Portugal </t>
  </si>
  <si>
    <t xml:space="preserve">ZR Zaire </t>
  </si>
  <si>
    <t xml:space="preserve">CS Czechoslovakia </t>
  </si>
  <si>
    <t xml:space="preserve">KH Cambodia (Kampuchea) </t>
  </si>
  <si>
    <t xml:space="preserve">PW Palau </t>
  </si>
  <si>
    <t xml:space="preserve">ZW Zimbabwe </t>
  </si>
  <si>
    <t xml:space="preserve">CU Cuba </t>
  </si>
  <si>
    <t xml:space="preserve">KI Kiribati </t>
  </si>
  <si>
    <t xml:space="preserve">PY Paraguay </t>
  </si>
  <si>
    <r>
      <t>ZZ</t>
    </r>
    <r>
      <rPr>
        <sz val="7"/>
        <rFont val="Times New Roman"/>
        <family val="1"/>
      </rPr>
      <t xml:space="preserve"> </t>
    </r>
    <r>
      <rPr>
        <b/>
        <sz val="7"/>
        <rFont val="Times New Roman"/>
        <family val="1"/>
      </rPr>
      <t>Unknown or unspecified</t>
    </r>
  </si>
  <si>
    <t xml:space="preserve">CV Cape Verde </t>
  </si>
  <si>
    <t xml:space="preserve">KM Comoros </t>
  </si>
  <si>
    <t xml:space="preserve">QA Qatar </t>
  </si>
  <si>
    <t xml:space="preserve">CX Christmas Island </t>
  </si>
  <si>
    <t xml:space="preserve">KN St. Kitts and Nevis </t>
  </si>
  <si>
    <t xml:space="preserve">RE Reunion </t>
  </si>
  <si>
    <t xml:space="preserve">CY Cyprus </t>
  </si>
  <si>
    <t>KP Korea, (Democratic People’s Rep)</t>
  </si>
  <si>
    <t xml:space="preserve">RO Romania </t>
  </si>
  <si>
    <t>Possible Values</t>
  </si>
  <si>
    <t>Description/Comments</t>
  </si>
  <si>
    <t>CZ Czech Republic</t>
  </si>
  <si>
    <t xml:space="preserve">KR Korea, Republic of </t>
  </si>
  <si>
    <t xml:space="preserve">RU Russian Federation </t>
  </si>
  <si>
    <t>DD German Democratic Republic</t>
  </si>
  <si>
    <t xml:space="preserve">KW Kuwait </t>
  </si>
  <si>
    <t xml:space="preserve">RW Rwanda </t>
  </si>
  <si>
    <t xml:space="preserve">DE Germany (Fed. Rep. of Germany) </t>
  </si>
  <si>
    <t xml:space="preserve">KY Cayman Islands </t>
  </si>
  <si>
    <t xml:space="preserve">SA Saudi Arabia </t>
  </si>
  <si>
    <t xml:space="preserve">DJ Djibouti </t>
  </si>
  <si>
    <t xml:space="preserve">KZ Kazakhstan </t>
  </si>
  <si>
    <t xml:space="preserve">SB Solomon Islands </t>
  </si>
  <si>
    <t xml:space="preserve">DK Denmark </t>
  </si>
  <si>
    <t xml:space="preserve">LA Lao People’s Democratic Republic </t>
  </si>
  <si>
    <t xml:space="preserve">SC Seychelles </t>
  </si>
  <si>
    <t xml:space="preserve">DM Dominica </t>
  </si>
  <si>
    <t xml:space="preserve">LB Lebanon </t>
  </si>
  <si>
    <t xml:space="preserve">SD Sudan </t>
  </si>
  <si>
    <t xml:space="preserve">DO Dominican Republic </t>
  </si>
  <si>
    <t xml:space="preserve">LC Saint Lucia </t>
  </si>
  <si>
    <t xml:space="preserve">SE Sweden </t>
  </si>
  <si>
    <t xml:space="preserve">DZ Algeria </t>
  </si>
  <si>
    <t xml:space="preserve">LI Liechtenstein </t>
  </si>
  <si>
    <t xml:space="preserve">SG Singapore </t>
  </si>
  <si>
    <t xml:space="preserve">EC Ecuador </t>
  </si>
  <si>
    <t xml:space="preserve">LK Sri Lanka </t>
  </si>
  <si>
    <t xml:space="preserve">SH St. Helena </t>
  </si>
  <si>
    <t xml:space="preserve">EE Estonia </t>
  </si>
  <si>
    <t xml:space="preserve">LR Liberia </t>
  </si>
  <si>
    <t xml:space="preserve">SI Slovenia </t>
  </si>
  <si>
    <t xml:space="preserve">EG Egypt </t>
  </si>
  <si>
    <t xml:space="preserve">LS Lesotho </t>
  </si>
  <si>
    <t xml:space="preserve">SJ Svalbard and Jan Mayen Islands </t>
  </si>
  <si>
    <t xml:space="preserve">EH Western Sahara </t>
  </si>
  <si>
    <t xml:space="preserve">LT Lithuania </t>
  </si>
  <si>
    <t xml:space="preserve">SK Slovakia </t>
  </si>
  <si>
    <t>Changes from LDE (made while at the June 5-7 planning meeting)</t>
  </si>
  <si>
    <t>Shar Hall</t>
  </si>
  <si>
    <t>Removed Comment from scaled score fields related to blank scaled scores for K-2 in 2006.  Those scores will be valued for 2007.</t>
  </si>
  <si>
    <t>Added comment about the K-2 Scores (Raw scores represent only inventory items and Scale Scores will be blank)</t>
  </si>
  <si>
    <t>Added comment tot MC/CR test taken flag.  This is set based on non-inventory items only.</t>
  </si>
  <si>
    <t>Clarified when the summarized date of entry can be blank.</t>
  </si>
  <si>
    <t>clarified reporting grade and what happens if the precode grade is not in the range of the grade cluster of the AD that the student actually tested on.</t>
  </si>
  <si>
    <t>Correct responses are represented by the letter value of the response (e.g. a, b, c or d).  Incorrect responses are represented by the numeric value (e.g. 1, 2, 3 or 4)</t>
  </si>
  <si>
    <t>Added "Blank = Unknown (not precoded)" to Birth Country Code field.</t>
  </si>
  <si>
    <t>Final version (1.5) for Spring 2006 administration.</t>
  </si>
  <si>
    <t xml:space="preserve">This represents the answer document that the student took the test on.  It's the first position of the litho code for the document.  Except for Kindergarten and Grades 1-2, this number represents the first grade in the cluster for that document. 
</t>
  </si>
  <si>
    <t>LAP LEP Funding Code</t>
  </si>
  <si>
    <t>Changed Researcher and Simple fields to Y for (pos 172, 175, 176) to be consistent with other Admins.</t>
  </si>
  <si>
    <t>Summarized Special Education Exceptionality Category</t>
  </si>
  <si>
    <t xml:space="preserve">Update the following positions to show Y for Researcher and Simple:  LAP First or Native Language(pos165-167), Bubbled First or Native Language (pos 168-169), Reading Raw Score, Scaled Score and Proficiency Level (pos1028-1034), Writing Raw Score, Scaled Score and Proficiency Level (pos 1040-1046), Listening Raw Score, Scaled Score, and Proficiency Level (pos 1052-1058), Speaking Raw Score, Scaled Score, and Proficiency Level (pos 1064-1070) and the Performance Levels for Production, Comprehension, and Composite (pos 1076-1078).   Also added File Creation Date and Time Stamp. </t>
  </si>
  <si>
    <t>Change LA Generated ID to "Filler" (Pos 143-151) per LDE LAP file.  LA Generated ID is no longer being used.</t>
  </si>
  <si>
    <t>Remove "25 - Kindergarten" (Pos 101-102)  as a bubbled grade as it is the only grade on the answer document and the bubble has been removed in 2010.  Logic does not look at the bubbled grade Pos 101-102 for determining summarized grade for Kindergarten.</t>
  </si>
  <si>
    <t xml:space="preserve">
</t>
  </si>
  <si>
    <t>Updated 1293-1298 to show that DRC Unique ID value is included on all version of the LDESTD file;  added K and E to Field Use column.</t>
  </si>
  <si>
    <t>000000000-999999999
---------</t>
  </si>
  <si>
    <t>Added possible values and detail to the description/comments column for the State ID (Pos 124-132) that "*" and " " values are changed to "-".</t>
  </si>
  <si>
    <t>Added additional detail to the description/comments column for the Summarized DOB Month, Day and Year in (Pos 152-159)  that "*" and "  " values are changed to "-".</t>
  </si>
  <si>
    <t>Added additional detail to the description/comments column for Student Last and First Name (Pos103-122) that "*", "-", and "_" values are changed to spaces, and then the spaces are removed by compressing the values from the name fields.</t>
  </si>
  <si>
    <t>Updated the Scoring Information for each subject to further clarify the possible values for Raw Score, Scale Score, Proficiency Level.  (Pos 1029-1071</t>
  </si>
  <si>
    <t>Updated 360-944 to further clarify the possible values for the Item Response Strings.</t>
  </si>
  <si>
    <t xml:space="preserve">Add "4 = Career Diploma  Pathway/Track" to the LAP Option Code (Pos 189)  A Grade of 9-12 is needed to use Option Code 3 or 4. see Email from Vanessa Tom 10/26/09 Re: LAP file Layout.  </t>
  </si>
  <si>
    <t>Value of "Y" will only appear in the final eLDESTD file.</t>
  </si>
  <si>
    <t xml:space="preserve">Updated to show that "B" will be included in the Item Response String when a "B" (blank, individual CR Item not attempted) value is returned from handscoring.  Previously we passed blank.  (Pos 360-944).  </t>
  </si>
  <si>
    <t>Raw Score Total fields should show that the value will be zero (000.0) on the Equating file when handscoring is not complete for the subject - but this rule is not needed as ELDA is not equated.</t>
  </si>
  <si>
    <t>Unique number generated at the time the student record is converted into our Student File.  (Starts over each administration and listed on all versions of the  eLDESTD file.)</t>
  </si>
  <si>
    <t>Include in Researcher file?</t>
  </si>
  <si>
    <t>Include in LDE Staff &amp; Contractors file?</t>
  </si>
  <si>
    <t>Updated the file heading from 'Complete' to 'Final file_Assessment and Accountability Staff'.</t>
  </si>
  <si>
    <t>Heidi Bjugstad</t>
  </si>
  <si>
    <t>Updated the Research and Simple column fields to be Researcher and LDE Staff &amp; Contractors.</t>
  </si>
  <si>
    <t>1 = Type 1 Charter
2 = Type 2 Charter
3 = Type 3 Charter
4 = Type 4 Charter
5 = Type 5 Charter
Blank = Not a Charter School</t>
  </si>
  <si>
    <t>Added a business rule to reference the Match-back and eLDESTD Record Creation section of the Processing Rules - Materials and Scoring document for more information on how the Barcode/Student Precode Number value is populated in position 133-141.</t>
  </si>
  <si>
    <t>Updated the Include in N-Counts business rule to reference the new Include in N-Counts section in the Scoring Processing Rules for how the flags are set positions 1123-1126.</t>
  </si>
  <si>
    <t>Bubbled Ethnicity/Race</t>
  </si>
  <si>
    <t>Summarized Ethnicity/Race</t>
  </si>
  <si>
    <t>LAP Ethnicity/Race</t>
  </si>
  <si>
    <t>FOOTNOTE FLAGS BY DOMAIN - Reading</t>
  </si>
  <si>
    <t>FOOTNOTE FLAGS BY DOMAIN - Writing</t>
  </si>
  <si>
    <t>FOOTNOTE FLAGS BY DOMAIN - Listening</t>
  </si>
  <si>
    <t>FOOTNOTE FLAGS BY DOMAIN - Speaking</t>
  </si>
  <si>
    <t>0000000000-9999999999
Blank</t>
  </si>
  <si>
    <t>Charter Type</t>
  </si>
  <si>
    <t>FILLER</t>
  </si>
  <si>
    <t>Added LAP Section 504 field to position 300.</t>
  </si>
  <si>
    <t>Bubbled McKinney-Vento Act (Homeless)</t>
  </si>
  <si>
    <t>Summarized McKinney-Vento Act (Homeless)</t>
  </si>
  <si>
    <t>Y = Yes
N = No</t>
  </si>
  <si>
    <t>Added Summarized McKinney-Vento Act (Homeless) field to position 151.</t>
  </si>
  <si>
    <t>Added Bubbled McKinney-Vento Act (Homeless) field to position 273.</t>
  </si>
  <si>
    <t>LAP McKinney-Vento (Homeless) Flag</t>
  </si>
  <si>
    <t>Added Charter Type field to position 1143.</t>
  </si>
  <si>
    <t>Hispanic/Latino</t>
  </si>
  <si>
    <t>Asian</t>
  </si>
  <si>
    <t>Black or African American</t>
  </si>
  <si>
    <t>Native Hawaiian or Other Pacific Islander</t>
  </si>
  <si>
    <t>White</t>
  </si>
  <si>
    <t>Added Bubbled Ethnicity/Race fields to positions 267-272.</t>
  </si>
  <si>
    <t>LAP Hispanic/Latino</t>
  </si>
  <si>
    <t>LAP Asian</t>
  </si>
  <si>
    <t>LAP Black or African American</t>
  </si>
  <si>
    <t>LAP Native Hawaiian or Other Pacific Islander</t>
  </si>
  <si>
    <t>LAP White</t>
  </si>
  <si>
    <t xml:space="preserve">Added LAP Ethnicity/Race fields to positions 180-185. </t>
  </si>
  <si>
    <t>M = Male
F = Female
I = Invalid</t>
  </si>
  <si>
    <t>1 = Free Lunch Eligible
2 = Reduced Lunch Eligible
0 = Paid
9 = Unknown</t>
  </si>
  <si>
    <t>Renamed LAP Homeless Flag to LAP McKinney-Vento (Homeless) Flag, position 178.</t>
  </si>
  <si>
    <t>Updated LAP Option Code to remove "Pre-GED/Skills", position 188.</t>
  </si>
  <si>
    <t>Updated the field name and Summarized Ethnicity/Race possible values in pos. 161.</t>
  </si>
  <si>
    <t>Changed LAP Ethnicity to Filler in position 176.</t>
  </si>
  <si>
    <t>Y = Plagiarism in domain
N = No plagiarism in domain</t>
  </si>
  <si>
    <t>Y = Void in domain
N = No void in domain</t>
  </si>
  <si>
    <t>Y = Domain was attempted
N = Domain was not attempted</t>
  </si>
  <si>
    <t>1 = Regular Education
2 = Special Education</t>
  </si>
  <si>
    <t>DOCUMENT IDENTIFICATION</t>
  </si>
  <si>
    <t xml:space="preserve">Y = Yes
N = No    </t>
  </si>
  <si>
    <t xml:space="preserve">Y = Yes
N = No
</t>
  </si>
  <si>
    <t>Added a business rule to reference the Rules to Determine Demographic Values section of the Processing Rules - Scoring document: positions 99-100, 151, 152-159, 160-162, 170-171, 174, 248, 291-296, 306-307, 342, 343.</t>
  </si>
  <si>
    <t>Updated the LDE Unique ID field to be named LDE Unique ID (GUID) and updated the length from 7 to 10 in positions 1169-1178.</t>
  </si>
  <si>
    <t>Changed the LDE Unique ID field FILLER in positions 1252-1259.</t>
  </si>
  <si>
    <t>Added Home-base District Site Code to positions 1298-1300.</t>
  </si>
  <si>
    <t>Added Home-base School Site Code to positions 1301-1303.</t>
  </si>
  <si>
    <t>Added a business rule to reference the School Roster Report section of the Processing Rules - Reporting document to the ELA/Math and SCI on Roster flags in position 1184.</t>
  </si>
  <si>
    <t>Added a business rule to reference the Student Label section of the Processing Rules - Reporting document to the Student Label flag in position 1186.</t>
  </si>
  <si>
    <t>Added a business rule to outline the logic used to set the Test Security Violation flags in positions 1202, 1218, 1234, 1250.</t>
  </si>
  <si>
    <t>Added a business rule to reference the Nonparticipation Codes section of the Processing Rules - Materials and Scoring document for information and a process flow to the Updated Nonparticipation Code fields positions 1313-1320.</t>
  </si>
  <si>
    <t>Bubbled Special Education Exceptionality Categories</t>
  </si>
  <si>
    <t>Removed Bubbled Ethnicity to Ethnicity/Race from position 243 and changed to Filler.</t>
  </si>
  <si>
    <t>Changed value of "Included in Researcher/Staff and Contractor files back to "Y" for pos 165-167 and 277-284 per feedback from LDE. (remains unchanged from last year)</t>
  </si>
  <si>
    <t>Added (16 = "JUV") in position 1141-1142.</t>
  </si>
  <si>
    <t>Student's SSN
"*" and  " "  values are changed to -</t>
  </si>
  <si>
    <t>Updated text in Pos 1298 -1303 (Home-base District and School Site Code to reflect new text from LDE.</t>
  </si>
  <si>
    <t>Added  comment to Lithocode field (pos. 1284-1290) denoting that it will be 8 digits instead of 7. This will be removed in 2012.</t>
  </si>
  <si>
    <t>Added comment for Student Response Strings by Domain (Pos 359 - 928) that these fields will be blank for Grades K - 2.</t>
  </si>
  <si>
    <t xml:space="preserve">(Position 154-155)  Added "(0-9 or - in any position)" after 00-39  in Summarized DOB Day and removed "-- ". </t>
  </si>
  <si>
    <t xml:space="preserve">(Position 156-159)  Removed "1980-2009" and "---- " in Summarized DOB Year and added "0-9 or - in any position".  The year value listed was just the bubbled DOB Year range.  The LAP DOB Year value may be outside of the year value listed so the range was removed. </t>
  </si>
  <si>
    <t>0-9 or - in any position</t>
  </si>
  <si>
    <t>(Position 161-161) Changed Summarized Ethnicity/Race Possible Value 2 from "American Indian or Alaskan Native" to American Indian or Alaska Native".</t>
  </si>
  <si>
    <t>(Position 181-181) Changed "LAP American Indian or Alaskan Native" to "LAP American Indian or Alaska Native" to match the field name used in the LAP File Layout.  Updated the possible value description from "Alaskan" to "Alaska".</t>
  </si>
  <si>
    <t>LAP American Indian or Alaska Native</t>
  </si>
  <si>
    <t>American Indian or Alaska Native</t>
  </si>
  <si>
    <t>(Position 268-268)  Changed "American Indian or Alaskan Native" to "American Indian or Alaska Native".</t>
  </si>
  <si>
    <t>LAP Language code</t>
  </si>
  <si>
    <t>(Position 165-167) Changed "LAP First or Native Language" to "LAP Language code" to match the field name used in the LAP File Layout.</t>
  </si>
  <si>
    <t xml:space="preserve">(Position 163-163) Changed "LAP Lunch Status" to "LAP Free/Reduced Lunch" to match the field name used in the LAP File Layout.   </t>
  </si>
  <si>
    <t xml:space="preserve">(Position 172-172) Changed "LAP Migrant Status" to "LAP Migrant Flag" to match the field name used in the LAP File Layout.  </t>
  </si>
  <si>
    <t>LAP Migrant Flag</t>
  </si>
  <si>
    <t>LAP Grade Placement</t>
  </si>
  <si>
    <t>(Position 186-187) Changed "LAP Grade" to "LAP Grade Placement" to match the field name used in the LAP File Layout.</t>
  </si>
  <si>
    <t>LAP Birth country code</t>
  </si>
  <si>
    <t>(Position 275-276) Changed "LAP Birth Country Code" to "LAP Birth country code" to match the field name used in the LAP File Layout.</t>
  </si>
  <si>
    <t>LAP Section 504 Flag</t>
  </si>
  <si>
    <t xml:space="preserve">(Position 300-300) Changed "LAP Section 504 Status" to "LAP Section 504 Flag" to match the field name used in the LAP File Layout.  </t>
  </si>
  <si>
    <t>(Position 323-324) Changed "LAP Special Education Primary Exceptionality Code" to "LAP Primary Exceptionality" to match the field name used in the LAP File Layout.</t>
  </si>
  <si>
    <t>(Position 325-326)  Changed "LAP Special Education Exceptionality Category" to "LAP Exceptionality Category" to match the field name used in the LAP File Layout.</t>
  </si>
  <si>
    <t>LAP Primary Exceptionality</t>
  </si>
  <si>
    <t>LAP Exceptionality  Category</t>
  </si>
  <si>
    <t>(Position 1169-1178) Changed "LDE Unique ID (GUID)" to "LAP LDE Unique ID (GUID)" to match the field name used in the LAP File Layout.  Added LAP to the beginning of the field name as these values come from the LAP file.</t>
  </si>
  <si>
    <t>LAP LDE Unique ID (GUID)</t>
  </si>
  <si>
    <t>(Position 1298-1300) Changed "Home-base District Site Code" to "LAP Home-base Site District Code" to match the field name used in the LAP File Layout.   Added LAP to the beginning of the field name as these values come from the LAP file.</t>
  </si>
  <si>
    <t>(Position 1301-1303) Changed "Home-base School Site Code" to "LAP Home-base Site School Code" to match the field name used in the LAP File Layout.  Added LAP to the beginning of the field name as these values come from the LAP file.</t>
  </si>
  <si>
    <t>LAP Home-base Site District Code</t>
  </si>
  <si>
    <t>LAP Home-base Site School Code</t>
  </si>
  <si>
    <t>(Position 301-302)  Added "Blank" to the Possible Values for the LAP LEP Funding Code.  Added "Blank for students on the LAP file with LAP LEP Code not = to "02" in the Description/Comments.</t>
  </si>
  <si>
    <t>(Position 1284-1290)  Removed the 8 digit statement that is no longer true.  This note was only needed during Spring 2011 as the Answer Documents had 8 digit lithocodes rather than 7.  The AD are now produced with the correct 7 digits in the lithocode.</t>
  </si>
  <si>
    <t>1 = Free Lunch Eligible
2 = Reduced Lunch Eligible
0 = Paid
Blank</t>
  </si>
  <si>
    <t>Y = Yes 
N = No  
Blank</t>
  </si>
  <si>
    <t>M = Male
F = Female
Blank</t>
  </si>
  <si>
    <t>1 = Shelter
2 = Double-up
3 = Unsheltered
4 = Hotels/Motels
5 = Unknown
Blank</t>
  </si>
  <si>
    <t>Y = Hispanic or Latino
N = Not Hispanic or Latino
Blank</t>
  </si>
  <si>
    <t>Y = Black or African American
N = Not Black or African American
Blank</t>
  </si>
  <si>
    <t>1 = Yes
2 = No 
* = Multiple Responses
- = No response (document returned)
Blank = document not returned</t>
  </si>
  <si>
    <t>1 = Yes
- = No (document returned)
Blank = document not returned</t>
  </si>
  <si>
    <t>Y = Section 504
N = Not Section 504
Blank</t>
  </si>
  <si>
    <t>01-34
Blank</t>
  </si>
  <si>
    <t>01-17
Blank</t>
  </si>
  <si>
    <t>1 = Free Lunch Eligible
2 = Reduced Lunch Eligible
0 = Paid
* = multiple responses
- = No response (document returned)
Blank = document not returned</t>
  </si>
  <si>
    <t>1 = Regular
2 = Special
* = multiple response
- = No response (document returned)
Blank = document not returned</t>
  </si>
  <si>
    <t xml:space="preserve">1 = Yes
- = No response (document returned)
Blank = document not returned
</t>
  </si>
  <si>
    <t xml:space="preserve">1 = Yes
- = No response (document returned)
Blank = document not returned
</t>
  </si>
  <si>
    <t>1 = Yes
- = No response (document returned)
Blank = document not returned</t>
  </si>
  <si>
    <t xml:space="preserve">
1 = Yes
- = No response (document returned)
Blank = document not returned</t>
  </si>
  <si>
    <t>1 = Yes
2 = No
* = multiple response
- = No response (document returned)
Blank = document not returned</t>
  </si>
  <si>
    <t>1 = Less than 1 yr
2 = 1 year up to 2 years
3 = 2 years up to 3 years
4 = 3 years up to 4 years
5 = 4 years up to 5 years
6 = 5 years or more
7 = Not Applicable
* = multiple responses
- = No response (document returned)
Blank = document not returned</t>
  </si>
  <si>
    <t>0 = 0 points
1 = 1 point
2 = 2 points
3 = 3 points      
* = multiple responses
- = No response (document returned)
Blank = document not returned</t>
  </si>
  <si>
    <t>Show "N/A" in place of district results on school reports</t>
  </si>
  <si>
    <t>C</t>
  </si>
  <si>
    <t>LAP US entry date - Month</t>
  </si>
  <si>
    <t>LAP US entry date - Day</t>
  </si>
  <si>
    <t>LAP US entry date - Year</t>
  </si>
  <si>
    <t>(Position 277-284) Changed "LAP Date of Entry into US (for Month, Day and Year)" into "LAP US entry date (for Month, Day and Year)" to match the field name used in the LAP File Layout.</t>
  </si>
  <si>
    <t>(Position 1143-1143)  Added a note that the Charter Type value will be blank for 888 school types as we do not receive those schools on the School Master File.</t>
  </si>
  <si>
    <t>Updated the name in the header to reflect "Project:  2012 ELDA Spring".</t>
  </si>
  <si>
    <t>Raw Score Total - Reading</t>
  </si>
  <si>
    <t>Scaled Score - Reading</t>
  </si>
  <si>
    <t>Proficiency Level - Reading</t>
  </si>
  <si>
    <t>Raw Score Total - Writing</t>
  </si>
  <si>
    <t>Scaled Score - Writing</t>
  </si>
  <si>
    <t>Proficiency Level  - Writing</t>
  </si>
  <si>
    <t>Raw Score Total - Listening</t>
  </si>
  <si>
    <t>Scaled Score - Listening</t>
  </si>
  <si>
    <t>Proficiency Level - Listening</t>
  </si>
  <si>
    <t>Raw Score Total - Speaking</t>
  </si>
  <si>
    <t>Scaled Score - Speaking</t>
  </si>
  <si>
    <t>Proficiency Level - Speaking</t>
  </si>
  <si>
    <t>Test Taken Flag - Writing</t>
  </si>
  <si>
    <t>Test Taken Flag - Listening</t>
  </si>
  <si>
    <t>Test Taken Flag - Speaking</t>
  </si>
  <si>
    <t>Test Taken Flag - Reading</t>
  </si>
  <si>
    <t>(Position 1031-1033) Changed "Scaled Score" to "Scaled Score - Reading" for consistency across projects.</t>
  </si>
  <si>
    <t>(Position 1034-1034)  Changed "Proficiency Level" to "Proficiency Level - Reading" for consistency across projects.</t>
  </si>
  <si>
    <t>(Position 1046-1046)  Changed "Proficiency Level" to "Proficiency Level - Writing"  for consistency across projects.</t>
  </si>
  <si>
    <t>(Position 1055-1057)  Changed "Scaled Score" to "Scaled Score - Listening"  for consistency across projects.</t>
  </si>
  <si>
    <t>(Position 1058-1058)  Changed "Proficiency Level" to "Proficiency Level - Listening"  for consistency across projects.</t>
  </si>
  <si>
    <t>(Position 1067-1069) Changed "Scaled Score" to "Scaled Score - Speaking" for consistency across projects.</t>
  </si>
  <si>
    <t>(Position 1070-1070)  Changed "Proficiency Level" to "Proficiency Level - Speaking" for consistency across projects.</t>
  </si>
  <si>
    <t>(Position1132-1132)  Changed "Reading" to "Test Taken Flag - Reading" for consistency across projects.</t>
  </si>
  <si>
    <t>(Position1134-1134)  Changed "Listening" to "Test Taken Flag - Listening" for consistency across projects.</t>
  </si>
  <si>
    <t>(Position1135-1135)  Changed "Speaking" to "Test Taken Flag - Speaking" for consistency across projects.</t>
  </si>
  <si>
    <t>(Position 1313-1314)  Changed "Updated Reading Non-Participation Code" to "Updated Non-Participation Code - Reading" for consistency across projects.</t>
  </si>
  <si>
    <t>(Position 1315-1316)  Changed "Updated Writing Non-Participation Code" to "Updated Non-Participation Code - Writing" for consistency across projects.</t>
  </si>
  <si>
    <t>(Position 1317-1318)  Changed "Updated Listening Non-Participation Code" to "Updated Non-Participation Code - Listening" for consistency across projects.</t>
  </si>
  <si>
    <t>(Position 1319-1320)  Changed "Updated Speaking Non-Participation Code" to "Updated Non-Participation Code - Speaking" for consistency across projects.</t>
  </si>
  <si>
    <t>LAP Education Classification Flag</t>
  </si>
  <si>
    <t>(Position 12-17)  Added the following reference within the Description/Comments column for the District and School Code fields, "Refer to the Capturing Site Codes section of the Processing Rules - Materials and Scoring document for logic to determine the Reporting Site-Code value."</t>
  </si>
  <si>
    <r>
      <t xml:space="preserve">(Position 188-188)  Updated Possible Values for LAP Option Code to include 5 and 6.  </t>
    </r>
    <r>
      <rPr>
        <strike/>
        <sz val="10"/>
        <rFont val="Arial"/>
        <family val="2"/>
      </rPr>
      <t xml:space="preserve">Clarified business rule that "4" is used only for Gr. 9, 10-12.   </t>
    </r>
    <r>
      <rPr>
        <sz val="10"/>
        <rFont val="Arial"/>
        <family val="2"/>
      </rPr>
      <t>Take out the rule as it is clarified in LAP and shouldn't be in 2 places.</t>
    </r>
  </si>
  <si>
    <t>(Position 975-1012)  Added additional text in Description/Comments column for K-2 Inventory Item Responses (Reading, Writing, Listening, and Speaking) to clarify that only the Original item score is listed.</t>
  </si>
  <si>
    <t>(Positions 1028-1030, 1040-1042, 1052-1054, 1064-1066) Updated the Description/Note for the Raw Score fields to state "Total raw score for &lt;Reading, Writing, Listening, Speaking&gt; includes automatic or partial credit."</t>
  </si>
  <si>
    <t>AGGREGATED PROFICIENCY LEVELS</t>
  </si>
  <si>
    <t xml:space="preserve">"PERFORMANCE LEVELS" heading is replaced with "AGGREGATED PROFICIENCY LEVELS". </t>
  </si>
  <si>
    <t>Updated changes to field 172 add blank, 174 add comment for clarity, removed A from 178 and updated interested parties.  Changed to version 1.2</t>
  </si>
  <si>
    <t xml:space="preserve">Delete Non Participation Code - "Precoded materials are received for a student who has already scored a 5 in each language domain on ELDA."  and replaced with Filler.  This is in 3rd position of non-participation codes and needs to be retained for history.  </t>
  </si>
  <si>
    <t xml:space="preserve">Add LAP Education Classification Field (Pos 179)  </t>
  </si>
  <si>
    <r>
      <t xml:space="preserve">Changed the values for the following fields from "Y" to "N" for the Researcher/Staff and Contractors Files per the RWS:
   Researcher and Staff and Contractors file: positions 101, 163, </t>
    </r>
    <r>
      <rPr>
        <strike/>
        <sz val="10"/>
        <rFont val="Arial"/>
        <family val="2"/>
      </rPr>
      <t>165 - 167,</t>
    </r>
    <r>
      <rPr>
        <sz val="10"/>
        <rFont val="Arial"/>
        <family val="2"/>
      </rPr>
      <t xml:space="preserve"> 168-169, 172, 175, 178, 180-185, 186-188, 242, 243, 248, </t>
    </r>
    <r>
      <rPr>
        <strike/>
        <sz val="10"/>
        <rFont val="Arial"/>
        <family val="2"/>
      </rPr>
      <t>277-284</t>
    </r>
    <r>
      <rPr>
        <sz val="10"/>
        <rFont val="Arial"/>
        <family val="2"/>
      </rPr>
      <t>, 285-290.</t>
    </r>
  </si>
  <si>
    <t>Changed the values for the following fields from "N" to "Y" for the Researcher/Staff and Contractors Files per the RWS:
    positions 323-324, 1160, 1162, 1292</t>
  </si>
  <si>
    <t>(Position 179-179) Changed "LAP Education Classification" to "LAP Education Classification Flag" to match the field name used in the LAP File Layout.</t>
  </si>
  <si>
    <t xml:space="preserve"> (Position 1043-1045)  Changed "Scaled Score" to "Scaled Score - Writing "for consistency across projects.</t>
  </si>
  <si>
    <t>(Position1133-1133)  Changed "Writing" to "Test Taken Flag - Writing" for consistency across projects.</t>
  </si>
  <si>
    <t>ELDA Language Codes Tab - The following 4 languages have been discontinued and removed from the list:  035 Esperanto, 056 Interlingua, 057 Interlingue, 134 Volapuk.</t>
  </si>
  <si>
    <t>RS Serbia</t>
  </si>
  <si>
    <t>ELDA Birth Country Codes Tab - The following country was added:  RS Serbia</t>
  </si>
  <si>
    <t>(Position 1028-1030)  Changed "Raw Score" to "Raw Score Total - Reading" for consistency across projects.  For Clarification -  added text in Description/Comments - "Total raw score for Reading includes automatic or partial credit."</t>
  </si>
  <si>
    <t>( Position 1040-1042)  Changed "Raw Score" to "Raw Score Total - Writing" for consistency across projects.  For Clarification -  added text in Description/Comments - "Total raw score for Writing includes automatic or partial credit."</t>
  </si>
  <si>
    <t>(Position 1052-1054)  Changed "Raw Score" to "Raw Score Total - Listening "for consistency across projects.  For Clarification -  added text in Description/Comments - "Total raw score for Listening includes automatic or partial credit."</t>
  </si>
  <si>
    <t xml:space="preserve">(Position 1064-1066)  Changed "Raw Score" to "Raw Score Total - Speaking"  for consistency across projects.  For Clarification -  added text in Description/Comments - "Total raw score for Speaking includes automatic or partial  credit." </t>
  </si>
  <si>
    <r>
      <t xml:space="preserve">(Position 301-302)  Added "Blank" to the Possible Values for the LAP LEP Funding Code.  </t>
    </r>
    <r>
      <rPr>
        <strike/>
        <sz val="10"/>
        <rFont val="Arial"/>
        <family val="2"/>
      </rPr>
      <t xml:space="preserve">Added "Blank for students on the LAP file with LAP LEP Code not = to "02" in the Description/Comments.  </t>
    </r>
    <r>
      <rPr>
        <sz val="10"/>
        <rFont val="Arial"/>
        <family val="2"/>
      </rPr>
      <t>Take out the "Blank for students on the LAP file with LAP LEP Code not = to "02" in the Description/Comments section as it does not apply to ELDA.</t>
    </r>
  </si>
  <si>
    <t>Added "C" to the Field Use Column for the fields that are updated when the OCS Extract is applied.  Added "C = Corrections" to the footer.</t>
  </si>
  <si>
    <t>Charter type as listed in the School Master file.
Blank for 888 school types.</t>
  </si>
  <si>
    <t>As flagged on the LAP file.  
Blank for a hand-coded document that could not be matched back to the LAP file.</t>
  </si>
  <si>
    <t>Updated the Description/Comments section for the Reading, Writing, Listening, Speaking Scoring Sections to clarify the 'blank when' rules.  The rules now match how they are documented in LEAP/GEE and iLEAP.  These are now based off the Raw Score Totals rather than the Scaled Score Totals.</t>
  </si>
  <si>
    <t>Precode Number or Single Document 
     Label Number
Blank</t>
  </si>
  <si>
    <t>1 = Hispanic/Latino
2 = American Indian or Alaska Native
3 = Asian
4 = Black or African American
5 = Native Hawaiian or Other Pacific 
     Islander
6 = White
7 = Two or more races
I = Invalid</t>
  </si>
  <si>
    <t xml:space="preserve">D = student no longer enrolled in 
     Louisiana schools since 
     submission of Nov. LAP file.
N = student newly enrolled in 
     Louisiana schools since 
     submission of Nov. LAP file.
Blank = student enrollment status 
     unchanged since submission of 
     Nov. LAP file.
</t>
  </si>
  <si>
    <t>Y = American Indian or Alaska Native
N = Not American Indian or Alaska 
     Native
Blank</t>
  </si>
  <si>
    <t>1 = Student is no longer enrolled at the 
     school
2 = Precoded materials are received 
     for a student who was misclassified 
     as LEP.
4 = Student is absent for the entire 
     testing cycle due to illness.
5 = Student completed the test on 
     another answer document.
6 = The student's family member(s) 
     died.
7 = The student is in protective 
     custody.
* = multiple response
- = No response (document returned)
Blank = document not returned</t>
  </si>
  <si>
    <t>01 = Title I Basic Program
02 = Even Start
03 = Migrant Education
04 = Special Education
05 = Vocational Education
06 = Title VII - Bilingual Education, 
     Part B
07 = Emergency Immigrant Education 
     Program, Part C
08 = MFP Only
09 = 8(g) Block Grant
10 = 8(g) Competitive Grant
11 = Local Funding
12 = Other State Programs
13 = No instructional language 
     program provided
14 = Title III English Language 
     Acquisition Grant Part A
Blank</t>
  </si>
  <si>
    <t>Y = Include student in summary 
     N-counts for domain
N = Do not include student in 
     summary N-counts for domain</t>
  </si>
  <si>
    <t xml:space="preserve">N = No Document Returned For 
     Precoded Record
M = Manually Coded Document 
     Returned
P = Precoded Document Returned
O = Manually Coded Document 
     matched back to Precode Record.  </t>
  </si>
  <si>
    <t>3 digit district code for the home-base 
     Site 
Blank</t>
  </si>
  <si>
    <t>3 digit school code for the home-base 
     Site 
Blank</t>
  </si>
  <si>
    <t>01 = Student is no longer enrolled at
     the school.
02 = Precoded materials are received 
     for a student who was misclassified 
     as LEP.
04 = Student is absent for the entire 
     testing cycle due to illness.
05 = Student completed the test on 
     another answer document.
06 = The student's family member(s) 
     died.
07 = The student is in protective 
     custody.
Blank</t>
  </si>
  <si>
    <t>Updated the Description/Comments to ensure that all LAP fields had the same statements: "As flagged on the LAP file."
Also updated "Blank for a hand-coded document that could not be matched back to the LAP file."</t>
  </si>
  <si>
    <t>"*","-", and " " values are changed to spaces, and then the spaces are removed by compressing the values from the name field.  
I.e.. De Ville becomes DEVILLE</t>
  </si>
  <si>
    <t>01 = Arabic
02 = Chinese
03 = Farsi
04 = French
05 = Korean
06 = Laotian
07 = Portuguese
08 = Spanish
09 = Urdu
10 = Vietnamese
11 = Other
** = multiple responses
-- = No response (document returned)
Blank = document not returned</t>
  </si>
  <si>
    <r>
      <t xml:space="preserve">01 = Arabic
02 = Chinese
03 = Farsi
04 = French
05 = Korean
06 = Laotian
07 = Portuguese
08 = Spanish
09 = Urdu
10 = Vietnamese
11 = Other
12 = Unknown </t>
    </r>
    <r>
      <rPr>
        <sz val="10"/>
        <color indexed="10"/>
        <rFont val="Arial"/>
        <family val="2"/>
      </rPr>
      <t xml:space="preserve">
</t>
    </r>
  </si>
  <si>
    <t>Deafblindness</t>
  </si>
  <si>
    <t>LAP Scholarship Student Flag</t>
  </si>
  <si>
    <t>As flagged on the LAP file.
Blank for a hand-coded document that could not be matched back to the LAP file.</t>
  </si>
  <si>
    <t>LAP Scholarship Site Code</t>
  </si>
  <si>
    <t>As flagged on the LAP file.
Blank for a hand-coded document that could not be matched back to the LAP file, or if the value was blank on the LAP file.</t>
  </si>
  <si>
    <t>3-digit Residential LEA
Blank</t>
  </si>
  <si>
    <t>MC / CR Taken - Writing</t>
  </si>
  <si>
    <t>Summarized Void Flag - Reading</t>
  </si>
  <si>
    <t>Summarized Void Flag - Writing</t>
  </si>
  <si>
    <t>Summarized Void Flag - Listening</t>
  </si>
  <si>
    <t>Summarized Void Flag - Speaking</t>
  </si>
  <si>
    <t>Plagiarism Void Flag - Reading</t>
  </si>
  <si>
    <t>Plagiarism Void Flag - Writing</t>
  </si>
  <si>
    <t>Plagiarism Void Flag - Speaking</t>
  </si>
  <si>
    <t>Plagiarism Void Flag - Listening</t>
  </si>
  <si>
    <t>Included in N-counts - Reading</t>
  </si>
  <si>
    <t>Included in N-counts - Writing</t>
  </si>
  <si>
    <t>Included in N-counts - Listening</t>
  </si>
  <si>
    <t>Included in N-counts - Speaking</t>
  </si>
  <si>
    <t>Summarized Section 504 Status</t>
  </si>
  <si>
    <t>Student Reports</t>
  </si>
  <si>
    <t>School Roster</t>
  </si>
  <si>
    <t>Footnote:  Test Security Violation (Void) Writing</t>
  </si>
  <si>
    <t>Footnote:  Test Security Violation (Void) Listening</t>
  </si>
  <si>
    <t>Footnote:  Test Security Violation (Void) Reading</t>
  </si>
  <si>
    <t>Footnote:  Test Security Violation (Void) Speaking</t>
  </si>
  <si>
    <t>The numeric type for the Assess Group Code value from the School Master File for the school the student is being reported to.</t>
  </si>
  <si>
    <t>As flagged on the LAP file.  
Blank for a hand-coded document that could not be matched back to the LAP file, or if the value was blank on the LAP file.</t>
  </si>
  <si>
    <t>Month of entry.
As flagged on the LAP file.
Blank for a hand-coded document that could not be matched back to the LAP file, or if the value was blank on the LAP file.</t>
  </si>
  <si>
    <t>Day of entry
As flagged on the LAP file.
Blank for a hand-coded document that could not be matched back to the LAP file, or if the value was blank on the LAP file.</t>
  </si>
  <si>
    <t>Year of entry
As flagged on the LAP file.
Blank for a hand-coded document that could not be matched back to the LAP file, or if the value was blank on the LAP file.</t>
  </si>
  <si>
    <t>As flagged on the LAP file.
25 = Kindergarten
Blank for a hand-coded document that could not be matched back to the LAP file.</t>
  </si>
  <si>
    <t>The language code number and name on the eLDESTD file reflects codes and  languages bubbled on the answer document and will differ from those found on the tab "ELDA Language Codes" which is a list of the 141 language codes used in the LAP file.</t>
  </si>
  <si>
    <t>As flagged on the LAP file. 
Blank for a hand-coded document that could not be matched back to the LAP file, or if the value was blank on the LAP file.</t>
  </si>
  <si>
    <t>Summarized Migrant Status</t>
  </si>
  <si>
    <t>ELDA LDESTD File Layout – Final file_Assessment and Accountability Staff</t>
  </si>
  <si>
    <t xml:space="preserve">01 = Grade 1
02 = Grade 2 
03 = Grade 3  
04 = Grade 4    
05 = Grade 5
06 = Grade 6 
07 = Grade 7  
08 = Grade 8    
09 = Grade 9
10 = Grade 10 
11 = Grade 11  
12 = Grade 12
** = Mult
-- = No response(document returned)
Blank = document not returned or 
     Kindergarten </t>
  </si>
  <si>
    <t>01-12
**  = multiple response
--  = No response (document 
     returned)
Blank = document not returned</t>
  </si>
  <si>
    <t>0-9
-  for Blank positions
Blank</t>
  </si>
  <si>
    <t>01-12
--
Blank</t>
  </si>
  <si>
    <t>1 = Less than 1 yr
2 = 1 year up to 2 years
3 = 2 years up to 3 years
4 = 3 years up to 4 years
5 = 4 years up to 5 years
6 = 5 years or more
* = multiple responses
- = No response (document returned)
Blank = document not returned</t>
  </si>
  <si>
    <r>
      <t xml:space="preserve">Removed the description/comments text "Bubbled value on the answer document will override the precode value if it was "no" on the precode file." from the Summarized Migrant Status field (Pos 174) as it is a duplication of the rules in the </t>
    </r>
    <r>
      <rPr>
        <b/>
        <u/>
        <sz val="10"/>
        <rFont val="Arial"/>
        <family val="2"/>
      </rPr>
      <t>Summarized Migrant Table</t>
    </r>
    <r>
      <rPr>
        <sz val="10"/>
        <rFont val="Arial"/>
        <family val="2"/>
      </rPr>
      <t xml:space="preserve"> found in the Processing Rules - Materials and Scoring document.</t>
    </r>
  </si>
  <si>
    <t>Bubbled Test Administrator Number</t>
  </si>
  <si>
    <t>100-899 = School Level
900-999 = District Level
* = Multiple responses in this position
--- = No response (document returned)
Blank = document not returned</t>
  </si>
  <si>
    <t>Blank if Bubbled Test Administrator Number is invalid or blank.</t>
  </si>
  <si>
    <r>
      <rPr>
        <b/>
        <sz val="10"/>
        <rFont val="Arial"/>
        <family val="2"/>
      </rPr>
      <t>(Logic Change)</t>
    </r>
    <r>
      <rPr>
        <sz val="10"/>
        <rFont val="Arial"/>
        <family val="2"/>
      </rPr>
      <t xml:space="preserve">  Added a new value of "17 = RBR" to the Assess Group Type (1141-1142).  This new assess group type for RSD—Baton Rouge was added to the September Master File.  RBR will be processed like RLA and RNO.</t>
    </r>
  </si>
  <si>
    <t>The description/comments section for Plagiarism Void Flag (1109-1112) had same description as the Summarized Void Flag.  Updated with correct description for a Plagiarism Void.</t>
  </si>
  <si>
    <t>Updated field names for consistency across all admins.
Position 343 from "Summarized Section 504" to "Summarized Section 504 Status"
Position 1094 from "Writing MC / CR Taken" to " MC / CR Taken - Writing" 
Position 1100 from " Reading" to "Summarized Void Flag - Reading"
Position 1101 from "Writing" to "Summarized Void Flag - Writing"
Position 1102 from "Listening" to "Summarized Void Flag - Listening"
Position 1103 from "Speaking" to "Summarized Void Flag - Speaking"
Position 1109 from "Reading" to "Plagiarism Void Flag - Reading"
Position 1110 from "Writing" to "Plagiarism Void Flag - Writing"
Position 1111 from "Listening" to "Plagiarism Void Flag - Listening"
Position 1112 from "Speaking" to "Plagiarism Void Flag - Speaking"
Position 1123 from "Reading" to "Included in N-counts - Reading"
Position 1124 from "Writing" to "Included in N-counts - Writing"
Position 1125 from "Listening" to "Included in N-counts - Listening"
Position 1126 from "Speaking" to "Included in N-counts - Speaking"
Position 1167 from "SR - Student Report" to "Student Reports"
Position 1184 from "Roster Reporting Flag" to "School Roster"
Position 1202 from "Footnote: Test Security Violation" to "Footnote: Test Security Violation (Void) Reading"
Position 1218 from "Footnote: Test Security Violation" to "Footnote: Test Security Violation (Void) Writing"
Position 1234 from "Footnote: Test Security Violation" to "Footnote: Test Security Violation (Void) Listening"
Position 1250 from "Footnote: Test Security Violation" to "Footnote: Test Security Violation (Void) Speaking"</t>
  </si>
  <si>
    <t xml:space="preserve">Summary of District Voids and Plagiarism Voids in each domain.  
The Summarized Void flag will be "Y" for a domain if the student has a row in the LDE approved Void .csv file for the domain.
</t>
  </si>
  <si>
    <t>Blank when the grade is K-2.</t>
  </si>
  <si>
    <r>
      <rPr>
        <sz val="10"/>
        <rFont val="Arial"/>
        <family val="2"/>
      </rPr>
      <t xml:space="preserve">Void due to plagiarism
The Plagiarism Void flag will be "Y" for a domain if the student has a row in the LDE approved Void .csv file for the subject(domain) and the LDE Type of Void field contains "Plagiarism" or "PLAG".
</t>
    </r>
    <r>
      <rPr>
        <strike/>
        <sz val="10"/>
        <rFont val="Arial"/>
        <family val="2"/>
      </rPr>
      <t xml:space="preserve">
</t>
    </r>
  </si>
  <si>
    <t xml:space="preserve">As bubbled on the answer document.
</t>
  </si>
  <si>
    <t>As bubbled on the answer document.</t>
  </si>
  <si>
    <t>As bubbled on the answer document.
Year of entry</t>
  </si>
  <si>
    <t>As bubbled on the answer document.
The bubbled value of this field will be captured and reported in all cases.  For precoded records and records that match back to the precode, this field will be irrelevant.</t>
  </si>
  <si>
    <t>0 = Regular
1 = Special education with disabilities
2 = Gifted or talented
Blank</t>
  </si>
  <si>
    <t>01-12
25
Blank</t>
  </si>
  <si>
    <t>Y = indicates student has an 
      approved scholarship
N = indicates student does not have
       an approved scholarship
Blank</t>
  </si>
  <si>
    <t>6-digit site code for the site the 
       student was enrolled in prior 
       to receiving the scholarship
Blank</t>
  </si>
  <si>
    <t xml:space="preserve">As bubbled on the answer document.
These questions are only present on the Kindergarten and Grades 1-2 answer documents and show the original item score.
Blank for grades 3-12. </t>
  </si>
  <si>
    <t>Level for Speaking:  
1 = Beginning Proficiency
2 = Lower Intermediate Proficiency
3 = Upper Intermediate Proficiency
4 =  Advanced Proficiency
5 =  Full English Proficiency
Blank</t>
  </si>
  <si>
    <t>Level for Listening:  
1 = Beginning Proficiency
2 = Lower Intermediate Proficiency
3 = Upper Intermediate Proficiency
4 =  Advanced Proficiency
5 =  Full English Proficiency
Blank</t>
  </si>
  <si>
    <t>Level for Reading:  
1 = Beginning Proficiency
2 = Lower Intermediate Proficiency
3 = Upper Intermediate Proficiency
4 =  Advanced Proficiency
5 =  Full English Proficiency
Blank</t>
  </si>
  <si>
    <t>Level for Writing:  
1 = Beginning Proficiency
2 = Lower Intermediate Proficiency
3 = Upper Intermediate Proficiency
4 =  Advanced Proficiency
5 =  Full English Proficiency
Blank</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</si>
  <si>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</si>
  <si>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Last 8 digits of answer document 
     security barcode
Blank = document not returned</t>
  </si>
  <si>
    <t>0000001-9999999
Blank = document not returned</t>
  </si>
  <si>
    <t>00000001-99999999
Blank = document not returned</t>
  </si>
  <si>
    <t>Serial Number</t>
  </si>
  <si>
    <t>As bubbled on the answer document.
Blank for Grades K-2.</t>
  </si>
  <si>
    <t>Added "As bubbled on the answer document" to all description/comments referring to Bubbled Items. (Multiple positions)</t>
  </si>
  <si>
    <t xml:space="preserve">FILLER   </t>
  </si>
  <si>
    <r>
      <t xml:space="preserve">School-level flags set per the LDE District and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Table of District/School Types Included on Each Report</t>
    </r>
    <r>
      <rPr>
        <sz val="10"/>
        <rFont val="Arial"/>
        <family val="2"/>
      </rPr>
      <t xml:space="preserve"> in the Common Louisiana Processing Rules - Reporting document for further details.</t>
    </r>
  </si>
  <si>
    <t>001-141
Blank</t>
  </si>
  <si>
    <t>000-999
Blank</t>
  </si>
  <si>
    <t>30-950
Blank</t>
  </si>
  <si>
    <t>50-950
Blank</t>
  </si>
  <si>
    <t>40-950
Blank</t>
  </si>
  <si>
    <t xml:space="preserve">1-5
Blank 
</t>
  </si>
  <si>
    <t xml:space="preserve">1-5
Blank </t>
  </si>
  <si>
    <t>1-5
Blank</t>
  </si>
  <si>
    <t>000001-999999
Blank = document not returned</t>
  </si>
  <si>
    <t xml:space="preserve">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163)
LAP Language Code (Pos. 165-167)
LAP Migrant Flag ( Pos. 172)
LAP March Update Flag (Pos. 177)
LAP McKinney-Vento (Homeless Flag) (Pos. 178)
LAP Option Code (Pos. 188)
LAP Birth country code (Pos. 275-276)
LAP US Entry Date - Month/Day/Year  (Pos. 277-284)
LAP Section 504 Flag (Pos. 300)
LAP LEP Funding Code (Pos. 301-302)
LAP Primary Exceptionality (Pos. 323-324)
LAP Exceptionality Category ( 325-326)
LAP Home-base Site District Code (Pos. 1298-1300)
LAP Home-base Site School Code (Pos. 1301-1303)
</t>
  </si>
  <si>
    <t xml:space="preserve">For clarity added text to the description/comments column of Teacher Scored Speaking Item Responses (Pos. 944-959) to note this is "Blank for Grades K-2".  </t>
  </si>
  <si>
    <r>
      <rPr>
        <b/>
        <sz val="10"/>
        <rFont val="Arial"/>
        <family val="2"/>
      </rPr>
      <t xml:space="preserve">(Logic Change) </t>
    </r>
    <r>
      <rPr>
        <sz val="10"/>
        <rFont val="Arial"/>
        <family val="2"/>
      </rPr>
      <t xml:space="preserve"> Production Level (Pos. 1076) was updated with "Blank" as a possible Value and  business rules were added "Blank = Production level cannot be derived due to missing information."  and  "Blank when Grades 3-12."  Noted that production value is only used for grades K-2.</t>
    </r>
  </si>
  <si>
    <t>Updated the text in the Description/Comment column for Summarized Void flags (Pos. 1100-1103) from "The Summarized Void flag will be "Y" for a domain, if the student has a row in the Combined Void Spreadsheet for the domain and the Type of Void column contains "Plagiarism" or "District." to be "The Summarized Void flag will be "Y" for a domain if the student has a row in the LDE approved Void .csv file for the domain."</t>
  </si>
  <si>
    <t>Updated the text in the Description/Comment column for the Plagiarism Void Flag fields (Pos. 1109-1112) from "The Plagiarism Void flag will be "Y" for a domain, if the student has a row in the Combined Void Spreadsheet for the domain and the Type of Void column contains "Plagiarism"." to be "The Plagiarism Void flag will be "Y" for a domain if the student has a row in the LDE approved Void .csv file for the subject(domain) and the LDE Type of Void field contains "Plagiarism" or "PLAG"."</t>
  </si>
  <si>
    <t>Updated the text in the Description/Comment column for the Test Taken Flag fields (Pos. 1132-1135) to note that these are now in the new "Test Taken" section since they have been removed from the "Resulting LDESTD Values by Domain" table.</t>
  </si>
  <si>
    <t xml:space="preserve">Updated Nonparticipation Code - Reading </t>
  </si>
  <si>
    <t xml:space="preserve">Updated Nonparticipation Code - Writing </t>
  </si>
  <si>
    <t xml:space="preserve">Updated Nonparticipation Code - Listening </t>
  </si>
  <si>
    <t xml:space="preserve">Updated Nonparticipation Code - Speaking </t>
  </si>
  <si>
    <t xml:space="preserve">Removed this explanation from Bubbled Nonparticipation Codes (Pos. 266) and added it to the Nonparticipation Codes list in the Appendix of the ELDA Processing Rules - Materials &amp; Scoring document.  "Note:  Code ‘03’ is no longer available as a valid nonparticipation code, but needs to be kept for historical purposes and not reassigned to another nonparticipation code."  Nonparticipation Code 03 used to say “Precoded materials are received for a student who has already scored a 5 in each language domain on ELDA.”  </t>
  </si>
  <si>
    <t>Clarified that the Possible values for the LAP Country Codes (Pos. 275-276) were from AD-ZZ and could be found on the ELDA Birth Country Codes tab of this document.</t>
  </si>
  <si>
    <r>
      <t xml:space="preserve">Removed the description/comments text "This value is taken from the Louisiana Precode file for a precoded student." from the Summarized Education Classification field (Pos. 342) as it is a duplication of the rules in the Summarized Education Classification table of the </t>
    </r>
    <r>
      <rPr>
        <b/>
        <u/>
        <sz val="10"/>
        <rFont val="Arial"/>
        <family val="2"/>
      </rPr>
      <t>Rules to Determine Demographic Values</t>
    </r>
    <r>
      <rPr>
        <sz val="10"/>
        <rFont val="Arial"/>
        <family val="2"/>
      </rPr>
      <t xml:space="preserve"> section found in the Processing Rules - Materials and Scoring document. </t>
    </r>
  </si>
  <si>
    <t>Removed the following duplicate statement from the ComPosite Level field (Pos. 1078).  "Field will be blank if any domain proficiency level is missing."</t>
  </si>
  <si>
    <r>
      <rPr>
        <b/>
        <sz val="10"/>
        <rFont val="Arial"/>
        <family val="2"/>
      </rPr>
      <t>(Logic Change)</t>
    </r>
    <r>
      <rPr>
        <sz val="10"/>
        <rFont val="Arial"/>
        <family val="2"/>
      </rPr>
      <t xml:space="preserve">  The text for CR responses in the Student Item Response String (Pos. 359-928)  has been changed to show "B = Domain within the document was sent to Performance Assessment group and there was no attempt for the CR Item (document returned)" to make it consistent with other LA projects. The following note has  also been added in the description/comment section ""B" when the CR item was sent to PAS but not attempted." </t>
    </r>
  </si>
  <si>
    <r>
      <rPr>
        <b/>
        <sz val="10"/>
        <rFont val="Arial"/>
        <family val="2"/>
      </rPr>
      <t xml:space="preserve">(Logic Change) </t>
    </r>
    <r>
      <rPr>
        <sz val="10"/>
        <rFont val="Arial"/>
        <family val="2"/>
      </rPr>
      <t xml:space="preserve"> Added the LAP Residence_LEA field in (Pos. 1156-1158 ) (previously FILLER).</t>
    </r>
  </si>
  <si>
    <t>Removed the O=Spring Operational, S=Summer and F=Fall from the footnotes list as ELDA only has Spring.</t>
  </si>
  <si>
    <t xml:space="preserve">AD-ZZ
Blank </t>
  </si>
  <si>
    <t>STUDENT ITEM RESPONSE STRINGS BY DOMAIN (Grades 3-12)</t>
  </si>
  <si>
    <t>BUBBLED SPEAKING  ITEM RESPONSE STRINGS (TEACHER CODED) (Grades 3-12)</t>
  </si>
  <si>
    <t>BUBBLED INVENTORY RESPONSE STRINGS BY DOMAIN (Grades K-2)</t>
  </si>
  <si>
    <r>
      <rPr>
        <b/>
        <sz val="10"/>
        <rFont val="Arial"/>
        <family val="2"/>
      </rPr>
      <t>(Logic Change)</t>
    </r>
    <r>
      <rPr>
        <sz val="10"/>
        <rFont val="Arial"/>
        <family val="2"/>
      </rPr>
      <t xml:space="preserve"> Filler field (Pos. 1144-1148)changed from 15 to 5 due to changes below.</t>
    </r>
  </si>
  <si>
    <r>
      <rPr>
        <b/>
        <sz val="10"/>
        <rFont val="Arial"/>
        <family val="2"/>
      </rPr>
      <t>(Logic Change)</t>
    </r>
    <r>
      <rPr>
        <sz val="10"/>
        <rFont val="Arial"/>
        <family val="2"/>
      </rPr>
      <t xml:space="preserve">  Added the LAP Scholarship Student Flag field in (Pos. 1149) (previously FILLER). </t>
    </r>
  </si>
  <si>
    <r>
      <rPr>
        <b/>
        <sz val="10"/>
        <rFont val="Arial"/>
        <family val="2"/>
      </rPr>
      <t xml:space="preserve">(Logic Change) </t>
    </r>
    <r>
      <rPr>
        <sz val="10"/>
        <rFont val="Arial"/>
        <family val="2"/>
      </rPr>
      <t xml:space="preserve"> 
-  Added 2 Positions to the Batch Number (new Pos. 1260-1267) so it has a length of 8.  Updated the Possible values to 00000001-99999999 to reflect the 8 digits.
-  Added Filler of 10 Positions in (Pos. 1274-1283)
-  Decreased the Document Spray Value from 18 Positions to 6 (new Pos. 1268-1273).  Updated the Possible values to 000001-999999 to reflect the new Serial Number ranges rather than the Document Spray Value.
-  Also changed the field name of "Document Spray Value" to "Serial Number" (Pos. 1268-1273).   
-  Moved the text "Blank if Document Not Returned" from the description/comment column to the Possible values column as "Blank = document not returned" for the Batch Number, Serial Number and Lithocode.</t>
    </r>
  </si>
  <si>
    <t>Updated the Description/Comment text for the Assess Group Type (Pos. 1141-1142) to show this is the numeric value of the school assess group.</t>
  </si>
  <si>
    <t>For clarity added Grade (3-12) to the blue heading of STUDENT ITEM RESPONSE STRINGS BY DOMAIN (Pos. above 359), added Grade (3-12) to the blue heading of BUBBLED SPEAKING ITEM RESPONSE STRINGS (TEACHER CODED) (Pos. above 944), and added Grade (K-2) to the blue heading BUBBLED INVENTORY RESPONSE STRINGS BY DOMAIN (Pos. above 975).</t>
  </si>
  <si>
    <t>Added statements to refer to the appropriate sections in the Processing Rules - Material and Scoring document for rules on calculating the Production, Composite and Comprehension Levels. (Pos. 1076-1078)</t>
  </si>
  <si>
    <r>
      <rPr>
        <b/>
        <sz val="10"/>
        <rFont val="Arial"/>
        <family val="2"/>
      </rPr>
      <t xml:space="preserve">(Logic Change) </t>
    </r>
    <r>
      <rPr>
        <sz val="10"/>
        <rFont val="Arial"/>
        <family val="2"/>
      </rPr>
      <t xml:space="preserve"> Removed 134  Volapuk from the ELDA Language Codes tab as it has been discontinued. (Per LDE SIS User Guide)  LAP Language Codes are in (Pos. 165-167)</t>
    </r>
  </si>
  <si>
    <t>Removed "Nonparticipation Codes" from this statement in the Raw Score and Scaled Score description/comments section as nonparticipation codes are no longer listed in the Resulting eLDESTD Values by Domain table.  "Refer to the Resulting eLDESTD Values by Domain table in the Processing Rules - Materials and Scoring document for the information which defines Raw Score values used based on Voids and Attempts and Nonparticipation Codes."  This statement is in the Raw Score Total - Reading (Pos. 1028-1030), Scaled Score - Reading (Pos. 1031-1033), Raw Score Total - Writing (Pos. 1040-1042), Scaled Score - Writing (Pos. 1043-1045), Raw Score Total - Listening (Pos. 1052-1054), Scaled Score - Listening (Pos. 1055-1057), Raw Score Total - Speaking (Pos. 1064-1066), Scaled Score - Speaking (Pos. 1067-1069).</t>
  </si>
  <si>
    <t>Updated the Business Rule Column in Pos. 1031-1033  Scaled Score - Reading, Pos. 1043-1045 Scaled Score - Writing, Pos. 1055-1057 Scaled Score - Listening, and Pos. 1067-1069 Scaled Score - Speaking to remove the "Blank when Raw Score Total - &lt;subject&gt; is blank" and replace it with a reference to the Resulting eLDESTD Values by Domain table for setting this value.</t>
  </si>
  <si>
    <t xml:space="preserve">Updated the Business Rule Column in Pos. 1028-1030 Raw Score Total - Reading,  Pos. 1040-1042 Raw Score Total - Writing, Pos. 1052-1054 Raw Score Total - Listening, and Pos. 1064-1066  Raw Score Total - Speaking to remove the "Blank when &lt;subject&gt; not attempted or document not returned" and replace it with a reference to the Resulting eLDESTD Values by Domain table for setting this value.     </t>
  </si>
  <si>
    <t>Updated the Business Rule Column in Pos. 1034-1034 Proficiency Level - Reading, Pos. 1046-1046 Proficiency Level - Writing, Pos. 1058-1058 Proficiency Level - Listening, and Pos. 1070-1070 Proficiency Level - Speaking to remove the "Blank when Raw Score Total - &lt;subject&gt; is blank" and replace it with a reference to the Resulting eLDESTD Values by Domain table for setting this value.</t>
  </si>
  <si>
    <r>
      <rPr>
        <b/>
        <sz val="10"/>
        <rFont val="Arial"/>
        <family val="2"/>
      </rPr>
      <t xml:space="preserve">(Logic Change) </t>
    </r>
    <r>
      <rPr>
        <sz val="10"/>
        <rFont val="Arial"/>
        <family val="2"/>
      </rPr>
      <t xml:space="preserve"> Updated file layout from .xls to .xlsm file format.</t>
    </r>
  </si>
  <si>
    <t xml:space="preserve">For "Item Response" strings, each item uses three characters of space.   Writing Items are  MC and CR.
 If the item is Multiple Choice (MC), the first character of the three is populated with the student's response with the remaining two positions as Filler.
1-4
A
B
C 
D
- = No response (document returned)
* = Multiple Response
Blank = document not returned
If the item is Constructed  Response (CR), all three characters are used and the student's score for the constructed response item is represented as a decimal to the tenth.
0.0, 1.0, 2.0, 3.0, 4.0
B = Domain within the document was 
     sent to Performance Assessment 
     group and there was no attempt 
     for the  CR Item (document 
     returned)
- = No response (document returned 
     and was not sent to Performance 
     Assessment group)
Blank = document not returned
  </t>
  </si>
  <si>
    <t>Separted the MC and CR rules that were merged for the Student Item Responses for Reading, Writing and Listening and listed each domain with their corresponding possible values.   (Pos.  359-928)</t>
  </si>
  <si>
    <t>100-500
Blank</t>
  </si>
  <si>
    <t>Composite Score</t>
  </si>
  <si>
    <r>
      <rPr>
        <b/>
        <sz val="10"/>
        <rFont val="Arial"/>
        <family val="2"/>
      </rPr>
      <t>(Logic Change)</t>
    </r>
    <r>
      <rPr>
        <sz val="10"/>
        <rFont val="Arial"/>
      </rPr>
      <t xml:space="preserve">  (Pos. 1082-1093) Filler field is now 12 in length.</t>
    </r>
  </si>
  <si>
    <r>
      <rPr>
        <b/>
        <sz val="10"/>
        <rFont val="Arial"/>
        <family val="2"/>
      </rPr>
      <t>(Logic Change)</t>
    </r>
    <r>
      <rPr>
        <sz val="10"/>
        <rFont val="Arial"/>
      </rPr>
      <t xml:space="preserve">  Added new field for "Composite Score" (Pos. 1079-1081) to show the composite score that is calculated for Grades 3-12.</t>
    </r>
  </si>
  <si>
    <t xml:space="preserve">LAP Free/Reduced Lunch </t>
  </si>
  <si>
    <r>
      <t xml:space="preserve">As flagged on the LAP file.  
Refer to the </t>
    </r>
    <r>
      <rPr>
        <b/>
        <u/>
        <sz val="10"/>
        <rFont val="Arial"/>
        <family val="2"/>
      </rPr>
      <t>ELDA Birth Country Codes</t>
    </r>
    <r>
      <rPr>
        <sz val="10"/>
        <rFont val="Arial"/>
        <family val="2"/>
      </rPr>
      <t xml:space="preserve"> tab of this document for the LAP Country Codes.
Blank for a hand-coded document that could not be matched back to the LAP file, or if the value was blank on the LAP file.</t>
    </r>
  </si>
  <si>
    <t xml:space="preserve">
0 = Neither MC nor CR taken
1 = MC only taken
2 = CR only taken
3 = Both MC and CR taken
Blank
</t>
  </si>
  <si>
    <t>1 = Grade 4 or 8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</si>
  <si>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r>
      <rPr>
        <b/>
        <sz val="10"/>
        <rFont val="Arial"/>
        <family val="2"/>
      </rPr>
      <t>(Logic Change</t>
    </r>
    <r>
      <rPr>
        <sz val="10"/>
        <rFont val="Arial"/>
      </rPr>
      <t>)  Added Possible Values of 7 and 8 to the Lap Option Code (Pos. 188) per Xiujuan's email 3/6/2013  "RE: March LAP File"</t>
    </r>
  </si>
  <si>
    <r>
      <rPr>
        <b/>
        <sz val="10"/>
        <rFont val="Arial"/>
        <family val="2"/>
      </rPr>
      <t>(Logic Change)</t>
    </r>
    <r>
      <rPr>
        <sz val="10"/>
        <rFont val="Arial"/>
      </rPr>
      <t xml:space="preserve"> Updated the "Include in Researcher file?" and "Include in LDE Staff &amp; Contractors" file from N to Y in  (Pos.1149, 1150-1155, 1156-1158 - LAP Scholarship Student Flag, LAP Scholarship Site Code and LAP Residence_LEA).</t>
    </r>
  </si>
  <si>
    <r>
      <rPr>
        <b/>
        <sz val="10"/>
        <rFont val="Arial"/>
        <family val="2"/>
      </rPr>
      <t xml:space="preserve">(Logic Change)  </t>
    </r>
    <r>
      <rPr>
        <sz val="10"/>
        <rFont val="Arial"/>
        <family val="2"/>
      </rPr>
      <t>Added the LAP Scholarship Site Code field in (Pos. 1150-1155) (previously FILLER).</t>
    </r>
  </si>
  <si>
    <t>Project:  2014 ELDA Spring</t>
  </si>
  <si>
    <t>Y = Native Hawaiian or Other Pacific 
     Islander
N = Not Native Hawaiian or Other 
     Pacific Islander
Blank</t>
  </si>
  <si>
    <t>Y = White
N = Not White
Blank</t>
  </si>
  <si>
    <t>Y = Asian
N = Not Asian
Blank</t>
  </si>
  <si>
    <t>1 = Male
2 = Female
* = Multiple Responses
- = No response (document returned)
Blank = document not returned</t>
  </si>
  <si>
    <t>numeric values1000-2999
* in any position = multiple response
- in any position = No response 
     (document returned)
Blank = document not returned</t>
  </si>
  <si>
    <t>For "Item Response" strings, each item uses three characters of space.  Reading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</si>
  <si>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For "Item Response" strings, each item uses three characters of space.   Listening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</si>
  <si>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01 = LEA
02 = LAB
03 = CHA
04 = TRI
05 = NPB
06 = STA
08 = BSE
09 = OJJ
10 = MAR
12 = RES
13 = NPS
14 = RLA
15 = RNO
16 = JUV
17 = RBR</t>
  </si>
  <si>
    <r>
      <t xml:space="preserve">If field value = "Y", then student will appear on the Student Roster Report.
The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</si>
  <si>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 xml:space="preserve">If field value = "Y", then student will appear on the Student Report.
The Student Report flag will be set to "Y", if the student meets the selection criteria defined within the </t>
    </r>
    <r>
      <rPr>
        <b/>
        <u/>
        <sz val="10"/>
        <rFont val="Arial"/>
        <family val="2"/>
      </rPr>
      <t>Student Report</t>
    </r>
    <r>
      <rPr>
        <u/>
        <sz val="10"/>
        <rFont val="Arial"/>
        <family val="2"/>
      </rPr>
      <t xml:space="preserve"> </t>
    </r>
    <r>
      <rPr>
        <sz val="10"/>
        <rFont val="Arial"/>
        <family val="2"/>
      </rPr>
      <t>section of the Processing Rules-Reporting document.</t>
    </r>
  </si>
  <si>
    <r>
      <t xml:space="preserve">If field value = "Y", then student will appear on the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t>
    </r>
  </si>
  <si>
    <t>If field value = "Y", then student will be receiving this footnote.
The Test Security Violation (Void) flag will be set to "Y", if the Summarized Void Flag for Reading = "Y".</t>
  </si>
  <si>
    <t>If field value ="Y", then student will be receiving this footnote.
The Test Security Violation (Void) flag will be set to "Y", if the Summarized Void Flag for Writing = "Y".</t>
  </si>
  <si>
    <t>If field value = "Y", then student will be receiving this footnote.
The Test Security Violation (Void) flag will be set to "Y", if the Summarized Void Flag for the Listening = "Y".</t>
  </si>
  <si>
    <t>If field value = "Y", then student will be receiving this footnote.
The Test Security Violation (Void) flag will be set to "Y", if the Summarized Void Flag for the Speaking = "Y".</t>
  </si>
  <si>
    <t>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</si>
  <si>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1 = K
2 = 1-2
3 = 3-5
6 = 6-8
9 = 9-12
Blank = document not returned</t>
  </si>
  <si>
    <t>1 = Yes 
- = No response (document returned)
Blank = document not returned</t>
  </si>
  <si>
    <t>Document Name</t>
  </si>
  <si>
    <t>LDE SFTP Location</t>
  </si>
  <si>
    <t>DRC Location</t>
  </si>
  <si>
    <t>Common Louisiana Processing Rules - Reporting</t>
  </si>
  <si>
    <t>http://drcdirect/informationsystems/eis/dteam/Louisiana/Common Louisiana &lt;Admin&gt;/Reporting/</t>
  </si>
  <si>
    <t>DRC Location &lt;Admin&gt; = “Spring”, “Summer”, or “Fall”</t>
  </si>
  <si>
    <t>LDE SFTP &lt;Admin&gt; = "Spring", "Summer Retest", "Fall Retest"</t>
  </si>
  <si>
    <t>ELDA Processing Rules - Scoring</t>
  </si>
  <si>
    <t>ELDA Processing Rules - Reporting</t>
  </si>
  <si>
    <t>Louisiana/&lt;YYYY&gt; - ELDA &lt;Admin&gt;/Processing Rules - Final</t>
  </si>
  <si>
    <t>http://drcdirect/informationsystems/eis/dteam/Louisiana/ELDA &lt;Admin&gt;/</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</si>
  <si>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</si>
  <si>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Due to timing of Grade Cleanup, "Blank" may appear in key verification file.   Blank is not a valid option in final eLDESTD.
Refer to the </t>
    </r>
    <r>
      <rPr>
        <b/>
        <u/>
        <sz val="10"/>
        <rFont val="Arial"/>
        <family val="2"/>
      </rPr>
      <t>Rules to Determine Demographic Values</t>
    </r>
    <r>
      <rPr>
        <u/>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</si>
  <si>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First character ("P" or "L"), followed by the last 8 digits of the number.
Refer to the </t>
    </r>
    <r>
      <rPr>
        <b/>
        <u/>
        <sz val="10"/>
        <rFont val="Arial"/>
        <family val="2"/>
      </rPr>
      <t>Match-back and eLDESTD Record Creation</t>
    </r>
    <r>
      <rPr>
        <sz val="10"/>
        <rFont val="Arial"/>
        <family val="2"/>
      </rPr>
      <t xml:space="preserve"> section of the Processing Rules - Scoring document for more information on how this field is populated.</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</si>
  <si>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</si>
  <si>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Student's gender
Refer to the </t>
    </r>
    <r>
      <rPr>
        <b/>
        <u/>
        <sz val="10"/>
        <rFont val="Arial"/>
        <family val="2"/>
      </rPr>
      <t>Rules to Determine Demographic Value</t>
    </r>
    <r>
      <rPr>
        <sz val="10"/>
        <rFont val="Arial"/>
        <family val="2"/>
      </rPr>
      <t>s section of the Processing Rules -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</si>
  <si>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
</t>
    </r>
  </si>
  <si>
    <r>
      <t xml:space="preserve">Taken from either the LAP file or the bubbled lunch status on the answer document.
</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</si>
  <si>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</si>
  <si>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</si>
  <si>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As bubbled on the answer document.
Imaging will record the Bubbled values as 1-6 and DRC will need to convert to reflect them as seen in the eLDESTD value description.  (Code 3 is no longer valid)
ex.  Bubble  1 = eLDESTD 1
        Bubble  2 = eLDESTD 2
        Bubble  3 = eLDESTD 4
        Bubble  4 = eLDESTD 5
        Bubble  5 = eLDESTD 6
        Bubble  6 = eLDESTD 7
Refer to the </t>
    </r>
    <r>
      <rPr>
        <b/>
        <u/>
        <sz val="10"/>
        <rFont val="Arial"/>
        <family val="2"/>
      </rPr>
      <t>Nonparticipation Codes List</t>
    </r>
    <r>
      <rPr>
        <sz val="10"/>
        <rFont val="Arial"/>
        <family val="2"/>
      </rPr>
      <t xml:space="preserve"> section of the Processing Rules - Scoring document for valid values.
</t>
    </r>
  </si>
  <si>
    <r>
      <t xml:space="preserve">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</si>
  <si>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</si>
  <si>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t>
    </r>
    <r>
      <rPr>
        <sz val="10"/>
        <rFont val="Arial"/>
        <family val="2"/>
      </rPr>
      <t xml:space="preserve">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</si>
  <si>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</si>
  <si>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Education classification flag for all domains.  
Refer to the Summarized Education Classification table in </t>
    </r>
    <r>
      <rPr>
        <b/>
        <u/>
        <sz val="10"/>
        <rFont val="Arial"/>
        <family val="2"/>
      </rPr>
      <t>Rules to Determine Demographic Values</t>
    </r>
    <r>
      <rPr>
        <sz val="10"/>
        <rFont val="Arial"/>
        <family val="2"/>
      </rPr>
      <t xml:space="preserve"> section of the Processing Rules - and Scoring document for logic to determine this value based on values from the LAP file and the answer document.
</t>
    </r>
  </si>
  <si>
    <r>
      <t xml:space="preserve">Section 504 for all domains.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</si>
  <si>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 
</t>
    </r>
    <r>
      <rPr>
        <sz val="10"/>
        <rFont val="Arial"/>
        <family val="2"/>
      </rPr>
      <t xml:space="preserve">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</si>
  <si>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 
"0.0" when the CR item was attempted and no points were received.
For CR item - refer to the </t>
    </r>
    <r>
      <rPr>
        <b/>
        <u/>
        <sz val="10"/>
        <rFont val="Arial"/>
        <family val="2"/>
      </rPr>
      <t>Constructed Response Items</t>
    </r>
    <r>
      <rPr>
        <sz val="10"/>
        <rFont val="Arial"/>
        <family val="2"/>
      </rPr>
      <t xml:space="preserve"> section of the Processing Rules - Scoring document </t>
    </r>
    <r>
      <rPr>
        <sz val="10"/>
        <rFont val="Arial"/>
        <family val="2"/>
      </rPr>
      <t xml:space="preserve">for rules on values.
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</si>
  <si>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Total raw score for Reading includes automatic or partial credit.
For K-2 students this score only represents the inventory raw score total.
Refer to the </t>
    </r>
    <r>
      <rPr>
        <b/>
        <u/>
        <sz val="10"/>
        <rFont val="Arial"/>
        <family val="2"/>
      </rPr>
      <t>Resulting eLDESTD Values by Domain</t>
    </r>
    <r>
      <rPr>
        <b/>
        <sz val="10"/>
        <rFont val="Arial"/>
        <family val="2"/>
      </rPr>
      <t xml:space="preserve"> </t>
    </r>
    <r>
      <rPr>
        <sz val="10"/>
        <rFont val="Arial"/>
        <family val="2"/>
      </rPr>
      <t>section wihin the ELDA Processing Rules -Scoring document for the logic used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</si>
  <si>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Scaled Score value.</t>
    </r>
  </si>
  <si>
    <r>
      <t xml:space="preserve">Total raw score for Writing includes automatic or partial credit.
For K-2 students this score only represents the inventory raw score total.
Refer to the </t>
    </r>
    <r>
      <rPr>
        <b/>
        <u/>
        <sz val="10"/>
        <rFont val="Arial"/>
        <family val="2"/>
      </rPr>
      <t xml:space="preserve">Resulting eLDESTD Values by Domain </t>
    </r>
    <r>
      <rPr>
        <sz val="10"/>
        <rFont val="Arial"/>
        <family val="2"/>
      </rPr>
      <t>section within the ELDA Processing Rules - Scoring document for the logic used to set the Raw Score value.</t>
    </r>
  </si>
  <si>
    <r>
      <t xml:space="preserve">Total raw score for Listening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 - Scoring document for the logic used to set the Raw Score value.</t>
    </r>
  </si>
  <si>
    <r>
      <t xml:space="preserve">Total raw score for Speaking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Rules-Scoring document for the logic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</si>
  <si>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values used to set the Scaled Score value.</t>
    </r>
  </si>
  <si>
    <r>
      <t xml:space="preserve">Refer to the </t>
    </r>
    <r>
      <rPr>
        <b/>
        <u/>
        <sz val="10"/>
        <rFont val="Arial"/>
        <family val="2"/>
      </rPr>
      <t>Resulting eLDESTD Values by Domain</t>
    </r>
    <r>
      <rPr>
        <sz val="10"/>
        <rFont val="Arial"/>
        <family val="2"/>
      </rPr>
      <t xml:space="preserve"> </t>
    </r>
    <r>
      <rPr>
        <sz val="10"/>
        <rFont val="Arial"/>
        <family val="2"/>
      </rPr>
      <t xml:space="preserve">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</si>
  <si>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Production level is used for Grades K-2 as an intermediate step to obtain the composite level and is not published in any report. 
Blank when Grades 3-12.
Refer to the </t>
    </r>
    <r>
      <rPr>
        <b/>
        <u/>
        <sz val="10"/>
        <rFont val="Arial"/>
        <family val="2"/>
      </rPr>
      <t>Production Level Calculation</t>
    </r>
    <r>
      <rPr>
        <sz val="10"/>
        <rFont val="Arial"/>
        <family val="2"/>
      </rPr>
      <t xml:space="preserve"> section of the Processing Rules - Scoring document for logic to determine the Production Level value.</t>
    </r>
  </si>
  <si>
    <r>
      <t xml:space="preserve">Comprehension is derived from Reading and Listening.
Refer to the </t>
    </r>
    <r>
      <rPr>
        <b/>
        <u/>
        <sz val="10"/>
        <rFont val="Arial"/>
        <family val="2"/>
      </rPr>
      <t>Comprehension Level Calculation</t>
    </r>
    <r>
      <rPr>
        <sz val="10"/>
        <rFont val="Arial"/>
        <family val="2"/>
      </rPr>
      <t xml:space="preserve"> section of the Processing Rules - Scoring document for logic to determine the Comprehension Level  value.</t>
    </r>
  </si>
  <si>
    <r>
      <t xml:space="preserve">Composite proficiency level is derived from all four domains.  
Refer to the </t>
    </r>
    <r>
      <rPr>
        <b/>
        <u/>
        <sz val="10"/>
        <rFont val="Arial"/>
        <family val="2"/>
      </rPr>
      <t>Composite Level Calculation</t>
    </r>
    <r>
      <rPr>
        <sz val="10"/>
        <rFont val="Arial"/>
        <family val="2"/>
      </rPr>
      <t xml:space="preserve"> section of the Processing Rules - Scoring document for logic to determine the Composite Level value.</t>
    </r>
  </si>
  <si>
    <r>
      <t xml:space="preserve">Blank when Grades K-2
Refer to the </t>
    </r>
    <r>
      <rPr>
        <b/>
        <u/>
        <sz val="10"/>
        <rFont val="Arial"/>
        <family val="2"/>
      </rPr>
      <t>Composite Level Calculation</t>
    </r>
    <r>
      <rPr>
        <sz val="10"/>
        <rFont val="Arial"/>
        <family val="2"/>
      </rPr>
      <t xml:space="preserve"> section of the Processing Rules - Scoring document for logic to determine the Composite Score value.  </t>
    </r>
  </si>
  <si>
    <r>
      <t xml:space="preserve">Include student in summarization for this domain.
The </t>
    </r>
    <r>
      <rPr>
        <b/>
        <u/>
        <sz val="10"/>
        <rFont val="Arial"/>
        <family val="2"/>
      </rPr>
      <t xml:space="preserve">Include in N-Counts </t>
    </r>
    <r>
      <rPr>
        <sz val="10"/>
        <rFont val="Arial"/>
        <family val="2"/>
      </rPr>
      <t xml:space="preserve">flag will be set to "Y", if the student meets the criteria within the Include in N-Counts section in the Processing Rules - Scoring document.
</t>
    </r>
  </si>
  <si>
    <r>
      <t xml:space="preserve">Student attempted this domain.
Refer to the </t>
    </r>
    <r>
      <rPr>
        <b/>
        <u/>
        <sz val="10"/>
        <rFont val="Arial"/>
        <family val="2"/>
      </rPr>
      <t>Test Taken</t>
    </r>
    <r>
      <rPr>
        <sz val="10"/>
        <rFont val="Arial"/>
        <family val="2"/>
      </rPr>
      <t xml:space="preserve"> section in the Processing Rules - Scoring document for rules on populating these values.</t>
    </r>
  </si>
  <si>
    <r>
      <t xml:space="preserve">
Refer to the </t>
    </r>
    <r>
      <rPr>
        <b/>
        <u/>
        <sz val="10"/>
        <rFont val="Arial"/>
        <family val="2"/>
      </rPr>
      <t>Nonparticipation Codes</t>
    </r>
    <r>
      <rPr>
        <sz val="10"/>
        <rFont val="Arial"/>
        <family val="2"/>
      </rPr>
      <t xml:space="preserve"> section of the Processing Rules - Scoring document for more information and a process flow diagram.  Code 03 is no longer valid.</t>
    </r>
    <r>
      <rPr>
        <sz val="10"/>
        <rFont val="Arial"/>
        <family val="2"/>
      </rPr>
      <t xml:space="preserve">
</t>
    </r>
  </si>
  <si>
    <t>Updated the year value in the Project Name to "2014"</t>
  </si>
  <si>
    <t>Handscoring Complete Flags</t>
  </si>
  <si>
    <t>E</t>
  </si>
  <si>
    <t>Y =  Handscoring is complete
N = Handscoring is not complete</t>
  </si>
  <si>
    <t>The Handscoring Complete Flag for Writing will be set to "Y" if handscoring has been completed.</t>
  </si>
  <si>
    <r>
      <rPr>
        <b/>
        <sz val="10"/>
        <rFont val="Arial"/>
        <family val="2"/>
      </rPr>
      <t xml:space="preserve">(Logic Change) </t>
    </r>
    <r>
      <rPr>
        <sz val="10"/>
        <rFont val="Arial"/>
      </rPr>
      <t xml:space="preserve"> The Filler field (Pos.1095-1099) was changed from 5 positions  to 4 due to Handscoring being added.  Filler is now 1096-1099.</t>
    </r>
  </si>
  <si>
    <t>LAP Twin Flag</t>
  </si>
  <si>
    <r>
      <rPr>
        <b/>
        <sz val="10"/>
        <rFont val="Arial"/>
        <family val="2"/>
      </rPr>
      <t>(Logic Change)</t>
    </r>
    <r>
      <rPr>
        <sz val="10"/>
        <rFont val="Arial"/>
        <family val="2"/>
      </rPr>
      <t xml:space="preserve">  The Filler field (Pos. 1144-1148) was changed from 5 positions to 4 due to the LAP Twin Flag being added.  Filler is now (Pos. 1144-1147).</t>
    </r>
  </si>
  <si>
    <t>Updated references to the document "Processing Rules - Materials and Scoring" to read "Processing Rules - Scoring" as the Materials section has been moved to a Common document.  (multiple locations)</t>
  </si>
  <si>
    <r>
      <rPr>
        <b/>
        <sz val="10"/>
        <rFont val="Arial"/>
        <family val="2"/>
      </rPr>
      <t>(Logic Change)</t>
    </r>
    <r>
      <rPr>
        <sz val="10"/>
        <rFont val="Arial"/>
      </rPr>
      <t xml:space="preserve">  Add new field "LAP Twin Flag"  (Pos. 1148).</t>
    </r>
  </si>
  <si>
    <r>
      <rPr>
        <b/>
        <sz val="10"/>
        <rFont val="Arial"/>
        <family val="2"/>
      </rPr>
      <t>(Logic Change</t>
    </r>
    <r>
      <rPr>
        <sz val="10"/>
        <rFont val="Arial"/>
        <family val="2"/>
      </rPr>
      <t>)  Bubbled Special Education Exceptionalities (Ref. 206) will remove the text  "Profound Mental Disability" and it will read "Other (Multiple Disabilities, Severe Mental Disability)".</t>
    </r>
  </si>
  <si>
    <t xml:space="preserve">25 = Kindergarten 
01 = Grade 1
02 = Grade 2 
03 = Grade 3  
04 = Grade 4    
05 = Grade 5
06 = Grade 6 
07 = Grade 7  
08 = Grade 8    
09 = Grade 9
10 = Grade 10 
11 =  Grade 11  
12 = Grade 12  </t>
  </si>
  <si>
    <r>
      <rPr>
        <b/>
        <sz val="10"/>
        <rFont val="Arial"/>
        <family val="2"/>
      </rPr>
      <t>(Logic Change)</t>
    </r>
    <r>
      <rPr>
        <sz val="10"/>
        <rFont val="Arial"/>
        <family val="2"/>
      </rPr>
      <t xml:space="preserve">  A new field was added in (Pos. 1095) called "Handscoring Complete Flag - Writing".  Writing is the only ELDA field that is handscored and it will be set to "Y" when Handscoring is complete.</t>
    </r>
  </si>
  <si>
    <t>Added a tab for the "Reference Locations" table to show the SFTP and DRC locations of documents referred to in the LDESTD File Layout.</t>
  </si>
  <si>
    <t>Handscoring Complete Flag - Writing</t>
  </si>
  <si>
    <t>Y = Indicated as one of the twins
N = Not a twin
Blank</t>
  </si>
  <si>
    <r>
      <rPr>
        <b/>
        <sz val="10"/>
        <rFont val="Arial"/>
        <family val="2"/>
      </rPr>
      <t>(Logic Change)</t>
    </r>
    <r>
      <rPr>
        <sz val="10"/>
        <rFont val="Arial"/>
        <family val="2"/>
      </rPr>
      <t xml:space="preserve">  Summarized Special Education Exceptionality Category (Ref. 306-307) will remove the text "Profound Mental Disability" from #17 and it will read "Other (Mult Disabilities, Severe Mental Dis.)". </t>
    </r>
  </si>
  <si>
    <r>
      <t xml:space="preserve">Refer to the </t>
    </r>
    <r>
      <rPr>
        <b/>
        <u/>
        <sz val="10"/>
        <rFont val="Arial"/>
        <family val="2"/>
      </rPr>
      <t>Resulting eLDESTD Values by Domain</t>
    </r>
    <r>
      <rPr>
        <sz val="10"/>
        <rFont val="Arial"/>
        <family val="2"/>
      </rPr>
      <t xml:space="preserve"> section 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</si>
  <si>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</si>
  <si>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</si>
  <si>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00-39 (0-9 or - in any position)
</t>
    </r>
    <r>
      <rPr>
        <sz val="10"/>
        <color rgb="FFFF0000"/>
        <rFont val="Arial"/>
        <family val="2"/>
      </rPr>
      <t>99</t>
    </r>
    <r>
      <rPr>
        <sz val="10"/>
        <rFont val="Arial"/>
        <family val="2"/>
      </rPr>
      <t xml:space="preserve">
</t>
    </r>
  </si>
  <si>
    <r>
      <t xml:space="preserve">01-12
--
</t>
    </r>
    <r>
      <rPr>
        <sz val="10"/>
        <color rgb="FFFF0000"/>
        <rFont val="Arial"/>
        <family val="2"/>
      </rPr>
      <t xml:space="preserve">99 </t>
    </r>
  </si>
  <si>
    <r>
      <rPr>
        <b/>
        <sz val="10"/>
        <rFont val="Arial"/>
        <family val="2"/>
      </rPr>
      <t xml:space="preserve">(Logic Change) </t>
    </r>
    <r>
      <rPr>
        <sz val="10"/>
        <rFont val="Arial"/>
      </rPr>
      <t xml:space="preserve"> The LAP Twin Flag will NOT be listed on the Researcher File, but WILL BE listed on the Staff and Contractor File.</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</si>
  <si>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t>
    </r>
    <r>
      <rPr>
        <sz val="10"/>
        <color rgb="FFFF0000"/>
        <rFont val="Arial"/>
        <family val="2"/>
      </rPr>
      <t>"99" is only valid after the Online Corrections System (OCS) has been applied.</t>
    </r>
  </si>
  <si>
    <t xml:space="preserve">Added "99" as a possible value to the Summarized Date of Birth - Month (Pos. 152-153) and the Summarized Date of Birth - Day (Pos. 154-155) and a business rule to note that this value is only valid after the Online Corrections System (OCS) has been applied since this is a valid OCS value and will appear in post OCS files. </t>
  </si>
  <si>
    <r>
      <rPr>
        <strike/>
        <sz val="10"/>
        <color rgb="FFFF0000"/>
        <rFont val="Arial"/>
        <family val="2"/>
      </rPr>
      <t>LAP Residence_LEA</t>
    </r>
    <r>
      <rPr>
        <sz val="10"/>
        <rFont val="Arial"/>
        <family val="2"/>
      </rPr>
      <t xml:space="preserve">     FILLER</t>
    </r>
  </si>
  <si>
    <r>
      <t>Other (Multiple Disabilities,</t>
    </r>
    <r>
      <rPr>
        <sz val="10"/>
        <color rgb="FFFF0000"/>
        <rFont val="Arial"/>
        <family val="2"/>
      </rPr>
      <t xml:space="preserve"> </t>
    </r>
    <r>
      <rPr>
        <strike/>
        <sz val="10"/>
        <color rgb="FFFF0000"/>
        <rFont val="Arial"/>
        <family val="2"/>
      </rPr>
      <t>Profound Mental Dis</t>
    </r>
    <r>
      <rPr>
        <sz val="10"/>
        <color rgb="FFFF0000"/>
        <rFont val="Arial"/>
        <family val="2"/>
      </rPr>
      <t>.,</t>
    </r>
    <r>
      <rPr>
        <sz val="10"/>
        <rFont val="Arial"/>
        <family val="2"/>
      </rPr>
      <t xml:space="preserve"> Severe Mental Disability)                                                                                                                                                                                                                                                                                                                                                              </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</si>
  <si>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17 = Other (Mult Disabilities,</t>
    </r>
    <r>
      <rPr>
        <strike/>
        <sz val="10"/>
        <rFont val="Arial"/>
        <family val="2"/>
      </rPr>
      <t xml:space="preserve"> </t>
    </r>
    <r>
      <rPr>
        <strike/>
        <sz val="10"/>
        <color rgb="FFFF0000"/>
        <rFont val="Arial"/>
        <family val="2"/>
      </rPr>
      <t>Profound 
     Mental Dis.</t>
    </r>
    <r>
      <rPr>
        <sz val="10"/>
        <rFont val="Arial"/>
        <family val="2"/>
      </rPr>
      <t>, Severe Mental Dis.) 
99 = Unknown (Multiple Responses)
Blank</t>
    </r>
  </si>
  <si>
    <r>
      <rPr>
        <b/>
        <sz val="10"/>
        <rFont val="Arial"/>
        <family val="2"/>
      </rPr>
      <t>(Logic change)</t>
    </r>
    <r>
      <rPr>
        <sz val="10"/>
        <rFont val="Arial"/>
        <family val="2"/>
      </rPr>
      <t xml:space="preserve"> Added "C" to the Field Use column for LAP LDE Unique ID GUID in pos. 1169-1178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</si>
  <si>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rFont val="Arial"/>
        <family val="2"/>
      </rPr>
      <t>(Logic Change)</t>
    </r>
    <r>
      <rPr>
        <sz val="10"/>
        <rFont val="Arial"/>
        <family val="2"/>
      </rPr>
      <t xml:space="preserve"> Pos. 1156-1158, LAP Residence_LEA field was changed to FILLER. This field is no longer populated in the LAP file.</t>
    </r>
  </si>
</sst>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0"/>
      <name val="Arial"/>
    </font>
    <font>
      <sz val="10"/>
      <name val="Arial"/>
      <family val="2"/>
    </font>
    <font>
      <sz val="10"/>
      <name val="Arial"/>
      <family val="2"/>
    </font>
    <font>
      <sz val="10"/>
      <color indexed="10"/>
      <name val="Arial"/>
      <family val="2"/>
    </font>
    <font>
      <sz val="10"/>
      <name val="Arial"/>
      <family val="2"/>
    </font>
    <font>
      <i/>
      <sz val="10"/>
      <color indexed="10"/>
      <name val="Arial"/>
      <family val="2"/>
    </font>
    <font>
      <i/>
      <sz val="10"/>
      <name val="Arial"/>
      <family val="2"/>
    </font>
    <font>
      <sz val="12"/>
      <name val="Arial"/>
      <family val="2"/>
    </font>
    <font>
      <sz val="14"/>
      <name val="Arial"/>
      <family val="2"/>
    </font>
    <font>
      <b/>
      <sz val="11"/>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sz val="14"/>
      <color indexed="10"/>
      <name val="Arial"/>
      <family val="2"/>
    </font>
    <font>
      <b/>
      <sz val="8"/>
      <color indexed="10"/>
      <name val="Arial"/>
      <family val="2"/>
    </font>
    <font>
      <sz val="7"/>
      <name val="Arial"/>
      <family val="2"/>
    </font>
    <font>
      <sz val="7"/>
      <name val="Times New Roman"/>
      <family val="1"/>
    </font>
    <font>
      <b/>
      <sz val="7"/>
      <name val="Times New Roman"/>
      <family val="1"/>
    </font>
    <font>
      <sz val="7"/>
      <name val="Goudy Stout"/>
      <family val="1"/>
    </font>
    <font>
      <b/>
      <u/>
      <sz val="10"/>
      <name val="Arial"/>
      <family val="2"/>
    </font>
    <font>
      <i/>
      <sz val="11"/>
      <name val="Arial"/>
      <family val="2"/>
    </font>
    <font>
      <sz val="11"/>
      <name val="Arial"/>
      <family val="2"/>
    </font>
    <font>
      <b/>
      <sz val="10"/>
      <color indexed="12"/>
      <name val="Arial"/>
      <family val="2"/>
    </font>
    <font>
      <b/>
      <sz val="16"/>
      <name val="Arial"/>
      <family val="2"/>
    </font>
    <font>
      <b/>
      <sz val="12"/>
      <name val="Arial"/>
      <family val="2"/>
    </font>
    <font>
      <strike/>
      <sz val="10"/>
      <name val="Arial"/>
      <family val="2"/>
    </font>
    <font>
      <sz val="10"/>
      <name val="Arial"/>
      <family val="2"/>
    </font>
    <font>
      <u/>
      <sz val="10"/>
      <name val="Arial"/>
      <family val="2"/>
    </font>
    <font>
      <sz val="11"/>
      <color theme="1"/>
      <name val="Calibri"/>
      <family val="2"/>
      <scheme val="minor"/>
    </font>
    <font>
      <b/>
      <sz val="10"/>
      <color rgb="FF0000FF"/>
      <name val="Arial"/>
      <family val="2"/>
    </font>
    <font>
      <u/>
      <sz val="10"/>
      <color theme="10"/>
      <name val="Arial"/>
      <family val="2"/>
    </font>
    <font>
      <sz val="10"/>
      <color rgb="FFFF0000"/>
      <name val="Arial"/>
      <family val="2"/>
    </font>
    <font>
      <strike/>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0" tint="-0.14996795556505021"/>
        <bgColor indexed="64"/>
      </patternFill>
    </fill>
    <fill>
      <patternFill patternType="solid">
        <fgColor rgb="FFFFFF99"/>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5">
    <xf numFmtId="0" fontId="0" fillId="0" borderId="0"/>
    <xf numFmtId="0" fontId="2" fillId="0" borderId="0"/>
    <xf numFmtId="0" fontId="30" fillId="0" borderId="0"/>
    <xf numFmtId="0" fontId="32" fillId="0" borderId="0"/>
    <xf numFmtId="0" fontId="34" fillId="0" borderId="0" applyNumberFormat="0" applyFill="0" applyBorder="0" applyAlignment="0" applyProtection="0"/>
  </cellStyleXfs>
  <cellXfs count="198">
    <xf numFmtId="0" fontId="0" fillId="0" borderId="0" xfId="0"/>
    <xf numFmtId="0" fontId="9" fillId="0" borderId="0" xfId="0" applyFont="1" applyFill="1" applyBorder="1" applyAlignment="1">
      <alignment horizontal="center" vertical="top"/>
    </xf>
    <xf numFmtId="0" fontId="8" fillId="0" borderId="0" xfId="0" applyFont="1" applyFill="1" applyBorder="1" applyAlignment="1">
      <alignment vertical="top"/>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0" fontId="0" fillId="0" borderId="1" xfId="0" applyBorder="1" applyAlignment="1" applyProtection="1">
      <alignment vertical="top" wrapText="1"/>
      <protection locked="0"/>
    </xf>
    <xf numFmtId="0" fontId="0" fillId="0" borderId="1" xfId="0" applyBorder="1" applyAlignment="1" applyProtection="1">
      <alignment horizontal="left" vertical="top"/>
      <protection locked="0"/>
    </xf>
    <xf numFmtId="0" fontId="0" fillId="0" borderId="1" xfId="0" applyFill="1" applyBorder="1" applyAlignment="1" applyProtection="1">
      <alignment horizontal="left" vertical="top"/>
      <protection locked="0"/>
    </xf>
    <xf numFmtId="0" fontId="20" fillId="0" borderId="2" xfId="0" applyFont="1" applyBorder="1"/>
    <xf numFmtId="0" fontId="20" fillId="0" borderId="3" xfId="0" applyFont="1" applyBorder="1"/>
    <xf numFmtId="0" fontId="20" fillId="0" borderId="4" xfId="0" applyFont="1" applyBorder="1"/>
    <xf numFmtId="0" fontId="20" fillId="0" borderId="5" xfId="0" applyFont="1" applyBorder="1"/>
    <xf numFmtId="0" fontId="21" fillId="0" borderId="5" xfId="0" applyFont="1" applyBorder="1"/>
    <xf numFmtId="0" fontId="21" fillId="0" borderId="4" xfId="0" applyFont="1" applyBorder="1"/>
    <xf numFmtId="0" fontId="19" fillId="0" borderId="5" xfId="0" applyFont="1" applyBorder="1"/>
    <xf numFmtId="0" fontId="20" fillId="0" borderId="6" xfId="0" applyFont="1" applyBorder="1"/>
    <xf numFmtId="0" fontId="20" fillId="0" borderId="7" xfId="0" applyFont="1" applyBorder="1"/>
    <xf numFmtId="0" fontId="19" fillId="0" borderId="7" xfId="0" applyFont="1" applyBorder="1"/>
    <xf numFmtId="0" fontId="22" fillId="0" borderId="5" xfId="0" applyFont="1" applyBorder="1"/>
    <xf numFmtId="0" fontId="22" fillId="0" borderId="7" xfId="0" applyFont="1" applyBorder="1"/>
    <xf numFmtId="14" fontId="0" fillId="0" borderId="1" xfId="0" applyNumberFormat="1" applyBorder="1" applyAlignment="1" applyProtection="1">
      <alignment horizontal="center" vertical="top"/>
      <protection locked="0"/>
    </xf>
    <xf numFmtId="0" fontId="0" fillId="0" borderId="0" xfId="0" applyFill="1" applyBorder="1" applyAlignment="1">
      <alignment wrapText="1"/>
    </xf>
    <xf numFmtId="0" fontId="6" fillId="0" borderId="0" xfId="0" applyFont="1" applyFill="1" applyBorder="1"/>
    <xf numFmtId="0" fontId="0" fillId="0" borderId="0" xfId="0" applyFill="1" applyBorder="1" applyAlignment="1"/>
    <xf numFmtId="0" fontId="4" fillId="0" borderId="1" xfId="0" applyFont="1" applyBorder="1" applyAlignment="1" applyProtection="1">
      <alignment vertical="top" wrapText="1"/>
      <protection locked="0"/>
    </xf>
    <xf numFmtId="0" fontId="1" fillId="0" borderId="1" xfId="0" applyFont="1" applyBorder="1" applyAlignment="1" applyProtection="1">
      <alignment vertical="top" wrapText="1"/>
      <protection locked="0"/>
    </xf>
    <xf numFmtId="0" fontId="0" fillId="0" borderId="1" xfId="0" applyFill="1" applyBorder="1" applyAlignment="1" applyProtection="1">
      <alignment horizontal="center" vertical="top"/>
      <protection locked="0"/>
    </xf>
    <xf numFmtId="0" fontId="0" fillId="0" borderId="0" xfId="0" applyFill="1" applyBorder="1" applyAlignment="1">
      <alignment horizontal="left"/>
    </xf>
    <xf numFmtId="0" fontId="0" fillId="0" borderId="0" xfId="0" applyFill="1" applyBorder="1" applyAlignment="1">
      <alignment horizontal="left" wrapText="1"/>
    </xf>
    <xf numFmtId="0" fontId="0" fillId="0" borderId="0" xfId="0" applyFill="1" applyBorder="1" applyAlignment="1">
      <alignment horizontal="center"/>
    </xf>
    <xf numFmtId="0" fontId="4" fillId="0" borderId="1" xfId="0" applyFont="1" applyFill="1" applyBorder="1" applyAlignment="1">
      <alignment wrapText="1"/>
    </xf>
    <xf numFmtId="14" fontId="0" fillId="0" borderId="1"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 xfId="0" applyFill="1" applyBorder="1" applyAlignment="1" applyProtection="1">
      <alignment wrapText="1"/>
      <protection locked="0"/>
    </xf>
    <xf numFmtId="0" fontId="8" fillId="0" borderId="0" xfId="0" applyFont="1" applyFill="1" applyBorder="1" applyAlignment="1"/>
    <xf numFmtId="0" fontId="7" fillId="0" borderId="0" xfId="0" applyFont="1" applyFill="1" applyBorder="1" applyAlignment="1">
      <alignment vertical="top"/>
    </xf>
    <xf numFmtId="0" fontId="0" fillId="0" borderId="0" xfId="0" applyFill="1" applyBorder="1" applyAlignment="1">
      <alignment horizontal="center" vertical="top"/>
    </xf>
    <xf numFmtId="0" fontId="4" fillId="0" borderId="0" xfId="0" applyFont="1" applyFill="1" applyBorder="1" applyAlignment="1">
      <alignment horizontal="center" vertical="top"/>
    </xf>
    <xf numFmtId="0" fontId="3" fillId="0" borderId="0" xfId="0" applyFont="1" applyFill="1" applyBorder="1" applyAlignment="1">
      <alignment vertical="top"/>
    </xf>
    <xf numFmtId="0" fontId="3" fillId="0" borderId="0" xfId="0" applyFont="1" applyFill="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vertical="top"/>
    </xf>
    <xf numFmtId="0" fontId="26" fillId="0" borderId="0" xfId="0" applyFont="1" applyFill="1" applyBorder="1" applyAlignment="1">
      <alignment horizontal="left" vertical="top"/>
    </xf>
    <xf numFmtId="0" fontId="4" fillId="0" borderId="0" xfId="0" applyFont="1" applyFill="1" applyBorder="1" applyAlignment="1">
      <alignment horizontal="left" vertical="top"/>
    </xf>
    <xf numFmtId="0" fontId="4" fillId="0" borderId="0" xfId="0" applyFont="1" applyFill="1" applyBorder="1" applyAlignment="1">
      <alignment vertical="top"/>
    </xf>
    <xf numFmtId="0" fontId="4" fillId="0" borderId="0" xfId="0" applyFont="1" applyFill="1" applyBorder="1"/>
    <xf numFmtId="0" fontId="2" fillId="0" borderId="0" xfId="0" applyFont="1" applyFill="1" applyBorder="1" applyAlignment="1">
      <alignment vertical="top" wrapText="1"/>
    </xf>
    <xf numFmtId="0" fontId="4" fillId="0" borderId="0" xfId="0" applyFont="1" applyFill="1" applyBorder="1" applyAlignment="1">
      <alignment horizontal="left" vertical="center" wrapText="1"/>
    </xf>
    <xf numFmtId="0" fontId="12" fillId="0" borderId="0" xfId="0" applyFont="1" applyFill="1" applyBorder="1" applyAlignment="1">
      <alignment horizontal="left" vertical="top"/>
    </xf>
    <xf numFmtId="0" fontId="4" fillId="0" borderId="0" xfId="0" applyFont="1" applyFill="1" applyBorder="1" applyAlignment="1">
      <alignment horizontal="left" vertical="top" wrapText="1"/>
    </xf>
    <xf numFmtId="0" fontId="16" fillId="0" borderId="0" xfId="0" applyFont="1" applyFill="1" applyBorder="1" applyAlignment="1">
      <alignment horizontal="left" vertical="top" wrapText="1"/>
    </xf>
    <xf numFmtId="0" fontId="15" fillId="0" borderId="0" xfId="0" applyFont="1" applyFill="1" applyBorder="1" applyAlignment="1">
      <alignment vertical="top"/>
    </xf>
    <xf numFmtId="0" fontId="3" fillId="0" borderId="0" xfId="0" applyFont="1" applyFill="1" applyBorder="1" applyAlignment="1">
      <alignment horizontal="center" vertical="top"/>
    </xf>
    <xf numFmtId="0" fontId="0" fillId="0" borderId="0" xfId="0" applyFill="1" applyBorder="1"/>
    <xf numFmtId="0" fontId="11" fillId="0" borderId="0" xfId="0" applyFont="1" applyFill="1" applyBorder="1" applyAlignment="1">
      <alignment vertical="top"/>
    </xf>
    <xf numFmtId="0" fontId="2" fillId="0" borderId="0" xfId="0" applyFont="1" applyFill="1" applyBorder="1" applyAlignment="1">
      <alignment horizontal="left" vertical="top" wrapText="1"/>
    </xf>
    <xf numFmtId="0" fontId="4" fillId="0" borderId="0" xfId="0" applyFont="1" applyFill="1" applyBorder="1" applyAlignment="1">
      <alignment horizontal="center" vertical="top" wrapText="1"/>
    </xf>
    <xf numFmtId="0" fontId="4" fillId="0" borderId="0" xfId="0" applyFont="1" applyFill="1" applyBorder="1" applyAlignment="1">
      <alignment horizontal="center"/>
    </xf>
    <xf numFmtId="0" fontId="10" fillId="0" borderId="0" xfId="0" applyFont="1" applyFill="1" applyBorder="1"/>
    <xf numFmtId="0" fontId="17" fillId="0" borderId="0" xfId="0" applyFont="1" applyFill="1" applyBorder="1" applyAlignment="1">
      <alignment horizontal="left" vertical="top"/>
    </xf>
    <xf numFmtId="0" fontId="4" fillId="0" borderId="1" xfId="0" applyFont="1" applyFill="1" applyBorder="1" applyAlignment="1" applyProtection="1">
      <alignment wrapText="1"/>
      <protection locked="0"/>
    </xf>
    <xf numFmtId="0" fontId="4" fillId="0" borderId="1" xfId="0" applyFont="1" applyFill="1" applyBorder="1" applyAlignment="1" applyProtection="1">
      <alignment horizontal="center"/>
      <protection locked="0"/>
    </xf>
    <xf numFmtId="0" fontId="4" fillId="0" borderId="1" xfId="0" applyFont="1" applyFill="1" applyBorder="1" applyAlignment="1" applyProtection="1">
      <alignment vertical="top" wrapText="1"/>
      <protection locked="0"/>
    </xf>
    <xf numFmtId="0" fontId="4" fillId="0" borderId="1" xfId="0" applyFont="1" applyFill="1" applyBorder="1" applyAlignment="1" applyProtection="1">
      <alignment horizontal="left" vertical="top"/>
      <protection locked="0"/>
    </xf>
    <xf numFmtId="0" fontId="2" fillId="0" borderId="0" xfId="0" applyFont="1" applyFill="1" applyBorder="1" applyAlignment="1">
      <alignment horizontal="left" vertical="top"/>
    </xf>
    <xf numFmtId="0" fontId="0" fillId="2" borderId="1" xfId="0" applyFill="1" applyBorder="1" applyAlignment="1" applyProtection="1">
      <alignment wrapText="1"/>
    </xf>
    <xf numFmtId="0" fontId="4" fillId="0" borderId="0" xfId="0" applyFont="1" applyAlignment="1">
      <alignment horizontal="left" wrapText="1"/>
    </xf>
    <xf numFmtId="0" fontId="0" fillId="0" borderId="0" xfId="0" applyAlignment="1" applyProtection="1">
      <alignment wrapText="1"/>
      <protection locked="0"/>
    </xf>
    <xf numFmtId="0" fontId="2" fillId="0" borderId="0" xfId="0" applyFont="1" applyFill="1" applyBorder="1" applyAlignment="1">
      <alignment horizontal="left" vertical="center" wrapText="1"/>
    </xf>
    <xf numFmtId="0" fontId="24" fillId="0" borderId="0" xfId="0" applyFont="1" applyFill="1" applyBorder="1" applyAlignment="1">
      <alignment vertical="center" wrapText="1"/>
    </xf>
    <xf numFmtId="0" fontId="25" fillId="0" borderId="0" xfId="0" applyFont="1" applyFill="1" applyBorder="1" applyAlignment="1">
      <alignment vertical="center" wrapText="1"/>
    </xf>
    <xf numFmtId="0" fontId="33" fillId="0" borderId="0" xfId="0" applyFont="1" applyFill="1" applyBorder="1" applyAlignment="1">
      <alignment horizontal="left" vertical="top"/>
    </xf>
    <xf numFmtId="0" fontId="33" fillId="0" borderId="0" xfId="0" applyFont="1" applyFill="1" applyBorder="1" applyAlignment="1">
      <alignment horizontal="left" vertical="center"/>
    </xf>
    <xf numFmtId="0" fontId="2" fillId="0" borderId="0" xfId="0" applyFont="1" applyFill="1" applyBorder="1" applyAlignment="1">
      <alignment horizontal="center" vertical="top"/>
    </xf>
    <xf numFmtId="49" fontId="26" fillId="0" borderId="0" xfId="0" applyNumberFormat="1" applyFont="1" applyFill="1" applyBorder="1" applyAlignment="1">
      <alignment horizontal="left" vertical="top" wrapText="1"/>
    </xf>
    <xf numFmtId="0" fontId="0" fillId="0" borderId="0" xfId="0" applyFill="1" applyBorder="1" applyAlignment="1">
      <alignment horizontal="left" vertical="top" wrapText="1"/>
    </xf>
    <xf numFmtId="0" fontId="2" fillId="0" borderId="0" xfId="0" applyFont="1" applyFill="1" applyBorder="1" applyAlignment="1">
      <alignment vertical="top"/>
    </xf>
    <xf numFmtId="16" fontId="2" fillId="0" borderId="0" xfId="0" applyNumberFormat="1" applyFont="1" applyFill="1" applyBorder="1" applyAlignment="1">
      <alignment horizontal="left" vertical="center" wrapText="1"/>
    </xf>
    <xf numFmtId="0" fontId="21" fillId="0" borderId="6" xfId="0" applyFont="1" applyBorder="1"/>
    <xf numFmtId="0" fontId="2" fillId="0" borderId="1" xfId="2" applyFont="1" applyFill="1" applyBorder="1" applyAlignment="1" applyProtection="1">
      <alignment vertical="center" wrapText="1"/>
      <protection locked="0"/>
    </xf>
    <xf numFmtId="0" fontId="2" fillId="0" borderId="1" xfId="2" applyFont="1" applyFill="1" applyBorder="1" applyAlignment="1" applyProtection="1">
      <alignment vertical="top" wrapText="1"/>
      <protection locked="0"/>
    </xf>
    <xf numFmtId="0" fontId="2" fillId="0" borderId="1" xfId="3" applyFont="1" applyFill="1" applyBorder="1" applyAlignment="1" applyProtection="1">
      <alignment vertical="top" wrapText="1"/>
      <protection locked="0"/>
    </xf>
    <xf numFmtId="0" fontId="30" fillId="0" borderId="1" xfId="2" applyFill="1" applyBorder="1" applyAlignment="1" applyProtection="1">
      <alignment vertical="center" wrapText="1"/>
      <protection locked="0"/>
    </xf>
    <xf numFmtId="0" fontId="2" fillId="0" borderId="1" xfId="1" applyFont="1" applyFill="1" applyBorder="1" applyAlignment="1" applyProtection="1">
      <alignment vertical="center" wrapText="1"/>
      <protection locked="0"/>
    </xf>
    <xf numFmtId="0" fontId="2" fillId="0" borderId="1" xfId="2" applyFont="1" applyFill="1" applyBorder="1" applyAlignment="1">
      <alignment horizontal="left" vertical="top"/>
    </xf>
    <xf numFmtId="0" fontId="2" fillId="0" borderId="1" xfId="3" applyFont="1" applyFill="1" applyBorder="1" applyAlignment="1" applyProtection="1">
      <alignment vertical="center" wrapText="1"/>
      <protection locked="0"/>
    </xf>
    <xf numFmtId="0" fontId="2" fillId="0" borderId="1" xfId="0" applyFont="1" applyFill="1" applyBorder="1" applyAlignment="1" applyProtection="1">
      <alignment wrapText="1"/>
      <protection locked="0"/>
    </xf>
    <xf numFmtId="49" fontId="2" fillId="0" borderId="0" xfId="0" applyNumberFormat="1" applyFont="1" applyFill="1" applyBorder="1" applyAlignment="1">
      <alignment horizontal="left" vertical="top" wrapText="1"/>
    </xf>
    <xf numFmtId="49" fontId="2" fillId="0" borderId="0" xfId="0" applyNumberFormat="1" applyFont="1" applyFill="1" applyBorder="1" applyAlignment="1">
      <alignment horizontal="left" vertical="center" wrapText="1"/>
    </xf>
    <xf numFmtId="0" fontId="2" fillId="0" borderId="0" xfId="0" applyFont="1" applyFill="1" applyBorder="1" applyAlignment="1">
      <alignment horizontal="center" vertical="top" wrapText="1"/>
    </xf>
    <xf numFmtId="14" fontId="0" fillId="0" borderId="1" xfId="0" applyNumberFormat="1" applyFill="1" applyBorder="1" applyAlignment="1" applyProtection="1">
      <protection locked="0"/>
    </xf>
    <xf numFmtId="0" fontId="0" fillId="0" borderId="1" xfId="0" applyFill="1" applyBorder="1" applyAlignment="1" applyProtection="1">
      <protection locked="0"/>
    </xf>
    <xf numFmtId="0" fontId="0" fillId="0" borderId="1" xfId="0" applyNumberFormat="1" applyFill="1" applyBorder="1" applyAlignment="1" applyProtection="1">
      <alignment wrapText="1"/>
      <protection locked="0"/>
    </xf>
    <xf numFmtId="0" fontId="2" fillId="0" borderId="1" xfId="0" applyFont="1" applyFill="1" applyBorder="1" applyAlignment="1" applyProtection="1">
      <protection locked="0"/>
    </xf>
    <xf numFmtId="0" fontId="2" fillId="0" borderId="1" xfId="0" applyFont="1" applyFill="1" applyBorder="1" applyAlignment="1">
      <alignment wrapText="1"/>
    </xf>
    <xf numFmtId="0" fontId="2" fillId="0" borderId="1" xfId="0" applyFont="1" applyFill="1" applyBorder="1" applyAlignment="1" applyProtection="1">
      <alignment horizontal="left" wrapText="1"/>
      <protection locked="0"/>
    </xf>
    <xf numFmtId="0" fontId="0" fillId="0" borderId="0" xfId="0" applyFill="1" applyBorder="1" applyAlignment="1">
      <alignment horizontal="left" vertical="center"/>
    </xf>
    <xf numFmtId="0" fontId="6"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3" fillId="0" borderId="0" xfId="0" applyFont="1" applyFill="1" applyBorder="1" applyAlignment="1">
      <alignment horizontal="left" vertical="center" wrapText="1"/>
    </xf>
    <xf numFmtId="0" fontId="4" fillId="0" borderId="0" xfId="0" applyFont="1" applyFill="1" applyBorder="1" applyAlignment="1">
      <alignment horizontal="left" vertical="center"/>
    </xf>
    <xf numFmtId="0" fontId="5" fillId="0" borderId="0" xfId="0" applyFont="1" applyFill="1" applyBorder="1" applyAlignment="1">
      <alignment horizontal="left" vertical="center" wrapText="1"/>
    </xf>
    <xf numFmtId="0" fontId="2" fillId="0" borderId="0" xfId="0" applyFont="1" applyFill="1" applyAlignment="1">
      <alignment horizontal="left" vertical="center" wrapText="1"/>
    </xf>
    <xf numFmtId="0" fontId="2" fillId="0" borderId="0" xfId="0" applyFont="1" applyFill="1" applyAlignment="1">
      <alignment horizontal="left" vertical="center" indent="4"/>
    </xf>
    <xf numFmtId="0" fontId="6" fillId="0" borderId="0" xfId="0" applyFont="1" applyFill="1" applyBorder="1" applyAlignment="1">
      <alignment horizontal="left" vertical="center"/>
    </xf>
    <xf numFmtId="49" fontId="4" fillId="0" borderId="0" xfId="0" applyNumberFormat="1" applyFont="1" applyFill="1" applyBorder="1" applyAlignment="1">
      <alignment horizontal="left" vertical="center" wrapText="1"/>
    </xf>
    <xf numFmtId="0" fontId="14" fillId="0" borderId="0" xfId="0" applyFont="1" applyFill="1" applyBorder="1" applyAlignment="1">
      <alignment horizontal="left" vertical="center" wrapText="1"/>
    </xf>
    <xf numFmtId="49" fontId="12" fillId="0" borderId="0" xfId="0" applyNumberFormat="1" applyFont="1" applyFill="1" applyBorder="1" applyAlignment="1">
      <alignment horizontal="left" vertical="center" wrapText="1"/>
    </xf>
    <xf numFmtId="49" fontId="1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1" fillId="0" borderId="0" xfId="0" applyFont="1" applyFill="1" applyBorder="1" applyAlignment="1">
      <alignment horizontal="left" vertical="top" wrapText="1"/>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top"/>
    </xf>
    <xf numFmtId="0" fontId="1" fillId="0" borderId="0" xfId="0" applyFont="1" applyFill="1" applyBorder="1" applyAlignment="1">
      <alignment horizontal="left" vertical="top"/>
    </xf>
    <xf numFmtId="0" fontId="2" fillId="0" borderId="1" xfId="0" applyNumberFormat="1" applyFont="1" applyFill="1" applyBorder="1" applyAlignment="1" applyProtection="1">
      <alignment wrapText="1"/>
      <protection locked="0"/>
    </xf>
    <xf numFmtId="0" fontId="2" fillId="0" borderId="0" xfId="0" applyFont="1" applyFill="1" applyBorder="1" applyAlignment="1">
      <alignment vertical="center" wrapText="1"/>
    </xf>
    <xf numFmtId="0" fontId="2" fillId="0" borderId="1" xfId="0" applyFont="1" applyFill="1" applyBorder="1" applyAlignment="1" applyProtection="1">
      <alignment vertical="center" wrapText="1"/>
      <protection locked="0"/>
    </xf>
    <xf numFmtId="0" fontId="2" fillId="0" borderId="8" xfId="0" applyFont="1" applyFill="1" applyBorder="1" applyAlignment="1" applyProtection="1">
      <alignment vertical="center" wrapText="1"/>
      <protection locked="0"/>
    </xf>
    <xf numFmtId="0" fontId="1" fillId="0" borderId="1" xfId="0" applyFont="1" applyFill="1" applyBorder="1" applyAlignment="1" applyProtection="1">
      <alignment wrapText="1"/>
      <protection locked="0"/>
    </xf>
    <xf numFmtId="0" fontId="0" fillId="0" borderId="1" xfId="0" applyFill="1" applyBorder="1" applyAlignment="1" applyProtection="1">
      <alignment horizontal="left"/>
      <protection locked="0"/>
    </xf>
    <xf numFmtId="0" fontId="2" fillId="0" borderId="1" xfId="0" applyFont="1" applyFill="1" applyBorder="1" applyAlignment="1" applyProtection="1">
      <alignment horizontal="left"/>
      <protection locked="0"/>
    </xf>
    <xf numFmtId="0" fontId="0" fillId="0" borderId="1" xfId="0" applyFill="1" applyBorder="1" applyAlignment="1" applyProtection="1">
      <alignment horizontal="center" vertical="center"/>
      <protection locked="0"/>
    </xf>
    <xf numFmtId="14" fontId="0" fillId="0" borderId="1" xfId="0" applyNumberFormat="1" applyFill="1" applyBorder="1" applyAlignment="1" applyProtection="1">
      <alignment horizontal="center" vertical="center"/>
      <protection locked="0"/>
    </xf>
    <xf numFmtId="0" fontId="1" fillId="0" borderId="0" xfId="0" applyFont="1" applyFill="1" applyBorder="1" applyAlignment="1">
      <alignment horizontal="left" vertical="center" wrapText="1"/>
    </xf>
    <xf numFmtId="0" fontId="1" fillId="0" borderId="0" xfId="1" applyFont="1" applyFill="1" applyBorder="1" applyAlignment="1">
      <alignment horizontal="left" vertical="center" wrapText="1"/>
    </xf>
    <xf numFmtId="0" fontId="4" fillId="0" borderId="0" xfId="0" applyFont="1" applyFill="1" applyBorder="1" applyAlignment="1">
      <alignment horizontal="left" vertical="center" wrapText="1"/>
    </xf>
    <xf numFmtId="0" fontId="1" fillId="0" borderId="1" xfId="0" applyFont="1" applyFill="1" applyBorder="1" applyAlignment="1" applyProtection="1">
      <alignment horizontal="center"/>
      <protection locked="0"/>
    </xf>
    <xf numFmtId="0" fontId="2" fillId="0" borderId="0" xfId="0" applyFont="1" applyFill="1" applyBorder="1" applyAlignment="1">
      <alignment horizontal="left" vertical="center" wrapText="1"/>
    </xf>
    <xf numFmtId="0" fontId="4" fillId="0" borderId="0" xfId="0" applyFont="1" applyFill="1" applyBorder="1" applyAlignment="1">
      <alignment horizontal="center" vertical="top"/>
    </xf>
    <xf numFmtId="0" fontId="4" fillId="0" borderId="0" xfId="0" applyFont="1" applyFill="1" applyBorder="1" applyAlignment="1">
      <alignment horizontal="left" vertical="top"/>
    </xf>
    <xf numFmtId="0" fontId="4" fillId="0" borderId="0"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1" fillId="0" borderId="8" xfId="0" applyFont="1" applyFill="1" applyBorder="1" applyAlignment="1" applyProtection="1">
      <alignment vertical="center" wrapText="1"/>
      <protection locked="0"/>
    </xf>
    <xf numFmtId="0" fontId="33" fillId="0" borderId="0" xfId="0" applyFont="1" applyFill="1" applyBorder="1" applyAlignment="1">
      <alignment horizontal="left" vertical="center" wrapText="1"/>
    </xf>
    <xf numFmtId="0" fontId="1" fillId="0" borderId="0" xfId="0" applyFont="1" applyFill="1" applyBorder="1" applyAlignment="1">
      <alignment horizontal="center" vertical="top"/>
    </xf>
    <xf numFmtId="0" fontId="0" fillId="0" borderId="0" xfId="0" applyAlignment="1">
      <alignment wrapText="1"/>
    </xf>
    <xf numFmtId="0" fontId="0" fillId="3" borderId="1" xfId="0" applyFill="1" applyBorder="1"/>
    <xf numFmtId="0" fontId="0" fillId="0" borderId="1" xfId="0" applyBorder="1" applyAlignment="1">
      <alignment wrapText="1"/>
    </xf>
    <xf numFmtId="0" fontId="1" fillId="0" borderId="1" xfId="0" applyFont="1" applyBorder="1" applyAlignment="1">
      <alignment wrapText="1"/>
    </xf>
    <xf numFmtId="0" fontId="34" fillId="0" borderId="1" xfId="4" applyBorder="1" applyAlignment="1">
      <alignment wrapText="1"/>
    </xf>
    <xf numFmtId="14" fontId="0" fillId="4" borderId="1" xfId="0" applyNumberFormat="1" applyFill="1" applyBorder="1" applyAlignment="1" applyProtection="1">
      <alignment horizontal="center"/>
      <protection locked="0"/>
    </xf>
    <xf numFmtId="0" fontId="0" fillId="4" borderId="1" xfId="0" applyFill="1" applyBorder="1" applyAlignment="1" applyProtection="1">
      <alignment horizontal="center"/>
      <protection locked="0"/>
    </xf>
    <xf numFmtId="0" fontId="2" fillId="0" borderId="0" xfId="0" applyFont="1" applyFill="1" applyBorder="1" applyAlignment="1">
      <alignment horizontal="left" vertical="center" wrapText="1"/>
    </xf>
    <xf numFmtId="0" fontId="4" fillId="0" borderId="0" xfId="0" applyFont="1" applyFill="1" applyBorder="1" applyAlignment="1">
      <alignment horizontal="center" vertical="top"/>
    </xf>
    <xf numFmtId="0" fontId="1" fillId="0" borderId="0" xfId="0" applyFont="1" applyFill="1" applyBorder="1" applyAlignment="1">
      <alignment vertical="top"/>
    </xf>
    <xf numFmtId="0" fontId="1" fillId="4" borderId="0" xfId="0" applyFont="1" applyFill="1" applyBorder="1" applyAlignment="1">
      <alignment vertical="top"/>
    </xf>
    <xf numFmtId="16" fontId="1" fillId="0" borderId="0" xfId="0" applyNumberFormat="1" applyFont="1" applyFill="1" applyBorder="1" applyAlignment="1">
      <alignment horizontal="left" vertical="center" wrapText="1"/>
    </xf>
    <xf numFmtId="49" fontId="1" fillId="0" borderId="0" xfId="0" applyNumberFormat="1" applyFont="1" applyFill="1" applyBorder="1" applyAlignment="1">
      <alignment horizontal="left" vertical="center" wrapText="1"/>
    </xf>
    <xf numFmtId="0" fontId="29" fillId="4" borderId="0" xfId="0" applyFont="1" applyFill="1" applyBorder="1" applyAlignment="1">
      <alignment horizontal="left" vertical="center" wrapText="1"/>
    </xf>
    <xf numFmtId="0" fontId="36" fillId="4" borderId="0" xfId="0" applyFont="1" applyFill="1" applyBorder="1" applyAlignment="1">
      <alignment horizontal="center" vertical="top"/>
    </xf>
    <xf numFmtId="0" fontId="1" fillId="4" borderId="1" xfId="0" applyFont="1" applyFill="1" applyBorder="1" applyAlignment="1" applyProtection="1">
      <alignment vertical="top" wrapText="1"/>
      <protection locked="0"/>
    </xf>
    <xf numFmtId="0" fontId="27" fillId="5" borderId="0" xfId="0" applyFont="1" applyFill="1" applyBorder="1" applyAlignment="1">
      <alignment horizontal="left" vertical="center"/>
    </xf>
    <xf numFmtId="0" fontId="1" fillId="5" borderId="0" xfId="0" applyFont="1" applyFill="1" applyBorder="1" applyAlignment="1">
      <alignment horizontal="left" vertical="center" wrapText="1"/>
    </xf>
    <xf numFmtId="0" fontId="1" fillId="5" borderId="0" xfId="1" applyFont="1" applyFill="1" applyBorder="1" applyAlignment="1">
      <alignment horizontal="left" vertical="center" wrapText="1"/>
    </xf>
    <xf numFmtId="0" fontId="1" fillId="5" borderId="0" xfId="0" applyFont="1" applyFill="1" applyBorder="1" applyAlignment="1">
      <alignment horizontal="left" vertical="top" wrapText="1"/>
    </xf>
    <xf numFmtId="2" fontId="1" fillId="5" borderId="0" xfId="0" applyNumberFormat="1" applyFont="1" applyFill="1" applyBorder="1" applyAlignment="1">
      <alignment horizontal="left" vertical="center" wrapText="1"/>
    </xf>
    <xf numFmtId="0" fontId="1" fillId="5" borderId="0" xfId="0" applyFont="1" applyFill="1" applyBorder="1" applyAlignment="1">
      <alignment horizontal="center" vertical="top"/>
    </xf>
    <xf numFmtId="0" fontId="4" fillId="5" borderId="0" xfId="0" applyFont="1" applyFill="1" applyBorder="1" applyAlignment="1">
      <alignment horizontal="center" vertical="top"/>
    </xf>
    <xf numFmtId="0" fontId="1" fillId="5" borderId="0" xfId="0" applyFont="1" applyFill="1" applyBorder="1" applyAlignment="1">
      <alignment horizontal="left" vertical="top"/>
    </xf>
    <xf numFmtId="0" fontId="33" fillId="5" borderId="0" xfId="0" applyFont="1" applyFill="1" applyBorder="1" applyAlignment="1">
      <alignment horizontal="left" vertical="top"/>
    </xf>
    <xf numFmtId="0" fontId="1" fillId="5" borderId="0" xfId="0" applyFont="1" applyFill="1" applyBorder="1" applyAlignment="1">
      <alignment vertical="top"/>
    </xf>
    <xf numFmtId="16" fontId="1" fillId="5" borderId="0" xfId="0" applyNumberFormat="1" applyFont="1" applyFill="1" applyBorder="1" applyAlignment="1">
      <alignment horizontal="left" vertical="center" wrapText="1"/>
    </xf>
    <xf numFmtId="49" fontId="1" fillId="5" borderId="0" xfId="0" applyNumberFormat="1" applyFont="1" applyFill="1" applyBorder="1" applyAlignment="1">
      <alignment horizontal="left" vertical="center" wrapText="1"/>
    </xf>
    <xf numFmtId="0" fontId="1" fillId="4" borderId="1" xfId="0" applyFont="1" applyFill="1" applyBorder="1" applyAlignment="1" applyProtection="1">
      <alignment vertical="center" wrapText="1"/>
      <protection locked="0"/>
    </xf>
    <xf numFmtId="0" fontId="35" fillId="4" borderId="0" xfId="0" applyFont="1" applyFill="1" applyBorder="1" applyAlignment="1">
      <alignment horizontal="center" vertical="top"/>
    </xf>
    <xf numFmtId="0" fontId="8" fillId="0" borderId="0" xfId="0" applyFont="1" applyFill="1" applyBorder="1" applyAlignment="1">
      <alignment horizontal="center"/>
    </xf>
    <xf numFmtId="0" fontId="0" fillId="0" borderId="0" xfId="0" applyFill="1" applyBorder="1" applyAlignment="1">
      <alignment horizontal="center"/>
    </xf>
    <xf numFmtId="0" fontId="28" fillId="0" borderId="0" xfId="0" applyFont="1" applyFill="1" applyBorder="1" applyAlignment="1">
      <alignment horizontal="left"/>
    </xf>
    <xf numFmtId="0" fontId="28" fillId="0" borderId="0" xfId="0" applyFont="1" applyFill="1" applyBorder="1" applyAlignment="1">
      <alignment horizontal="left" wrapText="1"/>
    </xf>
    <xf numFmtId="0" fontId="27" fillId="0" borderId="0" xfId="0" applyFont="1" applyFill="1" applyBorder="1" applyAlignment="1">
      <alignment horizontal="left" vertical="center"/>
    </xf>
    <xf numFmtId="0" fontId="2"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1" fillId="5" borderId="0" xfId="1" applyFont="1" applyFill="1" applyBorder="1" applyAlignment="1">
      <alignment horizontal="left" vertical="center" wrapText="1"/>
    </xf>
    <xf numFmtId="0" fontId="2" fillId="5" borderId="0" xfId="1" applyFont="1" applyFill="1" applyBorder="1" applyAlignment="1">
      <alignment horizontal="left" vertical="center" wrapText="1"/>
    </xf>
    <xf numFmtId="0" fontId="3" fillId="0" borderId="0" xfId="0" applyFont="1" applyFill="1" applyBorder="1" applyAlignment="1">
      <alignment horizontal="left" vertical="center" wrapText="1"/>
    </xf>
    <xf numFmtId="49" fontId="1" fillId="5" borderId="0" xfId="0" applyNumberFormat="1" applyFont="1" applyFill="1" applyBorder="1" applyAlignment="1">
      <alignment horizontal="left" vertical="center" wrapText="1"/>
    </xf>
    <xf numFmtId="0" fontId="0" fillId="5" borderId="0" xfId="0" applyFill="1" applyAlignment="1">
      <alignment horizontal="left" vertical="center"/>
    </xf>
    <xf numFmtId="0" fontId="0" fillId="0" borderId="0" xfId="0" applyFill="1" applyBorder="1" applyAlignment="1">
      <alignment horizontal="left" vertical="center" wrapText="1"/>
    </xf>
    <xf numFmtId="0" fontId="10" fillId="0" borderId="0" xfId="0" applyFont="1" applyFill="1" applyBorder="1" applyAlignment="1">
      <alignment horizontal="left"/>
    </xf>
    <xf numFmtId="0" fontId="4" fillId="0" borderId="0" xfId="0" applyFont="1" applyFill="1" applyBorder="1" applyAlignment="1">
      <alignment horizontal="left"/>
    </xf>
    <xf numFmtId="0" fontId="1" fillId="5" borderId="0" xfId="0" applyFont="1" applyFill="1" applyBorder="1" applyAlignment="1">
      <alignment horizontal="left" vertical="center" wrapText="1"/>
    </xf>
    <xf numFmtId="0" fontId="0" fillId="5" borderId="0" xfId="0" applyFill="1" applyBorder="1" applyAlignment="1">
      <alignment horizontal="left" vertical="center"/>
    </xf>
    <xf numFmtId="0" fontId="1" fillId="0" borderId="0" xfId="0" applyFont="1" applyFill="1" applyAlignment="1">
      <alignment horizontal="left" vertical="center" wrapText="1"/>
    </xf>
    <xf numFmtId="0" fontId="2" fillId="0" borderId="0" xfId="0" applyFont="1" applyFill="1" applyAlignment="1">
      <alignment horizontal="left" vertical="center" wrapText="1"/>
    </xf>
    <xf numFmtId="0" fontId="0" fillId="0" borderId="0" xfId="0" applyFill="1" applyBorder="1" applyAlignment="1">
      <alignment horizontal="left" vertical="center"/>
    </xf>
    <xf numFmtId="0" fontId="0" fillId="0" borderId="0" xfId="0" applyFill="1" applyAlignment="1">
      <alignment horizontal="left" vertical="center" wrapText="1"/>
    </xf>
    <xf numFmtId="0" fontId="29" fillId="0" borderId="0" xfId="0" applyFont="1" applyFill="1" applyBorder="1" applyAlignment="1">
      <alignment horizontal="left" vertical="center" wrapText="1"/>
    </xf>
    <xf numFmtId="0" fontId="29" fillId="0" borderId="0" xfId="0" applyFont="1" applyFill="1" applyBorder="1" applyAlignment="1">
      <alignment horizontal="left" vertical="center"/>
    </xf>
    <xf numFmtId="0" fontId="2" fillId="5" borderId="0" xfId="0" applyFont="1" applyFill="1" applyBorder="1" applyAlignment="1">
      <alignment horizontal="left" vertical="center" wrapText="1"/>
    </xf>
    <xf numFmtId="0" fontId="4" fillId="0" borderId="0" xfId="0" applyFont="1" applyFill="1" applyBorder="1" applyAlignment="1">
      <alignment horizontal="center" vertical="top"/>
    </xf>
    <xf numFmtId="0" fontId="1" fillId="0" borderId="0" xfId="0" applyFont="1" applyFill="1" applyBorder="1" applyAlignment="1">
      <alignment horizontal="left" vertical="top" wrapText="1"/>
    </xf>
    <xf numFmtId="0" fontId="4" fillId="0" borderId="0" xfId="0" applyFont="1" applyFill="1" applyBorder="1" applyAlignment="1">
      <alignment horizontal="left" vertical="top"/>
    </xf>
    <xf numFmtId="0" fontId="14" fillId="0" borderId="9" xfId="0" applyFont="1" applyBorder="1" applyAlignment="1" applyProtection="1">
      <alignment horizontal="left" wrapText="1"/>
    </xf>
  </cellXfs>
  <cellStyles count="5">
    <cellStyle name="Hyperlink" xfId="4" builtinId="8"/>
    <cellStyle name="Normal" xfId="0" builtinId="0"/>
    <cellStyle name="Normal 2" xfId="1"/>
    <cellStyle name="Normal 3" xfId="2"/>
    <cellStyle name="Normal 4" xfId="3"/>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1</xdr:row>
      <xdr:rowOff>0</xdr:rowOff>
    </xdr:to>
    <xdr:sp macro="" textlink="">
      <xdr:nvSpPr>
        <xdr:cNvPr id="7227" name="Rectangle 1"/>
        <xdr:cNvSpPr>
          <a:spLocks noChangeArrowheads="1"/>
        </xdr:cNvSpPr>
      </xdr:nvSpPr>
      <xdr:spPr bwMode="auto">
        <a:xfrm>
          <a:off x="10763250" y="0"/>
          <a:ext cx="0" cy="3619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drcdirect/informationsystems/eis/dteam/Louisiana/ELDA%20%3cAdmin%3e/" TargetMode="External"/><Relationship Id="rId1" Type="http://schemas.openxmlformats.org/officeDocument/2006/relationships/hyperlink" Target="http://drcdirect/informationsystems/eis/dteam/Louisiana/ELDA%20%3cAdmin%3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512"/>
  <sheetViews>
    <sheetView tabSelected="1" zoomScale="77" zoomScaleNormal="77" zoomScaleSheetLayoutView="77" zoomScalePageLayoutView="81" workbookViewId="0">
      <selection sqref="A1:C1"/>
    </sheetView>
  </sheetViews>
  <sheetFormatPr defaultRowHeight="12.75" x14ac:dyDescent="0.2"/>
  <cols>
    <col min="1" max="1" width="14.140625" style="32" customWidth="1"/>
    <col min="2" max="2" width="13.85546875" style="32" customWidth="1"/>
    <col min="3" max="3" width="11.28515625" style="60" customWidth="1"/>
    <col min="4" max="4" width="11.5703125" style="56" customWidth="1"/>
    <col min="5" max="5" width="12" style="56" customWidth="1"/>
    <col min="6" max="6" width="9.140625" style="56"/>
    <col min="7" max="7" width="55.140625" style="24" customWidth="1"/>
    <col min="8" max="8" width="36.42578125" style="25" customWidth="1"/>
    <col min="9" max="9" width="63.42578125" style="26" customWidth="1"/>
    <col min="10" max="10" width="34.85546875" style="56" customWidth="1"/>
    <col min="11" max="16384" width="9.140625" style="56"/>
  </cols>
  <sheetData>
    <row r="1" spans="1:10" s="37" customFormat="1" ht="28.5" customHeight="1" x14ac:dyDescent="0.25">
      <c r="A1" s="170"/>
      <c r="B1" s="171"/>
      <c r="C1" s="171"/>
      <c r="D1" s="174" t="s">
        <v>840</v>
      </c>
      <c r="E1" s="174"/>
      <c r="F1" s="174"/>
      <c r="G1" s="174"/>
      <c r="H1" s="174"/>
      <c r="I1" s="156" t="s">
        <v>933</v>
      </c>
    </row>
    <row r="2" spans="1:10" s="2" customFormat="1" ht="19.5" customHeight="1" x14ac:dyDescent="0.2">
      <c r="A2" s="173" t="s">
        <v>606</v>
      </c>
      <c r="B2" s="173" t="s">
        <v>607</v>
      </c>
      <c r="C2" s="172" t="s">
        <v>165</v>
      </c>
      <c r="D2" s="173" t="s">
        <v>166</v>
      </c>
      <c r="E2" s="173" t="s">
        <v>167</v>
      </c>
      <c r="F2" s="172" t="s">
        <v>44</v>
      </c>
      <c r="G2" s="172" t="s">
        <v>45</v>
      </c>
      <c r="H2" s="173" t="s">
        <v>538</v>
      </c>
      <c r="I2" s="172" t="s">
        <v>539</v>
      </c>
      <c r="J2" s="1"/>
    </row>
    <row r="3" spans="1:10" s="38" customFormat="1" ht="72.75" customHeight="1" x14ac:dyDescent="0.2">
      <c r="A3" s="173"/>
      <c r="B3" s="173"/>
      <c r="C3" s="172"/>
      <c r="D3" s="173"/>
      <c r="E3" s="173"/>
      <c r="F3" s="172"/>
      <c r="G3" s="172"/>
      <c r="H3" s="173"/>
      <c r="I3" s="172"/>
    </row>
    <row r="4" spans="1:10" s="44" customFormat="1" ht="4.5" customHeight="1" x14ac:dyDescent="0.2">
      <c r="A4" s="39"/>
      <c r="B4" s="39"/>
      <c r="C4" s="40"/>
      <c r="D4" s="41"/>
      <c r="E4" s="41"/>
      <c r="F4" s="41"/>
      <c r="G4" s="41"/>
      <c r="H4" s="42"/>
      <c r="I4" s="43"/>
    </row>
    <row r="5" spans="1:10" s="44" customFormat="1" x14ac:dyDescent="0.2">
      <c r="A5" s="39"/>
      <c r="B5" s="39"/>
      <c r="C5" s="40"/>
      <c r="D5" s="39"/>
      <c r="E5" s="39"/>
      <c r="F5" s="39"/>
      <c r="G5" s="45" t="s">
        <v>280</v>
      </c>
      <c r="H5" s="101"/>
      <c r="I5" s="100"/>
    </row>
    <row r="6" spans="1:10" s="47" customFormat="1" x14ac:dyDescent="0.2">
      <c r="A6" s="40" t="s">
        <v>50</v>
      </c>
      <c r="B6" s="40" t="s">
        <v>50</v>
      </c>
      <c r="C6" s="40"/>
      <c r="D6" s="40">
        <v>1</v>
      </c>
      <c r="E6" s="40">
        <f t="shared" ref="E6:E14" si="0">D6+F6-1</f>
        <v>2</v>
      </c>
      <c r="F6" s="40">
        <v>2</v>
      </c>
      <c r="G6" s="46" t="s">
        <v>281</v>
      </c>
      <c r="H6" s="50"/>
      <c r="I6" s="50" t="s">
        <v>46</v>
      </c>
    </row>
    <row r="7" spans="1:10" s="47" customFormat="1" x14ac:dyDescent="0.2">
      <c r="A7" s="40" t="s">
        <v>50</v>
      </c>
      <c r="B7" s="40" t="s">
        <v>50</v>
      </c>
      <c r="C7" s="40"/>
      <c r="D7" s="40">
        <f t="shared" ref="D7:D16" si="1">D6+F6</f>
        <v>3</v>
      </c>
      <c r="E7" s="40">
        <f t="shared" si="0"/>
        <v>6</v>
      </c>
      <c r="F7" s="40">
        <v>4</v>
      </c>
      <c r="G7" s="46" t="s">
        <v>282</v>
      </c>
      <c r="H7" s="50"/>
      <c r="I7" s="50" t="s">
        <v>47</v>
      </c>
    </row>
    <row r="8" spans="1:10" s="47" customFormat="1" ht="25.5" x14ac:dyDescent="0.2">
      <c r="A8" s="40" t="s">
        <v>50</v>
      </c>
      <c r="B8" s="40" t="s">
        <v>50</v>
      </c>
      <c r="C8" s="40"/>
      <c r="D8" s="40">
        <f t="shared" si="1"/>
        <v>7</v>
      </c>
      <c r="E8" s="40">
        <f t="shared" si="0"/>
        <v>7</v>
      </c>
      <c r="F8" s="40">
        <v>1</v>
      </c>
      <c r="G8" s="46" t="s">
        <v>283</v>
      </c>
      <c r="H8" s="50" t="s">
        <v>55</v>
      </c>
      <c r="I8" s="50" t="s">
        <v>602</v>
      </c>
    </row>
    <row r="9" spans="1:10" s="47" customFormat="1" x14ac:dyDescent="0.2">
      <c r="A9" s="40"/>
      <c r="B9" s="40"/>
      <c r="C9" s="40"/>
      <c r="D9" s="40">
        <f t="shared" si="1"/>
        <v>8</v>
      </c>
      <c r="E9" s="40">
        <f t="shared" si="0"/>
        <v>11</v>
      </c>
      <c r="F9" s="40">
        <v>4</v>
      </c>
      <c r="G9" s="46" t="s">
        <v>623</v>
      </c>
      <c r="H9" s="50"/>
      <c r="I9" s="100"/>
    </row>
    <row r="10" spans="1:10" s="47" customFormat="1" ht="42" customHeight="1" x14ac:dyDescent="0.2">
      <c r="A10" s="40" t="s">
        <v>50</v>
      </c>
      <c r="B10" s="40" t="s">
        <v>50</v>
      </c>
      <c r="C10" s="40"/>
      <c r="D10" s="40">
        <f t="shared" si="1"/>
        <v>12</v>
      </c>
      <c r="E10" s="40">
        <f t="shared" si="0"/>
        <v>14</v>
      </c>
      <c r="F10" s="40">
        <v>3</v>
      </c>
      <c r="G10" s="46" t="s">
        <v>376</v>
      </c>
      <c r="H10" s="50"/>
      <c r="I10" s="180" t="s">
        <v>963</v>
      </c>
    </row>
    <row r="11" spans="1:10" s="47" customFormat="1" ht="37.5" customHeight="1" x14ac:dyDescent="0.2">
      <c r="A11" s="40" t="s">
        <v>50</v>
      </c>
      <c r="B11" s="40" t="s">
        <v>50</v>
      </c>
      <c r="C11" s="40"/>
      <c r="D11" s="40">
        <f t="shared" si="1"/>
        <v>15</v>
      </c>
      <c r="E11" s="40">
        <f t="shared" si="0"/>
        <v>17</v>
      </c>
      <c r="F11" s="40">
        <v>3</v>
      </c>
      <c r="G11" s="46" t="s">
        <v>375</v>
      </c>
      <c r="H11" s="50"/>
      <c r="I11" s="181"/>
    </row>
    <row r="12" spans="1:10" s="47" customFormat="1" x14ac:dyDescent="0.2">
      <c r="A12" s="40" t="s">
        <v>50</v>
      </c>
      <c r="B12" s="40" t="s">
        <v>50</v>
      </c>
      <c r="C12" s="40"/>
      <c r="D12" s="40">
        <f t="shared" si="1"/>
        <v>18</v>
      </c>
      <c r="E12" s="40">
        <f t="shared" si="0"/>
        <v>57</v>
      </c>
      <c r="F12" s="40">
        <v>40</v>
      </c>
      <c r="G12" s="46" t="s">
        <v>374</v>
      </c>
      <c r="H12" s="50"/>
      <c r="I12" s="100"/>
    </row>
    <row r="13" spans="1:10" s="47" customFormat="1" x14ac:dyDescent="0.2">
      <c r="A13" s="40" t="s">
        <v>50</v>
      </c>
      <c r="B13" s="40" t="s">
        <v>50</v>
      </c>
      <c r="C13" s="40"/>
      <c r="D13" s="40">
        <f t="shared" si="1"/>
        <v>58</v>
      </c>
      <c r="E13" s="40">
        <f t="shared" si="0"/>
        <v>97</v>
      </c>
      <c r="F13" s="40">
        <v>40</v>
      </c>
      <c r="G13" s="46" t="s">
        <v>373</v>
      </c>
      <c r="H13" s="50"/>
      <c r="I13" s="100"/>
    </row>
    <row r="14" spans="1:10" s="47" customFormat="1" ht="76.5" x14ac:dyDescent="0.2">
      <c r="A14" s="40" t="s">
        <v>50</v>
      </c>
      <c r="B14" s="40" t="s">
        <v>50</v>
      </c>
      <c r="C14" s="40" t="s">
        <v>364</v>
      </c>
      <c r="D14" s="40">
        <f t="shared" si="1"/>
        <v>98</v>
      </c>
      <c r="E14" s="40">
        <f t="shared" si="0"/>
        <v>98</v>
      </c>
      <c r="F14" s="40">
        <v>1</v>
      </c>
      <c r="G14" s="67" t="s">
        <v>372</v>
      </c>
      <c r="H14" s="128" t="s">
        <v>950</v>
      </c>
      <c r="I14" s="50" t="s">
        <v>586</v>
      </c>
      <c r="J14" s="48"/>
    </row>
    <row r="15" spans="1:10" s="47" customFormat="1" ht="168" customHeight="1" x14ac:dyDescent="0.2">
      <c r="A15" s="40" t="s">
        <v>50</v>
      </c>
      <c r="B15" s="40" t="s">
        <v>50</v>
      </c>
      <c r="C15" s="40" t="s">
        <v>364</v>
      </c>
      <c r="D15" s="40">
        <f t="shared" si="1"/>
        <v>99</v>
      </c>
      <c r="E15" s="40">
        <f>D15+F15-1</f>
        <v>100</v>
      </c>
      <c r="F15" s="40">
        <v>2</v>
      </c>
      <c r="G15" s="67" t="s">
        <v>338</v>
      </c>
      <c r="H15" s="128" t="s">
        <v>1006</v>
      </c>
      <c r="I15" s="157" t="s">
        <v>964</v>
      </c>
      <c r="J15" s="49"/>
    </row>
    <row r="16" spans="1:10" s="47" customFormat="1" ht="209.25" customHeight="1" x14ac:dyDescent="0.2">
      <c r="A16" s="76" t="s">
        <v>51</v>
      </c>
      <c r="B16" s="76" t="s">
        <v>51</v>
      </c>
      <c r="C16" s="40"/>
      <c r="D16" s="40">
        <f t="shared" si="1"/>
        <v>101</v>
      </c>
      <c r="E16" s="40">
        <f>D16+F16-1</f>
        <v>102</v>
      </c>
      <c r="F16" s="40">
        <v>2</v>
      </c>
      <c r="G16" s="46" t="s">
        <v>75</v>
      </c>
      <c r="H16" s="71" t="s">
        <v>841</v>
      </c>
      <c r="I16" s="71" t="s">
        <v>856</v>
      </c>
    </row>
    <row r="17" spans="1:9" s="47" customFormat="1" ht="23.25" customHeight="1" x14ac:dyDescent="0.2">
      <c r="A17" s="40" t="s">
        <v>51</v>
      </c>
      <c r="B17" s="40" t="s">
        <v>50</v>
      </c>
      <c r="C17" s="76" t="s">
        <v>726</v>
      </c>
      <c r="D17" s="40">
        <f t="shared" ref="D17:D25" si="2">D16+F16</f>
        <v>103</v>
      </c>
      <c r="E17" s="40">
        <f t="shared" ref="E17:E22" si="3">D17+F17-1</f>
        <v>114</v>
      </c>
      <c r="F17" s="40">
        <v>12</v>
      </c>
      <c r="G17" s="46" t="s">
        <v>286</v>
      </c>
      <c r="H17" s="50"/>
      <c r="I17" s="175" t="s">
        <v>802</v>
      </c>
    </row>
    <row r="18" spans="1:9" s="47" customFormat="1" x14ac:dyDescent="0.2">
      <c r="A18" s="40" t="s">
        <v>51</v>
      </c>
      <c r="B18" s="40" t="s">
        <v>50</v>
      </c>
      <c r="C18" s="76" t="s">
        <v>726</v>
      </c>
      <c r="D18" s="40">
        <f t="shared" si="2"/>
        <v>115</v>
      </c>
      <c r="E18" s="40">
        <f t="shared" si="3"/>
        <v>122</v>
      </c>
      <c r="F18" s="40">
        <v>8</v>
      </c>
      <c r="G18" s="46" t="s">
        <v>287</v>
      </c>
      <c r="H18" s="50"/>
      <c r="I18" s="176"/>
    </row>
    <row r="19" spans="1:9" s="47" customFormat="1" x14ac:dyDescent="0.2">
      <c r="A19" s="40" t="s">
        <v>51</v>
      </c>
      <c r="B19" s="40" t="s">
        <v>50</v>
      </c>
      <c r="C19" s="40"/>
      <c r="D19" s="40">
        <f t="shared" si="2"/>
        <v>123</v>
      </c>
      <c r="E19" s="40">
        <f t="shared" si="3"/>
        <v>123</v>
      </c>
      <c r="F19" s="40">
        <v>1</v>
      </c>
      <c r="G19" s="46" t="s">
        <v>288</v>
      </c>
      <c r="H19" s="50"/>
      <c r="I19" s="182"/>
    </row>
    <row r="20" spans="1:9" s="47" customFormat="1" ht="38.25" x14ac:dyDescent="0.2">
      <c r="A20" s="40" t="s">
        <v>51</v>
      </c>
      <c r="B20" s="40" t="s">
        <v>50</v>
      </c>
      <c r="C20" s="76" t="s">
        <v>726</v>
      </c>
      <c r="D20" s="40">
        <f t="shared" si="2"/>
        <v>124</v>
      </c>
      <c r="E20" s="40">
        <f t="shared" si="3"/>
        <v>132</v>
      </c>
      <c r="F20" s="40">
        <v>9</v>
      </c>
      <c r="G20" s="46" t="s">
        <v>284</v>
      </c>
      <c r="H20" s="50" t="s">
        <v>595</v>
      </c>
      <c r="I20" s="71" t="s">
        <v>670</v>
      </c>
    </row>
    <row r="21" spans="1:9" s="47" customFormat="1" ht="63.75" x14ac:dyDescent="0.2">
      <c r="A21" s="40" t="s">
        <v>51</v>
      </c>
      <c r="B21" s="40" t="s">
        <v>51</v>
      </c>
      <c r="C21" s="40"/>
      <c r="D21" s="40">
        <f t="shared" si="2"/>
        <v>133</v>
      </c>
      <c r="E21" s="40">
        <f t="shared" si="3"/>
        <v>141</v>
      </c>
      <c r="F21" s="40">
        <v>9</v>
      </c>
      <c r="G21" s="46" t="s">
        <v>285</v>
      </c>
      <c r="H21" s="71" t="s">
        <v>790</v>
      </c>
      <c r="I21" s="157" t="s">
        <v>965</v>
      </c>
    </row>
    <row r="22" spans="1:9" s="47" customFormat="1" ht="15" customHeight="1" x14ac:dyDescent="0.2">
      <c r="A22" s="40"/>
      <c r="B22" s="40"/>
      <c r="C22" s="40"/>
      <c r="D22" s="40">
        <f t="shared" si="2"/>
        <v>142</v>
      </c>
      <c r="E22" s="40">
        <f t="shared" si="3"/>
        <v>150</v>
      </c>
      <c r="F22" s="40">
        <v>9</v>
      </c>
      <c r="G22" s="115" t="s">
        <v>876</v>
      </c>
      <c r="H22" s="50"/>
      <c r="I22" s="128" t="s">
        <v>593</v>
      </c>
    </row>
    <row r="23" spans="1:9" s="47" customFormat="1" ht="38.25" x14ac:dyDescent="0.2">
      <c r="A23" s="76" t="s">
        <v>50</v>
      </c>
      <c r="B23" s="76" t="s">
        <v>50</v>
      </c>
      <c r="C23" s="40"/>
      <c r="D23" s="40">
        <f t="shared" si="2"/>
        <v>151</v>
      </c>
      <c r="E23" s="40">
        <f>D23+F23-1</f>
        <v>151</v>
      </c>
      <c r="F23" s="40">
        <v>1</v>
      </c>
      <c r="G23" s="79" t="s">
        <v>626</v>
      </c>
      <c r="H23" s="71" t="s">
        <v>627</v>
      </c>
      <c r="I23" s="157" t="s">
        <v>966</v>
      </c>
    </row>
    <row r="24" spans="1:9" s="47" customFormat="1" ht="49.5" customHeight="1" x14ac:dyDescent="0.2">
      <c r="A24" s="40" t="s">
        <v>50</v>
      </c>
      <c r="B24" s="40" t="s">
        <v>50</v>
      </c>
      <c r="C24" s="76" t="s">
        <v>726</v>
      </c>
      <c r="D24" s="40">
        <f t="shared" si="2"/>
        <v>152</v>
      </c>
      <c r="E24" s="40">
        <f>D24+F24-1</f>
        <v>153</v>
      </c>
      <c r="F24" s="40">
        <v>2</v>
      </c>
      <c r="G24" s="46" t="s">
        <v>289</v>
      </c>
      <c r="H24" s="157" t="s">
        <v>1016</v>
      </c>
      <c r="I24" s="177" t="s">
        <v>1018</v>
      </c>
    </row>
    <row r="25" spans="1:9" s="47" customFormat="1" ht="33.75" customHeight="1" x14ac:dyDescent="0.2">
      <c r="A25" s="40" t="s">
        <v>50</v>
      </c>
      <c r="B25" s="40" t="s">
        <v>50</v>
      </c>
      <c r="C25" s="76" t="s">
        <v>726</v>
      </c>
      <c r="D25" s="40">
        <f t="shared" si="2"/>
        <v>154</v>
      </c>
      <c r="E25" s="40">
        <f t="shared" ref="E25:E120" si="4">D25+F25-1</f>
        <v>155</v>
      </c>
      <c r="F25" s="40">
        <v>2</v>
      </c>
      <c r="G25" s="46" t="s">
        <v>290</v>
      </c>
      <c r="H25" s="157" t="s">
        <v>1015</v>
      </c>
      <c r="I25" s="178"/>
    </row>
    <row r="26" spans="1:9" s="47" customFormat="1" ht="48" customHeight="1" x14ac:dyDescent="0.2">
      <c r="A26" s="40" t="s">
        <v>50</v>
      </c>
      <c r="B26" s="40" t="s">
        <v>50</v>
      </c>
      <c r="C26" s="76" t="s">
        <v>726</v>
      </c>
      <c r="D26" s="40">
        <f t="shared" ref="D26:D32" si="5">D25+F25</f>
        <v>156</v>
      </c>
      <c r="E26" s="40">
        <f t="shared" si="4"/>
        <v>159</v>
      </c>
      <c r="F26" s="40">
        <v>4</v>
      </c>
      <c r="G26" s="46" t="s">
        <v>291</v>
      </c>
      <c r="H26" s="71" t="s">
        <v>676</v>
      </c>
      <c r="I26" s="178"/>
    </row>
    <row r="27" spans="1:9" s="47" customFormat="1" ht="63.75" x14ac:dyDescent="0.2">
      <c r="A27" s="40" t="s">
        <v>50</v>
      </c>
      <c r="B27" s="40" t="s">
        <v>50</v>
      </c>
      <c r="C27" s="76" t="s">
        <v>726</v>
      </c>
      <c r="D27" s="40">
        <f t="shared" si="5"/>
        <v>160</v>
      </c>
      <c r="E27" s="40">
        <f t="shared" si="4"/>
        <v>160</v>
      </c>
      <c r="F27" s="40">
        <v>1</v>
      </c>
      <c r="G27" s="47" t="s">
        <v>292</v>
      </c>
      <c r="H27" s="71" t="s">
        <v>644</v>
      </c>
      <c r="I27" s="157" t="s">
        <v>967</v>
      </c>
    </row>
    <row r="28" spans="1:9" s="47" customFormat="1" ht="114.75" x14ac:dyDescent="0.2">
      <c r="A28" s="40" t="s">
        <v>50</v>
      </c>
      <c r="B28" s="40" t="s">
        <v>50</v>
      </c>
      <c r="C28" s="76" t="s">
        <v>726</v>
      </c>
      <c r="D28" s="40">
        <f t="shared" si="5"/>
        <v>161</v>
      </c>
      <c r="E28" s="40">
        <f t="shared" si="4"/>
        <v>161</v>
      </c>
      <c r="F28" s="40">
        <v>1</v>
      </c>
      <c r="G28" s="67" t="s">
        <v>615</v>
      </c>
      <c r="H28" s="71" t="s">
        <v>791</v>
      </c>
      <c r="I28" s="157" t="s">
        <v>968</v>
      </c>
    </row>
    <row r="29" spans="1:9" s="47" customFormat="1" ht="76.5" x14ac:dyDescent="0.2">
      <c r="A29" s="40" t="s">
        <v>50</v>
      </c>
      <c r="B29" s="40" t="s">
        <v>50</v>
      </c>
      <c r="C29" s="40"/>
      <c r="D29" s="40">
        <f t="shared" si="5"/>
        <v>162</v>
      </c>
      <c r="E29" s="40">
        <f t="shared" si="4"/>
        <v>162</v>
      </c>
      <c r="F29" s="40">
        <v>1</v>
      </c>
      <c r="G29" s="46" t="s">
        <v>293</v>
      </c>
      <c r="H29" s="71" t="s">
        <v>645</v>
      </c>
      <c r="I29" s="157" t="s">
        <v>969</v>
      </c>
    </row>
    <row r="30" spans="1:9" s="41" customFormat="1" ht="66.75" customHeight="1" x14ac:dyDescent="0.2">
      <c r="A30" s="76" t="s">
        <v>51</v>
      </c>
      <c r="B30" s="76" t="s">
        <v>51</v>
      </c>
      <c r="C30" s="40"/>
      <c r="D30" s="40">
        <f t="shared" si="5"/>
        <v>163</v>
      </c>
      <c r="E30" s="40">
        <f t="shared" si="4"/>
        <v>163</v>
      </c>
      <c r="F30" s="40">
        <v>1</v>
      </c>
      <c r="G30" s="118" t="s">
        <v>926</v>
      </c>
      <c r="H30" s="132" t="s">
        <v>705</v>
      </c>
      <c r="I30" s="132" t="s">
        <v>832</v>
      </c>
    </row>
    <row r="31" spans="1:9" s="41" customFormat="1" ht="76.5" x14ac:dyDescent="0.2">
      <c r="A31" s="40" t="s">
        <v>51</v>
      </c>
      <c r="B31" s="40" t="s">
        <v>51</v>
      </c>
      <c r="C31" s="40"/>
      <c r="D31" s="40">
        <f t="shared" si="5"/>
        <v>164</v>
      </c>
      <c r="E31" s="40">
        <f t="shared" si="4"/>
        <v>164</v>
      </c>
      <c r="F31" s="40">
        <v>1</v>
      </c>
      <c r="G31" s="46" t="s">
        <v>294</v>
      </c>
      <c r="H31" s="132" t="s">
        <v>716</v>
      </c>
      <c r="I31" s="135" t="s">
        <v>857</v>
      </c>
    </row>
    <row r="32" spans="1:9" s="41" customFormat="1" ht="57" customHeight="1" x14ac:dyDescent="0.2">
      <c r="A32" s="76" t="s">
        <v>50</v>
      </c>
      <c r="B32" s="76" t="s">
        <v>50</v>
      </c>
      <c r="C32" s="40"/>
      <c r="D32" s="40">
        <f t="shared" si="5"/>
        <v>165</v>
      </c>
      <c r="E32" s="40">
        <f t="shared" si="4"/>
        <v>167</v>
      </c>
      <c r="F32" s="40">
        <v>3</v>
      </c>
      <c r="G32" s="67" t="s">
        <v>682</v>
      </c>
      <c r="H32" s="132" t="s">
        <v>878</v>
      </c>
      <c r="I32" s="132" t="s">
        <v>838</v>
      </c>
    </row>
    <row r="33" spans="1:9" s="41" customFormat="1" ht="189.75" customHeight="1" x14ac:dyDescent="0.2">
      <c r="A33" s="76" t="s">
        <v>51</v>
      </c>
      <c r="B33" s="76" t="s">
        <v>51</v>
      </c>
      <c r="C33" s="40"/>
      <c r="D33" s="40">
        <f t="shared" ref="D33:D41" si="6">D32+F32</f>
        <v>168</v>
      </c>
      <c r="E33" s="40">
        <f t="shared" si="4"/>
        <v>169</v>
      </c>
      <c r="F33" s="40">
        <v>2</v>
      </c>
      <c r="G33" s="46" t="s">
        <v>65</v>
      </c>
      <c r="H33" s="71" t="s">
        <v>803</v>
      </c>
      <c r="I33" s="71" t="s">
        <v>837</v>
      </c>
    </row>
    <row r="34" spans="1:9" s="41" customFormat="1" ht="153" customHeight="1" x14ac:dyDescent="0.2">
      <c r="A34" s="40" t="s">
        <v>50</v>
      </c>
      <c r="B34" s="40" t="s">
        <v>50</v>
      </c>
      <c r="C34" s="40"/>
      <c r="D34" s="40">
        <f t="shared" si="6"/>
        <v>170</v>
      </c>
      <c r="E34" s="40">
        <f t="shared" si="4"/>
        <v>171</v>
      </c>
      <c r="F34" s="40">
        <v>2</v>
      </c>
      <c r="G34" s="46" t="s">
        <v>66</v>
      </c>
      <c r="H34" s="71" t="s">
        <v>804</v>
      </c>
      <c r="I34" s="158" t="s">
        <v>970</v>
      </c>
    </row>
    <row r="35" spans="1:9" s="41" customFormat="1" ht="60" customHeight="1" x14ac:dyDescent="0.2">
      <c r="A35" s="76" t="s">
        <v>51</v>
      </c>
      <c r="B35" s="76" t="s">
        <v>51</v>
      </c>
      <c r="C35" s="40"/>
      <c r="D35" s="40">
        <f t="shared" si="6"/>
        <v>172</v>
      </c>
      <c r="E35" s="40">
        <f t="shared" ref="E35:E41" si="7">D35+F35-1</f>
        <v>172</v>
      </c>
      <c r="F35" s="40">
        <v>1</v>
      </c>
      <c r="G35" s="67" t="s">
        <v>686</v>
      </c>
      <c r="H35" s="50" t="s">
        <v>706</v>
      </c>
      <c r="I35" s="132" t="s">
        <v>832</v>
      </c>
    </row>
    <row r="36" spans="1:9" s="47" customFormat="1" ht="38.25" x14ac:dyDescent="0.2">
      <c r="A36" s="40" t="s">
        <v>51</v>
      </c>
      <c r="B36" s="40" t="s">
        <v>51</v>
      </c>
      <c r="C36" s="40"/>
      <c r="D36" s="40">
        <f t="shared" si="6"/>
        <v>173</v>
      </c>
      <c r="E36" s="40">
        <f t="shared" si="7"/>
        <v>173</v>
      </c>
      <c r="F36" s="40">
        <v>1</v>
      </c>
      <c r="G36" s="51" t="s">
        <v>11</v>
      </c>
      <c r="H36" s="128" t="s">
        <v>951</v>
      </c>
      <c r="I36" s="71" t="s">
        <v>857</v>
      </c>
    </row>
    <row r="37" spans="1:9" s="47" customFormat="1" ht="54.75" customHeight="1" x14ac:dyDescent="0.2">
      <c r="A37" s="40" t="s">
        <v>50</v>
      </c>
      <c r="B37" s="40" t="s">
        <v>50</v>
      </c>
      <c r="C37" s="40"/>
      <c r="D37" s="40">
        <f t="shared" si="6"/>
        <v>174</v>
      </c>
      <c r="E37" s="40">
        <f t="shared" si="7"/>
        <v>174</v>
      </c>
      <c r="F37" s="40">
        <v>1</v>
      </c>
      <c r="G37" s="67" t="s">
        <v>839</v>
      </c>
      <c r="H37" s="50" t="s">
        <v>16</v>
      </c>
      <c r="I37" s="158" t="s">
        <v>971</v>
      </c>
    </row>
    <row r="38" spans="1:9" s="47" customFormat="1" ht="54" customHeight="1" x14ac:dyDescent="0.2">
      <c r="A38" s="76" t="s">
        <v>51</v>
      </c>
      <c r="B38" s="76" t="s">
        <v>51</v>
      </c>
      <c r="C38" s="40"/>
      <c r="D38" s="40">
        <f t="shared" si="6"/>
        <v>175</v>
      </c>
      <c r="E38" s="40">
        <f t="shared" si="7"/>
        <v>175</v>
      </c>
      <c r="F38" s="40">
        <v>1</v>
      </c>
      <c r="G38" s="46" t="s">
        <v>25</v>
      </c>
      <c r="H38" s="50" t="s">
        <v>707</v>
      </c>
      <c r="I38" s="71" t="s">
        <v>788</v>
      </c>
    </row>
    <row r="39" spans="1:9" s="47" customFormat="1" x14ac:dyDescent="0.2">
      <c r="A39" s="40"/>
      <c r="B39" s="40"/>
      <c r="C39" s="40"/>
      <c r="D39" s="40">
        <f t="shared" si="6"/>
        <v>176</v>
      </c>
      <c r="E39" s="40">
        <f t="shared" si="7"/>
        <v>176</v>
      </c>
      <c r="F39" s="40">
        <v>1</v>
      </c>
      <c r="G39" s="58" t="s">
        <v>623</v>
      </c>
      <c r="H39" s="50"/>
      <c r="I39" s="50"/>
    </row>
    <row r="40" spans="1:9" s="47" customFormat="1" ht="139.5" customHeight="1" x14ac:dyDescent="0.2">
      <c r="A40" s="40" t="s">
        <v>51</v>
      </c>
      <c r="B40" s="40" t="s">
        <v>51</v>
      </c>
      <c r="C40" s="40"/>
      <c r="D40" s="40">
        <f t="shared" si="6"/>
        <v>177</v>
      </c>
      <c r="E40" s="40">
        <f t="shared" si="7"/>
        <v>177</v>
      </c>
      <c r="F40" s="40">
        <v>1</v>
      </c>
      <c r="G40" s="46" t="s">
        <v>26</v>
      </c>
      <c r="H40" s="71" t="s">
        <v>792</v>
      </c>
      <c r="I40" s="132" t="s">
        <v>832</v>
      </c>
    </row>
    <row r="41" spans="1:9" s="47" customFormat="1" ht="76.5" x14ac:dyDescent="0.2">
      <c r="A41" s="76" t="s">
        <v>51</v>
      </c>
      <c r="B41" s="76" t="s">
        <v>51</v>
      </c>
      <c r="D41" s="40">
        <f t="shared" si="6"/>
        <v>178</v>
      </c>
      <c r="E41" s="40">
        <f t="shared" si="7"/>
        <v>178</v>
      </c>
      <c r="F41" s="40">
        <v>1</v>
      </c>
      <c r="G41" s="79" t="s">
        <v>630</v>
      </c>
      <c r="H41" s="128" t="s">
        <v>708</v>
      </c>
      <c r="I41" s="128" t="s">
        <v>832</v>
      </c>
    </row>
    <row r="42" spans="1:9" s="47" customFormat="1" ht="51" x14ac:dyDescent="0.2">
      <c r="A42" s="40" t="s">
        <v>51</v>
      </c>
      <c r="B42" s="40" t="s">
        <v>51</v>
      </c>
      <c r="D42" s="40">
        <f>D41+F41</f>
        <v>179</v>
      </c>
      <c r="E42" s="40">
        <f>D42+F42-1</f>
        <v>179</v>
      </c>
      <c r="F42" s="40">
        <v>1</v>
      </c>
      <c r="G42" s="67" t="s">
        <v>763</v>
      </c>
      <c r="H42" s="71" t="s">
        <v>860</v>
      </c>
      <c r="I42" s="71" t="s">
        <v>788</v>
      </c>
    </row>
    <row r="43" spans="1:9" s="47" customFormat="1" x14ac:dyDescent="0.2">
      <c r="A43" s="40"/>
      <c r="B43" s="40"/>
      <c r="D43" s="40"/>
      <c r="E43" s="40"/>
      <c r="F43" s="76"/>
      <c r="G43" s="45" t="s">
        <v>616</v>
      </c>
      <c r="H43" s="71"/>
      <c r="I43" s="71"/>
    </row>
    <row r="44" spans="1:9" s="47" customFormat="1" ht="38.25" x14ac:dyDescent="0.2">
      <c r="A44" s="76" t="s">
        <v>51</v>
      </c>
      <c r="B44" s="76" t="s">
        <v>51</v>
      </c>
      <c r="D44" s="40">
        <f>D42+F42</f>
        <v>180</v>
      </c>
      <c r="E44" s="40">
        <f t="shared" ref="E44:E50" si="8">D44+F44-1</f>
        <v>180</v>
      </c>
      <c r="F44" s="76">
        <v>1</v>
      </c>
      <c r="G44" s="79" t="s">
        <v>638</v>
      </c>
      <c r="H44" s="71" t="s">
        <v>709</v>
      </c>
      <c r="I44" s="175" t="s">
        <v>788</v>
      </c>
    </row>
    <row r="45" spans="1:9" s="47" customFormat="1" ht="51" x14ac:dyDescent="0.2">
      <c r="A45" s="76" t="s">
        <v>51</v>
      </c>
      <c r="B45" s="76" t="s">
        <v>51</v>
      </c>
      <c r="D45" s="40">
        <f t="shared" ref="D45:D50" si="9">D44+F44</f>
        <v>181</v>
      </c>
      <c r="E45" s="40">
        <f t="shared" si="8"/>
        <v>181</v>
      </c>
      <c r="F45" s="76">
        <v>1</v>
      </c>
      <c r="G45" s="79" t="s">
        <v>679</v>
      </c>
      <c r="H45" s="71" t="s">
        <v>793</v>
      </c>
      <c r="I45" s="175"/>
    </row>
    <row r="46" spans="1:9" s="47" customFormat="1" ht="45.75" customHeight="1" x14ac:dyDescent="0.2">
      <c r="A46" s="76" t="s">
        <v>51</v>
      </c>
      <c r="B46" s="76" t="s">
        <v>51</v>
      </c>
      <c r="D46" s="40">
        <f t="shared" si="9"/>
        <v>182</v>
      </c>
      <c r="E46" s="40">
        <f t="shared" si="8"/>
        <v>182</v>
      </c>
      <c r="F46" s="76">
        <v>1</v>
      </c>
      <c r="G46" s="79" t="s">
        <v>639</v>
      </c>
      <c r="H46" s="128" t="s">
        <v>936</v>
      </c>
      <c r="I46" s="175"/>
    </row>
    <row r="47" spans="1:9" s="47" customFormat="1" ht="43.5" customHeight="1" x14ac:dyDescent="0.2">
      <c r="A47" s="76" t="s">
        <v>51</v>
      </c>
      <c r="B47" s="76" t="s">
        <v>51</v>
      </c>
      <c r="D47" s="40">
        <f t="shared" si="9"/>
        <v>183</v>
      </c>
      <c r="E47" s="40">
        <f t="shared" si="8"/>
        <v>183</v>
      </c>
      <c r="F47" s="76">
        <v>1</v>
      </c>
      <c r="G47" s="79" t="s">
        <v>640</v>
      </c>
      <c r="H47" s="71" t="s">
        <v>710</v>
      </c>
      <c r="I47" s="175"/>
    </row>
    <row r="48" spans="1:9" s="47" customFormat="1" ht="63.75" x14ac:dyDescent="0.2">
      <c r="A48" s="76" t="s">
        <v>51</v>
      </c>
      <c r="B48" s="76" t="s">
        <v>51</v>
      </c>
      <c r="D48" s="40">
        <f t="shared" si="9"/>
        <v>184</v>
      </c>
      <c r="E48" s="40">
        <f t="shared" si="8"/>
        <v>184</v>
      </c>
      <c r="F48" s="76">
        <v>1</v>
      </c>
      <c r="G48" s="79" t="s">
        <v>641</v>
      </c>
      <c r="H48" s="128" t="s">
        <v>934</v>
      </c>
      <c r="I48" s="175"/>
    </row>
    <row r="49" spans="1:9" s="47" customFormat="1" ht="38.25" x14ac:dyDescent="0.2">
      <c r="A49" s="76" t="s">
        <v>51</v>
      </c>
      <c r="B49" s="76" t="s">
        <v>51</v>
      </c>
      <c r="D49" s="40">
        <f t="shared" si="9"/>
        <v>185</v>
      </c>
      <c r="E49" s="40">
        <f t="shared" si="8"/>
        <v>185</v>
      </c>
      <c r="F49" s="76">
        <v>1</v>
      </c>
      <c r="G49" s="79" t="s">
        <v>642</v>
      </c>
      <c r="H49" s="128" t="s">
        <v>935</v>
      </c>
      <c r="I49" s="175"/>
    </row>
    <row r="50" spans="1:9" s="47" customFormat="1" ht="76.5" x14ac:dyDescent="0.2">
      <c r="A50" s="76" t="s">
        <v>51</v>
      </c>
      <c r="B50" s="76" t="s">
        <v>51</v>
      </c>
      <c r="C50" s="40"/>
      <c r="D50" s="40">
        <f t="shared" si="9"/>
        <v>186</v>
      </c>
      <c r="E50" s="40">
        <f t="shared" si="8"/>
        <v>187</v>
      </c>
      <c r="F50" s="40">
        <v>2</v>
      </c>
      <c r="G50" s="67" t="s">
        <v>687</v>
      </c>
      <c r="H50" s="91" t="s">
        <v>861</v>
      </c>
      <c r="I50" s="71" t="s">
        <v>836</v>
      </c>
    </row>
    <row r="51" spans="1:9" s="47" customFormat="1" ht="165.75" x14ac:dyDescent="0.2">
      <c r="A51" s="76" t="s">
        <v>51</v>
      </c>
      <c r="B51" s="76" t="s">
        <v>51</v>
      </c>
      <c r="C51" s="40"/>
      <c r="D51" s="40">
        <f>D50+F50</f>
        <v>188</v>
      </c>
      <c r="E51" s="40">
        <f t="shared" si="4"/>
        <v>188</v>
      </c>
      <c r="F51" s="40">
        <v>1</v>
      </c>
      <c r="G51" s="46" t="s">
        <v>295</v>
      </c>
      <c r="H51" s="128" t="s">
        <v>929</v>
      </c>
      <c r="I51" s="132" t="s">
        <v>832</v>
      </c>
    </row>
    <row r="52" spans="1:9" s="47" customFormat="1" ht="63.75" x14ac:dyDescent="0.2">
      <c r="A52" s="40" t="s">
        <v>51</v>
      </c>
      <c r="B52" s="40" t="s">
        <v>51</v>
      </c>
      <c r="C52" s="40"/>
      <c r="D52" s="40">
        <f>D51+F51</f>
        <v>189</v>
      </c>
      <c r="E52" s="40">
        <f t="shared" si="4"/>
        <v>189</v>
      </c>
      <c r="F52" s="40">
        <v>1</v>
      </c>
      <c r="G52" s="46" t="s">
        <v>296</v>
      </c>
      <c r="H52" s="71" t="s">
        <v>717</v>
      </c>
      <c r="I52" s="50" t="s">
        <v>857</v>
      </c>
    </row>
    <row r="53" spans="1:9" s="47" customFormat="1" x14ac:dyDescent="0.2">
      <c r="A53" s="40"/>
      <c r="B53" s="40"/>
      <c r="C53" s="40"/>
      <c r="D53" s="40"/>
      <c r="E53" s="40"/>
      <c r="F53" s="40"/>
      <c r="G53" s="74" t="s">
        <v>666</v>
      </c>
      <c r="H53" s="109"/>
      <c r="I53" s="50"/>
    </row>
    <row r="54" spans="1:9" s="47" customFormat="1" x14ac:dyDescent="0.2">
      <c r="A54" s="40" t="s">
        <v>51</v>
      </c>
      <c r="B54" s="40" t="s">
        <v>51</v>
      </c>
      <c r="C54" s="40"/>
      <c r="D54" s="40">
        <f>D52+F52</f>
        <v>190</v>
      </c>
      <c r="E54" s="40">
        <f t="shared" si="4"/>
        <v>190</v>
      </c>
      <c r="F54" s="40">
        <v>1</v>
      </c>
      <c r="G54" s="46" t="s">
        <v>297</v>
      </c>
      <c r="H54" s="175" t="s">
        <v>718</v>
      </c>
      <c r="I54" s="175" t="s">
        <v>857</v>
      </c>
    </row>
    <row r="55" spans="1:9" s="47" customFormat="1" x14ac:dyDescent="0.2">
      <c r="A55" s="40" t="s">
        <v>51</v>
      </c>
      <c r="B55" s="40" t="s">
        <v>51</v>
      </c>
      <c r="C55" s="40"/>
      <c r="D55" s="40">
        <f>D54+F54</f>
        <v>191</v>
      </c>
      <c r="E55" s="40">
        <f t="shared" si="4"/>
        <v>191</v>
      </c>
      <c r="F55" s="40">
        <v>1</v>
      </c>
      <c r="G55" s="46" t="s">
        <v>298</v>
      </c>
      <c r="H55" s="176"/>
      <c r="I55" s="179"/>
    </row>
    <row r="56" spans="1:9" s="47" customFormat="1" x14ac:dyDescent="0.2">
      <c r="A56" s="40" t="s">
        <v>51</v>
      </c>
      <c r="B56" s="40" t="s">
        <v>51</v>
      </c>
      <c r="C56" s="40"/>
      <c r="D56" s="40">
        <f t="shared" ref="D56:D71" si="10">D55+F55</f>
        <v>192</v>
      </c>
      <c r="E56" s="40">
        <f t="shared" si="4"/>
        <v>192</v>
      </c>
      <c r="F56" s="40">
        <v>1</v>
      </c>
      <c r="G56" s="46" t="s">
        <v>299</v>
      </c>
      <c r="H56" s="176"/>
      <c r="I56" s="179"/>
    </row>
    <row r="57" spans="1:9" s="47" customFormat="1" x14ac:dyDescent="0.2">
      <c r="A57" s="40" t="s">
        <v>51</v>
      </c>
      <c r="B57" s="40" t="s">
        <v>51</v>
      </c>
      <c r="C57" s="40"/>
      <c r="D57" s="40">
        <f t="shared" si="10"/>
        <v>193</v>
      </c>
      <c r="E57" s="40">
        <f t="shared" si="4"/>
        <v>193</v>
      </c>
      <c r="F57" s="40">
        <v>1</v>
      </c>
      <c r="G57" s="67" t="s">
        <v>805</v>
      </c>
      <c r="H57" s="176"/>
      <c r="I57" s="179"/>
    </row>
    <row r="58" spans="1:9" s="47" customFormat="1" x14ac:dyDescent="0.2">
      <c r="A58" s="40" t="s">
        <v>51</v>
      </c>
      <c r="B58" s="40" t="s">
        <v>51</v>
      </c>
      <c r="C58" s="40"/>
      <c r="D58" s="40">
        <f t="shared" si="10"/>
        <v>194</v>
      </c>
      <c r="E58" s="40">
        <f t="shared" si="4"/>
        <v>194</v>
      </c>
      <c r="F58" s="40">
        <v>1</v>
      </c>
      <c r="G58" s="46" t="s">
        <v>300</v>
      </c>
      <c r="H58" s="176"/>
      <c r="I58" s="179"/>
    </row>
    <row r="59" spans="1:9" s="47" customFormat="1" x14ac:dyDescent="0.2">
      <c r="A59" s="40" t="s">
        <v>51</v>
      </c>
      <c r="B59" s="40" t="s">
        <v>51</v>
      </c>
      <c r="C59" s="40"/>
      <c r="D59" s="40">
        <f t="shared" si="10"/>
        <v>195</v>
      </c>
      <c r="E59" s="40">
        <f t="shared" si="4"/>
        <v>195</v>
      </c>
      <c r="F59" s="40">
        <v>1</v>
      </c>
      <c r="G59" s="46" t="s">
        <v>301</v>
      </c>
      <c r="H59" s="176"/>
      <c r="I59" s="179"/>
    </row>
    <row r="60" spans="1:9" s="47" customFormat="1" x14ac:dyDescent="0.2">
      <c r="A60" s="40" t="s">
        <v>51</v>
      </c>
      <c r="B60" s="40" t="s">
        <v>51</v>
      </c>
      <c r="C60" s="40"/>
      <c r="D60" s="40">
        <f t="shared" si="10"/>
        <v>196</v>
      </c>
      <c r="E60" s="40">
        <f t="shared" si="4"/>
        <v>196</v>
      </c>
      <c r="F60" s="40">
        <v>1</v>
      </c>
      <c r="G60" s="46" t="s">
        <v>302</v>
      </c>
      <c r="H60" s="176"/>
      <c r="I60" s="179"/>
    </row>
    <row r="61" spans="1:9" s="47" customFormat="1" x14ac:dyDescent="0.2">
      <c r="A61" s="40" t="s">
        <v>51</v>
      </c>
      <c r="B61" s="40" t="s">
        <v>51</v>
      </c>
      <c r="C61" s="40"/>
      <c r="D61" s="40">
        <f t="shared" si="10"/>
        <v>197</v>
      </c>
      <c r="E61" s="40">
        <f t="shared" si="4"/>
        <v>197</v>
      </c>
      <c r="F61" s="40">
        <v>1</v>
      </c>
      <c r="G61" s="46" t="s">
        <v>303</v>
      </c>
      <c r="H61" s="176"/>
      <c r="I61" s="179"/>
    </row>
    <row r="62" spans="1:9" s="47" customFormat="1" x14ac:dyDescent="0.2">
      <c r="A62" s="40" t="s">
        <v>51</v>
      </c>
      <c r="B62" s="40" t="s">
        <v>51</v>
      </c>
      <c r="C62" s="40"/>
      <c r="D62" s="40">
        <f t="shared" si="10"/>
        <v>198</v>
      </c>
      <c r="E62" s="40">
        <f t="shared" si="4"/>
        <v>198</v>
      </c>
      <c r="F62" s="40">
        <v>1</v>
      </c>
      <c r="G62" s="46" t="s">
        <v>304</v>
      </c>
      <c r="H62" s="176"/>
      <c r="I62" s="179"/>
    </row>
    <row r="63" spans="1:9" s="47" customFormat="1" x14ac:dyDescent="0.2">
      <c r="A63" s="40" t="s">
        <v>51</v>
      </c>
      <c r="B63" s="40" t="s">
        <v>51</v>
      </c>
      <c r="C63" s="40"/>
      <c r="D63" s="40">
        <f t="shared" si="10"/>
        <v>199</v>
      </c>
      <c r="E63" s="40">
        <f t="shared" si="4"/>
        <v>199</v>
      </c>
      <c r="F63" s="40">
        <v>1</v>
      </c>
      <c r="G63" s="46" t="s">
        <v>305</v>
      </c>
      <c r="H63" s="176"/>
      <c r="I63" s="179"/>
    </row>
    <row r="64" spans="1:9" s="47" customFormat="1" x14ac:dyDescent="0.2">
      <c r="A64" s="40" t="s">
        <v>51</v>
      </c>
      <c r="B64" s="40" t="s">
        <v>51</v>
      </c>
      <c r="C64" s="40"/>
      <c r="D64" s="40">
        <f t="shared" si="10"/>
        <v>200</v>
      </c>
      <c r="E64" s="40">
        <f t="shared" si="4"/>
        <v>200</v>
      </c>
      <c r="F64" s="40">
        <v>1</v>
      </c>
      <c r="G64" s="46" t="s">
        <v>306</v>
      </c>
      <c r="H64" s="176"/>
      <c r="I64" s="179"/>
    </row>
    <row r="65" spans="1:9" s="47" customFormat="1" x14ac:dyDescent="0.2">
      <c r="A65" s="40" t="s">
        <v>51</v>
      </c>
      <c r="B65" s="40" t="s">
        <v>51</v>
      </c>
      <c r="C65" s="40"/>
      <c r="D65" s="40">
        <f t="shared" si="10"/>
        <v>201</v>
      </c>
      <c r="E65" s="40">
        <f t="shared" si="4"/>
        <v>201</v>
      </c>
      <c r="F65" s="40">
        <v>1</v>
      </c>
      <c r="G65" s="46" t="s">
        <v>307</v>
      </c>
      <c r="H65" s="176"/>
      <c r="I65" s="179"/>
    </row>
    <row r="66" spans="1:9" s="47" customFormat="1" x14ac:dyDescent="0.2">
      <c r="A66" s="40" t="s">
        <v>51</v>
      </c>
      <c r="B66" s="40" t="s">
        <v>51</v>
      </c>
      <c r="C66" s="40"/>
      <c r="D66" s="40">
        <f t="shared" si="10"/>
        <v>202</v>
      </c>
      <c r="E66" s="40">
        <f t="shared" si="4"/>
        <v>202</v>
      </c>
      <c r="F66" s="40">
        <v>1</v>
      </c>
      <c r="G66" s="46" t="s">
        <v>308</v>
      </c>
      <c r="H66" s="176"/>
      <c r="I66" s="179"/>
    </row>
    <row r="67" spans="1:9" s="47" customFormat="1" x14ac:dyDescent="0.2">
      <c r="A67" s="40" t="s">
        <v>51</v>
      </c>
      <c r="B67" s="40" t="s">
        <v>51</v>
      </c>
      <c r="C67" s="40"/>
      <c r="D67" s="40">
        <f t="shared" si="10"/>
        <v>203</v>
      </c>
      <c r="E67" s="40">
        <f t="shared" si="4"/>
        <v>203</v>
      </c>
      <c r="F67" s="40">
        <v>1</v>
      </c>
      <c r="G67" s="46" t="s">
        <v>309</v>
      </c>
      <c r="H67" s="176"/>
      <c r="I67" s="179"/>
    </row>
    <row r="68" spans="1:9" s="47" customFormat="1" x14ac:dyDescent="0.2">
      <c r="A68" s="40" t="s">
        <v>51</v>
      </c>
      <c r="B68" s="40" t="s">
        <v>51</v>
      </c>
      <c r="C68" s="40"/>
      <c r="D68" s="40">
        <f t="shared" si="10"/>
        <v>204</v>
      </c>
      <c r="E68" s="40">
        <f t="shared" si="4"/>
        <v>204</v>
      </c>
      <c r="F68" s="40">
        <v>1</v>
      </c>
      <c r="G68" s="46" t="s">
        <v>310</v>
      </c>
      <c r="H68" s="176"/>
      <c r="I68" s="179"/>
    </row>
    <row r="69" spans="1:9" s="47" customFormat="1" x14ac:dyDescent="0.2">
      <c r="A69" s="40" t="s">
        <v>51</v>
      </c>
      <c r="B69" s="40" t="s">
        <v>51</v>
      </c>
      <c r="C69" s="40"/>
      <c r="D69" s="40">
        <f t="shared" si="10"/>
        <v>205</v>
      </c>
      <c r="E69" s="40">
        <f t="shared" si="4"/>
        <v>205</v>
      </c>
      <c r="F69" s="40">
        <v>1</v>
      </c>
      <c r="G69" s="46" t="s">
        <v>311</v>
      </c>
      <c r="H69" s="176"/>
      <c r="I69" s="179"/>
    </row>
    <row r="70" spans="1:9" s="47" customFormat="1" ht="30.75" customHeight="1" x14ac:dyDescent="0.2">
      <c r="A70" s="40" t="s">
        <v>51</v>
      </c>
      <c r="B70" s="40" t="s">
        <v>51</v>
      </c>
      <c r="C70" s="40"/>
      <c r="D70" s="40">
        <f t="shared" si="10"/>
        <v>206</v>
      </c>
      <c r="E70" s="40">
        <f t="shared" si="4"/>
        <v>206</v>
      </c>
      <c r="F70" s="40">
        <v>1</v>
      </c>
      <c r="G70" s="159" t="s">
        <v>1021</v>
      </c>
      <c r="H70" s="176"/>
      <c r="I70" s="179"/>
    </row>
    <row r="71" spans="1:9" s="47" customFormat="1" x14ac:dyDescent="0.2">
      <c r="A71" s="40"/>
      <c r="B71" s="40"/>
      <c r="C71" s="40"/>
      <c r="D71" s="40">
        <f t="shared" si="10"/>
        <v>207</v>
      </c>
      <c r="E71" s="40">
        <f t="shared" si="4"/>
        <v>221</v>
      </c>
      <c r="F71" s="40">
        <v>15</v>
      </c>
      <c r="G71" s="51" t="s">
        <v>623</v>
      </c>
      <c r="H71" s="50"/>
      <c r="I71" s="50"/>
    </row>
    <row r="72" spans="1:9" s="47" customFormat="1" x14ac:dyDescent="0.2">
      <c r="A72" s="40"/>
      <c r="B72" s="40"/>
      <c r="C72" s="40"/>
      <c r="D72" s="40"/>
      <c r="E72" s="40"/>
      <c r="F72" s="40"/>
      <c r="G72" s="75" t="s">
        <v>312</v>
      </c>
      <c r="H72" s="50"/>
      <c r="I72" s="50"/>
    </row>
    <row r="73" spans="1:9" s="47" customFormat="1" x14ac:dyDescent="0.2">
      <c r="A73" s="40" t="s">
        <v>50</v>
      </c>
      <c r="B73" s="40" t="s">
        <v>50</v>
      </c>
      <c r="C73" s="40"/>
      <c r="D73" s="40">
        <f>D71+F71</f>
        <v>222</v>
      </c>
      <c r="E73" s="40">
        <f t="shared" si="4"/>
        <v>222</v>
      </c>
      <c r="F73" s="40">
        <v>1</v>
      </c>
      <c r="G73" s="46" t="s">
        <v>313</v>
      </c>
      <c r="H73" s="175" t="s">
        <v>719</v>
      </c>
      <c r="I73" s="175" t="s">
        <v>857</v>
      </c>
    </row>
    <row r="74" spans="1:9" s="47" customFormat="1" x14ac:dyDescent="0.2">
      <c r="A74" s="40" t="s">
        <v>50</v>
      </c>
      <c r="B74" s="40" t="s">
        <v>50</v>
      </c>
      <c r="C74" s="40"/>
      <c r="D74" s="40">
        <f>D73+F73</f>
        <v>223</v>
      </c>
      <c r="E74" s="40">
        <f t="shared" si="4"/>
        <v>223</v>
      </c>
      <c r="F74" s="40">
        <v>1</v>
      </c>
      <c r="G74" s="46" t="s">
        <v>314</v>
      </c>
      <c r="H74" s="176"/>
      <c r="I74" s="176"/>
    </row>
    <row r="75" spans="1:9" s="47" customFormat="1" x14ac:dyDescent="0.2">
      <c r="A75" s="40" t="s">
        <v>50</v>
      </c>
      <c r="B75" s="40" t="s">
        <v>50</v>
      </c>
      <c r="C75" s="40"/>
      <c r="D75" s="40">
        <f t="shared" ref="D75:D83" si="11">D74+F74</f>
        <v>224</v>
      </c>
      <c r="E75" s="40">
        <f t="shared" si="4"/>
        <v>224</v>
      </c>
      <c r="F75" s="40">
        <v>1</v>
      </c>
      <c r="G75" s="46" t="s">
        <v>315</v>
      </c>
      <c r="H75" s="176"/>
      <c r="I75" s="176"/>
    </row>
    <row r="76" spans="1:9" s="47" customFormat="1" x14ac:dyDescent="0.2">
      <c r="A76" s="40" t="s">
        <v>50</v>
      </c>
      <c r="B76" s="40" t="s">
        <v>50</v>
      </c>
      <c r="C76" s="40"/>
      <c r="D76" s="40">
        <f t="shared" si="11"/>
        <v>225</v>
      </c>
      <c r="E76" s="40">
        <f t="shared" si="4"/>
        <v>225</v>
      </c>
      <c r="F76" s="40">
        <v>1</v>
      </c>
      <c r="G76" s="46" t="s">
        <v>316</v>
      </c>
      <c r="H76" s="176"/>
      <c r="I76" s="176"/>
    </row>
    <row r="77" spans="1:9" s="47" customFormat="1" x14ac:dyDescent="0.2">
      <c r="A77" s="40" t="s">
        <v>50</v>
      </c>
      <c r="B77" s="40" t="s">
        <v>50</v>
      </c>
      <c r="C77" s="40"/>
      <c r="D77" s="40">
        <f t="shared" si="11"/>
        <v>226</v>
      </c>
      <c r="E77" s="40">
        <f t="shared" si="4"/>
        <v>226</v>
      </c>
      <c r="F77" s="40">
        <v>1</v>
      </c>
      <c r="G77" s="46" t="s">
        <v>317</v>
      </c>
      <c r="H77" s="176"/>
      <c r="I77" s="176"/>
    </row>
    <row r="78" spans="1:9" s="47" customFormat="1" x14ac:dyDescent="0.2">
      <c r="A78" s="40" t="s">
        <v>50</v>
      </c>
      <c r="B78" s="40" t="s">
        <v>50</v>
      </c>
      <c r="C78" s="40"/>
      <c r="D78" s="40">
        <f t="shared" si="11"/>
        <v>227</v>
      </c>
      <c r="E78" s="40">
        <f t="shared" si="4"/>
        <v>227</v>
      </c>
      <c r="F78" s="40">
        <v>1</v>
      </c>
      <c r="G78" s="46" t="s">
        <v>318</v>
      </c>
      <c r="H78" s="176"/>
      <c r="I78" s="176"/>
    </row>
    <row r="79" spans="1:9" s="47" customFormat="1" x14ac:dyDescent="0.2">
      <c r="A79" s="40" t="s">
        <v>50</v>
      </c>
      <c r="B79" s="40" t="s">
        <v>50</v>
      </c>
      <c r="C79" s="40"/>
      <c r="D79" s="40">
        <f t="shared" si="11"/>
        <v>228</v>
      </c>
      <c r="E79" s="40">
        <f t="shared" si="4"/>
        <v>228</v>
      </c>
      <c r="F79" s="40">
        <v>1</v>
      </c>
      <c r="G79" s="46" t="s">
        <v>319</v>
      </c>
      <c r="H79" s="176"/>
      <c r="I79" s="176"/>
    </row>
    <row r="80" spans="1:9" s="47" customFormat="1" x14ac:dyDescent="0.2">
      <c r="A80" s="40" t="s">
        <v>50</v>
      </c>
      <c r="B80" s="40" t="s">
        <v>50</v>
      </c>
      <c r="C80" s="40"/>
      <c r="D80" s="40">
        <f t="shared" si="11"/>
        <v>229</v>
      </c>
      <c r="E80" s="40">
        <f t="shared" si="4"/>
        <v>229</v>
      </c>
      <c r="F80" s="40">
        <v>1</v>
      </c>
      <c r="G80" s="46" t="s">
        <v>320</v>
      </c>
      <c r="H80" s="176"/>
      <c r="I80" s="176"/>
    </row>
    <row r="81" spans="1:9" s="47" customFormat="1" x14ac:dyDescent="0.2">
      <c r="A81" s="40" t="s">
        <v>50</v>
      </c>
      <c r="B81" s="40" t="s">
        <v>50</v>
      </c>
      <c r="C81" s="40"/>
      <c r="D81" s="40">
        <f t="shared" si="11"/>
        <v>230</v>
      </c>
      <c r="E81" s="40">
        <f t="shared" si="4"/>
        <v>230</v>
      </c>
      <c r="F81" s="40">
        <v>1</v>
      </c>
      <c r="G81" s="46" t="s">
        <v>321</v>
      </c>
      <c r="H81" s="176"/>
      <c r="I81" s="176"/>
    </row>
    <row r="82" spans="1:9" s="47" customFormat="1" x14ac:dyDescent="0.2">
      <c r="A82" s="40" t="s">
        <v>50</v>
      </c>
      <c r="B82" s="40" t="s">
        <v>50</v>
      </c>
      <c r="C82" s="40"/>
      <c r="D82" s="40">
        <f t="shared" si="11"/>
        <v>231</v>
      </c>
      <c r="E82" s="40">
        <f t="shared" si="4"/>
        <v>231</v>
      </c>
      <c r="F82" s="40">
        <v>1</v>
      </c>
      <c r="G82" s="67" t="s">
        <v>324</v>
      </c>
      <c r="H82" s="176"/>
      <c r="I82" s="176"/>
    </row>
    <row r="83" spans="1:9" s="47" customFormat="1" ht="15" customHeight="1" x14ac:dyDescent="0.2">
      <c r="A83" s="40" t="s">
        <v>50</v>
      </c>
      <c r="B83" s="40" t="s">
        <v>50</v>
      </c>
      <c r="C83" s="40"/>
      <c r="D83" s="40">
        <f t="shared" si="11"/>
        <v>232</v>
      </c>
      <c r="E83" s="40">
        <f t="shared" si="4"/>
        <v>232</v>
      </c>
      <c r="F83" s="40">
        <v>1</v>
      </c>
      <c r="G83" s="46" t="s">
        <v>325</v>
      </c>
      <c r="H83" s="176"/>
      <c r="I83" s="176"/>
    </row>
    <row r="84" spans="1:9" s="47" customFormat="1" x14ac:dyDescent="0.2">
      <c r="A84" s="40"/>
      <c r="B84" s="40"/>
      <c r="C84" s="40"/>
      <c r="D84" s="40"/>
      <c r="E84" s="40"/>
      <c r="F84" s="40"/>
      <c r="G84" s="75" t="s">
        <v>13</v>
      </c>
      <c r="H84" s="50"/>
      <c r="I84" s="102"/>
    </row>
    <row r="85" spans="1:9" s="47" customFormat="1" x14ac:dyDescent="0.2">
      <c r="A85" s="40" t="s">
        <v>50</v>
      </c>
      <c r="B85" s="40" t="s">
        <v>50</v>
      </c>
      <c r="C85" s="40"/>
      <c r="D85" s="40">
        <f>D83+F83</f>
        <v>233</v>
      </c>
      <c r="E85" s="40">
        <f t="shared" ref="E85:E92" si="12">D85+F85-1</f>
        <v>233</v>
      </c>
      <c r="F85" s="40">
        <v>1</v>
      </c>
      <c r="G85" s="46" t="s">
        <v>326</v>
      </c>
      <c r="H85" s="175" t="s">
        <v>720</v>
      </c>
      <c r="I85" s="175" t="s">
        <v>857</v>
      </c>
    </row>
    <row r="86" spans="1:9" s="47" customFormat="1" x14ac:dyDescent="0.2">
      <c r="A86" s="40" t="s">
        <v>50</v>
      </c>
      <c r="B86" s="40" t="s">
        <v>50</v>
      </c>
      <c r="C86" s="40"/>
      <c r="D86" s="40">
        <f t="shared" ref="D86:D92" si="13">D85+F85</f>
        <v>234</v>
      </c>
      <c r="E86" s="40">
        <f t="shared" si="12"/>
        <v>234</v>
      </c>
      <c r="F86" s="40">
        <v>1</v>
      </c>
      <c r="G86" s="46" t="s">
        <v>327</v>
      </c>
      <c r="H86" s="176"/>
      <c r="I86" s="176"/>
    </row>
    <row r="87" spans="1:9" s="47" customFormat="1" x14ac:dyDescent="0.2">
      <c r="A87" s="40" t="s">
        <v>50</v>
      </c>
      <c r="B87" s="40" t="s">
        <v>50</v>
      </c>
      <c r="C87" s="40"/>
      <c r="D87" s="40">
        <f t="shared" si="13"/>
        <v>235</v>
      </c>
      <c r="E87" s="40">
        <f t="shared" si="12"/>
        <v>235</v>
      </c>
      <c r="F87" s="40">
        <v>1</v>
      </c>
      <c r="G87" s="46" t="s">
        <v>328</v>
      </c>
      <c r="H87" s="176"/>
      <c r="I87" s="176"/>
    </row>
    <row r="88" spans="1:9" s="47" customFormat="1" x14ac:dyDescent="0.2">
      <c r="A88" s="40" t="s">
        <v>50</v>
      </c>
      <c r="B88" s="40" t="s">
        <v>50</v>
      </c>
      <c r="C88" s="40"/>
      <c r="D88" s="40">
        <f t="shared" si="13"/>
        <v>236</v>
      </c>
      <c r="E88" s="40">
        <f t="shared" si="12"/>
        <v>236</v>
      </c>
      <c r="F88" s="40">
        <v>1</v>
      </c>
      <c r="G88" s="46" t="s">
        <v>329</v>
      </c>
      <c r="H88" s="176"/>
      <c r="I88" s="176"/>
    </row>
    <row r="89" spans="1:9" s="47" customFormat="1" x14ac:dyDescent="0.2">
      <c r="A89" s="40" t="s">
        <v>50</v>
      </c>
      <c r="B89" s="40" t="s">
        <v>50</v>
      </c>
      <c r="C89" s="40"/>
      <c r="D89" s="40">
        <f t="shared" si="13"/>
        <v>237</v>
      </c>
      <c r="E89" s="40">
        <f t="shared" si="12"/>
        <v>237</v>
      </c>
      <c r="F89" s="40">
        <v>1</v>
      </c>
      <c r="G89" s="46" t="s">
        <v>330</v>
      </c>
      <c r="H89" s="176"/>
      <c r="I89" s="176"/>
    </row>
    <row r="90" spans="1:9" s="47" customFormat="1" x14ac:dyDescent="0.2">
      <c r="A90" s="40" t="s">
        <v>50</v>
      </c>
      <c r="B90" s="40" t="s">
        <v>50</v>
      </c>
      <c r="C90" s="40"/>
      <c r="D90" s="40">
        <f t="shared" si="13"/>
        <v>238</v>
      </c>
      <c r="E90" s="40">
        <f t="shared" si="12"/>
        <v>238</v>
      </c>
      <c r="F90" s="40">
        <v>1</v>
      </c>
      <c r="G90" s="46" t="s">
        <v>331</v>
      </c>
      <c r="H90" s="176"/>
      <c r="I90" s="176"/>
    </row>
    <row r="91" spans="1:9" s="47" customFormat="1" x14ac:dyDescent="0.2">
      <c r="A91" s="40" t="s">
        <v>50</v>
      </c>
      <c r="B91" s="40" t="s">
        <v>50</v>
      </c>
      <c r="C91" s="40"/>
      <c r="D91" s="40">
        <f t="shared" si="13"/>
        <v>239</v>
      </c>
      <c r="E91" s="40">
        <f t="shared" si="12"/>
        <v>239</v>
      </c>
      <c r="F91" s="40">
        <v>1</v>
      </c>
      <c r="G91" s="46" t="s">
        <v>332</v>
      </c>
      <c r="H91" s="176"/>
      <c r="I91" s="176"/>
    </row>
    <row r="92" spans="1:9" s="47" customFormat="1" x14ac:dyDescent="0.2">
      <c r="A92" s="40" t="s">
        <v>50</v>
      </c>
      <c r="B92" s="40" t="s">
        <v>50</v>
      </c>
      <c r="C92" s="40"/>
      <c r="D92" s="40">
        <f t="shared" si="13"/>
        <v>240</v>
      </c>
      <c r="E92" s="40">
        <f t="shared" si="12"/>
        <v>240</v>
      </c>
      <c r="F92" s="40">
        <v>1</v>
      </c>
      <c r="G92" s="46" t="s">
        <v>325</v>
      </c>
      <c r="H92" s="176"/>
      <c r="I92" s="176"/>
    </row>
    <row r="93" spans="1:9" s="47" customFormat="1" x14ac:dyDescent="0.2">
      <c r="A93" s="40" t="s">
        <v>50</v>
      </c>
      <c r="B93" s="40" t="s">
        <v>50</v>
      </c>
      <c r="C93" s="40"/>
      <c r="D93" s="40">
        <f>D92+F92</f>
        <v>241</v>
      </c>
      <c r="E93" s="40">
        <f t="shared" si="4"/>
        <v>241</v>
      </c>
      <c r="F93" s="40">
        <v>1</v>
      </c>
      <c r="G93" s="46" t="s">
        <v>333</v>
      </c>
      <c r="H93" s="176"/>
      <c r="I93" s="176"/>
    </row>
    <row r="94" spans="1:9" s="47" customFormat="1" ht="63.75" x14ac:dyDescent="0.2">
      <c r="A94" s="76" t="s">
        <v>51</v>
      </c>
      <c r="B94" s="76" t="s">
        <v>51</v>
      </c>
      <c r="C94" s="40"/>
      <c r="D94" s="40">
        <f>D93+F93</f>
        <v>242</v>
      </c>
      <c r="E94" s="40">
        <f>D94+F94-1</f>
        <v>242</v>
      </c>
      <c r="F94" s="40">
        <v>1</v>
      </c>
      <c r="G94" s="51" t="s">
        <v>17</v>
      </c>
      <c r="H94" s="128" t="s">
        <v>937</v>
      </c>
      <c r="I94" s="50" t="s">
        <v>857</v>
      </c>
    </row>
    <row r="95" spans="1:9" s="47" customFormat="1" x14ac:dyDescent="0.2">
      <c r="A95" s="40"/>
      <c r="B95" s="40"/>
      <c r="C95" s="40"/>
      <c r="D95" s="40">
        <f>D94+F94</f>
        <v>243</v>
      </c>
      <c r="E95" s="40">
        <f>D95+F95-1</f>
        <v>247</v>
      </c>
      <c r="F95" s="40">
        <v>5</v>
      </c>
      <c r="G95" s="51" t="s">
        <v>623</v>
      </c>
      <c r="H95" s="50"/>
      <c r="I95" s="50"/>
    </row>
    <row r="96" spans="1:9" s="47" customFormat="1" ht="38.25" x14ac:dyDescent="0.2">
      <c r="A96" s="76" t="s">
        <v>51</v>
      </c>
      <c r="B96" s="76" t="s">
        <v>51</v>
      </c>
      <c r="C96" s="40"/>
      <c r="D96" s="40">
        <f>D95+F95</f>
        <v>248</v>
      </c>
      <c r="E96" s="40">
        <f t="shared" si="4"/>
        <v>248</v>
      </c>
      <c r="F96" s="40">
        <v>1</v>
      </c>
      <c r="G96" s="52" t="s">
        <v>334</v>
      </c>
      <c r="H96" s="71" t="s">
        <v>720</v>
      </c>
      <c r="I96" s="50" t="s">
        <v>857</v>
      </c>
    </row>
    <row r="97" spans="1:9" s="47" customFormat="1" ht="21" customHeight="1" x14ac:dyDescent="0.2">
      <c r="A97" s="40"/>
      <c r="B97" s="40"/>
      <c r="C97" s="40"/>
      <c r="D97" s="40"/>
      <c r="E97" s="40"/>
      <c r="F97" s="40"/>
      <c r="G97" s="75" t="s">
        <v>335</v>
      </c>
      <c r="H97" s="50"/>
      <c r="I97" s="50"/>
    </row>
    <row r="98" spans="1:9" s="47" customFormat="1" x14ac:dyDescent="0.2">
      <c r="A98" s="40" t="s">
        <v>50</v>
      </c>
      <c r="B98" s="40" t="s">
        <v>50</v>
      </c>
      <c r="C98" s="40"/>
      <c r="D98" s="40">
        <f>D96+F96</f>
        <v>249</v>
      </c>
      <c r="E98" s="40">
        <f t="shared" si="4"/>
        <v>249</v>
      </c>
      <c r="F98" s="40">
        <v>1</v>
      </c>
      <c r="G98" s="46" t="s">
        <v>313</v>
      </c>
      <c r="H98" s="175" t="s">
        <v>721</v>
      </c>
      <c r="I98" s="175" t="s">
        <v>857</v>
      </c>
    </row>
    <row r="99" spans="1:9" s="47" customFormat="1" x14ac:dyDescent="0.2">
      <c r="A99" s="40" t="s">
        <v>50</v>
      </c>
      <c r="B99" s="40" t="s">
        <v>50</v>
      </c>
      <c r="C99" s="40"/>
      <c r="D99" s="40">
        <f>D98+F98</f>
        <v>250</v>
      </c>
      <c r="E99" s="40">
        <f t="shared" si="4"/>
        <v>250</v>
      </c>
      <c r="F99" s="40">
        <v>1</v>
      </c>
      <c r="G99" s="46" t="s">
        <v>314</v>
      </c>
      <c r="H99" s="176"/>
      <c r="I99" s="176"/>
    </row>
    <row r="100" spans="1:9" s="47" customFormat="1" x14ac:dyDescent="0.2">
      <c r="A100" s="40" t="s">
        <v>50</v>
      </c>
      <c r="B100" s="40" t="s">
        <v>50</v>
      </c>
      <c r="C100" s="40"/>
      <c r="D100" s="40">
        <f t="shared" ref="D100:D108" si="14">D99+F99</f>
        <v>251</v>
      </c>
      <c r="E100" s="40">
        <f t="shared" si="4"/>
        <v>251</v>
      </c>
      <c r="F100" s="40">
        <v>1</v>
      </c>
      <c r="G100" s="46" t="s">
        <v>315</v>
      </c>
      <c r="H100" s="176"/>
      <c r="I100" s="176"/>
    </row>
    <row r="101" spans="1:9" s="47" customFormat="1" x14ac:dyDescent="0.2">
      <c r="A101" s="40" t="s">
        <v>50</v>
      </c>
      <c r="B101" s="40" t="s">
        <v>50</v>
      </c>
      <c r="C101" s="40"/>
      <c r="D101" s="40">
        <f t="shared" si="14"/>
        <v>252</v>
      </c>
      <c r="E101" s="40">
        <f t="shared" si="4"/>
        <v>252</v>
      </c>
      <c r="F101" s="40">
        <v>1</v>
      </c>
      <c r="G101" s="46" t="s">
        <v>316</v>
      </c>
      <c r="H101" s="176"/>
      <c r="I101" s="176"/>
    </row>
    <row r="102" spans="1:9" s="47" customFormat="1" x14ac:dyDescent="0.2">
      <c r="A102" s="40" t="s">
        <v>50</v>
      </c>
      <c r="B102" s="40" t="s">
        <v>50</v>
      </c>
      <c r="C102" s="40"/>
      <c r="D102" s="40">
        <f t="shared" si="14"/>
        <v>253</v>
      </c>
      <c r="E102" s="40">
        <f t="shared" si="4"/>
        <v>253</v>
      </c>
      <c r="F102" s="40">
        <v>1</v>
      </c>
      <c r="G102" s="46" t="s">
        <v>317</v>
      </c>
      <c r="H102" s="176"/>
      <c r="I102" s="176"/>
    </row>
    <row r="103" spans="1:9" s="47" customFormat="1" x14ac:dyDescent="0.2">
      <c r="A103" s="40" t="s">
        <v>50</v>
      </c>
      <c r="B103" s="40" t="s">
        <v>50</v>
      </c>
      <c r="C103" s="40"/>
      <c r="D103" s="40">
        <f t="shared" si="14"/>
        <v>254</v>
      </c>
      <c r="E103" s="40">
        <f t="shared" si="4"/>
        <v>254</v>
      </c>
      <c r="F103" s="40">
        <v>1</v>
      </c>
      <c r="G103" s="46" t="s">
        <v>318</v>
      </c>
      <c r="H103" s="176"/>
      <c r="I103" s="176"/>
    </row>
    <row r="104" spans="1:9" s="47" customFormat="1" x14ac:dyDescent="0.2">
      <c r="A104" s="40" t="s">
        <v>50</v>
      </c>
      <c r="B104" s="40" t="s">
        <v>50</v>
      </c>
      <c r="C104" s="40"/>
      <c r="D104" s="40">
        <f t="shared" si="14"/>
        <v>255</v>
      </c>
      <c r="E104" s="40">
        <f t="shared" si="4"/>
        <v>255</v>
      </c>
      <c r="F104" s="40">
        <v>1</v>
      </c>
      <c r="G104" s="46" t="s">
        <v>319</v>
      </c>
      <c r="H104" s="176"/>
      <c r="I104" s="176"/>
    </row>
    <row r="105" spans="1:9" s="47" customFormat="1" x14ac:dyDescent="0.2">
      <c r="A105" s="40" t="s">
        <v>50</v>
      </c>
      <c r="B105" s="40" t="s">
        <v>50</v>
      </c>
      <c r="C105" s="40"/>
      <c r="D105" s="40">
        <f t="shared" si="14"/>
        <v>256</v>
      </c>
      <c r="E105" s="40">
        <f t="shared" si="4"/>
        <v>256</v>
      </c>
      <c r="F105" s="40">
        <v>1</v>
      </c>
      <c r="G105" s="46" t="s">
        <v>320</v>
      </c>
      <c r="H105" s="176"/>
      <c r="I105" s="176"/>
    </row>
    <row r="106" spans="1:9" s="47" customFormat="1" x14ac:dyDescent="0.2">
      <c r="A106" s="40" t="s">
        <v>50</v>
      </c>
      <c r="B106" s="40" t="s">
        <v>50</v>
      </c>
      <c r="C106" s="40"/>
      <c r="D106" s="40">
        <f t="shared" si="14"/>
        <v>257</v>
      </c>
      <c r="E106" s="40">
        <f t="shared" si="4"/>
        <v>257</v>
      </c>
      <c r="F106" s="40">
        <v>1</v>
      </c>
      <c r="G106" s="46" t="s">
        <v>321</v>
      </c>
      <c r="H106" s="176"/>
      <c r="I106" s="176"/>
    </row>
    <row r="107" spans="1:9" s="47" customFormat="1" x14ac:dyDescent="0.2">
      <c r="A107" s="40" t="s">
        <v>50</v>
      </c>
      <c r="B107" s="40" t="s">
        <v>50</v>
      </c>
      <c r="C107" s="40"/>
      <c r="D107" s="40">
        <f t="shared" si="14"/>
        <v>258</v>
      </c>
      <c r="E107" s="40">
        <f t="shared" si="4"/>
        <v>258</v>
      </c>
      <c r="F107" s="40">
        <v>1</v>
      </c>
      <c r="G107" s="46" t="s">
        <v>324</v>
      </c>
      <c r="H107" s="176"/>
      <c r="I107" s="176"/>
    </row>
    <row r="108" spans="1:9" s="47" customFormat="1" ht="18" customHeight="1" x14ac:dyDescent="0.2">
      <c r="A108" s="40" t="s">
        <v>50</v>
      </c>
      <c r="B108" s="40" t="s">
        <v>50</v>
      </c>
      <c r="C108" s="40"/>
      <c r="D108" s="40">
        <f t="shared" si="14"/>
        <v>259</v>
      </c>
      <c r="E108" s="40">
        <f t="shared" si="4"/>
        <v>259</v>
      </c>
      <c r="F108" s="40">
        <v>1</v>
      </c>
      <c r="G108" s="46" t="s">
        <v>325</v>
      </c>
      <c r="H108" s="176"/>
      <c r="I108" s="176"/>
    </row>
    <row r="109" spans="1:9" s="47" customFormat="1" x14ac:dyDescent="0.2">
      <c r="A109" s="40"/>
      <c r="B109" s="40"/>
      <c r="C109" s="40"/>
      <c r="D109" s="40">
        <f>D108+F108</f>
        <v>260</v>
      </c>
      <c r="E109" s="40">
        <f>D109+F109-1</f>
        <v>265</v>
      </c>
      <c r="F109" s="40">
        <v>6</v>
      </c>
      <c r="G109" s="51" t="s">
        <v>623</v>
      </c>
      <c r="H109" s="50"/>
      <c r="I109" s="50"/>
    </row>
    <row r="110" spans="1:9" s="47" customFormat="1" ht="204" x14ac:dyDescent="0.2">
      <c r="A110" s="40" t="s">
        <v>50</v>
      </c>
      <c r="B110" s="40" t="s">
        <v>50</v>
      </c>
      <c r="C110" s="40"/>
      <c r="D110" s="40">
        <f>D109+F109</f>
        <v>266</v>
      </c>
      <c r="E110" s="40">
        <f>D110+F110-1</f>
        <v>266</v>
      </c>
      <c r="F110" s="40">
        <v>1</v>
      </c>
      <c r="G110" s="46" t="s">
        <v>336</v>
      </c>
      <c r="H110" s="71" t="s">
        <v>794</v>
      </c>
      <c r="I110" s="157" t="s">
        <v>972</v>
      </c>
    </row>
    <row r="111" spans="1:9" s="47" customFormat="1" x14ac:dyDescent="0.2">
      <c r="A111" s="40"/>
      <c r="B111" s="40"/>
      <c r="C111" s="40"/>
      <c r="D111" s="40"/>
      <c r="E111" s="40"/>
      <c r="F111" s="40"/>
      <c r="G111" s="45" t="s">
        <v>614</v>
      </c>
      <c r="H111" s="71"/>
      <c r="I111" s="50"/>
    </row>
    <row r="112" spans="1:9" s="47" customFormat="1" ht="63.75" x14ac:dyDescent="0.2">
      <c r="A112" s="76" t="s">
        <v>51</v>
      </c>
      <c r="B112" s="76" t="s">
        <v>51</v>
      </c>
      <c r="C112" s="40"/>
      <c r="D112" s="40">
        <f>D110+F110</f>
        <v>267</v>
      </c>
      <c r="E112" s="40">
        <f t="shared" ref="E112:E118" si="15">D112+F112-1</f>
        <v>267</v>
      </c>
      <c r="F112" s="40">
        <v>1</v>
      </c>
      <c r="G112" s="79" t="s">
        <v>632</v>
      </c>
      <c r="H112" s="71" t="s">
        <v>711</v>
      </c>
      <c r="I112" s="50" t="s">
        <v>857</v>
      </c>
    </row>
    <row r="113" spans="1:9" s="47" customFormat="1" x14ac:dyDescent="0.2">
      <c r="A113" s="76" t="s">
        <v>51</v>
      </c>
      <c r="B113" s="76" t="s">
        <v>51</v>
      </c>
      <c r="C113" s="40"/>
      <c r="D113" s="40">
        <f t="shared" ref="D113:D120" si="16">D112+F112</f>
        <v>268</v>
      </c>
      <c r="E113" s="40">
        <f t="shared" si="15"/>
        <v>268</v>
      </c>
      <c r="F113" s="40">
        <v>1</v>
      </c>
      <c r="G113" s="79" t="s">
        <v>680</v>
      </c>
      <c r="H113" s="175" t="s">
        <v>712</v>
      </c>
      <c r="I113" s="175" t="s">
        <v>857</v>
      </c>
    </row>
    <row r="114" spans="1:9" s="47" customFormat="1" x14ac:dyDescent="0.2">
      <c r="A114" s="76" t="s">
        <v>51</v>
      </c>
      <c r="B114" s="76" t="s">
        <v>51</v>
      </c>
      <c r="C114" s="40"/>
      <c r="D114" s="40">
        <f t="shared" si="16"/>
        <v>269</v>
      </c>
      <c r="E114" s="40">
        <f t="shared" si="15"/>
        <v>269</v>
      </c>
      <c r="F114" s="40">
        <v>1</v>
      </c>
      <c r="G114" s="79" t="s">
        <v>633</v>
      </c>
      <c r="H114" s="175"/>
      <c r="I114" s="176"/>
    </row>
    <row r="115" spans="1:9" s="47" customFormat="1" x14ac:dyDescent="0.2">
      <c r="A115" s="76" t="s">
        <v>51</v>
      </c>
      <c r="B115" s="76" t="s">
        <v>51</v>
      </c>
      <c r="C115" s="40"/>
      <c r="D115" s="40">
        <f t="shared" si="16"/>
        <v>270</v>
      </c>
      <c r="E115" s="40">
        <f t="shared" si="15"/>
        <v>270</v>
      </c>
      <c r="F115" s="40">
        <v>1</v>
      </c>
      <c r="G115" s="79" t="s">
        <v>634</v>
      </c>
      <c r="H115" s="175"/>
      <c r="I115" s="176"/>
    </row>
    <row r="116" spans="1:9" s="47" customFormat="1" x14ac:dyDescent="0.2">
      <c r="A116" s="76" t="s">
        <v>51</v>
      </c>
      <c r="B116" s="76" t="s">
        <v>51</v>
      </c>
      <c r="C116" s="40"/>
      <c r="D116" s="40">
        <f t="shared" si="16"/>
        <v>271</v>
      </c>
      <c r="E116" s="40">
        <f t="shared" si="15"/>
        <v>271</v>
      </c>
      <c r="F116" s="40">
        <v>1</v>
      </c>
      <c r="G116" s="79" t="s">
        <v>635</v>
      </c>
      <c r="H116" s="175"/>
      <c r="I116" s="176"/>
    </row>
    <row r="117" spans="1:9" s="47" customFormat="1" x14ac:dyDescent="0.2">
      <c r="A117" s="76" t="s">
        <v>51</v>
      </c>
      <c r="B117" s="76" t="s">
        <v>51</v>
      </c>
      <c r="C117" s="40"/>
      <c r="D117" s="40">
        <f t="shared" si="16"/>
        <v>272</v>
      </c>
      <c r="E117" s="40">
        <f t="shared" si="15"/>
        <v>272</v>
      </c>
      <c r="F117" s="40">
        <v>1</v>
      </c>
      <c r="G117" s="79" t="s">
        <v>636</v>
      </c>
      <c r="H117" s="175"/>
      <c r="I117" s="176"/>
    </row>
    <row r="118" spans="1:9" s="47" customFormat="1" ht="38.25" x14ac:dyDescent="0.2">
      <c r="A118" s="76" t="s">
        <v>51</v>
      </c>
      <c r="B118" s="76" t="s">
        <v>51</v>
      </c>
      <c r="C118" s="40"/>
      <c r="D118" s="40">
        <f t="shared" si="16"/>
        <v>273</v>
      </c>
      <c r="E118" s="40">
        <f t="shared" si="15"/>
        <v>273</v>
      </c>
      <c r="F118" s="40">
        <v>1</v>
      </c>
      <c r="G118" s="79" t="s">
        <v>625</v>
      </c>
      <c r="H118" s="71" t="s">
        <v>720</v>
      </c>
      <c r="I118" s="103" t="s">
        <v>857</v>
      </c>
    </row>
    <row r="119" spans="1:9" s="47" customFormat="1" ht="63.75" x14ac:dyDescent="0.2">
      <c r="A119" s="40" t="s">
        <v>50</v>
      </c>
      <c r="B119" s="40" t="s">
        <v>50</v>
      </c>
      <c r="C119" s="40"/>
      <c r="D119" s="40">
        <f t="shared" si="16"/>
        <v>274</v>
      </c>
      <c r="E119" s="40">
        <f>D119+F119-1</f>
        <v>274</v>
      </c>
      <c r="F119" s="40">
        <v>1</v>
      </c>
      <c r="G119" s="51" t="s">
        <v>10</v>
      </c>
      <c r="H119" s="71" t="s">
        <v>722</v>
      </c>
      <c r="I119" s="71" t="s">
        <v>857</v>
      </c>
    </row>
    <row r="120" spans="1:9" s="47" customFormat="1" ht="89.25" x14ac:dyDescent="0.2">
      <c r="A120" s="40" t="s">
        <v>50</v>
      </c>
      <c r="B120" s="40" t="s">
        <v>50</v>
      </c>
      <c r="C120" s="40"/>
      <c r="D120" s="40">
        <f t="shared" si="16"/>
        <v>275</v>
      </c>
      <c r="E120" s="40">
        <f t="shared" si="4"/>
        <v>276</v>
      </c>
      <c r="F120" s="40">
        <v>2</v>
      </c>
      <c r="G120" s="51" t="s">
        <v>689</v>
      </c>
      <c r="H120" s="132" t="s">
        <v>904</v>
      </c>
      <c r="I120" s="128" t="s">
        <v>927</v>
      </c>
    </row>
    <row r="121" spans="1:9" s="47" customFormat="1" x14ac:dyDescent="0.2">
      <c r="A121" s="40"/>
      <c r="B121" s="40"/>
      <c r="C121" s="40"/>
      <c r="D121" s="40"/>
      <c r="E121" s="40"/>
      <c r="F121" s="40"/>
      <c r="G121" s="75" t="s">
        <v>337</v>
      </c>
      <c r="H121" s="50"/>
      <c r="I121" s="50"/>
    </row>
    <row r="122" spans="1:9" s="47" customFormat="1" ht="76.5" x14ac:dyDescent="0.2">
      <c r="A122" s="40" t="s">
        <v>50</v>
      </c>
      <c r="B122" s="40" t="s">
        <v>50</v>
      </c>
      <c r="C122" s="40"/>
      <c r="D122" s="40">
        <f>D120+F120</f>
        <v>277</v>
      </c>
      <c r="E122" s="40">
        <f t="shared" ref="E122:E169" si="17">D122+F122-1</f>
        <v>278</v>
      </c>
      <c r="F122" s="40">
        <v>2</v>
      </c>
      <c r="G122" s="67" t="s">
        <v>727</v>
      </c>
      <c r="H122" s="50"/>
      <c r="I122" s="132" t="s">
        <v>833</v>
      </c>
    </row>
    <row r="123" spans="1:9" s="47" customFormat="1" ht="76.5" x14ac:dyDescent="0.2">
      <c r="A123" s="40" t="s">
        <v>50</v>
      </c>
      <c r="B123" s="40" t="s">
        <v>50</v>
      </c>
      <c r="C123" s="40"/>
      <c r="D123" s="40">
        <f>D122+F122</f>
        <v>279</v>
      </c>
      <c r="E123" s="40">
        <f t="shared" si="17"/>
        <v>280</v>
      </c>
      <c r="F123" s="40">
        <v>2</v>
      </c>
      <c r="G123" s="67" t="s">
        <v>728</v>
      </c>
      <c r="H123" s="50"/>
      <c r="I123" s="132" t="s">
        <v>834</v>
      </c>
    </row>
    <row r="124" spans="1:9" s="47" customFormat="1" ht="76.5" x14ac:dyDescent="0.2">
      <c r="A124" s="40" t="s">
        <v>50</v>
      </c>
      <c r="B124" s="40" t="s">
        <v>50</v>
      </c>
      <c r="C124" s="40"/>
      <c r="D124" s="40">
        <f>D123+F123</f>
        <v>281</v>
      </c>
      <c r="E124" s="40">
        <f t="shared" si="17"/>
        <v>284</v>
      </c>
      <c r="F124" s="40">
        <v>4</v>
      </c>
      <c r="G124" s="67" t="s">
        <v>729</v>
      </c>
      <c r="H124" s="50"/>
      <c r="I124" s="132" t="s">
        <v>835</v>
      </c>
    </row>
    <row r="125" spans="1:9" s="47" customFormat="1" x14ac:dyDescent="0.2">
      <c r="A125" s="40"/>
      <c r="B125" s="40"/>
      <c r="C125" s="40"/>
      <c r="D125" s="40"/>
      <c r="E125" s="40"/>
      <c r="F125" s="40"/>
      <c r="G125" s="75" t="s">
        <v>67</v>
      </c>
      <c r="H125" s="50"/>
      <c r="I125" s="100"/>
    </row>
    <row r="126" spans="1:9" s="47" customFormat="1" ht="63.75" x14ac:dyDescent="0.2">
      <c r="A126" s="76" t="s">
        <v>51</v>
      </c>
      <c r="B126" s="76" t="s">
        <v>51</v>
      </c>
      <c r="C126" s="40"/>
      <c r="D126" s="40">
        <f>D124+F124</f>
        <v>285</v>
      </c>
      <c r="E126" s="40">
        <f t="shared" si="17"/>
        <v>286</v>
      </c>
      <c r="F126" s="40">
        <v>2</v>
      </c>
      <c r="G126" s="46" t="s">
        <v>322</v>
      </c>
      <c r="H126" s="71" t="s">
        <v>842</v>
      </c>
      <c r="I126" s="50" t="s">
        <v>857</v>
      </c>
    </row>
    <row r="127" spans="1:9" s="47" customFormat="1" ht="63.75" x14ac:dyDescent="0.2">
      <c r="A127" s="76" t="s">
        <v>51</v>
      </c>
      <c r="B127" s="76" t="s">
        <v>51</v>
      </c>
      <c r="C127" s="40"/>
      <c r="D127" s="40">
        <f>D126+F126</f>
        <v>287</v>
      </c>
      <c r="E127" s="40">
        <f t="shared" si="17"/>
        <v>290</v>
      </c>
      <c r="F127" s="40">
        <v>4</v>
      </c>
      <c r="G127" s="46" t="s">
        <v>323</v>
      </c>
      <c r="H127" s="128" t="s">
        <v>938</v>
      </c>
      <c r="I127" s="71" t="s">
        <v>858</v>
      </c>
    </row>
    <row r="128" spans="1:9" s="47" customFormat="1" x14ac:dyDescent="0.2">
      <c r="A128" s="40"/>
      <c r="B128" s="40"/>
      <c r="C128" s="40"/>
      <c r="D128" s="40"/>
      <c r="E128" s="40"/>
      <c r="F128" s="40"/>
      <c r="G128" s="75" t="s">
        <v>68</v>
      </c>
      <c r="H128" s="50"/>
      <c r="I128" s="100"/>
    </row>
    <row r="129" spans="1:10" s="47" customFormat="1" ht="38.25" x14ac:dyDescent="0.2">
      <c r="A129" s="40" t="s">
        <v>50</v>
      </c>
      <c r="B129" s="40" t="s">
        <v>50</v>
      </c>
      <c r="C129" s="40"/>
      <c r="D129" s="40">
        <f>D127+F127</f>
        <v>291</v>
      </c>
      <c r="E129" s="40">
        <f t="shared" si="17"/>
        <v>292</v>
      </c>
      <c r="F129" s="40">
        <v>2</v>
      </c>
      <c r="G129" s="46" t="s">
        <v>339</v>
      </c>
      <c r="H129" s="71" t="s">
        <v>844</v>
      </c>
      <c r="I129" s="177" t="s">
        <v>973</v>
      </c>
    </row>
    <row r="130" spans="1:10" s="47" customFormat="1" ht="38.25" x14ac:dyDescent="0.2">
      <c r="A130" s="40" t="s">
        <v>50</v>
      </c>
      <c r="B130" s="40" t="s">
        <v>50</v>
      </c>
      <c r="C130" s="40"/>
      <c r="D130" s="40">
        <f t="shared" ref="D130:D137" si="18">D129+F129</f>
        <v>293</v>
      </c>
      <c r="E130" s="40">
        <f t="shared" si="17"/>
        <v>296</v>
      </c>
      <c r="F130" s="40">
        <v>4</v>
      </c>
      <c r="G130" s="46" t="s">
        <v>340</v>
      </c>
      <c r="H130" s="71" t="s">
        <v>843</v>
      </c>
      <c r="I130" s="178"/>
    </row>
    <row r="131" spans="1:10" s="47" customFormat="1" ht="63.75" x14ac:dyDescent="0.2">
      <c r="A131" s="40" t="s">
        <v>50</v>
      </c>
      <c r="B131" s="40" t="s">
        <v>50</v>
      </c>
      <c r="C131" s="40"/>
      <c r="D131" s="40">
        <f t="shared" si="18"/>
        <v>297</v>
      </c>
      <c r="E131" s="40">
        <f t="shared" si="17"/>
        <v>297</v>
      </c>
      <c r="F131" s="40">
        <v>1</v>
      </c>
      <c r="G131" s="46" t="s">
        <v>15</v>
      </c>
      <c r="H131" s="71" t="s">
        <v>720</v>
      </c>
      <c r="I131" s="71" t="s">
        <v>859</v>
      </c>
    </row>
    <row r="132" spans="1:10" s="47" customFormat="1" ht="114.75" x14ac:dyDescent="0.2">
      <c r="A132" s="40" t="s">
        <v>50</v>
      </c>
      <c r="B132" s="40" t="s">
        <v>50</v>
      </c>
      <c r="C132" s="40"/>
      <c r="D132" s="40">
        <f t="shared" si="18"/>
        <v>298</v>
      </c>
      <c r="E132" s="40">
        <f t="shared" si="17"/>
        <v>298</v>
      </c>
      <c r="F132" s="40">
        <v>1</v>
      </c>
      <c r="G132" s="46" t="s">
        <v>14</v>
      </c>
      <c r="H132" s="71" t="s">
        <v>845</v>
      </c>
      <c r="I132" s="71" t="s">
        <v>857</v>
      </c>
    </row>
    <row r="133" spans="1:10" s="54" customFormat="1" x14ac:dyDescent="0.2">
      <c r="A133" s="40"/>
      <c r="B133" s="40"/>
      <c r="C133" s="40"/>
      <c r="D133" s="40">
        <f t="shared" si="18"/>
        <v>299</v>
      </c>
      <c r="E133" s="40">
        <f t="shared" si="17"/>
        <v>299</v>
      </c>
      <c r="F133" s="40">
        <v>1</v>
      </c>
      <c r="G133" s="52" t="s">
        <v>623</v>
      </c>
      <c r="H133" s="50"/>
      <c r="I133" s="50"/>
      <c r="J133" s="53"/>
    </row>
    <row r="134" spans="1:10" s="54" customFormat="1" ht="51" x14ac:dyDescent="0.2">
      <c r="A134" s="76" t="s">
        <v>51</v>
      </c>
      <c r="B134" s="76" t="s">
        <v>51</v>
      </c>
      <c r="C134" s="40"/>
      <c r="D134" s="40">
        <f t="shared" si="18"/>
        <v>300</v>
      </c>
      <c r="E134" s="40">
        <f t="shared" si="17"/>
        <v>300</v>
      </c>
      <c r="F134" s="40">
        <v>1</v>
      </c>
      <c r="G134" s="90" t="s">
        <v>691</v>
      </c>
      <c r="H134" s="71" t="s">
        <v>713</v>
      </c>
      <c r="I134" s="132" t="s">
        <v>832</v>
      </c>
      <c r="J134" s="53"/>
    </row>
    <row r="135" spans="1:10" s="47" customFormat="1" ht="242.25" x14ac:dyDescent="0.2">
      <c r="A135" s="40" t="s">
        <v>50</v>
      </c>
      <c r="B135" s="40" t="s">
        <v>50</v>
      </c>
      <c r="C135" s="40"/>
      <c r="D135" s="40">
        <f t="shared" si="18"/>
        <v>301</v>
      </c>
      <c r="E135" s="40">
        <f t="shared" si="17"/>
        <v>302</v>
      </c>
      <c r="F135" s="40">
        <v>2</v>
      </c>
      <c r="G135" s="46" t="s">
        <v>587</v>
      </c>
      <c r="H135" s="71" t="s">
        <v>795</v>
      </c>
      <c r="I135" s="132" t="s">
        <v>832</v>
      </c>
    </row>
    <row r="136" spans="1:10" s="47" customFormat="1" x14ac:dyDescent="0.2">
      <c r="A136" s="40"/>
      <c r="B136" s="40"/>
      <c r="C136" s="40"/>
      <c r="D136" s="40">
        <f t="shared" si="18"/>
        <v>303</v>
      </c>
      <c r="E136" s="40">
        <f t="shared" si="17"/>
        <v>304</v>
      </c>
      <c r="F136" s="40">
        <v>2</v>
      </c>
      <c r="G136" s="46" t="s">
        <v>623</v>
      </c>
      <c r="H136" s="50"/>
      <c r="I136" s="50"/>
    </row>
    <row r="137" spans="1:10" s="47" customFormat="1" ht="127.5" x14ac:dyDescent="0.2">
      <c r="A137" s="40" t="s">
        <v>50</v>
      </c>
      <c r="B137" s="40" t="s">
        <v>50</v>
      </c>
      <c r="C137" s="40"/>
      <c r="D137" s="40">
        <f t="shared" si="18"/>
        <v>305</v>
      </c>
      <c r="E137" s="40">
        <f t="shared" si="17"/>
        <v>305</v>
      </c>
      <c r="F137" s="40">
        <v>1</v>
      </c>
      <c r="G137" s="52" t="s">
        <v>49</v>
      </c>
      <c r="H137" s="71" t="s">
        <v>723</v>
      </c>
      <c r="I137" s="50" t="s">
        <v>857</v>
      </c>
    </row>
    <row r="138" spans="1:10" s="41" customFormat="1" x14ac:dyDescent="0.2">
      <c r="A138" s="40"/>
      <c r="B138" s="40"/>
      <c r="C138" s="40"/>
      <c r="D138" s="40"/>
      <c r="E138" s="40"/>
      <c r="F138" s="55"/>
      <c r="G138" s="75" t="s">
        <v>57</v>
      </c>
      <c r="H138" s="102"/>
      <c r="I138" s="104"/>
    </row>
    <row r="139" spans="1:10" s="41" customFormat="1" ht="273.75" customHeight="1" x14ac:dyDescent="0.2">
      <c r="A139" s="40" t="s">
        <v>50</v>
      </c>
      <c r="B139" s="40" t="s">
        <v>50</v>
      </c>
      <c r="C139" s="40"/>
      <c r="D139" s="40">
        <f>D137+F137</f>
        <v>306</v>
      </c>
      <c r="E139" s="40">
        <f t="shared" si="17"/>
        <v>307</v>
      </c>
      <c r="F139" s="40">
        <v>2</v>
      </c>
      <c r="G139" s="52" t="s">
        <v>589</v>
      </c>
      <c r="H139" s="160" t="s">
        <v>1022</v>
      </c>
      <c r="I139" s="157" t="s">
        <v>974</v>
      </c>
      <c r="J139" s="56"/>
    </row>
    <row r="140" spans="1:10" s="41" customFormat="1" x14ac:dyDescent="0.2">
      <c r="A140" s="40"/>
      <c r="B140" s="40"/>
      <c r="C140" s="40"/>
      <c r="D140" s="40">
        <f>D139+F139</f>
        <v>308</v>
      </c>
      <c r="E140" s="40">
        <f t="shared" si="17"/>
        <v>322</v>
      </c>
      <c r="F140" s="40">
        <v>15</v>
      </c>
      <c r="G140" s="52" t="s">
        <v>623</v>
      </c>
      <c r="H140" s="50"/>
      <c r="I140" s="50"/>
    </row>
    <row r="141" spans="1:10" s="41" customFormat="1" ht="138" customHeight="1" x14ac:dyDescent="0.2">
      <c r="A141" s="76" t="s">
        <v>50</v>
      </c>
      <c r="B141" s="76" t="s">
        <v>50</v>
      </c>
      <c r="C141" s="40"/>
      <c r="D141" s="40">
        <f t="shared" ref="D141:D146" si="19">D140+F140</f>
        <v>323</v>
      </c>
      <c r="E141" s="40">
        <f t="shared" si="17"/>
        <v>324</v>
      </c>
      <c r="F141" s="40">
        <v>2</v>
      </c>
      <c r="G141" s="67" t="s">
        <v>695</v>
      </c>
      <c r="H141" s="108" t="s">
        <v>714</v>
      </c>
      <c r="I141" s="157" t="s">
        <v>975</v>
      </c>
    </row>
    <row r="142" spans="1:10" s="41" customFormat="1" ht="102" x14ac:dyDescent="0.2">
      <c r="A142" s="40" t="s">
        <v>51</v>
      </c>
      <c r="B142" s="40" t="s">
        <v>51</v>
      </c>
      <c r="C142" s="40"/>
      <c r="D142" s="40">
        <f t="shared" si="19"/>
        <v>325</v>
      </c>
      <c r="E142" s="40">
        <f t="shared" si="17"/>
        <v>326</v>
      </c>
      <c r="F142" s="40">
        <v>2</v>
      </c>
      <c r="G142" s="67" t="s">
        <v>696</v>
      </c>
      <c r="H142" s="108" t="s">
        <v>715</v>
      </c>
      <c r="I142" s="157" t="s">
        <v>976</v>
      </c>
    </row>
    <row r="143" spans="1:10" s="47" customFormat="1" x14ac:dyDescent="0.2">
      <c r="A143" s="40"/>
      <c r="B143" s="40"/>
      <c r="C143" s="40"/>
      <c r="D143" s="40">
        <f t="shared" si="19"/>
        <v>327</v>
      </c>
      <c r="E143" s="40">
        <f t="shared" si="17"/>
        <v>341</v>
      </c>
      <c r="F143" s="40">
        <v>15</v>
      </c>
      <c r="G143" s="46" t="s">
        <v>623</v>
      </c>
      <c r="H143" s="50"/>
      <c r="I143" s="135"/>
    </row>
    <row r="144" spans="1:10" s="41" customFormat="1" ht="89.25" x14ac:dyDescent="0.2">
      <c r="A144" s="40" t="s">
        <v>50</v>
      </c>
      <c r="B144" s="40" t="s">
        <v>50</v>
      </c>
      <c r="C144" s="76" t="s">
        <v>726</v>
      </c>
      <c r="D144" s="40">
        <f t="shared" si="19"/>
        <v>342</v>
      </c>
      <c r="E144" s="40">
        <f t="shared" si="17"/>
        <v>342</v>
      </c>
      <c r="F144" s="40">
        <v>1</v>
      </c>
      <c r="G144" s="46" t="s">
        <v>48</v>
      </c>
      <c r="H144" s="71" t="s">
        <v>653</v>
      </c>
      <c r="I144" s="157" t="s">
        <v>977</v>
      </c>
    </row>
    <row r="145" spans="1:11" s="41" customFormat="1" ht="75" customHeight="1" x14ac:dyDescent="0.2">
      <c r="A145" s="40" t="s">
        <v>50</v>
      </c>
      <c r="B145" s="40" t="s">
        <v>50</v>
      </c>
      <c r="C145" s="40"/>
      <c r="D145" s="40">
        <f t="shared" si="19"/>
        <v>343</v>
      </c>
      <c r="E145" s="40">
        <f t="shared" si="17"/>
        <v>343</v>
      </c>
      <c r="F145" s="40">
        <v>1</v>
      </c>
      <c r="G145" s="67" t="s">
        <v>824</v>
      </c>
      <c r="H145" s="50" t="s">
        <v>41</v>
      </c>
      <c r="I145" s="157" t="s">
        <v>978</v>
      </c>
    </row>
    <row r="146" spans="1:11" s="47" customFormat="1" x14ac:dyDescent="0.2">
      <c r="A146" s="40"/>
      <c r="B146" s="40"/>
      <c r="C146" s="40"/>
      <c r="D146" s="40">
        <f t="shared" si="19"/>
        <v>344</v>
      </c>
      <c r="E146" s="40">
        <f t="shared" si="17"/>
        <v>358</v>
      </c>
      <c r="F146" s="40">
        <v>15</v>
      </c>
      <c r="G146" s="134" t="s">
        <v>623</v>
      </c>
      <c r="H146" s="50"/>
      <c r="I146" s="100"/>
    </row>
    <row r="147" spans="1:11" s="47" customFormat="1" x14ac:dyDescent="0.2">
      <c r="A147" s="40"/>
      <c r="B147" s="40"/>
      <c r="C147" s="40"/>
      <c r="D147" s="40"/>
      <c r="E147" s="40"/>
      <c r="F147" s="40"/>
      <c r="G147" s="75" t="s">
        <v>54</v>
      </c>
      <c r="H147" s="50"/>
      <c r="I147" s="100"/>
    </row>
    <row r="148" spans="1:11" s="47" customFormat="1" ht="40.5" customHeight="1" x14ac:dyDescent="0.2">
      <c r="A148" s="40"/>
      <c r="B148" s="40"/>
      <c r="C148" s="40"/>
      <c r="D148" s="40"/>
      <c r="E148" s="40"/>
      <c r="F148" s="40"/>
      <c r="G148" s="138" t="s">
        <v>905</v>
      </c>
      <c r="H148" s="50" t="s">
        <v>593</v>
      </c>
      <c r="I148" s="50" t="s">
        <v>583</v>
      </c>
    </row>
    <row r="149" spans="1:11" s="47" customFormat="1" ht="265.5" customHeight="1" x14ac:dyDescent="0.2">
      <c r="A149" s="40" t="s">
        <v>51</v>
      </c>
      <c r="B149" s="40" t="s">
        <v>51</v>
      </c>
      <c r="C149" s="40" t="s">
        <v>364</v>
      </c>
      <c r="D149" s="40">
        <f>D146+F146</f>
        <v>359</v>
      </c>
      <c r="E149" s="40">
        <f t="shared" si="17"/>
        <v>538</v>
      </c>
      <c r="F149" s="40">
        <v>180</v>
      </c>
      <c r="G149" s="46" t="s">
        <v>341</v>
      </c>
      <c r="H149" s="128" t="s">
        <v>939</v>
      </c>
      <c r="I149" s="157" t="s">
        <v>979</v>
      </c>
      <c r="J149" s="115"/>
    </row>
    <row r="150" spans="1:11" s="47" customFormat="1" ht="13.5" customHeight="1" x14ac:dyDescent="0.2">
      <c r="A150" s="40"/>
      <c r="B150" s="40"/>
      <c r="C150" s="40"/>
      <c r="D150" s="40">
        <f>D149+F149</f>
        <v>539</v>
      </c>
      <c r="E150" s="40">
        <f t="shared" si="17"/>
        <v>553</v>
      </c>
      <c r="F150" s="40">
        <v>15</v>
      </c>
      <c r="G150" s="46" t="s">
        <v>623</v>
      </c>
      <c r="H150" s="114"/>
      <c r="I150" s="114"/>
      <c r="J150" s="52"/>
    </row>
    <row r="151" spans="1:11" s="47" customFormat="1" ht="408.95" customHeight="1" x14ac:dyDescent="0.2">
      <c r="A151" s="194" t="s">
        <v>51</v>
      </c>
      <c r="B151" s="194" t="s">
        <v>51</v>
      </c>
      <c r="C151" s="194" t="s">
        <v>364</v>
      </c>
      <c r="D151" s="194">
        <f>D150+F150</f>
        <v>554</v>
      </c>
      <c r="E151" s="194">
        <f t="shared" si="17"/>
        <v>733</v>
      </c>
      <c r="F151" s="194">
        <v>180</v>
      </c>
      <c r="G151" s="196" t="s">
        <v>342</v>
      </c>
      <c r="H151" s="195" t="s">
        <v>920</v>
      </c>
      <c r="I151" s="185" t="s">
        <v>980</v>
      </c>
      <c r="J151" s="52"/>
    </row>
    <row r="152" spans="1:11" s="47" customFormat="1" ht="130.5" customHeight="1" x14ac:dyDescent="0.2">
      <c r="A152" s="194"/>
      <c r="B152" s="194"/>
      <c r="C152" s="194"/>
      <c r="D152" s="194"/>
      <c r="E152" s="194"/>
      <c r="F152" s="194"/>
      <c r="G152" s="196"/>
      <c r="H152" s="195"/>
      <c r="I152" s="185"/>
      <c r="J152" s="52"/>
    </row>
    <row r="153" spans="1:11" s="47" customFormat="1" x14ac:dyDescent="0.2">
      <c r="A153" s="40"/>
      <c r="B153" s="40"/>
      <c r="C153" s="40"/>
      <c r="D153" s="40">
        <f>D151+F151</f>
        <v>734</v>
      </c>
      <c r="E153" s="40">
        <f t="shared" si="17"/>
        <v>748</v>
      </c>
      <c r="F153" s="40">
        <v>15</v>
      </c>
      <c r="G153" s="46" t="s">
        <v>623</v>
      </c>
      <c r="H153" s="114"/>
      <c r="I153" s="114"/>
      <c r="J153" s="52"/>
    </row>
    <row r="154" spans="1:11" s="47" customFormat="1" ht="267" customHeight="1" x14ac:dyDescent="0.2">
      <c r="A154" s="40" t="s">
        <v>51</v>
      </c>
      <c r="B154" s="40" t="s">
        <v>51</v>
      </c>
      <c r="C154" s="40" t="s">
        <v>364</v>
      </c>
      <c r="D154" s="40">
        <f>D153+F153</f>
        <v>749</v>
      </c>
      <c r="E154" s="40">
        <f t="shared" si="17"/>
        <v>928</v>
      </c>
      <c r="F154" s="40">
        <v>180</v>
      </c>
      <c r="G154" s="67" t="s">
        <v>343</v>
      </c>
      <c r="H154" s="128" t="s">
        <v>940</v>
      </c>
      <c r="I154" s="157" t="s">
        <v>979</v>
      </c>
      <c r="J154" s="52"/>
      <c r="K154" s="115"/>
    </row>
    <row r="155" spans="1:11" s="47" customFormat="1" x14ac:dyDescent="0.2">
      <c r="A155" s="40"/>
      <c r="B155" s="40"/>
      <c r="C155" s="40"/>
      <c r="D155" s="40">
        <f>D154+F154</f>
        <v>929</v>
      </c>
      <c r="E155" s="40">
        <f t="shared" si="17"/>
        <v>943</v>
      </c>
      <c r="F155" s="40">
        <v>15</v>
      </c>
      <c r="G155" s="118" t="s">
        <v>623</v>
      </c>
      <c r="H155" s="114"/>
      <c r="I155" s="114"/>
      <c r="J155" s="52"/>
    </row>
    <row r="156" spans="1:11" s="47" customFormat="1" ht="25.5" x14ac:dyDescent="0.2">
      <c r="A156" s="40"/>
      <c r="B156" s="40"/>
      <c r="C156" s="40"/>
      <c r="D156" s="40"/>
      <c r="E156" s="40"/>
      <c r="F156" s="40"/>
      <c r="G156" s="138" t="s">
        <v>906</v>
      </c>
      <c r="H156" s="130"/>
      <c r="I156" s="114"/>
    </row>
    <row r="157" spans="1:11" s="47" customFormat="1" ht="67.5" customHeight="1" x14ac:dyDescent="0.2">
      <c r="A157" s="40" t="s">
        <v>51</v>
      </c>
      <c r="B157" s="40" t="s">
        <v>51</v>
      </c>
      <c r="C157" s="40" t="s">
        <v>364</v>
      </c>
      <c r="D157" s="40">
        <f>D155+F155</f>
        <v>944</v>
      </c>
      <c r="E157" s="40">
        <f>D157+F157-1</f>
        <v>959</v>
      </c>
      <c r="F157" s="40">
        <v>16</v>
      </c>
      <c r="G157" s="134" t="s">
        <v>344</v>
      </c>
      <c r="H157" s="130"/>
      <c r="I157" s="132" t="s">
        <v>874</v>
      </c>
    </row>
    <row r="158" spans="1:11" s="47" customFormat="1" x14ac:dyDescent="0.2">
      <c r="A158" s="40"/>
      <c r="B158" s="40"/>
      <c r="C158" s="40"/>
      <c r="D158" s="40">
        <f>D157+F157</f>
        <v>960</v>
      </c>
      <c r="E158" s="40">
        <f>D158+F158-1</f>
        <v>974</v>
      </c>
      <c r="F158" s="40">
        <v>15</v>
      </c>
      <c r="G158" s="134" t="s">
        <v>623</v>
      </c>
      <c r="H158" s="114"/>
      <c r="I158" s="114"/>
    </row>
    <row r="159" spans="1:11" s="47" customFormat="1" ht="34.5" customHeight="1" x14ac:dyDescent="0.2">
      <c r="A159" s="40"/>
      <c r="B159" s="40"/>
      <c r="C159" s="40"/>
      <c r="D159" s="40"/>
      <c r="E159" s="40"/>
      <c r="F159" s="40"/>
      <c r="G159" s="138" t="s">
        <v>907</v>
      </c>
      <c r="H159" s="114"/>
      <c r="I159" s="114"/>
    </row>
    <row r="160" spans="1:11" s="47" customFormat="1" ht="24" customHeight="1" x14ac:dyDescent="0.2">
      <c r="A160" s="40" t="s">
        <v>51</v>
      </c>
      <c r="B160" s="40" t="s">
        <v>51</v>
      </c>
      <c r="C160" s="40" t="s">
        <v>364</v>
      </c>
      <c r="D160" s="40">
        <f>D158+F158</f>
        <v>975</v>
      </c>
      <c r="E160" s="40">
        <f t="shared" si="17"/>
        <v>988</v>
      </c>
      <c r="F160" s="40">
        <v>14</v>
      </c>
      <c r="G160" s="46" t="s">
        <v>345</v>
      </c>
      <c r="H160" s="175" t="s">
        <v>724</v>
      </c>
      <c r="I160" s="175" t="s">
        <v>864</v>
      </c>
    </row>
    <row r="161" spans="1:9" s="47" customFormat="1" ht="25.5" customHeight="1" x14ac:dyDescent="0.2">
      <c r="A161" s="40" t="s">
        <v>51</v>
      </c>
      <c r="B161" s="40" t="s">
        <v>51</v>
      </c>
      <c r="C161" s="40" t="s">
        <v>364</v>
      </c>
      <c r="D161" s="40">
        <f>D160+F160</f>
        <v>989</v>
      </c>
      <c r="E161" s="40">
        <f t="shared" si="17"/>
        <v>997</v>
      </c>
      <c r="F161" s="40">
        <v>9</v>
      </c>
      <c r="G161" s="46" t="s">
        <v>346</v>
      </c>
      <c r="H161" s="175"/>
      <c r="I161" s="175"/>
    </row>
    <row r="162" spans="1:9" s="47" customFormat="1" ht="24.75" customHeight="1" x14ac:dyDescent="0.2">
      <c r="A162" s="40" t="s">
        <v>51</v>
      </c>
      <c r="B162" s="40" t="s">
        <v>51</v>
      </c>
      <c r="C162" s="40" t="s">
        <v>364</v>
      </c>
      <c r="D162" s="40">
        <f>D161+F161</f>
        <v>998</v>
      </c>
      <c r="E162" s="40">
        <f t="shared" si="17"/>
        <v>1004</v>
      </c>
      <c r="F162" s="40">
        <v>7</v>
      </c>
      <c r="G162" s="46" t="s">
        <v>347</v>
      </c>
      <c r="H162" s="175"/>
      <c r="I162" s="175"/>
    </row>
    <row r="163" spans="1:9" s="47" customFormat="1" ht="24.75" customHeight="1" x14ac:dyDescent="0.2">
      <c r="A163" s="40" t="s">
        <v>51</v>
      </c>
      <c r="B163" s="40" t="s">
        <v>51</v>
      </c>
      <c r="C163" s="40" t="s">
        <v>364</v>
      </c>
      <c r="D163" s="40">
        <f>D162+F162</f>
        <v>1005</v>
      </c>
      <c r="E163" s="40">
        <f t="shared" si="17"/>
        <v>1012</v>
      </c>
      <c r="F163" s="40">
        <v>8</v>
      </c>
      <c r="G163" s="46" t="s">
        <v>348</v>
      </c>
      <c r="H163" s="175"/>
      <c r="I163" s="175"/>
    </row>
    <row r="164" spans="1:9" s="47" customFormat="1" x14ac:dyDescent="0.2">
      <c r="A164" s="40"/>
      <c r="B164" s="40"/>
      <c r="C164" s="40"/>
      <c r="D164" s="40">
        <f>D163+F163</f>
        <v>1013</v>
      </c>
      <c r="E164" s="40">
        <f t="shared" si="17"/>
        <v>1027</v>
      </c>
      <c r="F164" s="40">
        <v>15</v>
      </c>
      <c r="G164" s="46" t="s">
        <v>623</v>
      </c>
      <c r="H164" s="114"/>
      <c r="I164" s="100"/>
    </row>
    <row r="165" spans="1:9" s="47" customFormat="1" ht="13.5" customHeight="1" x14ac:dyDescent="0.2">
      <c r="A165" s="40"/>
      <c r="B165" s="40"/>
      <c r="C165" s="40"/>
      <c r="D165" s="40"/>
      <c r="E165" s="40"/>
      <c r="F165" s="40"/>
      <c r="G165" s="74" t="s">
        <v>77</v>
      </c>
      <c r="H165" s="114"/>
      <c r="I165" s="100"/>
    </row>
    <row r="166" spans="1:9" s="47" customFormat="1" ht="102" customHeight="1" x14ac:dyDescent="0.2">
      <c r="A166" s="40" t="s">
        <v>50</v>
      </c>
      <c r="B166" s="40" t="s">
        <v>50</v>
      </c>
      <c r="C166" s="40" t="s">
        <v>364</v>
      </c>
      <c r="D166" s="40">
        <f>D164+F164</f>
        <v>1028</v>
      </c>
      <c r="E166" s="40">
        <f t="shared" si="17"/>
        <v>1030</v>
      </c>
      <c r="F166" s="40">
        <v>3</v>
      </c>
      <c r="G166" s="67" t="s">
        <v>733</v>
      </c>
      <c r="H166" s="113" t="s">
        <v>879</v>
      </c>
      <c r="I166" s="157" t="s">
        <v>981</v>
      </c>
    </row>
    <row r="167" spans="1:9" s="47" customFormat="1" ht="75.75" customHeight="1" x14ac:dyDescent="0.2">
      <c r="A167" s="40" t="s">
        <v>50</v>
      </c>
      <c r="B167" s="40" t="s">
        <v>50</v>
      </c>
      <c r="C167" s="40"/>
      <c r="D167" s="40">
        <f>D166+F166</f>
        <v>1031</v>
      </c>
      <c r="E167" s="40">
        <f t="shared" si="17"/>
        <v>1033</v>
      </c>
      <c r="F167" s="40">
        <v>3</v>
      </c>
      <c r="G167" s="67" t="s">
        <v>734</v>
      </c>
      <c r="H167" s="113" t="s">
        <v>880</v>
      </c>
      <c r="I167" s="157" t="s">
        <v>982</v>
      </c>
    </row>
    <row r="168" spans="1:9" s="47" customFormat="1" ht="109.5" customHeight="1" x14ac:dyDescent="0.2">
      <c r="A168" s="40" t="s">
        <v>50</v>
      </c>
      <c r="B168" s="40" t="s">
        <v>50</v>
      </c>
      <c r="C168" s="40"/>
      <c r="D168" s="40">
        <f>D167+F167</f>
        <v>1034</v>
      </c>
      <c r="E168" s="40">
        <f t="shared" si="17"/>
        <v>1034</v>
      </c>
      <c r="F168" s="40">
        <v>1</v>
      </c>
      <c r="G168" s="67" t="s">
        <v>735</v>
      </c>
      <c r="H168" s="128" t="s">
        <v>867</v>
      </c>
      <c r="I168" s="157" t="s">
        <v>1014</v>
      </c>
    </row>
    <row r="169" spans="1:9" s="47" customFormat="1" x14ac:dyDescent="0.2">
      <c r="A169" s="40"/>
      <c r="B169" s="40"/>
      <c r="C169" s="40"/>
      <c r="D169" s="40">
        <f>D168+F168</f>
        <v>1035</v>
      </c>
      <c r="E169" s="40">
        <f t="shared" si="17"/>
        <v>1039</v>
      </c>
      <c r="F169" s="40">
        <v>5</v>
      </c>
      <c r="G169" s="46" t="s">
        <v>623</v>
      </c>
      <c r="H169" s="114"/>
      <c r="I169" s="114"/>
    </row>
    <row r="170" spans="1:9" s="47" customFormat="1" ht="13.5" customHeight="1" x14ac:dyDescent="0.2">
      <c r="A170" s="40"/>
      <c r="B170" s="40"/>
      <c r="C170" s="40"/>
      <c r="D170" s="40"/>
      <c r="E170" s="40"/>
      <c r="F170" s="40"/>
      <c r="G170" s="74" t="s">
        <v>78</v>
      </c>
      <c r="H170" s="114"/>
      <c r="I170" s="114"/>
    </row>
    <row r="171" spans="1:9" s="47" customFormat="1" ht="105" customHeight="1" x14ac:dyDescent="0.2">
      <c r="A171" s="40" t="s">
        <v>50</v>
      </c>
      <c r="B171" s="40" t="s">
        <v>50</v>
      </c>
      <c r="C171" s="40" t="s">
        <v>364</v>
      </c>
      <c r="D171" s="40">
        <f>D169+F169</f>
        <v>1040</v>
      </c>
      <c r="E171" s="40">
        <f t="shared" ref="E171:E242" si="20">D171+F171-1</f>
        <v>1042</v>
      </c>
      <c r="F171" s="40">
        <v>3</v>
      </c>
      <c r="G171" s="67" t="s">
        <v>736</v>
      </c>
      <c r="H171" s="113" t="s">
        <v>879</v>
      </c>
      <c r="I171" s="157" t="s">
        <v>983</v>
      </c>
    </row>
    <row r="172" spans="1:9" s="47" customFormat="1" ht="61.5" customHeight="1" x14ac:dyDescent="0.2">
      <c r="A172" s="40" t="s">
        <v>50</v>
      </c>
      <c r="B172" s="40" t="s">
        <v>50</v>
      </c>
      <c r="C172" s="40"/>
      <c r="D172" s="40">
        <f>D171+F171</f>
        <v>1043</v>
      </c>
      <c r="E172" s="40">
        <f t="shared" si="20"/>
        <v>1045</v>
      </c>
      <c r="F172" s="40">
        <v>3</v>
      </c>
      <c r="G172" s="67" t="s">
        <v>737</v>
      </c>
      <c r="H172" s="113" t="s">
        <v>880</v>
      </c>
      <c r="I172" s="157" t="s">
        <v>982</v>
      </c>
    </row>
    <row r="173" spans="1:9" s="47" customFormat="1" ht="108.75" customHeight="1" x14ac:dyDescent="0.2">
      <c r="A173" s="40" t="s">
        <v>50</v>
      </c>
      <c r="B173" s="40" t="s">
        <v>50</v>
      </c>
      <c r="C173" s="40"/>
      <c r="D173" s="40">
        <f>D172+F172</f>
        <v>1046</v>
      </c>
      <c r="E173" s="40">
        <f t="shared" si="20"/>
        <v>1046</v>
      </c>
      <c r="F173" s="40">
        <v>1</v>
      </c>
      <c r="G173" s="67" t="s">
        <v>738</v>
      </c>
      <c r="H173" s="128" t="s">
        <v>868</v>
      </c>
      <c r="I173" s="157" t="s">
        <v>1013</v>
      </c>
    </row>
    <row r="174" spans="1:9" s="47" customFormat="1" x14ac:dyDescent="0.2">
      <c r="A174" s="40"/>
      <c r="B174" s="40"/>
      <c r="C174" s="40"/>
      <c r="D174" s="40">
        <f>D173+F173</f>
        <v>1047</v>
      </c>
      <c r="E174" s="40">
        <f t="shared" si="20"/>
        <v>1051</v>
      </c>
      <c r="F174" s="40">
        <v>5</v>
      </c>
      <c r="G174" s="46" t="s">
        <v>623</v>
      </c>
      <c r="H174" s="114"/>
      <c r="I174" s="100"/>
    </row>
    <row r="175" spans="1:9" s="47" customFormat="1" ht="13.5" customHeight="1" x14ac:dyDescent="0.2">
      <c r="A175" s="40"/>
      <c r="B175" s="40"/>
      <c r="C175" s="40"/>
      <c r="D175" s="40"/>
      <c r="E175" s="40"/>
      <c r="F175" s="40"/>
      <c r="G175" s="74" t="s">
        <v>79</v>
      </c>
      <c r="H175" s="114"/>
      <c r="I175" s="100"/>
    </row>
    <row r="176" spans="1:9" s="47" customFormat="1" ht="117" customHeight="1" x14ac:dyDescent="0.2">
      <c r="A176" s="40" t="s">
        <v>50</v>
      </c>
      <c r="B176" s="40" t="s">
        <v>50</v>
      </c>
      <c r="C176" s="40" t="s">
        <v>364</v>
      </c>
      <c r="D176" s="40">
        <f>D174+F174</f>
        <v>1052</v>
      </c>
      <c r="E176" s="40">
        <f t="shared" si="20"/>
        <v>1054</v>
      </c>
      <c r="F176" s="40">
        <v>3</v>
      </c>
      <c r="G176" s="67" t="s">
        <v>739</v>
      </c>
      <c r="H176" s="113" t="s">
        <v>879</v>
      </c>
      <c r="I176" s="157" t="s">
        <v>984</v>
      </c>
    </row>
    <row r="177" spans="1:9" s="47" customFormat="1" ht="78" customHeight="1" x14ac:dyDescent="0.2">
      <c r="A177" s="40" t="s">
        <v>50</v>
      </c>
      <c r="B177" s="40" t="s">
        <v>50</v>
      </c>
      <c r="C177" s="40"/>
      <c r="D177" s="40">
        <f>D176+F176</f>
        <v>1055</v>
      </c>
      <c r="E177" s="40">
        <f t="shared" si="20"/>
        <v>1057</v>
      </c>
      <c r="F177" s="40">
        <v>3</v>
      </c>
      <c r="G177" s="67" t="s">
        <v>740</v>
      </c>
      <c r="H177" s="113" t="s">
        <v>881</v>
      </c>
      <c r="I177" s="157" t="s">
        <v>982</v>
      </c>
    </row>
    <row r="178" spans="1:9" s="47" customFormat="1" ht="106.5" customHeight="1" x14ac:dyDescent="0.2">
      <c r="A178" s="40" t="s">
        <v>50</v>
      </c>
      <c r="B178" s="40" t="s">
        <v>50</v>
      </c>
      <c r="C178" s="40"/>
      <c r="D178" s="40">
        <f>D177+F177</f>
        <v>1058</v>
      </c>
      <c r="E178" s="40">
        <f t="shared" si="20"/>
        <v>1058</v>
      </c>
      <c r="F178" s="40">
        <v>1</v>
      </c>
      <c r="G178" s="67" t="s">
        <v>741</v>
      </c>
      <c r="H178" s="113" t="s">
        <v>866</v>
      </c>
      <c r="I178" s="157" t="s">
        <v>1012</v>
      </c>
    </row>
    <row r="179" spans="1:9" s="47" customFormat="1" ht="13.5" customHeight="1" x14ac:dyDescent="0.2">
      <c r="A179" s="40"/>
      <c r="B179" s="40"/>
      <c r="C179" s="40"/>
      <c r="D179" s="40">
        <f>D178+F178</f>
        <v>1059</v>
      </c>
      <c r="E179" s="40">
        <f t="shared" si="20"/>
        <v>1063</v>
      </c>
      <c r="F179" s="40">
        <v>5</v>
      </c>
      <c r="G179" s="46" t="s">
        <v>623</v>
      </c>
      <c r="H179" s="114"/>
      <c r="I179" s="114"/>
    </row>
    <row r="180" spans="1:9" s="47" customFormat="1" ht="13.5" customHeight="1" x14ac:dyDescent="0.2">
      <c r="A180" s="40"/>
      <c r="B180" s="40"/>
      <c r="C180" s="40"/>
      <c r="D180" s="40"/>
      <c r="E180" s="40"/>
      <c r="F180" s="40"/>
      <c r="G180" s="74" t="s">
        <v>80</v>
      </c>
      <c r="H180" s="114"/>
      <c r="I180" s="114"/>
    </row>
    <row r="181" spans="1:9" s="47" customFormat="1" ht="111" customHeight="1" x14ac:dyDescent="0.2">
      <c r="A181" s="40" t="s">
        <v>50</v>
      </c>
      <c r="B181" s="40" t="s">
        <v>50</v>
      </c>
      <c r="C181" s="76" t="s">
        <v>364</v>
      </c>
      <c r="D181" s="40">
        <f>D179+F179</f>
        <v>1064</v>
      </c>
      <c r="E181" s="40">
        <f t="shared" si="20"/>
        <v>1066</v>
      </c>
      <c r="F181" s="40">
        <v>3</v>
      </c>
      <c r="G181" s="67" t="s">
        <v>742</v>
      </c>
      <c r="H181" s="113" t="s">
        <v>879</v>
      </c>
      <c r="I181" s="157" t="s">
        <v>985</v>
      </c>
    </row>
    <row r="182" spans="1:9" s="47" customFormat="1" ht="75.75" customHeight="1" x14ac:dyDescent="0.2">
      <c r="A182" s="40" t="s">
        <v>50</v>
      </c>
      <c r="B182" s="40" t="s">
        <v>50</v>
      </c>
      <c r="C182" s="40"/>
      <c r="D182" s="40">
        <f>D181+F181</f>
        <v>1067</v>
      </c>
      <c r="E182" s="40">
        <f t="shared" si="20"/>
        <v>1069</v>
      </c>
      <c r="F182" s="40">
        <v>3</v>
      </c>
      <c r="G182" s="67" t="s">
        <v>743</v>
      </c>
      <c r="H182" s="71" t="s">
        <v>882</v>
      </c>
      <c r="I182" s="157" t="s">
        <v>986</v>
      </c>
    </row>
    <row r="183" spans="1:9" s="47" customFormat="1" ht="120" customHeight="1" x14ac:dyDescent="0.2">
      <c r="A183" s="40" t="s">
        <v>50</v>
      </c>
      <c r="B183" s="40" t="s">
        <v>50</v>
      </c>
      <c r="C183" s="40"/>
      <c r="D183" s="40">
        <f>D182+F182</f>
        <v>1070</v>
      </c>
      <c r="E183" s="40">
        <f t="shared" si="20"/>
        <v>1070</v>
      </c>
      <c r="F183" s="40">
        <v>1</v>
      </c>
      <c r="G183" s="67" t="s">
        <v>744</v>
      </c>
      <c r="H183" s="71" t="s">
        <v>865</v>
      </c>
      <c r="I183" s="157" t="s">
        <v>987</v>
      </c>
    </row>
    <row r="184" spans="1:9" s="47" customFormat="1" ht="13.5" customHeight="1" x14ac:dyDescent="0.2">
      <c r="A184" s="40"/>
      <c r="B184" s="40"/>
      <c r="C184" s="40"/>
      <c r="D184" s="40">
        <f>D183+F183</f>
        <v>1071</v>
      </c>
      <c r="E184" s="40">
        <f t="shared" si="20"/>
        <v>1075</v>
      </c>
      <c r="F184" s="40">
        <v>5</v>
      </c>
      <c r="G184" s="46" t="s">
        <v>623</v>
      </c>
      <c r="H184" s="50"/>
      <c r="I184" s="100"/>
    </row>
    <row r="185" spans="1:9" s="47" customFormat="1" ht="13.5" customHeight="1" x14ac:dyDescent="0.2">
      <c r="A185" s="40"/>
      <c r="B185" s="40"/>
      <c r="C185" s="40"/>
      <c r="D185" s="40"/>
      <c r="E185" s="40"/>
      <c r="F185" s="40"/>
      <c r="G185" s="74" t="s">
        <v>768</v>
      </c>
      <c r="H185" s="50"/>
      <c r="I185" s="100"/>
    </row>
    <row r="186" spans="1:9" s="47" customFormat="1" ht="120" customHeight="1" x14ac:dyDescent="0.2">
      <c r="A186" s="40" t="s">
        <v>50</v>
      </c>
      <c r="B186" s="40" t="s">
        <v>50</v>
      </c>
      <c r="C186" s="40"/>
      <c r="D186" s="40">
        <f>D184+F184</f>
        <v>1076</v>
      </c>
      <c r="E186" s="40">
        <f t="shared" si="20"/>
        <v>1076</v>
      </c>
      <c r="F186" s="40">
        <v>1</v>
      </c>
      <c r="G186" s="46" t="s">
        <v>349</v>
      </c>
      <c r="H186" s="136" t="s">
        <v>883</v>
      </c>
      <c r="I186" s="157" t="s">
        <v>988</v>
      </c>
    </row>
    <row r="187" spans="1:9" s="47" customFormat="1" ht="96.75" customHeight="1" x14ac:dyDescent="0.2">
      <c r="A187" s="40" t="s">
        <v>50</v>
      </c>
      <c r="B187" s="40" t="s">
        <v>50</v>
      </c>
      <c r="C187" s="40"/>
      <c r="D187" s="40">
        <f>D186+F186</f>
        <v>1077</v>
      </c>
      <c r="E187" s="40">
        <f t="shared" si="20"/>
        <v>1077</v>
      </c>
      <c r="F187" s="40">
        <v>1</v>
      </c>
      <c r="G187" s="46" t="s">
        <v>350</v>
      </c>
      <c r="H187" s="80" t="s">
        <v>884</v>
      </c>
      <c r="I187" s="157" t="s">
        <v>989</v>
      </c>
    </row>
    <row r="188" spans="1:9" s="47" customFormat="1" ht="78.75" customHeight="1" x14ac:dyDescent="0.2">
      <c r="A188" s="40" t="s">
        <v>50</v>
      </c>
      <c r="B188" s="40" t="s">
        <v>50</v>
      </c>
      <c r="C188" s="40"/>
      <c r="D188" s="40">
        <f>D187+F187</f>
        <v>1078</v>
      </c>
      <c r="E188" s="40">
        <f t="shared" si="20"/>
        <v>1078</v>
      </c>
      <c r="F188" s="40">
        <v>1</v>
      </c>
      <c r="G188" s="46" t="s">
        <v>351</v>
      </c>
      <c r="H188" s="80" t="s">
        <v>885</v>
      </c>
      <c r="I188" s="157" t="s">
        <v>990</v>
      </c>
    </row>
    <row r="189" spans="1:9" s="47" customFormat="1" ht="72" customHeight="1" x14ac:dyDescent="0.2">
      <c r="A189" s="139" t="s">
        <v>50</v>
      </c>
      <c r="B189" s="139" t="s">
        <v>50</v>
      </c>
      <c r="C189" s="133"/>
      <c r="D189" s="133">
        <f>D188+F188</f>
        <v>1079</v>
      </c>
      <c r="E189" s="133">
        <f>D189+F189-1</f>
        <v>1081</v>
      </c>
      <c r="F189" s="133">
        <v>3</v>
      </c>
      <c r="G189" s="118" t="s">
        <v>923</v>
      </c>
      <c r="H189" s="128" t="s">
        <v>922</v>
      </c>
      <c r="I189" s="157" t="s">
        <v>991</v>
      </c>
    </row>
    <row r="190" spans="1:9" s="47" customFormat="1" ht="13.5" customHeight="1" x14ac:dyDescent="0.2">
      <c r="A190" s="117"/>
      <c r="B190" s="117"/>
      <c r="C190" s="117"/>
      <c r="D190" s="117">
        <f>D189+F189</f>
        <v>1082</v>
      </c>
      <c r="E190" s="117">
        <f>D190+F190-1</f>
        <v>1093</v>
      </c>
      <c r="F190" s="133">
        <v>12</v>
      </c>
      <c r="G190" s="118" t="s">
        <v>623</v>
      </c>
      <c r="H190" s="116"/>
      <c r="I190" s="100"/>
    </row>
    <row r="191" spans="1:9" s="57" customFormat="1" x14ac:dyDescent="0.2">
      <c r="A191" s="40"/>
      <c r="B191" s="40"/>
      <c r="C191" s="40"/>
      <c r="D191" s="40"/>
      <c r="E191" s="40"/>
      <c r="F191" s="133"/>
      <c r="G191" s="74" t="s">
        <v>352</v>
      </c>
      <c r="H191" s="107"/>
      <c r="I191" s="50"/>
    </row>
    <row r="192" spans="1:9" s="47" customFormat="1" ht="20.25" customHeight="1" x14ac:dyDescent="0.2">
      <c r="A192" s="40"/>
      <c r="B192" s="40"/>
      <c r="C192" s="40"/>
      <c r="D192" s="40"/>
      <c r="E192" s="40"/>
      <c r="F192" s="133"/>
      <c r="G192" s="75" t="s">
        <v>63</v>
      </c>
      <c r="H192" s="50"/>
      <c r="I192" s="100"/>
    </row>
    <row r="193" spans="1:9" s="47" customFormat="1" ht="81" customHeight="1" x14ac:dyDescent="0.2">
      <c r="A193" s="40" t="s">
        <v>50</v>
      </c>
      <c r="B193" s="40" t="s">
        <v>50</v>
      </c>
      <c r="C193" s="40" t="s">
        <v>364</v>
      </c>
      <c r="D193" s="40">
        <f>D190+F190</f>
        <v>1094</v>
      </c>
      <c r="E193" s="40">
        <f t="shared" si="20"/>
        <v>1094</v>
      </c>
      <c r="F193" s="133">
        <v>1</v>
      </c>
      <c r="G193" s="67" t="s">
        <v>811</v>
      </c>
      <c r="H193" s="128" t="s">
        <v>928</v>
      </c>
      <c r="I193" s="71" t="s">
        <v>854</v>
      </c>
    </row>
    <row r="194" spans="1:9" s="47" customFormat="1" ht="18" customHeight="1" x14ac:dyDescent="0.2">
      <c r="A194" s="148"/>
      <c r="B194" s="148"/>
      <c r="C194" s="148"/>
      <c r="D194" s="148"/>
      <c r="E194" s="148"/>
      <c r="F194" s="148"/>
      <c r="G194" s="164" t="s">
        <v>996</v>
      </c>
      <c r="H194" s="128"/>
      <c r="I194" s="147"/>
    </row>
    <row r="195" spans="1:9" s="47" customFormat="1" ht="30.75" customHeight="1" x14ac:dyDescent="0.2">
      <c r="A195" s="161" t="s">
        <v>51</v>
      </c>
      <c r="B195" s="161" t="s">
        <v>51</v>
      </c>
      <c r="C195" s="161" t="s">
        <v>997</v>
      </c>
      <c r="D195" s="162">
        <f>D193+F193</f>
        <v>1095</v>
      </c>
      <c r="E195" s="162">
        <f>D195+F195-1</f>
        <v>1095</v>
      </c>
      <c r="F195" s="162">
        <v>1</v>
      </c>
      <c r="G195" s="163" t="s">
        <v>1009</v>
      </c>
      <c r="H195" s="157" t="s">
        <v>998</v>
      </c>
      <c r="I195" s="157" t="s">
        <v>999</v>
      </c>
    </row>
    <row r="196" spans="1:9" s="41" customFormat="1" x14ac:dyDescent="0.2">
      <c r="A196" s="40"/>
      <c r="B196" s="40"/>
      <c r="C196" s="40"/>
      <c r="D196" s="162">
        <f>D195+F195</f>
        <v>1096</v>
      </c>
      <c r="E196" s="162">
        <f t="shared" si="20"/>
        <v>1099</v>
      </c>
      <c r="F196" s="162">
        <v>4</v>
      </c>
      <c r="G196" s="134" t="s">
        <v>623</v>
      </c>
      <c r="H196" s="50"/>
      <c r="I196" s="100"/>
    </row>
    <row r="197" spans="1:9" s="47" customFormat="1" ht="21" customHeight="1" x14ac:dyDescent="0.2">
      <c r="A197" s="40"/>
      <c r="B197" s="40"/>
      <c r="C197" s="40"/>
      <c r="D197" s="40"/>
      <c r="E197" s="40"/>
      <c r="F197" s="133"/>
      <c r="G197" s="75" t="s">
        <v>34</v>
      </c>
      <c r="H197" s="50"/>
      <c r="I197" s="50"/>
    </row>
    <row r="198" spans="1:9" s="47" customFormat="1" ht="20.25" customHeight="1" x14ac:dyDescent="0.2">
      <c r="A198" s="40" t="s">
        <v>50</v>
      </c>
      <c r="B198" s="40" t="s">
        <v>50</v>
      </c>
      <c r="C198" s="40"/>
      <c r="D198" s="40">
        <f>D196+F196</f>
        <v>1100</v>
      </c>
      <c r="E198" s="40">
        <f t="shared" si="20"/>
        <v>1100</v>
      </c>
      <c r="F198" s="133">
        <v>1</v>
      </c>
      <c r="G198" s="49" t="s">
        <v>812</v>
      </c>
      <c r="H198" s="175" t="s">
        <v>651</v>
      </c>
      <c r="I198" s="175" t="s">
        <v>853</v>
      </c>
    </row>
    <row r="199" spans="1:9" s="47" customFormat="1" x14ac:dyDescent="0.2">
      <c r="A199" s="40" t="s">
        <v>50</v>
      </c>
      <c r="B199" s="40" t="s">
        <v>50</v>
      </c>
      <c r="C199" s="40"/>
      <c r="D199" s="40">
        <f>D198+F198</f>
        <v>1101</v>
      </c>
      <c r="E199" s="40">
        <f t="shared" si="20"/>
        <v>1101</v>
      </c>
      <c r="F199" s="133">
        <v>1</v>
      </c>
      <c r="G199" s="49" t="s">
        <v>813</v>
      </c>
      <c r="H199" s="190"/>
      <c r="I199" s="189"/>
    </row>
    <row r="200" spans="1:9" s="47" customFormat="1" x14ac:dyDescent="0.2">
      <c r="A200" s="40" t="s">
        <v>50</v>
      </c>
      <c r="B200" s="40" t="s">
        <v>50</v>
      </c>
      <c r="C200" s="40"/>
      <c r="D200" s="40">
        <f>D199+F199</f>
        <v>1102</v>
      </c>
      <c r="E200" s="40">
        <f t="shared" si="20"/>
        <v>1102</v>
      </c>
      <c r="F200" s="133">
        <v>1</v>
      </c>
      <c r="G200" s="49" t="s">
        <v>814</v>
      </c>
      <c r="H200" s="190"/>
      <c r="I200" s="189"/>
    </row>
    <row r="201" spans="1:9" s="47" customFormat="1" ht="18.75" customHeight="1" x14ac:dyDescent="0.2">
      <c r="A201" s="40" t="s">
        <v>50</v>
      </c>
      <c r="B201" s="40" t="s">
        <v>50</v>
      </c>
      <c r="C201" s="40"/>
      <c r="D201" s="40">
        <f>D200+F200</f>
        <v>1103</v>
      </c>
      <c r="E201" s="40">
        <f t="shared" si="20"/>
        <v>1103</v>
      </c>
      <c r="F201" s="133">
        <v>1</v>
      </c>
      <c r="G201" s="49" t="s">
        <v>815</v>
      </c>
      <c r="H201" s="190"/>
      <c r="I201" s="189"/>
    </row>
    <row r="202" spans="1:9" s="47" customFormat="1" x14ac:dyDescent="0.2">
      <c r="A202" s="40"/>
      <c r="B202" s="40"/>
      <c r="C202" s="40"/>
      <c r="D202" s="40">
        <f>D201+F201</f>
        <v>1104</v>
      </c>
      <c r="E202" s="40">
        <f t="shared" si="20"/>
        <v>1108</v>
      </c>
      <c r="F202" s="133">
        <v>5</v>
      </c>
      <c r="G202" s="51" t="s">
        <v>623</v>
      </c>
      <c r="H202" s="135"/>
      <c r="I202" s="135"/>
    </row>
    <row r="203" spans="1:9" s="47" customFormat="1" x14ac:dyDescent="0.2">
      <c r="A203" s="40"/>
      <c r="B203" s="40"/>
      <c r="C203" s="40"/>
      <c r="D203" s="40"/>
      <c r="E203" s="40"/>
      <c r="F203" s="133"/>
      <c r="G203" s="75" t="s">
        <v>35</v>
      </c>
      <c r="H203" s="135"/>
      <c r="I203" s="135"/>
    </row>
    <row r="204" spans="1:9" s="47" customFormat="1" ht="15.75" customHeight="1" x14ac:dyDescent="0.2">
      <c r="A204" s="40" t="s">
        <v>51</v>
      </c>
      <c r="B204" s="40" t="s">
        <v>51</v>
      </c>
      <c r="C204" s="40"/>
      <c r="D204" s="40">
        <f>D202+F202</f>
        <v>1109</v>
      </c>
      <c r="E204" s="40">
        <f t="shared" si="20"/>
        <v>1109</v>
      </c>
      <c r="F204" s="133">
        <v>1</v>
      </c>
      <c r="G204" s="49" t="s">
        <v>816</v>
      </c>
      <c r="H204" s="175" t="s">
        <v>650</v>
      </c>
      <c r="I204" s="191" t="s">
        <v>855</v>
      </c>
    </row>
    <row r="205" spans="1:9" s="47" customFormat="1" ht="17.25" customHeight="1" x14ac:dyDescent="0.2">
      <c r="A205" s="40" t="s">
        <v>51</v>
      </c>
      <c r="B205" s="40" t="s">
        <v>51</v>
      </c>
      <c r="C205" s="40"/>
      <c r="D205" s="40">
        <f>D204+F204</f>
        <v>1110</v>
      </c>
      <c r="E205" s="40">
        <f t="shared" si="20"/>
        <v>1110</v>
      </c>
      <c r="F205" s="133">
        <v>1</v>
      </c>
      <c r="G205" s="49" t="s">
        <v>817</v>
      </c>
      <c r="H205" s="190"/>
      <c r="I205" s="192"/>
    </row>
    <row r="206" spans="1:9" s="47" customFormat="1" ht="17.25" customHeight="1" x14ac:dyDescent="0.2">
      <c r="A206" s="40" t="s">
        <v>51</v>
      </c>
      <c r="B206" s="40" t="s">
        <v>51</v>
      </c>
      <c r="C206" s="40"/>
      <c r="D206" s="40">
        <f>D205+F205</f>
        <v>1111</v>
      </c>
      <c r="E206" s="40">
        <f t="shared" si="20"/>
        <v>1111</v>
      </c>
      <c r="F206" s="133">
        <v>1</v>
      </c>
      <c r="G206" s="49" t="s">
        <v>819</v>
      </c>
      <c r="H206" s="190"/>
      <c r="I206" s="192"/>
    </row>
    <row r="207" spans="1:9" s="47" customFormat="1" ht="17.25" customHeight="1" x14ac:dyDescent="0.2">
      <c r="A207" s="40" t="s">
        <v>51</v>
      </c>
      <c r="B207" s="40" t="s">
        <v>51</v>
      </c>
      <c r="C207" s="40"/>
      <c r="D207" s="40">
        <f>D206+F206</f>
        <v>1112</v>
      </c>
      <c r="E207" s="40">
        <f t="shared" si="20"/>
        <v>1112</v>
      </c>
      <c r="F207" s="133">
        <v>1</v>
      </c>
      <c r="G207" s="49" t="s">
        <v>818</v>
      </c>
      <c r="H207" s="190"/>
      <c r="I207" s="192"/>
    </row>
    <row r="208" spans="1:9" s="47" customFormat="1" x14ac:dyDescent="0.2">
      <c r="A208" s="40"/>
      <c r="B208" s="40"/>
      <c r="C208" s="40"/>
      <c r="D208" s="40">
        <f>D207+F207</f>
        <v>1113</v>
      </c>
      <c r="E208" s="40">
        <f t="shared" si="20"/>
        <v>1122</v>
      </c>
      <c r="F208" s="133">
        <v>10</v>
      </c>
      <c r="G208" s="51" t="s">
        <v>623</v>
      </c>
      <c r="H208" s="135"/>
      <c r="I208" s="135"/>
    </row>
    <row r="209" spans="1:9" s="47" customFormat="1" ht="16.5" customHeight="1" x14ac:dyDescent="0.2">
      <c r="A209" s="40"/>
      <c r="B209" s="40"/>
      <c r="C209" s="40"/>
      <c r="D209" s="40"/>
      <c r="E209" s="40"/>
      <c r="F209" s="133"/>
      <c r="G209" s="75" t="s">
        <v>353</v>
      </c>
      <c r="H209" s="135"/>
      <c r="I209" s="135"/>
    </row>
    <row r="210" spans="1:9" s="47" customFormat="1" ht="26.25" customHeight="1" x14ac:dyDescent="0.2">
      <c r="A210" s="40" t="s">
        <v>50</v>
      </c>
      <c r="B210" s="40" t="s">
        <v>50</v>
      </c>
      <c r="C210" s="40"/>
      <c r="D210" s="40">
        <f>D208+F208</f>
        <v>1123</v>
      </c>
      <c r="E210" s="40">
        <f t="shared" si="20"/>
        <v>1123</v>
      </c>
      <c r="F210" s="133">
        <v>1</v>
      </c>
      <c r="G210" s="49" t="s">
        <v>820</v>
      </c>
      <c r="H210" s="175" t="s">
        <v>796</v>
      </c>
      <c r="I210" s="185" t="s">
        <v>992</v>
      </c>
    </row>
    <row r="211" spans="1:9" s="47" customFormat="1" ht="17.25" customHeight="1" x14ac:dyDescent="0.2">
      <c r="A211" s="40" t="s">
        <v>50</v>
      </c>
      <c r="B211" s="40" t="s">
        <v>50</v>
      </c>
      <c r="C211" s="40"/>
      <c r="D211" s="40">
        <f>D210+F210</f>
        <v>1124</v>
      </c>
      <c r="E211" s="40">
        <f t="shared" si="20"/>
        <v>1124</v>
      </c>
      <c r="F211" s="133">
        <v>1</v>
      </c>
      <c r="G211" s="49" t="s">
        <v>821</v>
      </c>
      <c r="H211" s="190"/>
      <c r="I211" s="186"/>
    </row>
    <row r="212" spans="1:9" s="47" customFormat="1" ht="18" customHeight="1" x14ac:dyDescent="0.2">
      <c r="A212" s="40" t="s">
        <v>50</v>
      </c>
      <c r="B212" s="40" t="s">
        <v>50</v>
      </c>
      <c r="C212" s="40"/>
      <c r="D212" s="40">
        <f>D211+F211</f>
        <v>1125</v>
      </c>
      <c r="E212" s="40">
        <f t="shared" si="20"/>
        <v>1125</v>
      </c>
      <c r="F212" s="133">
        <v>1</v>
      </c>
      <c r="G212" s="49" t="s">
        <v>822</v>
      </c>
      <c r="H212" s="190"/>
      <c r="I212" s="186"/>
    </row>
    <row r="213" spans="1:9" s="47" customFormat="1" ht="15.75" customHeight="1" x14ac:dyDescent="0.2">
      <c r="A213" s="40" t="s">
        <v>50</v>
      </c>
      <c r="B213" s="40" t="s">
        <v>50</v>
      </c>
      <c r="C213" s="40"/>
      <c r="D213" s="40">
        <f>D212+F212</f>
        <v>1126</v>
      </c>
      <c r="E213" s="40">
        <f t="shared" si="20"/>
        <v>1126</v>
      </c>
      <c r="F213" s="40">
        <v>1</v>
      </c>
      <c r="G213" s="49" t="s">
        <v>823</v>
      </c>
      <c r="H213" s="190"/>
      <c r="I213" s="186"/>
    </row>
    <row r="214" spans="1:9" s="47" customFormat="1" x14ac:dyDescent="0.2">
      <c r="A214" s="40"/>
      <c r="B214" s="40"/>
      <c r="C214" s="40"/>
      <c r="D214" s="40">
        <f>D213+F213</f>
        <v>1127</v>
      </c>
      <c r="E214" s="40">
        <f t="shared" si="20"/>
        <v>1131</v>
      </c>
      <c r="F214" s="40">
        <v>5</v>
      </c>
      <c r="G214" s="51" t="s">
        <v>623</v>
      </c>
      <c r="H214" s="50"/>
      <c r="I214" s="50"/>
    </row>
    <row r="215" spans="1:9" s="47" customFormat="1" x14ac:dyDescent="0.2">
      <c r="A215" s="40"/>
      <c r="B215" s="40"/>
      <c r="C215" s="40"/>
      <c r="D215" s="40"/>
      <c r="E215" s="40"/>
      <c r="F215" s="40"/>
      <c r="G215" s="75" t="s">
        <v>354</v>
      </c>
      <c r="H215" s="50"/>
      <c r="I215" s="50"/>
    </row>
    <row r="216" spans="1:9" s="47" customFormat="1" ht="19.5" customHeight="1" x14ac:dyDescent="0.2">
      <c r="A216" s="40" t="s">
        <v>50</v>
      </c>
      <c r="B216" s="40" t="s">
        <v>50</v>
      </c>
      <c r="C216" s="40" t="s">
        <v>364</v>
      </c>
      <c r="D216" s="40">
        <f>D214+F214</f>
        <v>1132</v>
      </c>
      <c r="E216" s="40">
        <f t="shared" si="20"/>
        <v>1132</v>
      </c>
      <c r="F216" s="40">
        <v>1</v>
      </c>
      <c r="G216" s="67" t="s">
        <v>748</v>
      </c>
      <c r="H216" s="175" t="s">
        <v>652</v>
      </c>
      <c r="I216" s="185" t="s">
        <v>993</v>
      </c>
    </row>
    <row r="217" spans="1:9" s="47" customFormat="1" ht="20.25" customHeight="1" x14ac:dyDescent="0.2">
      <c r="A217" s="40" t="s">
        <v>50</v>
      </c>
      <c r="B217" s="40" t="s">
        <v>50</v>
      </c>
      <c r="C217" s="40" t="s">
        <v>364</v>
      </c>
      <c r="D217" s="40">
        <f t="shared" ref="D217:D222" si="21">D216+F216</f>
        <v>1133</v>
      </c>
      <c r="E217" s="40">
        <f t="shared" si="20"/>
        <v>1133</v>
      </c>
      <c r="F217" s="40">
        <v>1</v>
      </c>
      <c r="G217" s="67" t="s">
        <v>745</v>
      </c>
      <c r="H217" s="190"/>
      <c r="I217" s="186"/>
    </row>
    <row r="218" spans="1:9" s="47" customFormat="1" ht="19.5" customHeight="1" x14ac:dyDescent="0.2">
      <c r="A218" s="40" t="s">
        <v>50</v>
      </c>
      <c r="B218" s="40" t="s">
        <v>50</v>
      </c>
      <c r="C218" s="40" t="s">
        <v>364</v>
      </c>
      <c r="D218" s="40">
        <f t="shared" si="21"/>
        <v>1134</v>
      </c>
      <c r="E218" s="40">
        <f t="shared" si="20"/>
        <v>1134</v>
      </c>
      <c r="F218" s="40">
        <v>1</v>
      </c>
      <c r="G218" s="67" t="s">
        <v>746</v>
      </c>
      <c r="H218" s="190"/>
      <c r="I218" s="186"/>
    </row>
    <row r="219" spans="1:9" s="47" customFormat="1" ht="20.25" customHeight="1" x14ac:dyDescent="0.2">
      <c r="A219" s="40" t="s">
        <v>50</v>
      </c>
      <c r="B219" s="40" t="s">
        <v>50</v>
      </c>
      <c r="C219" s="40" t="s">
        <v>364</v>
      </c>
      <c r="D219" s="40">
        <f t="shared" si="21"/>
        <v>1135</v>
      </c>
      <c r="E219" s="40">
        <f t="shared" si="20"/>
        <v>1135</v>
      </c>
      <c r="F219" s="40">
        <v>1</v>
      </c>
      <c r="G219" s="67" t="s">
        <v>747</v>
      </c>
      <c r="H219" s="190"/>
      <c r="I219" s="186"/>
    </row>
    <row r="220" spans="1:9" s="47" customFormat="1" x14ac:dyDescent="0.2">
      <c r="A220" s="40"/>
      <c r="B220" s="40"/>
      <c r="C220" s="40"/>
      <c r="D220" s="40">
        <f t="shared" si="21"/>
        <v>1136</v>
      </c>
      <c r="E220" s="40">
        <f t="shared" ref="E220:E227" si="22">D220+F220-1</f>
        <v>1140</v>
      </c>
      <c r="F220" s="40">
        <v>5</v>
      </c>
      <c r="G220" s="52" t="s">
        <v>623</v>
      </c>
      <c r="H220" s="50"/>
      <c r="I220" s="100"/>
    </row>
    <row r="221" spans="1:9" s="47" customFormat="1" ht="232.5" customHeight="1" x14ac:dyDescent="0.2">
      <c r="A221" s="40" t="s">
        <v>50</v>
      </c>
      <c r="B221" s="40" t="s">
        <v>50</v>
      </c>
      <c r="C221" s="40"/>
      <c r="D221" s="40">
        <f t="shared" si="21"/>
        <v>1141</v>
      </c>
      <c r="E221" s="40">
        <f t="shared" si="22"/>
        <v>1142</v>
      </c>
      <c r="F221" s="40">
        <v>2</v>
      </c>
      <c r="G221" s="46" t="s">
        <v>1</v>
      </c>
      <c r="H221" s="128" t="s">
        <v>941</v>
      </c>
      <c r="I221" s="132" t="s">
        <v>831</v>
      </c>
    </row>
    <row r="222" spans="1:9" s="47" customFormat="1" ht="87.75" customHeight="1" x14ac:dyDescent="0.2">
      <c r="A222" s="76" t="s">
        <v>50</v>
      </c>
      <c r="B222" s="76" t="s">
        <v>50</v>
      </c>
      <c r="C222" s="40"/>
      <c r="D222" s="40">
        <f t="shared" si="21"/>
        <v>1143</v>
      </c>
      <c r="E222" s="40">
        <f t="shared" si="22"/>
        <v>1143</v>
      </c>
      <c r="F222" s="40">
        <v>1</v>
      </c>
      <c r="G222" s="79" t="s">
        <v>622</v>
      </c>
      <c r="H222" s="80" t="s">
        <v>611</v>
      </c>
      <c r="I222" s="91" t="s">
        <v>787</v>
      </c>
    </row>
    <row r="223" spans="1:9" s="47" customFormat="1" ht="87.75" customHeight="1" x14ac:dyDescent="0.2">
      <c r="A223" s="139"/>
      <c r="B223" s="139"/>
      <c r="C223" s="148"/>
      <c r="D223" s="162">
        <f>D222+F222</f>
        <v>1144</v>
      </c>
      <c r="E223" s="162">
        <f t="shared" si="22"/>
        <v>1147</v>
      </c>
      <c r="F223" s="162">
        <v>4</v>
      </c>
      <c r="G223" s="149" t="s">
        <v>623</v>
      </c>
      <c r="H223" s="151"/>
      <c r="I223" s="152"/>
    </row>
    <row r="224" spans="1:9" s="47" customFormat="1" ht="54" customHeight="1" x14ac:dyDescent="0.2">
      <c r="A224" s="161" t="s">
        <v>51</v>
      </c>
      <c r="B224" s="161" t="s">
        <v>50</v>
      </c>
      <c r="C224" s="162"/>
      <c r="D224" s="162">
        <f>D223+F223</f>
        <v>1148</v>
      </c>
      <c r="E224" s="162">
        <f t="shared" si="22"/>
        <v>1148</v>
      </c>
      <c r="F224" s="162">
        <v>1</v>
      </c>
      <c r="G224" s="165" t="s">
        <v>1001</v>
      </c>
      <c r="H224" s="166" t="s">
        <v>1010</v>
      </c>
      <c r="I224" s="167" t="s">
        <v>807</v>
      </c>
    </row>
    <row r="225" spans="1:9" s="47" customFormat="1" ht="63.75" x14ac:dyDescent="0.2">
      <c r="A225" s="139" t="s">
        <v>50</v>
      </c>
      <c r="B225" s="139" t="s">
        <v>50</v>
      </c>
      <c r="C225" s="133"/>
      <c r="D225" s="133">
        <f>D224+F224</f>
        <v>1149</v>
      </c>
      <c r="E225" s="133">
        <f t="shared" si="22"/>
        <v>1149</v>
      </c>
      <c r="F225" s="133">
        <v>1</v>
      </c>
      <c r="G225" s="79" t="s">
        <v>806</v>
      </c>
      <c r="H225" s="132" t="s">
        <v>862</v>
      </c>
      <c r="I225" s="132" t="s">
        <v>807</v>
      </c>
    </row>
    <row r="226" spans="1:9" s="47" customFormat="1" ht="61.5" customHeight="1" x14ac:dyDescent="0.2">
      <c r="A226" s="139" t="s">
        <v>50</v>
      </c>
      <c r="B226" s="139" t="s">
        <v>50</v>
      </c>
      <c r="C226" s="133"/>
      <c r="D226" s="133">
        <f>D225+F225</f>
        <v>1150</v>
      </c>
      <c r="E226" s="133">
        <f t="shared" si="22"/>
        <v>1155</v>
      </c>
      <c r="F226" s="133">
        <v>6</v>
      </c>
      <c r="G226" s="79" t="s">
        <v>808</v>
      </c>
      <c r="H226" s="132" t="s">
        <v>863</v>
      </c>
      <c r="I226" s="132" t="s">
        <v>809</v>
      </c>
    </row>
    <row r="227" spans="1:9" s="47" customFormat="1" ht="62.25" customHeight="1" x14ac:dyDescent="0.2">
      <c r="A227" s="154" t="s">
        <v>50</v>
      </c>
      <c r="B227" s="154" t="s">
        <v>50</v>
      </c>
      <c r="C227" s="133"/>
      <c r="D227" s="133">
        <f>D226+F226</f>
        <v>1156</v>
      </c>
      <c r="E227" s="133">
        <f t="shared" si="22"/>
        <v>1158</v>
      </c>
      <c r="F227" s="133">
        <v>3</v>
      </c>
      <c r="G227" s="150" t="s">
        <v>1020</v>
      </c>
      <c r="H227" s="153" t="s">
        <v>810</v>
      </c>
      <c r="I227" s="153" t="s">
        <v>809</v>
      </c>
    </row>
    <row r="228" spans="1:9" s="41" customFormat="1" x14ac:dyDescent="0.2">
      <c r="A228" s="40"/>
      <c r="B228" s="40"/>
      <c r="C228" s="40"/>
      <c r="D228" s="40"/>
      <c r="E228" s="40"/>
      <c r="F228" s="40"/>
      <c r="G228" s="74" t="s">
        <v>377</v>
      </c>
      <c r="H228" s="50"/>
      <c r="I228" s="100"/>
    </row>
    <row r="229" spans="1:9" s="41" customFormat="1" x14ac:dyDescent="0.2">
      <c r="A229" s="40" t="s">
        <v>50</v>
      </c>
      <c r="B229" s="40" t="s">
        <v>50</v>
      </c>
      <c r="C229" s="40"/>
      <c r="D229" s="40">
        <f>D227+F227</f>
        <v>1159</v>
      </c>
      <c r="E229" s="40">
        <f t="shared" si="20"/>
        <v>1159</v>
      </c>
      <c r="F229" s="40">
        <v>1</v>
      </c>
      <c r="G229" s="46" t="s">
        <v>355</v>
      </c>
      <c r="H229" s="175" t="s">
        <v>656</v>
      </c>
      <c r="I229" s="175" t="s">
        <v>877</v>
      </c>
    </row>
    <row r="230" spans="1:9" s="41" customFormat="1" ht="12.75" customHeight="1" x14ac:dyDescent="0.2">
      <c r="A230" s="40" t="s">
        <v>50</v>
      </c>
      <c r="B230" s="40" t="s">
        <v>50</v>
      </c>
      <c r="C230" s="40"/>
      <c r="D230" s="40">
        <f t="shared" ref="D230:D238" si="23">D229+F229</f>
        <v>1160</v>
      </c>
      <c r="E230" s="40">
        <f t="shared" si="20"/>
        <v>1160</v>
      </c>
      <c r="F230" s="40">
        <v>1</v>
      </c>
      <c r="G230" s="46" t="s">
        <v>356</v>
      </c>
      <c r="H230" s="176"/>
      <c r="I230" s="182"/>
    </row>
    <row r="231" spans="1:9" s="41" customFormat="1" x14ac:dyDescent="0.2">
      <c r="A231" s="40" t="s">
        <v>51</v>
      </c>
      <c r="B231" s="40" t="s">
        <v>51</v>
      </c>
      <c r="C231" s="40"/>
      <c r="D231" s="40">
        <f t="shared" si="23"/>
        <v>1161</v>
      </c>
      <c r="E231" s="40">
        <f t="shared" si="20"/>
        <v>1161</v>
      </c>
      <c r="F231" s="40">
        <v>1</v>
      </c>
      <c r="G231" s="46" t="s">
        <v>725</v>
      </c>
      <c r="H231" s="176"/>
      <c r="I231" s="182"/>
    </row>
    <row r="232" spans="1:9" s="41" customFormat="1" x14ac:dyDescent="0.2">
      <c r="A232" s="76" t="s">
        <v>50</v>
      </c>
      <c r="B232" s="76" t="s">
        <v>50</v>
      </c>
      <c r="C232" s="40"/>
      <c r="D232" s="40">
        <f t="shared" si="23"/>
        <v>1162</v>
      </c>
      <c r="E232" s="40">
        <f t="shared" si="20"/>
        <v>1162</v>
      </c>
      <c r="F232" s="40">
        <v>1</v>
      </c>
      <c r="G232" s="46" t="s">
        <v>357</v>
      </c>
      <c r="H232" s="176"/>
      <c r="I232" s="182"/>
    </row>
    <row r="233" spans="1:9" s="41" customFormat="1" x14ac:dyDescent="0.2">
      <c r="A233" s="40" t="s">
        <v>51</v>
      </c>
      <c r="B233" s="40" t="s">
        <v>51</v>
      </c>
      <c r="C233" s="40"/>
      <c r="D233" s="40">
        <f t="shared" si="23"/>
        <v>1163</v>
      </c>
      <c r="E233" s="40">
        <f t="shared" si="20"/>
        <v>1163</v>
      </c>
      <c r="F233" s="40">
        <v>1</v>
      </c>
      <c r="G233" s="46" t="s">
        <v>358</v>
      </c>
      <c r="H233" s="176"/>
      <c r="I233" s="182"/>
    </row>
    <row r="234" spans="1:9" s="41" customFormat="1" x14ac:dyDescent="0.2">
      <c r="A234" s="40" t="s">
        <v>51</v>
      </c>
      <c r="B234" s="40" t="s">
        <v>51</v>
      </c>
      <c r="C234" s="40"/>
      <c r="D234" s="40">
        <f t="shared" si="23"/>
        <v>1164</v>
      </c>
      <c r="E234" s="40">
        <f t="shared" si="20"/>
        <v>1164</v>
      </c>
      <c r="F234" s="40">
        <v>1</v>
      </c>
      <c r="G234" s="46" t="s">
        <v>359</v>
      </c>
      <c r="H234" s="176"/>
      <c r="I234" s="182"/>
    </row>
    <row r="235" spans="1:9" s="41" customFormat="1" x14ac:dyDescent="0.2">
      <c r="A235" s="40" t="s">
        <v>51</v>
      </c>
      <c r="B235" s="40" t="s">
        <v>51</v>
      </c>
      <c r="C235" s="40"/>
      <c r="D235" s="40">
        <f t="shared" si="23"/>
        <v>1165</v>
      </c>
      <c r="E235" s="40">
        <f t="shared" si="20"/>
        <v>1165</v>
      </c>
      <c r="F235" s="40">
        <v>1</v>
      </c>
      <c r="G235" s="46" t="s">
        <v>360</v>
      </c>
      <c r="H235" s="176"/>
      <c r="I235" s="182"/>
    </row>
    <row r="236" spans="1:9" s="41" customFormat="1" x14ac:dyDescent="0.2">
      <c r="A236" s="40" t="s">
        <v>51</v>
      </c>
      <c r="B236" s="40" t="s">
        <v>51</v>
      </c>
      <c r="C236" s="40"/>
      <c r="D236" s="40">
        <f t="shared" si="23"/>
        <v>1166</v>
      </c>
      <c r="E236" s="40">
        <f t="shared" si="20"/>
        <v>1166</v>
      </c>
      <c r="F236" s="40">
        <v>1</v>
      </c>
      <c r="G236" s="46" t="s">
        <v>361</v>
      </c>
      <c r="H236" s="176"/>
      <c r="I236" s="182"/>
    </row>
    <row r="237" spans="1:9" s="41" customFormat="1" x14ac:dyDescent="0.2">
      <c r="A237" s="40" t="s">
        <v>51</v>
      </c>
      <c r="B237" s="40" t="s">
        <v>51</v>
      </c>
      <c r="C237" s="40"/>
      <c r="D237" s="40">
        <f t="shared" si="23"/>
        <v>1167</v>
      </c>
      <c r="E237" s="40">
        <f t="shared" si="20"/>
        <v>1167</v>
      </c>
      <c r="F237" s="40">
        <v>1</v>
      </c>
      <c r="G237" s="67" t="s">
        <v>825</v>
      </c>
      <c r="H237" s="176"/>
      <c r="I237" s="182"/>
    </row>
    <row r="238" spans="1:9" s="41" customFormat="1" x14ac:dyDescent="0.2">
      <c r="A238" s="40" t="s">
        <v>51</v>
      </c>
      <c r="B238" s="40" t="s">
        <v>51</v>
      </c>
      <c r="C238" s="40"/>
      <c r="D238" s="40">
        <f t="shared" si="23"/>
        <v>1168</v>
      </c>
      <c r="E238" s="40">
        <f t="shared" si="20"/>
        <v>1168</v>
      </c>
      <c r="F238" s="40">
        <v>1</v>
      </c>
      <c r="G238" s="46" t="s">
        <v>362</v>
      </c>
      <c r="H238" s="176"/>
      <c r="I238" s="182"/>
    </row>
    <row r="239" spans="1:9" s="41" customFormat="1" ht="102" x14ac:dyDescent="0.2">
      <c r="A239" s="39" t="s">
        <v>50</v>
      </c>
      <c r="B239" s="39" t="s">
        <v>50</v>
      </c>
      <c r="C239" s="169" t="s">
        <v>726</v>
      </c>
      <c r="D239" s="40">
        <f>D238+F238</f>
        <v>1169</v>
      </c>
      <c r="E239" s="40">
        <f>D239+F239-1</f>
        <v>1178</v>
      </c>
      <c r="F239" s="76">
        <v>10</v>
      </c>
      <c r="G239" s="49" t="s">
        <v>698</v>
      </c>
      <c r="H239" s="71" t="s">
        <v>621</v>
      </c>
      <c r="I239" s="105" t="s">
        <v>869</v>
      </c>
    </row>
    <row r="240" spans="1:9" s="41" customFormat="1" x14ac:dyDescent="0.2">
      <c r="A240" s="40"/>
      <c r="B240" s="40"/>
      <c r="C240" s="40"/>
      <c r="D240" s="40">
        <f>D239+F239</f>
        <v>1179</v>
      </c>
      <c r="E240" s="40">
        <f>D240+F240-1</f>
        <v>1183</v>
      </c>
      <c r="F240" s="40">
        <v>5</v>
      </c>
      <c r="G240" s="46" t="s">
        <v>623</v>
      </c>
      <c r="H240" s="50"/>
      <c r="I240" s="100"/>
    </row>
    <row r="241" spans="1:10" s="41" customFormat="1" ht="21" customHeight="1" x14ac:dyDescent="0.2">
      <c r="A241" s="40"/>
      <c r="B241" s="40"/>
      <c r="C241" s="40"/>
      <c r="D241" s="40"/>
      <c r="E241" s="40"/>
      <c r="F241" s="40"/>
      <c r="G241" s="74" t="s">
        <v>42</v>
      </c>
      <c r="H241" s="50"/>
      <c r="I241" s="100"/>
    </row>
    <row r="242" spans="1:10" s="41" customFormat="1" ht="63.75" x14ac:dyDescent="0.2">
      <c r="A242" s="40" t="s">
        <v>51</v>
      </c>
      <c r="B242" s="40" t="s">
        <v>51</v>
      </c>
      <c r="C242" s="92" t="s">
        <v>726</v>
      </c>
      <c r="D242" s="40">
        <f>D240+F240</f>
        <v>1184</v>
      </c>
      <c r="E242" s="40">
        <f t="shared" si="20"/>
        <v>1184</v>
      </c>
      <c r="F242" s="40">
        <v>1</v>
      </c>
      <c r="G242" s="67" t="s">
        <v>826</v>
      </c>
      <c r="H242" s="71" t="s">
        <v>655</v>
      </c>
      <c r="I242" s="128" t="s">
        <v>942</v>
      </c>
    </row>
    <row r="243" spans="1:10" s="41" customFormat="1" ht="89.25" customHeight="1" x14ac:dyDescent="0.2">
      <c r="A243" s="40" t="s">
        <v>51</v>
      </c>
      <c r="B243" s="40" t="s">
        <v>51</v>
      </c>
      <c r="C243" s="76"/>
      <c r="D243" s="40">
        <f>D242+F242</f>
        <v>1185</v>
      </c>
      <c r="E243" s="40">
        <f t="shared" ref="E243:E257" si="24">D243+F243-1</f>
        <v>1185</v>
      </c>
      <c r="F243" s="40">
        <v>1</v>
      </c>
      <c r="G243" s="46" t="s">
        <v>365</v>
      </c>
      <c r="H243" s="71" t="s">
        <v>655</v>
      </c>
      <c r="I243" s="128" t="s">
        <v>943</v>
      </c>
    </row>
    <row r="244" spans="1:10" s="41" customFormat="1" ht="87.75" customHeight="1" x14ac:dyDescent="0.2">
      <c r="A244" s="40" t="s">
        <v>51</v>
      </c>
      <c r="B244" s="40" t="s">
        <v>51</v>
      </c>
      <c r="C244" s="92" t="s">
        <v>726</v>
      </c>
      <c r="D244" s="40">
        <f>D243+F243</f>
        <v>1186</v>
      </c>
      <c r="E244" s="40">
        <f t="shared" si="24"/>
        <v>1186</v>
      </c>
      <c r="F244" s="40">
        <v>1</v>
      </c>
      <c r="G244" s="46" t="s">
        <v>363</v>
      </c>
      <c r="H244" s="71" t="s">
        <v>655</v>
      </c>
      <c r="I244" s="129" t="s">
        <v>944</v>
      </c>
    </row>
    <row r="245" spans="1:10" s="44" customFormat="1" x14ac:dyDescent="0.2">
      <c r="A245" s="40"/>
      <c r="B245" s="40"/>
      <c r="C245" s="40"/>
      <c r="D245" s="40">
        <f>D244+F244</f>
        <v>1187</v>
      </c>
      <c r="E245" s="40">
        <f t="shared" si="24"/>
        <v>1201</v>
      </c>
      <c r="F245" s="40">
        <v>15</v>
      </c>
      <c r="G245" s="51" t="s">
        <v>623</v>
      </c>
      <c r="H245" s="50"/>
      <c r="I245" s="100"/>
      <c r="J245" s="47"/>
    </row>
    <row r="246" spans="1:10" s="47" customFormat="1" x14ac:dyDescent="0.2">
      <c r="A246" s="40"/>
      <c r="B246" s="40"/>
      <c r="C246" s="40"/>
      <c r="D246" s="40"/>
      <c r="E246" s="40"/>
      <c r="F246" s="40"/>
      <c r="G246" s="74" t="s">
        <v>617</v>
      </c>
      <c r="H246" s="109"/>
      <c r="I246" s="100"/>
    </row>
    <row r="247" spans="1:10" s="41" customFormat="1" ht="59.25" customHeight="1" x14ac:dyDescent="0.2">
      <c r="A247" s="40" t="s">
        <v>51</v>
      </c>
      <c r="B247" s="40" t="s">
        <v>51</v>
      </c>
      <c r="C247" s="76"/>
      <c r="D247" s="40">
        <f>D245+F245</f>
        <v>1202</v>
      </c>
      <c r="E247" s="40">
        <f t="shared" si="24"/>
        <v>1202</v>
      </c>
      <c r="F247" s="40">
        <v>1</v>
      </c>
      <c r="G247" s="67" t="s">
        <v>829</v>
      </c>
      <c r="H247" s="71" t="s">
        <v>655</v>
      </c>
      <c r="I247" s="128" t="s">
        <v>945</v>
      </c>
    </row>
    <row r="248" spans="1:10" s="44" customFormat="1" x14ac:dyDescent="0.2">
      <c r="A248" s="40"/>
      <c r="B248" s="40"/>
      <c r="C248" s="40"/>
      <c r="D248" s="40">
        <f>D247+F247</f>
        <v>1203</v>
      </c>
      <c r="E248" s="40">
        <f t="shared" si="24"/>
        <v>1217</v>
      </c>
      <c r="F248" s="40">
        <v>15</v>
      </c>
      <c r="G248" s="134" t="s">
        <v>623</v>
      </c>
      <c r="H248" s="50"/>
      <c r="I248" s="50"/>
      <c r="J248" s="47"/>
    </row>
    <row r="249" spans="1:10" s="47" customFormat="1" x14ac:dyDescent="0.2">
      <c r="A249" s="40"/>
      <c r="B249" s="40"/>
      <c r="C249" s="40"/>
      <c r="D249" s="40"/>
      <c r="E249" s="40"/>
      <c r="F249" s="40"/>
      <c r="G249" s="74" t="s">
        <v>618</v>
      </c>
      <c r="H249" s="109"/>
      <c r="I249" s="50"/>
    </row>
    <row r="250" spans="1:10" s="41" customFormat="1" ht="60.75" customHeight="1" x14ac:dyDescent="0.2">
      <c r="A250" s="40" t="s">
        <v>51</v>
      </c>
      <c r="B250" s="40" t="s">
        <v>51</v>
      </c>
      <c r="C250" s="76"/>
      <c r="D250" s="40">
        <f>D248+F248</f>
        <v>1218</v>
      </c>
      <c r="E250" s="40">
        <f t="shared" si="24"/>
        <v>1218</v>
      </c>
      <c r="F250" s="40">
        <v>1</v>
      </c>
      <c r="G250" s="67" t="s">
        <v>827</v>
      </c>
      <c r="H250" s="71" t="s">
        <v>655</v>
      </c>
      <c r="I250" s="128" t="s">
        <v>946</v>
      </c>
    </row>
    <row r="251" spans="1:10" s="44" customFormat="1" x14ac:dyDescent="0.2">
      <c r="A251" s="40"/>
      <c r="B251" s="40"/>
      <c r="C251" s="40"/>
      <c r="D251" s="40">
        <f>D250+F250</f>
        <v>1219</v>
      </c>
      <c r="E251" s="40">
        <f t="shared" si="24"/>
        <v>1233</v>
      </c>
      <c r="F251" s="40">
        <v>15</v>
      </c>
      <c r="G251" s="134" t="s">
        <v>623</v>
      </c>
      <c r="H251" s="50"/>
      <c r="I251" s="50"/>
      <c r="J251" s="47"/>
    </row>
    <row r="252" spans="1:10" s="47" customFormat="1" x14ac:dyDescent="0.2">
      <c r="A252" s="40"/>
      <c r="B252" s="40"/>
      <c r="C252" s="40"/>
      <c r="D252" s="40"/>
      <c r="E252" s="40"/>
      <c r="F252" s="40"/>
      <c r="G252" s="74" t="s">
        <v>619</v>
      </c>
      <c r="H252" s="109"/>
      <c r="I252" s="50"/>
    </row>
    <row r="253" spans="1:10" s="41" customFormat="1" ht="63" customHeight="1" x14ac:dyDescent="0.2">
      <c r="A253" s="40" t="s">
        <v>51</v>
      </c>
      <c r="B253" s="40" t="s">
        <v>51</v>
      </c>
      <c r="C253" s="76"/>
      <c r="D253" s="40">
        <f>D251+F251</f>
        <v>1234</v>
      </c>
      <c r="E253" s="40">
        <f t="shared" si="24"/>
        <v>1234</v>
      </c>
      <c r="F253" s="40">
        <v>1</v>
      </c>
      <c r="G253" s="67" t="s">
        <v>828</v>
      </c>
      <c r="H253" s="71" t="s">
        <v>655</v>
      </c>
      <c r="I253" s="129" t="s">
        <v>947</v>
      </c>
    </row>
    <row r="254" spans="1:10" s="44" customFormat="1" x14ac:dyDescent="0.2">
      <c r="A254" s="40"/>
      <c r="B254" s="40"/>
      <c r="C254" s="40"/>
      <c r="D254" s="40">
        <f>D253+F253</f>
        <v>1235</v>
      </c>
      <c r="E254" s="40">
        <f t="shared" si="24"/>
        <v>1249</v>
      </c>
      <c r="F254" s="40">
        <v>15</v>
      </c>
      <c r="G254" s="134" t="s">
        <v>623</v>
      </c>
      <c r="H254" s="50"/>
      <c r="I254" s="50"/>
      <c r="J254" s="47"/>
    </row>
    <row r="255" spans="1:10" s="47" customFormat="1" x14ac:dyDescent="0.2">
      <c r="A255" s="40"/>
      <c r="B255" s="40"/>
      <c r="C255" s="40"/>
      <c r="D255" s="40"/>
      <c r="E255" s="40"/>
      <c r="F255" s="40"/>
      <c r="G255" s="74" t="s">
        <v>620</v>
      </c>
      <c r="H255" s="109"/>
      <c r="I255" s="50"/>
    </row>
    <row r="256" spans="1:10" s="41" customFormat="1" ht="62.25" customHeight="1" x14ac:dyDescent="0.2">
      <c r="A256" s="40" t="s">
        <v>51</v>
      </c>
      <c r="B256" s="40" t="s">
        <v>51</v>
      </c>
      <c r="C256" s="76"/>
      <c r="D256" s="40">
        <f>D254+F254</f>
        <v>1250</v>
      </c>
      <c r="E256" s="40">
        <f t="shared" si="24"/>
        <v>1250</v>
      </c>
      <c r="F256" s="40">
        <v>1</v>
      </c>
      <c r="G256" s="67" t="s">
        <v>830</v>
      </c>
      <c r="H256" s="71" t="s">
        <v>655</v>
      </c>
      <c r="I256" s="129" t="s">
        <v>948</v>
      </c>
    </row>
    <row r="257" spans="1:12" s="54" customFormat="1" ht="113.25" customHeight="1" x14ac:dyDescent="0.2">
      <c r="A257" s="40" t="s">
        <v>51</v>
      </c>
      <c r="B257" s="40" t="s">
        <v>51</v>
      </c>
      <c r="C257" s="40"/>
      <c r="D257" s="40">
        <f>D256+F256</f>
        <v>1251</v>
      </c>
      <c r="E257" s="40">
        <f t="shared" si="24"/>
        <v>1251</v>
      </c>
      <c r="F257" s="40">
        <v>1</v>
      </c>
      <c r="G257" s="52" t="s">
        <v>366</v>
      </c>
      <c r="H257" s="71" t="s">
        <v>797</v>
      </c>
      <c r="I257" s="100"/>
      <c r="J257" s="53"/>
    </row>
    <row r="258" spans="1:12" x14ac:dyDescent="0.2">
      <c r="A258" s="39"/>
      <c r="B258" s="39"/>
      <c r="C258" s="40"/>
      <c r="D258" s="40">
        <f>D257+F257</f>
        <v>1252</v>
      </c>
      <c r="E258" s="40">
        <f t="shared" ref="E258:E268" si="25">D258+F258-1</f>
        <v>1259</v>
      </c>
      <c r="F258" s="40">
        <v>8</v>
      </c>
      <c r="G258" s="58" t="s">
        <v>623</v>
      </c>
      <c r="H258" s="71"/>
      <c r="I258" s="99"/>
    </row>
    <row r="259" spans="1:12" s="47" customFormat="1" x14ac:dyDescent="0.2">
      <c r="A259" s="133"/>
      <c r="B259" s="133"/>
      <c r="C259" s="133"/>
      <c r="D259" s="133"/>
      <c r="E259" s="133"/>
      <c r="F259" s="133"/>
      <c r="G259" s="77" t="s">
        <v>654</v>
      </c>
      <c r="H259" s="100"/>
      <c r="I259" s="106"/>
    </row>
    <row r="260" spans="1:12" s="47" customFormat="1" ht="25.5" x14ac:dyDescent="0.2">
      <c r="A260" s="133" t="s">
        <v>51</v>
      </c>
      <c r="B260" s="133" t="s">
        <v>51</v>
      </c>
      <c r="C260" s="133"/>
      <c r="D260" s="133">
        <f>D258+F258</f>
        <v>1260</v>
      </c>
      <c r="E260" s="133">
        <f t="shared" si="25"/>
        <v>1267</v>
      </c>
      <c r="F260" s="133">
        <v>8</v>
      </c>
      <c r="G260" s="134" t="s">
        <v>367</v>
      </c>
      <c r="H260" s="132" t="s">
        <v>872</v>
      </c>
      <c r="I260" s="132"/>
    </row>
    <row r="261" spans="1:12" s="47" customFormat="1" ht="43.5" customHeight="1" x14ac:dyDescent="0.2">
      <c r="A261" s="76" t="s">
        <v>51</v>
      </c>
      <c r="B261" s="76" t="s">
        <v>51</v>
      </c>
      <c r="C261" s="133"/>
      <c r="D261" s="133">
        <f t="shared" ref="D261:D270" si="26">D260+F260</f>
        <v>1268</v>
      </c>
      <c r="E261" s="133">
        <f t="shared" si="25"/>
        <v>1273</v>
      </c>
      <c r="F261" s="133">
        <v>6</v>
      </c>
      <c r="G261" s="67" t="s">
        <v>873</v>
      </c>
      <c r="H261" s="132" t="s">
        <v>886</v>
      </c>
      <c r="I261" s="132"/>
    </row>
    <row r="262" spans="1:12" s="47" customFormat="1" x14ac:dyDescent="0.2">
      <c r="A262" s="133"/>
      <c r="B262" s="133"/>
      <c r="C262" s="133"/>
      <c r="D262" s="133">
        <f t="shared" si="26"/>
        <v>1274</v>
      </c>
      <c r="E262" s="133">
        <f>D262+F262-1</f>
        <v>1283</v>
      </c>
      <c r="F262" s="133">
        <v>10</v>
      </c>
      <c r="G262" s="52" t="s">
        <v>623</v>
      </c>
      <c r="H262" s="132"/>
      <c r="I262" s="132"/>
    </row>
    <row r="263" spans="1:12" s="47" customFormat="1" ht="25.5" x14ac:dyDescent="0.2">
      <c r="A263" s="133" t="s">
        <v>51</v>
      </c>
      <c r="B263" s="133" t="s">
        <v>51</v>
      </c>
      <c r="C263" s="133"/>
      <c r="D263" s="133">
        <f t="shared" si="26"/>
        <v>1284</v>
      </c>
      <c r="E263" s="133">
        <f t="shared" si="25"/>
        <v>1290</v>
      </c>
      <c r="F263" s="133">
        <v>7</v>
      </c>
      <c r="G263" s="134" t="s">
        <v>368</v>
      </c>
      <c r="H263" s="132" t="s">
        <v>871</v>
      </c>
      <c r="I263" s="132"/>
    </row>
    <row r="264" spans="1:12" s="44" customFormat="1" x14ac:dyDescent="0.2">
      <c r="A264" s="40"/>
      <c r="B264" s="40"/>
      <c r="C264" s="40"/>
      <c r="D264" s="40">
        <f t="shared" si="26"/>
        <v>1291</v>
      </c>
      <c r="E264" s="40">
        <f>D264+F264-1</f>
        <v>1291</v>
      </c>
      <c r="F264" s="40">
        <v>1</v>
      </c>
      <c r="G264" s="78" t="s">
        <v>623</v>
      </c>
      <c r="H264" s="50"/>
      <c r="I264" s="50"/>
      <c r="J264" s="47"/>
    </row>
    <row r="265" spans="1:12" s="44" customFormat="1" ht="64.5" customHeight="1" x14ac:dyDescent="0.2">
      <c r="A265" s="76" t="s">
        <v>50</v>
      </c>
      <c r="B265" s="76" t="s">
        <v>50</v>
      </c>
      <c r="C265" s="59" t="s">
        <v>364</v>
      </c>
      <c r="D265" s="40">
        <f t="shared" si="26"/>
        <v>1292</v>
      </c>
      <c r="E265" s="40">
        <f t="shared" si="25"/>
        <v>1297</v>
      </c>
      <c r="F265" s="40">
        <v>6</v>
      </c>
      <c r="G265" s="51" t="s">
        <v>369</v>
      </c>
      <c r="H265" s="50" t="s">
        <v>56</v>
      </c>
      <c r="I265" s="50" t="s">
        <v>605</v>
      </c>
      <c r="J265" s="47"/>
    </row>
    <row r="266" spans="1:12" s="44" customFormat="1" ht="65.25" customHeight="1" x14ac:dyDescent="0.2">
      <c r="A266" s="76" t="s">
        <v>50</v>
      </c>
      <c r="B266" s="76" t="s">
        <v>50</v>
      </c>
      <c r="C266" s="59"/>
      <c r="D266" s="40">
        <f t="shared" si="26"/>
        <v>1298</v>
      </c>
      <c r="E266" s="40">
        <f t="shared" si="25"/>
        <v>1300</v>
      </c>
      <c r="F266" s="40">
        <v>3</v>
      </c>
      <c r="G266" s="79" t="s">
        <v>701</v>
      </c>
      <c r="H266" s="71" t="s">
        <v>798</v>
      </c>
      <c r="I266" s="187" t="s">
        <v>949</v>
      </c>
      <c r="J266" s="47"/>
    </row>
    <row r="267" spans="1:12" s="44" customFormat="1" ht="41.25" customHeight="1" x14ac:dyDescent="0.2">
      <c r="A267" s="76" t="s">
        <v>50</v>
      </c>
      <c r="B267" s="76" t="s">
        <v>50</v>
      </c>
      <c r="C267" s="59"/>
      <c r="D267" s="40">
        <f t="shared" si="26"/>
        <v>1301</v>
      </c>
      <c r="E267" s="40">
        <f t="shared" si="25"/>
        <v>1303</v>
      </c>
      <c r="F267" s="40">
        <v>3</v>
      </c>
      <c r="G267" s="58" t="s">
        <v>702</v>
      </c>
      <c r="H267" s="71" t="s">
        <v>799</v>
      </c>
      <c r="I267" s="188"/>
      <c r="J267" s="47"/>
    </row>
    <row r="268" spans="1:12" s="44" customFormat="1" ht="47.25" customHeight="1" x14ac:dyDescent="0.2">
      <c r="A268" s="76"/>
      <c r="B268" s="76"/>
      <c r="C268" s="59"/>
      <c r="D268" s="40">
        <f t="shared" si="26"/>
        <v>1304</v>
      </c>
      <c r="E268" s="40">
        <f t="shared" si="25"/>
        <v>1304</v>
      </c>
      <c r="F268" s="40">
        <v>1</v>
      </c>
      <c r="G268" s="78" t="s">
        <v>623</v>
      </c>
      <c r="H268" s="71"/>
      <c r="I268" s="105"/>
      <c r="J268" s="47"/>
    </row>
    <row r="269" spans="1:12" s="44" customFormat="1" ht="47.25" customHeight="1" x14ac:dyDescent="0.2">
      <c r="A269" s="40" t="s">
        <v>51</v>
      </c>
      <c r="B269" s="40" t="s">
        <v>51</v>
      </c>
      <c r="C269" s="40"/>
      <c r="D269" s="40">
        <f t="shared" si="26"/>
        <v>1305</v>
      </c>
      <c r="E269" s="40">
        <f>D269+F269-1</f>
        <v>1312</v>
      </c>
      <c r="F269" s="40">
        <v>8</v>
      </c>
      <c r="G269" s="46" t="s">
        <v>370</v>
      </c>
      <c r="H269" s="71" t="s">
        <v>870</v>
      </c>
      <c r="I269" s="50"/>
      <c r="J269" s="72"/>
      <c r="K269" s="73"/>
      <c r="L269" s="73"/>
    </row>
    <row r="270" spans="1:12" ht="47.25" customHeight="1" x14ac:dyDescent="0.2">
      <c r="A270" s="40" t="s">
        <v>50</v>
      </c>
      <c r="B270" s="40" t="s">
        <v>50</v>
      </c>
      <c r="C270" s="76" t="s">
        <v>726</v>
      </c>
      <c r="D270" s="40">
        <f t="shared" si="26"/>
        <v>1313</v>
      </c>
      <c r="E270" s="40">
        <f t="shared" ref="E270:E277" si="27">D270+F270-1</f>
        <v>1314</v>
      </c>
      <c r="F270" s="40">
        <v>2</v>
      </c>
      <c r="G270" s="67" t="s">
        <v>893</v>
      </c>
      <c r="H270" s="175" t="s">
        <v>800</v>
      </c>
      <c r="I270" s="185" t="s">
        <v>994</v>
      </c>
      <c r="J270" s="72"/>
      <c r="K270" s="73"/>
      <c r="L270" s="73"/>
    </row>
    <row r="271" spans="1:12" ht="48" customHeight="1" x14ac:dyDescent="0.2">
      <c r="A271" s="40" t="s">
        <v>50</v>
      </c>
      <c r="B271" s="40" t="s">
        <v>50</v>
      </c>
      <c r="C271" s="76" t="s">
        <v>726</v>
      </c>
      <c r="D271" s="40">
        <f t="shared" ref="D271:D277" si="28">D270+F270</f>
        <v>1315</v>
      </c>
      <c r="E271" s="40">
        <f t="shared" si="27"/>
        <v>1316</v>
      </c>
      <c r="F271" s="40">
        <v>2</v>
      </c>
      <c r="G271" s="67" t="s">
        <v>894</v>
      </c>
      <c r="H271" s="175"/>
      <c r="I271" s="193"/>
      <c r="J271" s="72"/>
      <c r="K271" s="73"/>
      <c r="L271" s="73"/>
    </row>
    <row r="272" spans="1:12" ht="48" customHeight="1" x14ac:dyDescent="0.2">
      <c r="A272" s="40" t="s">
        <v>50</v>
      </c>
      <c r="B272" s="40" t="s">
        <v>50</v>
      </c>
      <c r="C272" s="76" t="s">
        <v>726</v>
      </c>
      <c r="D272" s="40">
        <f t="shared" si="28"/>
        <v>1317</v>
      </c>
      <c r="E272" s="40">
        <f t="shared" si="27"/>
        <v>1318</v>
      </c>
      <c r="F272" s="40">
        <v>2</v>
      </c>
      <c r="G272" s="67" t="s">
        <v>895</v>
      </c>
      <c r="H272" s="175"/>
      <c r="I272" s="193"/>
      <c r="J272" s="72"/>
      <c r="K272" s="73"/>
      <c r="L272" s="73"/>
    </row>
    <row r="273" spans="1:10" ht="51" customHeight="1" x14ac:dyDescent="0.2">
      <c r="A273" s="40" t="s">
        <v>50</v>
      </c>
      <c r="B273" s="40" t="s">
        <v>50</v>
      </c>
      <c r="C273" s="76" t="s">
        <v>726</v>
      </c>
      <c r="D273" s="40">
        <f t="shared" si="28"/>
        <v>1319</v>
      </c>
      <c r="E273" s="40">
        <f t="shared" si="27"/>
        <v>1320</v>
      </c>
      <c r="F273" s="40">
        <v>2</v>
      </c>
      <c r="G273" s="67" t="s">
        <v>896</v>
      </c>
      <c r="H273" s="175"/>
      <c r="I273" s="193"/>
      <c r="J273" s="26"/>
    </row>
    <row r="274" spans="1:10" ht="75" customHeight="1" x14ac:dyDescent="0.2">
      <c r="A274" s="39" t="s">
        <v>50</v>
      </c>
      <c r="B274" s="39" t="s">
        <v>50</v>
      </c>
      <c r="D274" s="40">
        <f t="shared" si="28"/>
        <v>1321</v>
      </c>
      <c r="E274" s="40">
        <f t="shared" si="27"/>
        <v>1323</v>
      </c>
      <c r="F274" s="40">
        <v>3</v>
      </c>
      <c r="G274" s="67" t="s">
        <v>847</v>
      </c>
      <c r="H274" s="101" t="s">
        <v>848</v>
      </c>
      <c r="I274" s="103" t="s">
        <v>857</v>
      </c>
      <c r="J274" s="26"/>
    </row>
    <row r="275" spans="1:10" x14ac:dyDescent="0.2">
      <c r="A275" s="32" t="s">
        <v>51</v>
      </c>
      <c r="B275" s="32" t="s">
        <v>51</v>
      </c>
      <c r="D275" s="40">
        <f t="shared" si="28"/>
        <v>1324</v>
      </c>
      <c r="E275" s="40">
        <f t="shared" si="27"/>
        <v>1343</v>
      </c>
      <c r="F275" s="40">
        <v>20</v>
      </c>
      <c r="G275" s="46" t="s">
        <v>2</v>
      </c>
      <c r="H275" s="101"/>
      <c r="I275" s="112" t="s">
        <v>849</v>
      </c>
      <c r="J275" s="26"/>
    </row>
    <row r="276" spans="1:10" x14ac:dyDescent="0.2">
      <c r="A276" s="32" t="s">
        <v>51</v>
      </c>
      <c r="B276" s="32" t="s">
        <v>51</v>
      </c>
      <c r="D276" s="40">
        <f t="shared" si="28"/>
        <v>1344</v>
      </c>
      <c r="E276" s="40">
        <f t="shared" si="27"/>
        <v>1363</v>
      </c>
      <c r="F276" s="40">
        <v>20</v>
      </c>
      <c r="G276" s="46" t="s">
        <v>3</v>
      </c>
      <c r="H276" s="101"/>
      <c r="I276" s="112" t="s">
        <v>849</v>
      </c>
      <c r="J276" s="26"/>
    </row>
    <row r="277" spans="1:10" x14ac:dyDescent="0.2">
      <c r="A277" s="32" t="s">
        <v>50</v>
      </c>
      <c r="B277" s="32" t="s">
        <v>50</v>
      </c>
      <c r="D277" s="40">
        <f t="shared" si="28"/>
        <v>1364</v>
      </c>
      <c r="E277" s="40">
        <f t="shared" si="27"/>
        <v>1382</v>
      </c>
      <c r="F277" s="40">
        <v>19</v>
      </c>
      <c r="G277" s="46" t="s">
        <v>52</v>
      </c>
      <c r="H277" s="50" t="s">
        <v>64</v>
      </c>
      <c r="I277" s="50" t="s">
        <v>53</v>
      </c>
      <c r="J277" s="26"/>
    </row>
    <row r="278" spans="1:10" x14ac:dyDescent="0.2">
      <c r="D278" s="60"/>
      <c r="E278" s="32"/>
      <c r="F278" s="32"/>
      <c r="G278" s="30"/>
      <c r="H278" s="110"/>
      <c r="I278" s="107"/>
      <c r="J278" s="26"/>
    </row>
    <row r="279" spans="1:10" ht="18" x14ac:dyDescent="0.2">
      <c r="C279" s="183" t="s">
        <v>371</v>
      </c>
      <c r="D279" s="184"/>
      <c r="E279" s="61">
        <v>1382</v>
      </c>
      <c r="F279" s="32"/>
      <c r="G279" s="62"/>
      <c r="H279" s="110"/>
      <c r="I279" s="25"/>
      <c r="J279" s="26"/>
    </row>
    <row r="280" spans="1:10" x14ac:dyDescent="0.2">
      <c r="D280" s="48"/>
      <c r="F280" s="32"/>
      <c r="G280" s="30"/>
      <c r="H280" s="111"/>
      <c r="I280" s="25"/>
      <c r="J280" s="26"/>
    </row>
    <row r="281" spans="1:10" x14ac:dyDescent="0.2">
      <c r="D281" s="48"/>
      <c r="F281" s="32"/>
      <c r="G281" s="30"/>
      <c r="H281" s="111"/>
      <c r="I281" s="25"/>
      <c r="J281" s="26"/>
    </row>
    <row r="282" spans="1:10" x14ac:dyDescent="0.2">
      <c r="D282" s="48"/>
      <c r="F282" s="32"/>
      <c r="G282" s="30"/>
      <c r="H282" s="111"/>
      <c r="I282" s="25"/>
      <c r="J282" s="26"/>
    </row>
    <row r="283" spans="1:10" x14ac:dyDescent="0.2">
      <c r="D283" s="48"/>
      <c r="F283" s="32"/>
      <c r="G283" s="30"/>
      <c r="H283" s="111"/>
      <c r="I283" s="25"/>
      <c r="J283" s="26"/>
    </row>
    <row r="284" spans="1:10" x14ac:dyDescent="0.2">
      <c r="D284" s="48"/>
      <c r="F284" s="32"/>
      <c r="G284" s="30"/>
      <c r="H284" s="101"/>
      <c r="I284" s="25"/>
      <c r="J284" s="26"/>
    </row>
    <row r="285" spans="1:10" x14ac:dyDescent="0.2">
      <c r="D285" s="48"/>
      <c r="F285" s="32"/>
      <c r="G285" s="30"/>
      <c r="H285" s="101"/>
      <c r="I285" s="25"/>
      <c r="J285" s="26"/>
    </row>
    <row r="286" spans="1:10" x14ac:dyDescent="0.2">
      <c r="D286" s="48"/>
      <c r="F286" s="32"/>
      <c r="G286" s="30"/>
      <c r="H286" s="101"/>
      <c r="I286" s="25"/>
      <c r="J286" s="26"/>
    </row>
    <row r="287" spans="1:10" x14ac:dyDescent="0.2">
      <c r="D287" s="48"/>
      <c r="F287" s="32"/>
      <c r="G287" s="30"/>
      <c r="H287" s="101"/>
      <c r="I287" s="25"/>
      <c r="J287" s="26"/>
    </row>
    <row r="288" spans="1:10" x14ac:dyDescent="0.2">
      <c r="D288" s="48"/>
      <c r="F288" s="32"/>
      <c r="G288" s="30"/>
      <c r="H288" s="101"/>
      <c r="I288" s="25"/>
    </row>
    <row r="289" spans="4:8" x14ac:dyDescent="0.2">
      <c r="D289" s="48"/>
      <c r="F289" s="32"/>
      <c r="G289" s="31"/>
      <c r="H289" s="107"/>
    </row>
    <row r="290" spans="4:8" x14ac:dyDescent="0.2">
      <c r="D290" s="48"/>
      <c r="F290" s="32"/>
      <c r="G290" s="31"/>
      <c r="H290" s="107"/>
    </row>
    <row r="291" spans="4:8" x14ac:dyDescent="0.2">
      <c r="D291" s="48"/>
      <c r="F291" s="32"/>
      <c r="G291" s="31"/>
      <c r="H291" s="107"/>
    </row>
    <row r="292" spans="4:8" x14ac:dyDescent="0.2">
      <c r="D292" s="48"/>
      <c r="F292" s="32"/>
      <c r="G292" s="31"/>
      <c r="H292" s="107"/>
    </row>
    <row r="293" spans="4:8" x14ac:dyDescent="0.2">
      <c r="D293" s="48"/>
      <c r="F293" s="32"/>
      <c r="G293" s="31"/>
      <c r="H293" s="107"/>
    </row>
    <row r="294" spans="4:8" x14ac:dyDescent="0.2">
      <c r="D294" s="48"/>
      <c r="F294" s="32"/>
      <c r="G294" s="31"/>
      <c r="H294" s="107"/>
    </row>
    <row r="295" spans="4:8" x14ac:dyDescent="0.2">
      <c r="D295" s="48"/>
      <c r="F295" s="32"/>
      <c r="G295" s="31"/>
      <c r="H295" s="107"/>
    </row>
    <row r="296" spans="4:8" x14ac:dyDescent="0.2">
      <c r="F296" s="32"/>
      <c r="G296" s="31"/>
      <c r="H296" s="107"/>
    </row>
    <row r="297" spans="4:8" x14ac:dyDescent="0.2">
      <c r="F297" s="32"/>
      <c r="G297" s="31"/>
      <c r="H297" s="107"/>
    </row>
    <row r="298" spans="4:8" x14ac:dyDescent="0.2">
      <c r="F298" s="32"/>
      <c r="G298" s="31"/>
      <c r="H298" s="107"/>
    </row>
    <row r="299" spans="4:8" x14ac:dyDescent="0.2">
      <c r="F299" s="32"/>
      <c r="G299" s="31"/>
      <c r="H299" s="107"/>
    </row>
    <row r="300" spans="4:8" x14ac:dyDescent="0.2">
      <c r="F300" s="32"/>
      <c r="G300" s="31"/>
      <c r="H300" s="107"/>
    </row>
    <row r="301" spans="4:8" x14ac:dyDescent="0.2">
      <c r="F301" s="32"/>
      <c r="G301" s="31"/>
      <c r="H301" s="107"/>
    </row>
    <row r="302" spans="4:8" x14ac:dyDescent="0.2">
      <c r="F302" s="32"/>
      <c r="G302" s="31"/>
      <c r="H302" s="107"/>
    </row>
    <row r="303" spans="4:8" x14ac:dyDescent="0.2">
      <c r="F303" s="32"/>
      <c r="G303" s="31"/>
    </row>
    <row r="304" spans="4:8" x14ac:dyDescent="0.2">
      <c r="F304" s="32"/>
      <c r="G304" s="31"/>
    </row>
    <row r="305" spans="6:7" x14ac:dyDescent="0.2">
      <c r="F305" s="32"/>
      <c r="G305" s="31"/>
    </row>
    <row r="306" spans="6:7" x14ac:dyDescent="0.2">
      <c r="F306" s="32"/>
      <c r="G306" s="31"/>
    </row>
    <row r="307" spans="6:7" x14ac:dyDescent="0.2">
      <c r="F307" s="32"/>
      <c r="G307" s="31"/>
    </row>
    <row r="308" spans="6:7" x14ac:dyDescent="0.2">
      <c r="F308" s="32"/>
      <c r="G308" s="31"/>
    </row>
    <row r="309" spans="6:7" x14ac:dyDescent="0.2">
      <c r="F309" s="32"/>
      <c r="G309" s="31"/>
    </row>
    <row r="310" spans="6:7" x14ac:dyDescent="0.2">
      <c r="F310" s="32"/>
      <c r="G310" s="31"/>
    </row>
    <row r="311" spans="6:7" x14ac:dyDescent="0.2">
      <c r="F311" s="32"/>
      <c r="G311" s="31"/>
    </row>
    <row r="312" spans="6:7" x14ac:dyDescent="0.2">
      <c r="F312" s="32"/>
      <c r="G312" s="31"/>
    </row>
    <row r="313" spans="6:7" x14ac:dyDescent="0.2">
      <c r="F313" s="32"/>
      <c r="G313" s="31"/>
    </row>
    <row r="314" spans="6:7" x14ac:dyDescent="0.2">
      <c r="F314" s="32"/>
      <c r="G314" s="31"/>
    </row>
    <row r="315" spans="6:7" x14ac:dyDescent="0.2">
      <c r="F315" s="32"/>
      <c r="G315" s="31"/>
    </row>
    <row r="316" spans="6:7" x14ac:dyDescent="0.2">
      <c r="F316" s="32"/>
      <c r="G316" s="31"/>
    </row>
    <row r="317" spans="6:7" x14ac:dyDescent="0.2">
      <c r="F317" s="32"/>
      <c r="G317" s="31"/>
    </row>
    <row r="318" spans="6:7" x14ac:dyDescent="0.2">
      <c r="F318" s="32"/>
      <c r="G318" s="31"/>
    </row>
    <row r="319" spans="6:7" x14ac:dyDescent="0.2">
      <c r="F319" s="32"/>
      <c r="G319" s="31"/>
    </row>
    <row r="320" spans="6:7" x14ac:dyDescent="0.2">
      <c r="F320" s="32"/>
      <c r="G320" s="31"/>
    </row>
    <row r="321" spans="6:7" x14ac:dyDescent="0.2">
      <c r="F321" s="32"/>
      <c r="G321" s="31"/>
    </row>
    <row r="322" spans="6:7" x14ac:dyDescent="0.2">
      <c r="F322" s="32"/>
      <c r="G322" s="31"/>
    </row>
    <row r="323" spans="6:7" x14ac:dyDescent="0.2">
      <c r="F323" s="32"/>
      <c r="G323" s="31"/>
    </row>
    <row r="324" spans="6:7" x14ac:dyDescent="0.2">
      <c r="F324" s="32"/>
      <c r="G324" s="31"/>
    </row>
    <row r="325" spans="6:7" x14ac:dyDescent="0.2">
      <c r="F325" s="32"/>
      <c r="G325" s="31"/>
    </row>
    <row r="326" spans="6:7" x14ac:dyDescent="0.2">
      <c r="F326" s="32"/>
      <c r="G326" s="31"/>
    </row>
    <row r="327" spans="6:7" x14ac:dyDescent="0.2">
      <c r="F327" s="32"/>
      <c r="G327" s="31"/>
    </row>
    <row r="328" spans="6:7" x14ac:dyDescent="0.2">
      <c r="F328" s="32"/>
      <c r="G328" s="31"/>
    </row>
    <row r="329" spans="6:7" x14ac:dyDescent="0.2">
      <c r="F329" s="32"/>
      <c r="G329" s="31"/>
    </row>
    <row r="330" spans="6:7" x14ac:dyDescent="0.2">
      <c r="F330" s="32"/>
      <c r="G330" s="31"/>
    </row>
    <row r="331" spans="6:7" x14ac:dyDescent="0.2">
      <c r="F331" s="32"/>
      <c r="G331" s="31"/>
    </row>
    <row r="332" spans="6:7" x14ac:dyDescent="0.2">
      <c r="F332" s="32"/>
      <c r="G332" s="31"/>
    </row>
    <row r="333" spans="6:7" x14ac:dyDescent="0.2">
      <c r="F333" s="32"/>
      <c r="G333" s="31"/>
    </row>
    <row r="334" spans="6:7" x14ac:dyDescent="0.2">
      <c r="F334" s="32"/>
      <c r="G334" s="31"/>
    </row>
    <row r="335" spans="6:7" x14ac:dyDescent="0.2">
      <c r="F335" s="32"/>
      <c r="G335" s="31"/>
    </row>
    <row r="336" spans="6:7" x14ac:dyDescent="0.2">
      <c r="G336" s="31"/>
    </row>
    <row r="337" spans="7:7" x14ac:dyDescent="0.2">
      <c r="G337" s="31"/>
    </row>
    <row r="338" spans="7:7" x14ac:dyDescent="0.2">
      <c r="G338" s="31"/>
    </row>
    <row r="339" spans="7:7" x14ac:dyDescent="0.2">
      <c r="G339" s="31"/>
    </row>
    <row r="340" spans="7:7" x14ac:dyDescent="0.2">
      <c r="G340" s="31"/>
    </row>
    <row r="341" spans="7:7" x14ac:dyDescent="0.2">
      <c r="G341" s="31"/>
    </row>
    <row r="342" spans="7:7" x14ac:dyDescent="0.2">
      <c r="G342" s="31"/>
    </row>
    <row r="343" spans="7:7" x14ac:dyDescent="0.2">
      <c r="G343" s="31"/>
    </row>
    <row r="344" spans="7:7" x14ac:dyDescent="0.2">
      <c r="G344" s="31"/>
    </row>
    <row r="345" spans="7:7" x14ac:dyDescent="0.2">
      <c r="G345" s="31"/>
    </row>
    <row r="346" spans="7:7" x14ac:dyDescent="0.2">
      <c r="G346" s="31"/>
    </row>
    <row r="347" spans="7:7" x14ac:dyDescent="0.2">
      <c r="G347" s="31"/>
    </row>
    <row r="348" spans="7:7" x14ac:dyDescent="0.2">
      <c r="G348" s="31"/>
    </row>
    <row r="349" spans="7:7" x14ac:dyDescent="0.2">
      <c r="G349" s="31"/>
    </row>
    <row r="350" spans="7:7" x14ac:dyDescent="0.2">
      <c r="G350" s="31"/>
    </row>
    <row r="351" spans="7:7" x14ac:dyDescent="0.2">
      <c r="G351" s="31"/>
    </row>
    <row r="352" spans="7:7" x14ac:dyDescent="0.2">
      <c r="G352" s="31"/>
    </row>
    <row r="353" spans="7:7" x14ac:dyDescent="0.2">
      <c r="G353" s="31"/>
    </row>
    <row r="354" spans="7:7" x14ac:dyDescent="0.2">
      <c r="G354" s="31"/>
    </row>
    <row r="355" spans="7:7" x14ac:dyDescent="0.2">
      <c r="G355" s="31"/>
    </row>
    <row r="356" spans="7:7" x14ac:dyDescent="0.2">
      <c r="G356" s="31"/>
    </row>
    <row r="357" spans="7:7" x14ac:dyDescent="0.2">
      <c r="G357" s="31"/>
    </row>
    <row r="358" spans="7:7" x14ac:dyDescent="0.2">
      <c r="G358" s="31"/>
    </row>
    <row r="359" spans="7:7" x14ac:dyDescent="0.2">
      <c r="G359" s="31"/>
    </row>
    <row r="360" spans="7:7" x14ac:dyDescent="0.2">
      <c r="G360" s="31"/>
    </row>
    <row r="361" spans="7:7" x14ac:dyDescent="0.2">
      <c r="G361" s="31"/>
    </row>
    <row r="362" spans="7:7" x14ac:dyDescent="0.2">
      <c r="G362" s="31"/>
    </row>
    <row r="363" spans="7:7" x14ac:dyDescent="0.2">
      <c r="G363" s="31"/>
    </row>
    <row r="364" spans="7:7" x14ac:dyDescent="0.2">
      <c r="G364" s="31"/>
    </row>
    <row r="365" spans="7:7" x14ac:dyDescent="0.2">
      <c r="G365" s="31"/>
    </row>
    <row r="366" spans="7:7" x14ac:dyDescent="0.2">
      <c r="G366" s="31"/>
    </row>
    <row r="367" spans="7:7" x14ac:dyDescent="0.2">
      <c r="G367" s="31"/>
    </row>
    <row r="368" spans="7:7" x14ac:dyDescent="0.2">
      <c r="G368" s="31"/>
    </row>
    <row r="369" spans="7:7" x14ac:dyDescent="0.2">
      <c r="G369" s="31"/>
    </row>
    <row r="370" spans="7:7" x14ac:dyDescent="0.2">
      <c r="G370" s="31"/>
    </row>
    <row r="371" spans="7:7" x14ac:dyDescent="0.2">
      <c r="G371" s="31"/>
    </row>
    <row r="372" spans="7:7" x14ac:dyDescent="0.2">
      <c r="G372" s="31"/>
    </row>
    <row r="373" spans="7:7" x14ac:dyDescent="0.2">
      <c r="G373" s="31"/>
    </row>
    <row r="374" spans="7:7" x14ac:dyDescent="0.2">
      <c r="G374" s="31"/>
    </row>
    <row r="375" spans="7:7" x14ac:dyDescent="0.2">
      <c r="G375" s="31"/>
    </row>
    <row r="376" spans="7:7" x14ac:dyDescent="0.2">
      <c r="G376" s="31"/>
    </row>
    <row r="377" spans="7:7" x14ac:dyDescent="0.2">
      <c r="G377" s="31"/>
    </row>
    <row r="378" spans="7:7" x14ac:dyDescent="0.2">
      <c r="G378" s="31"/>
    </row>
    <row r="379" spans="7:7" x14ac:dyDescent="0.2">
      <c r="G379" s="31"/>
    </row>
    <row r="380" spans="7:7" x14ac:dyDescent="0.2">
      <c r="G380" s="31"/>
    </row>
    <row r="381" spans="7:7" x14ac:dyDescent="0.2">
      <c r="G381" s="31"/>
    </row>
    <row r="382" spans="7:7" x14ac:dyDescent="0.2">
      <c r="G382" s="31"/>
    </row>
    <row r="383" spans="7:7" x14ac:dyDescent="0.2">
      <c r="G383" s="31"/>
    </row>
    <row r="384" spans="7:7" x14ac:dyDescent="0.2">
      <c r="G384" s="31"/>
    </row>
    <row r="385" spans="7:7" x14ac:dyDescent="0.2">
      <c r="G385" s="31"/>
    </row>
    <row r="386" spans="7:7" x14ac:dyDescent="0.2">
      <c r="G386" s="31"/>
    </row>
    <row r="387" spans="7:7" x14ac:dyDescent="0.2">
      <c r="G387" s="31"/>
    </row>
    <row r="388" spans="7:7" x14ac:dyDescent="0.2">
      <c r="G388" s="31"/>
    </row>
    <row r="389" spans="7:7" x14ac:dyDescent="0.2">
      <c r="G389" s="31"/>
    </row>
    <row r="390" spans="7:7" x14ac:dyDescent="0.2">
      <c r="G390" s="31"/>
    </row>
    <row r="391" spans="7:7" x14ac:dyDescent="0.2">
      <c r="G391" s="31"/>
    </row>
    <row r="392" spans="7:7" x14ac:dyDescent="0.2">
      <c r="G392" s="31"/>
    </row>
    <row r="393" spans="7:7" x14ac:dyDescent="0.2">
      <c r="G393" s="31"/>
    </row>
    <row r="394" spans="7:7" x14ac:dyDescent="0.2">
      <c r="G394" s="31"/>
    </row>
    <row r="395" spans="7:7" x14ac:dyDescent="0.2">
      <c r="G395" s="31"/>
    </row>
    <row r="396" spans="7:7" x14ac:dyDescent="0.2">
      <c r="G396" s="31"/>
    </row>
    <row r="397" spans="7:7" x14ac:dyDescent="0.2">
      <c r="G397" s="31"/>
    </row>
    <row r="398" spans="7:7" x14ac:dyDescent="0.2">
      <c r="G398" s="31"/>
    </row>
    <row r="399" spans="7:7" x14ac:dyDescent="0.2">
      <c r="G399" s="31"/>
    </row>
    <row r="400" spans="7:7" x14ac:dyDescent="0.2">
      <c r="G400" s="31"/>
    </row>
    <row r="401" spans="7:7" x14ac:dyDescent="0.2">
      <c r="G401" s="31"/>
    </row>
    <row r="402" spans="7:7" x14ac:dyDescent="0.2">
      <c r="G402" s="31"/>
    </row>
    <row r="403" spans="7:7" x14ac:dyDescent="0.2">
      <c r="G403" s="31"/>
    </row>
    <row r="404" spans="7:7" x14ac:dyDescent="0.2">
      <c r="G404" s="31"/>
    </row>
    <row r="405" spans="7:7" x14ac:dyDescent="0.2">
      <c r="G405" s="31"/>
    </row>
    <row r="406" spans="7:7" x14ac:dyDescent="0.2">
      <c r="G406" s="31"/>
    </row>
    <row r="407" spans="7:7" x14ac:dyDescent="0.2">
      <c r="G407" s="31"/>
    </row>
    <row r="408" spans="7:7" x14ac:dyDescent="0.2">
      <c r="G408" s="31"/>
    </row>
    <row r="409" spans="7:7" x14ac:dyDescent="0.2">
      <c r="G409" s="31"/>
    </row>
    <row r="410" spans="7:7" x14ac:dyDescent="0.2">
      <c r="G410" s="31"/>
    </row>
    <row r="411" spans="7:7" x14ac:dyDescent="0.2">
      <c r="G411" s="31"/>
    </row>
    <row r="412" spans="7:7" x14ac:dyDescent="0.2">
      <c r="G412" s="31"/>
    </row>
    <row r="413" spans="7:7" x14ac:dyDescent="0.2">
      <c r="G413" s="31"/>
    </row>
    <row r="414" spans="7:7" x14ac:dyDescent="0.2">
      <c r="G414" s="31"/>
    </row>
    <row r="415" spans="7:7" x14ac:dyDescent="0.2">
      <c r="G415" s="31"/>
    </row>
    <row r="416" spans="7:7" x14ac:dyDescent="0.2">
      <c r="G416" s="31"/>
    </row>
    <row r="417" spans="7:7" x14ac:dyDescent="0.2">
      <c r="G417" s="31"/>
    </row>
    <row r="418" spans="7:7" x14ac:dyDescent="0.2">
      <c r="G418" s="31"/>
    </row>
    <row r="419" spans="7:7" x14ac:dyDescent="0.2">
      <c r="G419" s="31"/>
    </row>
    <row r="420" spans="7:7" x14ac:dyDescent="0.2">
      <c r="G420" s="31"/>
    </row>
    <row r="421" spans="7:7" x14ac:dyDescent="0.2">
      <c r="G421" s="31"/>
    </row>
    <row r="422" spans="7:7" x14ac:dyDescent="0.2">
      <c r="G422" s="31"/>
    </row>
    <row r="423" spans="7:7" x14ac:dyDescent="0.2">
      <c r="G423" s="31"/>
    </row>
    <row r="424" spans="7:7" x14ac:dyDescent="0.2">
      <c r="G424" s="31"/>
    </row>
    <row r="425" spans="7:7" x14ac:dyDescent="0.2">
      <c r="G425" s="31"/>
    </row>
    <row r="426" spans="7:7" x14ac:dyDescent="0.2">
      <c r="G426" s="31"/>
    </row>
    <row r="427" spans="7:7" x14ac:dyDescent="0.2">
      <c r="G427" s="31"/>
    </row>
    <row r="428" spans="7:7" x14ac:dyDescent="0.2">
      <c r="G428" s="31"/>
    </row>
    <row r="429" spans="7:7" x14ac:dyDescent="0.2">
      <c r="G429" s="31"/>
    </row>
    <row r="430" spans="7:7" x14ac:dyDescent="0.2">
      <c r="G430" s="31"/>
    </row>
    <row r="431" spans="7:7" x14ac:dyDescent="0.2">
      <c r="G431" s="31"/>
    </row>
    <row r="432" spans="7:7" x14ac:dyDescent="0.2">
      <c r="G432" s="31"/>
    </row>
    <row r="433" spans="7:7" x14ac:dyDescent="0.2">
      <c r="G433" s="31"/>
    </row>
    <row r="434" spans="7:7" x14ac:dyDescent="0.2">
      <c r="G434" s="31"/>
    </row>
    <row r="435" spans="7:7" x14ac:dyDescent="0.2">
      <c r="G435" s="31"/>
    </row>
    <row r="436" spans="7:7" x14ac:dyDescent="0.2">
      <c r="G436" s="31"/>
    </row>
    <row r="437" spans="7:7" x14ac:dyDescent="0.2">
      <c r="G437" s="31"/>
    </row>
    <row r="438" spans="7:7" x14ac:dyDescent="0.2">
      <c r="G438" s="31"/>
    </row>
    <row r="439" spans="7:7" x14ac:dyDescent="0.2">
      <c r="G439" s="31"/>
    </row>
    <row r="440" spans="7:7" x14ac:dyDescent="0.2">
      <c r="G440" s="31"/>
    </row>
    <row r="441" spans="7:7" x14ac:dyDescent="0.2">
      <c r="G441" s="31"/>
    </row>
    <row r="442" spans="7:7" x14ac:dyDescent="0.2">
      <c r="G442" s="31"/>
    </row>
    <row r="443" spans="7:7" x14ac:dyDescent="0.2">
      <c r="G443" s="31"/>
    </row>
    <row r="444" spans="7:7" x14ac:dyDescent="0.2">
      <c r="G444" s="31"/>
    </row>
    <row r="445" spans="7:7" x14ac:dyDescent="0.2">
      <c r="G445" s="31"/>
    </row>
    <row r="446" spans="7:7" x14ac:dyDescent="0.2">
      <c r="G446" s="31"/>
    </row>
    <row r="447" spans="7:7" x14ac:dyDescent="0.2">
      <c r="G447" s="31"/>
    </row>
    <row r="448" spans="7:7" x14ac:dyDescent="0.2">
      <c r="G448" s="31"/>
    </row>
    <row r="449" spans="7:7" x14ac:dyDescent="0.2">
      <c r="G449" s="31"/>
    </row>
    <row r="450" spans="7:7" x14ac:dyDescent="0.2">
      <c r="G450" s="31"/>
    </row>
    <row r="451" spans="7:7" x14ac:dyDescent="0.2">
      <c r="G451" s="31"/>
    </row>
    <row r="452" spans="7:7" x14ac:dyDescent="0.2">
      <c r="G452" s="31"/>
    </row>
    <row r="453" spans="7:7" x14ac:dyDescent="0.2">
      <c r="G453" s="31"/>
    </row>
    <row r="454" spans="7:7" x14ac:dyDescent="0.2">
      <c r="G454" s="31"/>
    </row>
    <row r="455" spans="7:7" x14ac:dyDescent="0.2">
      <c r="G455" s="31"/>
    </row>
    <row r="456" spans="7:7" x14ac:dyDescent="0.2">
      <c r="G456" s="31"/>
    </row>
    <row r="457" spans="7:7" x14ac:dyDescent="0.2">
      <c r="G457" s="31"/>
    </row>
    <row r="458" spans="7:7" x14ac:dyDescent="0.2">
      <c r="G458" s="31"/>
    </row>
    <row r="459" spans="7:7" x14ac:dyDescent="0.2">
      <c r="G459" s="31"/>
    </row>
    <row r="460" spans="7:7" x14ac:dyDescent="0.2">
      <c r="G460" s="31"/>
    </row>
    <row r="461" spans="7:7" x14ac:dyDescent="0.2">
      <c r="G461" s="31"/>
    </row>
    <row r="462" spans="7:7" x14ac:dyDescent="0.2">
      <c r="G462" s="31"/>
    </row>
    <row r="463" spans="7:7" x14ac:dyDescent="0.2">
      <c r="G463" s="31"/>
    </row>
    <row r="464" spans="7:7" x14ac:dyDescent="0.2">
      <c r="G464" s="31"/>
    </row>
    <row r="465" spans="7:7" x14ac:dyDescent="0.2">
      <c r="G465" s="31"/>
    </row>
    <row r="466" spans="7:7" x14ac:dyDescent="0.2">
      <c r="G466" s="31"/>
    </row>
    <row r="467" spans="7:7" x14ac:dyDescent="0.2">
      <c r="G467" s="31"/>
    </row>
    <row r="468" spans="7:7" x14ac:dyDescent="0.2">
      <c r="G468" s="31"/>
    </row>
    <row r="469" spans="7:7" x14ac:dyDescent="0.2">
      <c r="G469" s="31"/>
    </row>
    <row r="470" spans="7:7" x14ac:dyDescent="0.2">
      <c r="G470" s="31"/>
    </row>
    <row r="471" spans="7:7" x14ac:dyDescent="0.2">
      <c r="G471" s="31"/>
    </row>
    <row r="472" spans="7:7" x14ac:dyDescent="0.2">
      <c r="G472" s="31"/>
    </row>
    <row r="473" spans="7:7" x14ac:dyDescent="0.2">
      <c r="G473" s="31"/>
    </row>
    <row r="474" spans="7:7" x14ac:dyDescent="0.2">
      <c r="G474" s="31"/>
    </row>
    <row r="475" spans="7:7" x14ac:dyDescent="0.2">
      <c r="G475" s="31"/>
    </row>
    <row r="476" spans="7:7" x14ac:dyDescent="0.2">
      <c r="G476" s="31"/>
    </row>
    <row r="477" spans="7:7" x14ac:dyDescent="0.2">
      <c r="G477" s="31"/>
    </row>
    <row r="478" spans="7:7" x14ac:dyDescent="0.2">
      <c r="G478" s="31"/>
    </row>
    <row r="479" spans="7:7" x14ac:dyDescent="0.2">
      <c r="G479" s="31"/>
    </row>
    <row r="480" spans="7:7" x14ac:dyDescent="0.2">
      <c r="G480" s="31"/>
    </row>
    <row r="481" spans="7:7" x14ac:dyDescent="0.2">
      <c r="G481" s="31"/>
    </row>
    <row r="482" spans="7:7" x14ac:dyDescent="0.2">
      <c r="G482" s="31"/>
    </row>
    <row r="483" spans="7:7" x14ac:dyDescent="0.2">
      <c r="G483" s="31"/>
    </row>
    <row r="484" spans="7:7" x14ac:dyDescent="0.2">
      <c r="G484" s="31"/>
    </row>
    <row r="485" spans="7:7" x14ac:dyDescent="0.2">
      <c r="G485" s="31"/>
    </row>
    <row r="486" spans="7:7" x14ac:dyDescent="0.2">
      <c r="G486" s="31"/>
    </row>
    <row r="487" spans="7:7" x14ac:dyDescent="0.2">
      <c r="G487" s="31"/>
    </row>
    <row r="488" spans="7:7" x14ac:dyDescent="0.2">
      <c r="G488" s="31"/>
    </row>
    <row r="489" spans="7:7" x14ac:dyDescent="0.2">
      <c r="G489" s="31"/>
    </row>
    <row r="490" spans="7:7" x14ac:dyDescent="0.2">
      <c r="G490" s="31"/>
    </row>
    <row r="491" spans="7:7" x14ac:dyDescent="0.2">
      <c r="G491" s="31"/>
    </row>
    <row r="492" spans="7:7" x14ac:dyDescent="0.2">
      <c r="G492" s="31"/>
    </row>
    <row r="493" spans="7:7" x14ac:dyDescent="0.2">
      <c r="G493" s="31"/>
    </row>
    <row r="494" spans="7:7" x14ac:dyDescent="0.2">
      <c r="G494" s="31"/>
    </row>
    <row r="495" spans="7:7" x14ac:dyDescent="0.2">
      <c r="G495" s="31"/>
    </row>
    <row r="496" spans="7:7" x14ac:dyDescent="0.2">
      <c r="G496" s="31"/>
    </row>
    <row r="497" spans="7:7" x14ac:dyDescent="0.2">
      <c r="G497" s="31"/>
    </row>
    <row r="498" spans="7:7" x14ac:dyDescent="0.2">
      <c r="G498" s="31"/>
    </row>
    <row r="499" spans="7:7" x14ac:dyDescent="0.2">
      <c r="G499" s="31"/>
    </row>
    <row r="500" spans="7:7" x14ac:dyDescent="0.2">
      <c r="G500" s="31"/>
    </row>
    <row r="501" spans="7:7" x14ac:dyDescent="0.2">
      <c r="G501" s="31"/>
    </row>
    <row r="502" spans="7:7" x14ac:dyDescent="0.2">
      <c r="G502" s="31"/>
    </row>
    <row r="503" spans="7:7" x14ac:dyDescent="0.2">
      <c r="G503" s="31"/>
    </row>
    <row r="504" spans="7:7" x14ac:dyDescent="0.2">
      <c r="G504" s="31"/>
    </row>
    <row r="505" spans="7:7" x14ac:dyDescent="0.2">
      <c r="G505" s="31"/>
    </row>
    <row r="506" spans="7:7" x14ac:dyDescent="0.2">
      <c r="G506" s="31"/>
    </row>
    <row r="507" spans="7:7" x14ac:dyDescent="0.2">
      <c r="G507" s="31"/>
    </row>
    <row r="508" spans="7:7" x14ac:dyDescent="0.2">
      <c r="G508" s="31"/>
    </row>
    <row r="509" spans="7:7" x14ac:dyDescent="0.2">
      <c r="G509" s="31"/>
    </row>
    <row r="510" spans="7:7" x14ac:dyDescent="0.2">
      <c r="G510" s="31"/>
    </row>
    <row r="511" spans="7:7" x14ac:dyDescent="0.2">
      <c r="G511" s="31"/>
    </row>
    <row r="512" spans="7:7" x14ac:dyDescent="0.2">
      <c r="G512" s="31"/>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51">
    <mergeCell ref="I229:I238"/>
    <mergeCell ref="F151:F152"/>
    <mergeCell ref="E151:E152"/>
    <mergeCell ref="I151:I152"/>
    <mergeCell ref="A151:A152"/>
    <mergeCell ref="B151:B152"/>
    <mergeCell ref="C151:C152"/>
    <mergeCell ref="D151:D152"/>
    <mergeCell ref="H151:H152"/>
    <mergeCell ref="G151:G152"/>
    <mergeCell ref="H113:H117"/>
    <mergeCell ref="I73:I83"/>
    <mergeCell ref="H216:H219"/>
    <mergeCell ref="I216:I219"/>
    <mergeCell ref="H210:H213"/>
    <mergeCell ref="H160:H163"/>
    <mergeCell ref="I160:I163"/>
    <mergeCell ref="C279:D279"/>
    <mergeCell ref="H85:H93"/>
    <mergeCell ref="I210:I213"/>
    <mergeCell ref="I266:I267"/>
    <mergeCell ref="I198:I201"/>
    <mergeCell ref="H204:H207"/>
    <mergeCell ref="H198:H201"/>
    <mergeCell ref="I204:I207"/>
    <mergeCell ref="H229:H238"/>
    <mergeCell ref="I129:I130"/>
    <mergeCell ref="H98:H108"/>
    <mergeCell ref="I85:I93"/>
    <mergeCell ref="I98:I108"/>
    <mergeCell ref="I113:I117"/>
    <mergeCell ref="H270:H273"/>
    <mergeCell ref="I270:I273"/>
    <mergeCell ref="I2:I3"/>
    <mergeCell ref="H73:H83"/>
    <mergeCell ref="H54:H70"/>
    <mergeCell ref="I24:I26"/>
    <mergeCell ref="I54:I70"/>
    <mergeCell ref="I10:I11"/>
    <mergeCell ref="I17:I19"/>
    <mergeCell ref="I44:I49"/>
    <mergeCell ref="A1:C1"/>
    <mergeCell ref="C2:C3"/>
    <mergeCell ref="D2:D3"/>
    <mergeCell ref="H2:H3"/>
    <mergeCell ref="E2:E3"/>
    <mergeCell ref="G2:G3"/>
    <mergeCell ref="D1:H1"/>
    <mergeCell ref="F2:F3"/>
    <mergeCell ref="A2:A3"/>
    <mergeCell ref="B2:B3"/>
  </mergeCells>
  <phoneticPr fontId="13" type="noConversion"/>
  <printOptions gridLines="1"/>
  <pageMargins left="0.5" right="0.5" top="0.46" bottom="0.5" header="0.27" footer="0.23"/>
  <pageSetup scale="57" fitToHeight="0" orientation="landscape" cellComments="asDisplayed" r:id="rId6"/>
  <headerFooter alignWithMargins="0">
    <oddFooter>&amp;L&amp;8K = Key Verification           C = Corrections                               
E = Equating                     &amp;CPage &amp;P of &amp;N&amp;RLast Saved Date: 6/17/2014 2:48:26 PM</oddFooter>
  </headerFooter>
  <rowBreaks count="7" manualBreakCount="7">
    <brk id="47" max="8" man="1"/>
    <brk id="83" max="8" man="1"/>
    <brk id="150" max="8" man="1"/>
    <brk id="179" max="8" man="1"/>
    <brk id="190" max="8" man="1"/>
    <brk id="221" max="8" man="1"/>
    <brk id="266" max="8" man="1"/>
  </rowBreaks>
  <ignoredErrors>
    <ignoredError sqref="D257"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03"/>
  <sheetViews>
    <sheetView topLeftCell="A199" zoomScaleNormal="100" zoomScaleSheetLayoutView="100" workbookViewId="0">
      <selection activeCell="B203" sqref="B203"/>
    </sheetView>
  </sheetViews>
  <sheetFormatPr defaultRowHeight="12.75" x14ac:dyDescent="0.2"/>
  <cols>
    <col min="1" max="1" width="10.140625" style="7" bestFit="1" customWidth="1"/>
    <col min="2" max="2" width="65.85546875" style="70" customWidth="1"/>
    <col min="3" max="3" width="18" style="7" customWidth="1"/>
    <col min="4" max="9" width="9.140625" style="5"/>
    <col min="10" max="10" width="8.85546875" style="5" customWidth="1"/>
    <col min="11" max="16384" width="9.140625" style="5"/>
  </cols>
  <sheetData>
    <row r="1" spans="1:4" ht="30" customHeight="1" x14ac:dyDescent="0.2">
      <c r="A1" s="197" t="s">
        <v>69</v>
      </c>
      <c r="B1" s="197"/>
      <c r="C1" s="197"/>
    </row>
    <row r="2" spans="1:4" ht="25.5" x14ac:dyDescent="0.2">
      <c r="A2" s="6" t="s">
        <v>70</v>
      </c>
      <c r="B2" s="68" t="s">
        <v>71</v>
      </c>
      <c r="C2" s="6" t="s">
        <v>72</v>
      </c>
      <c r="D2" s="7"/>
    </row>
    <row r="3" spans="1:4" x14ac:dyDescent="0.2">
      <c r="A3" s="3">
        <v>38859</v>
      </c>
      <c r="B3" s="4" t="s">
        <v>73</v>
      </c>
      <c r="C3" s="10" t="s">
        <v>74</v>
      </c>
    </row>
    <row r="4" spans="1:4" x14ac:dyDescent="0.2">
      <c r="A4" s="3">
        <v>38876</v>
      </c>
      <c r="B4" s="4" t="s">
        <v>576</v>
      </c>
      <c r="C4" s="10" t="s">
        <v>577</v>
      </c>
    </row>
    <row r="5" spans="1:4" ht="25.5" x14ac:dyDescent="0.2">
      <c r="A5" s="3">
        <v>38952</v>
      </c>
      <c r="B5" s="4" t="s">
        <v>579</v>
      </c>
      <c r="C5" s="10" t="s">
        <v>74</v>
      </c>
    </row>
    <row r="6" spans="1:4" ht="25.5" x14ac:dyDescent="0.2">
      <c r="A6" s="23">
        <v>38954</v>
      </c>
      <c r="B6" s="8" t="s">
        <v>580</v>
      </c>
      <c r="C6" s="9" t="s">
        <v>74</v>
      </c>
    </row>
    <row r="7" spans="1:4" x14ac:dyDescent="0.2">
      <c r="A7" s="23">
        <v>38979</v>
      </c>
      <c r="B7" s="8" t="s">
        <v>584</v>
      </c>
      <c r="C7" s="9" t="s">
        <v>577</v>
      </c>
    </row>
    <row r="8" spans="1:4" x14ac:dyDescent="0.2">
      <c r="A8" s="23">
        <v>38979</v>
      </c>
      <c r="B8" s="8" t="s">
        <v>585</v>
      </c>
      <c r="C8" s="9" t="s">
        <v>577</v>
      </c>
    </row>
    <row r="9" spans="1:4" ht="25.5" x14ac:dyDescent="0.2">
      <c r="A9" s="3">
        <v>39120</v>
      </c>
      <c r="B9" s="4" t="s">
        <v>39</v>
      </c>
      <c r="C9" s="10" t="s">
        <v>577</v>
      </c>
    </row>
    <row r="10" spans="1:4" ht="25.5" x14ac:dyDescent="0.2">
      <c r="A10" s="3">
        <v>39171</v>
      </c>
      <c r="B10" s="4" t="s">
        <v>4</v>
      </c>
      <c r="C10" s="10" t="s">
        <v>577</v>
      </c>
    </row>
    <row r="11" spans="1:4" ht="25.5" x14ac:dyDescent="0.2">
      <c r="A11" s="23">
        <v>39183</v>
      </c>
      <c r="B11" s="8" t="s">
        <v>770</v>
      </c>
      <c r="C11" s="9" t="s">
        <v>12</v>
      </c>
    </row>
    <row r="12" spans="1:4" x14ac:dyDescent="0.2">
      <c r="A12" s="23">
        <v>39184</v>
      </c>
      <c r="B12" s="8" t="s">
        <v>9</v>
      </c>
      <c r="C12" s="9" t="s">
        <v>12</v>
      </c>
    </row>
    <row r="13" spans="1:4" ht="25.5" x14ac:dyDescent="0.2">
      <c r="A13" s="23">
        <v>39186</v>
      </c>
      <c r="B13" s="8" t="s">
        <v>8</v>
      </c>
      <c r="C13" s="9" t="s">
        <v>74</v>
      </c>
    </row>
    <row r="14" spans="1:4" ht="63.75" x14ac:dyDescent="0.2">
      <c r="A14" s="29"/>
      <c r="B14" s="8" t="s">
        <v>7</v>
      </c>
      <c r="C14" s="9" t="s">
        <v>74</v>
      </c>
    </row>
    <row r="15" spans="1:4" x14ac:dyDescent="0.2">
      <c r="A15" s="29"/>
      <c r="B15" s="8" t="s">
        <v>6</v>
      </c>
      <c r="C15" s="9" t="s">
        <v>74</v>
      </c>
    </row>
    <row r="16" spans="1:4" x14ac:dyDescent="0.2">
      <c r="A16" s="29"/>
      <c r="B16" s="8" t="s">
        <v>581</v>
      </c>
      <c r="C16" s="9" t="s">
        <v>74</v>
      </c>
    </row>
    <row r="17" spans="1:3" ht="25.5" x14ac:dyDescent="0.2">
      <c r="A17" s="29"/>
      <c r="B17" s="8" t="s">
        <v>582</v>
      </c>
      <c r="C17" s="9" t="s">
        <v>74</v>
      </c>
    </row>
    <row r="18" spans="1:3" ht="25.5" x14ac:dyDescent="0.2">
      <c r="A18" s="29"/>
      <c r="B18" s="8" t="s">
        <v>578</v>
      </c>
      <c r="C18" s="9" t="s">
        <v>74</v>
      </c>
    </row>
    <row r="19" spans="1:3" ht="25.5" x14ac:dyDescent="0.2">
      <c r="A19" s="3">
        <v>39243</v>
      </c>
      <c r="B19" s="8" t="s">
        <v>428</v>
      </c>
      <c r="C19" s="9" t="s">
        <v>74</v>
      </c>
    </row>
    <row r="20" spans="1:3" ht="25.5" x14ac:dyDescent="0.2">
      <c r="A20" s="3">
        <v>39467</v>
      </c>
      <c r="B20" s="4" t="s">
        <v>27</v>
      </c>
      <c r="C20" s="9" t="s">
        <v>12</v>
      </c>
    </row>
    <row r="21" spans="1:3" ht="30" customHeight="1" x14ac:dyDescent="0.2">
      <c r="A21" s="3">
        <v>39467</v>
      </c>
      <c r="B21" s="4" t="s">
        <v>59</v>
      </c>
      <c r="C21" s="10" t="s">
        <v>12</v>
      </c>
    </row>
    <row r="22" spans="1:3" ht="42.75" customHeight="1" x14ac:dyDescent="0.2">
      <c r="A22" s="3">
        <v>39467</v>
      </c>
      <c r="B22" s="4" t="s">
        <v>28</v>
      </c>
      <c r="C22" s="10" t="s">
        <v>12</v>
      </c>
    </row>
    <row r="23" spans="1:3" ht="25.5" x14ac:dyDescent="0.2">
      <c r="A23" s="3">
        <v>39467</v>
      </c>
      <c r="B23" s="4" t="s">
        <v>30</v>
      </c>
      <c r="C23" s="10" t="s">
        <v>12</v>
      </c>
    </row>
    <row r="24" spans="1:3" ht="25.5" x14ac:dyDescent="0.2">
      <c r="A24" s="3">
        <v>39467</v>
      </c>
      <c r="B24" s="4" t="s">
        <v>31</v>
      </c>
      <c r="C24" s="10" t="s">
        <v>12</v>
      </c>
    </row>
    <row r="25" spans="1:3" ht="25.5" x14ac:dyDescent="0.2">
      <c r="A25" s="3">
        <v>39467</v>
      </c>
      <c r="B25" s="4" t="s">
        <v>29</v>
      </c>
      <c r="C25" s="10" t="s">
        <v>12</v>
      </c>
    </row>
    <row r="26" spans="1:3" ht="51" x14ac:dyDescent="0.2">
      <c r="A26" s="3">
        <v>39467</v>
      </c>
      <c r="B26" s="8" t="s">
        <v>32</v>
      </c>
      <c r="C26" s="9" t="s">
        <v>12</v>
      </c>
    </row>
    <row r="27" spans="1:3" ht="42.75" customHeight="1" x14ac:dyDescent="0.2">
      <c r="A27" s="23">
        <v>39469</v>
      </c>
      <c r="B27" s="27" t="s">
        <v>62</v>
      </c>
      <c r="C27" s="9" t="s">
        <v>12</v>
      </c>
    </row>
    <row r="28" spans="1:3" ht="51" x14ac:dyDescent="0.2">
      <c r="A28" s="23">
        <v>39469</v>
      </c>
      <c r="B28" s="8" t="s">
        <v>771</v>
      </c>
      <c r="C28" s="9" t="s">
        <v>12</v>
      </c>
    </row>
    <row r="29" spans="1:3" ht="63.75" customHeight="1" x14ac:dyDescent="0.2">
      <c r="A29" s="23">
        <v>39469</v>
      </c>
      <c r="B29" s="28" t="s">
        <v>5</v>
      </c>
      <c r="C29" s="9" t="s">
        <v>12</v>
      </c>
    </row>
    <row r="30" spans="1:3" ht="38.25" x14ac:dyDescent="0.2">
      <c r="A30" s="23">
        <v>39469</v>
      </c>
      <c r="B30" s="8" t="s">
        <v>33</v>
      </c>
      <c r="C30" s="9" t="s">
        <v>12</v>
      </c>
    </row>
    <row r="31" spans="1:3" x14ac:dyDescent="0.2">
      <c r="A31" s="23">
        <v>39469</v>
      </c>
      <c r="B31" s="27" t="s">
        <v>60</v>
      </c>
      <c r="C31" s="9" t="s">
        <v>12</v>
      </c>
    </row>
    <row r="32" spans="1:3" ht="38.25" x14ac:dyDescent="0.2">
      <c r="A32" s="23">
        <v>39469</v>
      </c>
      <c r="B32" s="8" t="s">
        <v>61</v>
      </c>
      <c r="C32" s="9" t="s">
        <v>12</v>
      </c>
    </row>
    <row r="33" spans="1:3" ht="25.5" x14ac:dyDescent="0.2">
      <c r="A33" s="23">
        <v>39486</v>
      </c>
      <c r="B33" s="8" t="s">
        <v>24</v>
      </c>
      <c r="C33" s="9" t="s">
        <v>12</v>
      </c>
    </row>
    <row r="34" spans="1:3" ht="78" customHeight="1" x14ac:dyDescent="0.2">
      <c r="A34" s="23">
        <v>39506</v>
      </c>
      <c r="B34" s="69" t="s">
        <v>157</v>
      </c>
      <c r="C34" s="9" t="s">
        <v>12</v>
      </c>
    </row>
    <row r="35" spans="1:3" ht="55.5" customHeight="1" x14ac:dyDescent="0.2">
      <c r="A35" s="23">
        <v>39507</v>
      </c>
      <c r="B35" s="8" t="s">
        <v>120</v>
      </c>
      <c r="C35" s="9" t="s">
        <v>12</v>
      </c>
    </row>
    <row r="36" spans="1:3" ht="25.5" x14ac:dyDescent="0.2">
      <c r="A36" s="23">
        <v>39526</v>
      </c>
      <c r="B36" s="8" t="s">
        <v>58</v>
      </c>
      <c r="C36" s="9" t="s">
        <v>12</v>
      </c>
    </row>
    <row r="37" spans="1:3" ht="25.5" x14ac:dyDescent="0.2">
      <c r="A37" s="23">
        <v>39549</v>
      </c>
      <c r="B37" s="8" t="s">
        <v>40</v>
      </c>
      <c r="C37" s="9" t="s">
        <v>12</v>
      </c>
    </row>
    <row r="38" spans="1:3" x14ac:dyDescent="0.2">
      <c r="A38" s="23">
        <v>39678</v>
      </c>
      <c r="B38" s="8" t="s">
        <v>0</v>
      </c>
      <c r="C38" s="9" t="s">
        <v>12</v>
      </c>
    </row>
    <row r="39" spans="1:3" x14ac:dyDescent="0.2">
      <c r="A39" s="3">
        <v>39833</v>
      </c>
      <c r="B39" s="4" t="s">
        <v>18</v>
      </c>
      <c r="C39" s="10" t="s">
        <v>12</v>
      </c>
    </row>
    <row r="40" spans="1:3" x14ac:dyDescent="0.2">
      <c r="A40" s="3">
        <v>39833</v>
      </c>
      <c r="B40" s="4" t="s">
        <v>21</v>
      </c>
      <c r="C40" s="10" t="s">
        <v>12</v>
      </c>
    </row>
    <row r="41" spans="1:3" ht="25.5" x14ac:dyDescent="0.2">
      <c r="A41" s="3">
        <v>39833</v>
      </c>
      <c r="B41" s="4" t="s">
        <v>23</v>
      </c>
      <c r="C41" s="10" t="s">
        <v>12</v>
      </c>
    </row>
    <row r="42" spans="1:3" ht="25.5" x14ac:dyDescent="0.2">
      <c r="A42" s="3">
        <v>39833</v>
      </c>
      <c r="B42" s="4" t="s">
        <v>22</v>
      </c>
      <c r="C42" s="10" t="s">
        <v>12</v>
      </c>
    </row>
    <row r="43" spans="1:3" x14ac:dyDescent="0.2">
      <c r="A43" s="3">
        <v>39835</v>
      </c>
      <c r="B43" s="4" t="s">
        <v>20</v>
      </c>
      <c r="C43" s="10" t="s">
        <v>12</v>
      </c>
    </row>
    <row r="44" spans="1:3" x14ac:dyDescent="0.2">
      <c r="A44" s="3">
        <v>39835</v>
      </c>
      <c r="B44" s="4" t="s">
        <v>19</v>
      </c>
      <c r="C44" s="10" t="s">
        <v>12</v>
      </c>
    </row>
    <row r="45" spans="1:3" ht="25.5" x14ac:dyDescent="0.2">
      <c r="A45" s="3">
        <v>39835</v>
      </c>
      <c r="B45" s="4" t="s">
        <v>588</v>
      </c>
      <c r="C45" s="10" t="s">
        <v>12</v>
      </c>
    </row>
    <row r="46" spans="1:3" x14ac:dyDescent="0.2">
      <c r="A46" s="23">
        <v>39840</v>
      </c>
      <c r="B46" s="4" t="s">
        <v>108</v>
      </c>
      <c r="C46" s="9" t="s">
        <v>12</v>
      </c>
    </row>
    <row r="47" spans="1:3" ht="114.75" x14ac:dyDescent="0.2">
      <c r="A47" s="3">
        <v>39853</v>
      </c>
      <c r="B47" s="4" t="s">
        <v>590</v>
      </c>
      <c r="C47" s="10" t="s">
        <v>12</v>
      </c>
    </row>
    <row r="48" spans="1:3" x14ac:dyDescent="0.2">
      <c r="A48" s="3">
        <v>39853</v>
      </c>
      <c r="B48" s="4" t="s">
        <v>36</v>
      </c>
      <c r="C48" s="10" t="s">
        <v>12</v>
      </c>
    </row>
    <row r="49" spans="1:3" x14ac:dyDescent="0.2">
      <c r="A49" s="3">
        <v>39853</v>
      </c>
      <c r="B49" s="4" t="s">
        <v>37</v>
      </c>
      <c r="C49" s="10" t="s">
        <v>12</v>
      </c>
    </row>
    <row r="50" spans="1:3" x14ac:dyDescent="0.2">
      <c r="A50" s="3">
        <v>39853</v>
      </c>
      <c r="B50" s="4" t="s">
        <v>38</v>
      </c>
      <c r="C50" s="10" t="s">
        <v>12</v>
      </c>
    </row>
    <row r="51" spans="1:3" ht="38.25" x14ac:dyDescent="0.2">
      <c r="A51" s="3">
        <v>39855</v>
      </c>
      <c r="B51" s="4" t="s">
        <v>171</v>
      </c>
      <c r="C51" s="10" t="s">
        <v>12</v>
      </c>
    </row>
    <row r="52" spans="1:3" ht="47.25" customHeight="1" x14ac:dyDescent="0.2">
      <c r="A52" s="3">
        <v>39864</v>
      </c>
      <c r="B52" s="4" t="s">
        <v>76</v>
      </c>
      <c r="C52" s="10" t="s">
        <v>12</v>
      </c>
    </row>
    <row r="53" spans="1:3" ht="25.5" x14ac:dyDescent="0.2">
      <c r="A53" s="3">
        <v>39855</v>
      </c>
      <c r="B53" s="4" t="s">
        <v>172</v>
      </c>
      <c r="C53" s="10" t="s">
        <v>12</v>
      </c>
    </row>
    <row r="54" spans="1:3" ht="38.25" x14ac:dyDescent="0.2">
      <c r="A54" s="3">
        <v>39862</v>
      </c>
      <c r="B54" s="4" t="s">
        <v>170</v>
      </c>
      <c r="C54" s="10" t="s">
        <v>12</v>
      </c>
    </row>
    <row r="55" spans="1:3" ht="63.75" x14ac:dyDescent="0.2">
      <c r="A55" s="34">
        <v>39869</v>
      </c>
      <c r="B55" s="33" t="s">
        <v>43</v>
      </c>
      <c r="C55" s="35" t="s">
        <v>12</v>
      </c>
    </row>
    <row r="56" spans="1:3" ht="25.5" x14ac:dyDescent="0.2">
      <c r="A56" s="34">
        <v>39910</v>
      </c>
      <c r="B56" s="36" t="s">
        <v>453</v>
      </c>
      <c r="C56" s="35" t="s">
        <v>12</v>
      </c>
    </row>
    <row r="57" spans="1:3" ht="45" customHeight="1" x14ac:dyDescent="0.2">
      <c r="A57" s="34">
        <v>39919</v>
      </c>
      <c r="B57" s="36" t="s">
        <v>487</v>
      </c>
      <c r="C57" s="35" t="s">
        <v>12</v>
      </c>
    </row>
    <row r="58" spans="1:3" ht="63.75" x14ac:dyDescent="0.2">
      <c r="A58" s="34">
        <v>39924</v>
      </c>
      <c r="B58" s="36" t="s">
        <v>486</v>
      </c>
      <c r="C58" s="35" t="s">
        <v>12</v>
      </c>
    </row>
    <row r="59" spans="1:3" x14ac:dyDescent="0.2">
      <c r="A59" s="34">
        <v>40017</v>
      </c>
      <c r="B59" s="36" t="s">
        <v>772</v>
      </c>
      <c r="C59" s="35" t="s">
        <v>12</v>
      </c>
    </row>
    <row r="60" spans="1:3" ht="51" x14ac:dyDescent="0.2">
      <c r="A60" s="34">
        <v>40112</v>
      </c>
      <c r="B60" s="63" t="s">
        <v>592</v>
      </c>
      <c r="C60" s="64" t="s">
        <v>12</v>
      </c>
    </row>
    <row r="61" spans="1:3" ht="25.5" x14ac:dyDescent="0.2">
      <c r="A61" s="34">
        <v>40112</v>
      </c>
      <c r="B61" s="63" t="s">
        <v>591</v>
      </c>
      <c r="C61" s="64" t="s">
        <v>12</v>
      </c>
    </row>
    <row r="62" spans="1:3" ht="38.25" x14ac:dyDescent="0.2">
      <c r="A62" s="34">
        <v>40112</v>
      </c>
      <c r="B62" s="63" t="s">
        <v>601</v>
      </c>
      <c r="C62" s="64" t="s">
        <v>12</v>
      </c>
    </row>
    <row r="63" spans="1:3" ht="25.5" x14ac:dyDescent="0.2">
      <c r="A63" s="3">
        <v>40161</v>
      </c>
      <c r="B63" s="4" t="s">
        <v>594</v>
      </c>
      <c r="C63" s="10" t="s">
        <v>12</v>
      </c>
    </row>
    <row r="64" spans="1:3" ht="38.25" x14ac:dyDescent="0.2">
      <c r="A64" s="3">
        <v>40161</v>
      </c>
      <c r="B64" s="4" t="s">
        <v>597</v>
      </c>
      <c r="C64" s="10" t="s">
        <v>12</v>
      </c>
    </row>
    <row r="65" spans="1:3" ht="25.5" x14ac:dyDescent="0.2">
      <c r="A65" s="3">
        <v>40161</v>
      </c>
      <c r="B65" s="4" t="s">
        <v>596</v>
      </c>
      <c r="C65" s="10" t="s">
        <v>12</v>
      </c>
    </row>
    <row r="66" spans="1:3" ht="51" x14ac:dyDescent="0.2">
      <c r="A66" s="3">
        <v>40161</v>
      </c>
      <c r="B66" s="4" t="s">
        <v>598</v>
      </c>
      <c r="C66" s="10" t="s">
        <v>12</v>
      </c>
    </row>
    <row r="67" spans="1:3" ht="25.5" x14ac:dyDescent="0.2">
      <c r="A67" s="3">
        <v>40161</v>
      </c>
      <c r="B67" s="65" t="s">
        <v>600</v>
      </c>
      <c r="C67" s="66" t="s">
        <v>12</v>
      </c>
    </row>
    <row r="68" spans="1:3" ht="38.25" x14ac:dyDescent="0.2">
      <c r="A68" s="3">
        <v>40161</v>
      </c>
      <c r="B68" s="4" t="s">
        <v>599</v>
      </c>
      <c r="C68" s="66" t="s">
        <v>12</v>
      </c>
    </row>
    <row r="69" spans="1:3" ht="38.25" x14ac:dyDescent="0.2">
      <c r="A69" s="3">
        <v>40161</v>
      </c>
      <c r="B69" s="65" t="s">
        <v>603</v>
      </c>
      <c r="C69" s="66" t="s">
        <v>12</v>
      </c>
    </row>
    <row r="70" spans="1:3" ht="38.25" x14ac:dyDescent="0.2">
      <c r="A70" s="34">
        <v>40163</v>
      </c>
      <c r="B70" s="63" t="s">
        <v>604</v>
      </c>
      <c r="C70" s="35" t="s">
        <v>12</v>
      </c>
    </row>
    <row r="71" spans="1:3" ht="25.5" x14ac:dyDescent="0.2">
      <c r="A71" s="34">
        <v>40557</v>
      </c>
      <c r="B71" s="82" t="s">
        <v>608</v>
      </c>
      <c r="C71" s="10" t="s">
        <v>609</v>
      </c>
    </row>
    <row r="72" spans="1:3" ht="25.5" x14ac:dyDescent="0.2">
      <c r="A72" s="34">
        <v>40557</v>
      </c>
      <c r="B72" s="82" t="s">
        <v>610</v>
      </c>
      <c r="C72" s="10" t="s">
        <v>609</v>
      </c>
    </row>
    <row r="73" spans="1:3" ht="38.25" x14ac:dyDescent="0.2">
      <c r="A73" s="34">
        <v>40567</v>
      </c>
      <c r="B73" s="83" t="s">
        <v>657</v>
      </c>
      <c r="C73" s="10" t="s">
        <v>609</v>
      </c>
    </row>
    <row r="74" spans="1:3" ht="51" x14ac:dyDescent="0.2">
      <c r="A74" s="34">
        <v>40567</v>
      </c>
      <c r="B74" s="84" t="s">
        <v>773</v>
      </c>
      <c r="C74" s="10" t="s">
        <v>609</v>
      </c>
    </row>
    <row r="75" spans="1:3" ht="51" x14ac:dyDescent="0.2">
      <c r="A75" s="34">
        <v>40567</v>
      </c>
      <c r="B75" s="82" t="s">
        <v>612</v>
      </c>
      <c r="C75" s="10" t="s">
        <v>609</v>
      </c>
    </row>
    <row r="76" spans="1:3" x14ac:dyDescent="0.2">
      <c r="A76" s="3">
        <v>40561</v>
      </c>
      <c r="B76" s="85" t="s">
        <v>628</v>
      </c>
      <c r="C76" s="10" t="s">
        <v>609</v>
      </c>
    </row>
    <row r="77" spans="1:3" ht="25.5" x14ac:dyDescent="0.2">
      <c r="A77" s="3">
        <v>40562</v>
      </c>
      <c r="B77" s="86" t="s">
        <v>648</v>
      </c>
      <c r="C77" s="10" t="s">
        <v>609</v>
      </c>
    </row>
    <row r="78" spans="1:3" x14ac:dyDescent="0.2">
      <c r="A78" s="3">
        <v>40562</v>
      </c>
      <c r="B78" s="86" t="s">
        <v>649</v>
      </c>
      <c r="C78" s="10" t="s">
        <v>609</v>
      </c>
    </row>
    <row r="79" spans="1:3" ht="25.5" x14ac:dyDescent="0.2">
      <c r="A79" s="34">
        <v>40562</v>
      </c>
      <c r="B79" s="82" t="s">
        <v>646</v>
      </c>
      <c r="C79" s="10" t="s">
        <v>609</v>
      </c>
    </row>
    <row r="80" spans="1:3" x14ac:dyDescent="0.2">
      <c r="A80" s="34">
        <v>40562</v>
      </c>
      <c r="B80" s="82" t="s">
        <v>643</v>
      </c>
      <c r="C80" s="10" t="s">
        <v>609</v>
      </c>
    </row>
    <row r="81" spans="1:3" x14ac:dyDescent="0.2">
      <c r="A81" s="34">
        <v>40567</v>
      </c>
      <c r="B81" s="87" t="s">
        <v>647</v>
      </c>
      <c r="C81" s="10" t="s">
        <v>609</v>
      </c>
    </row>
    <row r="82" spans="1:3" x14ac:dyDescent="0.2">
      <c r="A82" s="34">
        <v>40567</v>
      </c>
      <c r="B82" s="87" t="s">
        <v>667</v>
      </c>
      <c r="C82" s="10" t="s">
        <v>609</v>
      </c>
    </row>
    <row r="83" spans="1:3" x14ac:dyDescent="0.2">
      <c r="A83" s="34">
        <v>40567</v>
      </c>
      <c r="B83" s="82" t="s">
        <v>637</v>
      </c>
      <c r="C83" s="10" t="s">
        <v>609</v>
      </c>
    </row>
    <row r="84" spans="1:3" x14ac:dyDescent="0.2">
      <c r="A84" s="34">
        <v>40567</v>
      </c>
      <c r="B84" s="85" t="s">
        <v>629</v>
      </c>
      <c r="C84" s="10" t="s">
        <v>609</v>
      </c>
    </row>
    <row r="85" spans="1:3" x14ac:dyDescent="0.2">
      <c r="A85" s="34">
        <v>40567</v>
      </c>
      <c r="B85" s="82" t="s">
        <v>624</v>
      </c>
      <c r="C85" s="10" t="s">
        <v>609</v>
      </c>
    </row>
    <row r="86" spans="1:3" ht="38.25" x14ac:dyDescent="0.2">
      <c r="A86" s="34">
        <v>40567</v>
      </c>
      <c r="B86" s="82" t="s">
        <v>613</v>
      </c>
      <c r="C86" s="10" t="s">
        <v>609</v>
      </c>
    </row>
    <row r="87" spans="1:3" ht="38.25" x14ac:dyDescent="0.2">
      <c r="A87" s="34">
        <v>40567</v>
      </c>
      <c r="B87" s="84" t="s">
        <v>774</v>
      </c>
      <c r="C87" s="10" t="s">
        <v>609</v>
      </c>
    </row>
    <row r="88" spans="1:3" x14ac:dyDescent="0.2">
      <c r="A88" s="34">
        <v>40567</v>
      </c>
      <c r="B88" s="82" t="s">
        <v>631</v>
      </c>
      <c r="C88" s="10" t="s">
        <v>609</v>
      </c>
    </row>
    <row r="89" spans="1:3" ht="25.5" x14ac:dyDescent="0.2">
      <c r="A89" s="34">
        <v>40567</v>
      </c>
      <c r="B89" s="86" t="s">
        <v>658</v>
      </c>
      <c r="C89" s="10" t="s">
        <v>609</v>
      </c>
    </row>
    <row r="90" spans="1:3" ht="38.25" x14ac:dyDescent="0.2">
      <c r="A90" s="34">
        <v>40567</v>
      </c>
      <c r="B90" s="88" t="s">
        <v>662</v>
      </c>
      <c r="C90" s="10" t="s">
        <v>609</v>
      </c>
    </row>
    <row r="91" spans="1:3" ht="38.25" x14ac:dyDescent="0.2">
      <c r="A91" s="34">
        <v>40567</v>
      </c>
      <c r="B91" s="88" t="s">
        <v>663</v>
      </c>
      <c r="C91" s="10" t="s">
        <v>609</v>
      </c>
    </row>
    <row r="92" spans="1:3" ht="25.5" x14ac:dyDescent="0.2">
      <c r="A92" s="34">
        <v>40567</v>
      </c>
      <c r="B92" s="82" t="s">
        <v>664</v>
      </c>
      <c r="C92" s="10" t="s">
        <v>609</v>
      </c>
    </row>
    <row r="93" spans="1:3" x14ac:dyDescent="0.2">
      <c r="A93" s="34">
        <v>40567</v>
      </c>
      <c r="B93" s="88" t="s">
        <v>659</v>
      </c>
      <c r="C93" s="10" t="s">
        <v>609</v>
      </c>
    </row>
    <row r="94" spans="1:3" x14ac:dyDescent="0.2">
      <c r="A94" s="34">
        <v>40567</v>
      </c>
      <c r="B94" s="82" t="s">
        <v>660</v>
      </c>
      <c r="C94" s="10" t="s">
        <v>609</v>
      </c>
    </row>
    <row r="95" spans="1:3" x14ac:dyDescent="0.2">
      <c r="A95" s="34">
        <v>40567</v>
      </c>
      <c r="B95" s="82" t="s">
        <v>661</v>
      </c>
      <c r="C95" s="10" t="s">
        <v>609</v>
      </c>
    </row>
    <row r="96" spans="1:3" ht="51" x14ac:dyDescent="0.2">
      <c r="A96" s="34">
        <v>40567</v>
      </c>
      <c r="B96" s="86" t="s">
        <v>665</v>
      </c>
      <c r="C96" s="10" t="s">
        <v>609</v>
      </c>
    </row>
    <row r="97" spans="1:3" ht="38.25" x14ac:dyDescent="0.2">
      <c r="A97" s="34">
        <v>40575</v>
      </c>
      <c r="B97" s="89" t="s">
        <v>668</v>
      </c>
      <c r="C97" s="10" t="s">
        <v>609</v>
      </c>
    </row>
    <row r="98" spans="1:3" x14ac:dyDescent="0.2">
      <c r="A98" s="34">
        <v>40602</v>
      </c>
      <c r="B98" s="36" t="s">
        <v>669</v>
      </c>
      <c r="C98" s="35" t="s">
        <v>12</v>
      </c>
    </row>
    <row r="99" spans="1:3" ht="25.5" x14ac:dyDescent="0.2">
      <c r="A99" s="34">
        <v>40604</v>
      </c>
      <c r="B99" s="36" t="s">
        <v>671</v>
      </c>
      <c r="C99" s="35" t="s">
        <v>12</v>
      </c>
    </row>
    <row r="100" spans="1:3" ht="25.5" x14ac:dyDescent="0.2">
      <c r="A100" s="34">
        <v>40616</v>
      </c>
      <c r="B100" s="36" t="s">
        <v>672</v>
      </c>
      <c r="C100" s="35" t="s">
        <v>609</v>
      </c>
    </row>
    <row r="101" spans="1:3" ht="25.5" x14ac:dyDescent="0.2">
      <c r="A101" s="34">
        <v>40639</v>
      </c>
      <c r="B101" s="36" t="s">
        <v>673</v>
      </c>
      <c r="C101" s="35" t="s">
        <v>609</v>
      </c>
    </row>
    <row r="102" spans="1:3" ht="30.75" customHeight="1" x14ac:dyDescent="0.2">
      <c r="A102" s="93">
        <v>40892</v>
      </c>
      <c r="B102" s="36" t="s">
        <v>732</v>
      </c>
      <c r="C102" s="94" t="s">
        <v>12</v>
      </c>
    </row>
    <row r="103" spans="1:3" ht="34.5" customHeight="1" x14ac:dyDescent="0.2">
      <c r="A103" s="93">
        <v>40892</v>
      </c>
      <c r="B103" s="36" t="s">
        <v>786</v>
      </c>
      <c r="C103" s="94" t="s">
        <v>12</v>
      </c>
    </row>
    <row r="104" spans="1:3" ht="42.75" customHeight="1" x14ac:dyDescent="0.2">
      <c r="A104" s="93">
        <v>40892</v>
      </c>
      <c r="B104" s="36" t="s">
        <v>674</v>
      </c>
      <c r="C104" s="94" t="s">
        <v>12</v>
      </c>
    </row>
    <row r="105" spans="1:3" ht="61.5" customHeight="1" x14ac:dyDescent="0.2">
      <c r="A105" s="93">
        <v>40892</v>
      </c>
      <c r="B105" s="95" t="s">
        <v>675</v>
      </c>
      <c r="C105" s="94" t="s">
        <v>12</v>
      </c>
    </row>
    <row r="106" spans="1:3" ht="38.25" customHeight="1" x14ac:dyDescent="0.2">
      <c r="A106" s="93">
        <v>40892</v>
      </c>
      <c r="B106" s="36" t="s">
        <v>677</v>
      </c>
      <c r="C106" s="94" t="s">
        <v>12</v>
      </c>
    </row>
    <row r="107" spans="1:3" ht="42.75" customHeight="1" x14ac:dyDescent="0.2">
      <c r="A107" s="93">
        <v>40892</v>
      </c>
      <c r="B107" s="89" t="s">
        <v>684</v>
      </c>
      <c r="C107" s="94" t="s">
        <v>12</v>
      </c>
    </row>
    <row r="108" spans="1:3" ht="36.75" customHeight="1" x14ac:dyDescent="0.2">
      <c r="A108" s="93">
        <v>40892</v>
      </c>
      <c r="B108" s="89" t="s">
        <v>683</v>
      </c>
      <c r="C108" s="94" t="s">
        <v>12</v>
      </c>
    </row>
    <row r="109" spans="1:3" ht="42" customHeight="1" x14ac:dyDescent="0.2">
      <c r="A109" s="93">
        <v>40892</v>
      </c>
      <c r="B109" s="89" t="s">
        <v>685</v>
      </c>
      <c r="C109" s="94" t="s">
        <v>12</v>
      </c>
    </row>
    <row r="110" spans="1:3" ht="36.75" customHeight="1" x14ac:dyDescent="0.2">
      <c r="A110" s="93">
        <v>40892</v>
      </c>
      <c r="B110" s="89" t="s">
        <v>775</v>
      </c>
      <c r="C110" s="94" t="s">
        <v>12</v>
      </c>
    </row>
    <row r="111" spans="1:3" ht="62.25" customHeight="1" x14ac:dyDescent="0.2">
      <c r="A111" s="93">
        <v>40892</v>
      </c>
      <c r="B111" s="36" t="s">
        <v>678</v>
      </c>
      <c r="C111" s="94" t="s">
        <v>12</v>
      </c>
    </row>
    <row r="112" spans="1:3" ht="36.75" customHeight="1" x14ac:dyDescent="0.2">
      <c r="A112" s="93">
        <v>40892</v>
      </c>
      <c r="B112" s="89" t="s">
        <v>688</v>
      </c>
      <c r="C112" s="94" t="s">
        <v>12</v>
      </c>
    </row>
    <row r="113" spans="1:3" ht="31.5" customHeight="1" x14ac:dyDescent="0.2">
      <c r="A113" s="93">
        <v>40892</v>
      </c>
      <c r="B113" s="36" t="s">
        <v>681</v>
      </c>
      <c r="C113" s="94" t="s">
        <v>12</v>
      </c>
    </row>
    <row r="114" spans="1:3" ht="33.75" customHeight="1" x14ac:dyDescent="0.2">
      <c r="A114" s="93">
        <v>40892</v>
      </c>
      <c r="B114" s="89" t="s">
        <v>690</v>
      </c>
      <c r="C114" s="94" t="s">
        <v>12</v>
      </c>
    </row>
    <row r="115" spans="1:3" ht="46.5" customHeight="1" x14ac:dyDescent="0.2">
      <c r="A115" s="93">
        <v>40892</v>
      </c>
      <c r="B115" s="89" t="s">
        <v>730</v>
      </c>
      <c r="C115" s="94" t="s">
        <v>12</v>
      </c>
    </row>
    <row r="116" spans="1:3" ht="37.5" customHeight="1" x14ac:dyDescent="0.2">
      <c r="A116" s="93">
        <v>40892</v>
      </c>
      <c r="B116" s="89" t="s">
        <v>692</v>
      </c>
      <c r="C116" s="94" t="s">
        <v>12</v>
      </c>
    </row>
    <row r="117" spans="1:3" ht="48.75" customHeight="1" x14ac:dyDescent="0.2">
      <c r="A117" s="93">
        <v>40892</v>
      </c>
      <c r="B117" s="89" t="s">
        <v>703</v>
      </c>
      <c r="C117" s="94" t="s">
        <v>12</v>
      </c>
    </row>
    <row r="118" spans="1:3" ht="51" customHeight="1" x14ac:dyDescent="0.2">
      <c r="A118" s="93">
        <v>40892</v>
      </c>
      <c r="B118" s="89" t="s">
        <v>693</v>
      </c>
      <c r="C118" s="94" t="s">
        <v>12</v>
      </c>
    </row>
    <row r="119" spans="1:3" ht="52.5" customHeight="1" x14ac:dyDescent="0.2">
      <c r="A119" s="93">
        <v>40892</v>
      </c>
      <c r="B119" s="89" t="s">
        <v>694</v>
      </c>
      <c r="C119" s="96" t="s">
        <v>12</v>
      </c>
    </row>
    <row r="120" spans="1:3" ht="63" customHeight="1" x14ac:dyDescent="0.2">
      <c r="A120" s="93">
        <v>40892</v>
      </c>
      <c r="B120" s="89" t="s">
        <v>781</v>
      </c>
      <c r="C120" s="96" t="s">
        <v>12</v>
      </c>
    </row>
    <row r="121" spans="1:3" ht="33.75" customHeight="1" x14ac:dyDescent="0.2">
      <c r="A121" s="93">
        <v>40892</v>
      </c>
      <c r="B121" s="89" t="s">
        <v>749</v>
      </c>
      <c r="C121" s="96" t="s">
        <v>12</v>
      </c>
    </row>
    <row r="122" spans="1:3" ht="49.5" customHeight="1" x14ac:dyDescent="0.2">
      <c r="A122" s="93">
        <v>40892</v>
      </c>
      <c r="B122" s="89" t="s">
        <v>750</v>
      </c>
      <c r="C122" s="96" t="s">
        <v>12</v>
      </c>
    </row>
    <row r="123" spans="1:3" ht="64.5" customHeight="1" x14ac:dyDescent="0.2">
      <c r="A123" s="93">
        <v>40892</v>
      </c>
      <c r="B123" s="89" t="s">
        <v>782</v>
      </c>
      <c r="C123" s="96" t="s">
        <v>12</v>
      </c>
    </row>
    <row r="124" spans="1:3" ht="44.25" customHeight="1" x14ac:dyDescent="0.2">
      <c r="A124" s="93">
        <v>40892</v>
      </c>
      <c r="B124" s="89" t="s">
        <v>776</v>
      </c>
      <c r="C124" s="96" t="s">
        <v>12</v>
      </c>
    </row>
    <row r="125" spans="1:3" ht="48.75" customHeight="1" x14ac:dyDescent="0.2">
      <c r="A125" s="93">
        <v>40892</v>
      </c>
      <c r="B125" s="89" t="s">
        <v>751</v>
      </c>
      <c r="C125" s="96" t="s">
        <v>12</v>
      </c>
    </row>
    <row r="126" spans="1:3" ht="62.25" customHeight="1" x14ac:dyDescent="0.2">
      <c r="A126" s="93">
        <v>40892</v>
      </c>
      <c r="B126" s="89" t="s">
        <v>783</v>
      </c>
      <c r="C126" s="96" t="s">
        <v>12</v>
      </c>
    </row>
    <row r="127" spans="1:3" ht="34.5" customHeight="1" x14ac:dyDescent="0.2">
      <c r="A127" s="93">
        <v>40892</v>
      </c>
      <c r="B127" s="89" t="s">
        <v>752</v>
      </c>
      <c r="C127" s="96" t="s">
        <v>12</v>
      </c>
    </row>
    <row r="128" spans="1:3" ht="36" customHeight="1" x14ac:dyDescent="0.2">
      <c r="A128" s="93">
        <v>40892</v>
      </c>
      <c r="B128" s="89" t="s">
        <v>753</v>
      </c>
      <c r="C128" s="96" t="s">
        <v>12</v>
      </c>
    </row>
    <row r="129" spans="1:3" ht="34.5" customHeight="1" x14ac:dyDescent="0.2">
      <c r="A129" s="93">
        <v>40892</v>
      </c>
      <c r="B129" s="89" t="s">
        <v>784</v>
      </c>
      <c r="C129" s="96" t="s">
        <v>12</v>
      </c>
    </row>
    <row r="130" spans="1:3" ht="35.25" customHeight="1" x14ac:dyDescent="0.2">
      <c r="A130" s="93">
        <v>40892</v>
      </c>
      <c r="B130" s="89" t="s">
        <v>754</v>
      </c>
      <c r="C130" s="96" t="s">
        <v>12</v>
      </c>
    </row>
    <row r="131" spans="1:3" ht="30.75" customHeight="1" x14ac:dyDescent="0.2">
      <c r="A131" s="93">
        <v>40892</v>
      </c>
      <c r="B131" s="89" t="s">
        <v>755</v>
      </c>
      <c r="C131" s="96" t="s">
        <v>12</v>
      </c>
    </row>
    <row r="132" spans="1:3" ht="36" customHeight="1" x14ac:dyDescent="0.2">
      <c r="A132" s="93">
        <v>40892</v>
      </c>
      <c r="B132" s="89" t="s">
        <v>756</v>
      </c>
      <c r="C132" s="96" t="s">
        <v>12</v>
      </c>
    </row>
    <row r="133" spans="1:3" ht="33" customHeight="1" x14ac:dyDescent="0.2">
      <c r="A133" s="93">
        <v>40892</v>
      </c>
      <c r="B133" s="89" t="s">
        <v>777</v>
      </c>
      <c r="C133" s="96" t="s">
        <v>12</v>
      </c>
    </row>
    <row r="134" spans="1:3" ht="36.75" customHeight="1" x14ac:dyDescent="0.2">
      <c r="A134" s="93">
        <v>40892</v>
      </c>
      <c r="B134" s="89" t="s">
        <v>757</v>
      </c>
      <c r="C134" s="96" t="s">
        <v>12</v>
      </c>
    </row>
    <row r="135" spans="1:3" ht="33.75" customHeight="1" x14ac:dyDescent="0.2">
      <c r="A135" s="93">
        <v>40892</v>
      </c>
      <c r="B135" s="89" t="s">
        <v>758</v>
      </c>
      <c r="C135" s="96" t="s">
        <v>12</v>
      </c>
    </row>
    <row r="136" spans="1:3" ht="42.75" customHeight="1" x14ac:dyDescent="0.2">
      <c r="A136" s="93">
        <v>40892</v>
      </c>
      <c r="B136" s="36" t="s">
        <v>731</v>
      </c>
      <c r="C136" s="96" t="s">
        <v>12</v>
      </c>
    </row>
    <row r="137" spans="1:3" ht="57" customHeight="1" x14ac:dyDescent="0.2">
      <c r="A137" s="93">
        <v>40892</v>
      </c>
      <c r="B137" s="36" t="s">
        <v>704</v>
      </c>
      <c r="C137" s="96" t="s">
        <v>12</v>
      </c>
    </row>
    <row r="138" spans="1:3" ht="57.75" customHeight="1" x14ac:dyDescent="0.2">
      <c r="A138" s="93">
        <v>40892</v>
      </c>
      <c r="B138" s="89" t="s">
        <v>699</v>
      </c>
      <c r="C138" s="94" t="s">
        <v>12</v>
      </c>
    </row>
    <row r="139" spans="1:3" ht="58.5" customHeight="1" x14ac:dyDescent="0.2">
      <c r="A139" s="93">
        <v>40892</v>
      </c>
      <c r="B139" s="89" t="s">
        <v>700</v>
      </c>
      <c r="C139" s="94" t="s">
        <v>12</v>
      </c>
    </row>
    <row r="140" spans="1:3" ht="48" customHeight="1" x14ac:dyDescent="0.2">
      <c r="A140" s="93">
        <v>40892</v>
      </c>
      <c r="B140" s="89" t="s">
        <v>697</v>
      </c>
      <c r="C140" s="94" t="s">
        <v>12</v>
      </c>
    </row>
    <row r="141" spans="1:3" ht="39" customHeight="1" x14ac:dyDescent="0.2">
      <c r="A141" s="93">
        <v>40892</v>
      </c>
      <c r="B141" s="36" t="s">
        <v>759</v>
      </c>
      <c r="C141" s="94" t="s">
        <v>12</v>
      </c>
    </row>
    <row r="142" spans="1:3" ht="35.25" customHeight="1" x14ac:dyDescent="0.2">
      <c r="A142" s="93">
        <v>40892</v>
      </c>
      <c r="B142" s="36" t="s">
        <v>760</v>
      </c>
      <c r="C142" s="94" t="s">
        <v>12</v>
      </c>
    </row>
    <row r="143" spans="1:3" ht="31.5" customHeight="1" x14ac:dyDescent="0.2">
      <c r="A143" s="93">
        <v>40892</v>
      </c>
      <c r="B143" s="36" t="s">
        <v>761</v>
      </c>
      <c r="C143" s="94" t="s">
        <v>12</v>
      </c>
    </row>
    <row r="144" spans="1:3" ht="34.5" customHeight="1" x14ac:dyDescent="0.2">
      <c r="A144" s="93">
        <v>40892</v>
      </c>
      <c r="B144" s="36" t="s">
        <v>762</v>
      </c>
      <c r="C144" s="94" t="s">
        <v>12</v>
      </c>
    </row>
    <row r="145" spans="1:3" ht="63" customHeight="1" x14ac:dyDescent="0.2">
      <c r="A145" s="93">
        <v>40561</v>
      </c>
      <c r="B145" s="89" t="s">
        <v>764</v>
      </c>
      <c r="C145" s="94" t="s">
        <v>12</v>
      </c>
    </row>
    <row r="146" spans="1:3" ht="50.25" customHeight="1" x14ac:dyDescent="0.2">
      <c r="A146" s="93">
        <v>40561</v>
      </c>
      <c r="B146" s="89" t="s">
        <v>765</v>
      </c>
      <c r="C146" s="94" t="s">
        <v>12</v>
      </c>
    </row>
    <row r="147" spans="1:3" ht="74.25" customHeight="1" x14ac:dyDescent="0.2">
      <c r="A147" s="93">
        <v>40561</v>
      </c>
      <c r="B147" s="89" t="s">
        <v>785</v>
      </c>
      <c r="C147" s="94" t="s">
        <v>12</v>
      </c>
    </row>
    <row r="148" spans="1:3" ht="48" customHeight="1" x14ac:dyDescent="0.2">
      <c r="A148" s="93">
        <v>40561</v>
      </c>
      <c r="B148" s="89" t="s">
        <v>766</v>
      </c>
      <c r="C148" s="94" t="s">
        <v>12</v>
      </c>
    </row>
    <row r="149" spans="1:3" ht="51" x14ac:dyDescent="0.2">
      <c r="A149" s="93">
        <v>40561</v>
      </c>
      <c r="B149" s="89" t="s">
        <v>767</v>
      </c>
      <c r="C149" s="94" t="s">
        <v>12</v>
      </c>
    </row>
    <row r="150" spans="1:3" ht="43.5" customHeight="1" x14ac:dyDescent="0.2">
      <c r="A150" s="93">
        <v>40561</v>
      </c>
      <c r="B150" s="89" t="s">
        <v>769</v>
      </c>
      <c r="C150" s="94" t="s">
        <v>12</v>
      </c>
    </row>
    <row r="151" spans="1:3" ht="48" customHeight="1" x14ac:dyDescent="0.2">
      <c r="A151" s="93">
        <v>40561</v>
      </c>
      <c r="B151" s="36" t="s">
        <v>778</v>
      </c>
      <c r="C151" s="94" t="s">
        <v>12</v>
      </c>
    </row>
    <row r="152" spans="1:3" ht="28.5" customHeight="1" x14ac:dyDescent="0.2">
      <c r="A152" s="93">
        <v>40561</v>
      </c>
      <c r="B152" s="36" t="s">
        <v>780</v>
      </c>
      <c r="C152" s="94" t="s">
        <v>12</v>
      </c>
    </row>
    <row r="153" spans="1:3" ht="65.25" customHeight="1" x14ac:dyDescent="0.2">
      <c r="A153" s="93">
        <v>40945</v>
      </c>
      <c r="B153" s="97" t="s">
        <v>801</v>
      </c>
      <c r="C153" s="94" t="s">
        <v>12</v>
      </c>
    </row>
    <row r="154" spans="1:3" ht="54" customHeight="1" x14ac:dyDescent="0.2">
      <c r="A154" s="93">
        <v>40945</v>
      </c>
      <c r="B154" s="97" t="s">
        <v>789</v>
      </c>
      <c r="C154" s="94" t="s">
        <v>12</v>
      </c>
    </row>
    <row r="155" spans="1:3" ht="50.25" customHeight="1" x14ac:dyDescent="0.2">
      <c r="A155" s="93">
        <v>40948</v>
      </c>
      <c r="B155" s="98" t="s">
        <v>851</v>
      </c>
      <c r="C155" s="96" t="s">
        <v>12</v>
      </c>
    </row>
    <row r="156" spans="1:3" ht="270.75" customHeight="1" x14ac:dyDescent="0.2">
      <c r="A156" s="34">
        <v>41284</v>
      </c>
      <c r="B156" s="89" t="s">
        <v>887</v>
      </c>
      <c r="C156" s="96" t="s">
        <v>12</v>
      </c>
    </row>
    <row r="157" spans="1:3" ht="29.25" customHeight="1" x14ac:dyDescent="0.2">
      <c r="A157" s="34">
        <v>41296</v>
      </c>
      <c r="B157" s="36" t="s">
        <v>903</v>
      </c>
      <c r="C157" s="96" t="s">
        <v>12</v>
      </c>
    </row>
    <row r="158" spans="1:3" ht="75.75" customHeight="1" x14ac:dyDescent="0.2">
      <c r="A158" s="34">
        <v>41284</v>
      </c>
      <c r="B158" s="89" t="s">
        <v>846</v>
      </c>
      <c r="C158" s="96" t="s">
        <v>12</v>
      </c>
    </row>
    <row r="159" spans="1:3" ht="90.75" customHeight="1" x14ac:dyDescent="0.2">
      <c r="A159" s="34">
        <v>41284</v>
      </c>
      <c r="B159" s="119" t="s">
        <v>897</v>
      </c>
      <c r="C159" s="96" t="s">
        <v>12</v>
      </c>
    </row>
    <row r="160" spans="1:3" ht="42" customHeight="1" x14ac:dyDescent="0.2">
      <c r="A160" s="34">
        <v>41284</v>
      </c>
      <c r="B160" s="36" t="s">
        <v>898</v>
      </c>
      <c r="C160" s="96" t="s">
        <v>12</v>
      </c>
    </row>
    <row r="161" spans="1:3" ht="77.25" customHeight="1" x14ac:dyDescent="0.2">
      <c r="A161" s="34">
        <v>41284</v>
      </c>
      <c r="B161" s="89" t="s">
        <v>899</v>
      </c>
      <c r="C161" s="96" t="s">
        <v>12</v>
      </c>
    </row>
    <row r="162" spans="1:3" ht="338.25" customHeight="1" x14ac:dyDescent="0.2">
      <c r="A162" s="34">
        <v>41284</v>
      </c>
      <c r="B162" s="89" t="s">
        <v>852</v>
      </c>
      <c r="C162" s="96" t="s">
        <v>12</v>
      </c>
    </row>
    <row r="163" spans="1:3" ht="75.75" customHeight="1" x14ac:dyDescent="0.2">
      <c r="A163" s="34">
        <v>41284</v>
      </c>
      <c r="B163" s="89" t="s">
        <v>912</v>
      </c>
      <c r="C163" s="96" t="s">
        <v>12</v>
      </c>
    </row>
    <row r="164" spans="1:3" ht="99" customHeight="1" x14ac:dyDescent="0.2">
      <c r="A164" s="34">
        <v>41284</v>
      </c>
      <c r="B164" s="89" t="s">
        <v>901</v>
      </c>
      <c r="C164" s="96" t="s">
        <v>12</v>
      </c>
    </row>
    <row r="165" spans="1:3" ht="38.25" customHeight="1" x14ac:dyDescent="0.2">
      <c r="A165" s="34">
        <v>41284</v>
      </c>
      <c r="B165" s="89" t="s">
        <v>888</v>
      </c>
      <c r="C165" s="96" t="s">
        <v>12</v>
      </c>
    </row>
    <row r="166" spans="1:3" ht="141" customHeight="1" x14ac:dyDescent="0.2">
      <c r="A166" s="34">
        <v>41284</v>
      </c>
      <c r="B166" s="89" t="s">
        <v>915</v>
      </c>
      <c r="C166" s="96" t="s">
        <v>12</v>
      </c>
    </row>
    <row r="167" spans="1:3" ht="51" x14ac:dyDescent="0.2">
      <c r="A167" s="34">
        <v>41284</v>
      </c>
      <c r="B167" s="97" t="s">
        <v>889</v>
      </c>
      <c r="C167" s="96" t="s">
        <v>12</v>
      </c>
    </row>
    <row r="168" spans="1:3" ht="32.25" customHeight="1" x14ac:dyDescent="0.2">
      <c r="A168" s="34">
        <v>41284</v>
      </c>
      <c r="B168" s="89" t="s">
        <v>900</v>
      </c>
      <c r="C168" s="96" t="s">
        <v>12</v>
      </c>
    </row>
    <row r="169" spans="1:3" ht="87" customHeight="1" x14ac:dyDescent="0.2">
      <c r="A169" s="34">
        <v>41284</v>
      </c>
      <c r="B169" s="120" t="s">
        <v>890</v>
      </c>
      <c r="C169" s="96" t="s">
        <v>12</v>
      </c>
    </row>
    <row r="170" spans="1:3" ht="94.5" customHeight="1" x14ac:dyDescent="0.2">
      <c r="A170" s="34">
        <v>41284</v>
      </c>
      <c r="B170" s="89" t="s">
        <v>891</v>
      </c>
      <c r="C170" s="96" t="s">
        <v>12</v>
      </c>
    </row>
    <row r="171" spans="1:3" ht="57.75" customHeight="1" x14ac:dyDescent="0.2">
      <c r="A171" s="34">
        <v>41284</v>
      </c>
      <c r="B171" s="36" t="s">
        <v>892</v>
      </c>
      <c r="C171" s="96" t="s">
        <v>12</v>
      </c>
    </row>
    <row r="172" spans="1:3" ht="45" customHeight="1" x14ac:dyDescent="0.2">
      <c r="A172" s="34">
        <v>41284</v>
      </c>
      <c r="B172" s="89" t="s">
        <v>850</v>
      </c>
      <c r="C172" s="96" t="s">
        <v>12</v>
      </c>
    </row>
    <row r="173" spans="1:3" ht="39" customHeight="1" x14ac:dyDescent="0.2">
      <c r="A173" s="34">
        <v>41284</v>
      </c>
      <c r="B173" s="121" t="s">
        <v>911</v>
      </c>
      <c r="C173" s="96" t="s">
        <v>12</v>
      </c>
    </row>
    <row r="174" spans="1:3" ht="25.5" x14ac:dyDescent="0.2">
      <c r="A174" s="34">
        <v>41296</v>
      </c>
      <c r="B174" s="89" t="s">
        <v>908</v>
      </c>
      <c r="C174" s="96" t="s">
        <v>12</v>
      </c>
    </row>
    <row r="175" spans="1:3" ht="25.5" x14ac:dyDescent="0.2">
      <c r="A175" s="34">
        <v>41296</v>
      </c>
      <c r="B175" s="122" t="s">
        <v>909</v>
      </c>
      <c r="C175" s="96" t="s">
        <v>12</v>
      </c>
    </row>
    <row r="176" spans="1:3" ht="39" customHeight="1" x14ac:dyDescent="0.2">
      <c r="A176" s="34">
        <v>41296</v>
      </c>
      <c r="B176" s="137" t="s">
        <v>932</v>
      </c>
      <c r="C176" s="96" t="s">
        <v>12</v>
      </c>
    </row>
    <row r="177" spans="1:3" ht="25.5" x14ac:dyDescent="0.2">
      <c r="A177" s="34">
        <v>41296</v>
      </c>
      <c r="B177" s="122" t="s">
        <v>902</v>
      </c>
      <c r="C177" s="96" t="s">
        <v>12</v>
      </c>
    </row>
    <row r="178" spans="1:3" ht="166.5" customHeight="1" x14ac:dyDescent="0.2">
      <c r="A178" s="34">
        <v>41296</v>
      </c>
      <c r="B178" s="89" t="s">
        <v>910</v>
      </c>
      <c r="C178" s="96" t="s">
        <v>12</v>
      </c>
    </row>
    <row r="179" spans="1:3" ht="25.5" customHeight="1" x14ac:dyDescent="0.2">
      <c r="A179" s="34">
        <v>41284</v>
      </c>
      <c r="B179" s="36" t="s">
        <v>875</v>
      </c>
      <c r="C179" s="96" t="s">
        <v>12</v>
      </c>
    </row>
    <row r="180" spans="1:3" x14ac:dyDescent="0.2">
      <c r="A180" s="34">
        <v>41313</v>
      </c>
      <c r="B180" s="123" t="s">
        <v>919</v>
      </c>
      <c r="C180" s="124" t="s">
        <v>12</v>
      </c>
    </row>
    <row r="181" spans="1:3" ht="38.25" x14ac:dyDescent="0.2">
      <c r="A181" s="34">
        <v>41296</v>
      </c>
      <c r="B181" s="89" t="s">
        <v>913</v>
      </c>
      <c r="C181" s="125" t="s">
        <v>12</v>
      </c>
    </row>
    <row r="182" spans="1:3" ht="38.25" x14ac:dyDescent="0.2">
      <c r="A182" s="34">
        <v>41302</v>
      </c>
      <c r="B182" s="89" t="s">
        <v>914</v>
      </c>
      <c r="C182" s="35" t="s">
        <v>12</v>
      </c>
    </row>
    <row r="183" spans="1:3" ht="76.5" x14ac:dyDescent="0.2">
      <c r="A183" s="127">
        <v>41310</v>
      </c>
      <c r="B183" s="123" t="s">
        <v>917</v>
      </c>
      <c r="C183" s="126" t="s">
        <v>12</v>
      </c>
    </row>
    <row r="184" spans="1:3" ht="76.5" x14ac:dyDescent="0.2">
      <c r="A184" s="127">
        <v>41310</v>
      </c>
      <c r="B184" s="123" t="s">
        <v>916</v>
      </c>
      <c r="C184" s="126" t="s">
        <v>12</v>
      </c>
    </row>
    <row r="185" spans="1:3" ht="76.5" x14ac:dyDescent="0.2">
      <c r="A185" s="127">
        <v>41310</v>
      </c>
      <c r="B185" s="123" t="s">
        <v>918</v>
      </c>
      <c r="C185" s="126" t="s">
        <v>12</v>
      </c>
    </row>
    <row r="186" spans="1:3" ht="38.25" x14ac:dyDescent="0.2">
      <c r="A186" s="127">
        <v>41319</v>
      </c>
      <c r="B186" s="36" t="s">
        <v>921</v>
      </c>
      <c r="C186" s="126" t="s">
        <v>12</v>
      </c>
    </row>
    <row r="187" spans="1:3" ht="28.5" customHeight="1" x14ac:dyDescent="0.2">
      <c r="A187" s="127">
        <v>41319</v>
      </c>
      <c r="B187" s="123" t="s">
        <v>925</v>
      </c>
      <c r="C187" s="126" t="s">
        <v>12</v>
      </c>
    </row>
    <row r="188" spans="1:3" ht="18" customHeight="1" x14ac:dyDescent="0.2">
      <c r="A188" s="127">
        <v>41319</v>
      </c>
      <c r="B188" s="123" t="s">
        <v>924</v>
      </c>
      <c r="C188" s="126" t="s">
        <v>12</v>
      </c>
    </row>
    <row r="189" spans="1:3" ht="25.5" x14ac:dyDescent="0.2">
      <c r="A189" s="34">
        <v>41339</v>
      </c>
      <c r="B189" s="123" t="s">
        <v>930</v>
      </c>
      <c r="C189" s="131" t="s">
        <v>12</v>
      </c>
    </row>
    <row r="190" spans="1:3" ht="51" x14ac:dyDescent="0.2">
      <c r="A190" s="34">
        <v>41387</v>
      </c>
      <c r="B190" s="123" t="s">
        <v>931</v>
      </c>
      <c r="C190" s="131" t="s">
        <v>12</v>
      </c>
    </row>
    <row r="191" spans="1:3" ht="21.75" customHeight="1" x14ac:dyDescent="0.2">
      <c r="A191" s="34">
        <v>41576</v>
      </c>
      <c r="B191" s="36" t="s">
        <v>995</v>
      </c>
      <c r="C191" s="35" t="s">
        <v>12</v>
      </c>
    </row>
    <row r="192" spans="1:3" ht="42" customHeight="1" x14ac:dyDescent="0.2">
      <c r="A192" s="34">
        <v>41576</v>
      </c>
      <c r="B192" s="123" t="s">
        <v>1003</v>
      </c>
      <c r="C192" s="35" t="s">
        <v>12</v>
      </c>
    </row>
    <row r="193" spans="1:3" ht="31.5" customHeight="1" x14ac:dyDescent="0.2">
      <c r="A193" s="34">
        <v>41576</v>
      </c>
      <c r="B193" s="123" t="s">
        <v>1008</v>
      </c>
      <c r="C193" s="35" t="s">
        <v>12</v>
      </c>
    </row>
    <row r="194" spans="1:3" ht="43.5" customHeight="1" x14ac:dyDescent="0.2">
      <c r="A194" s="34">
        <v>41576</v>
      </c>
      <c r="B194" s="123" t="s">
        <v>1005</v>
      </c>
      <c r="C194" s="35" t="s">
        <v>12</v>
      </c>
    </row>
    <row r="195" spans="1:3" ht="46.5" customHeight="1" x14ac:dyDescent="0.2">
      <c r="A195" s="34">
        <v>41576</v>
      </c>
      <c r="B195" s="123" t="s">
        <v>1011</v>
      </c>
      <c r="C195" s="35" t="s">
        <v>12</v>
      </c>
    </row>
    <row r="196" spans="1:3" ht="51" customHeight="1" x14ac:dyDescent="0.2">
      <c r="A196" s="34">
        <v>41576</v>
      </c>
      <c r="B196" s="123" t="s">
        <v>1007</v>
      </c>
      <c r="C196" s="35" t="s">
        <v>12</v>
      </c>
    </row>
    <row r="197" spans="1:3" ht="39.75" customHeight="1" x14ac:dyDescent="0.2">
      <c r="A197" s="34">
        <v>41576</v>
      </c>
      <c r="B197" s="123" t="s">
        <v>1000</v>
      </c>
      <c r="C197" s="35" t="s">
        <v>12</v>
      </c>
    </row>
    <row r="198" spans="1:3" ht="21" customHeight="1" x14ac:dyDescent="0.2">
      <c r="A198" s="34">
        <v>41576</v>
      </c>
      <c r="B198" s="123" t="s">
        <v>1004</v>
      </c>
      <c r="C198" s="35" t="s">
        <v>12</v>
      </c>
    </row>
    <row r="199" spans="1:3" ht="46.5" customHeight="1" x14ac:dyDescent="0.2">
      <c r="A199" s="34">
        <v>41576</v>
      </c>
      <c r="B199" s="123" t="s">
        <v>1002</v>
      </c>
      <c r="C199" s="35" t="s">
        <v>12</v>
      </c>
    </row>
    <row r="200" spans="1:3" ht="53.25" customHeight="1" x14ac:dyDescent="0.2">
      <c r="A200" s="34">
        <v>41677</v>
      </c>
      <c r="B200" s="36" t="s">
        <v>1019</v>
      </c>
      <c r="C200" s="35" t="s">
        <v>12</v>
      </c>
    </row>
    <row r="201" spans="1:3" ht="25.5" x14ac:dyDescent="0.2">
      <c r="A201" s="34">
        <v>41677</v>
      </c>
      <c r="B201" s="123" t="s">
        <v>1017</v>
      </c>
      <c r="C201" s="35" t="s">
        <v>12</v>
      </c>
    </row>
    <row r="202" spans="1:3" ht="25.5" x14ac:dyDescent="0.2">
      <c r="A202" s="145">
        <v>41681</v>
      </c>
      <c r="B202" s="155" t="s">
        <v>1024</v>
      </c>
      <c r="C202" s="146" t="s">
        <v>12</v>
      </c>
    </row>
    <row r="203" spans="1:3" ht="153" x14ac:dyDescent="0.2">
      <c r="A203" s="145">
        <v>41716</v>
      </c>
      <c r="B203" s="168" t="s">
        <v>1023</v>
      </c>
      <c r="C203" s="146" t="s">
        <v>12</v>
      </c>
    </row>
  </sheetData>
  <mergeCells count="1">
    <mergeCell ref="A1:C1"/>
  </mergeCells>
  <phoneticPr fontId="13" type="noConversion"/>
  <printOptions gridLines="1"/>
  <pageMargins left="0.25" right="0.25" top="0.75" bottom="0.75" header="0.3" footer="0.3"/>
  <pageSetup scale="98" orientation="portrait" r:id="rId1"/>
  <headerFooter alignWithMargins="0">
    <oddHeader>&amp;RLast Saved Date:2/28/2011 1:32:04 PM</oddHeader>
    <oddFooter>&amp;RLast Saved Date: 3/18/2014 12:45:26 PM</oddFooter>
  </headerFooter>
  <rowBreaks count="1" manualBreakCount="1">
    <brk id="183" max="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C13" sqref="C13"/>
    </sheetView>
  </sheetViews>
  <sheetFormatPr defaultRowHeight="12.75" x14ac:dyDescent="0.2"/>
  <cols>
    <col min="1" max="1" width="32.5703125" customWidth="1"/>
    <col min="2" max="2" width="37.28515625" customWidth="1"/>
    <col min="3" max="3" width="46.7109375" customWidth="1"/>
  </cols>
  <sheetData>
    <row r="1" spans="1:6" x14ac:dyDescent="0.2">
      <c r="A1" s="141" t="s">
        <v>952</v>
      </c>
      <c r="B1" s="141" t="s">
        <v>953</v>
      </c>
      <c r="C1" s="141" t="s">
        <v>954</v>
      </c>
    </row>
    <row r="2" spans="1:6" ht="46.5" customHeight="1" x14ac:dyDescent="0.2">
      <c r="A2" s="143" t="s">
        <v>959</v>
      </c>
      <c r="B2" s="143" t="s">
        <v>961</v>
      </c>
      <c r="C2" s="144" t="s">
        <v>962</v>
      </c>
      <c r="D2" s="140"/>
      <c r="E2" s="140"/>
      <c r="F2" s="140"/>
    </row>
    <row r="3" spans="1:6" ht="51.75" customHeight="1" x14ac:dyDescent="0.2">
      <c r="A3" s="143" t="s">
        <v>960</v>
      </c>
      <c r="B3" s="143" t="s">
        <v>961</v>
      </c>
      <c r="C3" s="144" t="s">
        <v>962</v>
      </c>
      <c r="D3" s="140"/>
      <c r="E3" s="140"/>
      <c r="F3" s="140"/>
    </row>
    <row r="4" spans="1:6" ht="58.5" customHeight="1" x14ac:dyDescent="0.2">
      <c r="A4" s="142" t="s">
        <v>955</v>
      </c>
      <c r="B4" s="143" t="s">
        <v>961</v>
      </c>
      <c r="C4" s="142" t="s">
        <v>956</v>
      </c>
      <c r="D4" s="140"/>
      <c r="E4" s="140"/>
      <c r="F4" s="140"/>
    </row>
    <row r="5" spans="1:6" x14ac:dyDescent="0.2">
      <c r="A5" s="140"/>
      <c r="B5" s="140"/>
      <c r="C5" s="140"/>
      <c r="D5" s="140"/>
      <c r="E5" s="140"/>
      <c r="F5" s="140"/>
    </row>
    <row r="7" spans="1:6" x14ac:dyDescent="0.2">
      <c r="A7" t="s">
        <v>957</v>
      </c>
    </row>
    <row r="8" spans="1:6" x14ac:dyDescent="0.2">
      <c r="A8" t="s">
        <v>958</v>
      </c>
    </row>
  </sheetData>
  <hyperlinks>
    <hyperlink ref="C2" r:id="rId1"/>
    <hyperlink ref="C3" r:id="rId2"/>
  </hyperlinks>
  <pageMargins left="0.7" right="0.7" top="0.75" bottom="0.75" header="0.3" footer="0.3"/>
  <pageSetup orientation="landscape" r:id="rId3"/>
  <headerFooter>
    <oddFooter>&amp;RLast Saved Date: 10/29/2013 1:55:09 PM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40"/>
  <sheetViews>
    <sheetView workbookViewId="0">
      <selection activeCell="D29" sqref="D29"/>
    </sheetView>
  </sheetViews>
  <sheetFormatPr defaultRowHeight="12.75" x14ac:dyDescent="0.2"/>
  <cols>
    <col min="1" max="1" width="34.5703125" bestFit="1" customWidth="1"/>
    <col min="2" max="2" width="21.42578125" bestFit="1" customWidth="1"/>
    <col min="3" max="3" width="15.140625" bestFit="1" customWidth="1"/>
    <col min="4" max="4" width="15.85546875" bestFit="1" customWidth="1"/>
  </cols>
  <sheetData>
    <row r="1" spans="1:4" x14ac:dyDescent="0.2">
      <c r="A1" s="12" t="s">
        <v>81</v>
      </c>
      <c r="B1" s="12" t="s">
        <v>86</v>
      </c>
      <c r="C1" s="12" t="s">
        <v>95</v>
      </c>
      <c r="D1" s="14" t="s">
        <v>96</v>
      </c>
    </row>
    <row r="2" spans="1:4" x14ac:dyDescent="0.2">
      <c r="A2" s="13" t="s">
        <v>85</v>
      </c>
      <c r="B2" s="14" t="s">
        <v>90</v>
      </c>
      <c r="C2" s="13" t="s">
        <v>99</v>
      </c>
      <c r="D2" s="14" t="s">
        <v>100</v>
      </c>
    </row>
    <row r="3" spans="1:4" x14ac:dyDescent="0.2">
      <c r="A3" s="13" t="s">
        <v>89</v>
      </c>
      <c r="B3" s="14" t="s">
        <v>94</v>
      </c>
      <c r="C3" s="13" t="s">
        <v>103</v>
      </c>
      <c r="D3" s="14" t="s">
        <v>104</v>
      </c>
    </row>
    <row r="4" spans="1:4" x14ac:dyDescent="0.2">
      <c r="A4" s="13" t="s">
        <v>93</v>
      </c>
      <c r="B4" s="15" t="s">
        <v>98</v>
      </c>
      <c r="C4" s="13" t="s">
        <v>107</v>
      </c>
      <c r="D4" s="14" t="s">
        <v>109</v>
      </c>
    </row>
    <row r="5" spans="1:4" x14ac:dyDescent="0.2">
      <c r="A5" s="13" t="s">
        <v>97</v>
      </c>
      <c r="B5" s="14" t="s">
        <v>102</v>
      </c>
      <c r="C5" s="13" t="s">
        <v>112</v>
      </c>
      <c r="D5" s="14" t="s">
        <v>113</v>
      </c>
    </row>
    <row r="6" spans="1:4" x14ac:dyDescent="0.2">
      <c r="A6" s="13" t="s">
        <v>101</v>
      </c>
      <c r="B6" s="14" t="s">
        <v>106</v>
      </c>
      <c r="C6" s="13" t="s">
        <v>116</v>
      </c>
      <c r="D6" s="14" t="s">
        <v>117</v>
      </c>
    </row>
    <row r="7" spans="1:4" x14ac:dyDescent="0.2">
      <c r="A7" s="16" t="s">
        <v>105</v>
      </c>
      <c r="B7" s="14" t="s">
        <v>111</v>
      </c>
      <c r="C7" s="13" t="s">
        <v>121</v>
      </c>
      <c r="D7" s="14" t="s">
        <v>122</v>
      </c>
    </row>
    <row r="8" spans="1:4" x14ac:dyDescent="0.2">
      <c r="A8" s="13" t="s">
        <v>110</v>
      </c>
      <c r="B8" s="14" t="s">
        <v>115</v>
      </c>
      <c r="C8" s="16" t="s">
        <v>125</v>
      </c>
      <c r="D8" s="15" t="s">
        <v>126</v>
      </c>
    </row>
    <row r="9" spans="1:4" x14ac:dyDescent="0.2">
      <c r="A9" s="13" t="s">
        <v>114</v>
      </c>
      <c r="B9" s="14" t="s">
        <v>119</v>
      </c>
      <c r="C9" s="16" t="s">
        <v>129</v>
      </c>
      <c r="D9" s="14" t="s">
        <v>130</v>
      </c>
    </row>
    <row r="10" spans="1:4" x14ac:dyDescent="0.2">
      <c r="A10" s="13" t="s">
        <v>118</v>
      </c>
      <c r="B10" s="14" t="s">
        <v>124</v>
      </c>
      <c r="C10" s="13" t="s">
        <v>133</v>
      </c>
      <c r="D10" s="15" t="s">
        <v>134</v>
      </c>
    </row>
    <row r="11" spans="1:4" x14ac:dyDescent="0.2">
      <c r="A11" s="13" t="s">
        <v>123</v>
      </c>
      <c r="B11" s="15" t="s">
        <v>128</v>
      </c>
      <c r="C11" s="13" t="s">
        <v>137</v>
      </c>
      <c r="D11" s="14" t="s">
        <v>141</v>
      </c>
    </row>
    <row r="12" spans="1:4" x14ac:dyDescent="0.2">
      <c r="A12" s="13" t="s">
        <v>127</v>
      </c>
      <c r="B12" s="14" t="s">
        <v>132</v>
      </c>
      <c r="C12" s="13" t="s">
        <v>140</v>
      </c>
      <c r="D12" s="14" t="s">
        <v>144</v>
      </c>
    </row>
    <row r="13" spans="1:4" x14ac:dyDescent="0.2">
      <c r="A13" s="13" t="s">
        <v>131</v>
      </c>
      <c r="B13" s="14" t="s">
        <v>136</v>
      </c>
      <c r="C13" s="13" t="s">
        <v>143</v>
      </c>
      <c r="D13" s="14" t="s">
        <v>147</v>
      </c>
    </row>
    <row r="14" spans="1:4" x14ac:dyDescent="0.2">
      <c r="A14" s="13" t="s">
        <v>135</v>
      </c>
      <c r="B14" s="14" t="s">
        <v>139</v>
      </c>
      <c r="C14" s="16" t="s">
        <v>146</v>
      </c>
      <c r="D14" s="15" t="s">
        <v>151</v>
      </c>
    </row>
    <row r="15" spans="1:4" x14ac:dyDescent="0.2">
      <c r="A15" s="13" t="s">
        <v>138</v>
      </c>
      <c r="B15" s="14" t="s">
        <v>149</v>
      </c>
      <c r="C15" s="16" t="s">
        <v>150</v>
      </c>
      <c r="D15" s="14" t="s">
        <v>155</v>
      </c>
    </row>
    <row r="16" spans="1:4" x14ac:dyDescent="0.2">
      <c r="A16" s="13" t="s">
        <v>142</v>
      </c>
      <c r="B16" s="14" t="s">
        <v>153</v>
      </c>
      <c r="C16" s="13" t="s">
        <v>154</v>
      </c>
      <c r="D16" s="14" t="s">
        <v>160</v>
      </c>
    </row>
    <row r="17" spans="1:4" x14ac:dyDescent="0.2">
      <c r="A17" s="13" t="s">
        <v>145</v>
      </c>
      <c r="B17" s="15" t="s">
        <v>158</v>
      </c>
      <c r="C17" s="13" t="s">
        <v>159</v>
      </c>
      <c r="D17" s="15" t="s">
        <v>164</v>
      </c>
    </row>
    <row r="18" spans="1:4" x14ac:dyDescent="0.2">
      <c r="A18" s="13" t="s">
        <v>148</v>
      </c>
      <c r="B18" s="15" t="s">
        <v>162</v>
      </c>
      <c r="C18" s="13" t="s">
        <v>163</v>
      </c>
      <c r="D18" s="15"/>
    </row>
    <row r="19" spans="1:4" x14ac:dyDescent="0.2">
      <c r="A19" s="13" t="s">
        <v>152</v>
      </c>
      <c r="B19" s="14" t="s">
        <v>169</v>
      </c>
      <c r="C19" s="13" t="s">
        <v>173</v>
      </c>
      <c r="D19" s="14"/>
    </row>
    <row r="20" spans="1:4" x14ac:dyDescent="0.2">
      <c r="A20" s="13" t="s">
        <v>156</v>
      </c>
      <c r="B20" s="14" t="s">
        <v>175</v>
      </c>
      <c r="C20" s="13" t="s">
        <v>176</v>
      </c>
      <c r="D20" s="14"/>
    </row>
    <row r="21" spans="1:4" x14ac:dyDescent="0.2">
      <c r="A21" s="13" t="s">
        <v>161</v>
      </c>
      <c r="B21" s="14" t="s">
        <v>178</v>
      </c>
      <c r="C21" s="13" t="s">
        <v>179</v>
      </c>
      <c r="D21" s="15"/>
    </row>
    <row r="22" spans="1:4" x14ac:dyDescent="0.2">
      <c r="A22" s="13" t="s">
        <v>168</v>
      </c>
      <c r="B22" s="14" t="s">
        <v>181</v>
      </c>
      <c r="C22" s="13" t="s">
        <v>182</v>
      </c>
      <c r="D22" s="17"/>
    </row>
    <row r="23" spans="1:4" x14ac:dyDescent="0.2">
      <c r="A23" s="13" t="s">
        <v>174</v>
      </c>
      <c r="B23" s="14" t="s">
        <v>184</v>
      </c>
      <c r="C23" s="13" t="s">
        <v>185</v>
      </c>
      <c r="D23" s="17"/>
    </row>
    <row r="24" spans="1:4" x14ac:dyDescent="0.2">
      <c r="A24" s="13" t="s">
        <v>177</v>
      </c>
      <c r="B24" s="14" t="s">
        <v>187</v>
      </c>
      <c r="C24" s="13" t="s">
        <v>188</v>
      </c>
      <c r="D24" s="17"/>
    </row>
    <row r="25" spans="1:4" x14ac:dyDescent="0.2">
      <c r="A25" s="13" t="s">
        <v>180</v>
      </c>
      <c r="B25" s="14" t="s">
        <v>190</v>
      </c>
      <c r="C25" s="13" t="s">
        <v>191</v>
      </c>
      <c r="D25" s="17"/>
    </row>
    <row r="26" spans="1:4" x14ac:dyDescent="0.2">
      <c r="A26" s="16" t="s">
        <v>183</v>
      </c>
      <c r="B26" s="15" t="s">
        <v>193</v>
      </c>
      <c r="C26" s="13" t="s">
        <v>194</v>
      </c>
      <c r="D26" s="17"/>
    </row>
    <row r="27" spans="1:4" x14ac:dyDescent="0.2">
      <c r="A27" s="13" t="s">
        <v>186</v>
      </c>
      <c r="B27" s="14" t="s">
        <v>196</v>
      </c>
      <c r="C27" s="13" t="s">
        <v>197</v>
      </c>
      <c r="D27" s="17"/>
    </row>
    <row r="28" spans="1:4" x14ac:dyDescent="0.2">
      <c r="A28" s="13" t="s">
        <v>189</v>
      </c>
      <c r="B28" s="14" t="s">
        <v>199</v>
      </c>
      <c r="C28" s="13" t="s">
        <v>200</v>
      </c>
      <c r="D28" s="17"/>
    </row>
    <row r="29" spans="1:4" x14ac:dyDescent="0.2">
      <c r="A29" s="13" t="s">
        <v>192</v>
      </c>
      <c r="B29" s="14" t="s">
        <v>202</v>
      </c>
      <c r="C29" s="13" t="s">
        <v>203</v>
      </c>
      <c r="D29" s="17"/>
    </row>
    <row r="30" spans="1:4" x14ac:dyDescent="0.2">
      <c r="A30" s="13" t="s">
        <v>195</v>
      </c>
      <c r="B30" s="14" t="s">
        <v>205</v>
      </c>
      <c r="C30" s="16" t="s">
        <v>206</v>
      </c>
      <c r="D30" s="17"/>
    </row>
    <row r="31" spans="1:4" x14ac:dyDescent="0.2">
      <c r="A31" s="16" t="s">
        <v>198</v>
      </c>
      <c r="B31" s="14" t="s">
        <v>208</v>
      </c>
      <c r="C31" s="13" t="s">
        <v>209</v>
      </c>
      <c r="D31" s="17"/>
    </row>
    <row r="32" spans="1:4" x14ac:dyDescent="0.2">
      <c r="A32" s="13" t="s">
        <v>201</v>
      </c>
      <c r="B32" s="14" t="s">
        <v>210</v>
      </c>
      <c r="C32" s="13" t="s">
        <v>211</v>
      </c>
      <c r="D32" s="17"/>
    </row>
    <row r="33" spans="1:4" x14ac:dyDescent="0.2">
      <c r="A33" s="13" t="s">
        <v>204</v>
      </c>
      <c r="B33" s="14" t="s">
        <v>213</v>
      </c>
      <c r="C33" s="13" t="s">
        <v>214</v>
      </c>
      <c r="D33" s="17"/>
    </row>
    <row r="34" spans="1:4" x14ac:dyDescent="0.2">
      <c r="A34" s="16" t="s">
        <v>207</v>
      </c>
      <c r="B34" s="14" t="s">
        <v>216</v>
      </c>
      <c r="C34" s="13" t="s">
        <v>217</v>
      </c>
      <c r="D34" s="17"/>
    </row>
    <row r="35" spans="1:4" x14ac:dyDescent="0.2">
      <c r="A35" s="13" t="s">
        <v>212</v>
      </c>
      <c r="B35" s="14" t="s">
        <v>219</v>
      </c>
      <c r="C35" s="13" t="s">
        <v>220</v>
      </c>
      <c r="D35" s="17"/>
    </row>
    <row r="36" spans="1:4" x14ac:dyDescent="0.2">
      <c r="A36" s="13" t="s">
        <v>215</v>
      </c>
      <c r="B36" s="14" t="s">
        <v>222</v>
      </c>
      <c r="C36" s="13" t="s">
        <v>223</v>
      </c>
      <c r="D36" s="17"/>
    </row>
    <row r="37" spans="1:4" x14ac:dyDescent="0.2">
      <c r="A37" s="16" t="s">
        <v>218</v>
      </c>
      <c r="B37" s="14" t="s">
        <v>225</v>
      </c>
      <c r="C37" s="13" t="s">
        <v>226</v>
      </c>
      <c r="D37" s="17"/>
    </row>
    <row r="38" spans="1:4" x14ac:dyDescent="0.2">
      <c r="A38" s="13" t="s">
        <v>221</v>
      </c>
      <c r="B38" s="13" t="s">
        <v>83</v>
      </c>
      <c r="C38" s="13" t="s">
        <v>84</v>
      </c>
      <c r="D38" s="17"/>
    </row>
    <row r="39" spans="1:4" x14ac:dyDescent="0.2">
      <c r="A39" s="13" t="s">
        <v>224</v>
      </c>
      <c r="B39" s="14" t="s">
        <v>87</v>
      </c>
      <c r="C39" s="14" t="s">
        <v>88</v>
      </c>
      <c r="D39" s="17"/>
    </row>
    <row r="40" spans="1:4" ht="13.5" thickBot="1" x14ac:dyDescent="0.25">
      <c r="A40" s="81" t="s">
        <v>82</v>
      </c>
      <c r="B40" s="18" t="s">
        <v>91</v>
      </c>
      <c r="C40" s="81" t="s">
        <v>92</v>
      </c>
      <c r="D40" s="20"/>
    </row>
  </sheetData>
  <phoneticPr fontId="13" type="noConversion"/>
  <pageMargins left="0.75" right="0.75" top="1" bottom="1" header="0.5" footer="0.5"/>
  <pageSetup orientation="portrait" r:id="rId1"/>
  <headerFooter alignWithMargins="0">
    <oddFooter>&amp;RLast Saved Date: 1/19/2012 9:26:53 AM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65"/>
  <sheetViews>
    <sheetView workbookViewId="0">
      <selection activeCell="C34" sqref="C34"/>
    </sheetView>
  </sheetViews>
  <sheetFormatPr defaultRowHeight="12.75" x14ac:dyDescent="0.2"/>
  <cols>
    <col min="1" max="1" width="23" bestFit="1" customWidth="1"/>
    <col min="2" max="2" width="26" bestFit="1" customWidth="1"/>
    <col min="3" max="3" width="22.28515625" bestFit="1" customWidth="1"/>
    <col min="4" max="4" width="24.42578125" bestFit="1" customWidth="1"/>
  </cols>
  <sheetData>
    <row r="1" spans="1:4" x14ac:dyDescent="0.2">
      <c r="A1" s="12" t="s">
        <v>227</v>
      </c>
      <c r="B1" s="11" t="s">
        <v>228</v>
      </c>
      <c r="C1" s="11" t="s">
        <v>229</v>
      </c>
      <c r="D1" s="12" t="s">
        <v>575</v>
      </c>
    </row>
    <row r="2" spans="1:4" x14ac:dyDescent="0.2">
      <c r="A2" s="13" t="s">
        <v>231</v>
      </c>
      <c r="B2" s="14" t="s">
        <v>232</v>
      </c>
      <c r="C2" s="14" t="s">
        <v>233</v>
      </c>
      <c r="D2" s="14" t="s">
        <v>230</v>
      </c>
    </row>
    <row r="3" spans="1:4" x14ac:dyDescent="0.2">
      <c r="A3" s="13" t="s">
        <v>235</v>
      </c>
      <c r="B3" s="14" t="s">
        <v>236</v>
      </c>
      <c r="C3" s="14" t="s">
        <v>237</v>
      </c>
      <c r="D3" s="14" t="s">
        <v>234</v>
      </c>
    </row>
    <row r="4" spans="1:4" x14ac:dyDescent="0.2">
      <c r="A4" s="13" t="s">
        <v>239</v>
      </c>
      <c r="B4" s="14" t="s">
        <v>240</v>
      </c>
      <c r="C4" s="14" t="s">
        <v>241</v>
      </c>
      <c r="D4" s="14" t="s">
        <v>238</v>
      </c>
    </row>
    <row r="5" spans="1:4" x14ac:dyDescent="0.2">
      <c r="A5" s="13" t="s">
        <v>243</v>
      </c>
      <c r="B5" s="14" t="s">
        <v>244</v>
      </c>
      <c r="C5" s="14" t="s">
        <v>245</v>
      </c>
      <c r="D5" s="14" t="s">
        <v>242</v>
      </c>
    </row>
    <row r="6" spans="1:4" x14ac:dyDescent="0.2">
      <c r="A6" s="13" t="s">
        <v>247</v>
      </c>
      <c r="B6" s="14" t="s">
        <v>248</v>
      </c>
      <c r="C6" s="14" t="s">
        <v>249</v>
      </c>
      <c r="D6" s="14" t="s">
        <v>246</v>
      </c>
    </row>
    <row r="7" spans="1:4" x14ac:dyDescent="0.2">
      <c r="A7" s="13" t="s">
        <v>251</v>
      </c>
      <c r="B7" s="14" t="s">
        <v>252</v>
      </c>
      <c r="C7" s="14" t="s">
        <v>253</v>
      </c>
      <c r="D7" s="14" t="s">
        <v>250</v>
      </c>
    </row>
    <row r="8" spans="1:4" x14ac:dyDescent="0.2">
      <c r="A8" s="13" t="s">
        <v>255</v>
      </c>
      <c r="B8" s="14" t="s">
        <v>256</v>
      </c>
      <c r="C8" s="14" t="s">
        <v>257</v>
      </c>
      <c r="D8" s="14" t="s">
        <v>254</v>
      </c>
    </row>
    <row r="9" spans="1:4" x14ac:dyDescent="0.2">
      <c r="A9" s="13" t="s">
        <v>259</v>
      </c>
      <c r="B9" s="14" t="s">
        <v>260</v>
      </c>
      <c r="C9" s="14" t="s">
        <v>261</v>
      </c>
      <c r="D9" s="14" t="s">
        <v>258</v>
      </c>
    </row>
    <row r="10" spans="1:4" x14ac:dyDescent="0.2">
      <c r="A10" s="13" t="s">
        <v>263</v>
      </c>
      <c r="B10" s="14" t="s">
        <v>264</v>
      </c>
      <c r="C10" s="14" t="s">
        <v>265</v>
      </c>
      <c r="D10" s="14" t="s">
        <v>262</v>
      </c>
    </row>
    <row r="11" spans="1:4" x14ac:dyDescent="0.2">
      <c r="A11" s="13" t="s">
        <v>267</v>
      </c>
      <c r="B11" s="14" t="s">
        <v>268</v>
      </c>
      <c r="C11" s="14" t="s">
        <v>269</v>
      </c>
      <c r="D11" s="14" t="s">
        <v>266</v>
      </c>
    </row>
    <row r="12" spans="1:4" x14ac:dyDescent="0.2">
      <c r="A12" s="13" t="s">
        <v>271</v>
      </c>
      <c r="B12" s="14" t="s">
        <v>272</v>
      </c>
      <c r="C12" s="14" t="s">
        <v>273</v>
      </c>
      <c r="D12" s="14" t="s">
        <v>270</v>
      </c>
    </row>
    <row r="13" spans="1:4" x14ac:dyDescent="0.2">
      <c r="A13" s="13" t="s">
        <v>275</v>
      </c>
      <c r="B13" s="14" t="s">
        <v>276</v>
      </c>
      <c r="C13" s="14" t="s">
        <v>277</v>
      </c>
      <c r="D13" s="14" t="s">
        <v>274</v>
      </c>
    </row>
    <row r="14" spans="1:4" x14ac:dyDescent="0.2">
      <c r="A14" s="13" t="s">
        <v>279</v>
      </c>
      <c r="B14" s="14" t="s">
        <v>378</v>
      </c>
      <c r="C14" s="14" t="s">
        <v>379</v>
      </c>
      <c r="D14" s="14" t="s">
        <v>278</v>
      </c>
    </row>
    <row r="15" spans="1:4" x14ac:dyDescent="0.2">
      <c r="A15" s="13" t="s">
        <v>381</v>
      </c>
      <c r="B15" s="14" t="s">
        <v>382</v>
      </c>
      <c r="C15" s="14" t="s">
        <v>383</v>
      </c>
      <c r="D15" s="14" t="s">
        <v>380</v>
      </c>
    </row>
    <row r="16" spans="1:4" x14ac:dyDescent="0.2">
      <c r="A16" s="13" t="s">
        <v>385</v>
      </c>
      <c r="B16" s="14" t="s">
        <v>386</v>
      </c>
      <c r="C16" s="14" t="s">
        <v>387</v>
      </c>
      <c r="D16" s="14" t="s">
        <v>384</v>
      </c>
    </row>
    <row r="17" spans="1:4" x14ac:dyDescent="0.2">
      <c r="A17" s="13" t="s">
        <v>389</v>
      </c>
      <c r="B17" s="14" t="s">
        <v>390</v>
      </c>
      <c r="C17" s="14" t="s">
        <v>391</v>
      </c>
      <c r="D17" s="14" t="s">
        <v>388</v>
      </c>
    </row>
    <row r="18" spans="1:4" x14ac:dyDescent="0.2">
      <c r="A18" s="13" t="s">
        <v>393</v>
      </c>
      <c r="B18" s="14" t="s">
        <v>394</v>
      </c>
      <c r="C18" s="14" t="s">
        <v>395</v>
      </c>
      <c r="D18" s="14" t="s">
        <v>392</v>
      </c>
    </row>
    <row r="19" spans="1:4" x14ac:dyDescent="0.2">
      <c r="A19" s="13" t="s">
        <v>397</v>
      </c>
      <c r="B19" s="14" t="s">
        <v>398</v>
      </c>
      <c r="C19" s="14" t="s">
        <v>399</v>
      </c>
      <c r="D19" s="14" t="s">
        <v>396</v>
      </c>
    </row>
    <row r="20" spans="1:4" x14ac:dyDescent="0.2">
      <c r="A20" s="13" t="s">
        <v>401</v>
      </c>
      <c r="B20" s="14" t="s">
        <v>402</v>
      </c>
      <c r="C20" s="14" t="s">
        <v>403</v>
      </c>
      <c r="D20" s="14" t="s">
        <v>400</v>
      </c>
    </row>
    <row r="21" spans="1:4" x14ac:dyDescent="0.2">
      <c r="A21" s="13" t="s">
        <v>405</v>
      </c>
      <c r="B21" s="14" t="s">
        <v>406</v>
      </c>
      <c r="C21" s="14" t="s">
        <v>407</v>
      </c>
      <c r="D21" s="14" t="s">
        <v>404</v>
      </c>
    </row>
    <row r="22" spans="1:4" x14ac:dyDescent="0.2">
      <c r="A22" s="13" t="s">
        <v>409</v>
      </c>
      <c r="B22" s="14" t="s">
        <v>410</v>
      </c>
      <c r="C22" s="14" t="s">
        <v>411</v>
      </c>
      <c r="D22" s="14" t="s">
        <v>408</v>
      </c>
    </row>
    <row r="23" spans="1:4" x14ac:dyDescent="0.2">
      <c r="A23" s="13" t="s">
        <v>413</v>
      </c>
      <c r="B23" s="14" t="s">
        <v>414</v>
      </c>
      <c r="C23" s="14" t="s">
        <v>415</v>
      </c>
      <c r="D23" s="14" t="s">
        <v>412</v>
      </c>
    </row>
    <row r="24" spans="1:4" x14ac:dyDescent="0.2">
      <c r="A24" s="13" t="s">
        <v>417</v>
      </c>
      <c r="B24" s="14" t="s">
        <v>418</v>
      </c>
      <c r="C24" s="14" t="s">
        <v>419</v>
      </c>
      <c r="D24" s="14" t="s">
        <v>416</v>
      </c>
    </row>
    <row r="25" spans="1:4" x14ac:dyDescent="0.2">
      <c r="A25" s="13" t="s">
        <v>421</v>
      </c>
      <c r="B25" s="14" t="s">
        <v>422</v>
      </c>
      <c r="C25" s="14" t="s">
        <v>423</v>
      </c>
      <c r="D25" s="14" t="s">
        <v>420</v>
      </c>
    </row>
    <row r="26" spans="1:4" x14ac:dyDescent="0.2">
      <c r="A26" s="13" t="s">
        <v>425</v>
      </c>
      <c r="B26" s="14" t="s">
        <v>426</v>
      </c>
      <c r="C26" s="14" t="s">
        <v>427</v>
      </c>
      <c r="D26" s="14" t="s">
        <v>424</v>
      </c>
    </row>
    <row r="27" spans="1:4" x14ac:dyDescent="0.2">
      <c r="A27" s="13" t="s">
        <v>430</v>
      </c>
      <c r="B27" s="14" t="s">
        <v>431</v>
      </c>
      <c r="C27" s="14" t="s">
        <v>432</v>
      </c>
      <c r="D27" s="14" t="s">
        <v>429</v>
      </c>
    </row>
    <row r="28" spans="1:4" x14ac:dyDescent="0.2">
      <c r="A28" s="13" t="s">
        <v>434</v>
      </c>
      <c r="B28" s="14" t="s">
        <v>435</v>
      </c>
      <c r="C28" s="14" t="s">
        <v>436</v>
      </c>
      <c r="D28" s="14" t="s">
        <v>433</v>
      </c>
    </row>
    <row r="29" spans="1:4" x14ac:dyDescent="0.2">
      <c r="A29" s="13" t="s">
        <v>438</v>
      </c>
      <c r="B29" s="14" t="s">
        <v>439</v>
      </c>
      <c r="C29" s="14" t="s">
        <v>440</v>
      </c>
      <c r="D29" s="14" t="s">
        <v>437</v>
      </c>
    </row>
    <row r="30" spans="1:4" x14ac:dyDescent="0.2">
      <c r="A30" s="13" t="s">
        <v>442</v>
      </c>
      <c r="B30" s="14" t="s">
        <v>443</v>
      </c>
      <c r="C30" s="14" t="s">
        <v>444</v>
      </c>
      <c r="D30" s="14" t="s">
        <v>441</v>
      </c>
    </row>
    <row r="31" spans="1:4" x14ac:dyDescent="0.2">
      <c r="A31" s="13" t="s">
        <v>446</v>
      </c>
      <c r="B31" s="14" t="s">
        <v>447</v>
      </c>
      <c r="C31" s="14" t="s">
        <v>448</v>
      </c>
      <c r="D31" s="15" t="s">
        <v>445</v>
      </c>
    </row>
    <row r="32" spans="1:4" x14ac:dyDescent="0.2">
      <c r="A32" s="13" t="s">
        <v>450</v>
      </c>
      <c r="B32" s="14" t="s">
        <v>451</v>
      </c>
      <c r="C32" s="14" t="s">
        <v>452</v>
      </c>
      <c r="D32" s="14" t="s">
        <v>449</v>
      </c>
    </row>
    <row r="33" spans="1:4" x14ac:dyDescent="0.2">
      <c r="A33" s="13" t="s">
        <v>455</v>
      </c>
      <c r="B33" s="14" t="s">
        <v>456</v>
      </c>
      <c r="C33" s="14" t="s">
        <v>457</v>
      </c>
      <c r="D33" s="14" t="s">
        <v>454</v>
      </c>
    </row>
    <row r="34" spans="1:4" x14ac:dyDescent="0.2">
      <c r="A34" s="13" t="s">
        <v>459</v>
      </c>
      <c r="B34" s="14" t="s">
        <v>460</v>
      </c>
      <c r="C34" s="14" t="s">
        <v>461</v>
      </c>
      <c r="D34" s="14" t="s">
        <v>458</v>
      </c>
    </row>
    <row r="35" spans="1:4" x14ac:dyDescent="0.2">
      <c r="A35" s="13" t="s">
        <v>463</v>
      </c>
      <c r="B35" s="14" t="s">
        <v>464</v>
      </c>
      <c r="C35" s="14" t="s">
        <v>465</v>
      </c>
      <c r="D35" s="14" t="s">
        <v>462</v>
      </c>
    </row>
    <row r="36" spans="1:4" x14ac:dyDescent="0.2">
      <c r="A36" s="13" t="s">
        <v>467</v>
      </c>
      <c r="B36" s="14" t="s">
        <v>468</v>
      </c>
      <c r="C36" s="14" t="s">
        <v>469</v>
      </c>
      <c r="D36" s="14" t="s">
        <v>466</v>
      </c>
    </row>
    <row r="37" spans="1:4" x14ac:dyDescent="0.2">
      <c r="A37" s="13" t="s">
        <v>471</v>
      </c>
      <c r="B37" s="14" t="s">
        <v>472</v>
      </c>
      <c r="C37" s="14" t="s">
        <v>473</v>
      </c>
      <c r="D37" s="14" t="s">
        <v>470</v>
      </c>
    </row>
    <row r="38" spans="1:4" x14ac:dyDescent="0.2">
      <c r="A38" s="13" t="s">
        <v>475</v>
      </c>
      <c r="B38" s="14" t="s">
        <v>476</v>
      </c>
      <c r="C38" s="14" t="s">
        <v>477</v>
      </c>
      <c r="D38" s="14" t="s">
        <v>474</v>
      </c>
    </row>
    <row r="39" spans="1:4" x14ac:dyDescent="0.2">
      <c r="A39" s="13" t="s">
        <v>479</v>
      </c>
      <c r="B39" s="14" t="s">
        <v>480</v>
      </c>
      <c r="C39" s="14" t="s">
        <v>481</v>
      </c>
      <c r="D39" s="14" t="s">
        <v>478</v>
      </c>
    </row>
    <row r="40" spans="1:4" x14ac:dyDescent="0.2">
      <c r="A40" s="13" t="s">
        <v>483</v>
      </c>
      <c r="B40" s="14" t="s">
        <v>484</v>
      </c>
      <c r="C40" s="14" t="s">
        <v>485</v>
      </c>
      <c r="D40" s="14" t="s">
        <v>482</v>
      </c>
    </row>
    <row r="41" spans="1:4" x14ac:dyDescent="0.2">
      <c r="A41" s="13" t="s">
        <v>489</v>
      </c>
      <c r="B41" s="14" t="s">
        <v>490</v>
      </c>
      <c r="C41" s="14" t="s">
        <v>491</v>
      </c>
      <c r="D41" s="14" t="s">
        <v>488</v>
      </c>
    </row>
    <row r="42" spans="1:4" x14ac:dyDescent="0.2">
      <c r="A42" s="13" t="s">
        <v>493</v>
      </c>
      <c r="B42" s="14" t="s">
        <v>494</v>
      </c>
      <c r="C42" s="14" t="s">
        <v>495</v>
      </c>
      <c r="D42" s="14" t="s">
        <v>492</v>
      </c>
    </row>
    <row r="43" spans="1:4" x14ac:dyDescent="0.2">
      <c r="A43" s="13" t="s">
        <v>497</v>
      </c>
      <c r="B43" s="14" t="s">
        <v>498</v>
      </c>
      <c r="C43" s="14" t="s">
        <v>499</v>
      </c>
      <c r="D43" s="14" t="s">
        <v>496</v>
      </c>
    </row>
    <row r="44" spans="1:4" x14ac:dyDescent="0.2">
      <c r="A44" s="13" t="s">
        <v>501</v>
      </c>
      <c r="B44" s="14" t="s">
        <v>502</v>
      </c>
      <c r="C44" s="14" t="s">
        <v>503</v>
      </c>
      <c r="D44" s="14" t="s">
        <v>500</v>
      </c>
    </row>
    <row r="45" spans="1:4" x14ac:dyDescent="0.2">
      <c r="A45" s="13" t="s">
        <v>505</v>
      </c>
      <c r="B45" s="14" t="s">
        <v>506</v>
      </c>
      <c r="C45" s="14" t="s">
        <v>507</v>
      </c>
      <c r="D45" s="14" t="s">
        <v>504</v>
      </c>
    </row>
    <row r="46" spans="1:4" x14ac:dyDescent="0.2">
      <c r="A46" s="13" t="s">
        <v>509</v>
      </c>
      <c r="B46" s="14" t="s">
        <v>510</v>
      </c>
      <c r="C46" s="14" t="s">
        <v>511</v>
      </c>
      <c r="D46" s="14" t="s">
        <v>508</v>
      </c>
    </row>
    <row r="47" spans="1:4" x14ac:dyDescent="0.2">
      <c r="A47" s="13" t="s">
        <v>513</v>
      </c>
      <c r="B47" s="14" t="s">
        <v>514</v>
      </c>
      <c r="C47" s="14" t="s">
        <v>515</v>
      </c>
      <c r="D47" s="14" t="s">
        <v>512</v>
      </c>
    </row>
    <row r="48" spans="1:4" x14ac:dyDescent="0.2">
      <c r="A48" s="13" t="s">
        <v>517</v>
      </c>
      <c r="B48" s="14" t="s">
        <v>518</v>
      </c>
      <c r="C48" s="14" t="s">
        <v>519</v>
      </c>
      <c r="D48" s="14" t="s">
        <v>516</v>
      </c>
    </row>
    <row r="49" spans="1:4" x14ac:dyDescent="0.2">
      <c r="A49" s="13" t="s">
        <v>521</v>
      </c>
      <c r="B49" s="14" t="s">
        <v>522</v>
      </c>
      <c r="C49" s="14" t="s">
        <v>523</v>
      </c>
      <c r="D49" s="14" t="s">
        <v>520</v>
      </c>
    </row>
    <row r="50" spans="1:4" x14ac:dyDescent="0.2">
      <c r="A50" s="13" t="s">
        <v>525</v>
      </c>
      <c r="B50" s="14" t="s">
        <v>526</v>
      </c>
      <c r="C50" s="14" t="s">
        <v>527</v>
      </c>
      <c r="D50" s="14" t="s">
        <v>524</v>
      </c>
    </row>
    <row r="51" spans="1:4" x14ac:dyDescent="0.2">
      <c r="A51" s="13" t="s">
        <v>529</v>
      </c>
      <c r="B51" s="14" t="s">
        <v>530</v>
      </c>
      <c r="C51" s="13" t="s">
        <v>531</v>
      </c>
      <c r="D51" s="15" t="s">
        <v>528</v>
      </c>
    </row>
    <row r="52" spans="1:4" x14ac:dyDescent="0.2">
      <c r="A52" s="13" t="s">
        <v>532</v>
      </c>
      <c r="B52" s="14" t="s">
        <v>533</v>
      </c>
      <c r="C52" s="13" t="s">
        <v>534</v>
      </c>
      <c r="D52" s="21"/>
    </row>
    <row r="53" spans="1:4" x14ac:dyDescent="0.2">
      <c r="A53" s="13" t="s">
        <v>535</v>
      </c>
      <c r="B53" s="14" t="s">
        <v>536</v>
      </c>
      <c r="C53" s="13" t="s">
        <v>537</v>
      </c>
      <c r="D53" s="21"/>
    </row>
    <row r="54" spans="1:4" x14ac:dyDescent="0.2">
      <c r="A54" s="13" t="s">
        <v>540</v>
      </c>
      <c r="B54" s="14" t="s">
        <v>541</v>
      </c>
      <c r="C54" s="13" t="s">
        <v>779</v>
      </c>
      <c r="D54" s="21"/>
    </row>
    <row r="55" spans="1:4" x14ac:dyDescent="0.2">
      <c r="A55" s="13" t="s">
        <v>543</v>
      </c>
      <c r="B55" s="14" t="s">
        <v>544</v>
      </c>
      <c r="C55" s="13" t="s">
        <v>542</v>
      </c>
      <c r="D55" s="21"/>
    </row>
    <row r="56" spans="1:4" x14ac:dyDescent="0.2">
      <c r="A56" s="13" t="s">
        <v>546</v>
      </c>
      <c r="B56" s="14" t="s">
        <v>547</v>
      </c>
      <c r="C56" s="13" t="s">
        <v>545</v>
      </c>
      <c r="D56" s="21"/>
    </row>
    <row r="57" spans="1:4" x14ac:dyDescent="0.2">
      <c r="A57" s="13" t="s">
        <v>549</v>
      </c>
      <c r="B57" s="14" t="s">
        <v>550</v>
      </c>
      <c r="C57" s="13" t="s">
        <v>548</v>
      </c>
      <c r="D57" s="21"/>
    </row>
    <row r="58" spans="1:4" x14ac:dyDescent="0.2">
      <c r="A58" s="13" t="s">
        <v>552</v>
      </c>
      <c r="B58" s="14" t="s">
        <v>553</v>
      </c>
      <c r="C58" s="13" t="s">
        <v>551</v>
      </c>
      <c r="D58" s="21"/>
    </row>
    <row r="59" spans="1:4" x14ac:dyDescent="0.2">
      <c r="A59" s="13" t="s">
        <v>555</v>
      </c>
      <c r="B59" s="14" t="s">
        <v>556</v>
      </c>
      <c r="C59" s="13" t="s">
        <v>554</v>
      </c>
      <c r="D59" s="21"/>
    </row>
    <row r="60" spans="1:4" x14ac:dyDescent="0.2">
      <c r="A60" s="13" t="s">
        <v>558</v>
      </c>
      <c r="B60" s="14" t="s">
        <v>559</v>
      </c>
      <c r="C60" s="13" t="s">
        <v>557</v>
      </c>
      <c r="D60" s="21"/>
    </row>
    <row r="61" spans="1:4" x14ac:dyDescent="0.2">
      <c r="A61" s="13" t="s">
        <v>561</v>
      </c>
      <c r="B61" s="14" t="s">
        <v>562</v>
      </c>
      <c r="C61" s="13" t="s">
        <v>560</v>
      </c>
      <c r="D61" s="21"/>
    </row>
    <row r="62" spans="1:4" x14ac:dyDescent="0.2">
      <c r="A62" s="13" t="s">
        <v>564</v>
      </c>
      <c r="B62" s="14" t="s">
        <v>565</v>
      </c>
      <c r="C62" s="13" t="s">
        <v>563</v>
      </c>
      <c r="D62" s="21"/>
    </row>
    <row r="63" spans="1:4" x14ac:dyDescent="0.2">
      <c r="A63" s="13" t="s">
        <v>567</v>
      </c>
      <c r="B63" s="14" t="s">
        <v>568</v>
      </c>
      <c r="C63" s="13" t="s">
        <v>566</v>
      </c>
      <c r="D63" s="21"/>
    </row>
    <row r="64" spans="1:4" x14ac:dyDescent="0.2">
      <c r="A64" s="13" t="s">
        <v>570</v>
      </c>
      <c r="B64" s="14" t="s">
        <v>571</v>
      </c>
      <c r="C64" s="13" t="s">
        <v>569</v>
      </c>
      <c r="D64" s="21"/>
    </row>
    <row r="65" spans="1:4" ht="13.5" thickBot="1" x14ac:dyDescent="0.25">
      <c r="A65" s="18" t="s">
        <v>573</v>
      </c>
      <c r="B65" s="19" t="s">
        <v>574</v>
      </c>
      <c r="C65" s="18" t="s">
        <v>572</v>
      </c>
      <c r="D65" s="22"/>
    </row>
  </sheetData>
  <phoneticPr fontId="13" type="noConversion"/>
  <pageMargins left="0.5" right="0.25" top="0.75" bottom="0.75" header="0.5" footer="0.5"/>
  <pageSetup orientation="portrait" r:id="rId1"/>
  <headerFooter alignWithMargins="0">
    <oddFooter>&amp;RLast Saved Date: 1/19/2012 9:44:07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eLDESTD</vt:lpstr>
      <vt:lpstr>Revision log</vt:lpstr>
      <vt:lpstr>Reference Locations</vt:lpstr>
      <vt:lpstr>ELDA Language Codes</vt:lpstr>
      <vt:lpstr>ELDA Birth Country Codes</vt:lpstr>
      <vt:lpstr>eLDESTD!Print_Area</vt:lpstr>
      <vt:lpstr>eLDESTD!Print_Titles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bkaufman</dc:creator>
  <cp:lastModifiedBy>Debbie Williams</cp:lastModifiedBy>
  <cp:lastPrinted>2014-03-18T17:43:33Z</cp:lastPrinted>
  <dcterms:created xsi:type="dcterms:W3CDTF">1999-04-08T16:47:24Z</dcterms:created>
  <dcterms:modified xsi:type="dcterms:W3CDTF">2014-06-17T19:48:26Z</dcterms:modified>
</cp:coreProperties>
</file>